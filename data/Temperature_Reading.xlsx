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Downloads\"/>
    </mc:Choice>
  </mc:AlternateContent>
  <xr:revisionPtr revIDLastSave="0" documentId="13_ncr:1_{20BBCE25-7EAE-4260-8871-8ED636F0C269}" xr6:coauthVersionLast="47" xr6:coauthVersionMax="47" xr10:uidLastSave="{00000000-0000-0000-0000-000000000000}"/>
  <bookViews>
    <workbookView xWindow="-110" yWindow="-110" windowWidth="25820" windowHeight="15500" firstSheet="1" activeTab="1" xr2:uid="{114ABE57-8F98-4183-B65C-0D14866A15FF}"/>
  </bookViews>
  <sheets>
    <sheet name="copy" sheetId="12" r:id="rId1"/>
    <sheet name="Database" sheetId="5" r:id="rId2"/>
    <sheet name="Summary" sheetId="9" r:id="rId3"/>
    <sheet name="IW" sheetId="1" r:id="rId4"/>
    <sheet name="IW_Req" sheetId="10" r:id="rId5"/>
    <sheet name="LR" sheetId="2" r:id="rId6"/>
    <sheet name="HR" sheetId="3" r:id="rId7"/>
    <sheet name="OW" sheetId="4" r:id="rId8"/>
    <sheet name="OW_Req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12" i="9" s="1"/>
  <c r="B10" i="9"/>
  <c r="B13" i="9"/>
  <c r="C13" i="9" s="1"/>
  <c r="B11" i="9"/>
  <c r="C11" i="9" s="1"/>
  <c r="F2" i="5"/>
  <c r="F18" i="5"/>
  <c r="F22" i="5"/>
  <c r="F24" i="5"/>
  <c r="F26" i="5"/>
  <c r="F12" i="5"/>
  <c r="F3" i="5"/>
  <c r="F19" i="5"/>
  <c r="F23" i="5"/>
  <c r="F25" i="5"/>
  <c r="F10" i="5"/>
  <c r="F28" i="5"/>
  <c r="F14" i="5"/>
  <c r="F4" i="5"/>
  <c r="F20" i="5"/>
  <c r="F6" i="5"/>
  <c r="F9" i="5"/>
  <c r="F27" i="5"/>
  <c r="F15" i="5"/>
  <c r="F17" i="5"/>
  <c r="F5" i="5"/>
  <c r="F21" i="5"/>
  <c r="F7" i="5"/>
  <c r="F8" i="5"/>
  <c r="F11" i="5"/>
  <c r="F13" i="5"/>
  <c r="F16" i="5"/>
  <c r="F29" i="5"/>
  <c r="I2" i="5"/>
  <c r="K88" i="12"/>
  <c r="G46" i="12"/>
  <c r="I3" i="12"/>
  <c r="G8" i="12"/>
  <c r="K67" i="12"/>
  <c r="F38" i="12"/>
  <c r="K125" i="12"/>
  <c r="G83" i="12"/>
  <c r="I40" i="12"/>
  <c r="F19" i="12"/>
  <c r="G16" i="12"/>
  <c r="I9" i="12"/>
  <c r="F107" i="12"/>
  <c r="K11" i="12"/>
  <c r="F128" i="12"/>
  <c r="I122" i="12"/>
  <c r="K79" i="12"/>
  <c r="G37" i="12"/>
  <c r="K65" i="12"/>
  <c r="G4" i="12"/>
  <c r="F77" i="12"/>
  <c r="K105" i="12"/>
  <c r="I121" i="12"/>
  <c r="I22" i="12"/>
  <c r="K92" i="12"/>
  <c r="G50" i="12"/>
  <c r="G2" i="12"/>
  <c r="F7" i="12"/>
  <c r="G33" i="12"/>
  <c r="F18" i="12"/>
  <c r="G127" i="12"/>
  <c r="I102" i="5"/>
  <c r="G30" i="5"/>
  <c r="G98" i="5"/>
  <c r="F49" i="5"/>
  <c r="G54" i="5"/>
  <c r="I89" i="5"/>
  <c r="G55" i="5"/>
  <c r="G24" i="5"/>
  <c r="I84" i="5"/>
  <c r="I50" i="5"/>
  <c r="G103" i="5"/>
  <c r="G28" i="5"/>
  <c r="I60" i="5"/>
  <c r="F54" i="5"/>
  <c r="G88" i="5"/>
  <c r="F57" i="5"/>
  <c r="F93" i="5"/>
  <c r="G25" i="5"/>
  <c r="G69" i="5"/>
  <c r="I88" i="5"/>
  <c r="I95" i="5"/>
  <c r="F51" i="5"/>
  <c r="K64" i="12"/>
  <c r="I111" i="12"/>
  <c r="F73" i="5"/>
  <c r="G104" i="5"/>
  <c r="G86" i="5"/>
  <c r="I50" i="12"/>
  <c r="G31" i="5"/>
  <c r="F70" i="12"/>
  <c r="G108" i="12"/>
  <c r="I73" i="12"/>
  <c r="I20" i="12"/>
  <c r="F25" i="12"/>
  <c r="G33" i="5"/>
  <c r="G113" i="5"/>
  <c r="G6" i="12"/>
  <c r="I108" i="12"/>
  <c r="I26" i="5"/>
  <c r="G91" i="5"/>
  <c r="K128" i="12"/>
  <c r="G86" i="12"/>
  <c r="I43" i="12"/>
  <c r="F3" i="12"/>
  <c r="K2" i="12"/>
  <c r="I46" i="12"/>
  <c r="F30" i="12"/>
  <c r="G123" i="12"/>
  <c r="I80" i="12"/>
  <c r="K37" i="12"/>
  <c r="K122" i="12"/>
  <c r="K10" i="12"/>
  <c r="F124" i="12"/>
  <c r="F99" i="12"/>
  <c r="G128" i="12"/>
  <c r="F120" i="12"/>
  <c r="K119" i="12"/>
  <c r="G77" i="12"/>
  <c r="I34" i="12"/>
  <c r="G55" i="12"/>
  <c r="F68" i="12"/>
  <c r="F69" i="12"/>
  <c r="K97" i="12"/>
  <c r="G100" i="12"/>
  <c r="K3" i="12"/>
  <c r="G90" i="12"/>
  <c r="I47" i="12"/>
  <c r="K121" i="12"/>
  <c r="I113" i="12"/>
  <c r="I14" i="12"/>
  <c r="F10" i="12"/>
  <c r="F127" i="12"/>
  <c r="F79" i="5"/>
  <c r="G126" i="5"/>
  <c r="I90" i="5"/>
  <c r="I120" i="5"/>
  <c r="G56" i="5"/>
  <c r="I113" i="5"/>
  <c r="I5" i="5"/>
  <c r="G123" i="5"/>
  <c r="G38" i="5"/>
  <c r="I100" i="5"/>
  <c r="G125" i="5"/>
  <c r="F81" i="5"/>
  <c r="I87" i="5"/>
  <c r="I32" i="5"/>
  <c r="G6" i="5"/>
  <c r="I111" i="5"/>
  <c r="I117" i="5"/>
  <c r="F48" i="5"/>
  <c r="F56" i="5"/>
  <c r="G85" i="5"/>
  <c r="I54" i="5"/>
  <c r="F70" i="5"/>
  <c r="I53" i="12"/>
  <c r="G26" i="12"/>
  <c r="F80" i="5"/>
  <c r="G39" i="5"/>
  <c r="G7" i="12"/>
  <c r="G62" i="5"/>
  <c r="G53" i="5"/>
  <c r="I115" i="5"/>
  <c r="F118" i="5"/>
  <c r="F104" i="5"/>
  <c r="F65" i="5"/>
  <c r="I99" i="12"/>
  <c r="F65" i="12"/>
  <c r="K47" i="12"/>
  <c r="G18" i="12"/>
  <c r="G84" i="5"/>
  <c r="I103" i="5"/>
  <c r="I21" i="12"/>
  <c r="I7" i="12"/>
  <c r="F91" i="5"/>
  <c r="G126" i="12"/>
  <c r="I83" i="12"/>
  <c r="K40" i="12"/>
  <c r="I117" i="12"/>
  <c r="F64" i="12"/>
  <c r="K35" i="12"/>
  <c r="F22" i="12"/>
  <c r="I120" i="12"/>
  <c r="K77" i="12"/>
  <c r="G35" i="12"/>
  <c r="I109" i="12"/>
  <c r="I5" i="12"/>
  <c r="F100" i="12"/>
  <c r="F91" i="12"/>
  <c r="I125" i="12"/>
  <c r="F112" i="12"/>
  <c r="G117" i="12"/>
  <c r="I74" i="12"/>
  <c r="K31" i="12"/>
  <c r="G47" i="12"/>
  <c r="F20" i="12"/>
  <c r="F61" i="12"/>
  <c r="K89" i="12"/>
  <c r="G84" i="12"/>
  <c r="F57" i="12"/>
  <c r="I87" i="12"/>
  <c r="K44" i="12"/>
  <c r="G103" i="12"/>
  <c r="K94" i="12"/>
  <c r="F9" i="12"/>
  <c r="F2" i="12"/>
  <c r="K126" i="12"/>
  <c r="G106" i="5"/>
  <c r="F37" i="5"/>
  <c r="I29" i="5"/>
  <c r="G52" i="5"/>
  <c r="F84" i="5"/>
  <c r="I33" i="5"/>
  <c r="G108" i="5"/>
  <c r="I91" i="5"/>
  <c r="G48" i="5"/>
  <c r="G42" i="5"/>
  <c r="F108" i="5"/>
  <c r="G18" i="5"/>
  <c r="G12" i="5"/>
  <c r="G100" i="5"/>
  <c r="G10" i="5"/>
  <c r="I105" i="5"/>
  <c r="G65" i="5"/>
  <c r="F115" i="5"/>
  <c r="G63" i="5"/>
  <c r="F34" i="5"/>
  <c r="F101" i="5"/>
  <c r="I38" i="5"/>
  <c r="G22" i="12"/>
  <c r="F74" i="12"/>
  <c r="F94" i="5"/>
  <c r="I93" i="5"/>
  <c r="I42" i="5"/>
  <c r="F117" i="12"/>
  <c r="I8" i="12"/>
  <c r="K60" i="12"/>
  <c r="F105" i="5"/>
  <c r="G7" i="5"/>
  <c r="F83" i="5"/>
  <c r="I62" i="5"/>
  <c r="F46" i="12"/>
  <c r="F95" i="12"/>
  <c r="I123" i="5"/>
  <c r="I123" i="12"/>
  <c r="K80" i="12"/>
  <c r="G38" i="12"/>
  <c r="G104" i="12"/>
  <c r="F87" i="12"/>
  <c r="G17" i="12"/>
  <c r="F14" i="12"/>
  <c r="K117" i="12"/>
  <c r="G75" i="12"/>
  <c r="I32" i="12"/>
  <c r="K106" i="12"/>
  <c r="F56" i="12"/>
  <c r="F28" i="12"/>
  <c r="F83" i="12"/>
  <c r="G120" i="12"/>
  <c r="F104" i="12"/>
  <c r="I114" i="12"/>
  <c r="K71" i="12"/>
  <c r="G29" i="12"/>
  <c r="I44" i="12"/>
  <c r="K115" i="12"/>
  <c r="F53" i="12"/>
  <c r="I76" i="12"/>
  <c r="K70" i="12"/>
  <c r="I127" i="12"/>
  <c r="K84" i="12"/>
  <c r="G42" i="12"/>
  <c r="G95" i="12"/>
  <c r="G76" i="12"/>
  <c r="F122" i="12"/>
  <c r="G119" i="12"/>
  <c r="I126" i="12"/>
  <c r="G19" i="5"/>
  <c r="F67" i="5"/>
  <c r="G110" i="5"/>
  <c r="I68" i="5"/>
  <c r="G95" i="5"/>
  <c r="I9" i="5"/>
  <c r="F55" i="5"/>
  <c r="I119" i="5"/>
  <c r="I15" i="5"/>
  <c r="G97" i="5"/>
  <c r="F76" i="5"/>
  <c r="G122" i="5"/>
  <c r="F77" i="5"/>
  <c r="G16" i="5"/>
  <c r="I21" i="5"/>
  <c r="G5" i="5"/>
  <c r="G50" i="5"/>
  <c r="G120" i="5"/>
  <c r="G89" i="5"/>
  <c r="F95" i="5"/>
  <c r="G79" i="5"/>
  <c r="I106" i="5"/>
  <c r="G59" i="12"/>
  <c r="F85" i="5"/>
  <c r="I63" i="12"/>
  <c r="G44" i="5"/>
  <c r="G119" i="5"/>
  <c r="K30" i="12"/>
  <c r="F109" i="12"/>
  <c r="G115" i="5"/>
  <c r="I33" i="12"/>
  <c r="F55" i="12"/>
  <c r="F33" i="12"/>
  <c r="I56" i="5"/>
  <c r="K120" i="12"/>
  <c r="G78" i="12"/>
  <c r="I35" i="12"/>
  <c r="G96" i="12"/>
  <c r="F39" i="12"/>
  <c r="F17" i="12"/>
  <c r="F6" i="12"/>
  <c r="G115" i="12"/>
  <c r="I72" i="12"/>
  <c r="K29" i="12"/>
  <c r="K98" i="12"/>
  <c r="F48" i="12"/>
  <c r="I118" i="12"/>
  <c r="F75" i="12"/>
  <c r="I101" i="12"/>
  <c r="F96" i="12"/>
  <c r="K111" i="12"/>
  <c r="G69" i="12"/>
  <c r="I26" i="12"/>
  <c r="I36" i="12"/>
  <c r="G89" i="12"/>
  <c r="F45" i="12"/>
  <c r="I68" i="12"/>
  <c r="G52" i="12"/>
  <c r="K124" i="12"/>
  <c r="G82" i="12"/>
  <c r="I39" i="12"/>
  <c r="I92" i="12"/>
  <c r="I65" i="12"/>
  <c r="F114" i="12"/>
  <c r="I100" i="12"/>
  <c r="F121" i="12"/>
  <c r="G76" i="5"/>
  <c r="G60" i="5"/>
  <c r="F106" i="5"/>
  <c r="G93" i="5"/>
  <c r="F63" i="5"/>
  <c r="G77" i="5"/>
  <c r="F50" i="5"/>
  <c r="G105" i="5"/>
  <c r="F112" i="5"/>
  <c r="G35" i="5"/>
  <c r="F119" i="5"/>
  <c r="F122" i="5"/>
  <c r="I59" i="5"/>
  <c r="G94" i="5"/>
  <c r="I63" i="5"/>
  <c r="F75" i="5"/>
  <c r="G3" i="5"/>
  <c r="G109" i="5"/>
  <c r="F87" i="5"/>
  <c r="I55" i="5"/>
  <c r="F89" i="5"/>
  <c r="F121" i="5"/>
  <c r="K46" i="12"/>
  <c r="I31" i="5"/>
  <c r="I28" i="12"/>
  <c r="I78" i="5"/>
  <c r="G51" i="12"/>
  <c r="I103" i="12"/>
  <c r="I80" i="5"/>
  <c r="G36" i="5"/>
  <c r="I78" i="12"/>
  <c r="F115" i="12"/>
  <c r="I102" i="12"/>
  <c r="G125" i="12"/>
  <c r="I82" i="12"/>
  <c r="G28" i="12"/>
  <c r="K52" i="12"/>
  <c r="I128" i="5"/>
  <c r="I47" i="5"/>
  <c r="G118" i="12"/>
  <c r="I75" i="12"/>
  <c r="K32" i="12"/>
  <c r="K90" i="12"/>
  <c r="G124" i="12"/>
  <c r="F126" i="12"/>
  <c r="F11" i="12"/>
  <c r="I112" i="12"/>
  <c r="K69" i="12"/>
  <c r="G27" i="12"/>
  <c r="I93" i="12"/>
  <c r="F16" i="12"/>
  <c r="G105" i="12"/>
  <c r="F67" i="12"/>
  <c r="I85" i="12"/>
  <c r="F88" i="12"/>
  <c r="G109" i="12"/>
  <c r="I66" i="12"/>
  <c r="K23" i="12"/>
  <c r="G31" i="12"/>
  <c r="I70" i="12"/>
  <c r="F37" i="12"/>
  <c r="G63" i="12"/>
  <c r="G36" i="12"/>
  <c r="G122" i="12"/>
  <c r="I79" i="12"/>
  <c r="K36" i="12"/>
  <c r="I84" i="12"/>
  <c r="K54" i="12"/>
  <c r="F106" i="12"/>
  <c r="G87" i="12"/>
  <c r="F113" i="12"/>
  <c r="I73" i="5"/>
  <c r="I13" i="5"/>
  <c r="I46" i="5"/>
  <c r="I124" i="5"/>
  <c r="I23" i="5"/>
  <c r="I99" i="5"/>
  <c r="F38" i="5"/>
  <c r="F109" i="5"/>
  <c r="I10" i="5"/>
  <c r="I34" i="5"/>
  <c r="G34" i="5"/>
  <c r="G83" i="5"/>
  <c r="G49" i="5"/>
  <c r="I44" i="5"/>
  <c r="F61" i="5"/>
  <c r="I65" i="5"/>
  <c r="G101" i="5"/>
  <c r="G102" i="5"/>
  <c r="G66" i="5"/>
  <c r="G117" i="5"/>
  <c r="I109" i="5"/>
  <c r="I41" i="5"/>
  <c r="K101" i="12"/>
  <c r="I61" i="12"/>
  <c r="K43" i="12"/>
  <c r="F40" i="12"/>
  <c r="K55" i="12"/>
  <c r="F5" i="12"/>
  <c r="F116" i="12"/>
  <c r="I107" i="5"/>
  <c r="I125" i="5"/>
  <c r="G45" i="5"/>
  <c r="I24" i="5"/>
  <c r="G93" i="12"/>
  <c r="F49" i="12"/>
  <c r="F72" i="5"/>
  <c r="F43" i="5"/>
  <c r="F68" i="5"/>
  <c r="I85" i="5"/>
  <c r="I37" i="12"/>
  <c r="I110" i="12"/>
  <c r="K91" i="12"/>
  <c r="F78" i="5"/>
  <c r="I17" i="5"/>
  <c r="I127" i="5"/>
  <c r="K18" i="12"/>
  <c r="F85" i="12"/>
  <c r="I19" i="5"/>
  <c r="I115" i="12"/>
  <c r="K72" i="12"/>
  <c r="G30" i="12"/>
  <c r="K82" i="12"/>
  <c r="G92" i="12"/>
  <c r="F118" i="12"/>
  <c r="K114" i="12"/>
  <c r="K109" i="12"/>
  <c r="G67" i="12"/>
  <c r="I24" i="12"/>
  <c r="G88" i="12"/>
  <c r="F8" i="12"/>
  <c r="I86" i="12"/>
  <c r="F59" i="12"/>
  <c r="I77" i="12"/>
  <c r="F80" i="12"/>
  <c r="I106" i="12"/>
  <c r="K63" i="12"/>
  <c r="G21" i="12"/>
  <c r="G23" i="12"/>
  <c r="K59" i="12"/>
  <c r="F29" i="12"/>
  <c r="K57" i="12"/>
  <c r="I17" i="12"/>
  <c r="I119" i="12"/>
  <c r="K76" i="12"/>
  <c r="G34" i="12"/>
  <c r="G79" i="12"/>
  <c r="I41" i="12"/>
  <c r="F98" i="12"/>
  <c r="G71" i="12"/>
  <c r="F105" i="12"/>
  <c r="I45" i="5"/>
  <c r="G82" i="5"/>
  <c r="F90" i="5"/>
  <c r="F117" i="5"/>
  <c r="I61" i="5"/>
  <c r="F114" i="5"/>
  <c r="I104" i="5"/>
  <c r="G64" i="5"/>
  <c r="I77" i="5"/>
  <c r="I81" i="5"/>
  <c r="F98" i="5"/>
  <c r="F40" i="5"/>
  <c r="F128" i="5"/>
  <c r="F45" i="5"/>
  <c r="F103" i="5"/>
  <c r="I70" i="5"/>
  <c r="G32" i="5"/>
  <c r="G68" i="5"/>
  <c r="F58" i="5"/>
  <c r="I39" i="5"/>
  <c r="G59" i="5"/>
  <c r="I107" i="12"/>
  <c r="K25" i="12"/>
  <c r="G107" i="5"/>
  <c r="G67" i="5"/>
  <c r="G51" i="5"/>
  <c r="I74" i="5"/>
  <c r="K7" i="12"/>
  <c r="I11" i="5"/>
  <c r="K56" i="12"/>
  <c r="K42" i="12"/>
  <c r="I90" i="12"/>
  <c r="I124" i="12"/>
  <c r="K99" i="12"/>
  <c r="G41" i="5"/>
  <c r="G17" i="5"/>
  <c r="K85" i="12"/>
  <c r="I126" i="5"/>
  <c r="F52" i="5"/>
  <c r="F92" i="5"/>
  <c r="K112" i="12"/>
  <c r="G70" i="12"/>
  <c r="I27" i="12"/>
  <c r="K74" i="12"/>
  <c r="K78" i="12"/>
  <c r="F110" i="12"/>
  <c r="G72" i="12"/>
  <c r="G107" i="12"/>
  <c r="I64" i="12"/>
  <c r="K21" i="12"/>
  <c r="G80" i="12"/>
  <c r="F79" i="12"/>
  <c r="G73" i="12"/>
  <c r="F51" i="12"/>
  <c r="K58" i="12"/>
  <c r="F72" i="12"/>
  <c r="K103" i="12"/>
  <c r="G61" i="12"/>
  <c r="I18" i="12"/>
  <c r="K17" i="12"/>
  <c r="G41" i="12"/>
  <c r="F21" i="12"/>
  <c r="K49" i="12"/>
  <c r="F108" i="12"/>
  <c r="K116" i="12"/>
  <c r="G74" i="12"/>
  <c r="I31" i="12"/>
  <c r="K73" i="12"/>
  <c r="I25" i="12"/>
  <c r="F90" i="12"/>
  <c r="K41" i="12"/>
  <c r="F97" i="12"/>
  <c r="I4" i="5"/>
  <c r="I40" i="5"/>
  <c r="I49" i="5"/>
  <c r="G75" i="5"/>
  <c r="I28" i="5"/>
  <c r="G21" i="5"/>
  <c r="G128" i="5"/>
  <c r="G57" i="5"/>
  <c r="G73" i="5"/>
  <c r="I22" i="5"/>
  <c r="F59" i="5"/>
  <c r="G14" i="5"/>
  <c r="G99" i="5"/>
  <c r="F64" i="5"/>
  <c r="G80" i="5"/>
  <c r="G8" i="5"/>
  <c r="G71" i="5"/>
  <c r="G2" i="5"/>
  <c r="I79" i="5"/>
  <c r="F69" i="5"/>
  <c r="I25" i="5"/>
  <c r="G26" i="5"/>
  <c r="I13" i="12"/>
  <c r="F15" i="12"/>
  <c r="F63" i="12"/>
  <c r="K68" i="12"/>
  <c r="F47" i="12"/>
  <c r="F53" i="5"/>
  <c r="G70" i="5"/>
  <c r="G113" i="12"/>
  <c r="I97" i="5"/>
  <c r="I12" i="5"/>
  <c r="G14" i="12"/>
  <c r="G68" i="12"/>
  <c r="K38" i="12"/>
  <c r="G5" i="12"/>
  <c r="F111" i="12"/>
  <c r="F92" i="12"/>
  <c r="I110" i="5"/>
  <c r="I58" i="5"/>
  <c r="G43" i="12"/>
  <c r="G121" i="5"/>
  <c r="I7" i="5"/>
  <c r="G37" i="5"/>
  <c r="G110" i="12"/>
  <c r="I67" i="12"/>
  <c r="K24" i="12"/>
  <c r="K66" i="12"/>
  <c r="K62" i="12"/>
  <c r="F102" i="12"/>
  <c r="G40" i="12"/>
  <c r="I104" i="12"/>
  <c r="K61" i="12"/>
  <c r="G19" i="12"/>
  <c r="I69" i="12"/>
  <c r="F23" i="12"/>
  <c r="I62" i="12"/>
  <c r="F43" i="12"/>
  <c r="K26" i="12"/>
  <c r="F32" i="12"/>
  <c r="G101" i="12"/>
  <c r="I58" i="12"/>
  <c r="K15" i="12"/>
  <c r="I4" i="12"/>
  <c r="K27" i="12"/>
  <c r="F13" i="12"/>
  <c r="K33" i="12"/>
  <c r="F84" i="12"/>
  <c r="G114" i="12"/>
  <c r="I71" i="12"/>
  <c r="K28" i="12"/>
  <c r="I60" i="12"/>
  <c r="K6" i="12"/>
  <c r="F82" i="12"/>
  <c r="I12" i="12"/>
  <c r="F89" i="12"/>
  <c r="G96" i="5"/>
  <c r="F123" i="5"/>
  <c r="F39" i="5"/>
  <c r="I69" i="5"/>
  <c r="F41" i="5"/>
  <c r="F96" i="5"/>
  <c r="G40" i="5"/>
  <c r="F44" i="5"/>
  <c r="I71" i="5"/>
  <c r="F71" i="5"/>
  <c r="F86" i="5"/>
  <c r="F100" i="5"/>
  <c r="I27" i="5"/>
  <c r="I116" i="5"/>
  <c r="I14" i="5"/>
  <c r="F35" i="5"/>
  <c r="I18" i="5"/>
  <c r="G114" i="5"/>
  <c r="I114" i="5"/>
  <c r="I3" i="5"/>
  <c r="F62" i="5"/>
  <c r="F94" i="12"/>
  <c r="I16" i="12"/>
  <c r="K118" i="12"/>
  <c r="F35" i="12"/>
  <c r="I98" i="12"/>
  <c r="G13" i="12"/>
  <c r="I6" i="12"/>
  <c r="F36" i="12"/>
  <c r="I52" i="12"/>
  <c r="F81" i="12"/>
  <c r="I16" i="5"/>
  <c r="I8" i="5"/>
  <c r="K86" i="12"/>
  <c r="I92" i="5"/>
  <c r="K93" i="12"/>
  <c r="F50" i="12"/>
  <c r="G15" i="5"/>
  <c r="F74" i="5"/>
  <c r="I128" i="12"/>
  <c r="K19" i="12"/>
  <c r="K81" i="12"/>
  <c r="I95" i="12"/>
  <c r="F26" i="12"/>
  <c r="G78" i="5"/>
  <c r="F42" i="5"/>
  <c r="G47" i="5"/>
  <c r="K104" i="12"/>
  <c r="G62" i="12"/>
  <c r="I19" i="12"/>
  <c r="G48" i="12"/>
  <c r="K22" i="12"/>
  <c r="F86" i="12"/>
  <c r="F24" i="12"/>
  <c r="G99" i="12"/>
  <c r="I56" i="12"/>
  <c r="K13" i="12"/>
  <c r="G56" i="12"/>
  <c r="I97" i="12"/>
  <c r="G25" i="12"/>
  <c r="G112" i="12"/>
  <c r="F31" i="12"/>
  <c r="I89" i="12"/>
  <c r="K95" i="12"/>
  <c r="G53" i="12"/>
  <c r="I10" i="12"/>
  <c r="G116" i="12"/>
  <c r="F125" i="12"/>
  <c r="G10" i="12"/>
  <c r="G15" i="12"/>
  <c r="F4" i="12"/>
  <c r="K108" i="12"/>
  <c r="G66" i="12"/>
  <c r="I23" i="12"/>
  <c r="G39" i="12"/>
  <c r="F52" i="12"/>
  <c r="F66" i="12"/>
  <c r="K102" i="12"/>
  <c r="F73" i="12"/>
  <c r="G81" i="5"/>
  <c r="I98" i="5"/>
  <c r="F126" i="5"/>
  <c r="F36" i="5"/>
  <c r="I53" i="5"/>
  <c r="F97" i="5"/>
  <c r="F125" i="5"/>
  <c r="I20" i="5"/>
  <c r="G29" i="5"/>
  <c r="G116" i="5"/>
  <c r="F113" i="5"/>
  <c r="I121" i="5"/>
  <c r="I96" i="5"/>
  <c r="G111" i="5"/>
  <c r="F47" i="5"/>
  <c r="I118" i="5"/>
  <c r="F102" i="5"/>
  <c r="F60" i="5"/>
  <c r="G87" i="5"/>
  <c r="I83" i="5"/>
  <c r="I6" i="5"/>
  <c r="F31" i="5"/>
  <c r="G102" i="12"/>
  <c r="I59" i="12"/>
  <c r="K16" i="12"/>
  <c r="I45" i="12"/>
  <c r="F76" i="12"/>
  <c r="F78" i="12"/>
  <c r="K110" i="12"/>
  <c r="I96" i="12"/>
  <c r="K53" i="12"/>
  <c r="G11" i="12"/>
  <c r="K50" i="12"/>
  <c r="I81" i="12"/>
  <c r="G9" i="12"/>
  <c r="G64" i="12"/>
  <c r="I105" i="12"/>
  <c r="K14" i="12"/>
  <c r="K4" i="12"/>
  <c r="G106" i="12"/>
  <c r="K20" i="12"/>
  <c r="G121" i="12"/>
  <c r="F58" i="12"/>
  <c r="G20" i="12"/>
  <c r="G20" i="5"/>
  <c r="I52" i="5"/>
  <c r="I30" i="5"/>
  <c r="F60" i="12"/>
  <c r="G9" i="5"/>
  <c r="I57" i="5"/>
  <c r="F27" i="12"/>
  <c r="K39" i="12"/>
  <c r="I38" i="12"/>
  <c r="G49" i="12"/>
  <c r="G58" i="5"/>
  <c r="I64" i="5"/>
  <c r="F110" i="5"/>
  <c r="I72" i="5"/>
  <c r="G27" i="5"/>
  <c r="K96" i="12"/>
  <c r="G54" i="12"/>
  <c r="I11" i="12"/>
  <c r="G32" i="12"/>
  <c r="K123" i="12"/>
  <c r="F62" i="12"/>
  <c r="K107" i="12"/>
  <c r="G91" i="12"/>
  <c r="I48" i="12"/>
  <c r="K5" i="12"/>
  <c r="K34" i="12"/>
  <c r="I57" i="12"/>
  <c r="F41" i="12"/>
  <c r="G12" i="12"/>
  <c r="F12" i="12"/>
  <c r="K51" i="12"/>
  <c r="K87" i="12"/>
  <c r="G45" i="12"/>
  <c r="I2" i="12"/>
  <c r="G60" i="12"/>
  <c r="F101" i="12"/>
  <c r="K113" i="12"/>
  <c r="F103" i="12"/>
  <c r="K75" i="12"/>
  <c r="K100" i="12"/>
  <c r="G58" i="12"/>
  <c r="I15" i="12"/>
  <c r="K9" i="12"/>
  <c r="K83" i="12"/>
  <c r="F42" i="12"/>
  <c r="G97" i="12"/>
  <c r="I43" i="5"/>
  <c r="I48" i="5"/>
  <c r="G124" i="5"/>
  <c r="I67" i="5"/>
  <c r="F116" i="5"/>
  <c r="F82" i="5"/>
  <c r="G112" i="5"/>
  <c r="F111" i="5"/>
  <c r="I112" i="5"/>
  <c r="F66" i="5"/>
  <c r="G13" i="5"/>
  <c r="G23" i="5"/>
  <c r="G4" i="5"/>
  <c r="F30" i="5"/>
  <c r="I76" i="5"/>
  <c r="G92" i="5"/>
  <c r="F120" i="5"/>
  <c r="I66" i="5"/>
  <c r="I101" i="5"/>
  <c r="G127" i="5"/>
  <c r="I75" i="5"/>
  <c r="G43" i="5"/>
  <c r="G74" i="5"/>
  <c r="K48" i="12"/>
  <c r="G94" i="12"/>
  <c r="I51" i="12"/>
  <c r="K8" i="12"/>
  <c r="G24" i="12"/>
  <c r="I94" i="12"/>
  <c r="F54" i="12"/>
  <c r="I30" i="12"/>
  <c r="I88" i="12"/>
  <c r="K45" i="12"/>
  <c r="G3" i="12"/>
  <c r="I29" i="12"/>
  <c r="I49" i="12"/>
  <c r="F123" i="12"/>
  <c r="F44" i="12"/>
  <c r="G81" i="12"/>
  <c r="K127" i="12"/>
  <c r="G85" i="12"/>
  <c r="I42" i="12"/>
  <c r="I116" i="12"/>
  <c r="G44" i="12"/>
  <c r="F93" i="12"/>
  <c r="G111" i="12"/>
  <c r="F71" i="12"/>
  <c r="G57" i="12"/>
  <c r="G98" i="12"/>
  <c r="I55" i="12"/>
  <c r="K12" i="12"/>
  <c r="F119" i="12"/>
  <c r="G65" i="12"/>
  <c r="F34" i="12"/>
  <c r="I54" i="12"/>
  <c r="F99" i="5"/>
  <c r="I35" i="5"/>
  <c r="G118" i="5"/>
  <c r="I51" i="5"/>
  <c r="F124" i="5"/>
  <c r="G22" i="5"/>
  <c r="I94" i="5"/>
  <c r="F127" i="5"/>
  <c r="I36" i="5"/>
  <c r="G61" i="5"/>
  <c r="I122" i="5"/>
  <c r="I82" i="5"/>
  <c r="G72" i="5"/>
  <c r="G11" i="5"/>
  <c r="F33" i="5"/>
  <c r="F107" i="5"/>
  <c r="I37" i="5"/>
  <c r="G90" i="5"/>
  <c r="F32" i="5"/>
  <c r="I108" i="5"/>
  <c r="I86" i="5"/>
  <c r="G46" i="5"/>
  <c r="F88" i="5"/>
  <c r="I91" i="12"/>
  <c r="F46" i="5"/>
  <c r="J91" i="12" l="1"/>
  <c r="H46" i="5"/>
  <c r="H90" i="5"/>
  <c r="H11" i="5"/>
  <c r="H72" i="5"/>
  <c r="H61" i="5"/>
  <c r="H22" i="5"/>
  <c r="H118" i="5"/>
  <c r="J54" i="12"/>
  <c r="H34" i="12"/>
  <c r="H119" i="12"/>
  <c r="J55" i="12"/>
  <c r="H71" i="12"/>
  <c r="H93" i="12"/>
  <c r="J116" i="12"/>
  <c r="J42" i="12"/>
  <c r="H44" i="12"/>
  <c r="H123" i="12"/>
  <c r="J49" i="12"/>
  <c r="J29" i="12"/>
  <c r="J88" i="12"/>
  <c r="J30" i="12"/>
  <c r="H54" i="12"/>
  <c r="J94" i="12"/>
  <c r="J51" i="12"/>
  <c r="H74" i="5"/>
  <c r="H43" i="5"/>
  <c r="H127" i="5"/>
  <c r="H92" i="5"/>
  <c r="H4" i="5"/>
  <c r="H23" i="5"/>
  <c r="H13" i="5"/>
  <c r="H112" i="5"/>
  <c r="H124" i="5"/>
  <c r="H42" i="12"/>
  <c r="J15" i="12"/>
  <c r="H103" i="12"/>
  <c r="H101" i="12"/>
  <c r="J2" i="12"/>
  <c r="H12" i="12"/>
  <c r="H41" i="12"/>
  <c r="J57" i="12"/>
  <c r="J48" i="12"/>
  <c r="H62" i="12"/>
  <c r="J11" i="12"/>
  <c r="H27" i="5"/>
  <c r="H58" i="5"/>
  <c r="J38" i="12"/>
  <c r="H27" i="12"/>
  <c r="H9" i="5"/>
  <c r="H60" i="12"/>
  <c r="B3" i="9"/>
  <c r="H20" i="5"/>
  <c r="H58" i="12"/>
  <c r="J105" i="12"/>
  <c r="J81" i="12"/>
  <c r="J96" i="12"/>
  <c r="H78" i="12"/>
  <c r="H76" i="12"/>
  <c r="J45" i="12"/>
  <c r="J59" i="12"/>
  <c r="H87" i="5"/>
  <c r="H111" i="5"/>
  <c r="H116" i="5"/>
  <c r="H29" i="5"/>
  <c r="H81" i="5"/>
  <c r="H73" i="12"/>
  <c r="H66" i="12"/>
  <c r="H52" i="12"/>
  <c r="J23" i="12"/>
  <c r="H4" i="12"/>
  <c r="H125" i="12"/>
  <c r="J10" i="12"/>
  <c r="J89" i="12"/>
  <c r="H31" i="12"/>
  <c r="J97" i="12"/>
  <c r="J56" i="12"/>
  <c r="H24" i="12"/>
  <c r="H86" i="12"/>
  <c r="J19" i="12"/>
  <c r="H47" i="5"/>
  <c r="H78" i="5"/>
  <c r="H26" i="12"/>
  <c r="J95" i="12"/>
  <c r="J128" i="12"/>
  <c r="H15" i="5"/>
  <c r="H50" i="12"/>
  <c r="H81" i="12"/>
  <c r="J52" i="12"/>
  <c r="H36" i="12"/>
  <c r="J6" i="12"/>
  <c r="J98" i="12"/>
  <c r="H35" i="12"/>
  <c r="J16" i="12"/>
  <c r="H94" i="12"/>
  <c r="H114" i="5"/>
  <c r="H40" i="5"/>
  <c r="B2" i="9"/>
  <c r="H96" i="5"/>
  <c r="H89" i="12"/>
  <c r="J12" i="12"/>
  <c r="H82" i="12"/>
  <c r="J60" i="12"/>
  <c r="J71" i="12"/>
  <c r="H84" i="12"/>
  <c r="H13" i="12"/>
  <c r="J4" i="12"/>
  <c r="J58" i="12"/>
  <c r="H32" i="12"/>
  <c r="H43" i="12"/>
  <c r="J62" i="12"/>
  <c r="H23" i="12"/>
  <c r="J69" i="12"/>
  <c r="J104" i="12"/>
  <c r="H102" i="12"/>
  <c r="J67" i="12"/>
  <c r="H37" i="5"/>
  <c r="H121" i="5"/>
  <c r="H92" i="12"/>
  <c r="H111" i="12"/>
  <c r="H70" i="5"/>
  <c r="H47" i="12"/>
  <c r="H63" i="12"/>
  <c r="H15" i="12"/>
  <c r="J13" i="12"/>
  <c r="H26" i="5"/>
  <c r="H2" i="5"/>
  <c r="H71" i="5"/>
  <c r="H8" i="5"/>
  <c r="H80" i="5"/>
  <c r="H99" i="5"/>
  <c r="H14" i="5"/>
  <c r="H73" i="5"/>
  <c r="H57" i="5"/>
  <c r="H128" i="5"/>
  <c r="H21" i="5"/>
  <c r="H75" i="5"/>
  <c r="H97" i="12"/>
  <c r="H90" i="12"/>
  <c r="J25" i="12"/>
  <c r="J31" i="12"/>
  <c r="H108" i="12"/>
  <c r="H21" i="12"/>
  <c r="J18" i="12"/>
  <c r="H72" i="12"/>
  <c r="H51" i="12"/>
  <c r="H79" i="12"/>
  <c r="J64" i="12"/>
  <c r="H110" i="12"/>
  <c r="J27" i="12"/>
  <c r="H17" i="5"/>
  <c r="H41" i="5"/>
  <c r="J124" i="12"/>
  <c r="J90" i="12"/>
  <c r="H51" i="5"/>
  <c r="H67" i="5"/>
  <c r="H107" i="5"/>
  <c r="J107" i="12"/>
  <c r="H59" i="5"/>
  <c r="H68" i="5"/>
  <c r="H32" i="5"/>
  <c r="H64" i="5"/>
  <c r="H82" i="5"/>
  <c r="H105" i="12"/>
  <c r="H98" i="12"/>
  <c r="J41" i="12"/>
  <c r="J119" i="12"/>
  <c r="J17" i="12"/>
  <c r="H29" i="12"/>
  <c r="J106" i="12"/>
  <c r="H80" i="12"/>
  <c r="J77" i="12"/>
  <c r="H59" i="12"/>
  <c r="J86" i="12"/>
  <c r="H8" i="12"/>
  <c r="J24" i="12"/>
  <c r="H118" i="12"/>
  <c r="J115" i="12"/>
  <c r="H85" i="12"/>
  <c r="J110" i="12"/>
  <c r="J37" i="12"/>
  <c r="H49" i="12"/>
  <c r="H45" i="5"/>
  <c r="H116" i="12"/>
  <c r="H5" i="12"/>
  <c r="H40" i="12"/>
  <c r="J61" i="12"/>
  <c r="H117" i="5"/>
  <c r="H66" i="5"/>
  <c r="H102" i="5"/>
  <c r="H101" i="5"/>
  <c r="H49" i="5"/>
  <c r="H83" i="5"/>
  <c r="H34" i="5"/>
  <c r="H113" i="12"/>
  <c r="H106" i="12"/>
  <c r="J84" i="12"/>
  <c r="J79" i="12"/>
  <c r="H37" i="12"/>
  <c r="J70" i="12"/>
  <c r="J66" i="12"/>
  <c r="H88" i="12"/>
  <c r="J85" i="12"/>
  <c r="H67" i="12"/>
  <c r="H16" i="12"/>
  <c r="J93" i="12"/>
  <c r="J112" i="12"/>
  <c r="H11" i="12"/>
  <c r="H126" i="12"/>
  <c r="J75" i="12"/>
  <c r="J82" i="12"/>
  <c r="J102" i="12"/>
  <c r="H115" i="12"/>
  <c r="J78" i="12"/>
  <c r="H36" i="5"/>
  <c r="B4" i="9"/>
  <c r="J103" i="12"/>
  <c r="J28" i="12"/>
  <c r="H109" i="5"/>
  <c r="H3" i="5"/>
  <c r="H94" i="5"/>
  <c r="H35" i="5"/>
  <c r="H105" i="5"/>
  <c r="H77" i="5"/>
  <c r="H93" i="5"/>
  <c r="H60" i="5"/>
  <c r="H76" i="5"/>
  <c r="H121" i="12"/>
  <c r="J100" i="12"/>
  <c r="H114" i="12"/>
  <c r="J65" i="12"/>
  <c r="J92" i="12"/>
  <c r="J39" i="12"/>
  <c r="J68" i="12"/>
  <c r="H45" i="12"/>
  <c r="J36" i="12"/>
  <c r="J26" i="12"/>
  <c r="H96" i="12"/>
  <c r="J101" i="12"/>
  <c r="H75" i="12"/>
  <c r="J118" i="12"/>
  <c r="H48" i="12"/>
  <c r="J72" i="12"/>
  <c r="H6" i="12"/>
  <c r="H17" i="12"/>
  <c r="H39" i="12"/>
  <c r="J35" i="12"/>
  <c r="H33" i="12"/>
  <c r="H55" i="12"/>
  <c r="J33" i="12"/>
  <c r="H115" i="5"/>
  <c r="H109" i="12"/>
  <c r="H119" i="5"/>
  <c r="H44" i="5"/>
  <c r="J63" i="12"/>
  <c r="H79" i="5"/>
  <c r="H89" i="5"/>
  <c r="H120" i="5"/>
  <c r="H50" i="5"/>
  <c r="H5" i="5"/>
  <c r="H16" i="5"/>
  <c r="H122" i="5"/>
  <c r="H97" i="5"/>
  <c r="H95" i="5"/>
  <c r="H110" i="5"/>
  <c r="H19" i="5"/>
  <c r="J126" i="12"/>
  <c r="H122" i="12"/>
  <c r="J127" i="12"/>
  <c r="J76" i="12"/>
  <c r="H53" i="12"/>
  <c r="J44" i="12"/>
  <c r="J114" i="12"/>
  <c r="H104" i="12"/>
  <c r="H83" i="12"/>
  <c r="H28" i="12"/>
  <c r="H56" i="12"/>
  <c r="J32" i="12"/>
  <c r="H14" i="12"/>
  <c r="H87" i="12"/>
  <c r="J123" i="12"/>
  <c r="H95" i="12"/>
  <c r="H46" i="12"/>
  <c r="H7" i="5"/>
  <c r="J8" i="12"/>
  <c r="H117" i="12"/>
  <c r="H74" i="12"/>
  <c r="H63" i="5"/>
  <c r="H65" i="5"/>
  <c r="H10" i="5"/>
  <c r="H100" i="5"/>
  <c r="H12" i="5"/>
  <c r="H18" i="5"/>
  <c r="H42" i="5"/>
  <c r="H48" i="5"/>
  <c r="H108" i="5"/>
  <c r="H52" i="5"/>
  <c r="H106" i="5"/>
  <c r="H2" i="12"/>
  <c r="H9" i="12"/>
  <c r="J87" i="12"/>
  <c r="H57" i="12"/>
  <c r="H61" i="12"/>
  <c r="H20" i="12"/>
  <c r="J74" i="12"/>
  <c r="H112" i="12"/>
  <c r="J125" i="12"/>
  <c r="H91" i="12"/>
  <c r="H100" i="12"/>
  <c r="J5" i="12"/>
  <c r="J109" i="12"/>
  <c r="J120" i="12"/>
  <c r="H22" i="12"/>
  <c r="H64" i="12"/>
  <c r="J117" i="12"/>
  <c r="J83" i="12"/>
  <c r="J7" i="12"/>
  <c r="J21" i="12"/>
  <c r="H84" i="5"/>
  <c r="H65" i="12"/>
  <c r="J99" i="12"/>
  <c r="H53" i="5"/>
  <c r="H62" i="5"/>
  <c r="H39" i="5"/>
  <c r="J53" i="12"/>
  <c r="H85" i="5"/>
  <c r="B5" i="9"/>
  <c r="H6" i="5"/>
  <c r="H125" i="5"/>
  <c r="H38" i="5"/>
  <c r="H123" i="5"/>
  <c r="H56" i="5"/>
  <c r="H126" i="5"/>
  <c r="H127" i="12"/>
  <c r="H10" i="12"/>
  <c r="J14" i="12"/>
  <c r="J113" i="12"/>
  <c r="J47" i="12"/>
  <c r="H69" i="12"/>
  <c r="H68" i="12"/>
  <c r="J34" i="12"/>
  <c r="H120" i="12"/>
  <c r="H99" i="12"/>
  <c r="H124" i="12"/>
  <c r="J80" i="12"/>
  <c r="H30" i="12"/>
  <c r="J46" i="12"/>
  <c r="H3" i="12"/>
  <c r="J43" i="12"/>
  <c r="H91" i="5"/>
  <c r="J108" i="12"/>
  <c r="H113" i="5"/>
  <c r="H33" i="5"/>
  <c r="H25" i="12"/>
  <c r="J20" i="12"/>
  <c r="J73" i="12"/>
  <c r="H70" i="12"/>
  <c r="H31" i="5"/>
  <c r="J50" i="12"/>
  <c r="H86" i="5"/>
  <c r="H104" i="5"/>
  <c r="J111" i="12"/>
  <c r="H69" i="5"/>
  <c r="H25" i="5"/>
  <c r="H88" i="5"/>
  <c r="H28" i="5"/>
  <c r="H103" i="5"/>
  <c r="H24" i="5"/>
  <c r="H55" i="5"/>
  <c r="H54" i="5"/>
  <c r="H98" i="5"/>
  <c r="H30" i="5"/>
  <c r="H18" i="12"/>
  <c r="H7" i="12"/>
  <c r="J22" i="12"/>
  <c r="J121" i="12"/>
  <c r="H77" i="12"/>
  <c r="J122" i="12"/>
  <c r="H128" i="12"/>
  <c r="H107" i="12"/>
  <c r="J9" i="12"/>
  <c r="H19" i="12"/>
  <c r="J40" i="12"/>
  <c r="H38" i="12"/>
  <c r="J3" i="12"/>
  <c r="B14" i="9"/>
  <c r="C10" i="9"/>
  <c r="B6" i="9" l="1"/>
</calcChain>
</file>

<file path=xl/sharedStrings.xml><?xml version="1.0" encoding="utf-8"?>
<sst xmlns="http://schemas.openxmlformats.org/spreadsheetml/2006/main" count="1335" uniqueCount="367">
  <si>
    <t>Time</t>
  </si>
  <si>
    <t>SEAFOOD FREEZER (IW1/1)</t>
  </si>
  <si>
    <t>SEAFOOD FREEZER (IW1/1) Coil Temp</t>
  </si>
  <si>
    <t>SEAFOOD FREEZER (IW1/1) SP.</t>
  </si>
  <si>
    <t>SEAFOOD FREEZER (IW1/2)</t>
  </si>
  <si>
    <t>SEAFOOD FREEZER (IW1/2) Coil Temp</t>
  </si>
  <si>
    <t>SEAFOOD FREEZER (IW1/2) SP.</t>
  </si>
  <si>
    <t>CHICKEN FREEZER (IW2/1)</t>
  </si>
  <si>
    <t>CHICKEN FREEZER (IW2/1) Coil Temp</t>
  </si>
  <si>
    <t>CHICKEN FREEZER (IW2/1) SP.</t>
  </si>
  <si>
    <t>CHICKEN FREEZER (IW2/2)</t>
  </si>
  <si>
    <t>CHICKEN FREEZER (IW2/2) Coil Temp</t>
  </si>
  <si>
    <t>CHICKEN FREEZER (IW2/2) SP.</t>
  </si>
  <si>
    <t>CHICKEN FREEZER (IW3/1)</t>
  </si>
  <si>
    <t>CHICKEN FREEZER (IW3/1) Coil Temp</t>
  </si>
  <si>
    <t>CHICKEN FREEZER (IW3/1) SP.</t>
  </si>
  <si>
    <t>CHICKEN FREEZER (IW3/2)</t>
  </si>
  <si>
    <t>CHICKEN FREEZER (IW3/2) Coil Temp</t>
  </si>
  <si>
    <t>CHICKEN FREEZER (IW3/2) SP.</t>
  </si>
  <si>
    <t>CHICKEN DEFROST 1 (IW4/1)</t>
  </si>
  <si>
    <t>CHICKEN DEFROST 1 (IW4/1) Coil Temp</t>
  </si>
  <si>
    <t>CHICKEN DEFROST 1 (IW4/1) SP.</t>
  </si>
  <si>
    <t>CHICKEN DEFROST 1 (IW4/2)</t>
  </si>
  <si>
    <t>CHICKEN DEFROST 1 (IW4/2) Coil Temp</t>
  </si>
  <si>
    <t>CHICKEN DEFROST 1 (IW4/2) SP.</t>
  </si>
  <si>
    <t>CHICKEN DEFROST 2 (IW5/1)</t>
  </si>
  <si>
    <t>CHICKEN DEFROST 2 (IW5/1) Coil Temp</t>
  </si>
  <si>
    <t>CHICKEN DEFROST 2 (IW5/1) SP.</t>
  </si>
  <si>
    <t>CHICKEN DEFROST 2 (IW5/2)</t>
  </si>
  <si>
    <t>CHICKEN DEFROST 2 (IW5/2) Coil Temp</t>
  </si>
  <si>
    <t>CHICKEN DEFROST 2 (IW5/2) SP.</t>
  </si>
  <si>
    <t>SEAFOOD DEFROST (IW6/1)</t>
  </si>
  <si>
    <t>SEAFOOD DEFROST (IW6/1) Coil Temp</t>
  </si>
  <si>
    <t>SEAFOOD DEFROST (IW6/1) SP.</t>
  </si>
  <si>
    <t>SEAFOOD DEFROST (IW6/2)</t>
  </si>
  <si>
    <t>SEAFOOD DEFROST (IW6/2) Coil Temp</t>
  </si>
  <si>
    <t>SEAFOOD DEFROST (IW6/2) SP.</t>
  </si>
  <si>
    <t>CHILLED (IW8)</t>
  </si>
  <si>
    <t>CHILLED (IW8) SP.</t>
  </si>
  <si>
    <t>CHILLED (IW9)</t>
  </si>
  <si>
    <t>CHILLED (IW9) SP.</t>
  </si>
  <si>
    <t>NON ALLERGEN/CHILLED DE-BOX (IW10)</t>
  </si>
  <si>
    <t>NON ALLERGEN/CHILLED DE-BOX (IW10) SP.</t>
  </si>
  <si>
    <t>NON ALLERGEN/CHILLED DE-BOX (IW11)</t>
  </si>
  <si>
    <t>NON ALLERGEN/CHILLED DE-BOX (IW11) SP.</t>
  </si>
  <si>
    <t>ANTE ROOM (IW27)</t>
  </si>
  <si>
    <t>ANTE ROOM (IW27) Coil Temp</t>
  </si>
  <si>
    <t>ANTE ROOM (IW27) SP.</t>
  </si>
  <si>
    <t>ANTE ROOM (IW28)</t>
  </si>
  <si>
    <t>ANTE ROOM (IW28) Coil Temp</t>
  </si>
  <si>
    <t>ANTE ROOM (IW28) SP.</t>
  </si>
  <si>
    <t>ALLERGEN DE-BOX (IW12)</t>
  </si>
  <si>
    <t>ALLERGEN DE-BOX (IW12) SP.</t>
  </si>
  <si>
    <t>FROZEN DE-BOX (IW13/1)</t>
  </si>
  <si>
    <t>FROZEN DE-BOX (IW13/1) SP.</t>
  </si>
  <si>
    <t>FROZEN DE-BOX (IW14)</t>
  </si>
  <si>
    <t>FROZEN DE-BOX (IW14) SP.</t>
  </si>
  <si>
    <t>FROZEN DE-BOX (IW15)</t>
  </si>
  <si>
    <t>FROZEN DE-BOX (IW15) SP.</t>
  </si>
  <si>
    <t>INCOMING WAREHOUSE (IW16/1-2)</t>
  </si>
  <si>
    <t>INCOMING WAREHOUSE (IW16/1-2) SP.</t>
  </si>
  <si>
    <t>INCOMING WAREHOUSE (IW17/1-2)</t>
  </si>
  <si>
    <t>INCOMING WAREHOUSE (IW17/1-2) SP.</t>
  </si>
  <si>
    <t>NON-ALLERGEN (IW19/1-2)</t>
  </si>
  <si>
    <t>NON-ALLERGEN (IW19/1-2) SP.</t>
  </si>
  <si>
    <t>ALLERGEN 1 (IW20)</t>
  </si>
  <si>
    <t>ALLERGEN 1 (IW20) SP.</t>
  </si>
  <si>
    <t>A/C STORE (IW21)</t>
  </si>
  <si>
    <t>A/C STORE (IW21) SP.</t>
  </si>
  <si>
    <t>GRN. OFFICE (IW23)</t>
  </si>
  <si>
    <t>GRN. OFFICE (IW23) SP.</t>
  </si>
  <si>
    <t>WET GRINE (IW24)</t>
  </si>
  <si>
    <t>WET GRINE (IW24) SP.</t>
  </si>
  <si>
    <t>WET DECANTING (IW25)</t>
  </si>
  <si>
    <t>WET DECANTING (IW25) SP.</t>
  </si>
  <si>
    <t>RICE ROOM (IW26)</t>
  </si>
  <si>
    <t>RICE ROOM (IW26) SP.</t>
  </si>
  <si>
    <t>INCOMING WAREHOUSE 2 (LR29/1-2)</t>
  </si>
  <si>
    <t>INCOMING WAREHOUSE 2 (LR29/1-2) SP.</t>
  </si>
  <si>
    <t>STAFF ACCESS (UC-IW30/1)</t>
  </si>
  <si>
    <t>STAFF ACCESS (UC-IW30/1) SP.</t>
  </si>
  <si>
    <t>STAFF ACCESS (UC-IW30/2)</t>
  </si>
  <si>
    <t>STAFF ACCESS (UC-IW30/2) SP.</t>
  </si>
  <si>
    <t>STAFF ACCESS (UC-IW30/3)</t>
  </si>
  <si>
    <t>STAFF ACCESS (UC-IW30/3) SP.</t>
  </si>
  <si>
    <t>STAGING AREA CHILLED (LR1/1)</t>
  </si>
  <si>
    <t>STAGING AREA CHILLED (LR1/1) SP.</t>
  </si>
  <si>
    <t>STAGING AREA CHILLED (LR1/2)</t>
  </si>
  <si>
    <t>STAGING AREA CHILLED (LR1/2) SP.</t>
  </si>
  <si>
    <t>VEG CHILL (LR2/1)</t>
  </si>
  <si>
    <t>VEG CHILL (LR2/1) SP.</t>
  </si>
  <si>
    <t>VEG CHILL (LR2/2)</t>
  </si>
  <si>
    <t>VEG CHILL (LR2/2) SP.</t>
  </si>
  <si>
    <t>ALLERGEN CHILLED WEIGH (LR3/1)</t>
  </si>
  <si>
    <t>ALLERGEN CHILLED WEIGH (LR3/1) SP.</t>
  </si>
  <si>
    <t>ALLERGEN CHILLED WEIGH (LR3/2)</t>
  </si>
  <si>
    <t>ALLERGEN CHILLED WEIGH (LR3/2) SP.</t>
  </si>
  <si>
    <t>CHICKEN CHILL (LR4/1)</t>
  </si>
  <si>
    <t>CHICKEN CHILL (LR4/1) SP.</t>
  </si>
  <si>
    <t>CHICKEN CHILL (LR4/2)</t>
  </si>
  <si>
    <t>CHICKEN CHILL (LR4/2) SP.</t>
  </si>
  <si>
    <t>SEAFOOD CHILL (LR5/1)</t>
  </si>
  <si>
    <t>SEAFOOD CHILL (LR5/1) SP.</t>
  </si>
  <si>
    <t>SEAFOOD CHILL (LR5/2)</t>
  </si>
  <si>
    <t>SEAFOOD CHILL (LR5/2) SP.</t>
  </si>
  <si>
    <t>LR WESTE OUT (LR6)</t>
  </si>
  <si>
    <t>LR WESTE OUT (LR6) SP.</t>
  </si>
  <si>
    <t>VEG TPREPARATION (LR7/1-2)</t>
  </si>
  <si>
    <t>VEG TPREPARATION (LR7/1-2) SP.</t>
  </si>
  <si>
    <t>CHICKEN PREPARATION (LR8/1-2)</t>
  </si>
  <si>
    <t>CHICKEN PREPARATION (LR8/1-2) SP.</t>
  </si>
  <si>
    <t>SEAFOOD PREPARATION UC.1 (LR9/1-2)</t>
  </si>
  <si>
    <t>SEAFOOD PREPARATION UC.1 (LR9/1-2) SP.</t>
  </si>
  <si>
    <t>EQUIPMENT TROLLEY WASH UP (LR16)</t>
  </si>
  <si>
    <t>EQUIPMENT TROLLEY WASH UP (LR16) SP.</t>
  </si>
  <si>
    <t>WASHING ALLERGEN (LR12)</t>
  </si>
  <si>
    <t>WASHING ALLERGEN (LR12) SP.</t>
  </si>
  <si>
    <t>WASHING NON ALLERGEN (LR13)</t>
  </si>
  <si>
    <t>WASHING NON ALLERGEN (LR13) SP.</t>
  </si>
  <si>
    <t>WET WASTE (LR14)</t>
  </si>
  <si>
    <t>WET WASTE (LR14) SP.</t>
  </si>
  <si>
    <t>TROLLEY WASH UP (LR15)</t>
  </si>
  <si>
    <t>TROLLEY WASH UP (LR15) SP.</t>
  </si>
  <si>
    <t>NON ALLERGEN 2 (LR11)</t>
  </si>
  <si>
    <t>NON ALLERGEN 2 (LR11) SP.</t>
  </si>
  <si>
    <t>ALLERGEN WEIGH (LR17)</t>
  </si>
  <si>
    <t>ALLERGEN WEIGH (LR17) SP.</t>
  </si>
  <si>
    <t>STORAGE ALLERGEN (LR18)</t>
  </si>
  <si>
    <t>STORAGE ALLERGEN (LR18) SP.</t>
  </si>
  <si>
    <t>STORAGE NON ALLERGEN (LR19)</t>
  </si>
  <si>
    <t>STORAGE NON ALLERGEN (LR19) SP.</t>
  </si>
  <si>
    <t>COOKING AREA (LR20/1-2)</t>
  </si>
  <si>
    <t>COOKING AREA (LR20/1-2) SP.</t>
  </si>
  <si>
    <t>COOKING AREA (LR20/3-4)</t>
  </si>
  <si>
    <t>COOKING AREA (LR20/3-4) SP.</t>
  </si>
  <si>
    <t>COOKING AREA (LR20/5-6)</t>
  </si>
  <si>
    <t>COOKING AREA (LR20/5-6) SP.</t>
  </si>
  <si>
    <t>COOKING AREA (LR20/7-8)</t>
  </si>
  <si>
    <t>COOKING AREA (LR20/7-8) SP.</t>
  </si>
  <si>
    <t>COOKING AREA (LR20/9-10)</t>
  </si>
  <si>
    <t>COOKING AREA (LR20/9-10) SP.</t>
  </si>
  <si>
    <t>BLAST CHILLER 1 (HR3)</t>
  </si>
  <si>
    <t>BLAST CHILLER 1 (HR3) Coil Temp.</t>
  </si>
  <si>
    <t>BLAST CHILLER 1 (HR3) SP.</t>
  </si>
  <si>
    <t>BLAST CHILLER 2 (HR4)</t>
  </si>
  <si>
    <t>BLAST CHILLER 2 (HR4) Coil Temp.</t>
  </si>
  <si>
    <t>BLAST CHILLER 2 (HR4) SP.</t>
  </si>
  <si>
    <t>BLAST CHILLER 3 (HR5)</t>
  </si>
  <si>
    <t>BLAST CHILLER 3 (HR5) Coil Temp.</t>
  </si>
  <si>
    <t>BLAST CHILLER 3 (HR5) SP.</t>
  </si>
  <si>
    <t>BLAST CHILLER 4 (HR6)</t>
  </si>
  <si>
    <t>BLAST CHILLER 4 (HR6) Coil Temp</t>
  </si>
  <si>
    <t>BLAST CHILLER 4 (HR6) SP.</t>
  </si>
  <si>
    <t>BLAST CHILLER 5 (HR7)</t>
  </si>
  <si>
    <t>BLAST CHILLER 5 (HR7) Coil Temp</t>
  </si>
  <si>
    <t>BLAST CHILLER 5 (HR7) SP.</t>
  </si>
  <si>
    <t>DAILY COLD ROOM UC.1 (HR15/1)</t>
  </si>
  <si>
    <t>DAILY COLD ROOM UC.1 (HR15/1) Coil Temp</t>
  </si>
  <si>
    <t>DAILY COLD ROOM UC.1 (HR15/1) SP.</t>
  </si>
  <si>
    <t>DAILY COLD ROOM UC.2 (HR15/2)</t>
  </si>
  <si>
    <t>DAILY COLD ROOM UC.2 (HR15/2) Coil Temp</t>
  </si>
  <si>
    <t>DAILY COLD ROOM UC.2 (HR15/2) SP.</t>
  </si>
  <si>
    <t>AIR BLAST FREEZER (HR17)</t>
  </si>
  <si>
    <t>AIR BLAST FREEZER (HR17) Coil Temp</t>
  </si>
  <si>
    <t>AIR BLAST FREEZER (HR17) SP.</t>
  </si>
  <si>
    <t>UV ENT &amp; PACKING STORE (HR8)</t>
  </si>
  <si>
    <t>UV ENT &amp; PACKING STORE (HR8) SP.</t>
  </si>
  <si>
    <t>LABEL PAINTING (HR9)</t>
  </si>
  <si>
    <t>LABEL PAINTING (HR9) SP.</t>
  </si>
  <si>
    <t>HR ROOM (HR10)</t>
  </si>
  <si>
    <t>HR ROOM (HR10) SP.</t>
  </si>
  <si>
    <t>PACKING AREA (HR11/1-2)</t>
  </si>
  <si>
    <t>PACKING AREA (HR11/1-2) SP.</t>
  </si>
  <si>
    <t>PACKING AREA (HR11/3-4)</t>
  </si>
  <si>
    <t>PACKING AREA (HR11/3-4) SP.</t>
  </si>
  <si>
    <t>PACKING AREA (HR11/5-6)</t>
  </si>
  <si>
    <t>PACKING AREA (HR11/5-6) SP.</t>
  </si>
  <si>
    <t>HR UTENSIL WASH UP (HR12)</t>
  </si>
  <si>
    <t>HR UTENSIL WASH UP (HR12) SP.</t>
  </si>
  <si>
    <t>TROLLEY &amp; TREY WASH UP (HR13)</t>
  </si>
  <si>
    <t>TROLLEY &amp; TREY WASH UP (HR13) SP.</t>
  </si>
  <si>
    <t>TROLLEY &amp; TREY WASH UP (HR14)</t>
  </si>
  <si>
    <t>TROLLEY &amp; TREY WASH UP (HR14) SP.</t>
  </si>
  <si>
    <t>VACUUM PACKING (HR18)</t>
  </si>
  <si>
    <t>VACUUM PACKING (HR18) SP.</t>
  </si>
  <si>
    <t>HR UTENSIL (HR19)</t>
  </si>
  <si>
    <t>HR UTENSIL (HR19) SP.</t>
  </si>
  <si>
    <t>MANUAL PALLETISING (OW3/1-2)</t>
  </si>
  <si>
    <t>MANUAL PALLETISING (OW3/1-2) SP.</t>
  </si>
  <si>
    <t>MANUAL PALLETISING (OW3/3-4)</t>
  </si>
  <si>
    <t>MANUAL PALLETISING (OW3/3-4) SP.</t>
  </si>
  <si>
    <t>MANUAL PALLETISING (OW3/5-6)</t>
  </si>
  <si>
    <t>MANUAL PALLETISING (OW3/5-6) SP.</t>
  </si>
  <si>
    <t>MANUAL PALLETISING (OW3/7)</t>
  </si>
  <si>
    <t>MANUAL PALLETISING (OW3/7) SP.</t>
  </si>
  <si>
    <t>AMBIENT PACKING STORE (OW4/1)</t>
  </si>
  <si>
    <t>AMBIENT PACKING STORE (OW4/1) SP.</t>
  </si>
  <si>
    <t>AMBIENT PACKING STORE (OW4/2)</t>
  </si>
  <si>
    <t>AMBIENT PACKING STORE (OW4/2) SP.</t>
  </si>
  <si>
    <t>No.</t>
  </si>
  <si>
    <t>Room Name:</t>
  </si>
  <si>
    <t>Room ID:</t>
  </si>
  <si>
    <t>Zone:</t>
  </si>
  <si>
    <t>Remarks:</t>
  </si>
  <si>
    <t>L:17</t>
  </si>
  <si>
    <t>IW</t>
  </si>
  <si>
    <t>L:15</t>
  </si>
  <si>
    <t>L:18</t>
  </si>
  <si>
    <t>L:29</t>
  </si>
  <si>
    <t>L:30</t>
  </si>
  <si>
    <t>L:31</t>
  </si>
  <si>
    <t>L:10</t>
  </si>
  <si>
    <t>L:08</t>
  </si>
  <si>
    <t>L:09</t>
  </si>
  <si>
    <t>L:22</t>
  </si>
  <si>
    <t>L:03</t>
  </si>
  <si>
    <t>L:24</t>
  </si>
  <si>
    <t>L:25</t>
  </si>
  <si>
    <t>L:07</t>
  </si>
  <si>
    <t>L:21</t>
  </si>
  <si>
    <t>L:42</t>
  </si>
  <si>
    <t>LR</t>
  </si>
  <si>
    <t>L:44</t>
  </si>
  <si>
    <t>L:40</t>
  </si>
  <si>
    <t>L:46</t>
  </si>
  <si>
    <t>L:48</t>
  </si>
  <si>
    <t>L:33</t>
  </si>
  <si>
    <t>L:43</t>
  </si>
  <si>
    <t>L:47</t>
  </si>
  <si>
    <t>H:01</t>
  </si>
  <si>
    <t>L:38</t>
  </si>
  <si>
    <t>L:37</t>
  </si>
  <si>
    <t>L:36</t>
  </si>
  <si>
    <t>L:52</t>
  </si>
  <si>
    <t>L:23</t>
  </si>
  <si>
    <t>L:41</t>
  </si>
  <si>
    <t>L:39</t>
  </si>
  <si>
    <t>L:34</t>
  </si>
  <si>
    <t>L:51</t>
  </si>
  <si>
    <t>H:07</t>
  </si>
  <si>
    <t>HR</t>
  </si>
  <si>
    <t>H:08</t>
  </si>
  <si>
    <t>H:04</t>
  </si>
  <si>
    <t>H:05</t>
  </si>
  <si>
    <t>H:06</t>
  </si>
  <si>
    <t>H:09</t>
  </si>
  <si>
    <t>H:19</t>
  </si>
  <si>
    <t>H:14</t>
  </si>
  <si>
    <t>H:17</t>
  </si>
  <si>
    <t>H:16</t>
  </si>
  <si>
    <t>H:15</t>
  </si>
  <si>
    <t>H:18</t>
  </si>
  <si>
    <t>H:11</t>
  </si>
  <si>
    <t>H:03</t>
  </si>
  <si>
    <t>H:13</t>
  </si>
  <si>
    <t>M:06</t>
  </si>
  <si>
    <t>M:08</t>
  </si>
  <si>
    <t>OW</t>
  </si>
  <si>
    <t>M:10</t>
  </si>
  <si>
    <t>M:07</t>
  </si>
  <si>
    <t>M:09</t>
  </si>
  <si>
    <t>M:05</t>
  </si>
  <si>
    <t>M:03</t>
  </si>
  <si>
    <t>Most Recent Temp:</t>
  </si>
  <si>
    <t>Temp Diff:</t>
  </si>
  <si>
    <t>Zone</t>
  </si>
  <si>
    <t>No. Out of Tolerance</t>
  </si>
  <si>
    <t>Total: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</si>
  <si>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</si>
  <si>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</si>
  <si>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</si>
  <si>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</si>
  <si>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</si>
  <si>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</si>
  <si>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</si>
  <si>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</si>
  <si>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</si>
  <si>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</si>
  <si>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</si>
  <si>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</si>
  <si>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</si>
  <si>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</si>
  <si>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</si>
  <si>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</si>
  <si>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</si>
  <si>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</si>
  <si>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</si>
  <si>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</si>
  <si>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</si>
  <si>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</si>
  <si>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</si>
  <si>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</si>
  <si>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</si>
  <si>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</si>
  <si>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</si>
  <si>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</si>
  <si>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r>
      <t>Actual Set Point: (</t>
    </r>
    <r>
      <rPr>
        <sz val="11"/>
        <color theme="1"/>
        <rFont val="Times New Roman"/>
        <family val="1"/>
      </rPr>
      <t>℃</t>
    </r>
    <r>
      <rPr>
        <sz val="11"/>
        <color theme="1"/>
        <rFont val="Aptos Narrow"/>
        <family val="2"/>
      </rPr>
      <t>)</t>
    </r>
  </si>
  <si>
    <t>CHICKEN FREEZER (IW2/2) SP.d</t>
  </si>
  <si>
    <t>set point required</t>
  </si>
  <si>
    <t>Within tolerance? (Y/N)2</t>
  </si>
  <si>
    <t>Within requirements? (Y/N)</t>
  </si>
  <si>
    <t xml:space="preserve">set point required </t>
  </si>
  <si>
    <t>No. Out of Requirements</t>
  </si>
  <si>
    <t>Temperature Range Approved by DLD: (℃)</t>
  </si>
  <si>
    <t>Remarks</t>
  </si>
  <si>
    <t>To be Updated</t>
  </si>
  <si>
    <t>10 to 12</t>
  </si>
  <si>
    <t>20 to 25</t>
  </si>
  <si>
    <t>(-5) to 10</t>
  </si>
  <si>
    <t>below 4</t>
  </si>
  <si>
    <t>4 to 8</t>
  </si>
  <si>
    <t>4 to 10</t>
  </si>
  <si>
    <t xml:space="preserve">10 to 12 </t>
  </si>
  <si>
    <t>System  Set Point:  (℃)</t>
  </si>
  <si>
    <t>18 to 20</t>
  </si>
  <si>
    <t>STAFF ACCESS (UC-IW30/2) SP</t>
  </si>
  <si>
    <t>STAFF ACCESS (UC-IW30/1) SP</t>
  </si>
  <si>
    <t>STAFF ACCESS (UC-IW30/3) SP</t>
  </si>
  <si>
    <t>L:12</t>
  </si>
  <si>
    <t>L:13</t>
  </si>
  <si>
    <t>L:28</t>
  </si>
  <si>
    <t>L:06</t>
  </si>
  <si>
    <t>L:11</t>
  </si>
  <si>
    <t>L:01</t>
  </si>
  <si>
    <t>L:04</t>
  </si>
  <si>
    <t>L:27</t>
  </si>
  <si>
    <t>L:20</t>
  </si>
  <si>
    <t>L:14</t>
  </si>
  <si>
    <t>L:16</t>
  </si>
  <si>
    <t>L:05</t>
  </si>
  <si>
    <t>L:26</t>
  </si>
  <si>
    <t>L:35</t>
  </si>
  <si>
    <t>H:02</t>
  </si>
  <si>
    <t>H:10</t>
  </si>
  <si>
    <t>H:12</t>
  </si>
  <si>
    <t xml:space="preserve">SCADA Side wrong </t>
  </si>
  <si>
    <t>Naming convention wrong</t>
  </si>
  <si>
    <t>HR UTENSIL WASH UP (HR 16)</t>
  </si>
  <si>
    <t>HR UTENSIL WASH UP (HR 16) Coil Temp</t>
  </si>
  <si>
    <t>HR UTENSIL WASH UP (HR 16) SP.</t>
  </si>
  <si>
    <t>TROLLEY STORAGE 2 (LR10)</t>
  </si>
  <si>
    <t>TROLLEY STORAGE 1 (IW22)</t>
  </si>
  <si>
    <t>TROLLEY STORAGE 1 (IW22) SP.</t>
  </si>
  <si>
    <t>TROLLEY STORAGE 1(IW22) SP.</t>
  </si>
  <si>
    <t>TROLLEY STORAGE 2 (LR10) SP.</t>
  </si>
  <si>
    <t>HOLDING CHILLER 1 (HR1)</t>
  </si>
  <si>
    <t>HOLDING CHILLER 2 (HR2)</t>
  </si>
  <si>
    <t>HOLDING CHILLER 1 (HR1) SP.</t>
  </si>
  <si>
    <t>HOLDING CHILLER 2 (HR2) SP.</t>
  </si>
  <si>
    <t>FROZEN ROOM 1 (OW1/1)</t>
  </si>
  <si>
    <t>FROZEN ROOM 1 (OW1/1) Coil Temp</t>
  </si>
  <si>
    <t>FROZEN ROOM 1 (OW1/2)</t>
  </si>
  <si>
    <t>FROZEN ROOM 1 (OW1/2) Coil Temp</t>
  </si>
  <si>
    <t>FROZEN ROOM 2 (OW2/1)</t>
  </si>
  <si>
    <t>FROZEN ROOM 2 (OW2/1) Coil Temp</t>
  </si>
  <si>
    <t>FROZEN ROOM 2 (OW2/2)</t>
  </si>
  <si>
    <t>FROZEN ROOM 2 (OW2/2) Coil Temp</t>
  </si>
  <si>
    <t>FROZEN ROOM 1 (OW1/1) SP.</t>
  </si>
  <si>
    <t>FROZEN ROOM 1 (OW1/2) SP.</t>
  </si>
  <si>
    <t>FROZEN ROOM 2 (OW2/1) SP.</t>
  </si>
  <si>
    <t>FROZEN ROOM 2 (OW2/2) SP.</t>
  </si>
  <si>
    <t>ANTE ROOM 3 (OW6/1)</t>
  </si>
  <si>
    <t>ANTE ROOM 3 (OW6/1) Coil Temp</t>
  </si>
  <si>
    <t>ANTE ROOM 4 (OW6/2)</t>
  </si>
  <si>
    <t>ANTE ROOM 4 (OW6/2) Coil Temp</t>
  </si>
  <si>
    <t>ANTE ROOM 3 (OW6/1) SP.</t>
  </si>
  <si>
    <t>ANTE ROOM 4 (OW6/2) SP.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</si>
</sst>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Times New Roman"/>
      <family val="1"/>
    </font>
    <font>
      <sz val="11"/>
      <color theme="1"/>
      <name val="Aptos Narrow"/>
      <family val="2"/>
    </font>
    <font>
      <b/>
      <sz val="11"/>
      <color rgb="FF1F1F1F"/>
      <name val="Arial"/>
      <family val="2"/>
    </font>
    <font>
      <b/>
      <sz val="1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8F69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11" borderId="0" applyNumberFormat="0" applyBorder="0" applyAlignment="0" applyProtection="0"/>
    <xf numFmtId="0" fontId="17" fillId="12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12" applyNumberFormat="0" applyAlignment="0" applyProtection="0"/>
    <xf numFmtId="0" fontId="20" fillId="15" borderId="13" applyNumberFormat="0" applyAlignment="0" applyProtection="0"/>
    <xf numFmtId="0" fontId="21" fillId="15" borderId="12" applyNumberFormat="0" applyAlignment="0" applyProtection="0"/>
    <xf numFmtId="0" fontId="22" fillId="0" borderId="14" applyNumberFormat="0" applyFill="0" applyAlignment="0" applyProtection="0"/>
    <xf numFmtId="0" fontId="11" fillId="16" borderId="15" applyNumberFormat="0" applyAlignment="0" applyProtection="0"/>
    <xf numFmtId="0" fontId="23" fillId="0" borderId="0" applyNumberFormat="0" applyFill="0" applyBorder="0" applyAlignment="0" applyProtection="0"/>
    <xf numFmtId="0" fontId="7" fillId="17" borderId="16" applyNumberFormat="0" applyFont="0" applyAlignment="0" applyProtection="0"/>
    <xf numFmtId="0" fontId="24" fillId="0" borderId="0" applyNumberFormat="0" applyFill="0" applyBorder="0" applyAlignment="0" applyProtection="0"/>
    <xf numFmtId="0" fontId="10" fillId="0" borderId="17" applyNumberFormat="0" applyFill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25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25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</cellStyleXfs>
  <cellXfs count="37">
    <xf numFmtId="0" fontId="0" fillId="0" borderId="0" xfId="0"/>
    <xf numFmtId="22" fontId="0" fillId="0" borderId="0" xfId="0" applyNumberFormat="1"/>
    <xf numFmtId="22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4" fillId="0" borderId="3" xfId="0" applyFont="1" applyBorder="1" applyAlignment="1">
      <alignment horizontal="left" vertical="center" wrapText="1" indent="1" readingOrder="1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0" borderId="3" xfId="0" applyFont="1" applyBorder="1" applyAlignment="1">
      <alignment horizontal="left" vertical="center" wrapText="1" indent="1" readingOrder="1"/>
    </xf>
    <xf numFmtId="0" fontId="1" fillId="0" borderId="0" xfId="0" applyFont="1"/>
    <xf numFmtId="0" fontId="4" fillId="0" borderId="4" xfId="0" applyFont="1" applyBorder="1" applyAlignment="1">
      <alignment horizontal="left" vertical="center" wrapText="1" indent="1" readingOrder="1"/>
    </xf>
    <xf numFmtId="0" fontId="4" fillId="0" borderId="5" xfId="0" applyFont="1" applyBorder="1" applyAlignment="1">
      <alignment horizontal="left" vertical="center" wrapText="1" indent="1" readingOrder="1"/>
    </xf>
    <xf numFmtId="0" fontId="5" fillId="0" borderId="6" xfId="0" applyFont="1" applyBorder="1" applyAlignment="1">
      <alignment horizontal="left" vertical="center" wrapText="1" indent="1" readingOrder="1"/>
    </xf>
    <xf numFmtId="0" fontId="0" fillId="6" borderId="0" xfId="0" applyFill="1"/>
    <xf numFmtId="0" fontId="0" fillId="7" borderId="0" xfId="0" applyFill="1"/>
    <xf numFmtId="0" fontId="0" fillId="7" borderId="0" xfId="0" quotePrefix="1" applyFill="1"/>
    <xf numFmtId="0" fontId="0" fillId="8" borderId="0" xfId="0" applyFill="1"/>
    <xf numFmtId="0" fontId="0" fillId="9" borderId="0" xfId="0" applyFill="1"/>
    <xf numFmtId="0" fontId="0" fillId="9" borderId="0" xfId="0" quotePrefix="1" applyFill="1"/>
    <xf numFmtId="9" fontId="8" fillId="0" borderId="7" xfId="1" applyFont="1" applyBorder="1" applyAlignment="1">
      <alignment horizontal="left"/>
    </xf>
    <xf numFmtId="9" fontId="9" fillId="0" borderId="7" xfId="1" applyFont="1" applyBorder="1" applyAlignment="1">
      <alignment horizontal="left"/>
    </xf>
    <xf numFmtId="0" fontId="0" fillId="0" borderId="3" xfId="0" applyBorder="1" applyAlignment="1">
      <alignment horizontal="left" vertical="center" wrapText="1" indent="1" readingOrder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10" borderId="0" xfId="0" applyFill="1" applyAlignment="1">
      <alignment horizontal="center"/>
    </xf>
    <xf numFmtId="0" fontId="0" fillId="10" borderId="1" xfId="0" applyFill="1" applyBorder="1" applyAlignment="1">
      <alignment horizontal="left" vertical="top" wrapText="1"/>
    </xf>
    <xf numFmtId="0" fontId="0" fillId="10" borderId="0" xfId="0" applyFill="1"/>
    <xf numFmtId="0" fontId="0" fillId="0" borderId="0" xfId="0"/>
    <xf numFmtId="22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4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CFF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auto="1"/>
          <bgColor rgb="FFFFCCFF"/>
        </patternFill>
      </fill>
    </dxf>
    <dxf>
      <fill>
        <patternFill>
          <bgColor rgb="FFFFCCFF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  <color rgb="FFFFCC99"/>
      <color rgb="FFF8F69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C1FFE01-F89C-4749-A6EE-022118D65A7A}" name="Table59" displayName="Table59" ref="A1:L1048575" totalsRowShown="0" headerRowDxfId="33">
  <autoFilter ref="A1:L1048575" xr:uid="{2A6E84EF-4EB7-4E33-B7A1-D52D11D47690}"/>
  <tableColumns count="12">
    <tableColumn id="1" xr3:uid="{AC3D4AAC-3B57-409B-AA6D-FF211EC87A90}" name="No."/>
    <tableColumn id="2" xr3:uid="{EFF009FE-C854-40CF-8D35-D0E4B27BA967}" name="Room Name:"/>
    <tableColumn id="3" xr3:uid="{7478DA4D-1317-4792-AE2E-7699082125CB}" name="Room ID:" dataDxfId="32"/>
    <tableColumn id="4" xr3:uid="{06336933-E7D7-43AF-8CAB-3B2A323B9C40}" name="Zone:" dataDxfId="31"/>
    <tableColumn id="10" xr3:uid="{051B8941-0890-4634-97DF-DD0AB98C9CD8}" name="Temperature Range Approved by DLD: (℃)" dataDxfId="30"/>
    <tableColumn id="12" xr3:uid="{9706D345-9C73-43C2-87EC-771E81DC6BCB}" name="System  Set Point:  (℃)" dataDxfId="29">
      <calculatedColumnFormula>IFERROR(INDEX(INDIRECT("Table"&amp;$D2&amp;"_Req"), MATCH(9.9E+307, INDIRECT("Table"&amp;$D2&amp;"_Req[Time]")), MATCH(SUBSTITUTE(SUBSTITUTE($B2," Coil Temp.","")," Coil Temp","")&amp;" SP*", INDIRECT("Table"&amp;$D2&amp;"_Req[#Headers]"), 0)), "N/A")</calculatedColumnFormula>
    </tableColumn>
    <tableColumn id="11" xr3:uid="{15A88C96-690F-4FB5-9E8B-382212EC55D3}" name="Actual Set Point: (℃)" dataDxfId="28"/>
    <tableColumn id="5" xr3:uid="{021CF162-9508-41AB-8DE3-4E333D23B0B5}" name="Within requirements? (Y/N)"/>
    <tableColumn id="6" xr3:uid="{3CC35F6C-F900-42E3-BD3A-E02D1C9C9D36}" name="Most Recent Temp:"/>
    <tableColumn id="7" xr3:uid="{F74D45BD-DC4B-489C-8F72-CDD2F324AA9D}" name="Temp Diff:"/>
    <tableColumn id="13" xr3:uid="{62945EBC-5E24-41E9-8C52-39335626E2FD}" name="Within tolerance? (Y/N)2"/>
    <tableColumn id="8" xr3:uid="{07E9292F-2CF7-4F87-B63B-4E3A8504CAD0}" name="Remarks: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6E84EF-4EB7-4E33-B7A1-D52D11D47690}" name="Table5" displayName="Table5" ref="A1:J1048575" totalsRowShown="0" headerRowDxfId="27">
  <autoFilter ref="A1:J1048575" xr:uid="{2A6E84EF-4EB7-4E33-B7A1-D52D11D47690}"/>
  <tableColumns count="10">
    <tableColumn id="1" xr3:uid="{17C47A1D-5FB1-43AC-B453-73E295B73E11}" name="No."/>
    <tableColumn id="2" xr3:uid="{AC2B6C25-E8AA-4BB6-8519-353B012AA712}" name="Room Name:"/>
    <tableColumn id="3" xr3:uid="{0A47B312-7626-4248-B888-5BC6AE05C596}" name="Room ID:" dataDxfId="26"/>
    <tableColumn id="4" xr3:uid="{A5A503F3-9AC6-44C4-B3AB-0F1D08DA0C26}" name="Zone:" dataDxfId="25"/>
    <tableColumn id="10" xr3:uid="{C8A09939-5C70-4BBD-956A-078AC8DC005A}" name="Temperature Range Approved by DLD: (℃)" dataDxfId="24"/>
    <tableColumn id="11" xr3:uid="{C06E6F53-5D37-4844-9566-849F63DB1F84}" name="Actual Set Point: (℃)" dataDxfId="23"/>
    <tableColumn id="6" xr3:uid="{2F3AE5D3-8EF1-4EA5-A665-79DA5C222B2B}" name="Most Recent Temp:"/>
    <tableColumn id="7" xr3:uid="{3C43BF07-B717-4DD9-BF15-00DFBB775D02}" name="Temp Diff:"/>
    <tableColumn id="13" xr3:uid="{BBEA6A63-536D-4314-BBAD-C789EDCD0597}" name="Within tolerance? (Y/N)2"/>
    <tableColumn id="8" xr3:uid="{56AB9E0A-8E6E-4DF9-8267-C4A83C2EF356}" name="Remarks: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BEAB97-0DED-4847-A8F5-65CB6E022E07}" name="TableIW" displayName="TableIW" ref="A1:CI1048574" totalsRowShown="0">
  <autoFilter ref="A1:CI1048574" xr:uid="{61BEAB97-0DED-4847-A8F5-65CB6E022E07}"/>
  <tableColumns count="87">
    <tableColumn id="1" xr3:uid="{FAA2DD8B-8367-4C9D-8342-C68E43B10772}" name="Time"/>
    <tableColumn id="2" xr3:uid="{9C76F242-6E1F-49E1-9435-15C51D789266}" name="SEAFOOD FREEZER (IW1/1)"/>
    <tableColumn id="3" xr3:uid="{74DED388-69CF-4779-842E-EC59FE641DB0}" name="SEAFOOD FREEZER (IW1/1) Coil Temp"/>
    <tableColumn id="4" xr3:uid="{6F365106-3E60-4400-89A1-211BAA02A830}" name="SEAFOOD FREEZER (IW1/1) SP."/>
    <tableColumn id="5" xr3:uid="{ADC0FC4E-5539-4742-92DB-6F9AB66AF795}" name="SEAFOOD FREEZER (IW1/2)"/>
    <tableColumn id="6" xr3:uid="{2652F607-1AE8-4500-A46D-0DFF18C96E16}" name="SEAFOOD FREEZER (IW1/2) Coil Temp"/>
    <tableColumn id="7" xr3:uid="{B6109FEF-EB62-4B7D-8CAC-CEEFBD453FE5}" name="SEAFOOD FREEZER (IW1/2) SP."/>
    <tableColumn id="8" xr3:uid="{0C8130FE-5A75-4423-9754-E3D3AD8E30A3}" name="CHICKEN FREEZER (IW2/1)"/>
    <tableColumn id="9" xr3:uid="{F1EC13E2-5F06-4E00-A730-4591A283972A}" name="CHICKEN FREEZER (IW2/1) Coil Temp"/>
    <tableColumn id="10" xr3:uid="{81459381-151B-40AD-B52B-C442CBBB6B3C}" name="CHICKEN FREEZER (IW2/1) SP."/>
    <tableColumn id="11" xr3:uid="{E243ECA1-9DAD-4BE2-BA3D-BD433BB1A064}" name="CHICKEN FREEZER (IW2/2)"/>
    <tableColumn id="12" xr3:uid="{123AE867-439C-4742-9037-BB6B49A895DB}" name="CHICKEN FREEZER (IW2/2) Coil Temp"/>
    <tableColumn id="13" xr3:uid="{1A032AAC-304F-4D66-8E66-BF8A05E368E5}" name="CHICKEN FREEZER (IW2/2) SP."/>
    <tableColumn id="14" xr3:uid="{C34F4747-6EE8-49E1-AF52-5EB0B2076B4D}" name="CHICKEN FREEZER (IW3/1)"/>
    <tableColumn id="15" xr3:uid="{A7D512CD-D9DB-4FC3-8B6D-8FF4B8CB99EB}" name="CHICKEN FREEZER (IW3/1) Coil Temp"/>
    <tableColumn id="16" xr3:uid="{5D995535-F246-4390-B87B-693F68E2EC5D}" name="CHICKEN FREEZER (IW3/1) SP."/>
    <tableColumn id="17" xr3:uid="{A85ADBD5-7D65-4918-AAF1-AEBA31557784}" name="CHICKEN FREEZER (IW3/2)"/>
    <tableColumn id="18" xr3:uid="{70836045-DE2B-49FC-AE2B-C3FFA563823B}" name="CHICKEN FREEZER (IW3/2) Coil Temp"/>
    <tableColumn id="19" xr3:uid="{7EE18E93-9EF4-4BB0-A979-EA4733B0CC0E}" name="CHICKEN FREEZER (IW3/2) SP."/>
    <tableColumn id="20" xr3:uid="{5D981358-A979-43D0-AFA3-438DBF3A764A}" name="CHICKEN DEFROST 1 (IW4/1)"/>
    <tableColumn id="21" xr3:uid="{222EF516-163B-4CB3-AE1A-8EC9627721B5}" name="CHICKEN DEFROST 1 (IW4/1) Coil Temp"/>
    <tableColumn id="22" xr3:uid="{350AD816-2F91-410E-BD7C-AD46DAD897CC}" name="CHICKEN DEFROST 1 (IW4/1) SP."/>
    <tableColumn id="23" xr3:uid="{248D003E-528D-4D02-9AF3-2219A736F898}" name="CHICKEN DEFROST 1 (IW4/2)"/>
    <tableColumn id="24" xr3:uid="{EA335726-79E3-41F7-8FED-D415382A0611}" name="CHICKEN DEFROST 1 (IW4/2) Coil Temp"/>
    <tableColumn id="25" xr3:uid="{8C9346C9-2A29-4317-8C7A-5DEB3E4AA097}" name="CHICKEN DEFROST 1 (IW4/2) SP."/>
    <tableColumn id="26" xr3:uid="{0E783D3E-2D85-445C-9A0E-5E38A54E9983}" name="CHICKEN DEFROST 2 (IW5/1)"/>
    <tableColumn id="27" xr3:uid="{B913F003-1DFF-466E-817F-1EE4E5AAD25B}" name="CHICKEN DEFROST 2 (IW5/1) Coil Temp"/>
    <tableColumn id="28" xr3:uid="{BF8ED7D1-62E0-417A-B607-38EE3DAFCC9D}" name="CHICKEN DEFROST 2 (IW5/1) SP."/>
    <tableColumn id="29" xr3:uid="{4F8AC745-67A4-47C2-ACDE-1ED1532405AD}" name="CHICKEN DEFROST 2 (IW5/2)"/>
    <tableColumn id="30" xr3:uid="{CA98BF20-DA99-41B8-8305-556579445F45}" name="CHICKEN DEFROST 2 (IW5/2) Coil Temp"/>
    <tableColumn id="31" xr3:uid="{90D46682-CAD4-4989-A729-8342398F9817}" name="CHICKEN DEFROST 2 (IW5/2) SP."/>
    <tableColumn id="32" xr3:uid="{42ED24F8-854E-480A-98FC-1888D5803054}" name="SEAFOOD DEFROST (IW6/1)"/>
    <tableColumn id="33" xr3:uid="{817CD6DA-3588-41BD-9ADA-0E6AD2F8D942}" name="SEAFOOD DEFROST (IW6/1) Coil Temp"/>
    <tableColumn id="34" xr3:uid="{AE57CFF2-1B8C-4C58-BB85-FB75E729D4D2}" name="SEAFOOD DEFROST (IW6/1) SP."/>
    <tableColumn id="35" xr3:uid="{B8C94340-27E7-4181-AE10-AF1D3D734A5B}" name="SEAFOOD DEFROST (IW6/2)"/>
    <tableColumn id="36" xr3:uid="{BF90BD61-51AB-457B-AE4D-F819F086D1FF}" name="SEAFOOD DEFROST (IW6/2) Coil Temp"/>
    <tableColumn id="37" xr3:uid="{EA447DA5-F406-4827-89F7-B0BEE71CEA01}" name="SEAFOOD DEFROST (IW6/2) SP."/>
    <tableColumn id="38" xr3:uid="{0FCA3C46-7AEB-4A11-9067-0F73E8387C70}" name="CHILLED (IW8)"/>
    <tableColumn id="39" xr3:uid="{AF4EDB00-F41A-458E-A514-AE5E7FF7FB5F}" name="CHILLED (IW8) SP."/>
    <tableColumn id="40" xr3:uid="{7D9D9BC8-88E3-4415-93BB-0FE23B24F383}" name="CHILLED (IW9)"/>
    <tableColumn id="41" xr3:uid="{23020495-6691-48AC-AECE-D37906CCB161}" name="CHILLED (IW9) SP."/>
    <tableColumn id="42" xr3:uid="{F51BC5FF-5E45-4E0A-BA29-FAC6C2F8881B}" name="NON ALLERGEN/CHILLED DE-BOX (IW10)"/>
    <tableColumn id="43" xr3:uid="{CA11086C-BF31-4430-8446-DD4E9EF43132}" name="NON ALLERGEN/CHILLED DE-BOX (IW10) SP."/>
    <tableColumn id="44" xr3:uid="{2E061E92-886F-442A-8EDB-B8B3807C5573}" name="NON ALLERGEN/CHILLED DE-BOX (IW11)"/>
    <tableColumn id="45" xr3:uid="{284E7F2F-962F-47E2-9D34-C075591EC531}" name="NON ALLERGEN/CHILLED DE-BOX (IW11) SP."/>
    <tableColumn id="46" xr3:uid="{4C658570-A361-4CCE-8EDB-448F06266C28}" name="ANTE ROOM (IW27)"/>
    <tableColumn id="47" xr3:uid="{0768F4C2-FFDF-4750-8ACB-01546F950FB9}" name="ANTE ROOM (IW27) Coil Temp"/>
    <tableColumn id="48" xr3:uid="{9F710AF0-089F-49DB-9F47-F3B610DA8664}" name="ANTE ROOM (IW27) SP."/>
    <tableColumn id="49" xr3:uid="{BCCAC9A6-3B73-4A7C-AC58-AC7AA54FFC0B}" name="ANTE ROOM (IW28)"/>
    <tableColumn id="50" xr3:uid="{CD355C09-E702-44E2-B459-4E927088A2BF}" name="ANTE ROOM (IW28) Coil Temp"/>
    <tableColumn id="51" xr3:uid="{2441D0A8-CD53-4F2B-801E-CD3430297B1C}" name="ANTE ROOM (IW28) SP."/>
    <tableColumn id="52" xr3:uid="{F8A5A661-794F-4673-AE80-30AADFD6A40D}" name="ALLERGEN DE-BOX (IW12)"/>
    <tableColumn id="53" xr3:uid="{99765AAD-4DCB-415B-804C-4078FBA72583}" name="ALLERGEN DE-BOX (IW12) SP."/>
    <tableColumn id="54" xr3:uid="{DC3CA6B9-0133-4690-B910-2C58C822E077}" name="FROZEN DE-BOX (IW13/1)"/>
    <tableColumn id="55" xr3:uid="{9848426D-5DC4-48AF-A2C3-1E44585597E2}" name="FROZEN DE-BOX (IW13/1) SP."/>
    <tableColumn id="56" xr3:uid="{459A057A-93B2-4DCA-9800-6553B58157CF}" name="FROZEN DE-BOX (IW14)"/>
    <tableColumn id="57" xr3:uid="{80EE33A3-A7DC-4EC8-BFA0-9CFB76A2C21E}" name="FROZEN DE-BOX (IW14) SP."/>
    <tableColumn id="58" xr3:uid="{C6B42FF5-6D4B-4814-9E0A-EFE79A453F92}" name="FROZEN DE-BOX (IW15)"/>
    <tableColumn id="59" xr3:uid="{C4899F3C-0C5D-4578-BBF0-84FCCA23B8C5}" name="FROZEN DE-BOX (IW15) SP."/>
    <tableColumn id="60" xr3:uid="{CF1E1701-6B8C-461F-B268-068692446B30}" name="INCOMING WAREHOUSE (IW16/1-2)"/>
    <tableColumn id="61" xr3:uid="{F68B723A-1863-4D39-8999-2F93507BDE02}" name="INCOMING WAREHOUSE (IW16/1-2) SP."/>
    <tableColumn id="62" xr3:uid="{9C10BDBF-F3C3-4CE7-B041-90DB77F87824}" name="INCOMING WAREHOUSE (IW17/1-2)"/>
    <tableColumn id="63" xr3:uid="{0958E6B8-A875-4BFA-9E39-3BB763ECA50D}" name="INCOMING WAREHOUSE (IW17/1-2) SP."/>
    <tableColumn id="64" xr3:uid="{C0AFE7AD-B066-404D-AAB2-491FBBDBABF5}" name="NON-ALLERGEN (IW19/1-2)"/>
    <tableColumn id="65" xr3:uid="{DED0E25B-9B77-41A2-AAA4-734C17BFAF6A}" name="NON-ALLERGEN (IW19/1-2) SP."/>
    <tableColumn id="66" xr3:uid="{D3F8AF4E-9BC4-4FE4-888C-947153FB84AD}" name="ALLERGEN 1 (IW20)"/>
    <tableColumn id="67" xr3:uid="{FBB20248-9C79-4DE5-AF77-011DCA110B0B}" name="ALLERGEN 1 (IW20) SP."/>
    <tableColumn id="68" xr3:uid="{97B56420-90E3-494B-8592-CAB47F0C07A9}" name="A/C STORE (IW21)"/>
    <tableColumn id="69" xr3:uid="{943A70B6-845A-45A0-B010-076175F43771}" name="A/C STORE (IW21) SP."/>
    <tableColumn id="70" xr3:uid="{85DA6D79-7E38-4161-B11E-9D1A7651300B}" name="TROLLEY STORAGE 1 (IW22)"/>
    <tableColumn id="71" xr3:uid="{2FDDF6DB-E82F-4F25-84B0-9D7DB9199C91}" name="TROLLEY STORAGE 1 (IW22) SP."/>
    <tableColumn id="72" xr3:uid="{BD7A0B0A-DCFA-4701-AC0D-5DA77DC45ED2}" name="GRN. OFFICE (IW23)"/>
    <tableColumn id="73" xr3:uid="{E9D1D7A8-E616-44C1-8D95-890F5BF6B117}" name="GRN. OFFICE (IW23) SP."/>
    <tableColumn id="74" xr3:uid="{D22F6077-43A2-49BB-9AEB-5FC9BAB90BDD}" name="WET GRINE (IW24)"/>
    <tableColumn id="75" xr3:uid="{3E3D2A95-40B5-45FA-8DE8-83A2622C0852}" name="WET GRINE (IW24) SP."/>
    <tableColumn id="76" xr3:uid="{8E3A6328-9115-4398-9D35-9C9DC2C25D3A}" name="WET DECANTING (IW25)"/>
    <tableColumn id="77" xr3:uid="{055B64D3-F562-4EB3-8221-570E30625EB6}" name="WET DECANTING (IW25) SP."/>
    <tableColumn id="78" xr3:uid="{D5D60D35-1126-4A9C-9D03-785A146E2CF6}" name="RICE ROOM (IW26)"/>
    <tableColumn id="79" xr3:uid="{AE5F8E09-1F92-45F6-B51D-79B75A835A7F}" name="RICE ROOM (IW26) SP."/>
    <tableColumn id="80" xr3:uid="{2E6CDDAE-B169-4964-A6D2-3103D72A4B01}" name="INCOMING WAREHOUSE 2 (LR29/1-2)"/>
    <tableColumn id="81" xr3:uid="{B7F352DF-EA3D-40F8-A0BF-777A21965F24}" name="INCOMING WAREHOUSE 2 (LR29/1-2) SP."/>
    <tableColumn id="82" xr3:uid="{71EE07C8-6FAC-4FB2-A6E7-1C2AE260408C}" name="STAFF ACCESS (UC-IW30/1)"/>
    <tableColumn id="83" xr3:uid="{E708F12E-7E45-4E8E-8730-E5197B9A40C3}" name="STAFF ACCESS (UC-IW30/1) SP"/>
    <tableColumn id="84" xr3:uid="{59EEA6E4-F60A-4847-A0C8-0DC63A23BDCE}" name="STAFF ACCESS (UC-IW30/2)"/>
    <tableColumn id="85" xr3:uid="{5ECCA970-27B9-4D83-9126-3D6D8809FD27}" name="STAFF ACCESS (UC-IW30/2) SP"/>
    <tableColumn id="86" xr3:uid="{D84CE561-07D8-4C3E-9780-B5597E8CA097}" name="STAFF ACCESS (UC-IW30/3)"/>
    <tableColumn id="87" xr3:uid="{4657E939-C5B0-4F90-A6F7-EDD36C0864B9}" name="STAFF ACCESS (UC-IW30/3) S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591E86-9186-40F8-83DD-93A4BA17197A}" name="TableIW_Req" displayName="TableIW_Req" ref="A1:CI1048576" totalsRowShown="0" headerRowDxfId="22">
  <autoFilter ref="A1:CI1048576" xr:uid="{38591E86-9186-40F8-83DD-93A4BA17197A}"/>
  <tableColumns count="87">
    <tableColumn id="1" xr3:uid="{CA3C9563-3D40-47F8-8AEC-F6D76FB781B6}" name="Time"/>
    <tableColumn id="2" xr3:uid="{BCACF1E1-9B66-4140-A50E-628E73E10C51}" name="SEAFOOD FREEZER (IW1/1)"/>
    <tableColumn id="3" xr3:uid="{16B5BA34-E28C-432F-9C8D-CB8F458A1C47}" name="SEAFOOD FREEZER (IW1/1) Coil Temp"/>
    <tableColumn id="4" xr3:uid="{4E197B3B-9E4B-4C45-842E-1777A2425F83}" name="SEAFOOD FREEZER (IW1/1) SP."/>
    <tableColumn id="5" xr3:uid="{4CAE609C-1E0D-4DDC-95A8-070CD1B4F742}" name="SEAFOOD FREEZER (IW1/2)"/>
    <tableColumn id="6" xr3:uid="{789BE57A-10B5-4072-8C69-4EA0D684264B}" name="SEAFOOD FREEZER (IW1/2) Coil Temp"/>
    <tableColumn id="7" xr3:uid="{8C7EA99B-0DD9-40D2-B0C3-B828BFF90DA2}" name="SEAFOOD FREEZER (IW1/2) SP."/>
    <tableColumn id="8" xr3:uid="{065C5317-0872-4C63-94A5-1D5A10A1858D}" name="CHICKEN FREEZER (IW2/1)"/>
    <tableColumn id="9" xr3:uid="{09E5C4E7-E014-40B7-9C3E-691F357564A5}" name="CHICKEN FREEZER (IW2/1) Coil Temp"/>
    <tableColumn id="10" xr3:uid="{021477E1-5762-4D92-9670-1857FA00B6F6}" name="CHICKEN FREEZER (IW2/1) SP."/>
    <tableColumn id="11" xr3:uid="{2375AD82-327E-4743-8936-935CE119A079}" name="CHICKEN FREEZER (IW2/2)"/>
    <tableColumn id="12" xr3:uid="{85D95EAB-3306-4649-AFDC-22F4547F3F33}" name="CHICKEN FREEZER (IW2/2) Coil Temp"/>
    <tableColumn id="13" xr3:uid="{A3A8D789-1313-4402-87F9-031D418C7C70}" name="CHICKEN FREEZER (IW2/2) SP.d"/>
    <tableColumn id="14" xr3:uid="{74724C06-3C9E-41FB-AD8B-8CA1BE275835}" name="CHICKEN FREEZER (IW3/1)"/>
    <tableColumn id="15" xr3:uid="{CEC1FE43-3F56-464C-9AFE-C248BACBCF78}" name="CHICKEN FREEZER (IW3/1) Coil Temp"/>
    <tableColumn id="16" xr3:uid="{664B4DC4-5524-4ABA-A516-49D6BD0ABF0F}" name="CHICKEN FREEZER (IW3/1) SP."/>
    <tableColumn id="17" xr3:uid="{3AAAC320-9CB0-4C34-AC82-2440278D21F0}" name="CHICKEN FREEZER (IW3/2)"/>
    <tableColumn id="18" xr3:uid="{BB657678-4564-4951-A8BA-95CC94034526}" name="CHICKEN FREEZER (IW3/2) Coil Temp"/>
    <tableColumn id="19" xr3:uid="{E1FEAEF6-3444-44C2-8605-7EEB5D5A0678}" name="CHICKEN FREEZER (IW3/2) SP."/>
    <tableColumn id="20" xr3:uid="{E08D6028-E0F3-4A7D-B10D-7DD8B127C170}" name="CHICKEN DEFROST 1 (IW4/1)"/>
    <tableColumn id="21" xr3:uid="{A0CA4CD4-E937-4018-B0E6-65D0E75E5D73}" name="CHICKEN DEFROST 1 (IW4/1) Coil Temp"/>
    <tableColumn id="22" xr3:uid="{270041BE-E375-496E-8DFB-7BB71572C13F}" name="CHICKEN DEFROST 1 (IW4/1) SP."/>
    <tableColumn id="23" xr3:uid="{6DBBB39B-043D-4702-9DA0-F9CE0C44A9DE}" name="CHICKEN DEFROST 1 (IW4/2)"/>
    <tableColumn id="24" xr3:uid="{577E08CC-51D2-446F-B728-C1CF1C2428E1}" name="CHICKEN DEFROST 1 (IW4/2) Coil Temp"/>
    <tableColumn id="25" xr3:uid="{81AB6EE6-D307-497F-8828-1F13AB9460D6}" name="CHICKEN DEFROST 1 (IW4/2) SP."/>
    <tableColumn id="26" xr3:uid="{A0136955-BF51-4F40-86E7-BE20F132E526}" name="CHICKEN DEFROST 2 (IW5/1)"/>
    <tableColumn id="27" xr3:uid="{6C850E89-834C-4A20-9D6D-65EECCE7EA74}" name="CHICKEN DEFROST 2 (IW5/1) Coil Temp"/>
    <tableColumn id="28" xr3:uid="{6FFA9271-B43C-4A31-A156-992CCF7A8110}" name="CHICKEN DEFROST 2 (IW5/1) SP."/>
    <tableColumn id="29" xr3:uid="{AAC74352-69B0-45F7-9744-DBEC0738A3C8}" name="CHICKEN DEFROST 2 (IW5/2)"/>
    <tableColumn id="30" xr3:uid="{523E1626-2D9B-4439-8C9A-8C9FE76A6B9A}" name="CHICKEN DEFROST 2 (IW5/2) Coil Temp"/>
    <tableColumn id="31" xr3:uid="{4422CA12-724B-4700-B588-8254C7B67CF5}" name="CHICKEN DEFROST 2 (IW5/2) SP."/>
    <tableColumn id="32" xr3:uid="{01435AC9-BC3A-41DE-8F2A-054E956C32F9}" name="SEAFOOD DEFROST (IW6/1)"/>
    <tableColumn id="33" xr3:uid="{1429E7D2-FC71-4015-AC98-7A3445291F6D}" name="SEAFOOD DEFROST (IW6/1) Coil Temp"/>
    <tableColumn id="34" xr3:uid="{76EE4CEA-B022-48FD-8DAA-FE728D6C86BF}" name="SEAFOOD DEFROST (IW6/1) SP."/>
    <tableColumn id="35" xr3:uid="{428440E8-3BE6-4E48-8763-3F3CBE192E8D}" name="SEAFOOD DEFROST (IW6/2)"/>
    <tableColumn id="36" xr3:uid="{26ED121A-DCA5-4E7F-BC2B-57E4A07B3ADD}" name="SEAFOOD DEFROST (IW6/2) Coil Temp"/>
    <tableColumn id="37" xr3:uid="{FAD8A8FD-4748-4A0F-BB1A-8A601E30E198}" name="SEAFOOD DEFROST (IW6/2) SP."/>
    <tableColumn id="38" xr3:uid="{4105E3DC-81E4-4971-B091-92BDD44743D5}" name="CHILLED (IW8)"/>
    <tableColumn id="39" xr3:uid="{C2E8BC41-1DAA-4E08-AF7E-F6D6A7EA01F9}" name="CHILLED (IW8) SP."/>
    <tableColumn id="40" xr3:uid="{16130F63-7407-496B-9AC4-BB7C02C3A02C}" name="CHILLED (IW9)"/>
    <tableColumn id="41" xr3:uid="{758B69F9-D9F2-4620-B75D-C8E16402509C}" name="CHILLED (IW9) SP."/>
    <tableColumn id="42" xr3:uid="{D87C5C4B-97BD-4E46-B461-077F808DEB4B}" name="NON ALLERGEN/CHILLED DE-BOX (IW10)"/>
    <tableColumn id="43" xr3:uid="{CDDD29C2-DF3C-42CC-ADA1-44CC2DBEF317}" name="NON ALLERGEN/CHILLED DE-BOX (IW10) SP."/>
    <tableColumn id="44" xr3:uid="{9B956E5C-EF32-4A76-8B9F-10681357D80E}" name="NON ALLERGEN/CHILLED DE-BOX (IW11)"/>
    <tableColumn id="45" xr3:uid="{180612B2-9A8D-473F-A645-933AAE013E6A}" name="NON ALLERGEN/CHILLED DE-BOX (IW11) SP."/>
    <tableColumn id="46" xr3:uid="{EC47A1FC-D7AB-49F7-A9B8-1A81B2A98D74}" name="ANTE ROOM (IW27)"/>
    <tableColumn id="47" xr3:uid="{4AEDC799-F55C-4E12-8ED5-10A13D641662}" name="ANTE ROOM (IW27) Coil Temp"/>
    <tableColumn id="48" xr3:uid="{61B0CD47-70EE-4E14-B131-D7EA4768137C}" name="ANTE ROOM (IW27) SP."/>
    <tableColumn id="49" xr3:uid="{FA0D0A9F-C896-4B64-9A3D-6DDEC09109B9}" name="ANTE ROOM (IW28)"/>
    <tableColumn id="50" xr3:uid="{8B584885-206F-465B-B887-07BE6D79D3D0}" name="ANTE ROOM (IW28) Coil Temp"/>
    <tableColumn id="51" xr3:uid="{A43E0AE4-F9C6-44E8-8818-CA03D329DB3F}" name="ANTE ROOM (IW28) SP."/>
    <tableColumn id="52" xr3:uid="{FFDA03ED-8E7A-4DD5-BF4D-3CAEDD18D10B}" name="ALLERGEN DE-BOX (IW12)"/>
    <tableColumn id="53" xr3:uid="{F5417517-CC2A-4C69-BD43-954EA68E27F5}" name="ALLERGEN DE-BOX (IW12) SP."/>
    <tableColumn id="54" xr3:uid="{A6A87B84-B584-4A9D-AF33-E4CD718A945A}" name="FROZEN DE-BOX (IW13/1)"/>
    <tableColumn id="55" xr3:uid="{2F5AAF73-9BFC-4A23-8B3B-D1608CFF46D5}" name="FROZEN DE-BOX (IW13/1) SP."/>
    <tableColumn id="56" xr3:uid="{2EB95840-B6D6-41F8-B040-AF5D841AE29D}" name="FROZEN DE-BOX (IW14)"/>
    <tableColumn id="57" xr3:uid="{7EE57869-246C-4764-B3D3-DAF48C9C1BA5}" name="FROZEN DE-BOX (IW14) SP."/>
    <tableColumn id="58" xr3:uid="{5873E976-CA3E-447B-8641-5480C4109817}" name="FROZEN DE-BOX (IW15)"/>
    <tableColumn id="59" xr3:uid="{7F5BCCE2-1D7E-4DB5-9DB5-9C79BB54DB3B}" name="FROZEN DE-BOX (IW15) SP."/>
    <tableColumn id="60" xr3:uid="{8FDA5802-ABB4-4B87-B932-F8B6271B1574}" name="INCOMING WAREHOUSE (IW16/1-2)"/>
    <tableColumn id="61" xr3:uid="{BE832488-6618-47EF-8A97-764935BA0AF1}" name="INCOMING WAREHOUSE (IW16/1-2) SP."/>
    <tableColumn id="62" xr3:uid="{C7D09F30-B331-4DEE-8D55-8E0FA8B27576}" name="INCOMING WAREHOUSE (IW17/1-2)"/>
    <tableColumn id="63" xr3:uid="{0D265733-2910-477E-8348-7278800E6D27}" name="INCOMING WAREHOUSE (IW17/1-2) SP."/>
    <tableColumn id="64" xr3:uid="{A70C8DBC-AAC7-4B0A-A94A-1C964C81505B}" name="NON-ALLERGEN (IW19/1-2)"/>
    <tableColumn id="65" xr3:uid="{F87DCFA7-AE83-4A52-897F-1996BF56840F}" name="NON-ALLERGEN (IW19/1-2) SP."/>
    <tableColumn id="66" xr3:uid="{DA0777A6-DCA3-4D1F-BE76-41A801529556}" name="ALLERGEN 1 (IW20)"/>
    <tableColumn id="67" xr3:uid="{37F314B5-4DEB-4661-A78F-6FBF9541C318}" name="ALLERGEN 1 (IW20) SP."/>
    <tableColumn id="68" xr3:uid="{1F140A1C-96BB-44FF-A420-445789EF2416}" name="A/C STORE (IW21)"/>
    <tableColumn id="69" xr3:uid="{2D6F31CD-FA19-457B-87E5-74EC5832F6C2}" name="A/C STORE (IW21) SP."/>
    <tableColumn id="70" xr3:uid="{DF559B30-52C5-4565-A4A7-C8AD84E7BD46}" name="TROLLEY STORAGE 1 (IW22)"/>
    <tableColumn id="71" xr3:uid="{9D2C0D52-DD2A-41D8-8878-8A50879E5443}" name="TROLLEY STORAGE 1(IW22) SP."/>
    <tableColumn id="72" xr3:uid="{6C7B6976-F59B-4625-BD38-3E1F4CC0E6B4}" name="GRN. OFFICE (IW23)"/>
    <tableColumn id="73" xr3:uid="{4C613CEA-CEB3-47B8-9097-4DBC3DCC936C}" name="GRN. OFFICE (IW23) SP."/>
    <tableColumn id="74" xr3:uid="{DC5B2120-5925-44D8-817C-A92CA6304573}" name="WET GRINE (IW24)"/>
    <tableColumn id="75" xr3:uid="{B5E1A823-A2E3-45B3-9CF3-AEABBCEDD7B6}" name="WET GRINE (IW24) SP."/>
    <tableColumn id="76" xr3:uid="{52D1AA6D-3E21-47D4-8160-9ABFEA4CCB50}" name="WET DECANTING (IW25)"/>
    <tableColumn id="77" xr3:uid="{8B037406-9E54-41C6-87FC-F4A7835B3042}" name="WET DECANTING (IW25) SP."/>
    <tableColumn id="78" xr3:uid="{18178780-1B45-48A8-9D55-8829E254C386}" name="RICE ROOM (IW26)"/>
    <tableColumn id="79" xr3:uid="{576D274D-C2D9-439F-BCBF-7CF3076A464B}" name="RICE ROOM (IW26) SP."/>
    <tableColumn id="80" xr3:uid="{7A78CF52-DBEE-4239-8964-E66C32E224BB}" name="INCOMING WAREHOUSE 2 (LR29/1-2)"/>
    <tableColumn id="81" xr3:uid="{677DE1EE-7BD4-413B-94B9-EA0D714B6841}" name="INCOMING WAREHOUSE 2 (LR29/1-2) SP."/>
    <tableColumn id="82" xr3:uid="{62DF7FC5-B903-40D9-AD82-3809DD7F5E7A}" name="STAFF ACCESS (UC-IW30/1)"/>
    <tableColumn id="83" xr3:uid="{8072EC11-1A10-4716-9849-28AE1922A6AD}" name="STAFF ACCESS (UC-IW30/1) SP."/>
    <tableColumn id="84" xr3:uid="{299DA3C4-B8AF-4219-AB2C-B0BA8FF22662}" name="STAFF ACCESS (UC-IW30/2)"/>
    <tableColumn id="85" xr3:uid="{7F626D5D-8461-4EA0-B3CE-4C86DA2BB67E}" name="STAFF ACCESS (UC-IW30/2) SP."/>
    <tableColumn id="86" xr3:uid="{04DFD6A6-0A47-4273-A4FE-B1B4E950F33E}" name="STAFF ACCESS (UC-IW30/3)"/>
    <tableColumn id="87" xr3:uid="{58E20C95-F722-4984-B072-8E5AF136FE51}" name="STAFF ACCESS (UC-IW30/3) SP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D09A51-970F-4F06-83D2-32E9D4CD2E14}" name="TableLR" displayName="TableLR" ref="A1:CI1048575" totalsRowShown="0">
  <autoFilter ref="A1:CI1048575" xr:uid="{0AD09A51-970F-4F06-83D2-32E9D4CD2E14}"/>
  <tableColumns count="87">
    <tableColumn id="1" xr3:uid="{39EE7463-F8B5-4E1D-905D-BE9B75CCC43A}" name="Time"/>
    <tableColumn id="2" xr3:uid="{E32F4CFA-A2A3-45F2-8706-A53CFF6E7CE3}" name="STAGING AREA CHILLED (LR1/1)"/>
    <tableColumn id="3" xr3:uid="{73C341F5-2E68-4F59-AE0D-52DD95A4E16A}" name="STAGING AREA CHILLED (LR1/1) SP."/>
    <tableColumn id="4" xr3:uid="{FC3E2C96-BF7E-4109-9055-F36FC01811DC}" name="STAGING AREA CHILLED (LR1/2)"/>
    <tableColumn id="5" xr3:uid="{D8F09BCE-8D67-421E-87D5-16C652D23AB8}" name="STAGING AREA CHILLED (LR1/2) SP."/>
    <tableColumn id="6" xr3:uid="{A5AFA5DB-9F5F-4F55-929F-4417E42381C2}" name="VEG CHILL (LR2/1)"/>
    <tableColumn id="7" xr3:uid="{FB027A90-5F22-49F7-8352-55D1AB8A211F}" name="VEG CHILL (LR2/1) SP."/>
    <tableColumn id="8" xr3:uid="{896CC2A9-9443-41A3-9748-661413824830}" name="VEG CHILL (LR2/2)"/>
    <tableColumn id="9" xr3:uid="{7955ED1D-9BC7-4F93-9240-5EA1DFC199FA}" name="VEG CHILL (LR2/2) SP."/>
    <tableColumn id="10" xr3:uid="{DE59592A-1C21-4E95-81A3-8E5BA3FD344F}" name="ALLERGEN CHILLED WEIGH (LR3/1)"/>
    <tableColumn id="11" xr3:uid="{345AE951-D66F-4CF3-BE99-6A688FC17512}" name="ALLERGEN CHILLED WEIGH (LR3/1) SP."/>
    <tableColumn id="12" xr3:uid="{CC29DB4D-2546-43E8-ACFA-DD7FB8E9C0B2}" name="ALLERGEN CHILLED WEIGH (LR3/2)"/>
    <tableColumn id="13" xr3:uid="{B3306E4B-6086-42E0-9205-97B55FC1EDCD}" name="ALLERGEN CHILLED WEIGH (LR3/2) SP."/>
    <tableColumn id="14" xr3:uid="{DC816E54-5A32-4A29-B7E8-C9B6E5F2DEE1}" name="CHICKEN CHILL (LR4/1)"/>
    <tableColumn id="15" xr3:uid="{7CAE6A8B-69E1-4246-A9D3-444168D50BE2}" name="CHICKEN CHILL (LR4/1) SP."/>
    <tableColumn id="16" xr3:uid="{E8494FDF-AD1D-4F73-8EA9-34A3B4BE81E3}" name="CHICKEN CHILL (LR4/2)"/>
    <tableColumn id="17" xr3:uid="{956AAF91-EFD2-4D0A-B288-3D1C5CA38360}" name="CHICKEN CHILL (LR4/2) SP."/>
    <tableColumn id="18" xr3:uid="{396D1EE2-77CC-4075-8D89-52C5B243A28B}" name="SEAFOOD CHILL (LR5/1)"/>
    <tableColumn id="19" xr3:uid="{705CCAA8-5520-4C7D-9906-16E066956C4C}" name="SEAFOOD CHILL (LR5/1) SP."/>
    <tableColumn id="20" xr3:uid="{BEAC8858-A550-43FC-ADE0-BF68D21FB693}" name="SEAFOOD CHILL (LR5/2)"/>
    <tableColumn id="21" xr3:uid="{D1CC6325-CDDD-45F1-A1C7-6D1E352A81F4}" name="SEAFOOD CHILL (LR5/2) SP."/>
    <tableColumn id="22" xr3:uid="{0CD016E7-FCC5-424E-AC6F-8CF6A54E46E2}" name="LR WESTE OUT (LR6)"/>
    <tableColumn id="23" xr3:uid="{92AC4F35-136F-4245-8BF3-A3DF92B0425B}" name="LR WESTE OUT (LR6) SP."/>
    <tableColumn id="24" xr3:uid="{A9174954-024F-492B-B3E1-23836EEA7649}" name="VEG TPREPARATION (LR7/1-2)"/>
    <tableColumn id="25" xr3:uid="{3ED3E27F-AF92-4477-B6AF-53791A49FE82}" name="VEG TPREPARATION (LR7/1-2) SP."/>
    <tableColumn id="26" xr3:uid="{E7323931-95AE-443D-AC62-687B87D8F5D4}" name="CHICKEN PREPARATION (LR8/1-2)"/>
    <tableColumn id="27" xr3:uid="{DC21B9FB-6C12-4288-BB81-1DB6545E5BC1}" name="CHICKEN PREPARATION (LR8/1-2) SP."/>
    <tableColumn id="28" xr3:uid="{2C98E17E-A3E7-468E-A842-B1BD6644DD16}" name="SEAFOOD PREPARATION UC.1 (LR9/1-2)"/>
    <tableColumn id="29" xr3:uid="{BF8DA7F7-523C-481B-AD34-654004E5D878}" name="SEAFOOD PREPARATION UC.1 (LR9/1-2) SP."/>
    <tableColumn id="30" xr3:uid="{890A45CA-43EB-4F75-A716-B8EB6F36A8CE}" name="TROLLEY STORAGE 2 (LR10)"/>
    <tableColumn id="31" xr3:uid="{50B1209E-C3D3-4776-B527-32EE103EB015}" name="TROLLEY STORAGE 2 (LR10) SP."/>
    <tableColumn id="32" xr3:uid="{284E4530-1C41-4BB9-AD1D-C89A7B29C43D}" name="EQUIPMENT TROLLEY WASH UP (LR16)"/>
    <tableColumn id="33" xr3:uid="{A8E9D049-FA3A-4976-B362-8140C5C6181B}" name="EQUIPMENT TROLLEY WASH UP (LR16) SP."/>
    <tableColumn id="34" xr3:uid="{5A124F53-3F09-41C3-9720-981A56E5133E}" name="WASHING ALLERGEN (LR12)"/>
    <tableColumn id="35" xr3:uid="{5E5BFA6B-04DB-4F8C-A64E-A1B43763C0C3}" name="WASHING ALLERGEN (LR12) SP."/>
    <tableColumn id="36" xr3:uid="{A39851CF-9DD3-48B4-B5B7-7F4D930B819B}" name="WASHING NON ALLERGEN (LR13)"/>
    <tableColumn id="37" xr3:uid="{D317CB01-A5B3-4A9D-8F10-1219FEF57A93}" name="WASHING NON ALLERGEN (LR13) SP."/>
    <tableColumn id="38" xr3:uid="{97D2BD5F-2665-4EDB-96C6-ED0AF4543F41}" name="WET WASTE (LR14)"/>
    <tableColumn id="39" xr3:uid="{8304F9B8-0D56-49D0-B69A-3CEA97D63C85}" name="WET WASTE (LR14) SP."/>
    <tableColumn id="40" xr3:uid="{9171371A-42AB-46D0-84C3-290C2DABDEAD}" name="TROLLEY WASH UP (LR15)"/>
    <tableColumn id="41" xr3:uid="{99873D8B-BF5D-4962-B61A-93B609A43022}" name="TROLLEY WASH UP (LR15) SP."/>
    <tableColumn id="42" xr3:uid="{AD7230CD-B746-4220-9D51-C2E1A47A775A}" name="NON ALLERGEN 2 (LR11)"/>
    <tableColumn id="43" xr3:uid="{AFBC4FDE-CA6B-45A0-9736-49ED340423E4}" name="NON ALLERGEN 2 (LR11) SP."/>
    <tableColumn id="44" xr3:uid="{C85B75ED-078A-41A3-9067-14BB0E3B187B}" name="ALLERGEN WEIGH (LR17)"/>
    <tableColumn id="45" xr3:uid="{B995E8DD-201B-40DC-96D0-D15B20C803E4}" name="ALLERGEN WEIGH (LR17) SP."/>
    <tableColumn id="46" xr3:uid="{71F2EBC0-8147-4192-ABAD-D8403A168D99}" name="STORAGE ALLERGEN (LR18)"/>
    <tableColumn id="47" xr3:uid="{664C025C-7687-4486-877C-94FDE86CC80F}" name="STORAGE ALLERGEN (LR18) SP."/>
    <tableColumn id="48" xr3:uid="{AA63B1D2-C658-4730-8A52-3E82DDF4810A}" name="STORAGE NON ALLERGEN (LR19)"/>
    <tableColumn id="49" xr3:uid="{FC62B88D-0D07-40B6-BA7C-AE67AF53D4CD}" name="STORAGE NON ALLERGEN (LR19) SP."/>
    <tableColumn id="50" xr3:uid="{3E37EC39-CC1D-48D3-9A22-E0A1251BF77E}" name="COOKING AREA (LR20/1-2)"/>
    <tableColumn id="51" xr3:uid="{D75CFEE0-519D-4EB4-B22D-096CB9C7F007}" name="COOKING AREA (LR20/1-2) SP."/>
    <tableColumn id="52" xr3:uid="{CB550CFB-1351-4A07-9542-5194B91B63E1}" name="COOKING AREA (LR20/3-4)"/>
    <tableColumn id="53" xr3:uid="{5A70B40A-39B5-42AA-A48A-8EC3E472EF30}" name="COOKING AREA (LR20/3-4) SP."/>
    <tableColumn id="54" xr3:uid="{B4A968AB-DA43-4B64-9387-A9232F8790E6}" name="COOKING AREA (LR20/5-6)"/>
    <tableColumn id="55" xr3:uid="{4DA3A3C4-ADA9-4EF4-B6CD-866282D97D9A}" name="COOKING AREA (LR20/5-6) SP."/>
    <tableColumn id="56" xr3:uid="{257323AD-FBF4-4977-9402-6F864BE59C47}" name="COOKING AREA (LR20/7-8)"/>
    <tableColumn id="57" xr3:uid="{2598A5D0-C09D-499D-931E-B32DE0570634}" name="COOKING AREA (LR20/7-8) SP."/>
    <tableColumn id="58" xr3:uid="{2C0B7157-35DD-4B04-8828-A0934B868E1E}" name="COOKING AREA (LR20/9-10)"/>
    <tableColumn id="59" xr3:uid="{4BD7734B-58DB-4519-9D10-26735072EACE}" name="COOKING AREA (LR20/9-10) SP."/>
    <tableColumn id="60" xr3:uid="{BCA5B7DB-1098-48CE-A36D-09B3D5DBE09E}" name="Column1"/>
    <tableColumn id="61" xr3:uid="{32936C36-E519-4286-812F-ADAB90F8CBBA}" name="Column2"/>
    <tableColumn id="62" xr3:uid="{CA156433-EE02-46A7-89FB-199BC288F630}" name="Column3"/>
    <tableColumn id="63" xr3:uid="{5956759D-9C5E-48DD-B472-C447AC437FC6}" name="Column4"/>
    <tableColumn id="64" xr3:uid="{1BEBED16-617E-40E9-8EFC-935F96AC2F19}" name="Column5"/>
    <tableColumn id="65" xr3:uid="{5FE269E5-57F3-4649-A895-D68005C51F31}" name="Column6"/>
    <tableColumn id="66" xr3:uid="{1049CBF2-17BF-445C-84CB-BDF29598C2E4}" name="Column7"/>
    <tableColumn id="67" xr3:uid="{5515C0F1-179C-4B91-9706-53DAAF48C284}" name="Column8"/>
    <tableColumn id="68" xr3:uid="{91EC9F13-1D14-452F-BF09-47F4B375D02F}" name="Column9"/>
    <tableColumn id="69" xr3:uid="{1FD7CDB8-66C1-4851-A570-A97690B96017}" name="Column10"/>
    <tableColumn id="70" xr3:uid="{69408D06-D8ED-4ED9-B6E7-0D18AFA0E7ED}" name="Column11"/>
    <tableColumn id="71" xr3:uid="{005463AF-2A8B-4EF2-AED6-54164D8F183E}" name="Column12"/>
    <tableColumn id="72" xr3:uid="{CEF35BA1-5F44-43AE-974F-B0714DFCBB2C}" name="Column13"/>
    <tableColumn id="73" xr3:uid="{D2D1F8A8-5DEE-4DF8-B46E-4CAA45BFE157}" name="Column14"/>
    <tableColumn id="74" xr3:uid="{257B2E87-3D83-446E-B631-EEF624CDB131}" name="Column15"/>
    <tableColumn id="75" xr3:uid="{520D338D-5B4F-49C4-B49D-D831E6AA16B5}" name="Column16"/>
    <tableColumn id="76" xr3:uid="{E0C070B3-8EB1-49CD-9CD9-3F9A8C16F307}" name="Column17"/>
    <tableColumn id="77" xr3:uid="{BD214982-CAAB-4D48-8E91-4A4A8800A260}" name="Column18"/>
    <tableColumn id="78" xr3:uid="{0FAF5A76-CB94-44F3-96DC-F50488A85D87}" name="Column19"/>
    <tableColumn id="79" xr3:uid="{E5C9A3F4-CEAE-4CA0-9BFA-F0C982510D20}" name="Column20"/>
    <tableColumn id="80" xr3:uid="{48F5D6B9-1689-4D62-BA25-0C5604DA25D6}" name="Column21"/>
    <tableColumn id="81" xr3:uid="{57D4A4A2-1323-46D6-A242-B56B508CA2E4}" name="Column22"/>
    <tableColumn id="82" xr3:uid="{4CAAF1F4-CB10-400A-9FD0-9230FBD877D7}" name="Column23"/>
    <tableColumn id="83" xr3:uid="{199167D4-0221-4BB9-9AB2-86DFF5A10ABF}" name="Column24"/>
    <tableColumn id="84" xr3:uid="{4BF673D9-EC58-4D3D-A810-EB161C9688F9}" name="Column25"/>
    <tableColumn id="85" xr3:uid="{A8C9EBD0-A9EA-4451-A6E0-8B5140D92887}" name="Column26"/>
    <tableColumn id="86" xr3:uid="{FADDC2E9-5504-428B-BBAA-8932C6EB9333}" name="Column27"/>
    <tableColumn id="87" xr3:uid="{4C903A74-150D-4901-964A-3EED084A707B}" name="Column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DB14F6-A4C3-42B9-A733-B6627FEF44B7}" name="TableHR" displayName="TableHR" ref="A1:BB1048575" totalsRowShown="0">
  <autoFilter ref="A1:BB1048575" xr:uid="{D9DB14F6-A4C3-42B9-A733-B6627FEF44B7}"/>
  <tableColumns count="54">
    <tableColumn id="1" xr3:uid="{FC7E833D-6CAF-4AA8-80FF-F040DDDB7E7A}" name="Time"/>
    <tableColumn id="2" xr3:uid="{82FB74A8-2D09-406A-9374-707557FEE78B}" name="HOLDING CHILLER 1 (HR1)"/>
    <tableColumn id="3" xr3:uid="{D5604E1E-53FA-4671-AD77-DAE3A85A1C95}" name="HOLDING CHILLER 1 (HR1) SP."/>
    <tableColumn id="4" xr3:uid="{223D8F6A-C6B0-4723-82DA-669746E4561D}" name="HOLDING CHILLER 2 (HR2)"/>
    <tableColumn id="5" xr3:uid="{DEA19D18-5A85-47A9-A328-52BF4AF8F2F7}" name="HOLDING CHILLER 2 (HR2) SP."/>
    <tableColumn id="6" xr3:uid="{8212F306-B2E0-4DCE-A673-DBDE99B05922}" name="BLAST CHILLER 1 (HR3)"/>
    <tableColumn id="7" xr3:uid="{E3B7559E-90FF-4196-9F32-5B1C2CBFC55D}" name="BLAST CHILLER 1 (HR3) Coil Temp."/>
    <tableColumn id="8" xr3:uid="{C1799947-A604-47AE-9082-A76320210CE7}" name="BLAST CHILLER 1 (HR3) SP."/>
    <tableColumn id="9" xr3:uid="{B07E37CC-2660-414D-80A0-E4B0275455FA}" name="BLAST CHILLER 2 (HR4)"/>
    <tableColumn id="10" xr3:uid="{B7FD212D-D25B-468F-A13F-C88D91588EE0}" name="BLAST CHILLER 2 (HR4) Coil Temp."/>
    <tableColumn id="11" xr3:uid="{C3668B9D-9A2B-4287-B1A8-22B5C3DCEB09}" name="BLAST CHILLER 2 (HR4) SP."/>
    <tableColumn id="12" xr3:uid="{1D0B625C-219E-4642-A5F7-960494FA56A1}" name="BLAST CHILLER 3 (HR5)"/>
    <tableColumn id="13" xr3:uid="{A1D173D9-E2A0-4EB6-8317-41251BF67D75}" name="BLAST CHILLER 3 (HR5) Coil Temp."/>
    <tableColumn id="14" xr3:uid="{7B5277CC-DDA3-461D-A7DC-462778EBFB91}" name="BLAST CHILLER 3 (HR5) SP."/>
    <tableColumn id="15" xr3:uid="{7E065206-9BCE-4AEA-848E-19E93CD1D5E7}" name="BLAST CHILLER 4 (HR6)"/>
    <tableColumn id="16" xr3:uid="{C79C2713-BB8D-480D-88DE-F2D73B32BCCB}" name="BLAST CHILLER 4 (HR6) Coil Temp"/>
    <tableColumn id="17" xr3:uid="{B8C0187A-3D1F-4C40-874B-6C63575866A5}" name="BLAST CHILLER 4 (HR6) SP."/>
    <tableColumn id="18" xr3:uid="{31B4FA65-8570-4708-94CC-2701A0824F8A}" name="BLAST CHILLER 5 (HR7)"/>
    <tableColumn id="19" xr3:uid="{FCE4AA55-247D-426A-868E-4F045761DA3E}" name="BLAST CHILLER 5 (HR7) Coil Temp"/>
    <tableColumn id="20" xr3:uid="{EC3F25C6-572B-47A5-9012-B33D9BF34789}" name="BLAST CHILLER 5 (HR7) SP."/>
    <tableColumn id="21" xr3:uid="{3254893E-AA17-43F1-8B43-871BD28606F0}" name="DAILY COLD ROOM UC.1 (HR15/1)"/>
    <tableColumn id="22" xr3:uid="{FEFBE8A1-B661-4CB2-AF3D-B23C4EC7E162}" name="DAILY COLD ROOM UC.1 (HR15/1) Coil Temp"/>
    <tableColumn id="23" xr3:uid="{A82E82B2-586F-4CF0-90E7-78D88FD51AE1}" name="DAILY COLD ROOM UC.1 (HR15/1) SP."/>
    <tableColumn id="24" xr3:uid="{AFE06EE4-D59D-42E1-80DC-11BA518E770D}" name="DAILY COLD ROOM UC.2 (HR15/2)"/>
    <tableColumn id="25" xr3:uid="{45723B85-5DC3-4D54-94AA-D3C23AD5CF8F}" name="DAILY COLD ROOM UC.2 (HR15/2) Coil Temp"/>
    <tableColumn id="26" xr3:uid="{A6A6EEF9-24B7-4137-8C50-4BB1A726485F}" name="DAILY COLD ROOM UC.2 (HR15/2) SP."/>
    <tableColumn id="27" xr3:uid="{E64F64CB-1E53-43AB-9598-DE985AA00DB1}" name="HR UTENSIL WASH UP (HR 16)"/>
    <tableColumn id="28" xr3:uid="{309E07F1-E1DD-422E-8258-569207163D44}" name="HR UTENSIL WASH UP (HR 16) Coil Temp"/>
    <tableColumn id="29" xr3:uid="{64FFAEB8-F9CE-451F-9058-74BEE231E255}" name="HR UTENSIL WASH UP (HR 16) SP."/>
    <tableColumn id="30" xr3:uid="{1796414D-2931-4882-A330-0208D5617749}" name="AIR BLAST FREEZER (HR17)"/>
    <tableColumn id="31" xr3:uid="{6E378D17-5D03-4DA2-944C-E1C61832207D}" name="AIR BLAST FREEZER (HR17) Coil Temp"/>
    <tableColumn id="32" xr3:uid="{ACB8B264-0922-420B-8D7D-3A1D52AD52EB}" name="AIR BLAST FREEZER (HR17) SP."/>
    <tableColumn id="33" xr3:uid="{937C232A-2FE1-4EC9-869A-3B4CCE67D817}" name="UV ENT &amp; PACKING STORE (HR8)"/>
    <tableColumn id="34" xr3:uid="{468B51B9-CC38-4122-96B1-4618728A66F0}" name="UV ENT &amp; PACKING STORE (HR8) SP."/>
    <tableColumn id="35" xr3:uid="{FB5DFF48-C23A-49EE-B118-F5F5EB047FE2}" name="LABEL PAINTING (HR9)"/>
    <tableColumn id="36" xr3:uid="{D8C11F2C-9D9C-4E6A-A375-390BD4FC212F}" name="LABEL PAINTING (HR9) SP."/>
    <tableColumn id="37" xr3:uid="{699C11F1-34BA-4391-9575-22E12AB8755F}" name="HR ROOM (HR10)"/>
    <tableColumn id="38" xr3:uid="{425D9274-CBCB-400B-BD3C-972D8BDD3627}" name="HR ROOM (HR10) SP."/>
    <tableColumn id="39" xr3:uid="{B1A27415-C9C1-4B32-BCA5-085297DE2650}" name="PACKING AREA (HR11/1-2)"/>
    <tableColumn id="40" xr3:uid="{602F1A8B-4900-4D44-87D3-BFEDAD5F5013}" name="PACKING AREA (HR11/1-2) SP."/>
    <tableColumn id="41" xr3:uid="{5A9BFC1A-D7BD-4A00-8673-BB572E43E589}" name="PACKING AREA (HR11/3-4)"/>
    <tableColumn id="42" xr3:uid="{86AA75CF-C2F9-4DD8-B6E9-A193BD7CAA2E}" name="PACKING AREA (HR11/3-4) SP."/>
    <tableColumn id="43" xr3:uid="{E4D4EB1F-6DDD-4459-8247-E88E3DE7E761}" name="PACKING AREA (HR11/5-6)"/>
    <tableColumn id="44" xr3:uid="{AF88BFB3-4070-4052-9E76-C5716D030091}" name="PACKING AREA (HR11/5-6) SP."/>
    <tableColumn id="45" xr3:uid="{4E2D8DD8-7B5D-4E0B-9E46-1BA486863B2B}" name="HR UTENSIL WASH UP (HR12)"/>
    <tableColumn id="46" xr3:uid="{D3C4531B-B3BB-4027-A09F-4C73296B0890}" name="HR UTENSIL WASH UP (HR12) SP."/>
    <tableColumn id="47" xr3:uid="{774C82F0-9561-453E-B6F7-9564A13BE222}" name="TROLLEY &amp; TREY WASH UP (HR13)"/>
    <tableColumn id="48" xr3:uid="{7696FE13-C30F-4767-9DB2-339067C32F1A}" name="TROLLEY &amp; TREY WASH UP (HR13) SP."/>
    <tableColumn id="49" xr3:uid="{A5BDFC1A-2EF1-488B-9042-B72FE3F63F19}" name="TROLLEY &amp; TREY WASH UP (HR14)"/>
    <tableColumn id="50" xr3:uid="{0D2A2D66-31D7-4913-8947-C9994ADFA48A}" name="TROLLEY &amp; TREY WASH UP (HR14) SP."/>
    <tableColumn id="51" xr3:uid="{1F6B985B-94E3-4E7F-8317-1238772AF0AA}" name="VACUUM PACKING (HR18)"/>
    <tableColumn id="52" xr3:uid="{97851A57-B9B0-4A78-BDDD-75429ECF476C}" name="VACUUM PACKING (HR18) SP."/>
    <tableColumn id="53" xr3:uid="{636B1C22-F9AD-412F-BBFC-793E26A79A4F}" name="HR UTENSIL (HR19)"/>
    <tableColumn id="54" xr3:uid="{2150CA34-8423-476B-963D-47B3AFC4F10A}" name="HR UTENSIL (HR19) SP.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AD82A-9693-465A-9157-F7C437968BD4}" name="TableOW" displayName="TableOW" ref="A1:AE1048575" totalsRowShown="0">
  <autoFilter ref="A1:AE1048575" xr:uid="{D5BAD82A-9693-465A-9157-F7C437968BD4}"/>
  <tableColumns count="31">
    <tableColumn id="1" xr3:uid="{0C9B5F03-4E80-4DE7-BC38-BD6E8893DBB2}" name="Time"/>
    <tableColumn id="2" xr3:uid="{4FA451D3-14D6-46AA-8B9A-480559EDDDCE}" name="FROZEN ROOM 1 (OW1/1)"/>
    <tableColumn id="3" xr3:uid="{57D0A94D-2316-4C65-BE0D-7374685FD691}" name="FROZEN ROOM 1 (OW1/1) Coil Temp"/>
    <tableColumn id="4" xr3:uid="{E30E20CB-0578-43C6-A039-F4E86D7CAD42}" name="FROZEN ROOM 1 (OW1/1) SP."/>
    <tableColumn id="5" xr3:uid="{9BE133DA-F0EE-4776-B7E3-6C0A826B6C9B}" name="FROZEN ROOM 1 (OW1/2)"/>
    <tableColumn id="6" xr3:uid="{70900BE3-CF10-45D7-B177-3A1197EA942B}" name="FROZEN ROOM 1 (OW1/2) Coil Temp"/>
    <tableColumn id="7" xr3:uid="{CC9EB6FD-E9AD-4F6E-893C-1699F34287A3}" name="FROZEN ROOM 1 (OW1/2) SP."/>
    <tableColumn id="8" xr3:uid="{5FD871A4-EF77-4C1A-9442-F1C456FBF9A7}" name="FROZEN ROOM 2 (OW2/1)"/>
    <tableColumn id="9" xr3:uid="{C67CFF8C-0671-4AA8-982D-C3D87F519AA3}" name="FROZEN ROOM 2 (OW2/1) Coil Temp"/>
    <tableColumn id="10" xr3:uid="{A65F61E6-D170-446A-BEA1-B8BADC3CF8AA}" name="FROZEN ROOM 2 (OW2/1) SP."/>
    <tableColumn id="11" xr3:uid="{FFC728AB-603C-4EBF-A6F3-4F4087C4291A}" name="FROZEN ROOM 2 (OW2/2)"/>
    <tableColumn id="12" xr3:uid="{81F34F83-061D-4D01-9416-2CA6CFA95EC6}" name="FROZEN ROOM 2 (OW2/2) Coil Temp"/>
    <tableColumn id="13" xr3:uid="{893811C7-D881-4BC5-B900-C7FF21D6FFD9}" name="FROZEN ROOM 2 (OW2/2) SP."/>
    <tableColumn id="14" xr3:uid="{A5D4CE47-F856-48E3-97DE-6F6766406004}" name="ANTE ROOM 3 (OW6/1)"/>
    <tableColumn id="15" xr3:uid="{B16F7336-3B6A-4ED8-8CB2-11ACA7D00260}" name="ANTE ROOM 3 (OW6/1) Coil Temp"/>
    <tableColumn id="16" xr3:uid="{2F87AE8A-7936-43D5-B180-5151BD00AA24}" name="ANTE ROOM 3 (OW6/1) SP."/>
    <tableColumn id="17" xr3:uid="{1EA7EE21-9C87-4E8D-9A6F-5453BEB17964}" name="ANTE ROOM 4 (OW6/2)"/>
    <tableColumn id="18" xr3:uid="{CE8171E8-21B9-4BAC-A2BF-022DC3A2ECC0}" name="ANTE ROOM 4 (OW6/2) Coil Temp"/>
    <tableColumn id="19" xr3:uid="{1838158A-E999-401F-9863-254FEF8F4027}" name="ANTE ROOM 4 (OW6/2) SP."/>
    <tableColumn id="20" xr3:uid="{1E37CAF8-657C-4E17-A070-EB7DA08200EC}" name="MANUAL PALLETISING (OW3/1-2)"/>
    <tableColumn id="21" xr3:uid="{C2992083-9BB5-4FD6-8D59-0E6242A03173}" name="MANUAL PALLETISING (OW3/1-2) SP."/>
    <tableColumn id="22" xr3:uid="{2B4854C0-BB05-434D-865B-213887E6A2C6}" name="MANUAL PALLETISING (OW3/3-4)"/>
    <tableColumn id="23" xr3:uid="{77259076-E3D1-4B20-9D3E-CC1F944955CA}" name="MANUAL PALLETISING (OW3/3-4) SP."/>
    <tableColumn id="24" xr3:uid="{8B290DF1-4F4F-484E-B555-96EEA0DB9404}" name="MANUAL PALLETISING (OW3/5-6)"/>
    <tableColumn id="25" xr3:uid="{DCF43236-6936-42F7-B2B8-2F96E391513B}" name="MANUAL PALLETISING (OW3/5-6) SP."/>
    <tableColumn id="26" xr3:uid="{F583BC61-EBE6-4B25-8B73-A9FF3E2B3777}" name="MANUAL PALLETISING (OW3/7)"/>
    <tableColumn id="27" xr3:uid="{C5C9145A-663B-4A45-A63A-F47A51CCD840}" name="MANUAL PALLETISING (OW3/7) SP."/>
    <tableColumn id="28" xr3:uid="{6C91BD5A-0CD6-431B-93D0-5E0FE9724026}" name="AMBIENT PACKING STORE (OW4/1)"/>
    <tableColumn id="29" xr3:uid="{51C5F6F1-EF44-4207-9ACD-C997DBC5145D}" name="AMBIENT PACKING STORE (OW4/1) SP."/>
    <tableColumn id="30" xr3:uid="{D2ABDD76-BB4D-417F-BB1D-3C502265F9B0}" name="AMBIENT PACKING STORE (OW4/2)"/>
    <tableColumn id="31" xr3:uid="{824813E8-B48C-4894-8A4F-DF34FE334565}" name="AMBIENT PACKING STORE (OW4/2) SP.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F3A16E-D79F-49EF-8907-E03160D101F4}" name="TableOW_Req" displayName="TableOW_Req" ref="A1:AE1048576" totalsRowShown="0" headerRowDxfId="21">
  <autoFilter ref="A1:AE1048576" xr:uid="{9FF3A16E-D79F-49EF-8907-E03160D101F4}"/>
  <tableColumns count="31">
    <tableColumn id="1" xr3:uid="{E2E415D4-7341-48B2-B2CA-092860CDC1E6}" name="Time"/>
    <tableColumn id="2" xr3:uid="{86C290F8-DD15-47B2-9CE0-594353600322}" name="FROZEN ROOM 1 (OW1/1)"/>
    <tableColumn id="3" xr3:uid="{3C2B0C97-E59B-4487-99B6-BF8F6594BFD9}" name="FROZEN ROOM 1 (OW1/1) Coil Temp"/>
    <tableColumn id="4" xr3:uid="{BAE6411D-A914-4497-8A97-45BF46553DE2}" name="FROZEN ROOM 1 (OW1/1) SP."/>
    <tableColumn id="5" xr3:uid="{ED6D6372-6F7A-454C-9E22-D839CD17F848}" name="FROZEN ROOM 1 (OW1/2)"/>
    <tableColumn id="6" xr3:uid="{EF0F1F4B-48C1-45DB-9D22-9C9CF9F69AF4}" name="FROZEN ROOM 1 (OW1/2) Coil Temp"/>
    <tableColumn id="7" xr3:uid="{45D973A0-AD82-4074-9CB0-96C5CFA7729B}" name="FROZEN ROOM 1 (OW1/2) SP."/>
    <tableColumn id="8" xr3:uid="{1090CEF6-D180-4342-B954-2A4D7B71C4C7}" name="FROZEN ROOM 2 (OW2/1)"/>
    <tableColumn id="9" xr3:uid="{3A45173E-6110-4000-9348-2E25AB05ED20}" name="FROZEN ROOM 2 (OW2/1) Coil Temp"/>
    <tableColumn id="10" xr3:uid="{A43AF997-D4CA-4DCD-B734-7F47521268E1}" name="FROZEN ROOM 2 (OW2/1) SP."/>
    <tableColumn id="11" xr3:uid="{498DC311-613F-4FF6-B14A-2BD076284BFB}" name="FROZEN ROOM 2 (OW2/2)"/>
    <tableColumn id="12" xr3:uid="{6D93E354-8AA3-462B-82A3-587E8D702909}" name="FROZEN ROOM 2 (OW2/2) Coil Temp"/>
    <tableColumn id="13" xr3:uid="{FF89C0F4-1A93-46BF-9B23-3A334D060FF1}" name="FROZEN ROOM 2 (OW2/2) SP."/>
    <tableColumn id="14" xr3:uid="{E9D61A9B-A29E-4457-9F0A-82E7DB49EB2B}" name="ANTE ROOM 3 (OW6/1)"/>
    <tableColumn id="15" xr3:uid="{78A5FC38-89C3-4F52-AC35-428971EC03FD}" name="ANTE ROOM 3 (OW6/1) Coil Temp"/>
    <tableColumn id="16" xr3:uid="{1068028C-B5BB-4585-8B8A-DFA69800EFFC}" name="ANTE ROOM 3 (OW6/1) SP."/>
    <tableColumn id="17" xr3:uid="{AC69D9C3-270C-4BDE-BA8A-170DECC44C9F}" name="ANTE ROOM 4 (OW6/2)"/>
    <tableColumn id="18" xr3:uid="{D5792CDE-A167-434C-A31E-1B076E5151C7}" name="ANTE ROOM 4 (OW6/2) Coil Temp"/>
    <tableColumn id="19" xr3:uid="{CD8D28D3-6998-4F18-87F7-58D05ABA3792}" name="ANTE ROOM 4 (OW6/2) SP."/>
    <tableColumn id="20" xr3:uid="{0517F4A9-6EA7-4709-8B6B-09443505C194}" name="MANUAL PALLETISING (OW3/1-2)"/>
    <tableColumn id="21" xr3:uid="{6CD75C3A-17BD-4C49-871A-ADAF381F0F40}" name="MANUAL PALLETISING (OW3/1-2) SP."/>
    <tableColumn id="22" xr3:uid="{22162F49-941D-4612-BEC6-F0F6569EA4BF}" name="MANUAL PALLETISING (OW3/3-4)"/>
    <tableColumn id="23" xr3:uid="{6A3B5A0E-BA00-4A8B-BBDC-55C6041467DB}" name="MANUAL PALLETISING (OW3/3-4) SP."/>
    <tableColumn id="24" xr3:uid="{E00DCB0D-3079-49BA-A27B-1F3AF3FC05F5}" name="MANUAL PALLETISING (OW3/5-6)"/>
    <tableColumn id="25" xr3:uid="{CE0CE257-9992-42C2-839A-CB750FE808BE}" name="MANUAL PALLETISING (OW3/5-6) SP."/>
    <tableColumn id="26" xr3:uid="{EFF71DC9-830D-4195-9B61-A50B5EA35F5C}" name="MANUAL PALLETISING (OW3/7)"/>
    <tableColumn id="27" xr3:uid="{194433E2-62A1-41D0-A45D-891D465BA698}" name="MANUAL PALLETISING (OW3/7) SP."/>
    <tableColumn id="28" xr3:uid="{AE3BF33B-4DA7-49A3-9B01-EC5B3469F3DB}" name="AMBIENT PACKING STORE (OW4/1)"/>
    <tableColumn id="29" xr3:uid="{0F5DDF67-665A-4B16-9344-8E150877AFA2}" name="AMBIENT PACKING STORE (OW4/1) SP."/>
    <tableColumn id="30" xr3:uid="{F5153147-B1D9-4560-84B3-C8E1725CF521}" name="AMBIENT PACKING STORE (OW4/2)"/>
    <tableColumn id="31" xr3:uid="{0798E02E-6D3D-4790-8CBE-6710D19C162A}" name="AMBIENT PACKING STORE (OW4/2) S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1C897-6426-4FF0-9ADA-3D9C6F1CF2AC}">
  <dimension ref="A1:L239"/>
  <sheetViews>
    <sheetView topLeftCell="B1" zoomScale="85" zoomScaleNormal="85" workbookViewId="0">
      <selection activeCell="H1" sqref="H1:H1048576"/>
    </sheetView>
  </sheetViews>
  <sheetFormatPr defaultRowHeight="14.5" x14ac:dyDescent="0.35"/>
  <cols>
    <col min="2" max="2" width="39.6328125" customWidth="1"/>
    <col min="3" max="3" width="10.36328125" style="7" customWidth="1"/>
    <col min="4" max="4" width="11" style="7" customWidth="1"/>
    <col min="5" max="5" width="14.54296875" style="7" customWidth="1"/>
    <col min="6" max="7" width="11" customWidth="1"/>
    <col min="8" max="8" width="22.36328125" customWidth="1"/>
    <col min="9" max="10" width="11" customWidth="1"/>
    <col min="11" max="11" width="22.36328125" customWidth="1"/>
    <col min="12" max="12" width="30.6328125" customWidth="1"/>
  </cols>
  <sheetData>
    <row r="1" spans="1:12" ht="58" x14ac:dyDescent="0.35">
      <c r="A1" s="3" t="s">
        <v>199</v>
      </c>
      <c r="B1" s="3" t="s">
        <v>200</v>
      </c>
      <c r="C1" s="4" t="s">
        <v>201</v>
      </c>
      <c r="D1" s="4" t="s">
        <v>202</v>
      </c>
      <c r="E1" s="4" t="s">
        <v>303</v>
      </c>
      <c r="F1" s="4" t="s">
        <v>313</v>
      </c>
      <c r="G1" s="4" t="s">
        <v>296</v>
      </c>
      <c r="H1" s="4" t="s">
        <v>300</v>
      </c>
      <c r="I1" s="4" t="s">
        <v>263</v>
      </c>
      <c r="J1" s="4" t="s">
        <v>264</v>
      </c>
      <c r="K1" s="4" t="s">
        <v>299</v>
      </c>
      <c r="L1" s="5" t="s">
        <v>203</v>
      </c>
    </row>
    <row r="2" spans="1:12" x14ac:dyDescent="0.35">
      <c r="A2" s="3">
        <v>1</v>
      </c>
      <c r="B2" s="6" t="s">
        <v>1</v>
      </c>
      <c r="C2" s="3" t="s">
        <v>204</v>
      </c>
      <c r="D2" s="12" t="s">
        <v>205</v>
      </c>
      <c r="E2" s="7">
        <v>-20</v>
      </c>
      <c r="F2" s="3">
        <f ca="1">IFERROR(INDEX(INDIRECT("Table"&amp;$D2&amp;"_Req"), 1, MATCH(TRIM(SUBSTITUTE($B2, " Coil Temp", "")) &amp; " SP*", INDIRECT("Table"&amp;$D2&amp;"_Req[#Headers]"), 0)), "N/A")</f>
        <v>-20</v>
      </c>
      <c r="G2" s="3">
        <f ca="1">IFERROR(INDEX(INDIRECT("Table"&amp;$D2), MATCH(9.9E+307, INDIRECT("Table"&amp;$D2&amp;"[Time]")), MATCH(SUBSTITUTE(SUBSTITUTE($B2," Coil Temp.","")," Coil Temp","")&amp;" SP*", INDIRECT("Table"&amp;$D2&amp;"[#Headers]"), 0)), "N/A")</f>
        <v>-25</v>
      </c>
      <c r="H2" s="3" t="str">
        <f ca="1">IF(F2=G2, "Y", "N")</f>
        <v>N</v>
      </c>
      <c r="I2" s="3">
        <f ca="1">IFERROR(INDEX(INDIRECT("Table"&amp;$D2), MATCH(9.9E+307, INDIRECT("Table"&amp;$D2&amp;"[Time]")), MATCH($B2, INDIRECT("Table"&amp;$D2&amp;"[#Headers]"), 0)), "N/A")</f>
        <v>-16.899999999999999</v>
      </c>
      <c r="J2" s="3">
        <f t="shared" ref="J2:J33" ca="1" si="0">SUM(I2-G2)</f>
        <v>8.1000000000000014</v>
      </c>
      <c r="K2" s="3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L2" s="10"/>
    </row>
    <row r="3" spans="1:12" x14ac:dyDescent="0.35">
      <c r="A3" s="3">
        <v>2</v>
      </c>
      <c r="B3" s="6" t="s">
        <v>2</v>
      </c>
      <c r="C3" s="3" t="s">
        <v>204</v>
      </c>
      <c r="D3" s="12" t="s">
        <v>205</v>
      </c>
      <c r="E3" s="7">
        <v>-20</v>
      </c>
      <c r="F3" s="3">
        <f t="shared" ref="F3:F66" ca="1" si="1">IFERROR(INDEX(INDIRECT("Table"&amp;$D3&amp;"_Req"), 1, MATCH(TRIM(SUBSTITUTE($B3, " Coil Temp", "")) &amp; " SP*", INDIRECT("Table"&amp;$D3&amp;"_Req[#Headers]"), 0)), "N/A")</f>
        <v>-20</v>
      </c>
      <c r="G3" s="3">
        <f t="shared" ref="G3:G51" ca="1" si="2">IFERROR(INDEX(INDIRECT("Table"&amp;$D3), MATCH(9.9E+307, INDIRECT("Table"&amp;$D3&amp;"[Time]")), MATCH(SUBSTITUTE(SUBSTITUTE($B3," Coil Temp.","")," Coil Temp","")&amp;" SP*", INDIRECT("Table"&amp;$D3&amp;"[#Headers]"), 0)), "N/A")</f>
        <v>-25</v>
      </c>
      <c r="H3" s="3" t="str">
        <f t="shared" ref="H3:H66" ca="1" si="3">IF(F3=G3, "Y", "N")</f>
        <v>N</v>
      </c>
      <c r="I3" s="3">
        <f t="shared" ref="I3:I51" ca="1" si="4">IFERROR(INDEX(INDIRECT("Table"&amp;$D3), MATCH(9.9E+307, INDIRECT("Table"&amp;$D3&amp;"[Time]")), MATCH($B3, INDIRECT("Table"&amp;$D3&amp;"[#Headers]"), 0)), "N/A")</f>
        <v>-16.8</v>
      </c>
      <c r="J3" s="3">
        <f t="shared" ca="1" si="0"/>
        <v>8.1999999999999993</v>
      </c>
      <c r="K3" s="3" t="str">
        <f t="shared" ref="K3:K51" ca="1" si="5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L3" s="10"/>
    </row>
    <row r="4" spans="1:12" x14ac:dyDescent="0.35">
      <c r="A4" s="3">
        <v>3</v>
      </c>
      <c r="B4" s="6" t="s">
        <v>4</v>
      </c>
      <c r="C4" s="3" t="s">
        <v>204</v>
      </c>
      <c r="D4" s="12" t="s">
        <v>205</v>
      </c>
      <c r="E4" s="7">
        <v>-20</v>
      </c>
      <c r="F4" s="3">
        <f t="shared" ca="1" si="1"/>
        <v>-20</v>
      </c>
      <c r="G4" s="3">
        <f ca="1">IFERROR(INDEX(INDIRECT("Table"&amp;$D4), MATCH(9.9E+307, INDIRECT("Table"&amp;$D4&amp;"[Time]")), MATCH(SUBSTITUTE(SUBSTITUTE($B4," Coil Temp.","")," Coil Temp","")&amp;" SP*", INDIRECT("Table"&amp;$D4&amp;"[#Headers]"), 0)), "N/A")</f>
        <v>-25</v>
      </c>
      <c r="H4" s="3" t="str">
        <f t="shared" ca="1" si="3"/>
        <v>N</v>
      </c>
      <c r="I4" s="3">
        <f t="shared" ca="1" si="4"/>
        <v>-16.7</v>
      </c>
      <c r="J4" s="3">
        <f t="shared" ca="1" si="0"/>
        <v>8.3000000000000007</v>
      </c>
      <c r="K4" s="3" t="str">
        <f t="shared" ca="1" si="5"/>
        <v>N</v>
      </c>
      <c r="L4" s="10"/>
    </row>
    <row r="5" spans="1:12" x14ac:dyDescent="0.35">
      <c r="A5" s="3">
        <v>4</v>
      </c>
      <c r="B5" s="6" t="s">
        <v>5</v>
      </c>
      <c r="C5" s="3" t="s">
        <v>204</v>
      </c>
      <c r="D5" s="12" t="s">
        <v>205</v>
      </c>
      <c r="E5" s="7">
        <v>-20</v>
      </c>
      <c r="F5" s="3">
        <f t="shared" ca="1" si="1"/>
        <v>-20</v>
      </c>
      <c r="G5" s="3">
        <f t="shared" ca="1" si="2"/>
        <v>-25</v>
      </c>
      <c r="H5" s="3" t="str">
        <f t="shared" ca="1" si="3"/>
        <v>N</v>
      </c>
      <c r="I5" s="3">
        <f t="shared" ca="1" si="4"/>
        <v>-17</v>
      </c>
      <c r="J5" s="3">
        <f t="shared" ca="1" si="0"/>
        <v>8</v>
      </c>
      <c r="K5" s="3" t="str">
        <f t="shared" ca="1" si="5"/>
        <v>N</v>
      </c>
      <c r="L5" s="10"/>
    </row>
    <row r="6" spans="1:12" x14ac:dyDescent="0.35">
      <c r="A6" s="3">
        <v>5</v>
      </c>
      <c r="B6" s="6" t="s">
        <v>7</v>
      </c>
      <c r="C6" s="3" t="s">
        <v>207</v>
      </c>
      <c r="D6" s="12" t="s">
        <v>205</v>
      </c>
      <c r="E6" s="7">
        <v>-20</v>
      </c>
      <c r="F6" s="3">
        <f t="shared" ca="1" si="1"/>
        <v>-20</v>
      </c>
      <c r="G6" s="3">
        <f t="shared" ca="1" si="2"/>
        <v>-25</v>
      </c>
      <c r="H6" s="3" t="str">
        <f t="shared" ca="1" si="3"/>
        <v>N</v>
      </c>
      <c r="I6" s="3">
        <f t="shared" ca="1" si="4"/>
        <v>-17.100000000000001</v>
      </c>
      <c r="J6" s="3">
        <f t="shared" ca="1" si="0"/>
        <v>7.8999999999999986</v>
      </c>
      <c r="K6" s="3" t="str">
        <f t="shared" ca="1" si="5"/>
        <v>N</v>
      </c>
      <c r="L6" s="10"/>
    </row>
    <row r="7" spans="1:12" x14ac:dyDescent="0.35">
      <c r="A7" s="3">
        <v>6</v>
      </c>
      <c r="B7" s="6" t="s">
        <v>8</v>
      </c>
      <c r="C7" s="3" t="s">
        <v>207</v>
      </c>
      <c r="D7" s="12" t="s">
        <v>205</v>
      </c>
      <c r="E7" s="7">
        <v>-20</v>
      </c>
      <c r="F7" s="3">
        <f t="shared" ca="1" si="1"/>
        <v>-20</v>
      </c>
      <c r="G7" s="3">
        <f t="shared" ca="1" si="2"/>
        <v>-25</v>
      </c>
      <c r="H7" s="3" t="str">
        <f t="shared" ca="1" si="3"/>
        <v>N</v>
      </c>
      <c r="I7" s="3">
        <f t="shared" ca="1" si="4"/>
        <v>-14</v>
      </c>
      <c r="J7" s="3">
        <f t="shared" ca="1" si="0"/>
        <v>11</v>
      </c>
      <c r="K7" s="3" t="str">
        <f t="shared" ca="1" si="5"/>
        <v>N</v>
      </c>
      <c r="L7" s="10"/>
    </row>
    <row r="8" spans="1:12" x14ac:dyDescent="0.35">
      <c r="A8" s="3">
        <v>7</v>
      </c>
      <c r="B8" s="6" t="s">
        <v>10</v>
      </c>
      <c r="C8" s="3" t="s">
        <v>207</v>
      </c>
      <c r="D8" s="12" t="s">
        <v>205</v>
      </c>
      <c r="E8" s="7">
        <v>-20</v>
      </c>
      <c r="F8" s="3">
        <f t="shared" ca="1" si="1"/>
        <v>-20</v>
      </c>
      <c r="G8" s="3">
        <f t="shared" ca="1" si="2"/>
        <v>-25</v>
      </c>
      <c r="H8" s="3" t="str">
        <f t="shared" ca="1" si="3"/>
        <v>N</v>
      </c>
      <c r="I8" s="3">
        <f t="shared" ca="1" si="4"/>
        <v>-16.600000000000001</v>
      </c>
      <c r="J8" s="3">
        <f t="shared" ca="1" si="0"/>
        <v>8.3999999999999986</v>
      </c>
      <c r="K8" s="3" t="str">
        <f t="shared" ca="1" si="5"/>
        <v>N</v>
      </c>
      <c r="L8" s="10"/>
    </row>
    <row r="9" spans="1:12" x14ac:dyDescent="0.35">
      <c r="A9" s="3">
        <v>8</v>
      </c>
      <c r="B9" s="6" t="s">
        <v>11</v>
      </c>
      <c r="C9" s="3" t="s">
        <v>207</v>
      </c>
      <c r="D9" s="12" t="s">
        <v>205</v>
      </c>
      <c r="E9" s="7">
        <v>-20</v>
      </c>
      <c r="F9" s="3">
        <f t="shared" ca="1" si="1"/>
        <v>-20</v>
      </c>
      <c r="G9" s="3">
        <f t="shared" ca="1" si="2"/>
        <v>-25</v>
      </c>
      <c r="H9" s="3" t="str">
        <f t="shared" ca="1" si="3"/>
        <v>N</v>
      </c>
      <c r="I9" s="3">
        <f t="shared" ca="1" si="4"/>
        <v>-17.5</v>
      </c>
      <c r="J9" s="3">
        <f t="shared" ca="1" si="0"/>
        <v>7.5</v>
      </c>
      <c r="K9" s="3" t="str">
        <f t="shared" ca="1" si="5"/>
        <v>N</v>
      </c>
      <c r="L9" s="10"/>
    </row>
    <row r="10" spans="1:12" x14ac:dyDescent="0.35">
      <c r="A10" s="3">
        <v>9</v>
      </c>
      <c r="B10" s="6" t="s">
        <v>13</v>
      </c>
      <c r="C10" s="3" t="s">
        <v>206</v>
      </c>
      <c r="D10" s="12" t="s">
        <v>205</v>
      </c>
      <c r="E10" s="7">
        <v>-20</v>
      </c>
      <c r="F10" s="3">
        <f t="shared" ca="1" si="1"/>
        <v>-20</v>
      </c>
      <c r="G10" s="3">
        <f t="shared" ca="1" si="2"/>
        <v>-25</v>
      </c>
      <c r="H10" s="3" t="str">
        <f t="shared" ca="1" si="3"/>
        <v>N</v>
      </c>
      <c r="I10" s="3">
        <f t="shared" ca="1" si="4"/>
        <v>-18.2</v>
      </c>
      <c r="J10" s="3">
        <f t="shared" ca="1" si="0"/>
        <v>6.8000000000000007</v>
      </c>
      <c r="K10" s="3" t="str">
        <f t="shared" ca="1" si="5"/>
        <v>N</v>
      </c>
      <c r="L10" s="10"/>
    </row>
    <row r="11" spans="1:12" x14ac:dyDescent="0.35">
      <c r="A11" s="3">
        <v>10</v>
      </c>
      <c r="B11" s="6" t="s">
        <v>14</v>
      </c>
      <c r="C11" s="3" t="s">
        <v>206</v>
      </c>
      <c r="D11" s="12" t="s">
        <v>205</v>
      </c>
      <c r="E11" s="7">
        <v>-20</v>
      </c>
      <c r="F11" s="3">
        <f t="shared" ca="1" si="1"/>
        <v>-20</v>
      </c>
      <c r="G11" s="3">
        <f t="shared" ca="1" si="2"/>
        <v>-25</v>
      </c>
      <c r="H11" s="3" t="str">
        <f t="shared" ca="1" si="3"/>
        <v>N</v>
      </c>
      <c r="I11" s="3">
        <f t="shared" ca="1" si="4"/>
        <v>-19</v>
      </c>
      <c r="J11" s="3">
        <f t="shared" ca="1" si="0"/>
        <v>6</v>
      </c>
      <c r="K11" s="3" t="str">
        <f t="shared" ca="1" si="5"/>
        <v>N</v>
      </c>
      <c r="L11" s="10"/>
    </row>
    <row r="12" spans="1:12" x14ac:dyDescent="0.35">
      <c r="A12" s="3">
        <v>11</v>
      </c>
      <c r="B12" s="6" t="s">
        <v>16</v>
      </c>
      <c r="C12" s="3" t="s">
        <v>206</v>
      </c>
      <c r="D12" s="12" t="s">
        <v>205</v>
      </c>
      <c r="E12" s="7">
        <v>-20</v>
      </c>
      <c r="F12" s="3">
        <f t="shared" ca="1" si="1"/>
        <v>-20</v>
      </c>
      <c r="G12" s="3">
        <f t="shared" ca="1" si="2"/>
        <v>-25</v>
      </c>
      <c r="H12" s="3" t="str">
        <f t="shared" ca="1" si="3"/>
        <v>N</v>
      </c>
      <c r="I12" s="3">
        <f t="shared" ca="1" si="4"/>
        <v>-15.3</v>
      </c>
      <c r="J12" s="3">
        <f t="shared" ca="1" si="0"/>
        <v>9.6999999999999993</v>
      </c>
      <c r="K12" s="3" t="str">
        <f t="shared" ca="1" si="5"/>
        <v>N</v>
      </c>
      <c r="L12" s="10"/>
    </row>
    <row r="13" spans="1:12" x14ac:dyDescent="0.35">
      <c r="A13" s="3">
        <v>12</v>
      </c>
      <c r="B13" s="6" t="s">
        <v>17</v>
      </c>
      <c r="C13" s="3" t="s">
        <v>206</v>
      </c>
      <c r="D13" s="12" t="s">
        <v>205</v>
      </c>
      <c r="E13" s="7">
        <v>-20</v>
      </c>
      <c r="F13" s="3">
        <f t="shared" ca="1" si="1"/>
        <v>-20</v>
      </c>
      <c r="G13" s="3">
        <f t="shared" ca="1" si="2"/>
        <v>-25</v>
      </c>
      <c r="H13" s="3" t="str">
        <f t="shared" ca="1" si="3"/>
        <v>N</v>
      </c>
      <c r="I13" s="3">
        <f t="shared" ca="1" si="4"/>
        <v>12.2</v>
      </c>
      <c r="J13" s="3">
        <f t="shared" ca="1" si="0"/>
        <v>37.200000000000003</v>
      </c>
      <c r="K13" s="3" t="str">
        <f t="shared" ca="1" si="5"/>
        <v>N</v>
      </c>
      <c r="L13" s="10"/>
    </row>
    <row r="14" spans="1:12" x14ac:dyDescent="0.35">
      <c r="A14" s="3">
        <v>13</v>
      </c>
      <c r="B14" s="6" t="s">
        <v>19</v>
      </c>
      <c r="C14" s="3" t="s">
        <v>208</v>
      </c>
      <c r="D14" s="12" t="s">
        <v>205</v>
      </c>
      <c r="E14" s="7" t="s">
        <v>309</v>
      </c>
      <c r="F14" s="3">
        <f t="shared" ca="1" si="1"/>
        <v>3</v>
      </c>
      <c r="G14" s="3">
        <f t="shared" ca="1" si="2"/>
        <v>2</v>
      </c>
      <c r="H14" s="3" t="str">
        <f t="shared" ca="1" si="3"/>
        <v>N</v>
      </c>
      <c r="I14" s="3">
        <f t="shared" ca="1" si="4"/>
        <v>2.2000000000000002</v>
      </c>
      <c r="J14" s="3">
        <f t="shared" ca="1" si="0"/>
        <v>0.20000000000000018</v>
      </c>
      <c r="K14" s="3" t="str">
        <f t="shared" ca="1" si="5"/>
        <v>Y</v>
      </c>
      <c r="L14" s="10"/>
    </row>
    <row r="15" spans="1:12" x14ac:dyDescent="0.35">
      <c r="A15" s="3">
        <v>14</v>
      </c>
      <c r="B15" s="6" t="s">
        <v>20</v>
      </c>
      <c r="C15" s="3" t="s">
        <v>208</v>
      </c>
      <c r="D15" s="12" t="s">
        <v>205</v>
      </c>
      <c r="E15" s="7" t="s">
        <v>309</v>
      </c>
      <c r="F15" s="3">
        <f t="shared" ca="1" si="1"/>
        <v>3</v>
      </c>
      <c r="G15" s="3">
        <f t="shared" ca="1" si="2"/>
        <v>2</v>
      </c>
      <c r="H15" s="3" t="str">
        <f t="shared" ca="1" si="3"/>
        <v>N</v>
      </c>
      <c r="I15" s="3">
        <f t="shared" ca="1" si="4"/>
        <v>2</v>
      </c>
      <c r="J15" s="3">
        <f t="shared" ca="1" si="0"/>
        <v>0</v>
      </c>
      <c r="K15" s="3" t="str">
        <f t="shared" ca="1" si="5"/>
        <v>Y</v>
      </c>
      <c r="L15" s="10"/>
    </row>
    <row r="16" spans="1:12" x14ac:dyDescent="0.35">
      <c r="A16" s="3">
        <v>15</v>
      </c>
      <c r="B16" s="6" t="s">
        <v>22</v>
      </c>
      <c r="C16" s="3" t="s">
        <v>208</v>
      </c>
      <c r="D16" s="12" t="s">
        <v>205</v>
      </c>
      <c r="E16" s="7" t="s">
        <v>309</v>
      </c>
      <c r="F16" s="3">
        <f t="shared" ca="1" si="1"/>
        <v>3</v>
      </c>
      <c r="G16" s="3">
        <f t="shared" ca="1" si="2"/>
        <v>2</v>
      </c>
      <c r="H16" s="3" t="str">
        <f t="shared" ca="1" si="3"/>
        <v>N</v>
      </c>
      <c r="I16" s="3">
        <f t="shared" ca="1" si="4"/>
        <v>2.2000000000000002</v>
      </c>
      <c r="J16" s="3">
        <f t="shared" ca="1" si="0"/>
        <v>0.20000000000000018</v>
      </c>
      <c r="K16" s="3" t="str">
        <f t="shared" ca="1" si="5"/>
        <v>Y</v>
      </c>
      <c r="L16" s="10"/>
    </row>
    <row r="17" spans="1:12" x14ac:dyDescent="0.35">
      <c r="A17" s="3">
        <v>16</v>
      </c>
      <c r="B17" s="6" t="s">
        <v>23</v>
      </c>
      <c r="C17" s="3" t="s">
        <v>208</v>
      </c>
      <c r="D17" s="12" t="s">
        <v>205</v>
      </c>
      <c r="E17" s="7" t="s">
        <v>309</v>
      </c>
      <c r="F17" s="3">
        <f t="shared" ca="1" si="1"/>
        <v>3</v>
      </c>
      <c r="G17" s="3">
        <f t="shared" ca="1" si="2"/>
        <v>2</v>
      </c>
      <c r="H17" s="3" t="str">
        <f t="shared" ca="1" si="3"/>
        <v>N</v>
      </c>
      <c r="I17" s="3">
        <f t="shared" ca="1" si="4"/>
        <v>1.9</v>
      </c>
      <c r="J17" s="3">
        <f t="shared" ca="1" si="0"/>
        <v>-0.10000000000000009</v>
      </c>
      <c r="K17" s="3" t="str">
        <f t="shared" ca="1" si="5"/>
        <v>Y</v>
      </c>
      <c r="L17" s="10"/>
    </row>
    <row r="18" spans="1:12" x14ac:dyDescent="0.35">
      <c r="A18" s="3">
        <v>17</v>
      </c>
      <c r="B18" s="6" t="s">
        <v>25</v>
      </c>
      <c r="C18" s="3" t="s">
        <v>209</v>
      </c>
      <c r="D18" s="12" t="s">
        <v>205</v>
      </c>
      <c r="E18" s="7" t="s">
        <v>309</v>
      </c>
      <c r="F18" s="3">
        <f t="shared" ca="1" si="1"/>
        <v>3</v>
      </c>
      <c r="G18" s="3">
        <f t="shared" ca="1" si="2"/>
        <v>2</v>
      </c>
      <c r="H18" s="3" t="str">
        <f t="shared" ca="1" si="3"/>
        <v>N</v>
      </c>
      <c r="I18" s="3">
        <f t="shared" ca="1" si="4"/>
        <v>3.8</v>
      </c>
      <c r="J18" s="3">
        <f t="shared" ca="1" si="0"/>
        <v>1.7999999999999998</v>
      </c>
      <c r="K18" s="3" t="str">
        <f t="shared" ca="1" si="5"/>
        <v>Y</v>
      </c>
      <c r="L18" s="10"/>
    </row>
    <row r="19" spans="1:12" x14ac:dyDescent="0.35">
      <c r="A19" s="3">
        <v>18</v>
      </c>
      <c r="B19" s="6" t="s">
        <v>26</v>
      </c>
      <c r="C19" s="3" t="s">
        <v>209</v>
      </c>
      <c r="D19" s="12" t="s">
        <v>205</v>
      </c>
      <c r="E19" s="7" t="s">
        <v>309</v>
      </c>
      <c r="F19" s="3">
        <f t="shared" ca="1" si="1"/>
        <v>3</v>
      </c>
      <c r="G19" s="3">
        <f t="shared" ca="1" si="2"/>
        <v>2</v>
      </c>
      <c r="H19" s="3" t="str">
        <f t="shared" ca="1" si="3"/>
        <v>N</v>
      </c>
      <c r="I19" s="3">
        <f t="shared" ca="1" si="4"/>
        <v>3.3</v>
      </c>
      <c r="J19" s="3">
        <f t="shared" ca="1" si="0"/>
        <v>1.2999999999999998</v>
      </c>
      <c r="K19" s="3" t="str">
        <f t="shared" ca="1" si="5"/>
        <v>Y</v>
      </c>
      <c r="L19" s="10"/>
    </row>
    <row r="20" spans="1:12" x14ac:dyDescent="0.35">
      <c r="A20" s="3">
        <v>19</v>
      </c>
      <c r="B20" s="6" t="s">
        <v>28</v>
      </c>
      <c r="C20" s="3" t="s">
        <v>209</v>
      </c>
      <c r="D20" s="12" t="s">
        <v>205</v>
      </c>
      <c r="E20" s="7" t="s">
        <v>309</v>
      </c>
      <c r="F20" s="3">
        <f t="shared" ca="1" si="1"/>
        <v>3</v>
      </c>
      <c r="G20" s="3">
        <f t="shared" ca="1" si="2"/>
        <v>2</v>
      </c>
      <c r="H20" s="3" t="str">
        <f t="shared" ca="1" si="3"/>
        <v>N</v>
      </c>
      <c r="I20" s="3">
        <f t="shared" ca="1" si="4"/>
        <v>3.4</v>
      </c>
      <c r="J20" s="3">
        <f t="shared" ca="1" si="0"/>
        <v>1.4</v>
      </c>
      <c r="K20" s="3" t="str">
        <f t="shared" ca="1" si="5"/>
        <v>Y</v>
      </c>
      <c r="L20" s="10"/>
    </row>
    <row r="21" spans="1:12" x14ac:dyDescent="0.35">
      <c r="A21" s="3">
        <v>20</v>
      </c>
      <c r="B21" s="6" t="s">
        <v>29</v>
      </c>
      <c r="C21" s="3" t="s">
        <v>209</v>
      </c>
      <c r="D21" s="12" t="s">
        <v>205</v>
      </c>
      <c r="E21" s="7" t="s">
        <v>309</v>
      </c>
      <c r="F21" s="3">
        <f t="shared" ca="1" si="1"/>
        <v>3</v>
      </c>
      <c r="G21" s="3">
        <f t="shared" ca="1" si="2"/>
        <v>2</v>
      </c>
      <c r="H21" s="3" t="str">
        <f t="shared" ca="1" si="3"/>
        <v>N</v>
      </c>
      <c r="I21" s="3">
        <f t="shared" ca="1" si="4"/>
        <v>2.5</v>
      </c>
      <c r="J21" s="3">
        <f t="shared" ca="1" si="0"/>
        <v>0.5</v>
      </c>
      <c r="K21" s="3" t="str">
        <f t="shared" ca="1" si="5"/>
        <v>Y</v>
      </c>
      <c r="L21" s="10"/>
    </row>
    <row r="22" spans="1:12" x14ac:dyDescent="0.35">
      <c r="A22" s="3">
        <v>21</v>
      </c>
      <c r="B22" s="6" t="s">
        <v>31</v>
      </c>
      <c r="C22" s="3" t="s">
        <v>210</v>
      </c>
      <c r="D22" s="12" t="s">
        <v>205</v>
      </c>
      <c r="E22" s="7" t="s">
        <v>309</v>
      </c>
      <c r="F22" s="3">
        <f t="shared" ca="1" si="1"/>
        <v>3</v>
      </c>
      <c r="G22" s="3">
        <f t="shared" ca="1" si="2"/>
        <v>2</v>
      </c>
      <c r="H22" s="3" t="str">
        <f t="shared" ca="1" si="3"/>
        <v>N</v>
      </c>
      <c r="I22" s="3">
        <f t="shared" ca="1" si="4"/>
        <v>3.5</v>
      </c>
      <c r="J22" s="3">
        <f t="shared" ca="1" si="0"/>
        <v>1.5</v>
      </c>
      <c r="K22" s="3" t="str">
        <f t="shared" ca="1" si="5"/>
        <v>Y</v>
      </c>
      <c r="L22" s="10"/>
    </row>
    <row r="23" spans="1:12" x14ac:dyDescent="0.35">
      <c r="A23" s="3">
        <v>22</v>
      </c>
      <c r="B23" s="6" t="s">
        <v>32</v>
      </c>
      <c r="C23" s="3" t="s">
        <v>210</v>
      </c>
      <c r="D23" s="12" t="s">
        <v>205</v>
      </c>
      <c r="E23" s="7" t="s">
        <v>309</v>
      </c>
      <c r="F23" s="3">
        <f t="shared" ca="1" si="1"/>
        <v>3</v>
      </c>
      <c r="G23" s="3">
        <f t="shared" ca="1" si="2"/>
        <v>2</v>
      </c>
      <c r="H23" s="3" t="str">
        <f t="shared" ca="1" si="3"/>
        <v>N</v>
      </c>
      <c r="I23" s="3">
        <f t="shared" ca="1" si="4"/>
        <v>3.1</v>
      </c>
      <c r="J23" s="3">
        <f t="shared" ca="1" si="0"/>
        <v>1.1000000000000001</v>
      </c>
      <c r="K23" s="3" t="str">
        <f t="shared" ca="1" si="5"/>
        <v>Y</v>
      </c>
      <c r="L23" s="10"/>
    </row>
    <row r="24" spans="1:12" x14ac:dyDescent="0.35">
      <c r="A24" s="3">
        <v>23</v>
      </c>
      <c r="B24" s="6" t="s">
        <v>34</v>
      </c>
      <c r="C24" s="3" t="s">
        <v>210</v>
      </c>
      <c r="D24" s="12" t="s">
        <v>205</v>
      </c>
      <c r="E24" s="7" t="s">
        <v>309</v>
      </c>
      <c r="F24" s="3">
        <f t="shared" ca="1" si="1"/>
        <v>3</v>
      </c>
      <c r="G24" s="3">
        <f t="shared" ca="1" si="2"/>
        <v>2</v>
      </c>
      <c r="H24" s="3" t="str">
        <f t="shared" ca="1" si="3"/>
        <v>N</v>
      </c>
      <c r="I24" s="3">
        <f t="shared" ca="1" si="4"/>
        <v>3.3</v>
      </c>
      <c r="J24" s="3">
        <f t="shared" ca="1" si="0"/>
        <v>1.2999999999999998</v>
      </c>
      <c r="K24" s="3" t="str">
        <f t="shared" ca="1" si="5"/>
        <v>Y</v>
      </c>
      <c r="L24" s="10"/>
    </row>
    <row r="25" spans="1:12" x14ac:dyDescent="0.35">
      <c r="A25" s="3">
        <v>24</v>
      </c>
      <c r="B25" s="6" t="s">
        <v>35</v>
      </c>
      <c r="C25" s="3" t="s">
        <v>210</v>
      </c>
      <c r="D25" s="12" t="s">
        <v>205</v>
      </c>
      <c r="E25" s="7" t="s">
        <v>309</v>
      </c>
      <c r="F25" s="3">
        <f t="shared" ca="1" si="1"/>
        <v>3</v>
      </c>
      <c r="G25" s="3">
        <f t="shared" ca="1" si="2"/>
        <v>2</v>
      </c>
      <c r="H25" s="3" t="str">
        <f t="shared" ca="1" si="3"/>
        <v>N</v>
      </c>
      <c r="I25" s="3">
        <f t="shared" ca="1" si="4"/>
        <v>2</v>
      </c>
      <c r="J25" s="3">
        <f t="shared" ca="1" si="0"/>
        <v>0</v>
      </c>
      <c r="K25" s="3" t="str">
        <f t="shared" ca="1" si="5"/>
        <v>Y</v>
      </c>
      <c r="L25" s="10"/>
    </row>
    <row r="26" spans="1:12" x14ac:dyDescent="0.35">
      <c r="A26" s="3">
        <v>25</v>
      </c>
      <c r="B26" s="6" t="s">
        <v>37</v>
      </c>
      <c r="C26" s="3" t="s">
        <v>319</v>
      </c>
      <c r="D26" s="12" t="s">
        <v>205</v>
      </c>
      <c r="E26" s="7" t="s">
        <v>310</v>
      </c>
      <c r="F26" s="3">
        <f t="shared" ca="1" si="1"/>
        <v>4</v>
      </c>
      <c r="G26" s="3">
        <f t="shared" ca="1" si="2"/>
        <v>4</v>
      </c>
      <c r="H26" s="3" t="str">
        <f t="shared" ca="1" si="3"/>
        <v>Y</v>
      </c>
      <c r="I26" s="3">
        <f t="shared" ca="1" si="4"/>
        <v>3.9</v>
      </c>
      <c r="J26" s="3">
        <f t="shared" ca="1" si="0"/>
        <v>-0.10000000000000009</v>
      </c>
      <c r="K26" s="3" t="str">
        <f t="shared" ca="1" si="5"/>
        <v>Y</v>
      </c>
      <c r="L26" s="10"/>
    </row>
    <row r="27" spans="1:12" x14ac:dyDescent="0.35">
      <c r="A27" s="3">
        <v>26</v>
      </c>
      <c r="B27" s="6" t="s">
        <v>39</v>
      </c>
      <c r="C27" s="3" t="s">
        <v>318</v>
      </c>
      <c r="D27" s="12" t="s">
        <v>205</v>
      </c>
      <c r="E27" s="7" t="s">
        <v>310</v>
      </c>
      <c r="F27" s="3">
        <f t="shared" ca="1" si="1"/>
        <v>4</v>
      </c>
      <c r="G27" s="3">
        <f t="shared" ca="1" si="2"/>
        <v>4</v>
      </c>
      <c r="H27" s="3" t="str">
        <f t="shared" ca="1" si="3"/>
        <v>Y</v>
      </c>
      <c r="I27" s="3">
        <f t="shared" ca="1" si="4"/>
        <v>4.5</v>
      </c>
      <c r="J27" s="3">
        <f t="shared" ca="1" si="0"/>
        <v>0.5</v>
      </c>
      <c r="K27" s="3" t="str">
        <f t="shared" ca="1" si="5"/>
        <v>Y</v>
      </c>
      <c r="L27" s="10"/>
    </row>
    <row r="28" spans="1:12" x14ac:dyDescent="0.35">
      <c r="A28" s="3">
        <v>27</v>
      </c>
      <c r="B28" s="6" t="s">
        <v>41</v>
      </c>
      <c r="C28" s="3" t="s">
        <v>320</v>
      </c>
      <c r="D28" s="12" t="s">
        <v>205</v>
      </c>
      <c r="E28" s="7" t="s">
        <v>311</v>
      </c>
      <c r="F28" s="3">
        <f t="shared" ca="1" si="1"/>
        <v>4</v>
      </c>
      <c r="G28" s="3">
        <f t="shared" ca="1" si="2"/>
        <v>4</v>
      </c>
      <c r="H28" s="3" t="str">
        <f t="shared" ca="1" si="3"/>
        <v>Y</v>
      </c>
      <c r="I28" s="3">
        <f t="shared" ca="1" si="4"/>
        <v>3.3</v>
      </c>
      <c r="J28" s="3">
        <f t="shared" ca="1" si="0"/>
        <v>-0.70000000000000018</v>
      </c>
      <c r="K28" s="3" t="str">
        <f t="shared" ca="1" si="5"/>
        <v>Y</v>
      </c>
      <c r="L28" s="10"/>
    </row>
    <row r="29" spans="1:12" x14ac:dyDescent="0.35">
      <c r="A29" s="3">
        <v>28</v>
      </c>
      <c r="B29" s="6" t="s">
        <v>43</v>
      </c>
      <c r="C29" s="3" t="s">
        <v>321</v>
      </c>
      <c r="D29" s="12" t="s">
        <v>205</v>
      </c>
      <c r="E29" s="7" t="s">
        <v>311</v>
      </c>
      <c r="F29" s="3">
        <f t="shared" ca="1" si="1"/>
        <v>4</v>
      </c>
      <c r="G29" s="3">
        <f t="shared" ca="1" si="2"/>
        <v>4</v>
      </c>
      <c r="H29" s="3" t="str">
        <f t="shared" ca="1" si="3"/>
        <v>Y</v>
      </c>
      <c r="I29" s="3">
        <f t="shared" ca="1" si="4"/>
        <v>5.3</v>
      </c>
      <c r="J29" s="3">
        <f t="shared" ca="1" si="0"/>
        <v>1.2999999999999998</v>
      </c>
      <c r="K29" s="3" t="str">
        <f t="shared" ca="1" si="5"/>
        <v>Y</v>
      </c>
      <c r="L29" s="10"/>
    </row>
    <row r="30" spans="1:12" x14ac:dyDescent="0.35">
      <c r="A30" s="3">
        <v>29</v>
      </c>
      <c r="B30" s="6" t="s">
        <v>45</v>
      </c>
      <c r="C30" s="3" t="s">
        <v>327</v>
      </c>
      <c r="D30" s="12" t="s">
        <v>205</v>
      </c>
      <c r="E30" s="7" t="s">
        <v>308</v>
      </c>
      <c r="F30" s="3">
        <f t="shared" ca="1" si="1"/>
        <v>4</v>
      </c>
      <c r="G30" s="3">
        <f t="shared" ca="1" si="2"/>
        <v>-5</v>
      </c>
      <c r="H30" s="3" t="str">
        <f t="shared" ca="1" si="3"/>
        <v>N</v>
      </c>
      <c r="I30" s="3">
        <f t="shared" ca="1" si="4"/>
        <v>-3.6</v>
      </c>
      <c r="J30" s="3">
        <f t="shared" ca="1" si="0"/>
        <v>1.4</v>
      </c>
      <c r="K30" s="3" t="str">
        <f t="shared" ca="1" si="5"/>
        <v>Y</v>
      </c>
      <c r="L30" s="10"/>
    </row>
    <row r="31" spans="1:12" x14ac:dyDescent="0.35">
      <c r="A31" s="3">
        <v>30</v>
      </c>
      <c r="B31" s="6" t="s">
        <v>46</v>
      </c>
      <c r="C31" s="3" t="s">
        <v>327</v>
      </c>
      <c r="D31" s="12" t="s">
        <v>205</v>
      </c>
      <c r="E31" s="7" t="s">
        <v>308</v>
      </c>
      <c r="F31" s="3">
        <f t="shared" ca="1" si="1"/>
        <v>4</v>
      </c>
      <c r="G31" s="3">
        <f t="shared" ca="1" si="2"/>
        <v>-5</v>
      </c>
      <c r="H31" s="3" t="str">
        <f t="shared" ca="1" si="3"/>
        <v>N</v>
      </c>
      <c r="I31" s="3">
        <f t="shared" ca="1" si="4"/>
        <v>-5.3</v>
      </c>
      <c r="J31" s="3">
        <f t="shared" ca="1" si="0"/>
        <v>-0.29999999999999982</v>
      </c>
      <c r="K31" s="3" t="str">
        <f t="shared" ca="1" si="5"/>
        <v>Y</v>
      </c>
      <c r="L31" s="10"/>
    </row>
    <row r="32" spans="1:12" x14ac:dyDescent="0.35">
      <c r="A32" s="3">
        <v>31</v>
      </c>
      <c r="B32" s="6" t="s">
        <v>48</v>
      </c>
      <c r="C32" s="3" t="s">
        <v>328</v>
      </c>
      <c r="D32" s="12" t="s">
        <v>205</v>
      </c>
      <c r="E32" s="7" t="s">
        <v>308</v>
      </c>
      <c r="F32" s="3">
        <f t="shared" ca="1" si="1"/>
        <v>4</v>
      </c>
      <c r="G32" s="3">
        <f t="shared" ca="1" si="2"/>
        <v>-5</v>
      </c>
      <c r="H32" s="3" t="str">
        <f t="shared" ca="1" si="3"/>
        <v>N</v>
      </c>
      <c r="I32" s="3">
        <f t="shared" ca="1" si="4"/>
        <v>-2.7</v>
      </c>
      <c r="J32" s="3">
        <f t="shared" ca="1" si="0"/>
        <v>2.2999999999999998</v>
      </c>
      <c r="K32" s="3" t="str">
        <f t="shared" ca="1" si="5"/>
        <v>N</v>
      </c>
      <c r="L32" s="10"/>
    </row>
    <row r="33" spans="1:12" x14ac:dyDescent="0.35">
      <c r="A33" s="3">
        <v>32</v>
      </c>
      <c r="B33" s="6" t="s">
        <v>49</v>
      </c>
      <c r="C33" s="3" t="s">
        <v>328</v>
      </c>
      <c r="D33" s="12" t="s">
        <v>205</v>
      </c>
      <c r="E33" s="7" t="s">
        <v>308</v>
      </c>
      <c r="F33" s="3">
        <f t="shared" ca="1" si="1"/>
        <v>4</v>
      </c>
      <c r="G33" s="3">
        <f t="shared" ca="1" si="2"/>
        <v>-5</v>
      </c>
      <c r="H33" s="3" t="str">
        <f t="shared" ca="1" si="3"/>
        <v>N</v>
      </c>
      <c r="I33" s="3">
        <f t="shared" ca="1" si="4"/>
        <v>-2.6</v>
      </c>
      <c r="J33" s="3">
        <f t="shared" ca="1" si="0"/>
        <v>2.4</v>
      </c>
      <c r="K33" s="3" t="str">
        <f t="shared" ca="1" si="5"/>
        <v>N</v>
      </c>
      <c r="L33" s="10"/>
    </row>
    <row r="34" spans="1:12" x14ac:dyDescent="0.35">
      <c r="A34" s="3">
        <v>33</v>
      </c>
      <c r="B34" s="6" t="s">
        <v>51</v>
      </c>
      <c r="C34" s="3" t="s">
        <v>329</v>
      </c>
      <c r="D34" s="12" t="s">
        <v>205</v>
      </c>
      <c r="E34" s="7" t="s">
        <v>311</v>
      </c>
      <c r="F34" s="3">
        <f t="shared" ca="1" si="1"/>
        <v>4</v>
      </c>
      <c r="G34" s="3">
        <f t="shared" ca="1" si="2"/>
        <v>10</v>
      </c>
      <c r="H34" s="3" t="str">
        <f t="shared" ca="1" si="3"/>
        <v>N</v>
      </c>
      <c r="I34" s="3">
        <f t="shared" ca="1" si="4"/>
        <v>10.5</v>
      </c>
      <c r="J34" s="3">
        <f t="shared" ref="J34:J64" ca="1" si="6">SUM(I34-G34)</f>
        <v>0.5</v>
      </c>
      <c r="K34" s="3" t="str">
        <f t="shared" ca="1" si="5"/>
        <v>Y</v>
      </c>
      <c r="L34" s="10"/>
    </row>
    <row r="35" spans="1:12" x14ac:dyDescent="0.35">
      <c r="A35" s="3">
        <v>34</v>
      </c>
      <c r="B35" s="6" t="s">
        <v>53</v>
      </c>
      <c r="C35" s="3" t="s">
        <v>326</v>
      </c>
      <c r="D35" s="12" t="s">
        <v>205</v>
      </c>
      <c r="E35" s="7">
        <v>10</v>
      </c>
      <c r="F35" s="3">
        <f t="shared" ca="1" si="1"/>
        <v>10</v>
      </c>
      <c r="G35" s="3">
        <f t="shared" ca="1" si="2"/>
        <v>10</v>
      </c>
      <c r="H35" s="3" t="str">
        <f t="shared" ca="1" si="3"/>
        <v>Y</v>
      </c>
      <c r="I35" s="3">
        <f t="shared" ca="1" si="4"/>
        <v>10.6</v>
      </c>
      <c r="J35" s="3">
        <f t="shared" ca="1" si="6"/>
        <v>0.59999999999999964</v>
      </c>
      <c r="K35" s="3" t="str">
        <f t="shared" ca="1" si="5"/>
        <v>Y</v>
      </c>
      <c r="L35" s="10"/>
    </row>
    <row r="36" spans="1:12" x14ac:dyDescent="0.35">
      <c r="A36" s="3">
        <v>35</v>
      </c>
      <c r="B36" s="6" t="s">
        <v>55</v>
      </c>
      <c r="C36" s="3" t="s">
        <v>325</v>
      </c>
      <c r="D36" s="12" t="s">
        <v>205</v>
      </c>
      <c r="E36" s="7">
        <v>10</v>
      </c>
      <c r="F36" s="3">
        <f t="shared" ca="1" si="1"/>
        <v>10</v>
      </c>
      <c r="G36" s="3">
        <f t="shared" ca="1" si="2"/>
        <v>4</v>
      </c>
      <c r="H36" s="3" t="str">
        <f t="shared" ca="1" si="3"/>
        <v>N</v>
      </c>
      <c r="I36" s="3">
        <f t="shared" ca="1" si="4"/>
        <v>5.5</v>
      </c>
      <c r="J36" s="3">
        <f t="shared" ca="1" si="6"/>
        <v>1.5</v>
      </c>
      <c r="K36" s="3" t="str">
        <f t="shared" ca="1" si="5"/>
        <v>Y</v>
      </c>
      <c r="L36" s="10"/>
    </row>
    <row r="37" spans="1:12" x14ac:dyDescent="0.35">
      <c r="A37" s="3">
        <v>36</v>
      </c>
      <c r="B37" s="6" t="s">
        <v>57</v>
      </c>
      <c r="C37" s="3" t="s">
        <v>324</v>
      </c>
      <c r="D37" s="12" t="s">
        <v>205</v>
      </c>
      <c r="E37" s="7">
        <v>10</v>
      </c>
      <c r="F37" s="3">
        <f t="shared" ca="1" si="1"/>
        <v>10</v>
      </c>
      <c r="G37" s="3">
        <f t="shared" ca="1" si="2"/>
        <v>10</v>
      </c>
      <c r="H37" s="3" t="str">
        <f t="shared" ca="1" si="3"/>
        <v>Y</v>
      </c>
      <c r="I37" s="3">
        <f t="shared" ca="1" si="4"/>
        <v>10.3</v>
      </c>
      <c r="J37" s="3">
        <f t="shared" ca="1" si="6"/>
        <v>0.30000000000000071</v>
      </c>
      <c r="K37" s="3" t="str">
        <f t="shared" ca="1" si="5"/>
        <v>Y</v>
      </c>
      <c r="L37" s="10"/>
    </row>
    <row r="38" spans="1:12" x14ac:dyDescent="0.35">
      <c r="A38" s="3">
        <v>37</v>
      </c>
      <c r="B38" s="6" t="s">
        <v>59</v>
      </c>
      <c r="C38" s="3" t="s">
        <v>322</v>
      </c>
      <c r="D38" s="12" t="s">
        <v>205</v>
      </c>
      <c r="E38" s="7">
        <v>10</v>
      </c>
      <c r="F38" s="3">
        <f t="shared" ca="1" si="1"/>
        <v>10</v>
      </c>
      <c r="G38" s="3">
        <f t="shared" ca="1" si="2"/>
        <v>10</v>
      </c>
      <c r="H38" s="3" t="str">
        <f t="shared" ca="1" si="3"/>
        <v>Y</v>
      </c>
      <c r="I38" s="3">
        <f t="shared" ca="1" si="4"/>
        <v>12.3</v>
      </c>
      <c r="J38" s="3">
        <f t="shared" ca="1" si="6"/>
        <v>2.3000000000000007</v>
      </c>
      <c r="K38" s="3" t="str">
        <f t="shared" ca="1" si="5"/>
        <v>N</v>
      </c>
      <c r="L38" s="10"/>
    </row>
    <row r="39" spans="1:12" x14ac:dyDescent="0.35">
      <c r="A39" s="3">
        <v>38</v>
      </c>
      <c r="B39" s="6" t="s">
        <v>61</v>
      </c>
      <c r="C39" s="3" t="s">
        <v>323</v>
      </c>
      <c r="D39" s="12" t="s">
        <v>205</v>
      </c>
      <c r="E39" s="7">
        <v>10</v>
      </c>
      <c r="F39" s="3">
        <f t="shared" ca="1" si="1"/>
        <v>10</v>
      </c>
      <c r="G39" s="3">
        <f t="shared" ca="1" si="2"/>
        <v>9</v>
      </c>
      <c r="H39" s="3" t="str">
        <f t="shared" ca="1" si="3"/>
        <v>N</v>
      </c>
      <c r="I39" s="3">
        <f t="shared" ca="1" si="4"/>
        <v>11.9</v>
      </c>
      <c r="J39" s="3">
        <f t="shared" ca="1" si="6"/>
        <v>2.9000000000000004</v>
      </c>
      <c r="K39" s="3" t="str">
        <f t="shared" ca="1" si="5"/>
        <v>N</v>
      </c>
      <c r="L39" s="10"/>
    </row>
    <row r="40" spans="1:12" x14ac:dyDescent="0.35">
      <c r="A40" s="3">
        <v>39</v>
      </c>
      <c r="B40" s="6" t="s">
        <v>63</v>
      </c>
      <c r="C40" s="3" t="s">
        <v>211</v>
      </c>
      <c r="D40" s="12" t="s">
        <v>205</v>
      </c>
      <c r="E40" s="7">
        <v>25</v>
      </c>
      <c r="F40" s="3">
        <f t="shared" ca="1" si="1"/>
        <v>25</v>
      </c>
      <c r="G40" s="3">
        <f t="shared" ca="1" si="2"/>
        <v>19</v>
      </c>
      <c r="H40" s="3" t="str">
        <f t="shared" ca="1" si="3"/>
        <v>N</v>
      </c>
      <c r="I40" s="3">
        <f t="shared" ca="1" si="4"/>
        <v>19</v>
      </c>
      <c r="J40" s="3">
        <f t="shared" ca="1" si="6"/>
        <v>0</v>
      </c>
      <c r="K40" s="3" t="str">
        <f t="shared" ca="1" si="5"/>
        <v>Y</v>
      </c>
      <c r="L40" s="10"/>
    </row>
    <row r="41" spans="1:12" x14ac:dyDescent="0.35">
      <c r="A41" s="3">
        <v>40</v>
      </c>
      <c r="B41" s="6" t="s">
        <v>65</v>
      </c>
      <c r="C41" s="3" t="s">
        <v>212</v>
      </c>
      <c r="D41" s="12" t="s">
        <v>205</v>
      </c>
      <c r="E41" s="7">
        <v>25</v>
      </c>
      <c r="F41" s="3">
        <f t="shared" ca="1" si="1"/>
        <v>25</v>
      </c>
      <c r="G41" s="3">
        <f t="shared" ca="1" si="2"/>
        <v>19</v>
      </c>
      <c r="H41" s="3" t="str">
        <f t="shared" ca="1" si="3"/>
        <v>N</v>
      </c>
      <c r="I41" s="3">
        <f t="shared" ca="1" si="4"/>
        <v>23.6</v>
      </c>
      <c r="J41" s="3">
        <f t="shared" ca="1" si="6"/>
        <v>4.6000000000000014</v>
      </c>
      <c r="K41" s="3" t="str">
        <f t="shared" ca="1" si="5"/>
        <v>N</v>
      </c>
      <c r="L41" s="10"/>
    </row>
    <row r="42" spans="1:12" x14ac:dyDescent="0.35">
      <c r="A42" s="3">
        <v>41</v>
      </c>
      <c r="B42" s="6" t="s">
        <v>67</v>
      </c>
      <c r="C42" s="3" t="s">
        <v>213</v>
      </c>
      <c r="D42" s="12" t="s">
        <v>205</v>
      </c>
      <c r="E42" s="7" t="s">
        <v>314</v>
      </c>
      <c r="F42" s="3">
        <f t="shared" ca="1" si="1"/>
        <v>20</v>
      </c>
      <c r="G42" s="3">
        <f t="shared" ca="1" si="2"/>
        <v>20</v>
      </c>
      <c r="H42" s="3" t="str">
        <f t="shared" ca="1" si="3"/>
        <v>Y</v>
      </c>
      <c r="I42" s="3">
        <f t="shared" ca="1" si="4"/>
        <v>20.7</v>
      </c>
      <c r="J42" s="3">
        <f t="shared" ca="1" si="6"/>
        <v>0.69999999999999929</v>
      </c>
      <c r="K42" s="3" t="str">
        <f t="shared" ca="1" si="5"/>
        <v>Y</v>
      </c>
      <c r="L42" s="10"/>
    </row>
    <row r="43" spans="1:12" x14ac:dyDescent="0.35">
      <c r="A43" s="3">
        <v>43</v>
      </c>
      <c r="B43" s="6" t="s">
        <v>341</v>
      </c>
      <c r="C43" s="3" t="s">
        <v>214</v>
      </c>
      <c r="D43" s="12" t="s">
        <v>205</v>
      </c>
      <c r="E43" s="7" t="s">
        <v>307</v>
      </c>
      <c r="F43" s="3" t="str">
        <f t="shared" ca="1" si="1"/>
        <v>N/A</v>
      </c>
      <c r="G43" s="3">
        <f t="shared" ca="1" si="2"/>
        <v>25</v>
      </c>
      <c r="H43" s="3" t="str">
        <f t="shared" ca="1" si="3"/>
        <v>N</v>
      </c>
      <c r="I43" s="3">
        <f t="shared" ca="1" si="4"/>
        <v>21.8</v>
      </c>
      <c r="J43" s="3">
        <f t="shared" ca="1" si="6"/>
        <v>-3.1999999999999993</v>
      </c>
      <c r="K43" s="3" t="str">
        <f t="shared" ca="1" si="5"/>
        <v>N</v>
      </c>
      <c r="L43" s="10"/>
    </row>
    <row r="44" spans="1:12" x14ac:dyDescent="0.35">
      <c r="A44" s="3">
        <v>44</v>
      </c>
      <c r="B44" s="6" t="s">
        <v>69</v>
      </c>
      <c r="C44" s="3" t="s">
        <v>215</v>
      </c>
      <c r="D44" s="12" t="s">
        <v>205</v>
      </c>
      <c r="E44" s="7" t="s">
        <v>307</v>
      </c>
      <c r="F44" s="3">
        <f t="shared" ca="1" si="1"/>
        <v>25</v>
      </c>
      <c r="G44" s="3">
        <f t="shared" ca="1" si="2"/>
        <v>25</v>
      </c>
      <c r="H44" s="3" t="str">
        <f t="shared" ca="1" si="3"/>
        <v>Y</v>
      </c>
      <c r="I44" s="3">
        <f t="shared" ca="1" si="4"/>
        <v>21.9</v>
      </c>
      <c r="J44" s="3">
        <f t="shared" ca="1" si="6"/>
        <v>-3.1000000000000014</v>
      </c>
      <c r="K44" s="3" t="str">
        <f t="shared" ca="1" si="5"/>
        <v>N</v>
      </c>
      <c r="L44" s="10"/>
    </row>
    <row r="45" spans="1:12" x14ac:dyDescent="0.35">
      <c r="A45" s="3">
        <v>45</v>
      </c>
      <c r="B45" s="6" t="s">
        <v>71</v>
      </c>
      <c r="C45" s="3" t="s">
        <v>330</v>
      </c>
      <c r="D45" s="12" t="s">
        <v>205</v>
      </c>
      <c r="E45" s="7" t="s">
        <v>307</v>
      </c>
      <c r="F45" s="3">
        <f t="shared" ca="1" si="1"/>
        <v>0</v>
      </c>
      <c r="G45" s="3">
        <f t="shared" ca="1" si="2"/>
        <v>18</v>
      </c>
      <c r="H45" s="3" t="str">
        <f t="shared" ca="1" si="3"/>
        <v>N</v>
      </c>
      <c r="I45" s="3">
        <f t="shared" ca="1" si="4"/>
        <v>23.2</v>
      </c>
      <c r="J45" s="3">
        <f t="shared" ca="1" si="6"/>
        <v>5.1999999999999993</v>
      </c>
      <c r="K45" s="3" t="str">
        <f t="shared" ca="1" si="5"/>
        <v>N</v>
      </c>
      <c r="L45" s="10"/>
    </row>
    <row r="46" spans="1:12" x14ac:dyDescent="0.35">
      <c r="A46" s="3">
        <v>46</v>
      </c>
      <c r="B46" s="6" t="s">
        <v>73</v>
      </c>
      <c r="C46" s="3" t="s">
        <v>217</v>
      </c>
      <c r="D46" s="12" t="s">
        <v>205</v>
      </c>
      <c r="E46" s="7" t="s">
        <v>307</v>
      </c>
      <c r="F46" s="3">
        <f t="shared" ca="1" si="1"/>
        <v>0</v>
      </c>
      <c r="G46" s="3">
        <f t="shared" ca="1" si="2"/>
        <v>20</v>
      </c>
      <c r="H46" s="3" t="str">
        <f t="shared" ca="1" si="3"/>
        <v>N</v>
      </c>
      <c r="I46" s="3">
        <f t="shared" ca="1" si="4"/>
        <v>21.8</v>
      </c>
      <c r="J46" s="3">
        <f t="shared" ca="1" si="6"/>
        <v>1.8000000000000007</v>
      </c>
      <c r="K46" s="3" t="str">
        <f t="shared" ca="1" si="5"/>
        <v>Y</v>
      </c>
      <c r="L46" s="10"/>
    </row>
    <row r="47" spans="1:12" x14ac:dyDescent="0.35">
      <c r="A47" s="3">
        <v>47</v>
      </c>
      <c r="B47" s="6" t="s">
        <v>75</v>
      </c>
      <c r="C47" s="3" t="s">
        <v>216</v>
      </c>
      <c r="D47" s="12" t="s">
        <v>205</v>
      </c>
      <c r="E47" s="7" t="s">
        <v>307</v>
      </c>
      <c r="F47" s="3">
        <f t="shared" ca="1" si="1"/>
        <v>0</v>
      </c>
      <c r="G47" s="3">
        <f t="shared" ca="1" si="2"/>
        <v>20</v>
      </c>
      <c r="H47" s="3" t="str">
        <f t="shared" ca="1" si="3"/>
        <v>N</v>
      </c>
      <c r="I47" s="3">
        <f t="shared" ca="1" si="4"/>
        <v>21.6</v>
      </c>
      <c r="J47" s="3">
        <f t="shared" ca="1" si="6"/>
        <v>1.6000000000000014</v>
      </c>
      <c r="K47" s="3" t="str">
        <f t="shared" ca="1" si="5"/>
        <v>Y</v>
      </c>
      <c r="L47" s="10"/>
    </row>
    <row r="48" spans="1:12" x14ac:dyDescent="0.35">
      <c r="A48" s="3">
        <v>48</v>
      </c>
      <c r="B48" s="6" t="s">
        <v>77</v>
      </c>
      <c r="C48" s="3" t="s">
        <v>218</v>
      </c>
      <c r="D48" s="12" t="s">
        <v>205</v>
      </c>
      <c r="E48" s="7">
        <v>25</v>
      </c>
      <c r="F48" s="3">
        <f t="shared" ca="1" si="1"/>
        <v>10</v>
      </c>
      <c r="G48" s="3">
        <f t="shared" ca="1" si="2"/>
        <v>10</v>
      </c>
      <c r="H48" s="3" t="str">
        <f t="shared" ca="1" si="3"/>
        <v>Y</v>
      </c>
      <c r="I48" s="3">
        <f t="shared" ca="1" si="4"/>
        <v>11.9</v>
      </c>
      <c r="J48" s="3">
        <f t="shared" ca="1" si="6"/>
        <v>1.9000000000000004</v>
      </c>
      <c r="K48" s="3" t="str">
        <f t="shared" ca="1" si="5"/>
        <v>Y</v>
      </c>
      <c r="L48" s="10"/>
    </row>
    <row r="49" spans="1:12" x14ac:dyDescent="0.35">
      <c r="A49" s="3">
        <v>49</v>
      </c>
      <c r="B49" s="6" t="s">
        <v>79</v>
      </c>
      <c r="C49" s="3" t="s">
        <v>219</v>
      </c>
      <c r="D49" s="12" t="s">
        <v>205</v>
      </c>
      <c r="E49" s="7">
        <v>10</v>
      </c>
      <c r="F49" s="3">
        <f t="shared" ca="1" si="1"/>
        <v>0</v>
      </c>
      <c r="G49" s="3">
        <f t="shared" ca="1" si="2"/>
        <v>10</v>
      </c>
      <c r="H49" s="3" t="str">
        <f t="shared" ca="1" si="3"/>
        <v>N</v>
      </c>
      <c r="I49" s="3">
        <f t="shared" ca="1" si="4"/>
        <v>11.5</v>
      </c>
      <c r="J49" s="3">
        <f t="shared" ca="1" si="6"/>
        <v>1.5</v>
      </c>
      <c r="K49" s="3" t="str">
        <f t="shared" ca="1" si="5"/>
        <v>Y</v>
      </c>
      <c r="L49" s="10"/>
    </row>
    <row r="50" spans="1:12" x14ac:dyDescent="0.35">
      <c r="A50" s="3">
        <v>50</v>
      </c>
      <c r="B50" s="6" t="s">
        <v>81</v>
      </c>
      <c r="C50" s="3" t="s">
        <v>219</v>
      </c>
      <c r="D50" s="12" t="s">
        <v>205</v>
      </c>
      <c r="E50" s="7">
        <v>10</v>
      </c>
      <c r="F50" s="3">
        <f t="shared" ca="1" si="1"/>
        <v>0</v>
      </c>
      <c r="G50" s="3">
        <f t="shared" ca="1" si="2"/>
        <v>9</v>
      </c>
      <c r="H50" s="3" t="str">
        <f t="shared" ca="1" si="3"/>
        <v>N</v>
      </c>
      <c r="I50" s="3">
        <f t="shared" ca="1" si="4"/>
        <v>11.3</v>
      </c>
      <c r="J50" s="3">
        <f t="shared" ca="1" si="6"/>
        <v>2.3000000000000007</v>
      </c>
      <c r="K50" s="3" t="str">
        <f t="shared" ca="1" si="5"/>
        <v>N</v>
      </c>
      <c r="L50" s="10"/>
    </row>
    <row r="51" spans="1:12" x14ac:dyDescent="0.35">
      <c r="A51" s="3">
        <v>51</v>
      </c>
      <c r="B51" s="6" t="s">
        <v>83</v>
      </c>
      <c r="C51" s="3" t="s">
        <v>219</v>
      </c>
      <c r="D51" s="12" t="s">
        <v>205</v>
      </c>
      <c r="E51" s="7">
        <v>10</v>
      </c>
      <c r="F51" s="3">
        <f t="shared" ca="1" si="1"/>
        <v>0</v>
      </c>
      <c r="G51" s="3">
        <f t="shared" ca="1" si="2"/>
        <v>9</v>
      </c>
      <c r="H51" s="3" t="str">
        <f t="shared" ca="1" si="3"/>
        <v>N</v>
      </c>
      <c r="I51" s="3">
        <f t="shared" ca="1" si="4"/>
        <v>11.5</v>
      </c>
      <c r="J51" s="3">
        <f t="shared" ca="1" si="6"/>
        <v>2.5</v>
      </c>
      <c r="K51" s="3" t="str">
        <f t="shared" ca="1" si="5"/>
        <v>N</v>
      </c>
      <c r="L51" s="10"/>
    </row>
    <row r="52" spans="1:12" x14ac:dyDescent="0.35">
      <c r="A52" s="3">
        <v>52</v>
      </c>
      <c r="B52" s="6" t="s">
        <v>85</v>
      </c>
      <c r="C52" s="3" t="s">
        <v>220</v>
      </c>
      <c r="D52" s="8" t="s">
        <v>221</v>
      </c>
      <c r="E52" s="7" t="s">
        <v>309</v>
      </c>
      <c r="F52" s="3" t="str">
        <f t="shared" ca="1" si="1"/>
        <v>N/A</v>
      </c>
      <c r="G52" s="3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H52" s="3" t="str">
        <f t="shared" ca="1" si="3"/>
        <v>N</v>
      </c>
      <c r="I52" s="3">
        <f ca="1">IFERROR(INDEX(INDIRECT("Table"&amp;$D52), MATCH(9.9E+307, INDIRECT("Table"&amp;$D52&amp;"[Time]")), MATCH($B52, INDIRECT("Table"&amp;$D52&amp;"[#Headers]"), 0)), "N/A")</f>
        <v>4</v>
      </c>
      <c r="J52" s="3">
        <f t="shared" ca="1" si="6"/>
        <v>2</v>
      </c>
      <c r="K52" s="3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L52" s="10"/>
    </row>
    <row r="53" spans="1:12" x14ac:dyDescent="0.35">
      <c r="A53" s="3">
        <v>53</v>
      </c>
      <c r="B53" s="6" t="s">
        <v>87</v>
      </c>
      <c r="C53" s="3" t="s">
        <v>220</v>
      </c>
      <c r="D53" s="8" t="s">
        <v>221</v>
      </c>
      <c r="E53" s="7" t="s">
        <v>309</v>
      </c>
      <c r="F53" s="3" t="str">
        <f t="shared" ca="1" si="1"/>
        <v>N/A</v>
      </c>
      <c r="G53" s="3">
        <f t="shared" ref="G53:G79" ca="1" si="7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H53" s="3" t="str">
        <f t="shared" ca="1" si="3"/>
        <v>N</v>
      </c>
      <c r="I53" s="3">
        <f t="shared" ref="I53:I79" ca="1" si="8">IFERROR(INDEX(INDIRECT("Table"&amp;$D53), MATCH(9.9E+307, INDIRECT("Table"&amp;$D53&amp;"[Time]")), MATCH($B53, INDIRECT("Table"&amp;$D53&amp;"[#Headers]"), 0)), "N/A")</f>
        <v>4.3</v>
      </c>
      <c r="J53" s="3">
        <f t="shared" ca="1" si="6"/>
        <v>2.0999999999999996</v>
      </c>
      <c r="K53" s="3" t="str">
        <f t="shared" ref="K53:K79" ca="1" si="9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N</v>
      </c>
      <c r="L53" s="10"/>
    </row>
    <row r="54" spans="1:12" x14ac:dyDescent="0.35">
      <c r="A54" s="3">
        <v>54</v>
      </c>
      <c r="B54" s="6" t="s">
        <v>89</v>
      </c>
      <c r="C54" s="3" t="s">
        <v>222</v>
      </c>
      <c r="D54" s="8" t="s">
        <v>221</v>
      </c>
      <c r="E54" s="7" t="s">
        <v>309</v>
      </c>
      <c r="F54" s="3" t="str">
        <f t="shared" ca="1" si="1"/>
        <v>N/A</v>
      </c>
      <c r="G54" s="3">
        <f t="shared" ca="1" si="7"/>
        <v>2</v>
      </c>
      <c r="H54" s="3" t="str">
        <f t="shared" ca="1" si="3"/>
        <v>N</v>
      </c>
      <c r="I54" s="3">
        <f t="shared" ca="1" si="8"/>
        <v>2.9</v>
      </c>
      <c r="J54" s="3">
        <f t="shared" ca="1" si="6"/>
        <v>0.89999999999999991</v>
      </c>
      <c r="K54" s="3" t="str">
        <f t="shared" ca="1" si="9"/>
        <v>Y</v>
      </c>
      <c r="L54" s="10"/>
    </row>
    <row r="55" spans="1:12" x14ac:dyDescent="0.35">
      <c r="A55" s="3">
        <v>55</v>
      </c>
      <c r="B55" s="6" t="s">
        <v>91</v>
      </c>
      <c r="C55" s="3" t="s">
        <v>222</v>
      </c>
      <c r="D55" s="8" t="s">
        <v>221</v>
      </c>
      <c r="E55" s="7" t="s">
        <v>309</v>
      </c>
      <c r="F55" s="3" t="str">
        <f t="shared" ca="1" si="1"/>
        <v>N/A</v>
      </c>
      <c r="G55" s="3">
        <f t="shared" ca="1" si="7"/>
        <v>2</v>
      </c>
      <c r="H55" s="3" t="str">
        <f t="shared" ca="1" si="3"/>
        <v>N</v>
      </c>
      <c r="I55" s="3">
        <f t="shared" ca="1" si="8"/>
        <v>2.5</v>
      </c>
      <c r="J55" s="3">
        <f t="shared" ca="1" si="6"/>
        <v>0.5</v>
      </c>
      <c r="K55" s="3" t="str">
        <f t="shared" ca="1" si="9"/>
        <v>Y</v>
      </c>
      <c r="L55" s="10"/>
    </row>
    <row r="56" spans="1:12" x14ac:dyDescent="0.35">
      <c r="A56" s="3">
        <v>56</v>
      </c>
      <c r="B56" s="6" t="s">
        <v>93</v>
      </c>
      <c r="C56" s="3" t="s">
        <v>223</v>
      </c>
      <c r="D56" s="8" t="s">
        <v>221</v>
      </c>
      <c r="E56" s="7" t="s">
        <v>309</v>
      </c>
      <c r="F56" s="3" t="str">
        <f t="shared" ca="1" si="1"/>
        <v>N/A</v>
      </c>
      <c r="G56" s="3">
        <f t="shared" ca="1" si="7"/>
        <v>2</v>
      </c>
      <c r="H56" s="3" t="str">
        <f t="shared" ca="1" si="3"/>
        <v>N</v>
      </c>
      <c r="I56" s="3">
        <f t="shared" ca="1" si="8"/>
        <v>2.7</v>
      </c>
      <c r="J56" s="3">
        <f t="shared" ca="1" si="6"/>
        <v>0.70000000000000018</v>
      </c>
      <c r="K56" s="3" t="str">
        <f t="shared" ca="1" si="9"/>
        <v>Y</v>
      </c>
      <c r="L56" s="10"/>
    </row>
    <row r="57" spans="1:12" x14ac:dyDescent="0.35">
      <c r="A57" s="3">
        <v>57</v>
      </c>
      <c r="B57" s="6" t="s">
        <v>95</v>
      </c>
      <c r="C57" s="3" t="s">
        <v>223</v>
      </c>
      <c r="D57" s="8" t="s">
        <v>221</v>
      </c>
      <c r="E57" s="7" t="s">
        <v>309</v>
      </c>
      <c r="F57" s="3" t="str">
        <f t="shared" ca="1" si="1"/>
        <v>N/A</v>
      </c>
      <c r="G57" s="3">
        <f t="shared" ca="1" si="7"/>
        <v>2</v>
      </c>
      <c r="H57" s="3" t="str">
        <f t="shared" ca="1" si="3"/>
        <v>N</v>
      </c>
      <c r="I57" s="3">
        <f t="shared" ca="1" si="8"/>
        <v>2.7</v>
      </c>
      <c r="J57" s="3">
        <f t="shared" ca="1" si="6"/>
        <v>0.70000000000000018</v>
      </c>
      <c r="K57" s="3" t="str">
        <f t="shared" ca="1" si="9"/>
        <v>Y</v>
      </c>
      <c r="L57" s="10"/>
    </row>
    <row r="58" spans="1:12" x14ac:dyDescent="0.35">
      <c r="A58" s="3">
        <v>58</v>
      </c>
      <c r="B58" s="6" t="s">
        <v>97</v>
      </c>
      <c r="C58" s="3" t="s">
        <v>224</v>
      </c>
      <c r="D58" s="8" t="s">
        <v>221</v>
      </c>
      <c r="E58" s="7" t="s">
        <v>309</v>
      </c>
      <c r="F58" s="3" t="str">
        <f t="shared" ca="1" si="1"/>
        <v>N/A</v>
      </c>
      <c r="G58" s="3">
        <f t="shared" ca="1" si="7"/>
        <v>3</v>
      </c>
      <c r="H58" s="3" t="str">
        <f t="shared" ca="1" si="3"/>
        <v>N</v>
      </c>
      <c r="I58" s="3">
        <f t="shared" ca="1" si="8"/>
        <v>4.5</v>
      </c>
      <c r="J58" s="3">
        <f t="shared" ca="1" si="6"/>
        <v>1.5</v>
      </c>
      <c r="K58" s="3" t="str">
        <f t="shared" ca="1" si="9"/>
        <v>Y</v>
      </c>
      <c r="L58" s="10"/>
    </row>
    <row r="59" spans="1:12" x14ac:dyDescent="0.35">
      <c r="A59" s="3">
        <v>59</v>
      </c>
      <c r="B59" s="6" t="s">
        <v>99</v>
      </c>
      <c r="C59" s="3" t="s">
        <v>224</v>
      </c>
      <c r="D59" s="8" t="s">
        <v>221</v>
      </c>
      <c r="E59" s="7" t="s">
        <v>309</v>
      </c>
      <c r="F59" s="3" t="str">
        <f t="shared" ca="1" si="1"/>
        <v>N/A</v>
      </c>
      <c r="G59" s="3">
        <f t="shared" ca="1" si="7"/>
        <v>2</v>
      </c>
      <c r="H59" s="3" t="str">
        <f t="shared" ca="1" si="3"/>
        <v>N</v>
      </c>
      <c r="I59" s="3">
        <f t="shared" ca="1" si="8"/>
        <v>13.4</v>
      </c>
      <c r="J59" s="3">
        <f t="shared" ca="1" si="6"/>
        <v>11.4</v>
      </c>
      <c r="K59" s="3" t="str">
        <f t="shared" ca="1" si="9"/>
        <v>N</v>
      </c>
      <c r="L59" s="10"/>
    </row>
    <row r="60" spans="1:12" x14ac:dyDescent="0.35">
      <c r="A60" s="3">
        <v>60</v>
      </c>
      <c r="B60" s="6" t="s">
        <v>101</v>
      </c>
      <c r="C60" s="3" t="s">
        <v>225</v>
      </c>
      <c r="D60" s="8" t="s">
        <v>221</v>
      </c>
      <c r="E60" s="7" t="s">
        <v>309</v>
      </c>
      <c r="F60" s="3" t="str">
        <f t="shared" ca="1" si="1"/>
        <v>N/A</v>
      </c>
      <c r="G60" s="3">
        <f t="shared" ca="1" si="7"/>
        <v>2</v>
      </c>
      <c r="H60" s="3" t="str">
        <f t="shared" ca="1" si="3"/>
        <v>N</v>
      </c>
      <c r="I60" s="3">
        <f t="shared" ca="1" si="8"/>
        <v>3.8</v>
      </c>
      <c r="J60" s="3">
        <f t="shared" ca="1" si="6"/>
        <v>1.7999999999999998</v>
      </c>
      <c r="K60" s="3" t="str">
        <f t="shared" ca="1" si="9"/>
        <v>Y</v>
      </c>
      <c r="L60" s="10"/>
    </row>
    <row r="61" spans="1:12" x14ac:dyDescent="0.35">
      <c r="A61" s="3">
        <v>61</v>
      </c>
      <c r="B61" s="6" t="s">
        <v>103</v>
      </c>
      <c r="C61" s="3" t="s">
        <v>225</v>
      </c>
      <c r="D61" s="8" t="s">
        <v>221</v>
      </c>
      <c r="E61" s="7" t="s">
        <v>309</v>
      </c>
      <c r="F61" s="3" t="str">
        <f t="shared" ca="1" si="1"/>
        <v>N/A</v>
      </c>
      <c r="G61" s="3">
        <f t="shared" ca="1" si="7"/>
        <v>2</v>
      </c>
      <c r="H61" s="3" t="str">
        <f t="shared" ca="1" si="3"/>
        <v>N</v>
      </c>
      <c r="I61" s="3">
        <f t="shared" ca="1" si="8"/>
        <v>3.3</v>
      </c>
      <c r="J61" s="3">
        <f t="shared" ca="1" si="6"/>
        <v>1.2999999999999998</v>
      </c>
      <c r="K61" s="3" t="str">
        <f t="shared" ca="1" si="9"/>
        <v>Y</v>
      </c>
      <c r="L61" s="10"/>
    </row>
    <row r="62" spans="1:12" x14ac:dyDescent="0.35">
      <c r="A62" s="3">
        <v>62</v>
      </c>
      <c r="B62" s="6" t="s">
        <v>105</v>
      </c>
      <c r="C62" s="3" t="s">
        <v>226</v>
      </c>
      <c r="D62" s="8" t="s">
        <v>221</v>
      </c>
      <c r="E62" s="7" t="s">
        <v>306</v>
      </c>
      <c r="F62" s="3" t="str">
        <f t="shared" ca="1" si="1"/>
        <v>N/A</v>
      </c>
      <c r="G62" s="3">
        <f t="shared" ca="1" si="7"/>
        <v>9</v>
      </c>
      <c r="H62" s="3" t="str">
        <f t="shared" ca="1" si="3"/>
        <v>N</v>
      </c>
      <c r="I62" s="3">
        <f t="shared" ca="1" si="8"/>
        <v>7.9</v>
      </c>
      <c r="J62" s="3">
        <f t="shared" ca="1" si="6"/>
        <v>-1.0999999999999996</v>
      </c>
      <c r="K62" s="3" t="str">
        <f t="shared" ca="1" si="9"/>
        <v>Y</v>
      </c>
      <c r="L62" s="10"/>
    </row>
    <row r="63" spans="1:12" x14ac:dyDescent="0.35">
      <c r="A63" s="3">
        <v>63</v>
      </c>
      <c r="B63" s="6" t="s">
        <v>107</v>
      </c>
      <c r="C63" s="3" t="s">
        <v>227</v>
      </c>
      <c r="D63" s="8" t="s">
        <v>221</v>
      </c>
      <c r="E63" s="7" t="s">
        <v>312</v>
      </c>
      <c r="F63" s="3" t="str">
        <f t="shared" ca="1" si="1"/>
        <v>N/A</v>
      </c>
      <c r="G63" s="3">
        <f t="shared" ca="1" si="7"/>
        <v>9</v>
      </c>
      <c r="H63" s="3" t="str">
        <f t="shared" ca="1" si="3"/>
        <v>N</v>
      </c>
      <c r="I63" s="3">
        <f t="shared" ca="1" si="8"/>
        <v>9.4</v>
      </c>
      <c r="J63" s="3">
        <f t="shared" ca="1" si="6"/>
        <v>0.40000000000000036</v>
      </c>
      <c r="K63" s="3" t="str">
        <f t="shared" ca="1" si="9"/>
        <v>Y</v>
      </c>
      <c r="L63" s="10"/>
    </row>
    <row r="64" spans="1:12" x14ac:dyDescent="0.35">
      <c r="A64" s="3">
        <v>64</v>
      </c>
      <c r="B64" s="6" t="s">
        <v>111</v>
      </c>
      <c r="C64" s="3" t="s">
        <v>228</v>
      </c>
      <c r="D64" s="8" t="s">
        <v>221</v>
      </c>
      <c r="E64" s="7" t="s">
        <v>312</v>
      </c>
      <c r="F64" s="3" t="str">
        <f t="shared" ca="1" si="1"/>
        <v>N/A</v>
      </c>
      <c r="G64" s="3">
        <f t="shared" ca="1" si="7"/>
        <v>9</v>
      </c>
      <c r="H64" s="3" t="str">
        <f t="shared" ca="1" si="3"/>
        <v>N</v>
      </c>
      <c r="I64" s="3">
        <f t="shared" ca="1" si="8"/>
        <v>10.9</v>
      </c>
      <c r="J64" s="3">
        <f t="shared" ca="1" si="6"/>
        <v>1.9000000000000004</v>
      </c>
      <c r="K64" s="3" t="str">
        <f t="shared" ca="1" si="9"/>
        <v>Y</v>
      </c>
      <c r="L64" s="10"/>
    </row>
    <row r="65" spans="1:12" x14ac:dyDescent="0.35">
      <c r="A65" s="3">
        <v>65</v>
      </c>
      <c r="B65" s="6" t="s">
        <v>340</v>
      </c>
      <c r="C65" s="3" t="s">
        <v>229</v>
      </c>
      <c r="D65" s="8" t="s">
        <v>221</v>
      </c>
      <c r="E65" s="7" t="s">
        <v>307</v>
      </c>
      <c r="F65" s="3" t="str">
        <f t="shared" ca="1" si="1"/>
        <v>N/A</v>
      </c>
      <c r="G65" s="3">
        <f t="shared" ca="1" si="7"/>
        <v>19</v>
      </c>
      <c r="H65" s="3" t="str">
        <f t="shared" ca="1" si="3"/>
        <v>N</v>
      </c>
      <c r="I65" s="3">
        <f t="shared" ca="1" si="8"/>
        <v>19.7</v>
      </c>
      <c r="J65" s="3">
        <f t="shared" ref="J65:J96" ca="1" si="10">SUM(I65-G65)</f>
        <v>0.69999999999999929</v>
      </c>
      <c r="K65" s="3" t="str">
        <f t="shared" ca="1" si="9"/>
        <v>Y</v>
      </c>
      <c r="L65" s="10"/>
    </row>
    <row r="66" spans="1:12" x14ac:dyDescent="0.35">
      <c r="A66" s="3">
        <v>66</v>
      </c>
      <c r="B66" s="6" t="s">
        <v>113</v>
      </c>
      <c r="C66" s="3" t="s">
        <v>230</v>
      </c>
      <c r="D66" s="8" t="s">
        <v>221</v>
      </c>
      <c r="E66" s="7" t="s">
        <v>307</v>
      </c>
      <c r="F66" s="3" t="str">
        <f t="shared" ca="1" si="1"/>
        <v>N/A</v>
      </c>
      <c r="G66" s="3">
        <f t="shared" ca="1" si="7"/>
        <v>19</v>
      </c>
      <c r="H66" s="3" t="str">
        <f t="shared" ca="1" si="3"/>
        <v>N</v>
      </c>
      <c r="I66" s="3">
        <f t="shared" ca="1" si="8"/>
        <v>18.8</v>
      </c>
      <c r="J66" s="3">
        <f t="shared" ca="1" si="10"/>
        <v>-0.19999999999999929</v>
      </c>
      <c r="K66" s="3" t="str">
        <f t="shared" ca="1" si="9"/>
        <v>Y</v>
      </c>
      <c r="L66" s="10"/>
    </row>
    <row r="67" spans="1:12" x14ac:dyDescent="0.35">
      <c r="A67" s="3">
        <v>67</v>
      </c>
      <c r="B67" s="6" t="s">
        <v>115</v>
      </c>
      <c r="C67" s="3" t="s">
        <v>231</v>
      </c>
      <c r="D67" s="8" t="s">
        <v>221</v>
      </c>
      <c r="E67" s="7" t="s">
        <v>307</v>
      </c>
      <c r="F67" s="3" t="str">
        <f t="shared" ref="F67:F128" ca="1" si="11">IFERROR(INDEX(INDIRECT("Table"&amp;$D67&amp;"_Req"), 1, MATCH(TRIM(SUBSTITUTE($B67, " Coil Temp", "")) &amp; " SP*", INDIRECT("Table"&amp;$D67&amp;"_Req[#Headers]"), 0)), "N/A")</f>
        <v>N/A</v>
      </c>
      <c r="G67" s="3">
        <f t="shared" ca="1" si="7"/>
        <v>19</v>
      </c>
      <c r="H67" s="3" t="str">
        <f t="shared" ref="H67:H128" ca="1" si="12">IF(F67=G67, "Y", "N")</f>
        <v>N</v>
      </c>
      <c r="I67" s="3">
        <f t="shared" ca="1" si="8"/>
        <v>20.8</v>
      </c>
      <c r="J67" s="3">
        <f t="shared" ca="1" si="10"/>
        <v>1.8000000000000007</v>
      </c>
      <c r="K67" s="3" t="str">
        <f t="shared" ca="1" si="9"/>
        <v>Y</v>
      </c>
      <c r="L67" s="10"/>
    </row>
    <row r="68" spans="1:12" x14ac:dyDescent="0.35">
      <c r="A68" s="3">
        <v>68</v>
      </c>
      <c r="B68" s="6" t="s">
        <v>117</v>
      </c>
      <c r="C68" s="3" t="s">
        <v>331</v>
      </c>
      <c r="D68" s="8" t="s">
        <v>221</v>
      </c>
      <c r="E68" s="7" t="s">
        <v>307</v>
      </c>
      <c r="F68" s="3" t="str">
        <f t="shared" ca="1" si="11"/>
        <v>N/A</v>
      </c>
      <c r="G68" s="3">
        <f t="shared" ca="1" si="7"/>
        <v>19</v>
      </c>
      <c r="H68" s="3" t="str">
        <f t="shared" ca="1" si="12"/>
        <v>N</v>
      </c>
      <c r="I68" s="3">
        <f t="shared" ca="1" si="8"/>
        <v>20</v>
      </c>
      <c r="J68" s="3">
        <f t="shared" ca="1" si="10"/>
        <v>1</v>
      </c>
      <c r="K68" s="3" t="str">
        <f t="shared" ca="1" si="9"/>
        <v>Y</v>
      </c>
      <c r="L68" s="10"/>
    </row>
    <row r="69" spans="1:12" x14ac:dyDescent="0.35">
      <c r="A69" s="3">
        <v>69</v>
      </c>
      <c r="B69" s="6" t="s">
        <v>119</v>
      </c>
      <c r="C69" s="3" t="s">
        <v>233</v>
      </c>
      <c r="D69" s="8" t="s">
        <v>221</v>
      </c>
      <c r="E69" s="7">
        <v>25</v>
      </c>
      <c r="F69" s="3" t="str">
        <f t="shared" ca="1" si="11"/>
        <v>N/A</v>
      </c>
      <c r="G69" s="3">
        <f t="shared" ca="1" si="7"/>
        <v>19</v>
      </c>
      <c r="H69" s="3" t="str">
        <f t="shared" ca="1" si="12"/>
        <v>N</v>
      </c>
      <c r="I69" s="3">
        <f t="shared" ca="1" si="8"/>
        <v>20.9</v>
      </c>
      <c r="J69" s="3">
        <f t="shared" ca="1" si="10"/>
        <v>1.8999999999999986</v>
      </c>
      <c r="K69" s="3" t="str">
        <f t="shared" ca="1" si="9"/>
        <v>Y</v>
      </c>
      <c r="L69" s="10"/>
    </row>
    <row r="70" spans="1:12" x14ac:dyDescent="0.35">
      <c r="A70" s="3">
        <v>70</v>
      </c>
      <c r="B70" s="6" t="s">
        <v>121</v>
      </c>
      <c r="C70" s="3" t="s">
        <v>234</v>
      </c>
      <c r="D70" s="8" t="s">
        <v>221</v>
      </c>
      <c r="E70" s="7" t="s">
        <v>307</v>
      </c>
      <c r="F70" s="3" t="str">
        <f t="shared" ca="1" si="11"/>
        <v>N/A</v>
      </c>
      <c r="G70" s="3">
        <f t="shared" ca="1" si="7"/>
        <v>19</v>
      </c>
      <c r="H70" s="3" t="str">
        <f t="shared" ca="1" si="12"/>
        <v>N</v>
      </c>
      <c r="I70" s="3">
        <f t="shared" ca="1" si="8"/>
        <v>19.7</v>
      </c>
      <c r="J70" s="3">
        <f t="shared" ca="1" si="10"/>
        <v>0.69999999999999929</v>
      </c>
      <c r="K70" s="3" t="str">
        <f t="shared" ca="1" si="9"/>
        <v>Y</v>
      </c>
      <c r="L70" s="10"/>
    </row>
    <row r="71" spans="1:12" x14ac:dyDescent="0.35">
      <c r="A71" s="3">
        <v>71</v>
      </c>
      <c r="B71" s="6" t="s">
        <v>123</v>
      </c>
      <c r="C71" s="3" t="s">
        <v>235</v>
      </c>
      <c r="D71" s="8" t="s">
        <v>221</v>
      </c>
      <c r="E71" s="7" t="s">
        <v>307</v>
      </c>
      <c r="F71" s="3" t="str">
        <f t="shared" ca="1" si="11"/>
        <v>N/A</v>
      </c>
      <c r="G71" s="3">
        <f t="shared" ca="1" si="7"/>
        <v>19</v>
      </c>
      <c r="H71" s="3" t="str">
        <f t="shared" ca="1" si="12"/>
        <v>N</v>
      </c>
      <c r="I71" s="3">
        <f t="shared" ca="1" si="8"/>
        <v>20.6</v>
      </c>
      <c r="J71" s="3">
        <f t="shared" ca="1" si="10"/>
        <v>1.6000000000000014</v>
      </c>
      <c r="K71" s="3" t="str">
        <f t="shared" ca="1" si="9"/>
        <v>Y</v>
      </c>
      <c r="L71" s="10"/>
    </row>
    <row r="72" spans="1:12" x14ac:dyDescent="0.35">
      <c r="A72" s="3">
        <v>72</v>
      </c>
      <c r="B72" s="6" t="s">
        <v>125</v>
      </c>
      <c r="C72" s="3" t="s">
        <v>236</v>
      </c>
      <c r="D72" s="8" t="s">
        <v>221</v>
      </c>
      <c r="E72" s="7" t="s">
        <v>307</v>
      </c>
      <c r="F72" s="3" t="str">
        <f t="shared" ca="1" si="11"/>
        <v>N/A</v>
      </c>
      <c r="G72" s="3">
        <f t="shared" ca="1" si="7"/>
        <v>19</v>
      </c>
      <c r="H72" s="3" t="str">
        <f t="shared" ca="1" si="12"/>
        <v>N</v>
      </c>
      <c r="I72" s="3">
        <f t="shared" ca="1" si="8"/>
        <v>20.8</v>
      </c>
      <c r="J72" s="3">
        <f t="shared" ca="1" si="10"/>
        <v>1.8000000000000007</v>
      </c>
      <c r="K72" s="3" t="str">
        <f t="shared" ca="1" si="9"/>
        <v>Y</v>
      </c>
      <c r="L72" s="10"/>
    </row>
    <row r="73" spans="1:12" x14ac:dyDescent="0.35">
      <c r="A73" s="3">
        <v>73</v>
      </c>
      <c r="B73" s="6" t="s">
        <v>127</v>
      </c>
      <c r="C73" s="3" t="s">
        <v>232</v>
      </c>
      <c r="D73" s="8" t="s">
        <v>221</v>
      </c>
      <c r="E73" s="7" t="s">
        <v>307</v>
      </c>
      <c r="F73" s="3" t="str">
        <f t="shared" ca="1" si="11"/>
        <v>N/A</v>
      </c>
      <c r="G73" s="3">
        <f t="shared" ca="1" si="7"/>
        <v>19</v>
      </c>
      <c r="H73" s="3" t="str">
        <f t="shared" ca="1" si="12"/>
        <v>N</v>
      </c>
      <c r="I73" s="3">
        <f t="shared" ca="1" si="8"/>
        <v>19.100000000000001</v>
      </c>
      <c r="J73" s="3">
        <f t="shared" ca="1" si="10"/>
        <v>0.10000000000000142</v>
      </c>
      <c r="K73" s="3" t="str">
        <f t="shared" ca="1" si="9"/>
        <v>Y</v>
      </c>
      <c r="L73" s="10"/>
    </row>
    <row r="74" spans="1:12" x14ac:dyDescent="0.35">
      <c r="A74" s="3">
        <v>74</v>
      </c>
      <c r="B74" s="6" t="s">
        <v>129</v>
      </c>
      <c r="C74" s="3" t="s">
        <v>237</v>
      </c>
      <c r="D74" s="8" t="s">
        <v>221</v>
      </c>
      <c r="E74" s="7" t="s">
        <v>307</v>
      </c>
      <c r="F74" s="3" t="str">
        <f t="shared" ca="1" si="11"/>
        <v>N/A</v>
      </c>
      <c r="G74" s="3">
        <f t="shared" ca="1" si="7"/>
        <v>19</v>
      </c>
      <c r="H74" s="3" t="str">
        <f t="shared" ca="1" si="12"/>
        <v>N</v>
      </c>
      <c r="I74" s="3">
        <f t="shared" ca="1" si="8"/>
        <v>20.399999999999999</v>
      </c>
      <c r="J74" s="3">
        <f t="shared" ca="1" si="10"/>
        <v>1.3999999999999986</v>
      </c>
      <c r="K74" s="3" t="str">
        <f t="shared" ca="1" si="9"/>
        <v>Y</v>
      </c>
      <c r="L74" s="10"/>
    </row>
    <row r="75" spans="1:12" x14ac:dyDescent="0.35">
      <c r="A75" s="3">
        <v>75</v>
      </c>
      <c r="B75" s="6" t="s">
        <v>131</v>
      </c>
      <c r="C75" s="3" t="s">
        <v>238</v>
      </c>
      <c r="D75" s="8" t="s">
        <v>221</v>
      </c>
      <c r="E75" s="7" t="s">
        <v>307</v>
      </c>
      <c r="F75" s="3" t="str">
        <f t="shared" ca="1" si="11"/>
        <v>N/A</v>
      </c>
      <c r="G75" s="3">
        <f t="shared" ca="1" si="7"/>
        <v>20</v>
      </c>
      <c r="H75" s="3" t="str">
        <f t="shared" ca="1" si="12"/>
        <v>N</v>
      </c>
      <c r="I75" s="3">
        <f t="shared" ca="1" si="8"/>
        <v>21</v>
      </c>
      <c r="J75" s="3">
        <f t="shared" ca="1" si="10"/>
        <v>1</v>
      </c>
      <c r="K75" s="3" t="str">
        <f t="shared" ca="1" si="9"/>
        <v>Y</v>
      </c>
      <c r="L75" s="10"/>
    </row>
    <row r="76" spans="1:12" x14ac:dyDescent="0.35">
      <c r="A76" s="3">
        <v>76</v>
      </c>
      <c r="B76" s="6" t="s">
        <v>133</v>
      </c>
      <c r="C76" s="3" t="s">
        <v>238</v>
      </c>
      <c r="D76" s="8" t="s">
        <v>221</v>
      </c>
      <c r="E76" s="7" t="s">
        <v>307</v>
      </c>
      <c r="F76" s="3" t="str">
        <f t="shared" ca="1" si="11"/>
        <v>N/A</v>
      </c>
      <c r="G76" s="3">
        <f t="shared" ca="1" si="7"/>
        <v>20</v>
      </c>
      <c r="H76" s="3" t="str">
        <f t="shared" ca="1" si="12"/>
        <v>N</v>
      </c>
      <c r="I76" s="3">
        <f t="shared" ca="1" si="8"/>
        <v>21.8</v>
      </c>
      <c r="J76" s="3">
        <f t="shared" ca="1" si="10"/>
        <v>1.8000000000000007</v>
      </c>
      <c r="K76" s="3" t="str">
        <f t="shared" ca="1" si="9"/>
        <v>Y</v>
      </c>
      <c r="L76" s="10"/>
    </row>
    <row r="77" spans="1:12" x14ac:dyDescent="0.35">
      <c r="A77" s="3">
        <v>77</v>
      </c>
      <c r="B77" s="6" t="s">
        <v>135</v>
      </c>
      <c r="C77" s="3" t="s">
        <v>238</v>
      </c>
      <c r="D77" s="8" t="s">
        <v>221</v>
      </c>
      <c r="E77" s="7" t="s">
        <v>307</v>
      </c>
      <c r="F77" s="3" t="str">
        <f t="shared" ca="1" si="11"/>
        <v>N/A</v>
      </c>
      <c r="G77" s="3">
        <f t="shared" ca="1" si="7"/>
        <v>40</v>
      </c>
      <c r="H77" s="3" t="str">
        <f t="shared" ca="1" si="12"/>
        <v>N</v>
      </c>
      <c r="I77" s="3">
        <f t="shared" ca="1" si="8"/>
        <v>28.8</v>
      </c>
      <c r="J77" s="3">
        <f t="shared" ca="1" si="10"/>
        <v>-11.2</v>
      </c>
      <c r="K77" s="3" t="str">
        <f t="shared" ca="1" si="9"/>
        <v>N</v>
      </c>
      <c r="L77" s="10"/>
    </row>
    <row r="78" spans="1:12" x14ac:dyDescent="0.35">
      <c r="A78" s="3">
        <v>78</v>
      </c>
      <c r="B78" s="6" t="s">
        <v>137</v>
      </c>
      <c r="C78" s="3" t="s">
        <v>238</v>
      </c>
      <c r="D78" s="8" t="s">
        <v>221</v>
      </c>
      <c r="E78" s="7" t="s">
        <v>307</v>
      </c>
      <c r="F78" s="3" t="str">
        <f t="shared" ca="1" si="11"/>
        <v>N/A</v>
      </c>
      <c r="G78" s="3">
        <f t="shared" ca="1" si="7"/>
        <v>40</v>
      </c>
      <c r="H78" s="3" t="str">
        <f t="shared" ca="1" si="12"/>
        <v>N</v>
      </c>
      <c r="I78" s="3">
        <f t="shared" ca="1" si="8"/>
        <v>27.9</v>
      </c>
      <c r="J78" s="3">
        <f t="shared" ca="1" si="10"/>
        <v>-12.100000000000001</v>
      </c>
      <c r="K78" s="3" t="str">
        <f t="shared" ca="1" si="9"/>
        <v>N</v>
      </c>
      <c r="L78" s="10"/>
    </row>
    <row r="79" spans="1:12" x14ac:dyDescent="0.35">
      <c r="A79" s="3">
        <v>79</v>
      </c>
      <c r="B79" s="6" t="s">
        <v>139</v>
      </c>
      <c r="C79" s="3" t="s">
        <v>238</v>
      </c>
      <c r="D79" s="8" t="s">
        <v>221</v>
      </c>
      <c r="E79" s="7" t="s">
        <v>307</v>
      </c>
      <c r="F79" s="3" t="str">
        <f t="shared" ca="1" si="11"/>
        <v>N/A</v>
      </c>
      <c r="G79" s="3">
        <f t="shared" ca="1" si="7"/>
        <v>20</v>
      </c>
      <c r="H79" s="3" t="str">
        <f t="shared" ca="1" si="12"/>
        <v>N</v>
      </c>
      <c r="I79" s="3">
        <f t="shared" ca="1" si="8"/>
        <v>21.9</v>
      </c>
      <c r="J79" s="3">
        <f t="shared" ca="1" si="10"/>
        <v>1.8999999999999986</v>
      </c>
      <c r="K79" s="3" t="str">
        <f t="shared" ca="1" si="9"/>
        <v>Y</v>
      </c>
      <c r="L79" s="10"/>
    </row>
    <row r="80" spans="1:12" x14ac:dyDescent="0.35">
      <c r="A80" s="3">
        <v>80</v>
      </c>
      <c r="B80" s="6" t="s">
        <v>345</v>
      </c>
      <c r="C80" s="3" t="s">
        <v>239</v>
      </c>
      <c r="D80" s="13" t="s">
        <v>240</v>
      </c>
      <c r="E80" s="7" t="s">
        <v>308</v>
      </c>
      <c r="F80" s="3" t="str">
        <f t="shared" ca="1" si="11"/>
        <v>N/A</v>
      </c>
      <c r="G80" s="3">
        <f ca="1">IFERROR(INDEX(INDIRECT("Table"&amp;$D80), MATCH(9.9E+307, INDIRECT("Table"&amp;$D80&amp;"[Time]")), MATCH(SUBSTITUTE(SUBSTITUTE($B80," Coil Temp.","")," Coil Temp","")&amp;" SP*", INDIRECT("Table"&amp;$D80&amp;"[#Headers]"), 0)), "N/A")</f>
        <v>3</v>
      </c>
      <c r="H80" s="3" t="str">
        <f t="shared" ca="1" si="12"/>
        <v>N</v>
      </c>
      <c r="I80" s="3">
        <f ca="1">IFERROR(INDEX(INDIRECT("Table"&amp;$D80), MATCH(9.9E+307, INDIRECT("Table"&amp;$D80&amp;"[Time]")), MATCH($B80, INDIRECT("Table"&amp;$D80&amp;"[#Headers]"), 0)), "N/A")</f>
        <v>23.1</v>
      </c>
      <c r="J80" s="3">
        <f t="shared" ca="1" si="10"/>
        <v>20.100000000000001</v>
      </c>
      <c r="K80" s="3" t="str">
        <f ca="1">IFERROR(IF(ABS(
  INDEX(INDIRECT("Table"&amp;$D80), MATCH(9.9E+307, INDIRECT("Table"&amp;$D80&amp;"[Time]")), MATCH($B80, INDIRECT("Table"&amp;$D80&amp;"[#Headers]"), 0)) -
  INDEX(INDIRECT("Table"&amp;$D80), MATCH(9.9E+307, INDIRECT("Table"&amp;$D80&amp;"[Time]")), MATCH(SUBSTITUTE(SUBSTITUTE($B80," Coil Temp.","")," Coil Temp","")&amp;" SP*", INDIRECT("Table"&amp;$D80&amp;"[#Headers]"), 0))
)&lt;=2, "Y", "N"), "N/A")</f>
        <v>N</v>
      </c>
      <c r="L80" s="10"/>
    </row>
    <row r="81" spans="1:12" x14ac:dyDescent="0.35">
      <c r="A81" s="3">
        <v>81</v>
      </c>
      <c r="B81" s="6" t="s">
        <v>346</v>
      </c>
      <c r="C81" s="3" t="s">
        <v>333</v>
      </c>
      <c r="D81" s="13" t="s">
        <v>240</v>
      </c>
      <c r="E81" s="7" t="s">
        <v>308</v>
      </c>
      <c r="F81" s="3" t="str">
        <f t="shared" ca="1" si="11"/>
        <v>N/A</v>
      </c>
      <c r="G81" s="3">
        <f t="shared" ref="G81:G110" ca="1" si="13">IFERROR(INDEX(INDIRECT("Table"&amp;$D81), MATCH(9.9E+307, INDIRECT("Table"&amp;$D81&amp;"[Time]")), MATCH(SUBSTITUTE(SUBSTITUTE($B81," Coil Temp.","")," Coil Temp","")&amp;" SP*", INDIRECT("Table"&amp;$D81&amp;"[#Headers]"), 0)), "N/A")</f>
        <v>2</v>
      </c>
      <c r="H81" s="3" t="str">
        <f t="shared" ca="1" si="12"/>
        <v>N</v>
      </c>
      <c r="I81" s="3">
        <f t="shared" ref="I81:I110" ca="1" si="14">IFERROR(INDEX(INDIRECT("Table"&amp;$D81), MATCH(9.9E+307, INDIRECT("Table"&amp;$D81&amp;"[Time]")), MATCH($B81, INDIRECT("Table"&amp;$D81&amp;"[#Headers]"), 0)), "N/A")</f>
        <v>21.8</v>
      </c>
      <c r="J81" s="3">
        <f t="shared" ca="1" si="10"/>
        <v>19.8</v>
      </c>
      <c r="K81" s="3" t="str">
        <f t="shared" ref="K81:K110" ca="1" si="15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N</v>
      </c>
      <c r="L81" s="10"/>
    </row>
    <row r="82" spans="1:12" x14ac:dyDescent="0.35">
      <c r="A82" s="3">
        <v>82</v>
      </c>
      <c r="B82" s="6" t="s">
        <v>141</v>
      </c>
      <c r="C82" s="3" t="s">
        <v>242</v>
      </c>
      <c r="D82" s="13" t="s">
        <v>240</v>
      </c>
      <c r="E82" s="7">
        <v>-10</v>
      </c>
      <c r="F82" s="3" t="str">
        <f t="shared" ca="1" si="11"/>
        <v>N/A</v>
      </c>
      <c r="G82" s="3">
        <f t="shared" ca="1" si="13"/>
        <v>0</v>
      </c>
      <c r="H82" s="3" t="str">
        <f t="shared" ca="1" si="12"/>
        <v>N</v>
      </c>
      <c r="I82" s="3">
        <f t="shared" ca="1" si="14"/>
        <v>10.7</v>
      </c>
      <c r="J82" s="3">
        <f t="shared" ca="1" si="10"/>
        <v>10.7</v>
      </c>
      <c r="K82" s="3" t="str">
        <f t="shared" ca="1" si="15"/>
        <v>N</v>
      </c>
      <c r="L82" s="10"/>
    </row>
    <row r="83" spans="1:12" x14ac:dyDescent="0.35">
      <c r="A83" s="3">
        <v>83</v>
      </c>
      <c r="B83" s="6" t="s">
        <v>142</v>
      </c>
      <c r="C83" s="3" t="s">
        <v>242</v>
      </c>
      <c r="D83" s="13" t="s">
        <v>240</v>
      </c>
      <c r="E83" s="7">
        <v>-10</v>
      </c>
      <c r="F83" s="3" t="str">
        <f t="shared" ca="1" si="11"/>
        <v>N/A</v>
      </c>
      <c r="G83" s="3">
        <f t="shared" ca="1" si="13"/>
        <v>0</v>
      </c>
      <c r="H83" s="3" t="str">
        <f t="shared" ca="1" si="12"/>
        <v>N</v>
      </c>
      <c r="I83" s="3">
        <f t="shared" ca="1" si="14"/>
        <v>13.9</v>
      </c>
      <c r="J83" s="3">
        <f t="shared" ca="1" si="10"/>
        <v>13.9</v>
      </c>
      <c r="K83" s="3" t="str">
        <f t="shared" ca="1" si="15"/>
        <v>N</v>
      </c>
      <c r="L83" s="10"/>
    </row>
    <row r="84" spans="1:12" x14ac:dyDescent="0.35">
      <c r="A84" s="3">
        <v>84</v>
      </c>
      <c r="B84" s="6" t="s">
        <v>144</v>
      </c>
      <c r="C84" s="3" t="s">
        <v>243</v>
      </c>
      <c r="D84" s="13" t="s">
        <v>240</v>
      </c>
      <c r="E84" s="7">
        <v>-10</v>
      </c>
      <c r="F84" s="3" t="str">
        <f t="shared" ca="1" si="11"/>
        <v>N/A</v>
      </c>
      <c r="G84" s="3">
        <f t="shared" ca="1" si="13"/>
        <v>0</v>
      </c>
      <c r="H84" s="3" t="str">
        <f t="shared" ca="1" si="12"/>
        <v>N</v>
      </c>
      <c r="I84" s="3">
        <f t="shared" ca="1" si="14"/>
        <v>16.3</v>
      </c>
      <c r="J84" s="3">
        <f t="shared" ca="1" si="10"/>
        <v>16.3</v>
      </c>
      <c r="K84" s="3" t="str">
        <f t="shared" ca="1" si="15"/>
        <v>N</v>
      </c>
      <c r="L84" s="10"/>
    </row>
    <row r="85" spans="1:12" x14ac:dyDescent="0.35">
      <c r="A85" s="3">
        <v>85</v>
      </c>
      <c r="B85" s="6" t="s">
        <v>145</v>
      </c>
      <c r="C85" s="3" t="s">
        <v>243</v>
      </c>
      <c r="D85" s="13" t="s">
        <v>240</v>
      </c>
      <c r="E85" s="7">
        <v>-10</v>
      </c>
      <c r="F85" s="3" t="str">
        <f t="shared" ca="1" si="11"/>
        <v>N/A</v>
      </c>
      <c r="G85" s="3">
        <f t="shared" ca="1" si="13"/>
        <v>0</v>
      </c>
      <c r="H85" s="3" t="str">
        <f t="shared" ca="1" si="12"/>
        <v>N</v>
      </c>
      <c r="I85" s="3">
        <f t="shared" ca="1" si="14"/>
        <v>12.6</v>
      </c>
      <c r="J85" s="3">
        <f t="shared" ca="1" si="10"/>
        <v>12.6</v>
      </c>
      <c r="K85" s="3" t="str">
        <f t="shared" ca="1" si="15"/>
        <v>N</v>
      </c>
      <c r="L85" s="10"/>
    </row>
    <row r="86" spans="1:12" x14ac:dyDescent="0.35">
      <c r="A86" s="3">
        <v>86</v>
      </c>
      <c r="B86" s="6" t="s">
        <v>147</v>
      </c>
      <c r="C86" s="3" t="s">
        <v>244</v>
      </c>
      <c r="D86" s="13" t="s">
        <v>240</v>
      </c>
      <c r="E86" s="7">
        <v>-10</v>
      </c>
      <c r="F86" s="3" t="str">
        <f t="shared" ca="1" si="11"/>
        <v>N/A</v>
      </c>
      <c r="G86" s="3">
        <f t="shared" ca="1" si="13"/>
        <v>0</v>
      </c>
      <c r="H86" s="3" t="str">
        <f t="shared" ca="1" si="12"/>
        <v>N</v>
      </c>
      <c r="I86" s="3">
        <f t="shared" ca="1" si="14"/>
        <v>14.1</v>
      </c>
      <c r="J86" s="3">
        <f t="shared" ca="1" si="10"/>
        <v>14.1</v>
      </c>
      <c r="K86" s="3" t="str">
        <f t="shared" ca="1" si="15"/>
        <v>N</v>
      </c>
      <c r="L86" s="10"/>
    </row>
    <row r="87" spans="1:12" x14ac:dyDescent="0.35">
      <c r="A87" s="3">
        <v>87</v>
      </c>
      <c r="B87" s="6" t="s">
        <v>148</v>
      </c>
      <c r="C87" s="3" t="s">
        <v>244</v>
      </c>
      <c r="D87" s="13" t="s">
        <v>240</v>
      </c>
      <c r="E87" s="7">
        <v>-10</v>
      </c>
      <c r="F87" s="3" t="str">
        <f t="shared" ca="1" si="11"/>
        <v>N/A</v>
      </c>
      <c r="G87" s="3">
        <f t="shared" ca="1" si="13"/>
        <v>0</v>
      </c>
      <c r="H87" s="3" t="str">
        <f t="shared" ca="1" si="12"/>
        <v>N</v>
      </c>
      <c r="I87" s="3">
        <f t="shared" ca="1" si="14"/>
        <v>17.100000000000001</v>
      </c>
      <c r="J87" s="3">
        <f t="shared" ca="1" si="10"/>
        <v>17.100000000000001</v>
      </c>
      <c r="K87" s="3" t="str">
        <f t="shared" ca="1" si="15"/>
        <v>N</v>
      </c>
      <c r="L87" s="10"/>
    </row>
    <row r="88" spans="1:12" x14ac:dyDescent="0.35">
      <c r="A88" s="3">
        <v>88</v>
      </c>
      <c r="B88" s="6" t="s">
        <v>150</v>
      </c>
      <c r="C88" s="3" t="s">
        <v>241</v>
      </c>
      <c r="D88" s="13" t="s">
        <v>240</v>
      </c>
      <c r="E88" s="7">
        <v>-10</v>
      </c>
      <c r="F88" s="3" t="str">
        <f t="shared" ca="1" si="11"/>
        <v>N/A</v>
      </c>
      <c r="G88" s="3">
        <f t="shared" ca="1" si="13"/>
        <v>0</v>
      </c>
      <c r="H88" s="3" t="str">
        <f t="shared" ca="1" si="12"/>
        <v>N</v>
      </c>
      <c r="I88" s="3">
        <f t="shared" ca="1" si="14"/>
        <v>16.100000000000001</v>
      </c>
      <c r="J88" s="3">
        <f t="shared" ca="1" si="10"/>
        <v>16.100000000000001</v>
      </c>
      <c r="K88" s="3" t="str">
        <f t="shared" ca="1" si="15"/>
        <v>N</v>
      </c>
      <c r="L88" s="10"/>
    </row>
    <row r="89" spans="1:12" x14ac:dyDescent="0.35">
      <c r="A89" s="3">
        <v>89</v>
      </c>
      <c r="B89" s="6" t="s">
        <v>151</v>
      </c>
      <c r="C89" s="3" t="s">
        <v>241</v>
      </c>
      <c r="D89" s="13" t="s">
        <v>240</v>
      </c>
      <c r="E89" s="7">
        <v>-10</v>
      </c>
      <c r="F89" s="3" t="str">
        <f t="shared" ca="1" si="11"/>
        <v>N/A</v>
      </c>
      <c r="G89" s="3">
        <f t="shared" ca="1" si="13"/>
        <v>0</v>
      </c>
      <c r="H89" s="3" t="str">
        <f t="shared" ca="1" si="12"/>
        <v>N</v>
      </c>
      <c r="I89" s="3">
        <f t="shared" ca="1" si="14"/>
        <v>12.3</v>
      </c>
      <c r="J89" s="3">
        <f t="shared" ca="1" si="10"/>
        <v>12.3</v>
      </c>
      <c r="K89" s="3" t="str">
        <f t="shared" ca="1" si="15"/>
        <v>N</v>
      </c>
      <c r="L89" s="10"/>
    </row>
    <row r="90" spans="1:12" x14ac:dyDescent="0.35">
      <c r="A90" s="3">
        <v>90</v>
      </c>
      <c r="B90" s="6" t="s">
        <v>153</v>
      </c>
      <c r="C90" s="3" t="s">
        <v>245</v>
      </c>
      <c r="D90" s="13" t="s">
        <v>240</v>
      </c>
      <c r="E90" s="7">
        <v>-10</v>
      </c>
      <c r="F90" s="3" t="str">
        <f t="shared" ca="1" si="11"/>
        <v>N/A</v>
      </c>
      <c r="G90" s="3">
        <f t="shared" ca="1" si="13"/>
        <v>0</v>
      </c>
      <c r="H90" s="3" t="str">
        <f t="shared" ca="1" si="12"/>
        <v>N</v>
      </c>
      <c r="I90" s="3">
        <f t="shared" ca="1" si="14"/>
        <v>11.7</v>
      </c>
      <c r="J90" s="3">
        <f t="shared" ca="1" si="10"/>
        <v>11.7</v>
      </c>
      <c r="K90" s="3" t="str">
        <f t="shared" ca="1" si="15"/>
        <v>N</v>
      </c>
      <c r="L90" s="10"/>
    </row>
    <row r="91" spans="1:12" x14ac:dyDescent="0.35">
      <c r="A91" s="3">
        <v>91</v>
      </c>
      <c r="B91" s="6" t="s">
        <v>154</v>
      </c>
      <c r="C91" s="3" t="s">
        <v>245</v>
      </c>
      <c r="D91" s="13" t="s">
        <v>240</v>
      </c>
      <c r="E91" s="7">
        <v>-10</v>
      </c>
      <c r="F91" s="3" t="str">
        <f t="shared" ca="1" si="11"/>
        <v>N/A</v>
      </c>
      <c r="G91" s="3">
        <f t="shared" ca="1" si="13"/>
        <v>0</v>
      </c>
      <c r="H91" s="3" t="str">
        <f t="shared" ca="1" si="12"/>
        <v>N</v>
      </c>
      <c r="I91" s="3">
        <f t="shared" ca="1" si="14"/>
        <v>14.9</v>
      </c>
      <c r="J91" s="3">
        <f t="shared" ca="1" si="10"/>
        <v>14.9</v>
      </c>
      <c r="K91" s="3" t="str">
        <f t="shared" ca="1" si="15"/>
        <v>N</v>
      </c>
      <c r="L91" s="10"/>
    </row>
    <row r="92" spans="1:12" x14ac:dyDescent="0.35">
      <c r="A92" s="3">
        <v>92</v>
      </c>
      <c r="B92" s="6" t="s">
        <v>156</v>
      </c>
      <c r="C92" s="3" t="s">
        <v>246</v>
      </c>
      <c r="D92" s="13" t="s">
        <v>240</v>
      </c>
      <c r="E92" s="7">
        <v>-20</v>
      </c>
      <c r="F92" s="3" t="str">
        <f t="shared" ca="1" si="11"/>
        <v>N/A</v>
      </c>
      <c r="G92" s="3">
        <f t="shared" ca="1" si="13"/>
        <v>-22</v>
      </c>
      <c r="H92" s="3" t="str">
        <f t="shared" ca="1" si="12"/>
        <v>N</v>
      </c>
      <c r="I92" s="3">
        <f t="shared" ca="1" si="14"/>
        <v>-20.5</v>
      </c>
      <c r="J92" s="3">
        <f t="shared" ca="1" si="10"/>
        <v>1.5</v>
      </c>
      <c r="K92" s="3" t="str">
        <f t="shared" ca="1" si="15"/>
        <v>Y</v>
      </c>
      <c r="L92" s="10"/>
    </row>
    <row r="93" spans="1:12" x14ac:dyDescent="0.35">
      <c r="A93" s="3">
        <v>93</v>
      </c>
      <c r="B93" s="6" t="s">
        <v>157</v>
      </c>
      <c r="C93" s="3" t="s">
        <v>246</v>
      </c>
      <c r="D93" s="13" t="s">
        <v>240</v>
      </c>
      <c r="E93" s="7">
        <v>-20</v>
      </c>
      <c r="F93" s="3" t="str">
        <f t="shared" ca="1" si="11"/>
        <v>N/A</v>
      </c>
      <c r="G93" s="3">
        <f t="shared" ca="1" si="13"/>
        <v>-22</v>
      </c>
      <c r="H93" s="3" t="str">
        <f t="shared" ca="1" si="12"/>
        <v>N</v>
      </c>
      <c r="I93" s="3">
        <f t="shared" ca="1" si="14"/>
        <v>-22.7</v>
      </c>
      <c r="J93" s="3">
        <f t="shared" ca="1" si="10"/>
        <v>-0.69999999999999929</v>
      </c>
      <c r="K93" s="3" t="str">
        <f t="shared" ca="1" si="15"/>
        <v>Y</v>
      </c>
      <c r="L93" s="10"/>
    </row>
    <row r="94" spans="1:12" x14ac:dyDescent="0.35">
      <c r="A94" s="3">
        <v>94</v>
      </c>
      <c r="B94" s="6" t="s">
        <v>159</v>
      </c>
      <c r="C94" s="3" t="s">
        <v>246</v>
      </c>
      <c r="D94" s="13" t="s">
        <v>240</v>
      </c>
      <c r="E94" s="7">
        <v>-20</v>
      </c>
      <c r="F94" s="3" t="str">
        <f t="shared" ca="1" si="11"/>
        <v>N/A</v>
      </c>
      <c r="G94" s="3">
        <f t="shared" ca="1" si="13"/>
        <v>-22</v>
      </c>
      <c r="H94" s="3" t="str">
        <f t="shared" ca="1" si="12"/>
        <v>N</v>
      </c>
      <c r="I94" s="3">
        <f t="shared" ca="1" si="14"/>
        <v>-21</v>
      </c>
      <c r="J94" s="3">
        <f t="shared" ca="1" si="10"/>
        <v>1</v>
      </c>
      <c r="K94" s="3" t="str">
        <f t="shared" ca="1" si="15"/>
        <v>Y</v>
      </c>
      <c r="L94" s="10"/>
    </row>
    <row r="95" spans="1:12" x14ac:dyDescent="0.35">
      <c r="A95" s="3">
        <v>95</v>
      </c>
      <c r="B95" s="6" t="s">
        <v>160</v>
      </c>
      <c r="C95" s="3" t="s">
        <v>246</v>
      </c>
      <c r="D95" s="13" t="s">
        <v>240</v>
      </c>
      <c r="E95" s="7">
        <v>-20</v>
      </c>
      <c r="F95" s="3" t="str">
        <f t="shared" ca="1" si="11"/>
        <v>N/A</v>
      </c>
      <c r="G95" s="3">
        <f t="shared" ca="1" si="13"/>
        <v>-22</v>
      </c>
      <c r="H95" s="3" t="str">
        <f t="shared" ca="1" si="12"/>
        <v>N</v>
      </c>
      <c r="I95" s="3">
        <f t="shared" ca="1" si="14"/>
        <v>-19.3</v>
      </c>
      <c r="J95" s="3">
        <f t="shared" ca="1" si="10"/>
        <v>2.6999999999999993</v>
      </c>
      <c r="K95" s="3" t="str">
        <f t="shared" ca="1" si="15"/>
        <v>N</v>
      </c>
      <c r="L95" s="10"/>
    </row>
    <row r="96" spans="1:12" s="34" customFormat="1" x14ac:dyDescent="0.35">
      <c r="A96" s="30">
        <v>96</v>
      </c>
      <c r="B96" s="31" t="s">
        <v>337</v>
      </c>
      <c r="C96" s="30" t="s">
        <v>255</v>
      </c>
      <c r="D96" s="30" t="s">
        <v>240</v>
      </c>
      <c r="E96" s="32"/>
      <c r="F96" s="3" t="str">
        <f t="shared" ca="1" si="11"/>
        <v>N/A</v>
      </c>
      <c r="G96" s="30">
        <f t="shared" ca="1" si="13"/>
        <v>-5</v>
      </c>
      <c r="H96" s="30" t="str">
        <f t="shared" ca="1" si="12"/>
        <v>N</v>
      </c>
      <c r="I96" s="30">
        <f t="shared" ca="1" si="14"/>
        <v>-4.5999999999999996</v>
      </c>
      <c r="J96" s="30">
        <f t="shared" ca="1" si="10"/>
        <v>0.40000000000000036</v>
      </c>
      <c r="K96" s="30" t="str">
        <f t="shared" ca="1" si="15"/>
        <v>Y</v>
      </c>
      <c r="L96" s="33" t="s">
        <v>336</v>
      </c>
    </row>
    <row r="97" spans="1:12" s="34" customFormat="1" x14ac:dyDescent="0.35">
      <c r="A97" s="30">
        <v>97</v>
      </c>
      <c r="B97" s="31" t="s">
        <v>338</v>
      </c>
      <c r="C97" s="30" t="s">
        <v>255</v>
      </c>
      <c r="D97" s="30" t="s">
        <v>240</v>
      </c>
      <c r="E97" s="32"/>
      <c r="F97" s="3" t="str">
        <f t="shared" ca="1" si="11"/>
        <v>N/A</v>
      </c>
      <c r="G97" s="30">
        <f t="shared" ca="1" si="13"/>
        <v>-5</v>
      </c>
      <c r="H97" s="30" t="str">
        <f t="shared" ca="1" si="12"/>
        <v>N</v>
      </c>
      <c r="I97" s="30">
        <f t="shared" ca="1" si="14"/>
        <v>-5.0999999999999996</v>
      </c>
      <c r="J97" s="30">
        <f t="shared" ref="J97:J128" ca="1" si="16">SUM(I97-G97)</f>
        <v>-9.9999999999999645E-2</v>
      </c>
      <c r="K97" s="30" t="str">
        <f t="shared" ca="1" si="15"/>
        <v>Y</v>
      </c>
      <c r="L97" s="33" t="s">
        <v>336</v>
      </c>
    </row>
    <row r="98" spans="1:12" x14ac:dyDescent="0.35">
      <c r="A98" s="3">
        <v>98</v>
      </c>
      <c r="B98" s="6" t="s">
        <v>162</v>
      </c>
      <c r="C98" s="3" t="s">
        <v>247</v>
      </c>
      <c r="D98" s="13" t="s">
        <v>240</v>
      </c>
      <c r="E98" s="7">
        <v>-35</v>
      </c>
      <c r="F98" s="3" t="str">
        <f t="shared" ca="1" si="11"/>
        <v>N/A</v>
      </c>
      <c r="G98" s="3">
        <f t="shared" ca="1" si="13"/>
        <v>0</v>
      </c>
      <c r="H98" s="3" t="str">
        <f t="shared" ca="1" si="12"/>
        <v>N</v>
      </c>
      <c r="I98" s="3">
        <f t="shared" ca="1" si="14"/>
        <v>12.6</v>
      </c>
      <c r="J98" s="3">
        <f t="shared" ca="1" si="16"/>
        <v>12.6</v>
      </c>
      <c r="K98" s="3" t="str">
        <f t="shared" ca="1" si="15"/>
        <v>N</v>
      </c>
      <c r="L98" s="10"/>
    </row>
    <row r="99" spans="1:12" x14ac:dyDescent="0.35">
      <c r="A99" s="3">
        <v>99</v>
      </c>
      <c r="B99" s="6" t="s">
        <v>163</v>
      </c>
      <c r="C99" s="3" t="s">
        <v>247</v>
      </c>
      <c r="D99" s="13" t="s">
        <v>240</v>
      </c>
      <c r="E99" s="7">
        <v>-35</v>
      </c>
      <c r="F99" s="3" t="str">
        <f t="shared" ca="1" si="11"/>
        <v>N/A</v>
      </c>
      <c r="G99" s="3">
        <f t="shared" ca="1" si="13"/>
        <v>0</v>
      </c>
      <c r="H99" s="3" t="str">
        <f t="shared" ca="1" si="12"/>
        <v>N</v>
      </c>
      <c r="I99" s="3">
        <f t="shared" ca="1" si="14"/>
        <v>10.6</v>
      </c>
      <c r="J99" s="3">
        <f t="shared" ca="1" si="16"/>
        <v>10.6</v>
      </c>
      <c r="K99" s="3" t="str">
        <f t="shared" ca="1" si="15"/>
        <v>N</v>
      </c>
      <c r="L99" s="10"/>
    </row>
    <row r="100" spans="1:12" x14ac:dyDescent="0.35">
      <c r="A100" s="3">
        <v>100</v>
      </c>
      <c r="B100" s="6" t="s">
        <v>165</v>
      </c>
      <c r="C100" s="3" t="s">
        <v>248</v>
      </c>
      <c r="D100" s="13" t="s">
        <v>240</v>
      </c>
      <c r="E100" s="7" t="s">
        <v>306</v>
      </c>
      <c r="F100" s="3" t="str">
        <f t="shared" ca="1" si="11"/>
        <v>N/A</v>
      </c>
      <c r="G100" s="3">
        <f t="shared" ca="1" si="13"/>
        <v>10</v>
      </c>
      <c r="H100" s="3" t="str">
        <f t="shared" ca="1" si="12"/>
        <v>N</v>
      </c>
      <c r="I100" s="3">
        <f t="shared" ca="1" si="14"/>
        <v>12</v>
      </c>
      <c r="J100" s="3">
        <f t="shared" ca="1" si="16"/>
        <v>2</v>
      </c>
      <c r="K100" s="3" t="str">
        <f t="shared" ca="1" si="15"/>
        <v>Y</v>
      </c>
      <c r="L100" s="10"/>
    </row>
    <row r="101" spans="1:12" x14ac:dyDescent="0.35">
      <c r="A101" s="3">
        <v>101</v>
      </c>
      <c r="B101" s="6" t="s">
        <v>167</v>
      </c>
      <c r="C101" s="3" t="s">
        <v>249</v>
      </c>
      <c r="D101" s="13" t="s">
        <v>240</v>
      </c>
      <c r="E101" s="7" t="s">
        <v>306</v>
      </c>
      <c r="F101" s="3" t="str">
        <f t="shared" ca="1" si="11"/>
        <v>N/A</v>
      </c>
      <c r="G101" s="3">
        <f t="shared" ca="1" si="13"/>
        <v>10</v>
      </c>
      <c r="H101" s="3" t="str">
        <f t="shared" ca="1" si="12"/>
        <v>N</v>
      </c>
      <c r="I101" s="3">
        <f t="shared" ca="1" si="14"/>
        <v>11.3</v>
      </c>
      <c r="J101" s="3">
        <f t="shared" ca="1" si="16"/>
        <v>1.3000000000000007</v>
      </c>
      <c r="K101" s="3" t="str">
        <f t="shared" ca="1" si="15"/>
        <v>Y</v>
      </c>
      <c r="L101" s="10"/>
    </row>
    <row r="102" spans="1:12" x14ac:dyDescent="0.35">
      <c r="A102" s="3">
        <v>102</v>
      </c>
      <c r="B102" s="6" t="s">
        <v>169</v>
      </c>
      <c r="C102" s="3" t="s">
        <v>250</v>
      </c>
      <c r="D102" s="13" t="s">
        <v>240</v>
      </c>
      <c r="E102" s="7" t="s">
        <v>306</v>
      </c>
      <c r="F102" s="3" t="str">
        <f t="shared" ca="1" si="11"/>
        <v>N/A</v>
      </c>
      <c r="G102" s="3">
        <f t="shared" ca="1" si="13"/>
        <v>10</v>
      </c>
      <c r="H102" s="3" t="str">
        <f t="shared" ca="1" si="12"/>
        <v>N</v>
      </c>
      <c r="I102" s="3">
        <f t="shared" ca="1" si="14"/>
        <v>11.4</v>
      </c>
      <c r="J102" s="3">
        <f t="shared" ca="1" si="16"/>
        <v>1.4000000000000004</v>
      </c>
      <c r="K102" s="3" t="str">
        <f t="shared" ca="1" si="15"/>
        <v>Y</v>
      </c>
      <c r="L102" s="10"/>
    </row>
    <row r="103" spans="1:12" x14ac:dyDescent="0.35">
      <c r="A103" s="3">
        <v>103</v>
      </c>
      <c r="B103" s="6" t="s">
        <v>171</v>
      </c>
      <c r="C103" s="3" t="s">
        <v>251</v>
      </c>
      <c r="D103" s="13" t="s">
        <v>240</v>
      </c>
      <c r="E103" s="7" t="s">
        <v>306</v>
      </c>
      <c r="F103" s="3" t="str">
        <f t="shared" ca="1" si="11"/>
        <v>N/A</v>
      </c>
      <c r="G103" s="3">
        <f t="shared" ca="1" si="13"/>
        <v>9</v>
      </c>
      <c r="H103" s="3" t="str">
        <f t="shared" ca="1" si="12"/>
        <v>N</v>
      </c>
      <c r="I103" s="3">
        <f t="shared" ca="1" si="14"/>
        <v>12.3</v>
      </c>
      <c r="J103" s="3">
        <f t="shared" ca="1" si="16"/>
        <v>3.3000000000000007</v>
      </c>
      <c r="K103" s="3" t="str">
        <f t="shared" ca="1" si="15"/>
        <v>N</v>
      </c>
      <c r="L103" s="10"/>
    </row>
    <row r="104" spans="1:12" x14ac:dyDescent="0.35">
      <c r="A104" s="3">
        <v>104</v>
      </c>
      <c r="B104" s="6" t="s">
        <v>173</v>
      </c>
      <c r="C104" s="3" t="s">
        <v>251</v>
      </c>
      <c r="D104" s="13" t="s">
        <v>240</v>
      </c>
      <c r="E104" s="7" t="s">
        <v>306</v>
      </c>
      <c r="F104" s="3" t="str">
        <f t="shared" ca="1" si="11"/>
        <v>N/A</v>
      </c>
      <c r="G104" s="3">
        <f t="shared" ca="1" si="13"/>
        <v>10</v>
      </c>
      <c r="H104" s="3" t="str">
        <f t="shared" ca="1" si="12"/>
        <v>N</v>
      </c>
      <c r="I104" s="3">
        <f t="shared" ca="1" si="14"/>
        <v>10.3</v>
      </c>
      <c r="J104" s="3">
        <f t="shared" ca="1" si="16"/>
        <v>0.30000000000000071</v>
      </c>
      <c r="K104" s="3" t="str">
        <f t="shared" ca="1" si="15"/>
        <v>Y</v>
      </c>
      <c r="L104" s="10"/>
    </row>
    <row r="105" spans="1:12" x14ac:dyDescent="0.35">
      <c r="A105" s="3">
        <v>105</v>
      </c>
      <c r="B105" s="6" t="s">
        <v>175</v>
      </c>
      <c r="C105" s="3" t="s">
        <v>332</v>
      </c>
      <c r="D105" s="13" t="s">
        <v>240</v>
      </c>
      <c r="E105" s="7" t="s">
        <v>306</v>
      </c>
      <c r="F105" s="3" t="str">
        <f t="shared" ca="1" si="11"/>
        <v>N/A</v>
      </c>
      <c r="G105" s="3">
        <f t="shared" ca="1" si="13"/>
        <v>10</v>
      </c>
      <c r="H105" s="3" t="str">
        <f t="shared" ca="1" si="12"/>
        <v>N</v>
      </c>
      <c r="I105" s="3">
        <f t="shared" ca="1" si="14"/>
        <v>11.5</v>
      </c>
      <c r="J105" s="3">
        <f t="shared" ca="1" si="16"/>
        <v>1.5</v>
      </c>
      <c r="K105" s="3" t="str">
        <f t="shared" ca="1" si="15"/>
        <v>Y</v>
      </c>
      <c r="L105" s="10"/>
    </row>
    <row r="106" spans="1:12" x14ac:dyDescent="0.35">
      <c r="A106" s="3">
        <v>106</v>
      </c>
      <c r="B106" s="6" t="s">
        <v>177</v>
      </c>
      <c r="C106" s="3" t="s">
        <v>252</v>
      </c>
      <c r="D106" s="13" t="s">
        <v>240</v>
      </c>
      <c r="E106" s="7" t="s">
        <v>306</v>
      </c>
      <c r="F106" s="3" t="str">
        <f t="shared" ca="1" si="11"/>
        <v>N/A</v>
      </c>
      <c r="G106" s="3">
        <f t="shared" ca="1" si="13"/>
        <v>10</v>
      </c>
      <c r="H106" s="3" t="str">
        <f t="shared" ca="1" si="12"/>
        <v>N</v>
      </c>
      <c r="I106" s="3">
        <f t="shared" ca="1" si="14"/>
        <v>11.4</v>
      </c>
      <c r="J106" s="3">
        <f t="shared" ca="1" si="16"/>
        <v>1.4000000000000004</v>
      </c>
      <c r="K106" s="3" t="str">
        <f t="shared" ca="1" si="15"/>
        <v>Y</v>
      </c>
      <c r="L106" s="10"/>
    </row>
    <row r="107" spans="1:12" s="34" customFormat="1" x14ac:dyDescent="0.35">
      <c r="A107" s="30">
        <v>107</v>
      </c>
      <c r="B107" s="31" t="s">
        <v>179</v>
      </c>
      <c r="C107" s="30" t="s">
        <v>253</v>
      </c>
      <c r="D107" s="30" t="s">
        <v>240</v>
      </c>
      <c r="E107" s="32" t="s">
        <v>307</v>
      </c>
      <c r="F107" s="30" t="str">
        <f t="shared" ca="1" si="11"/>
        <v>N/A</v>
      </c>
      <c r="G107" s="30">
        <f t="shared" ca="1" si="13"/>
        <v>19</v>
      </c>
      <c r="H107" s="30" t="str">
        <f t="shared" ca="1" si="12"/>
        <v>N</v>
      </c>
      <c r="I107" s="30">
        <f t="shared" ca="1" si="14"/>
        <v>19.600000000000001</v>
      </c>
      <c r="J107" s="30">
        <f t="shared" ca="1" si="16"/>
        <v>0.60000000000000142</v>
      </c>
      <c r="K107" s="30" t="str">
        <f t="shared" ca="1" si="15"/>
        <v>Y</v>
      </c>
      <c r="L107" s="33" t="s">
        <v>335</v>
      </c>
    </row>
    <row r="108" spans="1:12" s="34" customFormat="1" x14ac:dyDescent="0.35">
      <c r="A108" s="30">
        <v>108</v>
      </c>
      <c r="B108" s="31" t="s">
        <v>181</v>
      </c>
      <c r="C108" s="30" t="s">
        <v>253</v>
      </c>
      <c r="D108" s="30" t="s">
        <v>240</v>
      </c>
      <c r="E108" s="32" t="s">
        <v>307</v>
      </c>
      <c r="F108" s="30" t="str">
        <f t="shared" ca="1" si="11"/>
        <v>N/A</v>
      </c>
      <c r="G108" s="30">
        <f t="shared" ca="1" si="13"/>
        <v>19</v>
      </c>
      <c r="H108" s="30" t="str">
        <f t="shared" ca="1" si="12"/>
        <v>N</v>
      </c>
      <c r="I108" s="30">
        <f t="shared" ca="1" si="14"/>
        <v>20.5</v>
      </c>
      <c r="J108" s="30">
        <f t="shared" ca="1" si="16"/>
        <v>1.5</v>
      </c>
      <c r="K108" s="30" t="str">
        <f t="shared" ca="1" si="15"/>
        <v>Y</v>
      </c>
      <c r="L108" s="33" t="s">
        <v>335</v>
      </c>
    </row>
    <row r="109" spans="1:12" x14ac:dyDescent="0.35">
      <c r="A109" s="3">
        <v>109</v>
      </c>
      <c r="B109" s="6" t="s">
        <v>183</v>
      </c>
      <c r="C109" s="3" t="s">
        <v>254</v>
      </c>
      <c r="D109" s="13" t="s">
        <v>240</v>
      </c>
      <c r="E109" s="7" t="s">
        <v>306</v>
      </c>
      <c r="F109" s="3" t="str">
        <f t="shared" ca="1" si="11"/>
        <v>N/A</v>
      </c>
      <c r="G109" s="3">
        <f t="shared" ca="1" si="13"/>
        <v>10</v>
      </c>
      <c r="H109" s="3" t="str">
        <f t="shared" ca="1" si="12"/>
        <v>N</v>
      </c>
      <c r="I109" s="3">
        <f t="shared" ca="1" si="14"/>
        <v>11.4</v>
      </c>
      <c r="J109" s="3">
        <f t="shared" ca="1" si="16"/>
        <v>1.4000000000000004</v>
      </c>
      <c r="K109" s="3" t="str">
        <f t="shared" ca="1" si="15"/>
        <v>Y</v>
      </c>
      <c r="L109" s="10"/>
    </row>
    <row r="110" spans="1:12" x14ac:dyDescent="0.35">
      <c r="A110" s="3">
        <v>110</v>
      </c>
      <c r="B110" s="6" t="s">
        <v>185</v>
      </c>
      <c r="C110" s="3" t="s">
        <v>334</v>
      </c>
      <c r="D110" s="13" t="s">
        <v>240</v>
      </c>
      <c r="E110" s="7" t="s">
        <v>306</v>
      </c>
      <c r="F110" s="3" t="str">
        <f t="shared" ca="1" si="11"/>
        <v>N/A</v>
      </c>
      <c r="G110" s="3">
        <f t="shared" ca="1" si="13"/>
        <v>10</v>
      </c>
      <c r="H110" s="3" t="str">
        <f t="shared" ca="1" si="12"/>
        <v>N</v>
      </c>
      <c r="I110" s="3">
        <f t="shared" ca="1" si="14"/>
        <v>10.6</v>
      </c>
      <c r="J110" s="3">
        <f t="shared" ca="1" si="16"/>
        <v>0.59999999999999964</v>
      </c>
      <c r="K110" s="3" t="str">
        <f t="shared" ca="1" si="15"/>
        <v>Y</v>
      </c>
      <c r="L110" s="10"/>
    </row>
    <row r="111" spans="1:12" x14ac:dyDescent="0.35">
      <c r="A111" s="3">
        <v>111</v>
      </c>
      <c r="B111" s="6" t="s">
        <v>349</v>
      </c>
      <c r="C111" s="3" t="s">
        <v>256</v>
      </c>
      <c r="D111" s="9" t="s">
        <v>257</v>
      </c>
      <c r="E111" s="7">
        <v>-20</v>
      </c>
      <c r="F111" s="3">
        <f t="shared" ca="1" si="11"/>
        <v>-20</v>
      </c>
      <c r="G111" s="3">
        <f ca="1">IFERROR(INDEX(INDIRECT("Table"&amp;$D111), MATCH(9.9E+307, INDIRECT("Table"&amp;$D111&amp;"[Time]")), MATCH(SUBSTITUTE(SUBSTITUTE($B111," Coil Temp.","")," Coil Temp","")&amp;" SP*", INDIRECT("Table"&amp;$D111&amp;"[#Headers]"), 0)), "N/A")</f>
        <v>-23</v>
      </c>
      <c r="H111" s="3" t="str">
        <f t="shared" ca="1" si="12"/>
        <v>N</v>
      </c>
      <c r="I111" s="3">
        <f ca="1">IFERROR(INDEX(INDIRECT("Table"&amp;$D111), MATCH(9.9E+307, INDIRECT("Table"&amp;$D111&amp;"[Time]")), MATCH($B111, INDIRECT("Table"&amp;$D111&amp;"[#Headers]"), 0)), "N/A")</f>
        <v>-21.5</v>
      </c>
      <c r="J111" s="3">
        <f t="shared" ca="1" si="16"/>
        <v>1.5</v>
      </c>
      <c r="K111" s="3" t="str">
        <f ca="1">IFERROR(IF(ABS(
  INDEX(INDIRECT("Table"&amp;$D111), MATCH(9.9E+307, INDIRECT("Table"&amp;$D111&amp;"[Time]")), MATCH($B111, INDIRECT("Table"&amp;$D111&amp;"[#Headers]"), 0)) -
  INDEX(INDIRECT("Table"&amp;$D111), MATCH(9.9E+307, INDIRECT("Table"&amp;$D111&amp;"[Time]")), MATCH(SUBSTITUTE(SUBSTITUTE($B111," Coil Temp.","")," Coil Temp","")&amp;" SP*", INDIRECT("Table"&amp;$D111&amp;"[#Headers]"), 0))
)&lt;=2, "Y", "N"), "N/A")</f>
        <v>Y</v>
      </c>
      <c r="L111" s="10"/>
    </row>
    <row r="112" spans="1:12" x14ac:dyDescent="0.35">
      <c r="A112" s="3">
        <v>112</v>
      </c>
      <c r="B112" s="6" t="s">
        <v>350</v>
      </c>
      <c r="C112" s="3" t="s">
        <v>256</v>
      </c>
      <c r="D112" s="9" t="s">
        <v>257</v>
      </c>
      <c r="E112" s="7">
        <v>-20</v>
      </c>
      <c r="F112" s="3">
        <f t="shared" ca="1" si="11"/>
        <v>-20</v>
      </c>
      <c r="G112" s="3">
        <f t="shared" ref="G112:G128" ca="1" si="17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H112" s="3" t="str">
        <f t="shared" ca="1" si="12"/>
        <v>N</v>
      </c>
      <c r="I112" s="3">
        <f t="shared" ref="I112:I128" ca="1" si="18">IFERROR(INDEX(INDIRECT("Table"&amp;$D112), MATCH(9.9E+307, INDIRECT("Table"&amp;$D112&amp;"[Time]")), MATCH($B112, INDIRECT("Table"&amp;$D112&amp;"[#Headers]"), 0)), "N/A")</f>
        <v>-22</v>
      </c>
      <c r="J112" s="3">
        <f t="shared" ca="1" si="16"/>
        <v>1</v>
      </c>
      <c r="K112" s="3" t="str">
        <f t="shared" ref="K112:K128" ca="1" si="19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L112" s="10"/>
    </row>
    <row r="113" spans="1:12" x14ac:dyDescent="0.35">
      <c r="A113" s="3">
        <v>113</v>
      </c>
      <c r="B113" s="6" t="s">
        <v>351</v>
      </c>
      <c r="C113" s="3" t="s">
        <v>256</v>
      </c>
      <c r="D113" s="9" t="s">
        <v>257</v>
      </c>
      <c r="E113" s="7">
        <v>-20</v>
      </c>
      <c r="F113" s="3">
        <f t="shared" ca="1" si="11"/>
        <v>-20</v>
      </c>
      <c r="G113" s="3">
        <f t="shared" ca="1" si="17"/>
        <v>-23</v>
      </c>
      <c r="H113" s="3" t="str">
        <f t="shared" ca="1" si="12"/>
        <v>N</v>
      </c>
      <c r="I113" s="3">
        <f t="shared" ca="1" si="18"/>
        <v>-21.6</v>
      </c>
      <c r="J113" s="3">
        <f t="shared" ca="1" si="16"/>
        <v>1.3999999999999986</v>
      </c>
      <c r="K113" s="3" t="str">
        <f t="shared" ca="1" si="19"/>
        <v>Y</v>
      </c>
      <c r="L113" s="10"/>
    </row>
    <row r="114" spans="1:12" x14ac:dyDescent="0.35">
      <c r="A114" s="3">
        <v>114</v>
      </c>
      <c r="B114" s="6" t="s">
        <v>352</v>
      </c>
      <c r="C114" s="3" t="s">
        <v>256</v>
      </c>
      <c r="D114" s="9" t="s">
        <v>257</v>
      </c>
      <c r="E114" s="7">
        <v>-20</v>
      </c>
      <c r="F114" s="3">
        <f t="shared" ca="1" si="11"/>
        <v>-20</v>
      </c>
      <c r="G114" s="3">
        <f t="shared" ca="1" si="17"/>
        <v>-23</v>
      </c>
      <c r="H114" s="3" t="str">
        <f t="shared" ca="1" si="12"/>
        <v>N</v>
      </c>
      <c r="I114" s="3">
        <f t="shared" ca="1" si="18"/>
        <v>-21.5</v>
      </c>
      <c r="J114" s="3">
        <f t="shared" ca="1" si="16"/>
        <v>1.5</v>
      </c>
      <c r="K114" s="3" t="str">
        <f t="shared" ca="1" si="19"/>
        <v>Y</v>
      </c>
      <c r="L114" s="10"/>
    </row>
    <row r="115" spans="1:12" x14ac:dyDescent="0.35">
      <c r="A115" s="3">
        <v>115</v>
      </c>
      <c r="B115" s="6" t="s">
        <v>353</v>
      </c>
      <c r="C115" s="3" t="s">
        <v>258</v>
      </c>
      <c r="D115" s="9" t="s">
        <v>257</v>
      </c>
      <c r="E115" s="7">
        <v>-20</v>
      </c>
      <c r="F115" s="3">
        <f t="shared" ca="1" si="11"/>
        <v>-20</v>
      </c>
      <c r="G115" s="3">
        <f t="shared" ca="1" si="17"/>
        <v>-23</v>
      </c>
      <c r="H115" s="3" t="str">
        <f t="shared" ca="1" si="12"/>
        <v>N</v>
      </c>
      <c r="I115" s="3">
        <f t="shared" ca="1" si="18"/>
        <v>-22.3</v>
      </c>
      <c r="J115" s="3">
        <f t="shared" ca="1" si="16"/>
        <v>0.69999999999999929</v>
      </c>
      <c r="K115" s="3" t="str">
        <f t="shared" ca="1" si="19"/>
        <v>Y</v>
      </c>
      <c r="L115" s="10"/>
    </row>
    <row r="116" spans="1:12" x14ac:dyDescent="0.35">
      <c r="A116" s="3">
        <v>116</v>
      </c>
      <c r="B116" s="6" t="s">
        <v>354</v>
      </c>
      <c r="C116" s="3" t="s">
        <v>258</v>
      </c>
      <c r="D116" s="9" t="s">
        <v>257</v>
      </c>
      <c r="E116" s="7">
        <v>-20</v>
      </c>
      <c r="F116" s="3">
        <f t="shared" ca="1" si="11"/>
        <v>-20</v>
      </c>
      <c r="G116" s="3">
        <f t="shared" ca="1" si="17"/>
        <v>-23</v>
      </c>
      <c r="H116" s="3" t="str">
        <f t="shared" ca="1" si="12"/>
        <v>N</v>
      </c>
      <c r="I116" s="3">
        <f t="shared" ca="1" si="18"/>
        <v>-14</v>
      </c>
      <c r="J116" s="3">
        <f t="shared" ca="1" si="16"/>
        <v>9</v>
      </c>
      <c r="K116" s="3" t="str">
        <f t="shared" ca="1" si="19"/>
        <v>N</v>
      </c>
      <c r="L116" s="10"/>
    </row>
    <row r="117" spans="1:12" x14ac:dyDescent="0.35">
      <c r="A117" s="3">
        <v>117</v>
      </c>
      <c r="B117" s="6" t="s">
        <v>355</v>
      </c>
      <c r="C117" s="3" t="s">
        <v>258</v>
      </c>
      <c r="D117" s="9" t="s">
        <v>257</v>
      </c>
      <c r="E117" s="7">
        <v>-20</v>
      </c>
      <c r="F117" s="3">
        <f t="shared" ca="1" si="11"/>
        <v>-20</v>
      </c>
      <c r="G117" s="3">
        <f t="shared" ca="1" si="17"/>
        <v>-23</v>
      </c>
      <c r="H117" s="3" t="str">
        <f t="shared" ca="1" si="12"/>
        <v>N</v>
      </c>
      <c r="I117" s="3">
        <f t="shared" ca="1" si="18"/>
        <v>-22.8</v>
      </c>
      <c r="J117" s="3">
        <f t="shared" ca="1" si="16"/>
        <v>0.19999999999999929</v>
      </c>
      <c r="K117" s="3" t="str">
        <f t="shared" ca="1" si="19"/>
        <v>Y</v>
      </c>
      <c r="L117" s="10"/>
    </row>
    <row r="118" spans="1:12" x14ac:dyDescent="0.35">
      <c r="A118" s="3">
        <v>118</v>
      </c>
      <c r="B118" s="6" t="s">
        <v>356</v>
      </c>
      <c r="C118" s="3" t="s">
        <v>258</v>
      </c>
      <c r="D118" s="9" t="s">
        <v>257</v>
      </c>
      <c r="E118" s="7">
        <v>-20</v>
      </c>
      <c r="F118" s="3">
        <f t="shared" ca="1" si="11"/>
        <v>-20</v>
      </c>
      <c r="G118" s="3">
        <f t="shared" ca="1" si="17"/>
        <v>-23</v>
      </c>
      <c r="H118" s="3" t="str">
        <f t="shared" ca="1" si="12"/>
        <v>N</v>
      </c>
      <c r="I118" s="3">
        <f t="shared" ca="1" si="18"/>
        <v>-22.6</v>
      </c>
      <c r="J118" s="3">
        <f t="shared" ca="1" si="16"/>
        <v>0.39999999999999858</v>
      </c>
      <c r="K118" s="3" t="str">
        <f t="shared" ca="1" si="19"/>
        <v>Y</v>
      </c>
      <c r="L118" s="10"/>
    </row>
    <row r="119" spans="1:12" x14ac:dyDescent="0.35">
      <c r="A119" s="3">
        <v>119</v>
      </c>
      <c r="B119" s="6" t="s">
        <v>361</v>
      </c>
      <c r="C119" s="3" t="s">
        <v>259</v>
      </c>
      <c r="D119" s="9" t="s">
        <v>257</v>
      </c>
      <c r="E119" s="7" t="s">
        <v>308</v>
      </c>
      <c r="F119" s="3">
        <f t="shared" ca="1" si="11"/>
        <v>4</v>
      </c>
      <c r="G119" s="3">
        <f t="shared" ca="1" si="17"/>
        <v>-5</v>
      </c>
      <c r="H119" s="3" t="str">
        <f t="shared" ca="1" si="12"/>
        <v>N</v>
      </c>
      <c r="I119" s="3">
        <f t="shared" ca="1" si="18"/>
        <v>-4.9000000000000004</v>
      </c>
      <c r="J119" s="3">
        <f t="shared" ca="1" si="16"/>
        <v>9.9999999999999645E-2</v>
      </c>
      <c r="K119" s="3" t="str">
        <f t="shared" ca="1" si="19"/>
        <v>Y</v>
      </c>
      <c r="L119" s="10"/>
    </row>
    <row r="120" spans="1:12" x14ac:dyDescent="0.35">
      <c r="A120" s="3">
        <v>120</v>
      </c>
      <c r="B120" s="6" t="s">
        <v>362</v>
      </c>
      <c r="C120" s="3" t="s">
        <v>259</v>
      </c>
      <c r="D120" s="9" t="s">
        <v>257</v>
      </c>
      <c r="E120" s="7" t="s">
        <v>308</v>
      </c>
      <c r="F120" s="3">
        <f t="shared" ca="1" si="11"/>
        <v>4</v>
      </c>
      <c r="G120" s="3">
        <f t="shared" ca="1" si="17"/>
        <v>-5</v>
      </c>
      <c r="H120" s="3" t="str">
        <f t="shared" ca="1" si="12"/>
        <v>N</v>
      </c>
      <c r="I120" s="3">
        <f t="shared" ca="1" si="18"/>
        <v>-5.5</v>
      </c>
      <c r="J120" s="3">
        <f t="shared" ca="1" si="16"/>
        <v>-0.5</v>
      </c>
      <c r="K120" s="3" t="str">
        <f t="shared" ca="1" si="19"/>
        <v>Y</v>
      </c>
      <c r="L120" s="10"/>
    </row>
    <row r="121" spans="1:12" x14ac:dyDescent="0.35">
      <c r="A121" s="3">
        <v>121</v>
      </c>
      <c r="B121" s="6" t="s">
        <v>363</v>
      </c>
      <c r="C121" s="3" t="s">
        <v>260</v>
      </c>
      <c r="D121" s="9" t="s">
        <v>257</v>
      </c>
      <c r="E121" s="7" t="s">
        <v>308</v>
      </c>
      <c r="F121" s="3">
        <f t="shared" ca="1" si="11"/>
        <v>4</v>
      </c>
      <c r="G121" s="3">
        <f t="shared" ca="1" si="17"/>
        <v>-5</v>
      </c>
      <c r="H121" s="3" t="str">
        <f t="shared" ca="1" si="12"/>
        <v>N</v>
      </c>
      <c r="I121" s="3">
        <f t="shared" ca="1" si="18"/>
        <v>-3.7</v>
      </c>
      <c r="J121" s="3">
        <f t="shared" ca="1" si="16"/>
        <v>1.2999999999999998</v>
      </c>
      <c r="K121" s="3" t="str">
        <f t="shared" ca="1" si="19"/>
        <v>Y</v>
      </c>
      <c r="L121" s="10"/>
    </row>
    <row r="122" spans="1:12" x14ac:dyDescent="0.35">
      <c r="A122" s="3">
        <v>122</v>
      </c>
      <c r="B122" s="6" t="s">
        <v>364</v>
      </c>
      <c r="C122" s="3" t="s">
        <v>260</v>
      </c>
      <c r="D122" s="9" t="s">
        <v>257</v>
      </c>
      <c r="E122" s="7" t="s">
        <v>308</v>
      </c>
      <c r="F122" s="3">
        <f t="shared" ca="1" si="11"/>
        <v>4</v>
      </c>
      <c r="G122" s="3">
        <f t="shared" ca="1" si="17"/>
        <v>-5</v>
      </c>
      <c r="H122" s="3" t="str">
        <f t="shared" ca="1" si="12"/>
        <v>N</v>
      </c>
      <c r="I122" s="3">
        <f t="shared" ca="1" si="18"/>
        <v>-5</v>
      </c>
      <c r="J122" s="3">
        <f t="shared" ca="1" si="16"/>
        <v>0</v>
      </c>
      <c r="K122" s="3" t="str">
        <f t="shared" ca="1" si="19"/>
        <v>Y</v>
      </c>
      <c r="L122" s="10"/>
    </row>
    <row r="123" spans="1:12" x14ac:dyDescent="0.35">
      <c r="A123" s="3">
        <v>123</v>
      </c>
      <c r="B123" s="6" t="s">
        <v>187</v>
      </c>
      <c r="C123" s="3" t="s">
        <v>261</v>
      </c>
      <c r="D123" s="9" t="s">
        <v>257</v>
      </c>
      <c r="E123" s="7">
        <v>10</v>
      </c>
      <c r="F123" s="3">
        <f t="shared" ca="1" si="11"/>
        <v>10</v>
      </c>
      <c r="G123" s="3">
        <f t="shared" ca="1" si="17"/>
        <v>9</v>
      </c>
      <c r="H123" s="3" t="str">
        <f t="shared" ca="1" si="12"/>
        <v>N</v>
      </c>
      <c r="I123" s="3">
        <f t="shared" ca="1" si="18"/>
        <v>9.3000000000000007</v>
      </c>
      <c r="J123" s="3">
        <f t="shared" ca="1" si="16"/>
        <v>0.30000000000000071</v>
      </c>
      <c r="K123" s="3" t="str">
        <f t="shared" ca="1" si="19"/>
        <v>Y</v>
      </c>
      <c r="L123" s="10"/>
    </row>
    <row r="124" spans="1:12" x14ac:dyDescent="0.35">
      <c r="A124" s="3">
        <v>124</v>
      </c>
      <c r="B124" s="6" t="s">
        <v>189</v>
      </c>
      <c r="C124" s="3" t="s">
        <v>261</v>
      </c>
      <c r="D124" s="9" t="s">
        <v>257</v>
      </c>
      <c r="E124" s="7">
        <v>10</v>
      </c>
      <c r="F124" s="3">
        <f t="shared" ca="1" si="11"/>
        <v>10</v>
      </c>
      <c r="G124" s="3">
        <f t="shared" ca="1" si="17"/>
        <v>9</v>
      </c>
      <c r="H124" s="3" t="str">
        <f t="shared" ca="1" si="12"/>
        <v>N</v>
      </c>
      <c r="I124" s="3">
        <f t="shared" ca="1" si="18"/>
        <v>10.4</v>
      </c>
      <c r="J124" s="3">
        <f t="shared" ca="1" si="16"/>
        <v>1.4000000000000004</v>
      </c>
      <c r="K124" s="3" t="str">
        <f t="shared" ca="1" si="19"/>
        <v>Y</v>
      </c>
      <c r="L124" s="10"/>
    </row>
    <row r="125" spans="1:12" x14ac:dyDescent="0.35">
      <c r="A125" s="3">
        <v>125</v>
      </c>
      <c r="B125" s="6" t="s">
        <v>191</v>
      </c>
      <c r="C125" s="3" t="s">
        <v>261</v>
      </c>
      <c r="D125" s="9" t="s">
        <v>257</v>
      </c>
      <c r="E125" s="7">
        <v>10</v>
      </c>
      <c r="F125" s="3">
        <f t="shared" ca="1" si="11"/>
        <v>10</v>
      </c>
      <c r="G125" s="3">
        <f t="shared" ca="1" si="17"/>
        <v>9</v>
      </c>
      <c r="H125" s="3" t="str">
        <f t="shared" ca="1" si="12"/>
        <v>N</v>
      </c>
      <c r="I125" s="3">
        <f t="shared" ca="1" si="18"/>
        <v>10.5</v>
      </c>
      <c r="J125" s="3">
        <f t="shared" ca="1" si="16"/>
        <v>1.5</v>
      </c>
      <c r="K125" s="3" t="str">
        <f t="shared" ca="1" si="19"/>
        <v>Y</v>
      </c>
      <c r="L125" s="10"/>
    </row>
    <row r="126" spans="1:12" x14ac:dyDescent="0.35">
      <c r="A126" s="3">
        <v>126</v>
      </c>
      <c r="B126" s="6" t="s">
        <v>193</v>
      </c>
      <c r="C126" s="3" t="s">
        <v>261</v>
      </c>
      <c r="D126" s="9" t="s">
        <v>257</v>
      </c>
      <c r="E126" s="7">
        <v>10</v>
      </c>
      <c r="F126" s="3">
        <f t="shared" ca="1" si="11"/>
        <v>10</v>
      </c>
      <c r="G126" s="3">
        <f t="shared" ca="1" si="17"/>
        <v>9</v>
      </c>
      <c r="H126" s="3" t="str">
        <f t="shared" ca="1" si="12"/>
        <v>N</v>
      </c>
      <c r="I126" s="3">
        <f t="shared" ca="1" si="18"/>
        <v>10.6</v>
      </c>
      <c r="J126" s="3">
        <f t="shared" ca="1" si="16"/>
        <v>1.5999999999999996</v>
      </c>
      <c r="K126" s="3" t="str">
        <f t="shared" ca="1" si="19"/>
        <v>Y</v>
      </c>
      <c r="L126" s="10"/>
    </row>
    <row r="127" spans="1:12" x14ac:dyDescent="0.35">
      <c r="A127" s="3">
        <v>127</v>
      </c>
      <c r="B127" s="6" t="s">
        <v>195</v>
      </c>
      <c r="C127" s="3" t="s">
        <v>262</v>
      </c>
      <c r="D127" s="9" t="s">
        <v>257</v>
      </c>
      <c r="E127" s="7" t="s">
        <v>307</v>
      </c>
      <c r="F127" s="3">
        <f t="shared" ca="1" si="11"/>
        <v>25</v>
      </c>
      <c r="G127" s="3">
        <f t="shared" ca="1" si="17"/>
        <v>20</v>
      </c>
      <c r="H127" s="3" t="str">
        <f t="shared" ca="1" si="12"/>
        <v>N</v>
      </c>
      <c r="I127" s="3">
        <f t="shared" ca="1" si="18"/>
        <v>21.8</v>
      </c>
      <c r="J127" s="3">
        <f t="shared" ca="1" si="16"/>
        <v>1.8000000000000007</v>
      </c>
      <c r="K127" s="3" t="str">
        <f t="shared" ca="1" si="19"/>
        <v>Y</v>
      </c>
      <c r="L127" s="10"/>
    </row>
    <row r="128" spans="1:12" x14ac:dyDescent="0.35">
      <c r="A128" s="3">
        <v>128</v>
      </c>
      <c r="B128" s="6" t="s">
        <v>197</v>
      </c>
      <c r="C128" s="3" t="s">
        <v>262</v>
      </c>
      <c r="D128" s="9" t="s">
        <v>257</v>
      </c>
      <c r="E128" s="7" t="s">
        <v>307</v>
      </c>
      <c r="F128" s="3">
        <f t="shared" ca="1" si="11"/>
        <v>25</v>
      </c>
      <c r="G128" s="3">
        <f t="shared" ca="1" si="17"/>
        <v>20</v>
      </c>
      <c r="H128" s="3" t="str">
        <f t="shared" ca="1" si="12"/>
        <v>N</v>
      </c>
      <c r="I128" s="3">
        <f t="shared" ca="1" si="18"/>
        <v>21.7</v>
      </c>
      <c r="J128" s="3">
        <f t="shared" ca="1" si="16"/>
        <v>1.6999999999999993</v>
      </c>
      <c r="K128" s="3" t="str">
        <f t="shared" ca="1" si="19"/>
        <v>Y</v>
      </c>
      <c r="L128" s="10"/>
    </row>
    <row r="129" spans="1:1" x14ac:dyDescent="0.35">
      <c r="A129" s="7"/>
    </row>
    <row r="130" spans="1:1" x14ac:dyDescent="0.35">
      <c r="A130" s="7"/>
    </row>
    <row r="131" spans="1:1" x14ac:dyDescent="0.35">
      <c r="A131" s="7"/>
    </row>
    <row r="132" spans="1:1" x14ac:dyDescent="0.35">
      <c r="A132" s="7"/>
    </row>
    <row r="133" spans="1:1" x14ac:dyDescent="0.35">
      <c r="A133" s="7"/>
    </row>
    <row r="134" spans="1:1" x14ac:dyDescent="0.35">
      <c r="A134" s="7"/>
    </row>
    <row r="135" spans="1:1" x14ac:dyDescent="0.35">
      <c r="A135" s="7"/>
    </row>
    <row r="136" spans="1:1" x14ac:dyDescent="0.35">
      <c r="A136" s="7"/>
    </row>
    <row r="137" spans="1:1" x14ac:dyDescent="0.35">
      <c r="A137" s="7"/>
    </row>
    <row r="138" spans="1:1" x14ac:dyDescent="0.35">
      <c r="A138" s="7"/>
    </row>
    <row r="139" spans="1:1" x14ac:dyDescent="0.35">
      <c r="A139" s="7"/>
    </row>
    <row r="140" spans="1:1" x14ac:dyDescent="0.35">
      <c r="A140" s="7"/>
    </row>
    <row r="141" spans="1:1" x14ac:dyDescent="0.35">
      <c r="A141" s="7"/>
    </row>
    <row r="142" spans="1:1" x14ac:dyDescent="0.35">
      <c r="A142" s="7"/>
    </row>
    <row r="143" spans="1:1" x14ac:dyDescent="0.35">
      <c r="A143" s="7"/>
    </row>
    <row r="144" spans="1:1" x14ac:dyDescent="0.35">
      <c r="A144" s="7"/>
    </row>
    <row r="145" spans="1:1" x14ac:dyDescent="0.35">
      <c r="A145" s="7"/>
    </row>
    <row r="146" spans="1:1" x14ac:dyDescent="0.35">
      <c r="A146" s="7"/>
    </row>
    <row r="147" spans="1:1" x14ac:dyDescent="0.35">
      <c r="A147" s="7"/>
    </row>
    <row r="148" spans="1:1" x14ac:dyDescent="0.35">
      <c r="A148" s="7"/>
    </row>
    <row r="149" spans="1:1" x14ac:dyDescent="0.35">
      <c r="A149" s="7"/>
    </row>
    <row r="150" spans="1:1" x14ac:dyDescent="0.35">
      <c r="A150" s="7"/>
    </row>
    <row r="151" spans="1:1" x14ac:dyDescent="0.35">
      <c r="A151" s="7"/>
    </row>
    <row r="152" spans="1:1" x14ac:dyDescent="0.35">
      <c r="A152" s="7"/>
    </row>
    <row r="153" spans="1:1" x14ac:dyDescent="0.35">
      <c r="A153" s="7"/>
    </row>
    <row r="154" spans="1:1" x14ac:dyDescent="0.35">
      <c r="A154" s="7"/>
    </row>
    <row r="155" spans="1:1" x14ac:dyDescent="0.35">
      <c r="A155" s="7"/>
    </row>
    <row r="156" spans="1:1" x14ac:dyDescent="0.35">
      <c r="A156" s="7"/>
    </row>
    <row r="157" spans="1:1" x14ac:dyDescent="0.35">
      <c r="A157" s="7"/>
    </row>
    <row r="158" spans="1:1" x14ac:dyDescent="0.35">
      <c r="A158" s="7"/>
    </row>
    <row r="159" spans="1:1" x14ac:dyDescent="0.35">
      <c r="A159" s="7"/>
    </row>
    <row r="160" spans="1:1" x14ac:dyDescent="0.35">
      <c r="A160" s="7"/>
    </row>
    <row r="161" spans="1:1" x14ac:dyDescent="0.35">
      <c r="A161" s="7"/>
    </row>
    <row r="162" spans="1:1" x14ac:dyDescent="0.35">
      <c r="A162" s="7"/>
    </row>
    <row r="163" spans="1:1" x14ac:dyDescent="0.35">
      <c r="A163" s="7"/>
    </row>
    <row r="164" spans="1:1" x14ac:dyDescent="0.35">
      <c r="A164" s="7"/>
    </row>
    <row r="165" spans="1:1" x14ac:dyDescent="0.35">
      <c r="A165" s="7"/>
    </row>
    <row r="166" spans="1:1" x14ac:dyDescent="0.35">
      <c r="A166" s="7"/>
    </row>
    <row r="167" spans="1:1" x14ac:dyDescent="0.35">
      <c r="A167" s="7"/>
    </row>
    <row r="168" spans="1:1" x14ac:dyDescent="0.35">
      <c r="A168" s="7"/>
    </row>
    <row r="169" spans="1:1" x14ac:dyDescent="0.35">
      <c r="A169" s="7"/>
    </row>
    <row r="170" spans="1:1" x14ac:dyDescent="0.35">
      <c r="A170" s="7"/>
    </row>
    <row r="171" spans="1:1" x14ac:dyDescent="0.35">
      <c r="A171" s="7"/>
    </row>
    <row r="172" spans="1:1" x14ac:dyDescent="0.35">
      <c r="A172" s="7"/>
    </row>
    <row r="173" spans="1:1" x14ac:dyDescent="0.35">
      <c r="A173" s="7"/>
    </row>
    <row r="174" spans="1:1" x14ac:dyDescent="0.35">
      <c r="A174" s="7"/>
    </row>
    <row r="175" spans="1:1" x14ac:dyDescent="0.35">
      <c r="A175" s="7"/>
    </row>
    <row r="176" spans="1:1" x14ac:dyDescent="0.35">
      <c r="A176" s="7"/>
    </row>
    <row r="177" spans="1:1" x14ac:dyDescent="0.35">
      <c r="A177" s="7"/>
    </row>
    <row r="178" spans="1:1" x14ac:dyDescent="0.35">
      <c r="A178" s="7"/>
    </row>
    <row r="179" spans="1:1" x14ac:dyDescent="0.35">
      <c r="A179" s="7"/>
    </row>
    <row r="180" spans="1:1" x14ac:dyDescent="0.35">
      <c r="A180" s="7"/>
    </row>
    <row r="181" spans="1:1" x14ac:dyDescent="0.35">
      <c r="A181" s="7"/>
    </row>
    <row r="182" spans="1:1" x14ac:dyDescent="0.35">
      <c r="A182" s="7"/>
    </row>
    <row r="183" spans="1:1" x14ac:dyDescent="0.35">
      <c r="A183" s="7"/>
    </row>
    <row r="184" spans="1:1" x14ac:dyDescent="0.35">
      <c r="A184" s="7"/>
    </row>
    <row r="185" spans="1:1" x14ac:dyDescent="0.35">
      <c r="A185" s="7"/>
    </row>
    <row r="186" spans="1:1" x14ac:dyDescent="0.35">
      <c r="A186" s="7"/>
    </row>
    <row r="187" spans="1:1" x14ac:dyDescent="0.35">
      <c r="A187" s="7"/>
    </row>
    <row r="188" spans="1:1" x14ac:dyDescent="0.35">
      <c r="A188" s="7"/>
    </row>
    <row r="189" spans="1:1" x14ac:dyDescent="0.35">
      <c r="A189" s="7"/>
    </row>
    <row r="190" spans="1:1" x14ac:dyDescent="0.35">
      <c r="A190" s="7"/>
    </row>
    <row r="191" spans="1:1" x14ac:dyDescent="0.35">
      <c r="A191" s="7"/>
    </row>
    <row r="192" spans="1:1" x14ac:dyDescent="0.35">
      <c r="A192" s="7"/>
    </row>
    <row r="193" spans="1:1" x14ac:dyDescent="0.35">
      <c r="A193" s="7"/>
    </row>
    <row r="194" spans="1:1" x14ac:dyDescent="0.35">
      <c r="A194" s="7"/>
    </row>
    <row r="195" spans="1:1" x14ac:dyDescent="0.35">
      <c r="A195" s="7"/>
    </row>
    <row r="196" spans="1:1" x14ac:dyDescent="0.35">
      <c r="A196" s="7"/>
    </row>
    <row r="197" spans="1:1" x14ac:dyDescent="0.35">
      <c r="A197" s="7"/>
    </row>
    <row r="198" spans="1:1" x14ac:dyDescent="0.35">
      <c r="A198" s="7"/>
    </row>
    <row r="199" spans="1:1" x14ac:dyDescent="0.35">
      <c r="A199" s="7"/>
    </row>
    <row r="200" spans="1:1" x14ac:dyDescent="0.35">
      <c r="A200" s="7"/>
    </row>
    <row r="201" spans="1:1" x14ac:dyDescent="0.35">
      <c r="A201" s="7"/>
    </row>
    <row r="202" spans="1:1" x14ac:dyDescent="0.35">
      <c r="A202" s="7"/>
    </row>
    <row r="203" spans="1:1" x14ac:dyDescent="0.35">
      <c r="A203" s="7"/>
    </row>
    <row r="204" spans="1:1" x14ac:dyDescent="0.35">
      <c r="A204" s="7"/>
    </row>
    <row r="205" spans="1:1" x14ac:dyDescent="0.35">
      <c r="A205" s="7"/>
    </row>
    <row r="206" spans="1:1" x14ac:dyDescent="0.35">
      <c r="A206" s="7"/>
    </row>
    <row r="207" spans="1:1" x14ac:dyDescent="0.35">
      <c r="A207" s="7"/>
    </row>
    <row r="208" spans="1:1" x14ac:dyDescent="0.35">
      <c r="A208" s="7"/>
    </row>
    <row r="209" spans="1:1" x14ac:dyDescent="0.35">
      <c r="A209" s="7"/>
    </row>
    <row r="210" spans="1:1" x14ac:dyDescent="0.35">
      <c r="A210" s="7"/>
    </row>
    <row r="211" spans="1:1" x14ac:dyDescent="0.35">
      <c r="A211" s="7"/>
    </row>
    <row r="212" spans="1:1" x14ac:dyDescent="0.35">
      <c r="A212" s="7"/>
    </row>
    <row r="213" spans="1:1" x14ac:dyDescent="0.35">
      <c r="A213" s="7"/>
    </row>
    <row r="214" spans="1:1" x14ac:dyDescent="0.35">
      <c r="A214" s="7"/>
    </row>
    <row r="215" spans="1:1" x14ac:dyDescent="0.35">
      <c r="A215" s="7"/>
    </row>
    <row r="216" spans="1:1" x14ac:dyDescent="0.35">
      <c r="A216" s="7"/>
    </row>
    <row r="217" spans="1:1" x14ac:dyDescent="0.35">
      <c r="A217" s="7"/>
    </row>
    <row r="218" spans="1:1" x14ac:dyDescent="0.35">
      <c r="A218" s="7"/>
    </row>
    <row r="219" spans="1:1" x14ac:dyDescent="0.35">
      <c r="A219" s="7"/>
    </row>
    <row r="220" spans="1:1" x14ac:dyDescent="0.35">
      <c r="A220" s="7"/>
    </row>
    <row r="221" spans="1:1" x14ac:dyDescent="0.35">
      <c r="A221" s="7"/>
    </row>
    <row r="222" spans="1:1" x14ac:dyDescent="0.35">
      <c r="A222" s="7"/>
    </row>
    <row r="223" spans="1:1" x14ac:dyDescent="0.35">
      <c r="A223" s="7"/>
    </row>
    <row r="224" spans="1:1" x14ac:dyDescent="0.35">
      <c r="A224" s="7"/>
    </row>
    <row r="225" spans="1:1" x14ac:dyDescent="0.35">
      <c r="A225" s="7"/>
    </row>
    <row r="226" spans="1:1" x14ac:dyDescent="0.35">
      <c r="A226" s="7"/>
    </row>
    <row r="227" spans="1:1" x14ac:dyDescent="0.35">
      <c r="A227" s="7"/>
    </row>
    <row r="228" spans="1:1" x14ac:dyDescent="0.35">
      <c r="A228" s="7"/>
    </row>
    <row r="229" spans="1:1" x14ac:dyDescent="0.35">
      <c r="A229" s="7"/>
    </row>
    <row r="230" spans="1:1" x14ac:dyDescent="0.35">
      <c r="A230" s="7"/>
    </row>
    <row r="231" spans="1:1" x14ac:dyDescent="0.35">
      <c r="A231" s="7"/>
    </row>
    <row r="232" spans="1:1" x14ac:dyDescent="0.35">
      <c r="A232" s="7"/>
    </row>
    <row r="233" spans="1:1" x14ac:dyDescent="0.35">
      <c r="A233" s="7"/>
    </row>
    <row r="234" spans="1:1" x14ac:dyDescent="0.35">
      <c r="A234" s="7"/>
    </row>
    <row r="235" spans="1:1" x14ac:dyDescent="0.35">
      <c r="A235" s="7"/>
    </row>
    <row r="236" spans="1:1" x14ac:dyDescent="0.35">
      <c r="A236" s="7"/>
    </row>
    <row r="237" spans="1:1" x14ac:dyDescent="0.35">
      <c r="A237" s="7"/>
    </row>
    <row r="238" spans="1:1" x14ac:dyDescent="0.35">
      <c r="A238" s="7"/>
    </row>
    <row r="239" spans="1:1" x14ac:dyDescent="0.35">
      <c r="A239" s="7"/>
    </row>
  </sheetData>
  <conditionalFormatting sqref="H2:H128">
    <cfRule type="expression" dxfId="20" priority="1">
      <formula>$F2=$G2</formula>
    </cfRule>
    <cfRule type="expression" dxfId="19" priority="2">
      <formula>$F2&lt;&gt;$G2</formula>
    </cfRule>
    <cfRule type="cellIs" dxfId="18" priority="7" operator="equal">
      <formula>"N"</formula>
    </cfRule>
    <cfRule type="cellIs" dxfId="17" priority="8" operator="equal">
      <formula>"Y"</formula>
    </cfRule>
  </conditionalFormatting>
  <conditionalFormatting sqref="J2:J128">
    <cfRule type="expression" dxfId="16" priority="5">
      <formula>AND(ABS(J2)&gt;=1.4, ABS(J2)&lt;=2)</formula>
    </cfRule>
    <cfRule type="expression" dxfId="15" priority="6">
      <formula>ABS(J2)&gt;2</formula>
    </cfRule>
  </conditionalFormatting>
  <conditionalFormatting sqref="K2:K128">
    <cfRule type="cellIs" dxfId="14" priority="3" operator="equal">
      <formula>"N"</formula>
    </cfRule>
    <cfRule type="cellIs" dxfId="13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5DE02-36AD-4AB3-9B68-E49075AD1AAD}">
  <dimension ref="A1:J239"/>
  <sheetViews>
    <sheetView tabSelected="1" zoomScale="85" zoomScaleNormal="85" workbookViewId="0">
      <selection activeCell="F50" sqref="F50"/>
    </sheetView>
  </sheetViews>
  <sheetFormatPr defaultRowHeight="14.5" x14ac:dyDescent="0.35"/>
  <cols>
    <col min="2" max="2" width="39.6328125" customWidth="1"/>
    <col min="3" max="3" width="10.36328125" style="7" customWidth="1"/>
    <col min="4" max="4" width="11" style="7" customWidth="1"/>
    <col min="5" max="5" width="14.54296875" style="7" customWidth="1"/>
    <col min="6" max="8" width="11" customWidth="1"/>
    <col min="9" max="9" width="22.36328125" customWidth="1"/>
    <col min="10" max="10" width="30.6328125" customWidth="1"/>
  </cols>
  <sheetData>
    <row r="1" spans="1:10" ht="58" x14ac:dyDescent="0.35">
      <c r="A1" s="3" t="s">
        <v>199</v>
      </c>
      <c r="B1" s="3" t="s">
        <v>200</v>
      </c>
      <c r="C1" s="4" t="s">
        <v>201</v>
      </c>
      <c r="D1" s="4" t="s">
        <v>202</v>
      </c>
      <c r="E1" s="4" t="s">
        <v>303</v>
      </c>
      <c r="F1" s="4" t="s">
        <v>296</v>
      </c>
      <c r="G1" s="4" t="s">
        <v>263</v>
      </c>
      <c r="H1" s="4" t="s">
        <v>264</v>
      </c>
      <c r="I1" s="4" t="s">
        <v>299</v>
      </c>
      <c r="J1" s="5" t="s">
        <v>203</v>
      </c>
    </row>
    <row r="2" spans="1:10" x14ac:dyDescent="0.35">
      <c r="A2" s="3">
        <v>1</v>
      </c>
      <c r="B2" s="6" t="s">
        <v>1</v>
      </c>
      <c r="C2" s="3" t="s">
        <v>204</v>
      </c>
      <c r="D2" s="12" t="s">
        <v>205</v>
      </c>
      <c r="E2" s="7">
        <v>-20</v>
      </c>
      <c r="F2" s="3">
        <f t="shared" ref="F2:F29" ca="1" si="0">IFERROR(INDEX(INDIRECT("Table"&amp;$D2), MATCH(9.9E+307, INDIRECT("Table"&amp;$D2&amp;"[Time]")), MATCH(SUBSTITUTE(SUBSTITUTE($B2," Coil Temp.","")," Coil Temp","")&amp;" SP*", INDIRECT("Table"&amp;$D2&amp;"[#Headers]"), 0)), "N/A")</f>
        <v>-25</v>
      </c>
      <c r="G2" s="3">
        <f ca="1">IFERROR(INDEX(INDIRECT("Table"&amp;$D2), MATCH(9.9E+307, INDIRECT("Table"&amp;$D2&amp;"[Time]")), MATCH($B2, INDIRECT("Table"&amp;$D2&amp;"[#Headers]"), 0)), "N/A")</f>
        <v>-16.899999999999999</v>
      </c>
      <c r="H2" s="3">
        <f t="shared" ref="H2:H33" ca="1" si="1">SUM(G2-F2)</f>
        <v>8.1000000000000014</v>
      </c>
      <c r="I2" s="3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J2" s="10"/>
    </row>
    <row r="3" spans="1:10" x14ac:dyDescent="0.35">
      <c r="A3" s="3">
        <v>2</v>
      </c>
      <c r="B3" s="6" t="s">
        <v>2</v>
      </c>
      <c r="C3" s="3" t="s">
        <v>204</v>
      </c>
      <c r="D3" s="12" t="s">
        <v>205</v>
      </c>
      <c r="E3" s="7">
        <v>-20</v>
      </c>
      <c r="F3" s="3">
        <f t="shared" ca="1" si="0"/>
        <v>-25</v>
      </c>
      <c r="G3" s="3">
        <f t="shared" ref="G3:G51" ca="1" si="2">IFERROR(INDEX(INDIRECT("Table"&amp;$D3), MATCH(9.9E+307, INDIRECT("Table"&amp;$D3&amp;"[Time]")), MATCH($B3, INDIRECT("Table"&amp;$D3&amp;"[#Headers]"), 0)), "N/A")</f>
        <v>-16.8</v>
      </c>
      <c r="H3" s="3">
        <f t="shared" ca="1" si="1"/>
        <v>8.1999999999999993</v>
      </c>
      <c r="I3" s="3" t="str">
        <f t="shared" ref="I3:I51" ca="1" si="3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J3" s="10"/>
    </row>
    <row r="4" spans="1:10" x14ac:dyDescent="0.35">
      <c r="A4" s="3">
        <v>3</v>
      </c>
      <c r="B4" s="6" t="s">
        <v>4</v>
      </c>
      <c r="C4" s="3" t="s">
        <v>204</v>
      </c>
      <c r="D4" s="12" t="s">
        <v>205</v>
      </c>
      <c r="E4" s="7">
        <v>-20</v>
      </c>
      <c r="F4" s="3">
        <f t="shared" ca="1" si="0"/>
        <v>-25</v>
      </c>
      <c r="G4" s="3">
        <f t="shared" ca="1" si="2"/>
        <v>-16.7</v>
      </c>
      <c r="H4" s="3">
        <f t="shared" ca="1" si="1"/>
        <v>8.3000000000000007</v>
      </c>
      <c r="I4" s="3" t="str">
        <f t="shared" ca="1" si="3"/>
        <v>N</v>
      </c>
      <c r="J4" s="10"/>
    </row>
    <row r="5" spans="1:10" x14ac:dyDescent="0.35">
      <c r="A5" s="3">
        <v>4</v>
      </c>
      <c r="B5" s="6" t="s">
        <v>5</v>
      </c>
      <c r="C5" s="3" t="s">
        <v>204</v>
      </c>
      <c r="D5" s="12" t="s">
        <v>205</v>
      </c>
      <c r="E5" s="7">
        <v>-20</v>
      </c>
      <c r="F5" s="3">
        <f t="shared" ca="1" si="0"/>
        <v>-25</v>
      </c>
      <c r="G5" s="3">
        <f t="shared" ca="1" si="2"/>
        <v>-17</v>
      </c>
      <c r="H5" s="3">
        <f t="shared" ca="1" si="1"/>
        <v>8</v>
      </c>
      <c r="I5" s="3" t="str">
        <f t="shared" ca="1" si="3"/>
        <v>N</v>
      </c>
      <c r="J5" s="10"/>
    </row>
    <row r="6" spans="1:10" x14ac:dyDescent="0.35">
      <c r="A6" s="3">
        <v>5</v>
      </c>
      <c r="B6" s="6" t="s">
        <v>7</v>
      </c>
      <c r="C6" s="3" t="s">
        <v>207</v>
      </c>
      <c r="D6" s="12" t="s">
        <v>205</v>
      </c>
      <c r="E6" s="7">
        <v>-20</v>
      </c>
      <c r="F6" s="3">
        <f t="shared" ca="1" si="0"/>
        <v>-25</v>
      </c>
      <c r="G6" s="3">
        <f t="shared" ca="1" si="2"/>
        <v>-17.100000000000001</v>
      </c>
      <c r="H6" s="3">
        <f t="shared" ca="1" si="1"/>
        <v>7.8999999999999986</v>
      </c>
      <c r="I6" s="3" t="str">
        <f t="shared" ca="1" si="3"/>
        <v>N</v>
      </c>
      <c r="J6" s="10"/>
    </row>
    <row r="7" spans="1:10" x14ac:dyDescent="0.35">
      <c r="A7" s="3">
        <v>6</v>
      </c>
      <c r="B7" s="6" t="s">
        <v>8</v>
      </c>
      <c r="C7" s="3" t="s">
        <v>207</v>
      </c>
      <c r="D7" s="12" t="s">
        <v>205</v>
      </c>
      <c r="E7" s="7">
        <v>-20</v>
      </c>
      <c r="F7" s="3">
        <f t="shared" ca="1" si="0"/>
        <v>-25</v>
      </c>
      <c r="G7" s="3">
        <f t="shared" ca="1" si="2"/>
        <v>-14</v>
      </c>
      <c r="H7" s="3">
        <f t="shared" ca="1" si="1"/>
        <v>11</v>
      </c>
      <c r="I7" s="3" t="str">
        <f t="shared" ca="1" si="3"/>
        <v>N</v>
      </c>
      <c r="J7" s="10"/>
    </row>
    <row r="8" spans="1:10" x14ac:dyDescent="0.35">
      <c r="A8" s="3">
        <v>7</v>
      </c>
      <c r="B8" s="6" t="s">
        <v>10</v>
      </c>
      <c r="C8" s="3" t="s">
        <v>207</v>
      </c>
      <c r="D8" s="12" t="s">
        <v>205</v>
      </c>
      <c r="E8" s="7">
        <v>-20</v>
      </c>
      <c r="F8" s="3">
        <f t="shared" ca="1" si="0"/>
        <v>-25</v>
      </c>
      <c r="G8" s="3">
        <f t="shared" ca="1" si="2"/>
        <v>-16.600000000000001</v>
      </c>
      <c r="H8" s="3">
        <f t="shared" ca="1" si="1"/>
        <v>8.3999999999999986</v>
      </c>
      <c r="I8" s="3" t="str">
        <f t="shared" ca="1" si="3"/>
        <v>N</v>
      </c>
      <c r="J8" s="10"/>
    </row>
    <row r="9" spans="1:10" x14ac:dyDescent="0.35">
      <c r="A9" s="3">
        <v>8</v>
      </c>
      <c r="B9" s="6" t="s">
        <v>11</v>
      </c>
      <c r="C9" s="3" t="s">
        <v>207</v>
      </c>
      <c r="D9" s="12" t="s">
        <v>205</v>
      </c>
      <c r="E9" s="7">
        <v>-20</v>
      </c>
      <c r="F9" s="3">
        <f t="shared" ca="1" si="0"/>
        <v>-25</v>
      </c>
      <c r="G9" s="3">
        <f t="shared" ca="1" si="2"/>
        <v>-17.5</v>
      </c>
      <c r="H9" s="3">
        <f t="shared" ca="1" si="1"/>
        <v>7.5</v>
      </c>
      <c r="I9" s="3" t="str">
        <f t="shared" ca="1" si="3"/>
        <v>N</v>
      </c>
      <c r="J9" s="10"/>
    </row>
    <row r="10" spans="1:10" x14ac:dyDescent="0.35">
      <c r="A10" s="3">
        <v>9</v>
      </c>
      <c r="B10" s="6" t="s">
        <v>13</v>
      </c>
      <c r="C10" s="3" t="s">
        <v>206</v>
      </c>
      <c r="D10" s="12" t="s">
        <v>205</v>
      </c>
      <c r="E10" s="7">
        <v>-20</v>
      </c>
      <c r="F10" s="3">
        <f t="shared" ca="1" si="0"/>
        <v>-25</v>
      </c>
      <c r="G10" s="3">
        <f t="shared" ca="1" si="2"/>
        <v>-18.2</v>
      </c>
      <c r="H10" s="3">
        <f t="shared" ca="1" si="1"/>
        <v>6.8000000000000007</v>
      </c>
      <c r="I10" s="3" t="str">
        <f t="shared" ca="1" si="3"/>
        <v>N</v>
      </c>
      <c r="J10" s="10"/>
    </row>
    <row r="11" spans="1:10" x14ac:dyDescent="0.35">
      <c r="A11" s="3">
        <v>10</v>
      </c>
      <c r="B11" s="6" t="s">
        <v>14</v>
      </c>
      <c r="C11" s="3" t="s">
        <v>206</v>
      </c>
      <c r="D11" s="12" t="s">
        <v>205</v>
      </c>
      <c r="E11" s="7">
        <v>-20</v>
      </c>
      <c r="F11" s="3">
        <f t="shared" ca="1" si="0"/>
        <v>-25</v>
      </c>
      <c r="G11" s="3">
        <f t="shared" ca="1" si="2"/>
        <v>-19</v>
      </c>
      <c r="H11" s="3">
        <f t="shared" ca="1" si="1"/>
        <v>6</v>
      </c>
      <c r="I11" s="3" t="str">
        <f t="shared" ca="1" si="3"/>
        <v>N</v>
      </c>
      <c r="J11" s="10"/>
    </row>
    <row r="12" spans="1:10" x14ac:dyDescent="0.35">
      <c r="A12" s="3">
        <v>11</v>
      </c>
      <c r="B12" s="6" t="s">
        <v>16</v>
      </c>
      <c r="C12" s="3" t="s">
        <v>206</v>
      </c>
      <c r="D12" s="12" t="s">
        <v>205</v>
      </c>
      <c r="E12" s="7">
        <v>-20</v>
      </c>
      <c r="F12" s="3">
        <f t="shared" ca="1" si="0"/>
        <v>-25</v>
      </c>
      <c r="G12" s="3">
        <f t="shared" ca="1" si="2"/>
        <v>-15.3</v>
      </c>
      <c r="H12" s="3">
        <f t="shared" ca="1" si="1"/>
        <v>9.6999999999999993</v>
      </c>
      <c r="I12" s="3" t="str">
        <f t="shared" ca="1" si="3"/>
        <v>N</v>
      </c>
      <c r="J12" s="10"/>
    </row>
    <row r="13" spans="1:10" x14ac:dyDescent="0.35">
      <c r="A13" s="3">
        <v>12</v>
      </c>
      <c r="B13" s="6" t="s">
        <v>17</v>
      </c>
      <c r="C13" s="3" t="s">
        <v>206</v>
      </c>
      <c r="D13" s="12" t="s">
        <v>205</v>
      </c>
      <c r="E13" s="7">
        <v>-20</v>
      </c>
      <c r="F13" s="3">
        <f t="shared" ca="1" si="0"/>
        <v>-25</v>
      </c>
      <c r="G13" s="3">
        <f t="shared" ca="1" si="2"/>
        <v>12.2</v>
      </c>
      <c r="H13" s="3">
        <f t="shared" ca="1" si="1"/>
        <v>37.200000000000003</v>
      </c>
      <c r="I13" s="3" t="str">
        <f t="shared" ca="1" si="3"/>
        <v>N</v>
      </c>
      <c r="J13" s="10"/>
    </row>
    <row r="14" spans="1:10" x14ac:dyDescent="0.35">
      <c r="A14" s="3">
        <v>13</v>
      </c>
      <c r="B14" s="6" t="s">
        <v>19</v>
      </c>
      <c r="C14" s="3" t="s">
        <v>208</v>
      </c>
      <c r="D14" s="12" t="s">
        <v>205</v>
      </c>
      <c r="E14" s="7" t="s">
        <v>309</v>
      </c>
      <c r="F14" s="3">
        <f t="shared" ca="1" si="0"/>
        <v>2</v>
      </c>
      <c r="G14" s="3">
        <f t="shared" ca="1" si="2"/>
        <v>2.2000000000000002</v>
      </c>
      <c r="H14" s="3">
        <f t="shared" ca="1" si="1"/>
        <v>0.20000000000000018</v>
      </c>
      <c r="I14" s="3" t="str">
        <f t="shared" ca="1" si="3"/>
        <v>Y</v>
      </c>
      <c r="J14" s="10"/>
    </row>
    <row r="15" spans="1:10" x14ac:dyDescent="0.35">
      <c r="A15" s="3">
        <v>14</v>
      </c>
      <c r="B15" s="6" t="s">
        <v>20</v>
      </c>
      <c r="C15" s="3" t="s">
        <v>208</v>
      </c>
      <c r="D15" s="12" t="s">
        <v>205</v>
      </c>
      <c r="E15" s="7" t="s">
        <v>309</v>
      </c>
      <c r="F15" s="3">
        <f t="shared" ca="1" si="0"/>
        <v>2</v>
      </c>
      <c r="G15" s="3">
        <f t="shared" ca="1" si="2"/>
        <v>2</v>
      </c>
      <c r="H15" s="3">
        <f t="shared" ca="1" si="1"/>
        <v>0</v>
      </c>
      <c r="I15" s="3" t="str">
        <f t="shared" ca="1" si="3"/>
        <v>Y</v>
      </c>
      <c r="J15" s="10"/>
    </row>
    <row r="16" spans="1:10" x14ac:dyDescent="0.35">
      <c r="A16" s="3">
        <v>15</v>
      </c>
      <c r="B16" s="6" t="s">
        <v>22</v>
      </c>
      <c r="C16" s="3" t="s">
        <v>208</v>
      </c>
      <c r="D16" s="12" t="s">
        <v>205</v>
      </c>
      <c r="E16" s="7" t="s">
        <v>309</v>
      </c>
      <c r="F16" s="3">
        <f t="shared" ca="1" si="0"/>
        <v>2</v>
      </c>
      <c r="G16" s="3">
        <f t="shared" ca="1" si="2"/>
        <v>2.2000000000000002</v>
      </c>
      <c r="H16" s="3">
        <f t="shared" ca="1" si="1"/>
        <v>0.20000000000000018</v>
      </c>
      <c r="I16" s="3" t="str">
        <f t="shared" ca="1" si="3"/>
        <v>Y</v>
      </c>
      <c r="J16" s="10"/>
    </row>
    <row r="17" spans="1:10" x14ac:dyDescent="0.35">
      <c r="A17" s="3">
        <v>16</v>
      </c>
      <c r="B17" s="6" t="s">
        <v>23</v>
      </c>
      <c r="C17" s="3" t="s">
        <v>208</v>
      </c>
      <c r="D17" s="12" t="s">
        <v>205</v>
      </c>
      <c r="E17" s="7" t="s">
        <v>309</v>
      </c>
      <c r="F17" s="3">
        <f t="shared" ca="1" si="0"/>
        <v>2</v>
      </c>
      <c r="G17" s="3">
        <f t="shared" ca="1" si="2"/>
        <v>1.9</v>
      </c>
      <c r="H17" s="3">
        <f t="shared" ca="1" si="1"/>
        <v>-0.10000000000000009</v>
      </c>
      <c r="I17" s="3" t="str">
        <f t="shared" ca="1" si="3"/>
        <v>Y</v>
      </c>
      <c r="J17" s="10"/>
    </row>
    <row r="18" spans="1:10" x14ac:dyDescent="0.35">
      <c r="A18" s="3">
        <v>17</v>
      </c>
      <c r="B18" s="6" t="s">
        <v>25</v>
      </c>
      <c r="C18" s="3" t="s">
        <v>209</v>
      </c>
      <c r="D18" s="12" t="s">
        <v>205</v>
      </c>
      <c r="E18" s="7" t="s">
        <v>309</v>
      </c>
      <c r="F18" s="3">
        <f t="shared" ca="1" si="0"/>
        <v>2</v>
      </c>
      <c r="G18" s="3">
        <f t="shared" ca="1" si="2"/>
        <v>3.8</v>
      </c>
      <c r="H18" s="3">
        <f t="shared" ca="1" si="1"/>
        <v>1.7999999999999998</v>
      </c>
      <c r="I18" s="3" t="str">
        <f t="shared" ca="1" si="3"/>
        <v>Y</v>
      </c>
      <c r="J18" s="10"/>
    </row>
    <row r="19" spans="1:10" x14ac:dyDescent="0.35">
      <c r="A19" s="3">
        <v>18</v>
      </c>
      <c r="B19" s="6" t="s">
        <v>26</v>
      </c>
      <c r="C19" s="3" t="s">
        <v>209</v>
      </c>
      <c r="D19" s="12" t="s">
        <v>205</v>
      </c>
      <c r="E19" s="7" t="s">
        <v>309</v>
      </c>
      <c r="F19" s="3">
        <f t="shared" ca="1" si="0"/>
        <v>2</v>
      </c>
      <c r="G19" s="3">
        <f t="shared" ca="1" si="2"/>
        <v>3.3</v>
      </c>
      <c r="H19" s="3">
        <f t="shared" ca="1" si="1"/>
        <v>1.2999999999999998</v>
      </c>
      <c r="I19" s="3" t="str">
        <f t="shared" ca="1" si="3"/>
        <v>Y</v>
      </c>
      <c r="J19" s="10"/>
    </row>
    <row r="20" spans="1:10" x14ac:dyDescent="0.35">
      <c r="A20" s="3">
        <v>19</v>
      </c>
      <c r="B20" s="6" t="s">
        <v>28</v>
      </c>
      <c r="C20" s="3" t="s">
        <v>209</v>
      </c>
      <c r="D20" s="12" t="s">
        <v>205</v>
      </c>
      <c r="E20" s="7" t="s">
        <v>309</v>
      </c>
      <c r="F20" s="3">
        <f t="shared" ca="1" si="0"/>
        <v>2</v>
      </c>
      <c r="G20" s="3">
        <f t="shared" ca="1" si="2"/>
        <v>3.4</v>
      </c>
      <c r="H20" s="3">
        <f t="shared" ca="1" si="1"/>
        <v>1.4</v>
      </c>
      <c r="I20" s="3" t="str">
        <f t="shared" ca="1" si="3"/>
        <v>Y</v>
      </c>
      <c r="J20" s="10"/>
    </row>
    <row r="21" spans="1:10" x14ac:dyDescent="0.35">
      <c r="A21" s="3">
        <v>20</v>
      </c>
      <c r="B21" s="6" t="s">
        <v>29</v>
      </c>
      <c r="C21" s="3" t="s">
        <v>209</v>
      </c>
      <c r="D21" s="12" t="s">
        <v>205</v>
      </c>
      <c r="E21" s="7" t="s">
        <v>309</v>
      </c>
      <c r="F21" s="3">
        <f t="shared" ca="1" si="0"/>
        <v>2</v>
      </c>
      <c r="G21" s="3">
        <f t="shared" ca="1" si="2"/>
        <v>2.5</v>
      </c>
      <c r="H21" s="3">
        <f t="shared" ca="1" si="1"/>
        <v>0.5</v>
      </c>
      <c r="I21" s="3" t="str">
        <f t="shared" ca="1" si="3"/>
        <v>Y</v>
      </c>
      <c r="J21" s="10"/>
    </row>
    <row r="22" spans="1:10" x14ac:dyDescent="0.35">
      <c r="A22" s="3">
        <v>21</v>
      </c>
      <c r="B22" s="6" t="s">
        <v>31</v>
      </c>
      <c r="C22" s="3" t="s">
        <v>210</v>
      </c>
      <c r="D22" s="12" t="s">
        <v>205</v>
      </c>
      <c r="E22" s="7" t="s">
        <v>309</v>
      </c>
      <c r="F22" s="3">
        <f t="shared" ca="1" si="0"/>
        <v>2</v>
      </c>
      <c r="G22" s="3">
        <f t="shared" ca="1" si="2"/>
        <v>3.5</v>
      </c>
      <c r="H22" s="3">
        <f t="shared" ca="1" si="1"/>
        <v>1.5</v>
      </c>
      <c r="I22" s="3" t="str">
        <f t="shared" ca="1" si="3"/>
        <v>Y</v>
      </c>
      <c r="J22" s="10"/>
    </row>
    <row r="23" spans="1:10" x14ac:dyDescent="0.35">
      <c r="A23" s="3">
        <v>22</v>
      </c>
      <c r="B23" s="6" t="s">
        <v>32</v>
      </c>
      <c r="C23" s="3" t="s">
        <v>210</v>
      </c>
      <c r="D23" s="12" t="s">
        <v>205</v>
      </c>
      <c r="E23" s="7" t="s">
        <v>309</v>
      </c>
      <c r="F23" s="3">
        <f t="shared" ca="1" si="0"/>
        <v>2</v>
      </c>
      <c r="G23" s="3">
        <f t="shared" ca="1" si="2"/>
        <v>3.1</v>
      </c>
      <c r="H23" s="3">
        <f t="shared" ca="1" si="1"/>
        <v>1.1000000000000001</v>
      </c>
      <c r="I23" s="3" t="str">
        <f t="shared" ca="1" si="3"/>
        <v>Y</v>
      </c>
      <c r="J23" s="10"/>
    </row>
    <row r="24" spans="1:10" x14ac:dyDescent="0.35">
      <c r="A24" s="3">
        <v>23</v>
      </c>
      <c r="B24" s="6" t="s">
        <v>34</v>
      </c>
      <c r="C24" s="3" t="s">
        <v>210</v>
      </c>
      <c r="D24" s="12" t="s">
        <v>205</v>
      </c>
      <c r="E24" s="7" t="s">
        <v>309</v>
      </c>
      <c r="F24" s="3">
        <f t="shared" ca="1" si="0"/>
        <v>2</v>
      </c>
      <c r="G24" s="3">
        <f t="shared" ca="1" si="2"/>
        <v>3.3</v>
      </c>
      <c r="H24" s="3">
        <f t="shared" ca="1" si="1"/>
        <v>1.2999999999999998</v>
      </c>
      <c r="I24" s="3" t="str">
        <f t="shared" ca="1" si="3"/>
        <v>Y</v>
      </c>
      <c r="J24" s="10"/>
    </row>
    <row r="25" spans="1:10" x14ac:dyDescent="0.35">
      <c r="A25" s="3">
        <v>24</v>
      </c>
      <c r="B25" s="6" t="s">
        <v>35</v>
      </c>
      <c r="C25" s="3" t="s">
        <v>210</v>
      </c>
      <c r="D25" s="12" t="s">
        <v>205</v>
      </c>
      <c r="E25" s="7" t="s">
        <v>309</v>
      </c>
      <c r="F25" s="3">
        <f t="shared" ca="1" si="0"/>
        <v>2</v>
      </c>
      <c r="G25" s="3">
        <f t="shared" ca="1" si="2"/>
        <v>2</v>
      </c>
      <c r="H25" s="3">
        <f t="shared" ca="1" si="1"/>
        <v>0</v>
      </c>
      <c r="I25" s="3" t="str">
        <f t="shared" ca="1" si="3"/>
        <v>Y</v>
      </c>
      <c r="J25" s="10"/>
    </row>
    <row r="26" spans="1:10" x14ac:dyDescent="0.35">
      <c r="A26" s="3">
        <v>25</v>
      </c>
      <c r="B26" s="6" t="s">
        <v>37</v>
      </c>
      <c r="C26" s="3" t="s">
        <v>319</v>
      </c>
      <c r="D26" s="12" t="s">
        <v>205</v>
      </c>
      <c r="E26" s="7" t="s">
        <v>310</v>
      </c>
      <c r="F26" s="3">
        <f t="shared" ca="1" si="0"/>
        <v>4</v>
      </c>
      <c r="G26" s="3">
        <f t="shared" ca="1" si="2"/>
        <v>3.9</v>
      </c>
      <c r="H26" s="3">
        <f t="shared" ca="1" si="1"/>
        <v>-0.10000000000000009</v>
      </c>
      <c r="I26" s="3" t="str">
        <f t="shared" ca="1" si="3"/>
        <v>Y</v>
      </c>
      <c r="J26" s="10"/>
    </row>
    <row r="27" spans="1:10" x14ac:dyDescent="0.35">
      <c r="A27" s="3">
        <v>26</v>
      </c>
      <c r="B27" s="6" t="s">
        <v>39</v>
      </c>
      <c r="C27" s="3" t="s">
        <v>318</v>
      </c>
      <c r="D27" s="12" t="s">
        <v>205</v>
      </c>
      <c r="E27" s="7" t="s">
        <v>310</v>
      </c>
      <c r="F27" s="3">
        <f t="shared" ca="1" si="0"/>
        <v>4</v>
      </c>
      <c r="G27" s="3">
        <f t="shared" ca="1" si="2"/>
        <v>4.5</v>
      </c>
      <c r="H27" s="3">
        <f t="shared" ca="1" si="1"/>
        <v>0.5</v>
      </c>
      <c r="I27" s="3" t="str">
        <f t="shared" ca="1" si="3"/>
        <v>Y</v>
      </c>
      <c r="J27" s="10"/>
    </row>
    <row r="28" spans="1:10" x14ac:dyDescent="0.35">
      <c r="A28" s="3">
        <v>27</v>
      </c>
      <c r="B28" s="6" t="s">
        <v>41</v>
      </c>
      <c r="C28" s="3" t="s">
        <v>320</v>
      </c>
      <c r="D28" s="12" t="s">
        <v>205</v>
      </c>
      <c r="E28" s="7" t="s">
        <v>311</v>
      </c>
      <c r="F28" s="3">
        <f t="shared" ca="1" si="0"/>
        <v>4</v>
      </c>
      <c r="G28" s="3">
        <f t="shared" ca="1" si="2"/>
        <v>3.3</v>
      </c>
      <c r="H28" s="3">
        <f t="shared" ca="1" si="1"/>
        <v>-0.70000000000000018</v>
      </c>
      <c r="I28" s="3" t="str">
        <f t="shared" ca="1" si="3"/>
        <v>Y</v>
      </c>
      <c r="J28" s="10"/>
    </row>
    <row r="29" spans="1:10" x14ac:dyDescent="0.35">
      <c r="A29" s="3">
        <v>28</v>
      </c>
      <c r="B29" s="6" t="s">
        <v>43</v>
      </c>
      <c r="C29" s="3" t="s">
        <v>321</v>
      </c>
      <c r="D29" s="12" t="s">
        <v>205</v>
      </c>
      <c r="E29" s="7" t="s">
        <v>311</v>
      </c>
      <c r="F29" s="3">
        <f t="shared" ca="1" si="0"/>
        <v>4</v>
      </c>
      <c r="G29" s="3">
        <f t="shared" ca="1" si="2"/>
        <v>5.3</v>
      </c>
      <c r="H29" s="3">
        <f t="shared" ca="1" si="1"/>
        <v>1.2999999999999998</v>
      </c>
      <c r="I29" s="3" t="str">
        <f t="shared" ca="1" si="3"/>
        <v>Y</v>
      </c>
      <c r="J29" s="10"/>
    </row>
    <row r="30" spans="1:10" x14ac:dyDescent="0.35">
      <c r="A30" s="3">
        <v>29</v>
      </c>
      <c r="B30" s="6" t="s">
        <v>45</v>
      </c>
      <c r="C30" s="3" t="s">
        <v>327</v>
      </c>
      <c r="D30" s="12" t="s">
        <v>205</v>
      </c>
      <c r="E30" s="7" t="s">
        <v>308</v>
      </c>
      <c r="F30" s="3">
        <f t="shared" ref="F27:F51" ca="1" si="4">IFERROR(INDEX(INDIRECT("Table"&amp;$D30), MATCH(9.9E+307, INDIRECT("Table"&amp;$D30&amp;"[Time]")), MATCH(SUBSTITUTE(SUBSTITUTE($B30," Coil Temp.","")," Coil Temp","")&amp;" SP*", INDIRECT("Table"&amp;$D30&amp;"[#Headers]"), 0)), "N/A")</f>
        <v>-5</v>
      </c>
      <c r="G30" s="3">
        <f t="shared" ca="1" si="2"/>
        <v>-3.6</v>
      </c>
      <c r="H30" s="3">
        <f t="shared" ca="1" si="1"/>
        <v>1.4</v>
      </c>
      <c r="I30" s="3" t="str">
        <f t="shared" ca="1" si="3"/>
        <v>Y</v>
      </c>
      <c r="J30" s="10"/>
    </row>
    <row r="31" spans="1:10" x14ac:dyDescent="0.35">
      <c r="A31" s="3">
        <v>30</v>
      </c>
      <c r="B31" s="6" t="s">
        <v>46</v>
      </c>
      <c r="C31" s="3" t="s">
        <v>327</v>
      </c>
      <c r="D31" s="12" t="s">
        <v>205</v>
      </c>
      <c r="E31" s="7" t="s">
        <v>308</v>
      </c>
      <c r="F31" s="3">
        <f t="shared" ca="1" si="4"/>
        <v>-5</v>
      </c>
      <c r="G31" s="3">
        <f t="shared" ca="1" si="2"/>
        <v>-5.3</v>
      </c>
      <c r="H31" s="3">
        <f t="shared" ca="1" si="1"/>
        <v>-0.29999999999999982</v>
      </c>
      <c r="I31" s="3" t="str">
        <f t="shared" ca="1" si="3"/>
        <v>Y</v>
      </c>
      <c r="J31" s="10"/>
    </row>
    <row r="32" spans="1:10" x14ac:dyDescent="0.35">
      <c r="A32" s="3">
        <v>31</v>
      </c>
      <c r="B32" s="6" t="s">
        <v>48</v>
      </c>
      <c r="C32" s="3" t="s">
        <v>328</v>
      </c>
      <c r="D32" s="12" t="s">
        <v>205</v>
      </c>
      <c r="E32" s="7" t="s">
        <v>308</v>
      </c>
      <c r="F32" s="3">
        <f t="shared" ca="1" si="4"/>
        <v>-5</v>
      </c>
      <c r="G32" s="3">
        <f t="shared" ca="1" si="2"/>
        <v>-2.7</v>
      </c>
      <c r="H32" s="3">
        <f t="shared" ca="1" si="1"/>
        <v>2.2999999999999998</v>
      </c>
      <c r="I32" s="3" t="str">
        <f t="shared" ca="1" si="3"/>
        <v>N</v>
      </c>
      <c r="J32" s="10"/>
    </row>
    <row r="33" spans="1:10" x14ac:dyDescent="0.35">
      <c r="A33" s="3">
        <v>32</v>
      </c>
      <c r="B33" s="6" t="s">
        <v>49</v>
      </c>
      <c r="C33" s="3" t="s">
        <v>328</v>
      </c>
      <c r="D33" s="12" t="s">
        <v>205</v>
      </c>
      <c r="E33" s="7" t="s">
        <v>308</v>
      </c>
      <c r="F33" s="3">
        <f t="shared" ca="1" si="4"/>
        <v>-5</v>
      </c>
      <c r="G33" s="3">
        <f t="shared" ca="1" si="2"/>
        <v>-2.6</v>
      </c>
      <c r="H33" s="3">
        <f t="shared" ca="1" si="1"/>
        <v>2.4</v>
      </c>
      <c r="I33" s="3" t="str">
        <f t="shared" ca="1" si="3"/>
        <v>N</v>
      </c>
      <c r="J33" s="10"/>
    </row>
    <row r="34" spans="1:10" x14ac:dyDescent="0.35">
      <c r="A34" s="3">
        <v>33</v>
      </c>
      <c r="B34" s="6" t="s">
        <v>51</v>
      </c>
      <c r="C34" s="3" t="s">
        <v>329</v>
      </c>
      <c r="D34" s="12" t="s">
        <v>205</v>
      </c>
      <c r="E34" s="7" t="s">
        <v>311</v>
      </c>
      <c r="F34" s="3">
        <f t="shared" ca="1" si="4"/>
        <v>10</v>
      </c>
      <c r="G34" s="3">
        <f t="shared" ca="1" si="2"/>
        <v>10.5</v>
      </c>
      <c r="H34" s="3">
        <f t="shared" ref="H34:H65" ca="1" si="5">SUM(G34-F34)</f>
        <v>0.5</v>
      </c>
      <c r="I34" s="3" t="str">
        <f t="shared" ca="1" si="3"/>
        <v>Y</v>
      </c>
      <c r="J34" s="10"/>
    </row>
    <row r="35" spans="1:10" x14ac:dyDescent="0.35">
      <c r="A35" s="3">
        <v>34</v>
      </c>
      <c r="B35" s="6" t="s">
        <v>53</v>
      </c>
      <c r="C35" s="3" t="s">
        <v>326</v>
      </c>
      <c r="D35" s="12" t="s">
        <v>205</v>
      </c>
      <c r="E35" s="7">
        <v>10</v>
      </c>
      <c r="F35" s="3">
        <f t="shared" ca="1" si="4"/>
        <v>10</v>
      </c>
      <c r="G35" s="3">
        <f t="shared" ca="1" si="2"/>
        <v>10.6</v>
      </c>
      <c r="H35" s="3">
        <f t="shared" ca="1" si="5"/>
        <v>0.59999999999999964</v>
      </c>
      <c r="I35" s="3" t="str">
        <f t="shared" ca="1" si="3"/>
        <v>Y</v>
      </c>
      <c r="J35" s="10"/>
    </row>
    <row r="36" spans="1:10" x14ac:dyDescent="0.35">
      <c r="A36" s="3">
        <v>35</v>
      </c>
      <c r="B36" s="6" t="s">
        <v>55</v>
      </c>
      <c r="C36" s="3" t="s">
        <v>325</v>
      </c>
      <c r="D36" s="12" t="s">
        <v>205</v>
      </c>
      <c r="E36" s="7">
        <v>10</v>
      </c>
      <c r="F36" s="3">
        <f t="shared" ca="1" si="4"/>
        <v>4</v>
      </c>
      <c r="G36" s="3">
        <f t="shared" ca="1" si="2"/>
        <v>5.5</v>
      </c>
      <c r="H36" s="3">
        <f t="shared" ca="1" si="5"/>
        <v>1.5</v>
      </c>
      <c r="I36" s="3" t="str">
        <f t="shared" ca="1" si="3"/>
        <v>Y</v>
      </c>
      <c r="J36" s="10"/>
    </row>
    <row r="37" spans="1:10" x14ac:dyDescent="0.35">
      <c r="A37" s="3">
        <v>36</v>
      </c>
      <c r="B37" s="6" t="s">
        <v>57</v>
      </c>
      <c r="C37" s="3" t="s">
        <v>324</v>
      </c>
      <c r="D37" s="12" t="s">
        <v>205</v>
      </c>
      <c r="E37" s="7">
        <v>10</v>
      </c>
      <c r="F37" s="3">
        <f t="shared" ca="1" si="4"/>
        <v>10</v>
      </c>
      <c r="G37" s="3">
        <f t="shared" ca="1" si="2"/>
        <v>10.3</v>
      </c>
      <c r="H37" s="3">
        <f t="shared" ca="1" si="5"/>
        <v>0.30000000000000071</v>
      </c>
      <c r="I37" s="3" t="str">
        <f t="shared" ca="1" si="3"/>
        <v>Y</v>
      </c>
      <c r="J37" s="10"/>
    </row>
    <row r="38" spans="1:10" x14ac:dyDescent="0.35">
      <c r="A38" s="3">
        <v>37</v>
      </c>
      <c r="B38" s="6" t="s">
        <v>59</v>
      </c>
      <c r="C38" s="3" t="s">
        <v>322</v>
      </c>
      <c r="D38" s="12" t="s">
        <v>205</v>
      </c>
      <c r="E38" s="7">
        <v>10</v>
      </c>
      <c r="F38" s="3">
        <f t="shared" ca="1" si="4"/>
        <v>10</v>
      </c>
      <c r="G38" s="3">
        <f t="shared" ca="1" si="2"/>
        <v>12.3</v>
      </c>
      <c r="H38" s="3">
        <f t="shared" ca="1" si="5"/>
        <v>2.3000000000000007</v>
      </c>
      <c r="I38" s="3" t="str">
        <f t="shared" ca="1" si="3"/>
        <v>N</v>
      </c>
      <c r="J38" s="10"/>
    </row>
    <row r="39" spans="1:10" x14ac:dyDescent="0.35">
      <c r="A39" s="3">
        <v>38</v>
      </c>
      <c r="B39" s="6" t="s">
        <v>61</v>
      </c>
      <c r="C39" s="3" t="s">
        <v>323</v>
      </c>
      <c r="D39" s="12" t="s">
        <v>205</v>
      </c>
      <c r="E39" s="7">
        <v>10</v>
      </c>
      <c r="F39" s="3">
        <f t="shared" ca="1" si="4"/>
        <v>9</v>
      </c>
      <c r="G39" s="3">
        <f t="shared" ca="1" si="2"/>
        <v>11.9</v>
      </c>
      <c r="H39" s="3">
        <f t="shared" ca="1" si="5"/>
        <v>2.9000000000000004</v>
      </c>
      <c r="I39" s="3" t="str">
        <f t="shared" ca="1" si="3"/>
        <v>N</v>
      </c>
      <c r="J39" s="10"/>
    </row>
    <row r="40" spans="1:10" x14ac:dyDescent="0.35">
      <c r="A40" s="3">
        <v>39</v>
      </c>
      <c r="B40" s="6" t="s">
        <v>63</v>
      </c>
      <c r="C40" s="3" t="s">
        <v>211</v>
      </c>
      <c r="D40" s="12" t="s">
        <v>205</v>
      </c>
      <c r="E40" s="7">
        <v>25</v>
      </c>
      <c r="F40" s="3">
        <f t="shared" ca="1" si="4"/>
        <v>19</v>
      </c>
      <c r="G40" s="3">
        <f t="shared" ca="1" si="2"/>
        <v>19</v>
      </c>
      <c r="H40" s="3">
        <f t="shared" ca="1" si="5"/>
        <v>0</v>
      </c>
      <c r="I40" s="3" t="str">
        <f t="shared" ca="1" si="3"/>
        <v>Y</v>
      </c>
      <c r="J40" s="10"/>
    </row>
    <row r="41" spans="1:10" x14ac:dyDescent="0.35">
      <c r="A41" s="3">
        <v>40</v>
      </c>
      <c r="B41" s="6" t="s">
        <v>65</v>
      </c>
      <c r="C41" s="3" t="s">
        <v>212</v>
      </c>
      <c r="D41" s="12" t="s">
        <v>205</v>
      </c>
      <c r="E41" s="7">
        <v>25</v>
      </c>
      <c r="F41" s="3">
        <f t="shared" ca="1" si="4"/>
        <v>19</v>
      </c>
      <c r="G41" s="3">
        <f t="shared" ca="1" si="2"/>
        <v>23.6</v>
      </c>
      <c r="H41" s="3">
        <f t="shared" ca="1" si="5"/>
        <v>4.6000000000000014</v>
      </c>
      <c r="I41" s="3" t="str">
        <f t="shared" ca="1" si="3"/>
        <v>N</v>
      </c>
      <c r="J41" s="10"/>
    </row>
    <row r="42" spans="1:10" x14ac:dyDescent="0.35">
      <c r="A42" s="3">
        <v>41</v>
      </c>
      <c r="B42" s="6" t="s">
        <v>67</v>
      </c>
      <c r="C42" s="3" t="s">
        <v>213</v>
      </c>
      <c r="D42" s="12" t="s">
        <v>205</v>
      </c>
      <c r="E42" s="7" t="s">
        <v>314</v>
      </c>
      <c r="F42" s="3">
        <f t="shared" ca="1" si="4"/>
        <v>20</v>
      </c>
      <c r="G42" s="3">
        <f t="shared" ca="1" si="2"/>
        <v>20.7</v>
      </c>
      <c r="H42" s="3">
        <f t="shared" ca="1" si="5"/>
        <v>0.69999999999999929</v>
      </c>
      <c r="I42" s="3" t="str">
        <f t="shared" ca="1" si="3"/>
        <v>Y</v>
      </c>
      <c r="J42" s="10"/>
    </row>
    <row r="43" spans="1:10" x14ac:dyDescent="0.35">
      <c r="A43" s="3">
        <v>43</v>
      </c>
      <c r="B43" s="6" t="s">
        <v>341</v>
      </c>
      <c r="C43" s="3" t="s">
        <v>214</v>
      </c>
      <c r="D43" s="12" t="s">
        <v>205</v>
      </c>
      <c r="E43" s="7" t="s">
        <v>307</v>
      </c>
      <c r="F43" s="3">
        <f t="shared" ca="1" si="4"/>
        <v>25</v>
      </c>
      <c r="G43" s="3">
        <f t="shared" ca="1" si="2"/>
        <v>21.8</v>
      </c>
      <c r="H43" s="3">
        <f t="shared" ca="1" si="5"/>
        <v>-3.1999999999999993</v>
      </c>
      <c r="I43" s="3" t="str">
        <f t="shared" ca="1" si="3"/>
        <v>N</v>
      </c>
      <c r="J43" s="10"/>
    </row>
    <row r="44" spans="1:10" x14ac:dyDescent="0.35">
      <c r="A44" s="3">
        <v>44</v>
      </c>
      <c r="B44" s="6" t="s">
        <v>69</v>
      </c>
      <c r="C44" s="3" t="s">
        <v>215</v>
      </c>
      <c r="D44" s="12" t="s">
        <v>205</v>
      </c>
      <c r="E44" s="7" t="s">
        <v>307</v>
      </c>
      <c r="F44" s="3">
        <f t="shared" ca="1" si="4"/>
        <v>25</v>
      </c>
      <c r="G44" s="3">
        <f t="shared" ca="1" si="2"/>
        <v>21.9</v>
      </c>
      <c r="H44" s="3">
        <f t="shared" ca="1" si="5"/>
        <v>-3.1000000000000014</v>
      </c>
      <c r="I44" s="3" t="str">
        <f t="shared" ca="1" si="3"/>
        <v>N</v>
      </c>
      <c r="J44" s="10"/>
    </row>
    <row r="45" spans="1:10" x14ac:dyDescent="0.35">
      <c r="A45" s="3">
        <v>45</v>
      </c>
      <c r="B45" s="6" t="s">
        <v>71</v>
      </c>
      <c r="C45" s="3" t="s">
        <v>330</v>
      </c>
      <c r="D45" s="12" t="s">
        <v>205</v>
      </c>
      <c r="E45" s="7" t="s">
        <v>307</v>
      </c>
      <c r="F45" s="3">
        <f t="shared" ca="1" si="4"/>
        <v>18</v>
      </c>
      <c r="G45" s="3">
        <f t="shared" ca="1" si="2"/>
        <v>23.2</v>
      </c>
      <c r="H45" s="3">
        <f t="shared" ca="1" si="5"/>
        <v>5.1999999999999993</v>
      </c>
      <c r="I45" s="3" t="str">
        <f t="shared" ca="1" si="3"/>
        <v>N</v>
      </c>
      <c r="J45" s="10"/>
    </row>
    <row r="46" spans="1:10" x14ac:dyDescent="0.35">
      <c r="A46" s="3">
        <v>46</v>
      </c>
      <c r="B46" s="6" t="s">
        <v>73</v>
      </c>
      <c r="C46" s="3" t="s">
        <v>217</v>
      </c>
      <c r="D46" s="12" t="s">
        <v>205</v>
      </c>
      <c r="E46" s="7" t="s">
        <v>307</v>
      </c>
      <c r="F46" s="3">
        <f t="shared" ca="1" si="4"/>
        <v>20</v>
      </c>
      <c r="G46" s="3">
        <f t="shared" ca="1" si="2"/>
        <v>21.8</v>
      </c>
      <c r="H46" s="3">
        <f t="shared" ca="1" si="5"/>
        <v>1.8000000000000007</v>
      </c>
      <c r="I46" s="3" t="str">
        <f t="shared" ca="1" si="3"/>
        <v>Y</v>
      </c>
      <c r="J46" s="10"/>
    </row>
    <row r="47" spans="1:10" x14ac:dyDescent="0.35">
      <c r="A47" s="3">
        <v>47</v>
      </c>
      <c r="B47" s="6" t="s">
        <v>75</v>
      </c>
      <c r="C47" s="3" t="s">
        <v>216</v>
      </c>
      <c r="D47" s="12" t="s">
        <v>205</v>
      </c>
      <c r="E47" s="7" t="s">
        <v>307</v>
      </c>
      <c r="F47" s="3">
        <f t="shared" ca="1" si="4"/>
        <v>20</v>
      </c>
      <c r="G47" s="3">
        <f t="shared" ca="1" si="2"/>
        <v>21.6</v>
      </c>
      <c r="H47" s="3">
        <f t="shared" ca="1" si="5"/>
        <v>1.6000000000000014</v>
      </c>
      <c r="I47" s="3" t="str">
        <f t="shared" ca="1" si="3"/>
        <v>Y</v>
      </c>
      <c r="J47" s="10"/>
    </row>
    <row r="48" spans="1:10" x14ac:dyDescent="0.35">
      <c r="A48" s="3">
        <v>48</v>
      </c>
      <c r="B48" s="6" t="s">
        <v>77</v>
      </c>
      <c r="C48" s="3" t="s">
        <v>218</v>
      </c>
      <c r="D48" s="12" t="s">
        <v>205</v>
      </c>
      <c r="E48" s="7">
        <v>25</v>
      </c>
      <c r="F48" s="3">
        <f t="shared" ca="1" si="4"/>
        <v>10</v>
      </c>
      <c r="G48" s="3">
        <f t="shared" ca="1" si="2"/>
        <v>11.9</v>
      </c>
      <c r="H48" s="3">
        <f t="shared" ca="1" si="5"/>
        <v>1.9000000000000004</v>
      </c>
      <c r="I48" s="3" t="str">
        <f t="shared" ca="1" si="3"/>
        <v>Y</v>
      </c>
      <c r="J48" s="10"/>
    </row>
    <row r="49" spans="1:10" x14ac:dyDescent="0.35">
      <c r="A49" s="3">
        <v>49</v>
      </c>
      <c r="B49" s="6" t="s">
        <v>79</v>
      </c>
      <c r="C49" s="3" t="s">
        <v>219</v>
      </c>
      <c r="D49" s="12" t="s">
        <v>205</v>
      </c>
      <c r="E49" s="7">
        <v>10</v>
      </c>
      <c r="F49" s="3">
        <f t="shared" ca="1" si="4"/>
        <v>10</v>
      </c>
      <c r="G49" s="3">
        <f t="shared" ca="1" si="2"/>
        <v>11.5</v>
      </c>
      <c r="H49" s="3">
        <f t="shared" ca="1" si="5"/>
        <v>1.5</v>
      </c>
      <c r="I49" s="3" t="str">
        <f t="shared" ca="1" si="3"/>
        <v>Y</v>
      </c>
      <c r="J49" s="10"/>
    </row>
    <row r="50" spans="1:10" x14ac:dyDescent="0.35">
      <c r="A50" s="3">
        <v>50</v>
      </c>
      <c r="B50" s="6" t="s">
        <v>81</v>
      </c>
      <c r="C50" s="3" t="s">
        <v>219</v>
      </c>
      <c r="D50" s="12" t="s">
        <v>205</v>
      </c>
      <c r="E50" s="7">
        <v>10</v>
      </c>
      <c r="F50" s="3">
        <f t="shared" ca="1" si="4"/>
        <v>9</v>
      </c>
      <c r="G50" s="3">
        <f t="shared" ca="1" si="2"/>
        <v>11.3</v>
      </c>
      <c r="H50" s="3">
        <f t="shared" ca="1" si="5"/>
        <v>2.3000000000000007</v>
      </c>
      <c r="I50" s="3" t="str">
        <f t="shared" ca="1" si="3"/>
        <v>N</v>
      </c>
      <c r="J50" s="10"/>
    </row>
    <row r="51" spans="1:10" x14ac:dyDescent="0.35">
      <c r="A51" s="3">
        <v>51</v>
      </c>
      <c r="B51" s="6" t="s">
        <v>83</v>
      </c>
      <c r="C51" s="3" t="s">
        <v>219</v>
      </c>
      <c r="D51" s="12" t="s">
        <v>205</v>
      </c>
      <c r="E51" s="7">
        <v>10</v>
      </c>
      <c r="F51" s="3">
        <f t="shared" ca="1" si="4"/>
        <v>9</v>
      </c>
      <c r="G51" s="3">
        <f t="shared" ca="1" si="2"/>
        <v>11.5</v>
      </c>
      <c r="H51" s="3">
        <f t="shared" ca="1" si="5"/>
        <v>2.5</v>
      </c>
      <c r="I51" s="3" t="str">
        <f t="shared" ca="1" si="3"/>
        <v>N</v>
      </c>
      <c r="J51" s="10"/>
    </row>
    <row r="52" spans="1:10" x14ac:dyDescent="0.35">
      <c r="A52" s="3">
        <v>52</v>
      </c>
      <c r="B52" s="6" t="s">
        <v>85</v>
      </c>
      <c r="C52" s="3" t="s">
        <v>220</v>
      </c>
      <c r="D52" s="8" t="s">
        <v>221</v>
      </c>
      <c r="E52" s="7" t="s">
        <v>309</v>
      </c>
      <c r="F52" s="3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G52" s="3">
        <f ca="1">IFERROR(INDEX(INDIRECT("Table"&amp;$D52), MATCH(9.9E+307, INDIRECT("Table"&amp;$D52&amp;"[Time]")), MATCH($B52, INDIRECT("Table"&amp;$D52&amp;"[#Headers]"), 0)), "N/A")</f>
        <v>4</v>
      </c>
      <c r="H52" s="3">
        <f t="shared" ca="1" si="5"/>
        <v>2</v>
      </c>
      <c r="I52" s="3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J52" s="10"/>
    </row>
    <row r="53" spans="1:10" x14ac:dyDescent="0.35">
      <c r="A53" s="3">
        <v>53</v>
      </c>
      <c r="B53" s="6" t="s">
        <v>87</v>
      </c>
      <c r="C53" s="3" t="s">
        <v>220</v>
      </c>
      <c r="D53" s="8" t="s">
        <v>221</v>
      </c>
      <c r="E53" s="7" t="s">
        <v>309</v>
      </c>
      <c r="F53" s="3">
        <f t="shared" ref="F53:F79" ca="1" si="6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G53" s="3">
        <f t="shared" ref="G53:G79" ca="1" si="7">IFERROR(INDEX(INDIRECT("Table"&amp;$D53), MATCH(9.9E+307, INDIRECT("Table"&amp;$D53&amp;"[Time]")), MATCH($B53, INDIRECT("Table"&amp;$D53&amp;"[#Headers]"), 0)), "N/A")</f>
        <v>4.3</v>
      </c>
      <c r="H53" s="3">
        <f t="shared" ca="1" si="5"/>
        <v>2.0999999999999996</v>
      </c>
      <c r="I53" s="3" t="str">
        <f t="shared" ref="I53:I79" ca="1" si="8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N</v>
      </c>
      <c r="J53" s="10"/>
    </row>
    <row r="54" spans="1:10" x14ac:dyDescent="0.35">
      <c r="A54" s="3">
        <v>54</v>
      </c>
      <c r="B54" s="6" t="s">
        <v>89</v>
      </c>
      <c r="C54" s="3" t="s">
        <v>222</v>
      </c>
      <c r="D54" s="8" t="s">
        <v>221</v>
      </c>
      <c r="E54" s="7" t="s">
        <v>309</v>
      </c>
      <c r="F54" s="3">
        <f t="shared" ca="1" si="6"/>
        <v>2</v>
      </c>
      <c r="G54" s="3">
        <f t="shared" ca="1" si="7"/>
        <v>2.9</v>
      </c>
      <c r="H54" s="3">
        <f t="shared" ca="1" si="5"/>
        <v>0.89999999999999991</v>
      </c>
      <c r="I54" s="3" t="str">
        <f t="shared" ca="1" si="8"/>
        <v>Y</v>
      </c>
      <c r="J54" s="10"/>
    </row>
    <row r="55" spans="1:10" x14ac:dyDescent="0.35">
      <c r="A55" s="3">
        <v>55</v>
      </c>
      <c r="B55" s="6" t="s">
        <v>91</v>
      </c>
      <c r="C55" s="3" t="s">
        <v>222</v>
      </c>
      <c r="D55" s="8" t="s">
        <v>221</v>
      </c>
      <c r="E55" s="7" t="s">
        <v>309</v>
      </c>
      <c r="F55" s="3">
        <f t="shared" ca="1" si="6"/>
        <v>2</v>
      </c>
      <c r="G55" s="3">
        <f t="shared" ca="1" si="7"/>
        <v>2.5</v>
      </c>
      <c r="H55" s="3">
        <f t="shared" ca="1" si="5"/>
        <v>0.5</v>
      </c>
      <c r="I55" s="3" t="str">
        <f t="shared" ca="1" si="8"/>
        <v>Y</v>
      </c>
      <c r="J55" s="10"/>
    </row>
    <row r="56" spans="1:10" x14ac:dyDescent="0.35">
      <c r="A56" s="3">
        <v>56</v>
      </c>
      <c r="B56" s="6" t="s">
        <v>93</v>
      </c>
      <c r="C56" s="3" t="s">
        <v>223</v>
      </c>
      <c r="D56" s="8" t="s">
        <v>221</v>
      </c>
      <c r="E56" s="7" t="s">
        <v>309</v>
      </c>
      <c r="F56" s="3">
        <f t="shared" ca="1" si="6"/>
        <v>2</v>
      </c>
      <c r="G56" s="3">
        <f t="shared" ca="1" si="7"/>
        <v>2.7</v>
      </c>
      <c r="H56" s="3">
        <f t="shared" ca="1" si="5"/>
        <v>0.70000000000000018</v>
      </c>
      <c r="I56" s="3" t="str">
        <f t="shared" ca="1" si="8"/>
        <v>Y</v>
      </c>
      <c r="J56" s="10"/>
    </row>
    <row r="57" spans="1:10" x14ac:dyDescent="0.35">
      <c r="A57" s="3">
        <v>57</v>
      </c>
      <c r="B57" s="6" t="s">
        <v>95</v>
      </c>
      <c r="C57" s="3" t="s">
        <v>223</v>
      </c>
      <c r="D57" s="8" t="s">
        <v>221</v>
      </c>
      <c r="E57" s="7" t="s">
        <v>309</v>
      </c>
      <c r="F57" s="3">
        <f t="shared" ca="1" si="6"/>
        <v>2</v>
      </c>
      <c r="G57" s="3">
        <f t="shared" ca="1" si="7"/>
        <v>2.7</v>
      </c>
      <c r="H57" s="3">
        <f t="shared" ca="1" si="5"/>
        <v>0.70000000000000018</v>
      </c>
      <c r="I57" s="3" t="str">
        <f t="shared" ca="1" si="8"/>
        <v>Y</v>
      </c>
      <c r="J57" s="10"/>
    </row>
    <row r="58" spans="1:10" x14ac:dyDescent="0.35">
      <c r="A58" s="3">
        <v>58</v>
      </c>
      <c r="B58" s="6" t="s">
        <v>97</v>
      </c>
      <c r="C58" s="3" t="s">
        <v>224</v>
      </c>
      <c r="D58" s="8" t="s">
        <v>221</v>
      </c>
      <c r="E58" s="7" t="s">
        <v>309</v>
      </c>
      <c r="F58" s="3">
        <f t="shared" ca="1" si="6"/>
        <v>3</v>
      </c>
      <c r="G58" s="3">
        <f t="shared" ca="1" si="7"/>
        <v>4.5</v>
      </c>
      <c r="H58" s="3">
        <f t="shared" ca="1" si="5"/>
        <v>1.5</v>
      </c>
      <c r="I58" s="3" t="str">
        <f t="shared" ca="1" si="8"/>
        <v>Y</v>
      </c>
      <c r="J58" s="10"/>
    </row>
    <row r="59" spans="1:10" x14ac:dyDescent="0.35">
      <c r="A59" s="3">
        <v>59</v>
      </c>
      <c r="B59" s="6" t="s">
        <v>99</v>
      </c>
      <c r="C59" s="3" t="s">
        <v>224</v>
      </c>
      <c r="D59" s="8" t="s">
        <v>221</v>
      </c>
      <c r="E59" s="7" t="s">
        <v>309</v>
      </c>
      <c r="F59" s="3">
        <f t="shared" ca="1" si="6"/>
        <v>2</v>
      </c>
      <c r="G59" s="3">
        <f t="shared" ca="1" si="7"/>
        <v>13.4</v>
      </c>
      <c r="H59" s="3">
        <f t="shared" ca="1" si="5"/>
        <v>11.4</v>
      </c>
      <c r="I59" s="3" t="str">
        <f t="shared" ca="1" si="8"/>
        <v>N</v>
      </c>
      <c r="J59" s="10"/>
    </row>
    <row r="60" spans="1:10" x14ac:dyDescent="0.35">
      <c r="A60" s="3">
        <v>60</v>
      </c>
      <c r="B60" s="6" t="s">
        <v>101</v>
      </c>
      <c r="C60" s="3" t="s">
        <v>225</v>
      </c>
      <c r="D60" s="8" t="s">
        <v>221</v>
      </c>
      <c r="E60" s="7" t="s">
        <v>309</v>
      </c>
      <c r="F60" s="3">
        <f t="shared" ca="1" si="6"/>
        <v>2</v>
      </c>
      <c r="G60" s="3">
        <f t="shared" ca="1" si="7"/>
        <v>3.8</v>
      </c>
      <c r="H60" s="3">
        <f t="shared" ca="1" si="5"/>
        <v>1.7999999999999998</v>
      </c>
      <c r="I60" s="3" t="str">
        <f t="shared" ca="1" si="8"/>
        <v>Y</v>
      </c>
      <c r="J60" s="10"/>
    </row>
    <row r="61" spans="1:10" x14ac:dyDescent="0.35">
      <c r="A61" s="3">
        <v>61</v>
      </c>
      <c r="B61" s="6" t="s">
        <v>103</v>
      </c>
      <c r="C61" s="3" t="s">
        <v>225</v>
      </c>
      <c r="D61" s="8" t="s">
        <v>221</v>
      </c>
      <c r="E61" s="7" t="s">
        <v>309</v>
      </c>
      <c r="F61" s="3">
        <f t="shared" ca="1" si="6"/>
        <v>2</v>
      </c>
      <c r="G61" s="3">
        <f t="shared" ca="1" si="7"/>
        <v>3.3</v>
      </c>
      <c r="H61" s="3">
        <f t="shared" ca="1" si="5"/>
        <v>1.2999999999999998</v>
      </c>
      <c r="I61" s="3" t="str">
        <f t="shared" ca="1" si="8"/>
        <v>Y</v>
      </c>
      <c r="J61" s="10"/>
    </row>
    <row r="62" spans="1:10" x14ac:dyDescent="0.35">
      <c r="A62" s="3">
        <v>62</v>
      </c>
      <c r="B62" s="6" t="s">
        <v>105</v>
      </c>
      <c r="C62" s="3" t="s">
        <v>226</v>
      </c>
      <c r="D62" s="8" t="s">
        <v>221</v>
      </c>
      <c r="E62" s="7" t="s">
        <v>306</v>
      </c>
      <c r="F62" s="3">
        <f t="shared" ca="1" si="6"/>
        <v>9</v>
      </c>
      <c r="G62" s="3">
        <f t="shared" ca="1" si="7"/>
        <v>7.9</v>
      </c>
      <c r="H62" s="3">
        <f t="shared" ca="1" si="5"/>
        <v>-1.0999999999999996</v>
      </c>
      <c r="I62" s="3" t="str">
        <f t="shared" ca="1" si="8"/>
        <v>Y</v>
      </c>
      <c r="J62" s="10"/>
    </row>
    <row r="63" spans="1:10" x14ac:dyDescent="0.35">
      <c r="A63" s="3">
        <v>63</v>
      </c>
      <c r="B63" s="6" t="s">
        <v>107</v>
      </c>
      <c r="C63" s="3" t="s">
        <v>227</v>
      </c>
      <c r="D63" s="8" t="s">
        <v>221</v>
      </c>
      <c r="E63" s="7" t="s">
        <v>312</v>
      </c>
      <c r="F63" s="3">
        <f t="shared" ca="1" si="6"/>
        <v>9</v>
      </c>
      <c r="G63" s="3">
        <f t="shared" ca="1" si="7"/>
        <v>9.4</v>
      </c>
      <c r="H63" s="3">
        <f t="shared" ca="1" si="5"/>
        <v>0.40000000000000036</v>
      </c>
      <c r="I63" s="3" t="str">
        <f t="shared" ca="1" si="8"/>
        <v>Y</v>
      </c>
      <c r="J63" s="10"/>
    </row>
    <row r="64" spans="1:10" x14ac:dyDescent="0.35">
      <c r="A64" s="3">
        <v>64</v>
      </c>
      <c r="B64" s="6" t="s">
        <v>111</v>
      </c>
      <c r="C64" s="3" t="s">
        <v>228</v>
      </c>
      <c r="D64" s="8" t="s">
        <v>221</v>
      </c>
      <c r="E64" s="7" t="s">
        <v>312</v>
      </c>
      <c r="F64" s="3">
        <f t="shared" ca="1" si="6"/>
        <v>9</v>
      </c>
      <c r="G64" s="3">
        <f t="shared" ca="1" si="7"/>
        <v>10.9</v>
      </c>
      <c r="H64" s="3">
        <f t="shared" ca="1" si="5"/>
        <v>1.9000000000000004</v>
      </c>
      <c r="I64" s="3" t="str">
        <f t="shared" ca="1" si="8"/>
        <v>Y</v>
      </c>
      <c r="J64" s="10"/>
    </row>
    <row r="65" spans="1:10" x14ac:dyDescent="0.35">
      <c r="A65" s="3">
        <v>65</v>
      </c>
      <c r="B65" s="6" t="s">
        <v>340</v>
      </c>
      <c r="C65" s="3" t="s">
        <v>229</v>
      </c>
      <c r="D65" s="8" t="s">
        <v>221</v>
      </c>
      <c r="E65" s="7" t="s">
        <v>307</v>
      </c>
      <c r="F65" s="3">
        <f t="shared" ca="1" si="6"/>
        <v>19</v>
      </c>
      <c r="G65" s="3">
        <f t="shared" ca="1" si="7"/>
        <v>19.7</v>
      </c>
      <c r="H65" s="3">
        <f t="shared" ca="1" si="5"/>
        <v>0.69999999999999929</v>
      </c>
      <c r="I65" s="3" t="str">
        <f t="shared" ca="1" si="8"/>
        <v>Y</v>
      </c>
      <c r="J65" s="10"/>
    </row>
    <row r="66" spans="1:10" x14ac:dyDescent="0.35">
      <c r="A66" s="3">
        <v>66</v>
      </c>
      <c r="B66" s="6" t="s">
        <v>113</v>
      </c>
      <c r="C66" s="3" t="s">
        <v>230</v>
      </c>
      <c r="D66" s="8" t="s">
        <v>221</v>
      </c>
      <c r="E66" s="7" t="s">
        <v>307</v>
      </c>
      <c r="F66" s="3">
        <f t="shared" ca="1" si="6"/>
        <v>19</v>
      </c>
      <c r="G66" s="3">
        <f t="shared" ca="1" si="7"/>
        <v>18.8</v>
      </c>
      <c r="H66" s="3">
        <f t="shared" ref="H66:H97" ca="1" si="9">SUM(G66-F66)</f>
        <v>-0.19999999999999929</v>
      </c>
      <c r="I66" s="3" t="str">
        <f t="shared" ca="1" si="8"/>
        <v>Y</v>
      </c>
      <c r="J66" s="10"/>
    </row>
    <row r="67" spans="1:10" x14ac:dyDescent="0.35">
      <c r="A67" s="3">
        <v>67</v>
      </c>
      <c r="B67" s="6" t="s">
        <v>115</v>
      </c>
      <c r="C67" s="3" t="s">
        <v>231</v>
      </c>
      <c r="D67" s="8" t="s">
        <v>221</v>
      </c>
      <c r="E67" s="7" t="s">
        <v>307</v>
      </c>
      <c r="F67" s="3">
        <f t="shared" ca="1" si="6"/>
        <v>19</v>
      </c>
      <c r="G67" s="3">
        <f t="shared" ca="1" si="7"/>
        <v>20.8</v>
      </c>
      <c r="H67" s="3">
        <f t="shared" ca="1" si="9"/>
        <v>1.8000000000000007</v>
      </c>
      <c r="I67" s="3" t="str">
        <f t="shared" ca="1" si="8"/>
        <v>Y</v>
      </c>
      <c r="J67" s="10"/>
    </row>
    <row r="68" spans="1:10" x14ac:dyDescent="0.35">
      <c r="A68" s="3">
        <v>68</v>
      </c>
      <c r="B68" s="6" t="s">
        <v>117</v>
      </c>
      <c r="C68" s="3" t="s">
        <v>331</v>
      </c>
      <c r="D68" s="8" t="s">
        <v>221</v>
      </c>
      <c r="E68" s="7" t="s">
        <v>307</v>
      </c>
      <c r="F68" s="3">
        <f t="shared" ca="1" si="6"/>
        <v>19</v>
      </c>
      <c r="G68" s="3">
        <f t="shared" ca="1" si="7"/>
        <v>20</v>
      </c>
      <c r="H68" s="3">
        <f t="shared" ca="1" si="9"/>
        <v>1</v>
      </c>
      <c r="I68" s="3" t="str">
        <f t="shared" ca="1" si="8"/>
        <v>Y</v>
      </c>
      <c r="J68" s="10"/>
    </row>
    <row r="69" spans="1:10" x14ac:dyDescent="0.35">
      <c r="A69" s="3">
        <v>69</v>
      </c>
      <c r="B69" s="6" t="s">
        <v>119</v>
      </c>
      <c r="C69" s="3" t="s">
        <v>233</v>
      </c>
      <c r="D69" s="8" t="s">
        <v>221</v>
      </c>
      <c r="E69" s="7">
        <v>25</v>
      </c>
      <c r="F69" s="3">
        <f t="shared" ca="1" si="6"/>
        <v>19</v>
      </c>
      <c r="G69" s="3">
        <f t="shared" ca="1" si="7"/>
        <v>20.9</v>
      </c>
      <c r="H69" s="3">
        <f t="shared" ca="1" si="9"/>
        <v>1.8999999999999986</v>
      </c>
      <c r="I69" s="3" t="str">
        <f t="shared" ca="1" si="8"/>
        <v>Y</v>
      </c>
      <c r="J69" s="10"/>
    </row>
    <row r="70" spans="1:10" x14ac:dyDescent="0.35">
      <c r="A70" s="3">
        <v>70</v>
      </c>
      <c r="B70" s="6" t="s">
        <v>121</v>
      </c>
      <c r="C70" s="3" t="s">
        <v>234</v>
      </c>
      <c r="D70" s="8" t="s">
        <v>221</v>
      </c>
      <c r="E70" s="7" t="s">
        <v>307</v>
      </c>
      <c r="F70" s="3">
        <f t="shared" ca="1" si="6"/>
        <v>19</v>
      </c>
      <c r="G70" s="3">
        <f t="shared" ca="1" si="7"/>
        <v>19.7</v>
      </c>
      <c r="H70" s="3">
        <f t="shared" ca="1" si="9"/>
        <v>0.69999999999999929</v>
      </c>
      <c r="I70" s="3" t="str">
        <f t="shared" ca="1" si="8"/>
        <v>Y</v>
      </c>
      <c r="J70" s="10"/>
    </row>
    <row r="71" spans="1:10" x14ac:dyDescent="0.35">
      <c r="A71" s="3">
        <v>71</v>
      </c>
      <c r="B71" s="6" t="s">
        <v>123</v>
      </c>
      <c r="C71" s="3" t="s">
        <v>235</v>
      </c>
      <c r="D71" s="8" t="s">
        <v>221</v>
      </c>
      <c r="E71" s="7" t="s">
        <v>307</v>
      </c>
      <c r="F71" s="3">
        <f t="shared" ca="1" si="6"/>
        <v>19</v>
      </c>
      <c r="G71" s="3">
        <f t="shared" ca="1" si="7"/>
        <v>20.6</v>
      </c>
      <c r="H71" s="3">
        <f t="shared" ca="1" si="9"/>
        <v>1.6000000000000014</v>
      </c>
      <c r="I71" s="3" t="str">
        <f t="shared" ca="1" si="8"/>
        <v>Y</v>
      </c>
      <c r="J71" s="10"/>
    </row>
    <row r="72" spans="1:10" x14ac:dyDescent="0.35">
      <c r="A72" s="3">
        <v>72</v>
      </c>
      <c r="B72" s="6" t="s">
        <v>125</v>
      </c>
      <c r="C72" s="3" t="s">
        <v>236</v>
      </c>
      <c r="D72" s="8" t="s">
        <v>221</v>
      </c>
      <c r="E72" s="7" t="s">
        <v>307</v>
      </c>
      <c r="F72" s="3">
        <f t="shared" ca="1" si="6"/>
        <v>19</v>
      </c>
      <c r="G72" s="3">
        <f t="shared" ca="1" si="7"/>
        <v>20.8</v>
      </c>
      <c r="H72" s="3">
        <f t="shared" ca="1" si="9"/>
        <v>1.8000000000000007</v>
      </c>
      <c r="I72" s="3" t="str">
        <f t="shared" ca="1" si="8"/>
        <v>Y</v>
      </c>
      <c r="J72" s="10"/>
    </row>
    <row r="73" spans="1:10" x14ac:dyDescent="0.35">
      <c r="A73" s="3">
        <v>73</v>
      </c>
      <c r="B73" s="6" t="s">
        <v>127</v>
      </c>
      <c r="C73" s="3" t="s">
        <v>232</v>
      </c>
      <c r="D73" s="8" t="s">
        <v>221</v>
      </c>
      <c r="E73" s="7" t="s">
        <v>307</v>
      </c>
      <c r="F73" s="3">
        <f t="shared" ca="1" si="6"/>
        <v>19</v>
      </c>
      <c r="G73" s="3">
        <f t="shared" ca="1" si="7"/>
        <v>19.100000000000001</v>
      </c>
      <c r="H73" s="3">
        <f t="shared" ca="1" si="9"/>
        <v>0.10000000000000142</v>
      </c>
      <c r="I73" s="3" t="str">
        <f t="shared" ca="1" si="8"/>
        <v>Y</v>
      </c>
      <c r="J73" s="10"/>
    </row>
    <row r="74" spans="1:10" x14ac:dyDescent="0.35">
      <c r="A74" s="3">
        <v>74</v>
      </c>
      <c r="B74" s="6" t="s">
        <v>129</v>
      </c>
      <c r="C74" s="3" t="s">
        <v>237</v>
      </c>
      <c r="D74" s="8" t="s">
        <v>221</v>
      </c>
      <c r="E74" s="7" t="s">
        <v>307</v>
      </c>
      <c r="F74" s="3">
        <f t="shared" ca="1" si="6"/>
        <v>19</v>
      </c>
      <c r="G74" s="3">
        <f t="shared" ca="1" si="7"/>
        <v>20.399999999999999</v>
      </c>
      <c r="H74" s="3">
        <f t="shared" ca="1" si="9"/>
        <v>1.3999999999999986</v>
      </c>
      <c r="I74" s="3" t="str">
        <f t="shared" ca="1" si="8"/>
        <v>Y</v>
      </c>
      <c r="J74" s="10"/>
    </row>
    <row r="75" spans="1:10" x14ac:dyDescent="0.35">
      <c r="A75" s="3">
        <v>75</v>
      </c>
      <c r="B75" s="6" t="s">
        <v>131</v>
      </c>
      <c r="C75" s="3" t="s">
        <v>238</v>
      </c>
      <c r="D75" s="8" t="s">
        <v>221</v>
      </c>
      <c r="E75" s="7" t="s">
        <v>307</v>
      </c>
      <c r="F75" s="3">
        <f t="shared" ca="1" si="6"/>
        <v>20</v>
      </c>
      <c r="G75" s="3">
        <f t="shared" ca="1" si="7"/>
        <v>21</v>
      </c>
      <c r="H75" s="3">
        <f t="shared" ca="1" si="9"/>
        <v>1</v>
      </c>
      <c r="I75" s="3" t="str">
        <f t="shared" ca="1" si="8"/>
        <v>Y</v>
      </c>
      <c r="J75" s="10"/>
    </row>
    <row r="76" spans="1:10" x14ac:dyDescent="0.35">
      <c r="A76" s="3">
        <v>76</v>
      </c>
      <c r="B76" s="6" t="s">
        <v>133</v>
      </c>
      <c r="C76" s="3" t="s">
        <v>238</v>
      </c>
      <c r="D76" s="8" t="s">
        <v>221</v>
      </c>
      <c r="E76" s="7" t="s">
        <v>307</v>
      </c>
      <c r="F76" s="3">
        <f t="shared" ca="1" si="6"/>
        <v>20</v>
      </c>
      <c r="G76" s="3">
        <f t="shared" ca="1" si="7"/>
        <v>21.8</v>
      </c>
      <c r="H76" s="3">
        <f t="shared" ca="1" si="9"/>
        <v>1.8000000000000007</v>
      </c>
      <c r="I76" s="3" t="str">
        <f t="shared" ca="1" si="8"/>
        <v>Y</v>
      </c>
      <c r="J76" s="10"/>
    </row>
    <row r="77" spans="1:10" x14ac:dyDescent="0.35">
      <c r="A77" s="3">
        <v>77</v>
      </c>
      <c r="B77" s="6" t="s">
        <v>135</v>
      </c>
      <c r="C77" s="3" t="s">
        <v>238</v>
      </c>
      <c r="D77" s="8" t="s">
        <v>221</v>
      </c>
      <c r="E77" s="7" t="s">
        <v>307</v>
      </c>
      <c r="F77" s="3">
        <f t="shared" ca="1" si="6"/>
        <v>40</v>
      </c>
      <c r="G77" s="3">
        <f t="shared" ca="1" si="7"/>
        <v>28.8</v>
      </c>
      <c r="H77" s="3">
        <f t="shared" ca="1" si="9"/>
        <v>-11.2</v>
      </c>
      <c r="I77" s="3" t="str">
        <f t="shared" ca="1" si="8"/>
        <v>N</v>
      </c>
      <c r="J77" s="10"/>
    </row>
    <row r="78" spans="1:10" x14ac:dyDescent="0.35">
      <c r="A78" s="3">
        <v>78</v>
      </c>
      <c r="B78" s="6" t="s">
        <v>137</v>
      </c>
      <c r="C78" s="3" t="s">
        <v>238</v>
      </c>
      <c r="D78" s="8" t="s">
        <v>221</v>
      </c>
      <c r="E78" s="7" t="s">
        <v>307</v>
      </c>
      <c r="F78" s="3">
        <f t="shared" ca="1" si="6"/>
        <v>40</v>
      </c>
      <c r="G78" s="3">
        <f t="shared" ca="1" si="7"/>
        <v>27.9</v>
      </c>
      <c r="H78" s="3">
        <f t="shared" ca="1" si="9"/>
        <v>-12.100000000000001</v>
      </c>
      <c r="I78" s="3" t="str">
        <f t="shared" ca="1" si="8"/>
        <v>N</v>
      </c>
      <c r="J78" s="10"/>
    </row>
    <row r="79" spans="1:10" x14ac:dyDescent="0.35">
      <c r="A79" s="3">
        <v>79</v>
      </c>
      <c r="B79" s="6" t="s">
        <v>139</v>
      </c>
      <c r="C79" s="3" t="s">
        <v>238</v>
      </c>
      <c r="D79" s="8" t="s">
        <v>221</v>
      </c>
      <c r="E79" s="7" t="s">
        <v>307</v>
      </c>
      <c r="F79" s="3">
        <f t="shared" ca="1" si="6"/>
        <v>20</v>
      </c>
      <c r="G79" s="3">
        <f t="shared" ca="1" si="7"/>
        <v>21.9</v>
      </c>
      <c r="H79" s="3">
        <f t="shared" ca="1" si="9"/>
        <v>1.8999999999999986</v>
      </c>
      <c r="I79" s="3" t="str">
        <f t="shared" ca="1" si="8"/>
        <v>Y</v>
      </c>
      <c r="J79" s="10"/>
    </row>
    <row r="80" spans="1:10" x14ac:dyDescent="0.35">
      <c r="A80" s="3">
        <v>80</v>
      </c>
      <c r="B80" s="6" t="s">
        <v>345</v>
      </c>
      <c r="C80" s="3" t="s">
        <v>239</v>
      </c>
      <c r="D80" s="13" t="s">
        <v>240</v>
      </c>
      <c r="E80" s="7" t="s">
        <v>308</v>
      </c>
      <c r="F80" s="3">
        <f ca="1">IFERROR(INDEX(INDIRECT("Table"&amp;$D80), MATCH(9.9E+307, INDIRECT("Table"&amp;$D80&amp;"[Time]")), MATCH(SUBSTITUTE(SUBSTITUTE($B80," Coil Temp.","")," Coil Temp","")&amp;" SP*", INDIRECT("Table"&amp;$D80&amp;"[#Headers]"), 0)), "N/A")</f>
        <v>3</v>
      </c>
      <c r="G80" s="3">
        <f ca="1">IFERROR(INDEX(INDIRECT("Table"&amp;$D80), MATCH(9.9E+307, INDIRECT("Table"&amp;$D80&amp;"[Time]")), MATCH($B80, INDIRECT("Table"&amp;$D80&amp;"[#Headers]"), 0)), "N/A")</f>
        <v>23.1</v>
      </c>
      <c r="H80" s="3">
        <f t="shared" ca="1" si="9"/>
        <v>20.100000000000001</v>
      </c>
      <c r="I80" s="3" t="str">
        <f ca="1">IFERROR(IF(ABS(
  INDEX(INDIRECT("Table"&amp;$D80), MATCH(9.9E+307, INDIRECT("Table"&amp;$D80&amp;"[Time]")), MATCH($B80, INDIRECT("Table"&amp;$D80&amp;"[#Headers]"), 0)) -
  INDEX(INDIRECT("Table"&amp;$D80), MATCH(9.9E+307, INDIRECT("Table"&amp;$D80&amp;"[Time]")), MATCH(SUBSTITUTE(SUBSTITUTE($B80," Coil Temp.","")," Coil Temp","")&amp;" SP*", INDIRECT("Table"&amp;$D80&amp;"[#Headers]"), 0))
)&lt;=2, "Y", "N"), "N/A")</f>
        <v>N</v>
      </c>
      <c r="J80" s="10"/>
    </row>
    <row r="81" spans="1:10" x14ac:dyDescent="0.35">
      <c r="A81" s="3">
        <v>81</v>
      </c>
      <c r="B81" s="6" t="s">
        <v>346</v>
      </c>
      <c r="C81" s="3" t="s">
        <v>333</v>
      </c>
      <c r="D81" s="13" t="s">
        <v>240</v>
      </c>
      <c r="E81" s="7" t="s">
        <v>308</v>
      </c>
      <c r="F81" s="3">
        <f t="shared" ref="F81:F110" ca="1" si="10">IFERROR(INDEX(INDIRECT("Table"&amp;$D81), MATCH(9.9E+307, INDIRECT("Table"&amp;$D81&amp;"[Time]")), MATCH(SUBSTITUTE(SUBSTITUTE($B81," Coil Temp.","")," Coil Temp","")&amp;" SP*", INDIRECT("Table"&amp;$D81&amp;"[#Headers]"), 0)), "N/A")</f>
        <v>2</v>
      </c>
      <c r="G81" s="3">
        <f t="shared" ref="G81:G110" ca="1" si="11">IFERROR(INDEX(INDIRECT("Table"&amp;$D81), MATCH(9.9E+307, INDIRECT("Table"&amp;$D81&amp;"[Time]")), MATCH($B81, INDIRECT("Table"&amp;$D81&amp;"[#Headers]"), 0)), "N/A")</f>
        <v>21.8</v>
      </c>
      <c r="H81" s="3">
        <f t="shared" ca="1" si="9"/>
        <v>19.8</v>
      </c>
      <c r="I81" s="3" t="str">
        <f t="shared" ref="I81:I110" ca="1" si="12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N</v>
      </c>
      <c r="J81" s="10"/>
    </row>
    <row r="82" spans="1:10" x14ac:dyDescent="0.35">
      <c r="A82" s="3">
        <v>82</v>
      </c>
      <c r="B82" s="6" t="s">
        <v>141</v>
      </c>
      <c r="C82" s="3" t="s">
        <v>242</v>
      </c>
      <c r="D82" s="13" t="s">
        <v>240</v>
      </c>
      <c r="E82" s="7">
        <v>-10</v>
      </c>
      <c r="F82" s="3">
        <f t="shared" ca="1" si="10"/>
        <v>0</v>
      </c>
      <c r="G82" s="3">
        <f t="shared" ca="1" si="11"/>
        <v>10.7</v>
      </c>
      <c r="H82" s="3">
        <f t="shared" ca="1" si="9"/>
        <v>10.7</v>
      </c>
      <c r="I82" s="3" t="str">
        <f t="shared" ca="1" si="12"/>
        <v>N</v>
      </c>
      <c r="J82" s="10"/>
    </row>
    <row r="83" spans="1:10" x14ac:dyDescent="0.35">
      <c r="A83" s="3">
        <v>83</v>
      </c>
      <c r="B83" s="6" t="s">
        <v>142</v>
      </c>
      <c r="C83" s="3" t="s">
        <v>242</v>
      </c>
      <c r="D83" s="13" t="s">
        <v>240</v>
      </c>
      <c r="E83" s="7">
        <v>-10</v>
      </c>
      <c r="F83" s="3">
        <f t="shared" ca="1" si="10"/>
        <v>0</v>
      </c>
      <c r="G83" s="3">
        <f t="shared" ca="1" si="11"/>
        <v>13.9</v>
      </c>
      <c r="H83" s="3">
        <f t="shared" ca="1" si="9"/>
        <v>13.9</v>
      </c>
      <c r="I83" s="3" t="str">
        <f t="shared" ca="1" si="12"/>
        <v>N</v>
      </c>
      <c r="J83" s="10"/>
    </row>
    <row r="84" spans="1:10" x14ac:dyDescent="0.35">
      <c r="A84" s="3">
        <v>84</v>
      </c>
      <c r="B84" s="6" t="s">
        <v>144</v>
      </c>
      <c r="C84" s="3" t="s">
        <v>243</v>
      </c>
      <c r="D84" s="13" t="s">
        <v>240</v>
      </c>
      <c r="E84" s="7">
        <v>-10</v>
      </c>
      <c r="F84" s="3">
        <f t="shared" ca="1" si="10"/>
        <v>0</v>
      </c>
      <c r="G84" s="3">
        <f t="shared" ca="1" si="11"/>
        <v>16.3</v>
      </c>
      <c r="H84" s="3">
        <f t="shared" ca="1" si="9"/>
        <v>16.3</v>
      </c>
      <c r="I84" s="3" t="str">
        <f t="shared" ca="1" si="12"/>
        <v>N</v>
      </c>
      <c r="J84" s="10"/>
    </row>
    <row r="85" spans="1:10" x14ac:dyDescent="0.35">
      <c r="A85" s="3">
        <v>85</v>
      </c>
      <c r="B85" s="6" t="s">
        <v>145</v>
      </c>
      <c r="C85" s="3" t="s">
        <v>243</v>
      </c>
      <c r="D85" s="13" t="s">
        <v>240</v>
      </c>
      <c r="E85" s="7">
        <v>-10</v>
      </c>
      <c r="F85" s="3">
        <f t="shared" ca="1" si="10"/>
        <v>0</v>
      </c>
      <c r="G85" s="3">
        <f t="shared" ca="1" si="11"/>
        <v>12.6</v>
      </c>
      <c r="H85" s="3">
        <f t="shared" ca="1" si="9"/>
        <v>12.6</v>
      </c>
      <c r="I85" s="3" t="str">
        <f t="shared" ca="1" si="12"/>
        <v>N</v>
      </c>
      <c r="J85" s="10"/>
    </row>
    <row r="86" spans="1:10" x14ac:dyDescent="0.35">
      <c r="A86" s="3">
        <v>86</v>
      </c>
      <c r="B86" s="6" t="s">
        <v>147</v>
      </c>
      <c r="C86" s="3" t="s">
        <v>244</v>
      </c>
      <c r="D86" s="13" t="s">
        <v>240</v>
      </c>
      <c r="E86" s="7">
        <v>-10</v>
      </c>
      <c r="F86" s="3">
        <f t="shared" ca="1" si="10"/>
        <v>0</v>
      </c>
      <c r="G86" s="3">
        <f t="shared" ca="1" si="11"/>
        <v>14.1</v>
      </c>
      <c r="H86" s="3">
        <f t="shared" ca="1" si="9"/>
        <v>14.1</v>
      </c>
      <c r="I86" s="3" t="str">
        <f t="shared" ca="1" si="12"/>
        <v>N</v>
      </c>
      <c r="J86" s="10"/>
    </row>
    <row r="87" spans="1:10" x14ac:dyDescent="0.35">
      <c r="A87" s="3">
        <v>87</v>
      </c>
      <c r="B87" s="6" t="s">
        <v>148</v>
      </c>
      <c r="C87" s="3" t="s">
        <v>244</v>
      </c>
      <c r="D87" s="13" t="s">
        <v>240</v>
      </c>
      <c r="E87" s="7">
        <v>-10</v>
      </c>
      <c r="F87" s="3">
        <f t="shared" ca="1" si="10"/>
        <v>0</v>
      </c>
      <c r="G87" s="3">
        <f t="shared" ca="1" si="11"/>
        <v>17.100000000000001</v>
      </c>
      <c r="H87" s="3">
        <f t="shared" ca="1" si="9"/>
        <v>17.100000000000001</v>
      </c>
      <c r="I87" s="3" t="str">
        <f t="shared" ca="1" si="12"/>
        <v>N</v>
      </c>
      <c r="J87" s="10"/>
    </row>
    <row r="88" spans="1:10" x14ac:dyDescent="0.35">
      <c r="A88" s="3">
        <v>88</v>
      </c>
      <c r="B88" s="6" t="s">
        <v>150</v>
      </c>
      <c r="C88" s="3" t="s">
        <v>241</v>
      </c>
      <c r="D88" s="13" t="s">
        <v>240</v>
      </c>
      <c r="E88" s="7">
        <v>-10</v>
      </c>
      <c r="F88" s="3">
        <f t="shared" ca="1" si="10"/>
        <v>0</v>
      </c>
      <c r="G88" s="3">
        <f t="shared" ca="1" si="11"/>
        <v>16.100000000000001</v>
      </c>
      <c r="H88" s="3">
        <f t="shared" ca="1" si="9"/>
        <v>16.100000000000001</v>
      </c>
      <c r="I88" s="3" t="str">
        <f t="shared" ca="1" si="12"/>
        <v>N</v>
      </c>
      <c r="J88" s="10"/>
    </row>
    <row r="89" spans="1:10" x14ac:dyDescent="0.35">
      <c r="A89" s="3">
        <v>89</v>
      </c>
      <c r="B89" s="6" t="s">
        <v>151</v>
      </c>
      <c r="C89" s="3" t="s">
        <v>241</v>
      </c>
      <c r="D89" s="13" t="s">
        <v>240</v>
      </c>
      <c r="E89" s="7">
        <v>-10</v>
      </c>
      <c r="F89" s="3">
        <f t="shared" ca="1" si="10"/>
        <v>0</v>
      </c>
      <c r="G89" s="3">
        <f t="shared" ca="1" si="11"/>
        <v>12.3</v>
      </c>
      <c r="H89" s="3">
        <f t="shared" ca="1" si="9"/>
        <v>12.3</v>
      </c>
      <c r="I89" s="3" t="str">
        <f t="shared" ca="1" si="12"/>
        <v>N</v>
      </c>
      <c r="J89" s="10"/>
    </row>
    <row r="90" spans="1:10" x14ac:dyDescent="0.35">
      <c r="A90" s="3">
        <v>90</v>
      </c>
      <c r="B90" s="6" t="s">
        <v>153</v>
      </c>
      <c r="C90" s="3" t="s">
        <v>245</v>
      </c>
      <c r="D90" s="13" t="s">
        <v>240</v>
      </c>
      <c r="E90" s="7">
        <v>-10</v>
      </c>
      <c r="F90" s="3">
        <f t="shared" ca="1" si="10"/>
        <v>0</v>
      </c>
      <c r="G90" s="3">
        <f t="shared" ca="1" si="11"/>
        <v>11.7</v>
      </c>
      <c r="H90" s="3">
        <f t="shared" ca="1" si="9"/>
        <v>11.7</v>
      </c>
      <c r="I90" s="3" t="str">
        <f t="shared" ca="1" si="12"/>
        <v>N</v>
      </c>
      <c r="J90" s="10"/>
    </row>
    <row r="91" spans="1:10" x14ac:dyDescent="0.35">
      <c r="A91" s="3">
        <v>91</v>
      </c>
      <c r="B91" s="6" t="s">
        <v>154</v>
      </c>
      <c r="C91" s="3" t="s">
        <v>245</v>
      </c>
      <c r="D91" s="13" t="s">
        <v>240</v>
      </c>
      <c r="E91" s="7">
        <v>-10</v>
      </c>
      <c r="F91" s="3">
        <f t="shared" ca="1" si="10"/>
        <v>0</v>
      </c>
      <c r="G91" s="3">
        <f t="shared" ca="1" si="11"/>
        <v>14.9</v>
      </c>
      <c r="H91" s="3">
        <f t="shared" ca="1" si="9"/>
        <v>14.9</v>
      </c>
      <c r="I91" s="3" t="str">
        <f t="shared" ca="1" si="12"/>
        <v>N</v>
      </c>
      <c r="J91" s="10"/>
    </row>
    <row r="92" spans="1:10" x14ac:dyDescent="0.35">
      <c r="A92" s="3">
        <v>92</v>
      </c>
      <c r="B92" s="6" t="s">
        <v>156</v>
      </c>
      <c r="C92" s="3" t="s">
        <v>246</v>
      </c>
      <c r="D92" s="13" t="s">
        <v>240</v>
      </c>
      <c r="E92" s="7">
        <v>-20</v>
      </c>
      <c r="F92" s="3">
        <f t="shared" ca="1" si="10"/>
        <v>-22</v>
      </c>
      <c r="G92" s="3">
        <f t="shared" ca="1" si="11"/>
        <v>-20.5</v>
      </c>
      <c r="H92" s="3">
        <f t="shared" ca="1" si="9"/>
        <v>1.5</v>
      </c>
      <c r="I92" s="3" t="str">
        <f t="shared" ca="1" si="12"/>
        <v>Y</v>
      </c>
      <c r="J92" s="10"/>
    </row>
    <row r="93" spans="1:10" x14ac:dyDescent="0.35">
      <c r="A93" s="3">
        <v>93</v>
      </c>
      <c r="B93" s="6" t="s">
        <v>157</v>
      </c>
      <c r="C93" s="3" t="s">
        <v>246</v>
      </c>
      <c r="D93" s="13" t="s">
        <v>240</v>
      </c>
      <c r="E93" s="7">
        <v>-20</v>
      </c>
      <c r="F93" s="3">
        <f t="shared" ca="1" si="10"/>
        <v>-22</v>
      </c>
      <c r="G93" s="3">
        <f t="shared" ca="1" si="11"/>
        <v>-22.7</v>
      </c>
      <c r="H93" s="3">
        <f t="shared" ca="1" si="9"/>
        <v>-0.69999999999999929</v>
      </c>
      <c r="I93" s="3" t="str">
        <f t="shared" ca="1" si="12"/>
        <v>Y</v>
      </c>
      <c r="J93" s="10"/>
    </row>
    <row r="94" spans="1:10" x14ac:dyDescent="0.35">
      <c r="A94" s="3">
        <v>94</v>
      </c>
      <c r="B94" s="6" t="s">
        <v>159</v>
      </c>
      <c r="C94" s="3" t="s">
        <v>246</v>
      </c>
      <c r="D94" s="13" t="s">
        <v>240</v>
      </c>
      <c r="E94" s="7">
        <v>-20</v>
      </c>
      <c r="F94" s="3">
        <f t="shared" ca="1" si="10"/>
        <v>-22</v>
      </c>
      <c r="G94" s="3">
        <f t="shared" ca="1" si="11"/>
        <v>-21</v>
      </c>
      <c r="H94" s="3">
        <f t="shared" ca="1" si="9"/>
        <v>1</v>
      </c>
      <c r="I94" s="3" t="str">
        <f t="shared" ca="1" si="12"/>
        <v>Y</v>
      </c>
      <c r="J94" s="10"/>
    </row>
    <row r="95" spans="1:10" x14ac:dyDescent="0.35">
      <c r="A95" s="3">
        <v>95</v>
      </c>
      <c r="B95" s="6" t="s">
        <v>160</v>
      </c>
      <c r="C95" s="3" t="s">
        <v>246</v>
      </c>
      <c r="D95" s="13" t="s">
        <v>240</v>
      </c>
      <c r="E95" s="7">
        <v>-20</v>
      </c>
      <c r="F95" s="3">
        <f t="shared" ca="1" si="10"/>
        <v>-22</v>
      </c>
      <c r="G95" s="3">
        <f t="shared" ca="1" si="11"/>
        <v>-19.3</v>
      </c>
      <c r="H95" s="3">
        <f t="shared" ca="1" si="9"/>
        <v>2.6999999999999993</v>
      </c>
      <c r="I95" s="3" t="str">
        <f t="shared" ca="1" si="12"/>
        <v>N</v>
      </c>
      <c r="J95" s="10"/>
    </row>
    <row r="96" spans="1:10" s="34" customFormat="1" x14ac:dyDescent="0.35">
      <c r="A96" s="30">
        <v>96</v>
      </c>
      <c r="B96" s="31" t="s">
        <v>337</v>
      </c>
      <c r="C96" s="30" t="s">
        <v>255</v>
      </c>
      <c r="D96" s="30" t="s">
        <v>240</v>
      </c>
      <c r="E96" s="32"/>
      <c r="F96" s="30">
        <f t="shared" ca="1" si="10"/>
        <v>-5</v>
      </c>
      <c r="G96" s="30">
        <f t="shared" ca="1" si="11"/>
        <v>-4.5999999999999996</v>
      </c>
      <c r="H96" s="30">
        <f t="shared" ca="1" si="9"/>
        <v>0.40000000000000036</v>
      </c>
      <c r="I96" s="30" t="str">
        <f t="shared" ca="1" si="12"/>
        <v>Y</v>
      </c>
      <c r="J96" s="33" t="s">
        <v>336</v>
      </c>
    </row>
    <row r="97" spans="1:10" s="34" customFormat="1" x14ac:dyDescent="0.35">
      <c r="A97" s="30">
        <v>97</v>
      </c>
      <c r="B97" s="31" t="s">
        <v>338</v>
      </c>
      <c r="C97" s="30" t="s">
        <v>255</v>
      </c>
      <c r="D97" s="30" t="s">
        <v>240</v>
      </c>
      <c r="E97" s="32"/>
      <c r="F97" s="30">
        <f t="shared" ca="1" si="10"/>
        <v>-5</v>
      </c>
      <c r="G97" s="30">
        <f t="shared" ca="1" si="11"/>
        <v>-5.0999999999999996</v>
      </c>
      <c r="H97" s="30">
        <f t="shared" ca="1" si="9"/>
        <v>-9.9999999999999645E-2</v>
      </c>
      <c r="I97" s="30" t="str">
        <f t="shared" ca="1" si="12"/>
        <v>Y</v>
      </c>
      <c r="J97" s="33" t="s">
        <v>336</v>
      </c>
    </row>
    <row r="98" spans="1:10" x14ac:dyDescent="0.35">
      <c r="A98" s="3">
        <v>98</v>
      </c>
      <c r="B98" s="6" t="s">
        <v>162</v>
      </c>
      <c r="C98" s="3" t="s">
        <v>247</v>
      </c>
      <c r="D98" s="13" t="s">
        <v>240</v>
      </c>
      <c r="E98" s="7">
        <v>-35</v>
      </c>
      <c r="F98" s="3">
        <f t="shared" ca="1" si="10"/>
        <v>0</v>
      </c>
      <c r="G98" s="3">
        <f t="shared" ca="1" si="11"/>
        <v>12.6</v>
      </c>
      <c r="H98" s="3">
        <f t="shared" ref="H98:H129" ca="1" si="13">SUM(G98-F98)</f>
        <v>12.6</v>
      </c>
      <c r="I98" s="3" t="str">
        <f t="shared" ca="1" si="12"/>
        <v>N</v>
      </c>
      <c r="J98" s="10"/>
    </row>
    <row r="99" spans="1:10" x14ac:dyDescent="0.35">
      <c r="A99" s="3">
        <v>99</v>
      </c>
      <c r="B99" s="6" t="s">
        <v>163</v>
      </c>
      <c r="C99" s="3" t="s">
        <v>247</v>
      </c>
      <c r="D99" s="13" t="s">
        <v>240</v>
      </c>
      <c r="E99" s="7">
        <v>-35</v>
      </c>
      <c r="F99" s="3">
        <f t="shared" ca="1" si="10"/>
        <v>0</v>
      </c>
      <c r="G99" s="3">
        <f t="shared" ca="1" si="11"/>
        <v>10.6</v>
      </c>
      <c r="H99" s="3">
        <f t="shared" ca="1" si="13"/>
        <v>10.6</v>
      </c>
      <c r="I99" s="3" t="str">
        <f t="shared" ca="1" si="12"/>
        <v>N</v>
      </c>
      <c r="J99" s="10"/>
    </row>
    <row r="100" spans="1:10" x14ac:dyDescent="0.35">
      <c r="A100" s="3">
        <v>100</v>
      </c>
      <c r="B100" s="6" t="s">
        <v>165</v>
      </c>
      <c r="C100" s="3" t="s">
        <v>248</v>
      </c>
      <c r="D100" s="13" t="s">
        <v>240</v>
      </c>
      <c r="E100" s="7" t="s">
        <v>306</v>
      </c>
      <c r="F100" s="3">
        <f t="shared" ca="1" si="10"/>
        <v>10</v>
      </c>
      <c r="G100" s="3">
        <f t="shared" ca="1" si="11"/>
        <v>12</v>
      </c>
      <c r="H100" s="3">
        <f t="shared" ca="1" si="13"/>
        <v>2</v>
      </c>
      <c r="I100" s="3" t="str">
        <f t="shared" ca="1" si="12"/>
        <v>Y</v>
      </c>
      <c r="J100" s="10"/>
    </row>
    <row r="101" spans="1:10" x14ac:dyDescent="0.35">
      <c r="A101" s="3">
        <v>101</v>
      </c>
      <c r="B101" s="6" t="s">
        <v>167</v>
      </c>
      <c r="C101" s="3" t="s">
        <v>249</v>
      </c>
      <c r="D101" s="13" t="s">
        <v>240</v>
      </c>
      <c r="E101" s="7" t="s">
        <v>306</v>
      </c>
      <c r="F101" s="3">
        <f t="shared" ca="1" si="10"/>
        <v>10</v>
      </c>
      <c r="G101" s="3">
        <f t="shared" ca="1" si="11"/>
        <v>11.3</v>
      </c>
      <c r="H101" s="3">
        <f t="shared" ca="1" si="13"/>
        <v>1.3000000000000007</v>
      </c>
      <c r="I101" s="3" t="str">
        <f t="shared" ca="1" si="12"/>
        <v>Y</v>
      </c>
      <c r="J101" s="10"/>
    </row>
    <row r="102" spans="1:10" x14ac:dyDescent="0.35">
      <c r="A102" s="3">
        <v>102</v>
      </c>
      <c r="B102" s="6" t="s">
        <v>169</v>
      </c>
      <c r="C102" s="3" t="s">
        <v>250</v>
      </c>
      <c r="D102" s="13" t="s">
        <v>240</v>
      </c>
      <c r="E102" s="7" t="s">
        <v>306</v>
      </c>
      <c r="F102" s="3">
        <f t="shared" ca="1" si="10"/>
        <v>10</v>
      </c>
      <c r="G102" s="3">
        <f t="shared" ca="1" si="11"/>
        <v>11.4</v>
      </c>
      <c r="H102" s="3">
        <f t="shared" ca="1" si="13"/>
        <v>1.4000000000000004</v>
      </c>
      <c r="I102" s="3" t="str">
        <f t="shared" ca="1" si="12"/>
        <v>Y</v>
      </c>
      <c r="J102" s="10"/>
    </row>
    <row r="103" spans="1:10" x14ac:dyDescent="0.35">
      <c r="A103" s="3">
        <v>103</v>
      </c>
      <c r="B103" s="6" t="s">
        <v>171</v>
      </c>
      <c r="C103" s="3" t="s">
        <v>251</v>
      </c>
      <c r="D103" s="13" t="s">
        <v>240</v>
      </c>
      <c r="E103" s="7" t="s">
        <v>306</v>
      </c>
      <c r="F103" s="3">
        <f t="shared" ca="1" si="10"/>
        <v>9</v>
      </c>
      <c r="G103" s="3">
        <f t="shared" ca="1" si="11"/>
        <v>12.3</v>
      </c>
      <c r="H103" s="3">
        <f t="shared" ca="1" si="13"/>
        <v>3.3000000000000007</v>
      </c>
      <c r="I103" s="3" t="str">
        <f t="shared" ca="1" si="12"/>
        <v>N</v>
      </c>
      <c r="J103" s="10"/>
    </row>
    <row r="104" spans="1:10" x14ac:dyDescent="0.35">
      <c r="A104" s="3">
        <v>104</v>
      </c>
      <c r="B104" s="6" t="s">
        <v>173</v>
      </c>
      <c r="C104" s="3" t="s">
        <v>251</v>
      </c>
      <c r="D104" s="13" t="s">
        <v>240</v>
      </c>
      <c r="E104" s="7" t="s">
        <v>306</v>
      </c>
      <c r="F104" s="3">
        <f t="shared" ca="1" si="10"/>
        <v>10</v>
      </c>
      <c r="G104" s="3">
        <f t="shared" ca="1" si="11"/>
        <v>10.3</v>
      </c>
      <c r="H104" s="3">
        <f t="shared" ca="1" si="13"/>
        <v>0.30000000000000071</v>
      </c>
      <c r="I104" s="3" t="str">
        <f t="shared" ca="1" si="12"/>
        <v>Y</v>
      </c>
      <c r="J104" s="10"/>
    </row>
    <row r="105" spans="1:10" x14ac:dyDescent="0.35">
      <c r="A105" s="3">
        <v>105</v>
      </c>
      <c r="B105" s="6" t="s">
        <v>175</v>
      </c>
      <c r="C105" s="3" t="s">
        <v>332</v>
      </c>
      <c r="D105" s="13" t="s">
        <v>240</v>
      </c>
      <c r="E105" s="7" t="s">
        <v>306</v>
      </c>
      <c r="F105" s="3">
        <f t="shared" ca="1" si="10"/>
        <v>10</v>
      </c>
      <c r="G105" s="3">
        <f t="shared" ca="1" si="11"/>
        <v>11.5</v>
      </c>
      <c r="H105" s="3">
        <f t="shared" ca="1" si="13"/>
        <v>1.5</v>
      </c>
      <c r="I105" s="3" t="str">
        <f t="shared" ca="1" si="12"/>
        <v>Y</v>
      </c>
      <c r="J105" s="10"/>
    </row>
    <row r="106" spans="1:10" x14ac:dyDescent="0.35">
      <c r="A106" s="3">
        <v>106</v>
      </c>
      <c r="B106" s="6" t="s">
        <v>177</v>
      </c>
      <c r="C106" s="3" t="s">
        <v>252</v>
      </c>
      <c r="D106" s="13" t="s">
        <v>240</v>
      </c>
      <c r="E106" s="7" t="s">
        <v>306</v>
      </c>
      <c r="F106" s="3">
        <f t="shared" ca="1" si="10"/>
        <v>10</v>
      </c>
      <c r="G106" s="3">
        <f t="shared" ca="1" si="11"/>
        <v>11.4</v>
      </c>
      <c r="H106" s="3">
        <f t="shared" ca="1" si="13"/>
        <v>1.4000000000000004</v>
      </c>
      <c r="I106" s="3" t="str">
        <f t="shared" ca="1" si="12"/>
        <v>Y</v>
      </c>
      <c r="J106" s="10"/>
    </row>
    <row r="107" spans="1:10" s="34" customFormat="1" x14ac:dyDescent="0.35">
      <c r="A107" s="30">
        <v>107</v>
      </c>
      <c r="B107" s="31" t="s">
        <v>179</v>
      </c>
      <c r="C107" s="30" t="s">
        <v>253</v>
      </c>
      <c r="D107" s="30" t="s">
        <v>240</v>
      </c>
      <c r="E107" s="32" t="s">
        <v>307</v>
      </c>
      <c r="F107" s="30">
        <f t="shared" ca="1" si="10"/>
        <v>19</v>
      </c>
      <c r="G107" s="30">
        <f t="shared" ca="1" si="11"/>
        <v>19.600000000000001</v>
      </c>
      <c r="H107" s="30">
        <f t="shared" ca="1" si="13"/>
        <v>0.60000000000000142</v>
      </c>
      <c r="I107" s="30" t="str">
        <f t="shared" ca="1" si="12"/>
        <v>Y</v>
      </c>
      <c r="J107" s="33" t="s">
        <v>335</v>
      </c>
    </row>
    <row r="108" spans="1:10" s="34" customFormat="1" x14ac:dyDescent="0.35">
      <c r="A108" s="30">
        <v>108</v>
      </c>
      <c r="B108" s="31" t="s">
        <v>181</v>
      </c>
      <c r="C108" s="30" t="s">
        <v>253</v>
      </c>
      <c r="D108" s="30" t="s">
        <v>240</v>
      </c>
      <c r="E108" s="32" t="s">
        <v>307</v>
      </c>
      <c r="F108" s="30">
        <f t="shared" ca="1" si="10"/>
        <v>19</v>
      </c>
      <c r="G108" s="30">
        <f t="shared" ca="1" si="11"/>
        <v>20.5</v>
      </c>
      <c r="H108" s="30">
        <f t="shared" ca="1" si="13"/>
        <v>1.5</v>
      </c>
      <c r="I108" s="30" t="str">
        <f t="shared" ca="1" si="12"/>
        <v>Y</v>
      </c>
      <c r="J108" s="33" t="s">
        <v>335</v>
      </c>
    </row>
    <row r="109" spans="1:10" x14ac:dyDescent="0.35">
      <c r="A109" s="3">
        <v>109</v>
      </c>
      <c r="B109" s="6" t="s">
        <v>183</v>
      </c>
      <c r="C109" s="3" t="s">
        <v>254</v>
      </c>
      <c r="D109" s="13" t="s">
        <v>240</v>
      </c>
      <c r="E109" s="7" t="s">
        <v>306</v>
      </c>
      <c r="F109" s="3">
        <f t="shared" ca="1" si="10"/>
        <v>10</v>
      </c>
      <c r="G109" s="3">
        <f t="shared" ca="1" si="11"/>
        <v>11.4</v>
      </c>
      <c r="H109" s="3">
        <f t="shared" ca="1" si="13"/>
        <v>1.4000000000000004</v>
      </c>
      <c r="I109" s="3" t="str">
        <f t="shared" ca="1" si="12"/>
        <v>Y</v>
      </c>
      <c r="J109" s="10"/>
    </row>
    <row r="110" spans="1:10" x14ac:dyDescent="0.35">
      <c r="A110" s="3">
        <v>110</v>
      </c>
      <c r="B110" s="6" t="s">
        <v>185</v>
      </c>
      <c r="C110" s="3" t="s">
        <v>334</v>
      </c>
      <c r="D110" s="13" t="s">
        <v>240</v>
      </c>
      <c r="E110" s="7" t="s">
        <v>306</v>
      </c>
      <c r="F110" s="3">
        <f t="shared" ca="1" si="10"/>
        <v>10</v>
      </c>
      <c r="G110" s="3">
        <f t="shared" ca="1" si="11"/>
        <v>10.6</v>
      </c>
      <c r="H110" s="3">
        <f t="shared" ca="1" si="13"/>
        <v>0.59999999999999964</v>
      </c>
      <c r="I110" s="3" t="str">
        <f t="shared" ca="1" si="12"/>
        <v>Y</v>
      </c>
      <c r="J110" s="10"/>
    </row>
    <row r="111" spans="1:10" x14ac:dyDescent="0.35">
      <c r="A111" s="3">
        <v>111</v>
      </c>
      <c r="B111" s="6" t="s">
        <v>349</v>
      </c>
      <c r="C111" s="3" t="s">
        <v>256</v>
      </c>
      <c r="D111" s="9" t="s">
        <v>257</v>
      </c>
      <c r="E111" s="7">
        <v>-20</v>
      </c>
      <c r="F111" s="3">
        <f ca="1">IFERROR(INDEX(INDIRECT("Table"&amp;$D111), MATCH(9.9E+307, INDIRECT("Table"&amp;$D111&amp;"[Time]")), MATCH(SUBSTITUTE(SUBSTITUTE($B111," Coil Temp.","")," Coil Temp","")&amp;" SP*", INDIRECT("Table"&amp;$D111&amp;"[#Headers]"), 0)), "N/A")</f>
        <v>-23</v>
      </c>
      <c r="G111" s="3">
        <f ca="1">IFERROR(INDEX(INDIRECT("Table"&amp;$D111), MATCH(9.9E+307, INDIRECT("Table"&amp;$D111&amp;"[Time]")), MATCH($B111, INDIRECT("Table"&amp;$D111&amp;"[#Headers]"), 0)), "N/A")</f>
        <v>-21.5</v>
      </c>
      <c r="H111" s="3">
        <f t="shared" ca="1" si="13"/>
        <v>1.5</v>
      </c>
      <c r="I111" s="3" t="str">
        <f ca="1">IFERROR(IF(ABS(
  INDEX(INDIRECT("Table"&amp;$D111), MATCH(9.9E+307, INDIRECT("Table"&amp;$D111&amp;"[Time]")), MATCH($B111, INDIRECT("Table"&amp;$D111&amp;"[#Headers]"), 0)) -
  INDEX(INDIRECT("Table"&amp;$D111), MATCH(9.9E+307, INDIRECT("Table"&amp;$D111&amp;"[Time]")), MATCH(SUBSTITUTE(SUBSTITUTE($B111," Coil Temp.","")," Coil Temp","")&amp;" SP*", INDIRECT("Table"&amp;$D111&amp;"[#Headers]"), 0))
)&lt;=2, "Y", "N"), "N/A")</f>
        <v>Y</v>
      </c>
      <c r="J111" s="10"/>
    </row>
    <row r="112" spans="1:10" x14ac:dyDescent="0.35">
      <c r="A112" s="3">
        <v>112</v>
      </c>
      <c r="B112" s="6" t="s">
        <v>350</v>
      </c>
      <c r="C112" s="3" t="s">
        <v>256</v>
      </c>
      <c r="D112" s="9" t="s">
        <v>257</v>
      </c>
      <c r="E112" s="7">
        <v>-20</v>
      </c>
      <c r="F112" s="3">
        <f t="shared" ref="F112:F128" ca="1" si="14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G112" s="3">
        <f t="shared" ref="G112:G128" ca="1" si="15">IFERROR(INDEX(INDIRECT("Table"&amp;$D112), MATCH(9.9E+307, INDIRECT("Table"&amp;$D112&amp;"[Time]")), MATCH($B112, INDIRECT("Table"&amp;$D112&amp;"[#Headers]"), 0)), "N/A")</f>
        <v>-22</v>
      </c>
      <c r="H112" s="3">
        <f t="shared" ca="1" si="13"/>
        <v>1</v>
      </c>
      <c r="I112" s="3" t="str">
        <f t="shared" ref="I112:I128" ca="1" si="16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J112" s="10"/>
    </row>
    <row r="113" spans="1:10" x14ac:dyDescent="0.35">
      <c r="A113" s="3">
        <v>113</v>
      </c>
      <c r="B113" s="6" t="s">
        <v>351</v>
      </c>
      <c r="C113" s="3" t="s">
        <v>256</v>
      </c>
      <c r="D113" s="9" t="s">
        <v>257</v>
      </c>
      <c r="E113" s="7">
        <v>-20</v>
      </c>
      <c r="F113" s="3">
        <f t="shared" ca="1" si="14"/>
        <v>-23</v>
      </c>
      <c r="G113" s="3">
        <f t="shared" ca="1" si="15"/>
        <v>-21.6</v>
      </c>
      <c r="H113" s="3">
        <f t="shared" ca="1" si="13"/>
        <v>1.3999999999999986</v>
      </c>
      <c r="I113" s="3" t="str">
        <f t="shared" ca="1" si="16"/>
        <v>Y</v>
      </c>
      <c r="J113" s="10"/>
    </row>
    <row r="114" spans="1:10" x14ac:dyDescent="0.35">
      <c r="A114" s="3">
        <v>114</v>
      </c>
      <c r="B114" s="6" t="s">
        <v>352</v>
      </c>
      <c r="C114" s="3" t="s">
        <v>256</v>
      </c>
      <c r="D114" s="9" t="s">
        <v>257</v>
      </c>
      <c r="E114" s="7">
        <v>-20</v>
      </c>
      <c r="F114" s="3">
        <f t="shared" ca="1" si="14"/>
        <v>-23</v>
      </c>
      <c r="G114" s="3">
        <f t="shared" ca="1" si="15"/>
        <v>-21.5</v>
      </c>
      <c r="H114" s="3">
        <f t="shared" ca="1" si="13"/>
        <v>1.5</v>
      </c>
      <c r="I114" s="3" t="str">
        <f t="shared" ca="1" si="16"/>
        <v>Y</v>
      </c>
      <c r="J114" s="10"/>
    </row>
    <row r="115" spans="1:10" x14ac:dyDescent="0.35">
      <c r="A115" s="3">
        <v>115</v>
      </c>
      <c r="B115" s="6" t="s">
        <v>353</v>
      </c>
      <c r="C115" s="3" t="s">
        <v>258</v>
      </c>
      <c r="D115" s="9" t="s">
        <v>257</v>
      </c>
      <c r="E115" s="7">
        <v>-20</v>
      </c>
      <c r="F115" s="3">
        <f t="shared" ca="1" si="14"/>
        <v>-23</v>
      </c>
      <c r="G115" s="3">
        <f t="shared" ca="1" si="15"/>
        <v>-22.3</v>
      </c>
      <c r="H115" s="3">
        <f t="shared" ca="1" si="13"/>
        <v>0.69999999999999929</v>
      </c>
      <c r="I115" s="3" t="str">
        <f t="shared" ca="1" si="16"/>
        <v>Y</v>
      </c>
      <c r="J115" s="10"/>
    </row>
    <row r="116" spans="1:10" x14ac:dyDescent="0.35">
      <c r="A116" s="3">
        <v>116</v>
      </c>
      <c r="B116" s="6" t="s">
        <v>354</v>
      </c>
      <c r="C116" s="3" t="s">
        <v>258</v>
      </c>
      <c r="D116" s="9" t="s">
        <v>257</v>
      </c>
      <c r="E116" s="7">
        <v>-20</v>
      </c>
      <c r="F116" s="3">
        <f t="shared" ca="1" si="14"/>
        <v>-23</v>
      </c>
      <c r="G116" s="3">
        <f t="shared" ca="1" si="15"/>
        <v>-14</v>
      </c>
      <c r="H116" s="3">
        <f t="shared" ca="1" si="13"/>
        <v>9</v>
      </c>
      <c r="I116" s="3" t="str">
        <f t="shared" ca="1" si="16"/>
        <v>N</v>
      </c>
      <c r="J116" s="10"/>
    </row>
    <row r="117" spans="1:10" x14ac:dyDescent="0.35">
      <c r="A117" s="3">
        <v>117</v>
      </c>
      <c r="B117" s="6" t="s">
        <v>355</v>
      </c>
      <c r="C117" s="3" t="s">
        <v>258</v>
      </c>
      <c r="D117" s="9" t="s">
        <v>257</v>
      </c>
      <c r="E117" s="7">
        <v>-20</v>
      </c>
      <c r="F117" s="3">
        <f t="shared" ca="1" si="14"/>
        <v>-23</v>
      </c>
      <c r="G117" s="3">
        <f t="shared" ca="1" si="15"/>
        <v>-22.8</v>
      </c>
      <c r="H117" s="3">
        <f t="shared" ca="1" si="13"/>
        <v>0.19999999999999929</v>
      </c>
      <c r="I117" s="3" t="str">
        <f t="shared" ca="1" si="16"/>
        <v>Y</v>
      </c>
      <c r="J117" s="10"/>
    </row>
    <row r="118" spans="1:10" x14ac:dyDescent="0.35">
      <c r="A118" s="3">
        <v>118</v>
      </c>
      <c r="B118" s="6" t="s">
        <v>356</v>
      </c>
      <c r="C118" s="3" t="s">
        <v>258</v>
      </c>
      <c r="D118" s="9" t="s">
        <v>257</v>
      </c>
      <c r="E118" s="7">
        <v>-20</v>
      </c>
      <c r="F118" s="3">
        <f t="shared" ca="1" si="14"/>
        <v>-23</v>
      </c>
      <c r="G118" s="3">
        <f t="shared" ca="1" si="15"/>
        <v>-22.6</v>
      </c>
      <c r="H118" s="3">
        <f t="shared" ca="1" si="13"/>
        <v>0.39999999999999858</v>
      </c>
      <c r="I118" s="3" t="str">
        <f t="shared" ca="1" si="16"/>
        <v>Y</v>
      </c>
      <c r="J118" s="10"/>
    </row>
    <row r="119" spans="1:10" x14ac:dyDescent="0.35">
      <c r="A119" s="3">
        <v>119</v>
      </c>
      <c r="B119" s="6" t="s">
        <v>361</v>
      </c>
      <c r="C119" s="3" t="s">
        <v>259</v>
      </c>
      <c r="D119" s="9" t="s">
        <v>257</v>
      </c>
      <c r="E119" s="7" t="s">
        <v>308</v>
      </c>
      <c r="F119" s="3">
        <f t="shared" ca="1" si="14"/>
        <v>-5</v>
      </c>
      <c r="G119" s="3">
        <f t="shared" ca="1" si="15"/>
        <v>-4.9000000000000004</v>
      </c>
      <c r="H119" s="3">
        <f t="shared" ca="1" si="13"/>
        <v>9.9999999999999645E-2</v>
      </c>
      <c r="I119" s="3" t="str">
        <f t="shared" ca="1" si="16"/>
        <v>Y</v>
      </c>
      <c r="J119" s="10"/>
    </row>
    <row r="120" spans="1:10" x14ac:dyDescent="0.35">
      <c r="A120" s="3">
        <v>120</v>
      </c>
      <c r="B120" s="6" t="s">
        <v>362</v>
      </c>
      <c r="C120" s="3" t="s">
        <v>259</v>
      </c>
      <c r="D120" s="9" t="s">
        <v>257</v>
      </c>
      <c r="E120" s="7" t="s">
        <v>308</v>
      </c>
      <c r="F120" s="3">
        <f t="shared" ca="1" si="14"/>
        <v>-5</v>
      </c>
      <c r="G120" s="3">
        <f t="shared" ca="1" si="15"/>
        <v>-5.5</v>
      </c>
      <c r="H120" s="3">
        <f t="shared" ca="1" si="13"/>
        <v>-0.5</v>
      </c>
      <c r="I120" s="3" t="str">
        <f t="shared" ca="1" si="16"/>
        <v>Y</v>
      </c>
      <c r="J120" s="10"/>
    </row>
    <row r="121" spans="1:10" x14ac:dyDescent="0.35">
      <c r="A121" s="3">
        <v>121</v>
      </c>
      <c r="B121" s="6" t="s">
        <v>363</v>
      </c>
      <c r="C121" s="3" t="s">
        <v>260</v>
      </c>
      <c r="D121" s="9" t="s">
        <v>257</v>
      </c>
      <c r="E121" s="7" t="s">
        <v>308</v>
      </c>
      <c r="F121" s="3">
        <f t="shared" ca="1" si="14"/>
        <v>-5</v>
      </c>
      <c r="G121" s="3">
        <f t="shared" ca="1" si="15"/>
        <v>-3.7</v>
      </c>
      <c r="H121" s="3">
        <f t="shared" ca="1" si="13"/>
        <v>1.2999999999999998</v>
      </c>
      <c r="I121" s="3" t="str">
        <f t="shared" ca="1" si="16"/>
        <v>Y</v>
      </c>
      <c r="J121" s="10"/>
    </row>
    <row r="122" spans="1:10" x14ac:dyDescent="0.35">
      <c r="A122" s="3">
        <v>122</v>
      </c>
      <c r="B122" s="6" t="s">
        <v>364</v>
      </c>
      <c r="C122" s="3" t="s">
        <v>260</v>
      </c>
      <c r="D122" s="9" t="s">
        <v>257</v>
      </c>
      <c r="E122" s="7" t="s">
        <v>308</v>
      </c>
      <c r="F122" s="3">
        <f t="shared" ca="1" si="14"/>
        <v>-5</v>
      </c>
      <c r="G122" s="3">
        <f t="shared" ca="1" si="15"/>
        <v>-5</v>
      </c>
      <c r="H122" s="3">
        <f t="shared" ca="1" si="13"/>
        <v>0</v>
      </c>
      <c r="I122" s="3" t="str">
        <f t="shared" ca="1" si="16"/>
        <v>Y</v>
      </c>
      <c r="J122" s="10"/>
    </row>
    <row r="123" spans="1:10" x14ac:dyDescent="0.35">
      <c r="A123" s="3">
        <v>123</v>
      </c>
      <c r="B123" s="6" t="s">
        <v>187</v>
      </c>
      <c r="C123" s="3" t="s">
        <v>261</v>
      </c>
      <c r="D123" s="9" t="s">
        <v>257</v>
      </c>
      <c r="E123" s="7">
        <v>10</v>
      </c>
      <c r="F123" s="3">
        <f t="shared" ca="1" si="14"/>
        <v>9</v>
      </c>
      <c r="G123" s="3">
        <f t="shared" ca="1" si="15"/>
        <v>9.3000000000000007</v>
      </c>
      <c r="H123" s="3">
        <f t="shared" ca="1" si="13"/>
        <v>0.30000000000000071</v>
      </c>
      <c r="I123" s="3" t="str">
        <f t="shared" ca="1" si="16"/>
        <v>Y</v>
      </c>
      <c r="J123" s="10"/>
    </row>
    <row r="124" spans="1:10" x14ac:dyDescent="0.35">
      <c r="A124" s="3">
        <v>124</v>
      </c>
      <c r="B124" s="6" t="s">
        <v>189</v>
      </c>
      <c r="C124" s="3" t="s">
        <v>261</v>
      </c>
      <c r="D124" s="9" t="s">
        <v>257</v>
      </c>
      <c r="E124" s="7">
        <v>10</v>
      </c>
      <c r="F124" s="3">
        <f t="shared" ca="1" si="14"/>
        <v>9</v>
      </c>
      <c r="G124" s="3">
        <f t="shared" ca="1" si="15"/>
        <v>10.4</v>
      </c>
      <c r="H124" s="3">
        <f t="shared" ca="1" si="13"/>
        <v>1.4000000000000004</v>
      </c>
      <c r="I124" s="3" t="str">
        <f t="shared" ca="1" si="16"/>
        <v>Y</v>
      </c>
      <c r="J124" s="10"/>
    </row>
    <row r="125" spans="1:10" x14ac:dyDescent="0.35">
      <c r="A125" s="3">
        <v>125</v>
      </c>
      <c r="B125" s="6" t="s">
        <v>191</v>
      </c>
      <c r="C125" s="3" t="s">
        <v>261</v>
      </c>
      <c r="D125" s="9" t="s">
        <v>257</v>
      </c>
      <c r="E125" s="7">
        <v>10</v>
      </c>
      <c r="F125" s="3">
        <f t="shared" ca="1" si="14"/>
        <v>9</v>
      </c>
      <c r="G125" s="3">
        <f t="shared" ca="1" si="15"/>
        <v>10.5</v>
      </c>
      <c r="H125" s="3">
        <f t="shared" ca="1" si="13"/>
        <v>1.5</v>
      </c>
      <c r="I125" s="3" t="str">
        <f t="shared" ca="1" si="16"/>
        <v>Y</v>
      </c>
      <c r="J125" s="10"/>
    </row>
    <row r="126" spans="1:10" x14ac:dyDescent="0.35">
      <c r="A126" s="3">
        <v>126</v>
      </c>
      <c r="B126" s="6" t="s">
        <v>193</v>
      </c>
      <c r="C126" s="3" t="s">
        <v>261</v>
      </c>
      <c r="D126" s="9" t="s">
        <v>257</v>
      </c>
      <c r="E126" s="7">
        <v>10</v>
      </c>
      <c r="F126" s="3">
        <f t="shared" ca="1" si="14"/>
        <v>9</v>
      </c>
      <c r="G126" s="3">
        <f t="shared" ca="1" si="15"/>
        <v>10.6</v>
      </c>
      <c r="H126" s="3">
        <f t="shared" ca="1" si="13"/>
        <v>1.5999999999999996</v>
      </c>
      <c r="I126" s="3" t="str">
        <f t="shared" ca="1" si="16"/>
        <v>Y</v>
      </c>
      <c r="J126" s="10"/>
    </row>
    <row r="127" spans="1:10" x14ac:dyDescent="0.35">
      <c r="A127" s="3">
        <v>127</v>
      </c>
      <c r="B127" s="6" t="s">
        <v>195</v>
      </c>
      <c r="C127" s="3" t="s">
        <v>262</v>
      </c>
      <c r="D127" s="9" t="s">
        <v>257</v>
      </c>
      <c r="E127" s="7" t="s">
        <v>307</v>
      </c>
      <c r="F127" s="3">
        <f t="shared" ca="1" si="14"/>
        <v>20</v>
      </c>
      <c r="G127" s="3">
        <f t="shared" ca="1" si="15"/>
        <v>21.8</v>
      </c>
      <c r="H127" s="3">
        <f t="shared" ca="1" si="13"/>
        <v>1.8000000000000007</v>
      </c>
      <c r="I127" s="3" t="str">
        <f t="shared" ca="1" si="16"/>
        <v>Y</v>
      </c>
      <c r="J127" s="10"/>
    </row>
    <row r="128" spans="1:10" x14ac:dyDescent="0.35">
      <c r="A128" s="3">
        <v>128</v>
      </c>
      <c r="B128" s="6" t="s">
        <v>197</v>
      </c>
      <c r="C128" s="3" t="s">
        <v>262</v>
      </c>
      <c r="D128" s="9" t="s">
        <v>257</v>
      </c>
      <c r="E128" s="7" t="s">
        <v>307</v>
      </c>
      <c r="F128" s="3">
        <f t="shared" ca="1" si="14"/>
        <v>20</v>
      </c>
      <c r="G128" s="3">
        <f t="shared" ca="1" si="15"/>
        <v>21.7</v>
      </c>
      <c r="H128" s="3">
        <f t="shared" ca="1" si="13"/>
        <v>1.6999999999999993</v>
      </c>
      <c r="I128" s="3" t="str">
        <f t="shared" ca="1" si="16"/>
        <v>Y</v>
      </c>
      <c r="J128" s="10"/>
    </row>
    <row r="129" spans="1:1" x14ac:dyDescent="0.35">
      <c r="A129" s="7"/>
    </row>
    <row r="130" spans="1:1" x14ac:dyDescent="0.35">
      <c r="A130" s="7"/>
    </row>
    <row r="131" spans="1:1" x14ac:dyDescent="0.35">
      <c r="A131" s="7"/>
    </row>
    <row r="132" spans="1:1" x14ac:dyDescent="0.35">
      <c r="A132" s="7"/>
    </row>
    <row r="133" spans="1:1" x14ac:dyDescent="0.35">
      <c r="A133" s="7"/>
    </row>
    <row r="134" spans="1:1" x14ac:dyDescent="0.35">
      <c r="A134" s="7"/>
    </row>
    <row r="135" spans="1:1" x14ac:dyDescent="0.35">
      <c r="A135" s="7"/>
    </row>
    <row r="136" spans="1:1" x14ac:dyDescent="0.35">
      <c r="A136" s="7"/>
    </row>
    <row r="137" spans="1:1" x14ac:dyDescent="0.35">
      <c r="A137" s="7"/>
    </row>
    <row r="138" spans="1:1" x14ac:dyDescent="0.35">
      <c r="A138" s="7"/>
    </row>
    <row r="139" spans="1:1" x14ac:dyDescent="0.35">
      <c r="A139" s="7"/>
    </row>
    <row r="140" spans="1:1" x14ac:dyDescent="0.35">
      <c r="A140" s="7"/>
    </row>
    <row r="141" spans="1:1" x14ac:dyDescent="0.35">
      <c r="A141" s="7"/>
    </row>
    <row r="142" spans="1:1" x14ac:dyDescent="0.35">
      <c r="A142" s="7"/>
    </row>
    <row r="143" spans="1:1" x14ac:dyDescent="0.35">
      <c r="A143" s="7"/>
    </row>
    <row r="144" spans="1:1" x14ac:dyDescent="0.35">
      <c r="A144" s="7"/>
    </row>
    <row r="145" spans="1:1" x14ac:dyDescent="0.35">
      <c r="A145" s="7"/>
    </row>
    <row r="146" spans="1:1" x14ac:dyDescent="0.35">
      <c r="A146" s="7"/>
    </row>
    <row r="147" spans="1:1" x14ac:dyDescent="0.35">
      <c r="A147" s="7"/>
    </row>
    <row r="148" spans="1:1" x14ac:dyDescent="0.35">
      <c r="A148" s="7"/>
    </row>
    <row r="149" spans="1:1" x14ac:dyDescent="0.35">
      <c r="A149" s="7"/>
    </row>
    <row r="150" spans="1:1" x14ac:dyDescent="0.35">
      <c r="A150" s="7"/>
    </row>
    <row r="151" spans="1:1" x14ac:dyDescent="0.35">
      <c r="A151" s="7"/>
    </row>
    <row r="152" spans="1:1" x14ac:dyDescent="0.35">
      <c r="A152" s="7"/>
    </row>
    <row r="153" spans="1:1" x14ac:dyDescent="0.35">
      <c r="A153" s="7"/>
    </row>
    <row r="154" spans="1:1" x14ac:dyDescent="0.35">
      <c r="A154" s="7"/>
    </row>
    <row r="155" spans="1:1" x14ac:dyDescent="0.35">
      <c r="A155" s="7"/>
    </row>
    <row r="156" spans="1:1" x14ac:dyDescent="0.35">
      <c r="A156" s="7"/>
    </row>
    <row r="157" spans="1:1" x14ac:dyDescent="0.35">
      <c r="A157" s="7"/>
    </row>
    <row r="158" spans="1:1" x14ac:dyDescent="0.35">
      <c r="A158" s="7"/>
    </row>
    <row r="159" spans="1:1" x14ac:dyDescent="0.35">
      <c r="A159" s="7"/>
    </row>
    <row r="160" spans="1:1" x14ac:dyDescent="0.35">
      <c r="A160" s="7"/>
    </row>
    <row r="161" spans="1:1" x14ac:dyDescent="0.35">
      <c r="A161" s="7"/>
    </row>
    <row r="162" spans="1:1" x14ac:dyDescent="0.35">
      <c r="A162" s="7"/>
    </row>
    <row r="163" spans="1:1" x14ac:dyDescent="0.35">
      <c r="A163" s="7"/>
    </row>
    <row r="164" spans="1:1" x14ac:dyDescent="0.35">
      <c r="A164" s="7"/>
    </row>
    <row r="165" spans="1:1" x14ac:dyDescent="0.35">
      <c r="A165" s="7"/>
    </row>
    <row r="166" spans="1:1" x14ac:dyDescent="0.35">
      <c r="A166" s="7"/>
    </row>
    <row r="167" spans="1:1" x14ac:dyDescent="0.35">
      <c r="A167" s="7"/>
    </row>
    <row r="168" spans="1:1" x14ac:dyDescent="0.35">
      <c r="A168" s="7"/>
    </row>
    <row r="169" spans="1:1" x14ac:dyDescent="0.35">
      <c r="A169" s="7"/>
    </row>
    <row r="170" spans="1:1" x14ac:dyDescent="0.35">
      <c r="A170" s="7"/>
    </row>
    <row r="171" spans="1:1" x14ac:dyDescent="0.35">
      <c r="A171" s="7"/>
    </row>
    <row r="172" spans="1:1" x14ac:dyDescent="0.35">
      <c r="A172" s="7"/>
    </row>
    <row r="173" spans="1:1" x14ac:dyDescent="0.35">
      <c r="A173" s="7"/>
    </row>
    <row r="174" spans="1:1" x14ac:dyDescent="0.35">
      <c r="A174" s="7"/>
    </row>
    <row r="175" spans="1:1" x14ac:dyDescent="0.35">
      <c r="A175" s="7"/>
    </row>
    <row r="176" spans="1:1" x14ac:dyDescent="0.35">
      <c r="A176" s="7"/>
    </row>
    <row r="177" spans="1:1" x14ac:dyDescent="0.35">
      <c r="A177" s="7"/>
    </row>
    <row r="178" spans="1:1" x14ac:dyDescent="0.35">
      <c r="A178" s="7"/>
    </row>
    <row r="179" spans="1:1" x14ac:dyDescent="0.35">
      <c r="A179" s="7"/>
    </row>
    <row r="180" spans="1:1" x14ac:dyDescent="0.35">
      <c r="A180" s="7"/>
    </row>
    <row r="181" spans="1:1" x14ac:dyDescent="0.35">
      <c r="A181" s="7"/>
    </row>
    <row r="182" spans="1:1" x14ac:dyDescent="0.35">
      <c r="A182" s="7"/>
    </row>
    <row r="183" spans="1:1" x14ac:dyDescent="0.35">
      <c r="A183" s="7"/>
    </row>
    <row r="184" spans="1:1" x14ac:dyDescent="0.35">
      <c r="A184" s="7"/>
    </row>
    <row r="185" spans="1:1" x14ac:dyDescent="0.35">
      <c r="A185" s="7"/>
    </row>
    <row r="186" spans="1:1" x14ac:dyDescent="0.35">
      <c r="A186" s="7"/>
    </row>
    <row r="187" spans="1:1" x14ac:dyDescent="0.35">
      <c r="A187" s="7"/>
    </row>
    <row r="188" spans="1:1" x14ac:dyDescent="0.35">
      <c r="A188" s="7"/>
    </row>
    <row r="189" spans="1:1" x14ac:dyDescent="0.35">
      <c r="A189" s="7"/>
    </row>
    <row r="190" spans="1:1" x14ac:dyDescent="0.35">
      <c r="A190" s="7"/>
    </row>
    <row r="191" spans="1:1" x14ac:dyDescent="0.35">
      <c r="A191" s="7"/>
    </row>
    <row r="192" spans="1:1" x14ac:dyDescent="0.35">
      <c r="A192" s="7"/>
    </row>
    <row r="193" spans="1:1" x14ac:dyDescent="0.35">
      <c r="A193" s="7"/>
    </row>
    <row r="194" spans="1:1" x14ac:dyDescent="0.35">
      <c r="A194" s="7"/>
    </row>
    <row r="195" spans="1:1" x14ac:dyDescent="0.35">
      <c r="A195" s="7"/>
    </row>
    <row r="196" spans="1:1" x14ac:dyDescent="0.35">
      <c r="A196" s="7"/>
    </row>
    <row r="197" spans="1:1" x14ac:dyDescent="0.35">
      <c r="A197" s="7"/>
    </row>
    <row r="198" spans="1:1" x14ac:dyDescent="0.35">
      <c r="A198" s="7"/>
    </row>
    <row r="199" spans="1:1" x14ac:dyDescent="0.35">
      <c r="A199" s="7"/>
    </row>
    <row r="200" spans="1:1" x14ac:dyDescent="0.35">
      <c r="A200" s="7"/>
    </row>
    <row r="201" spans="1:1" x14ac:dyDescent="0.35">
      <c r="A201" s="7"/>
    </row>
    <row r="202" spans="1:1" x14ac:dyDescent="0.35">
      <c r="A202" s="7"/>
    </row>
    <row r="203" spans="1:1" x14ac:dyDescent="0.35">
      <c r="A203" s="7"/>
    </row>
    <row r="204" spans="1:1" x14ac:dyDescent="0.35">
      <c r="A204" s="7"/>
    </row>
    <row r="205" spans="1:1" x14ac:dyDescent="0.35">
      <c r="A205" s="7"/>
    </row>
    <row r="206" spans="1:1" x14ac:dyDescent="0.35">
      <c r="A206" s="7"/>
    </row>
    <row r="207" spans="1:1" x14ac:dyDescent="0.35">
      <c r="A207" s="7"/>
    </row>
    <row r="208" spans="1:1" x14ac:dyDescent="0.35">
      <c r="A208" s="7"/>
    </row>
    <row r="209" spans="1:1" x14ac:dyDescent="0.35">
      <c r="A209" s="7"/>
    </row>
    <row r="210" spans="1:1" x14ac:dyDescent="0.35">
      <c r="A210" s="7"/>
    </row>
    <row r="211" spans="1:1" x14ac:dyDescent="0.35">
      <c r="A211" s="7"/>
    </row>
    <row r="212" spans="1:1" x14ac:dyDescent="0.35">
      <c r="A212" s="7"/>
    </row>
    <row r="213" spans="1:1" x14ac:dyDescent="0.35">
      <c r="A213" s="7"/>
    </row>
    <row r="214" spans="1:1" x14ac:dyDescent="0.35">
      <c r="A214" s="7"/>
    </row>
    <row r="215" spans="1:1" x14ac:dyDescent="0.35">
      <c r="A215" s="7"/>
    </row>
    <row r="216" spans="1:1" x14ac:dyDescent="0.35">
      <c r="A216" s="7"/>
    </row>
    <row r="217" spans="1:1" x14ac:dyDescent="0.35">
      <c r="A217" s="7"/>
    </row>
    <row r="218" spans="1:1" x14ac:dyDescent="0.35">
      <c r="A218" s="7"/>
    </row>
    <row r="219" spans="1:1" x14ac:dyDescent="0.35">
      <c r="A219" s="7"/>
    </row>
    <row r="220" spans="1:1" x14ac:dyDescent="0.35">
      <c r="A220" s="7"/>
    </row>
    <row r="221" spans="1:1" x14ac:dyDescent="0.35">
      <c r="A221" s="7"/>
    </row>
    <row r="222" spans="1:1" x14ac:dyDescent="0.35">
      <c r="A222" s="7"/>
    </row>
    <row r="223" spans="1:1" x14ac:dyDescent="0.35">
      <c r="A223" s="7"/>
    </row>
    <row r="224" spans="1:1" x14ac:dyDescent="0.35">
      <c r="A224" s="7"/>
    </row>
    <row r="225" spans="1:1" x14ac:dyDescent="0.35">
      <c r="A225" s="7"/>
    </row>
    <row r="226" spans="1:1" x14ac:dyDescent="0.35">
      <c r="A226" s="7"/>
    </row>
    <row r="227" spans="1:1" x14ac:dyDescent="0.35">
      <c r="A227" s="7"/>
    </row>
    <row r="228" spans="1:1" x14ac:dyDescent="0.35">
      <c r="A228" s="7"/>
    </row>
    <row r="229" spans="1:1" x14ac:dyDescent="0.35">
      <c r="A229" s="7"/>
    </row>
    <row r="230" spans="1:1" x14ac:dyDescent="0.35">
      <c r="A230" s="7"/>
    </row>
    <row r="231" spans="1:1" x14ac:dyDescent="0.35">
      <c r="A231" s="7"/>
    </row>
    <row r="232" spans="1:1" x14ac:dyDescent="0.35">
      <c r="A232" s="7"/>
    </row>
    <row r="233" spans="1:1" x14ac:dyDescent="0.35">
      <c r="A233" s="7"/>
    </row>
    <row r="234" spans="1:1" x14ac:dyDescent="0.35">
      <c r="A234" s="7"/>
    </row>
    <row r="235" spans="1:1" x14ac:dyDescent="0.35">
      <c r="A235" s="7"/>
    </row>
    <row r="236" spans="1:1" x14ac:dyDescent="0.35">
      <c r="A236" s="7"/>
    </row>
    <row r="237" spans="1:1" x14ac:dyDescent="0.35">
      <c r="A237" s="7"/>
    </row>
    <row r="238" spans="1:1" x14ac:dyDescent="0.35">
      <c r="A238" s="7"/>
    </row>
    <row r="239" spans="1:1" x14ac:dyDescent="0.35">
      <c r="A239" s="7"/>
    </row>
  </sheetData>
  <phoneticPr fontId="6" type="noConversion"/>
  <conditionalFormatting sqref="H2:H128">
    <cfRule type="expression" dxfId="12" priority="5">
      <formula>AND(ABS(H2)&gt;=1.4, ABS(H2)&lt;=2)</formula>
    </cfRule>
    <cfRule type="expression" dxfId="11" priority="6">
      <formula>ABS(H2)&gt;2</formula>
    </cfRule>
  </conditionalFormatting>
  <conditionalFormatting sqref="I2:I128">
    <cfRule type="cellIs" dxfId="10" priority="3" operator="equal">
      <formula>"N"</formula>
    </cfRule>
    <cfRule type="cellIs" dxfId="9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7CD57-AA9C-400A-B005-47A9EC6CB05C}">
  <dimension ref="A1:D14"/>
  <sheetViews>
    <sheetView workbookViewId="0">
      <selection activeCell="D11" sqref="D11"/>
    </sheetView>
  </sheetViews>
  <sheetFormatPr defaultRowHeight="14.5" x14ac:dyDescent="0.35"/>
  <cols>
    <col min="2" max="2" width="15.36328125" customWidth="1"/>
    <col min="3" max="3" width="16.1796875" customWidth="1"/>
    <col min="4" max="4" width="11.453125" customWidth="1"/>
  </cols>
  <sheetData>
    <row r="1" spans="1:4" ht="28.5" thickBot="1" x14ac:dyDescent="0.4">
      <c r="A1" s="11" t="s">
        <v>265</v>
      </c>
      <c r="B1" s="11" t="s">
        <v>266</v>
      </c>
    </row>
    <row r="2" spans="1:4" ht="15" thickBot="1" x14ac:dyDescent="0.4">
      <c r="A2" s="11" t="s">
        <v>205</v>
      </c>
      <c r="B2" s="27">
        <f ca="1">COUNTIFS(Database!D$1:D$1048575, "IW", Database!I$1:I$1048575, "N")</f>
        <v>22</v>
      </c>
    </row>
    <row r="3" spans="1:4" ht="15" thickBot="1" x14ac:dyDescent="0.4">
      <c r="A3" s="11" t="s">
        <v>221</v>
      </c>
      <c r="B3" s="27">
        <f ca="1">COUNTIFS(Database!D$1:D$1048575, "LR", Database!I$1:I$1048575, "N")</f>
        <v>4</v>
      </c>
    </row>
    <row r="4" spans="1:4" ht="15" thickBot="1" x14ac:dyDescent="0.4">
      <c r="A4" s="11" t="s">
        <v>240</v>
      </c>
      <c r="B4" s="27">
        <f ca="1">COUNTIFS(Database!D$1:D$1048575, "HR", Database!I$1:I$1048575, "N")</f>
        <v>16</v>
      </c>
    </row>
    <row r="5" spans="1:4" ht="15" thickBot="1" x14ac:dyDescent="0.4">
      <c r="A5" s="11" t="s">
        <v>257</v>
      </c>
      <c r="B5" s="27">
        <f ca="1">COUNTIFS(Database!D$1:D$1048575, "OW", Database!I$1:I$1048575, "N")</f>
        <v>1</v>
      </c>
    </row>
    <row r="6" spans="1:4" ht="15" thickBot="1" x14ac:dyDescent="0.4">
      <c r="A6" s="11" t="s">
        <v>267</v>
      </c>
      <c r="B6" s="14">
        <f ca="1">SUM(B2:B5)</f>
        <v>43</v>
      </c>
    </row>
    <row r="8" spans="1:4" ht="15" thickBot="1" x14ac:dyDescent="0.4"/>
    <row r="9" spans="1:4" ht="28.5" thickBot="1" x14ac:dyDescent="0.4">
      <c r="A9" s="11" t="s">
        <v>265</v>
      </c>
      <c r="B9" s="17" t="s">
        <v>302</v>
      </c>
      <c r="C9" s="17" t="s">
        <v>302</v>
      </c>
      <c r="D9" s="17" t="s">
        <v>304</v>
      </c>
    </row>
    <row r="10" spans="1:4" ht="15" thickBot="1" x14ac:dyDescent="0.4">
      <c r="A10" s="16" t="s">
        <v>205</v>
      </c>
      <c r="B10" s="28" t="e">
        <f>COUNTIFS(Database!D$1:D$1048575, "IW", Database!#REF!, "N")</f>
        <v>#REF!</v>
      </c>
      <c r="C10" s="25" t="e">
        <f>SUM(B10/51)</f>
        <v>#REF!</v>
      </c>
      <c r="D10" s="26"/>
    </row>
    <row r="11" spans="1:4" ht="15" thickBot="1" x14ac:dyDescent="0.4">
      <c r="A11" s="16" t="s">
        <v>221</v>
      </c>
      <c r="B11" s="28" t="e">
        <f>COUNTIFS(Database!D$1:D$1048575, "LR", Database!#REF!, "N")</f>
        <v>#REF!</v>
      </c>
      <c r="C11" s="25" t="e">
        <f>SUM(B11/28)</f>
        <v>#REF!</v>
      </c>
      <c r="D11" s="26" t="s">
        <v>305</v>
      </c>
    </row>
    <row r="12" spans="1:4" ht="15" thickBot="1" x14ac:dyDescent="0.4">
      <c r="A12" s="16" t="s">
        <v>240</v>
      </c>
      <c r="B12" s="28" t="e">
        <f>COUNTIFS(Database!D$1:D$1048575, "HR", Database!#REF!, "N")</f>
        <v>#REF!</v>
      </c>
      <c r="C12" s="25" t="e">
        <f>SUM(B12/31)</f>
        <v>#REF!</v>
      </c>
      <c r="D12" s="26" t="s">
        <v>305</v>
      </c>
    </row>
    <row r="13" spans="1:4" ht="15" thickBot="1" x14ac:dyDescent="0.4">
      <c r="A13" s="16" t="s">
        <v>257</v>
      </c>
      <c r="B13" s="29" t="e">
        <f>COUNTIFS(Database!D$1:D$1048575, "OW", Database!#REF!, "N")</f>
        <v>#REF!</v>
      </c>
      <c r="C13" s="25" t="e">
        <f>SUM(B13/18)</f>
        <v>#REF!</v>
      </c>
      <c r="D13" s="26"/>
    </row>
    <row r="14" spans="1:4" ht="15" thickBot="1" x14ac:dyDescent="0.4">
      <c r="A14" s="11" t="s">
        <v>267</v>
      </c>
      <c r="B14" s="18" t="e">
        <f>SUM(B10:B13)</f>
        <v>#REF!</v>
      </c>
    </row>
  </sheetData>
  <conditionalFormatting sqref="B2:B5">
    <cfRule type="expression" dxfId="8" priority="3">
      <formula>AND(ABS(B2)&gt;=1, ABS(B2)&lt;=4)</formula>
    </cfRule>
    <cfRule type="expression" dxfId="7" priority="4">
      <formula>ABS(B2)&gt;5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234CF-4A89-4410-B973-8902EC906A23}">
  <dimension ref="A1:CI1086"/>
  <sheetViews>
    <sheetView topLeftCell="A739" zoomScale="70" zoomScaleNormal="70" workbookViewId="0">
      <selection activeCell="D21" sqref="D21"/>
    </sheetView>
  </sheetViews>
  <sheetFormatPr defaultRowHeight="14.5" x14ac:dyDescent="0.35"/>
  <cols>
    <col min="2" max="87" width="8.6328125" customWidth="1"/>
  </cols>
  <sheetData>
    <row r="1" spans="1:8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341</v>
      </c>
      <c r="BS1" t="s">
        <v>342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316</v>
      </c>
      <c r="CF1" t="s">
        <v>81</v>
      </c>
      <c r="CG1" t="s">
        <v>315</v>
      </c>
      <c r="CH1" t="s">
        <v>83</v>
      </c>
      <c r="CI1" t="s">
        <v>317</v>
      </c>
    </row>
    <row r="2" spans="1:87" x14ac:dyDescent="0.35">
      <c r="A2" s="1">
        <v>46059.011111111111</v>
      </c>
      <c r="B2">
        <v>-17.600000000000001</v>
      </c>
      <c r="C2">
        <v>-17.600000000000001</v>
      </c>
      <c r="D2">
        <v>-25</v>
      </c>
      <c r="E2">
        <v>-17.7</v>
      </c>
      <c r="F2">
        <v>-18.100000000000001</v>
      </c>
      <c r="G2">
        <v>-25</v>
      </c>
      <c r="H2">
        <v>-18.3</v>
      </c>
      <c r="I2">
        <v>-15.5</v>
      </c>
      <c r="J2">
        <v>-25</v>
      </c>
      <c r="K2">
        <v>-17.7</v>
      </c>
      <c r="L2">
        <v>-18.7</v>
      </c>
      <c r="M2">
        <v>-25</v>
      </c>
      <c r="N2">
        <v>-18.600000000000001</v>
      </c>
      <c r="O2">
        <v>-19.100000000000001</v>
      </c>
      <c r="P2">
        <v>-25</v>
      </c>
      <c r="Q2">
        <v>-16.2</v>
      </c>
      <c r="R2">
        <v>13.4</v>
      </c>
      <c r="S2">
        <v>-25</v>
      </c>
      <c r="T2">
        <v>2.5</v>
      </c>
      <c r="U2">
        <v>2.2999999999999998</v>
      </c>
      <c r="V2">
        <v>2</v>
      </c>
      <c r="W2">
        <v>2.4</v>
      </c>
      <c r="X2">
        <v>2.1</v>
      </c>
      <c r="Y2">
        <v>2</v>
      </c>
      <c r="Z2">
        <v>3.6</v>
      </c>
      <c r="AA2">
        <v>3.4</v>
      </c>
      <c r="AB2">
        <v>2</v>
      </c>
      <c r="AC2">
        <v>3.5</v>
      </c>
      <c r="AD2">
        <v>3.3</v>
      </c>
      <c r="AE2">
        <v>2</v>
      </c>
      <c r="AF2">
        <v>2.8</v>
      </c>
      <c r="AG2">
        <v>2.6</v>
      </c>
      <c r="AH2">
        <v>2</v>
      </c>
      <c r="AI2">
        <v>2.7</v>
      </c>
      <c r="AJ2">
        <v>2.5</v>
      </c>
      <c r="AK2">
        <v>2</v>
      </c>
      <c r="AL2">
        <v>5.6</v>
      </c>
      <c r="AM2">
        <v>4</v>
      </c>
      <c r="AN2">
        <v>5.8</v>
      </c>
      <c r="AO2">
        <v>4</v>
      </c>
      <c r="AP2">
        <v>5.0999999999999996</v>
      </c>
      <c r="AQ2">
        <v>4</v>
      </c>
      <c r="AR2">
        <v>6</v>
      </c>
      <c r="AS2">
        <v>4</v>
      </c>
      <c r="AT2">
        <v>-3</v>
      </c>
      <c r="AU2">
        <v>-3.2</v>
      </c>
      <c r="AV2">
        <v>-5</v>
      </c>
      <c r="AW2">
        <v>-3.6</v>
      </c>
      <c r="AX2">
        <v>-3.4</v>
      </c>
      <c r="AY2">
        <v>-5</v>
      </c>
      <c r="AZ2">
        <v>10.3</v>
      </c>
      <c r="BA2">
        <v>10</v>
      </c>
      <c r="BB2">
        <v>10.7</v>
      </c>
      <c r="BC2">
        <v>10</v>
      </c>
      <c r="BD2">
        <v>4.5</v>
      </c>
      <c r="BE2">
        <v>4</v>
      </c>
      <c r="BF2">
        <v>9.3000000000000007</v>
      </c>
      <c r="BG2">
        <v>10</v>
      </c>
      <c r="BH2">
        <v>10.6</v>
      </c>
      <c r="BI2">
        <v>10</v>
      </c>
      <c r="BJ2">
        <v>9.6999999999999993</v>
      </c>
      <c r="BK2">
        <v>9</v>
      </c>
      <c r="BL2">
        <v>19.7</v>
      </c>
      <c r="BM2">
        <v>19</v>
      </c>
      <c r="BN2">
        <v>23.9</v>
      </c>
      <c r="BO2">
        <v>19</v>
      </c>
      <c r="BP2">
        <v>19.7</v>
      </c>
      <c r="BQ2">
        <v>20</v>
      </c>
      <c r="BR2">
        <v>21.5</v>
      </c>
      <c r="BS2">
        <v>25</v>
      </c>
      <c r="BT2">
        <v>22.1</v>
      </c>
      <c r="BU2">
        <v>25</v>
      </c>
      <c r="BV2">
        <v>25</v>
      </c>
      <c r="BW2">
        <v>18</v>
      </c>
      <c r="BX2">
        <v>22</v>
      </c>
      <c r="BY2">
        <v>20</v>
      </c>
      <c r="BZ2">
        <v>19.399999999999999</v>
      </c>
      <c r="CA2">
        <v>20</v>
      </c>
      <c r="CB2">
        <v>10.1</v>
      </c>
      <c r="CC2">
        <v>10</v>
      </c>
      <c r="CD2">
        <v>10.5</v>
      </c>
      <c r="CE2">
        <v>10</v>
      </c>
      <c r="CF2">
        <v>10.3</v>
      </c>
      <c r="CG2">
        <v>9</v>
      </c>
      <c r="CH2">
        <v>10.5</v>
      </c>
      <c r="CI2">
        <v>9</v>
      </c>
    </row>
    <row r="3" spans="1:87" x14ac:dyDescent="0.35">
      <c r="A3" s="1">
        <v>46059.011805555558</v>
      </c>
      <c r="B3">
        <v>-17.5</v>
      </c>
      <c r="C3">
        <v>-17.5</v>
      </c>
      <c r="D3">
        <v>-25</v>
      </c>
      <c r="E3">
        <v>-17.600000000000001</v>
      </c>
      <c r="F3">
        <v>-18</v>
      </c>
      <c r="G3">
        <v>-25</v>
      </c>
      <c r="H3">
        <v>-18.5</v>
      </c>
      <c r="I3">
        <v>-15.6</v>
      </c>
      <c r="J3">
        <v>-25</v>
      </c>
      <c r="K3">
        <v>-17.8</v>
      </c>
      <c r="L3">
        <v>-18.7</v>
      </c>
      <c r="M3">
        <v>-25</v>
      </c>
      <c r="N3">
        <v>-18.7</v>
      </c>
      <c r="O3">
        <v>-19.100000000000001</v>
      </c>
      <c r="P3">
        <v>-25</v>
      </c>
      <c r="Q3">
        <v>-16.2</v>
      </c>
      <c r="R3">
        <v>11.4</v>
      </c>
      <c r="S3">
        <v>-25</v>
      </c>
      <c r="T3">
        <v>2.5</v>
      </c>
      <c r="U3">
        <v>2.4</v>
      </c>
      <c r="V3">
        <v>2</v>
      </c>
      <c r="W3">
        <v>2.5</v>
      </c>
      <c r="X3">
        <v>2.2000000000000002</v>
      </c>
      <c r="Y3">
        <v>2</v>
      </c>
      <c r="Z3">
        <v>3.7</v>
      </c>
      <c r="AA3">
        <v>3.5</v>
      </c>
      <c r="AB3">
        <v>2</v>
      </c>
      <c r="AC3">
        <v>3.6</v>
      </c>
      <c r="AD3">
        <v>3.4</v>
      </c>
      <c r="AE3">
        <v>2</v>
      </c>
      <c r="AF3">
        <v>2.9</v>
      </c>
      <c r="AG3">
        <v>2.8</v>
      </c>
      <c r="AH3">
        <v>2</v>
      </c>
      <c r="AI3">
        <v>2.9</v>
      </c>
      <c r="AJ3">
        <v>2.7</v>
      </c>
      <c r="AK3">
        <v>2</v>
      </c>
      <c r="AL3">
        <v>5.7</v>
      </c>
      <c r="AM3">
        <v>4</v>
      </c>
      <c r="AN3">
        <v>5.9</v>
      </c>
      <c r="AO3">
        <v>4</v>
      </c>
      <c r="AP3">
        <v>5.3</v>
      </c>
      <c r="AQ3">
        <v>4</v>
      </c>
      <c r="AR3">
        <v>6</v>
      </c>
      <c r="AS3">
        <v>4</v>
      </c>
      <c r="AT3">
        <v>-3</v>
      </c>
      <c r="AU3">
        <v>-4.9000000000000004</v>
      </c>
      <c r="AV3">
        <v>-5</v>
      </c>
      <c r="AW3">
        <v>-3.2</v>
      </c>
      <c r="AX3">
        <v>-2.9</v>
      </c>
      <c r="AY3">
        <v>-5</v>
      </c>
      <c r="AZ3">
        <v>10.4</v>
      </c>
      <c r="BA3">
        <v>10</v>
      </c>
      <c r="BB3">
        <v>10.1</v>
      </c>
      <c r="BC3">
        <v>10</v>
      </c>
      <c r="BD3">
        <v>4.0999999999999996</v>
      </c>
      <c r="BE3">
        <v>4</v>
      </c>
      <c r="BF3">
        <v>9.5</v>
      </c>
      <c r="BG3">
        <v>10</v>
      </c>
      <c r="BH3">
        <v>10.4</v>
      </c>
      <c r="BI3">
        <v>10</v>
      </c>
      <c r="BJ3">
        <v>9.6</v>
      </c>
      <c r="BK3">
        <v>9</v>
      </c>
      <c r="BL3">
        <v>19.5</v>
      </c>
      <c r="BM3">
        <v>19</v>
      </c>
      <c r="BN3">
        <v>23.9</v>
      </c>
      <c r="BO3">
        <v>19</v>
      </c>
      <c r="BP3">
        <v>19.7</v>
      </c>
      <c r="BQ3">
        <v>20</v>
      </c>
      <c r="BR3">
        <v>21.5</v>
      </c>
      <c r="BS3">
        <v>25</v>
      </c>
      <c r="BT3">
        <v>22.1</v>
      </c>
      <c r="BU3">
        <v>25</v>
      </c>
      <c r="BV3">
        <v>25</v>
      </c>
      <c r="BW3">
        <v>18</v>
      </c>
      <c r="BX3">
        <v>20.6</v>
      </c>
      <c r="BY3">
        <v>20</v>
      </c>
      <c r="BZ3">
        <v>19.899999999999999</v>
      </c>
      <c r="CA3">
        <v>20</v>
      </c>
      <c r="CB3">
        <v>10.4</v>
      </c>
      <c r="CC3">
        <v>10</v>
      </c>
      <c r="CD3">
        <v>10.5</v>
      </c>
      <c r="CE3">
        <v>10</v>
      </c>
      <c r="CF3">
        <v>10.3</v>
      </c>
      <c r="CG3">
        <v>9</v>
      </c>
      <c r="CH3">
        <v>10.5</v>
      </c>
      <c r="CI3">
        <v>9</v>
      </c>
    </row>
    <row r="4" spans="1:87" x14ac:dyDescent="0.35">
      <c r="A4" s="1">
        <v>46059.438888888886</v>
      </c>
      <c r="B4">
        <v>-17.399999999999999</v>
      </c>
      <c r="C4">
        <v>-17.600000000000001</v>
      </c>
      <c r="D4">
        <v>-25</v>
      </c>
      <c r="E4">
        <v>-17.8</v>
      </c>
      <c r="F4">
        <v>-17.2</v>
      </c>
      <c r="G4">
        <v>-25</v>
      </c>
      <c r="H4">
        <v>-20.100000000000001</v>
      </c>
      <c r="I4">
        <v>-20.3</v>
      </c>
      <c r="J4">
        <v>-25</v>
      </c>
      <c r="K4">
        <v>-20.100000000000001</v>
      </c>
      <c r="L4">
        <v>-20</v>
      </c>
      <c r="M4">
        <v>-25</v>
      </c>
      <c r="N4">
        <v>-18.600000000000001</v>
      </c>
      <c r="O4">
        <v>-17.600000000000001</v>
      </c>
      <c r="P4">
        <v>-25</v>
      </c>
      <c r="Q4">
        <v>-18.399999999999999</v>
      </c>
      <c r="R4">
        <v>-18.100000000000001</v>
      </c>
      <c r="S4">
        <v>-25</v>
      </c>
      <c r="T4">
        <v>2.6</v>
      </c>
      <c r="U4">
        <v>1.7</v>
      </c>
      <c r="V4">
        <v>2</v>
      </c>
      <c r="W4">
        <v>2.6</v>
      </c>
      <c r="X4">
        <v>1.2</v>
      </c>
      <c r="Y4">
        <v>2</v>
      </c>
      <c r="Z4">
        <v>3.9</v>
      </c>
      <c r="AA4">
        <v>3.3</v>
      </c>
      <c r="AB4">
        <v>2</v>
      </c>
      <c r="AC4">
        <v>3.5</v>
      </c>
      <c r="AD4">
        <v>2.6</v>
      </c>
      <c r="AE4">
        <v>2</v>
      </c>
      <c r="AF4">
        <v>4.0999999999999996</v>
      </c>
      <c r="AG4">
        <v>4</v>
      </c>
      <c r="AH4">
        <v>2</v>
      </c>
      <c r="AI4">
        <v>4</v>
      </c>
      <c r="AJ4">
        <v>2.2000000000000002</v>
      </c>
      <c r="AK4">
        <v>2</v>
      </c>
      <c r="AL4">
        <v>5.9</v>
      </c>
      <c r="AM4">
        <v>4</v>
      </c>
      <c r="AN4">
        <v>5.4</v>
      </c>
      <c r="AO4">
        <v>4</v>
      </c>
      <c r="AP4">
        <v>3.1</v>
      </c>
      <c r="AQ4">
        <v>4</v>
      </c>
      <c r="AR4">
        <v>3.8</v>
      </c>
      <c r="AS4">
        <v>4</v>
      </c>
      <c r="AT4">
        <v>-2.8</v>
      </c>
      <c r="AU4">
        <v>-5.0999999999999996</v>
      </c>
      <c r="AV4">
        <v>-5</v>
      </c>
      <c r="AW4">
        <v>-4.7</v>
      </c>
      <c r="AX4">
        <v>-5.6</v>
      </c>
      <c r="AY4">
        <v>-5</v>
      </c>
      <c r="AZ4">
        <v>11.8</v>
      </c>
      <c r="BA4">
        <v>10</v>
      </c>
      <c r="BB4">
        <v>11.1</v>
      </c>
      <c r="BC4">
        <v>10</v>
      </c>
      <c r="BD4">
        <v>6</v>
      </c>
      <c r="BE4">
        <v>4</v>
      </c>
      <c r="BF4">
        <v>10.6</v>
      </c>
      <c r="BG4">
        <v>10</v>
      </c>
      <c r="BH4">
        <v>10.3</v>
      </c>
      <c r="BI4">
        <v>10</v>
      </c>
      <c r="BJ4">
        <v>9.6</v>
      </c>
      <c r="BK4">
        <v>9</v>
      </c>
      <c r="BL4">
        <v>20.8</v>
      </c>
      <c r="BM4">
        <v>19</v>
      </c>
      <c r="BN4">
        <v>23.5</v>
      </c>
      <c r="BO4">
        <v>19</v>
      </c>
      <c r="BP4">
        <v>21.7</v>
      </c>
      <c r="BQ4">
        <v>20</v>
      </c>
      <c r="BR4">
        <v>21.8</v>
      </c>
      <c r="BS4">
        <v>25</v>
      </c>
      <c r="BT4">
        <v>22</v>
      </c>
      <c r="BU4">
        <v>25</v>
      </c>
      <c r="BV4">
        <v>25</v>
      </c>
      <c r="BW4">
        <v>18</v>
      </c>
      <c r="BX4">
        <v>20.100000000000001</v>
      </c>
      <c r="BY4">
        <v>20</v>
      </c>
      <c r="BZ4">
        <v>20</v>
      </c>
      <c r="CA4">
        <v>20</v>
      </c>
      <c r="CB4">
        <v>10.9</v>
      </c>
      <c r="CC4">
        <v>10</v>
      </c>
      <c r="CD4">
        <v>11.7</v>
      </c>
      <c r="CE4">
        <v>10</v>
      </c>
      <c r="CF4">
        <v>12.1</v>
      </c>
      <c r="CG4">
        <v>9</v>
      </c>
      <c r="CH4">
        <v>12.3</v>
      </c>
      <c r="CI4">
        <v>9</v>
      </c>
    </row>
    <row r="5" spans="1:87" x14ac:dyDescent="0.35">
      <c r="A5" s="1">
        <v>46059.439583333333</v>
      </c>
      <c r="B5">
        <v>-17.7</v>
      </c>
      <c r="C5">
        <v>-18.5</v>
      </c>
      <c r="D5">
        <v>-25</v>
      </c>
      <c r="E5">
        <v>-18.100000000000001</v>
      </c>
      <c r="F5">
        <v>-17.2</v>
      </c>
      <c r="G5">
        <v>-25</v>
      </c>
      <c r="H5">
        <v>-20</v>
      </c>
      <c r="I5">
        <v>-19.7</v>
      </c>
      <c r="J5">
        <v>-25</v>
      </c>
      <c r="K5">
        <v>-19.7</v>
      </c>
      <c r="L5">
        <v>-19.7</v>
      </c>
      <c r="M5">
        <v>-25</v>
      </c>
      <c r="N5">
        <v>-18.5</v>
      </c>
      <c r="O5">
        <v>-17.600000000000001</v>
      </c>
      <c r="P5">
        <v>-25</v>
      </c>
      <c r="Q5">
        <v>-18.399999999999999</v>
      </c>
      <c r="R5">
        <v>-18.100000000000001</v>
      </c>
      <c r="S5">
        <v>-25</v>
      </c>
      <c r="T5">
        <v>2.2999999999999998</v>
      </c>
      <c r="U5">
        <v>1.4</v>
      </c>
      <c r="V5">
        <v>2</v>
      </c>
      <c r="W5">
        <v>2.4</v>
      </c>
      <c r="X5">
        <v>1.2</v>
      </c>
      <c r="Y5">
        <v>2</v>
      </c>
      <c r="Z5">
        <v>3.8</v>
      </c>
      <c r="AA5">
        <v>3.2</v>
      </c>
      <c r="AB5">
        <v>2</v>
      </c>
      <c r="AC5">
        <v>3.4</v>
      </c>
      <c r="AD5">
        <v>2.5</v>
      </c>
      <c r="AE5">
        <v>2</v>
      </c>
      <c r="AF5">
        <v>3.9</v>
      </c>
      <c r="AG5">
        <v>3.6</v>
      </c>
      <c r="AH5">
        <v>2</v>
      </c>
      <c r="AI5">
        <v>3.8</v>
      </c>
      <c r="AJ5">
        <v>1.7</v>
      </c>
      <c r="AK5">
        <v>2</v>
      </c>
      <c r="AL5">
        <v>5.9</v>
      </c>
      <c r="AM5">
        <v>4</v>
      </c>
      <c r="AN5">
        <v>5.4</v>
      </c>
      <c r="AO5">
        <v>4</v>
      </c>
      <c r="AP5">
        <v>3.4</v>
      </c>
      <c r="AQ5">
        <v>4</v>
      </c>
      <c r="AR5">
        <v>3</v>
      </c>
      <c r="AS5">
        <v>4</v>
      </c>
      <c r="AT5">
        <v>-3</v>
      </c>
      <c r="AU5">
        <v>-5.5</v>
      </c>
      <c r="AV5">
        <v>-5</v>
      </c>
      <c r="AW5">
        <v>-4.9000000000000004</v>
      </c>
      <c r="AX5">
        <v>-5.9</v>
      </c>
      <c r="AY5">
        <v>-5</v>
      </c>
      <c r="AZ5">
        <v>11.9</v>
      </c>
      <c r="BA5">
        <v>10</v>
      </c>
      <c r="BB5">
        <v>11</v>
      </c>
      <c r="BC5">
        <v>10</v>
      </c>
      <c r="BD5">
        <v>5.8</v>
      </c>
      <c r="BE5">
        <v>4</v>
      </c>
      <c r="BF5">
        <v>10</v>
      </c>
      <c r="BG5">
        <v>10</v>
      </c>
      <c r="BH5">
        <v>10.3</v>
      </c>
      <c r="BI5">
        <v>10</v>
      </c>
      <c r="BJ5">
        <v>9.6</v>
      </c>
      <c r="BK5">
        <v>9</v>
      </c>
      <c r="BL5">
        <v>20.8</v>
      </c>
      <c r="BM5">
        <v>19</v>
      </c>
      <c r="BN5">
        <v>23.5</v>
      </c>
      <c r="BO5">
        <v>19</v>
      </c>
      <c r="BP5">
        <v>21.7</v>
      </c>
      <c r="BQ5">
        <v>20</v>
      </c>
      <c r="BR5">
        <v>21.8</v>
      </c>
      <c r="BS5">
        <v>25</v>
      </c>
      <c r="BT5">
        <v>22</v>
      </c>
      <c r="BU5">
        <v>25</v>
      </c>
      <c r="BV5">
        <v>25.1</v>
      </c>
      <c r="BW5">
        <v>18</v>
      </c>
      <c r="BX5">
        <v>21.7</v>
      </c>
      <c r="BY5">
        <v>20</v>
      </c>
      <c r="BZ5">
        <v>21.6</v>
      </c>
      <c r="CA5">
        <v>20</v>
      </c>
      <c r="CB5">
        <v>10.7</v>
      </c>
      <c r="CC5">
        <v>10</v>
      </c>
      <c r="CD5">
        <v>11.7</v>
      </c>
      <c r="CE5">
        <v>10</v>
      </c>
      <c r="CF5">
        <v>12.1</v>
      </c>
      <c r="CG5">
        <v>9</v>
      </c>
      <c r="CH5">
        <v>12.3</v>
      </c>
      <c r="CI5">
        <v>9</v>
      </c>
    </row>
    <row r="6" spans="1:87" x14ac:dyDescent="0.35">
      <c r="A6" s="1">
        <v>46059.44027777778</v>
      </c>
      <c r="B6">
        <v>-18</v>
      </c>
      <c r="C6">
        <v>-19.3</v>
      </c>
      <c r="D6">
        <v>-25</v>
      </c>
      <c r="E6">
        <v>-18.399999999999999</v>
      </c>
      <c r="F6">
        <v>-17.3</v>
      </c>
      <c r="G6">
        <v>-25</v>
      </c>
      <c r="H6">
        <v>-20</v>
      </c>
      <c r="I6">
        <v>-16.100000000000001</v>
      </c>
      <c r="J6">
        <v>-25</v>
      </c>
      <c r="K6">
        <v>-19.5</v>
      </c>
      <c r="L6">
        <v>-19.7</v>
      </c>
      <c r="M6">
        <v>-25</v>
      </c>
      <c r="N6">
        <v>-18.3</v>
      </c>
      <c r="O6">
        <v>-17.600000000000001</v>
      </c>
      <c r="P6">
        <v>-25</v>
      </c>
      <c r="Q6">
        <v>-18.2</v>
      </c>
      <c r="R6">
        <v>-18.100000000000001</v>
      </c>
      <c r="S6">
        <v>-25</v>
      </c>
      <c r="T6">
        <v>2.1</v>
      </c>
      <c r="U6">
        <v>1.4</v>
      </c>
      <c r="V6">
        <v>2</v>
      </c>
      <c r="W6">
        <v>2.2000000000000002</v>
      </c>
      <c r="X6">
        <v>-0.2</v>
      </c>
      <c r="Y6">
        <v>2</v>
      </c>
      <c r="Z6">
        <v>3.7</v>
      </c>
      <c r="AA6">
        <v>3.1</v>
      </c>
      <c r="AB6">
        <v>2</v>
      </c>
      <c r="AC6">
        <v>3.3</v>
      </c>
      <c r="AD6">
        <v>2.5</v>
      </c>
      <c r="AE6">
        <v>2</v>
      </c>
      <c r="AF6">
        <v>3.7</v>
      </c>
      <c r="AG6">
        <v>3.3</v>
      </c>
      <c r="AH6">
        <v>2</v>
      </c>
      <c r="AI6">
        <v>3.6</v>
      </c>
      <c r="AJ6">
        <v>2.1</v>
      </c>
      <c r="AK6">
        <v>2</v>
      </c>
      <c r="AL6">
        <v>5.9</v>
      </c>
      <c r="AM6">
        <v>4</v>
      </c>
      <c r="AN6">
        <v>5.4</v>
      </c>
      <c r="AO6">
        <v>4</v>
      </c>
      <c r="AP6">
        <v>3.6</v>
      </c>
      <c r="AQ6">
        <v>4</v>
      </c>
      <c r="AR6">
        <v>2.9</v>
      </c>
      <c r="AS6">
        <v>4</v>
      </c>
      <c r="AT6">
        <v>-3.3</v>
      </c>
      <c r="AU6">
        <v>-5.7</v>
      </c>
      <c r="AV6">
        <v>-5</v>
      </c>
      <c r="AW6">
        <v>-4.9000000000000004</v>
      </c>
      <c r="AX6">
        <v>-5.5</v>
      </c>
      <c r="AY6">
        <v>-5</v>
      </c>
      <c r="AZ6">
        <v>12</v>
      </c>
      <c r="BA6">
        <v>10</v>
      </c>
      <c r="BB6">
        <v>10.7</v>
      </c>
      <c r="BC6">
        <v>10</v>
      </c>
      <c r="BD6">
        <v>5.3</v>
      </c>
      <c r="BE6">
        <v>4</v>
      </c>
      <c r="BF6">
        <v>9.6999999999999993</v>
      </c>
      <c r="BG6">
        <v>10</v>
      </c>
      <c r="BH6">
        <v>10.3</v>
      </c>
      <c r="BI6">
        <v>10</v>
      </c>
      <c r="BJ6">
        <v>9.6</v>
      </c>
      <c r="BK6">
        <v>9</v>
      </c>
      <c r="BL6">
        <v>20.8</v>
      </c>
      <c r="BM6">
        <v>19</v>
      </c>
      <c r="BN6">
        <v>23.5</v>
      </c>
      <c r="BO6">
        <v>19</v>
      </c>
      <c r="BP6">
        <v>21.8</v>
      </c>
      <c r="BQ6">
        <v>20</v>
      </c>
      <c r="BR6">
        <v>21.8</v>
      </c>
      <c r="BS6">
        <v>25</v>
      </c>
      <c r="BT6">
        <v>22</v>
      </c>
      <c r="BU6">
        <v>25</v>
      </c>
      <c r="BV6">
        <v>25.1</v>
      </c>
      <c r="BW6">
        <v>18</v>
      </c>
      <c r="BX6">
        <v>21.7</v>
      </c>
      <c r="BY6">
        <v>20</v>
      </c>
      <c r="BZ6">
        <v>21.7</v>
      </c>
      <c r="CA6">
        <v>20</v>
      </c>
      <c r="CB6">
        <v>10.6</v>
      </c>
      <c r="CC6">
        <v>10</v>
      </c>
      <c r="CD6">
        <v>11.7</v>
      </c>
      <c r="CE6">
        <v>10</v>
      </c>
      <c r="CF6">
        <v>12.1</v>
      </c>
      <c r="CG6">
        <v>9</v>
      </c>
      <c r="CH6">
        <v>12.3</v>
      </c>
      <c r="CI6">
        <v>9</v>
      </c>
    </row>
    <row r="7" spans="1:87" x14ac:dyDescent="0.35">
      <c r="A7" s="1">
        <v>46059.440972222219</v>
      </c>
      <c r="B7">
        <v>-18.100000000000001</v>
      </c>
      <c r="C7">
        <v>-18.899999999999999</v>
      </c>
      <c r="D7">
        <v>-25</v>
      </c>
      <c r="E7">
        <v>-18.5</v>
      </c>
      <c r="F7">
        <v>-17.5</v>
      </c>
      <c r="G7">
        <v>-25</v>
      </c>
      <c r="H7">
        <v>-20</v>
      </c>
      <c r="I7">
        <v>-10.5</v>
      </c>
      <c r="J7">
        <v>-25</v>
      </c>
      <c r="K7">
        <v>-19.3</v>
      </c>
      <c r="L7">
        <v>-19.8</v>
      </c>
      <c r="M7">
        <v>-25</v>
      </c>
      <c r="N7">
        <v>-18.100000000000001</v>
      </c>
      <c r="O7">
        <v>-17.600000000000001</v>
      </c>
      <c r="P7">
        <v>-25</v>
      </c>
      <c r="Q7">
        <v>-18.100000000000001</v>
      </c>
      <c r="R7">
        <v>-17.899999999999999</v>
      </c>
      <c r="S7">
        <v>-25</v>
      </c>
      <c r="T7">
        <v>1.9</v>
      </c>
      <c r="U7">
        <v>1.3</v>
      </c>
      <c r="V7">
        <v>2</v>
      </c>
      <c r="W7">
        <v>1.9</v>
      </c>
      <c r="X7">
        <v>0</v>
      </c>
      <c r="Y7">
        <v>2</v>
      </c>
      <c r="Z7">
        <v>3.6</v>
      </c>
      <c r="AA7">
        <v>3</v>
      </c>
      <c r="AB7">
        <v>2</v>
      </c>
      <c r="AC7">
        <v>3.2</v>
      </c>
      <c r="AD7">
        <v>2</v>
      </c>
      <c r="AE7">
        <v>2</v>
      </c>
      <c r="AF7">
        <v>3.5</v>
      </c>
      <c r="AG7">
        <v>3.1</v>
      </c>
      <c r="AH7">
        <v>2</v>
      </c>
      <c r="AI7">
        <v>3.4</v>
      </c>
      <c r="AJ7">
        <v>1.4</v>
      </c>
      <c r="AK7">
        <v>2</v>
      </c>
      <c r="AL7">
        <v>6</v>
      </c>
      <c r="AM7">
        <v>4</v>
      </c>
      <c r="AN7">
        <v>5.4</v>
      </c>
      <c r="AO7">
        <v>4</v>
      </c>
      <c r="AP7">
        <v>3.9</v>
      </c>
      <c r="AQ7">
        <v>4</v>
      </c>
      <c r="AR7">
        <v>3</v>
      </c>
      <c r="AS7">
        <v>4</v>
      </c>
      <c r="AT7">
        <v>-3.5</v>
      </c>
      <c r="AU7">
        <v>-5.9</v>
      </c>
      <c r="AV7">
        <v>-5</v>
      </c>
      <c r="AW7">
        <v>-4.9000000000000004</v>
      </c>
      <c r="AX7">
        <v>-5.2</v>
      </c>
      <c r="AY7">
        <v>-5</v>
      </c>
      <c r="AZ7">
        <v>11.7</v>
      </c>
      <c r="BA7">
        <v>10</v>
      </c>
      <c r="BB7">
        <v>10.5</v>
      </c>
      <c r="BC7">
        <v>10</v>
      </c>
      <c r="BD7">
        <v>4.9000000000000004</v>
      </c>
      <c r="BE7">
        <v>4</v>
      </c>
      <c r="BF7">
        <v>9.8000000000000007</v>
      </c>
      <c r="BG7">
        <v>10</v>
      </c>
      <c r="BH7">
        <v>10.3</v>
      </c>
      <c r="BI7">
        <v>10</v>
      </c>
      <c r="BJ7">
        <v>9.6</v>
      </c>
      <c r="BK7">
        <v>9</v>
      </c>
      <c r="BL7">
        <v>20.9</v>
      </c>
      <c r="BM7">
        <v>19</v>
      </c>
      <c r="BN7">
        <v>23.5</v>
      </c>
      <c r="BO7">
        <v>19</v>
      </c>
      <c r="BP7">
        <v>21.8</v>
      </c>
      <c r="BQ7">
        <v>20</v>
      </c>
      <c r="BR7">
        <v>21.8</v>
      </c>
      <c r="BS7">
        <v>25</v>
      </c>
      <c r="BT7">
        <v>22</v>
      </c>
      <c r="BU7">
        <v>25</v>
      </c>
      <c r="BV7">
        <v>25.1</v>
      </c>
      <c r="BW7">
        <v>18</v>
      </c>
      <c r="BX7">
        <v>21.7</v>
      </c>
      <c r="BY7">
        <v>20</v>
      </c>
      <c r="BZ7">
        <v>21.7</v>
      </c>
      <c r="CA7">
        <v>20</v>
      </c>
      <c r="CB7">
        <v>10.4</v>
      </c>
      <c r="CC7">
        <v>10</v>
      </c>
      <c r="CD7">
        <v>11.7</v>
      </c>
      <c r="CE7">
        <v>10</v>
      </c>
      <c r="CF7">
        <v>12</v>
      </c>
      <c r="CG7">
        <v>9</v>
      </c>
      <c r="CH7">
        <v>12.2</v>
      </c>
      <c r="CI7">
        <v>9</v>
      </c>
    </row>
    <row r="8" spans="1:87" x14ac:dyDescent="0.35">
      <c r="A8" s="1">
        <v>46059.441666666666</v>
      </c>
      <c r="B8">
        <v>-18.2</v>
      </c>
      <c r="C8">
        <v>-18.7</v>
      </c>
      <c r="D8">
        <v>-25</v>
      </c>
      <c r="E8">
        <v>-18.5</v>
      </c>
      <c r="F8">
        <v>-17.5</v>
      </c>
      <c r="G8">
        <v>-25</v>
      </c>
      <c r="H8">
        <v>-20</v>
      </c>
      <c r="I8">
        <v>-6</v>
      </c>
      <c r="J8">
        <v>-25</v>
      </c>
      <c r="K8">
        <v>-19.3</v>
      </c>
      <c r="L8">
        <v>-20.399999999999999</v>
      </c>
      <c r="M8">
        <v>-25</v>
      </c>
      <c r="N8">
        <v>-17.899999999999999</v>
      </c>
      <c r="O8">
        <v>-17.600000000000001</v>
      </c>
      <c r="P8">
        <v>-25</v>
      </c>
      <c r="Q8">
        <v>-17.899999999999999</v>
      </c>
      <c r="R8">
        <v>-17.8</v>
      </c>
      <c r="S8">
        <v>-25</v>
      </c>
      <c r="T8">
        <v>1.9</v>
      </c>
      <c r="U8">
        <v>1.4</v>
      </c>
      <c r="V8">
        <v>2</v>
      </c>
      <c r="W8">
        <v>1.9</v>
      </c>
      <c r="X8">
        <v>0.8</v>
      </c>
      <c r="Y8">
        <v>2</v>
      </c>
      <c r="Z8">
        <v>3.5</v>
      </c>
      <c r="AA8">
        <v>2.9</v>
      </c>
      <c r="AB8">
        <v>2</v>
      </c>
      <c r="AC8">
        <v>3</v>
      </c>
      <c r="AD8">
        <v>1.1000000000000001</v>
      </c>
      <c r="AE8">
        <v>2</v>
      </c>
      <c r="AF8">
        <v>3.3</v>
      </c>
      <c r="AG8">
        <v>2.8</v>
      </c>
      <c r="AH8">
        <v>2</v>
      </c>
      <c r="AI8">
        <v>3.1</v>
      </c>
      <c r="AJ8">
        <v>0.3</v>
      </c>
      <c r="AK8">
        <v>2</v>
      </c>
      <c r="AL8">
        <v>6</v>
      </c>
      <c r="AM8">
        <v>4</v>
      </c>
      <c r="AN8">
        <v>5.4</v>
      </c>
      <c r="AO8">
        <v>4</v>
      </c>
      <c r="AP8">
        <v>4.0999999999999996</v>
      </c>
      <c r="AQ8">
        <v>4</v>
      </c>
      <c r="AR8">
        <v>3.4</v>
      </c>
      <c r="AS8">
        <v>4</v>
      </c>
      <c r="AT8">
        <v>-3.7</v>
      </c>
      <c r="AU8">
        <v>-5.9</v>
      </c>
      <c r="AV8">
        <v>-5</v>
      </c>
      <c r="AW8">
        <v>-4.9000000000000004</v>
      </c>
      <c r="AX8">
        <v>-5.0999999999999996</v>
      </c>
      <c r="AY8">
        <v>-5</v>
      </c>
      <c r="AZ8">
        <v>10.6</v>
      </c>
      <c r="BA8">
        <v>10</v>
      </c>
      <c r="BB8">
        <v>10.4</v>
      </c>
      <c r="BC8">
        <v>10</v>
      </c>
      <c r="BD8">
        <v>4.4000000000000004</v>
      </c>
      <c r="BE8">
        <v>4</v>
      </c>
      <c r="BF8">
        <v>10</v>
      </c>
      <c r="BG8">
        <v>10</v>
      </c>
      <c r="BH8">
        <v>10.3</v>
      </c>
      <c r="BI8">
        <v>10</v>
      </c>
      <c r="BJ8">
        <v>9.6</v>
      </c>
      <c r="BK8">
        <v>9</v>
      </c>
      <c r="BL8">
        <v>20.9</v>
      </c>
      <c r="BM8">
        <v>19</v>
      </c>
      <c r="BN8">
        <v>23.5</v>
      </c>
      <c r="BO8">
        <v>19</v>
      </c>
      <c r="BP8">
        <v>21.8</v>
      </c>
      <c r="BQ8">
        <v>20</v>
      </c>
      <c r="BR8">
        <v>21.7</v>
      </c>
      <c r="BS8">
        <v>25</v>
      </c>
      <c r="BT8">
        <v>22</v>
      </c>
      <c r="BU8">
        <v>25</v>
      </c>
      <c r="BV8">
        <v>25.2</v>
      </c>
      <c r="BW8">
        <v>18</v>
      </c>
      <c r="BX8">
        <v>21.8</v>
      </c>
      <c r="BY8">
        <v>20</v>
      </c>
      <c r="BZ8">
        <v>21.7</v>
      </c>
      <c r="CA8">
        <v>20</v>
      </c>
      <c r="CB8">
        <v>10.3</v>
      </c>
      <c r="CC8">
        <v>10</v>
      </c>
      <c r="CD8">
        <v>11.7</v>
      </c>
      <c r="CE8">
        <v>10</v>
      </c>
      <c r="CF8">
        <v>12</v>
      </c>
      <c r="CG8">
        <v>9</v>
      </c>
      <c r="CH8">
        <v>12.2</v>
      </c>
      <c r="CI8">
        <v>9</v>
      </c>
    </row>
    <row r="9" spans="1:87" x14ac:dyDescent="0.35">
      <c r="A9" s="1">
        <v>46059.442361111112</v>
      </c>
      <c r="B9">
        <v>-18.2</v>
      </c>
      <c r="C9">
        <v>-18.600000000000001</v>
      </c>
      <c r="D9">
        <v>-25</v>
      </c>
      <c r="E9">
        <v>-18.5</v>
      </c>
      <c r="F9">
        <v>-17.600000000000001</v>
      </c>
      <c r="G9">
        <v>-25</v>
      </c>
      <c r="H9">
        <v>-20</v>
      </c>
      <c r="I9">
        <v>-2.1</v>
      </c>
      <c r="J9">
        <v>-25</v>
      </c>
      <c r="K9">
        <v>-19.3</v>
      </c>
      <c r="L9">
        <v>-20.2</v>
      </c>
      <c r="M9">
        <v>-25</v>
      </c>
      <c r="N9">
        <v>-17.8</v>
      </c>
      <c r="O9">
        <v>-17.600000000000001</v>
      </c>
      <c r="P9">
        <v>-25</v>
      </c>
      <c r="Q9">
        <v>-17.7</v>
      </c>
      <c r="R9">
        <v>-17.600000000000001</v>
      </c>
      <c r="S9">
        <v>-25</v>
      </c>
      <c r="T9">
        <v>1.9</v>
      </c>
      <c r="U9">
        <v>1.7</v>
      </c>
      <c r="V9">
        <v>2</v>
      </c>
      <c r="W9">
        <v>1.9</v>
      </c>
      <c r="X9">
        <v>1.2</v>
      </c>
      <c r="Y9">
        <v>2</v>
      </c>
      <c r="Z9">
        <v>3.3</v>
      </c>
      <c r="AA9">
        <v>2.5</v>
      </c>
      <c r="AB9">
        <v>2</v>
      </c>
      <c r="AC9">
        <v>2.8</v>
      </c>
      <c r="AD9">
        <v>0.6</v>
      </c>
      <c r="AE9">
        <v>2</v>
      </c>
      <c r="AF9">
        <v>2.9</v>
      </c>
      <c r="AG9">
        <v>2.5</v>
      </c>
      <c r="AH9">
        <v>2</v>
      </c>
      <c r="AI9">
        <v>2.9</v>
      </c>
      <c r="AJ9">
        <v>-0.2</v>
      </c>
      <c r="AK9">
        <v>2</v>
      </c>
      <c r="AL9">
        <v>5.9</v>
      </c>
      <c r="AM9">
        <v>4</v>
      </c>
      <c r="AN9">
        <v>6.4</v>
      </c>
      <c r="AO9">
        <v>4</v>
      </c>
      <c r="AP9">
        <v>4.4000000000000004</v>
      </c>
      <c r="AQ9">
        <v>4</v>
      </c>
      <c r="AR9">
        <v>3.6</v>
      </c>
      <c r="AS9">
        <v>4</v>
      </c>
      <c r="AT9">
        <v>-3.8</v>
      </c>
      <c r="AU9">
        <v>-6.1</v>
      </c>
      <c r="AV9">
        <v>-5</v>
      </c>
      <c r="AW9">
        <v>-4.9000000000000004</v>
      </c>
      <c r="AX9">
        <v>-5.7</v>
      </c>
      <c r="AY9">
        <v>-5</v>
      </c>
      <c r="AZ9">
        <v>9.8000000000000007</v>
      </c>
      <c r="BA9">
        <v>10</v>
      </c>
      <c r="BB9">
        <v>10.199999999999999</v>
      </c>
      <c r="BC9">
        <v>10</v>
      </c>
      <c r="BD9">
        <v>4.0999999999999996</v>
      </c>
      <c r="BE9">
        <v>4</v>
      </c>
      <c r="BF9">
        <v>10.3</v>
      </c>
      <c r="BG9">
        <v>10</v>
      </c>
      <c r="BH9">
        <v>10.3</v>
      </c>
      <c r="BI9">
        <v>10</v>
      </c>
      <c r="BJ9">
        <v>9.5</v>
      </c>
      <c r="BK9">
        <v>9</v>
      </c>
      <c r="BL9">
        <v>20.9</v>
      </c>
      <c r="BM9">
        <v>19</v>
      </c>
      <c r="BN9">
        <v>23.5</v>
      </c>
      <c r="BO9">
        <v>19</v>
      </c>
      <c r="BP9">
        <v>21.8</v>
      </c>
      <c r="BQ9">
        <v>20</v>
      </c>
      <c r="BR9">
        <v>21.6</v>
      </c>
      <c r="BS9">
        <v>25</v>
      </c>
      <c r="BT9">
        <v>22</v>
      </c>
      <c r="BU9">
        <v>25</v>
      </c>
      <c r="BV9">
        <v>25.2</v>
      </c>
      <c r="BW9">
        <v>18</v>
      </c>
      <c r="BX9">
        <v>21.8</v>
      </c>
      <c r="BY9">
        <v>20</v>
      </c>
      <c r="BZ9">
        <v>21.7</v>
      </c>
      <c r="CA9">
        <v>20</v>
      </c>
      <c r="CB9">
        <v>10.199999999999999</v>
      </c>
      <c r="CC9">
        <v>10</v>
      </c>
      <c r="CD9">
        <v>11.7</v>
      </c>
      <c r="CE9">
        <v>10</v>
      </c>
      <c r="CF9">
        <v>12.1</v>
      </c>
      <c r="CG9">
        <v>9</v>
      </c>
      <c r="CH9">
        <v>12.3</v>
      </c>
      <c r="CI9">
        <v>9</v>
      </c>
    </row>
    <row r="10" spans="1:87" x14ac:dyDescent="0.35">
      <c r="A10" s="1">
        <v>46059.443055555559</v>
      </c>
      <c r="B10">
        <v>-18.3</v>
      </c>
      <c r="C10">
        <v>-18.600000000000001</v>
      </c>
      <c r="D10">
        <v>-25</v>
      </c>
      <c r="E10">
        <v>-18.8</v>
      </c>
      <c r="F10">
        <v>-17.7</v>
      </c>
      <c r="G10">
        <v>-25</v>
      </c>
      <c r="H10">
        <v>-20</v>
      </c>
      <c r="I10">
        <v>-0.1</v>
      </c>
      <c r="J10">
        <v>-25</v>
      </c>
      <c r="K10">
        <v>-19.3</v>
      </c>
      <c r="L10">
        <v>-19.899999999999999</v>
      </c>
      <c r="M10">
        <v>-25</v>
      </c>
      <c r="N10">
        <v>-17.600000000000001</v>
      </c>
      <c r="O10">
        <v>-17.600000000000001</v>
      </c>
      <c r="P10">
        <v>-25</v>
      </c>
      <c r="Q10">
        <v>-17.600000000000001</v>
      </c>
      <c r="R10">
        <v>-17.5</v>
      </c>
      <c r="S10">
        <v>-25</v>
      </c>
      <c r="T10">
        <v>2</v>
      </c>
      <c r="U10">
        <v>1.8</v>
      </c>
      <c r="V10">
        <v>2</v>
      </c>
      <c r="W10">
        <v>2</v>
      </c>
      <c r="X10">
        <v>1.4</v>
      </c>
      <c r="Y10">
        <v>2</v>
      </c>
      <c r="Z10">
        <v>3.1</v>
      </c>
      <c r="AA10">
        <v>2.4</v>
      </c>
      <c r="AB10">
        <v>2</v>
      </c>
      <c r="AC10">
        <v>2.5</v>
      </c>
      <c r="AD10">
        <v>0.3</v>
      </c>
      <c r="AE10">
        <v>2</v>
      </c>
      <c r="AF10">
        <v>2.7</v>
      </c>
      <c r="AG10">
        <v>2.1</v>
      </c>
      <c r="AH10">
        <v>2</v>
      </c>
      <c r="AI10">
        <v>2.6</v>
      </c>
      <c r="AJ10">
        <v>-0.6</v>
      </c>
      <c r="AK10">
        <v>2</v>
      </c>
      <c r="AL10">
        <v>5.6</v>
      </c>
      <c r="AM10">
        <v>4</v>
      </c>
      <c r="AN10">
        <v>6.4</v>
      </c>
      <c r="AO10">
        <v>4</v>
      </c>
      <c r="AP10">
        <v>4.5999999999999996</v>
      </c>
      <c r="AQ10">
        <v>4</v>
      </c>
      <c r="AR10">
        <v>3.9</v>
      </c>
      <c r="AS10">
        <v>4</v>
      </c>
      <c r="AT10">
        <v>-4.0999999999999996</v>
      </c>
      <c r="AU10">
        <v>-6.7</v>
      </c>
      <c r="AV10">
        <v>-5</v>
      </c>
      <c r="AW10">
        <v>-5.0999999999999996</v>
      </c>
      <c r="AX10">
        <v>-6.1</v>
      </c>
      <c r="AY10">
        <v>-5</v>
      </c>
      <c r="AZ10">
        <v>9.4</v>
      </c>
      <c r="BA10">
        <v>10</v>
      </c>
      <c r="BB10">
        <v>10.1</v>
      </c>
      <c r="BC10">
        <v>10</v>
      </c>
      <c r="BD10">
        <v>3.9</v>
      </c>
      <c r="BE10">
        <v>4</v>
      </c>
      <c r="BF10">
        <v>10.8</v>
      </c>
      <c r="BG10">
        <v>10</v>
      </c>
      <c r="BH10">
        <v>10.6</v>
      </c>
      <c r="BI10">
        <v>10</v>
      </c>
      <c r="BJ10">
        <v>9.5</v>
      </c>
      <c r="BK10">
        <v>9</v>
      </c>
      <c r="BL10">
        <v>20.9</v>
      </c>
      <c r="BM10">
        <v>19</v>
      </c>
      <c r="BN10">
        <v>23.5</v>
      </c>
      <c r="BO10">
        <v>19</v>
      </c>
      <c r="BP10">
        <v>21.8</v>
      </c>
      <c r="BQ10">
        <v>20</v>
      </c>
      <c r="BR10">
        <v>21.6</v>
      </c>
      <c r="BS10">
        <v>25</v>
      </c>
      <c r="BT10">
        <v>22</v>
      </c>
      <c r="BU10">
        <v>25</v>
      </c>
      <c r="BV10">
        <v>25.2</v>
      </c>
      <c r="BW10">
        <v>18</v>
      </c>
      <c r="BX10">
        <v>21.8</v>
      </c>
      <c r="BY10">
        <v>20</v>
      </c>
      <c r="BZ10">
        <v>21.8</v>
      </c>
      <c r="CA10">
        <v>20</v>
      </c>
      <c r="CB10">
        <v>10.1</v>
      </c>
      <c r="CC10">
        <v>10</v>
      </c>
      <c r="CD10">
        <v>11.7</v>
      </c>
      <c r="CE10">
        <v>10</v>
      </c>
      <c r="CF10">
        <v>12.3</v>
      </c>
      <c r="CG10">
        <v>9</v>
      </c>
      <c r="CH10">
        <v>12.5</v>
      </c>
      <c r="CI10">
        <v>9</v>
      </c>
    </row>
    <row r="11" spans="1:87" x14ac:dyDescent="0.35">
      <c r="A11" s="1">
        <v>46059.443749999999</v>
      </c>
      <c r="B11">
        <v>-18.7</v>
      </c>
      <c r="C11">
        <v>-20.399999999999999</v>
      </c>
      <c r="D11">
        <v>-25</v>
      </c>
      <c r="E11">
        <v>-19.399999999999999</v>
      </c>
      <c r="F11">
        <v>-18</v>
      </c>
      <c r="G11">
        <v>-25</v>
      </c>
      <c r="H11">
        <v>-20</v>
      </c>
      <c r="I11">
        <v>0.2</v>
      </c>
      <c r="J11">
        <v>-25</v>
      </c>
      <c r="K11">
        <v>-19.3</v>
      </c>
      <c r="L11">
        <v>-19.899999999999999</v>
      </c>
      <c r="M11">
        <v>-25</v>
      </c>
      <c r="N11">
        <v>-17.5</v>
      </c>
      <c r="O11">
        <v>-17.5</v>
      </c>
      <c r="P11">
        <v>-25</v>
      </c>
      <c r="Q11">
        <v>-17.5</v>
      </c>
      <c r="R11">
        <v>-17.399999999999999</v>
      </c>
      <c r="S11">
        <v>-25</v>
      </c>
      <c r="T11">
        <v>2.1</v>
      </c>
      <c r="U11">
        <v>1.9</v>
      </c>
      <c r="V11">
        <v>2</v>
      </c>
      <c r="W11">
        <v>2.1</v>
      </c>
      <c r="X11">
        <v>1.6</v>
      </c>
      <c r="Y11">
        <v>2</v>
      </c>
      <c r="Z11">
        <v>2.9</v>
      </c>
      <c r="AA11">
        <v>2.2000000000000002</v>
      </c>
      <c r="AB11">
        <v>2</v>
      </c>
      <c r="AC11">
        <v>2.4</v>
      </c>
      <c r="AD11">
        <v>0</v>
      </c>
      <c r="AE11">
        <v>2</v>
      </c>
      <c r="AF11">
        <v>2.4</v>
      </c>
      <c r="AG11">
        <v>2</v>
      </c>
      <c r="AH11">
        <v>2</v>
      </c>
      <c r="AI11">
        <v>2.2999999999999998</v>
      </c>
      <c r="AJ11">
        <v>-1</v>
      </c>
      <c r="AK11">
        <v>2</v>
      </c>
      <c r="AL11">
        <v>5.4</v>
      </c>
      <c r="AM11">
        <v>4</v>
      </c>
      <c r="AN11">
        <v>6.3</v>
      </c>
      <c r="AO11">
        <v>4</v>
      </c>
      <c r="AP11">
        <v>4.7</v>
      </c>
      <c r="AQ11">
        <v>4</v>
      </c>
      <c r="AR11">
        <v>4.2</v>
      </c>
      <c r="AS11">
        <v>4</v>
      </c>
      <c r="AT11">
        <v>-4.5</v>
      </c>
      <c r="AU11">
        <v>-7.3</v>
      </c>
      <c r="AV11">
        <v>-5</v>
      </c>
      <c r="AW11">
        <v>-5.2</v>
      </c>
      <c r="AX11">
        <v>-5.7</v>
      </c>
      <c r="AY11">
        <v>-5</v>
      </c>
      <c r="AZ11">
        <v>9.4</v>
      </c>
      <c r="BA11">
        <v>10</v>
      </c>
      <c r="BB11">
        <v>10</v>
      </c>
      <c r="BC11">
        <v>10</v>
      </c>
      <c r="BD11">
        <v>3.9</v>
      </c>
      <c r="BE11">
        <v>4</v>
      </c>
      <c r="BF11">
        <v>11.1</v>
      </c>
      <c r="BG11">
        <v>10</v>
      </c>
      <c r="BH11">
        <v>11.1</v>
      </c>
      <c r="BI11">
        <v>10</v>
      </c>
      <c r="BJ11">
        <v>9.5</v>
      </c>
      <c r="BK11">
        <v>9</v>
      </c>
      <c r="BL11">
        <v>20.9</v>
      </c>
      <c r="BM11">
        <v>19</v>
      </c>
      <c r="BN11">
        <v>23.5</v>
      </c>
      <c r="BO11">
        <v>19</v>
      </c>
      <c r="BP11">
        <v>21.8</v>
      </c>
      <c r="BQ11">
        <v>20</v>
      </c>
      <c r="BR11">
        <v>21.6</v>
      </c>
      <c r="BS11">
        <v>25</v>
      </c>
      <c r="BT11">
        <v>22</v>
      </c>
      <c r="BU11">
        <v>25</v>
      </c>
      <c r="BV11">
        <v>25.2</v>
      </c>
      <c r="BW11">
        <v>18</v>
      </c>
      <c r="BX11">
        <v>21.9</v>
      </c>
      <c r="BY11">
        <v>20</v>
      </c>
      <c r="BZ11">
        <v>21.8</v>
      </c>
      <c r="CA11">
        <v>20</v>
      </c>
      <c r="CB11">
        <v>10</v>
      </c>
      <c r="CC11">
        <v>10</v>
      </c>
      <c r="CD11">
        <v>11.7</v>
      </c>
      <c r="CE11">
        <v>10</v>
      </c>
      <c r="CF11">
        <v>12.3</v>
      </c>
      <c r="CG11">
        <v>9</v>
      </c>
      <c r="CH11">
        <v>12.5</v>
      </c>
      <c r="CI11">
        <v>9</v>
      </c>
    </row>
    <row r="12" spans="1:87" x14ac:dyDescent="0.35">
      <c r="A12" s="1">
        <v>46059.444444444445</v>
      </c>
      <c r="B12">
        <v>-19.100000000000001</v>
      </c>
      <c r="C12">
        <v>-22.1</v>
      </c>
      <c r="D12">
        <v>-25</v>
      </c>
      <c r="E12">
        <v>-20</v>
      </c>
      <c r="F12">
        <v>-18.2</v>
      </c>
      <c r="G12">
        <v>-25</v>
      </c>
      <c r="H12">
        <v>-20</v>
      </c>
      <c r="I12">
        <v>0.7</v>
      </c>
      <c r="J12">
        <v>-25</v>
      </c>
      <c r="K12">
        <v>-19.3</v>
      </c>
      <c r="L12">
        <v>-19.8</v>
      </c>
      <c r="M12">
        <v>-25</v>
      </c>
      <c r="N12">
        <v>-17.399999999999999</v>
      </c>
      <c r="O12">
        <v>-17.5</v>
      </c>
      <c r="P12">
        <v>-25</v>
      </c>
      <c r="Q12">
        <v>-17.399999999999999</v>
      </c>
      <c r="R12">
        <v>-17.3</v>
      </c>
      <c r="S12">
        <v>-25</v>
      </c>
      <c r="T12">
        <v>2.2000000000000002</v>
      </c>
      <c r="U12">
        <v>2.1</v>
      </c>
      <c r="V12">
        <v>2</v>
      </c>
      <c r="W12">
        <v>2.2000000000000002</v>
      </c>
      <c r="X12">
        <v>1.8</v>
      </c>
      <c r="Y12">
        <v>2</v>
      </c>
      <c r="Z12">
        <v>2.7</v>
      </c>
      <c r="AA12">
        <v>2</v>
      </c>
      <c r="AB12">
        <v>2</v>
      </c>
      <c r="AC12">
        <v>2.2000000000000002</v>
      </c>
      <c r="AD12">
        <v>-0.2</v>
      </c>
      <c r="AE12">
        <v>2</v>
      </c>
      <c r="AF12">
        <v>2.2000000000000002</v>
      </c>
      <c r="AG12">
        <v>1.8</v>
      </c>
      <c r="AH12">
        <v>2</v>
      </c>
      <c r="AI12">
        <v>2.1</v>
      </c>
      <c r="AJ12">
        <v>-1.2</v>
      </c>
      <c r="AK12">
        <v>2</v>
      </c>
      <c r="AL12">
        <v>5.3</v>
      </c>
      <c r="AM12">
        <v>4</v>
      </c>
      <c r="AN12">
        <v>6.1</v>
      </c>
      <c r="AO12">
        <v>4</v>
      </c>
      <c r="AP12">
        <v>4.9000000000000004</v>
      </c>
      <c r="AQ12">
        <v>4</v>
      </c>
      <c r="AR12">
        <v>4.5</v>
      </c>
      <c r="AS12">
        <v>4</v>
      </c>
      <c r="AT12">
        <v>-4.8</v>
      </c>
      <c r="AU12">
        <v>-6.4</v>
      </c>
      <c r="AV12">
        <v>-5</v>
      </c>
      <c r="AW12">
        <v>-4.8</v>
      </c>
      <c r="AX12">
        <v>-4.9000000000000004</v>
      </c>
      <c r="AY12">
        <v>-5</v>
      </c>
      <c r="AZ12">
        <v>9.4</v>
      </c>
      <c r="BA12">
        <v>10</v>
      </c>
      <c r="BB12">
        <v>10.1</v>
      </c>
      <c r="BC12">
        <v>10</v>
      </c>
      <c r="BD12">
        <v>4</v>
      </c>
      <c r="BE12">
        <v>4</v>
      </c>
      <c r="BF12">
        <v>11.3</v>
      </c>
      <c r="BG12">
        <v>10</v>
      </c>
      <c r="BH12">
        <v>11.3</v>
      </c>
      <c r="BI12">
        <v>10</v>
      </c>
      <c r="BJ12">
        <v>9.5</v>
      </c>
      <c r="BK12">
        <v>9</v>
      </c>
      <c r="BL12">
        <v>20.9</v>
      </c>
      <c r="BM12">
        <v>19</v>
      </c>
      <c r="BN12">
        <v>23.5</v>
      </c>
      <c r="BO12">
        <v>19</v>
      </c>
      <c r="BP12">
        <v>21.8</v>
      </c>
      <c r="BQ12">
        <v>20</v>
      </c>
      <c r="BR12">
        <v>21.6</v>
      </c>
      <c r="BS12">
        <v>25</v>
      </c>
      <c r="BT12">
        <v>22</v>
      </c>
      <c r="BU12">
        <v>25</v>
      </c>
      <c r="BV12">
        <v>25.2</v>
      </c>
      <c r="BW12">
        <v>18</v>
      </c>
      <c r="BX12">
        <v>21.9</v>
      </c>
      <c r="BY12">
        <v>20</v>
      </c>
      <c r="BZ12">
        <v>21.8</v>
      </c>
      <c r="CA12">
        <v>20</v>
      </c>
      <c r="CB12">
        <v>10</v>
      </c>
      <c r="CC12">
        <v>10</v>
      </c>
      <c r="CD12">
        <v>11.7</v>
      </c>
      <c r="CE12">
        <v>10</v>
      </c>
      <c r="CF12">
        <v>12.3</v>
      </c>
      <c r="CG12">
        <v>9</v>
      </c>
      <c r="CH12">
        <v>12.5</v>
      </c>
      <c r="CI12">
        <v>9</v>
      </c>
    </row>
    <row r="13" spans="1:87" x14ac:dyDescent="0.35">
      <c r="A13" s="1">
        <v>46059.445138888892</v>
      </c>
      <c r="B13">
        <v>-19.600000000000001</v>
      </c>
      <c r="C13">
        <v>-21.6</v>
      </c>
      <c r="D13">
        <v>-25</v>
      </c>
      <c r="E13">
        <v>-20.5</v>
      </c>
      <c r="F13">
        <v>-18.5</v>
      </c>
      <c r="G13">
        <v>-25</v>
      </c>
      <c r="H13">
        <v>-20</v>
      </c>
      <c r="I13">
        <v>1.8</v>
      </c>
      <c r="J13">
        <v>-25</v>
      </c>
      <c r="K13">
        <v>-19.3</v>
      </c>
      <c r="L13">
        <v>-19.7</v>
      </c>
      <c r="M13">
        <v>-25</v>
      </c>
      <c r="N13">
        <v>-17.3</v>
      </c>
      <c r="O13">
        <v>-17.399999999999999</v>
      </c>
      <c r="P13">
        <v>-25</v>
      </c>
      <c r="Q13">
        <v>-17.3</v>
      </c>
      <c r="R13">
        <v>-17.100000000000001</v>
      </c>
      <c r="S13">
        <v>-25</v>
      </c>
      <c r="T13">
        <v>2.2999999999999998</v>
      </c>
      <c r="U13">
        <v>2.2000000000000002</v>
      </c>
      <c r="V13">
        <v>2</v>
      </c>
      <c r="W13">
        <v>2.2999999999999998</v>
      </c>
      <c r="X13">
        <v>2</v>
      </c>
      <c r="Y13">
        <v>2</v>
      </c>
      <c r="Z13">
        <v>2.6</v>
      </c>
      <c r="AA13">
        <v>1.8</v>
      </c>
      <c r="AB13">
        <v>2</v>
      </c>
      <c r="AC13">
        <v>2</v>
      </c>
      <c r="AD13">
        <v>-0.3</v>
      </c>
      <c r="AE13">
        <v>2</v>
      </c>
      <c r="AF13">
        <v>2.1</v>
      </c>
      <c r="AG13">
        <v>1.6</v>
      </c>
      <c r="AH13">
        <v>2</v>
      </c>
      <c r="AI13">
        <v>2</v>
      </c>
      <c r="AJ13">
        <v>-0.2</v>
      </c>
      <c r="AK13">
        <v>2</v>
      </c>
      <c r="AL13">
        <v>5.2</v>
      </c>
      <c r="AM13">
        <v>4</v>
      </c>
      <c r="AN13">
        <v>5.9</v>
      </c>
      <c r="AO13">
        <v>4</v>
      </c>
      <c r="AP13">
        <v>5.0999999999999996</v>
      </c>
      <c r="AQ13">
        <v>4</v>
      </c>
      <c r="AR13">
        <v>4.7</v>
      </c>
      <c r="AS13">
        <v>4</v>
      </c>
      <c r="AT13">
        <v>-4.3</v>
      </c>
      <c r="AU13">
        <v>-5.0999999999999996</v>
      </c>
      <c r="AV13">
        <v>-5</v>
      </c>
      <c r="AW13">
        <v>-4.2</v>
      </c>
      <c r="AX13">
        <v>-4.0999999999999996</v>
      </c>
      <c r="AY13">
        <v>-5</v>
      </c>
      <c r="AZ13">
        <v>9.6</v>
      </c>
      <c r="BA13">
        <v>10</v>
      </c>
      <c r="BB13">
        <v>10.3</v>
      </c>
      <c r="BC13">
        <v>10</v>
      </c>
      <c r="BD13">
        <v>4.3</v>
      </c>
      <c r="BE13">
        <v>4</v>
      </c>
      <c r="BF13">
        <v>11.5</v>
      </c>
      <c r="BG13">
        <v>10</v>
      </c>
      <c r="BH13">
        <v>11.3</v>
      </c>
      <c r="BI13">
        <v>10</v>
      </c>
      <c r="BJ13">
        <v>9.5</v>
      </c>
      <c r="BK13">
        <v>9</v>
      </c>
      <c r="BL13">
        <v>20.9</v>
      </c>
      <c r="BM13">
        <v>19</v>
      </c>
      <c r="BN13">
        <v>23.5</v>
      </c>
      <c r="BO13">
        <v>19</v>
      </c>
      <c r="BP13">
        <v>21.8</v>
      </c>
      <c r="BQ13">
        <v>20</v>
      </c>
      <c r="BR13">
        <v>21.6</v>
      </c>
      <c r="BS13">
        <v>25</v>
      </c>
      <c r="BT13">
        <v>21.9</v>
      </c>
      <c r="BU13">
        <v>25</v>
      </c>
      <c r="BV13">
        <v>25.2</v>
      </c>
      <c r="BW13">
        <v>18</v>
      </c>
      <c r="BX13">
        <v>21.9</v>
      </c>
      <c r="BY13">
        <v>20</v>
      </c>
      <c r="BZ13">
        <v>21.8</v>
      </c>
      <c r="CA13">
        <v>20</v>
      </c>
      <c r="CB13">
        <v>10.5</v>
      </c>
      <c r="CC13">
        <v>10</v>
      </c>
      <c r="CD13">
        <v>11.8</v>
      </c>
      <c r="CE13">
        <v>10</v>
      </c>
      <c r="CF13">
        <v>12.2</v>
      </c>
      <c r="CG13">
        <v>9</v>
      </c>
      <c r="CH13">
        <v>12.5</v>
      </c>
      <c r="CI13">
        <v>9</v>
      </c>
    </row>
    <row r="14" spans="1:87" x14ac:dyDescent="0.35">
      <c r="A14" s="1">
        <v>46059.445833333331</v>
      </c>
      <c r="B14">
        <v>-19.7</v>
      </c>
      <c r="C14">
        <v>-20.6</v>
      </c>
      <c r="D14">
        <v>-25</v>
      </c>
      <c r="E14">
        <v>-20.3</v>
      </c>
      <c r="F14">
        <v>-18.7</v>
      </c>
      <c r="G14">
        <v>-25</v>
      </c>
      <c r="H14">
        <v>-20</v>
      </c>
      <c r="I14">
        <v>4.5</v>
      </c>
      <c r="J14">
        <v>-25</v>
      </c>
      <c r="K14">
        <v>-19.3</v>
      </c>
      <c r="L14">
        <v>-19.600000000000001</v>
      </c>
      <c r="M14">
        <v>-25</v>
      </c>
      <c r="N14">
        <v>-17.3</v>
      </c>
      <c r="O14">
        <v>-17.3</v>
      </c>
      <c r="P14">
        <v>-25</v>
      </c>
      <c r="Q14">
        <v>-17.2</v>
      </c>
      <c r="R14">
        <v>-17.100000000000001</v>
      </c>
      <c r="S14">
        <v>-25</v>
      </c>
      <c r="T14">
        <v>2.5</v>
      </c>
      <c r="U14">
        <v>2.4</v>
      </c>
      <c r="V14">
        <v>2</v>
      </c>
      <c r="W14">
        <v>2.4</v>
      </c>
      <c r="X14">
        <v>2.1</v>
      </c>
      <c r="Y14">
        <v>2</v>
      </c>
      <c r="Z14">
        <v>2.5</v>
      </c>
      <c r="AA14">
        <v>1.8</v>
      </c>
      <c r="AB14">
        <v>2</v>
      </c>
      <c r="AC14">
        <v>2</v>
      </c>
      <c r="AD14">
        <v>0.7</v>
      </c>
      <c r="AE14">
        <v>2</v>
      </c>
      <c r="AF14">
        <v>2.1</v>
      </c>
      <c r="AG14">
        <v>1.7</v>
      </c>
      <c r="AH14">
        <v>2</v>
      </c>
      <c r="AI14">
        <v>2</v>
      </c>
      <c r="AJ14">
        <v>0.8</v>
      </c>
      <c r="AK14">
        <v>2</v>
      </c>
      <c r="AL14">
        <v>5.0999999999999996</v>
      </c>
      <c r="AM14">
        <v>4</v>
      </c>
      <c r="AN14">
        <v>5.7</v>
      </c>
      <c r="AO14">
        <v>4</v>
      </c>
      <c r="AP14">
        <v>5.2</v>
      </c>
      <c r="AQ14">
        <v>4</v>
      </c>
      <c r="AR14">
        <v>4.9000000000000004</v>
      </c>
      <c r="AS14">
        <v>4</v>
      </c>
      <c r="AT14">
        <v>-4</v>
      </c>
      <c r="AU14">
        <v>-5.3</v>
      </c>
      <c r="AV14">
        <v>-5</v>
      </c>
      <c r="AW14">
        <v>-3.6</v>
      </c>
      <c r="AX14">
        <v>-3.5</v>
      </c>
      <c r="AY14">
        <v>-5</v>
      </c>
      <c r="AZ14">
        <v>9.8000000000000007</v>
      </c>
      <c r="BA14">
        <v>10</v>
      </c>
      <c r="BB14">
        <v>10.7</v>
      </c>
      <c r="BC14">
        <v>10</v>
      </c>
      <c r="BD14">
        <v>4.5</v>
      </c>
      <c r="BE14">
        <v>4</v>
      </c>
      <c r="BF14">
        <v>11.8</v>
      </c>
      <c r="BG14">
        <v>10</v>
      </c>
      <c r="BH14">
        <v>11.3</v>
      </c>
      <c r="BI14">
        <v>10</v>
      </c>
      <c r="BJ14">
        <v>9.5</v>
      </c>
      <c r="BK14">
        <v>9</v>
      </c>
      <c r="BL14">
        <v>20.9</v>
      </c>
      <c r="BM14">
        <v>19</v>
      </c>
      <c r="BN14">
        <v>23.5</v>
      </c>
      <c r="BO14">
        <v>19</v>
      </c>
      <c r="BP14">
        <v>21.8</v>
      </c>
      <c r="BQ14">
        <v>20</v>
      </c>
      <c r="BR14">
        <v>21.6</v>
      </c>
      <c r="BS14">
        <v>25</v>
      </c>
      <c r="BT14">
        <v>21.9</v>
      </c>
      <c r="BU14">
        <v>25</v>
      </c>
      <c r="BV14">
        <v>25.2</v>
      </c>
      <c r="BW14">
        <v>18</v>
      </c>
      <c r="BX14">
        <v>21.9</v>
      </c>
      <c r="BY14">
        <v>20</v>
      </c>
      <c r="BZ14">
        <v>21.8</v>
      </c>
      <c r="CA14">
        <v>20</v>
      </c>
      <c r="CB14">
        <v>10.9</v>
      </c>
      <c r="CC14">
        <v>10</v>
      </c>
      <c r="CD14">
        <v>11.9</v>
      </c>
      <c r="CE14">
        <v>10</v>
      </c>
      <c r="CF14">
        <v>12.2</v>
      </c>
      <c r="CG14">
        <v>9</v>
      </c>
      <c r="CH14">
        <v>12.5</v>
      </c>
      <c r="CI14">
        <v>9</v>
      </c>
    </row>
    <row r="15" spans="1:87" x14ac:dyDescent="0.35">
      <c r="A15" s="1">
        <v>46059.446527777778</v>
      </c>
      <c r="B15">
        <v>-19.600000000000001</v>
      </c>
      <c r="C15">
        <v>-19.8</v>
      </c>
      <c r="D15">
        <v>-25</v>
      </c>
      <c r="E15">
        <v>-19.600000000000001</v>
      </c>
      <c r="F15">
        <v>-18.7</v>
      </c>
      <c r="G15">
        <v>-25</v>
      </c>
      <c r="H15">
        <v>-20</v>
      </c>
      <c r="I15">
        <v>6.6</v>
      </c>
      <c r="J15">
        <v>-25</v>
      </c>
      <c r="K15">
        <v>-19.3</v>
      </c>
      <c r="L15">
        <v>-19.5</v>
      </c>
      <c r="M15">
        <v>-25</v>
      </c>
      <c r="N15">
        <v>-17.3</v>
      </c>
      <c r="O15">
        <v>-17.2</v>
      </c>
      <c r="P15">
        <v>-25</v>
      </c>
      <c r="Q15">
        <v>-17.2</v>
      </c>
      <c r="R15">
        <v>-17.100000000000001</v>
      </c>
      <c r="S15">
        <v>-25</v>
      </c>
      <c r="T15">
        <v>2.6</v>
      </c>
      <c r="U15">
        <v>2.5</v>
      </c>
      <c r="V15">
        <v>2</v>
      </c>
      <c r="W15">
        <v>2.6</v>
      </c>
      <c r="X15">
        <v>2.2999999999999998</v>
      </c>
      <c r="Y15">
        <v>2</v>
      </c>
      <c r="Z15">
        <v>2.5</v>
      </c>
      <c r="AA15">
        <v>1.9</v>
      </c>
      <c r="AB15">
        <v>2</v>
      </c>
      <c r="AC15">
        <v>2</v>
      </c>
      <c r="AD15">
        <v>1.2</v>
      </c>
      <c r="AE15">
        <v>2</v>
      </c>
      <c r="AF15">
        <v>2.2000000000000002</v>
      </c>
      <c r="AG15">
        <v>2</v>
      </c>
      <c r="AH15">
        <v>2</v>
      </c>
      <c r="AI15">
        <v>2.1</v>
      </c>
      <c r="AJ15">
        <v>1.3</v>
      </c>
      <c r="AK15">
        <v>2</v>
      </c>
      <c r="AL15">
        <v>5</v>
      </c>
      <c r="AM15">
        <v>4</v>
      </c>
      <c r="AN15">
        <v>5.5</v>
      </c>
      <c r="AO15">
        <v>4</v>
      </c>
      <c r="AP15">
        <v>5.4</v>
      </c>
      <c r="AQ15">
        <v>4</v>
      </c>
      <c r="AR15">
        <v>5.0999999999999996</v>
      </c>
      <c r="AS15">
        <v>4</v>
      </c>
      <c r="AT15">
        <v>-4.3</v>
      </c>
      <c r="AU15">
        <v>-6.9</v>
      </c>
      <c r="AV15">
        <v>-5</v>
      </c>
      <c r="AW15">
        <v>-3.2</v>
      </c>
      <c r="AX15">
        <v>-3</v>
      </c>
      <c r="AY15">
        <v>-5</v>
      </c>
      <c r="AZ15">
        <v>10</v>
      </c>
      <c r="BA15">
        <v>10</v>
      </c>
      <c r="BB15">
        <v>11.1</v>
      </c>
      <c r="BC15">
        <v>10</v>
      </c>
      <c r="BD15">
        <v>4.8</v>
      </c>
      <c r="BE15">
        <v>4</v>
      </c>
      <c r="BF15">
        <v>12</v>
      </c>
      <c r="BG15">
        <v>10</v>
      </c>
      <c r="BH15">
        <v>11.2</v>
      </c>
      <c r="BI15">
        <v>10</v>
      </c>
      <c r="BJ15">
        <v>9.5</v>
      </c>
      <c r="BK15">
        <v>9</v>
      </c>
      <c r="BL15">
        <v>20.9</v>
      </c>
      <c r="BM15">
        <v>19</v>
      </c>
      <c r="BN15">
        <v>23.5</v>
      </c>
      <c r="BO15">
        <v>19</v>
      </c>
      <c r="BP15">
        <v>21.9</v>
      </c>
      <c r="BQ15">
        <v>20</v>
      </c>
      <c r="BR15">
        <v>21.6</v>
      </c>
      <c r="BS15">
        <v>25</v>
      </c>
      <c r="BT15">
        <v>21.9</v>
      </c>
      <c r="BU15">
        <v>25</v>
      </c>
      <c r="BV15">
        <v>25.2</v>
      </c>
      <c r="BW15">
        <v>18</v>
      </c>
      <c r="BX15">
        <v>21.9</v>
      </c>
      <c r="BY15">
        <v>20</v>
      </c>
      <c r="BZ15">
        <v>21.9</v>
      </c>
      <c r="CA15">
        <v>20</v>
      </c>
      <c r="CB15">
        <v>11.3</v>
      </c>
      <c r="CC15">
        <v>10</v>
      </c>
      <c r="CD15">
        <v>12</v>
      </c>
      <c r="CE15">
        <v>10</v>
      </c>
      <c r="CF15">
        <v>12.2</v>
      </c>
      <c r="CG15">
        <v>9</v>
      </c>
      <c r="CH15">
        <v>12.5</v>
      </c>
      <c r="CI15">
        <v>9</v>
      </c>
    </row>
    <row r="16" spans="1:87" x14ac:dyDescent="0.35">
      <c r="A16" s="1">
        <v>46059.447222222225</v>
      </c>
      <c r="B16">
        <v>-19.100000000000001</v>
      </c>
      <c r="C16">
        <v>-19.2</v>
      </c>
      <c r="D16">
        <v>-25</v>
      </c>
      <c r="E16">
        <v>-19.100000000000001</v>
      </c>
      <c r="F16">
        <v>-18.7</v>
      </c>
      <c r="G16">
        <v>-25</v>
      </c>
      <c r="H16">
        <v>-20</v>
      </c>
      <c r="I16">
        <v>8.4</v>
      </c>
      <c r="J16">
        <v>-25</v>
      </c>
      <c r="K16">
        <v>-19.2</v>
      </c>
      <c r="L16">
        <v>-19.3</v>
      </c>
      <c r="M16">
        <v>-25</v>
      </c>
      <c r="N16">
        <v>-17.5</v>
      </c>
      <c r="O16">
        <v>-17.100000000000001</v>
      </c>
      <c r="P16">
        <v>-25</v>
      </c>
      <c r="Q16">
        <v>-17.2</v>
      </c>
      <c r="R16">
        <v>-17.100000000000001</v>
      </c>
      <c r="S16">
        <v>-25</v>
      </c>
      <c r="T16">
        <v>2.7</v>
      </c>
      <c r="U16">
        <v>2.6</v>
      </c>
      <c r="V16">
        <v>2</v>
      </c>
      <c r="W16">
        <v>2.7</v>
      </c>
      <c r="X16">
        <v>2.4</v>
      </c>
      <c r="Y16">
        <v>2</v>
      </c>
      <c r="Z16">
        <v>2.5</v>
      </c>
      <c r="AA16">
        <v>2.1</v>
      </c>
      <c r="AB16">
        <v>2</v>
      </c>
      <c r="AC16">
        <v>2.2000000000000002</v>
      </c>
      <c r="AD16">
        <v>1.5</v>
      </c>
      <c r="AE16">
        <v>2</v>
      </c>
      <c r="AF16">
        <v>2.5</v>
      </c>
      <c r="AG16">
        <v>2.2999999999999998</v>
      </c>
      <c r="AH16">
        <v>2</v>
      </c>
      <c r="AI16">
        <v>2.4</v>
      </c>
      <c r="AJ16">
        <v>1.7</v>
      </c>
      <c r="AK16">
        <v>2</v>
      </c>
      <c r="AL16">
        <v>4.9000000000000004</v>
      </c>
      <c r="AM16">
        <v>4</v>
      </c>
      <c r="AN16">
        <v>5.4</v>
      </c>
      <c r="AO16">
        <v>4</v>
      </c>
      <c r="AP16">
        <v>5.5</v>
      </c>
      <c r="AQ16">
        <v>4</v>
      </c>
      <c r="AR16">
        <v>5.3</v>
      </c>
      <c r="AS16">
        <v>4</v>
      </c>
      <c r="AT16">
        <v>-4.8</v>
      </c>
      <c r="AU16">
        <v>-7</v>
      </c>
      <c r="AV16">
        <v>-5</v>
      </c>
      <c r="AW16">
        <v>-2.8</v>
      </c>
      <c r="AX16">
        <v>-2.7</v>
      </c>
      <c r="AY16">
        <v>-5</v>
      </c>
      <c r="AZ16">
        <v>10.1</v>
      </c>
      <c r="BA16">
        <v>10</v>
      </c>
      <c r="BB16">
        <v>11.3</v>
      </c>
      <c r="BC16">
        <v>10</v>
      </c>
      <c r="BD16">
        <v>4.9000000000000004</v>
      </c>
      <c r="BE16">
        <v>4</v>
      </c>
      <c r="BF16">
        <v>11.6</v>
      </c>
      <c r="BG16">
        <v>10</v>
      </c>
      <c r="BH16">
        <v>11.1</v>
      </c>
      <c r="BI16">
        <v>10</v>
      </c>
      <c r="BJ16">
        <v>9.5</v>
      </c>
      <c r="BK16">
        <v>9</v>
      </c>
      <c r="BL16">
        <v>20.9</v>
      </c>
      <c r="BM16">
        <v>19</v>
      </c>
      <c r="BN16">
        <v>23.5</v>
      </c>
      <c r="BO16">
        <v>19</v>
      </c>
      <c r="BP16">
        <v>21.9</v>
      </c>
      <c r="BQ16">
        <v>20</v>
      </c>
      <c r="BR16">
        <v>21.6</v>
      </c>
      <c r="BS16">
        <v>25</v>
      </c>
      <c r="BT16">
        <v>21.9</v>
      </c>
      <c r="BU16">
        <v>25</v>
      </c>
      <c r="BV16">
        <v>25.2</v>
      </c>
      <c r="BW16">
        <v>18</v>
      </c>
      <c r="BX16">
        <v>21.3</v>
      </c>
      <c r="BY16">
        <v>20</v>
      </c>
      <c r="BZ16">
        <v>21.9</v>
      </c>
      <c r="CA16">
        <v>20</v>
      </c>
      <c r="CB16">
        <v>11.8</v>
      </c>
      <c r="CC16">
        <v>10</v>
      </c>
      <c r="CD16">
        <v>12</v>
      </c>
      <c r="CE16">
        <v>10</v>
      </c>
      <c r="CF16">
        <v>12.2</v>
      </c>
      <c r="CG16">
        <v>9</v>
      </c>
      <c r="CH16">
        <v>12.5</v>
      </c>
      <c r="CI16">
        <v>9</v>
      </c>
    </row>
    <row r="17" spans="1:87" x14ac:dyDescent="0.35">
      <c r="A17" s="1">
        <v>46059.447916666664</v>
      </c>
      <c r="B17">
        <v>-18.8</v>
      </c>
      <c r="C17">
        <v>-18.8</v>
      </c>
      <c r="D17">
        <v>-25</v>
      </c>
      <c r="E17">
        <v>-18.7</v>
      </c>
      <c r="F17">
        <v>-18.7</v>
      </c>
      <c r="G17">
        <v>-25</v>
      </c>
      <c r="H17">
        <v>-20</v>
      </c>
      <c r="I17">
        <v>10.3</v>
      </c>
      <c r="J17">
        <v>-25</v>
      </c>
      <c r="K17">
        <v>-19</v>
      </c>
      <c r="L17">
        <v>-19.100000000000001</v>
      </c>
      <c r="M17">
        <v>-25</v>
      </c>
      <c r="N17">
        <v>-17.7</v>
      </c>
      <c r="O17">
        <v>-17.100000000000001</v>
      </c>
      <c r="P17">
        <v>-25</v>
      </c>
      <c r="Q17">
        <v>-17.399999999999999</v>
      </c>
      <c r="R17">
        <v>-17.100000000000001</v>
      </c>
      <c r="S17">
        <v>-25</v>
      </c>
      <c r="T17">
        <v>2.8</v>
      </c>
      <c r="U17">
        <v>2.7</v>
      </c>
      <c r="V17">
        <v>2</v>
      </c>
      <c r="W17">
        <v>2.8</v>
      </c>
      <c r="X17">
        <v>2.6</v>
      </c>
      <c r="Y17">
        <v>2</v>
      </c>
      <c r="Z17">
        <v>2.6</v>
      </c>
      <c r="AA17">
        <v>2.2000000000000002</v>
      </c>
      <c r="AB17">
        <v>2</v>
      </c>
      <c r="AC17">
        <v>2.2999999999999998</v>
      </c>
      <c r="AD17">
        <v>1.7</v>
      </c>
      <c r="AE17">
        <v>2</v>
      </c>
      <c r="AF17">
        <v>2.6</v>
      </c>
      <c r="AG17">
        <v>2.4</v>
      </c>
      <c r="AH17">
        <v>2</v>
      </c>
      <c r="AI17">
        <v>2.5</v>
      </c>
      <c r="AJ17">
        <v>2</v>
      </c>
      <c r="AK17">
        <v>2</v>
      </c>
      <c r="AL17">
        <v>4.8</v>
      </c>
      <c r="AM17">
        <v>4</v>
      </c>
      <c r="AN17">
        <v>5.2</v>
      </c>
      <c r="AO17">
        <v>4</v>
      </c>
      <c r="AP17">
        <v>5.7</v>
      </c>
      <c r="AQ17">
        <v>4</v>
      </c>
      <c r="AR17">
        <v>5.5</v>
      </c>
      <c r="AS17">
        <v>4</v>
      </c>
      <c r="AT17">
        <v>-4.8</v>
      </c>
      <c r="AU17">
        <v>-6.4</v>
      </c>
      <c r="AV17">
        <v>-5</v>
      </c>
      <c r="AW17">
        <v>-2.8</v>
      </c>
      <c r="AX17">
        <v>-2.7</v>
      </c>
      <c r="AY17">
        <v>-5</v>
      </c>
      <c r="AZ17">
        <v>10.3</v>
      </c>
      <c r="BA17">
        <v>10</v>
      </c>
      <c r="BB17">
        <v>11.7</v>
      </c>
      <c r="BC17">
        <v>10</v>
      </c>
      <c r="BD17">
        <v>5.0999999999999996</v>
      </c>
      <c r="BE17">
        <v>4</v>
      </c>
      <c r="BF17">
        <v>10.8</v>
      </c>
      <c r="BG17">
        <v>10</v>
      </c>
      <c r="BH17">
        <v>11.1</v>
      </c>
      <c r="BI17">
        <v>10</v>
      </c>
      <c r="BJ17">
        <v>9.5</v>
      </c>
      <c r="BK17">
        <v>9</v>
      </c>
      <c r="BL17">
        <v>20.9</v>
      </c>
      <c r="BM17">
        <v>19</v>
      </c>
      <c r="BN17">
        <v>23.5</v>
      </c>
      <c r="BO17">
        <v>19</v>
      </c>
      <c r="BP17">
        <v>21.9</v>
      </c>
      <c r="BQ17">
        <v>20</v>
      </c>
      <c r="BR17">
        <v>21.6</v>
      </c>
      <c r="BS17">
        <v>25</v>
      </c>
      <c r="BT17">
        <v>21.9</v>
      </c>
      <c r="BU17">
        <v>25</v>
      </c>
      <c r="BV17">
        <v>25.2</v>
      </c>
      <c r="BW17">
        <v>18</v>
      </c>
      <c r="BX17">
        <v>18.8</v>
      </c>
      <c r="BY17">
        <v>20</v>
      </c>
      <c r="BZ17">
        <v>21.9</v>
      </c>
      <c r="CA17">
        <v>20</v>
      </c>
      <c r="CB17">
        <v>12</v>
      </c>
      <c r="CC17">
        <v>10</v>
      </c>
      <c r="CD17">
        <v>11.3</v>
      </c>
      <c r="CE17">
        <v>10</v>
      </c>
      <c r="CF17">
        <v>12.4</v>
      </c>
      <c r="CG17">
        <v>9</v>
      </c>
      <c r="CH17">
        <v>12.6</v>
      </c>
      <c r="CI17">
        <v>9</v>
      </c>
    </row>
    <row r="18" spans="1:87" x14ac:dyDescent="0.35">
      <c r="A18" s="1">
        <v>46059.448611111111</v>
      </c>
      <c r="B18">
        <v>-18.399999999999999</v>
      </c>
      <c r="C18">
        <v>-18.399999999999999</v>
      </c>
      <c r="D18">
        <v>-25</v>
      </c>
      <c r="E18">
        <v>-18.3</v>
      </c>
      <c r="F18">
        <v>-18.5</v>
      </c>
      <c r="G18">
        <v>-25</v>
      </c>
      <c r="H18">
        <v>-20</v>
      </c>
      <c r="I18">
        <v>11.4</v>
      </c>
      <c r="J18">
        <v>-25</v>
      </c>
      <c r="K18">
        <v>-18.8</v>
      </c>
      <c r="L18">
        <v>-18.899999999999999</v>
      </c>
      <c r="M18">
        <v>-25</v>
      </c>
      <c r="N18">
        <v>-17.8</v>
      </c>
      <c r="O18">
        <v>-17.100000000000001</v>
      </c>
      <c r="P18">
        <v>-25</v>
      </c>
      <c r="Q18">
        <v>-17.5</v>
      </c>
      <c r="R18">
        <v>-17.3</v>
      </c>
      <c r="S18">
        <v>-25</v>
      </c>
      <c r="T18">
        <v>2.9</v>
      </c>
      <c r="U18">
        <v>2.8</v>
      </c>
      <c r="V18">
        <v>2</v>
      </c>
      <c r="W18">
        <v>2.9</v>
      </c>
      <c r="X18">
        <v>2.7</v>
      </c>
      <c r="Y18">
        <v>2</v>
      </c>
      <c r="Z18">
        <v>2.7</v>
      </c>
      <c r="AA18">
        <v>2.2999999999999998</v>
      </c>
      <c r="AB18">
        <v>2</v>
      </c>
      <c r="AC18">
        <v>2.4</v>
      </c>
      <c r="AD18">
        <v>1.9</v>
      </c>
      <c r="AE18">
        <v>2</v>
      </c>
      <c r="AF18">
        <v>2.8</v>
      </c>
      <c r="AG18">
        <v>2.6</v>
      </c>
      <c r="AH18">
        <v>2</v>
      </c>
      <c r="AI18">
        <v>2.7</v>
      </c>
      <c r="AJ18">
        <v>2.2999999999999998</v>
      </c>
      <c r="AK18">
        <v>2</v>
      </c>
      <c r="AL18">
        <v>4.7</v>
      </c>
      <c r="AM18">
        <v>4</v>
      </c>
      <c r="AN18">
        <v>5</v>
      </c>
      <c r="AO18">
        <v>4</v>
      </c>
      <c r="AP18">
        <v>5.8</v>
      </c>
      <c r="AQ18">
        <v>4</v>
      </c>
      <c r="AR18">
        <v>5.6</v>
      </c>
      <c r="AS18">
        <v>4</v>
      </c>
      <c r="AT18">
        <v>-4.8</v>
      </c>
      <c r="AU18">
        <v>-5.8</v>
      </c>
      <c r="AV18">
        <v>-5</v>
      </c>
      <c r="AW18">
        <v>-3.1</v>
      </c>
      <c r="AX18">
        <v>-3.7</v>
      </c>
      <c r="AY18">
        <v>-5</v>
      </c>
      <c r="AZ18">
        <v>10.4</v>
      </c>
      <c r="BA18">
        <v>10</v>
      </c>
      <c r="BB18">
        <v>11.9</v>
      </c>
      <c r="BC18">
        <v>10</v>
      </c>
      <c r="BD18">
        <v>5.3</v>
      </c>
      <c r="BE18">
        <v>4</v>
      </c>
      <c r="BF18">
        <v>9.4</v>
      </c>
      <c r="BG18">
        <v>10</v>
      </c>
      <c r="BH18">
        <v>11.1</v>
      </c>
      <c r="BI18">
        <v>10</v>
      </c>
      <c r="BJ18">
        <v>9.5</v>
      </c>
      <c r="BK18">
        <v>9</v>
      </c>
      <c r="BL18">
        <v>21</v>
      </c>
      <c r="BM18">
        <v>19</v>
      </c>
      <c r="BN18">
        <v>23.5</v>
      </c>
      <c r="BO18">
        <v>19</v>
      </c>
      <c r="BP18">
        <v>21.9</v>
      </c>
      <c r="BQ18">
        <v>20</v>
      </c>
      <c r="BR18">
        <v>21.6</v>
      </c>
      <c r="BS18">
        <v>25</v>
      </c>
      <c r="BT18">
        <v>21.9</v>
      </c>
      <c r="BU18">
        <v>25</v>
      </c>
      <c r="BV18">
        <v>25.2</v>
      </c>
      <c r="BW18">
        <v>18</v>
      </c>
      <c r="BX18">
        <v>17.899999999999999</v>
      </c>
      <c r="BY18">
        <v>20</v>
      </c>
      <c r="BZ18">
        <v>21.9</v>
      </c>
      <c r="CA18">
        <v>20</v>
      </c>
      <c r="CB18">
        <v>12</v>
      </c>
      <c r="CC18">
        <v>10</v>
      </c>
      <c r="CD18">
        <v>11</v>
      </c>
      <c r="CE18">
        <v>10</v>
      </c>
      <c r="CF18">
        <v>12.3</v>
      </c>
      <c r="CG18">
        <v>9</v>
      </c>
      <c r="CH18">
        <v>12.5</v>
      </c>
      <c r="CI18">
        <v>9</v>
      </c>
    </row>
    <row r="19" spans="1:87" x14ac:dyDescent="0.35">
      <c r="A19" s="1">
        <v>46059.449305555558</v>
      </c>
      <c r="B19">
        <v>-18.2</v>
      </c>
      <c r="C19">
        <v>-18.2</v>
      </c>
      <c r="D19">
        <v>-25</v>
      </c>
      <c r="E19">
        <v>-18</v>
      </c>
      <c r="F19">
        <v>-18.3</v>
      </c>
      <c r="G19">
        <v>-25</v>
      </c>
      <c r="H19">
        <v>-20</v>
      </c>
      <c r="I19">
        <v>12.4</v>
      </c>
      <c r="J19">
        <v>-25</v>
      </c>
      <c r="K19">
        <v>-18.600000000000001</v>
      </c>
      <c r="L19">
        <v>-18.7</v>
      </c>
      <c r="M19">
        <v>-25</v>
      </c>
      <c r="N19">
        <v>-17.899999999999999</v>
      </c>
      <c r="O19">
        <v>-17.100000000000001</v>
      </c>
      <c r="P19">
        <v>-25</v>
      </c>
      <c r="Q19">
        <v>-16.7</v>
      </c>
      <c r="R19">
        <v>-16.8</v>
      </c>
      <c r="S19">
        <v>-25</v>
      </c>
      <c r="T19">
        <v>3</v>
      </c>
      <c r="U19">
        <v>2.9</v>
      </c>
      <c r="V19">
        <v>2</v>
      </c>
      <c r="W19">
        <v>3</v>
      </c>
      <c r="X19">
        <v>2.8</v>
      </c>
      <c r="Y19">
        <v>2</v>
      </c>
      <c r="Z19">
        <v>2.7</v>
      </c>
      <c r="AA19">
        <v>2.2999999999999998</v>
      </c>
      <c r="AB19">
        <v>2</v>
      </c>
      <c r="AC19">
        <v>2.4</v>
      </c>
      <c r="AD19">
        <v>2</v>
      </c>
      <c r="AE19">
        <v>2</v>
      </c>
      <c r="AF19">
        <v>3</v>
      </c>
      <c r="AG19">
        <v>2.9</v>
      </c>
      <c r="AH19">
        <v>2</v>
      </c>
      <c r="AI19">
        <v>2.9</v>
      </c>
      <c r="AJ19">
        <v>2.6</v>
      </c>
      <c r="AK19">
        <v>2</v>
      </c>
      <c r="AL19">
        <v>4.7</v>
      </c>
      <c r="AM19">
        <v>4</v>
      </c>
      <c r="AN19">
        <v>5</v>
      </c>
      <c r="AO19">
        <v>4</v>
      </c>
      <c r="AP19">
        <v>6</v>
      </c>
      <c r="AQ19">
        <v>4</v>
      </c>
      <c r="AR19">
        <v>5.7</v>
      </c>
      <c r="AS19">
        <v>4</v>
      </c>
      <c r="AT19">
        <v>-4.8</v>
      </c>
      <c r="AU19">
        <v>-5.7</v>
      </c>
      <c r="AV19">
        <v>-5</v>
      </c>
      <c r="AW19">
        <v>-3.7</v>
      </c>
      <c r="AX19">
        <v>-5</v>
      </c>
      <c r="AY19">
        <v>-5</v>
      </c>
      <c r="AZ19">
        <v>10.6</v>
      </c>
      <c r="BA19">
        <v>10</v>
      </c>
      <c r="BB19">
        <v>12.1</v>
      </c>
      <c r="BC19">
        <v>10</v>
      </c>
      <c r="BD19">
        <v>5.4</v>
      </c>
      <c r="BE19">
        <v>4</v>
      </c>
      <c r="BF19">
        <v>9.1999999999999993</v>
      </c>
      <c r="BG19">
        <v>10</v>
      </c>
      <c r="BH19">
        <v>11.2</v>
      </c>
      <c r="BI19">
        <v>10</v>
      </c>
      <c r="BJ19">
        <v>9.5</v>
      </c>
      <c r="BK19">
        <v>9</v>
      </c>
      <c r="BL19">
        <v>21</v>
      </c>
      <c r="BM19">
        <v>19</v>
      </c>
      <c r="BN19">
        <v>23.5</v>
      </c>
      <c r="BO19">
        <v>19</v>
      </c>
      <c r="BP19">
        <v>21.9</v>
      </c>
      <c r="BQ19">
        <v>20</v>
      </c>
      <c r="BR19">
        <v>21.6</v>
      </c>
      <c r="BS19">
        <v>25</v>
      </c>
      <c r="BT19">
        <v>21.9</v>
      </c>
      <c r="BU19">
        <v>25</v>
      </c>
      <c r="BV19">
        <v>25.2</v>
      </c>
      <c r="BW19">
        <v>18</v>
      </c>
      <c r="BX19">
        <v>17.899999999999999</v>
      </c>
      <c r="BY19">
        <v>20</v>
      </c>
      <c r="BZ19">
        <v>21.9</v>
      </c>
      <c r="CA19">
        <v>20</v>
      </c>
      <c r="CB19">
        <v>11.8</v>
      </c>
      <c r="CC19">
        <v>10</v>
      </c>
      <c r="CD19">
        <v>10.8</v>
      </c>
      <c r="CE19">
        <v>10</v>
      </c>
      <c r="CF19">
        <v>12.2</v>
      </c>
      <c r="CG19">
        <v>9</v>
      </c>
      <c r="CH19">
        <v>12.4</v>
      </c>
      <c r="CI19">
        <v>9</v>
      </c>
    </row>
    <row r="20" spans="1:87" x14ac:dyDescent="0.35">
      <c r="A20" s="1">
        <v>46059.45</v>
      </c>
      <c r="B20">
        <v>-17.899999999999999</v>
      </c>
      <c r="C20">
        <v>-17.899999999999999</v>
      </c>
      <c r="D20">
        <v>-25</v>
      </c>
      <c r="E20">
        <v>-17.7</v>
      </c>
      <c r="F20">
        <v>-18.100000000000001</v>
      </c>
      <c r="G20">
        <v>-25</v>
      </c>
      <c r="H20">
        <v>-20</v>
      </c>
      <c r="I20">
        <v>12.9</v>
      </c>
      <c r="J20">
        <v>-25</v>
      </c>
      <c r="K20">
        <v>-18.5</v>
      </c>
      <c r="L20">
        <v>-18.600000000000001</v>
      </c>
      <c r="M20">
        <v>-25</v>
      </c>
      <c r="N20">
        <v>-17.5</v>
      </c>
      <c r="O20">
        <v>-17.100000000000001</v>
      </c>
      <c r="P20">
        <v>-25</v>
      </c>
      <c r="Q20">
        <v>-16.7</v>
      </c>
      <c r="R20">
        <v>-16.5</v>
      </c>
      <c r="S20">
        <v>-25</v>
      </c>
      <c r="T20">
        <v>3.1</v>
      </c>
      <c r="U20">
        <v>3</v>
      </c>
      <c r="V20">
        <v>2</v>
      </c>
      <c r="W20">
        <v>3.1</v>
      </c>
      <c r="X20">
        <v>2.9</v>
      </c>
      <c r="Y20">
        <v>2</v>
      </c>
      <c r="Z20">
        <v>2.8</v>
      </c>
      <c r="AA20">
        <v>2.4</v>
      </c>
      <c r="AB20">
        <v>2</v>
      </c>
      <c r="AC20">
        <v>2.5</v>
      </c>
      <c r="AD20">
        <v>2.1</v>
      </c>
      <c r="AE20">
        <v>2</v>
      </c>
      <c r="AF20">
        <v>3.2</v>
      </c>
      <c r="AG20">
        <v>3</v>
      </c>
      <c r="AH20">
        <v>2</v>
      </c>
      <c r="AI20">
        <v>3.1</v>
      </c>
      <c r="AJ20">
        <v>2.8</v>
      </c>
      <c r="AK20">
        <v>2</v>
      </c>
      <c r="AL20">
        <v>4.7</v>
      </c>
      <c r="AM20">
        <v>4</v>
      </c>
      <c r="AN20">
        <v>5</v>
      </c>
      <c r="AO20">
        <v>4</v>
      </c>
      <c r="AP20">
        <v>5.9</v>
      </c>
      <c r="AQ20">
        <v>4</v>
      </c>
      <c r="AR20">
        <v>5.9</v>
      </c>
      <c r="AS20">
        <v>4</v>
      </c>
      <c r="AT20">
        <v>-4.7</v>
      </c>
      <c r="AU20">
        <v>-6.5</v>
      </c>
      <c r="AV20">
        <v>-5</v>
      </c>
      <c r="AW20">
        <v>-5.3</v>
      </c>
      <c r="AX20">
        <v>-6</v>
      </c>
      <c r="AY20">
        <v>-5</v>
      </c>
      <c r="AZ20">
        <v>10.7</v>
      </c>
      <c r="BA20">
        <v>10</v>
      </c>
      <c r="BB20">
        <v>12.1</v>
      </c>
      <c r="BC20">
        <v>10</v>
      </c>
      <c r="BD20">
        <v>5.6</v>
      </c>
      <c r="BE20">
        <v>4</v>
      </c>
      <c r="BF20">
        <v>9.3000000000000007</v>
      </c>
      <c r="BG20">
        <v>10</v>
      </c>
      <c r="BH20">
        <v>11.8</v>
      </c>
      <c r="BI20">
        <v>10</v>
      </c>
      <c r="BJ20">
        <v>9.5</v>
      </c>
      <c r="BK20">
        <v>9</v>
      </c>
      <c r="BL20">
        <v>20.9</v>
      </c>
      <c r="BM20">
        <v>19</v>
      </c>
      <c r="BN20">
        <v>23.5</v>
      </c>
      <c r="BO20">
        <v>19</v>
      </c>
      <c r="BP20">
        <v>21.9</v>
      </c>
      <c r="BQ20">
        <v>20</v>
      </c>
      <c r="BR20">
        <v>21.6</v>
      </c>
      <c r="BS20">
        <v>25</v>
      </c>
      <c r="BT20">
        <v>21.9</v>
      </c>
      <c r="BU20">
        <v>25</v>
      </c>
      <c r="BV20">
        <v>25.2</v>
      </c>
      <c r="BW20">
        <v>18</v>
      </c>
      <c r="BX20">
        <v>18.5</v>
      </c>
      <c r="BY20">
        <v>20</v>
      </c>
      <c r="BZ20">
        <v>21.9</v>
      </c>
      <c r="CA20">
        <v>20</v>
      </c>
      <c r="CB20">
        <v>11.5</v>
      </c>
      <c r="CC20">
        <v>10</v>
      </c>
      <c r="CD20">
        <v>10.7</v>
      </c>
      <c r="CE20">
        <v>10</v>
      </c>
      <c r="CF20">
        <v>12.2</v>
      </c>
      <c r="CG20">
        <v>9</v>
      </c>
      <c r="CH20">
        <v>12.4</v>
      </c>
      <c r="CI20">
        <v>9</v>
      </c>
    </row>
    <row r="21" spans="1:87" x14ac:dyDescent="0.35">
      <c r="A21" s="1">
        <v>46059.450694444444</v>
      </c>
      <c r="B21">
        <v>-17.7</v>
      </c>
      <c r="C21">
        <v>-17.600000000000001</v>
      </c>
      <c r="D21">
        <v>-25</v>
      </c>
      <c r="E21">
        <v>-17.5</v>
      </c>
      <c r="F21">
        <v>-17.899999999999999</v>
      </c>
      <c r="G21">
        <v>-25</v>
      </c>
      <c r="H21">
        <v>-20</v>
      </c>
      <c r="I21">
        <v>12.9</v>
      </c>
      <c r="J21">
        <v>-25</v>
      </c>
      <c r="K21">
        <v>-18.3</v>
      </c>
      <c r="L21">
        <v>-18.5</v>
      </c>
      <c r="M21">
        <v>-25</v>
      </c>
      <c r="N21">
        <v>-17.5</v>
      </c>
      <c r="O21">
        <v>-17.100000000000001</v>
      </c>
      <c r="P21">
        <v>-25</v>
      </c>
      <c r="Q21">
        <v>-17</v>
      </c>
      <c r="R21">
        <v>-16.8</v>
      </c>
      <c r="S21">
        <v>-25</v>
      </c>
      <c r="T21">
        <v>3.2</v>
      </c>
      <c r="U21">
        <v>3.1</v>
      </c>
      <c r="V21">
        <v>2</v>
      </c>
      <c r="W21">
        <v>3.2</v>
      </c>
      <c r="X21">
        <v>2.9</v>
      </c>
      <c r="Y21">
        <v>2</v>
      </c>
      <c r="Z21">
        <v>2.8</v>
      </c>
      <c r="AA21">
        <v>2.5</v>
      </c>
      <c r="AB21">
        <v>2</v>
      </c>
      <c r="AC21">
        <v>2.6</v>
      </c>
      <c r="AD21">
        <v>2.2999999999999998</v>
      </c>
      <c r="AE21">
        <v>2</v>
      </c>
      <c r="AF21">
        <v>3.4</v>
      </c>
      <c r="AG21">
        <v>3.2</v>
      </c>
      <c r="AH21">
        <v>2</v>
      </c>
      <c r="AI21">
        <v>3.3</v>
      </c>
      <c r="AJ21">
        <v>3.1</v>
      </c>
      <c r="AK21">
        <v>2</v>
      </c>
      <c r="AL21">
        <v>4.7</v>
      </c>
      <c r="AM21">
        <v>4</v>
      </c>
      <c r="AN21">
        <v>5</v>
      </c>
      <c r="AO21">
        <v>4</v>
      </c>
      <c r="AP21">
        <v>5</v>
      </c>
      <c r="AQ21">
        <v>4</v>
      </c>
      <c r="AR21">
        <v>6</v>
      </c>
      <c r="AS21">
        <v>4</v>
      </c>
      <c r="AT21">
        <v>-4.9000000000000004</v>
      </c>
      <c r="AU21">
        <v>-7.3</v>
      </c>
      <c r="AV21">
        <v>-5</v>
      </c>
      <c r="AW21">
        <v>-4.5999999999999996</v>
      </c>
      <c r="AX21">
        <v>-4.5999999999999996</v>
      </c>
      <c r="AY21">
        <v>-5</v>
      </c>
      <c r="AZ21">
        <v>10.8</v>
      </c>
      <c r="BA21">
        <v>10</v>
      </c>
      <c r="BB21">
        <v>12</v>
      </c>
      <c r="BC21">
        <v>10</v>
      </c>
      <c r="BD21">
        <v>5.8</v>
      </c>
      <c r="BE21">
        <v>4</v>
      </c>
      <c r="BF21">
        <v>9.8000000000000007</v>
      </c>
      <c r="BG21">
        <v>10</v>
      </c>
      <c r="BH21">
        <v>12.4</v>
      </c>
      <c r="BI21">
        <v>10</v>
      </c>
      <c r="BJ21">
        <v>9.5</v>
      </c>
      <c r="BK21">
        <v>9</v>
      </c>
      <c r="BL21">
        <v>20.6</v>
      </c>
      <c r="BM21">
        <v>19</v>
      </c>
      <c r="BN21">
        <v>23.5</v>
      </c>
      <c r="BO21">
        <v>19</v>
      </c>
      <c r="BP21">
        <v>21.9</v>
      </c>
      <c r="BQ21">
        <v>20</v>
      </c>
      <c r="BR21">
        <v>21.7</v>
      </c>
      <c r="BS21">
        <v>25</v>
      </c>
      <c r="BT21">
        <v>21.9</v>
      </c>
      <c r="BU21">
        <v>25</v>
      </c>
      <c r="BV21">
        <v>25.2</v>
      </c>
      <c r="BW21">
        <v>18</v>
      </c>
      <c r="BX21">
        <v>19</v>
      </c>
      <c r="BY21">
        <v>20</v>
      </c>
      <c r="BZ21">
        <v>21.9</v>
      </c>
      <c r="CA21">
        <v>20</v>
      </c>
      <c r="CB21">
        <v>11.3</v>
      </c>
      <c r="CC21">
        <v>10</v>
      </c>
      <c r="CD21">
        <v>10.6</v>
      </c>
      <c r="CE21">
        <v>10</v>
      </c>
      <c r="CF21">
        <v>12.2</v>
      </c>
      <c r="CG21">
        <v>9</v>
      </c>
      <c r="CH21">
        <v>12.4</v>
      </c>
      <c r="CI21">
        <v>9</v>
      </c>
    </row>
    <row r="22" spans="1:87" x14ac:dyDescent="0.35">
      <c r="A22" s="1">
        <v>46059.451388888891</v>
      </c>
      <c r="B22">
        <v>-17.399999999999999</v>
      </c>
      <c r="C22">
        <v>-17.3</v>
      </c>
      <c r="D22">
        <v>-25</v>
      </c>
      <c r="E22">
        <v>-17.2</v>
      </c>
      <c r="F22">
        <v>-17.600000000000001</v>
      </c>
      <c r="G22">
        <v>-25</v>
      </c>
      <c r="H22">
        <v>-20</v>
      </c>
      <c r="I22">
        <v>13.2</v>
      </c>
      <c r="J22">
        <v>-25</v>
      </c>
      <c r="K22">
        <v>-18.2</v>
      </c>
      <c r="L22">
        <v>-18.3</v>
      </c>
      <c r="M22">
        <v>-25</v>
      </c>
      <c r="N22">
        <v>-17.5</v>
      </c>
      <c r="O22">
        <v>-17.100000000000001</v>
      </c>
      <c r="P22">
        <v>-25</v>
      </c>
      <c r="Q22">
        <v>-17.2</v>
      </c>
      <c r="R22">
        <v>-17</v>
      </c>
      <c r="S22">
        <v>-25</v>
      </c>
      <c r="T22">
        <v>3.2</v>
      </c>
      <c r="U22">
        <v>3.2</v>
      </c>
      <c r="V22">
        <v>2</v>
      </c>
      <c r="W22">
        <v>3.2</v>
      </c>
      <c r="X22">
        <v>3</v>
      </c>
      <c r="Y22">
        <v>2</v>
      </c>
      <c r="Z22">
        <v>2.9</v>
      </c>
      <c r="AA22">
        <v>2.6</v>
      </c>
      <c r="AB22">
        <v>2</v>
      </c>
      <c r="AC22">
        <v>2.7</v>
      </c>
      <c r="AD22">
        <v>2.4</v>
      </c>
      <c r="AE22">
        <v>2</v>
      </c>
      <c r="AF22">
        <v>3.5</v>
      </c>
      <c r="AG22">
        <v>3.4</v>
      </c>
      <c r="AH22">
        <v>2</v>
      </c>
      <c r="AI22">
        <v>3.4</v>
      </c>
      <c r="AJ22">
        <v>3.2</v>
      </c>
      <c r="AK22">
        <v>2</v>
      </c>
      <c r="AL22">
        <v>4.7</v>
      </c>
      <c r="AM22">
        <v>4</v>
      </c>
      <c r="AN22">
        <v>5</v>
      </c>
      <c r="AO22">
        <v>4</v>
      </c>
      <c r="AP22">
        <v>3.8</v>
      </c>
      <c r="AQ22">
        <v>4</v>
      </c>
      <c r="AR22">
        <v>6.1</v>
      </c>
      <c r="AS22">
        <v>4</v>
      </c>
      <c r="AT22">
        <v>-5.0999999999999996</v>
      </c>
      <c r="AU22">
        <v>-6.7</v>
      </c>
      <c r="AV22">
        <v>-5</v>
      </c>
      <c r="AW22">
        <v>-4</v>
      </c>
      <c r="AX22">
        <v>-3.9</v>
      </c>
      <c r="AY22">
        <v>-5</v>
      </c>
      <c r="AZ22">
        <v>10.9</v>
      </c>
      <c r="BA22">
        <v>10</v>
      </c>
      <c r="BB22">
        <v>11.7</v>
      </c>
      <c r="BC22">
        <v>10</v>
      </c>
      <c r="BD22">
        <v>5.9</v>
      </c>
      <c r="BE22">
        <v>4</v>
      </c>
      <c r="BF22">
        <v>10.1</v>
      </c>
      <c r="BG22">
        <v>10</v>
      </c>
      <c r="BH22">
        <v>12.4</v>
      </c>
      <c r="BI22">
        <v>10</v>
      </c>
      <c r="BJ22">
        <v>9.5</v>
      </c>
      <c r="BK22">
        <v>9</v>
      </c>
      <c r="BL22">
        <v>20.2</v>
      </c>
      <c r="BM22">
        <v>19</v>
      </c>
      <c r="BN22">
        <v>23.5</v>
      </c>
      <c r="BO22">
        <v>19</v>
      </c>
      <c r="BP22">
        <v>21.7</v>
      </c>
      <c r="BQ22">
        <v>20</v>
      </c>
      <c r="BR22">
        <v>21.7</v>
      </c>
      <c r="BS22">
        <v>25</v>
      </c>
      <c r="BT22">
        <v>21.9</v>
      </c>
      <c r="BU22">
        <v>25</v>
      </c>
      <c r="BV22">
        <v>25.2</v>
      </c>
      <c r="BW22">
        <v>18</v>
      </c>
      <c r="BX22">
        <v>19.3</v>
      </c>
      <c r="BY22">
        <v>20</v>
      </c>
      <c r="BZ22">
        <v>21.9</v>
      </c>
      <c r="CA22">
        <v>20</v>
      </c>
      <c r="CB22">
        <v>11.1</v>
      </c>
      <c r="CC22">
        <v>10</v>
      </c>
      <c r="CD22">
        <v>10.6</v>
      </c>
      <c r="CE22">
        <v>10</v>
      </c>
      <c r="CF22">
        <v>12</v>
      </c>
      <c r="CG22">
        <v>9</v>
      </c>
      <c r="CH22">
        <v>12.3</v>
      </c>
      <c r="CI22">
        <v>9</v>
      </c>
    </row>
    <row r="23" spans="1:87" x14ac:dyDescent="0.35">
      <c r="A23" s="1">
        <v>46059.45208333333</v>
      </c>
      <c r="B23">
        <v>-17.2</v>
      </c>
      <c r="C23">
        <v>-17.100000000000001</v>
      </c>
      <c r="D23">
        <v>-25</v>
      </c>
      <c r="E23">
        <v>-17</v>
      </c>
      <c r="F23">
        <v>-17.399999999999999</v>
      </c>
      <c r="G23">
        <v>-25</v>
      </c>
      <c r="H23">
        <v>-20</v>
      </c>
      <c r="I23">
        <v>14.1</v>
      </c>
      <c r="J23">
        <v>-25</v>
      </c>
      <c r="K23">
        <v>-18</v>
      </c>
      <c r="L23">
        <v>-18.2</v>
      </c>
      <c r="M23">
        <v>-25</v>
      </c>
      <c r="N23">
        <v>-17.600000000000001</v>
      </c>
      <c r="O23">
        <v>-17</v>
      </c>
      <c r="P23">
        <v>-25</v>
      </c>
      <c r="Q23">
        <v>-17.3</v>
      </c>
      <c r="R23">
        <v>-17.100000000000001</v>
      </c>
      <c r="S23">
        <v>-25</v>
      </c>
      <c r="T23">
        <v>3.3</v>
      </c>
      <c r="U23">
        <v>3.3</v>
      </c>
      <c r="V23">
        <v>2</v>
      </c>
      <c r="W23">
        <v>3.3</v>
      </c>
      <c r="X23">
        <v>3.1</v>
      </c>
      <c r="Y23">
        <v>2</v>
      </c>
      <c r="Z23">
        <v>3</v>
      </c>
      <c r="AA23">
        <v>2.7</v>
      </c>
      <c r="AB23">
        <v>2</v>
      </c>
      <c r="AC23">
        <v>2.8</v>
      </c>
      <c r="AD23">
        <v>2.5</v>
      </c>
      <c r="AE23">
        <v>2</v>
      </c>
      <c r="AF23">
        <v>3.6</v>
      </c>
      <c r="AG23">
        <v>3.5</v>
      </c>
      <c r="AH23">
        <v>2</v>
      </c>
      <c r="AI23">
        <v>3.6</v>
      </c>
      <c r="AJ23">
        <v>3.3</v>
      </c>
      <c r="AK23">
        <v>2</v>
      </c>
      <c r="AL23">
        <v>4.7</v>
      </c>
      <c r="AM23">
        <v>4</v>
      </c>
      <c r="AN23">
        <v>5</v>
      </c>
      <c r="AO23">
        <v>4</v>
      </c>
      <c r="AP23">
        <v>3.1</v>
      </c>
      <c r="AQ23">
        <v>4</v>
      </c>
      <c r="AR23">
        <v>6.1</v>
      </c>
      <c r="AS23">
        <v>4</v>
      </c>
      <c r="AT23">
        <v>-4.8</v>
      </c>
      <c r="AU23">
        <v>-5.5</v>
      </c>
      <c r="AV23">
        <v>-5</v>
      </c>
      <c r="AW23">
        <v>-3.4</v>
      </c>
      <c r="AX23">
        <v>-3.3</v>
      </c>
      <c r="AY23">
        <v>-5</v>
      </c>
      <c r="AZ23">
        <v>11</v>
      </c>
      <c r="BA23">
        <v>10</v>
      </c>
      <c r="BB23">
        <v>11.4</v>
      </c>
      <c r="BC23">
        <v>10</v>
      </c>
      <c r="BD23">
        <v>6</v>
      </c>
      <c r="BE23">
        <v>4</v>
      </c>
      <c r="BF23">
        <v>10.5</v>
      </c>
      <c r="BG23">
        <v>10</v>
      </c>
      <c r="BH23">
        <v>12.7</v>
      </c>
      <c r="BI23">
        <v>10</v>
      </c>
      <c r="BJ23">
        <v>9.5</v>
      </c>
      <c r="BK23">
        <v>9</v>
      </c>
      <c r="BL23">
        <v>19.899999999999999</v>
      </c>
      <c r="BM23">
        <v>19</v>
      </c>
      <c r="BN23">
        <v>23.5</v>
      </c>
      <c r="BO23">
        <v>19</v>
      </c>
      <c r="BP23">
        <v>21.6</v>
      </c>
      <c r="BQ23">
        <v>20</v>
      </c>
      <c r="BR23">
        <v>21.7</v>
      </c>
      <c r="BS23">
        <v>25</v>
      </c>
      <c r="BT23">
        <v>21.9</v>
      </c>
      <c r="BU23">
        <v>25</v>
      </c>
      <c r="BV23">
        <v>25.2</v>
      </c>
      <c r="BW23">
        <v>18</v>
      </c>
      <c r="BX23">
        <v>19.600000000000001</v>
      </c>
      <c r="BY23">
        <v>20</v>
      </c>
      <c r="BZ23">
        <v>20.7</v>
      </c>
      <c r="CA23">
        <v>20</v>
      </c>
      <c r="CB23">
        <v>10.9</v>
      </c>
      <c r="CC23">
        <v>10</v>
      </c>
      <c r="CD23">
        <v>10.6</v>
      </c>
      <c r="CE23">
        <v>10</v>
      </c>
      <c r="CF23">
        <v>12</v>
      </c>
      <c r="CG23">
        <v>9</v>
      </c>
      <c r="CH23">
        <v>12.2</v>
      </c>
      <c r="CI23">
        <v>9</v>
      </c>
    </row>
    <row r="24" spans="1:87" x14ac:dyDescent="0.35">
      <c r="A24" s="1">
        <v>46059.452777777777</v>
      </c>
      <c r="B24">
        <v>-17</v>
      </c>
      <c r="C24">
        <v>-16.899999999999999</v>
      </c>
      <c r="D24">
        <v>-25</v>
      </c>
      <c r="E24">
        <v>-16.8</v>
      </c>
      <c r="F24">
        <v>-17.2</v>
      </c>
      <c r="G24">
        <v>-25</v>
      </c>
      <c r="H24">
        <v>-20</v>
      </c>
      <c r="I24">
        <v>14.1</v>
      </c>
      <c r="J24">
        <v>-25</v>
      </c>
      <c r="K24">
        <v>-17.899999999999999</v>
      </c>
      <c r="L24">
        <v>-18.100000000000001</v>
      </c>
      <c r="M24">
        <v>-25</v>
      </c>
      <c r="N24">
        <v>-17.600000000000001</v>
      </c>
      <c r="O24">
        <v>-17</v>
      </c>
      <c r="P24">
        <v>-25</v>
      </c>
      <c r="Q24">
        <v>-17.399999999999999</v>
      </c>
      <c r="R24">
        <v>-17.2</v>
      </c>
      <c r="S24">
        <v>-25</v>
      </c>
      <c r="T24">
        <v>3.4</v>
      </c>
      <c r="U24">
        <v>3.4</v>
      </c>
      <c r="V24">
        <v>2</v>
      </c>
      <c r="W24">
        <v>3.4</v>
      </c>
      <c r="X24">
        <v>3.2</v>
      </c>
      <c r="Y24">
        <v>2</v>
      </c>
      <c r="Z24">
        <v>3.1</v>
      </c>
      <c r="AA24">
        <v>2.8</v>
      </c>
      <c r="AB24">
        <v>2</v>
      </c>
      <c r="AC24">
        <v>2.9</v>
      </c>
      <c r="AD24">
        <v>2.6</v>
      </c>
      <c r="AE24">
        <v>2</v>
      </c>
      <c r="AF24">
        <v>3.8</v>
      </c>
      <c r="AG24">
        <v>3.7</v>
      </c>
      <c r="AH24">
        <v>2</v>
      </c>
      <c r="AI24">
        <v>3.7</v>
      </c>
      <c r="AJ24">
        <v>3.5</v>
      </c>
      <c r="AK24">
        <v>2</v>
      </c>
      <c r="AL24">
        <v>4.8</v>
      </c>
      <c r="AM24">
        <v>4</v>
      </c>
      <c r="AN24">
        <v>5</v>
      </c>
      <c r="AO24">
        <v>4</v>
      </c>
      <c r="AP24">
        <v>3</v>
      </c>
      <c r="AQ24">
        <v>4</v>
      </c>
      <c r="AR24">
        <v>6.1</v>
      </c>
      <c r="AS24">
        <v>4</v>
      </c>
      <c r="AT24">
        <v>-4.4000000000000004</v>
      </c>
      <c r="AU24">
        <v>-5.2</v>
      </c>
      <c r="AV24">
        <v>-5</v>
      </c>
      <c r="AW24">
        <v>-2.9</v>
      </c>
      <c r="AX24">
        <v>-2.7</v>
      </c>
      <c r="AY24">
        <v>-5</v>
      </c>
      <c r="AZ24">
        <v>11.1</v>
      </c>
      <c r="BA24">
        <v>10</v>
      </c>
      <c r="BB24">
        <v>11.2</v>
      </c>
      <c r="BC24">
        <v>10</v>
      </c>
      <c r="BD24">
        <v>6</v>
      </c>
      <c r="BE24">
        <v>4</v>
      </c>
      <c r="BF24">
        <v>10.8</v>
      </c>
      <c r="BG24">
        <v>10</v>
      </c>
      <c r="BH24">
        <v>13</v>
      </c>
      <c r="BI24">
        <v>10</v>
      </c>
      <c r="BJ24">
        <v>9.5</v>
      </c>
      <c r="BK24">
        <v>9</v>
      </c>
      <c r="BL24">
        <v>19.5</v>
      </c>
      <c r="BM24">
        <v>19</v>
      </c>
      <c r="BN24">
        <v>23.5</v>
      </c>
      <c r="BO24">
        <v>19</v>
      </c>
      <c r="BP24">
        <v>21.5</v>
      </c>
      <c r="BQ24">
        <v>20</v>
      </c>
      <c r="BR24">
        <v>21.7</v>
      </c>
      <c r="BS24">
        <v>25</v>
      </c>
      <c r="BT24">
        <v>21.9</v>
      </c>
      <c r="BU24">
        <v>25</v>
      </c>
      <c r="BV24">
        <v>25.2</v>
      </c>
      <c r="BW24">
        <v>18</v>
      </c>
      <c r="BX24">
        <v>19.899999999999999</v>
      </c>
      <c r="BY24">
        <v>20</v>
      </c>
      <c r="BZ24">
        <v>18.8</v>
      </c>
      <c r="CA24">
        <v>20</v>
      </c>
      <c r="CB24">
        <v>10.7</v>
      </c>
      <c r="CC24">
        <v>10</v>
      </c>
      <c r="CD24">
        <v>10.6</v>
      </c>
      <c r="CE24">
        <v>10</v>
      </c>
      <c r="CF24">
        <v>12</v>
      </c>
      <c r="CG24">
        <v>9</v>
      </c>
      <c r="CH24">
        <v>12.2</v>
      </c>
      <c r="CI24">
        <v>9</v>
      </c>
    </row>
    <row r="25" spans="1:87" x14ac:dyDescent="0.35">
      <c r="A25" s="1">
        <v>46059.453472222223</v>
      </c>
      <c r="B25">
        <v>-16.8</v>
      </c>
      <c r="C25">
        <v>-16.7</v>
      </c>
      <c r="D25">
        <v>-25</v>
      </c>
      <c r="E25">
        <v>-16.600000000000001</v>
      </c>
      <c r="F25">
        <v>-17</v>
      </c>
      <c r="G25">
        <v>-25</v>
      </c>
      <c r="H25">
        <v>-20</v>
      </c>
      <c r="I25">
        <v>14.7</v>
      </c>
      <c r="J25">
        <v>-25</v>
      </c>
      <c r="K25">
        <v>-17.8</v>
      </c>
      <c r="L25">
        <v>-17.899999999999999</v>
      </c>
      <c r="M25">
        <v>-25</v>
      </c>
      <c r="N25">
        <v>-17.7</v>
      </c>
      <c r="O25">
        <v>-17</v>
      </c>
      <c r="P25">
        <v>-25</v>
      </c>
      <c r="Q25">
        <v>-17.399999999999999</v>
      </c>
      <c r="R25">
        <v>-17.2</v>
      </c>
      <c r="S25">
        <v>-25</v>
      </c>
      <c r="T25">
        <v>3.5</v>
      </c>
      <c r="U25">
        <v>3.4</v>
      </c>
      <c r="V25">
        <v>2</v>
      </c>
      <c r="W25">
        <v>3.5</v>
      </c>
      <c r="X25">
        <v>3.2</v>
      </c>
      <c r="Y25">
        <v>2</v>
      </c>
      <c r="Z25">
        <v>3.2</v>
      </c>
      <c r="AA25">
        <v>2.9</v>
      </c>
      <c r="AB25">
        <v>2</v>
      </c>
      <c r="AC25">
        <v>2.9</v>
      </c>
      <c r="AD25">
        <v>2.8</v>
      </c>
      <c r="AE25">
        <v>2</v>
      </c>
      <c r="AF25">
        <v>3.9</v>
      </c>
      <c r="AG25">
        <v>3.8</v>
      </c>
      <c r="AH25">
        <v>2</v>
      </c>
      <c r="AI25">
        <v>3.9</v>
      </c>
      <c r="AJ25">
        <v>3.7</v>
      </c>
      <c r="AK25">
        <v>2</v>
      </c>
      <c r="AL25">
        <v>4.9000000000000004</v>
      </c>
      <c r="AM25">
        <v>4</v>
      </c>
      <c r="AN25">
        <v>5</v>
      </c>
      <c r="AO25">
        <v>4</v>
      </c>
      <c r="AP25">
        <v>3</v>
      </c>
      <c r="AQ25">
        <v>4</v>
      </c>
      <c r="AR25">
        <v>6.2</v>
      </c>
      <c r="AS25">
        <v>4</v>
      </c>
      <c r="AT25">
        <v>-4</v>
      </c>
      <c r="AU25">
        <v>-4.5</v>
      </c>
      <c r="AV25">
        <v>-5</v>
      </c>
      <c r="AW25">
        <v>-2.7</v>
      </c>
      <c r="AX25">
        <v>-2.5</v>
      </c>
      <c r="AY25">
        <v>-5</v>
      </c>
      <c r="AZ25">
        <v>11.2</v>
      </c>
      <c r="BA25">
        <v>10</v>
      </c>
      <c r="BB25">
        <v>10.8</v>
      </c>
      <c r="BC25">
        <v>10</v>
      </c>
      <c r="BD25">
        <v>5.2</v>
      </c>
      <c r="BE25">
        <v>4</v>
      </c>
      <c r="BF25">
        <v>11.2</v>
      </c>
      <c r="BG25">
        <v>10</v>
      </c>
      <c r="BH25">
        <v>13.3</v>
      </c>
      <c r="BI25">
        <v>10</v>
      </c>
      <c r="BJ25">
        <v>9.5</v>
      </c>
      <c r="BK25">
        <v>9</v>
      </c>
      <c r="BL25">
        <v>19.3</v>
      </c>
      <c r="BM25">
        <v>19</v>
      </c>
      <c r="BN25">
        <v>23.5</v>
      </c>
      <c r="BO25">
        <v>19</v>
      </c>
      <c r="BP25">
        <v>21.5</v>
      </c>
      <c r="BQ25">
        <v>20</v>
      </c>
      <c r="BR25">
        <v>21.7</v>
      </c>
      <c r="BS25">
        <v>25</v>
      </c>
      <c r="BT25">
        <v>21.9</v>
      </c>
      <c r="BU25">
        <v>25</v>
      </c>
      <c r="BV25">
        <v>25.2</v>
      </c>
      <c r="BW25">
        <v>18</v>
      </c>
      <c r="BX25">
        <v>20</v>
      </c>
      <c r="BY25">
        <v>20</v>
      </c>
      <c r="BZ25">
        <v>18.399999999999999</v>
      </c>
      <c r="CA25">
        <v>20</v>
      </c>
      <c r="CB25">
        <v>10.5</v>
      </c>
      <c r="CC25">
        <v>10</v>
      </c>
      <c r="CD25">
        <v>10.6</v>
      </c>
      <c r="CE25">
        <v>10</v>
      </c>
      <c r="CF25">
        <v>12</v>
      </c>
      <c r="CG25">
        <v>9</v>
      </c>
      <c r="CH25">
        <v>12.2</v>
      </c>
      <c r="CI25">
        <v>9</v>
      </c>
    </row>
    <row r="26" spans="1:87" x14ac:dyDescent="0.35">
      <c r="A26" s="1">
        <v>46059.45416666667</v>
      </c>
      <c r="B26">
        <v>-16.5</v>
      </c>
      <c r="C26">
        <v>-16.5</v>
      </c>
      <c r="D26">
        <v>-25</v>
      </c>
      <c r="E26">
        <v>-16.3</v>
      </c>
      <c r="F26">
        <v>-16.7</v>
      </c>
      <c r="G26">
        <v>-25</v>
      </c>
      <c r="H26">
        <v>-20</v>
      </c>
      <c r="I26">
        <v>15.2</v>
      </c>
      <c r="J26">
        <v>-25</v>
      </c>
      <c r="K26">
        <v>-17.600000000000001</v>
      </c>
      <c r="L26">
        <v>-17.8</v>
      </c>
      <c r="M26">
        <v>-25</v>
      </c>
      <c r="N26">
        <v>-17.8</v>
      </c>
      <c r="O26">
        <v>-17</v>
      </c>
      <c r="P26">
        <v>-25</v>
      </c>
      <c r="Q26">
        <v>-17.5</v>
      </c>
      <c r="R26">
        <v>-17.3</v>
      </c>
      <c r="S26">
        <v>-25</v>
      </c>
      <c r="T26">
        <v>3.5</v>
      </c>
      <c r="U26">
        <v>3.5</v>
      </c>
      <c r="V26">
        <v>2</v>
      </c>
      <c r="W26">
        <v>3.5</v>
      </c>
      <c r="X26">
        <v>3.4</v>
      </c>
      <c r="Y26">
        <v>2</v>
      </c>
      <c r="Z26">
        <v>3.3</v>
      </c>
      <c r="AA26">
        <v>3</v>
      </c>
      <c r="AB26">
        <v>2</v>
      </c>
      <c r="AC26">
        <v>3</v>
      </c>
      <c r="AD26">
        <v>2.8</v>
      </c>
      <c r="AE26">
        <v>2</v>
      </c>
      <c r="AF26">
        <v>4.0999999999999996</v>
      </c>
      <c r="AG26">
        <v>3.9</v>
      </c>
      <c r="AH26">
        <v>2</v>
      </c>
      <c r="AI26">
        <v>4</v>
      </c>
      <c r="AJ26">
        <v>3.8</v>
      </c>
      <c r="AK26">
        <v>2</v>
      </c>
      <c r="AL26">
        <v>5</v>
      </c>
      <c r="AM26">
        <v>4</v>
      </c>
      <c r="AN26">
        <v>5</v>
      </c>
      <c r="AO26">
        <v>4</v>
      </c>
      <c r="AP26">
        <v>3.3</v>
      </c>
      <c r="AQ26">
        <v>4</v>
      </c>
      <c r="AR26">
        <v>6.3</v>
      </c>
      <c r="AS26">
        <v>4</v>
      </c>
      <c r="AT26">
        <v>-3.6</v>
      </c>
      <c r="AU26">
        <v>-3.9</v>
      </c>
      <c r="AV26">
        <v>-5</v>
      </c>
      <c r="AW26">
        <v>-3.2</v>
      </c>
      <c r="AX26">
        <v>-4.0999999999999996</v>
      </c>
      <c r="AY26">
        <v>-5</v>
      </c>
      <c r="AZ26">
        <v>11.3</v>
      </c>
      <c r="BA26">
        <v>10</v>
      </c>
      <c r="BB26">
        <v>10.6</v>
      </c>
      <c r="BC26">
        <v>10</v>
      </c>
      <c r="BD26">
        <v>4.5999999999999996</v>
      </c>
      <c r="BE26">
        <v>4</v>
      </c>
      <c r="BF26">
        <v>11.5</v>
      </c>
      <c r="BG26">
        <v>10</v>
      </c>
      <c r="BH26">
        <v>13.4</v>
      </c>
      <c r="BI26">
        <v>10</v>
      </c>
      <c r="BJ26">
        <v>9.5</v>
      </c>
      <c r="BK26">
        <v>9</v>
      </c>
      <c r="BL26">
        <v>19.100000000000001</v>
      </c>
      <c r="BM26">
        <v>19</v>
      </c>
      <c r="BN26">
        <v>23.5</v>
      </c>
      <c r="BO26">
        <v>19</v>
      </c>
      <c r="BP26">
        <v>21.5</v>
      </c>
      <c r="BQ26">
        <v>20</v>
      </c>
      <c r="BR26">
        <v>21.8</v>
      </c>
      <c r="BS26">
        <v>25</v>
      </c>
      <c r="BT26">
        <v>21.9</v>
      </c>
      <c r="BU26">
        <v>25</v>
      </c>
      <c r="BV26">
        <v>25.2</v>
      </c>
      <c r="BW26">
        <v>18</v>
      </c>
      <c r="BX26">
        <v>20.100000000000001</v>
      </c>
      <c r="BY26">
        <v>20</v>
      </c>
      <c r="BZ26">
        <v>18.399999999999999</v>
      </c>
      <c r="CA26">
        <v>20</v>
      </c>
      <c r="CB26">
        <v>10.4</v>
      </c>
      <c r="CC26">
        <v>10</v>
      </c>
      <c r="CD26">
        <v>10.6</v>
      </c>
      <c r="CE26">
        <v>10</v>
      </c>
      <c r="CF26">
        <v>12.1</v>
      </c>
      <c r="CG26">
        <v>9</v>
      </c>
      <c r="CH26">
        <v>12.4</v>
      </c>
      <c r="CI26">
        <v>9</v>
      </c>
    </row>
    <row r="27" spans="1:87" x14ac:dyDescent="0.35">
      <c r="A27" s="1">
        <v>46059.463888888888</v>
      </c>
      <c r="B27">
        <v>-16.399999999999999</v>
      </c>
      <c r="C27">
        <v>-16.3</v>
      </c>
      <c r="D27">
        <v>-25</v>
      </c>
      <c r="E27">
        <v>-16.100000000000001</v>
      </c>
      <c r="F27">
        <v>-16.5</v>
      </c>
      <c r="G27">
        <v>-25</v>
      </c>
      <c r="H27">
        <v>-20</v>
      </c>
      <c r="I27">
        <v>15.9</v>
      </c>
      <c r="J27">
        <v>-25</v>
      </c>
      <c r="K27">
        <v>-17.5</v>
      </c>
      <c r="L27">
        <v>-17.600000000000001</v>
      </c>
      <c r="M27">
        <v>-25</v>
      </c>
      <c r="N27">
        <v>-17.8</v>
      </c>
      <c r="O27">
        <v>-17</v>
      </c>
      <c r="P27">
        <v>-25</v>
      </c>
      <c r="Q27">
        <v>-17.5</v>
      </c>
      <c r="R27">
        <v>-17.3</v>
      </c>
      <c r="S27">
        <v>-25</v>
      </c>
      <c r="T27">
        <v>3.6</v>
      </c>
      <c r="U27">
        <v>3.6</v>
      </c>
      <c r="V27">
        <v>2</v>
      </c>
      <c r="W27">
        <v>3.6</v>
      </c>
      <c r="X27">
        <v>3.4</v>
      </c>
      <c r="Y27">
        <v>2</v>
      </c>
      <c r="Z27">
        <v>3.3</v>
      </c>
      <c r="AA27">
        <v>3.1</v>
      </c>
      <c r="AB27">
        <v>2</v>
      </c>
      <c r="AC27">
        <v>3.1</v>
      </c>
      <c r="AD27">
        <v>2.9</v>
      </c>
      <c r="AE27">
        <v>2</v>
      </c>
      <c r="AF27">
        <v>4.0999999999999996</v>
      </c>
      <c r="AG27">
        <v>3.9</v>
      </c>
      <c r="AH27">
        <v>2</v>
      </c>
      <c r="AI27">
        <v>4</v>
      </c>
      <c r="AJ27">
        <v>3.3</v>
      </c>
      <c r="AK27">
        <v>2</v>
      </c>
      <c r="AL27">
        <v>5.0999999999999996</v>
      </c>
      <c r="AM27">
        <v>4</v>
      </c>
      <c r="AN27">
        <v>5</v>
      </c>
      <c r="AO27">
        <v>4</v>
      </c>
      <c r="AP27">
        <v>3.4</v>
      </c>
      <c r="AQ27">
        <v>4</v>
      </c>
      <c r="AR27">
        <v>6.4</v>
      </c>
      <c r="AS27">
        <v>4</v>
      </c>
      <c r="AT27">
        <v>-3.2</v>
      </c>
      <c r="AU27">
        <v>-3.5</v>
      </c>
      <c r="AV27">
        <v>-5</v>
      </c>
      <c r="AW27">
        <v>-3.7</v>
      </c>
      <c r="AX27">
        <v>-4.5999999999999996</v>
      </c>
      <c r="AY27">
        <v>-5</v>
      </c>
      <c r="AZ27">
        <v>11.4</v>
      </c>
      <c r="BA27">
        <v>10</v>
      </c>
      <c r="BB27">
        <v>10.4</v>
      </c>
      <c r="BC27">
        <v>10</v>
      </c>
      <c r="BD27">
        <v>4.0999999999999996</v>
      </c>
      <c r="BE27">
        <v>4</v>
      </c>
      <c r="BF27">
        <v>11.6</v>
      </c>
      <c r="BG27">
        <v>10</v>
      </c>
      <c r="BH27">
        <v>14.1</v>
      </c>
      <c r="BI27">
        <v>10</v>
      </c>
      <c r="BJ27">
        <v>9.5</v>
      </c>
      <c r="BK27">
        <v>9</v>
      </c>
      <c r="BL27">
        <v>19</v>
      </c>
      <c r="BM27">
        <v>19</v>
      </c>
      <c r="BN27">
        <v>23.5</v>
      </c>
      <c r="BO27">
        <v>19</v>
      </c>
      <c r="BP27">
        <v>21.4</v>
      </c>
      <c r="BQ27">
        <v>20</v>
      </c>
      <c r="BR27">
        <v>21.8</v>
      </c>
      <c r="BS27">
        <v>25</v>
      </c>
      <c r="BT27">
        <v>21.9</v>
      </c>
      <c r="BU27">
        <v>25</v>
      </c>
      <c r="BV27">
        <v>25.2</v>
      </c>
      <c r="BW27">
        <v>18</v>
      </c>
      <c r="BX27">
        <v>20.2</v>
      </c>
      <c r="BY27">
        <v>20</v>
      </c>
      <c r="BZ27">
        <v>18.899999999999999</v>
      </c>
      <c r="CA27">
        <v>20</v>
      </c>
      <c r="CB27">
        <v>10.3</v>
      </c>
      <c r="CC27">
        <v>10</v>
      </c>
      <c r="CD27">
        <v>10.6</v>
      </c>
      <c r="CE27">
        <v>10</v>
      </c>
      <c r="CF27">
        <v>12.2</v>
      </c>
      <c r="CG27">
        <v>9</v>
      </c>
      <c r="CH27">
        <v>12.4</v>
      </c>
      <c r="CI27">
        <v>9</v>
      </c>
    </row>
    <row r="28" spans="1:87" x14ac:dyDescent="0.35">
      <c r="A28" s="1">
        <v>46059.464583333334</v>
      </c>
      <c r="B28">
        <v>-14.3</v>
      </c>
      <c r="C28">
        <v>-14.3</v>
      </c>
      <c r="D28">
        <v>-25</v>
      </c>
      <c r="E28">
        <v>-14.4</v>
      </c>
      <c r="F28">
        <v>-14.1</v>
      </c>
      <c r="G28">
        <v>-25</v>
      </c>
      <c r="H28">
        <v>-14.3</v>
      </c>
      <c r="I28">
        <v>-3.4</v>
      </c>
      <c r="J28">
        <v>-25</v>
      </c>
      <c r="K28">
        <v>-16.5</v>
      </c>
      <c r="L28">
        <v>-16.7</v>
      </c>
      <c r="M28">
        <v>-25</v>
      </c>
      <c r="N28">
        <v>-18.100000000000001</v>
      </c>
      <c r="O28">
        <v>-17.2</v>
      </c>
      <c r="P28">
        <v>-25</v>
      </c>
      <c r="Q28">
        <v>-17.899999999999999</v>
      </c>
      <c r="R28">
        <v>-17.7</v>
      </c>
      <c r="S28">
        <v>-25</v>
      </c>
      <c r="T28">
        <v>1.8</v>
      </c>
      <c r="U28">
        <v>1.3</v>
      </c>
      <c r="V28">
        <v>2</v>
      </c>
      <c r="W28">
        <v>1.8</v>
      </c>
      <c r="X28">
        <v>0.8</v>
      </c>
      <c r="Y28">
        <v>2</v>
      </c>
      <c r="Z28">
        <v>4</v>
      </c>
      <c r="AA28">
        <v>3.9</v>
      </c>
      <c r="AB28">
        <v>2</v>
      </c>
      <c r="AC28">
        <v>3.9</v>
      </c>
      <c r="AD28">
        <v>3.9</v>
      </c>
      <c r="AE28">
        <v>2</v>
      </c>
      <c r="AF28">
        <v>2.7</v>
      </c>
      <c r="AG28">
        <v>2.2999999999999998</v>
      </c>
      <c r="AH28">
        <v>2</v>
      </c>
      <c r="AI28">
        <v>2.6</v>
      </c>
      <c r="AJ28">
        <v>1</v>
      </c>
      <c r="AK28">
        <v>2</v>
      </c>
      <c r="AL28">
        <v>4.3</v>
      </c>
      <c r="AM28">
        <v>4</v>
      </c>
      <c r="AN28">
        <v>4.2</v>
      </c>
      <c r="AO28">
        <v>4</v>
      </c>
      <c r="AP28">
        <v>6</v>
      </c>
      <c r="AQ28">
        <v>4</v>
      </c>
      <c r="AR28">
        <v>7.6</v>
      </c>
      <c r="AS28">
        <v>4</v>
      </c>
      <c r="AT28">
        <v>-4.8</v>
      </c>
      <c r="AU28">
        <v>-6.5</v>
      </c>
      <c r="AV28">
        <v>-5</v>
      </c>
      <c r="AW28">
        <v>-4.9000000000000004</v>
      </c>
      <c r="AX28">
        <v>-5.5</v>
      </c>
      <c r="AY28">
        <v>-5</v>
      </c>
      <c r="AZ28">
        <v>9.3000000000000007</v>
      </c>
      <c r="BA28">
        <v>10</v>
      </c>
      <c r="BB28">
        <v>11.8</v>
      </c>
      <c r="BC28">
        <v>10</v>
      </c>
      <c r="BD28">
        <v>5.9</v>
      </c>
      <c r="BE28">
        <v>4</v>
      </c>
      <c r="BF28">
        <v>11.8</v>
      </c>
      <c r="BG28">
        <v>10</v>
      </c>
      <c r="BH28">
        <v>16.2</v>
      </c>
      <c r="BI28">
        <v>10</v>
      </c>
      <c r="BJ28">
        <v>9.6999999999999993</v>
      </c>
      <c r="BK28">
        <v>9</v>
      </c>
      <c r="BL28">
        <v>19</v>
      </c>
      <c r="BM28">
        <v>19</v>
      </c>
      <c r="BN28">
        <v>23.5</v>
      </c>
      <c r="BO28">
        <v>19</v>
      </c>
      <c r="BP28">
        <v>21.2</v>
      </c>
      <c r="BQ28">
        <v>20</v>
      </c>
      <c r="BR28">
        <v>21.7</v>
      </c>
      <c r="BS28">
        <v>25</v>
      </c>
      <c r="BT28">
        <v>21.9</v>
      </c>
      <c r="BU28">
        <v>25</v>
      </c>
      <c r="BV28">
        <v>25.2</v>
      </c>
      <c r="BW28">
        <v>18</v>
      </c>
      <c r="BX28">
        <v>21</v>
      </c>
      <c r="BY28">
        <v>20</v>
      </c>
      <c r="BZ28">
        <v>21</v>
      </c>
      <c r="CA28">
        <v>20</v>
      </c>
      <c r="CB28">
        <v>10.8</v>
      </c>
      <c r="CC28">
        <v>10</v>
      </c>
      <c r="CD28">
        <v>10.6</v>
      </c>
      <c r="CE28">
        <v>10</v>
      </c>
      <c r="CF28">
        <v>12</v>
      </c>
      <c r="CG28">
        <v>9</v>
      </c>
      <c r="CH28">
        <v>12.3</v>
      </c>
      <c r="CI28">
        <v>9</v>
      </c>
    </row>
    <row r="29" spans="1:87" x14ac:dyDescent="0.35">
      <c r="A29" s="1">
        <v>46059.465277777781</v>
      </c>
      <c r="B29">
        <v>-14.5</v>
      </c>
      <c r="C29">
        <v>-14.7</v>
      </c>
      <c r="D29">
        <v>-25</v>
      </c>
      <c r="E29">
        <v>-14.9</v>
      </c>
      <c r="F29">
        <v>-14.1</v>
      </c>
      <c r="G29">
        <v>-25</v>
      </c>
      <c r="H29">
        <v>-14.3</v>
      </c>
      <c r="I29">
        <v>-4.3</v>
      </c>
      <c r="J29">
        <v>-25</v>
      </c>
      <c r="K29">
        <v>-16.3</v>
      </c>
      <c r="L29">
        <v>-16.5</v>
      </c>
      <c r="M29">
        <v>-25</v>
      </c>
      <c r="N29">
        <v>-18</v>
      </c>
      <c r="O29">
        <v>-17.2</v>
      </c>
      <c r="P29">
        <v>-25</v>
      </c>
      <c r="Q29">
        <v>-17.899999999999999</v>
      </c>
      <c r="R29">
        <v>-17.7</v>
      </c>
      <c r="S29">
        <v>-25</v>
      </c>
      <c r="T29">
        <v>1.9</v>
      </c>
      <c r="U29">
        <v>1.5</v>
      </c>
      <c r="V29">
        <v>2</v>
      </c>
      <c r="W29">
        <v>1.9</v>
      </c>
      <c r="X29">
        <v>1</v>
      </c>
      <c r="Y29">
        <v>2</v>
      </c>
      <c r="Z29">
        <v>4</v>
      </c>
      <c r="AA29">
        <v>4</v>
      </c>
      <c r="AB29">
        <v>2</v>
      </c>
      <c r="AC29">
        <v>4</v>
      </c>
      <c r="AD29">
        <v>4</v>
      </c>
      <c r="AE29">
        <v>2</v>
      </c>
      <c r="AF29">
        <v>2.7</v>
      </c>
      <c r="AG29">
        <v>2.2999999999999998</v>
      </c>
      <c r="AH29">
        <v>2</v>
      </c>
      <c r="AI29">
        <v>2.6</v>
      </c>
      <c r="AJ29">
        <v>1</v>
      </c>
      <c r="AK29">
        <v>2</v>
      </c>
      <c r="AL29">
        <v>5.8</v>
      </c>
      <c r="AM29">
        <v>4</v>
      </c>
      <c r="AN29">
        <v>4.2</v>
      </c>
      <c r="AO29">
        <v>4</v>
      </c>
      <c r="AP29">
        <v>5.5</v>
      </c>
      <c r="AQ29">
        <v>4</v>
      </c>
      <c r="AR29">
        <v>7.7</v>
      </c>
      <c r="AS29">
        <v>4</v>
      </c>
      <c r="AT29">
        <v>-4.9000000000000004</v>
      </c>
      <c r="AU29">
        <v>-6.9</v>
      </c>
      <c r="AV29">
        <v>-5</v>
      </c>
      <c r="AW29">
        <v>-5</v>
      </c>
      <c r="AX29">
        <v>-5.9</v>
      </c>
      <c r="AY29">
        <v>-5</v>
      </c>
      <c r="AZ29">
        <v>9.5</v>
      </c>
      <c r="BA29">
        <v>10</v>
      </c>
      <c r="BB29">
        <v>12</v>
      </c>
      <c r="BC29">
        <v>10</v>
      </c>
      <c r="BD29">
        <v>6</v>
      </c>
      <c r="BE29">
        <v>4</v>
      </c>
      <c r="BF29">
        <v>12</v>
      </c>
      <c r="BG29">
        <v>10</v>
      </c>
      <c r="BH29">
        <v>15.9</v>
      </c>
      <c r="BI29">
        <v>10</v>
      </c>
      <c r="BJ29">
        <v>9.6999999999999993</v>
      </c>
      <c r="BK29">
        <v>9</v>
      </c>
      <c r="BL29">
        <v>19</v>
      </c>
      <c r="BM29">
        <v>19</v>
      </c>
      <c r="BN29">
        <v>23.5</v>
      </c>
      <c r="BO29">
        <v>19</v>
      </c>
      <c r="BP29">
        <v>21.2</v>
      </c>
      <c r="BQ29">
        <v>20</v>
      </c>
      <c r="BR29">
        <v>21.7</v>
      </c>
      <c r="BS29">
        <v>25</v>
      </c>
      <c r="BT29">
        <v>21.9</v>
      </c>
      <c r="BU29">
        <v>25</v>
      </c>
      <c r="BV29">
        <v>25.2</v>
      </c>
      <c r="BW29">
        <v>18</v>
      </c>
      <c r="BX29">
        <v>21.1</v>
      </c>
      <c r="BY29">
        <v>20</v>
      </c>
      <c r="BZ29">
        <v>21</v>
      </c>
      <c r="CA29">
        <v>20</v>
      </c>
      <c r="CB29">
        <v>10.7</v>
      </c>
      <c r="CC29">
        <v>10</v>
      </c>
      <c r="CD29">
        <v>10.6</v>
      </c>
      <c r="CE29">
        <v>10</v>
      </c>
      <c r="CF29">
        <v>12.2</v>
      </c>
      <c r="CG29">
        <v>9</v>
      </c>
      <c r="CH29">
        <v>12.4</v>
      </c>
      <c r="CI29">
        <v>9</v>
      </c>
    </row>
    <row r="30" spans="1:87" x14ac:dyDescent="0.35">
      <c r="A30" s="1">
        <v>46059.46597222222</v>
      </c>
      <c r="B30">
        <v>-14.9</v>
      </c>
      <c r="C30">
        <v>-15.3</v>
      </c>
      <c r="D30">
        <v>-25</v>
      </c>
      <c r="E30">
        <v>-15.4</v>
      </c>
      <c r="F30">
        <v>-14.3</v>
      </c>
      <c r="G30">
        <v>-25</v>
      </c>
      <c r="H30">
        <v>-14.3</v>
      </c>
      <c r="I30">
        <v>-5.2</v>
      </c>
      <c r="J30">
        <v>-25</v>
      </c>
      <c r="K30">
        <v>-16.2</v>
      </c>
      <c r="L30">
        <v>-16.399999999999999</v>
      </c>
      <c r="M30">
        <v>-25</v>
      </c>
      <c r="N30">
        <v>-17.8</v>
      </c>
      <c r="O30">
        <v>-17.2</v>
      </c>
      <c r="P30">
        <v>-25</v>
      </c>
      <c r="Q30">
        <v>-17.8</v>
      </c>
      <c r="R30">
        <v>-17.600000000000001</v>
      </c>
      <c r="S30">
        <v>-25</v>
      </c>
      <c r="T30">
        <v>2</v>
      </c>
      <c r="U30">
        <v>1.7</v>
      </c>
      <c r="V30">
        <v>2</v>
      </c>
      <c r="W30">
        <v>2</v>
      </c>
      <c r="X30">
        <v>1.3</v>
      </c>
      <c r="Y30">
        <v>2</v>
      </c>
      <c r="Z30">
        <v>4</v>
      </c>
      <c r="AA30">
        <v>4.0999999999999996</v>
      </c>
      <c r="AB30">
        <v>2</v>
      </c>
      <c r="AC30">
        <v>4</v>
      </c>
      <c r="AD30">
        <v>3.8</v>
      </c>
      <c r="AE30">
        <v>2</v>
      </c>
      <c r="AF30">
        <v>2.7</v>
      </c>
      <c r="AG30">
        <v>2.2999999999999998</v>
      </c>
      <c r="AH30">
        <v>2</v>
      </c>
      <c r="AI30">
        <v>2.6</v>
      </c>
      <c r="AJ30">
        <v>1.4</v>
      </c>
      <c r="AK30">
        <v>2</v>
      </c>
      <c r="AL30">
        <v>6.5</v>
      </c>
      <c r="AM30">
        <v>4</v>
      </c>
      <c r="AN30">
        <v>4.2</v>
      </c>
      <c r="AO30">
        <v>4</v>
      </c>
      <c r="AP30">
        <v>4.5999999999999996</v>
      </c>
      <c r="AQ30">
        <v>4</v>
      </c>
      <c r="AR30">
        <v>7.7</v>
      </c>
      <c r="AS30">
        <v>4</v>
      </c>
      <c r="AT30">
        <v>-5.4</v>
      </c>
      <c r="AU30">
        <v>-7.9</v>
      </c>
      <c r="AV30">
        <v>-5</v>
      </c>
      <c r="AW30">
        <v>-5.2</v>
      </c>
      <c r="AX30">
        <v>-5.8</v>
      </c>
      <c r="AY30">
        <v>-5</v>
      </c>
      <c r="AZ30">
        <v>9.6999999999999993</v>
      </c>
      <c r="BA30">
        <v>10</v>
      </c>
      <c r="BB30">
        <v>12.1</v>
      </c>
      <c r="BC30">
        <v>10</v>
      </c>
      <c r="BD30">
        <v>6</v>
      </c>
      <c r="BE30">
        <v>4</v>
      </c>
      <c r="BF30">
        <v>12.1</v>
      </c>
      <c r="BG30">
        <v>10</v>
      </c>
      <c r="BH30">
        <v>15.4</v>
      </c>
      <c r="BI30">
        <v>10</v>
      </c>
      <c r="BJ30">
        <v>9.6999999999999993</v>
      </c>
      <c r="BK30">
        <v>9</v>
      </c>
      <c r="BL30">
        <v>19</v>
      </c>
      <c r="BM30">
        <v>19</v>
      </c>
      <c r="BN30">
        <v>23.5</v>
      </c>
      <c r="BO30">
        <v>19</v>
      </c>
      <c r="BP30">
        <v>21.2</v>
      </c>
      <c r="BQ30">
        <v>20</v>
      </c>
      <c r="BR30">
        <v>21.7</v>
      </c>
      <c r="BS30">
        <v>25</v>
      </c>
      <c r="BT30">
        <v>21.9</v>
      </c>
      <c r="BU30">
        <v>25</v>
      </c>
      <c r="BV30">
        <v>25.2</v>
      </c>
      <c r="BW30">
        <v>18</v>
      </c>
      <c r="BX30">
        <v>21.1</v>
      </c>
      <c r="BY30">
        <v>20</v>
      </c>
      <c r="BZ30">
        <v>21.1</v>
      </c>
      <c r="CA30">
        <v>20</v>
      </c>
      <c r="CB30">
        <v>10.6</v>
      </c>
      <c r="CC30">
        <v>10</v>
      </c>
      <c r="CD30">
        <v>10.6</v>
      </c>
      <c r="CE30">
        <v>10</v>
      </c>
      <c r="CF30">
        <v>12.3</v>
      </c>
      <c r="CG30">
        <v>9</v>
      </c>
      <c r="CH30">
        <v>12.5</v>
      </c>
      <c r="CI30">
        <v>9</v>
      </c>
    </row>
    <row r="31" spans="1:87" x14ac:dyDescent="0.35">
      <c r="A31" s="1">
        <v>46059.466666666667</v>
      </c>
      <c r="B31">
        <v>-15.3</v>
      </c>
      <c r="C31">
        <v>-16.2</v>
      </c>
      <c r="D31">
        <v>-25</v>
      </c>
      <c r="E31">
        <v>-15.8</v>
      </c>
      <c r="F31">
        <v>-14.5</v>
      </c>
      <c r="G31">
        <v>-25</v>
      </c>
      <c r="H31">
        <v>-14.5</v>
      </c>
      <c r="I31">
        <v>-6.4</v>
      </c>
      <c r="J31">
        <v>-25</v>
      </c>
      <c r="K31">
        <v>-16.100000000000001</v>
      </c>
      <c r="L31">
        <v>-16.3</v>
      </c>
      <c r="M31">
        <v>-25</v>
      </c>
      <c r="N31">
        <v>-17.600000000000001</v>
      </c>
      <c r="O31">
        <v>-17.2</v>
      </c>
      <c r="P31">
        <v>-25</v>
      </c>
      <c r="Q31">
        <v>-17.600000000000001</v>
      </c>
      <c r="R31">
        <v>-17.5</v>
      </c>
      <c r="S31">
        <v>-25</v>
      </c>
      <c r="T31">
        <v>2.1</v>
      </c>
      <c r="U31">
        <v>1.9</v>
      </c>
      <c r="V31">
        <v>2</v>
      </c>
      <c r="W31">
        <v>2.1</v>
      </c>
      <c r="X31">
        <v>1.5</v>
      </c>
      <c r="Y31">
        <v>2</v>
      </c>
      <c r="Z31">
        <v>4</v>
      </c>
      <c r="AA31">
        <v>4.0999999999999996</v>
      </c>
      <c r="AB31">
        <v>2</v>
      </c>
      <c r="AC31">
        <v>4</v>
      </c>
      <c r="AD31">
        <v>3.2</v>
      </c>
      <c r="AE31">
        <v>2</v>
      </c>
      <c r="AF31">
        <v>2.7</v>
      </c>
      <c r="AG31">
        <v>2.4</v>
      </c>
      <c r="AH31">
        <v>2</v>
      </c>
      <c r="AI31">
        <v>2.6</v>
      </c>
      <c r="AJ31">
        <v>1.9</v>
      </c>
      <c r="AK31">
        <v>2</v>
      </c>
      <c r="AL31">
        <v>6.7</v>
      </c>
      <c r="AM31">
        <v>4</v>
      </c>
      <c r="AN31">
        <v>4.4000000000000004</v>
      </c>
      <c r="AO31">
        <v>4</v>
      </c>
      <c r="AP31">
        <v>3.8</v>
      </c>
      <c r="AQ31">
        <v>4</v>
      </c>
      <c r="AR31">
        <v>7.7</v>
      </c>
      <c r="AS31">
        <v>4</v>
      </c>
      <c r="AT31">
        <v>-5.5</v>
      </c>
      <c r="AU31">
        <v>-6.3</v>
      </c>
      <c r="AV31">
        <v>-5</v>
      </c>
      <c r="AW31">
        <v>-4.9000000000000004</v>
      </c>
      <c r="AX31">
        <v>-5</v>
      </c>
      <c r="AY31">
        <v>-5</v>
      </c>
      <c r="AZ31">
        <v>9.9</v>
      </c>
      <c r="BA31">
        <v>10</v>
      </c>
      <c r="BB31">
        <v>12.2</v>
      </c>
      <c r="BC31">
        <v>10</v>
      </c>
      <c r="BD31">
        <v>6</v>
      </c>
      <c r="BE31">
        <v>4</v>
      </c>
      <c r="BF31">
        <v>11.4</v>
      </c>
      <c r="BG31">
        <v>10</v>
      </c>
      <c r="BH31">
        <v>14.9</v>
      </c>
      <c r="BI31">
        <v>10</v>
      </c>
      <c r="BJ31">
        <v>9.6999999999999993</v>
      </c>
      <c r="BK31">
        <v>9</v>
      </c>
      <c r="BL31">
        <v>19</v>
      </c>
      <c r="BM31">
        <v>19</v>
      </c>
      <c r="BN31">
        <v>23.5</v>
      </c>
      <c r="BO31">
        <v>19</v>
      </c>
      <c r="BP31">
        <v>21.2</v>
      </c>
      <c r="BQ31">
        <v>20</v>
      </c>
      <c r="BR31">
        <v>21.7</v>
      </c>
      <c r="BS31">
        <v>25</v>
      </c>
      <c r="BT31">
        <v>21.9</v>
      </c>
      <c r="BU31">
        <v>25</v>
      </c>
      <c r="BV31">
        <v>25.2</v>
      </c>
      <c r="BW31">
        <v>18</v>
      </c>
      <c r="BX31">
        <v>21.1</v>
      </c>
      <c r="BY31">
        <v>20</v>
      </c>
      <c r="BZ31">
        <v>21.1</v>
      </c>
      <c r="CA31">
        <v>20</v>
      </c>
      <c r="CB31">
        <v>10.4</v>
      </c>
      <c r="CC31">
        <v>10</v>
      </c>
      <c r="CD31">
        <v>10.6</v>
      </c>
      <c r="CE31">
        <v>10</v>
      </c>
      <c r="CF31">
        <v>12.3</v>
      </c>
      <c r="CG31">
        <v>9</v>
      </c>
      <c r="CH31">
        <v>12.5</v>
      </c>
      <c r="CI31">
        <v>9</v>
      </c>
    </row>
    <row r="32" spans="1:87" x14ac:dyDescent="0.35">
      <c r="A32" s="1">
        <v>46059.467361111114</v>
      </c>
      <c r="B32">
        <v>-15.7</v>
      </c>
      <c r="C32">
        <v>-18.399999999999999</v>
      </c>
      <c r="D32">
        <v>-25</v>
      </c>
      <c r="E32">
        <v>-16.5</v>
      </c>
      <c r="F32">
        <v>-14.8</v>
      </c>
      <c r="G32">
        <v>-25</v>
      </c>
      <c r="H32">
        <v>-14.8</v>
      </c>
      <c r="I32">
        <v>-7.1</v>
      </c>
      <c r="J32">
        <v>-25</v>
      </c>
      <c r="K32">
        <v>-16.100000000000001</v>
      </c>
      <c r="L32">
        <v>-16.3</v>
      </c>
      <c r="M32">
        <v>-25</v>
      </c>
      <c r="N32">
        <v>-17.5</v>
      </c>
      <c r="O32">
        <v>-17.2</v>
      </c>
      <c r="P32">
        <v>-25</v>
      </c>
      <c r="Q32">
        <v>-17.5</v>
      </c>
      <c r="R32">
        <v>-17.3</v>
      </c>
      <c r="S32">
        <v>-25</v>
      </c>
      <c r="T32">
        <v>2.2000000000000002</v>
      </c>
      <c r="U32">
        <v>2</v>
      </c>
      <c r="V32">
        <v>2</v>
      </c>
      <c r="W32">
        <v>2.2000000000000002</v>
      </c>
      <c r="X32">
        <v>1.6</v>
      </c>
      <c r="Y32">
        <v>2</v>
      </c>
      <c r="Z32">
        <v>4</v>
      </c>
      <c r="AA32">
        <v>4.0999999999999996</v>
      </c>
      <c r="AB32">
        <v>2</v>
      </c>
      <c r="AC32">
        <v>3.7</v>
      </c>
      <c r="AD32">
        <v>3</v>
      </c>
      <c r="AE32">
        <v>2</v>
      </c>
      <c r="AF32">
        <v>2.7</v>
      </c>
      <c r="AG32">
        <v>2.4</v>
      </c>
      <c r="AH32">
        <v>2</v>
      </c>
      <c r="AI32">
        <v>2.6</v>
      </c>
      <c r="AJ32">
        <v>1.9</v>
      </c>
      <c r="AK32">
        <v>2</v>
      </c>
      <c r="AL32">
        <v>6.3</v>
      </c>
      <c r="AM32">
        <v>4</v>
      </c>
      <c r="AN32">
        <v>4.5</v>
      </c>
      <c r="AO32">
        <v>4</v>
      </c>
      <c r="AP32">
        <v>3.1</v>
      </c>
      <c r="AQ32">
        <v>4</v>
      </c>
      <c r="AR32">
        <v>7.7</v>
      </c>
      <c r="AS32">
        <v>4</v>
      </c>
      <c r="AT32">
        <v>-4.8</v>
      </c>
      <c r="AU32">
        <v>-5.3</v>
      </c>
      <c r="AV32">
        <v>-5</v>
      </c>
      <c r="AW32">
        <v>-4.2</v>
      </c>
      <c r="AX32">
        <v>-4.0999999999999996</v>
      </c>
      <c r="AY32">
        <v>-5</v>
      </c>
      <c r="AZ32">
        <v>10.1</v>
      </c>
      <c r="BA32">
        <v>10</v>
      </c>
      <c r="BB32">
        <v>11.9</v>
      </c>
      <c r="BC32">
        <v>10</v>
      </c>
      <c r="BD32">
        <v>5.9</v>
      </c>
      <c r="BE32">
        <v>4</v>
      </c>
      <c r="BF32">
        <v>10.5</v>
      </c>
      <c r="BG32">
        <v>10</v>
      </c>
      <c r="BH32">
        <v>14.6</v>
      </c>
      <c r="BI32">
        <v>10</v>
      </c>
      <c r="BJ32">
        <v>9.6999999999999993</v>
      </c>
      <c r="BK32">
        <v>9</v>
      </c>
      <c r="BL32">
        <v>19.100000000000001</v>
      </c>
      <c r="BM32">
        <v>19</v>
      </c>
      <c r="BN32">
        <v>23.5</v>
      </c>
      <c r="BO32">
        <v>19</v>
      </c>
      <c r="BP32">
        <v>21.2</v>
      </c>
      <c r="BQ32">
        <v>20</v>
      </c>
      <c r="BR32">
        <v>21.7</v>
      </c>
      <c r="BS32">
        <v>25</v>
      </c>
      <c r="BT32">
        <v>21.9</v>
      </c>
      <c r="BU32">
        <v>25</v>
      </c>
      <c r="BV32">
        <v>25.2</v>
      </c>
      <c r="BW32">
        <v>18</v>
      </c>
      <c r="BX32">
        <v>21.2</v>
      </c>
      <c r="BY32">
        <v>20</v>
      </c>
      <c r="BZ32">
        <v>21.2</v>
      </c>
      <c r="CA32">
        <v>20</v>
      </c>
      <c r="CB32">
        <v>10.199999999999999</v>
      </c>
      <c r="CC32">
        <v>10</v>
      </c>
      <c r="CD32">
        <v>10.6</v>
      </c>
      <c r="CE32">
        <v>10</v>
      </c>
      <c r="CF32">
        <v>12.4</v>
      </c>
      <c r="CG32">
        <v>9</v>
      </c>
      <c r="CH32">
        <v>12.6</v>
      </c>
      <c r="CI32">
        <v>9</v>
      </c>
    </row>
    <row r="33" spans="1:87" x14ac:dyDescent="0.35">
      <c r="A33" s="1">
        <v>46059.468055555553</v>
      </c>
      <c r="B33">
        <v>-16.3</v>
      </c>
      <c r="C33">
        <v>-18.2</v>
      </c>
      <c r="D33">
        <v>-25</v>
      </c>
      <c r="E33">
        <v>-17.100000000000001</v>
      </c>
      <c r="F33">
        <v>-15.2</v>
      </c>
      <c r="G33">
        <v>-25</v>
      </c>
      <c r="H33">
        <v>-14.8</v>
      </c>
      <c r="I33">
        <v>-7.9</v>
      </c>
      <c r="J33">
        <v>-25</v>
      </c>
      <c r="K33">
        <v>-16.100000000000001</v>
      </c>
      <c r="L33">
        <v>-16.399999999999999</v>
      </c>
      <c r="M33">
        <v>-25</v>
      </c>
      <c r="N33">
        <v>-17.399999999999999</v>
      </c>
      <c r="O33">
        <v>-17.2</v>
      </c>
      <c r="P33">
        <v>-25</v>
      </c>
      <c r="Q33">
        <v>-17.3</v>
      </c>
      <c r="R33">
        <v>-17.2</v>
      </c>
      <c r="S33">
        <v>-25</v>
      </c>
      <c r="T33">
        <v>2.2999999999999998</v>
      </c>
      <c r="U33">
        <v>2.1</v>
      </c>
      <c r="V33">
        <v>2</v>
      </c>
      <c r="W33">
        <v>2.2999999999999998</v>
      </c>
      <c r="X33">
        <v>1.8</v>
      </c>
      <c r="Y33">
        <v>2</v>
      </c>
      <c r="Z33">
        <v>4</v>
      </c>
      <c r="AA33">
        <v>4.0999999999999996</v>
      </c>
      <c r="AB33">
        <v>2</v>
      </c>
      <c r="AC33">
        <v>3.4</v>
      </c>
      <c r="AD33">
        <v>2.9</v>
      </c>
      <c r="AE33">
        <v>2</v>
      </c>
      <c r="AF33">
        <v>2.7</v>
      </c>
      <c r="AG33">
        <v>2.4</v>
      </c>
      <c r="AH33">
        <v>2</v>
      </c>
      <c r="AI33">
        <v>2.5</v>
      </c>
      <c r="AJ33">
        <v>1.5</v>
      </c>
      <c r="AK33">
        <v>2</v>
      </c>
      <c r="AL33">
        <v>5.5</v>
      </c>
      <c r="AM33">
        <v>4</v>
      </c>
      <c r="AN33">
        <v>4.5</v>
      </c>
      <c r="AO33">
        <v>4</v>
      </c>
      <c r="AP33">
        <v>3</v>
      </c>
      <c r="AQ33">
        <v>4</v>
      </c>
      <c r="AR33">
        <v>7.7</v>
      </c>
      <c r="AS33">
        <v>4</v>
      </c>
      <c r="AT33">
        <v>-4.2</v>
      </c>
      <c r="AU33">
        <v>-4.5</v>
      </c>
      <c r="AV33">
        <v>-5</v>
      </c>
      <c r="AW33">
        <v>-3.6</v>
      </c>
      <c r="AX33">
        <v>-3.5</v>
      </c>
      <c r="AY33">
        <v>-5</v>
      </c>
      <c r="AZ33">
        <v>10.199999999999999</v>
      </c>
      <c r="BA33">
        <v>10</v>
      </c>
      <c r="BB33">
        <v>11.8</v>
      </c>
      <c r="BC33">
        <v>10</v>
      </c>
      <c r="BD33">
        <v>5.7</v>
      </c>
      <c r="BE33">
        <v>4</v>
      </c>
      <c r="BF33">
        <v>9.9</v>
      </c>
      <c r="BG33">
        <v>10</v>
      </c>
      <c r="BH33">
        <v>14.2</v>
      </c>
      <c r="BI33">
        <v>10</v>
      </c>
      <c r="BJ33">
        <v>9.6999999999999993</v>
      </c>
      <c r="BK33">
        <v>9</v>
      </c>
      <c r="BL33">
        <v>19.100000000000001</v>
      </c>
      <c r="BM33">
        <v>19</v>
      </c>
      <c r="BN33">
        <v>23.5</v>
      </c>
      <c r="BO33">
        <v>19</v>
      </c>
      <c r="BP33">
        <v>21.2</v>
      </c>
      <c r="BQ33">
        <v>20</v>
      </c>
      <c r="BR33">
        <v>21.7</v>
      </c>
      <c r="BS33">
        <v>25</v>
      </c>
      <c r="BT33">
        <v>21.9</v>
      </c>
      <c r="BU33">
        <v>25</v>
      </c>
      <c r="BV33">
        <v>25.2</v>
      </c>
      <c r="BW33">
        <v>18</v>
      </c>
      <c r="BX33">
        <v>21.2</v>
      </c>
      <c r="BY33">
        <v>20</v>
      </c>
      <c r="BZ33">
        <v>21.2</v>
      </c>
      <c r="CA33">
        <v>20</v>
      </c>
      <c r="CB33">
        <v>10.1</v>
      </c>
      <c r="CC33">
        <v>10</v>
      </c>
      <c r="CD33">
        <v>10.6</v>
      </c>
      <c r="CE33">
        <v>10</v>
      </c>
      <c r="CF33">
        <v>12.5</v>
      </c>
      <c r="CG33">
        <v>9</v>
      </c>
      <c r="CH33">
        <v>12.7</v>
      </c>
      <c r="CI33">
        <v>9</v>
      </c>
    </row>
    <row r="34" spans="1:87" x14ac:dyDescent="0.35">
      <c r="A34" s="1">
        <v>46059.46875</v>
      </c>
      <c r="B34">
        <v>-16.7</v>
      </c>
      <c r="C34">
        <v>-17.8</v>
      </c>
      <c r="D34">
        <v>-25</v>
      </c>
      <c r="E34">
        <v>-17.399999999999999</v>
      </c>
      <c r="F34">
        <v>-15.6</v>
      </c>
      <c r="G34">
        <v>-25</v>
      </c>
      <c r="H34">
        <v>-15.4</v>
      </c>
      <c r="I34">
        <v>-8.4</v>
      </c>
      <c r="J34">
        <v>-25</v>
      </c>
      <c r="K34">
        <v>-16.100000000000001</v>
      </c>
      <c r="L34">
        <v>-16.600000000000001</v>
      </c>
      <c r="M34">
        <v>-25</v>
      </c>
      <c r="N34">
        <v>-17.2</v>
      </c>
      <c r="O34">
        <v>-17.2</v>
      </c>
      <c r="P34">
        <v>-25</v>
      </c>
      <c r="Q34">
        <v>-17.2</v>
      </c>
      <c r="R34">
        <v>-17.100000000000001</v>
      </c>
      <c r="S34">
        <v>-25</v>
      </c>
      <c r="T34">
        <v>2.4</v>
      </c>
      <c r="U34">
        <v>2.2999999999999998</v>
      </c>
      <c r="V34">
        <v>2</v>
      </c>
      <c r="W34">
        <v>2.4</v>
      </c>
      <c r="X34">
        <v>2</v>
      </c>
      <c r="Y34">
        <v>2</v>
      </c>
      <c r="Z34">
        <v>4</v>
      </c>
      <c r="AA34">
        <v>4.0999999999999996</v>
      </c>
      <c r="AB34">
        <v>2</v>
      </c>
      <c r="AC34">
        <v>3.2</v>
      </c>
      <c r="AD34">
        <v>2.8</v>
      </c>
      <c r="AE34">
        <v>2</v>
      </c>
      <c r="AF34">
        <v>2.5</v>
      </c>
      <c r="AG34">
        <v>2.1</v>
      </c>
      <c r="AH34">
        <v>2</v>
      </c>
      <c r="AI34">
        <v>2.4</v>
      </c>
      <c r="AJ34">
        <v>1.3</v>
      </c>
      <c r="AK34">
        <v>2</v>
      </c>
      <c r="AL34">
        <v>5</v>
      </c>
      <c r="AM34">
        <v>4</v>
      </c>
      <c r="AN34">
        <v>4.5999999999999996</v>
      </c>
      <c r="AO34">
        <v>4</v>
      </c>
      <c r="AP34">
        <v>3</v>
      </c>
      <c r="AQ34">
        <v>4</v>
      </c>
      <c r="AR34">
        <v>7.7</v>
      </c>
      <c r="AS34">
        <v>4</v>
      </c>
      <c r="AT34">
        <v>-3.7</v>
      </c>
      <c r="AU34">
        <v>-3.9</v>
      </c>
      <c r="AV34">
        <v>-5</v>
      </c>
      <c r="AW34">
        <v>-3.3</v>
      </c>
      <c r="AX34">
        <v>-3.1</v>
      </c>
      <c r="AY34">
        <v>-5</v>
      </c>
      <c r="AZ34">
        <v>10.4</v>
      </c>
      <c r="BA34">
        <v>10</v>
      </c>
      <c r="BB34">
        <v>11.5</v>
      </c>
      <c r="BC34">
        <v>10</v>
      </c>
      <c r="BD34">
        <v>5.4</v>
      </c>
      <c r="BE34">
        <v>4</v>
      </c>
      <c r="BF34">
        <v>9.6</v>
      </c>
      <c r="BG34">
        <v>10</v>
      </c>
      <c r="BH34">
        <v>14.1</v>
      </c>
      <c r="BI34">
        <v>10</v>
      </c>
      <c r="BJ34">
        <v>9.6999999999999993</v>
      </c>
      <c r="BK34">
        <v>9</v>
      </c>
      <c r="BL34">
        <v>19.100000000000001</v>
      </c>
      <c r="BM34">
        <v>19</v>
      </c>
      <c r="BN34">
        <v>23.5</v>
      </c>
      <c r="BO34">
        <v>19</v>
      </c>
      <c r="BP34">
        <v>21.2</v>
      </c>
      <c r="BQ34">
        <v>20</v>
      </c>
      <c r="BR34">
        <v>21.7</v>
      </c>
      <c r="BS34">
        <v>25</v>
      </c>
      <c r="BT34">
        <v>21.9</v>
      </c>
      <c r="BU34">
        <v>25</v>
      </c>
      <c r="BV34">
        <v>25.2</v>
      </c>
      <c r="BW34">
        <v>18</v>
      </c>
      <c r="BX34">
        <v>21.3</v>
      </c>
      <c r="BY34">
        <v>20</v>
      </c>
      <c r="BZ34">
        <v>21.3</v>
      </c>
      <c r="CA34">
        <v>20</v>
      </c>
      <c r="CB34">
        <v>10.1</v>
      </c>
      <c r="CC34">
        <v>10</v>
      </c>
      <c r="CD34">
        <v>10.8</v>
      </c>
      <c r="CE34">
        <v>10</v>
      </c>
      <c r="CF34">
        <v>12.4</v>
      </c>
      <c r="CG34">
        <v>9</v>
      </c>
      <c r="CH34">
        <v>12.6</v>
      </c>
      <c r="CI34">
        <v>9</v>
      </c>
    </row>
    <row r="35" spans="1:87" x14ac:dyDescent="0.35">
      <c r="A35" s="1">
        <v>46059.469444444447</v>
      </c>
      <c r="B35">
        <v>-16.899999999999999</v>
      </c>
      <c r="C35">
        <v>-17.8</v>
      </c>
      <c r="D35">
        <v>-25</v>
      </c>
      <c r="E35">
        <v>-17.600000000000001</v>
      </c>
      <c r="F35">
        <v>-16</v>
      </c>
      <c r="G35">
        <v>-25</v>
      </c>
      <c r="H35">
        <v>-15.6</v>
      </c>
      <c r="I35">
        <v>-8.9</v>
      </c>
      <c r="J35">
        <v>-25</v>
      </c>
      <c r="K35">
        <v>-16.2</v>
      </c>
      <c r="L35">
        <v>-16.8</v>
      </c>
      <c r="M35">
        <v>-25</v>
      </c>
      <c r="N35">
        <v>-17.2</v>
      </c>
      <c r="O35">
        <v>-17.100000000000001</v>
      </c>
      <c r="P35">
        <v>-25</v>
      </c>
      <c r="Q35">
        <v>-17.100000000000001</v>
      </c>
      <c r="R35">
        <v>-17</v>
      </c>
      <c r="S35">
        <v>-25</v>
      </c>
      <c r="T35">
        <v>2.6</v>
      </c>
      <c r="U35">
        <v>2.4</v>
      </c>
      <c r="V35">
        <v>2</v>
      </c>
      <c r="W35">
        <v>2.5</v>
      </c>
      <c r="X35">
        <v>2.2000000000000002</v>
      </c>
      <c r="Y35">
        <v>2</v>
      </c>
      <c r="Z35">
        <v>4</v>
      </c>
      <c r="AA35">
        <v>4.0999999999999996</v>
      </c>
      <c r="AB35">
        <v>2</v>
      </c>
      <c r="AC35">
        <v>3.2</v>
      </c>
      <c r="AD35">
        <v>2.8</v>
      </c>
      <c r="AE35">
        <v>2</v>
      </c>
      <c r="AF35">
        <v>2.9</v>
      </c>
      <c r="AG35">
        <v>3</v>
      </c>
      <c r="AH35">
        <v>2</v>
      </c>
      <c r="AI35">
        <v>2.4</v>
      </c>
      <c r="AJ35">
        <v>2</v>
      </c>
      <c r="AK35">
        <v>2</v>
      </c>
      <c r="AL35">
        <v>4.5999999999999996</v>
      </c>
      <c r="AM35">
        <v>4</v>
      </c>
      <c r="AN35">
        <v>4.5999999999999996</v>
      </c>
      <c r="AO35">
        <v>4</v>
      </c>
      <c r="AP35">
        <v>3.3</v>
      </c>
      <c r="AQ35">
        <v>4</v>
      </c>
      <c r="AR35">
        <v>7.7</v>
      </c>
      <c r="AS35">
        <v>4</v>
      </c>
      <c r="AT35">
        <v>-3.3</v>
      </c>
      <c r="AU35">
        <v>-3.5</v>
      </c>
      <c r="AV35">
        <v>-5</v>
      </c>
      <c r="AW35">
        <v>-2.9</v>
      </c>
      <c r="AX35">
        <v>-2.7</v>
      </c>
      <c r="AY35">
        <v>-5</v>
      </c>
      <c r="AZ35">
        <v>10.5</v>
      </c>
      <c r="BA35">
        <v>10</v>
      </c>
      <c r="BB35">
        <v>11.3</v>
      </c>
      <c r="BC35">
        <v>10</v>
      </c>
      <c r="BD35">
        <v>5</v>
      </c>
      <c r="BE35">
        <v>4</v>
      </c>
      <c r="BF35">
        <v>9.6</v>
      </c>
      <c r="BG35">
        <v>10</v>
      </c>
      <c r="BH35">
        <v>14.2</v>
      </c>
      <c r="BI35">
        <v>10</v>
      </c>
      <c r="BJ35">
        <v>9.6999999999999993</v>
      </c>
      <c r="BK35">
        <v>9</v>
      </c>
      <c r="BL35">
        <v>19.100000000000001</v>
      </c>
      <c r="BM35">
        <v>19</v>
      </c>
      <c r="BN35">
        <v>23.5</v>
      </c>
      <c r="BO35">
        <v>19</v>
      </c>
      <c r="BP35">
        <v>21.2</v>
      </c>
      <c r="BQ35">
        <v>20</v>
      </c>
      <c r="BR35">
        <v>21.7</v>
      </c>
      <c r="BS35">
        <v>25</v>
      </c>
      <c r="BT35">
        <v>21.9</v>
      </c>
      <c r="BU35">
        <v>25</v>
      </c>
      <c r="BV35">
        <v>25.2</v>
      </c>
      <c r="BW35">
        <v>18</v>
      </c>
      <c r="BX35">
        <v>21.3</v>
      </c>
      <c r="BY35">
        <v>20</v>
      </c>
      <c r="BZ35">
        <v>21.3</v>
      </c>
      <c r="CA35">
        <v>20</v>
      </c>
      <c r="CB35">
        <v>10</v>
      </c>
      <c r="CC35">
        <v>10</v>
      </c>
      <c r="CD35">
        <v>10.8</v>
      </c>
      <c r="CE35">
        <v>10</v>
      </c>
      <c r="CF35">
        <v>12.3</v>
      </c>
      <c r="CG35">
        <v>9</v>
      </c>
      <c r="CH35">
        <v>12.5</v>
      </c>
      <c r="CI35">
        <v>9</v>
      </c>
    </row>
    <row r="36" spans="1:87" x14ac:dyDescent="0.35">
      <c r="A36" s="1">
        <v>46059.470138888886</v>
      </c>
      <c r="B36">
        <v>-17.2</v>
      </c>
      <c r="C36">
        <v>-18.399999999999999</v>
      </c>
      <c r="D36">
        <v>-25</v>
      </c>
      <c r="E36">
        <v>-18</v>
      </c>
      <c r="F36">
        <v>-16.2</v>
      </c>
      <c r="G36">
        <v>-25</v>
      </c>
      <c r="H36">
        <v>-15.8</v>
      </c>
      <c r="I36">
        <v>-9.3000000000000007</v>
      </c>
      <c r="J36">
        <v>-25</v>
      </c>
      <c r="K36">
        <v>-16.3</v>
      </c>
      <c r="L36">
        <v>-16.899999999999999</v>
      </c>
      <c r="M36">
        <v>-25</v>
      </c>
      <c r="N36">
        <v>-17.2</v>
      </c>
      <c r="O36">
        <v>-17.100000000000001</v>
      </c>
      <c r="P36">
        <v>-25</v>
      </c>
      <c r="Q36">
        <v>-17.100000000000001</v>
      </c>
      <c r="R36">
        <v>-17</v>
      </c>
      <c r="S36">
        <v>-25</v>
      </c>
      <c r="T36">
        <v>2.7</v>
      </c>
      <c r="U36">
        <v>2.6</v>
      </c>
      <c r="V36">
        <v>2</v>
      </c>
      <c r="W36">
        <v>2.7</v>
      </c>
      <c r="X36">
        <v>2.2999999999999998</v>
      </c>
      <c r="Y36">
        <v>2</v>
      </c>
      <c r="Z36">
        <v>4</v>
      </c>
      <c r="AA36">
        <v>4.0999999999999996</v>
      </c>
      <c r="AB36">
        <v>2</v>
      </c>
      <c r="AC36">
        <v>3.2</v>
      </c>
      <c r="AD36">
        <v>2.4</v>
      </c>
      <c r="AE36">
        <v>2</v>
      </c>
      <c r="AF36">
        <v>2.9</v>
      </c>
      <c r="AG36">
        <v>2.7</v>
      </c>
      <c r="AH36">
        <v>2</v>
      </c>
      <c r="AI36">
        <v>2.5</v>
      </c>
      <c r="AJ36">
        <v>0.8</v>
      </c>
      <c r="AK36">
        <v>2</v>
      </c>
      <c r="AL36">
        <v>4.4000000000000004</v>
      </c>
      <c r="AM36">
        <v>4</v>
      </c>
      <c r="AN36">
        <v>4.7</v>
      </c>
      <c r="AO36">
        <v>4</v>
      </c>
      <c r="AP36">
        <v>3.6</v>
      </c>
      <c r="AQ36">
        <v>4</v>
      </c>
      <c r="AR36">
        <v>7.7</v>
      </c>
      <c r="AS36">
        <v>4</v>
      </c>
      <c r="AT36">
        <v>-2.9</v>
      </c>
      <c r="AU36">
        <v>-3.2</v>
      </c>
      <c r="AV36">
        <v>-5</v>
      </c>
      <c r="AW36">
        <v>-3.2</v>
      </c>
      <c r="AX36">
        <v>-3.6</v>
      </c>
      <c r="AY36">
        <v>-5</v>
      </c>
      <c r="AZ36">
        <v>10.6</v>
      </c>
      <c r="BA36">
        <v>10</v>
      </c>
      <c r="BB36">
        <v>11.1</v>
      </c>
      <c r="BC36">
        <v>10</v>
      </c>
      <c r="BD36">
        <v>4.5</v>
      </c>
      <c r="BE36">
        <v>4</v>
      </c>
      <c r="BF36">
        <v>10.1</v>
      </c>
      <c r="BG36">
        <v>10</v>
      </c>
      <c r="BH36">
        <v>14.4</v>
      </c>
      <c r="BI36">
        <v>10</v>
      </c>
      <c r="BJ36">
        <v>9.6999999999999993</v>
      </c>
      <c r="BK36">
        <v>9</v>
      </c>
      <c r="BL36">
        <v>19.2</v>
      </c>
      <c r="BM36">
        <v>19</v>
      </c>
      <c r="BN36">
        <v>23.5</v>
      </c>
      <c r="BO36">
        <v>19</v>
      </c>
      <c r="BP36">
        <v>21.2</v>
      </c>
      <c r="BQ36">
        <v>20</v>
      </c>
      <c r="BR36">
        <v>21.7</v>
      </c>
      <c r="BS36">
        <v>25</v>
      </c>
      <c r="BT36">
        <v>21.9</v>
      </c>
      <c r="BU36">
        <v>25</v>
      </c>
      <c r="BV36">
        <v>25.2</v>
      </c>
      <c r="BW36">
        <v>18</v>
      </c>
      <c r="BX36">
        <v>21.3</v>
      </c>
      <c r="BY36">
        <v>20</v>
      </c>
      <c r="BZ36">
        <v>21.3</v>
      </c>
      <c r="CA36">
        <v>20</v>
      </c>
      <c r="CB36">
        <v>10.1</v>
      </c>
      <c r="CC36">
        <v>10</v>
      </c>
      <c r="CD36">
        <v>10.8</v>
      </c>
      <c r="CE36">
        <v>10</v>
      </c>
      <c r="CF36">
        <v>12.3</v>
      </c>
      <c r="CG36">
        <v>9</v>
      </c>
      <c r="CH36">
        <v>12.5</v>
      </c>
      <c r="CI36">
        <v>9</v>
      </c>
    </row>
    <row r="37" spans="1:87" x14ac:dyDescent="0.35">
      <c r="A37" s="1">
        <v>46059.470833333333</v>
      </c>
      <c r="B37">
        <v>-17.5</v>
      </c>
      <c r="C37">
        <v>-19</v>
      </c>
      <c r="D37">
        <v>-25</v>
      </c>
      <c r="E37">
        <v>-18.399999999999999</v>
      </c>
      <c r="F37">
        <v>-16.600000000000001</v>
      </c>
      <c r="G37">
        <v>-25</v>
      </c>
      <c r="H37">
        <v>-16</v>
      </c>
      <c r="I37">
        <v>-9.8000000000000007</v>
      </c>
      <c r="J37">
        <v>-25</v>
      </c>
      <c r="K37">
        <v>-16.5</v>
      </c>
      <c r="L37">
        <v>-17</v>
      </c>
      <c r="M37">
        <v>-25</v>
      </c>
      <c r="N37">
        <v>-17.2</v>
      </c>
      <c r="O37">
        <v>-17</v>
      </c>
      <c r="P37">
        <v>-25</v>
      </c>
      <c r="Q37">
        <v>-17.100000000000001</v>
      </c>
      <c r="R37">
        <v>-17</v>
      </c>
      <c r="S37">
        <v>-25</v>
      </c>
      <c r="T37">
        <v>2.8</v>
      </c>
      <c r="U37">
        <v>2.7</v>
      </c>
      <c r="V37">
        <v>2</v>
      </c>
      <c r="W37">
        <v>2.8</v>
      </c>
      <c r="X37">
        <v>2.5</v>
      </c>
      <c r="Y37">
        <v>2</v>
      </c>
      <c r="Z37">
        <v>4</v>
      </c>
      <c r="AA37">
        <v>4.0999999999999996</v>
      </c>
      <c r="AB37">
        <v>2</v>
      </c>
      <c r="AC37">
        <v>3</v>
      </c>
      <c r="AD37">
        <v>1.4</v>
      </c>
      <c r="AE37">
        <v>2</v>
      </c>
      <c r="AF37">
        <v>2.8</v>
      </c>
      <c r="AG37">
        <v>2.4</v>
      </c>
      <c r="AH37">
        <v>2</v>
      </c>
      <c r="AI37">
        <v>2.5</v>
      </c>
      <c r="AJ37">
        <v>-0.2</v>
      </c>
      <c r="AK37">
        <v>2</v>
      </c>
      <c r="AL37">
        <v>4.0999999999999996</v>
      </c>
      <c r="AM37">
        <v>4</v>
      </c>
      <c r="AN37">
        <v>4.8</v>
      </c>
      <c r="AO37">
        <v>4</v>
      </c>
      <c r="AP37">
        <v>3.8</v>
      </c>
      <c r="AQ37">
        <v>4</v>
      </c>
      <c r="AR37">
        <v>7.7</v>
      </c>
      <c r="AS37">
        <v>4</v>
      </c>
      <c r="AT37">
        <v>-2.6</v>
      </c>
      <c r="AU37">
        <v>-2.8</v>
      </c>
      <c r="AV37">
        <v>-5</v>
      </c>
      <c r="AW37">
        <v>-3.6</v>
      </c>
      <c r="AX37">
        <v>-4.3</v>
      </c>
      <c r="AY37">
        <v>-5</v>
      </c>
      <c r="AZ37">
        <v>10.7</v>
      </c>
      <c r="BA37">
        <v>10</v>
      </c>
      <c r="BB37">
        <v>11</v>
      </c>
      <c r="BC37">
        <v>10</v>
      </c>
      <c r="BD37">
        <v>4.0999999999999996</v>
      </c>
      <c r="BE37">
        <v>4</v>
      </c>
      <c r="BF37">
        <v>10.5</v>
      </c>
      <c r="BG37">
        <v>10</v>
      </c>
      <c r="BH37">
        <v>14.4</v>
      </c>
      <c r="BI37">
        <v>10</v>
      </c>
      <c r="BJ37">
        <v>9.6999999999999993</v>
      </c>
      <c r="BK37">
        <v>9</v>
      </c>
      <c r="BL37">
        <v>19.2</v>
      </c>
      <c r="BM37">
        <v>19</v>
      </c>
      <c r="BN37">
        <v>23.5</v>
      </c>
      <c r="BO37">
        <v>19</v>
      </c>
      <c r="BP37">
        <v>21.2</v>
      </c>
      <c r="BQ37">
        <v>20</v>
      </c>
      <c r="BR37">
        <v>21.7</v>
      </c>
      <c r="BS37">
        <v>25</v>
      </c>
      <c r="BT37">
        <v>21.9</v>
      </c>
      <c r="BU37">
        <v>25</v>
      </c>
      <c r="BV37">
        <v>25.2</v>
      </c>
      <c r="BW37">
        <v>18</v>
      </c>
      <c r="BX37">
        <v>21.3</v>
      </c>
      <c r="BY37">
        <v>20</v>
      </c>
      <c r="BZ37">
        <v>21.4</v>
      </c>
      <c r="CA37">
        <v>20</v>
      </c>
      <c r="CB37">
        <v>10.4</v>
      </c>
      <c r="CC37">
        <v>10</v>
      </c>
      <c r="CD37">
        <v>10.8</v>
      </c>
      <c r="CE37">
        <v>10</v>
      </c>
      <c r="CF37">
        <v>12.2</v>
      </c>
      <c r="CG37">
        <v>9</v>
      </c>
      <c r="CH37">
        <v>12.5</v>
      </c>
      <c r="CI37">
        <v>9</v>
      </c>
    </row>
    <row r="38" spans="1:87" x14ac:dyDescent="0.35">
      <c r="A38" s="1">
        <v>46059.47152777778</v>
      </c>
      <c r="B38">
        <v>-17.399999999999999</v>
      </c>
      <c r="C38">
        <v>-18.8</v>
      </c>
      <c r="D38">
        <v>-25</v>
      </c>
      <c r="E38">
        <v>-18.399999999999999</v>
      </c>
      <c r="F38">
        <v>-16.8</v>
      </c>
      <c r="G38">
        <v>-25</v>
      </c>
      <c r="H38">
        <v>-16.100000000000001</v>
      </c>
      <c r="I38">
        <v>-10.3</v>
      </c>
      <c r="J38">
        <v>-25</v>
      </c>
      <c r="K38">
        <v>-16.5</v>
      </c>
      <c r="L38">
        <v>-17.100000000000001</v>
      </c>
      <c r="M38">
        <v>-25</v>
      </c>
      <c r="N38">
        <v>-17.2</v>
      </c>
      <c r="O38">
        <v>-16.899999999999999</v>
      </c>
      <c r="P38">
        <v>-25</v>
      </c>
      <c r="Q38">
        <v>-17.100000000000001</v>
      </c>
      <c r="R38">
        <v>-17</v>
      </c>
      <c r="S38">
        <v>-25</v>
      </c>
      <c r="T38">
        <v>2.9</v>
      </c>
      <c r="U38">
        <v>2.8</v>
      </c>
      <c r="V38">
        <v>2</v>
      </c>
      <c r="W38">
        <v>2.9</v>
      </c>
      <c r="X38">
        <v>2.6</v>
      </c>
      <c r="Y38">
        <v>2</v>
      </c>
      <c r="Z38">
        <v>4</v>
      </c>
      <c r="AA38">
        <v>4.0999999999999996</v>
      </c>
      <c r="AB38">
        <v>2</v>
      </c>
      <c r="AC38">
        <v>2.7</v>
      </c>
      <c r="AD38">
        <v>0.8</v>
      </c>
      <c r="AE38">
        <v>2</v>
      </c>
      <c r="AF38">
        <v>2.5</v>
      </c>
      <c r="AG38">
        <v>2</v>
      </c>
      <c r="AH38">
        <v>2</v>
      </c>
      <c r="AI38">
        <v>2.2999999999999998</v>
      </c>
      <c r="AJ38">
        <v>-0.8</v>
      </c>
      <c r="AK38">
        <v>2</v>
      </c>
      <c r="AL38">
        <v>3.9</v>
      </c>
      <c r="AM38">
        <v>4</v>
      </c>
      <c r="AN38">
        <v>4.8</v>
      </c>
      <c r="AO38">
        <v>4</v>
      </c>
      <c r="AP38">
        <v>4.0999999999999996</v>
      </c>
      <c r="AQ38">
        <v>4</v>
      </c>
      <c r="AR38">
        <v>7.7</v>
      </c>
      <c r="AS38">
        <v>4</v>
      </c>
      <c r="AT38">
        <v>-2.9</v>
      </c>
      <c r="AU38">
        <v>-3.9</v>
      </c>
      <c r="AV38">
        <v>-5</v>
      </c>
      <c r="AW38">
        <v>-3.8</v>
      </c>
      <c r="AX38">
        <v>-4.3</v>
      </c>
      <c r="AY38">
        <v>-5</v>
      </c>
      <c r="AZ38">
        <v>10.8</v>
      </c>
      <c r="BA38">
        <v>10</v>
      </c>
      <c r="BB38">
        <v>10.9</v>
      </c>
      <c r="BC38">
        <v>10</v>
      </c>
      <c r="BD38">
        <v>3.8</v>
      </c>
      <c r="BE38">
        <v>4</v>
      </c>
      <c r="BF38">
        <v>10.7</v>
      </c>
      <c r="BG38">
        <v>10</v>
      </c>
      <c r="BH38">
        <v>14.4</v>
      </c>
      <c r="BI38">
        <v>10</v>
      </c>
      <c r="BJ38">
        <v>9.6999999999999993</v>
      </c>
      <c r="BK38">
        <v>9</v>
      </c>
      <c r="BL38">
        <v>19.2</v>
      </c>
      <c r="BM38">
        <v>19</v>
      </c>
      <c r="BN38">
        <v>23.5</v>
      </c>
      <c r="BO38">
        <v>19</v>
      </c>
      <c r="BP38">
        <v>21.2</v>
      </c>
      <c r="BQ38">
        <v>20</v>
      </c>
      <c r="BR38">
        <v>21.7</v>
      </c>
      <c r="BS38">
        <v>25</v>
      </c>
      <c r="BT38">
        <v>21.9</v>
      </c>
      <c r="BU38">
        <v>25</v>
      </c>
      <c r="BV38">
        <v>25.2</v>
      </c>
      <c r="BW38">
        <v>18</v>
      </c>
      <c r="BX38">
        <v>21.3</v>
      </c>
      <c r="BY38">
        <v>20</v>
      </c>
      <c r="BZ38">
        <v>21.4</v>
      </c>
      <c r="CA38">
        <v>20</v>
      </c>
      <c r="CB38">
        <v>11.2</v>
      </c>
      <c r="CC38">
        <v>10</v>
      </c>
      <c r="CD38">
        <v>10.8</v>
      </c>
      <c r="CE38">
        <v>10</v>
      </c>
      <c r="CF38">
        <v>12.2</v>
      </c>
      <c r="CG38">
        <v>9</v>
      </c>
      <c r="CH38">
        <v>12.5</v>
      </c>
      <c r="CI38">
        <v>9</v>
      </c>
    </row>
    <row r="39" spans="1:87" x14ac:dyDescent="0.35">
      <c r="A39" s="1">
        <v>46059.472222222219</v>
      </c>
      <c r="B39">
        <v>-17.2</v>
      </c>
      <c r="C39">
        <v>-18.5</v>
      </c>
      <c r="D39">
        <v>-25</v>
      </c>
      <c r="E39">
        <v>-18.3</v>
      </c>
      <c r="F39">
        <v>-17</v>
      </c>
      <c r="G39">
        <v>-25</v>
      </c>
      <c r="H39">
        <v>-16.2</v>
      </c>
      <c r="I39">
        <v>-10.7</v>
      </c>
      <c r="J39">
        <v>-25</v>
      </c>
      <c r="K39">
        <v>-16.600000000000001</v>
      </c>
      <c r="L39">
        <v>-17.2</v>
      </c>
      <c r="M39">
        <v>-25</v>
      </c>
      <c r="N39">
        <v>-17.2</v>
      </c>
      <c r="O39">
        <v>-16.899999999999999</v>
      </c>
      <c r="P39">
        <v>-25</v>
      </c>
      <c r="Q39">
        <v>-17.100000000000001</v>
      </c>
      <c r="R39">
        <v>-17</v>
      </c>
      <c r="S39">
        <v>-25</v>
      </c>
      <c r="T39">
        <v>3</v>
      </c>
      <c r="U39">
        <v>2.9</v>
      </c>
      <c r="V39">
        <v>2</v>
      </c>
      <c r="W39">
        <v>3</v>
      </c>
      <c r="X39">
        <v>2.7</v>
      </c>
      <c r="Y39">
        <v>2</v>
      </c>
      <c r="Z39">
        <v>4</v>
      </c>
      <c r="AA39">
        <v>4</v>
      </c>
      <c r="AB39">
        <v>2</v>
      </c>
      <c r="AC39">
        <v>2.4</v>
      </c>
      <c r="AD39">
        <v>0.9</v>
      </c>
      <c r="AE39">
        <v>2</v>
      </c>
      <c r="AF39">
        <v>2.2000000000000002</v>
      </c>
      <c r="AG39">
        <v>1.7</v>
      </c>
      <c r="AH39">
        <v>2</v>
      </c>
      <c r="AI39">
        <v>2</v>
      </c>
      <c r="AJ39">
        <v>-0.1</v>
      </c>
      <c r="AK39">
        <v>2</v>
      </c>
      <c r="AL39">
        <v>3.8</v>
      </c>
      <c r="AM39">
        <v>4</v>
      </c>
      <c r="AN39">
        <v>4.9000000000000004</v>
      </c>
      <c r="AO39">
        <v>4</v>
      </c>
      <c r="AP39">
        <v>4.3</v>
      </c>
      <c r="AQ39">
        <v>4</v>
      </c>
      <c r="AR39">
        <v>7.8</v>
      </c>
      <c r="AS39">
        <v>4</v>
      </c>
      <c r="AT39">
        <v>-3</v>
      </c>
      <c r="AU39">
        <v>-5</v>
      </c>
      <c r="AV39">
        <v>-5</v>
      </c>
      <c r="AW39">
        <v>-3.8</v>
      </c>
      <c r="AX39">
        <v>-4.2</v>
      </c>
      <c r="AY39">
        <v>-5</v>
      </c>
      <c r="AZ39">
        <v>11</v>
      </c>
      <c r="BA39">
        <v>10</v>
      </c>
      <c r="BB39">
        <v>10.7</v>
      </c>
      <c r="BC39">
        <v>10</v>
      </c>
      <c r="BD39">
        <v>3.8</v>
      </c>
      <c r="BE39">
        <v>4</v>
      </c>
      <c r="BF39">
        <v>11</v>
      </c>
      <c r="BG39">
        <v>10</v>
      </c>
      <c r="BH39">
        <v>14.4</v>
      </c>
      <c r="BI39">
        <v>10</v>
      </c>
      <c r="BJ39">
        <v>9.6999999999999993</v>
      </c>
      <c r="BK39">
        <v>9</v>
      </c>
      <c r="BL39">
        <v>19.2</v>
      </c>
      <c r="BM39">
        <v>19</v>
      </c>
      <c r="BN39">
        <v>23.4</v>
      </c>
      <c r="BO39">
        <v>19</v>
      </c>
      <c r="BP39">
        <v>21.2</v>
      </c>
      <c r="BQ39">
        <v>20</v>
      </c>
      <c r="BR39">
        <v>21.7</v>
      </c>
      <c r="BS39">
        <v>25</v>
      </c>
      <c r="BT39">
        <v>21.9</v>
      </c>
      <c r="BU39">
        <v>25</v>
      </c>
      <c r="BV39">
        <v>25.2</v>
      </c>
      <c r="BW39">
        <v>18</v>
      </c>
      <c r="BX39">
        <v>21.3</v>
      </c>
      <c r="BY39">
        <v>20</v>
      </c>
      <c r="BZ39">
        <v>21.4</v>
      </c>
      <c r="CA39">
        <v>20</v>
      </c>
      <c r="CB39">
        <v>11.6</v>
      </c>
      <c r="CC39">
        <v>10</v>
      </c>
      <c r="CD39">
        <v>10.8</v>
      </c>
      <c r="CE39">
        <v>10</v>
      </c>
      <c r="CF39">
        <v>12.2</v>
      </c>
      <c r="CG39">
        <v>9</v>
      </c>
      <c r="CH39">
        <v>12.5</v>
      </c>
      <c r="CI39">
        <v>9</v>
      </c>
    </row>
    <row r="40" spans="1:87" x14ac:dyDescent="0.35">
      <c r="A40" s="1">
        <v>46059.472916666666</v>
      </c>
      <c r="B40">
        <v>-17</v>
      </c>
      <c r="C40">
        <v>-18</v>
      </c>
      <c r="D40">
        <v>-25</v>
      </c>
      <c r="E40">
        <v>-18.100000000000001</v>
      </c>
      <c r="F40">
        <v>-17.100000000000001</v>
      </c>
      <c r="G40">
        <v>-25</v>
      </c>
      <c r="H40">
        <v>-16.3</v>
      </c>
      <c r="I40">
        <v>-11</v>
      </c>
      <c r="J40">
        <v>-25</v>
      </c>
      <c r="K40">
        <v>-16.7</v>
      </c>
      <c r="L40">
        <v>-17.3</v>
      </c>
      <c r="M40">
        <v>-25</v>
      </c>
      <c r="N40">
        <v>-17.2</v>
      </c>
      <c r="O40">
        <v>-16.8</v>
      </c>
      <c r="P40">
        <v>-25</v>
      </c>
      <c r="Q40">
        <v>-17.100000000000001</v>
      </c>
      <c r="R40">
        <v>-17</v>
      </c>
      <c r="S40">
        <v>-25</v>
      </c>
      <c r="T40">
        <v>3</v>
      </c>
      <c r="U40">
        <v>3</v>
      </c>
      <c r="V40">
        <v>2</v>
      </c>
      <c r="W40">
        <v>3</v>
      </c>
      <c r="X40">
        <v>2.8</v>
      </c>
      <c r="Y40">
        <v>2</v>
      </c>
      <c r="Z40">
        <v>4</v>
      </c>
      <c r="AA40">
        <v>4</v>
      </c>
      <c r="AB40">
        <v>2</v>
      </c>
      <c r="AC40">
        <v>2.2999999999999998</v>
      </c>
      <c r="AD40">
        <v>1.3</v>
      </c>
      <c r="AE40">
        <v>2</v>
      </c>
      <c r="AF40">
        <v>2.1</v>
      </c>
      <c r="AG40">
        <v>1.6</v>
      </c>
      <c r="AH40">
        <v>2</v>
      </c>
      <c r="AI40">
        <v>2</v>
      </c>
      <c r="AJ40">
        <v>0.7</v>
      </c>
      <c r="AK40">
        <v>2</v>
      </c>
      <c r="AL40">
        <v>3.8</v>
      </c>
      <c r="AM40">
        <v>4</v>
      </c>
      <c r="AN40">
        <v>4.9000000000000004</v>
      </c>
      <c r="AO40">
        <v>4</v>
      </c>
      <c r="AP40">
        <v>4.5</v>
      </c>
      <c r="AQ40">
        <v>4</v>
      </c>
      <c r="AR40">
        <v>7.8</v>
      </c>
      <c r="AS40">
        <v>4</v>
      </c>
      <c r="AT40">
        <v>-2.9</v>
      </c>
      <c r="AU40">
        <v>-3.9</v>
      </c>
      <c r="AV40">
        <v>-5</v>
      </c>
      <c r="AW40">
        <v>-3.9</v>
      </c>
      <c r="AX40">
        <v>-4.5</v>
      </c>
      <c r="AY40">
        <v>-5</v>
      </c>
      <c r="AZ40">
        <v>11.1</v>
      </c>
      <c r="BA40">
        <v>10</v>
      </c>
      <c r="BB40">
        <v>10.7</v>
      </c>
      <c r="BC40">
        <v>10</v>
      </c>
      <c r="BD40">
        <v>3.9</v>
      </c>
      <c r="BE40">
        <v>4</v>
      </c>
      <c r="BF40">
        <v>11.3</v>
      </c>
      <c r="BG40">
        <v>10</v>
      </c>
      <c r="BH40">
        <v>14.4</v>
      </c>
      <c r="BI40">
        <v>10</v>
      </c>
      <c r="BJ40">
        <v>9.8000000000000007</v>
      </c>
      <c r="BK40">
        <v>9</v>
      </c>
      <c r="BL40">
        <v>19.3</v>
      </c>
      <c r="BM40">
        <v>19</v>
      </c>
      <c r="BN40">
        <v>23.4</v>
      </c>
      <c r="BO40">
        <v>19</v>
      </c>
      <c r="BP40">
        <v>21.3</v>
      </c>
      <c r="BQ40">
        <v>20</v>
      </c>
      <c r="BR40">
        <v>21.8</v>
      </c>
      <c r="BS40">
        <v>25</v>
      </c>
      <c r="BT40">
        <v>21.9</v>
      </c>
      <c r="BU40">
        <v>25</v>
      </c>
      <c r="BV40">
        <v>25.2</v>
      </c>
      <c r="BW40">
        <v>18</v>
      </c>
      <c r="BX40">
        <v>21.4</v>
      </c>
      <c r="BY40">
        <v>20</v>
      </c>
      <c r="BZ40">
        <v>21.5</v>
      </c>
      <c r="CA40">
        <v>20</v>
      </c>
      <c r="CB40">
        <v>11.9</v>
      </c>
      <c r="CC40">
        <v>10</v>
      </c>
      <c r="CD40">
        <v>10.8</v>
      </c>
      <c r="CE40">
        <v>10</v>
      </c>
      <c r="CF40">
        <v>12.1</v>
      </c>
      <c r="CG40">
        <v>9</v>
      </c>
      <c r="CH40">
        <v>12.4</v>
      </c>
      <c r="CI40">
        <v>9</v>
      </c>
    </row>
    <row r="41" spans="1:87" x14ac:dyDescent="0.35">
      <c r="A41" s="1">
        <v>46059.473611111112</v>
      </c>
      <c r="B41">
        <v>-16.7</v>
      </c>
      <c r="C41">
        <v>-17.100000000000001</v>
      </c>
      <c r="D41">
        <v>-25</v>
      </c>
      <c r="E41">
        <v>-17.7</v>
      </c>
      <c r="F41">
        <v>-17.100000000000001</v>
      </c>
      <c r="G41">
        <v>-25</v>
      </c>
      <c r="H41">
        <v>-16.399999999999999</v>
      </c>
      <c r="I41">
        <v>-11.3</v>
      </c>
      <c r="J41">
        <v>-25</v>
      </c>
      <c r="K41">
        <v>-16.7</v>
      </c>
      <c r="L41">
        <v>-17.3</v>
      </c>
      <c r="M41">
        <v>-25</v>
      </c>
      <c r="N41">
        <v>-17.2</v>
      </c>
      <c r="O41">
        <v>-16.8</v>
      </c>
      <c r="P41">
        <v>-25</v>
      </c>
      <c r="Q41">
        <v>-17.100000000000001</v>
      </c>
      <c r="R41">
        <v>-17</v>
      </c>
      <c r="S41">
        <v>-25</v>
      </c>
      <c r="T41">
        <v>3.1</v>
      </c>
      <c r="U41">
        <v>3.1</v>
      </c>
      <c r="V41">
        <v>2</v>
      </c>
      <c r="W41">
        <v>3.1</v>
      </c>
      <c r="X41">
        <v>2.9</v>
      </c>
      <c r="Y41">
        <v>2</v>
      </c>
      <c r="Z41">
        <v>4</v>
      </c>
      <c r="AA41">
        <v>4</v>
      </c>
      <c r="AB41">
        <v>2</v>
      </c>
      <c r="AC41">
        <v>2.2999999999999998</v>
      </c>
      <c r="AD41">
        <v>1.3</v>
      </c>
      <c r="AE41">
        <v>2</v>
      </c>
      <c r="AF41">
        <v>2.1</v>
      </c>
      <c r="AG41">
        <v>1.9</v>
      </c>
      <c r="AH41">
        <v>2</v>
      </c>
      <c r="AI41">
        <v>2</v>
      </c>
      <c r="AJ41">
        <v>1.1000000000000001</v>
      </c>
      <c r="AK41">
        <v>2</v>
      </c>
      <c r="AL41">
        <v>3.8</v>
      </c>
      <c r="AM41">
        <v>4</v>
      </c>
      <c r="AN41">
        <v>5</v>
      </c>
      <c r="AO41">
        <v>4</v>
      </c>
      <c r="AP41">
        <v>4.7</v>
      </c>
      <c r="AQ41">
        <v>4</v>
      </c>
      <c r="AR41">
        <v>7.9</v>
      </c>
      <c r="AS41">
        <v>4</v>
      </c>
      <c r="AT41">
        <v>-3.1</v>
      </c>
      <c r="AU41">
        <v>-4.7</v>
      </c>
      <c r="AV41">
        <v>-5</v>
      </c>
      <c r="AW41">
        <v>-4.2</v>
      </c>
      <c r="AX41">
        <v>-5.0999999999999996</v>
      </c>
      <c r="AY41">
        <v>-5</v>
      </c>
      <c r="AZ41">
        <v>11.2</v>
      </c>
      <c r="BA41">
        <v>10</v>
      </c>
      <c r="BB41">
        <v>10.7</v>
      </c>
      <c r="BC41">
        <v>10</v>
      </c>
      <c r="BD41">
        <v>4.2</v>
      </c>
      <c r="BE41">
        <v>4</v>
      </c>
      <c r="BF41">
        <v>11.4</v>
      </c>
      <c r="BG41">
        <v>10</v>
      </c>
      <c r="BH41">
        <v>14.4</v>
      </c>
      <c r="BI41">
        <v>10</v>
      </c>
      <c r="BJ41">
        <v>9.9</v>
      </c>
      <c r="BK41">
        <v>9</v>
      </c>
      <c r="BL41">
        <v>19.3</v>
      </c>
      <c r="BM41">
        <v>19</v>
      </c>
      <c r="BN41">
        <v>23.4</v>
      </c>
      <c r="BO41">
        <v>19</v>
      </c>
      <c r="BP41">
        <v>21.3</v>
      </c>
      <c r="BQ41">
        <v>20</v>
      </c>
      <c r="BR41">
        <v>21.8</v>
      </c>
      <c r="BS41">
        <v>25</v>
      </c>
      <c r="BT41">
        <v>21.9</v>
      </c>
      <c r="BU41">
        <v>25</v>
      </c>
      <c r="BV41">
        <v>25.2</v>
      </c>
      <c r="BW41">
        <v>18</v>
      </c>
      <c r="BX41">
        <v>21.4</v>
      </c>
      <c r="BY41">
        <v>20</v>
      </c>
      <c r="BZ41">
        <v>21.5</v>
      </c>
      <c r="CA41">
        <v>20</v>
      </c>
      <c r="CB41">
        <v>12</v>
      </c>
      <c r="CC41">
        <v>10</v>
      </c>
      <c r="CD41">
        <v>10.8</v>
      </c>
      <c r="CE41">
        <v>10</v>
      </c>
      <c r="CF41">
        <v>12</v>
      </c>
      <c r="CG41">
        <v>9</v>
      </c>
      <c r="CH41">
        <v>12.3</v>
      </c>
      <c r="CI41">
        <v>9</v>
      </c>
    </row>
    <row r="42" spans="1:87" x14ac:dyDescent="0.35">
      <c r="A42" s="1">
        <v>46059.474305555559</v>
      </c>
      <c r="B42">
        <v>-16.7</v>
      </c>
      <c r="C42">
        <v>-17</v>
      </c>
      <c r="D42">
        <v>-25</v>
      </c>
      <c r="E42">
        <v>-17.600000000000001</v>
      </c>
      <c r="F42">
        <v>-17.100000000000001</v>
      </c>
      <c r="G42">
        <v>-25</v>
      </c>
      <c r="H42">
        <v>-16.600000000000001</v>
      </c>
      <c r="I42">
        <v>-11.5</v>
      </c>
      <c r="J42">
        <v>-25</v>
      </c>
      <c r="K42">
        <v>-16.8</v>
      </c>
      <c r="L42">
        <v>-17.399999999999999</v>
      </c>
      <c r="M42">
        <v>-25</v>
      </c>
      <c r="N42">
        <v>-17.399999999999999</v>
      </c>
      <c r="O42">
        <v>-16.8</v>
      </c>
      <c r="P42">
        <v>-25</v>
      </c>
      <c r="Q42">
        <v>-17.100000000000001</v>
      </c>
      <c r="R42">
        <v>-17</v>
      </c>
      <c r="S42">
        <v>-25</v>
      </c>
      <c r="T42">
        <v>3.2</v>
      </c>
      <c r="U42">
        <v>3.2</v>
      </c>
      <c r="V42">
        <v>2</v>
      </c>
      <c r="W42">
        <v>3.2</v>
      </c>
      <c r="X42">
        <v>3</v>
      </c>
      <c r="Y42">
        <v>2</v>
      </c>
      <c r="Z42">
        <v>3.9</v>
      </c>
      <c r="AA42">
        <v>3.9</v>
      </c>
      <c r="AB42">
        <v>2</v>
      </c>
      <c r="AC42">
        <v>2.1</v>
      </c>
      <c r="AD42">
        <v>0.7</v>
      </c>
      <c r="AE42">
        <v>2</v>
      </c>
      <c r="AF42">
        <v>2.2999999999999998</v>
      </c>
      <c r="AG42">
        <v>2.1</v>
      </c>
      <c r="AH42">
        <v>2</v>
      </c>
      <c r="AI42">
        <v>2.2000000000000002</v>
      </c>
      <c r="AJ42">
        <v>1.7</v>
      </c>
      <c r="AK42">
        <v>2</v>
      </c>
      <c r="AL42">
        <v>3.8</v>
      </c>
      <c r="AM42">
        <v>4</v>
      </c>
      <c r="AN42">
        <v>5</v>
      </c>
      <c r="AO42">
        <v>4</v>
      </c>
      <c r="AP42">
        <v>4.9000000000000004</v>
      </c>
      <c r="AQ42">
        <v>4</v>
      </c>
      <c r="AR42">
        <v>7.9</v>
      </c>
      <c r="AS42">
        <v>4</v>
      </c>
      <c r="AT42">
        <v>-3.2</v>
      </c>
      <c r="AU42">
        <v>-4.9000000000000004</v>
      </c>
      <c r="AV42">
        <v>-5</v>
      </c>
      <c r="AW42">
        <v>-4.4000000000000004</v>
      </c>
      <c r="AX42">
        <v>-5.0999999999999996</v>
      </c>
      <c r="AY42">
        <v>-5</v>
      </c>
      <c r="AZ42">
        <v>11.3</v>
      </c>
      <c r="BA42">
        <v>10</v>
      </c>
      <c r="BB42">
        <v>10.6</v>
      </c>
      <c r="BC42">
        <v>10</v>
      </c>
      <c r="BD42">
        <v>4.4000000000000004</v>
      </c>
      <c r="BE42">
        <v>4</v>
      </c>
      <c r="BF42">
        <v>11.7</v>
      </c>
      <c r="BG42">
        <v>10</v>
      </c>
      <c r="BH42">
        <v>14.5</v>
      </c>
      <c r="BI42">
        <v>10</v>
      </c>
      <c r="BJ42">
        <v>9.9</v>
      </c>
      <c r="BK42">
        <v>9</v>
      </c>
      <c r="BL42">
        <v>19.3</v>
      </c>
      <c r="BM42">
        <v>19</v>
      </c>
      <c r="BN42">
        <v>23.4</v>
      </c>
      <c r="BO42">
        <v>19</v>
      </c>
      <c r="BP42">
        <v>21.3</v>
      </c>
      <c r="BQ42">
        <v>20</v>
      </c>
      <c r="BR42">
        <v>21.8</v>
      </c>
      <c r="BS42">
        <v>25</v>
      </c>
      <c r="BT42">
        <v>21.9</v>
      </c>
      <c r="BU42">
        <v>25</v>
      </c>
      <c r="BV42">
        <v>25.2</v>
      </c>
      <c r="BW42">
        <v>18</v>
      </c>
      <c r="BX42">
        <v>21.4</v>
      </c>
      <c r="BY42">
        <v>20</v>
      </c>
      <c r="BZ42">
        <v>21.5</v>
      </c>
      <c r="CA42">
        <v>20</v>
      </c>
      <c r="CB42">
        <v>11.9</v>
      </c>
      <c r="CC42">
        <v>10</v>
      </c>
      <c r="CD42">
        <v>10.8</v>
      </c>
      <c r="CE42">
        <v>10</v>
      </c>
      <c r="CF42">
        <v>12</v>
      </c>
      <c r="CG42">
        <v>9</v>
      </c>
      <c r="CH42">
        <v>12.3</v>
      </c>
      <c r="CI42">
        <v>9</v>
      </c>
    </row>
    <row r="43" spans="1:87" x14ac:dyDescent="0.35">
      <c r="A43" s="1">
        <v>46059.474999999999</v>
      </c>
      <c r="B43">
        <v>-16.3</v>
      </c>
      <c r="C43">
        <v>-16.600000000000001</v>
      </c>
      <c r="D43">
        <v>-25</v>
      </c>
      <c r="E43">
        <v>-17.3</v>
      </c>
      <c r="F43">
        <v>-17.100000000000001</v>
      </c>
      <c r="G43">
        <v>-25</v>
      </c>
      <c r="H43">
        <v>-16.7</v>
      </c>
      <c r="I43">
        <v>-11.7</v>
      </c>
      <c r="J43">
        <v>-25</v>
      </c>
      <c r="K43">
        <v>-16.899999999999999</v>
      </c>
      <c r="L43">
        <v>-17.5</v>
      </c>
      <c r="M43">
        <v>-25</v>
      </c>
      <c r="N43">
        <v>-17.5</v>
      </c>
      <c r="O43">
        <v>-16.8</v>
      </c>
      <c r="P43">
        <v>-25</v>
      </c>
      <c r="Q43">
        <v>-17.2</v>
      </c>
      <c r="R43">
        <v>-17</v>
      </c>
      <c r="S43">
        <v>-25</v>
      </c>
      <c r="T43">
        <v>3.3</v>
      </c>
      <c r="U43">
        <v>3.3</v>
      </c>
      <c r="V43">
        <v>2</v>
      </c>
      <c r="W43">
        <v>3.3</v>
      </c>
      <c r="X43">
        <v>3.1</v>
      </c>
      <c r="Y43">
        <v>2</v>
      </c>
      <c r="Z43">
        <v>3.7</v>
      </c>
      <c r="AA43">
        <v>3.9</v>
      </c>
      <c r="AB43">
        <v>2</v>
      </c>
      <c r="AC43">
        <v>2</v>
      </c>
      <c r="AD43">
        <v>0.9</v>
      </c>
      <c r="AE43">
        <v>2</v>
      </c>
      <c r="AF43">
        <v>2.5</v>
      </c>
      <c r="AG43">
        <v>2.2999999999999998</v>
      </c>
      <c r="AH43">
        <v>2</v>
      </c>
      <c r="AI43">
        <v>2.4</v>
      </c>
      <c r="AJ43">
        <v>2</v>
      </c>
      <c r="AK43">
        <v>2</v>
      </c>
      <c r="AL43">
        <v>3.9</v>
      </c>
      <c r="AM43">
        <v>4</v>
      </c>
      <c r="AN43">
        <v>5.0999999999999996</v>
      </c>
      <c r="AO43">
        <v>4</v>
      </c>
      <c r="AP43">
        <v>5</v>
      </c>
      <c r="AQ43">
        <v>4</v>
      </c>
      <c r="AR43">
        <v>8</v>
      </c>
      <c r="AS43">
        <v>4</v>
      </c>
      <c r="AT43">
        <v>-3.1</v>
      </c>
      <c r="AU43">
        <v>-3.9</v>
      </c>
      <c r="AV43">
        <v>-5</v>
      </c>
      <c r="AW43">
        <v>-4.4000000000000004</v>
      </c>
      <c r="AX43">
        <v>-4.9000000000000004</v>
      </c>
      <c r="AY43">
        <v>-5</v>
      </c>
      <c r="AZ43">
        <v>11.4</v>
      </c>
      <c r="BA43">
        <v>10</v>
      </c>
      <c r="BB43">
        <v>10.6</v>
      </c>
      <c r="BC43">
        <v>10</v>
      </c>
      <c r="BD43">
        <v>4.7</v>
      </c>
      <c r="BE43">
        <v>4</v>
      </c>
      <c r="BF43">
        <v>11.9</v>
      </c>
      <c r="BG43">
        <v>10</v>
      </c>
      <c r="BH43">
        <v>14.5</v>
      </c>
      <c r="BI43">
        <v>10</v>
      </c>
      <c r="BJ43">
        <v>9.9</v>
      </c>
      <c r="BK43">
        <v>9</v>
      </c>
      <c r="BL43">
        <v>19.399999999999999</v>
      </c>
      <c r="BM43">
        <v>19</v>
      </c>
      <c r="BN43">
        <v>23.4</v>
      </c>
      <c r="BO43">
        <v>19</v>
      </c>
      <c r="BP43">
        <v>21.3</v>
      </c>
      <c r="BQ43">
        <v>20</v>
      </c>
      <c r="BR43">
        <v>21.8</v>
      </c>
      <c r="BS43">
        <v>25</v>
      </c>
      <c r="BT43">
        <v>21.9</v>
      </c>
      <c r="BU43">
        <v>25</v>
      </c>
      <c r="BV43">
        <v>25.2</v>
      </c>
      <c r="BW43">
        <v>18</v>
      </c>
      <c r="BX43">
        <v>21.4</v>
      </c>
      <c r="BY43">
        <v>20</v>
      </c>
      <c r="BZ43">
        <v>21.5</v>
      </c>
      <c r="CA43">
        <v>20</v>
      </c>
      <c r="CB43">
        <v>11.7</v>
      </c>
      <c r="CC43">
        <v>10</v>
      </c>
      <c r="CD43">
        <v>10.8</v>
      </c>
      <c r="CE43">
        <v>10</v>
      </c>
      <c r="CF43">
        <v>12</v>
      </c>
      <c r="CG43">
        <v>9</v>
      </c>
      <c r="CH43">
        <v>12.3</v>
      </c>
      <c r="CI43">
        <v>9</v>
      </c>
    </row>
    <row r="44" spans="1:87" x14ac:dyDescent="0.35">
      <c r="A44" s="1">
        <v>46059.475694444445</v>
      </c>
      <c r="B44">
        <v>-16.399999999999999</v>
      </c>
      <c r="C44">
        <v>-16.8</v>
      </c>
      <c r="D44">
        <v>-25</v>
      </c>
      <c r="E44">
        <v>-17.3</v>
      </c>
      <c r="F44">
        <v>-17.100000000000001</v>
      </c>
      <c r="G44">
        <v>-25</v>
      </c>
      <c r="H44">
        <v>-16.7</v>
      </c>
      <c r="I44">
        <v>-12</v>
      </c>
      <c r="J44">
        <v>-25</v>
      </c>
      <c r="K44">
        <v>-17</v>
      </c>
      <c r="L44">
        <v>-17.5</v>
      </c>
      <c r="M44">
        <v>-25</v>
      </c>
      <c r="N44">
        <v>-17.399999999999999</v>
      </c>
      <c r="O44">
        <v>-16.8</v>
      </c>
      <c r="P44">
        <v>-25</v>
      </c>
      <c r="Q44">
        <v>-16.3</v>
      </c>
      <c r="R44">
        <v>-16.5</v>
      </c>
      <c r="S44">
        <v>-25</v>
      </c>
      <c r="T44">
        <v>3.4</v>
      </c>
      <c r="U44">
        <v>3.4</v>
      </c>
      <c r="V44">
        <v>2</v>
      </c>
      <c r="W44">
        <v>3.4</v>
      </c>
      <c r="X44">
        <v>3.1</v>
      </c>
      <c r="Y44">
        <v>2</v>
      </c>
      <c r="Z44">
        <v>3.5</v>
      </c>
      <c r="AA44">
        <v>3.7</v>
      </c>
      <c r="AB44">
        <v>2</v>
      </c>
      <c r="AC44">
        <v>1.9</v>
      </c>
      <c r="AD44">
        <v>1.3</v>
      </c>
      <c r="AE44">
        <v>2</v>
      </c>
      <c r="AF44">
        <v>2.6</v>
      </c>
      <c r="AG44">
        <v>2.5</v>
      </c>
      <c r="AH44">
        <v>2</v>
      </c>
      <c r="AI44">
        <v>2.5</v>
      </c>
      <c r="AJ44">
        <v>2.2000000000000002</v>
      </c>
      <c r="AK44">
        <v>2</v>
      </c>
      <c r="AL44">
        <v>4</v>
      </c>
      <c r="AM44">
        <v>4</v>
      </c>
      <c r="AN44">
        <v>5.0999999999999996</v>
      </c>
      <c r="AO44">
        <v>4</v>
      </c>
      <c r="AP44">
        <v>5.2</v>
      </c>
      <c r="AQ44">
        <v>4</v>
      </c>
      <c r="AR44">
        <v>8</v>
      </c>
      <c r="AS44">
        <v>4</v>
      </c>
      <c r="AT44">
        <v>-3.1</v>
      </c>
      <c r="AU44">
        <v>-3.8</v>
      </c>
      <c r="AV44">
        <v>-5</v>
      </c>
      <c r="AW44">
        <v>-5</v>
      </c>
      <c r="AX44">
        <v>-5.5</v>
      </c>
      <c r="AY44">
        <v>-5</v>
      </c>
      <c r="AZ44">
        <v>11.5</v>
      </c>
      <c r="BA44">
        <v>10</v>
      </c>
      <c r="BB44">
        <v>10.6</v>
      </c>
      <c r="BC44">
        <v>10</v>
      </c>
      <c r="BD44">
        <v>4.9000000000000004</v>
      </c>
      <c r="BE44">
        <v>4</v>
      </c>
      <c r="BF44">
        <v>12.1</v>
      </c>
      <c r="BG44">
        <v>10</v>
      </c>
      <c r="BH44">
        <v>14.3</v>
      </c>
      <c r="BI44">
        <v>10</v>
      </c>
      <c r="BJ44">
        <v>9.9</v>
      </c>
      <c r="BK44">
        <v>9</v>
      </c>
      <c r="BL44">
        <v>19.399999999999999</v>
      </c>
      <c r="BM44">
        <v>19</v>
      </c>
      <c r="BN44">
        <v>23.4</v>
      </c>
      <c r="BO44">
        <v>19</v>
      </c>
      <c r="BP44">
        <v>21.3</v>
      </c>
      <c r="BQ44">
        <v>20</v>
      </c>
      <c r="BR44">
        <v>21.8</v>
      </c>
      <c r="BS44">
        <v>25</v>
      </c>
      <c r="BT44">
        <v>21.9</v>
      </c>
      <c r="BU44">
        <v>25</v>
      </c>
      <c r="BV44">
        <v>25.2</v>
      </c>
      <c r="BW44">
        <v>18</v>
      </c>
      <c r="BX44">
        <v>21.4</v>
      </c>
      <c r="BY44">
        <v>20</v>
      </c>
      <c r="BZ44">
        <v>21.6</v>
      </c>
      <c r="CA44">
        <v>20</v>
      </c>
      <c r="CB44">
        <v>11.5</v>
      </c>
      <c r="CC44">
        <v>10</v>
      </c>
      <c r="CD44">
        <v>10.8</v>
      </c>
      <c r="CE44">
        <v>10</v>
      </c>
      <c r="CF44">
        <v>12.2</v>
      </c>
      <c r="CG44">
        <v>9</v>
      </c>
      <c r="CH44">
        <v>12.4</v>
      </c>
      <c r="CI44">
        <v>9</v>
      </c>
    </row>
    <row r="45" spans="1:87" x14ac:dyDescent="0.35">
      <c r="A45" s="1">
        <v>46059.476388888892</v>
      </c>
      <c r="B45">
        <v>-16.8</v>
      </c>
      <c r="C45">
        <v>-17.899999999999999</v>
      </c>
      <c r="D45">
        <v>-25</v>
      </c>
      <c r="E45">
        <v>-17.600000000000001</v>
      </c>
      <c r="F45">
        <v>-17.100000000000001</v>
      </c>
      <c r="G45">
        <v>-25</v>
      </c>
      <c r="H45">
        <v>-16.8</v>
      </c>
      <c r="I45">
        <v>-12.3</v>
      </c>
      <c r="J45">
        <v>-25</v>
      </c>
      <c r="K45">
        <v>-17</v>
      </c>
      <c r="L45">
        <v>-17.5</v>
      </c>
      <c r="M45">
        <v>-25</v>
      </c>
      <c r="N45">
        <v>-17</v>
      </c>
      <c r="O45">
        <v>-16.7</v>
      </c>
      <c r="P45">
        <v>-25</v>
      </c>
      <c r="Q45">
        <v>-16.3</v>
      </c>
      <c r="R45">
        <v>-16.2</v>
      </c>
      <c r="S45">
        <v>-25</v>
      </c>
      <c r="T45">
        <v>3.4</v>
      </c>
      <c r="U45">
        <v>3.4</v>
      </c>
      <c r="V45">
        <v>2</v>
      </c>
      <c r="W45">
        <v>3.4</v>
      </c>
      <c r="X45">
        <v>3.2</v>
      </c>
      <c r="Y45">
        <v>2</v>
      </c>
      <c r="Z45">
        <v>3.2</v>
      </c>
      <c r="AA45">
        <v>2.7</v>
      </c>
      <c r="AB45">
        <v>2</v>
      </c>
      <c r="AC45">
        <v>2</v>
      </c>
      <c r="AD45">
        <v>1.7</v>
      </c>
      <c r="AE45">
        <v>2</v>
      </c>
      <c r="AF45">
        <v>2.8</v>
      </c>
      <c r="AG45">
        <v>2.6</v>
      </c>
      <c r="AH45">
        <v>2</v>
      </c>
      <c r="AI45">
        <v>2.7</v>
      </c>
      <c r="AJ45">
        <v>2.5</v>
      </c>
      <c r="AK45">
        <v>2</v>
      </c>
      <c r="AL45">
        <v>4.0999999999999996</v>
      </c>
      <c r="AM45">
        <v>4</v>
      </c>
      <c r="AN45">
        <v>5.2</v>
      </c>
      <c r="AO45">
        <v>4</v>
      </c>
      <c r="AP45">
        <v>5.3</v>
      </c>
      <c r="AQ45">
        <v>4</v>
      </c>
      <c r="AR45">
        <v>8</v>
      </c>
      <c r="AS45">
        <v>4</v>
      </c>
      <c r="AT45">
        <v>-3.6</v>
      </c>
      <c r="AU45">
        <v>-5.7</v>
      </c>
      <c r="AV45">
        <v>-5</v>
      </c>
      <c r="AW45">
        <v>-4.9000000000000004</v>
      </c>
      <c r="AX45">
        <v>-5</v>
      </c>
      <c r="AY45">
        <v>-5</v>
      </c>
      <c r="AZ45">
        <v>11.5</v>
      </c>
      <c r="BA45">
        <v>10</v>
      </c>
      <c r="BB45">
        <v>10.6</v>
      </c>
      <c r="BC45">
        <v>10</v>
      </c>
      <c r="BD45">
        <v>5.0999999999999996</v>
      </c>
      <c r="BE45">
        <v>4</v>
      </c>
      <c r="BF45">
        <v>11.1</v>
      </c>
      <c r="BG45">
        <v>10</v>
      </c>
      <c r="BH45">
        <v>14.1</v>
      </c>
      <c r="BI45">
        <v>10</v>
      </c>
      <c r="BJ45">
        <v>9.9</v>
      </c>
      <c r="BK45">
        <v>9</v>
      </c>
      <c r="BL45">
        <v>19.399999999999999</v>
      </c>
      <c r="BM45">
        <v>19</v>
      </c>
      <c r="BN45">
        <v>23.4</v>
      </c>
      <c r="BO45">
        <v>19</v>
      </c>
      <c r="BP45">
        <v>21.3</v>
      </c>
      <c r="BQ45">
        <v>20</v>
      </c>
      <c r="BR45">
        <v>21.9</v>
      </c>
      <c r="BS45">
        <v>25</v>
      </c>
      <c r="BT45">
        <v>21.9</v>
      </c>
      <c r="BU45">
        <v>25</v>
      </c>
      <c r="BV45">
        <v>25.1</v>
      </c>
      <c r="BW45">
        <v>18</v>
      </c>
      <c r="BX45">
        <v>21.4</v>
      </c>
      <c r="BY45">
        <v>20</v>
      </c>
      <c r="BZ45">
        <v>21.6</v>
      </c>
      <c r="CA45">
        <v>20</v>
      </c>
      <c r="CB45">
        <v>11.1</v>
      </c>
      <c r="CC45">
        <v>10</v>
      </c>
      <c r="CD45">
        <v>10.8</v>
      </c>
      <c r="CE45">
        <v>10</v>
      </c>
      <c r="CF45">
        <v>12.2</v>
      </c>
      <c r="CG45">
        <v>9</v>
      </c>
      <c r="CH45">
        <v>12.4</v>
      </c>
      <c r="CI45">
        <v>9</v>
      </c>
    </row>
    <row r="46" spans="1:87" x14ac:dyDescent="0.35">
      <c r="A46" s="1">
        <v>46059.477083333331</v>
      </c>
      <c r="B46">
        <v>-17.2</v>
      </c>
      <c r="C46">
        <v>-19.399999999999999</v>
      </c>
      <c r="D46">
        <v>-25</v>
      </c>
      <c r="E46">
        <v>-18</v>
      </c>
      <c r="F46">
        <v>-17.100000000000001</v>
      </c>
      <c r="G46">
        <v>-25</v>
      </c>
      <c r="H46">
        <v>-16.8</v>
      </c>
      <c r="I46">
        <v>-12.5</v>
      </c>
      <c r="J46">
        <v>-25</v>
      </c>
      <c r="K46">
        <v>-17</v>
      </c>
      <c r="L46">
        <v>-17.5</v>
      </c>
      <c r="M46">
        <v>-25</v>
      </c>
      <c r="N46">
        <v>-17</v>
      </c>
      <c r="O46">
        <v>-16.7</v>
      </c>
      <c r="P46">
        <v>-25</v>
      </c>
      <c r="Q46">
        <v>-16.600000000000001</v>
      </c>
      <c r="R46">
        <v>-16.399999999999999</v>
      </c>
      <c r="S46">
        <v>-25</v>
      </c>
      <c r="T46">
        <v>3.5</v>
      </c>
      <c r="U46">
        <v>3.5</v>
      </c>
      <c r="V46">
        <v>2</v>
      </c>
      <c r="W46">
        <v>3.5</v>
      </c>
      <c r="X46">
        <v>3.3</v>
      </c>
      <c r="Y46">
        <v>2</v>
      </c>
      <c r="Z46">
        <v>3.2</v>
      </c>
      <c r="AA46">
        <v>2.7</v>
      </c>
      <c r="AB46">
        <v>2</v>
      </c>
      <c r="AC46">
        <v>2.2999999999999998</v>
      </c>
      <c r="AD46">
        <v>2</v>
      </c>
      <c r="AE46">
        <v>2</v>
      </c>
      <c r="AF46">
        <v>2.9</v>
      </c>
      <c r="AG46">
        <v>2.8</v>
      </c>
      <c r="AH46">
        <v>2</v>
      </c>
      <c r="AI46">
        <v>2.8</v>
      </c>
      <c r="AJ46">
        <v>2.7</v>
      </c>
      <c r="AK46">
        <v>2</v>
      </c>
      <c r="AL46">
        <v>4.2</v>
      </c>
      <c r="AM46">
        <v>4</v>
      </c>
      <c r="AN46">
        <v>5.2</v>
      </c>
      <c r="AO46">
        <v>4</v>
      </c>
      <c r="AP46">
        <v>5.5</v>
      </c>
      <c r="AQ46">
        <v>4</v>
      </c>
      <c r="AR46">
        <v>8</v>
      </c>
      <c r="AS46">
        <v>4</v>
      </c>
      <c r="AT46">
        <v>-3.6</v>
      </c>
      <c r="AU46">
        <v>-5.6</v>
      </c>
      <c r="AV46">
        <v>-5</v>
      </c>
      <c r="AW46">
        <v>-4</v>
      </c>
      <c r="AX46">
        <v>-3.7</v>
      </c>
      <c r="AY46">
        <v>-5</v>
      </c>
      <c r="AZ46">
        <v>11.6</v>
      </c>
      <c r="BA46">
        <v>10</v>
      </c>
      <c r="BB46">
        <v>10.5</v>
      </c>
      <c r="BC46">
        <v>10</v>
      </c>
      <c r="BD46">
        <v>5.3</v>
      </c>
      <c r="BE46">
        <v>4</v>
      </c>
      <c r="BF46">
        <v>10.3</v>
      </c>
      <c r="BG46">
        <v>10</v>
      </c>
      <c r="BH46">
        <v>14</v>
      </c>
      <c r="BI46">
        <v>10</v>
      </c>
      <c r="BJ46">
        <v>9.9</v>
      </c>
      <c r="BK46">
        <v>9</v>
      </c>
      <c r="BL46">
        <v>19.5</v>
      </c>
      <c r="BM46">
        <v>19</v>
      </c>
      <c r="BN46">
        <v>23.4</v>
      </c>
      <c r="BO46">
        <v>19</v>
      </c>
      <c r="BP46">
        <v>21.3</v>
      </c>
      <c r="BQ46">
        <v>20</v>
      </c>
      <c r="BR46">
        <v>21.9</v>
      </c>
      <c r="BS46">
        <v>25</v>
      </c>
      <c r="BT46">
        <v>21.9</v>
      </c>
      <c r="BU46">
        <v>25</v>
      </c>
      <c r="BV46">
        <v>25</v>
      </c>
      <c r="BW46">
        <v>18</v>
      </c>
      <c r="BX46">
        <v>21.4</v>
      </c>
      <c r="BY46">
        <v>20</v>
      </c>
      <c r="BZ46">
        <v>21.6</v>
      </c>
      <c r="CA46">
        <v>20</v>
      </c>
      <c r="CB46">
        <v>11</v>
      </c>
      <c r="CC46">
        <v>10</v>
      </c>
      <c r="CD46">
        <v>10.8</v>
      </c>
      <c r="CE46">
        <v>10</v>
      </c>
      <c r="CF46">
        <v>11.9</v>
      </c>
      <c r="CG46">
        <v>9</v>
      </c>
      <c r="CH46">
        <v>12.1</v>
      </c>
      <c r="CI46">
        <v>9</v>
      </c>
    </row>
    <row r="47" spans="1:87" x14ac:dyDescent="0.35">
      <c r="A47" s="1">
        <v>46059.477777777778</v>
      </c>
      <c r="B47">
        <v>-17.2</v>
      </c>
      <c r="C47">
        <v>-19.8</v>
      </c>
      <c r="D47">
        <v>-25</v>
      </c>
      <c r="E47">
        <v>-18.100000000000001</v>
      </c>
      <c r="F47">
        <v>-17.100000000000001</v>
      </c>
      <c r="G47">
        <v>-25</v>
      </c>
      <c r="H47">
        <v>-16.8</v>
      </c>
      <c r="I47">
        <v>-12.7</v>
      </c>
      <c r="J47">
        <v>-25</v>
      </c>
      <c r="K47">
        <v>-17</v>
      </c>
      <c r="L47">
        <v>-17.5</v>
      </c>
      <c r="M47">
        <v>-25</v>
      </c>
      <c r="N47">
        <v>-16.5</v>
      </c>
      <c r="O47">
        <v>-16.600000000000001</v>
      </c>
      <c r="P47">
        <v>-25</v>
      </c>
      <c r="Q47">
        <v>-16</v>
      </c>
      <c r="R47">
        <v>-15.9</v>
      </c>
      <c r="S47">
        <v>-25</v>
      </c>
      <c r="T47">
        <v>3.6</v>
      </c>
      <c r="U47">
        <v>3.6</v>
      </c>
      <c r="V47">
        <v>2</v>
      </c>
      <c r="W47">
        <v>3.6</v>
      </c>
      <c r="X47">
        <v>3.4</v>
      </c>
      <c r="Y47">
        <v>2</v>
      </c>
      <c r="Z47">
        <v>3.2</v>
      </c>
      <c r="AA47">
        <v>2.7</v>
      </c>
      <c r="AB47">
        <v>2</v>
      </c>
      <c r="AC47">
        <v>2.5</v>
      </c>
      <c r="AD47">
        <v>2.2000000000000002</v>
      </c>
      <c r="AE47">
        <v>2</v>
      </c>
      <c r="AF47">
        <v>3.1</v>
      </c>
      <c r="AG47">
        <v>3</v>
      </c>
      <c r="AH47">
        <v>2</v>
      </c>
      <c r="AI47">
        <v>3</v>
      </c>
      <c r="AJ47">
        <v>2.9</v>
      </c>
      <c r="AK47">
        <v>2</v>
      </c>
      <c r="AL47">
        <v>4.2</v>
      </c>
      <c r="AM47">
        <v>4</v>
      </c>
      <c r="AN47">
        <v>5.5</v>
      </c>
      <c r="AO47">
        <v>4</v>
      </c>
      <c r="AP47">
        <v>5.6</v>
      </c>
      <c r="AQ47">
        <v>4</v>
      </c>
      <c r="AR47">
        <v>8</v>
      </c>
      <c r="AS47">
        <v>4</v>
      </c>
      <c r="AT47">
        <v>-3.6</v>
      </c>
      <c r="AU47">
        <v>-5.6</v>
      </c>
      <c r="AV47">
        <v>-5</v>
      </c>
      <c r="AW47">
        <v>-3.8</v>
      </c>
      <c r="AX47">
        <v>-3.3</v>
      </c>
      <c r="AY47">
        <v>-5</v>
      </c>
      <c r="AZ47">
        <v>11.7</v>
      </c>
      <c r="BA47">
        <v>10</v>
      </c>
      <c r="BB47">
        <v>10.3</v>
      </c>
      <c r="BC47">
        <v>10</v>
      </c>
      <c r="BD47">
        <v>5.4</v>
      </c>
      <c r="BE47">
        <v>4</v>
      </c>
      <c r="BF47">
        <v>9.6</v>
      </c>
      <c r="BG47">
        <v>10</v>
      </c>
      <c r="BH47">
        <v>13.8</v>
      </c>
      <c r="BI47">
        <v>10</v>
      </c>
      <c r="BJ47">
        <v>9.9</v>
      </c>
      <c r="BK47">
        <v>9</v>
      </c>
      <c r="BL47">
        <v>19.5</v>
      </c>
      <c r="BM47">
        <v>19</v>
      </c>
      <c r="BN47">
        <v>23.4</v>
      </c>
      <c r="BO47">
        <v>19</v>
      </c>
      <c r="BP47">
        <v>21.3</v>
      </c>
      <c r="BQ47">
        <v>20</v>
      </c>
      <c r="BR47">
        <v>21.9</v>
      </c>
      <c r="BS47">
        <v>25</v>
      </c>
      <c r="BT47">
        <v>21.9</v>
      </c>
      <c r="BU47">
        <v>25</v>
      </c>
      <c r="BV47">
        <v>25</v>
      </c>
      <c r="BW47">
        <v>18</v>
      </c>
      <c r="BX47">
        <v>21.4</v>
      </c>
      <c r="BY47">
        <v>20</v>
      </c>
      <c r="BZ47">
        <v>21.6</v>
      </c>
      <c r="CA47">
        <v>20</v>
      </c>
      <c r="CB47">
        <v>10.8</v>
      </c>
      <c r="CC47">
        <v>10</v>
      </c>
      <c r="CD47">
        <v>10.8</v>
      </c>
      <c r="CE47">
        <v>10</v>
      </c>
      <c r="CF47">
        <v>11.8</v>
      </c>
      <c r="CG47">
        <v>9</v>
      </c>
      <c r="CH47">
        <v>12</v>
      </c>
      <c r="CI47">
        <v>9</v>
      </c>
    </row>
    <row r="48" spans="1:87" x14ac:dyDescent="0.35">
      <c r="A48" s="1">
        <v>46059.478472222225</v>
      </c>
      <c r="B48">
        <v>-17.600000000000001</v>
      </c>
      <c r="C48">
        <v>-18.8</v>
      </c>
      <c r="D48">
        <v>-25</v>
      </c>
      <c r="E48">
        <v>-18.3</v>
      </c>
      <c r="F48">
        <v>-17.2</v>
      </c>
      <c r="G48">
        <v>-25</v>
      </c>
      <c r="H48">
        <v>-16.899999999999999</v>
      </c>
      <c r="I48">
        <v>-12.9</v>
      </c>
      <c r="J48">
        <v>-25</v>
      </c>
      <c r="K48">
        <v>-17</v>
      </c>
      <c r="L48">
        <v>-17.5</v>
      </c>
      <c r="M48">
        <v>-25</v>
      </c>
      <c r="N48">
        <v>-16.7</v>
      </c>
      <c r="O48">
        <v>-16.600000000000001</v>
      </c>
      <c r="P48">
        <v>-25</v>
      </c>
      <c r="Q48">
        <v>-16.3</v>
      </c>
      <c r="R48">
        <v>-16.100000000000001</v>
      </c>
      <c r="S48">
        <v>-25</v>
      </c>
      <c r="T48">
        <v>3.7</v>
      </c>
      <c r="U48">
        <v>3.6</v>
      </c>
      <c r="V48">
        <v>2</v>
      </c>
      <c r="W48">
        <v>3.7</v>
      </c>
      <c r="X48">
        <v>3.4</v>
      </c>
      <c r="Y48">
        <v>2</v>
      </c>
      <c r="Z48">
        <v>3.2</v>
      </c>
      <c r="AA48">
        <v>2.7</v>
      </c>
      <c r="AB48">
        <v>2</v>
      </c>
      <c r="AC48">
        <v>2.6</v>
      </c>
      <c r="AD48">
        <v>2.2999999999999998</v>
      </c>
      <c r="AE48">
        <v>2</v>
      </c>
      <c r="AF48">
        <v>3.3</v>
      </c>
      <c r="AG48">
        <v>3.1</v>
      </c>
      <c r="AH48">
        <v>2</v>
      </c>
      <c r="AI48">
        <v>3.2</v>
      </c>
      <c r="AJ48">
        <v>3.1</v>
      </c>
      <c r="AK48">
        <v>2</v>
      </c>
      <c r="AL48">
        <v>4.3</v>
      </c>
      <c r="AM48">
        <v>4</v>
      </c>
      <c r="AN48">
        <v>5.5</v>
      </c>
      <c r="AO48">
        <v>4</v>
      </c>
      <c r="AP48">
        <v>5.8</v>
      </c>
      <c r="AQ48">
        <v>4</v>
      </c>
      <c r="AR48">
        <v>8</v>
      </c>
      <c r="AS48">
        <v>4</v>
      </c>
      <c r="AT48">
        <v>-4.0999999999999996</v>
      </c>
      <c r="AU48">
        <v>-6.7</v>
      </c>
      <c r="AV48">
        <v>-5</v>
      </c>
      <c r="AW48">
        <v>-3</v>
      </c>
      <c r="AX48">
        <v>-2.7</v>
      </c>
      <c r="AY48">
        <v>-5</v>
      </c>
      <c r="AZ48">
        <v>11.8</v>
      </c>
      <c r="BA48">
        <v>10</v>
      </c>
      <c r="BB48">
        <v>10.3</v>
      </c>
      <c r="BC48">
        <v>10</v>
      </c>
      <c r="BD48">
        <v>5.6</v>
      </c>
      <c r="BE48">
        <v>4</v>
      </c>
      <c r="BF48">
        <v>9.5</v>
      </c>
      <c r="BG48">
        <v>10</v>
      </c>
      <c r="BH48">
        <v>13.7</v>
      </c>
      <c r="BI48">
        <v>10</v>
      </c>
      <c r="BJ48">
        <v>9.9</v>
      </c>
      <c r="BK48">
        <v>9</v>
      </c>
      <c r="BL48">
        <v>19.5</v>
      </c>
      <c r="BM48">
        <v>19</v>
      </c>
      <c r="BN48">
        <v>23.4</v>
      </c>
      <c r="BO48">
        <v>19</v>
      </c>
      <c r="BP48">
        <v>21.3</v>
      </c>
      <c r="BQ48">
        <v>20</v>
      </c>
      <c r="BR48">
        <v>21.9</v>
      </c>
      <c r="BS48">
        <v>25</v>
      </c>
      <c r="BT48">
        <v>21.9</v>
      </c>
      <c r="BU48">
        <v>25</v>
      </c>
      <c r="BV48">
        <v>24.9</v>
      </c>
      <c r="BW48">
        <v>18</v>
      </c>
      <c r="BX48">
        <v>21.4</v>
      </c>
      <c r="BY48">
        <v>20</v>
      </c>
      <c r="BZ48">
        <v>21.7</v>
      </c>
      <c r="CA48">
        <v>20</v>
      </c>
      <c r="CB48">
        <v>10.8</v>
      </c>
      <c r="CC48">
        <v>10</v>
      </c>
      <c r="CD48">
        <v>10.8</v>
      </c>
      <c r="CE48">
        <v>10</v>
      </c>
      <c r="CF48">
        <v>11.7</v>
      </c>
      <c r="CG48">
        <v>9</v>
      </c>
      <c r="CH48">
        <v>11.9</v>
      </c>
      <c r="CI48">
        <v>9</v>
      </c>
    </row>
    <row r="49" spans="1:87" x14ac:dyDescent="0.35">
      <c r="A49" s="1">
        <v>46059.479166666664</v>
      </c>
      <c r="B49">
        <v>-17.8</v>
      </c>
      <c r="C49">
        <v>-18.399999999999999</v>
      </c>
      <c r="D49">
        <v>-25</v>
      </c>
      <c r="E49">
        <v>-18.3</v>
      </c>
      <c r="F49">
        <v>-17.3</v>
      </c>
      <c r="G49">
        <v>-25</v>
      </c>
      <c r="H49">
        <v>-17</v>
      </c>
      <c r="I49">
        <v>-13.1</v>
      </c>
      <c r="J49">
        <v>-25</v>
      </c>
      <c r="K49">
        <v>-17</v>
      </c>
      <c r="L49">
        <v>-17.600000000000001</v>
      </c>
      <c r="M49">
        <v>-25</v>
      </c>
      <c r="N49">
        <v>-16.899999999999999</v>
      </c>
      <c r="O49">
        <v>-16.5</v>
      </c>
      <c r="P49">
        <v>-25</v>
      </c>
      <c r="Q49">
        <v>-16.600000000000001</v>
      </c>
      <c r="R49">
        <v>-16.399999999999999</v>
      </c>
      <c r="S49">
        <v>-25</v>
      </c>
      <c r="T49">
        <v>3.7</v>
      </c>
      <c r="U49">
        <v>3.7</v>
      </c>
      <c r="V49">
        <v>2</v>
      </c>
      <c r="W49">
        <v>3.7</v>
      </c>
      <c r="X49">
        <v>3.5</v>
      </c>
      <c r="Y49">
        <v>2</v>
      </c>
      <c r="Z49">
        <v>3.2</v>
      </c>
      <c r="AA49">
        <v>2.7</v>
      </c>
      <c r="AB49">
        <v>2</v>
      </c>
      <c r="AC49">
        <v>2.7</v>
      </c>
      <c r="AD49">
        <v>2.4</v>
      </c>
      <c r="AE49">
        <v>2</v>
      </c>
      <c r="AF49">
        <v>3.8</v>
      </c>
      <c r="AG49">
        <v>3.9</v>
      </c>
      <c r="AH49">
        <v>2</v>
      </c>
      <c r="AI49">
        <v>3.4</v>
      </c>
      <c r="AJ49">
        <v>3.4</v>
      </c>
      <c r="AK49">
        <v>2</v>
      </c>
      <c r="AL49">
        <v>4.4000000000000004</v>
      </c>
      <c r="AM49">
        <v>4</v>
      </c>
      <c r="AN49">
        <v>5.5</v>
      </c>
      <c r="AO49">
        <v>4</v>
      </c>
      <c r="AP49">
        <v>5.9</v>
      </c>
      <c r="AQ49">
        <v>4</v>
      </c>
      <c r="AR49">
        <v>8</v>
      </c>
      <c r="AS49">
        <v>4</v>
      </c>
      <c r="AT49">
        <v>-4.3</v>
      </c>
      <c r="AU49">
        <v>-6.6</v>
      </c>
      <c r="AV49">
        <v>-5</v>
      </c>
      <c r="AW49">
        <v>-2.8</v>
      </c>
      <c r="AX49">
        <v>-2.7</v>
      </c>
      <c r="AY49">
        <v>-5</v>
      </c>
      <c r="AZ49">
        <v>11.8</v>
      </c>
      <c r="BA49">
        <v>10</v>
      </c>
      <c r="BB49">
        <v>10.199999999999999</v>
      </c>
      <c r="BC49">
        <v>10</v>
      </c>
      <c r="BD49">
        <v>5.7</v>
      </c>
      <c r="BE49">
        <v>4</v>
      </c>
      <c r="BF49">
        <v>9.5</v>
      </c>
      <c r="BG49">
        <v>10</v>
      </c>
      <c r="BH49">
        <v>13.6</v>
      </c>
      <c r="BI49">
        <v>10</v>
      </c>
      <c r="BJ49">
        <v>9.9</v>
      </c>
      <c r="BK49">
        <v>9</v>
      </c>
      <c r="BL49">
        <v>19.5</v>
      </c>
      <c r="BM49">
        <v>19</v>
      </c>
      <c r="BN49">
        <v>23.4</v>
      </c>
      <c r="BO49">
        <v>19</v>
      </c>
      <c r="BP49">
        <v>21.3</v>
      </c>
      <c r="BQ49">
        <v>20</v>
      </c>
      <c r="BR49">
        <v>21.9</v>
      </c>
      <c r="BS49">
        <v>25</v>
      </c>
      <c r="BT49">
        <v>21.9</v>
      </c>
      <c r="BU49">
        <v>25</v>
      </c>
      <c r="BV49">
        <v>24.9</v>
      </c>
      <c r="BW49">
        <v>18</v>
      </c>
      <c r="BX49">
        <v>21.4</v>
      </c>
      <c r="BY49">
        <v>20</v>
      </c>
      <c r="BZ49">
        <v>21.7</v>
      </c>
      <c r="CA49">
        <v>20</v>
      </c>
      <c r="CB49">
        <v>10.8</v>
      </c>
      <c r="CC49">
        <v>10</v>
      </c>
      <c r="CD49">
        <v>10.8</v>
      </c>
      <c r="CE49">
        <v>10</v>
      </c>
      <c r="CF49">
        <v>11.7</v>
      </c>
      <c r="CG49">
        <v>9</v>
      </c>
      <c r="CH49">
        <v>11.9</v>
      </c>
      <c r="CI49">
        <v>9</v>
      </c>
    </row>
    <row r="50" spans="1:87" x14ac:dyDescent="0.35">
      <c r="A50" s="1">
        <v>46059.479861111111</v>
      </c>
      <c r="B50">
        <v>-17.8</v>
      </c>
      <c r="C50">
        <v>-18.3</v>
      </c>
      <c r="D50">
        <v>-25</v>
      </c>
      <c r="E50">
        <v>-18.3</v>
      </c>
      <c r="F50">
        <v>-17.399999999999999</v>
      </c>
      <c r="G50">
        <v>-25</v>
      </c>
      <c r="H50">
        <v>-17.2</v>
      </c>
      <c r="I50">
        <v>-13.3</v>
      </c>
      <c r="J50">
        <v>-25</v>
      </c>
      <c r="K50">
        <v>-17.100000000000001</v>
      </c>
      <c r="L50">
        <v>-17.8</v>
      </c>
      <c r="M50">
        <v>-25</v>
      </c>
      <c r="N50">
        <v>-16.8</v>
      </c>
      <c r="O50">
        <v>-16.5</v>
      </c>
      <c r="P50">
        <v>-25</v>
      </c>
      <c r="Q50">
        <v>-15.8</v>
      </c>
      <c r="R50">
        <v>-16.100000000000001</v>
      </c>
      <c r="S50">
        <v>-25</v>
      </c>
      <c r="T50">
        <v>3.8</v>
      </c>
      <c r="U50">
        <v>3.8</v>
      </c>
      <c r="V50">
        <v>2</v>
      </c>
      <c r="W50">
        <v>3.8</v>
      </c>
      <c r="X50">
        <v>3.6</v>
      </c>
      <c r="Y50">
        <v>2</v>
      </c>
      <c r="Z50">
        <v>3.2</v>
      </c>
      <c r="AA50">
        <v>2.8</v>
      </c>
      <c r="AB50">
        <v>2</v>
      </c>
      <c r="AC50">
        <v>2.8</v>
      </c>
      <c r="AD50">
        <v>2.6</v>
      </c>
      <c r="AE50">
        <v>2</v>
      </c>
      <c r="AF50">
        <v>3.9</v>
      </c>
      <c r="AG50">
        <v>3.9</v>
      </c>
      <c r="AH50">
        <v>2</v>
      </c>
      <c r="AI50">
        <v>3.7</v>
      </c>
      <c r="AJ50">
        <v>3.6</v>
      </c>
      <c r="AK50">
        <v>2</v>
      </c>
      <c r="AL50">
        <v>4.4000000000000004</v>
      </c>
      <c r="AM50">
        <v>4</v>
      </c>
      <c r="AN50">
        <v>5.5</v>
      </c>
      <c r="AO50">
        <v>4</v>
      </c>
      <c r="AP50">
        <v>6</v>
      </c>
      <c r="AQ50">
        <v>4</v>
      </c>
      <c r="AR50">
        <v>8</v>
      </c>
      <c r="AS50">
        <v>4</v>
      </c>
      <c r="AT50">
        <v>-4.3</v>
      </c>
      <c r="AU50">
        <v>-6</v>
      </c>
      <c r="AV50">
        <v>-5</v>
      </c>
      <c r="AW50">
        <v>-3.6</v>
      </c>
      <c r="AX50">
        <v>-4.5</v>
      </c>
      <c r="AY50">
        <v>-5</v>
      </c>
      <c r="AZ50">
        <v>11.9</v>
      </c>
      <c r="BA50">
        <v>10</v>
      </c>
      <c r="BB50">
        <v>10.199999999999999</v>
      </c>
      <c r="BC50">
        <v>10</v>
      </c>
      <c r="BD50">
        <v>5.9</v>
      </c>
      <c r="BE50">
        <v>4</v>
      </c>
      <c r="BF50">
        <v>10.199999999999999</v>
      </c>
      <c r="BG50">
        <v>10</v>
      </c>
      <c r="BH50">
        <v>13.9</v>
      </c>
      <c r="BI50">
        <v>10</v>
      </c>
      <c r="BJ50">
        <v>9.9</v>
      </c>
      <c r="BK50">
        <v>9</v>
      </c>
      <c r="BL50">
        <v>19.5</v>
      </c>
      <c r="BM50">
        <v>19</v>
      </c>
      <c r="BN50">
        <v>23.4</v>
      </c>
      <c r="BO50">
        <v>19</v>
      </c>
      <c r="BP50">
        <v>21.4</v>
      </c>
      <c r="BQ50">
        <v>20</v>
      </c>
      <c r="BR50">
        <v>21.9</v>
      </c>
      <c r="BS50">
        <v>25</v>
      </c>
      <c r="BT50">
        <v>21.9</v>
      </c>
      <c r="BU50">
        <v>25</v>
      </c>
      <c r="BV50">
        <v>24.8</v>
      </c>
      <c r="BW50">
        <v>18</v>
      </c>
      <c r="BX50">
        <v>21.4</v>
      </c>
      <c r="BY50">
        <v>20</v>
      </c>
      <c r="BZ50">
        <v>21.7</v>
      </c>
      <c r="CA50">
        <v>20</v>
      </c>
      <c r="CB50">
        <v>10.6</v>
      </c>
      <c r="CC50">
        <v>10</v>
      </c>
      <c r="CD50">
        <v>10.8</v>
      </c>
      <c r="CE50">
        <v>10</v>
      </c>
      <c r="CF50">
        <v>11.7</v>
      </c>
      <c r="CG50">
        <v>9</v>
      </c>
      <c r="CH50">
        <v>11.9</v>
      </c>
      <c r="CI50">
        <v>9</v>
      </c>
    </row>
    <row r="51" spans="1:87" x14ac:dyDescent="0.35">
      <c r="A51" s="1">
        <v>46059.480555555558</v>
      </c>
      <c r="B51">
        <v>-17.8</v>
      </c>
      <c r="C51">
        <v>-18.2</v>
      </c>
      <c r="D51">
        <v>-25</v>
      </c>
      <c r="E51">
        <v>-18.3</v>
      </c>
      <c r="F51">
        <v>-17.5</v>
      </c>
      <c r="G51">
        <v>-25</v>
      </c>
      <c r="H51">
        <v>-17.2</v>
      </c>
      <c r="I51">
        <v>-13.5</v>
      </c>
      <c r="J51">
        <v>-25</v>
      </c>
      <c r="K51">
        <v>-17.100000000000001</v>
      </c>
      <c r="L51">
        <v>-17.8</v>
      </c>
      <c r="M51">
        <v>-25</v>
      </c>
      <c r="N51">
        <v>-16.100000000000001</v>
      </c>
      <c r="O51">
        <v>-16.399999999999999</v>
      </c>
      <c r="P51">
        <v>-25</v>
      </c>
      <c r="Q51">
        <v>-15.6</v>
      </c>
      <c r="R51">
        <v>-15.1</v>
      </c>
      <c r="S51">
        <v>-25</v>
      </c>
      <c r="T51">
        <v>3.8</v>
      </c>
      <c r="U51">
        <v>3.9</v>
      </c>
      <c r="V51">
        <v>2</v>
      </c>
      <c r="W51">
        <v>3.9</v>
      </c>
      <c r="X51">
        <v>3.7</v>
      </c>
      <c r="Y51">
        <v>2</v>
      </c>
      <c r="Z51">
        <v>3.2</v>
      </c>
      <c r="AA51">
        <v>2.9</v>
      </c>
      <c r="AB51">
        <v>2</v>
      </c>
      <c r="AC51">
        <v>2.9</v>
      </c>
      <c r="AD51">
        <v>2.7</v>
      </c>
      <c r="AE51">
        <v>2</v>
      </c>
      <c r="AF51">
        <v>4</v>
      </c>
      <c r="AG51">
        <v>3.9</v>
      </c>
      <c r="AH51">
        <v>2</v>
      </c>
      <c r="AI51">
        <v>3.8</v>
      </c>
      <c r="AJ51">
        <v>3.8</v>
      </c>
      <c r="AK51">
        <v>2</v>
      </c>
      <c r="AL51">
        <v>4.5</v>
      </c>
      <c r="AM51">
        <v>4</v>
      </c>
      <c r="AN51">
        <v>5.6</v>
      </c>
      <c r="AO51">
        <v>4</v>
      </c>
      <c r="AP51">
        <v>5.4</v>
      </c>
      <c r="AQ51">
        <v>4</v>
      </c>
      <c r="AR51">
        <v>8</v>
      </c>
      <c r="AS51">
        <v>4</v>
      </c>
      <c r="AT51">
        <v>-4.4000000000000004</v>
      </c>
      <c r="AU51">
        <v>-6.1</v>
      </c>
      <c r="AV51">
        <v>-5</v>
      </c>
      <c r="AW51">
        <v>-4.9000000000000004</v>
      </c>
      <c r="AX51">
        <v>-5.8</v>
      </c>
      <c r="AY51">
        <v>-5</v>
      </c>
      <c r="AZ51">
        <v>12</v>
      </c>
      <c r="BA51">
        <v>10</v>
      </c>
      <c r="BB51">
        <v>10.199999999999999</v>
      </c>
      <c r="BC51">
        <v>10</v>
      </c>
      <c r="BD51">
        <v>6</v>
      </c>
      <c r="BE51">
        <v>4</v>
      </c>
      <c r="BF51">
        <v>10.4</v>
      </c>
      <c r="BG51">
        <v>10</v>
      </c>
      <c r="BH51">
        <v>14</v>
      </c>
      <c r="BI51">
        <v>10</v>
      </c>
      <c r="BJ51">
        <v>9.9</v>
      </c>
      <c r="BK51">
        <v>9</v>
      </c>
      <c r="BL51">
        <v>19.5</v>
      </c>
      <c r="BM51">
        <v>19</v>
      </c>
      <c r="BN51">
        <v>23.4</v>
      </c>
      <c r="BO51">
        <v>19</v>
      </c>
      <c r="BP51">
        <v>21.4</v>
      </c>
      <c r="BQ51">
        <v>20</v>
      </c>
      <c r="BR51">
        <v>21.9</v>
      </c>
      <c r="BS51">
        <v>25</v>
      </c>
      <c r="BT51">
        <v>21.9</v>
      </c>
      <c r="BU51">
        <v>25</v>
      </c>
      <c r="BV51">
        <v>24.8</v>
      </c>
      <c r="BW51">
        <v>18</v>
      </c>
      <c r="BX51">
        <v>21.5</v>
      </c>
      <c r="BY51">
        <v>20</v>
      </c>
      <c r="BZ51">
        <v>21.7</v>
      </c>
      <c r="CA51">
        <v>20</v>
      </c>
      <c r="CB51">
        <v>10.5</v>
      </c>
      <c r="CC51">
        <v>10</v>
      </c>
      <c r="CD51">
        <v>10.7</v>
      </c>
      <c r="CE51">
        <v>10</v>
      </c>
      <c r="CF51">
        <v>11.6</v>
      </c>
      <c r="CG51">
        <v>9</v>
      </c>
      <c r="CH51">
        <v>11.9</v>
      </c>
      <c r="CI51">
        <v>9</v>
      </c>
    </row>
    <row r="52" spans="1:87" x14ac:dyDescent="0.35">
      <c r="A52" s="1">
        <v>46059.481249999997</v>
      </c>
      <c r="B52">
        <v>-17.8</v>
      </c>
      <c r="C52">
        <v>-18</v>
      </c>
      <c r="D52">
        <v>-25</v>
      </c>
      <c r="E52">
        <v>-18.3</v>
      </c>
      <c r="F52">
        <v>-17.5</v>
      </c>
      <c r="G52">
        <v>-25</v>
      </c>
      <c r="H52">
        <v>-17.3</v>
      </c>
      <c r="I52">
        <v>-13.7</v>
      </c>
      <c r="J52">
        <v>-25</v>
      </c>
      <c r="K52">
        <v>-17.2</v>
      </c>
      <c r="L52">
        <v>-17.8</v>
      </c>
      <c r="M52">
        <v>-25</v>
      </c>
      <c r="N52">
        <v>-15.7</v>
      </c>
      <c r="O52">
        <v>-16.2</v>
      </c>
      <c r="P52">
        <v>-25</v>
      </c>
      <c r="Q52">
        <v>-15.6</v>
      </c>
      <c r="R52">
        <v>-15.2</v>
      </c>
      <c r="S52">
        <v>-25</v>
      </c>
      <c r="T52">
        <v>3.9</v>
      </c>
      <c r="U52">
        <v>3.9</v>
      </c>
      <c r="V52">
        <v>2</v>
      </c>
      <c r="W52">
        <v>3.9</v>
      </c>
      <c r="X52">
        <v>3.7</v>
      </c>
      <c r="Y52">
        <v>2</v>
      </c>
      <c r="Z52">
        <v>3.3</v>
      </c>
      <c r="AA52">
        <v>3</v>
      </c>
      <c r="AB52">
        <v>2</v>
      </c>
      <c r="AC52">
        <v>3</v>
      </c>
      <c r="AD52">
        <v>2.8</v>
      </c>
      <c r="AE52">
        <v>2</v>
      </c>
      <c r="AF52">
        <v>4.0999999999999996</v>
      </c>
      <c r="AG52">
        <v>3.9</v>
      </c>
      <c r="AH52">
        <v>2</v>
      </c>
      <c r="AI52">
        <v>3.9</v>
      </c>
      <c r="AJ52">
        <v>3.9</v>
      </c>
      <c r="AK52">
        <v>2</v>
      </c>
      <c r="AL52">
        <v>4.5</v>
      </c>
      <c r="AM52">
        <v>4</v>
      </c>
      <c r="AN52">
        <v>5.6</v>
      </c>
      <c r="AO52">
        <v>4</v>
      </c>
      <c r="AP52">
        <v>4.4000000000000004</v>
      </c>
      <c r="AQ52">
        <v>4</v>
      </c>
      <c r="AR52">
        <v>8</v>
      </c>
      <c r="AS52">
        <v>4</v>
      </c>
      <c r="AT52">
        <v>-3.9</v>
      </c>
      <c r="AU52">
        <v>-5.5</v>
      </c>
      <c r="AV52">
        <v>-5</v>
      </c>
      <c r="AW52">
        <v>-3.8</v>
      </c>
      <c r="AX52">
        <v>-3.9</v>
      </c>
      <c r="AY52">
        <v>-5</v>
      </c>
      <c r="AZ52">
        <v>11.3</v>
      </c>
      <c r="BA52">
        <v>10</v>
      </c>
      <c r="BB52">
        <v>10.1</v>
      </c>
      <c r="BC52">
        <v>10</v>
      </c>
      <c r="BD52">
        <v>6</v>
      </c>
      <c r="BE52">
        <v>4</v>
      </c>
      <c r="BF52">
        <v>10.9</v>
      </c>
      <c r="BG52">
        <v>10</v>
      </c>
      <c r="BH52">
        <v>14</v>
      </c>
      <c r="BI52">
        <v>10</v>
      </c>
      <c r="BJ52">
        <v>9.9</v>
      </c>
      <c r="BK52">
        <v>9</v>
      </c>
      <c r="BL52">
        <v>19.600000000000001</v>
      </c>
      <c r="BM52">
        <v>19</v>
      </c>
      <c r="BN52">
        <v>23.4</v>
      </c>
      <c r="BO52">
        <v>19</v>
      </c>
      <c r="BP52">
        <v>21.4</v>
      </c>
      <c r="BQ52">
        <v>20</v>
      </c>
      <c r="BR52">
        <v>21.9</v>
      </c>
      <c r="BS52">
        <v>25</v>
      </c>
      <c r="BT52">
        <v>21.9</v>
      </c>
      <c r="BU52">
        <v>25</v>
      </c>
      <c r="BV52">
        <v>24.8</v>
      </c>
      <c r="BW52">
        <v>18</v>
      </c>
      <c r="BX52">
        <v>21.5</v>
      </c>
      <c r="BY52">
        <v>20</v>
      </c>
      <c r="BZ52">
        <v>21.7</v>
      </c>
      <c r="CA52">
        <v>20</v>
      </c>
      <c r="CB52">
        <v>10.4</v>
      </c>
      <c r="CC52">
        <v>10</v>
      </c>
      <c r="CD52">
        <v>10.6</v>
      </c>
      <c r="CE52">
        <v>10</v>
      </c>
      <c r="CF52">
        <v>11.6</v>
      </c>
      <c r="CG52">
        <v>9</v>
      </c>
      <c r="CH52">
        <v>11.9</v>
      </c>
      <c r="CI52">
        <v>9</v>
      </c>
    </row>
    <row r="53" spans="1:87" x14ac:dyDescent="0.35">
      <c r="A53" s="1">
        <v>46059.481944444444</v>
      </c>
      <c r="B53">
        <v>-17.2</v>
      </c>
      <c r="C53">
        <v>-17.3</v>
      </c>
      <c r="D53">
        <v>-25</v>
      </c>
      <c r="E53">
        <v>-17.8</v>
      </c>
      <c r="F53">
        <v>-17.5</v>
      </c>
      <c r="G53">
        <v>-25</v>
      </c>
      <c r="H53">
        <v>-17.3</v>
      </c>
      <c r="I53">
        <v>-13.8</v>
      </c>
      <c r="J53">
        <v>-25</v>
      </c>
      <c r="K53">
        <v>-17.2</v>
      </c>
      <c r="L53">
        <v>-17.8</v>
      </c>
      <c r="M53">
        <v>-25</v>
      </c>
      <c r="N53">
        <v>-15.7</v>
      </c>
      <c r="O53">
        <v>-16.100000000000001</v>
      </c>
      <c r="P53">
        <v>-25</v>
      </c>
      <c r="Q53">
        <v>-15.6</v>
      </c>
      <c r="R53">
        <v>-15.5</v>
      </c>
      <c r="S53">
        <v>-25</v>
      </c>
      <c r="T53">
        <v>4</v>
      </c>
      <c r="U53">
        <v>4</v>
      </c>
      <c r="V53">
        <v>2</v>
      </c>
      <c r="W53">
        <v>4</v>
      </c>
      <c r="X53">
        <v>3.8</v>
      </c>
      <c r="Y53">
        <v>2</v>
      </c>
      <c r="Z53">
        <v>3.4</v>
      </c>
      <c r="AA53">
        <v>3.1</v>
      </c>
      <c r="AB53">
        <v>2</v>
      </c>
      <c r="AC53">
        <v>3.1</v>
      </c>
      <c r="AD53">
        <v>2.9</v>
      </c>
      <c r="AE53">
        <v>2</v>
      </c>
      <c r="AF53">
        <v>4.0999999999999996</v>
      </c>
      <c r="AG53">
        <v>4</v>
      </c>
      <c r="AH53">
        <v>2</v>
      </c>
      <c r="AI53">
        <v>4</v>
      </c>
      <c r="AJ53">
        <v>3.9</v>
      </c>
      <c r="AK53">
        <v>2</v>
      </c>
      <c r="AL53">
        <v>4.5999999999999996</v>
      </c>
      <c r="AM53">
        <v>4</v>
      </c>
      <c r="AN53">
        <v>5.6</v>
      </c>
      <c r="AO53">
        <v>4</v>
      </c>
      <c r="AP53">
        <v>3.4</v>
      </c>
      <c r="AQ53">
        <v>4</v>
      </c>
      <c r="AR53">
        <v>8</v>
      </c>
      <c r="AS53">
        <v>4</v>
      </c>
      <c r="AT53">
        <v>-3.6</v>
      </c>
      <c r="AU53">
        <v>-5.2</v>
      </c>
      <c r="AV53">
        <v>-5</v>
      </c>
      <c r="AW53">
        <v>-3.8</v>
      </c>
      <c r="AX53">
        <v>-3.9</v>
      </c>
      <c r="AY53">
        <v>-5</v>
      </c>
      <c r="AZ53">
        <v>10.199999999999999</v>
      </c>
      <c r="BA53">
        <v>10</v>
      </c>
      <c r="BB53">
        <v>10</v>
      </c>
      <c r="BC53">
        <v>10</v>
      </c>
      <c r="BD53">
        <v>5.7</v>
      </c>
      <c r="BE53">
        <v>4</v>
      </c>
      <c r="BF53">
        <v>11.1</v>
      </c>
      <c r="BG53">
        <v>10</v>
      </c>
      <c r="BH53">
        <v>13.9</v>
      </c>
      <c r="BI53">
        <v>10</v>
      </c>
      <c r="BJ53">
        <v>9.9</v>
      </c>
      <c r="BK53">
        <v>9</v>
      </c>
      <c r="BL53">
        <v>19.600000000000001</v>
      </c>
      <c r="BM53">
        <v>19</v>
      </c>
      <c r="BN53">
        <v>23.4</v>
      </c>
      <c r="BO53">
        <v>19</v>
      </c>
      <c r="BP53">
        <v>21.4</v>
      </c>
      <c r="BQ53">
        <v>20</v>
      </c>
      <c r="BR53">
        <v>21.9</v>
      </c>
      <c r="BS53">
        <v>25</v>
      </c>
      <c r="BT53">
        <v>21.9</v>
      </c>
      <c r="BU53">
        <v>25</v>
      </c>
      <c r="BV53">
        <v>24.8</v>
      </c>
      <c r="BW53">
        <v>18</v>
      </c>
      <c r="BX53">
        <v>21.5</v>
      </c>
      <c r="BY53">
        <v>20</v>
      </c>
      <c r="BZ53">
        <v>21.7</v>
      </c>
      <c r="CA53">
        <v>20</v>
      </c>
      <c r="CB53">
        <v>10.3</v>
      </c>
      <c r="CC53">
        <v>10</v>
      </c>
      <c r="CD53">
        <v>10.5</v>
      </c>
      <c r="CE53">
        <v>10</v>
      </c>
      <c r="CF53">
        <v>11.8</v>
      </c>
      <c r="CG53">
        <v>9</v>
      </c>
      <c r="CH53">
        <v>12.1</v>
      </c>
      <c r="CI53">
        <v>9</v>
      </c>
    </row>
    <row r="54" spans="1:87" x14ac:dyDescent="0.35">
      <c r="A54" s="1">
        <v>46059.482638888891</v>
      </c>
      <c r="B54">
        <v>-17.100000000000001</v>
      </c>
      <c r="C54">
        <v>-17.100000000000001</v>
      </c>
      <c r="D54">
        <v>-25</v>
      </c>
      <c r="E54">
        <v>-17.3</v>
      </c>
      <c r="F54">
        <v>-17.5</v>
      </c>
      <c r="G54">
        <v>-25</v>
      </c>
      <c r="H54">
        <v>-17.100000000000001</v>
      </c>
      <c r="I54">
        <v>-13.9</v>
      </c>
      <c r="J54">
        <v>-25</v>
      </c>
      <c r="K54">
        <v>-17.2</v>
      </c>
      <c r="L54">
        <v>-17.600000000000001</v>
      </c>
      <c r="M54">
        <v>-25</v>
      </c>
      <c r="N54">
        <v>-16</v>
      </c>
      <c r="O54">
        <v>-16.7</v>
      </c>
      <c r="P54">
        <v>-25</v>
      </c>
      <c r="Q54">
        <v>-15.6</v>
      </c>
      <c r="R54">
        <v>-15.9</v>
      </c>
      <c r="S54">
        <v>-25</v>
      </c>
      <c r="T54">
        <v>3.9</v>
      </c>
      <c r="U54">
        <v>3.6</v>
      </c>
      <c r="V54">
        <v>2</v>
      </c>
      <c r="W54">
        <v>3.9</v>
      </c>
      <c r="X54">
        <v>3.1</v>
      </c>
      <c r="Y54">
        <v>2</v>
      </c>
      <c r="Z54">
        <v>3.5</v>
      </c>
      <c r="AA54">
        <v>3.2</v>
      </c>
      <c r="AB54">
        <v>2</v>
      </c>
      <c r="AC54">
        <v>3.2</v>
      </c>
      <c r="AD54">
        <v>3</v>
      </c>
      <c r="AE54">
        <v>2</v>
      </c>
      <c r="AF54">
        <v>4.0999999999999996</v>
      </c>
      <c r="AG54">
        <v>3.8</v>
      </c>
      <c r="AH54">
        <v>2</v>
      </c>
      <c r="AI54">
        <v>4</v>
      </c>
      <c r="AJ54">
        <v>3.4</v>
      </c>
      <c r="AK54">
        <v>2</v>
      </c>
      <c r="AL54">
        <v>4.5999999999999996</v>
      </c>
      <c r="AM54">
        <v>4</v>
      </c>
      <c r="AN54">
        <v>5.7</v>
      </c>
      <c r="AO54">
        <v>4</v>
      </c>
      <c r="AP54">
        <v>3.1</v>
      </c>
      <c r="AQ54">
        <v>4</v>
      </c>
      <c r="AR54">
        <v>8</v>
      </c>
      <c r="AS54">
        <v>4</v>
      </c>
      <c r="AT54">
        <v>-3.9</v>
      </c>
      <c r="AU54">
        <v>-5.0999999999999996</v>
      </c>
      <c r="AV54">
        <v>-5</v>
      </c>
      <c r="AW54">
        <v>-3.9</v>
      </c>
      <c r="AX54">
        <v>-4.5</v>
      </c>
      <c r="AY54">
        <v>-5</v>
      </c>
      <c r="AZ54">
        <v>9.1</v>
      </c>
      <c r="BA54">
        <v>10</v>
      </c>
      <c r="BB54">
        <v>9.9</v>
      </c>
      <c r="BC54">
        <v>10</v>
      </c>
      <c r="BD54">
        <v>5</v>
      </c>
      <c r="BE54">
        <v>4</v>
      </c>
      <c r="BF54">
        <v>11.4</v>
      </c>
      <c r="BG54">
        <v>10</v>
      </c>
      <c r="BH54">
        <v>14.4</v>
      </c>
      <c r="BI54">
        <v>10</v>
      </c>
      <c r="BJ54">
        <v>9.9</v>
      </c>
      <c r="BK54">
        <v>9</v>
      </c>
      <c r="BL54">
        <v>19.7</v>
      </c>
      <c r="BM54">
        <v>19</v>
      </c>
      <c r="BN54">
        <v>23.4</v>
      </c>
      <c r="BO54">
        <v>19</v>
      </c>
      <c r="BP54">
        <v>21.4</v>
      </c>
      <c r="BQ54">
        <v>20</v>
      </c>
      <c r="BR54">
        <v>21.9</v>
      </c>
      <c r="BS54">
        <v>25</v>
      </c>
      <c r="BT54">
        <v>21.9</v>
      </c>
      <c r="BU54">
        <v>25</v>
      </c>
      <c r="BV54">
        <v>24.8</v>
      </c>
      <c r="BW54">
        <v>18</v>
      </c>
      <c r="BX54">
        <v>21.6</v>
      </c>
      <c r="BY54">
        <v>20</v>
      </c>
      <c r="BZ54">
        <v>21.7</v>
      </c>
      <c r="CA54">
        <v>20</v>
      </c>
      <c r="CB54">
        <v>10.199999999999999</v>
      </c>
      <c r="CC54">
        <v>10</v>
      </c>
      <c r="CD54">
        <v>10.4</v>
      </c>
      <c r="CE54">
        <v>10</v>
      </c>
      <c r="CF54">
        <v>11.6</v>
      </c>
      <c r="CG54">
        <v>9</v>
      </c>
      <c r="CH54">
        <v>11.9</v>
      </c>
      <c r="CI54">
        <v>9</v>
      </c>
    </row>
    <row r="55" spans="1:87" x14ac:dyDescent="0.35">
      <c r="A55" s="1">
        <v>46059.48333333333</v>
      </c>
      <c r="B55">
        <v>-16.8</v>
      </c>
      <c r="C55">
        <v>-16.899999999999999</v>
      </c>
      <c r="D55">
        <v>-25</v>
      </c>
      <c r="E55">
        <v>-16.899999999999999</v>
      </c>
      <c r="F55">
        <v>-17.3</v>
      </c>
      <c r="G55">
        <v>-25</v>
      </c>
      <c r="H55">
        <v>-17</v>
      </c>
      <c r="I55">
        <v>-13.9</v>
      </c>
      <c r="J55">
        <v>-25</v>
      </c>
      <c r="K55">
        <v>-17.100000000000001</v>
      </c>
      <c r="L55">
        <v>-17.399999999999999</v>
      </c>
      <c r="M55">
        <v>-25</v>
      </c>
      <c r="N55">
        <v>-16.399999999999999</v>
      </c>
      <c r="O55">
        <v>-17.2</v>
      </c>
      <c r="P55">
        <v>-25</v>
      </c>
      <c r="Q55">
        <v>-15.6</v>
      </c>
      <c r="R55">
        <v>-16.100000000000001</v>
      </c>
      <c r="S55">
        <v>-25</v>
      </c>
      <c r="T55">
        <v>3.5</v>
      </c>
      <c r="U55">
        <v>2.7</v>
      </c>
      <c r="V55">
        <v>2</v>
      </c>
      <c r="W55">
        <v>3.5</v>
      </c>
      <c r="X55">
        <v>1.5</v>
      </c>
      <c r="Y55">
        <v>2</v>
      </c>
      <c r="Z55">
        <v>3.5</v>
      </c>
      <c r="AA55">
        <v>3.2</v>
      </c>
      <c r="AB55">
        <v>2</v>
      </c>
      <c r="AC55">
        <v>3.3</v>
      </c>
      <c r="AD55">
        <v>3.1</v>
      </c>
      <c r="AE55">
        <v>2</v>
      </c>
      <c r="AF55">
        <v>4</v>
      </c>
      <c r="AG55">
        <v>3.6</v>
      </c>
      <c r="AH55">
        <v>2</v>
      </c>
      <c r="AI55">
        <v>3.8</v>
      </c>
      <c r="AJ55">
        <v>3</v>
      </c>
      <c r="AK55">
        <v>2</v>
      </c>
      <c r="AL55">
        <v>4.7</v>
      </c>
      <c r="AM55">
        <v>4</v>
      </c>
      <c r="AN55">
        <v>5.7</v>
      </c>
      <c r="AO55">
        <v>4</v>
      </c>
      <c r="AP55">
        <v>3.1</v>
      </c>
      <c r="AQ55">
        <v>4</v>
      </c>
      <c r="AR55">
        <v>8</v>
      </c>
      <c r="AS55">
        <v>4</v>
      </c>
      <c r="AT55">
        <v>-4.0999999999999996</v>
      </c>
      <c r="AU55">
        <v>-6.1</v>
      </c>
      <c r="AV55">
        <v>-5</v>
      </c>
      <c r="AW55">
        <v>-4.2</v>
      </c>
      <c r="AX55">
        <v>-5.2</v>
      </c>
      <c r="AY55">
        <v>-5</v>
      </c>
      <c r="AZ55">
        <v>8.8000000000000007</v>
      </c>
      <c r="BA55">
        <v>10</v>
      </c>
      <c r="BB55">
        <v>10</v>
      </c>
      <c r="BC55">
        <v>10</v>
      </c>
      <c r="BD55">
        <v>4.5999999999999996</v>
      </c>
      <c r="BE55">
        <v>4</v>
      </c>
      <c r="BF55">
        <v>11.6</v>
      </c>
      <c r="BG55">
        <v>10</v>
      </c>
      <c r="BH55">
        <v>14.7</v>
      </c>
      <c r="BI55">
        <v>10</v>
      </c>
      <c r="BJ55">
        <v>9.9</v>
      </c>
      <c r="BK55">
        <v>9</v>
      </c>
      <c r="BL55">
        <v>19.7</v>
      </c>
      <c r="BM55">
        <v>19</v>
      </c>
      <c r="BN55">
        <v>23.4</v>
      </c>
      <c r="BO55">
        <v>19</v>
      </c>
      <c r="BP55">
        <v>21.4</v>
      </c>
      <c r="BQ55">
        <v>20</v>
      </c>
      <c r="BR55">
        <v>21.9</v>
      </c>
      <c r="BS55">
        <v>25</v>
      </c>
      <c r="BT55">
        <v>21.9</v>
      </c>
      <c r="BU55">
        <v>25</v>
      </c>
      <c r="BV55">
        <v>24.7</v>
      </c>
      <c r="BW55">
        <v>18</v>
      </c>
      <c r="BX55">
        <v>21.6</v>
      </c>
      <c r="BY55">
        <v>20</v>
      </c>
      <c r="BZ55">
        <v>21.7</v>
      </c>
      <c r="CA55">
        <v>20</v>
      </c>
      <c r="CB55">
        <v>10.199999999999999</v>
      </c>
      <c r="CC55">
        <v>10</v>
      </c>
      <c r="CD55">
        <v>10.4</v>
      </c>
      <c r="CE55">
        <v>10</v>
      </c>
      <c r="CF55">
        <v>11.8</v>
      </c>
      <c r="CG55">
        <v>9</v>
      </c>
      <c r="CH55">
        <v>12</v>
      </c>
      <c r="CI55">
        <v>9</v>
      </c>
    </row>
    <row r="56" spans="1:87" x14ac:dyDescent="0.35">
      <c r="A56" s="1">
        <v>46059.484027777777</v>
      </c>
      <c r="B56">
        <v>-16.5</v>
      </c>
      <c r="C56">
        <v>-16.5</v>
      </c>
      <c r="D56">
        <v>-25</v>
      </c>
      <c r="E56">
        <v>-16.600000000000001</v>
      </c>
      <c r="F56">
        <v>-17.100000000000001</v>
      </c>
      <c r="G56">
        <v>-25</v>
      </c>
      <c r="H56">
        <v>-17</v>
      </c>
      <c r="I56">
        <v>-14</v>
      </c>
      <c r="J56">
        <v>-25</v>
      </c>
      <c r="K56">
        <v>-17</v>
      </c>
      <c r="L56">
        <v>-17.399999999999999</v>
      </c>
      <c r="M56">
        <v>-25</v>
      </c>
      <c r="N56">
        <v>-16.7</v>
      </c>
      <c r="O56">
        <v>-17.2</v>
      </c>
      <c r="P56">
        <v>-25</v>
      </c>
      <c r="Q56">
        <v>-15.6</v>
      </c>
      <c r="R56">
        <v>-16.100000000000001</v>
      </c>
      <c r="S56">
        <v>-25</v>
      </c>
      <c r="T56">
        <v>3</v>
      </c>
      <c r="U56">
        <v>0.2</v>
      </c>
      <c r="V56">
        <v>2</v>
      </c>
      <c r="W56">
        <v>3</v>
      </c>
      <c r="X56">
        <v>0.5</v>
      </c>
      <c r="Y56">
        <v>2</v>
      </c>
      <c r="Z56">
        <v>3.6</v>
      </c>
      <c r="AA56">
        <v>3.3</v>
      </c>
      <c r="AB56">
        <v>2</v>
      </c>
      <c r="AC56">
        <v>3.4</v>
      </c>
      <c r="AD56">
        <v>3.2</v>
      </c>
      <c r="AE56">
        <v>2</v>
      </c>
      <c r="AF56">
        <v>3.7</v>
      </c>
      <c r="AG56">
        <v>3.3</v>
      </c>
      <c r="AH56">
        <v>2</v>
      </c>
      <c r="AI56">
        <v>3.5</v>
      </c>
      <c r="AJ56">
        <v>1.6</v>
      </c>
      <c r="AK56">
        <v>2</v>
      </c>
      <c r="AL56">
        <v>4.7</v>
      </c>
      <c r="AM56">
        <v>4</v>
      </c>
      <c r="AN56">
        <v>5.8</v>
      </c>
      <c r="AO56">
        <v>4</v>
      </c>
      <c r="AP56">
        <v>3.2</v>
      </c>
      <c r="AQ56">
        <v>4</v>
      </c>
      <c r="AR56">
        <v>8</v>
      </c>
      <c r="AS56">
        <v>4</v>
      </c>
      <c r="AT56">
        <v>-4.3</v>
      </c>
      <c r="AU56">
        <v>-6.5</v>
      </c>
      <c r="AV56">
        <v>-5</v>
      </c>
      <c r="AW56">
        <v>-4.4000000000000004</v>
      </c>
      <c r="AX56">
        <v>-5.5</v>
      </c>
      <c r="AY56">
        <v>-5</v>
      </c>
      <c r="AZ56">
        <v>8.8000000000000007</v>
      </c>
      <c r="BA56">
        <v>10</v>
      </c>
      <c r="BB56">
        <v>10.199999999999999</v>
      </c>
      <c r="BC56">
        <v>10</v>
      </c>
      <c r="BD56">
        <v>4.5</v>
      </c>
      <c r="BE56">
        <v>4</v>
      </c>
      <c r="BF56">
        <v>12</v>
      </c>
      <c r="BG56">
        <v>10</v>
      </c>
      <c r="BH56">
        <v>15.3</v>
      </c>
      <c r="BI56">
        <v>10</v>
      </c>
      <c r="BJ56">
        <v>9.9</v>
      </c>
      <c r="BK56">
        <v>9</v>
      </c>
      <c r="BL56">
        <v>19.7</v>
      </c>
      <c r="BM56">
        <v>19</v>
      </c>
      <c r="BN56">
        <v>23.4</v>
      </c>
      <c r="BO56">
        <v>19</v>
      </c>
      <c r="BP56">
        <v>21.4</v>
      </c>
      <c r="BQ56">
        <v>20</v>
      </c>
      <c r="BR56">
        <v>21.9</v>
      </c>
      <c r="BS56">
        <v>25</v>
      </c>
      <c r="BT56">
        <v>21.9</v>
      </c>
      <c r="BU56">
        <v>25</v>
      </c>
      <c r="BV56">
        <v>24.7</v>
      </c>
      <c r="BW56">
        <v>18</v>
      </c>
      <c r="BX56">
        <v>21.6</v>
      </c>
      <c r="BY56">
        <v>20</v>
      </c>
      <c r="BZ56">
        <v>21.7</v>
      </c>
      <c r="CA56">
        <v>20</v>
      </c>
      <c r="CB56">
        <v>10.1</v>
      </c>
      <c r="CC56">
        <v>10</v>
      </c>
      <c r="CD56">
        <v>10.4</v>
      </c>
      <c r="CE56">
        <v>10</v>
      </c>
      <c r="CF56">
        <v>11.9</v>
      </c>
      <c r="CG56">
        <v>9</v>
      </c>
      <c r="CH56">
        <v>12.1</v>
      </c>
      <c r="CI56">
        <v>9</v>
      </c>
    </row>
    <row r="57" spans="1:87" x14ac:dyDescent="0.35">
      <c r="A57" s="1">
        <v>46059.484722222223</v>
      </c>
      <c r="B57">
        <v>-16.5</v>
      </c>
      <c r="C57">
        <v>-16.5</v>
      </c>
      <c r="D57">
        <v>-25</v>
      </c>
      <c r="E57">
        <v>-16.7</v>
      </c>
      <c r="F57">
        <v>-16.899999999999999</v>
      </c>
      <c r="G57">
        <v>-25</v>
      </c>
      <c r="H57">
        <v>-17</v>
      </c>
      <c r="I57">
        <v>-14</v>
      </c>
      <c r="J57">
        <v>-25</v>
      </c>
      <c r="K57">
        <v>-17</v>
      </c>
      <c r="L57">
        <v>-17.399999999999999</v>
      </c>
      <c r="M57">
        <v>-25</v>
      </c>
      <c r="N57">
        <v>-16.899999999999999</v>
      </c>
      <c r="O57">
        <v>-17.2</v>
      </c>
      <c r="P57">
        <v>-25</v>
      </c>
      <c r="Q57">
        <v>-15.6</v>
      </c>
      <c r="R57">
        <v>-16.100000000000001</v>
      </c>
      <c r="S57">
        <v>-25</v>
      </c>
      <c r="T57">
        <v>2.5</v>
      </c>
      <c r="U57">
        <v>-0.7</v>
      </c>
      <c r="V57">
        <v>2</v>
      </c>
      <c r="W57">
        <v>2.5</v>
      </c>
      <c r="X57">
        <v>-0.2</v>
      </c>
      <c r="Y57">
        <v>2</v>
      </c>
      <c r="Z57">
        <v>3.7</v>
      </c>
      <c r="AA57">
        <v>3.4</v>
      </c>
      <c r="AB57">
        <v>2</v>
      </c>
      <c r="AC57">
        <v>3.5</v>
      </c>
      <c r="AD57">
        <v>3.3</v>
      </c>
      <c r="AE57">
        <v>2</v>
      </c>
      <c r="AF57">
        <v>3.5</v>
      </c>
      <c r="AG57">
        <v>3</v>
      </c>
      <c r="AH57">
        <v>2</v>
      </c>
      <c r="AI57">
        <v>3.4</v>
      </c>
      <c r="AJ57">
        <v>1.2</v>
      </c>
      <c r="AK57">
        <v>2</v>
      </c>
      <c r="AL57">
        <v>4.8</v>
      </c>
      <c r="AM57">
        <v>4</v>
      </c>
      <c r="AN57">
        <v>5.8</v>
      </c>
      <c r="AO57">
        <v>4</v>
      </c>
      <c r="AP57">
        <v>3.4</v>
      </c>
      <c r="AQ57">
        <v>4</v>
      </c>
      <c r="AR57">
        <v>8</v>
      </c>
      <c r="AS57">
        <v>4</v>
      </c>
      <c r="AT57">
        <v>-4.5</v>
      </c>
      <c r="AU57">
        <v>-6.8</v>
      </c>
      <c r="AV57">
        <v>-5</v>
      </c>
      <c r="AW57">
        <v>-4.5</v>
      </c>
      <c r="AX57">
        <v>-5.0999999999999996</v>
      </c>
      <c r="AY57">
        <v>-5</v>
      </c>
      <c r="AZ57">
        <v>8.9</v>
      </c>
      <c r="BA57">
        <v>10</v>
      </c>
      <c r="BB57">
        <v>10.6</v>
      </c>
      <c r="BC57">
        <v>10</v>
      </c>
      <c r="BD57">
        <v>4.2</v>
      </c>
      <c r="BE57">
        <v>4</v>
      </c>
      <c r="BF57">
        <v>11.8</v>
      </c>
      <c r="BG57">
        <v>10</v>
      </c>
      <c r="BH57">
        <v>15.8</v>
      </c>
      <c r="BI57">
        <v>10</v>
      </c>
      <c r="BJ57">
        <v>9.9</v>
      </c>
      <c r="BK57">
        <v>9</v>
      </c>
      <c r="BL57">
        <v>19.8</v>
      </c>
      <c r="BM57">
        <v>19</v>
      </c>
      <c r="BN57">
        <v>23.4</v>
      </c>
      <c r="BO57">
        <v>19</v>
      </c>
      <c r="BP57">
        <v>21.4</v>
      </c>
      <c r="BQ57">
        <v>20</v>
      </c>
      <c r="BR57">
        <v>21.8</v>
      </c>
      <c r="BS57">
        <v>25</v>
      </c>
      <c r="BT57">
        <v>21.9</v>
      </c>
      <c r="BU57">
        <v>25</v>
      </c>
      <c r="BV57">
        <v>24.6</v>
      </c>
      <c r="BW57">
        <v>18</v>
      </c>
      <c r="BX57">
        <v>21.6</v>
      </c>
      <c r="BY57">
        <v>20</v>
      </c>
      <c r="BZ57">
        <v>21.7</v>
      </c>
      <c r="CA57">
        <v>20</v>
      </c>
      <c r="CB57">
        <v>10</v>
      </c>
      <c r="CC57">
        <v>10</v>
      </c>
      <c r="CD57">
        <v>10.4</v>
      </c>
      <c r="CE57">
        <v>10</v>
      </c>
      <c r="CF57">
        <v>12</v>
      </c>
      <c r="CG57">
        <v>9</v>
      </c>
      <c r="CH57">
        <v>12.2</v>
      </c>
      <c r="CI57">
        <v>9</v>
      </c>
    </row>
    <row r="58" spans="1:87" x14ac:dyDescent="0.35">
      <c r="A58" s="1">
        <v>46059.48541666667</v>
      </c>
      <c r="B58">
        <v>-16.600000000000001</v>
      </c>
      <c r="C58">
        <v>-17.2</v>
      </c>
      <c r="D58">
        <v>-25</v>
      </c>
      <c r="E58">
        <v>-17.2</v>
      </c>
      <c r="F58">
        <v>-16.899999999999999</v>
      </c>
      <c r="G58">
        <v>-25</v>
      </c>
      <c r="H58">
        <v>-17</v>
      </c>
      <c r="I58">
        <v>-14.1</v>
      </c>
      <c r="J58">
        <v>-25</v>
      </c>
      <c r="K58">
        <v>-17</v>
      </c>
      <c r="L58">
        <v>-17.399999999999999</v>
      </c>
      <c r="M58">
        <v>-25</v>
      </c>
      <c r="N58">
        <v>-17</v>
      </c>
      <c r="O58">
        <v>-17.2</v>
      </c>
      <c r="P58">
        <v>-25</v>
      </c>
      <c r="Q58">
        <v>-15.6</v>
      </c>
      <c r="R58">
        <v>-16</v>
      </c>
      <c r="S58">
        <v>-25</v>
      </c>
      <c r="T58">
        <v>2.1</v>
      </c>
      <c r="U58">
        <v>-1.3</v>
      </c>
      <c r="V58">
        <v>2</v>
      </c>
      <c r="W58">
        <v>2.2000000000000002</v>
      </c>
      <c r="X58">
        <v>-0.7</v>
      </c>
      <c r="Y58">
        <v>2</v>
      </c>
      <c r="Z58">
        <v>3.7</v>
      </c>
      <c r="AA58">
        <v>3.4</v>
      </c>
      <c r="AB58">
        <v>2</v>
      </c>
      <c r="AC58">
        <v>3.5</v>
      </c>
      <c r="AD58">
        <v>3.4</v>
      </c>
      <c r="AE58">
        <v>2</v>
      </c>
      <c r="AF58">
        <v>3.3</v>
      </c>
      <c r="AG58">
        <v>2.9</v>
      </c>
      <c r="AH58">
        <v>2</v>
      </c>
      <c r="AI58">
        <v>3.2</v>
      </c>
      <c r="AJ58">
        <v>1.4</v>
      </c>
      <c r="AK58">
        <v>2</v>
      </c>
      <c r="AL58">
        <v>4.8</v>
      </c>
      <c r="AM58">
        <v>4</v>
      </c>
      <c r="AN58">
        <v>5.9</v>
      </c>
      <c r="AO58">
        <v>4</v>
      </c>
      <c r="AP58">
        <v>3.7</v>
      </c>
      <c r="AQ58">
        <v>4</v>
      </c>
      <c r="AR58">
        <v>8</v>
      </c>
      <c r="AS58">
        <v>4</v>
      </c>
      <c r="AT58">
        <v>-4.5999999999999996</v>
      </c>
      <c r="AU58">
        <v>-6.8</v>
      </c>
      <c r="AV58">
        <v>-5</v>
      </c>
      <c r="AW58">
        <v>-4.5</v>
      </c>
      <c r="AX58">
        <v>-4.9000000000000004</v>
      </c>
      <c r="AY58">
        <v>-5</v>
      </c>
      <c r="AZ58">
        <v>9.1</v>
      </c>
      <c r="BA58">
        <v>10</v>
      </c>
      <c r="BB58">
        <v>10.9</v>
      </c>
      <c r="BC58">
        <v>10</v>
      </c>
      <c r="BD58">
        <v>4</v>
      </c>
      <c r="BE58">
        <v>4</v>
      </c>
      <c r="BF58">
        <v>10.7</v>
      </c>
      <c r="BG58">
        <v>10</v>
      </c>
      <c r="BH58">
        <v>15.8</v>
      </c>
      <c r="BI58">
        <v>10</v>
      </c>
      <c r="BJ58">
        <v>9.9</v>
      </c>
      <c r="BK58">
        <v>9</v>
      </c>
      <c r="BL58">
        <v>19.8</v>
      </c>
      <c r="BM58">
        <v>19</v>
      </c>
      <c r="BN58">
        <v>23.4</v>
      </c>
      <c r="BO58">
        <v>19</v>
      </c>
      <c r="BP58">
        <v>21.4</v>
      </c>
      <c r="BQ58">
        <v>20</v>
      </c>
      <c r="BR58">
        <v>21.8</v>
      </c>
      <c r="BS58">
        <v>25</v>
      </c>
      <c r="BT58">
        <v>21.9</v>
      </c>
      <c r="BU58">
        <v>25</v>
      </c>
      <c r="BV58">
        <v>24.6</v>
      </c>
      <c r="BW58">
        <v>18</v>
      </c>
      <c r="BX58">
        <v>21.6</v>
      </c>
      <c r="BY58">
        <v>20</v>
      </c>
      <c r="BZ58">
        <v>21.7</v>
      </c>
      <c r="CA58">
        <v>20</v>
      </c>
      <c r="CB58">
        <v>10.1</v>
      </c>
      <c r="CC58">
        <v>10</v>
      </c>
      <c r="CD58">
        <v>10.4</v>
      </c>
      <c r="CE58">
        <v>10</v>
      </c>
      <c r="CF58">
        <v>12</v>
      </c>
      <c r="CG58">
        <v>9</v>
      </c>
      <c r="CH58">
        <v>12.2</v>
      </c>
      <c r="CI58">
        <v>9</v>
      </c>
    </row>
    <row r="59" spans="1:87" x14ac:dyDescent="0.35">
      <c r="A59" s="1">
        <v>46059.486111111109</v>
      </c>
      <c r="B59">
        <v>-17</v>
      </c>
      <c r="C59">
        <v>-19.100000000000001</v>
      </c>
      <c r="D59">
        <v>-25</v>
      </c>
      <c r="E59">
        <v>-17.7</v>
      </c>
      <c r="F59">
        <v>-16.899999999999999</v>
      </c>
      <c r="G59">
        <v>-25</v>
      </c>
      <c r="H59">
        <v>-17</v>
      </c>
      <c r="I59">
        <v>-14.1</v>
      </c>
      <c r="J59">
        <v>-25</v>
      </c>
      <c r="K59">
        <v>-17</v>
      </c>
      <c r="L59">
        <v>-17.399999999999999</v>
      </c>
      <c r="M59">
        <v>-25</v>
      </c>
      <c r="N59">
        <v>-17.100000000000001</v>
      </c>
      <c r="O59">
        <v>-17.5</v>
      </c>
      <c r="P59">
        <v>-25</v>
      </c>
      <c r="Q59">
        <v>-15.6</v>
      </c>
      <c r="R59">
        <v>-15.6</v>
      </c>
      <c r="S59">
        <v>-25</v>
      </c>
      <c r="T59">
        <v>1.8</v>
      </c>
      <c r="U59">
        <v>-0.5</v>
      </c>
      <c r="V59">
        <v>2</v>
      </c>
      <c r="W59">
        <v>1.8</v>
      </c>
      <c r="X59">
        <v>-0.6</v>
      </c>
      <c r="Y59">
        <v>2</v>
      </c>
      <c r="Z59">
        <v>3.8</v>
      </c>
      <c r="AA59">
        <v>3.5</v>
      </c>
      <c r="AB59">
        <v>2</v>
      </c>
      <c r="AC59">
        <v>3.6</v>
      </c>
      <c r="AD59">
        <v>3.4</v>
      </c>
      <c r="AE59">
        <v>2</v>
      </c>
      <c r="AF59">
        <v>3.1</v>
      </c>
      <c r="AG59">
        <v>2.7</v>
      </c>
      <c r="AH59">
        <v>2</v>
      </c>
      <c r="AI59">
        <v>3</v>
      </c>
      <c r="AJ59">
        <v>0.7</v>
      </c>
      <c r="AK59">
        <v>2</v>
      </c>
      <c r="AL59">
        <v>4.9000000000000004</v>
      </c>
      <c r="AM59">
        <v>4</v>
      </c>
      <c r="AN59">
        <v>6.2</v>
      </c>
      <c r="AO59">
        <v>4</v>
      </c>
      <c r="AP59">
        <v>4</v>
      </c>
      <c r="AQ59">
        <v>4</v>
      </c>
      <c r="AR59">
        <v>8</v>
      </c>
      <c r="AS59">
        <v>4</v>
      </c>
      <c r="AT59">
        <v>-4.8</v>
      </c>
      <c r="AU59">
        <v>-7</v>
      </c>
      <c r="AV59">
        <v>-5</v>
      </c>
      <c r="AW59">
        <v>-4.5</v>
      </c>
      <c r="AX59">
        <v>-5.0999999999999996</v>
      </c>
      <c r="AY59">
        <v>-5</v>
      </c>
      <c r="AZ59">
        <v>9.3000000000000007</v>
      </c>
      <c r="BA59">
        <v>10</v>
      </c>
      <c r="BB59">
        <v>11.1</v>
      </c>
      <c r="BC59">
        <v>10</v>
      </c>
      <c r="BD59">
        <v>3.9</v>
      </c>
      <c r="BE59">
        <v>4</v>
      </c>
      <c r="BF59">
        <v>9.6999999999999993</v>
      </c>
      <c r="BG59">
        <v>10</v>
      </c>
      <c r="BH59">
        <v>15.5</v>
      </c>
      <c r="BI59">
        <v>10</v>
      </c>
      <c r="BJ59">
        <v>9.9</v>
      </c>
      <c r="BK59">
        <v>9</v>
      </c>
      <c r="BL59">
        <v>19.8</v>
      </c>
      <c r="BM59">
        <v>19</v>
      </c>
      <c r="BN59">
        <v>23.4</v>
      </c>
      <c r="BO59">
        <v>19</v>
      </c>
      <c r="BP59">
        <v>21.4</v>
      </c>
      <c r="BQ59">
        <v>20</v>
      </c>
      <c r="BR59">
        <v>21.8</v>
      </c>
      <c r="BS59">
        <v>25</v>
      </c>
      <c r="BT59">
        <v>21.9</v>
      </c>
      <c r="BU59">
        <v>25</v>
      </c>
      <c r="BV59">
        <v>24.6</v>
      </c>
      <c r="BW59">
        <v>18</v>
      </c>
      <c r="BX59">
        <v>21.7</v>
      </c>
      <c r="BY59">
        <v>20</v>
      </c>
      <c r="BZ59">
        <v>21.7</v>
      </c>
      <c r="CA59">
        <v>20</v>
      </c>
      <c r="CB59">
        <v>10.5</v>
      </c>
      <c r="CC59">
        <v>10</v>
      </c>
      <c r="CD59">
        <v>10.4</v>
      </c>
      <c r="CE59">
        <v>10</v>
      </c>
      <c r="CF59">
        <v>12</v>
      </c>
      <c r="CG59">
        <v>9</v>
      </c>
      <c r="CH59">
        <v>12.3</v>
      </c>
      <c r="CI59">
        <v>9</v>
      </c>
    </row>
    <row r="60" spans="1:87" x14ac:dyDescent="0.35">
      <c r="A60" s="1">
        <v>46059.486805555556</v>
      </c>
      <c r="B60">
        <v>-17.3</v>
      </c>
      <c r="C60">
        <v>-19.600000000000001</v>
      </c>
      <c r="D60">
        <v>-25</v>
      </c>
      <c r="E60">
        <v>-18</v>
      </c>
      <c r="F60">
        <v>-17.100000000000001</v>
      </c>
      <c r="G60">
        <v>-25</v>
      </c>
      <c r="H60">
        <v>-17</v>
      </c>
      <c r="I60">
        <v>-14.1</v>
      </c>
      <c r="J60">
        <v>-25</v>
      </c>
      <c r="K60">
        <v>-17</v>
      </c>
      <c r="L60">
        <v>-17.399999999999999</v>
      </c>
      <c r="M60">
        <v>-25</v>
      </c>
      <c r="N60">
        <v>-17.2</v>
      </c>
      <c r="O60">
        <v>-17.7</v>
      </c>
      <c r="P60">
        <v>-25</v>
      </c>
      <c r="Q60">
        <v>-15.6</v>
      </c>
      <c r="R60">
        <v>-15.3</v>
      </c>
      <c r="S60">
        <v>-25</v>
      </c>
      <c r="T60">
        <v>1.8</v>
      </c>
      <c r="U60">
        <v>0.5</v>
      </c>
      <c r="V60">
        <v>2</v>
      </c>
      <c r="W60">
        <v>1.7</v>
      </c>
      <c r="X60">
        <v>0.4</v>
      </c>
      <c r="Y60">
        <v>2</v>
      </c>
      <c r="Z60">
        <v>3.9</v>
      </c>
      <c r="AA60">
        <v>3.6</v>
      </c>
      <c r="AB60">
        <v>2</v>
      </c>
      <c r="AC60">
        <v>3.7</v>
      </c>
      <c r="AD60">
        <v>3.5</v>
      </c>
      <c r="AE60">
        <v>2</v>
      </c>
      <c r="AF60">
        <v>2.9</v>
      </c>
      <c r="AG60">
        <v>2.5</v>
      </c>
      <c r="AH60">
        <v>2</v>
      </c>
      <c r="AI60">
        <v>2.8</v>
      </c>
      <c r="AJ60">
        <v>1.2</v>
      </c>
      <c r="AK60">
        <v>2</v>
      </c>
      <c r="AL60">
        <v>4.9000000000000004</v>
      </c>
      <c r="AM60">
        <v>4</v>
      </c>
      <c r="AN60">
        <v>6.2</v>
      </c>
      <c r="AO60">
        <v>4</v>
      </c>
      <c r="AP60">
        <v>4.2</v>
      </c>
      <c r="AQ60">
        <v>4</v>
      </c>
      <c r="AR60">
        <v>8</v>
      </c>
      <c r="AS60">
        <v>4</v>
      </c>
      <c r="AT60">
        <v>-4.9000000000000004</v>
      </c>
      <c r="AU60">
        <v>-7.1</v>
      </c>
      <c r="AV60">
        <v>-5</v>
      </c>
      <c r="AW60">
        <v>-4.7</v>
      </c>
      <c r="AX60">
        <v>-5.8</v>
      </c>
      <c r="AY60">
        <v>-5</v>
      </c>
      <c r="AZ60">
        <v>9.5</v>
      </c>
      <c r="BA60">
        <v>10</v>
      </c>
      <c r="BB60">
        <v>11.4</v>
      </c>
      <c r="BC60">
        <v>10</v>
      </c>
      <c r="BD60">
        <v>3.9</v>
      </c>
      <c r="BE60">
        <v>4</v>
      </c>
      <c r="BF60">
        <v>9.3000000000000007</v>
      </c>
      <c r="BG60">
        <v>10</v>
      </c>
      <c r="BH60">
        <v>15.3</v>
      </c>
      <c r="BI60">
        <v>10</v>
      </c>
      <c r="BJ60">
        <v>9.9</v>
      </c>
      <c r="BK60">
        <v>9</v>
      </c>
      <c r="BL60">
        <v>19.899999999999999</v>
      </c>
      <c r="BM60">
        <v>19</v>
      </c>
      <c r="BN60">
        <v>23.4</v>
      </c>
      <c r="BO60">
        <v>19</v>
      </c>
      <c r="BP60">
        <v>21.5</v>
      </c>
      <c r="BQ60">
        <v>20</v>
      </c>
      <c r="BR60">
        <v>21.8</v>
      </c>
      <c r="BS60">
        <v>25</v>
      </c>
      <c r="BT60">
        <v>21.9</v>
      </c>
      <c r="BU60">
        <v>25</v>
      </c>
      <c r="BV60">
        <v>24.6</v>
      </c>
      <c r="BW60">
        <v>18</v>
      </c>
      <c r="BX60">
        <v>21.7</v>
      </c>
      <c r="BY60">
        <v>20</v>
      </c>
      <c r="BZ60">
        <v>21.7</v>
      </c>
      <c r="CA60">
        <v>20</v>
      </c>
      <c r="CB60">
        <v>11.1</v>
      </c>
      <c r="CC60">
        <v>10</v>
      </c>
      <c r="CD60">
        <v>10.4</v>
      </c>
      <c r="CE60">
        <v>10</v>
      </c>
      <c r="CF60">
        <v>12.1</v>
      </c>
      <c r="CG60">
        <v>9</v>
      </c>
      <c r="CH60">
        <v>12.3</v>
      </c>
      <c r="CI60">
        <v>9</v>
      </c>
    </row>
    <row r="61" spans="1:87" x14ac:dyDescent="0.35">
      <c r="A61" s="1">
        <v>46059.487500000003</v>
      </c>
      <c r="B61">
        <v>-17.5</v>
      </c>
      <c r="C61">
        <v>-18.600000000000001</v>
      </c>
      <c r="D61">
        <v>-25</v>
      </c>
      <c r="E61">
        <v>-18</v>
      </c>
      <c r="F61">
        <v>-17.2</v>
      </c>
      <c r="G61">
        <v>-25</v>
      </c>
      <c r="H61">
        <v>-17</v>
      </c>
      <c r="I61">
        <v>-14.2</v>
      </c>
      <c r="J61">
        <v>-25</v>
      </c>
      <c r="K61">
        <v>-17</v>
      </c>
      <c r="L61">
        <v>-17.399999999999999</v>
      </c>
      <c r="M61">
        <v>-25</v>
      </c>
      <c r="N61">
        <v>-17.3</v>
      </c>
      <c r="O61">
        <v>-17.899999999999999</v>
      </c>
      <c r="P61">
        <v>-25</v>
      </c>
      <c r="Q61">
        <v>-15.6</v>
      </c>
      <c r="R61">
        <v>-14.7</v>
      </c>
      <c r="S61">
        <v>-25</v>
      </c>
      <c r="T61">
        <v>1.8</v>
      </c>
      <c r="U61">
        <v>1</v>
      </c>
      <c r="V61">
        <v>2</v>
      </c>
      <c r="W61">
        <v>1.8</v>
      </c>
      <c r="X61">
        <v>0.8</v>
      </c>
      <c r="Y61">
        <v>2</v>
      </c>
      <c r="Z61">
        <v>3.9</v>
      </c>
      <c r="AA61">
        <v>3.7</v>
      </c>
      <c r="AB61">
        <v>2</v>
      </c>
      <c r="AC61">
        <v>3.7</v>
      </c>
      <c r="AD61">
        <v>3.6</v>
      </c>
      <c r="AE61">
        <v>2</v>
      </c>
      <c r="AF61">
        <v>2.9</v>
      </c>
      <c r="AG61">
        <v>2.5</v>
      </c>
      <c r="AH61">
        <v>2</v>
      </c>
      <c r="AI61">
        <v>2.8</v>
      </c>
      <c r="AJ61">
        <v>1.9</v>
      </c>
      <c r="AK61">
        <v>2</v>
      </c>
      <c r="AL61">
        <v>5</v>
      </c>
      <c r="AM61">
        <v>4</v>
      </c>
      <c r="AN61">
        <v>5.9</v>
      </c>
      <c r="AO61">
        <v>4</v>
      </c>
      <c r="AP61">
        <v>4.5</v>
      </c>
      <c r="AQ61">
        <v>4</v>
      </c>
      <c r="AR61">
        <v>8.8000000000000007</v>
      </c>
      <c r="AS61">
        <v>4</v>
      </c>
      <c r="AT61">
        <v>-5</v>
      </c>
      <c r="AU61">
        <v>-7.3</v>
      </c>
      <c r="AV61">
        <v>-5</v>
      </c>
      <c r="AW61">
        <v>-4.9000000000000004</v>
      </c>
      <c r="AX61">
        <v>-6</v>
      </c>
      <c r="AY61">
        <v>-5</v>
      </c>
      <c r="AZ61">
        <v>9.6999999999999993</v>
      </c>
      <c r="BA61">
        <v>10</v>
      </c>
      <c r="BB61">
        <v>11.7</v>
      </c>
      <c r="BC61">
        <v>10</v>
      </c>
      <c r="BD61">
        <v>4</v>
      </c>
      <c r="BE61">
        <v>4</v>
      </c>
      <c r="BF61">
        <v>9.4</v>
      </c>
      <c r="BG61">
        <v>10</v>
      </c>
      <c r="BH61">
        <v>15</v>
      </c>
      <c r="BI61">
        <v>10</v>
      </c>
      <c r="BJ61">
        <v>9.9</v>
      </c>
      <c r="BK61">
        <v>9</v>
      </c>
      <c r="BL61">
        <v>19.899999999999999</v>
      </c>
      <c r="BM61">
        <v>19</v>
      </c>
      <c r="BN61">
        <v>23.4</v>
      </c>
      <c r="BO61">
        <v>19</v>
      </c>
      <c r="BP61">
        <v>21.5</v>
      </c>
      <c r="BQ61">
        <v>20</v>
      </c>
      <c r="BR61">
        <v>21.8</v>
      </c>
      <c r="BS61">
        <v>25</v>
      </c>
      <c r="BT61">
        <v>21.9</v>
      </c>
      <c r="BU61">
        <v>25</v>
      </c>
      <c r="BV61">
        <v>24.6</v>
      </c>
      <c r="BW61">
        <v>18</v>
      </c>
      <c r="BX61">
        <v>21.7</v>
      </c>
      <c r="BY61">
        <v>20</v>
      </c>
      <c r="BZ61">
        <v>21.7</v>
      </c>
      <c r="CA61">
        <v>20</v>
      </c>
      <c r="CB61">
        <v>12.3</v>
      </c>
      <c r="CC61">
        <v>10</v>
      </c>
      <c r="CD61">
        <v>10.4</v>
      </c>
      <c r="CE61">
        <v>10</v>
      </c>
      <c r="CF61">
        <v>12.1</v>
      </c>
      <c r="CG61">
        <v>9</v>
      </c>
      <c r="CH61">
        <v>12.3</v>
      </c>
      <c r="CI61">
        <v>9</v>
      </c>
    </row>
    <row r="62" spans="1:87" x14ac:dyDescent="0.35">
      <c r="A62" s="1">
        <v>46059.488194444442</v>
      </c>
      <c r="B62">
        <v>-17.5</v>
      </c>
      <c r="C62">
        <v>-18</v>
      </c>
      <c r="D62">
        <v>-25</v>
      </c>
      <c r="E62">
        <v>-17.899999999999999</v>
      </c>
      <c r="F62">
        <v>-17.2</v>
      </c>
      <c r="G62">
        <v>-25</v>
      </c>
      <c r="H62">
        <v>-17</v>
      </c>
      <c r="I62">
        <v>-14.3</v>
      </c>
      <c r="J62">
        <v>-25</v>
      </c>
      <c r="K62">
        <v>-17</v>
      </c>
      <c r="L62">
        <v>-17.399999999999999</v>
      </c>
      <c r="M62">
        <v>-25</v>
      </c>
      <c r="N62">
        <v>-17.399999999999999</v>
      </c>
      <c r="O62">
        <v>-18.100000000000001</v>
      </c>
      <c r="P62">
        <v>-25</v>
      </c>
      <c r="Q62">
        <v>-15.6</v>
      </c>
      <c r="R62">
        <v>-14.6</v>
      </c>
      <c r="S62">
        <v>-25</v>
      </c>
      <c r="T62">
        <v>1.9</v>
      </c>
      <c r="U62">
        <v>1.4</v>
      </c>
      <c r="V62">
        <v>2</v>
      </c>
      <c r="W62">
        <v>1.9</v>
      </c>
      <c r="X62">
        <v>1.1000000000000001</v>
      </c>
      <c r="Y62">
        <v>2</v>
      </c>
      <c r="Z62">
        <v>4</v>
      </c>
      <c r="AA62">
        <v>3.8</v>
      </c>
      <c r="AB62">
        <v>2</v>
      </c>
      <c r="AC62">
        <v>3.8</v>
      </c>
      <c r="AD62">
        <v>3.6</v>
      </c>
      <c r="AE62">
        <v>2</v>
      </c>
      <c r="AF62">
        <v>2.9</v>
      </c>
      <c r="AG62">
        <v>2.6</v>
      </c>
      <c r="AH62">
        <v>2</v>
      </c>
      <c r="AI62">
        <v>2.8</v>
      </c>
      <c r="AJ62">
        <v>2.2999999999999998</v>
      </c>
      <c r="AK62">
        <v>2</v>
      </c>
      <c r="AL62">
        <v>5.0999999999999996</v>
      </c>
      <c r="AM62">
        <v>4</v>
      </c>
      <c r="AN62">
        <v>5.6</v>
      </c>
      <c r="AO62">
        <v>4</v>
      </c>
      <c r="AP62">
        <v>4.7</v>
      </c>
      <c r="AQ62">
        <v>4</v>
      </c>
      <c r="AR62">
        <v>8.6999999999999993</v>
      </c>
      <c r="AS62">
        <v>4</v>
      </c>
      <c r="AT62">
        <v>-5.0999999999999996</v>
      </c>
      <c r="AU62">
        <v>-6.6</v>
      </c>
      <c r="AV62">
        <v>-5</v>
      </c>
      <c r="AW62">
        <v>-5.3</v>
      </c>
      <c r="AX62">
        <v>-5.9</v>
      </c>
      <c r="AY62">
        <v>-5</v>
      </c>
      <c r="AZ62">
        <v>9.9</v>
      </c>
      <c r="BA62">
        <v>10</v>
      </c>
      <c r="BB62">
        <v>11.9</v>
      </c>
      <c r="BC62">
        <v>10</v>
      </c>
      <c r="BD62">
        <v>4.3</v>
      </c>
      <c r="BE62">
        <v>4</v>
      </c>
      <c r="BF62">
        <v>9.8000000000000007</v>
      </c>
      <c r="BG62">
        <v>10</v>
      </c>
      <c r="BH62">
        <v>14.8</v>
      </c>
      <c r="BI62">
        <v>10</v>
      </c>
      <c r="BJ62">
        <v>9.9</v>
      </c>
      <c r="BK62">
        <v>9</v>
      </c>
      <c r="BL62">
        <v>19.899999999999999</v>
      </c>
      <c r="BM62">
        <v>19</v>
      </c>
      <c r="BN62">
        <v>23.2</v>
      </c>
      <c r="BO62">
        <v>19</v>
      </c>
      <c r="BP62">
        <v>21.5</v>
      </c>
      <c r="BQ62">
        <v>20</v>
      </c>
      <c r="BR62">
        <v>21.8</v>
      </c>
      <c r="BS62">
        <v>25</v>
      </c>
      <c r="BT62">
        <v>21.9</v>
      </c>
      <c r="BU62">
        <v>25</v>
      </c>
      <c r="BV62">
        <v>24.6</v>
      </c>
      <c r="BW62">
        <v>18</v>
      </c>
      <c r="BX62">
        <v>21.7</v>
      </c>
      <c r="BY62">
        <v>20</v>
      </c>
      <c r="BZ62">
        <v>21.7</v>
      </c>
      <c r="CA62">
        <v>20</v>
      </c>
      <c r="CB62">
        <v>12.9</v>
      </c>
      <c r="CC62">
        <v>10</v>
      </c>
      <c r="CD62">
        <v>10.5</v>
      </c>
      <c r="CE62">
        <v>10</v>
      </c>
      <c r="CF62">
        <v>12.1</v>
      </c>
      <c r="CG62">
        <v>9</v>
      </c>
      <c r="CH62">
        <v>12.3</v>
      </c>
      <c r="CI62">
        <v>9</v>
      </c>
    </row>
    <row r="63" spans="1:87" x14ac:dyDescent="0.35">
      <c r="A63" s="1">
        <v>46059.488888888889</v>
      </c>
      <c r="B63">
        <v>-17.399999999999999</v>
      </c>
      <c r="C63">
        <v>-17.600000000000001</v>
      </c>
      <c r="D63">
        <v>-25</v>
      </c>
      <c r="E63">
        <v>-17.600000000000001</v>
      </c>
      <c r="F63">
        <v>-17.2</v>
      </c>
      <c r="G63">
        <v>-25</v>
      </c>
      <c r="H63">
        <v>-17.100000000000001</v>
      </c>
      <c r="I63">
        <v>-14.3</v>
      </c>
      <c r="J63">
        <v>-25</v>
      </c>
      <c r="K63">
        <v>-17</v>
      </c>
      <c r="L63">
        <v>-17.5</v>
      </c>
      <c r="M63">
        <v>-25</v>
      </c>
      <c r="N63">
        <v>-17.5</v>
      </c>
      <c r="O63">
        <v>-18.2</v>
      </c>
      <c r="P63">
        <v>-25</v>
      </c>
      <c r="Q63">
        <v>-15.6</v>
      </c>
      <c r="R63">
        <v>-12.9</v>
      </c>
      <c r="S63">
        <v>-25</v>
      </c>
      <c r="T63">
        <v>2</v>
      </c>
      <c r="U63">
        <v>1.6</v>
      </c>
      <c r="V63">
        <v>2</v>
      </c>
      <c r="W63">
        <v>2</v>
      </c>
      <c r="X63">
        <v>1.3</v>
      </c>
      <c r="Y63">
        <v>2</v>
      </c>
      <c r="Z63">
        <v>4.0999999999999996</v>
      </c>
      <c r="AA63">
        <v>3.8</v>
      </c>
      <c r="AB63">
        <v>2</v>
      </c>
      <c r="AC63">
        <v>3.9</v>
      </c>
      <c r="AD63">
        <v>3.7</v>
      </c>
      <c r="AE63">
        <v>2</v>
      </c>
      <c r="AF63">
        <v>2.9</v>
      </c>
      <c r="AG63">
        <v>2.7</v>
      </c>
      <c r="AH63">
        <v>2</v>
      </c>
      <c r="AI63">
        <v>2.8</v>
      </c>
      <c r="AJ63">
        <v>0.5</v>
      </c>
      <c r="AK63">
        <v>2</v>
      </c>
      <c r="AL63">
        <v>5.0999999999999996</v>
      </c>
      <c r="AM63">
        <v>4</v>
      </c>
      <c r="AN63">
        <v>5.4</v>
      </c>
      <c r="AO63">
        <v>4</v>
      </c>
      <c r="AP63">
        <v>4.8</v>
      </c>
      <c r="AQ63">
        <v>4</v>
      </c>
      <c r="AR63">
        <v>8.6</v>
      </c>
      <c r="AS63">
        <v>4</v>
      </c>
      <c r="AT63">
        <v>-4.8</v>
      </c>
      <c r="AU63">
        <v>-5.5</v>
      </c>
      <c r="AV63">
        <v>-5</v>
      </c>
      <c r="AW63">
        <v>-4.4000000000000004</v>
      </c>
      <c r="AX63">
        <v>-3.9</v>
      </c>
      <c r="AY63">
        <v>-5</v>
      </c>
      <c r="AZ63">
        <v>10</v>
      </c>
      <c r="BA63">
        <v>10</v>
      </c>
      <c r="BB63">
        <v>12.1</v>
      </c>
      <c r="BC63">
        <v>10</v>
      </c>
      <c r="BD63">
        <v>4.5</v>
      </c>
      <c r="BE63">
        <v>4</v>
      </c>
      <c r="BF63">
        <v>10.199999999999999</v>
      </c>
      <c r="BG63">
        <v>10</v>
      </c>
      <c r="BH63">
        <v>14.5</v>
      </c>
      <c r="BI63">
        <v>10</v>
      </c>
      <c r="BJ63">
        <v>9.9</v>
      </c>
      <c r="BK63">
        <v>9</v>
      </c>
      <c r="BL63">
        <v>19.899999999999999</v>
      </c>
      <c r="BM63">
        <v>19</v>
      </c>
      <c r="BN63">
        <v>22.8</v>
      </c>
      <c r="BO63">
        <v>19</v>
      </c>
      <c r="BP63">
        <v>21.5</v>
      </c>
      <c r="BQ63">
        <v>20</v>
      </c>
      <c r="BR63">
        <v>21.8</v>
      </c>
      <c r="BS63">
        <v>25</v>
      </c>
      <c r="BT63">
        <v>21.9</v>
      </c>
      <c r="BU63">
        <v>25</v>
      </c>
      <c r="BV63">
        <v>24.6</v>
      </c>
      <c r="BW63">
        <v>18</v>
      </c>
      <c r="BX63">
        <v>21.7</v>
      </c>
      <c r="BY63">
        <v>20</v>
      </c>
      <c r="BZ63">
        <v>21.7</v>
      </c>
      <c r="CA63">
        <v>20</v>
      </c>
      <c r="CB63">
        <v>13.3</v>
      </c>
      <c r="CC63">
        <v>10</v>
      </c>
      <c r="CD63">
        <v>10.5</v>
      </c>
      <c r="CE63">
        <v>10</v>
      </c>
      <c r="CF63">
        <v>12.1</v>
      </c>
      <c r="CG63">
        <v>9</v>
      </c>
      <c r="CH63">
        <v>12.3</v>
      </c>
      <c r="CI63">
        <v>9</v>
      </c>
    </row>
    <row r="64" spans="1:87" x14ac:dyDescent="0.35">
      <c r="A64" s="1">
        <v>46059.489583333336</v>
      </c>
      <c r="B64">
        <v>-17.2</v>
      </c>
      <c r="C64">
        <v>-17.3</v>
      </c>
      <c r="D64">
        <v>-25</v>
      </c>
      <c r="E64">
        <v>-17.399999999999999</v>
      </c>
      <c r="F64">
        <v>-17.2</v>
      </c>
      <c r="G64">
        <v>-25</v>
      </c>
      <c r="H64">
        <v>-17.2</v>
      </c>
      <c r="I64">
        <v>-14.4</v>
      </c>
      <c r="J64">
        <v>-25</v>
      </c>
      <c r="K64">
        <v>-17</v>
      </c>
      <c r="L64">
        <v>-17.600000000000001</v>
      </c>
      <c r="M64">
        <v>-25</v>
      </c>
      <c r="N64">
        <v>-17.399999999999999</v>
      </c>
      <c r="O64">
        <v>-18.100000000000001</v>
      </c>
      <c r="P64">
        <v>-25</v>
      </c>
      <c r="Q64">
        <v>-15.6</v>
      </c>
      <c r="R64">
        <v>-13.2</v>
      </c>
      <c r="S64">
        <v>-25</v>
      </c>
      <c r="T64">
        <v>2.1</v>
      </c>
      <c r="U64">
        <v>1.8</v>
      </c>
      <c r="V64">
        <v>2</v>
      </c>
      <c r="W64">
        <v>2.1</v>
      </c>
      <c r="X64">
        <v>1.5</v>
      </c>
      <c r="Y64">
        <v>2</v>
      </c>
      <c r="Z64">
        <v>4.0999999999999996</v>
      </c>
      <c r="AA64">
        <v>3.9</v>
      </c>
      <c r="AB64">
        <v>2</v>
      </c>
      <c r="AC64">
        <v>3.9</v>
      </c>
      <c r="AD64">
        <v>3.8</v>
      </c>
      <c r="AE64">
        <v>2</v>
      </c>
      <c r="AF64">
        <v>2.8</v>
      </c>
      <c r="AG64">
        <v>2.2999999999999998</v>
      </c>
      <c r="AH64">
        <v>2</v>
      </c>
      <c r="AI64">
        <v>2.6</v>
      </c>
      <c r="AJ64">
        <v>-0.3</v>
      </c>
      <c r="AK64">
        <v>2</v>
      </c>
      <c r="AL64">
        <v>5.2</v>
      </c>
      <c r="AM64">
        <v>4</v>
      </c>
      <c r="AN64">
        <v>5.2</v>
      </c>
      <c r="AO64">
        <v>4</v>
      </c>
      <c r="AP64">
        <v>5</v>
      </c>
      <c r="AQ64">
        <v>4</v>
      </c>
      <c r="AR64">
        <v>8.6</v>
      </c>
      <c r="AS64">
        <v>4</v>
      </c>
      <c r="AT64">
        <v>-4.2</v>
      </c>
      <c r="AU64">
        <v>-4.7</v>
      </c>
      <c r="AV64">
        <v>-5</v>
      </c>
      <c r="AW64">
        <v>-2.8</v>
      </c>
      <c r="AX64">
        <v>-2</v>
      </c>
      <c r="AY64">
        <v>-5</v>
      </c>
      <c r="AZ64">
        <v>10.199999999999999</v>
      </c>
      <c r="BA64">
        <v>10</v>
      </c>
      <c r="BB64">
        <v>12.1</v>
      </c>
      <c r="BC64">
        <v>10</v>
      </c>
      <c r="BD64">
        <v>4.8</v>
      </c>
      <c r="BE64">
        <v>4</v>
      </c>
      <c r="BF64">
        <v>10.8</v>
      </c>
      <c r="BG64">
        <v>10</v>
      </c>
      <c r="BH64">
        <v>14.3</v>
      </c>
      <c r="BI64">
        <v>10</v>
      </c>
      <c r="BJ64">
        <v>9.9</v>
      </c>
      <c r="BK64">
        <v>9</v>
      </c>
      <c r="BL64">
        <v>19.899999999999999</v>
      </c>
      <c r="BM64">
        <v>19</v>
      </c>
      <c r="BN64">
        <v>22.5</v>
      </c>
      <c r="BO64">
        <v>19</v>
      </c>
      <c r="BP64">
        <v>21.5</v>
      </c>
      <c r="BQ64">
        <v>20</v>
      </c>
      <c r="BR64">
        <v>21.8</v>
      </c>
      <c r="BS64">
        <v>25</v>
      </c>
      <c r="BT64">
        <v>21.9</v>
      </c>
      <c r="BU64">
        <v>25</v>
      </c>
      <c r="BV64">
        <v>24.5</v>
      </c>
      <c r="BW64">
        <v>18</v>
      </c>
      <c r="BX64">
        <v>21.7</v>
      </c>
      <c r="BY64">
        <v>20</v>
      </c>
      <c r="BZ64">
        <v>21.7</v>
      </c>
      <c r="CA64">
        <v>20</v>
      </c>
      <c r="CB64">
        <v>13.6</v>
      </c>
      <c r="CC64">
        <v>10</v>
      </c>
      <c r="CD64">
        <v>10.5</v>
      </c>
      <c r="CE64">
        <v>10</v>
      </c>
      <c r="CF64">
        <v>12.1</v>
      </c>
      <c r="CG64">
        <v>9</v>
      </c>
      <c r="CH64">
        <v>12.3</v>
      </c>
      <c r="CI64">
        <v>9</v>
      </c>
    </row>
    <row r="65" spans="1:87" x14ac:dyDescent="0.35">
      <c r="A65" s="1">
        <v>46059.490277777775</v>
      </c>
      <c r="B65">
        <v>-17</v>
      </c>
      <c r="C65">
        <v>-17.100000000000001</v>
      </c>
      <c r="D65">
        <v>-25</v>
      </c>
      <c r="E65">
        <v>-17.2</v>
      </c>
      <c r="F65">
        <v>-17.100000000000001</v>
      </c>
      <c r="G65">
        <v>-25</v>
      </c>
      <c r="H65">
        <v>-17.2</v>
      </c>
      <c r="I65">
        <v>-14.5</v>
      </c>
      <c r="J65">
        <v>-25</v>
      </c>
      <c r="K65">
        <v>-17</v>
      </c>
      <c r="L65">
        <v>-17.7</v>
      </c>
      <c r="M65">
        <v>-25</v>
      </c>
      <c r="N65">
        <v>-17.3</v>
      </c>
      <c r="O65">
        <v>-17.600000000000001</v>
      </c>
      <c r="P65">
        <v>-25</v>
      </c>
      <c r="Q65">
        <v>-15.6</v>
      </c>
      <c r="R65">
        <v>-13</v>
      </c>
      <c r="S65">
        <v>-25</v>
      </c>
      <c r="T65">
        <v>2.2000000000000002</v>
      </c>
      <c r="U65">
        <v>2</v>
      </c>
      <c r="V65">
        <v>2</v>
      </c>
      <c r="W65">
        <v>2.2000000000000002</v>
      </c>
      <c r="X65">
        <v>1.7</v>
      </c>
      <c r="Y65">
        <v>2</v>
      </c>
      <c r="Z65">
        <v>4.2</v>
      </c>
      <c r="AA65">
        <v>3.9</v>
      </c>
      <c r="AB65">
        <v>2</v>
      </c>
      <c r="AC65">
        <v>4</v>
      </c>
      <c r="AD65">
        <v>3.8</v>
      </c>
      <c r="AE65">
        <v>2</v>
      </c>
      <c r="AF65">
        <v>2.7</v>
      </c>
      <c r="AG65">
        <v>2.2000000000000002</v>
      </c>
      <c r="AH65">
        <v>2</v>
      </c>
      <c r="AI65">
        <v>2.5</v>
      </c>
      <c r="AJ65">
        <v>1</v>
      </c>
      <c r="AK65">
        <v>2</v>
      </c>
      <c r="AL65">
        <v>5.2</v>
      </c>
      <c r="AM65">
        <v>4</v>
      </c>
      <c r="AN65">
        <v>5</v>
      </c>
      <c r="AO65">
        <v>4</v>
      </c>
      <c r="AP65">
        <v>5.2</v>
      </c>
      <c r="AQ65">
        <v>4</v>
      </c>
      <c r="AR65">
        <v>8.6</v>
      </c>
      <c r="AS65">
        <v>4</v>
      </c>
      <c r="AT65">
        <v>-3.7</v>
      </c>
      <c r="AU65">
        <v>-4</v>
      </c>
      <c r="AV65">
        <v>-5</v>
      </c>
      <c r="AW65">
        <v>-2.1</v>
      </c>
      <c r="AX65">
        <v>-1.5</v>
      </c>
      <c r="AY65">
        <v>-5</v>
      </c>
      <c r="AZ65">
        <v>10.4</v>
      </c>
      <c r="BA65">
        <v>10</v>
      </c>
      <c r="BB65">
        <v>11.9</v>
      </c>
      <c r="BC65">
        <v>10</v>
      </c>
      <c r="BD65">
        <v>4.9000000000000004</v>
      </c>
      <c r="BE65">
        <v>4</v>
      </c>
      <c r="BF65">
        <v>10.9</v>
      </c>
      <c r="BG65">
        <v>10</v>
      </c>
      <c r="BH65">
        <v>14.1</v>
      </c>
      <c r="BI65">
        <v>10</v>
      </c>
      <c r="BJ65">
        <v>9.9</v>
      </c>
      <c r="BK65">
        <v>9</v>
      </c>
      <c r="BL65">
        <v>19.899999999999999</v>
      </c>
      <c r="BM65">
        <v>19</v>
      </c>
      <c r="BN65">
        <v>22.3</v>
      </c>
      <c r="BO65">
        <v>19</v>
      </c>
      <c r="BP65">
        <v>21.5</v>
      </c>
      <c r="BQ65">
        <v>20</v>
      </c>
      <c r="BR65">
        <v>21.8</v>
      </c>
      <c r="BS65">
        <v>25</v>
      </c>
      <c r="BT65">
        <v>21.9</v>
      </c>
      <c r="BU65">
        <v>25</v>
      </c>
      <c r="BV65">
        <v>24.5</v>
      </c>
      <c r="BW65">
        <v>18</v>
      </c>
      <c r="BX65">
        <v>21.7</v>
      </c>
      <c r="BY65">
        <v>20</v>
      </c>
      <c r="BZ65">
        <v>21.7</v>
      </c>
      <c r="CA65">
        <v>20</v>
      </c>
      <c r="CB65">
        <v>13.7</v>
      </c>
      <c r="CC65">
        <v>10</v>
      </c>
      <c r="CD65">
        <v>10.5</v>
      </c>
      <c r="CE65">
        <v>10</v>
      </c>
      <c r="CF65">
        <v>11.9</v>
      </c>
      <c r="CG65">
        <v>9</v>
      </c>
      <c r="CH65">
        <v>12.1</v>
      </c>
      <c r="CI65">
        <v>9</v>
      </c>
    </row>
    <row r="66" spans="1:87" x14ac:dyDescent="0.35">
      <c r="A66" s="1">
        <v>46059.490972222222</v>
      </c>
      <c r="B66">
        <v>-16.8</v>
      </c>
      <c r="C66">
        <v>-16.899999999999999</v>
      </c>
      <c r="D66">
        <v>-25</v>
      </c>
      <c r="E66">
        <v>-17</v>
      </c>
      <c r="F66">
        <v>-17</v>
      </c>
      <c r="G66">
        <v>-25</v>
      </c>
      <c r="H66">
        <v>-17.3</v>
      </c>
      <c r="I66">
        <v>-14.5</v>
      </c>
      <c r="J66">
        <v>-25</v>
      </c>
      <c r="K66">
        <v>-17</v>
      </c>
      <c r="L66">
        <v>-17.7</v>
      </c>
      <c r="M66">
        <v>-25</v>
      </c>
      <c r="N66">
        <v>-17.3</v>
      </c>
      <c r="O66">
        <v>-17.5</v>
      </c>
      <c r="P66">
        <v>-25</v>
      </c>
      <c r="Q66">
        <v>-15.6</v>
      </c>
      <c r="R66">
        <v>-11.6</v>
      </c>
      <c r="S66">
        <v>-25</v>
      </c>
      <c r="T66">
        <v>2.4</v>
      </c>
      <c r="U66">
        <v>2.2000000000000002</v>
      </c>
      <c r="V66">
        <v>2</v>
      </c>
      <c r="W66">
        <v>2.2999999999999998</v>
      </c>
      <c r="X66">
        <v>1.9</v>
      </c>
      <c r="Y66">
        <v>2</v>
      </c>
      <c r="Z66">
        <v>4.2</v>
      </c>
      <c r="AA66">
        <v>3.9</v>
      </c>
      <c r="AB66">
        <v>2</v>
      </c>
      <c r="AC66">
        <v>4</v>
      </c>
      <c r="AD66">
        <v>3.5</v>
      </c>
      <c r="AE66">
        <v>2</v>
      </c>
      <c r="AF66">
        <v>2.7</v>
      </c>
      <c r="AG66">
        <v>2.4</v>
      </c>
      <c r="AH66">
        <v>2</v>
      </c>
      <c r="AI66">
        <v>2.5</v>
      </c>
      <c r="AJ66">
        <v>1.8</v>
      </c>
      <c r="AK66">
        <v>2</v>
      </c>
      <c r="AL66">
        <v>5.2</v>
      </c>
      <c r="AM66">
        <v>4</v>
      </c>
      <c r="AN66">
        <v>4.8</v>
      </c>
      <c r="AO66">
        <v>4</v>
      </c>
      <c r="AP66">
        <v>5.3</v>
      </c>
      <c r="AQ66">
        <v>4</v>
      </c>
      <c r="AR66">
        <v>8.6</v>
      </c>
      <c r="AS66">
        <v>4</v>
      </c>
      <c r="AT66">
        <v>-3.2</v>
      </c>
      <c r="AU66">
        <v>-3.6</v>
      </c>
      <c r="AV66">
        <v>-5</v>
      </c>
      <c r="AW66">
        <v>-1.6</v>
      </c>
      <c r="AX66">
        <v>-1.3</v>
      </c>
      <c r="AY66">
        <v>-5</v>
      </c>
      <c r="AZ66">
        <v>10.5</v>
      </c>
      <c r="BA66">
        <v>10</v>
      </c>
      <c r="BB66">
        <v>11.7</v>
      </c>
      <c r="BC66">
        <v>10</v>
      </c>
      <c r="BD66">
        <v>5.0999999999999996</v>
      </c>
      <c r="BE66">
        <v>4</v>
      </c>
      <c r="BF66">
        <v>11.3</v>
      </c>
      <c r="BG66">
        <v>10</v>
      </c>
      <c r="BH66">
        <v>14.2</v>
      </c>
      <c r="BI66">
        <v>10</v>
      </c>
      <c r="BJ66">
        <v>9.9</v>
      </c>
      <c r="BK66">
        <v>9</v>
      </c>
      <c r="BL66">
        <v>19.899999999999999</v>
      </c>
      <c r="BM66">
        <v>19</v>
      </c>
      <c r="BN66">
        <v>22.1</v>
      </c>
      <c r="BO66">
        <v>19</v>
      </c>
      <c r="BP66">
        <v>21.5</v>
      </c>
      <c r="BQ66">
        <v>20</v>
      </c>
      <c r="BR66">
        <v>21.8</v>
      </c>
      <c r="BS66">
        <v>25</v>
      </c>
      <c r="BT66">
        <v>21.9</v>
      </c>
      <c r="BU66">
        <v>25</v>
      </c>
      <c r="BV66">
        <v>24.5</v>
      </c>
      <c r="BW66">
        <v>18</v>
      </c>
      <c r="BX66">
        <v>21.7</v>
      </c>
      <c r="BY66">
        <v>20</v>
      </c>
      <c r="BZ66">
        <v>21.7</v>
      </c>
      <c r="CA66">
        <v>20</v>
      </c>
      <c r="CB66">
        <v>13.9</v>
      </c>
      <c r="CC66">
        <v>10</v>
      </c>
      <c r="CD66">
        <v>10.5</v>
      </c>
      <c r="CE66">
        <v>10</v>
      </c>
      <c r="CF66">
        <v>12.1</v>
      </c>
      <c r="CG66">
        <v>9</v>
      </c>
      <c r="CH66">
        <v>12.3</v>
      </c>
      <c r="CI66">
        <v>9</v>
      </c>
    </row>
    <row r="67" spans="1:87" x14ac:dyDescent="0.35">
      <c r="A67" s="1">
        <v>46059.491666666669</v>
      </c>
      <c r="B67">
        <v>-16.7</v>
      </c>
      <c r="C67">
        <v>-16.8</v>
      </c>
      <c r="D67">
        <v>-25</v>
      </c>
      <c r="E67">
        <v>-16.8</v>
      </c>
      <c r="F67">
        <v>-16.899999999999999</v>
      </c>
      <c r="G67">
        <v>-25</v>
      </c>
      <c r="H67">
        <v>-17.399999999999999</v>
      </c>
      <c r="I67">
        <v>-14.6</v>
      </c>
      <c r="J67">
        <v>-25</v>
      </c>
      <c r="K67">
        <v>-17.100000000000001</v>
      </c>
      <c r="L67">
        <v>-17.8</v>
      </c>
      <c r="M67">
        <v>-25</v>
      </c>
      <c r="N67">
        <v>-17.3</v>
      </c>
      <c r="O67">
        <v>-18</v>
      </c>
      <c r="P67">
        <v>-25</v>
      </c>
      <c r="Q67">
        <v>-15.6</v>
      </c>
      <c r="R67">
        <v>-10.7</v>
      </c>
      <c r="S67">
        <v>-25</v>
      </c>
      <c r="T67">
        <v>2.5</v>
      </c>
      <c r="U67">
        <v>2.2999999999999998</v>
      </c>
      <c r="V67">
        <v>2</v>
      </c>
      <c r="W67">
        <v>2.5</v>
      </c>
      <c r="X67">
        <v>2.1</v>
      </c>
      <c r="Y67">
        <v>2</v>
      </c>
      <c r="Z67">
        <v>4.2</v>
      </c>
      <c r="AA67">
        <v>3.9</v>
      </c>
      <c r="AB67">
        <v>2</v>
      </c>
      <c r="AC67">
        <v>4</v>
      </c>
      <c r="AD67">
        <v>3</v>
      </c>
      <c r="AE67">
        <v>2</v>
      </c>
      <c r="AF67">
        <v>2.8</v>
      </c>
      <c r="AG67">
        <v>2.6</v>
      </c>
      <c r="AH67">
        <v>2</v>
      </c>
      <c r="AI67">
        <v>2.6</v>
      </c>
      <c r="AJ67">
        <v>1.7</v>
      </c>
      <c r="AK67">
        <v>2</v>
      </c>
      <c r="AL67">
        <v>5.3</v>
      </c>
      <c r="AM67">
        <v>4</v>
      </c>
      <c r="AN67">
        <v>4.5999999999999996</v>
      </c>
      <c r="AO67">
        <v>4</v>
      </c>
      <c r="AP67">
        <v>5.5</v>
      </c>
      <c r="AQ67">
        <v>4</v>
      </c>
      <c r="AR67">
        <v>8.6999999999999993</v>
      </c>
      <c r="AS67">
        <v>4</v>
      </c>
      <c r="AT67">
        <v>-2.9</v>
      </c>
      <c r="AU67">
        <v>-3.3</v>
      </c>
      <c r="AV67">
        <v>-5</v>
      </c>
      <c r="AW67">
        <v>-1.5</v>
      </c>
      <c r="AX67">
        <v>-1.3</v>
      </c>
      <c r="AY67">
        <v>-5</v>
      </c>
      <c r="AZ67">
        <v>10.6</v>
      </c>
      <c r="BA67">
        <v>10</v>
      </c>
      <c r="BB67">
        <v>11.4</v>
      </c>
      <c r="BC67">
        <v>10</v>
      </c>
      <c r="BD67">
        <v>5.2</v>
      </c>
      <c r="BE67">
        <v>4</v>
      </c>
      <c r="BF67">
        <v>11.6</v>
      </c>
      <c r="BG67">
        <v>10</v>
      </c>
      <c r="BH67">
        <v>14.5</v>
      </c>
      <c r="BI67">
        <v>10</v>
      </c>
      <c r="BJ67">
        <v>10</v>
      </c>
      <c r="BK67">
        <v>9</v>
      </c>
      <c r="BL67">
        <v>19.899999999999999</v>
      </c>
      <c r="BM67">
        <v>19</v>
      </c>
      <c r="BN67">
        <v>21.9</v>
      </c>
      <c r="BO67">
        <v>19</v>
      </c>
      <c r="BP67">
        <v>21.5</v>
      </c>
      <c r="BQ67">
        <v>20</v>
      </c>
      <c r="BR67">
        <v>21.8</v>
      </c>
      <c r="BS67">
        <v>25</v>
      </c>
      <c r="BT67">
        <v>21.9</v>
      </c>
      <c r="BU67">
        <v>25</v>
      </c>
      <c r="BV67">
        <v>24.5</v>
      </c>
      <c r="BW67">
        <v>18</v>
      </c>
      <c r="BX67">
        <v>21.7</v>
      </c>
      <c r="BY67">
        <v>20</v>
      </c>
      <c r="BZ67">
        <v>21.8</v>
      </c>
      <c r="CA67">
        <v>20</v>
      </c>
      <c r="CB67">
        <v>14</v>
      </c>
      <c r="CC67">
        <v>10</v>
      </c>
      <c r="CD67">
        <v>10.6</v>
      </c>
      <c r="CE67">
        <v>10</v>
      </c>
      <c r="CF67">
        <v>12.2</v>
      </c>
      <c r="CG67">
        <v>9</v>
      </c>
      <c r="CH67">
        <v>12.4</v>
      </c>
      <c r="CI67">
        <v>9</v>
      </c>
    </row>
    <row r="68" spans="1:87" x14ac:dyDescent="0.35">
      <c r="A68" s="1">
        <v>46059.492361111108</v>
      </c>
      <c r="B68">
        <v>-16.600000000000001</v>
      </c>
      <c r="C68">
        <v>-16.7</v>
      </c>
      <c r="D68">
        <v>-25</v>
      </c>
      <c r="E68">
        <v>-16.8</v>
      </c>
      <c r="F68">
        <v>-16.8</v>
      </c>
      <c r="G68">
        <v>-25</v>
      </c>
      <c r="H68">
        <v>-17.399999999999999</v>
      </c>
      <c r="I68">
        <v>-14.7</v>
      </c>
      <c r="J68">
        <v>-25</v>
      </c>
      <c r="K68">
        <v>-17.2</v>
      </c>
      <c r="L68">
        <v>-17.8</v>
      </c>
      <c r="M68">
        <v>-25</v>
      </c>
      <c r="N68">
        <v>-17.5</v>
      </c>
      <c r="O68">
        <v>-18.2</v>
      </c>
      <c r="P68">
        <v>-25</v>
      </c>
      <c r="Q68">
        <v>-15.6</v>
      </c>
      <c r="R68">
        <v>-7.8</v>
      </c>
      <c r="S68">
        <v>-25</v>
      </c>
      <c r="T68">
        <v>2.6</v>
      </c>
      <c r="U68">
        <v>2.4</v>
      </c>
      <c r="V68">
        <v>2</v>
      </c>
      <c r="W68">
        <v>2.6</v>
      </c>
      <c r="X68">
        <v>2.2000000000000002</v>
      </c>
      <c r="Y68">
        <v>2</v>
      </c>
      <c r="Z68">
        <v>4.2</v>
      </c>
      <c r="AA68">
        <v>3.7</v>
      </c>
      <c r="AB68">
        <v>2</v>
      </c>
      <c r="AC68">
        <v>3.9</v>
      </c>
      <c r="AD68">
        <v>2.4</v>
      </c>
      <c r="AE68">
        <v>2</v>
      </c>
      <c r="AF68">
        <v>2.8</v>
      </c>
      <c r="AG68">
        <v>2.6</v>
      </c>
      <c r="AH68">
        <v>2</v>
      </c>
      <c r="AI68">
        <v>2.7</v>
      </c>
      <c r="AJ68">
        <v>0.7</v>
      </c>
      <c r="AK68">
        <v>2</v>
      </c>
      <c r="AL68">
        <v>5.3</v>
      </c>
      <c r="AM68">
        <v>4</v>
      </c>
      <c r="AN68">
        <v>4.4000000000000004</v>
      </c>
      <c r="AO68">
        <v>4</v>
      </c>
      <c r="AP68">
        <v>5.7</v>
      </c>
      <c r="AQ68">
        <v>4</v>
      </c>
      <c r="AR68">
        <v>8.6999999999999993</v>
      </c>
      <c r="AS68">
        <v>4</v>
      </c>
      <c r="AT68">
        <v>-2.9</v>
      </c>
      <c r="AU68">
        <v>-4.0999999999999996</v>
      </c>
      <c r="AV68">
        <v>-5</v>
      </c>
      <c r="AW68">
        <v>-1.3</v>
      </c>
      <c r="AX68">
        <v>-1.1000000000000001</v>
      </c>
      <c r="AY68">
        <v>-5</v>
      </c>
      <c r="AZ68">
        <v>10.7</v>
      </c>
      <c r="BA68">
        <v>10</v>
      </c>
      <c r="BB68">
        <v>11</v>
      </c>
      <c r="BC68">
        <v>10</v>
      </c>
      <c r="BD68">
        <v>5.4</v>
      </c>
      <c r="BE68">
        <v>4</v>
      </c>
      <c r="BF68">
        <v>11.7</v>
      </c>
      <c r="BG68">
        <v>10</v>
      </c>
      <c r="BH68">
        <v>14.9</v>
      </c>
      <c r="BI68">
        <v>10</v>
      </c>
      <c r="BJ68">
        <v>10</v>
      </c>
      <c r="BK68">
        <v>9</v>
      </c>
      <c r="BL68">
        <v>19.899999999999999</v>
      </c>
      <c r="BM68">
        <v>19</v>
      </c>
      <c r="BN68">
        <v>21.8</v>
      </c>
      <c r="BO68">
        <v>19</v>
      </c>
      <c r="BP68">
        <v>21.5</v>
      </c>
      <c r="BQ68">
        <v>20</v>
      </c>
      <c r="BR68">
        <v>21.8</v>
      </c>
      <c r="BS68">
        <v>25</v>
      </c>
      <c r="BT68">
        <v>21.9</v>
      </c>
      <c r="BU68">
        <v>25</v>
      </c>
      <c r="BV68">
        <v>24.4</v>
      </c>
      <c r="BW68">
        <v>18</v>
      </c>
      <c r="BX68">
        <v>21.7</v>
      </c>
      <c r="BY68">
        <v>20</v>
      </c>
      <c r="BZ68">
        <v>21.8</v>
      </c>
      <c r="CA68">
        <v>20</v>
      </c>
      <c r="CB68">
        <v>14.1</v>
      </c>
      <c r="CC68">
        <v>10</v>
      </c>
      <c r="CD68">
        <v>10.6</v>
      </c>
      <c r="CE68">
        <v>10</v>
      </c>
      <c r="CF68">
        <v>12.2</v>
      </c>
      <c r="CG68">
        <v>9</v>
      </c>
      <c r="CH68">
        <v>12.4</v>
      </c>
      <c r="CI68">
        <v>9</v>
      </c>
    </row>
    <row r="69" spans="1:87" x14ac:dyDescent="0.35">
      <c r="A69" s="1">
        <v>46059.493055555555</v>
      </c>
      <c r="B69">
        <v>-16.600000000000001</v>
      </c>
      <c r="C69">
        <v>-16.7</v>
      </c>
      <c r="D69">
        <v>-25</v>
      </c>
      <c r="E69">
        <v>-16.8</v>
      </c>
      <c r="F69">
        <v>-16.7</v>
      </c>
      <c r="G69">
        <v>-25</v>
      </c>
      <c r="H69">
        <v>-17.399999999999999</v>
      </c>
      <c r="I69">
        <v>-14.7</v>
      </c>
      <c r="J69">
        <v>-25</v>
      </c>
      <c r="K69">
        <v>-17.2</v>
      </c>
      <c r="L69">
        <v>-17.8</v>
      </c>
      <c r="M69">
        <v>-25</v>
      </c>
      <c r="N69">
        <v>-17.600000000000001</v>
      </c>
      <c r="O69">
        <v>-18.3</v>
      </c>
      <c r="P69">
        <v>-25</v>
      </c>
      <c r="Q69">
        <v>-15.6</v>
      </c>
      <c r="R69">
        <v>-7.8</v>
      </c>
      <c r="S69">
        <v>-25</v>
      </c>
      <c r="T69">
        <v>2.7</v>
      </c>
      <c r="U69">
        <v>2.6</v>
      </c>
      <c r="V69">
        <v>2</v>
      </c>
      <c r="W69">
        <v>2.7</v>
      </c>
      <c r="X69">
        <v>2.4</v>
      </c>
      <c r="Y69">
        <v>2</v>
      </c>
      <c r="Z69">
        <v>4.0999999999999996</v>
      </c>
      <c r="AA69">
        <v>3.5</v>
      </c>
      <c r="AB69">
        <v>2</v>
      </c>
      <c r="AC69">
        <v>3.6</v>
      </c>
      <c r="AD69">
        <v>1.9</v>
      </c>
      <c r="AE69">
        <v>2</v>
      </c>
      <c r="AF69">
        <v>2.8</v>
      </c>
      <c r="AG69">
        <v>2.2999999999999998</v>
      </c>
      <c r="AH69">
        <v>2</v>
      </c>
      <c r="AI69">
        <v>2.6</v>
      </c>
      <c r="AJ69">
        <v>-0.1</v>
      </c>
      <c r="AK69">
        <v>2</v>
      </c>
      <c r="AL69">
        <v>5.4</v>
      </c>
      <c r="AM69">
        <v>4</v>
      </c>
      <c r="AN69">
        <v>4.0999999999999996</v>
      </c>
      <c r="AO69">
        <v>4</v>
      </c>
      <c r="AP69">
        <v>5.8</v>
      </c>
      <c r="AQ69">
        <v>4</v>
      </c>
      <c r="AR69">
        <v>8.6999999999999993</v>
      </c>
      <c r="AS69">
        <v>4</v>
      </c>
      <c r="AT69">
        <v>-3.2</v>
      </c>
      <c r="AU69">
        <v>-5</v>
      </c>
      <c r="AV69">
        <v>-5</v>
      </c>
      <c r="AW69">
        <v>-1.2</v>
      </c>
      <c r="AX69">
        <v>-1</v>
      </c>
      <c r="AY69">
        <v>-5</v>
      </c>
      <c r="AZ69">
        <v>10.8</v>
      </c>
      <c r="BA69">
        <v>10</v>
      </c>
      <c r="BB69">
        <v>10.8</v>
      </c>
      <c r="BC69">
        <v>10</v>
      </c>
      <c r="BD69">
        <v>5.5</v>
      </c>
      <c r="BE69">
        <v>4</v>
      </c>
      <c r="BF69">
        <v>12</v>
      </c>
      <c r="BG69">
        <v>10</v>
      </c>
      <c r="BH69">
        <v>16.399999999999999</v>
      </c>
      <c r="BI69">
        <v>10</v>
      </c>
      <c r="BJ69">
        <v>10</v>
      </c>
      <c r="BK69">
        <v>9</v>
      </c>
      <c r="BL69">
        <v>19.899999999999999</v>
      </c>
      <c r="BM69">
        <v>19</v>
      </c>
      <c r="BN69">
        <v>21.6</v>
      </c>
      <c r="BO69">
        <v>19</v>
      </c>
      <c r="BP69">
        <v>21.5</v>
      </c>
      <c r="BQ69">
        <v>20</v>
      </c>
      <c r="BR69">
        <v>21.9</v>
      </c>
      <c r="BS69">
        <v>25</v>
      </c>
      <c r="BT69">
        <v>21.9</v>
      </c>
      <c r="BU69">
        <v>25</v>
      </c>
      <c r="BV69">
        <v>24.4</v>
      </c>
      <c r="BW69">
        <v>18</v>
      </c>
      <c r="BX69">
        <v>21.7</v>
      </c>
      <c r="BY69">
        <v>20</v>
      </c>
      <c r="BZ69">
        <v>21.8</v>
      </c>
      <c r="CA69">
        <v>20</v>
      </c>
      <c r="CB69">
        <v>14.1</v>
      </c>
      <c r="CC69">
        <v>10</v>
      </c>
      <c r="CD69">
        <v>10.6</v>
      </c>
      <c r="CE69">
        <v>10</v>
      </c>
      <c r="CF69">
        <v>12.2</v>
      </c>
      <c r="CG69">
        <v>9</v>
      </c>
      <c r="CH69">
        <v>12.4</v>
      </c>
      <c r="CI69">
        <v>9</v>
      </c>
    </row>
    <row r="70" spans="1:87" x14ac:dyDescent="0.35">
      <c r="A70" s="1">
        <v>46059.493750000001</v>
      </c>
      <c r="B70">
        <v>-16.600000000000001</v>
      </c>
      <c r="C70">
        <v>-16.899999999999999</v>
      </c>
      <c r="D70">
        <v>-25</v>
      </c>
      <c r="E70">
        <v>-17.100000000000001</v>
      </c>
      <c r="F70">
        <v>-16.7</v>
      </c>
      <c r="G70">
        <v>-25</v>
      </c>
      <c r="H70">
        <v>-17.399999999999999</v>
      </c>
      <c r="I70">
        <v>-14.8</v>
      </c>
      <c r="J70">
        <v>-25</v>
      </c>
      <c r="K70">
        <v>-17.2</v>
      </c>
      <c r="L70">
        <v>-17.8</v>
      </c>
      <c r="M70">
        <v>-25</v>
      </c>
      <c r="N70">
        <v>-17.600000000000001</v>
      </c>
      <c r="O70">
        <v>-18.2</v>
      </c>
      <c r="P70">
        <v>-25</v>
      </c>
      <c r="Q70">
        <v>-15.6</v>
      </c>
      <c r="R70">
        <v>-3.2</v>
      </c>
      <c r="S70">
        <v>-25</v>
      </c>
      <c r="T70">
        <v>2.8</v>
      </c>
      <c r="U70">
        <v>2.7</v>
      </c>
      <c r="V70">
        <v>2</v>
      </c>
      <c r="W70">
        <v>2.8</v>
      </c>
      <c r="X70">
        <v>2.5</v>
      </c>
      <c r="Y70">
        <v>2</v>
      </c>
      <c r="Z70">
        <v>3.8</v>
      </c>
      <c r="AA70">
        <v>3.2</v>
      </c>
      <c r="AB70">
        <v>2</v>
      </c>
      <c r="AC70">
        <v>3.4</v>
      </c>
      <c r="AD70">
        <v>2</v>
      </c>
      <c r="AE70">
        <v>2</v>
      </c>
      <c r="AF70">
        <v>2.6</v>
      </c>
      <c r="AG70">
        <v>2.1</v>
      </c>
      <c r="AH70">
        <v>2</v>
      </c>
      <c r="AI70">
        <v>2.2999999999999998</v>
      </c>
      <c r="AJ70">
        <v>0.6</v>
      </c>
      <c r="AK70">
        <v>2</v>
      </c>
      <c r="AL70">
        <v>5.4</v>
      </c>
      <c r="AM70">
        <v>4</v>
      </c>
      <c r="AN70">
        <v>4</v>
      </c>
      <c r="AO70">
        <v>4</v>
      </c>
      <c r="AP70">
        <v>5.9</v>
      </c>
      <c r="AQ70">
        <v>4</v>
      </c>
      <c r="AR70">
        <v>8.6999999999999993</v>
      </c>
      <c r="AS70">
        <v>4</v>
      </c>
      <c r="AT70">
        <v>-3.5</v>
      </c>
      <c r="AU70">
        <v>-5.4</v>
      </c>
      <c r="AV70">
        <v>-5</v>
      </c>
      <c r="AW70">
        <v>-1.9</v>
      </c>
      <c r="AX70">
        <v>-2.8</v>
      </c>
      <c r="AY70">
        <v>-5</v>
      </c>
      <c r="AZ70">
        <v>10.9</v>
      </c>
      <c r="BA70">
        <v>10</v>
      </c>
      <c r="BB70">
        <v>10.7</v>
      </c>
      <c r="BC70">
        <v>10</v>
      </c>
      <c r="BD70">
        <v>5.7</v>
      </c>
      <c r="BE70">
        <v>4</v>
      </c>
      <c r="BF70">
        <v>11.7</v>
      </c>
      <c r="BG70">
        <v>10</v>
      </c>
      <c r="BH70">
        <v>16.899999999999999</v>
      </c>
      <c r="BI70">
        <v>10</v>
      </c>
      <c r="BJ70">
        <v>10</v>
      </c>
      <c r="BK70">
        <v>9</v>
      </c>
      <c r="BL70">
        <v>19.899999999999999</v>
      </c>
      <c r="BM70">
        <v>19</v>
      </c>
      <c r="BN70">
        <v>21.5</v>
      </c>
      <c r="BO70">
        <v>19</v>
      </c>
      <c r="BP70">
        <v>21.5</v>
      </c>
      <c r="BQ70">
        <v>20</v>
      </c>
      <c r="BR70">
        <v>21.9</v>
      </c>
      <c r="BS70">
        <v>25</v>
      </c>
      <c r="BT70">
        <v>21.9</v>
      </c>
      <c r="BU70">
        <v>25</v>
      </c>
      <c r="BV70">
        <v>24.4</v>
      </c>
      <c r="BW70">
        <v>18</v>
      </c>
      <c r="BX70">
        <v>21.7</v>
      </c>
      <c r="BY70">
        <v>20</v>
      </c>
      <c r="BZ70">
        <v>21.8</v>
      </c>
      <c r="CA70">
        <v>20</v>
      </c>
      <c r="CB70">
        <v>14.1</v>
      </c>
      <c r="CC70">
        <v>10</v>
      </c>
      <c r="CD70">
        <v>10.6</v>
      </c>
      <c r="CE70">
        <v>10</v>
      </c>
      <c r="CF70">
        <v>12.2</v>
      </c>
      <c r="CG70">
        <v>9</v>
      </c>
      <c r="CH70">
        <v>12.4</v>
      </c>
      <c r="CI70">
        <v>9</v>
      </c>
    </row>
    <row r="71" spans="1:87" x14ac:dyDescent="0.35">
      <c r="A71" s="1">
        <v>46059.494444444441</v>
      </c>
      <c r="B71">
        <v>-16.899999999999999</v>
      </c>
      <c r="C71">
        <v>-17.8</v>
      </c>
      <c r="D71">
        <v>-25</v>
      </c>
      <c r="E71">
        <v>-17.600000000000001</v>
      </c>
      <c r="F71">
        <v>-16.7</v>
      </c>
      <c r="G71">
        <v>-25</v>
      </c>
      <c r="H71">
        <v>-17.399999999999999</v>
      </c>
      <c r="I71">
        <v>-14.8</v>
      </c>
      <c r="J71">
        <v>-25</v>
      </c>
      <c r="K71">
        <v>-17.2</v>
      </c>
      <c r="L71">
        <v>-17.8</v>
      </c>
      <c r="M71">
        <v>-25</v>
      </c>
      <c r="N71">
        <v>-17.600000000000001</v>
      </c>
      <c r="O71">
        <v>-18.100000000000001</v>
      </c>
      <c r="P71">
        <v>-25</v>
      </c>
      <c r="Q71">
        <v>-15.6</v>
      </c>
      <c r="R71">
        <v>-3.9</v>
      </c>
      <c r="S71">
        <v>-25</v>
      </c>
      <c r="T71">
        <v>2.9</v>
      </c>
      <c r="U71">
        <v>2.8</v>
      </c>
      <c r="V71">
        <v>2</v>
      </c>
      <c r="W71">
        <v>2.9</v>
      </c>
      <c r="X71">
        <v>2.6</v>
      </c>
      <c r="Y71">
        <v>2</v>
      </c>
      <c r="Z71">
        <v>3.6</v>
      </c>
      <c r="AA71">
        <v>3.1</v>
      </c>
      <c r="AB71">
        <v>2</v>
      </c>
      <c r="AC71">
        <v>3.2</v>
      </c>
      <c r="AD71">
        <v>2.1</v>
      </c>
      <c r="AE71">
        <v>2</v>
      </c>
      <c r="AF71">
        <v>2.4</v>
      </c>
      <c r="AG71">
        <v>1.9</v>
      </c>
      <c r="AH71">
        <v>2</v>
      </c>
      <c r="AI71">
        <v>2.1</v>
      </c>
      <c r="AJ71">
        <v>0.8</v>
      </c>
      <c r="AK71">
        <v>2</v>
      </c>
      <c r="AL71">
        <v>5.5</v>
      </c>
      <c r="AM71">
        <v>4</v>
      </c>
      <c r="AN71">
        <v>3.8</v>
      </c>
      <c r="AO71">
        <v>4</v>
      </c>
      <c r="AP71">
        <v>6</v>
      </c>
      <c r="AQ71">
        <v>4</v>
      </c>
      <c r="AR71">
        <v>8.5</v>
      </c>
      <c r="AS71">
        <v>4</v>
      </c>
      <c r="AT71">
        <v>-3.7</v>
      </c>
      <c r="AU71">
        <v>-5.6</v>
      </c>
      <c r="AV71">
        <v>-5</v>
      </c>
      <c r="AW71">
        <v>-2.6</v>
      </c>
      <c r="AX71">
        <v>-3.2</v>
      </c>
      <c r="AY71">
        <v>-5</v>
      </c>
      <c r="AZ71">
        <v>11.1</v>
      </c>
      <c r="BA71">
        <v>10</v>
      </c>
      <c r="BB71">
        <v>10.7</v>
      </c>
      <c r="BC71">
        <v>10</v>
      </c>
      <c r="BD71">
        <v>5.8</v>
      </c>
      <c r="BE71">
        <v>4</v>
      </c>
      <c r="BF71">
        <v>10.9</v>
      </c>
      <c r="BG71">
        <v>10</v>
      </c>
      <c r="BH71">
        <v>17.5</v>
      </c>
      <c r="BI71">
        <v>10</v>
      </c>
      <c r="BJ71">
        <v>10</v>
      </c>
      <c r="BK71">
        <v>9</v>
      </c>
      <c r="BL71">
        <v>19.899999999999999</v>
      </c>
      <c r="BM71">
        <v>19</v>
      </c>
      <c r="BN71">
        <v>21.3</v>
      </c>
      <c r="BO71">
        <v>19</v>
      </c>
      <c r="BP71">
        <v>21.6</v>
      </c>
      <c r="BQ71">
        <v>20</v>
      </c>
      <c r="BR71">
        <v>21.9</v>
      </c>
      <c r="BS71">
        <v>25</v>
      </c>
      <c r="BT71">
        <v>21.9</v>
      </c>
      <c r="BU71">
        <v>25</v>
      </c>
      <c r="BV71">
        <v>24.4</v>
      </c>
      <c r="BW71">
        <v>18</v>
      </c>
      <c r="BX71">
        <v>21.7</v>
      </c>
      <c r="BY71">
        <v>20</v>
      </c>
      <c r="BZ71">
        <v>21.8</v>
      </c>
      <c r="CA71">
        <v>20</v>
      </c>
      <c r="CB71">
        <v>14.2</v>
      </c>
      <c r="CC71">
        <v>10</v>
      </c>
      <c r="CD71">
        <v>10.6</v>
      </c>
      <c r="CE71">
        <v>10</v>
      </c>
      <c r="CF71">
        <v>12.2</v>
      </c>
      <c r="CG71">
        <v>9</v>
      </c>
      <c r="CH71">
        <v>12.4</v>
      </c>
      <c r="CI71">
        <v>9</v>
      </c>
    </row>
    <row r="72" spans="1:87" x14ac:dyDescent="0.35">
      <c r="A72" s="1">
        <v>46059.495138888888</v>
      </c>
      <c r="B72">
        <v>-17.3</v>
      </c>
      <c r="C72">
        <v>-19.5</v>
      </c>
      <c r="D72">
        <v>-25</v>
      </c>
      <c r="E72">
        <v>-17.899999999999999</v>
      </c>
      <c r="F72">
        <v>-16.899999999999999</v>
      </c>
      <c r="G72">
        <v>-25</v>
      </c>
      <c r="H72">
        <v>-17.399999999999999</v>
      </c>
      <c r="I72">
        <v>-14.8</v>
      </c>
      <c r="J72">
        <v>-25</v>
      </c>
      <c r="K72">
        <v>-17.2</v>
      </c>
      <c r="L72">
        <v>-17.7</v>
      </c>
      <c r="M72">
        <v>-25</v>
      </c>
      <c r="N72">
        <v>-17.600000000000001</v>
      </c>
      <c r="O72">
        <v>-18</v>
      </c>
      <c r="P72">
        <v>-25</v>
      </c>
      <c r="Q72">
        <v>-15.6</v>
      </c>
      <c r="R72">
        <v>-3</v>
      </c>
      <c r="S72">
        <v>-25</v>
      </c>
      <c r="T72">
        <v>3</v>
      </c>
      <c r="U72">
        <v>2.9</v>
      </c>
      <c r="V72">
        <v>2</v>
      </c>
      <c r="W72">
        <v>3</v>
      </c>
      <c r="X72">
        <v>2.7</v>
      </c>
      <c r="Y72">
        <v>2</v>
      </c>
      <c r="Z72">
        <v>3.6</v>
      </c>
      <c r="AA72">
        <v>3.1</v>
      </c>
      <c r="AB72">
        <v>2</v>
      </c>
      <c r="AC72">
        <v>3.2</v>
      </c>
      <c r="AD72">
        <v>2.4</v>
      </c>
      <c r="AE72">
        <v>2</v>
      </c>
      <c r="AF72">
        <v>2.2999999999999998</v>
      </c>
      <c r="AG72">
        <v>1.9</v>
      </c>
      <c r="AH72">
        <v>2</v>
      </c>
      <c r="AI72">
        <v>2.1</v>
      </c>
      <c r="AJ72">
        <v>1.2</v>
      </c>
      <c r="AK72">
        <v>2</v>
      </c>
      <c r="AL72">
        <v>5.5</v>
      </c>
      <c r="AM72">
        <v>4</v>
      </c>
      <c r="AN72">
        <v>3.8</v>
      </c>
      <c r="AO72">
        <v>4</v>
      </c>
      <c r="AP72">
        <v>5.2</v>
      </c>
      <c r="AQ72">
        <v>4</v>
      </c>
      <c r="AR72">
        <v>7.9</v>
      </c>
      <c r="AS72">
        <v>4</v>
      </c>
      <c r="AT72">
        <v>-4</v>
      </c>
      <c r="AU72">
        <v>-6.1</v>
      </c>
      <c r="AV72">
        <v>-5</v>
      </c>
      <c r="AW72">
        <v>-2.9</v>
      </c>
      <c r="AX72">
        <v>-3.2</v>
      </c>
      <c r="AY72">
        <v>-5</v>
      </c>
      <c r="AZ72">
        <v>11.2</v>
      </c>
      <c r="BA72">
        <v>10</v>
      </c>
      <c r="BB72">
        <v>10.7</v>
      </c>
      <c r="BC72">
        <v>10</v>
      </c>
      <c r="BD72">
        <v>5.9</v>
      </c>
      <c r="BE72">
        <v>4</v>
      </c>
      <c r="BF72">
        <v>10</v>
      </c>
      <c r="BG72">
        <v>10</v>
      </c>
      <c r="BH72">
        <v>18.2</v>
      </c>
      <c r="BI72">
        <v>10</v>
      </c>
      <c r="BJ72">
        <v>10</v>
      </c>
      <c r="BK72">
        <v>9</v>
      </c>
      <c r="BL72">
        <v>19.899999999999999</v>
      </c>
      <c r="BM72">
        <v>19</v>
      </c>
      <c r="BN72">
        <v>21.3</v>
      </c>
      <c r="BO72">
        <v>19</v>
      </c>
      <c r="BP72">
        <v>21.6</v>
      </c>
      <c r="BQ72">
        <v>20</v>
      </c>
      <c r="BR72">
        <v>21.9</v>
      </c>
      <c r="BS72">
        <v>25</v>
      </c>
      <c r="BT72">
        <v>21.9</v>
      </c>
      <c r="BU72">
        <v>25</v>
      </c>
      <c r="BV72">
        <v>24.4</v>
      </c>
      <c r="BW72">
        <v>18</v>
      </c>
      <c r="BX72">
        <v>21.7</v>
      </c>
      <c r="BY72">
        <v>20</v>
      </c>
      <c r="BZ72">
        <v>21.8</v>
      </c>
      <c r="CA72">
        <v>20</v>
      </c>
      <c r="CB72">
        <v>14.2</v>
      </c>
      <c r="CC72">
        <v>10</v>
      </c>
      <c r="CD72">
        <v>10.7</v>
      </c>
      <c r="CE72">
        <v>10</v>
      </c>
      <c r="CF72">
        <v>12.1</v>
      </c>
      <c r="CG72">
        <v>9</v>
      </c>
      <c r="CH72">
        <v>12.4</v>
      </c>
      <c r="CI72">
        <v>9</v>
      </c>
    </row>
    <row r="73" spans="1:87" x14ac:dyDescent="0.35">
      <c r="A73" s="1">
        <v>46059.495833333334</v>
      </c>
      <c r="B73">
        <v>-17.600000000000001</v>
      </c>
      <c r="C73">
        <v>-20</v>
      </c>
      <c r="D73">
        <v>-25</v>
      </c>
      <c r="E73">
        <v>-18.3</v>
      </c>
      <c r="F73">
        <v>-17.100000000000001</v>
      </c>
      <c r="G73">
        <v>-25</v>
      </c>
      <c r="H73">
        <v>-17.3</v>
      </c>
      <c r="I73">
        <v>-14.8</v>
      </c>
      <c r="J73">
        <v>-25</v>
      </c>
      <c r="K73">
        <v>-17.100000000000001</v>
      </c>
      <c r="L73">
        <v>-17.600000000000001</v>
      </c>
      <c r="M73">
        <v>-25</v>
      </c>
      <c r="N73">
        <v>-17.600000000000001</v>
      </c>
      <c r="O73">
        <v>-18</v>
      </c>
      <c r="P73">
        <v>-25</v>
      </c>
      <c r="Q73">
        <v>-15.6</v>
      </c>
      <c r="R73">
        <v>-3.1</v>
      </c>
      <c r="S73">
        <v>-25</v>
      </c>
      <c r="T73">
        <v>3.1</v>
      </c>
      <c r="U73">
        <v>3</v>
      </c>
      <c r="V73">
        <v>2</v>
      </c>
      <c r="W73">
        <v>3.1</v>
      </c>
      <c r="X73">
        <v>2.8</v>
      </c>
      <c r="Y73">
        <v>2</v>
      </c>
      <c r="Z73">
        <v>3.6</v>
      </c>
      <c r="AA73">
        <v>3.1</v>
      </c>
      <c r="AB73">
        <v>2</v>
      </c>
      <c r="AC73">
        <v>3.2</v>
      </c>
      <c r="AD73">
        <v>2.5</v>
      </c>
      <c r="AE73">
        <v>2</v>
      </c>
      <c r="AF73">
        <v>2.2999999999999998</v>
      </c>
      <c r="AG73">
        <v>2</v>
      </c>
      <c r="AH73">
        <v>2</v>
      </c>
      <c r="AI73">
        <v>2.1</v>
      </c>
      <c r="AJ73">
        <v>1.6</v>
      </c>
      <c r="AK73">
        <v>2</v>
      </c>
      <c r="AL73">
        <v>5.5</v>
      </c>
      <c r="AM73">
        <v>4</v>
      </c>
      <c r="AN73">
        <v>3.8</v>
      </c>
      <c r="AO73">
        <v>4</v>
      </c>
      <c r="AP73">
        <v>4.3</v>
      </c>
      <c r="AQ73">
        <v>4</v>
      </c>
      <c r="AR73">
        <v>7.5</v>
      </c>
      <c r="AS73">
        <v>4</v>
      </c>
      <c r="AT73">
        <v>-4.2</v>
      </c>
      <c r="AU73">
        <v>-6.3</v>
      </c>
      <c r="AV73">
        <v>-5</v>
      </c>
      <c r="AW73">
        <v>-3.2</v>
      </c>
      <c r="AX73">
        <v>-4.2</v>
      </c>
      <c r="AY73">
        <v>-5</v>
      </c>
      <c r="AZ73">
        <v>11.2</v>
      </c>
      <c r="BA73">
        <v>10</v>
      </c>
      <c r="BB73">
        <v>10.6</v>
      </c>
      <c r="BC73">
        <v>10</v>
      </c>
      <c r="BD73">
        <v>6</v>
      </c>
      <c r="BE73">
        <v>4</v>
      </c>
      <c r="BF73">
        <v>9.5</v>
      </c>
      <c r="BG73">
        <v>10</v>
      </c>
      <c r="BH73">
        <v>18.600000000000001</v>
      </c>
      <c r="BI73">
        <v>10</v>
      </c>
      <c r="BJ73">
        <v>10</v>
      </c>
      <c r="BK73">
        <v>9</v>
      </c>
      <c r="BL73">
        <v>19.899999999999999</v>
      </c>
      <c r="BM73">
        <v>19</v>
      </c>
      <c r="BN73">
        <v>21.2</v>
      </c>
      <c r="BO73">
        <v>19</v>
      </c>
      <c r="BP73">
        <v>21.6</v>
      </c>
      <c r="BQ73">
        <v>20</v>
      </c>
      <c r="BR73">
        <v>21.9</v>
      </c>
      <c r="BS73">
        <v>25</v>
      </c>
      <c r="BT73">
        <v>21.9</v>
      </c>
      <c r="BU73">
        <v>25</v>
      </c>
      <c r="BV73">
        <v>24.3</v>
      </c>
      <c r="BW73">
        <v>18</v>
      </c>
      <c r="BX73">
        <v>21.7</v>
      </c>
      <c r="BY73">
        <v>20</v>
      </c>
      <c r="BZ73">
        <v>21.8</v>
      </c>
      <c r="CA73">
        <v>20</v>
      </c>
      <c r="CB73">
        <v>14.2</v>
      </c>
      <c r="CC73">
        <v>10</v>
      </c>
      <c r="CD73">
        <v>10.7</v>
      </c>
      <c r="CE73">
        <v>10</v>
      </c>
      <c r="CF73">
        <v>12.2</v>
      </c>
      <c r="CG73">
        <v>9</v>
      </c>
      <c r="CH73">
        <v>12.4</v>
      </c>
      <c r="CI73">
        <v>9</v>
      </c>
    </row>
    <row r="74" spans="1:87" x14ac:dyDescent="0.35">
      <c r="A74" s="1">
        <v>46059.496527777781</v>
      </c>
      <c r="B74">
        <v>-17.8</v>
      </c>
      <c r="C74">
        <v>-19</v>
      </c>
      <c r="D74">
        <v>-25</v>
      </c>
      <c r="E74">
        <v>-18.399999999999999</v>
      </c>
      <c r="F74">
        <v>-17.3</v>
      </c>
      <c r="G74">
        <v>-25</v>
      </c>
      <c r="H74">
        <v>-17.3</v>
      </c>
      <c r="I74">
        <v>-14.8</v>
      </c>
      <c r="J74">
        <v>-25</v>
      </c>
      <c r="K74">
        <v>-17.100000000000001</v>
      </c>
      <c r="L74">
        <v>-17.600000000000001</v>
      </c>
      <c r="M74">
        <v>-25</v>
      </c>
      <c r="N74">
        <v>-17.600000000000001</v>
      </c>
      <c r="O74">
        <v>-18</v>
      </c>
      <c r="P74">
        <v>-25</v>
      </c>
      <c r="Q74">
        <v>-15.6</v>
      </c>
      <c r="R74">
        <v>0.2</v>
      </c>
      <c r="S74">
        <v>-25</v>
      </c>
      <c r="T74">
        <v>3.2</v>
      </c>
      <c r="U74">
        <v>3.1</v>
      </c>
      <c r="V74">
        <v>2</v>
      </c>
      <c r="W74">
        <v>3.2</v>
      </c>
      <c r="X74">
        <v>2.9</v>
      </c>
      <c r="Y74">
        <v>2</v>
      </c>
      <c r="Z74">
        <v>3.6</v>
      </c>
      <c r="AA74">
        <v>3.1</v>
      </c>
      <c r="AB74">
        <v>2</v>
      </c>
      <c r="AC74">
        <v>3.2</v>
      </c>
      <c r="AD74">
        <v>2.6</v>
      </c>
      <c r="AE74">
        <v>2</v>
      </c>
      <c r="AF74">
        <v>2.4</v>
      </c>
      <c r="AG74">
        <v>2.1</v>
      </c>
      <c r="AH74">
        <v>2</v>
      </c>
      <c r="AI74">
        <v>2.2000000000000002</v>
      </c>
      <c r="AJ74">
        <v>1.8</v>
      </c>
      <c r="AK74">
        <v>2</v>
      </c>
      <c r="AL74">
        <v>5.6</v>
      </c>
      <c r="AM74">
        <v>4</v>
      </c>
      <c r="AN74">
        <v>3.9</v>
      </c>
      <c r="AO74">
        <v>4</v>
      </c>
      <c r="AP74">
        <v>3.6</v>
      </c>
      <c r="AQ74">
        <v>4</v>
      </c>
      <c r="AR74">
        <v>7</v>
      </c>
      <c r="AS74">
        <v>4</v>
      </c>
      <c r="AT74">
        <v>-4.4000000000000004</v>
      </c>
      <c r="AU74">
        <v>-6.4</v>
      </c>
      <c r="AV74">
        <v>-5</v>
      </c>
      <c r="AW74">
        <v>-3.5</v>
      </c>
      <c r="AX74">
        <v>-4.3</v>
      </c>
      <c r="AY74">
        <v>-5</v>
      </c>
      <c r="AZ74">
        <v>11.3</v>
      </c>
      <c r="BA74">
        <v>10</v>
      </c>
      <c r="BB74">
        <v>10.5</v>
      </c>
      <c r="BC74">
        <v>10</v>
      </c>
      <c r="BD74">
        <v>5.6</v>
      </c>
      <c r="BE74">
        <v>4</v>
      </c>
      <c r="BF74">
        <v>9.5</v>
      </c>
      <c r="BG74">
        <v>10</v>
      </c>
      <c r="BH74">
        <v>18.8</v>
      </c>
      <c r="BI74">
        <v>10</v>
      </c>
      <c r="BJ74">
        <v>10</v>
      </c>
      <c r="BK74">
        <v>9</v>
      </c>
      <c r="BL74">
        <v>19.899999999999999</v>
      </c>
      <c r="BM74">
        <v>19</v>
      </c>
      <c r="BN74">
        <v>21.2</v>
      </c>
      <c r="BO74">
        <v>19</v>
      </c>
      <c r="BP74">
        <v>21.6</v>
      </c>
      <c r="BQ74">
        <v>20</v>
      </c>
      <c r="BR74">
        <v>21.9</v>
      </c>
      <c r="BS74">
        <v>25</v>
      </c>
      <c r="BT74">
        <v>21.9</v>
      </c>
      <c r="BU74">
        <v>25</v>
      </c>
      <c r="BV74">
        <v>24.3</v>
      </c>
      <c r="BW74">
        <v>18</v>
      </c>
      <c r="BX74">
        <v>21.8</v>
      </c>
      <c r="BY74">
        <v>20</v>
      </c>
      <c r="BZ74">
        <v>21.8</v>
      </c>
      <c r="CA74">
        <v>20</v>
      </c>
      <c r="CB74">
        <v>14</v>
      </c>
      <c r="CC74">
        <v>10</v>
      </c>
      <c r="CD74">
        <v>10.7</v>
      </c>
      <c r="CE74">
        <v>10</v>
      </c>
      <c r="CF74">
        <v>12.3</v>
      </c>
      <c r="CG74">
        <v>9</v>
      </c>
      <c r="CH74">
        <v>12.5</v>
      </c>
      <c r="CI74">
        <v>9</v>
      </c>
    </row>
    <row r="75" spans="1:87" x14ac:dyDescent="0.35">
      <c r="A75" s="1">
        <v>46059.49722222222</v>
      </c>
      <c r="B75">
        <v>-17.8</v>
      </c>
      <c r="C75">
        <v>-18.2</v>
      </c>
      <c r="D75">
        <v>-25</v>
      </c>
      <c r="E75">
        <v>-18.100000000000001</v>
      </c>
      <c r="F75">
        <v>-17.3</v>
      </c>
      <c r="G75">
        <v>-25</v>
      </c>
      <c r="H75">
        <v>-17.3</v>
      </c>
      <c r="I75">
        <v>-14.9</v>
      </c>
      <c r="J75">
        <v>-25</v>
      </c>
      <c r="K75">
        <v>-17.100000000000001</v>
      </c>
      <c r="L75">
        <v>-17.600000000000001</v>
      </c>
      <c r="M75">
        <v>-25</v>
      </c>
      <c r="N75">
        <v>-17.600000000000001</v>
      </c>
      <c r="O75">
        <v>-18.100000000000001</v>
      </c>
      <c r="P75">
        <v>-25</v>
      </c>
      <c r="Q75">
        <v>-15.6</v>
      </c>
      <c r="R75">
        <v>0.3</v>
      </c>
      <c r="S75">
        <v>-25</v>
      </c>
      <c r="T75">
        <v>3.2</v>
      </c>
      <c r="U75">
        <v>3.2</v>
      </c>
      <c r="V75">
        <v>2</v>
      </c>
      <c r="W75">
        <v>3.2</v>
      </c>
      <c r="X75">
        <v>3</v>
      </c>
      <c r="Y75">
        <v>2</v>
      </c>
      <c r="Z75">
        <v>3.6</v>
      </c>
      <c r="AA75">
        <v>3.1</v>
      </c>
      <c r="AB75">
        <v>2</v>
      </c>
      <c r="AC75">
        <v>3.2</v>
      </c>
      <c r="AD75">
        <v>2.6</v>
      </c>
      <c r="AE75">
        <v>2</v>
      </c>
      <c r="AF75">
        <v>2.4</v>
      </c>
      <c r="AG75">
        <v>2.1</v>
      </c>
      <c r="AH75">
        <v>2</v>
      </c>
      <c r="AI75">
        <v>2.2000000000000002</v>
      </c>
      <c r="AJ75">
        <v>1.6</v>
      </c>
      <c r="AK75">
        <v>2</v>
      </c>
      <c r="AL75">
        <v>5.6</v>
      </c>
      <c r="AM75">
        <v>4</v>
      </c>
      <c r="AN75">
        <v>4</v>
      </c>
      <c r="AO75">
        <v>4</v>
      </c>
      <c r="AP75">
        <v>3.1</v>
      </c>
      <c r="AQ75">
        <v>4</v>
      </c>
      <c r="AR75">
        <v>6.6</v>
      </c>
      <c r="AS75">
        <v>4</v>
      </c>
      <c r="AT75">
        <v>-4.5</v>
      </c>
      <c r="AU75">
        <v>-6.2</v>
      </c>
      <c r="AV75">
        <v>-5</v>
      </c>
      <c r="AW75">
        <v>-3.7</v>
      </c>
      <c r="AX75">
        <v>-4.2</v>
      </c>
      <c r="AY75">
        <v>-5</v>
      </c>
      <c r="AZ75">
        <v>11.4</v>
      </c>
      <c r="BA75">
        <v>10</v>
      </c>
      <c r="BB75">
        <v>10.199999999999999</v>
      </c>
      <c r="BC75">
        <v>10</v>
      </c>
      <c r="BD75">
        <v>5</v>
      </c>
      <c r="BE75">
        <v>4</v>
      </c>
      <c r="BF75">
        <v>9.8000000000000007</v>
      </c>
      <c r="BG75">
        <v>10</v>
      </c>
      <c r="BH75">
        <v>18.8</v>
      </c>
      <c r="BI75">
        <v>10</v>
      </c>
      <c r="BJ75">
        <v>10.1</v>
      </c>
      <c r="BK75">
        <v>9</v>
      </c>
      <c r="BL75">
        <v>19.899999999999999</v>
      </c>
      <c r="BM75">
        <v>19</v>
      </c>
      <c r="BN75">
        <v>21.3</v>
      </c>
      <c r="BO75">
        <v>19</v>
      </c>
      <c r="BP75">
        <v>21.6</v>
      </c>
      <c r="BQ75">
        <v>20</v>
      </c>
      <c r="BR75">
        <v>22</v>
      </c>
      <c r="BS75">
        <v>25</v>
      </c>
      <c r="BT75">
        <v>21.9</v>
      </c>
      <c r="BU75">
        <v>25</v>
      </c>
      <c r="BV75">
        <v>24.3</v>
      </c>
      <c r="BW75">
        <v>18</v>
      </c>
      <c r="BX75">
        <v>21.8</v>
      </c>
      <c r="BY75">
        <v>20</v>
      </c>
      <c r="BZ75">
        <v>21.8</v>
      </c>
      <c r="CA75">
        <v>20</v>
      </c>
      <c r="CB75">
        <v>13.7</v>
      </c>
      <c r="CC75">
        <v>10</v>
      </c>
      <c r="CD75">
        <v>10.7</v>
      </c>
      <c r="CE75">
        <v>10</v>
      </c>
      <c r="CF75">
        <v>12.4</v>
      </c>
      <c r="CG75">
        <v>9</v>
      </c>
      <c r="CH75">
        <v>12.6</v>
      </c>
      <c r="CI75">
        <v>9</v>
      </c>
    </row>
    <row r="76" spans="1:87" x14ac:dyDescent="0.35">
      <c r="A76" s="1">
        <v>46059.497916666667</v>
      </c>
      <c r="B76">
        <v>-17.5</v>
      </c>
      <c r="C76">
        <v>-17.8</v>
      </c>
      <c r="D76">
        <v>-25</v>
      </c>
      <c r="E76">
        <v>-17.7</v>
      </c>
      <c r="F76">
        <v>-17.3</v>
      </c>
      <c r="G76">
        <v>-25</v>
      </c>
      <c r="H76">
        <v>-17.399999999999999</v>
      </c>
      <c r="I76">
        <v>-14.9</v>
      </c>
      <c r="J76">
        <v>-25</v>
      </c>
      <c r="K76">
        <v>-17.100000000000001</v>
      </c>
      <c r="L76">
        <v>-17.7</v>
      </c>
      <c r="M76">
        <v>-25</v>
      </c>
      <c r="N76">
        <v>-17.7</v>
      </c>
      <c r="O76">
        <v>-18.399999999999999</v>
      </c>
      <c r="P76">
        <v>-25</v>
      </c>
      <c r="Q76">
        <v>-15.6</v>
      </c>
      <c r="R76">
        <v>2</v>
      </c>
      <c r="S76">
        <v>-25</v>
      </c>
      <c r="T76">
        <v>3.3</v>
      </c>
      <c r="U76">
        <v>3.3</v>
      </c>
      <c r="V76">
        <v>2</v>
      </c>
      <c r="W76">
        <v>3.3</v>
      </c>
      <c r="X76">
        <v>3.1</v>
      </c>
      <c r="Y76">
        <v>2</v>
      </c>
      <c r="Z76">
        <v>3.5</v>
      </c>
      <c r="AA76">
        <v>3</v>
      </c>
      <c r="AB76">
        <v>2</v>
      </c>
      <c r="AC76">
        <v>3.1</v>
      </c>
      <c r="AD76">
        <v>2.5</v>
      </c>
      <c r="AE76">
        <v>2</v>
      </c>
      <c r="AF76">
        <v>2.4</v>
      </c>
      <c r="AG76">
        <v>2</v>
      </c>
      <c r="AH76">
        <v>2</v>
      </c>
      <c r="AI76">
        <v>2.2000000000000002</v>
      </c>
      <c r="AJ76">
        <v>1.3</v>
      </c>
      <c r="AK76">
        <v>2</v>
      </c>
      <c r="AL76">
        <v>5.7</v>
      </c>
      <c r="AM76">
        <v>4</v>
      </c>
      <c r="AN76">
        <v>4.0999999999999996</v>
      </c>
      <c r="AO76">
        <v>4</v>
      </c>
      <c r="AP76">
        <v>3.1</v>
      </c>
      <c r="AQ76">
        <v>4</v>
      </c>
      <c r="AR76">
        <v>6.2</v>
      </c>
      <c r="AS76">
        <v>4</v>
      </c>
      <c r="AT76">
        <v>-4.5999999999999996</v>
      </c>
      <c r="AU76">
        <v>-6.6</v>
      </c>
      <c r="AV76">
        <v>-5</v>
      </c>
      <c r="AW76">
        <v>-3.8</v>
      </c>
      <c r="AX76">
        <v>-4.8</v>
      </c>
      <c r="AY76">
        <v>-5</v>
      </c>
      <c r="AZ76">
        <v>11.5</v>
      </c>
      <c r="BA76">
        <v>10</v>
      </c>
      <c r="BB76">
        <v>10.199999999999999</v>
      </c>
      <c r="BC76">
        <v>10</v>
      </c>
      <c r="BD76">
        <v>4.5999999999999996</v>
      </c>
      <c r="BE76">
        <v>4</v>
      </c>
      <c r="BF76">
        <v>10.3</v>
      </c>
      <c r="BG76">
        <v>10</v>
      </c>
      <c r="BH76">
        <v>18.7</v>
      </c>
      <c r="BI76">
        <v>10</v>
      </c>
      <c r="BJ76">
        <v>10.1</v>
      </c>
      <c r="BK76">
        <v>9</v>
      </c>
      <c r="BL76">
        <v>19.899999999999999</v>
      </c>
      <c r="BM76">
        <v>19</v>
      </c>
      <c r="BN76">
        <v>21.4</v>
      </c>
      <c r="BO76">
        <v>19</v>
      </c>
      <c r="BP76">
        <v>21.6</v>
      </c>
      <c r="BQ76">
        <v>20</v>
      </c>
      <c r="BR76">
        <v>22</v>
      </c>
      <c r="BS76">
        <v>25</v>
      </c>
      <c r="BT76">
        <v>21.9</v>
      </c>
      <c r="BU76">
        <v>25</v>
      </c>
      <c r="BV76">
        <v>24.3</v>
      </c>
      <c r="BW76">
        <v>18</v>
      </c>
      <c r="BX76">
        <v>21.8</v>
      </c>
      <c r="BY76">
        <v>20</v>
      </c>
      <c r="BZ76">
        <v>21.8</v>
      </c>
      <c r="CA76">
        <v>20</v>
      </c>
      <c r="CB76">
        <v>13.5</v>
      </c>
      <c r="CC76">
        <v>10</v>
      </c>
      <c r="CD76">
        <v>10.7</v>
      </c>
      <c r="CE76">
        <v>10</v>
      </c>
      <c r="CF76">
        <v>12.3</v>
      </c>
      <c r="CG76">
        <v>9</v>
      </c>
      <c r="CH76">
        <v>12.5</v>
      </c>
      <c r="CI76">
        <v>9</v>
      </c>
    </row>
    <row r="77" spans="1:87" x14ac:dyDescent="0.35">
      <c r="A77" s="1">
        <v>46059.498611111114</v>
      </c>
      <c r="B77">
        <v>-17.2</v>
      </c>
      <c r="C77">
        <v>-17.399999999999999</v>
      </c>
      <c r="D77">
        <v>-25</v>
      </c>
      <c r="E77">
        <v>-17.399999999999999</v>
      </c>
      <c r="F77">
        <v>-17.3</v>
      </c>
      <c r="G77">
        <v>-25</v>
      </c>
      <c r="H77">
        <v>-17.399999999999999</v>
      </c>
      <c r="I77">
        <v>-14.9</v>
      </c>
      <c r="J77">
        <v>-25</v>
      </c>
      <c r="K77">
        <v>-17.100000000000001</v>
      </c>
      <c r="L77">
        <v>-17.899999999999999</v>
      </c>
      <c r="M77">
        <v>-25</v>
      </c>
      <c r="N77">
        <v>-17.8</v>
      </c>
      <c r="O77">
        <v>-18.5</v>
      </c>
      <c r="P77">
        <v>-25</v>
      </c>
      <c r="Q77">
        <v>-15.6</v>
      </c>
      <c r="R77">
        <v>0.8</v>
      </c>
      <c r="S77">
        <v>-25</v>
      </c>
      <c r="T77">
        <v>3.4</v>
      </c>
      <c r="U77">
        <v>3.4</v>
      </c>
      <c r="V77">
        <v>2</v>
      </c>
      <c r="W77">
        <v>3.4</v>
      </c>
      <c r="X77">
        <v>3.2</v>
      </c>
      <c r="Y77">
        <v>2</v>
      </c>
      <c r="Z77">
        <v>3.5</v>
      </c>
      <c r="AA77">
        <v>3</v>
      </c>
      <c r="AB77">
        <v>2</v>
      </c>
      <c r="AC77">
        <v>3.1</v>
      </c>
      <c r="AD77">
        <v>2.5</v>
      </c>
      <c r="AE77">
        <v>2</v>
      </c>
      <c r="AF77">
        <v>2.2999999999999998</v>
      </c>
      <c r="AG77">
        <v>1.9</v>
      </c>
      <c r="AH77">
        <v>2</v>
      </c>
      <c r="AI77">
        <v>2.1</v>
      </c>
      <c r="AJ77">
        <v>1.1000000000000001</v>
      </c>
      <c r="AK77">
        <v>2</v>
      </c>
      <c r="AL77">
        <v>5.7</v>
      </c>
      <c r="AM77">
        <v>4</v>
      </c>
      <c r="AN77">
        <v>4.2</v>
      </c>
      <c r="AO77">
        <v>4</v>
      </c>
      <c r="AP77">
        <v>3.2</v>
      </c>
      <c r="AQ77">
        <v>4</v>
      </c>
      <c r="AR77">
        <v>5.7</v>
      </c>
      <c r="AS77">
        <v>4</v>
      </c>
      <c r="AT77">
        <v>-4.7</v>
      </c>
      <c r="AU77">
        <v>-6.9</v>
      </c>
      <c r="AV77">
        <v>-5</v>
      </c>
      <c r="AW77">
        <v>-4</v>
      </c>
      <c r="AX77">
        <v>-5.0999999999999996</v>
      </c>
      <c r="AY77">
        <v>-5</v>
      </c>
      <c r="AZ77">
        <v>11.6</v>
      </c>
      <c r="BA77">
        <v>10</v>
      </c>
      <c r="BB77">
        <v>10.1</v>
      </c>
      <c r="BC77">
        <v>10</v>
      </c>
      <c r="BD77">
        <v>4.3</v>
      </c>
      <c r="BE77">
        <v>4</v>
      </c>
      <c r="BF77">
        <v>10.8</v>
      </c>
      <c r="BG77">
        <v>10</v>
      </c>
      <c r="BH77">
        <v>18.5</v>
      </c>
      <c r="BI77">
        <v>10</v>
      </c>
      <c r="BJ77">
        <v>10.199999999999999</v>
      </c>
      <c r="BK77">
        <v>9</v>
      </c>
      <c r="BL77">
        <v>19.899999999999999</v>
      </c>
      <c r="BM77">
        <v>19</v>
      </c>
      <c r="BN77">
        <v>21.5</v>
      </c>
      <c r="BO77">
        <v>19</v>
      </c>
      <c r="BP77">
        <v>21.6</v>
      </c>
      <c r="BQ77">
        <v>20</v>
      </c>
      <c r="BR77">
        <v>22</v>
      </c>
      <c r="BS77">
        <v>25</v>
      </c>
      <c r="BT77">
        <v>21.9</v>
      </c>
      <c r="BU77">
        <v>25</v>
      </c>
      <c r="BV77">
        <v>24.3</v>
      </c>
      <c r="BW77">
        <v>18</v>
      </c>
      <c r="BX77">
        <v>21.8</v>
      </c>
      <c r="BY77">
        <v>20</v>
      </c>
      <c r="BZ77">
        <v>21.9</v>
      </c>
      <c r="CA77">
        <v>20</v>
      </c>
      <c r="CB77">
        <v>13.2</v>
      </c>
      <c r="CC77">
        <v>10</v>
      </c>
      <c r="CD77">
        <v>10.8</v>
      </c>
      <c r="CE77">
        <v>10</v>
      </c>
      <c r="CF77">
        <v>12.1</v>
      </c>
      <c r="CG77">
        <v>9</v>
      </c>
      <c r="CH77">
        <v>12.4</v>
      </c>
      <c r="CI77">
        <v>9</v>
      </c>
    </row>
    <row r="78" spans="1:87" x14ac:dyDescent="0.35">
      <c r="A78" s="1">
        <v>46059.499305555553</v>
      </c>
      <c r="B78">
        <v>-17</v>
      </c>
      <c r="C78">
        <v>-17.100000000000001</v>
      </c>
      <c r="D78">
        <v>-25</v>
      </c>
      <c r="E78">
        <v>-17</v>
      </c>
      <c r="F78">
        <v>-17.2</v>
      </c>
      <c r="G78">
        <v>-25</v>
      </c>
      <c r="H78">
        <v>-17.5</v>
      </c>
      <c r="I78">
        <v>-15</v>
      </c>
      <c r="J78">
        <v>-25</v>
      </c>
      <c r="K78">
        <v>-17.100000000000001</v>
      </c>
      <c r="L78">
        <v>-17.899999999999999</v>
      </c>
      <c r="M78">
        <v>-25</v>
      </c>
      <c r="N78">
        <v>-17.899999999999999</v>
      </c>
      <c r="O78">
        <v>-18.7</v>
      </c>
      <c r="P78">
        <v>-25</v>
      </c>
      <c r="Q78">
        <v>-15.6</v>
      </c>
      <c r="R78">
        <v>0.5</v>
      </c>
      <c r="S78">
        <v>-25</v>
      </c>
      <c r="T78">
        <v>3.5</v>
      </c>
      <c r="U78">
        <v>3.4</v>
      </c>
      <c r="V78">
        <v>2</v>
      </c>
      <c r="W78">
        <v>3.5</v>
      </c>
      <c r="X78">
        <v>3.3</v>
      </c>
      <c r="Y78">
        <v>2</v>
      </c>
      <c r="Z78">
        <v>3.5</v>
      </c>
      <c r="AA78">
        <v>3</v>
      </c>
      <c r="AB78">
        <v>2</v>
      </c>
      <c r="AC78">
        <v>3.1</v>
      </c>
      <c r="AD78">
        <v>2.5</v>
      </c>
      <c r="AE78">
        <v>2</v>
      </c>
      <c r="AF78">
        <v>2.2999999999999998</v>
      </c>
      <c r="AG78">
        <v>1.9</v>
      </c>
      <c r="AH78">
        <v>2</v>
      </c>
      <c r="AI78">
        <v>2.1</v>
      </c>
      <c r="AJ78">
        <v>0.2</v>
      </c>
      <c r="AK78">
        <v>2</v>
      </c>
      <c r="AL78">
        <v>5.8</v>
      </c>
      <c r="AM78">
        <v>4</v>
      </c>
      <c r="AN78">
        <v>4.2</v>
      </c>
      <c r="AO78">
        <v>4</v>
      </c>
      <c r="AP78">
        <v>3.5</v>
      </c>
      <c r="AQ78">
        <v>4</v>
      </c>
      <c r="AR78">
        <v>4.7</v>
      </c>
      <c r="AS78">
        <v>4</v>
      </c>
      <c r="AT78">
        <v>-5.0999999999999996</v>
      </c>
      <c r="AU78">
        <v>-8.1999999999999993</v>
      </c>
      <c r="AV78">
        <v>-5</v>
      </c>
      <c r="AW78">
        <v>-4.2</v>
      </c>
      <c r="AX78">
        <v>-4.8</v>
      </c>
      <c r="AY78">
        <v>-5</v>
      </c>
      <c r="AZ78">
        <v>11.7</v>
      </c>
      <c r="BA78">
        <v>10</v>
      </c>
      <c r="BB78">
        <v>10</v>
      </c>
      <c r="BC78">
        <v>10</v>
      </c>
      <c r="BD78">
        <v>3.9</v>
      </c>
      <c r="BE78">
        <v>4</v>
      </c>
      <c r="BF78">
        <v>11</v>
      </c>
      <c r="BG78">
        <v>10</v>
      </c>
      <c r="BH78">
        <v>18.399999999999999</v>
      </c>
      <c r="BI78">
        <v>10</v>
      </c>
      <c r="BJ78">
        <v>10.199999999999999</v>
      </c>
      <c r="BK78">
        <v>9</v>
      </c>
      <c r="BL78">
        <v>20</v>
      </c>
      <c r="BM78">
        <v>19</v>
      </c>
      <c r="BN78">
        <v>21.5</v>
      </c>
      <c r="BO78">
        <v>19</v>
      </c>
      <c r="BP78">
        <v>21.6</v>
      </c>
      <c r="BQ78">
        <v>20</v>
      </c>
      <c r="BR78">
        <v>22</v>
      </c>
      <c r="BS78">
        <v>25</v>
      </c>
      <c r="BT78">
        <v>21.9</v>
      </c>
      <c r="BU78">
        <v>25</v>
      </c>
      <c r="BV78">
        <v>24.3</v>
      </c>
      <c r="BW78">
        <v>18</v>
      </c>
      <c r="BX78">
        <v>21.8</v>
      </c>
      <c r="BY78">
        <v>20</v>
      </c>
      <c r="BZ78">
        <v>21.9</v>
      </c>
      <c r="CA78">
        <v>20</v>
      </c>
      <c r="CB78">
        <v>13</v>
      </c>
      <c r="CC78">
        <v>10</v>
      </c>
      <c r="CD78">
        <v>10.8</v>
      </c>
      <c r="CE78">
        <v>10</v>
      </c>
      <c r="CF78">
        <v>12.2</v>
      </c>
      <c r="CG78">
        <v>9</v>
      </c>
      <c r="CH78">
        <v>12.4</v>
      </c>
      <c r="CI78">
        <v>9</v>
      </c>
    </row>
    <row r="79" spans="1:87" x14ac:dyDescent="0.35">
      <c r="A79" s="1">
        <v>46059.5</v>
      </c>
      <c r="B79">
        <v>-16.7</v>
      </c>
      <c r="C79">
        <v>-16.8</v>
      </c>
      <c r="D79">
        <v>-25</v>
      </c>
      <c r="E79">
        <v>-16.8</v>
      </c>
      <c r="F79">
        <v>-17</v>
      </c>
      <c r="G79">
        <v>-25</v>
      </c>
      <c r="H79">
        <v>-17.7</v>
      </c>
      <c r="I79">
        <v>-15</v>
      </c>
      <c r="J79">
        <v>-25</v>
      </c>
      <c r="K79">
        <v>-17.2</v>
      </c>
      <c r="L79">
        <v>-18</v>
      </c>
      <c r="M79">
        <v>-25</v>
      </c>
      <c r="N79">
        <v>-18</v>
      </c>
      <c r="O79">
        <v>-18.7</v>
      </c>
      <c r="P79">
        <v>-25</v>
      </c>
      <c r="Q79">
        <v>-15.6</v>
      </c>
      <c r="R79">
        <v>-1.1000000000000001</v>
      </c>
      <c r="S79">
        <v>-25</v>
      </c>
      <c r="T79">
        <v>3.5</v>
      </c>
      <c r="U79">
        <v>3.5</v>
      </c>
      <c r="V79">
        <v>2</v>
      </c>
      <c r="W79">
        <v>3.6</v>
      </c>
      <c r="X79">
        <v>3.4</v>
      </c>
      <c r="Y79">
        <v>2</v>
      </c>
      <c r="Z79">
        <v>3.5</v>
      </c>
      <c r="AA79">
        <v>2.9</v>
      </c>
      <c r="AB79">
        <v>2</v>
      </c>
      <c r="AC79">
        <v>3</v>
      </c>
      <c r="AD79">
        <v>1.5</v>
      </c>
      <c r="AE79">
        <v>2</v>
      </c>
      <c r="AF79">
        <v>2.2000000000000002</v>
      </c>
      <c r="AG79">
        <v>1.8</v>
      </c>
      <c r="AH79">
        <v>2</v>
      </c>
      <c r="AI79">
        <v>2</v>
      </c>
      <c r="AJ79">
        <v>-0.7</v>
      </c>
      <c r="AK79">
        <v>2</v>
      </c>
      <c r="AL79">
        <v>5.8</v>
      </c>
      <c r="AM79">
        <v>4</v>
      </c>
      <c r="AN79">
        <v>4.8</v>
      </c>
      <c r="AO79">
        <v>4</v>
      </c>
      <c r="AP79">
        <v>3.8</v>
      </c>
      <c r="AQ79">
        <v>4</v>
      </c>
      <c r="AR79">
        <v>4</v>
      </c>
      <c r="AS79">
        <v>4</v>
      </c>
      <c r="AT79">
        <v>-5.5</v>
      </c>
      <c r="AU79">
        <v>-7.2</v>
      </c>
      <c r="AV79">
        <v>-5</v>
      </c>
      <c r="AW79">
        <v>-4.0999999999999996</v>
      </c>
      <c r="AX79">
        <v>-4.2</v>
      </c>
      <c r="AY79">
        <v>-5</v>
      </c>
      <c r="AZ79">
        <v>11.8</v>
      </c>
      <c r="BA79">
        <v>10</v>
      </c>
      <c r="BB79">
        <v>10</v>
      </c>
      <c r="BC79">
        <v>10</v>
      </c>
      <c r="BD79">
        <v>3.8</v>
      </c>
      <c r="BE79">
        <v>4</v>
      </c>
      <c r="BF79">
        <v>11.4</v>
      </c>
      <c r="BG79">
        <v>10</v>
      </c>
      <c r="BH79">
        <v>18.100000000000001</v>
      </c>
      <c r="BI79">
        <v>10</v>
      </c>
      <c r="BJ79">
        <v>10.3</v>
      </c>
      <c r="BK79">
        <v>9</v>
      </c>
      <c r="BL79">
        <v>20</v>
      </c>
      <c r="BM79">
        <v>19</v>
      </c>
      <c r="BN79">
        <v>21.6</v>
      </c>
      <c r="BO79">
        <v>19</v>
      </c>
      <c r="BP79">
        <v>21.6</v>
      </c>
      <c r="BQ79">
        <v>20</v>
      </c>
      <c r="BR79">
        <v>22</v>
      </c>
      <c r="BS79">
        <v>25</v>
      </c>
      <c r="BT79">
        <v>21.9</v>
      </c>
      <c r="BU79">
        <v>25</v>
      </c>
      <c r="BV79">
        <v>24.3</v>
      </c>
      <c r="BW79">
        <v>18</v>
      </c>
      <c r="BX79">
        <v>21.8</v>
      </c>
      <c r="BY79">
        <v>20</v>
      </c>
      <c r="BZ79">
        <v>21.9</v>
      </c>
      <c r="CA79">
        <v>20</v>
      </c>
      <c r="CB79">
        <v>12.8</v>
      </c>
      <c r="CC79">
        <v>10</v>
      </c>
      <c r="CD79">
        <v>10.8</v>
      </c>
      <c r="CE79">
        <v>10</v>
      </c>
      <c r="CF79">
        <v>12.2</v>
      </c>
      <c r="CG79">
        <v>9</v>
      </c>
      <c r="CH79">
        <v>12.4</v>
      </c>
      <c r="CI79">
        <v>9</v>
      </c>
    </row>
    <row r="80" spans="1:87" x14ac:dyDescent="0.35">
      <c r="A80" s="1">
        <v>46059.500694444447</v>
      </c>
      <c r="B80">
        <v>-16.5</v>
      </c>
      <c r="C80">
        <v>-16.5</v>
      </c>
      <c r="D80">
        <v>-25</v>
      </c>
      <c r="E80">
        <v>-16.5</v>
      </c>
      <c r="F80">
        <v>-16.899999999999999</v>
      </c>
      <c r="G80">
        <v>-25</v>
      </c>
      <c r="H80">
        <v>-17.7</v>
      </c>
      <c r="I80">
        <v>-15.1</v>
      </c>
      <c r="J80">
        <v>-25</v>
      </c>
      <c r="K80">
        <v>-17.3</v>
      </c>
      <c r="L80">
        <v>-18.100000000000001</v>
      </c>
      <c r="M80">
        <v>-25</v>
      </c>
      <c r="N80">
        <v>-18</v>
      </c>
      <c r="O80">
        <v>-18.600000000000001</v>
      </c>
      <c r="P80">
        <v>-25</v>
      </c>
      <c r="Q80">
        <v>-15.6</v>
      </c>
      <c r="R80">
        <v>0.4</v>
      </c>
      <c r="S80">
        <v>-25</v>
      </c>
      <c r="T80">
        <v>3.6</v>
      </c>
      <c r="U80">
        <v>3.6</v>
      </c>
      <c r="V80">
        <v>2</v>
      </c>
      <c r="W80">
        <v>3.6</v>
      </c>
      <c r="X80">
        <v>3.4</v>
      </c>
      <c r="Y80">
        <v>2</v>
      </c>
      <c r="Z80">
        <v>3.3</v>
      </c>
      <c r="AA80">
        <v>2.7</v>
      </c>
      <c r="AB80">
        <v>2</v>
      </c>
      <c r="AC80">
        <v>2.8</v>
      </c>
      <c r="AD80">
        <v>0.8</v>
      </c>
      <c r="AE80">
        <v>2</v>
      </c>
      <c r="AF80">
        <v>2.1</v>
      </c>
      <c r="AG80">
        <v>1.6</v>
      </c>
      <c r="AH80">
        <v>2</v>
      </c>
      <c r="AI80">
        <v>1.9</v>
      </c>
      <c r="AJ80">
        <v>0.5</v>
      </c>
      <c r="AK80">
        <v>2</v>
      </c>
      <c r="AL80">
        <v>5.9</v>
      </c>
      <c r="AM80">
        <v>4</v>
      </c>
      <c r="AN80">
        <v>5.2</v>
      </c>
      <c r="AO80">
        <v>4</v>
      </c>
      <c r="AP80">
        <v>4.0999999999999996</v>
      </c>
      <c r="AQ80">
        <v>4</v>
      </c>
      <c r="AR80">
        <v>3.7</v>
      </c>
      <c r="AS80">
        <v>4</v>
      </c>
      <c r="AT80">
        <v>-5.3</v>
      </c>
      <c r="AU80">
        <v>-6</v>
      </c>
      <c r="AV80">
        <v>-5</v>
      </c>
      <c r="AW80">
        <v>-3.5</v>
      </c>
      <c r="AX80">
        <v>-3.5</v>
      </c>
      <c r="AY80">
        <v>-5</v>
      </c>
      <c r="AZ80">
        <v>11.8</v>
      </c>
      <c r="BA80">
        <v>10</v>
      </c>
      <c r="BB80">
        <v>10.199999999999999</v>
      </c>
      <c r="BC80">
        <v>10</v>
      </c>
      <c r="BD80">
        <v>3.8</v>
      </c>
      <c r="BE80">
        <v>4</v>
      </c>
      <c r="BF80">
        <v>11.5</v>
      </c>
      <c r="BG80">
        <v>10</v>
      </c>
      <c r="BH80">
        <v>17.8</v>
      </c>
      <c r="BI80">
        <v>10</v>
      </c>
      <c r="BJ80">
        <v>10.3</v>
      </c>
      <c r="BK80">
        <v>9</v>
      </c>
      <c r="BL80">
        <v>20</v>
      </c>
      <c r="BM80">
        <v>19</v>
      </c>
      <c r="BN80">
        <v>21.7</v>
      </c>
      <c r="BO80">
        <v>19</v>
      </c>
      <c r="BP80">
        <v>21.6</v>
      </c>
      <c r="BQ80">
        <v>20</v>
      </c>
      <c r="BR80">
        <v>22</v>
      </c>
      <c r="BS80">
        <v>25</v>
      </c>
      <c r="BT80">
        <v>21.9</v>
      </c>
      <c r="BU80">
        <v>25</v>
      </c>
      <c r="BV80">
        <v>24.2</v>
      </c>
      <c r="BW80">
        <v>18</v>
      </c>
      <c r="BX80">
        <v>21.8</v>
      </c>
      <c r="BY80">
        <v>20</v>
      </c>
      <c r="BZ80">
        <v>21.9</v>
      </c>
      <c r="CA80">
        <v>20</v>
      </c>
      <c r="CB80">
        <v>12.6</v>
      </c>
      <c r="CC80">
        <v>10</v>
      </c>
      <c r="CD80">
        <v>10.8</v>
      </c>
      <c r="CE80">
        <v>10</v>
      </c>
      <c r="CF80">
        <v>12.2</v>
      </c>
      <c r="CG80">
        <v>9</v>
      </c>
      <c r="CH80">
        <v>12.4</v>
      </c>
      <c r="CI80">
        <v>9</v>
      </c>
    </row>
    <row r="81" spans="1:87" x14ac:dyDescent="0.35">
      <c r="A81" s="1">
        <v>46059.501388888886</v>
      </c>
      <c r="B81">
        <v>-16.3</v>
      </c>
      <c r="C81">
        <v>-16.399999999999999</v>
      </c>
      <c r="D81">
        <v>-25</v>
      </c>
      <c r="E81">
        <v>-16.5</v>
      </c>
      <c r="F81">
        <v>-16.7</v>
      </c>
      <c r="G81">
        <v>-25</v>
      </c>
      <c r="H81">
        <v>-17.8</v>
      </c>
      <c r="I81">
        <v>-15.2</v>
      </c>
      <c r="J81">
        <v>-25</v>
      </c>
      <c r="K81">
        <v>-17.3</v>
      </c>
      <c r="L81">
        <v>-18.2</v>
      </c>
      <c r="M81">
        <v>-25</v>
      </c>
      <c r="N81">
        <v>-18.100000000000001</v>
      </c>
      <c r="O81">
        <v>-18.5</v>
      </c>
      <c r="P81">
        <v>-25</v>
      </c>
      <c r="Q81">
        <v>-15.6</v>
      </c>
      <c r="R81">
        <v>0.4</v>
      </c>
      <c r="S81">
        <v>-25</v>
      </c>
      <c r="T81">
        <v>3.7</v>
      </c>
      <c r="U81">
        <v>3.7</v>
      </c>
      <c r="V81">
        <v>2</v>
      </c>
      <c r="W81">
        <v>3.7</v>
      </c>
      <c r="X81">
        <v>3.5</v>
      </c>
      <c r="Y81">
        <v>2</v>
      </c>
      <c r="Z81">
        <v>3.1</v>
      </c>
      <c r="AA81">
        <v>2.5</v>
      </c>
      <c r="AB81">
        <v>2</v>
      </c>
      <c r="AC81">
        <v>2.7</v>
      </c>
      <c r="AD81">
        <v>1.4</v>
      </c>
      <c r="AE81">
        <v>2</v>
      </c>
      <c r="AF81">
        <v>2.1</v>
      </c>
      <c r="AG81">
        <v>1.8</v>
      </c>
      <c r="AH81">
        <v>2</v>
      </c>
      <c r="AI81">
        <v>1.9</v>
      </c>
      <c r="AJ81">
        <v>1.4</v>
      </c>
      <c r="AK81">
        <v>2</v>
      </c>
      <c r="AL81">
        <v>5.9</v>
      </c>
      <c r="AM81">
        <v>4</v>
      </c>
      <c r="AN81">
        <v>5.2</v>
      </c>
      <c r="AO81">
        <v>4</v>
      </c>
      <c r="AP81">
        <v>4.3</v>
      </c>
      <c r="AQ81">
        <v>4</v>
      </c>
      <c r="AR81">
        <v>3.7</v>
      </c>
      <c r="AS81">
        <v>4</v>
      </c>
      <c r="AT81">
        <v>-4.5999999999999996</v>
      </c>
      <c r="AU81">
        <v>-5.0999999999999996</v>
      </c>
      <c r="AV81">
        <v>-5</v>
      </c>
      <c r="AW81">
        <v>-3</v>
      </c>
      <c r="AX81">
        <v>-2.9</v>
      </c>
      <c r="AY81">
        <v>-5</v>
      </c>
      <c r="AZ81">
        <v>11.9</v>
      </c>
      <c r="BA81">
        <v>10</v>
      </c>
      <c r="BB81">
        <v>10.4</v>
      </c>
      <c r="BC81">
        <v>10</v>
      </c>
      <c r="BD81">
        <v>4.0999999999999996</v>
      </c>
      <c r="BE81">
        <v>4</v>
      </c>
      <c r="BF81">
        <v>11.7</v>
      </c>
      <c r="BG81">
        <v>10</v>
      </c>
      <c r="BH81">
        <v>17.3</v>
      </c>
      <c r="BI81">
        <v>10</v>
      </c>
      <c r="BJ81">
        <v>10.3</v>
      </c>
      <c r="BK81">
        <v>9</v>
      </c>
      <c r="BL81">
        <v>20.100000000000001</v>
      </c>
      <c r="BM81">
        <v>19</v>
      </c>
      <c r="BN81">
        <v>21.8</v>
      </c>
      <c r="BO81">
        <v>19</v>
      </c>
      <c r="BP81">
        <v>21.6</v>
      </c>
      <c r="BQ81">
        <v>20</v>
      </c>
      <c r="BR81">
        <v>22</v>
      </c>
      <c r="BS81">
        <v>25</v>
      </c>
      <c r="BT81">
        <v>21.9</v>
      </c>
      <c r="BU81">
        <v>25</v>
      </c>
      <c r="BV81">
        <v>24.2</v>
      </c>
      <c r="BW81">
        <v>18</v>
      </c>
      <c r="BX81">
        <v>21.8</v>
      </c>
      <c r="BY81">
        <v>20</v>
      </c>
      <c r="BZ81">
        <v>21.9</v>
      </c>
      <c r="CA81">
        <v>20</v>
      </c>
      <c r="CB81">
        <v>12.5</v>
      </c>
      <c r="CC81">
        <v>10</v>
      </c>
      <c r="CD81">
        <v>10.8</v>
      </c>
      <c r="CE81">
        <v>10</v>
      </c>
      <c r="CF81">
        <v>12</v>
      </c>
      <c r="CG81">
        <v>9</v>
      </c>
      <c r="CH81">
        <v>12.2</v>
      </c>
      <c r="CI81">
        <v>9</v>
      </c>
    </row>
    <row r="82" spans="1:87" x14ac:dyDescent="0.35">
      <c r="A82" s="1">
        <v>46059.502083333333</v>
      </c>
      <c r="B82">
        <v>-16.3</v>
      </c>
      <c r="C82">
        <v>-16.3</v>
      </c>
      <c r="D82">
        <v>-25</v>
      </c>
      <c r="E82">
        <v>-16.5</v>
      </c>
      <c r="F82">
        <v>-16.600000000000001</v>
      </c>
      <c r="G82">
        <v>-25</v>
      </c>
      <c r="H82">
        <v>-17.899999999999999</v>
      </c>
      <c r="I82">
        <v>-15.3</v>
      </c>
      <c r="J82">
        <v>-25</v>
      </c>
      <c r="K82">
        <v>-17.399999999999999</v>
      </c>
      <c r="L82">
        <v>-18.2</v>
      </c>
      <c r="M82">
        <v>-25</v>
      </c>
      <c r="N82">
        <v>-18.100000000000001</v>
      </c>
      <c r="O82">
        <v>-18.7</v>
      </c>
      <c r="P82">
        <v>-25</v>
      </c>
      <c r="Q82">
        <v>-15.6</v>
      </c>
      <c r="R82">
        <v>2.4</v>
      </c>
      <c r="S82">
        <v>-25</v>
      </c>
      <c r="T82">
        <v>3.7</v>
      </c>
      <c r="U82">
        <v>3.7</v>
      </c>
      <c r="V82">
        <v>2</v>
      </c>
      <c r="W82">
        <v>3.8</v>
      </c>
      <c r="X82">
        <v>3.5</v>
      </c>
      <c r="Y82">
        <v>2</v>
      </c>
      <c r="Z82">
        <v>3.1</v>
      </c>
      <c r="AA82">
        <v>2.5</v>
      </c>
      <c r="AB82">
        <v>2</v>
      </c>
      <c r="AC82">
        <v>2.6</v>
      </c>
      <c r="AD82">
        <v>0.5</v>
      </c>
      <c r="AE82">
        <v>2</v>
      </c>
      <c r="AF82">
        <v>2.2000000000000002</v>
      </c>
      <c r="AG82">
        <v>2</v>
      </c>
      <c r="AH82">
        <v>2</v>
      </c>
      <c r="AI82">
        <v>2.1</v>
      </c>
      <c r="AJ82">
        <v>1.8</v>
      </c>
      <c r="AK82">
        <v>2</v>
      </c>
      <c r="AL82">
        <v>7.5</v>
      </c>
      <c r="AM82">
        <v>4</v>
      </c>
      <c r="AN82">
        <v>5.2</v>
      </c>
      <c r="AO82">
        <v>4</v>
      </c>
      <c r="AP82">
        <v>4.5</v>
      </c>
      <c r="AQ82">
        <v>4</v>
      </c>
      <c r="AR82">
        <v>3.9</v>
      </c>
      <c r="AS82">
        <v>4</v>
      </c>
      <c r="AT82">
        <v>-4</v>
      </c>
      <c r="AU82">
        <v>-4.4000000000000004</v>
      </c>
      <c r="AV82">
        <v>-5</v>
      </c>
      <c r="AW82">
        <v>-2.6</v>
      </c>
      <c r="AX82">
        <v>-2.4</v>
      </c>
      <c r="AY82">
        <v>-5</v>
      </c>
      <c r="AZ82">
        <v>12</v>
      </c>
      <c r="BA82">
        <v>10</v>
      </c>
      <c r="BB82">
        <v>10.7</v>
      </c>
      <c r="BC82">
        <v>10</v>
      </c>
      <c r="BD82">
        <v>4.4000000000000004</v>
      </c>
      <c r="BE82">
        <v>4</v>
      </c>
      <c r="BF82">
        <v>11.9</v>
      </c>
      <c r="BG82">
        <v>10</v>
      </c>
      <c r="BH82">
        <v>17</v>
      </c>
      <c r="BI82">
        <v>10</v>
      </c>
      <c r="BJ82">
        <v>10.4</v>
      </c>
      <c r="BK82">
        <v>9</v>
      </c>
      <c r="BL82">
        <v>20.100000000000001</v>
      </c>
      <c r="BM82">
        <v>19</v>
      </c>
      <c r="BN82">
        <v>21.8</v>
      </c>
      <c r="BO82">
        <v>19</v>
      </c>
      <c r="BP82">
        <v>21.6</v>
      </c>
      <c r="BQ82">
        <v>20</v>
      </c>
      <c r="BR82">
        <v>22</v>
      </c>
      <c r="BS82">
        <v>25</v>
      </c>
      <c r="BT82">
        <v>21.9</v>
      </c>
      <c r="BU82">
        <v>25</v>
      </c>
      <c r="BV82">
        <v>24.2</v>
      </c>
      <c r="BW82">
        <v>18</v>
      </c>
      <c r="BX82">
        <v>21.8</v>
      </c>
      <c r="BY82">
        <v>20</v>
      </c>
      <c r="BZ82">
        <v>21.9</v>
      </c>
      <c r="CA82">
        <v>20</v>
      </c>
      <c r="CB82">
        <v>12.3</v>
      </c>
      <c r="CC82">
        <v>10</v>
      </c>
      <c r="CD82">
        <v>10.8</v>
      </c>
      <c r="CE82">
        <v>10</v>
      </c>
      <c r="CF82">
        <v>12</v>
      </c>
      <c r="CG82">
        <v>9</v>
      </c>
      <c r="CH82">
        <v>12.2</v>
      </c>
      <c r="CI82">
        <v>9</v>
      </c>
    </row>
    <row r="83" spans="1:87" x14ac:dyDescent="0.35">
      <c r="A83" s="1">
        <v>46059.50277777778</v>
      </c>
      <c r="B83">
        <v>-16.3</v>
      </c>
      <c r="C83">
        <v>-16.3</v>
      </c>
      <c r="D83">
        <v>-25</v>
      </c>
      <c r="E83">
        <v>-16.5</v>
      </c>
      <c r="F83">
        <v>-16.5</v>
      </c>
      <c r="G83">
        <v>-25</v>
      </c>
      <c r="H83">
        <v>-17.899999999999999</v>
      </c>
      <c r="I83">
        <v>-15.3</v>
      </c>
      <c r="J83">
        <v>-25</v>
      </c>
      <c r="K83">
        <v>-17.399999999999999</v>
      </c>
      <c r="L83">
        <v>-18.2</v>
      </c>
      <c r="M83">
        <v>-25</v>
      </c>
      <c r="N83">
        <v>-18.100000000000001</v>
      </c>
      <c r="O83">
        <v>-18.8</v>
      </c>
      <c r="P83">
        <v>-25</v>
      </c>
      <c r="Q83">
        <v>-15.6</v>
      </c>
      <c r="R83">
        <v>2.5</v>
      </c>
      <c r="S83">
        <v>-25</v>
      </c>
      <c r="T83">
        <v>3.8</v>
      </c>
      <c r="U83">
        <v>3.8</v>
      </c>
      <c r="V83">
        <v>2</v>
      </c>
      <c r="W83">
        <v>3.8</v>
      </c>
      <c r="X83">
        <v>3.6</v>
      </c>
      <c r="Y83">
        <v>2</v>
      </c>
      <c r="Z83">
        <v>2.9</v>
      </c>
      <c r="AA83">
        <v>2.2000000000000002</v>
      </c>
      <c r="AB83">
        <v>2</v>
      </c>
      <c r="AC83">
        <v>2.2999999999999998</v>
      </c>
      <c r="AD83">
        <v>0.4</v>
      </c>
      <c r="AE83">
        <v>2</v>
      </c>
      <c r="AF83">
        <v>2.4</v>
      </c>
      <c r="AG83">
        <v>2.2000000000000002</v>
      </c>
      <c r="AH83">
        <v>2</v>
      </c>
      <c r="AI83">
        <v>2.2999999999999998</v>
      </c>
      <c r="AJ83">
        <v>2.1</v>
      </c>
      <c r="AK83">
        <v>2</v>
      </c>
      <c r="AL83">
        <v>7.2</v>
      </c>
      <c r="AM83">
        <v>4</v>
      </c>
      <c r="AN83">
        <v>5.2</v>
      </c>
      <c r="AO83">
        <v>4</v>
      </c>
      <c r="AP83">
        <v>4.8</v>
      </c>
      <c r="AQ83">
        <v>4</v>
      </c>
      <c r="AR83">
        <v>4.3</v>
      </c>
      <c r="AS83">
        <v>4</v>
      </c>
      <c r="AT83">
        <v>-3.5</v>
      </c>
      <c r="AU83">
        <v>-3.8</v>
      </c>
      <c r="AV83">
        <v>-5</v>
      </c>
      <c r="AW83">
        <v>-2.6</v>
      </c>
      <c r="AX83">
        <v>-2</v>
      </c>
      <c r="AY83">
        <v>-5</v>
      </c>
      <c r="AZ83">
        <v>11.5</v>
      </c>
      <c r="BA83">
        <v>10</v>
      </c>
      <c r="BB83">
        <v>11.1</v>
      </c>
      <c r="BC83">
        <v>10</v>
      </c>
      <c r="BD83">
        <v>4.5999999999999996</v>
      </c>
      <c r="BE83">
        <v>4</v>
      </c>
      <c r="BF83">
        <v>12.1</v>
      </c>
      <c r="BG83">
        <v>10</v>
      </c>
      <c r="BH83">
        <v>16.3</v>
      </c>
      <c r="BI83">
        <v>10</v>
      </c>
      <c r="BJ83">
        <v>10.4</v>
      </c>
      <c r="BK83">
        <v>9</v>
      </c>
      <c r="BL83">
        <v>20.2</v>
      </c>
      <c r="BM83">
        <v>19</v>
      </c>
      <c r="BN83">
        <v>21.9</v>
      </c>
      <c r="BO83">
        <v>19</v>
      </c>
      <c r="BP83">
        <v>21.7</v>
      </c>
      <c r="BQ83">
        <v>20</v>
      </c>
      <c r="BR83">
        <v>21.9</v>
      </c>
      <c r="BS83">
        <v>25</v>
      </c>
      <c r="BT83">
        <v>21.9</v>
      </c>
      <c r="BU83">
        <v>25</v>
      </c>
      <c r="BV83">
        <v>24.2</v>
      </c>
      <c r="BW83">
        <v>18</v>
      </c>
      <c r="BX83">
        <v>21.8</v>
      </c>
      <c r="BY83">
        <v>20</v>
      </c>
      <c r="BZ83">
        <v>21.9</v>
      </c>
      <c r="CA83">
        <v>20</v>
      </c>
      <c r="CB83">
        <v>12.1</v>
      </c>
      <c r="CC83">
        <v>10</v>
      </c>
      <c r="CD83">
        <v>10.8</v>
      </c>
      <c r="CE83">
        <v>10</v>
      </c>
      <c r="CF83">
        <v>12.2</v>
      </c>
      <c r="CG83">
        <v>9</v>
      </c>
      <c r="CH83">
        <v>12.4</v>
      </c>
      <c r="CI83">
        <v>9</v>
      </c>
    </row>
    <row r="84" spans="1:87" x14ac:dyDescent="0.35">
      <c r="A84" s="1">
        <v>46059.503472222219</v>
      </c>
      <c r="B84">
        <v>-16.3</v>
      </c>
      <c r="C84">
        <v>-16.5</v>
      </c>
      <c r="D84">
        <v>-25</v>
      </c>
      <c r="E84">
        <v>-16.8</v>
      </c>
      <c r="F84">
        <v>-16.5</v>
      </c>
      <c r="G84">
        <v>-25</v>
      </c>
      <c r="H84">
        <v>-17.899999999999999</v>
      </c>
      <c r="I84">
        <v>-15.3</v>
      </c>
      <c r="J84">
        <v>-25</v>
      </c>
      <c r="K84">
        <v>-17.399999999999999</v>
      </c>
      <c r="L84">
        <v>-18.2</v>
      </c>
      <c r="M84">
        <v>-25</v>
      </c>
      <c r="N84">
        <v>-18.100000000000001</v>
      </c>
      <c r="O84">
        <v>-18.899999999999999</v>
      </c>
      <c r="P84">
        <v>-25</v>
      </c>
      <c r="Q84">
        <v>-15.6</v>
      </c>
      <c r="R84">
        <v>4.5</v>
      </c>
      <c r="S84">
        <v>-25</v>
      </c>
      <c r="T84">
        <v>3.9</v>
      </c>
      <c r="U84">
        <v>3.9</v>
      </c>
      <c r="V84">
        <v>2</v>
      </c>
      <c r="W84">
        <v>3.9</v>
      </c>
      <c r="X84">
        <v>3.7</v>
      </c>
      <c r="Y84">
        <v>2</v>
      </c>
      <c r="Z84">
        <v>2.8</v>
      </c>
      <c r="AA84">
        <v>2.1</v>
      </c>
      <c r="AB84">
        <v>2</v>
      </c>
      <c r="AC84">
        <v>2.2999999999999998</v>
      </c>
      <c r="AD84">
        <v>1.2</v>
      </c>
      <c r="AE84">
        <v>2</v>
      </c>
      <c r="AF84">
        <v>2.6</v>
      </c>
      <c r="AG84">
        <v>2.4</v>
      </c>
      <c r="AH84">
        <v>2</v>
      </c>
      <c r="AI84">
        <v>2.5</v>
      </c>
      <c r="AJ84">
        <v>2.2999999999999998</v>
      </c>
      <c r="AK84">
        <v>2</v>
      </c>
      <c r="AL84">
        <v>6.6</v>
      </c>
      <c r="AM84">
        <v>4</v>
      </c>
      <c r="AN84">
        <v>5.2</v>
      </c>
      <c r="AO84">
        <v>4</v>
      </c>
      <c r="AP84">
        <v>5</v>
      </c>
      <c r="AQ84">
        <v>4</v>
      </c>
      <c r="AR84">
        <v>4.7</v>
      </c>
      <c r="AS84">
        <v>4</v>
      </c>
      <c r="AT84">
        <v>-3.2</v>
      </c>
      <c r="AU84">
        <v>-3.5</v>
      </c>
      <c r="AV84">
        <v>-5</v>
      </c>
      <c r="AW84">
        <v>-2.6</v>
      </c>
      <c r="AX84">
        <v>-0.7</v>
      </c>
      <c r="AY84">
        <v>-5</v>
      </c>
      <c r="AZ84">
        <v>10.7</v>
      </c>
      <c r="BA84">
        <v>10</v>
      </c>
      <c r="BB84">
        <v>11.4</v>
      </c>
      <c r="BC84">
        <v>10</v>
      </c>
      <c r="BD84">
        <v>4.9000000000000004</v>
      </c>
      <c r="BE84">
        <v>4</v>
      </c>
      <c r="BF84">
        <v>11.4</v>
      </c>
      <c r="BG84">
        <v>10</v>
      </c>
      <c r="BH84">
        <v>16</v>
      </c>
      <c r="BI84">
        <v>10</v>
      </c>
      <c r="BJ84">
        <v>10.4</v>
      </c>
      <c r="BK84">
        <v>9</v>
      </c>
      <c r="BL84">
        <v>20.2</v>
      </c>
      <c r="BM84">
        <v>19</v>
      </c>
      <c r="BN84">
        <v>21.9</v>
      </c>
      <c r="BO84">
        <v>19</v>
      </c>
      <c r="BP84">
        <v>21.7</v>
      </c>
      <c r="BQ84">
        <v>20</v>
      </c>
      <c r="BR84">
        <v>21.9</v>
      </c>
      <c r="BS84">
        <v>25</v>
      </c>
      <c r="BT84">
        <v>21.9</v>
      </c>
      <c r="BU84">
        <v>25</v>
      </c>
      <c r="BV84">
        <v>24.2</v>
      </c>
      <c r="BW84">
        <v>18</v>
      </c>
      <c r="BX84">
        <v>21.9</v>
      </c>
      <c r="BY84">
        <v>20</v>
      </c>
      <c r="BZ84">
        <v>21.9</v>
      </c>
      <c r="CA84">
        <v>20</v>
      </c>
      <c r="CB84">
        <v>11.9</v>
      </c>
      <c r="CC84">
        <v>10</v>
      </c>
      <c r="CD84">
        <v>10.8</v>
      </c>
      <c r="CE84">
        <v>10</v>
      </c>
      <c r="CF84">
        <v>12.3</v>
      </c>
      <c r="CG84">
        <v>9</v>
      </c>
      <c r="CH84">
        <v>12.5</v>
      </c>
      <c r="CI84">
        <v>9</v>
      </c>
    </row>
    <row r="85" spans="1:87" x14ac:dyDescent="0.35">
      <c r="A85" s="1">
        <v>46059.504166666666</v>
      </c>
      <c r="B85">
        <v>-16.600000000000001</v>
      </c>
      <c r="C85">
        <v>-17.100000000000001</v>
      </c>
      <c r="D85">
        <v>-25</v>
      </c>
      <c r="E85">
        <v>-17.2</v>
      </c>
      <c r="F85">
        <v>-16.5</v>
      </c>
      <c r="G85">
        <v>-25</v>
      </c>
      <c r="H85">
        <v>-17.8</v>
      </c>
      <c r="I85">
        <v>-15.3</v>
      </c>
      <c r="J85">
        <v>-25</v>
      </c>
      <c r="K85">
        <v>-17.399999999999999</v>
      </c>
      <c r="L85">
        <v>-18</v>
      </c>
      <c r="M85">
        <v>-25</v>
      </c>
      <c r="N85">
        <v>-18.100000000000001</v>
      </c>
      <c r="O85">
        <v>-18.8</v>
      </c>
      <c r="P85">
        <v>-25</v>
      </c>
      <c r="Q85">
        <v>-15.6</v>
      </c>
      <c r="R85">
        <v>4.5999999999999996</v>
      </c>
      <c r="S85">
        <v>-25</v>
      </c>
      <c r="T85">
        <v>3.9</v>
      </c>
      <c r="U85">
        <v>3.9</v>
      </c>
      <c r="V85">
        <v>2</v>
      </c>
      <c r="W85">
        <v>4</v>
      </c>
      <c r="X85">
        <v>3.8</v>
      </c>
      <c r="Y85">
        <v>2</v>
      </c>
      <c r="Z85">
        <v>2.8</v>
      </c>
      <c r="AA85">
        <v>2.1</v>
      </c>
      <c r="AB85">
        <v>2</v>
      </c>
      <c r="AC85">
        <v>2.2999999999999998</v>
      </c>
      <c r="AD85">
        <v>1.3</v>
      </c>
      <c r="AE85">
        <v>2</v>
      </c>
      <c r="AF85">
        <v>2.8</v>
      </c>
      <c r="AG85">
        <v>2.6</v>
      </c>
      <c r="AH85">
        <v>2</v>
      </c>
      <c r="AI85">
        <v>2.6</v>
      </c>
      <c r="AJ85">
        <v>2.4</v>
      </c>
      <c r="AK85">
        <v>2</v>
      </c>
      <c r="AL85">
        <v>6.2</v>
      </c>
      <c r="AM85">
        <v>4</v>
      </c>
      <c r="AN85">
        <v>5.2</v>
      </c>
      <c r="AO85">
        <v>4</v>
      </c>
      <c r="AP85">
        <v>5.0999999999999996</v>
      </c>
      <c r="AQ85">
        <v>4</v>
      </c>
      <c r="AR85">
        <v>4.9000000000000004</v>
      </c>
      <c r="AS85">
        <v>4</v>
      </c>
      <c r="AT85">
        <v>-2.9</v>
      </c>
      <c r="AU85">
        <v>-3.2</v>
      </c>
      <c r="AV85">
        <v>-5</v>
      </c>
      <c r="AW85">
        <v>-2.6</v>
      </c>
      <c r="AX85">
        <v>1.7</v>
      </c>
      <c r="AY85">
        <v>-5</v>
      </c>
      <c r="AZ85">
        <v>10</v>
      </c>
      <c r="BA85">
        <v>10</v>
      </c>
      <c r="BB85">
        <v>11.6</v>
      </c>
      <c r="BC85">
        <v>10</v>
      </c>
      <c r="BD85">
        <v>5</v>
      </c>
      <c r="BE85">
        <v>4</v>
      </c>
      <c r="BF85">
        <v>10.4</v>
      </c>
      <c r="BG85">
        <v>10</v>
      </c>
      <c r="BH85">
        <v>16</v>
      </c>
      <c r="BI85">
        <v>10</v>
      </c>
      <c r="BJ85">
        <v>10.4</v>
      </c>
      <c r="BK85">
        <v>9</v>
      </c>
      <c r="BL85">
        <v>20.2</v>
      </c>
      <c r="BM85">
        <v>19</v>
      </c>
      <c r="BN85">
        <v>21.9</v>
      </c>
      <c r="BO85">
        <v>19</v>
      </c>
      <c r="BP85">
        <v>21.7</v>
      </c>
      <c r="BQ85">
        <v>20</v>
      </c>
      <c r="BR85">
        <v>21.9</v>
      </c>
      <c r="BS85">
        <v>25</v>
      </c>
      <c r="BT85">
        <v>21.9</v>
      </c>
      <c r="BU85">
        <v>25</v>
      </c>
      <c r="BV85">
        <v>24.2</v>
      </c>
      <c r="BW85">
        <v>18</v>
      </c>
      <c r="BX85">
        <v>21.9</v>
      </c>
      <c r="BY85">
        <v>20</v>
      </c>
      <c r="BZ85">
        <v>21.9</v>
      </c>
      <c r="CA85">
        <v>20</v>
      </c>
      <c r="CB85">
        <v>11.6</v>
      </c>
      <c r="CC85">
        <v>10</v>
      </c>
      <c r="CD85">
        <v>10.8</v>
      </c>
      <c r="CE85">
        <v>10</v>
      </c>
      <c r="CF85">
        <v>12.3</v>
      </c>
      <c r="CG85">
        <v>9</v>
      </c>
      <c r="CH85">
        <v>12.5</v>
      </c>
      <c r="CI85">
        <v>9</v>
      </c>
    </row>
    <row r="86" spans="1:87" x14ac:dyDescent="0.35">
      <c r="A86" s="1">
        <v>46059.504861111112</v>
      </c>
      <c r="B86">
        <v>-17</v>
      </c>
      <c r="C86">
        <v>-18.899999999999999</v>
      </c>
      <c r="D86">
        <v>-25</v>
      </c>
      <c r="E86">
        <v>-17.7</v>
      </c>
      <c r="F86">
        <v>-16.5</v>
      </c>
      <c r="G86">
        <v>-25</v>
      </c>
      <c r="H86">
        <v>-17.7</v>
      </c>
      <c r="I86">
        <v>-15.3</v>
      </c>
      <c r="J86">
        <v>-25</v>
      </c>
      <c r="K86">
        <v>-17.399999999999999</v>
      </c>
      <c r="L86">
        <v>-17.899999999999999</v>
      </c>
      <c r="M86">
        <v>-25</v>
      </c>
      <c r="N86">
        <v>-18.100000000000001</v>
      </c>
      <c r="O86">
        <v>-18.5</v>
      </c>
      <c r="P86">
        <v>-25</v>
      </c>
      <c r="Q86">
        <v>-15.6</v>
      </c>
      <c r="R86">
        <v>4</v>
      </c>
      <c r="S86">
        <v>-25</v>
      </c>
      <c r="T86">
        <v>3.9</v>
      </c>
      <c r="U86">
        <v>4</v>
      </c>
      <c r="V86">
        <v>2</v>
      </c>
      <c r="W86">
        <v>4</v>
      </c>
      <c r="X86">
        <v>3.5</v>
      </c>
      <c r="Y86">
        <v>2</v>
      </c>
      <c r="Z86">
        <v>2.7</v>
      </c>
      <c r="AA86">
        <v>2.1</v>
      </c>
      <c r="AB86">
        <v>2</v>
      </c>
      <c r="AC86">
        <v>2.2999999999999998</v>
      </c>
      <c r="AD86">
        <v>1.5</v>
      </c>
      <c r="AE86">
        <v>2</v>
      </c>
      <c r="AF86">
        <v>2.9</v>
      </c>
      <c r="AG86">
        <v>2.8</v>
      </c>
      <c r="AH86">
        <v>2</v>
      </c>
      <c r="AI86">
        <v>2.8</v>
      </c>
      <c r="AJ86">
        <v>2.7</v>
      </c>
      <c r="AK86">
        <v>2</v>
      </c>
      <c r="AL86">
        <v>6.3</v>
      </c>
      <c r="AM86">
        <v>4</v>
      </c>
      <c r="AN86">
        <v>5.2</v>
      </c>
      <c r="AO86">
        <v>4</v>
      </c>
      <c r="AP86">
        <v>5.3</v>
      </c>
      <c r="AQ86">
        <v>4</v>
      </c>
      <c r="AR86">
        <v>5.2</v>
      </c>
      <c r="AS86">
        <v>4</v>
      </c>
      <c r="AT86">
        <v>-2.8</v>
      </c>
      <c r="AU86">
        <v>-3.8</v>
      </c>
      <c r="AV86">
        <v>-5</v>
      </c>
      <c r="AW86">
        <v>-2.6</v>
      </c>
      <c r="AX86">
        <v>5.2</v>
      </c>
      <c r="AY86">
        <v>-5</v>
      </c>
      <c r="AZ86">
        <v>9.1999999999999993</v>
      </c>
      <c r="BA86">
        <v>10</v>
      </c>
      <c r="BB86">
        <v>12</v>
      </c>
      <c r="BC86">
        <v>10</v>
      </c>
      <c r="BD86">
        <v>5.3</v>
      </c>
      <c r="BE86">
        <v>4</v>
      </c>
      <c r="BF86">
        <v>9.5</v>
      </c>
      <c r="BG86">
        <v>10</v>
      </c>
      <c r="BH86">
        <v>16</v>
      </c>
      <c r="BI86">
        <v>10</v>
      </c>
      <c r="BJ86">
        <v>10.4</v>
      </c>
      <c r="BK86">
        <v>9</v>
      </c>
      <c r="BL86">
        <v>20.2</v>
      </c>
      <c r="BM86">
        <v>19</v>
      </c>
      <c r="BN86">
        <v>21.9</v>
      </c>
      <c r="BO86">
        <v>19</v>
      </c>
      <c r="BP86">
        <v>21.7</v>
      </c>
      <c r="BQ86">
        <v>20</v>
      </c>
      <c r="BR86">
        <v>21.9</v>
      </c>
      <c r="BS86">
        <v>25</v>
      </c>
      <c r="BT86">
        <v>21.9</v>
      </c>
      <c r="BU86">
        <v>25</v>
      </c>
      <c r="BV86">
        <v>24.2</v>
      </c>
      <c r="BW86">
        <v>18</v>
      </c>
      <c r="BX86">
        <v>21.9</v>
      </c>
      <c r="BY86">
        <v>20</v>
      </c>
      <c r="BZ86">
        <v>21.9</v>
      </c>
      <c r="CA86">
        <v>20</v>
      </c>
      <c r="CB86">
        <v>11.5</v>
      </c>
      <c r="CC86">
        <v>10</v>
      </c>
      <c r="CD86">
        <v>10.8</v>
      </c>
      <c r="CE86">
        <v>10</v>
      </c>
      <c r="CF86">
        <v>12.4</v>
      </c>
      <c r="CG86">
        <v>9</v>
      </c>
      <c r="CH86">
        <v>12.6</v>
      </c>
      <c r="CI86">
        <v>9</v>
      </c>
    </row>
    <row r="87" spans="1:87" x14ac:dyDescent="0.35">
      <c r="A87" s="1">
        <v>46059.505555555559</v>
      </c>
      <c r="B87">
        <v>-17.399999999999999</v>
      </c>
      <c r="C87">
        <v>-19.8</v>
      </c>
      <c r="D87">
        <v>-25</v>
      </c>
      <c r="E87">
        <v>-18.100000000000001</v>
      </c>
      <c r="F87">
        <v>-16.7</v>
      </c>
      <c r="G87">
        <v>-25</v>
      </c>
      <c r="H87">
        <v>-17.7</v>
      </c>
      <c r="I87">
        <v>-15.3</v>
      </c>
      <c r="J87">
        <v>-25</v>
      </c>
      <c r="K87">
        <v>-17.3</v>
      </c>
      <c r="L87">
        <v>-17.899999999999999</v>
      </c>
      <c r="M87">
        <v>-25</v>
      </c>
      <c r="N87">
        <v>-18.100000000000001</v>
      </c>
      <c r="O87">
        <v>-18.3</v>
      </c>
      <c r="P87">
        <v>-25</v>
      </c>
      <c r="Q87">
        <v>-15.6</v>
      </c>
      <c r="R87">
        <v>7.4</v>
      </c>
      <c r="S87">
        <v>-25</v>
      </c>
      <c r="T87">
        <v>3.9</v>
      </c>
      <c r="U87">
        <v>3.9</v>
      </c>
      <c r="V87">
        <v>2</v>
      </c>
      <c r="W87">
        <v>4</v>
      </c>
      <c r="X87">
        <v>3.1</v>
      </c>
      <c r="Y87">
        <v>2</v>
      </c>
      <c r="Z87">
        <v>2.7</v>
      </c>
      <c r="AA87">
        <v>2.1</v>
      </c>
      <c r="AB87">
        <v>2</v>
      </c>
      <c r="AC87">
        <v>2.2999999999999998</v>
      </c>
      <c r="AD87">
        <v>1.6</v>
      </c>
      <c r="AE87">
        <v>2</v>
      </c>
      <c r="AF87">
        <v>3.1</v>
      </c>
      <c r="AG87">
        <v>3</v>
      </c>
      <c r="AH87">
        <v>2</v>
      </c>
      <c r="AI87">
        <v>3</v>
      </c>
      <c r="AJ87">
        <v>2.9</v>
      </c>
      <c r="AK87">
        <v>2</v>
      </c>
      <c r="AL87">
        <v>6.7</v>
      </c>
      <c r="AM87">
        <v>4</v>
      </c>
      <c r="AN87">
        <v>5.3</v>
      </c>
      <c r="AO87">
        <v>4</v>
      </c>
      <c r="AP87">
        <v>5.5</v>
      </c>
      <c r="AQ87">
        <v>4</v>
      </c>
      <c r="AR87">
        <v>5.4</v>
      </c>
      <c r="AS87">
        <v>4</v>
      </c>
      <c r="AT87">
        <v>-3.1</v>
      </c>
      <c r="AU87">
        <v>-5.2</v>
      </c>
      <c r="AV87">
        <v>-5</v>
      </c>
      <c r="AW87">
        <v>-2.6</v>
      </c>
      <c r="AX87">
        <v>8.9</v>
      </c>
      <c r="AY87">
        <v>-5</v>
      </c>
      <c r="AZ87">
        <v>9.1999999999999993</v>
      </c>
      <c r="BA87">
        <v>10</v>
      </c>
      <c r="BB87">
        <v>12.1</v>
      </c>
      <c r="BC87">
        <v>10</v>
      </c>
      <c r="BD87">
        <v>5.4</v>
      </c>
      <c r="BE87">
        <v>4</v>
      </c>
      <c r="BF87">
        <v>9.3000000000000007</v>
      </c>
      <c r="BG87">
        <v>10</v>
      </c>
      <c r="BH87">
        <v>15.7</v>
      </c>
      <c r="BI87">
        <v>10</v>
      </c>
      <c r="BJ87">
        <v>10.4</v>
      </c>
      <c r="BK87">
        <v>9</v>
      </c>
      <c r="BL87">
        <v>20.3</v>
      </c>
      <c r="BM87">
        <v>19</v>
      </c>
      <c r="BN87">
        <v>22</v>
      </c>
      <c r="BO87">
        <v>19</v>
      </c>
      <c r="BP87">
        <v>21.7</v>
      </c>
      <c r="BQ87">
        <v>20</v>
      </c>
      <c r="BR87">
        <v>21.9</v>
      </c>
      <c r="BS87">
        <v>25</v>
      </c>
      <c r="BT87">
        <v>21.9</v>
      </c>
      <c r="BU87">
        <v>25</v>
      </c>
      <c r="BV87">
        <v>24.2</v>
      </c>
      <c r="BW87">
        <v>18</v>
      </c>
      <c r="BX87">
        <v>21.9</v>
      </c>
      <c r="BY87">
        <v>20</v>
      </c>
      <c r="BZ87">
        <v>21.9</v>
      </c>
      <c r="CA87">
        <v>20</v>
      </c>
      <c r="CB87">
        <v>11.3</v>
      </c>
      <c r="CC87">
        <v>10</v>
      </c>
      <c r="CD87">
        <v>10.8</v>
      </c>
      <c r="CE87">
        <v>10</v>
      </c>
      <c r="CF87">
        <v>12.5</v>
      </c>
      <c r="CG87">
        <v>9</v>
      </c>
      <c r="CH87">
        <v>12.7</v>
      </c>
      <c r="CI87">
        <v>9</v>
      </c>
    </row>
    <row r="88" spans="1:87" x14ac:dyDescent="0.35">
      <c r="A88" s="1">
        <v>46059.506249999999</v>
      </c>
      <c r="B88">
        <v>-17.600000000000001</v>
      </c>
      <c r="C88">
        <v>-18.899999999999999</v>
      </c>
      <c r="D88">
        <v>-25</v>
      </c>
      <c r="E88">
        <v>-18.2</v>
      </c>
      <c r="F88">
        <v>-17</v>
      </c>
      <c r="G88">
        <v>-25</v>
      </c>
      <c r="H88">
        <v>-17.7</v>
      </c>
      <c r="I88">
        <v>-15.3</v>
      </c>
      <c r="J88">
        <v>-25</v>
      </c>
      <c r="K88">
        <v>-17.3</v>
      </c>
      <c r="L88">
        <v>-17.899999999999999</v>
      </c>
      <c r="M88">
        <v>-25</v>
      </c>
      <c r="N88">
        <v>-18.100000000000001</v>
      </c>
      <c r="O88">
        <v>-18.2</v>
      </c>
      <c r="P88">
        <v>-25</v>
      </c>
      <c r="Q88">
        <v>-15.6</v>
      </c>
      <c r="R88">
        <v>3.7</v>
      </c>
      <c r="S88">
        <v>-25</v>
      </c>
      <c r="T88">
        <v>3.8</v>
      </c>
      <c r="U88">
        <v>3.6</v>
      </c>
      <c r="V88">
        <v>2</v>
      </c>
      <c r="W88">
        <v>3.7</v>
      </c>
      <c r="X88">
        <v>1.5</v>
      </c>
      <c r="Y88">
        <v>2</v>
      </c>
      <c r="Z88">
        <v>2.7</v>
      </c>
      <c r="AA88">
        <v>2.1</v>
      </c>
      <c r="AB88">
        <v>2</v>
      </c>
      <c r="AC88">
        <v>2.2999999999999998</v>
      </c>
      <c r="AD88">
        <v>0.4</v>
      </c>
      <c r="AE88">
        <v>2</v>
      </c>
      <c r="AF88">
        <v>3.3</v>
      </c>
      <c r="AG88">
        <v>3.2</v>
      </c>
      <c r="AH88">
        <v>2</v>
      </c>
      <c r="AI88">
        <v>3.2</v>
      </c>
      <c r="AJ88">
        <v>3.1</v>
      </c>
      <c r="AK88">
        <v>2</v>
      </c>
      <c r="AL88">
        <v>6.3</v>
      </c>
      <c r="AM88">
        <v>4</v>
      </c>
      <c r="AN88">
        <v>5.3</v>
      </c>
      <c r="AO88">
        <v>4</v>
      </c>
      <c r="AP88">
        <v>5.6</v>
      </c>
      <c r="AQ88">
        <v>4</v>
      </c>
      <c r="AR88">
        <v>5.7</v>
      </c>
      <c r="AS88">
        <v>4</v>
      </c>
      <c r="AT88">
        <v>-3.6</v>
      </c>
      <c r="AU88">
        <v>-6.1</v>
      </c>
      <c r="AV88">
        <v>-5</v>
      </c>
      <c r="AW88">
        <v>-2.6</v>
      </c>
      <c r="AX88">
        <v>12.6</v>
      </c>
      <c r="AY88">
        <v>-5</v>
      </c>
      <c r="AZ88">
        <v>9.1999999999999993</v>
      </c>
      <c r="BA88">
        <v>10</v>
      </c>
      <c r="BB88">
        <v>12.2</v>
      </c>
      <c r="BC88">
        <v>10</v>
      </c>
      <c r="BD88">
        <v>5.5</v>
      </c>
      <c r="BE88">
        <v>4</v>
      </c>
      <c r="BF88">
        <v>9.5</v>
      </c>
      <c r="BG88">
        <v>10</v>
      </c>
      <c r="BH88">
        <v>15.2</v>
      </c>
      <c r="BI88">
        <v>10</v>
      </c>
      <c r="BJ88">
        <v>10.4</v>
      </c>
      <c r="BK88">
        <v>9</v>
      </c>
      <c r="BL88">
        <v>20.3</v>
      </c>
      <c r="BM88">
        <v>19</v>
      </c>
      <c r="BN88">
        <v>22</v>
      </c>
      <c r="BO88">
        <v>19</v>
      </c>
      <c r="BP88">
        <v>21.7</v>
      </c>
      <c r="BQ88">
        <v>20</v>
      </c>
      <c r="BR88">
        <v>21.9</v>
      </c>
      <c r="BS88">
        <v>25</v>
      </c>
      <c r="BT88">
        <v>21.9</v>
      </c>
      <c r="BU88">
        <v>25</v>
      </c>
      <c r="BV88">
        <v>24.2</v>
      </c>
      <c r="BW88">
        <v>18</v>
      </c>
      <c r="BX88">
        <v>21.8</v>
      </c>
      <c r="BY88">
        <v>20</v>
      </c>
      <c r="BZ88">
        <v>21.9</v>
      </c>
      <c r="CA88">
        <v>20</v>
      </c>
      <c r="CB88">
        <v>11.2</v>
      </c>
      <c r="CC88">
        <v>10</v>
      </c>
      <c r="CD88">
        <v>10.8</v>
      </c>
      <c r="CE88">
        <v>10</v>
      </c>
      <c r="CF88">
        <v>12.5</v>
      </c>
      <c r="CG88">
        <v>9</v>
      </c>
      <c r="CH88">
        <v>12.7</v>
      </c>
      <c r="CI88">
        <v>9</v>
      </c>
    </row>
    <row r="89" spans="1:87" x14ac:dyDescent="0.35">
      <c r="A89" s="1">
        <v>46059.506944444445</v>
      </c>
      <c r="B89">
        <v>-17.7</v>
      </c>
      <c r="C89">
        <v>-18.399999999999999</v>
      </c>
      <c r="D89">
        <v>-25</v>
      </c>
      <c r="E89">
        <v>-18.2</v>
      </c>
      <c r="F89">
        <v>-17.100000000000001</v>
      </c>
      <c r="G89">
        <v>-25</v>
      </c>
      <c r="H89">
        <v>-17.7</v>
      </c>
      <c r="I89">
        <v>-15.3</v>
      </c>
      <c r="J89">
        <v>-25</v>
      </c>
      <c r="K89">
        <v>-17.3</v>
      </c>
      <c r="L89">
        <v>-17.899999999999999</v>
      </c>
      <c r="M89">
        <v>-25</v>
      </c>
      <c r="N89">
        <v>-18.100000000000001</v>
      </c>
      <c r="O89">
        <v>-18.100000000000001</v>
      </c>
      <c r="P89">
        <v>-25</v>
      </c>
      <c r="Q89">
        <v>-15.6</v>
      </c>
      <c r="R89">
        <v>5.3</v>
      </c>
      <c r="S89">
        <v>-25</v>
      </c>
      <c r="T89">
        <v>3.5</v>
      </c>
      <c r="U89">
        <v>3.2</v>
      </c>
      <c r="V89">
        <v>2</v>
      </c>
      <c r="W89">
        <v>3.4</v>
      </c>
      <c r="X89">
        <v>0.8</v>
      </c>
      <c r="Y89">
        <v>2</v>
      </c>
      <c r="Z89">
        <v>2.6</v>
      </c>
      <c r="AA89">
        <v>1.9</v>
      </c>
      <c r="AB89">
        <v>2</v>
      </c>
      <c r="AC89">
        <v>2</v>
      </c>
      <c r="AD89">
        <v>-0.1</v>
      </c>
      <c r="AE89">
        <v>2</v>
      </c>
      <c r="AF89">
        <v>3.4</v>
      </c>
      <c r="AG89">
        <v>3.4</v>
      </c>
      <c r="AH89">
        <v>2</v>
      </c>
      <c r="AI89">
        <v>3.3</v>
      </c>
      <c r="AJ89">
        <v>3.3</v>
      </c>
      <c r="AK89">
        <v>2</v>
      </c>
      <c r="AL89">
        <v>6</v>
      </c>
      <c r="AM89">
        <v>4</v>
      </c>
      <c r="AN89">
        <v>5.4</v>
      </c>
      <c r="AO89">
        <v>4</v>
      </c>
      <c r="AP89">
        <v>5.8</v>
      </c>
      <c r="AQ89">
        <v>4</v>
      </c>
      <c r="AR89">
        <v>5.9</v>
      </c>
      <c r="AS89">
        <v>4</v>
      </c>
      <c r="AT89">
        <v>-4.2</v>
      </c>
      <c r="AU89">
        <v>-7</v>
      </c>
      <c r="AV89">
        <v>-5</v>
      </c>
      <c r="AW89">
        <v>-2.6</v>
      </c>
      <c r="AX89">
        <v>15.1</v>
      </c>
      <c r="AY89">
        <v>-5</v>
      </c>
      <c r="AZ89">
        <v>9.4</v>
      </c>
      <c r="BA89">
        <v>10</v>
      </c>
      <c r="BB89">
        <v>12.2</v>
      </c>
      <c r="BC89">
        <v>10</v>
      </c>
      <c r="BD89">
        <v>5.7</v>
      </c>
      <c r="BE89">
        <v>4</v>
      </c>
      <c r="BF89">
        <v>9.9</v>
      </c>
      <c r="BG89">
        <v>10</v>
      </c>
      <c r="BH89">
        <v>14.8</v>
      </c>
      <c r="BI89">
        <v>10</v>
      </c>
      <c r="BJ89">
        <v>10.4</v>
      </c>
      <c r="BK89">
        <v>9</v>
      </c>
      <c r="BL89">
        <v>20.3</v>
      </c>
      <c r="BM89">
        <v>19</v>
      </c>
      <c r="BN89">
        <v>22</v>
      </c>
      <c r="BO89">
        <v>19</v>
      </c>
      <c r="BP89">
        <v>21.7</v>
      </c>
      <c r="BQ89">
        <v>20</v>
      </c>
      <c r="BR89">
        <v>21.9</v>
      </c>
      <c r="BS89">
        <v>25</v>
      </c>
      <c r="BT89">
        <v>21.9</v>
      </c>
      <c r="BU89">
        <v>25</v>
      </c>
      <c r="BV89">
        <v>24.2</v>
      </c>
      <c r="BW89">
        <v>18</v>
      </c>
      <c r="BX89">
        <v>20</v>
      </c>
      <c r="BY89">
        <v>20</v>
      </c>
      <c r="BZ89">
        <v>22</v>
      </c>
      <c r="CA89">
        <v>20</v>
      </c>
      <c r="CB89">
        <v>11</v>
      </c>
      <c r="CC89">
        <v>10</v>
      </c>
      <c r="CD89">
        <v>10.8</v>
      </c>
      <c r="CE89">
        <v>10</v>
      </c>
      <c r="CF89">
        <v>12.4</v>
      </c>
      <c r="CG89">
        <v>9</v>
      </c>
      <c r="CH89">
        <v>12.6</v>
      </c>
      <c r="CI89">
        <v>9</v>
      </c>
    </row>
    <row r="90" spans="1:87" x14ac:dyDescent="0.35">
      <c r="A90" s="1">
        <v>46059.507638888892</v>
      </c>
      <c r="B90">
        <v>-17.7</v>
      </c>
      <c r="C90">
        <v>-18.100000000000001</v>
      </c>
      <c r="D90">
        <v>-25</v>
      </c>
      <c r="E90">
        <v>-18.100000000000001</v>
      </c>
      <c r="F90">
        <v>-17.100000000000001</v>
      </c>
      <c r="G90">
        <v>-25</v>
      </c>
      <c r="H90">
        <v>-17.7</v>
      </c>
      <c r="I90">
        <v>-15.3</v>
      </c>
      <c r="J90">
        <v>-25</v>
      </c>
      <c r="K90">
        <v>-17.3</v>
      </c>
      <c r="L90">
        <v>-17.899999999999999</v>
      </c>
      <c r="M90">
        <v>-25</v>
      </c>
      <c r="N90">
        <v>-18</v>
      </c>
      <c r="O90">
        <v>-18.100000000000001</v>
      </c>
      <c r="P90">
        <v>-25</v>
      </c>
      <c r="Q90">
        <v>-15.6</v>
      </c>
      <c r="R90">
        <v>8.8000000000000007</v>
      </c>
      <c r="S90">
        <v>-25</v>
      </c>
      <c r="T90">
        <v>3.2</v>
      </c>
      <c r="U90">
        <v>2.8</v>
      </c>
      <c r="V90">
        <v>2</v>
      </c>
      <c r="W90">
        <v>3</v>
      </c>
      <c r="X90">
        <v>0</v>
      </c>
      <c r="Y90">
        <v>2</v>
      </c>
      <c r="Z90">
        <v>2.4</v>
      </c>
      <c r="AA90">
        <v>1.7</v>
      </c>
      <c r="AB90">
        <v>2</v>
      </c>
      <c r="AC90">
        <v>1.9</v>
      </c>
      <c r="AD90">
        <v>0.4</v>
      </c>
      <c r="AE90">
        <v>2</v>
      </c>
      <c r="AF90">
        <v>3.6</v>
      </c>
      <c r="AG90">
        <v>3.5</v>
      </c>
      <c r="AH90">
        <v>2</v>
      </c>
      <c r="AI90">
        <v>3.5</v>
      </c>
      <c r="AJ90">
        <v>3.4</v>
      </c>
      <c r="AK90">
        <v>2</v>
      </c>
      <c r="AL90">
        <v>5.8</v>
      </c>
      <c r="AM90">
        <v>4</v>
      </c>
      <c r="AN90">
        <v>5.4</v>
      </c>
      <c r="AO90">
        <v>4</v>
      </c>
      <c r="AP90">
        <v>5.9</v>
      </c>
      <c r="AQ90">
        <v>4</v>
      </c>
      <c r="AR90">
        <v>6</v>
      </c>
      <c r="AS90">
        <v>4</v>
      </c>
      <c r="AT90">
        <v>-4.8</v>
      </c>
      <c r="AU90">
        <v>-7.5</v>
      </c>
      <c r="AV90">
        <v>-5</v>
      </c>
      <c r="AW90">
        <v>-2.6</v>
      </c>
      <c r="AX90">
        <v>17</v>
      </c>
      <c r="AY90">
        <v>-5</v>
      </c>
      <c r="AZ90">
        <v>9.6</v>
      </c>
      <c r="BA90">
        <v>10</v>
      </c>
      <c r="BB90">
        <v>11.8</v>
      </c>
      <c r="BC90">
        <v>10</v>
      </c>
      <c r="BD90">
        <v>5.9</v>
      </c>
      <c r="BE90">
        <v>4</v>
      </c>
      <c r="BF90">
        <v>10.5</v>
      </c>
      <c r="BG90">
        <v>10</v>
      </c>
      <c r="BH90">
        <v>14.6</v>
      </c>
      <c r="BI90">
        <v>10</v>
      </c>
      <c r="BJ90">
        <v>10.4</v>
      </c>
      <c r="BK90">
        <v>9</v>
      </c>
      <c r="BL90">
        <v>20.399999999999999</v>
      </c>
      <c r="BM90">
        <v>19</v>
      </c>
      <c r="BN90">
        <v>22.1</v>
      </c>
      <c r="BO90">
        <v>19</v>
      </c>
      <c r="BP90">
        <v>21.7</v>
      </c>
      <c r="BQ90">
        <v>20</v>
      </c>
      <c r="BR90">
        <v>21.9</v>
      </c>
      <c r="BS90">
        <v>25</v>
      </c>
      <c r="BT90">
        <v>21.9</v>
      </c>
      <c r="BU90">
        <v>25</v>
      </c>
      <c r="BV90">
        <v>24.2</v>
      </c>
      <c r="BW90">
        <v>18</v>
      </c>
      <c r="BX90">
        <v>19.2</v>
      </c>
      <c r="BY90">
        <v>20</v>
      </c>
      <c r="BZ90">
        <v>21.8</v>
      </c>
      <c r="CA90">
        <v>20</v>
      </c>
      <c r="CB90">
        <v>11</v>
      </c>
      <c r="CC90">
        <v>10</v>
      </c>
      <c r="CD90">
        <v>10.8</v>
      </c>
      <c r="CE90">
        <v>10</v>
      </c>
      <c r="CF90">
        <v>12.4</v>
      </c>
      <c r="CG90">
        <v>9</v>
      </c>
      <c r="CH90">
        <v>12.6</v>
      </c>
      <c r="CI90">
        <v>9</v>
      </c>
    </row>
    <row r="91" spans="1:87" x14ac:dyDescent="0.35">
      <c r="A91" s="1">
        <v>46059.509027777778</v>
      </c>
      <c r="B91">
        <v>-17.399999999999999</v>
      </c>
      <c r="C91">
        <v>-17.600000000000001</v>
      </c>
      <c r="D91">
        <v>-25</v>
      </c>
      <c r="E91">
        <v>-17.600000000000001</v>
      </c>
      <c r="F91">
        <v>-17.100000000000001</v>
      </c>
      <c r="G91">
        <v>-25</v>
      </c>
      <c r="H91">
        <v>-17.8</v>
      </c>
      <c r="I91">
        <v>-15.4</v>
      </c>
      <c r="J91">
        <v>-25</v>
      </c>
      <c r="K91">
        <v>-17.3</v>
      </c>
      <c r="L91">
        <v>-18.100000000000001</v>
      </c>
      <c r="M91">
        <v>-25</v>
      </c>
      <c r="N91">
        <v>-18</v>
      </c>
      <c r="O91">
        <v>-18.399999999999999</v>
      </c>
      <c r="P91">
        <v>-25</v>
      </c>
      <c r="Q91">
        <v>-15.6</v>
      </c>
      <c r="R91">
        <v>13.9</v>
      </c>
      <c r="S91">
        <v>-25</v>
      </c>
      <c r="T91">
        <v>3</v>
      </c>
      <c r="U91">
        <v>2.6</v>
      </c>
      <c r="V91">
        <v>2</v>
      </c>
      <c r="W91">
        <v>2.8</v>
      </c>
      <c r="X91">
        <v>1.3</v>
      </c>
      <c r="Y91">
        <v>2</v>
      </c>
      <c r="Z91">
        <v>2.4</v>
      </c>
      <c r="AA91">
        <v>2</v>
      </c>
      <c r="AB91">
        <v>2</v>
      </c>
      <c r="AC91">
        <v>2</v>
      </c>
      <c r="AD91">
        <v>1.4</v>
      </c>
      <c r="AE91">
        <v>2</v>
      </c>
      <c r="AF91">
        <v>3.9</v>
      </c>
      <c r="AG91">
        <v>3.8</v>
      </c>
      <c r="AH91">
        <v>2</v>
      </c>
      <c r="AI91">
        <v>3.8</v>
      </c>
      <c r="AJ91">
        <v>3.8</v>
      </c>
      <c r="AK91">
        <v>2</v>
      </c>
      <c r="AL91">
        <v>5.3</v>
      </c>
      <c r="AM91">
        <v>4</v>
      </c>
      <c r="AN91">
        <v>5.5</v>
      </c>
      <c r="AO91">
        <v>4</v>
      </c>
      <c r="AP91">
        <v>5.8</v>
      </c>
      <c r="AQ91">
        <v>4</v>
      </c>
      <c r="AR91">
        <v>6.1</v>
      </c>
      <c r="AS91">
        <v>4</v>
      </c>
      <c r="AT91">
        <v>-4.5999999999999996</v>
      </c>
      <c r="AU91">
        <v>-5.4</v>
      </c>
      <c r="AV91">
        <v>-5</v>
      </c>
      <c r="AW91">
        <v>-2.6</v>
      </c>
      <c r="AX91">
        <v>20.7</v>
      </c>
      <c r="AY91">
        <v>-5</v>
      </c>
      <c r="AZ91">
        <v>9.9</v>
      </c>
      <c r="BA91">
        <v>10</v>
      </c>
      <c r="BB91">
        <v>11.1</v>
      </c>
      <c r="BC91">
        <v>10</v>
      </c>
      <c r="BD91">
        <v>6</v>
      </c>
      <c r="BE91">
        <v>4</v>
      </c>
      <c r="BF91">
        <v>11</v>
      </c>
      <c r="BG91">
        <v>10</v>
      </c>
      <c r="BH91">
        <v>14.1</v>
      </c>
      <c r="BI91">
        <v>10</v>
      </c>
      <c r="BJ91">
        <v>10.4</v>
      </c>
      <c r="BK91">
        <v>9</v>
      </c>
      <c r="BL91">
        <v>20.399999999999999</v>
      </c>
      <c r="BM91">
        <v>19</v>
      </c>
      <c r="BN91">
        <v>22.1</v>
      </c>
      <c r="BO91">
        <v>19</v>
      </c>
      <c r="BP91">
        <v>21.8</v>
      </c>
      <c r="BQ91">
        <v>20</v>
      </c>
      <c r="BR91">
        <v>21.9</v>
      </c>
      <c r="BS91">
        <v>25</v>
      </c>
      <c r="BT91">
        <v>21.9</v>
      </c>
      <c r="BU91">
        <v>25</v>
      </c>
      <c r="BV91">
        <v>24.1</v>
      </c>
      <c r="BW91">
        <v>18</v>
      </c>
      <c r="BX91">
        <v>19.7</v>
      </c>
      <c r="BY91">
        <v>20</v>
      </c>
      <c r="BZ91">
        <v>18.600000000000001</v>
      </c>
      <c r="CA91">
        <v>20</v>
      </c>
      <c r="CB91">
        <v>10.7</v>
      </c>
      <c r="CC91">
        <v>10</v>
      </c>
      <c r="CD91">
        <v>10.7</v>
      </c>
      <c r="CE91">
        <v>10</v>
      </c>
      <c r="CF91">
        <v>12.2</v>
      </c>
      <c r="CG91">
        <v>9</v>
      </c>
      <c r="CH91">
        <v>12.4</v>
      </c>
      <c r="CI91">
        <v>9</v>
      </c>
    </row>
    <row r="92" spans="1:87" x14ac:dyDescent="0.35">
      <c r="A92" s="1">
        <v>46059.509722222225</v>
      </c>
      <c r="B92">
        <v>-17.2</v>
      </c>
      <c r="C92">
        <v>-17.3</v>
      </c>
      <c r="D92">
        <v>-25</v>
      </c>
      <c r="E92">
        <v>-17.399999999999999</v>
      </c>
      <c r="F92">
        <v>-17.100000000000001</v>
      </c>
      <c r="G92">
        <v>-25</v>
      </c>
      <c r="H92">
        <v>-17.899999999999999</v>
      </c>
      <c r="I92">
        <v>-15.4</v>
      </c>
      <c r="J92">
        <v>-25</v>
      </c>
      <c r="K92">
        <v>-17.399999999999999</v>
      </c>
      <c r="L92">
        <v>-18.100000000000001</v>
      </c>
      <c r="M92">
        <v>-25</v>
      </c>
      <c r="N92">
        <v>-18</v>
      </c>
      <c r="O92">
        <v>-18.600000000000001</v>
      </c>
      <c r="P92">
        <v>-25</v>
      </c>
      <c r="Q92">
        <v>-15.6</v>
      </c>
      <c r="R92">
        <v>14</v>
      </c>
      <c r="S92">
        <v>-25</v>
      </c>
      <c r="T92">
        <v>3</v>
      </c>
      <c r="U92">
        <v>2.7</v>
      </c>
      <c r="V92">
        <v>2</v>
      </c>
      <c r="W92">
        <v>2.8</v>
      </c>
      <c r="X92">
        <v>1.7</v>
      </c>
      <c r="Y92">
        <v>2</v>
      </c>
      <c r="Z92">
        <v>2.4</v>
      </c>
      <c r="AA92">
        <v>2.1</v>
      </c>
      <c r="AB92">
        <v>2</v>
      </c>
      <c r="AC92">
        <v>2.1</v>
      </c>
      <c r="AD92">
        <v>1.6</v>
      </c>
      <c r="AE92">
        <v>2</v>
      </c>
      <c r="AF92">
        <v>4.0999999999999996</v>
      </c>
      <c r="AG92">
        <v>3.9</v>
      </c>
      <c r="AH92">
        <v>2</v>
      </c>
      <c r="AI92">
        <v>3.9</v>
      </c>
      <c r="AJ92">
        <v>3.9</v>
      </c>
      <c r="AK92">
        <v>2</v>
      </c>
      <c r="AL92">
        <v>5.0999999999999996</v>
      </c>
      <c r="AM92">
        <v>4</v>
      </c>
      <c r="AN92">
        <v>5.6</v>
      </c>
      <c r="AO92">
        <v>4</v>
      </c>
      <c r="AP92">
        <v>4.9000000000000004</v>
      </c>
      <c r="AQ92">
        <v>4</v>
      </c>
      <c r="AR92">
        <v>6.2</v>
      </c>
      <c r="AS92">
        <v>4</v>
      </c>
      <c r="AT92">
        <v>-4.3</v>
      </c>
      <c r="AU92">
        <v>-5.4</v>
      </c>
      <c r="AV92">
        <v>-5</v>
      </c>
      <c r="AW92">
        <v>-2.6</v>
      </c>
      <c r="AX92">
        <v>22.6</v>
      </c>
      <c r="AY92">
        <v>-5</v>
      </c>
      <c r="AZ92">
        <v>10.1</v>
      </c>
      <c r="BA92">
        <v>10</v>
      </c>
      <c r="BB92">
        <v>11</v>
      </c>
      <c r="BC92">
        <v>10</v>
      </c>
      <c r="BD92">
        <v>5.4</v>
      </c>
      <c r="BE92">
        <v>4</v>
      </c>
      <c r="BF92">
        <v>11.4</v>
      </c>
      <c r="BG92">
        <v>10</v>
      </c>
      <c r="BH92">
        <v>13.9</v>
      </c>
      <c r="BI92">
        <v>10</v>
      </c>
      <c r="BJ92">
        <v>10.4</v>
      </c>
      <c r="BK92">
        <v>9</v>
      </c>
      <c r="BL92">
        <v>20.399999999999999</v>
      </c>
      <c r="BM92">
        <v>19</v>
      </c>
      <c r="BN92">
        <v>22.2</v>
      </c>
      <c r="BO92">
        <v>19</v>
      </c>
      <c r="BP92">
        <v>21.8</v>
      </c>
      <c r="BQ92">
        <v>20</v>
      </c>
      <c r="BR92">
        <v>21.9</v>
      </c>
      <c r="BS92">
        <v>25</v>
      </c>
      <c r="BT92">
        <v>21.9</v>
      </c>
      <c r="BU92">
        <v>25</v>
      </c>
      <c r="BV92">
        <v>24.1</v>
      </c>
      <c r="BW92">
        <v>18</v>
      </c>
      <c r="BX92">
        <v>20</v>
      </c>
      <c r="BY92">
        <v>20</v>
      </c>
      <c r="BZ92">
        <v>18</v>
      </c>
      <c r="CA92">
        <v>20</v>
      </c>
      <c r="CB92">
        <v>10.6</v>
      </c>
      <c r="CC92">
        <v>10</v>
      </c>
      <c r="CD92">
        <v>10.7</v>
      </c>
      <c r="CE92">
        <v>10</v>
      </c>
      <c r="CF92">
        <v>12.2</v>
      </c>
      <c r="CG92">
        <v>9</v>
      </c>
      <c r="CH92">
        <v>12.4</v>
      </c>
      <c r="CI92">
        <v>9</v>
      </c>
    </row>
    <row r="93" spans="1:87" x14ac:dyDescent="0.35">
      <c r="A93" s="1">
        <v>46059.510416666664</v>
      </c>
      <c r="B93">
        <v>-17.100000000000001</v>
      </c>
      <c r="C93">
        <v>-17.2</v>
      </c>
      <c r="D93">
        <v>-25</v>
      </c>
      <c r="E93">
        <v>-17.3</v>
      </c>
      <c r="F93">
        <v>-17.100000000000001</v>
      </c>
      <c r="G93">
        <v>-25</v>
      </c>
      <c r="H93">
        <v>-17.899999999999999</v>
      </c>
      <c r="I93">
        <v>-15.5</v>
      </c>
      <c r="J93">
        <v>-25</v>
      </c>
      <c r="K93">
        <v>-17.399999999999999</v>
      </c>
      <c r="L93">
        <v>-18.2</v>
      </c>
      <c r="M93">
        <v>-25</v>
      </c>
      <c r="N93">
        <v>-18.100000000000001</v>
      </c>
      <c r="O93">
        <v>-19</v>
      </c>
      <c r="P93">
        <v>-25</v>
      </c>
      <c r="Q93">
        <v>-15.6</v>
      </c>
      <c r="R93">
        <v>15</v>
      </c>
      <c r="S93">
        <v>-25</v>
      </c>
      <c r="T93">
        <v>3</v>
      </c>
      <c r="U93">
        <v>2.7</v>
      </c>
      <c r="V93">
        <v>2</v>
      </c>
      <c r="W93">
        <v>2.8</v>
      </c>
      <c r="X93">
        <v>1.9</v>
      </c>
      <c r="Y93">
        <v>2</v>
      </c>
      <c r="Z93">
        <v>2.5</v>
      </c>
      <c r="AA93">
        <v>2.1</v>
      </c>
      <c r="AB93">
        <v>2</v>
      </c>
      <c r="AC93">
        <v>2.2000000000000002</v>
      </c>
      <c r="AD93">
        <v>1.8</v>
      </c>
      <c r="AE93">
        <v>2</v>
      </c>
      <c r="AF93">
        <v>4.2</v>
      </c>
      <c r="AG93">
        <v>4</v>
      </c>
      <c r="AH93">
        <v>2</v>
      </c>
      <c r="AI93">
        <v>4</v>
      </c>
      <c r="AJ93">
        <v>4</v>
      </c>
      <c r="AK93">
        <v>2</v>
      </c>
      <c r="AL93">
        <v>4.9000000000000004</v>
      </c>
      <c r="AM93">
        <v>4</v>
      </c>
      <c r="AN93">
        <v>5.7</v>
      </c>
      <c r="AO93">
        <v>4</v>
      </c>
      <c r="AP93">
        <v>3.9</v>
      </c>
      <c r="AQ93">
        <v>4</v>
      </c>
      <c r="AR93">
        <v>6.3</v>
      </c>
      <c r="AS93">
        <v>4</v>
      </c>
      <c r="AT93">
        <v>-4.0999999999999996</v>
      </c>
      <c r="AU93">
        <v>-4.7</v>
      </c>
      <c r="AV93">
        <v>-5</v>
      </c>
      <c r="AW93">
        <v>-2.6</v>
      </c>
      <c r="AX93">
        <v>24.2</v>
      </c>
      <c r="AY93">
        <v>-5</v>
      </c>
      <c r="AZ93">
        <v>10.199999999999999</v>
      </c>
      <c r="BA93">
        <v>10</v>
      </c>
      <c r="BB93">
        <v>10.9</v>
      </c>
      <c r="BC93">
        <v>10</v>
      </c>
      <c r="BD93">
        <v>4.7</v>
      </c>
      <c r="BE93">
        <v>4</v>
      </c>
      <c r="BF93">
        <v>11.6</v>
      </c>
      <c r="BG93">
        <v>10</v>
      </c>
      <c r="BH93">
        <v>13.6</v>
      </c>
      <c r="BI93">
        <v>10</v>
      </c>
      <c r="BJ93">
        <v>10.4</v>
      </c>
      <c r="BK93">
        <v>9</v>
      </c>
      <c r="BL93">
        <v>20.399999999999999</v>
      </c>
      <c r="BM93">
        <v>19</v>
      </c>
      <c r="BN93">
        <v>22.2</v>
      </c>
      <c r="BO93">
        <v>19</v>
      </c>
      <c r="BP93">
        <v>21.8</v>
      </c>
      <c r="BQ93">
        <v>20</v>
      </c>
      <c r="BR93">
        <v>21.9</v>
      </c>
      <c r="BS93">
        <v>25</v>
      </c>
      <c r="BT93">
        <v>21.9</v>
      </c>
      <c r="BU93">
        <v>25</v>
      </c>
      <c r="BV93">
        <v>24.1</v>
      </c>
      <c r="BW93">
        <v>18</v>
      </c>
      <c r="BX93">
        <v>20.2</v>
      </c>
      <c r="BY93">
        <v>20</v>
      </c>
      <c r="BZ93">
        <v>18</v>
      </c>
      <c r="CA93">
        <v>20</v>
      </c>
      <c r="CB93">
        <v>10.5</v>
      </c>
      <c r="CC93">
        <v>10</v>
      </c>
      <c r="CD93">
        <v>10.7</v>
      </c>
      <c r="CE93">
        <v>10</v>
      </c>
      <c r="CF93">
        <v>12.2</v>
      </c>
      <c r="CG93">
        <v>9</v>
      </c>
      <c r="CH93">
        <v>12.4</v>
      </c>
      <c r="CI93">
        <v>9</v>
      </c>
    </row>
    <row r="94" spans="1:87" x14ac:dyDescent="0.35">
      <c r="A94" s="1">
        <v>46059.511111111111</v>
      </c>
      <c r="B94">
        <v>-17.100000000000001</v>
      </c>
      <c r="C94">
        <v>-17.2</v>
      </c>
      <c r="D94">
        <v>-25</v>
      </c>
      <c r="E94">
        <v>-17.3</v>
      </c>
      <c r="F94">
        <v>-17.100000000000001</v>
      </c>
      <c r="G94">
        <v>-25</v>
      </c>
      <c r="H94">
        <v>-17.899999999999999</v>
      </c>
      <c r="I94">
        <v>-15.5</v>
      </c>
      <c r="J94">
        <v>-25</v>
      </c>
      <c r="K94">
        <v>-17.399999999999999</v>
      </c>
      <c r="L94">
        <v>-18.2</v>
      </c>
      <c r="M94">
        <v>-25</v>
      </c>
      <c r="N94">
        <v>-18.100000000000001</v>
      </c>
      <c r="O94">
        <v>-19.100000000000001</v>
      </c>
      <c r="P94">
        <v>-25</v>
      </c>
      <c r="Q94">
        <v>-15.6</v>
      </c>
      <c r="R94">
        <v>8.8000000000000007</v>
      </c>
      <c r="S94">
        <v>-25</v>
      </c>
      <c r="T94">
        <v>3</v>
      </c>
      <c r="U94">
        <v>2.7</v>
      </c>
      <c r="V94">
        <v>2</v>
      </c>
      <c r="W94">
        <v>2.8</v>
      </c>
      <c r="X94">
        <v>2</v>
      </c>
      <c r="Y94">
        <v>2</v>
      </c>
      <c r="Z94">
        <v>2.6</v>
      </c>
      <c r="AA94">
        <v>2.2000000000000002</v>
      </c>
      <c r="AB94">
        <v>2</v>
      </c>
      <c r="AC94">
        <v>2.2999999999999998</v>
      </c>
      <c r="AD94">
        <v>2</v>
      </c>
      <c r="AE94">
        <v>2</v>
      </c>
      <c r="AF94">
        <v>4.2</v>
      </c>
      <c r="AG94">
        <v>4</v>
      </c>
      <c r="AH94">
        <v>2</v>
      </c>
      <c r="AI94">
        <v>4</v>
      </c>
      <c r="AJ94">
        <v>2.5</v>
      </c>
      <c r="AK94">
        <v>2</v>
      </c>
      <c r="AL94">
        <v>4.7</v>
      </c>
      <c r="AM94">
        <v>4</v>
      </c>
      <c r="AN94">
        <v>5.7</v>
      </c>
      <c r="AO94">
        <v>4</v>
      </c>
      <c r="AP94">
        <v>3.2</v>
      </c>
      <c r="AQ94">
        <v>4</v>
      </c>
      <c r="AR94">
        <v>6.5</v>
      </c>
      <c r="AS94">
        <v>4</v>
      </c>
      <c r="AT94">
        <v>-3.7</v>
      </c>
      <c r="AU94">
        <v>-4</v>
      </c>
      <c r="AV94">
        <v>-5</v>
      </c>
      <c r="AW94">
        <v>-2.6</v>
      </c>
      <c r="AX94">
        <v>25.9</v>
      </c>
      <c r="AY94">
        <v>-5</v>
      </c>
      <c r="AZ94">
        <v>10.4</v>
      </c>
      <c r="BA94">
        <v>10</v>
      </c>
      <c r="BB94">
        <v>10.7</v>
      </c>
      <c r="BC94">
        <v>10</v>
      </c>
      <c r="BD94">
        <v>4.2</v>
      </c>
      <c r="BE94">
        <v>4</v>
      </c>
      <c r="BF94">
        <v>11.9</v>
      </c>
      <c r="BG94">
        <v>10</v>
      </c>
      <c r="BH94">
        <v>13.5</v>
      </c>
      <c r="BI94">
        <v>10</v>
      </c>
      <c r="BJ94">
        <v>10.4</v>
      </c>
      <c r="BK94">
        <v>9</v>
      </c>
      <c r="BL94">
        <v>20.5</v>
      </c>
      <c r="BM94">
        <v>19</v>
      </c>
      <c r="BN94">
        <v>22.2</v>
      </c>
      <c r="BO94">
        <v>19</v>
      </c>
      <c r="BP94">
        <v>21.8</v>
      </c>
      <c r="BQ94">
        <v>20</v>
      </c>
      <c r="BR94">
        <v>21.9</v>
      </c>
      <c r="BS94">
        <v>25</v>
      </c>
      <c r="BT94">
        <v>21.9</v>
      </c>
      <c r="BU94">
        <v>25</v>
      </c>
      <c r="BV94">
        <v>24.1</v>
      </c>
      <c r="BW94">
        <v>18</v>
      </c>
      <c r="BX94">
        <v>20.399999999999999</v>
      </c>
      <c r="BY94">
        <v>20</v>
      </c>
      <c r="BZ94">
        <v>18.3</v>
      </c>
      <c r="CA94">
        <v>20</v>
      </c>
      <c r="CB94">
        <v>10.4</v>
      </c>
      <c r="CC94">
        <v>10</v>
      </c>
      <c r="CD94">
        <v>10.7</v>
      </c>
      <c r="CE94">
        <v>10</v>
      </c>
      <c r="CF94">
        <v>12.1</v>
      </c>
      <c r="CG94">
        <v>9</v>
      </c>
      <c r="CH94">
        <v>12.4</v>
      </c>
      <c r="CI94">
        <v>9</v>
      </c>
    </row>
    <row r="95" spans="1:87" x14ac:dyDescent="0.35">
      <c r="A95" s="1">
        <v>46059.511805555558</v>
      </c>
      <c r="B95">
        <v>-17.100000000000001</v>
      </c>
      <c r="C95">
        <v>-17.3</v>
      </c>
      <c r="D95">
        <v>-25</v>
      </c>
      <c r="E95">
        <v>-17.5</v>
      </c>
      <c r="F95">
        <v>-17.100000000000001</v>
      </c>
      <c r="G95">
        <v>-25</v>
      </c>
      <c r="H95">
        <v>-17.899999999999999</v>
      </c>
      <c r="I95">
        <v>-15.5</v>
      </c>
      <c r="J95">
        <v>-25</v>
      </c>
      <c r="K95">
        <v>-17.399999999999999</v>
      </c>
      <c r="L95">
        <v>-18.2</v>
      </c>
      <c r="M95">
        <v>-25</v>
      </c>
      <c r="N95">
        <v>-18.100000000000001</v>
      </c>
      <c r="O95">
        <v>-18.8</v>
      </c>
      <c r="P95">
        <v>-25</v>
      </c>
      <c r="Q95">
        <v>-15.6</v>
      </c>
      <c r="R95">
        <v>3.6</v>
      </c>
      <c r="S95">
        <v>-25</v>
      </c>
      <c r="T95">
        <v>3</v>
      </c>
      <c r="U95">
        <v>2.7</v>
      </c>
      <c r="V95">
        <v>2</v>
      </c>
      <c r="W95">
        <v>2.8</v>
      </c>
      <c r="X95">
        <v>0.8</v>
      </c>
      <c r="Y95">
        <v>2</v>
      </c>
      <c r="Z95">
        <v>2.6</v>
      </c>
      <c r="AA95">
        <v>2.2000000000000002</v>
      </c>
      <c r="AB95">
        <v>2</v>
      </c>
      <c r="AC95">
        <v>2.4</v>
      </c>
      <c r="AD95">
        <v>2.1</v>
      </c>
      <c r="AE95">
        <v>2</v>
      </c>
      <c r="AF95">
        <v>4</v>
      </c>
      <c r="AG95">
        <v>3.6</v>
      </c>
      <c r="AH95">
        <v>2</v>
      </c>
      <c r="AI95">
        <v>3.8</v>
      </c>
      <c r="AJ95">
        <v>1.5</v>
      </c>
      <c r="AK95">
        <v>2</v>
      </c>
      <c r="AL95">
        <v>4.5</v>
      </c>
      <c r="AM95">
        <v>4</v>
      </c>
      <c r="AN95">
        <v>5.8</v>
      </c>
      <c r="AO95">
        <v>4</v>
      </c>
      <c r="AP95">
        <v>3.1</v>
      </c>
      <c r="AQ95">
        <v>4</v>
      </c>
      <c r="AR95">
        <v>6.5</v>
      </c>
      <c r="AS95">
        <v>4</v>
      </c>
      <c r="AT95">
        <v>-3.2</v>
      </c>
      <c r="AU95">
        <v>-3.5</v>
      </c>
      <c r="AV95">
        <v>-5</v>
      </c>
      <c r="AW95">
        <v>-2.6</v>
      </c>
      <c r="AX95">
        <v>26.3</v>
      </c>
      <c r="AY95">
        <v>-5</v>
      </c>
      <c r="AZ95">
        <v>10.5</v>
      </c>
      <c r="BA95">
        <v>10</v>
      </c>
      <c r="BB95">
        <v>10.6</v>
      </c>
      <c r="BC95">
        <v>10</v>
      </c>
      <c r="BD95">
        <v>3.8</v>
      </c>
      <c r="BE95">
        <v>4</v>
      </c>
      <c r="BF95">
        <v>12.1</v>
      </c>
      <c r="BG95">
        <v>10</v>
      </c>
      <c r="BH95">
        <v>13.4</v>
      </c>
      <c r="BI95">
        <v>10</v>
      </c>
      <c r="BJ95">
        <v>10.5</v>
      </c>
      <c r="BK95">
        <v>9</v>
      </c>
      <c r="BL95">
        <v>20.5</v>
      </c>
      <c r="BM95">
        <v>19</v>
      </c>
      <c r="BN95">
        <v>22.2</v>
      </c>
      <c r="BO95">
        <v>19</v>
      </c>
      <c r="BP95">
        <v>21.8</v>
      </c>
      <c r="BQ95">
        <v>20</v>
      </c>
      <c r="BR95">
        <v>21.9</v>
      </c>
      <c r="BS95">
        <v>25</v>
      </c>
      <c r="BT95">
        <v>21.9</v>
      </c>
      <c r="BU95">
        <v>25</v>
      </c>
      <c r="BV95">
        <v>24.1</v>
      </c>
      <c r="BW95">
        <v>18</v>
      </c>
      <c r="BX95">
        <v>20.5</v>
      </c>
      <c r="BY95">
        <v>20</v>
      </c>
      <c r="BZ95">
        <v>18.899999999999999</v>
      </c>
      <c r="CA95">
        <v>20</v>
      </c>
      <c r="CB95">
        <v>10.3</v>
      </c>
      <c r="CC95">
        <v>10</v>
      </c>
      <c r="CD95">
        <v>10.7</v>
      </c>
      <c r="CE95">
        <v>10</v>
      </c>
      <c r="CF95">
        <v>12.1</v>
      </c>
      <c r="CG95">
        <v>9</v>
      </c>
      <c r="CH95">
        <v>12.4</v>
      </c>
      <c r="CI95">
        <v>9</v>
      </c>
    </row>
    <row r="96" spans="1:87" x14ac:dyDescent="0.35">
      <c r="A96" s="1">
        <v>46059.512499999997</v>
      </c>
      <c r="B96">
        <v>-17.399999999999999</v>
      </c>
      <c r="C96">
        <v>-18.8</v>
      </c>
      <c r="D96">
        <v>-25</v>
      </c>
      <c r="E96">
        <v>-18</v>
      </c>
      <c r="F96">
        <v>-17.100000000000001</v>
      </c>
      <c r="G96">
        <v>-25</v>
      </c>
      <c r="H96">
        <v>-17.899999999999999</v>
      </c>
      <c r="I96">
        <v>-15.5</v>
      </c>
      <c r="J96">
        <v>-25</v>
      </c>
      <c r="K96">
        <v>-17.399999999999999</v>
      </c>
      <c r="L96">
        <v>-18.100000000000001</v>
      </c>
      <c r="M96">
        <v>-25</v>
      </c>
      <c r="N96">
        <v>-18.100000000000001</v>
      </c>
      <c r="O96">
        <v>-18.7</v>
      </c>
      <c r="P96">
        <v>-25</v>
      </c>
      <c r="Q96">
        <v>-3.5</v>
      </c>
      <c r="R96">
        <v>1.5</v>
      </c>
      <c r="S96">
        <v>-25</v>
      </c>
      <c r="T96">
        <v>2.9</v>
      </c>
      <c r="U96">
        <v>2.4</v>
      </c>
      <c r="V96">
        <v>2</v>
      </c>
      <c r="W96">
        <v>2.6</v>
      </c>
      <c r="X96">
        <v>0.9</v>
      </c>
      <c r="Y96">
        <v>2</v>
      </c>
      <c r="Z96">
        <v>2.7</v>
      </c>
      <c r="AA96">
        <v>2.4</v>
      </c>
      <c r="AB96">
        <v>2</v>
      </c>
      <c r="AC96">
        <v>2.4</v>
      </c>
      <c r="AD96">
        <v>2.2000000000000002</v>
      </c>
      <c r="AE96">
        <v>2</v>
      </c>
      <c r="AF96">
        <v>3.7</v>
      </c>
      <c r="AG96">
        <v>3.3</v>
      </c>
      <c r="AH96">
        <v>2</v>
      </c>
      <c r="AI96">
        <v>3.5</v>
      </c>
      <c r="AJ96">
        <v>2.1</v>
      </c>
      <c r="AK96">
        <v>2</v>
      </c>
      <c r="AL96">
        <v>4.3</v>
      </c>
      <c r="AM96">
        <v>4</v>
      </c>
      <c r="AN96">
        <v>5.8</v>
      </c>
      <c r="AO96">
        <v>4</v>
      </c>
      <c r="AP96">
        <v>3.1</v>
      </c>
      <c r="AQ96">
        <v>4</v>
      </c>
      <c r="AR96">
        <v>6.7</v>
      </c>
      <c r="AS96">
        <v>4</v>
      </c>
      <c r="AT96">
        <v>-2.9</v>
      </c>
      <c r="AU96">
        <v>-3.2</v>
      </c>
      <c r="AV96">
        <v>-5</v>
      </c>
      <c r="AW96">
        <v>-2.6</v>
      </c>
      <c r="AX96">
        <v>25</v>
      </c>
      <c r="AY96">
        <v>-5</v>
      </c>
      <c r="AZ96">
        <v>10.6</v>
      </c>
      <c r="BA96">
        <v>10</v>
      </c>
      <c r="BB96">
        <v>10.4</v>
      </c>
      <c r="BC96">
        <v>10</v>
      </c>
      <c r="BD96">
        <v>3.7</v>
      </c>
      <c r="BE96">
        <v>4</v>
      </c>
      <c r="BF96">
        <v>11.8</v>
      </c>
      <c r="BG96">
        <v>10</v>
      </c>
      <c r="BH96">
        <v>13.3</v>
      </c>
      <c r="BI96">
        <v>10</v>
      </c>
      <c r="BJ96">
        <v>10.5</v>
      </c>
      <c r="BK96">
        <v>9</v>
      </c>
      <c r="BL96">
        <v>20.5</v>
      </c>
      <c r="BM96">
        <v>19</v>
      </c>
      <c r="BN96">
        <v>22.2</v>
      </c>
      <c r="BO96">
        <v>19</v>
      </c>
      <c r="BP96">
        <v>21.8</v>
      </c>
      <c r="BQ96">
        <v>20</v>
      </c>
      <c r="BR96">
        <v>21.9</v>
      </c>
      <c r="BS96">
        <v>25</v>
      </c>
      <c r="BT96">
        <v>21.9</v>
      </c>
      <c r="BU96">
        <v>25</v>
      </c>
      <c r="BV96">
        <v>24.1</v>
      </c>
      <c r="BW96">
        <v>18</v>
      </c>
      <c r="BX96">
        <v>20.6</v>
      </c>
      <c r="BY96">
        <v>20</v>
      </c>
      <c r="BZ96">
        <v>19.3</v>
      </c>
      <c r="CA96">
        <v>20</v>
      </c>
      <c r="CB96">
        <v>10.1</v>
      </c>
      <c r="CC96">
        <v>10</v>
      </c>
      <c r="CD96">
        <v>10.7</v>
      </c>
      <c r="CE96">
        <v>10</v>
      </c>
      <c r="CF96">
        <v>12.1</v>
      </c>
      <c r="CG96">
        <v>9</v>
      </c>
      <c r="CH96">
        <v>12.4</v>
      </c>
      <c r="CI96">
        <v>9</v>
      </c>
    </row>
    <row r="97" spans="1:87" x14ac:dyDescent="0.35">
      <c r="A97" s="1">
        <v>46059.513194444444</v>
      </c>
      <c r="B97">
        <v>-17.7</v>
      </c>
      <c r="C97">
        <v>-20</v>
      </c>
      <c r="D97">
        <v>-25</v>
      </c>
      <c r="E97">
        <v>-18.399999999999999</v>
      </c>
      <c r="F97">
        <v>-17.3</v>
      </c>
      <c r="G97">
        <v>-25</v>
      </c>
      <c r="H97">
        <v>-17.7</v>
      </c>
      <c r="I97">
        <v>-15.5</v>
      </c>
      <c r="J97">
        <v>-25</v>
      </c>
      <c r="K97">
        <v>-17.399999999999999</v>
      </c>
      <c r="L97">
        <v>-18</v>
      </c>
      <c r="M97">
        <v>-25</v>
      </c>
      <c r="N97">
        <v>-18.100000000000001</v>
      </c>
      <c r="O97">
        <v>-18.7</v>
      </c>
      <c r="P97">
        <v>-25</v>
      </c>
      <c r="Q97">
        <v>-4.9000000000000004</v>
      </c>
      <c r="R97">
        <v>-1.6</v>
      </c>
      <c r="S97">
        <v>-25</v>
      </c>
      <c r="T97">
        <v>2.7</v>
      </c>
      <c r="U97">
        <v>2.2999999999999998</v>
      </c>
      <c r="V97">
        <v>2</v>
      </c>
      <c r="W97">
        <v>2.5</v>
      </c>
      <c r="X97">
        <v>1.1000000000000001</v>
      </c>
      <c r="Y97">
        <v>2</v>
      </c>
      <c r="Z97">
        <v>2.8</v>
      </c>
      <c r="AA97">
        <v>2.5</v>
      </c>
      <c r="AB97">
        <v>2</v>
      </c>
      <c r="AC97">
        <v>2.5</v>
      </c>
      <c r="AD97">
        <v>2.2999999999999998</v>
      </c>
      <c r="AE97">
        <v>2</v>
      </c>
      <c r="AF97">
        <v>3.6</v>
      </c>
      <c r="AG97">
        <v>3.2</v>
      </c>
      <c r="AH97">
        <v>2</v>
      </c>
      <c r="AI97">
        <v>3.4</v>
      </c>
      <c r="AJ97">
        <v>2.4</v>
      </c>
      <c r="AK97">
        <v>2</v>
      </c>
      <c r="AL97">
        <v>4.2</v>
      </c>
      <c r="AM97">
        <v>4</v>
      </c>
      <c r="AN97">
        <v>5.9</v>
      </c>
      <c r="AO97">
        <v>4</v>
      </c>
      <c r="AP97">
        <v>3.3</v>
      </c>
      <c r="AQ97">
        <v>4</v>
      </c>
      <c r="AR97">
        <v>6.8</v>
      </c>
      <c r="AS97">
        <v>4</v>
      </c>
      <c r="AT97">
        <v>-2.8</v>
      </c>
      <c r="AU97">
        <v>-3.7</v>
      </c>
      <c r="AV97">
        <v>-5</v>
      </c>
      <c r="AW97">
        <v>28.2</v>
      </c>
      <c r="AX97">
        <v>22.5</v>
      </c>
      <c r="AY97">
        <v>-5</v>
      </c>
      <c r="AZ97">
        <v>10.7</v>
      </c>
      <c r="BA97">
        <v>10</v>
      </c>
      <c r="BB97">
        <v>10.4</v>
      </c>
      <c r="BC97">
        <v>10</v>
      </c>
      <c r="BD97">
        <v>3.7</v>
      </c>
      <c r="BE97">
        <v>4</v>
      </c>
      <c r="BF97">
        <v>10.7</v>
      </c>
      <c r="BG97">
        <v>10</v>
      </c>
      <c r="BH97">
        <v>13.2</v>
      </c>
      <c r="BI97">
        <v>10</v>
      </c>
      <c r="BJ97">
        <v>10.5</v>
      </c>
      <c r="BK97">
        <v>9</v>
      </c>
      <c r="BL97">
        <v>20.5</v>
      </c>
      <c r="BM97">
        <v>19</v>
      </c>
      <c r="BN97">
        <v>22.3</v>
      </c>
      <c r="BO97">
        <v>19</v>
      </c>
      <c r="BP97">
        <v>21.8</v>
      </c>
      <c r="BQ97">
        <v>20</v>
      </c>
      <c r="BR97">
        <v>21.9</v>
      </c>
      <c r="BS97">
        <v>25</v>
      </c>
      <c r="BT97">
        <v>21.9</v>
      </c>
      <c r="BU97">
        <v>25</v>
      </c>
      <c r="BV97">
        <v>24.1</v>
      </c>
      <c r="BW97">
        <v>18</v>
      </c>
      <c r="BX97">
        <v>20.7</v>
      </c>
      <c r="BY97">
        <v>20</v>
      </c>
      <c r="BZ97">
        <v>19.5</v>
      </c>
      <c r="CA97">
        <v>20</v>
      </c>
      <c r="CB97">
        <v>10.1</v>
      </c>
      <c r="CC97">
        <v>10</v>
      </c>
      <c r="CD97">
        <v>10.7</v>
      </c>
      <c r="CE97">
        <v>10</v>
      </c>
      <c r="CF97">
        <v>12.2</v>
      </c>
      <c r="CG97">
        <v>9</v>
      </c>
      <c r="CH97">
        <v>12.5</v>
      </c>
      <c r="CI97">
        <v>9</v>
      </c>
    </row>
    <row r="98" spans="1:87" x14ac:dyDescent="0.35">
      <c r="A98" s="1">
        <v>46059.513888888891</v>
      </c>
      <c r="B98">
        <v>-18</v>
      </c>
      <c r="C98">
        <v>-19.7</v>
      </c>
      <c r="D98">
        <v>-25</v>
      </c>
      <c r="E98">
        <v>-18.7</v>
      </c>
      <c r="F98">
        <v>-17.5</v>
      </c>
      <c r="G98">
        <v>-25</v>
      </c>
      <c r="H98">
        <v>-17.7</v>
      </c>
      <c r="I98">
        <v>-15.5</v>
      </c>
      <c r="J98">
        <v>-25</v>
      </c>
      <c r="K98">
        <v>-17.399999999999999</v>
      </c>
      <c r="L98">
        <v>-18</v>
      </c>
      <c r="M98">
        <v>-25</v>
      </c>
      <c r="N98">
        <v>-18.100000000000001</v>
      </c>
      <c r="O98">
        <v>-18.600000000000001</v>
      </c>
      <c r="P98">
        <v>-25</v>
      </c>
      <c r="Q98">
        <v>-6.3</v>
      </c>
      <c r="R98">
        <v>-2.6</v>
      </c>
      <c r="S98">
        <v>-25</v>
      </c>
      <c r="T98">
        <v>2.7</v>
      </c>
      <c r="U98">
        <v>2.2999999999999998</v>
      </c>
      <c r="V98">
        <v>2</v>
      </c>
      <c r="W98">
        <v>2.5</v>
      </c>
      <c r="X98">
        <v>1.4</v>
      </c>
      <c r="Y98">
        <v>2</v>
      </c>
      <c r="Z98">
        <v>2.9</v>
      </c>
      <c r="AA98">
        <v>2.6</v>
      </c>
      <c r="AB98">
        <v>2</v>
      </c>
      <c r="AC98">
        <v>2.6</v>
      </c>
      <c r="AD98">
        <v>2.4</v>
      </c>
      <c r="AE98">
        <v>2</v>
      </c>
      <c r="AF98">
        <v>3.6</v>
      </c>
      <c r="AG98">
        <v>3.2</v>
      </c>
      <c r="AH98">
        <v>2</v>
      </c>
      <c r="AI98">
        <v>3.4</v>
      </c>
      <c r="AJ98">
        <v>2.6</v>
      </c>
      <c r="AK98">
        <v>2</v>
      </c>
      <c r="AL98">
        <v>4</v>
      </c>
      <c r="AM98">
        <v>4</v>
      </c>
      <c r="AN98">
        <v>5.9</v>
      </c>
      <c r="AO98">
        <v>4</v>
      </c>
      <c r="AP98">
        <v>3.6</v>
      </c>
      <c r="AQ98">
        <v>4</v>
      </c>
      <c r="AR98">
        <v>6.9</v>
      </c>
      <c r="AS98">
        <v>4</v>
      </c>
      <c r="AT98">
        <v>-3</v>
      </c>
      <c r="AU98">
        <v>-4.9000000000000004</v>
      </c>
      <c r="AV98">
        <v>-5</v>
      </c>
      <c r="AW98">
        <v>21.4</v>
      </c>
      <c r="AX98">
        <v>13.5</v>
      </c>
      <c r="AY98">
        <v>-5</v>
      </c>
      <c r="AZ98">
        <v>10.8</v>
      </c>
      <c r="BA98">
        <v>10</v>
      </c>
      <c r="BB98">
        <v>10.4</v>
      </c>
      <c r="BC98">
        <v>10</v>
      </c>
      <c r="BD98">
        <v>4</v>
      </c>
      <c r="BE98">
        <v>4</v>
      </c>
      <c r="BF98">
        <v>10.1</v>
      </c>
      <c r="BG98">
        <v>10</v>
      </c>
      <c r="BH98">
        <v>13.1</v>
      </c>
      <c r="BI98">
        <v>10</v>
      </c>
      <c r="BJ98">
        <v>10.5</v>
      </c>
      <c r="BK98">
        <v>9</v>
      </c>
      <c r="BL98">
        <v>20.5</v>
      </c>
      <c r="BM98">
        <v>19</v>
      </c>
      <c r="BN98">
        <v>22.3</v>
      </c>
      <c r="BO98">
        <v>19</v>
      </c>
      <c r="BP98">
        <v>21.8</v>
      </c>
      <c r="BQ98">
        <v>20</v>
      </c>
      <c r="BR98">
        <v>21.9</v>
      </c>
      <c r="BS98">
        <v>25</v>
      </c>
      <c r="BT98">
        <v>21.9</v>
      </c>
      <c r="BU98">
        <v>25</v>
      </c>
      <c r="BV98">
        <v>24.1</v>
      </c>
      <c r="BW98">
        <v>18</v>
      </c>
      <c r="BX98">
        <v>20.7</v>
      </c>
      <c r="BY98">
        <v>20</v>
      </c>
      <c r="BZ98">
        <v>19.7</v>
      </c>
      <c r="CA98">
        <v>20</v>
      </c>
      <c r="CB98">
        <v>10</v>
      </c>
      <c r="CC98">
        <v>10</v>
      </c>
      <c r="CD98">
        <v>10.7</v>
      </c>
      <c r="CE98">
        <v>10</v>
      </c>
      <c r="CF98">
        <v>12.1</v>
      </c>
      <c r="CG98">
        <v>9</v>
      </c>
      <c r="CH98">
        <v>12.4</v>
      </c>
      <c r="CI98">
        <v>9</v>
      </c>
    </row>
    <row r="99" spans="1:87" x14ac:dyDescent="0.35">
      <c r="A99" s="1">
        <v>46059.51458333333</v>
      </c>
      <c r="B99">
        <v>-18.100000000000001</v>
      </c>
      <c r="C99">
        <v>-18.899999999999999</v>
      </c>
      <c r="D99">
        <v>-25</v>
      </c>
      <c r="E99">
        <v>-18.7</v>
      </c>
      <c r="F99">
        <v>-17.600000000000001</v>
      </c>
      <c r="G99">
        <v>-25</v>
      </c>
      <c r="H99">
        <v>-17.7</v>
      </c>
      <c r="I99">
        <v>-15.5</v>
      </c>
      <c r="J99">
        <v>-25</v>
      </c>
      <c r="K99">
        <v>-17.399999999999999</v>
      </c>
      <c r="L99">
        <v>-18</v>
      </c>
      <c r="M99">
        <v>-25</v>
      </c>
      <c r="N99">
        <v>-18.100000000000001</v>
      </c>
      <c r="O99">
        <v>-18.600000000000001</v>
      </c>
      <c r="P99">
        <v>-25</v>
      </c>
      <c r="Q99">
        <v>-6.9</v>
      </c>
      <c r="R99">
        <v>-7.4</v>
      </c>
      <c r="S99">
        <v>-25</v>
      </c>
      <c r="T99">
        <v>2.7</v>
      </c>
      <c r="U99">
        <v>2.2999999999999998</v>
      </c>
      <c r="V99">
        <v>2</v>
      </c>
      <c r="W99">
        <v>2.4</v>
      </c>
      <c r="X99">
        <v>1.3</v>
      </c>
      <c r="Y99">
        <v>2</v>
      </c>
      <c r="Z99">
        <v>3</v>
      </c>
      <c r="AA99">
        <v>2.7</v>
      </c>
      <c r="AB99">
        <v>2</v>
      </c>
      <c r="AC99">
        <v>2.8</v>
      </c>
      <c r="AD99">
        <v>2.6</v>
      </c>
      <c r="AE99">
        <v>2</v>
      </c>
      <c r="AF99">
        <v>3.5</v>
      </c>
      <c r="AG99">
        <v>3.2</v>
      </c>
      <c r="AH99">
        <v>2</v>
      </c>
      <c r="AI99">
        <v>3.4</v>
      </c>
      <c r="AJ99">
        <v>2.6</v>
      </c>
      <c r="AK99">
        <v>2</v>
      </c>
      <c r="AL99">
        <v>3.9</v>
      </c>
      <c r="AM99">
        <v>4</v>
      </c>
      <c r="AN99">
        <v>5.9</v>
      </c>
      <c r="AO99">
        <v>4</v>
      </c>
      <c r="AP99">
        <v>3.9</v>
      </c>
      <c r="AQ99">
        <v>4</v>
      </c>
      <c r="AR99">
        <v>6.9</v>
      </c>
      <c r="AS99">
        <v>4</v>
      </c>
      <c r="AT99">
        <v>-3.4</v>
      </c>
      <c r="AU99">
        <v>-5.5</v>
      </c>
      <c r="AV99">
        <v>-5</v>
      </c>
      <c r="AW99">
        <v>9.1</v>
      </c>
      <c r="AX99">
        <v>3.3</v>
      </c>
      <c r="AY99">
        <v>-5</v>
      </c>
      <c r="AZ99">
        <v>10.9</v>
      </c>
      <c r="BA99">
        <v>10</v>
      </c>
      <c r="BB99">
        <v>10.3</v>
      </c>
      <c r="BC99">
        <v>10</v>
      </c>
      <c r="BD99">
        <v>4.2</v>
      </c>
      <c r="BE99">
        <v>4</v>
      </c>
      <c r="BF99">
        <v>9.6</v>
      </c>
      <c r="BG99">
        <v>10</v>
      </c>
      <c r="BH99">
        <v>13</v>
      </c>
      <c r="BI99">
        <v>10</v>
      </c>
      <c r="BJ99">
        <v>10.5</v>
      </c>
      <c r="BK99">
        <v>9</v>
      </c>
      <c r="BL99">
        <v>20.5</v>
      </c>
      <c r="BM99">
        <v>19</v>
      </c>
      <c r="BN99">
        <v>22.3</v>
      </c>
      <c r="BO99">
        <v>19</v>
      </c>
      <c r="BP99">
        <v>21.9</v>
      </c>
      <c r="BQ99">
        <v>20</v>
      </c>
      <c r="BR99">
        <v>21.9</v>
      </c>
      <c r="BS99">
        <v>25</v>
      </c>
      <c r="BT99">
        <v>21.9</v>
      </c>
      <c r="BU99">
        <v>25</v>
      </c>
      <c r="BV99">
        <v>24.1</v>
      </c>
      <c r="BW99">
        <v>18</v>
      </c>
      <c r="BX99">
        <v>20.8</v>
      </c>
      <c r="BY99">
        <v>20</v>
      </c>
      <c r="BZ99">
        <v>20</v>
      </c>
      <c r="CA99">
        <v>20</v>
      </c>
      <c r="CB99">
        <v>10.1</v>
      </c>
      <c r="CC99">
        <v>10</v>
      </c>
      <c r="CD99">
        <v>10.7</v>
      </c>
      <c r="CE99">
        <v>10</v>
      </c>
      <c r="CF99">
        <v>12</v>
      </c>
      <c r="CG99">
        <v>9</v>
      </c>
      <c r="CH99">
        <v>12.3</v>
      </c>
      <c r="CI99">
        <v>9</v>
      </c>
    </row>
    <row r="100" spans="1:87" x14ac:dyDescent="0.35">
      <c r="A100" s="1">
        <v>46059.515277777777</v>
      </c>
      <c r="B100">
        <v>-18.100000000000001</v>
      </c>
      <c r="C100">
        <v>-18.399999999999999</v>
      </c>
      <c r="D100">
        <v>-25</v>
      </c>
      <c r="E100">
        <v>-18.399999999999999</v>
      </c>
      <c r="F100">
        <v>-17.600000000000001</v>
      </c>
      <c r="G100">
        <v>-25</v>
      </c>
      <c r="H100">
        <v>-17.8</v>
      </c>
      <c r="I100">
        <v>-15.5</v>
      </c>
      <c r="J100">
        <v>-25</v>
      </c>
      <c r="K100">
        <v>-17.399999999999999</v>
      </c>
      <c r="L100">
        <v>-18</v>
      </c>
      <c r="M100">
        <v>-25</v>
      </c>
      <c r="N100">
        <v>-18.2</v>
      </c>
      <c r="O100">
        <v>-18.899999999999999</v>
      </c>
      <c r="P100">
        <v>-25</v>
      </c>
      <c r="Q100">
        <v>-7.8</v>
      </c>
      <c r="R100">
        <v>-10.199999999999999</v>
      </c>
      <c r="S100">
        <v>-25</v>
      </c>
      <c r="T100">
        <v>2.5</v>
      </c>
      <c r="U100">
        <v>2.1</v>
      </c>
      <c r="V100">
        <v>2</v>
      </c>
      <c r="W100">
        <v>2.2000000000000002</v>
      </c>
      <c r="X100">
        <v>-0.6</v>
      </c>
      <c r="Y100">
        <v>2</v>
      </c>
      <c r="Z100">
        <v>3.1</v>
      </c>
      <c r="AA100">
        <v>2.8</v>
      </c>
      <c r="AB100">
        <v>2</v>
      </c>
      <c r="AC100">
        <v>2.8</v>
      </c>
      <c r="AD100">
        <v>2.6</v>
      </c>
      <c r="AE100">
        <v>2</v>
      </c>
      <c r="AF100">
        <v>3.4</v>
      </c>
      <c r="AG100">
        <v>3</v>
      </c>
      <c r="AH100">
        <v>2</v>
      </c>
      <c r="AI100">
        <v>3.2</v>
      </c>
      <c r="AJ100">
        <v>0.9</v>
      </c>
      <c r="AK100">
        <v>2</v>
      </c>
      <c r="AL100">
        <v>3.8</v>
      </c>
      <c r="AM100">
        <v>4</v>
      </c>
      <c r="AN100">
        <v>6</v>
      </c>
      <c r="AO100">
        <v>4</v>
      </c>
      <c r="AP100">
        <v>4.0999999999999996</v>
      </c>
      <c r="AQ100">
        <v>4</v>
      </c>
      <c r="AR100">
        <v>6.5</v>
      </c>
      <c r="AS100">
        <v>4</v>
      </c>
      <c r="AT100">
        <v>-3.7</v>
      </c>
      <c r="AU100">
        <v>-5.8</v>
      </c>
      <c r="AV100">
        <v>-5</v>
      </c>
      <c r="AW100">
        <v>3.8</v>
      </c>
      <c r="AX100">
        <v>1.5</v>
      </c>
      <c r="AY100">
        <v>-5</v>
      </c>
      <c r="AZ100">
        <v>11</v>
      </c>
      <c r="BA100">
        <v>10</v>
      </c>
      <c r="BB100">
        <v>10.199999999999999</v>
      </c>
      <c r="BC100">
        <v>10</v>
      </c>
      <c r="BD100">
        <v>4.5</v>
      </c>
      <c r="BE100">
        <v>4</v>
      </c>
      <c r="BF100">
        <v>9.5</v>
      </c>
      <c r="BG100">
        <v>10</v>
      </c>
      <c r="BH100">
        <v>12.8</v>
      </c>
      <c r="BI100">
        <v>10</v>
      </c>
      <c r="BJ100">
        <v>10.5</v>
      </c>
      <c r="BK100">
        <v>9</v>
      </c>
      <c r="BL100">
        <v>20.6</v>
      </c>
      <c r="BM100">
        <v>19</v>
      </c>
      <c r="BN100">
        <v>22.3</v>
      </c>
      <c r="BO100">
        <v>19</v>
      </c>
      <c r="BP100">
        <v>21.9</v>
      </c>
      <c r="BQ100">
        <v>20</v>
      </c>
      <c r="BR100">
        <v>21.9</v>
      </c>
      <c r="BS100">
        <v>25</v>
      </c>
      <c r="BT100">
        <v>21.9</v>
      </c>
      <c r="BU100">
        <v>25</v>
      </c>
      <c r="BV100">
        <v>24.1</v>
      </c>
      <c r="BW100">
        <v>18</v>
      </c>
      <c r="BX100">
        <v>20.9</v>
      </c>
      <c r="BY100">
        <v>20</v>
      </c>
      <c r="BZ100">
        <v>20.100000000000001</v>
      </c>
      <c r="CA100">
        <v>20</v>
      </c>
      <c r="CB100">
        <v>10.5</v>
      </c>
      <c r="CC100">
        <v>10</v>
      </c>
      <c r="CD100">
        <v>10.6</v>
      </c>
      <c r="CE100">
        <v>10</v>
      </c>
      <c r="CF100">
        <v>12</v>
      </c>
      <c r="CG100">
        <v>9</v>
      </c>
      <c r="CH100">
        <v>12.3</v>
      </c>
      <c r="CI100">
        <v>9</v>
      </c>
    </row>
    <row r="101" spans="1:87" x14ac:dyDescent="0.35">
      <c r="A101" s="1">
        <v>46059.515972222223</v>
      </c>
      <c r="B101">
        <v>-17.899999999999999</v>
      </c>
      <c r="C101">
        <v>-18</v>
      </c>
      <c r="D101">
        <v>-25</v>
      </c>
      <c r="E101">
        <v>-18.100000000000001</v>
      </c>
      <c r="F101">
        <v>-17.600000000000001</v>
      </c>
      <c r="G101">
        <v>-25</v>
      </c>
      <c r="H101">
        <v>-17.899999999999999</v>
      </c>
      <c r="I101">
        <v>-15.6</v>
      </c>
      <c r="J101">
        <v>-25</v>
      </c>
      <c r="K101">
        <v>-17.399999999999999</v>
      </c>
      <c r="L101">
        <v>-18.2</v>
      </c>
      <c r="M101">
        <v>-25</v>
      </c>
      <c r="N101">
        <v>-18.3</v>
      </c>
      <c r="O101">
        <v>-19.3</v>
      </c>
      <c r="P101">
        <v>-25</v>
      </c>
      <c r="Q101">
        <v>-8.9</v>
      </c>
      <c r="R101">
        <v>-12.5</v>
      </c>
      <c r="S101">
        <v>-25</v>
      </c>
      <c r="T101">
        <v>2.2999999999999998</v>
      </c>
      <c r="U101">
        <v>1.8</v>
      </c>
      <c r="V101">
        <v>2</v>
      </c>
      <c r="W101">
        <v>2</v>
      </c>
      <c r="X101">
        <v>-1.2</v>
      </c>
      <c r="Y101">
        <v>2</v>
      </c>
      <c r="Z101">
        <v>3.1</v>
      </c>
      <c r="AA101">
        <v>2.9</v>
      </c>
      <c r="AB101">
        <v>2</v>
      </c>
      <c r="AC101">
        <v>2.9</v>
      </c>
      <c r="AD101">
        <v>2.7</v>
      </c>
      <c r="AE101">
        <v>2</v>
      </c>
      <c r="AF101">
        <v>3.1</v>
      </c>
      <c r="AG101">
        <v>2.6</v>
      </c>
      <c r="AH101">
        <v>2</v>
      </c>
      <c r="AI101">
        <v>2.9</v>
      </c>
      <c r="AJ101">
        <v>0.1</v>
      </c>
      <c r="AK101">
        <v>2</v>
      </c>
      <c r="AL101">
        <v>3.8</v>
      </c>
      <c r="AM101">
        <v>4</v>
      </c>
      <c r="AN101">
        <v>6</v>
      </c>
      <c r="AO101">
        <v>4</v>
      </c>
      <c r="AP101">
        <v>4.3</v>
      </c>
      <c r="AQ101">
        <v>4</v>
      </c>
      <c r="AR101">
        <v>6.3</v>
      </c>
      <c r="AS101">
        <v>4</v>
      </c>
      <c r="AT101">
        <v>-3.9</v>
      </c>
      <c r="AU101">
        <v>-6.1</v>
      </c>
      <c r="AV101">
        <v>-5</v>
      </c>
      <c r="AW101">
        <v>2.1</v>
      </c>
      <c r="AX101">
        <v>1.3</v>
      </c>
      <c r="AY101">
        <v>-5</v>
      </c>
      <c r="AZ101">
        <v>11.1</v>
      </c>
      <c r="BA101">
        <v>10</v>
      </c>
      <c r="BB101">
        <v>10.1</v>
      </c>
      <c r="BC101">
        <v>10</v>
      </c>
      <c r="BD101">
        <v>4.8</v>
      </c>
      <c r="BE101">
        <v>4</v>
      </c>
      <c r="BF101">
        <v>10</v>
      </c>
      <c r="BG101">
        <v>10</v>
      </c>
      <c r="BH101">
        <v>12.7</v>
      </c>
      <c r="BI101">
        <v>10</v>
      </c>
      <c r="BJ101">
        <v>10.5</v>
      </c>
      <c r="BK101">
        <v>9</v>
      </c>
      <c r="BL101">
        <v>20.6</v>
      </c>
      <c r="BM101">
        <v>19</v>
      </c>
      <c r="BN101">
        <v>22.4</v>
      </c>
      <c r="BO101">
        <v>19</v>
      </c>
      <c r="BP101">
        <v>21.9</v>
      </c>
      <c r="BQ101">
        <v>20</v>
      </c>
      <c r="BR101">
        <v>22</v>
      </c>
      <c r="BS101">
        <v>25</v>
      </c>
      <c r="BT101">
        <v>21.9</v>
      </c>
      <c r="BU101">
        <v>25</v>
      </c>
      <c r="BV101">
        <v>24</v>
      </c>
      <c r="BW101">
        <v>18</v>
      </c>
      <c r="BX101">
        <v>20.9</v>
      </c>
      <c r="BY101">
        <v>20</v>
      </c>
      <c r="BZ101">
        <v>20.2</v>
      </c>
      <c r="CA101">
        <v>20</v>
      </c>
      <c r="CB101">
        <v>10.9</v>
      </c>
      <c r="CC101">
        <v>10</v>
      </c>
      <c r="CD101">
        <v>10.5</v>
      </c>
      <c r="CE101">
        <v>10</v>
      </c>
      <c r="CF101">
        <v>12</v>
      </c>
      <c r="CG101">
        <v>9</v>
      </c>
      <c r="CH101">
        <v>12.3</v>
      </c>
      <c r="CI101">
        <v>9</v>
      </c>
    </row>
    <row r="102" spans="1:87" x14ac:dyDescent="0.35">
      <c r="A102" s="1">
        <v>46059.51666666667</v>
      </c>
      <c r="B102">
        <v>-17.600000000000001</v>
      </c>
      <c r="C102">
        <v>-17.8</v>
      </c>
      <c r="D102">
        <v>-25</v>
      </c>
      <c r="E102">
        <v>-17.8</v>
      </c>
      <c r="F102">
        <v>-17.600000000000001</v>
      </c>
      <c r="G102">
        <v>-25</v>
      </c>
      <c r="H102">
        <v>-18</v>
      </c>
      <c r="I102">
        <v>-15.6</v>
      </c>
      <c r="J102">
        <v>-25</v>
      </c>
      <c r="K102">
        <v>-17.399999999999999</v>
      </c>
      <c r="L102">
        <v>-18.2</v>
      </c>
      <c r="M102">
        <v>-25</v>
      </c>
      <c r="N102">
        <v>-18.5</v>
      </c>
      <c r="O102">
        <v>-19.7</v>
      </c>
      <c r="P102">
        <v>-25</v>
      </c>
      <c r="Q102">
        <v>-9.8000000000000007</v>
      </c>
      <c r="R102">
        <v>-13.3</v>
      </c>
      <c r="S102">
        <v>-25</v>
      </c>
      <c r="T102">
        <v>2.2000000000000002</v>
      </c>
      <c r="U102">
        <v>1.7</v>
      </c>
      <c r="V102">
        <v>2</v>
      </c>
      <c r="W102">
        <v>1.9</v>
      </c>
      <c r="X102">
        <v>0.1</v>
      </c>
      <c r="Y102">
        <v>2</v>
      </c>
      <c r="Z102">
        <v>3.2</v>
      </c>
      <c r="AA102">
        <v>2.9</v>
      </c>
      <c r="AB102">
        <v>2</v>
      </c>
      <c r="AC102">
        <v>3</v>
      </c>
      <c r="AD102">
        <v>2.8</v>
      </c>
      <c r="AE102">
        <v>2</v>
      </c>
      <c r="AF102">
        <v>2.7</v>
      </c>
      <c r="AG102">
        <v>2.2000000000000002</v>
      </c>
      <c r="AH102">
        <v>2</v>
      </c>
      <c r="AI102">
        <v>2.5</v>
      </c>
      <c r="AJ102">
        <v>-0.3</v>
      </c>
      <c r="AK102">
        <v>2</v>
      </c>
      <c r="AL102">
        <v>3.8</v>
      </c>
      <c r="AM102">
        <v>4</v>
      </c>
      <c r="AN102">
        <v>5.7</v>
      </c>
      <c r="AO102">
        <v>4</v>
      </c>
      <c r="AP102">
        <v>4.5</v>
      </c>
      <c r="AQ102">
        <v>4</v>
      </c>
      <c r="AR102">
        <v>6.3</v>
      </c>
      <c r="AS102">
        <v>4</v>
      </c>
      <c r="AT102">
        <v>-4.2</v>
      </c>
      <c r="AU102">
        <v>-6.4</v>
      </c>
      <c r="AV102">
        <v>-5</v>
      </c>
      <c r="AW102">
        <v>1</v>
      </c>
      <c r="AX102">
        <v>-1</v>
      </c>
      <c r="AY102">
        <v>-5</v>
      </c>
      <c r="AZ102">
        <v>11.2</v>
      </c>
      <c r="BA102">
        <v>10</v>
      </c>
      <c r="BB102">
        <v>10.1</v>
      </c>
      <c r="BC102">
        <v>10</v>
      </c>
      <c r="BD102">
        <v>5</v>
      </c>
      <c r="BE102">
        <v>4</v>
      </c>
      <c r="BF102">
        <v>10.4</v>
      </c>
      <c r="BG102">
        <v>10</v>
      </c>
      <c r="BH102">
        <v>12.6</v>
      </c>
      <c r="BI102">
        <v>10</v>
      </c>
      <c r="BJ102">
        <v>10.5</v>
      </c>
      <c r="BK102">
        <v>9</v>
      </c>
      <c r="BL102">
        <v>20.6</v>
      </c>
      <c r="BM102">
        <v>19</v>
      </c>
      <c r="BN102">
        <v>22.4</v>
      </c>
      <c r="BO102">
        <v>19</v>
      </c>
      <c r="BP102">
        <v>21.9</v>
      </c>
      <c r="BQ102">
        <v>20</v>
      </c>
      <c r="BR102">
        <v>22</v>
      </c>
      <c r="BS102">
        <v>25</v>
      </c>
      <c r="BT102">
        <v>21.9</v>
      </c>
      <c r="BU102">
        <v>25</v>
      </c>
      <c r="BV102">
        <v>24</v>
      </c>
      <c r="BW102">
        <v>18</v>
      </c>
      <c r="BX102">
        <v>21</v>
      </c>
      <c r="BY102">
        <v>20</v>
      </c>
      <c r="BZ102">
        <v>20.3</v>
      </c>
      <c r="CA102">
        <v>20</v>
      </c>
      <c r="CB102">
        <v>11.3</v>
      </c>
      <c r="CC102">
        <v>10</v>
      </c>
      <c r="CD102">
        <v>10.5</v>
      </c>
      <c r="CE102">
        <v>10</v>
      </c>
      <c r="CF102">
        <v>12</v>
      </c>
      <c r="CG102">
        <v>9</v>
      </c>
      <c r="CH102">
        <v>12.3</v>
      </c>
      <c r="CI102">
        <v>9</v>
      </c>
    </row>
    <row r="103" spans="1:87" x14ac:dyDescent="0.35">
      <c r="A103" s="1">
        <v>46059.517361111109</v>
      </c>
      <c r="B103">
        <v>-17.399999999999999</v>
      </c>
      <c r="C103">
        <v>-17.5</v>
      </c>
      <c r="D103">
        <v>-25</v>
      </c>
      <c r="E103">
        <v>-17.600000000000001</v>
      </c>
      <c r="F103">
        <v>-17.600000000000001</v>
      </c>
      <c r="G103">
        <v>-25</v>
      </c>
      <c r="H103">
        <v>-18</v>
      </c>
      <c r="I103">
        <v>-15.7</v>
      </c>
      <c r="J103">
        <v>-25</v>
      </c>
      <c r="K103">
        <v>-17.399999999999999</v>
      </c>
      <c r="L103">
        <v>-18.3</v>
      </c>
      <c r="M103">
        <v>-25</v>
      </c>
      <c r="N103">
        <v>-18.7</v>
      </c>
      <c r="O103">
        <v>-19.7</v>
      </c>
      <c r="P103">
        <v>-25</v>
      </c>
      <c r="Q103">
        <v>-10.7</v>
      </c>
      <c r="R103">
        <v>-14.4</v>
      </c>
      <c r="S103">
        <v>-25</v>
      </c>
      <c r="T103">
        <v>2.2000000000000002</v>
      </c>
      <c r="U103">
        <v>1.8</v>
      </c>
      <c r="V103">
        <v>2</v>
      </c>
      <c r="W103">
        <v>1.9</v>
      </c>
      <c r="X103">
        <v>0.8</v>
      </c>
      <c r="Y103">
        <v>2</v>
      </c>
      <c r="Z103">
        <v>3.3</v>
      </c>
      <c r="AA103">
        <v>3</v>
      </c>
      <c r="AB103">
        <v>2</v>
      </c>
      <c r="AC103">
        <v>3.1</v>
      </c>
      <c r="AD103">
        <v>2.9</v>
      </c>
      <c r="AE103">
        <v>2</v>
      </c>
      <c r="AF103">
        <v>2.6</v>
      </c>
      <c r="AG103">
        <v>2.1</v>
      </c>
      <c r="AH103">
        <v>2</v>
      </c>
      <c r="AI103">
        <v>2.4</v>
      </c>
      <c r="AJ103">
        <v>0.9</v>
      </c>
      <c r="AK103">
        <v>2</v>
      </c>
      <c r="AL103">
        <v>3.8</v>
      </c>
      <c r="AM103">
        <v>4</v>
      </c>
      <c r="AN103">
        <v>5.4</v>
      </c>
      <c r="AO103">
        <v>4</v>
      </c>
      <c r="AP103">
        <v>4.7</v>
      </c>
      <c r="AQ103">
        <v>4</v>
      </c>
      <c r="AR103">
        <v>6.3</v>
      </c>
      <c r="AS103">
        <v>4</v>
      </c>
      <c r="AT103">
        <v>-4.4000000000000004</v>
      </c>
      <c r="AU103">
        <v>-6.6</v>
      </c>
      <c r="AV103">
        <v>-5</v>
      </c>
      <c r="AW103">
        <v>0.1</v>
      </c>
      <c r="AX103">
        <v>-1.4</v>
      </c>
      <c r="AY103">
        <v>-5</v>
      </c>
      <c r="AZ103">
        <v>11.3</v>
      </c>
      <c r="BA103">
        <v>10</v>
      </c>
      <c r="BB103">
        <v>10.1</v>
      </c>
      <c r="BC103">
        <v>10</v>
      </c>
      <c r="BD103">
        <v>5.0999999999999996</v>
      </c>
      <c r="BE103">
        <v>4</v>
      </c>
      <c r="BF103">
        <v>10.7</v>
      </c>
      <c r="BG103">
        <v>10</v>
      </c>
      <c r="BH103">
        <v>12.6</v>
      </c>
      <c r="BI103">
        <v>10</v>
      </c>
      <c r="BJ103">
        <v>10.5</v>
      </c>
      <c r="BK103">
        <v>9</v>
      </c>
      <c r="BL103">
        <v>20.6</v>
      </c>
      <c r="BM103">
        <v>19</v>
      </c>
      <c r="BN103">
        <v>22.4</v>
      </c>
      <c r="BO103">
        <v>19</v>
      </c>
      <c r="BP103">
        <v>21.9</v>
      </c>
      <c r="BQ103">
        <v>20</v>
      </c>
      <c r="BR103">
        <v>22</v>
      </c>
      <c r="BS103">
        <v>25</v>
      </c>
      <c r="BT103">
        <v>21.9</v>
      </c>
      <c r="BU103">
        <v>25</v>
      </c>
      <c r="BV103">
        <v>24</v>
      </c>
      <c r="BW103">
        <v>18</v>
      </c>
      <c r="BX103">
        <v>21</v>
      </c>
      <c r="BY103">
        <v>20</v>
      </c>
      <c r="BZ103">
        <v>20.399999999999999</v>
      </c>
      <c r="CA103">
        <v>20</v>
      </c>
      <c r="CB103">
        <v>11.7</v>
      </c>
      <c r="CC103">
        <v>10</v>
      </c>
      <c r="CD103">
        <v>10.4</v>
      </c>
      <c r="CE103">
        <v>10</v>
      </c>
      <c r="CF103">
        <v>12</v>
      </c>
      <c r="CG103">
        <v>9</v>
      </c>
      <c r="CH103">
        <v>12.2</v>
      </c>
      <c r="CI103">
        <v>9</v>
      </c>
    </row>
    <row r="104" spans="1:87" x14ac:dyDescent="0.35">
      <c r="A104" s="1">
        <v>46059.518055555556</v>
      </c>
      <c r="B104">
        <v>-17.2</v>
      </c>
      <c r="C104">
        <v>-17.3</v>
      </c>
      <c r="D104">
        <v>-25</v>
      </c>
      <c r="E104">
        <v>-17.399999999999999</v>
      </c>
      <c r="F104">
        <v>-17.5</v>
      </c>
      <c r="G104">
        <v>-25</v>
      </c>
      <c r="H104">
        <v>-18.100000000000001</v>
      </c>
      <c r="I104">
        <v>-15.7</v>
      </c>
      <c r="J104">
        <v>-25</v>
      </c>
      <c r="K104">
        <v>-17.5</v>
      </c>
      <c r="L104">
        <v>-18.3</v>
      </c>
      <c r="M104">
        <v>-25</v>
      </c>
      <c r="N104">
        <v>-18.8</v>
      </c>
      <c r="O104">
        <v>-19.7</v>
      </c>
      <c r="P104">
        <v>-25</v>
      </c>
      <c r="Q104">
        <v>-11.5</v>
      </c>
      <c r="R104">
        <v>-15</v>
      </c>
      <c r="S104">
        <v>-25</v>
      </c>
      <c r="T104">
        <v>2.2000000000000002</v>
      </c>
      <c r="U104">
        <v>2</v>
      </c>
      <c r="V104">
        <v>2</v>
      </c>
      <c r="W104">
        <v>2</v>
      </c>
      <c r="X104">
        <v>1.1000000000000001</v>
      </c>
      <c r="Y104">
        <v>2</v>
      </c>
      <c r="Z104">
        <v>3.4</v>
      </c>
      <c r="AA104">
        <v>3.1</v>
      </c>
      <c r="AB104">
        <v>2</v>
      </c>
      <c r="AC104">
        <v>3.2</v>
      </c>
      <c r="AD104">
        <v>3</v>
      </c>
      <c r="AE104">
        <v>2</v>
      </c>
      <c r="AF104">
        <v>2.6</v>
      </c>
      <c r="AG104">
        <v>2.2000000000000002</v>
      </c>
      <c r="AH104">
        <v>2</v>
      </c>
      <c r="AI104">
        <v>2.4</v>
      </c>
      <c r="AJ104">
        <v>1.6</v>
      </c>
      <c r="AK104">
        <v>2</v>
      </c>
      <c r="AL104">
        <v>3.9</v>
      </c>
      <c r="AM104">
        <v>4</v>
      </c>
      <c r="AN104">
        <v>5.2</v>
      </c>
      <c r="AO104">
        <v>4</v>
      </c>
      <c r="AP104">
        <v>4.9000000000000004</v>
      </c>
      <c r="AQ104">
        <v>4</v>
      </c>
      <c r="AR104">
        <v>6.5</v>
      </c>
      <c r="AS104">
        <v>4</v>
      </c>
      <c r="AT104">
        <v>-4.5999999999999996</v>
      </c>
      <c r="AU104">
        <v>-6.7</v>
      </c>
      <c r="AV104">
        <v>-5</v>
      </c>
      <c r="AW104">
        <v>-0.5</v>
      </c>
      <c r="AX104">
        <v>-2.6</v>
      </c>
      <c r="AY104">
        <v>-5</v>
      </c>
      <c r="AZ104">
        <v>11.4</v>
      </c>
      <c r="BA104">
        <v>10</v>
      </c>
      <c r="BB104">
        <v>10.199999999999999</v>
      </c>
      <c r="BC104">
        <v>10</v>
      </c>
      <c r="BD104">
        <v>5.4</v>
      </c>
      <c r="BE104">
        <v>4</v>
      </c>
      <c r="BF104">
        <v>11</v>
      </c>
      <c r="BG104">
        <v>10</v>
      </c>
      <c r="BH104">
        <v>12.5</v>
      </c>
      <c r="BI104">
        <v>10</v>
      </c>
      <c r="BJ104">
        <v>10.5</v>
      </c>
      <c r="BK104">
        <v>9</v>
      </c>
      <c r="BL104">
        <v>20.7</v>
      </c>
      <c r="BM104">
        <v>19</v>
      </c>
      <c r="BN104">
        <v>22.4</v>
      </c>
      <c r="BO104">
        <v>19</v>
      </c>
      <c r="BP104">
        <v>21.9</v>
      </c>
      <c r="BQ104">
        <v>20</v>
      </c>
      <c r="BR104">
        <v>22</v>
      </c>
      <c r="BS104">
        <v>25</v>
      </c>
      <c r="BT104">
        <v>21.9</v>
      </c>
      <c r="BU104">
        <v>25</v>
      </c>
      <c r="BV104">
        <v>24</v>
      </c>
      <c r="BW104">
        <v>18</v>
      </c>
      <c r="BX104">
        <v>21</v>
      </c>
      <c r="BY104">
        <v>20</v>
      </c>
      <c r="BZ104">
        <v>20.5</v>
      </c>
      <c r="CA104">
        <v>20</v>
      </c>
      <c r="CB104">
        <v>12</v>
      </c>
      <c r="CC104">
        <v>10</v>
      </c>
      <c r="CD104">
        <v>10.4</v>
      </c>
      <c r="CE104">
        <v>10</v>
      </c>
      <c r="CF104">
        <v>11.9</v>
      </c>
      <c r="CG104">
        <v>9</v>
      </c>
      <c r="CH104">
        <v>12.1</v>
      </c>
      <c r="CI104">
        <v>9</v>
      </c>
    </row>
    <row r="105" spans="1:87" x14ac:dyDescent="0.35">
      <c r="A105" s="1">
        <v>46059.518750000003</v>
      </c>
      <c r="B105">
        <v>-17.100000000000001</v>
      </c>
      <c r="C105">
        <v>-17.100000000000001</v>
      </c>
      <c r="D105">
        <v>-25</v>
      </c>
      <c r="E105">
        <v>-17.3</v>
      </c>
      <c r="F105">
        <v>-17.399999999999999</v>
      </c>
      <c r="G105">
        <v>-25</v>
      </c>
      <c r="H105">
        <v>-18.100000000000001</v>
      </c>
      <c r="I105">
        <v>-15.7</v>
      </c>
      <c r="J105">
        <v>-25</v>
      </c>
      <c r="K105">
        <v>-17.600000000000001</v>
      </c>
      <c r="L105">
        <v>-18.399999999999999</v>
      </c>
      <c r="M105">
        <v>-25</v>
      </c>
      <c r="N105">
        <v>-18.899999999999999</v>
      </c>
      <c r="O105">
        <v>-19.7</v>
      </c>
      <c r="P105">
        <v>-25</v>
      </c>
      <c r="Q105">
        <v>-12.4</v>
      </c>
      <c r="R105">
        <v>-16</v>
      </c>
      <c r="S105">
        <v>-25</v>
      </c>
      <c r="T105">
        <v>2.2999999999999998</v>
      </c>
      <c r="U105">
        <v>2.1</v>
      </c>
      <c r="V105">
        <v>2</v>
      </c>
      <c r="W105">
        <v>2.1</v>
      </c>
      <c r="X105">
        <v>1.3</v>
      </c>
      <c r="Y105">
        <v>2</v>
      </c>
      <c r="Z105">
        <v>3.4</v>
      </c>
      <c r="AA105">
        <v>3.2</v>
      </c>
      <c r="AB105">
        <v>2</v>
      </c>
      <c r="AC105">
        <v>3.3</v>
      </c>
      <c r="AD105">
        <v>3.1</v>
      </c>
      <c r="AE105">
        <v>2</v>
      </c>
      <c r="AF105">
        <v>2.7</v>
      </c>
      <c r="AG105">
        <v>2.5</v>
      </c>
      <c r="AH105">
        <v>2</v>
      </c>
      <c r="AI105">
        <v>2.6</v>
      </c>
      <c r="AJ105">
        <v>2.1</v>
      </c>
      <c r="AK105">
        <v>2</v>
      </c>
      <c r="AL105">
        <v>4</v>
      </c>
      <c r="AM105">
        <v>4</v>
      </c>
      <c r="AN105">
        <v>5</v>
      </c>
      <c r="AO105">
        <v>4</v>
      </c>
      <c r="AP105">
        <v>5.0999999999999996</v>
      </c>
      <c r="AQ105">
        <v>4</v>
      </c>
      <c r="AR105">
        <v>6.7</v>
      </c>
      <c r="AS105">
        <v>4</v>
      </c>
      <c r="AT105">
        <v>-4.7</v>
      </c>
      <c r="AU105">
        <v>-6.8</v>
      </c>
      <c r="AV105">
        <v>-5</v>
      </c>
      <c r="AW105">
        <v>-1.2</v>
      </c>
      <c r="AX105">
        <v>-3.2</v>
      </c>
      <c r="AY105">
        <v>-5</v>
      </c>
      <c r="AZ105">
        <v>11.5</v>
      </c>
      <c r="BA105">
        <v>10</v>
      </c>
      <c r="BB105">
        <v>10.199999999999999</v>
      </c>
      <c r="BC105">
        <v>10</v>
      </c>
      <c r="BD105">
        <v>5.5</v>
      </c>
      <c r="BE105">
        <v>4</v>
      </c>
      <c r="BF105">
        <v>11.2</v>
      </c>
      <c r="BG105">
        <v>10</v>
      </c>
      <c r="BH105">
        <v>12.4</v>
      </c>
      <c r="BI105">
        <v>10</v>
      </c>
      <c r="BJ105">
        <v>10.5</v>
      </c>
      <c r="BK105">
        <v>9</v>
      </c>
      <c r="BL105">
        <v>20.7</v>
      </c>
      <c r="BM105">
        <v>19</v>
      </c>
      <c r="BN105">
        <v>22.4</v>
      </c>
      <c r="BO105">
        <v>19</v>
      </c>
      <c r="BP105">
        <v>21.9</v>
      </c>
      <c r="BQ105">
        <v>20</v>
      </c>
      <c r="BR105">
        <v>22</v>
      </c>
      <c r="BS105">
        <v>25</v>
      </c>
      <c r="BT105">
        <v>21.9</v>
      </c>
      <c r="BU105">
        <v>25</v>
      </c>
      <c r="BV105">
        <v>24</v>
      </c>
      <c r="BW105">
        <v>18</v>
      </c>
      <c r="BX105">
        <v>21</v>
      </c>
      <c r="BY105">
        <v>20</v>
      </c>
      <c r="BZ105">
        <v>20.5</v>
      </c>
      <c r="CA105">
        <v>20</v>
      </c>
      <c r="CB105">
        <v>12.1</v>
      </c>
      <c r="CC105">
        <v>10</v>
      </c>
      <c r="CD105">
        <v>10.4</v>
      </c>
      <c r="CE105">
        <v>10</v>
      </c>
      <c r="CF105">
        <v>11.9</v>
      </c>
      <c r="CG105">
        <v>9</v>
      </c>
      <c r="CH105">
        <v>12.1</v>
      </c>
      <c r="CI105">
        <v>9</v>
      </c>
    </row>
    <row r="106" spans="1:87" x14ac:dyDescent="0.35">
      <c r="A106" s="1">
        <v>46059.519444444442</v>
      </c>
      <c r="B106">
        <v>-17.100000000000001</v>
      </c>
      <c r="C106">
        <v>-17.100000000000001</v>
      </c>
      <c r="D106">
        <v>-25</v>
      </c>
      <c r="E106">
        <v>-17.3</v>
      </c>
      <c r="F106">
        <v>-17.3</v>
      </c>
      <c r="G106">
        <v>-25</v>
      </c>
      <c r="H106">
        <v>-18.100000000000001</v>
      </c>
      <c r="I106">
        <v>-15.7</v>
      </c>
      <c r="J106">
        <v>-25</v>
      </c>
      <c r="K106">
        <v>-17.7</v>
      </c>
      <c r="L106">
        <v>-18.399999999999999</v>
      </c>
      <c r="M106">
        <v>-25</v>
      </c>
      <c r="N106">
        <v>-19</v>
      </c>
      <c r="O106">
        <v>-19.7</v>
      </c>
      <c r="P106">
        <v>-25</v>
      </c>
      <c r="Q106">
        <v>-13.2</v>
      </c>
      <c r="R106">
        <v>-16.5</v>
      </c>
      <c r="S106">
        <v>-25</v>
      </c>
      <c r="T106">
        <v>2.2999999999999998</v>
      </c>
      <c r="U106">
        <v>2.1</v>
      </c>
      <c r="V106">
        <v>2</v>
      </c>
      <c r="W106">
        <v>2.2000000000000002</v>
      </c>
      <c r="X106">
        <v>1.5</v>
      </c>
      <c r="Y106">
        <v>2</v>
      </c>
      <c r="Z106">
        <v>3.5</v>
      </c>
      <c r="AA106">
        <v>3.3</v>
      </c>
      <c r="AB106">
        <v>2</v>
      </c>
      <c r="AC106">
        <v>3.3</v>
      </c>
      <c r="AD106">
        <v>3.2</v>
      </c>
      <c r="AE106">
        <v>2</v>
      </c>
      <c r="AF106">
        <v>2.9</v>
      </c>
      <c r="AG106">
        <v>2.6</v>
      </c>
      <c r="AH106">
        <v>2</v>
      </c>
      <c r="AI106">
        <v>2.7</v>
      </c>
      <c r="AJ106">
        <v>2.4</v>
      </c>
      <c r="AK106">
        <v>2</v>
      </c>
      <c r="AL106">
        <v>4.0999999999999996</v>
      </c>
      <c r="AM106">
        <v>4</v>
      </c>
      <c r="AN106">
        <v>4.7</v>
      </c>
      <c r="AO106">
        <v>4</v>
      </c>
      <c r="AP106">
        <v>5.2</v>
      </c>
      <c r="AQ106">
        <v>4</v>
      </c>
      <c r="AR106">
        <v>6.8</v>
      </c>
      <c r="AS106">
        <v>4</v>
      </c>
      <c r="AT106">
        <v>-4.8</v>
      </c>
      <c r="AU106">
        <v>-6.9</v>
      </c>
      <c r="AV106">
        <v>-5</v>
      </c>
      <c r="AW106">
        <v>-1.6</v>
      </c>
      <c r="AX106">
        <v>-3.8</v>
      </c>
      <c r="AY106">
        <v>-5</v>
      </c>
      <c r="AZ106">
        <v>11.5</v>
      </c>
      <c r="BA106">
        <v>10</v>
      </c>
      <c r="BB106">
        <v>10.199999999999999</v>
      </c>
      <c r="BC106">
        <v>10</v>
      </c>
      <c r="BD106">
        <v>5.7</v>
      </c>
      <c r="BE106">
        <v>4</v>
      </c>
      <c r="BF106">
        <v>11.5</v>
      </c>
      <c r="BG106">
        <v>10</v>
      </c>
      <c r="BH106">
        <v>12.3</v>
      </c>
      <c r="BI106">
        <v>10</v>
      </c>
      <c r="BJ106">
        <v>10.5</v>
      </c>
      <c r="BK106">
        <v>9</v>
      </c>
      <c r="BL106">
        <v>20.7</v>
      </c>
      <c r="BM106">
        <v>19</v>
      </c>
      <c r="BN106">
        <v>22.4</v>
      </c>
      <c r="BO106">
        <v>19</v>
      </c>
      <c r="BP106">
        <v>21.9</v>
      </c>
      <c r="BQ106">
        <v>20</v>
      </c>
      <c r="BR106">
        <v>22</v>
      </c>
      <c r="BS106">
        <v>25</v>
      </c>
      <c r="BT106">
        <v>21.9</v>
      </c>
      <c r="BU106">
        <v>25</v>
      </c>
      <c r="BV106">
        <v>24</v>
      </c>
      <c r="BW106">
        <v>18</v>
      </c>
      <c r="BX106">
        <v>21.1</v>
      </c>
      <c r="BY106">
        <v>20</v>
      </c>
      <c r="BZ106">
        <v>20.6</v>
      </c>
      <c r="CA106">
        <v>20</v>
      </c>
      <c r="CB106">
        <v>11.9</v>
      </c>
      <c r="CC106">
        <v>10</v>
      </c>
      <c r="CD106">
        <v>10.4</v>
      </c>
      <c r="CE106">
        <v>10</v>
      </c>
      <c r="CF106">
        <v>11.9</v>
      </c>
      <c r="CG106">
        <v>9</v>
      </c>
      <c r="CH106">
        <v>12.1</v>
      </c>
      <c r="CI106">
        <v>9</v>
      </c>
    </row>
    <row r="107" spans="1:87" x14ac:dyDescent="0.35">
      <c r="A107" s="1">
        <v>46059.520138888889</v>
      </c>
      <c r="B107">
        <v>-17.100000000000001</v>
      </c>
      <c r="C107">
        <v>-17.2</v>
      </c>
      <c r="D107">
        <v>-25</v>
      </c>
      <c r="E107">
        <v>-17.399999999999999</v>
      </c>
      <c r="F107">
        <v>-17.3</v>
      </c>
      <c r="G107">
        <v>-25</v>
      </c>
      <c r="H107">
        <v>-18.2</v>
      </c>
      <c r="I107">
        <v>-15.8</v>
      </c>
      <c r="J107">
        <v>-25</v>
      </c>
      <c r="K107">
        <v>-17.7</v>
      </c>
      <c r="L107">
        <v>-18.399999999999999</v>
      </c>
      <c r="M107">
        <v>-25</v>
      </c>
      <c r="N107">
        <v>-19.100000000000001</v>
      </c>
      <c r="O107">
        <v>-20.100000000000001</v>
      </c>
      <c r="P107">
        <v>-25</v>
      </c>
      <c r="Q107">
        <v>-14</v>
      </c>
      <c r="R107">
        <v>-16.899999999999999</v>
      </c>
      <c r="S107">
        <v>-25</v>
      </c>
      <c r="T107">
        <v>2.4</v>
      </c>
      <c r="U107">
        <v>2.2000000000000002</v>
      </c>
      <c r="V107">
        <v>2</v>
      </c>
      <c r="W107">
        <v>2.2000000000000002</v>
      </c>
      <c r="X107">
        <v>1.7</v>
      </c>
      <c r="Y107">
        <v>2</v>
      </c>
      <c r="Z107">
        <v>3.6</v>
      </c>
      <c r="AA107">
        <v>3.4</v>
      </c>
      <c r="AB107">
        <v>2</v>
      </c>
      <c r="AC107">
        <v>3.4</v>
      </c>
      <c r="AD107">
        <v>3.2</v>
      </c>
      <c r="AE107">
        <v>2</v>
      </c>
      <c r="AF107">
        <v>3</v>
      </c>
      <c r="AG107">
        <v>2.9</v>
      </c>
      <c r="AH107">
        <v>2</v>
      </c>
      <c r="AI107">
        <v>2.9</v>
      </c>
      <c r="AJ107">
        <v>2.7</v>
      </c>
      <c r="AK107">
        <v>2</v>
      </c>
      <c r="AL107">
        <v>4.2</v>
      </c>
      <c r="AM107">
        <v>4</v>
      </c>
      <c r="AN107">
        <v>4.5</v>
      </c>
      <c r="AO107">
        <v>4</v>
      </c>
      <c r="AP107">
        <v>5.3</v>
      </c>
      <c r="AQ107">
        <v>4</v>
      </c>
      <c r="AR107">
        <v>7</v>
      </c>
      <c r="AS107">
        <v>4</v>
      </c>
      <c r="AT107">
        <v>-4.9000000000000004</v>
      </c>
      <c r="AU107">
        <v>-7</v>
      </c>
      <c r="AV107">
        <v>-5</v>
      </c>
      <c r="AW107">
        <v>-2</v>
      </c>
      <c r="AX107">
        <v>-4.3</v>
      </c>
      <c r="AY107">
        <v>-5</v>
      </c>
      <c r="AZ107">
        <v>11.6</v>
      </c>
      <c r="BA107">
        <v>10</v>
      </c>
      <c r="BB107">
        <v>10.199999999999999</v>
      </c>
      <c r="BC107">
        <v>10</v>
      </c>
      <c r="BD107">
        <v>5.8</v>
      </c>
      <c r="BE107">
        <v>4</v>
      </c>
      <c r="BF107">
        <v>11.8</v>
      </c>
      <c r="BG107">
        <v>10</v>
      </c>
      <c r="BH107">
        <v>12.2</v>
      </c>
      <c r="BI107">
        <v>10</v>
      </c>
      <c r="BJ107">
        <v>10.5</v>
      </c>
      <c r="BK107">
        <v>9</v>
      </c>
      <c r="BL107">
        <v>20.7</v>
      </c>
      <c r="BM107">
        <v>19</v>
      </c>
      <c r="BN107">
        <v>22.4</v>
      </c>
      <c r="BO107">
        <v>19</v>
      </c>
      <c r="BP107">
        <v>21.9</v>
      </c>
      <c r="BQ107">
        <v>20</v>
      </c>
      <c r="BR107">
        <v>22</v>
      </c>
      <c r="BS107">
        <v>25</v>
      </c>
      <c r="BT107">
        <v>21.9</v>
      </c>
      <c r="BU107">
        <v>25</v>
      </c>
      <c r="BV107">
        <v>24</v>
      </c>
      <c r="BW107">
        <v>18</v>
      </c>
      <c r="BX107">
        <v>21.1</v>
      </c>
      <c r="BY107">
        <v>20</v>
      </c>
      <c r="BZ107">
        <v>20.7</v>
      </c>
      <c r="CA107">
        <v>20</v>
      </c>
      <c r="CB107">
        <v>11.7</v>
      </c>
      <c r="CC107">
        <v>10</v>
      </c>
      <c r="CD107">
        <v>10.3</v>
      </c>
      <c r="CE107">
        <v>10</v>
      </c>
      <c r="CF107">
        <v>11.8</v>
      </c>
      <c r="CG107">
        <v>9</v>
      </c>
      <c r="CH107">
        <v>12</v>
      </c>
      <c r="CI107">
        <v>9</v>
      </c>
    </row>
    <row r="108" spans="1:87" x14ac:dyDescent="0.35">
      <c r="A108" s="1">
        <v>46059.520833333336</v>
      </c>
      <c r="B108">
        <v>-17.2</v>
      </c>
      <c r="C108">
        <v>-17.5</v>
      </c>
      <c r="D108">
        <v>-25</v>
      </c>
      <c r="E108">
        <v>-17.7</v>
      </c>
      <c r="F108">
        <v>-17.3</v>
      </c>
      <c r="G108">
        <v>-25</v>
      </c>
      <c r="H108">
        <v>-18.2</v>
      </c>
      <c r="I108">
        <v>-15.8</v>
      </c>
      <c r="J108">
        <v>-25</v>
      </c>
      <c r="K108">
        <v>-17.7</v>
      </c>
      <c r="L108">
        <v>-18.399999999999999</v>
      </c>
      <c r="M108">
        <v>-25</v>
      </c>
      <c r="N108">
        <v>-19.2</v>
      </c>
      <c r="O108">
        <v>-20</v>
      </c>
      <c r="P108">
        <v>-25</v>
      </c>
      <c r="Q108">
        <v>-14.3</v>
      </c>
      <c r="R108">
        <v>-17.2</v>
      </c>
      <c r="S108">
        <v>-25</v>
      </c>
      <c r="T108">
        <v>2.4</v>
      </c>
      <c r="U108">
        <v>2.2999999999999998</v>
      </c>
      <c r="V108">
        <v>2</v>
      </c>
      <c r="W108">
        <v>2.2999999999999998</v>
      </c>
      <c r="X108">
        <v>1.8</v>
      </c>
      <c r="Y108">
        <v>2</v>
      </c>
      <c r="Z108">
        <v>3.6</v>
      </c>
      <c r="AA108">
        <v>3.4</v>
      </c>
      <c r="AB108">
        <v>2</v>
      </c>
      <c r="AC108">
        <v>3.5</v>
      </c>
      <c r="AD108">
        <v>3.3</v>
      </c>
      <c r="AE108">
        <v>2</v>
      </c>
      <c r="AF108">
        <v>3.2</v>
      </c>
      <c r="AG108">
        <v>3.1</v>
      </c>
      <c r="AH108">
        <v>2</v>
      </c>
      <c r="AI108">
        <v>2.9</v>
      </c>
      <c r="AJ108">
        <v>2.7</v>
      </c>
      <c r="AK108">
        <v>2</v>
      </c>
      <c r="AL108">
        <v>4.2</v>
      </c>
      <c r="AM108">
        <v>4</v>
      </c>
      <c r="AN108">
        <v>4.3</v>
      </c>
      <c r="AO108">
        <v>4</v>
      </c>
      <c r="AP108">
        <v>5.5</v>
      </c>
      <c r="AQ108">
        <v>4</v>
      </c>
      <c r="AR108">
        <v>7.1</v>
      </c>
      <c r="AS108">
        <v>4</v>
      </c>
      <c r="AT108">
        <v>-5.0999999999999996</v>
      </c>
      <c r="AU108">
        <v>-6.8</v>
      </c>
      <c r="AV108">
        <v>-5</v>
      </c>
      <c r="AW108">
        <v>-2.5</v>
      </c>
      <c r="AX108">
        <v>-5</v>
      </c>
      <c r="AY108">
        <v>-5</v>
      </c>
      <c r="AZ108">
        <v>11.7</v>
      </c>
      <c r="BA108">
        <v>10</v>
      </c>
      <c r="BB108">
        <v>10.3</v>
      </c>
      <c r="BC108">
        <v>10</v>
      </c>
      <c r="BD108">
        <v>6</v>
      </c>
      <c r="BE108">
        <v>4</v>
      </c>
      <c r="BF108">
        <v>12</v>
      </c>
      <c r="BG108">
        <v>10</v>
      </c>
      <c r="BH108">
        <v>12.2</v>
      </c>
      <c r="BI108">
        <v>10</v>
      </c>
      <c r="BJ108">
        <v>10.5</v>
      </c>
      <c r="BK108">
        <v>9</v>
      </c>
      <c r="BL108">
        <v>20.7</v>
      </c>
      <c r="BM108">
        <v>19</v>
      </c>
      <c r="BN108">
        <v>22.5</v>
      </c>
      <c r="BO108">
        <v>19</v>
      </c>
      <c r="BP108">
        <v>21.9</v>
      </c>
      <c r="BQ108">
        <v>20</v>
      </c>
      <c r="BR108">
        <v>22</v>
      </c>
      <c r="BS108">
        <v>25</v>
      </c>
      <c r="BT108">
        <v>21.9</v>
      </c>
      <c r="BU108">
        <v>25</v>
      </c>
      <c r="BV108">
        <v>24</v>
      </c>
      <c r="BW108">
        <v>18</v>
      </c>
      <c r="BX108">
        <v>21.2</v>
      </c>
      <c r="BY108">
        <v>20</v>
      </c>
      <c r="BZ108">
        <v>20.7</v>
      </c>
      <c r="CA108">
        <v>20</v>
      </c>
      <c r="CB108">
        <v>11.5</v>
      </c>
      <c r="CC108">
        <v>10</v>
      </c>
      <c r="CD108">
        <v>10.3</v>
      </c>
      <c r="CE108">
        <v>10</v>
      </c>
      <c r="CF108">
        <v>11.7</v>
      </c>
      <c r="CG108">
        <v>9</v>
      </c>
      <c r="CH108">
        <v>11.9</v>
      </c>
      <c r="CI108">
        <v>9</v>
      </c>
    </row>
    <row r="109" spans="1:87" x14ac:dyDescent="0.35">
      <c r="A109" s="1">
        <v>46059.521527777775</v>
      </c>
      <c r="B109">
        <v>-17.3</v>
      </c>
      <c r="C109">
        <v>-17.5</v>
      </c>
      <c r="D109">
        <v>-25</v>
      </c>
      <c r="E109">
        <v>-17.5</v>
      </c>
      <c r="F109">
        <v>-17.3</v>
      </c>
      <c r="G109">
        <v>-25</v>
      </c>
      <c r="H109">
        <v>-18.2</v>
      </c>
      <c r="I109">
        <v>-15.8</v>
      </c>
      <c r="J109">
        <v>-25</v>
      </c>
      <c r="K109">
        <v>-17.7</v>
      </c>
      <c r="L109">
        <v>-18.399999999999999</v>
      </c>
      <c r="M109">
        <v>-25</v>
      </c>
      <c r="N109">
        <v>-19.2</v>
      </c>
      <c r="O109">
        <v>-19.8</v>
      </c>
      <c r="P109">
        <v>-25</v>
      </c>
      <c r="Q109">
        <v>-14.8</v>
      </c>
      <c r="R109">
        <v>-17.5</v>
      </c>
      <c r="S109">
        <v>-25</v>
      </c>
      <c r="T109">
        <v>2.5</v>
      </c>
      <c r="U109">
        <v>2.4</v>
      </c>
      <c r="V109">
        <v>2</v>
      </c>
      <c r="W109">
        <v>2.4</v>
      </c>
      <c r="X109">
        <v>1.9</v>
      </c>
      <c r="Y109">
        <v>2</v>
      </c>
      <c r="Z109">
        <v>3.7</v>
      </c>
      <c r="AA109">
        <v>3.5</v>
      </c>
      <c r="AB109">
        <v>2</v>
      </c>
      <c r="AC109">
        <v>3.6</v>
      </c>
      <c r="AD109">
        <v>3.4</v>
      </c>
      <c r="AE109">
        <v>2</v>
      </c>
      <c r="AF109">
        <v>3.5</v>
      </c>
      <c r="AG109">
        <v>3.3</v>
      </c>
      <c r="AH109">
        <v>2</v>
      </c>
      <c r="AI109">
        <v>2.9</v>
      </c>
      <c r="AJ109">
        <v>2.6</v>
      </c>
      <c r="AK109">
        <v>2</v>
      </c>
      <c r="AL109">
        <v>4.3</v>
      </c>
      <c r="AM109">
        <v>4</v>
      </c>
      <c r="AN109">
        <v>4.0999999999999996</v>
      </c>
      <c r="AO109">
        <v>4</v>
      </c>
      <c r="AP109">
        <v>5.6</v>
      </c>
      <c r="AQ109">
        <v>4</v>
      </c>
      <c r="AR109">
        <v>7.2</v>
      </c>
      <c r="AS109">
        <v>4</v>
      </c>
      <c r="AT109">
        <v>-5.0999999999999996</v>
      </c>
      <c r="AU109">
        <v>-5.9</v>
      </c>
      <c r="AV109">
        <v>-5</v>
      </c>
      <c r="AW109">
        <v>-3</v>
      </c>
      <c r="AX109">
        <v>-5.9</v>
      </c>
      <c r="AY109">
        <v>-5</v>
      </c>
      <c r="AZ109">
        <v>11.8</v>
      </c>
      <c r="BA109">
        <v>10</v>
      </c>
      <c r="BB109">
        <v>10.1</v>
      </c>
      <c r="BC109">
        <v>10</v>
      </c>
      <c r="BD109">
        <v>6</v>
      </c>
      <c r="BE109">
        <v>4</v>
      </c>
      <c r="BF109">
        <v>11.7</v>
      </c>
      <c r="BG109">
        <v>10</v>
      </c>
      <c r="BH109">
        <v>12.1</v>
      </c>
      <c r="BI109">
        <v>10</v>
      </c>
      <c r="BJ109">
        <v>10.5</v>
      </c>
      <c r="BK109">
        <v>9</v>
      </c>
      <c r="BL109">
        <v>20.8</v>
      </c>
      <c r="BM109">
        <v>19</v>
      </c>
      <c r="BN109">
        <v>22.5</v>
      </c>
      <c r="BO109">
        <v>19</v>
      </c>
      <c r="BP109">
        <v>21.9</v>
      </c>
      <c r="BQ109">
        <v>20</v>
      </c>
      <c r="BR109">
        <v>21.9</v>
      </c>
      <c r="BS109">
        <v>25</v>
      </c>
      <c r="BT109">
        <v>21.9</v>
      </c>
      <c r="BU109">
        <v>25</v>
      </c>
      <c r="BV109">
        <v>24</v>
      </c>
      <c r="BW109">
        <v>18</v>
      </c>
      <c r="BX109">
        <v>21.2</v>
      </c>
      <c r="BY109">
        <v>20</v>
      </c>
      <c r="BZ109">
        <v>20.7</v>
      </c>
      <c r="CA109">
        <v>20</v>
      </c>
      <c r="CB109">
        <v>11.3</v>
      </c>
      <c r="CC109">
        <v>10</v>
      </c>
      <c r="CD109">
        <v>10.3</v>
      </c>
      <c r="CE109">
        <v>10</v>
      </c>
      <c r="CF109">
        <v>11.5</v>
      </c>
      <c r="CG109">
        <v>9</v>
      </c>
      <c r="CH109">
        <v>11.7</v>
      </c>
      <c r="CI109">
        <v>9</v>
      </c>
    </row>
    <row r="110" spans="1:87" x14ac:dyDescent="0.35">
      <c r="A110" s="1">
        <v>46059.522222222222</v>
      </c>
      <c r="B110">
        <v>-17.100000000000001</v>
      </c>
      <c r="C110">
        <v>-17.2</v>
      </c>
      <c r="D110">
        <v>-25</v>
      </c>
      <c r="E110">
        <v>-17.100000000000001</v>
      </c>
      <c r="F110">
        <v>-17.2</v>
      </c>
      <c r="G110">
        <v>-25</v>
      </c>
      <c r="H110">
        <v>-18.2</v>
      </c>
      <c r="I110">
        <v>-15.9</v>
      </c>
      <c r="J110">
        <v>-25</v>
      </c>
      <c r="K110">
        <v>-17.7</v>
      </c>
      <c r="L110">
        <v>-18.399999999999999</v>
      </c>
      <c r="M110">
        <v>-25</v>
      </c>
      <c r="N110">
        <v>-19.3</v>
      </c>
      <c r="O110">
        <v>-19.899999999999999</v>
      </c>
      <c r="P110">
        <v>-25</v>
      </c>
      <c r="Q110">
        <v>-15.3</v>
      </c>
      <c r="R110">
        <v>-17.899999999999999</v>
      </c>
      <c r="S110">
        <v>-25</v>
      </c>
      <c r="T110">
        <v>2.6</v>
      </c>
      <c r="U110">
        <v>2.5</v>
      </c>
      <c r="V110">
        <v>2</v>
      </c>
      <c r="W110">
        <v>2.5</v>
      </c>
      <c r="X110">
        <v>2.1</v>
      </c>
      <c r="Y110">
        <v>2</v>
      </c>
      <c r="Z110">
        <v>3.8</v>
      </c>
      <c r="AA110">
        <v>3.5</v>
      </c>
      <c r="AB110">
        <v>2</v>
      </c>
      <c r="AC110">
        <v>3.6</v>
      </c>
      <c r="AD110">
        <v>3.5</v>
      </c>
      <c r="AE110">
        <v>2</v>
      </c>
      <c r="AF110">
        <v>3.7</v>
      </c>
      <c r="AG110">
        <v>3.6</v>
      </c>
      <c r="AH110">
        <v>2</v>
      </c>
      <c r="AI110">
        <v>2.9</v>
      </c>
      <c r="AJ110">
        <v>2.6</v>
      </c>
      <c r="AK110">
        <v>2</v>
      </c>
      <c r="AL110">
        <v>4.4000000000000004</v>
      </c>
      <c r="AM110">
        <v>4</v>
      </c>
      <c r="AN110">
        <v>4</v>
      </c>
      <c r="AO110">
        <v>4</v>
      </c>
      <c r="AP110">
        <v>5.8</v>
      </c>
      <c r="AQ110">
        <v>4</v>
      </c>
      <c r="AR110">
        <v>7.3</v>
      </c>
      <c r="AS110">
        <v>4</v>
      </c>
      <c r="AT110">
        <v>-4.5999999999999996</v>
      </c>
      <c r="AU110">
        <v>-5.2</v>
      </c>
      <c r="AV110">
        <v>-5</v>
      </c>
      <c r="AW110">
        <v>-3.5</v>
      </c>
      <c r="AX110">
        <v>-5</v>
      </c>
      <c r="AY110">
        <v>-5</v>
      </c>
      <c r="AZ110">
        <v>11.8</v>
      </c>
      <c r="BA110">
        <v>10</v>
      </c>
      <c r="BB110">
        <v>10.1</v>
      </c>
      <c r="BC110">
        <v>10</v>
      </c>
      <c r="BD110">
        <v>6</v>
      </c>
      <c r="BE110">
        <v>4</v>
      </c>
      <c r="BF110">
        <v>11.1</v>
      </c>
      <c r="BG110">
        <v>10</v>
      </c>
      <c r="BH110">
        <v>12</v>
      </c>
      <c r="BI110">
        <v>10</v>
      </c>
      <c r="BJ110">
        <v>10.5</v>
      </c>
      <c r="BK110">
        <v>9</v>
      </c>
      <c r="BL110">
        <v>20.8</v>
      </c>
      <c r="BM110">
        <v>19</v>
      </c>
      <c r="BN110">
        <v>22.5</v>
      </c>
      <c r="BO110">
        <v>19</v>
      </c>
      <c r="BP110">
        <v>22</v>
      </c>
      <c r="BQ110">
        <v>20</v>
      </c>
      <c r="BR110">
        <v>21.9</v>
      </c>
      <c r="BS110">
        <v>25</v>
      </c>
      <c r="BT110">
        <v>21.9</v>
      </c>
      <c r="BU110">
        <v>25</v>
      </c>
      <c r="BV110">
        <v>24</v>
      </c>
      <c r="BW110">
        <v>18</v>
      </c>
      <c r="BX110">
        <v>21.2</v>
      </c>
      <c r="BY110">
        <v>20</v>
      </c>
      <c r="BZ110">
        <v>20.8</v>
      </c>
      <c r="CA110">
        <v>20</v>
      </c>
      <c r="CB110">
        <v>11.1</v>
      </c>
      <c r="CC110">
        <v>10</v>
      </c>
      <c r="CD110">
        <v>10.3</v>
      </c>
      <c r="CE110">
        <v>10</v>
      </c>
      <c r="CF110">
        <v>11.4</v>
      </c>
      <c r="CG110">
        <v>9</v>
      </c>
      <c r="CH110">
        <v>11.6</v>
      </c>
      <c r="CI110">
        <v>9</v>
      </c>
    </row>
    <row r="111" spans="1:87" x14ac:dyDescent="0.35">
      <c r="A111" s="1">
        <v>46059.522916666669</v>
      </c>
      <c r="B111">
        <v>-17.100000000000001</v>
      </c>
      <c r="C111">
        <v>-17</v>
      </c>
      <c r="D111">
        <v>-25</v>
      </c>
      <c r="E111">
        <v>-16.899999999999999</v>
      </c>
      <c r="F111">
        <v>-18</v>
      </c>
      <c r="G111">
        <v>-25</v>
      </c>
      <c r="H111">
        <v>-18.100000000000001</v>
      </c>
      <c r="I111">
        <v>-15.9</v>
      </c>
      <c r="J111">
        <v>-25</v>
      </c>
      <c r="K111">
        <v>-17.7</v>
      </c>
      <c r="L111">
        <v>-18.3</v>
      </c>
      <c r="M111">
        <v>-25</v>
      </c>
      <c r="N111">
        <v>-19.3</v>
      </c>
      <c r="O111">
        <v>-19.899999999999999</v>
      </c>
      <c r="P111">
        <v>-25</v>
      </c>
      <c r="Q111">
        <v>-15.5</v>
      </c>
      <c r="R111">
        <v>-18</v>
      </c>
      <c r="S111">
        <v>-25</v>
      </c>
      <c r="T111">
        <v>2.7</v>
      </c>
      <c r="U111">
        <v>2.6</v>
      </c>
      <c r="V111">
        <v>2</v>
      </c>
      <c r="W111">
        <v>2.6</v>
      </c>
      <c r="X111">
        <v>2.2000000000000002</v>
      </c>
      <c r="Y111">
        <v>2</v>
      </c>
      <c r="Z111">
        <v>3.8</v>
      </c>
      <c r="AA111">
        <v>3.6</v>
      </c>
      <c r="AB111">
        <v>2</v>
      </c>
      <c r="AC111">
        <v>3.7</v>
      </c>
      <c r="AD111">
        <v>3.5</v>
      </c>
      <c r="AE111">
        <v>2</v>
      </c>
      <c r="AF111">
        <v>3.8</v>
      </c>
      <c r="AG111">
        <v>3.7</v>
      </c>
      <c r="AH111">
        <v>2</v>
      </c>
      <c r="AI111">
        <v>2.9</v>
      </c>
      <c r="AJ111">
        <v>2.6</v>
      </c>
      <c r="AK111">
        <v>2</v>
      </c>
      <c r="AL111">
        <v>4.4000000000000004</v>
      </c>
      <c r="AM111">
        <v>4</v>
      </c>
      <c r="AN111">
        <v>3.8</v>
      </c>
      <c r="AO111">
        <v>4</v>
      </c>
      <c r="AP111">
        <v>5.9</v>
      </c>
      <c r="AQ111">
        <v>4</v>
      </c>
      <c r="AR111">
        <v>7.3</v>
      </c>
      <c r="AS111">
        <v>4</v>
      </c>
      <c r="AT111">
        <v>-4</v>
      </c>
      <c r="AU111">
        <v>-4.4000000000000004</v>
      </c>
      <c r="AV111">
        <v>-5</v>
      </c>
      <c r="AW111">
        <v>-4</v>
      </c>
      <c r="AX111">
        <v>-6.8</v>
      </c>
      <c r="AY111">
        <v>-5</v>
      </c>
      <c r="AZ111">
        <v>11.9</v>
      </c>
      <c r="BA111">
        <v>10</v>
      </c>
      <c r="BB111">
        <v>10</v>
      </c>
      <c r="BC111">
        <v>10</v>
      </c>
      <c r="BD111">
        <v>5.7</v>
      </c>
      <c r="BE111">
        <v>4</v>
      </c>
      <c r="BF111">
        <v>10.199999999999999</v>
      </c>
      <c r="BG111">
        <v>10</v>
      </c>
      <c r="BH111">
        <v>12</v>
      </c>
      <c r="BI111">
        <v>10</v>
      </c>
      <c r="BJ111">
        <v>10.5</v>
      </c>
      <c r="BK111">
        <v>9</v>
      </c>
      <c r="BL111">
        <v>20.8</v>
      </c>
      <c r="BM111">
        <v>19</v>
      </c>
      <c r="BN111">
        <v>22.5</v>
      </c>
      <c r="BO111">
        <v>19</v>
      </c>
      <c r="BP111">
        <v>22</v>
      </c>
      <c r="BQ111">
        <v>20</v>
      </c>
      <c r="BR111">
        <v>21.9</v>
      </c>
      <c r="BS111">
        <v>25</v>
      </c>
      <c r="BT111">
        <v>21.9</v>
      </c>
      <c r="BU111">
        <v>25</v>
      </c>
      <c r="BV111">
        <v>23.9</v>
      </c>
      <c r="BW111">
        <v>18</v>
      </c>
      <c r="BX111">
        <v>21.2</v>
      </c>
      <c r="BY111">
        <v>20</v>
      </c>
      <c r="BZ111">
        <v>20.8</v>
      </c>
      <c r="CA111">
        <v>20</v>
      </c>
      <c r="CB111">
        <v>10.9</v>
      </c>
      <c r="CC111">
        <v>10</v>
      </c>
      <c r="CD111">
        <v>10.3</v>
      </c>
      <c r="CE111">
        <v>10</v>
      </c>
      <c r="CF111">
        <v>11.4</v>
      </c>
      <c r="CG111">
        <v>9</v>
      </c>
      <c r="CH111">
        <v>11.6</v>
      </c>
      <c r="CI111">
        <v>9</v>
      </c>
    </row>
    <row r="112" spans="1:87" x14ac:dyDescent="0.35">
      <c r="A112" s="1">
        <v>46059.524305555555</v>
      </c>
      <c r="B112">
        <v>-17.100000000000001</v>
      </c>
      <c r="C112">
        <v>-13.3</v>
      </c>
      <c r="D112">
        <v>-25</v>
      </c>
      <c r="E112">
        <v>-17</v>
      </c>
      <c r="F112">
        <v>-19.2</v>
      </c>
      <c r="G112">
        <v>-25</v>
      </c>
      <c r="H112">
        <v>-17.899999999999999</v>
      </c>
      <c r="I112">
        <v>-15.9</v>
      </c>
      <c r="J112">
        <v>-25</v>
      </c>
      <c r="K112">
        <v>-17.5</v>
      </c>
      <c r="L112">
        <v>-17.899999999999999</v>
      </c>
      <c r="M112">
        <v>-25</v>
      </c>
      <c r="N112">
        <v>-19.2</v>
      </c>
      <c r="O112">
        <v>-19.3</v>
      </c>
      <c r="P112">
        <v>-25</v>
      </c>
      <c r="Q112">
        <v>-15.6</v>
      </c>
      <c r="R112">
        <v>-17.899999999999999</v>
      </c>
      <c r="S112">
        <v>-25</v>
      </c>
      <c r="T112">
        <v>2.9</v>
      </c>
      <c r="U112">
        <v>2.8</v>
      </c>
      <c r="V112">
        <v>2</v>
      </c>
      <c r="W112">
        <v>2.8</v>
      </c>
      <c r="X112">
        <v>2.5</v>
      </c>
      <c r="Y112">
        <v>2</v>
      </c>
      <c r="Z112">
        <v>3.9</v>
      </c>
      <c r="AA112">
        <v>3.7</v>
      </c>
      <c r="AB112">
        <v>2</v>
      </c>
      <c r="AC112">
        <v>3.8</v>
      </c>
      <c r="AD112">
        <v>3.7</v>
      </c>
      <c r="AE112">
        <v>2</v>
      </c>
      <c r="AF112">
        <v>4.2</v>
      </c>
      <c r="AG112">
        <v>4.0999999999999996</v>
      </c>
      <c r="AH112">
        <v>2</v>
      </c>
      <c r="AI112">
        <v>2.9</v>
      </c>
      <c r="AJ112">
        <v>2.6</v>
      </c>
      <c r="AK112">
        <v>2</v>
      </c>
      <c r="AL112">
        <v>4.5</v>
      </c>
      <c r="AM112">
        <v>4</v>
      </c>
      <c r="AN112">
        <v>3.8</v>
      </c>
      <c r="AO112">
        <v>4</v>
      </c>
      <c r="AP112">
        <v>5.2</v>
      </c>
      <c r="AQ112">
        <v>4</v>
      </c>
      <c r="AR112">
        <v>6.5</v>
      </c>
      <c r="AS112">
        <v>4</v>
      </c>
      <c r="AT112">
        <v>-3.1</v>
      </c>
      <c r="AU112">
        <v>-3.4</v>
      </c>
      <c r="AV112">
        <v>-5</v>
      </c>
      <c r="AW112">
        <v>-4.2</v>
      </c>
      <c r="AX112">
        <v>-4.5999999999999996</v>
      </c>
      <c r="AY112">
        <v>-5</v>
      </c>
      <c r="AZ112">
        <v>11.3</v>
      </c>
      <c r="BA112">
        <v>10</v>
      </c>
      <c r="BB112">
        <v>10.3</v>
      </c>
      <c r="BC112">
        <v>10</v>
      </c>
      <c r="BD112">
        <v>4.9000000000000004</v>
      </c>
      <c r="BE112">
        <v>4</v>
      </c>
      <c r="BF112">
        <v>9.5</v>
      </c>
      <c r="BG112">
        <v>10</v>
      </c>
      <c r="BH112">
        <v>11.9</v>
      </c>
      <c r="BI112">
        <v>10</v>
      </c>
      <c r="BJ112">
        <v>10.5</v>
      </c>
      <c r="BK112">
        <v>9</v>
      </c>
      <c r="BL112">
        <v>20.8</v>
      </c>
      <c r="BM112">
        <v>19</v>
      </c>
      <c r="BN112">
        <v>22.6</v>
      </c>
      <c r="BO112">
        <v>19</v>
      </c>
      <c r="BP112">
        <v>21.5</v>
      </c>
      <c r="BQ112">
        <v>20</v>
      </c>
      <c r="BR112">
        <v>21.8</v>
      </c>
      <c r="BS112">
        <v>25</v>
      </c>
      <c r="BT112">
        <v>21.9</v>
      </c>
      <c r="BU112">
        <v>25</v>
      </c>
      <c r="BV112">
        <v>23.9</v>
      </c>
      <c r="BW112">
        <v>18</v>
      </c>
      <c r="BX112">
        <v>21.3</v>
      </c>
      <c r="BY112">
        <v>20</v>
      </c>
      <c r="BZ112">
        <v>20.9</v>
      </c>
      <c r="CA112">
        <v>20</v>
      </c>
      <c r="CB112">
        <v>10.6</v>
      </c>
      <c r="CC112">
        <v>10</v>
      </c>
      <c r="CD112">
        <v>10.199999999999999</v>
      </c>
      <c r="CE112">
        <v>10</v>
      </c>
      <c r="CF112">
        <v>11.4</v>
      </c>
      <c r="CG112">
        <v>9</v>
      </c>
      <c r="CH112">
        <v>11.7</v>
      </c>
      <c r="CI112">
        <v>9</v>
      </c>
    </row>
    <row r="113" spans="1:87" x14ac:dyDescent="0.35">
      <c r="A113" s="1">
        <v>46059.525000000001</v>
      </c>
      <c r="B113">
        <v>-17.100000000000001</v>
      </c>
      <c r="C113">
        <v>-10</v>
      </c>
      <c r="D113">
        <v>-25</v>
      </c>
      <c r="E113">
        <v>-17.3</v>
      </c>
      <c r="F113">
        <v>-20.2</v>
      </c>
      <c r="G113">
        <v>-25</v>
      </c>
      <c r="H113">
        <v>-17.8</v>
      </c>
      <c r="I113">
        <v>-15.9</v>
      </c>
      <c r="J113">
        <v>-25</v>
      </c>
      <c r="K113">
        <v>-17.399999999999999</v>
      </c>
      <c r="L113">
        <v>-17.8</v>
      </c>
      <c r="M113">
        <v>-25</v>
      </c>
      <c r="N113">
        <v>-19</v>
      </c>
      <c r="O113">
        <v>-19</v>
      </c>
      <c r="P113">
        <v>-25</v>
      </c>
      <c r="Q113">
        <v>-15.7</v>
      </c>
      <c r="R113">
        <v>-17.8</v>
      </c>
      <c r="S113">
        <v>-25</v>
      </c>
      <c r="T113">
        <v>3</v>
      </c>
      <c r="U113">
        <v>2.9</v>
      </c>
      <c r="V113">
        <v>2</v>
      </c>
      <c r="W113">
        <v>2.9</v>
      </c>
      <c r="X113">
        <v>2.6</v>
      </c>
      <c r="Y113">
        <v>2</v>
      </c>
      <c r="Z113">
        <v>4</v>
      </c>
      <c r="AA113">
        <v>3.8</v>
      </c>
      <c r="AB113">
        <v>2</v>
      </c>
      <c r="AC113">
        <v>3.8</v>
      </c>
      <c r="AD113">
        <v>3.7</v>
      </c>
      <c r="AE113">
        <v>2</v>
      </c>
      <c r="AF113">
        <v>4.3</v>
      </c>
      <c r="AG113">
        <v>4.2</v>
      </c>
      <c r="AH113">
        <v>2</v>
      </c>
      <c r="AI113">
        <v>2.9</v>
      </c>
      <c r="AJ113">
        <v>2.6</v>
      </c>
      <c r="AK113">
        <v>2</v>
      </c>
      <c r="AL113">
        <v>4.5999999999999996</v>
      </c>
      <c r="AM113">
        <v>4</v>
      </c>
      <c r="AN113">
        <v>3.8</v>
      </c>
      <c r="AO113">
        <v>4</v>
      </c>
      <c r="AP113">
        <v>4.2</v>
      </c>
      <c r="AQ113">
        <v>4</v>
      </c>
      <c r="AR113">
        <v>6.3</v>
      </c>
      <c r="AS113">
        <v>4</v>
      </c>
      <c r="AT113">
        <v>-2.8</v>
      </c>
      <c r="AU113">
        <v>-3.2</v>
      </c>
      <c r="AV113">
        <v>-5</v>
      </c>
      <c r="AW113">
        <v>-3.6</v>
      </c>
      <c r="AX113">
        <v>-3.6</v>
      </c>
      <c r="AY113">
        <v>-5</v>
      </c>
      <c r="AZ113">
        <v>9.9</v>
      </c>
      <c r="BA113">
        <v>10</v>
      </c>
      <c r="BB113">
        <v>10.6</v>
      </c>
      <c r="BC113">
        <v>10</v>
      </c>
      <c r="BD113">
        <v>4.8</v>
      </c>
      <c r="BE113">
        <v>4</v>
      </c>
      <c r="BF113">
        <v>9.6999999999999993</v>
      </c>
      <c r="BG113">
        <v>10</v>
      </c>
      <c r="BH113">
        <v>11.9</v>
      </c>
      <c r="BI113">
        <v>10</v>
      </c>
      <c r="BJ113">
        <v>10.5</v>
      </c>
      <c r="BK113">
        <v>9</v>
      </c>
      <c r="BL113">
        <v>20.8</v>
      </c>
      <c r="BM113">
        <v>19</v>
      </c>
      <c r="BN113">
        <v>22.6</v>
      </c>
      <c r="BO113">
        <v>19</v>
      </c>
      <c r="BP113">
        <v>21.1</v>
      </c>
      <c r="BQ113">
        <v>20</v>
      </c>
      <c r="BR113">
        <v>21.8</v>
      </c>
      <c r="BS113">
        <v>25</v>
      </c>
      <c r="BT113">
        <v>21.9</v>
      </c>
      <c r="BU113">
        <v>25</v>
      </c>
      <c r="BV113">
        <v>23.9</v>
      </c>
      <c r="BW113">
        <v>18</v>
      </c>
      <c r="BX113">
        <v>21.3</v>
      </c>
      <c r="BY113">
        <v>20</v>
      </c>
      <c r="BZ113">
        <v>20.9</v>
      </c>
      <c r="CA113">
        <v>20</v>
      </c>
      <c r="CB113">
        <v>10.5</v>
      </c>
      <c r="CC113">
        <v>10</v>
      </c>
      <c r="CD113">
        <v>10.1</v>
      </c>
      <c r="CE113">
        <v>10</v>
      </c>
      <c r="CF113">
        <v>11.4</v>
      </c>
      <c r="CG113">
        <v>9</v>
      </c>
      <c r="CH113">
        <v>11.6</v>
      </c>
      <c r="CI113">
        <v>9</v>
      </c>
    </row>
    <row r="114" spans="1:87" x14ac:dyDescent="0.35">
      <c r="A114" s="1">
        <v>46059.525694444441</v>
      </c>
      <c r="B114">
        <v>-17.100000000000001</v>
      </c>
      <c r="C114">
        <v>-6.7</v>
      </c>
      <c r="D114">
        <v>-25</v>
      </c>
      <c r="E114">
        <v>-17.7</v>
      </c>
      <c r="F114">
        <v>-19.600000000000001</v>
      </c>
      <c r="G114">
        <v>-25</v>
      </c>
      <c r="H114">
        <v>-17.7</v>
      </c>
      <c r="I114">
        <v>-15.9</v>
      </c>
      <c r="J114">
        <v>-25</v>
      </c>
      <c r="K114">
        <v>-17.3</v>
      </c>
      <c r="L114">
        <v>-17.8</v>
      </c>
      <c r="M114">
        <v>-25</v>
      </c>
      <c r="N114">
        <v>-18.8</v>
      </c>
      <c r="O114">
        <v>-18.8</v>
      </c>
      <c r="P114">
        <v>-25</v>
      </c>
      <c r="Q114">
        <v>-15.7</v>
      </c>
      <c r="R114">
        <v>-17.7</v>
      </c>
      <c r="S114">
        <v>-25</v>
      </c>
      <c r="T114">
        <v>3</v>
      </c>
      <c r="U114">
        <v>3</v>
      </c>
      <c r="V114">
        <v>2</v>
      </c>
      <c r="W114">
        <v>3</v>
      </c>
      <c r="X114">
        <v>2.7</v>
      </c>
      <c r="Y114">
        <v>2</v>
      </c>
      <c r="Z114">
        <v>4.0999999999999996</v>
      </c>
      <c r="AA114">
        <v>3.9</v>
      </c>
      <c r="AB114">
        <v>2</v>
      </c>
      <c r="AC114">
        <v>3.9</v>
      </c>
      <c r="AD114">
        <v>3.8</v>
      </c>
      <c r="AE114">
        <v>2</v>
      </c>
      <c r="AF114">
        <v>4.5</v>
      </c>
      <c r="AG114">
        <v>4.4000000000000004</v>
      </c>
      <c r="AH114">
        <v>2</v>
      </c>
      <c r="AI114">
        <v>2.9</v>
      </c>
      <c r="AJ114">
        <v>2.6</v>
      </c>
      <c r="AK114">
        <v>2</v>
      </c>
      <c r="AL114">
        <v>4.5999999999999996</v>
      </c>
      <c r="AM114">
        <v>4</v>
      </c>
      <c r="AN114">
        <v>3.9</v>
      </c>
      <c r="AO114">
        <v>4</v>
      </c>
      <c r="AP114">
        <v>3.1</v>
      </c>
      <c r="AQ114">
        <v>4</v>
      </c>
      <c r="AR114">
        <v>6</v>
      </c>
      <c r="AS114">
        <v>4</v>
      </c>
      <c r="AT114">
        <v>-2.9</v>
      </c>
      <c r="AU114">
        <v>-4.5</v>
      </c>
      <c r="AV114">
        <v>-5</v>
      </c>
      <c r="AW114">
        <v>-3.4</v>
      </c>
      <c r="AX114">
        <v>-3.5</v>
      </c>
      <c r="AY114">
        <v>-5</v>
      </c>
      <c r="AZ114">
        <v>9</v>
      </c>
      <c r="BA114">
        <v>10</v>
      </c>
      <c r="BB114">
        <v>11</v>
      </c>
      <c r="BC114">
        <v>10</v>
      </c>
      <c r="BD114">
        <v>4.5</v>
      </c>
      <c r="BE114">
        <v>4</v>
      </c>
      <c r="BF114">
        <v>10.199999999999999</v>
      </c>
      <c r="BG114">
        <v>10</v>
      </c>
      <c r="BH114">
        <v>11.8</v>
      </c>
      <c r="BI114">
        <v>10</v>
      </c>
      <c r="BJ114">
        <v>10.5</v>
      </c>
      <c r="BK114">
        <v>9</v>
      </c>
      <c r="BL114">
        <v>20.8</v>
      </c>
      <c r="BM114">
        <v>19</v>
      </c>
      <c r="BN114">
        <v>22.6</v>
      </c>
      <c r="BO114">
        <v>19</v>
      </c>
      <c r="BP114">
        <v>20.7</v>
      </c>
      <c r="BQ114">
        <v>20</v>
      </c>
      <c r="BR114">
        <v>21.8</v>
      </c>
      <c r="BS114">
        <v>25</v>
      </c>
      <c r="BT114">
        <v>21.9</v>
      </c>
      <c r="BU114">
        <v>25</v>
      </c>
      <c r="BV114">
        <v>23.9</v>
      </c>
      <c r="BW114">
        <v>18</v>
      </c>
      <c r="BX114">
        <v>21.3</v>
      </c>
      <c r="BY114">
        <v>20</v>
      </c>
      <c r="BZ114">
        <v>21</v>
      </c>
      <c r="CA114">
        <v>20</v>
      </c>
      <c r="CB114">
        <v>10.4</v>
      </c>
      <c r="CC114">
        <v>10</v>
      </c>
      <c r="CD114">
        <v>10.1</v>
      </c>
      <c r="CE114">
        <v>10</v>
      </c>
      <c r="CF114">
        <v>11.3</v>
      </c>
      <c r="CG114">
        <v>9</v>
      </c>
      <c r="CH114">
        <v>11.5</v>
      </c>
      <c r="CI114">
        <v>9</v>
      </c>
    </row>
    <row r="115" spans="1:87" x14ac:dyDescent="0.35">
      <c r="A115" s="1">
        <v>46059.526388888888</v>
      </c>
      <c r="B115">
        <v>-17.100000000000001</v>
      </c>
      <c r="C115">
        <v>-3.8</v>
      </c>
      <c r="D115">
        <v>-25</v>
      </c>
      <c r="E115">
        <v>-17.899999999999999</v>
      </c>
      <c r="F115">
        <v>-19.600000000000001</v>
      </c>
      <c r="G115">
        <v>-25</v>
      </c>
      <c r="H115">
        <v>-17.600000000000001</v>
      </c>
      <c r="I115">
        <v>-15.9</v>
      </c>
      <c r="J115">
        <v>-25</v>
      </c>
      <c r="K115">
        <v>-17.2</v>
      </c>
      <c r="L115">
        <v>-17.8</v>
      </c>
      <c r="M115">
        <v>-25</v>
      </c>
      <c r="N115">
        <v>-18.7</v>
      </c>
      <c r="O115">
        <v>-18.7</v>
      </c>
      <c r="P115">
        <v>-25</v>
      </c>
      <c r="Q115">
        <v>-15.8</v>
      </c>
      <c r="R115">
        <v>-17.7</v>
      </c>
      <c r="S115">
        <v>-25</v>
      </c>
      <c r="T115">
        <v>3.1</v>
      </c>
      <c r="U115">
        <v>3.1</v>
      </c>
      <c r="V115">
        <v>2</v>
      </c>
      <c r="W115">
        <v>3.1</v>
      </c>
      <c r="X115">
        <v>2.8</v>
      </c>
      <c r="Y115">
        <v>2</v>
      </c>
      <c r="Z115">
        <v>4.2</v>
      </c>
      <c r="AA115">
        <v>3.9</v>
      </c>
      <c r="AB115">
        <v>2</v>
      </c>
      <c r="AC115">
        <v>4</v>
      </c>
      <c r="AD115">
        <v>3.8</v>
      </c>
      <c r="AE115">
        <v>2</v>
      </c>
      <c r="AF115">
        <v>4.5999999999999996</v>
      </c>
      <c r="AG115">
        <v>4.5</v>
      </c>
      <c r="AH115">
        <v>2</v>
      </c>
      <c r="AI115">
        <v>2.9</v>
      </c>
      <c r="AJ115">
        <v>2.6</v>
      </c>
      <c r="AK115">
        <v>2</v>
      </c>
      <c r="AL115">
        <v>4.7</v>
      </c>
      <c r="AM115">
        <v>4</v>
      </c>
      <c r="AN115">
        <v>4</v>
      </c>
      <c r="AO115">
        <v>4</v>
      </c>
      <c r="AP115">
        <v>2.9</v>
      </c>
      <c r="AQ115">
        <v>4</v>
      </c>
      <c r="AR115">
        <v>5.4</v>
      </c>
      <c r="AS115">
        <v>4</v>
      </c>
      <c r="AT115">
        <v>-3.3</v>
      </c>
      <c r="AU115">
        <v>-5.0999999999999996</v>
      </c>
      <c r="AV115">
        <v>-5</v>
      </c>
      <c r="AW115">
        <v>-3.4</v>
      </c>
      <c r="AX115">
        <v>-3.7</v>
      </c>
      <c r="AY115">
        <v>-5</v>
      </c>
      <c r="AZ115">
        <v>8.8000000000000007</v>
      </c>
      <c r="BA115">
        <v>10</v>
      </c>
      <c r="BB115">
        <v>11.1</v>
      </c>
      <c r="BC115">
        <v>10</v>
      </c>
      <c r="BD115">
        <v>4.4000000000000004</v>
      </c>
      <c r="BE115">
        <v>4</v>
      </c>
      <c r="BF115">
        <v>10.6</v>
      </c>
      <c r="BG115">
        <v>10</v>
      </c>
      <c r="BH115">
        <v>11.7</v>
      </c>
      <c r="BI115">
        <v>10</v>
      </c>
      <c r="BJ115">
        <v>10.5</v>
      </c>
      <c r="BK115">
        <v>9</v>
      </c>
      <c r="BL115">
        <v>20.8</v>
      </c>
      <c r="BM115">
        <v>19</v>
      </c>
      <c r="BN115">
        <v>22.6</v>
      </c>
      <c r="BO115">
        <v>19</v>
      </c>
      <c r="BP115">
        <v>20.399999999999999</v>
      </c>
      <c r="BQ115">
        <v>20</v>
      </c>
      <c r="BR115">
        <v>21.8</v>
      </c>
      <c r="BS115">
        <v>25</v>
      </c>
      <c r="BT115">
        <v>21.9</v>
      </c>
      <c r="BU115">
        <v>25</v>
      </c>
      <c r="BV115">
        <v>23.9</v>
      </c>
      <c r="BW115">
        <v>18</v>
      </c>
      <c r="BX115">
        <v>21.3</v>
      </c>
      <c r="BY115">
        <v>20</v>
      </c>
      <c r="BZ115">
        <v>21</v>
      </c>
      <c r="CA115">
        <v>20</v>
      </c>
      <c r="CB115">
        <v>10.3</v>
      </c>
      <c r="CC115">
        <v>10</v>
      </c>
      <c r="CD115">
        <v>10.1</v>
      </c>
      <c r="CE115">
        <v>10</v>
      </c>
      <c r="CF115">
        <v>11.2</v>
      </c>
      <c r="CG115">
        <v>9</v>
      </c>
      <c r="CH115">
        <v>11.4</v>
      </c>
      <c r="CI115">
        <v>9</v>
      </c>
    </row>
    <row r="116" spans="1:87" x14ac:dyDescent="0.35">
      <c r="A116" s="1">
        <v>46059.527083333334</v>
      </c>
      <c r="B116">
        <v>-17.100000000000001</v>
      </c>
      <c r="C116">
        <v>-2</v>
      </c>
      <c r="D116">
        <v>-25</v>
      </c>
      <c r="E116">
        <v>-18.100000000000001</v>
      </c>
      <c r="F116">
        <v>-19.600000000000001</v>
      </c>
      <c r="G116">
        <v>-25</v>
      </c>
      <c r="H116">
        <v>-17.600000000000001</v>
      </c>
      <c r="I116">
        <v>-15.8</v>
      </c>
      <c r="J116">
        <v>-25</v>
      </c>
      <c r="K116">
        <v>-17.2</v>
      </c>
      <c r="L116">
        <v>-17.8</v>
      </c>
      <c r="M116">
        <v>-25</v>
      </c>
      <c r="N116">
        <v>-18.7</v>
      </c>
      <c r="O116">
        <v>-18.7</v>
      </c>
      <c r="P116">
        <v>-25</v>
      </c>
      <c r="Q116">
        <v>-16.100000000000001</v>
      </c>
      <c r="R116">
        <v>-17.7</v>
      </c>
      <c r="S116">
        <v>-25</v>
      </c>
      <c r="T116">
        <v>3.2</v>
      </c>
      <c r="U116">
        <v>3.2</v>
      </c>
      <c r="V116">
        <v>2</v>
      </c>
      <c r="W116">
        <v>3.2</v>
      </c>
      <c r="X116">
        <v>2.9</v>
      </c>
      <c r="Y116">
        <v>2</v>
      </c>
      <c r="Z116">
        <v>4.2</v>
      </c>
      <c r="AA116">
        <v>3.9</v>
      </c>
      <c r="AB116">
        <v>2</v>
      </c>
      <c r="AC116">
        <v>4</v>
      </c>
      <c r="AD116">
        <v>3.8</v>
      </c>
      <c r="AE116">
        <v>2</v>
      </c>
      <c r="AF116">
        <v>4.7</v>
      </c>
      <c r="AG116">
        <v>4.5999999999999996</v>
      </c>
      <c r="AH116">
        <v>2</v>
      </c>
      <c r="AI116">
        <v>2.9</v>
      </c>
      <c r="AJ116">
        <v>2.6</v>
      </c>
      <c r="AK116">
        <v>2</v>
      </c>
      <c r="AL116">
        <v>4.7</v>
      </c>
      <c r="AM116">
        <v>4</v>
      </c>
      <c r="AN116">
        <v>4.0999999999999996</v>
      </c>
      <c r="AO116">
        <v>4</v>
      </c>
      <c r="AP116">
        <v>2.8</v>
      </c>
      <c r="AQ116">
        <v>4</v>
      </c>
      <c r="AR116">
        <v>5</v>
      </c>
      <c r="AS116">
        <v>4</v>
      </c>
      <c r="AT116">
        <v>-3.5</v>
      </c>
      <c r="AU116">
        <v>-5.3</v>
      </c>
      <c r="AV116">
        <v>-5</v>
      </c>
      <c r="AW116">
        <v>-3.6</v>
      </c>
      <c r="AX116">
        <v>-5.3</v>
      </c>
      <c r="AY116">
        <v>-5</v>
      </c>
      <c r="AZ116">
        <v>8.8000000000000007</v>
      </c>
      <c r="BA116">
        <v>10</v>
      </c>
      <c r="BB116">
        <v>11.5</v>
      </c>
      <c r="BC116">
        <v>10</v>
      </c>
      <c r="BD116">
        <v>4.3</v>
      </c>
      <c r="BE116">
        <v>4</v>
      </c>
      <c r="BF116">
        <v>10.8</v>
      </c>
      <c r="BG116">
        <v>10</v>
      </c>
      <c r="BH116">
        <v>11.6</v>
      </c>
      <c r="BI116">
        <v>10</v>
      </c>
      <c r="BJ116">
        <v>10.5</v>
      </c>
      <c r="BK116">
        <v>9</v>
      </c>
      <c r="BL116">
        <v>20.8</v>
      </c>
      <c r="BM116">
        <v>19</v>
      </c>
      <c r="BN116">
        <v>22.6</v>
      </c>
      <c r="BO116">
        <v>19</v>
      </c>
      <c r="BP116">
        <v>20.399999999999999</v>
      </c>
      <c r="BQ116">
        <v>20</v>
      </c>
      <c r="BR116">
        <v>21.8</v>
      </c>
      <c r="BS116">
        <v>25</v>
      </c>
      <c r="BT116">
        <v>21.9</v>
      </c>
      <c r="BU116">
        <v>25</v>
      </c>
      <c r="BV116">
        <v>23.9</v>
      </c>
      <c r="BW116">
        <v>18</v>
      </c>
      <c r="BX116">
        <v>21.3</v>
      </c>
      <c r="BY116">
        <v>20</v>
      </c>
      <c r="BZ116">
        <v>21.1</v>
      </c>
      <c r="CA116">
        <v>20</v>
      </c>
      <c r="CB116">
        <v>10.199999999999999</v>
      </c>
      <c r="CC116">
        <v>10</v>
      </c>
      <c r="CD116">
        <v>10.1</v>
      </c>
      <c r="CE116">
        <v>10</v>
      </c>
      <c r="CF116">
        <v>11.2</v>
      </c>
      <c r="CG116">
        <v>9</v>
      </c>
      <c r="CH116">
        <v>11.4</v>
      </c>
      <c r="CI116">
        <v>9</v>
      </c>
    </row>
    <row r="117" spans="1:87" x14ac:dyDescent="0.35">
      <c r="A117" s="1">
        <v>46059.527777777781</v>
      </c>
      <c r="B117">
        <v>-17.100000000000001</v>
      </c>
      <c r="C117">
        <v>-0.6</v>
      </c>
      <c r="D117">
        <v>-25</v>
      </c>
      <c r="E117">
        <v>-18.2</v>
      </c>
      <c r="F117">
        <v>-19.600000000000001</v>
      </c>
      <c r="G117">
        <v>-25</v>
      </c>
      <c r="H117">
        <v>-17.7</v>
      </c>
      <c r="I117">
        <v>-15.8</v>
      </c>
      <c r="J117">
        <v>-25</v>
      </c>
      <c r="K117">
        <v>-17.2</v>
      </c>
      <c r="L117">
        <v>-17.8</v>
      </c>
      <c r="M117">
        <v>-25</v>
      </c>
      <c r="N117">
        <v>-18.7</v>
      </c>
      <c r="O117">
        <v>-18.7</v>
      </c>
      <c r="P117">
        <v>-25</v>
      </c>
      <c r="Q117">
        <v>-16.5</v>
      </c>
      <c r="R117">
        <v>-17.8</v>
      </c>
      <c r="S117">
        <v>-25</v>
      </c>
      <c r="T117">
        <v>3.3</v>
      </c>
      <c r="U117">
        <v>3.3</v>
      </c>
      <c r="V117">
        <v>2</v>
      </c>
      <c r="W117">
        <v>3.2</v>
      </c>
      <c r="X117">
        <v>3</v>
      </c>
      <c r="Y117">
        <v>2</v>
      </c>
      <c r="Z117">
        <v>4.2</v>
      </c>
      <c r="AA117">
        <v>3.7</v>
      </c>
      <c r="AB117">
        <v>2</v>
      </c>
      <c r="AC117">
        <v>3.8</v>
      </c>
      <c r="AD117">
        <v>3.4</v>
      </c>
      <c r="AE117">
        <v>2</v>
      </c>
      <c r="AF117">
        <v>4.9000000000000004</v>
      </c>
      <c r="AG117">
        <v>4.7</v>
      </c>
      <c r="AH117">
        <v>2</v>
      </c>
      <c r="AI117">
        <v>2.9</v>
      </c>
      <c r="AJ117">
        <v>2.6</v>
      </c>
      <c r="AK117">
        <v>2</v>
      </c>
      <c r="AL117">
        <v>4.8</v>
      </c>
      <c r="AM117">
        <v>4</v>
      </c>
      <c r="AN117">
        <v>4.2</v>
      </c>
      <c r="AO117">
        <v>4</v>
      </c>
      <c r="AP117">
        <v>2.9</v>
      </c>
      <c r="AQ117">
        <v>4</v>
      </c>
      <c r="AR117">
        <v>4.5999999999999996</v>
      </c>
      <c r="AS117">
        <v>4</v>
      </c>
      <c r="AT117">
        <v>-3.7</v>
      </c>
      <c r="AU117">
        <v>-5.6</v>
      </c>
      <c r="AV117">
        <v>-5</v>
      </c>
      <c r="AW117">
        <v>-3.9</v>
      </c>
      <c r="AX117">
        <v>-5.3</v>
      </c>
      <c r="AY117">
        <v>-5</v>
      </c>
      <c r="AZ117">
        <v>9</v>
      </c>
      <c r="BA117">
        <v>10</v>
      </c>
      <c r="BB117">
        <v>11.8</v>
      </c>
      <c r="BC117">
        <v>10</v>
      </c>
      <c r="BD117">
        <v>3.7</v>
      </c>
      <c r="BE117">
        <v>4</v>
      </c>
      <c r="BF117">
        <v>11.1</v>
      </c>
      <c r="BG117">
        <v>10</v>
      </c>
      <c r="BH117">
        <v>11.6</v>
      </c>
      <c r="BI117">
        <v>10</v>
      </c>
      <c r="BJ117">
        <v>10.5</v>
      </c>
      <c r="BK117">
        <v>9</v>
      </c>
      <c r="BL117">
        <v>20.9</v>
      </c>
      <c r="BM117">
        <v>19</v>
      </c>
      <c r="BN117">
        <v>22.6</v>
      </c>
      <c r="BO117">
        <v>19</v>
      </c>
      <c r="BP117">
        <v>20.2</v>
      </c>
      <c r="BQ117">
        <v>20</v>
      </c>
      <c r="BR117">
        <v>21.8</v>
      </c>
      <c r="BS117">
        <v>25</v>
      </c>
      <c r="BT117">
        <v>21.9</v>
      </c>
      <c r="BU117">
        <v>25</v>
      </c>
      <c r="BV117">
        <v>23.8</v>
      </c>
      <c r="BW117">
        <v>18</v>
      </c>
      <c r="BX117">
        <v>21.3</v>
      </c>
      <c r="BY117">
        <v>20</v>
      </c>
      <c r="BZ117">
        <v>21.1</v>
      </c>
      <c r="CA117">
        <v>20</v>
      </c>
      <c r="CB117">
        <v>10.199999999999999</v>
      </c>
      <c r="CC117">
        <v>10</v>
      </c>
      <c r="CD117">
        <v>10.1</v>
      </c>
      <c r="CE117">
        <v>10</v>
      </c>
      <c r="CF117">
        <v>11.1</v>
      </c>
      <c r="CG117">
        <v>9</v>
      </c>
      <c r="CH117">
        <v>11.3</v>
      </c>
      <c r="CI117">
        <v>9</v>
      </c>
    </row>
    <row r="118" spans="1:87" x14ac:dyDescent="0.35">
      <c r="A118" s="1">
        <v>46059.52847222222</v>
      </c>
      <c r="B118">
        <v>-17.100000000000001</v>
      </c>
      <c r="C118">
        <v>0.3</v>
      </c>
      <c r="D118">
        <v>-25</v>
      </c>
      <c r="E118">
        <v>-18.3</v>
      </c>
      <c r="F118">
        <v>-19.600000000000001</v>
      </c>
      <c r="G118">
        <v>-25</v>
      </c>
      <c r="H118">
        <v>-17.7</v>
      </c>
      <c r="I118">
        <v>-15.8</v>
      </c>
      <c r="J118">
        <v>-25</v>
      </c>
      <c r="K118">
        <v>-17.2</v>
      </c>
      <c r="L118">
        <v>-17.899999999999999</v>
      </c>
      <c r="M118">
        <v>-25</v>
      </c>
      <c r="N118">
        <v>-18.7</v>
      </c>
      <c r="O118">
        <v>-18.7</v>
      </c>
      <c r="P118">
        <v>-25</v>
      </c>
      <c r="Q118">
        <v>-16.600000000000001</v>
      </c>
      <c r="R118">
        <v>-17.8</v>
      </c>
      <c r="S118">
        <v>-25</v>
      </c>
      <c r="T118">
        <v>3.4</v>
      </c>
      <c r="U118">
        <v>3.3</v>
      </c>
      <c r="V118">
        <v>2</v>
      </c>
      <c r="W118">
        <v>3.3</v>
      </c>
      <c r="X118">
        <v>3.1</v>
      </c>
      <c r="Y118">
        <v>2</v>
      </c>
      <c r="Z118">
        <v>4</v>
      </c>
      <c r="AA118">
        <v>3.6</v>
      </c>
      <c r="AB118">
        <v>2</v>
      </c>
      <c r="AC118">
        <v>3.7</v>
      </c>
      <c r="AD118">
        <v>3.3</v>
      </c>
      <c r="AE118">
        <v>2</v>
      </c>
      <c r="AF118">
        <v>5</v>
      </c>
      <c r="AG118">
        <v>4.8</v>
      </c>
      <c r="AH118">
        <v>2</v>
      </c>
      <c r="AI118">
        <v>2.9</v>
      </c>
      <c r="AJ118">
        <v>2.7</v>
      </c>
      <c r="AK118">
        <v>2</v>
      </c>
      <c r="AL118">
        <v>4.8</v>
      </c>
      <c r="AM118">
        <v>4</v>
      </c>
      <c r="AN118">
        <v>4.3</v>
      </c>
      <c r="AO118">
        <v>4</v>
      </c>
      <c r="AP118">
        <v>3.2</v>
      </c>
      <c r="AQ118">
        <v>4</v>
      </c>
      <c r="AR118">
        <v>4.3</v>
      </c>
      <c r="AS118">
        <v>4</v>
      </c>
      <c r="AT118">
        <v>-4</v>
      </c>
      <c r="AU118">
        <v>-6.1</v>
      </c>
      <c r="AV118">
        <v>-5</v>
      </c>
      <c r="AW118">
        <v>-4</v>
      </c>
      <c r="AX118">
        <v>-5</v>
      </c>
      <c r="AY118">
        <v>-5</v>
      </c>
      <c r="AZ118">
        <v>9.1999999999999993</v>
      </c>
      <c r="BA118">
        <v>10</v>
      </c>
      <c r="BB118">
        <v>12</v>
      </c>
      <c r="BC118">
        <v>10</v>
      </c>
      <c r="BD118">
        <v>3.7</v>
      </c>
      <c r="BE118">
        <v>4</v>
      </c>
      <c r="BF118">
        <v>11.4</v>
      </c>
      <c r="BG118">
        <v>10</v>
      </c>
      <c r="BH118">
        <v>11.6</v>
      </c>
      <c r="BI118">
        <v>10</v>
      </c>
      <c r="BJ118">
        <v>10.5</v>
      </c>
      <c r="BK118">
        <v>9</v>
      </c>
      <c r="BL118">
        <v>20.9</v>
      </c>
      <c r="BM118">
        <v>19</v>
      </c>
      <c r="BN118">
        <v>22.6</v>
      </c>
      <c r="BO118">
        <v>19</v>
      </c>
      <c r="BP118">
        <v>19.8</v>
      </c>
      <c r="BQ118">
        <v>20</v>
      </c>
      <c r="BR118">
        <v>21.8</v>
      </c>
      <c r="BS118">
        <v>25</v>
      </c>
      <c r="BT118">
        <v>21.9</v>
      </c>
      <c r="BU118">
        <v>25</v>
      </c>
      <c r="BV118">
        <v>23.8</v>
      </c>
      <c r="BW118">
        <v>18</v>
      </c>
      <c r="BX118">
        <v>21.4</v>
      </c>
      <c r="BY118">
        <v>20</v>
      </c>
      <c r="BZ118">
        <v>21.1</v>
      </c>
      <c r="CA118">
        <v>20</v>
      </c>
      <c r="CB118">
        <v>10.199999999999999</v>
      </c>
      <c r="CC118">
        <v>10</v>
      </c>
      <c r="CD118">
        <v>10.1</v>
      </c>
      <c r="CE118">
        <v>10</v>
      </c>
      <c r="CF118">
        <v>11.1</v>
      </c>
      <c r="CG118">
        <v>9</v>
      </c>
      <c r="CH118">
        <v>11.3</v>
      </c>
      <c r="CI118">
        <v>9</v>
      </c>
    </row>
    <row r="119" spans="1:87" x14ac:dyDescent="0.35">
      <c r="A119" s="1">
        <v>46059.529166666667</v>
      </c>
      <c r="B119">
        <v>-17.100000000000001</v>
      </c>
      <c r="C119">
        <v>1.2</v>
      </c>
      <c r="D119">
        <v>-25</v>
      </c>
      <c r="E119">
        <v>-18.399999999999999</v>
      </c>
      <c r="F119">
        <v>-19.600000000000001</v>
      </c>
      <c r="G119">
        <v>-25</v>
      </c>
      <c r="H119">
        <v>-17.7</v>
      </c>
      <c r="I119">
        <v>-15.8</v>
      </c>
      <c r="J119">
        <v>-25</v>
      </c>
      <c r="K119">
        <v>-17.2</v>
      </c>
      <c r="L119">
        <v>-17.899999999999999</v>
      </c>
      <c r="M119">
        <v>-25</v>
      </c>
      <c r="N119">
        <v>-18.7</v>
      </c>
      <c r="O119">
        <v>-18.7</v>
      </c>
      <c r="P119">
        <v>-25</v>
      </c>
      <c r="Q119">
        <v>-16.7</v>
      </c>
      <c r="R119">
        <v>-17.899999999999999</v>
      </c>
      <c r="S119">
        <v>-25</v>
      </c>
      <c r="T119">
        <v>3.4</v>
      </c>
      <c r="U119">
        <v>3.4</v>
      </c>
      <c r="V119">
        <v>2</v>
      </c>
      <c r="W119">
        <v>3.4</v>
      </c>
      <c r="X119">
        <v>3.2</v>
      </c>
      <c r="Y119">
        <v>2</v>
      </c>
      <c r="Z119">
        <v>4</v>
      </c>
      <c r="AA119">
        <v>3.5</v>
      </c>
      <c r="AB119">
        <v>2</v>
      </c>
      <c r="AC119">
        <v>3.6</v>
      </c>
      <c r="AD119">
        <v>3</v>
      </c>
      <c r="AE119">
        <v>2</v>
      </c>
      <c r="AF119">
        <v>5.0999999999999996</v>
      </c>
      <c r="AG119">
        <v>4.9000000000000004</v>
      </c>
      <c r="AH119">
        <v>2</v>
      </c>
      <c r="AI119">
        <v>2.9</v>
      </c>
      <c r="AJ119">
        <v>2.7</v>
      </c>
      <c r="AK119">
        <v>2</v>
      </c>
      <c r="AL119">
        <v>4.9000000000000004</v>
      </c>
      <c r="AM119">
        <v>4</v>
      </c>
      <c r="AN119">
        <v>4.3</v>
      </c>
      <c r="AO119">
        <v>4</v>
      </c>
      <c r="AP119">
        <v>3.5</v>
      </c>
      <c r="AQ119">
        <v>4</v>
      </c>
      <c r="AR119">
        <v>4</v>
      </c>
      <c r="AS119">
        <v>4</v>
      </c>
      <c r="AT119">
        <v>-4.2</v>
      </c>
      <c r="AU119">
        <v>-6.4</v>
      </c>
      <c r="AV119">
        <v>-5</v>
      </c>
      <c r="AW119">
        <v>-4.0999999999999996</v>
      </c>
      <c r="AX119">
        <v>-4.8</v>
      </c>
      <c r="AY119">
        <v>-5</v>
      </c>
      <c r="AZ119">
        <v>9.4</v>
      </c>
      <c r="BA119">
        <v>10</v>
      </c>
      <c r="BB119">
        <v>12</v>
      </c>
      <c r="BC119">
        <v>10</v>
      </c>
      <c r="BD119">
        <v>3.7</v>
      </c>
      <c r="BE119">
        <v>4</v>
      </c>
      <c r="BF119">
        <v>11.7</v>
      </c>
      <c r="BG119">
        <v>10</v>
      </c>
      <c r="BH119">
        <v>11.6</v>
      </c>
      <c r="BI119">
        <v>10</v>
      </c>
      <c r="BJ119">
        <v>10.5</v>
      </c>
      <c r="BK119">
        <v>9</v>
      </c>
      <c r="BL119">
        <v>20.9</v>
      </c>
      <c r="BM119">
        <v>19</v>
      </c>
      <c r="BN119">
        <v>22.7</v>
      </c>
      <c r="BO119">
        <v>19</v>
      </c>
      <c r="BP119">
        <v>19.7</v>
      </c>
      <c r="BQ119">
        <v>20</v>
      </c>
      <c r="BR119">
        <v>21.8</v>
      </c>
      <c r="BS119">
        <v>25</v>
      </c>
      <c r="BT119">
        <v>21.9</v>
      </c>
      <c r="BU119">
        <v>25</v>
      </c>
      <c r="BV119">
        <v>23.8</v>
      </c>
      <c r="BW119">
        <v>18</v>
      </c>
      <c r="BX119">
        <v>21.4</v>
      </c>
      <c r="BY119">
        <v>20</v>
      </c>
      <c r="BZ119">
        <v>21.1</v>
      </c>
      <c r="CA119">
        <v>20</v>
      </c>
      <c r="CB119">
        <v>10.1</v>
      </c>
      <c r="CC119">
        <v>10</v>
      </c>
      <c r="CD119">
        <v>10.1</v>
      </c>
      <c r="CE119">
        <v>10</v>
      </c>
      <c r="CF119">
        <v>11.2</v>
      </c>
      <c r="CG119">
        <v>9</v>
      </c>
      <c r="CH119">
        <v>11.4</v>
      </c>
      <c r="CI119">
        <v>9</v>
      </c>
    </row>
    <row r="120" spans="1:87" x14ac:dyDescent="0.35">
      <c r="A120" s="1">
        <v>46059.529861111114</v>
      </c>
      <c r="B120">
        <v>-17.100000000000001</v>
      </c>
      <c r="C120">
        <v>2.1</v>
      </c>
      <c r="D120">
        <v>-25</v>
      </c>
      <c r="E120">
        <v>-18.399999999999999</v>
      </c>
      <c r="F120">
        <v>-20.5</v>
      </c>
      <c r="G120">
        <v>-25</v>
      </c>
      <c r="H120">
        <v>-17.7</v>
      </c>
      <c r="I120">
        <v>-15.7</v>
      </c>
      <c r="J120">
        <v>-25</v>
      </c>
      <c r="K120">
        <v>-17.2</v>
      </c>
      <c r="L120">
        <v>-17.899999999999999</v>
      </c>
      <c r="M120">
        <v>-25</v>
      </c>
      <c r="N120">
        <v>-18.7</v>
      </c>
      <c r="O120">
        <v>-18.7</v>
      </c>
      <c r="P120">
        <v>-25</v>
      </c>
      <c r="Q120">
        <v>-16.899999999999999</v>
      </c>
      <c r="R120">
        <v>-17.899999999999999</v>
      </c>
      <c r="S120">
        <v>-25</v>
      </c>
      <c r="T120">
        <v>3.5</v>
      </c>
      <c r="U120">
        <v>3.5</v>
      </c>
      <c r="V120">
        <v>2</v>
      </c>
      <c r="W120">
        <v>3.5</v>
      </c>
      <c r="X120">
        <v>3.2</v>
      </c>
      <c r="Y120">
        <v>2</v>
      </c>
      <c r="Z120">
        <v>3.8</v>
      </c>
      <c r="AA120">
        <v>3.4</v>
      </c>
      <c r="AB120">
        <v>2</v>
      </c>
      <c r="AC120">
        <v>3.5</v>
      </c>
      <c r="AD120">
        <v>3</v>
      </c>
      <c r="AE120">
        <v>2</v>
      </c>
      <c r="AF120">
        <v>5.2</v>
      </c>
      <c r="AG120">
        <v>5.0999999999999996</v>
      </c>
      <c r="AH120">
        <v>2</v>
      </c>
      <c r="AI120">
        <v>2.9</v>
      </c>
      <c r="AJ120">
        <v>2.7</v>
      </c>
      <c r="AK120">
        <v>2</v>
      </c>
      <c r="AL120">
        <v>4.9000000000000004</v>
      </c>
      <c r="AM120">
        <v>4</v>
      </c>
      <c r="AN120">
        <v>4.4000000000000004</v>
      </c>
      <c r="AO120">
        <v>4</v>
      </c>
      <c r="AP120">
        <v>3.7</v>
      </c>
      <c r="AQ120">
        <v>4</v>
      </c>
      <c r="AR120">
        <v>3.7</v>
      </c>
      <c r="AS120">
        <v>4</v>
      </c>
      <c r="AT120">
        <v>-4.5</v>
      </c>
      <c r="AU120">
        <v>-6.3</v>
      </c>
      <c r="AV120">
        <v>-5</v>
      </c>
      <c r="AW120">
        <v>-4.2</v>
      </c>
      <c r="AX120">
        <v>-6.1</v>
      </c>
      <c r="AY120">
        <v>-5</v>
      </c>
      <c r="AZ120">
        <v>9.6</v>
      </c>
      <c r="BA120">
        <v>10</v>
      </c>
      <c r="BB120">
        <v>12.1</v>
      </c>
      <c r="BC120">
        <v>10</v>
      </c>
      <c r="BD120">
        <v>3.9</v>
      </c>
      <c r="BE120">
        <v>4</v>
      </c>
      <c r="BF120">
        <v>11.8</v>
      </c>
      <c r="BG120">
        <v>10</v>
      </c>
      <c r="BH120">
        <v>11.6</v>
      </c>
      <c r="BI120">
        <v>10</v>
      </c>
      <c r="BJ120">
        <v>10.5</v>
      </c>
      <c r="BK120">
        <v>9</v>
      </c>
      <c r="BL120">
        <v>20.9</v>
      </c>
      <c r="BM120">
        <v>19</v>
      </c>
      <c r="BN120">
        <v>22.7</v>
      </c>
      <c r="BO120">
        <v>19</v>
      </c>
      <c r="BP120">
        <v>19.7</v>
      </c>
      <c r="BQ120">
        <v>20</v>
      </c>
      <c r="BR120">
        <v>21.8</v>
      </c>
      <c r="BS120">
        <v>25</v>
      </c>
      <c r="BT120">
        <v>21.9</v>
      </c>
      <c r="BU120">
        <v>25</v>
      </c>
      <c r="BV120">
        <v>23.8</v>
      </c>
      <c r="BW120">
        <v>18</v>
      </c>
      <c r="BX120">
        <v>21.4</v>
      </c>
      <c r="BY120">
        <v>20</v>
      </c>
      <c r="BZ120">
        <v>21.2</v>
      </c>
      <c r="CA120">
        <v>20</v>
      </c>
      <c r="CB120">
        <v>10</v>
      </c>
      <c r="CC120">
        <v>10</v>
      </c>
      <c r="CD120">
        <v>10.1</v>
      </c>
      <c r="CE120">
        <v>10</v>
      </c>
      <c r="CF120">
        <v>11.2</v>
      </c>
      <c r="CG120">
        <v>9</v>
      </c>
      <c r="CH120">
        <v>11.4</v>
      </c>
      <c r="CI120">
        <v>9</v>
      </c>
    </row>
    <row r="121" spans="1:87" x14ac:dyDescent="0.35">
      <c r="A121" s="1">
        <v>46059.530555555553</v>
      </c>
      <c r="B121">
        <v>-17.100000000000001</v>
      </c>
      <c r="C121">
        <v>2.7</v>
      </c>
      <c r="D121">
        <v>-25</v>
      </c>
      <c r="E121">
        <v>-18.399999999999999</v>
      </c>
      <c r="F121">
        <v>-20.3</v>
      </c>
      <c r="G121">
        <v>-25</v>
      </c>
      <c r="H121">
        <v>-17.7</v>
      </c>
      <c r="I121">
        <v>-15.7</v>
      </c>
      <c r="J121">
        <v>-25</v>
      </c>
      <c r="K121">
        <v>-17.2</v>
      </c>
      <c r="L121">
        <v>-17.899999999999999</v>
      </c>
      <c r="M121">
        <v>-25</v>
      </c>
      <c r="N121">
        <v>-18.7</v>
      </c>
      <c r="O121">
        <v>-18.7</v>
      </c>
      <c r="P121">
        <v>-25</v>
      </c>
      <c r="Q121">
        <v>-17</v>
      </c>
      <c r="R121">
        <v>-18</v>
      </c>
      <c r="S121">
        <v>-25</v>
      </c>
      <c r="T121">
        <v>3.6</v>
      </c>
      <c r="U121">
        <v>3.5</v>
      </c>
      <c r="V121">
        <v>2</v>
      </c>
      <c r="W121">
        <v>3.6</v>
      </c>
      <c r="X121">
        <v>3.3</v>
      </c>
      <c r="Y121">
        <v>2</v>
      </c>
      <c r="Z121">
        <v>3.8</v>
      </c>
      <c r="AA121">
        <v>3.3</v>
      </c>
      <c r="AB121">
        <v>2</v>
      </c>
      <c r="AC121">
        <v>3.4</v>
      </c>
      <c r="AD121">
        <v>2.9</v>
      </c>
      <c r="AE121">
        <v>2</v>
      </c>
      <c r="AF121">
        <v>5.2</v>
      </c>
      <c r="AG121">
        <v>5.0999999999999996</v>
      </c>
      <c r="AH121">
        <v>2</v>
      </c>
      <c r="AI121">
        <v>2.9</v>
      </c>
      <c r="AJ121">
        <v>2.8</v>
      </c>
      <c r="AK121">
        <v>2</v>
      </c>
      <c r="AL121">
        <v>5</v>
      </c>
      <c r="AM121">
        <v>4</v>
      </c>
      <c r="AN121">
        <v>4.5</v>
      </c>
      <c r="AO121">
        <v>4</v>
      </c>
      <c r="AP121">
        <v>4</v>
      </c>
      <c r="AQ121">
        <v>4</v>
      </c>
      <c r="AR121">
        <v>3.7</v>
      </c>
      <c r="AS121">
        <v>4</v>
      </c>
      <c r="AT121">
        <v>-4.5</v>
      </c>
      <c r="AU121">
        <v>-6.4</v>
      </c>
      <c r="AV121">
        <v>-5</v>
      </c>
      <c r="AW121">
        <v>-4.5</v>
      </c>
      <c r="AX121">
        <v>-6.4</v>
      </c>
      <c r="AY121">
        <v>-5</v>
      </c>
      <c r="AZ121">
        <v>9.8000000000000007</v>
      </c>
      <c r="BA121">
        <v>10</v>
      </c>
      <c r="BB121">
        <v>11.7</v>
      </c>
      <c r="BC121">
        <v>10</v>
      </c>
      <c r="BD121">
        <v>4.3</v>
      </c>
      <c r="BE121">
        <v>4</v>
      </c>
      <c r="BF121">
        <v>12.2</v>
      </c>
      <c r="BG121">
        <v>10</v>
      </c>
      <c r="BH121">
        <v>11.5</v>
      </c>
      <c r="BI121">
        <v>10</v>
      </c>
      <c r="BJ121">
        <v>10.5</v>
      </c>
      <c r="BK121">
        <v>9</v>
      </c>
      <c r="BL121">
        <v>20.9</v>
      </c>
      <c r="BM121">
        <v>19</v>
      </c>
      <c r="BN121">
        <v>22.7</v>
      </c>
      <c r="BO121">
        <v>19</v>
      </c>
      <c r="BP121">
        <v>19.7</v>
      </c>
      <c r="BQ121">
        <v>20</v>
      </c>
      <c r="BR121">
        <v>21.8</v>
      </c>
      <c r="BS121">
        <v>25</v>
      </c>
      <c r="BT121">
        <v>21.9</v>
      </c>
      <c r="BU121">
        <v>25</v>
      </c>
      <c r="BV121">
        <v>23.8</v>
      </c>
      <c r="BW121">
        <v>18</v>
      </c>
      <c r="BX121">
        <v>21.4</v>
      </c>
      <c r="BY121">
        <v>20</v>
      </c>
      <c r="BZ121">
        <v>21.2</v>
      </c>
      <c r="CA121">
        <v>20</v>
      </c>
      <c r="CB121">
        <v>10.3</v>
      </c>
      <c r="CC121">
        <v>10</v>
      </c>
      <c r="CD121">
        <v>10.1</v>
      </c>
      <c r="CE121">
        <v>10</v>
      </c>
      <c r="CF121">
        <v>11.4</v>
      </c>
      <c r="CG121">
        <v>9</v>
      </c>
      <c r="CH121">
        <v>11.5</v>
      </c>
      <c r="CI121">
        <v>9</v>
      </c>
    </row>
    <row r="122" spans="1:87" x14ac:dyDescent="0.35">
      <c r="A122" s="1">
        <v>46059.53125</v>
      </c>
      <c r="B122">
        <v>-17.100000000000001</v>
      </c>
      <c r="C122">
        <v>3</v>
      </c>
      <c r="D122">
        <v>-25</v>
      </c>
      <c r="E122">
        <v>-18.5</v>
      </c>
      <c r="F122">
        <v>-19.899999999999999</v>
      </c>
      <c r="G122">
        <v>-25</v>
      </c>
      <c r="H122">
        <v>-17.7</v>
      </c>
      <c r="I122">
        <v>-15.7</v>
      </c>
      <c r="J122">
        <v>-25</v>
      </c>
      <c r="K122">
        <v>-17.2</v>
      </c>
      <c r="L122">
        <v>-17.899999999999999</v>
      </c>
      <c r="M122">
        <v>-25</v>
      </c>
      <c r="N122">
        <v>-18.7</v>
      </c>
      <c r="O122">
        <v>-18.7</v>
      </c>
      <c r="P122">
        <v>-25</v>
      </c>
      <c r="Q122">
        <v>-17</v>
      </c>
      <c r="R122">
        <v>-18</v>
      </c>
      <c r="S122">
        <v>-25</v>
      </c>
      <c r="T122">
        <v>3.6</v>
      </c>
      <c r="U122">
        <v>3.6</v>
      </c>
      <c r="V122">
        <v>2</v>
      </c>
      <c r="W122">
        <v>3.6</v>
      </c>
      <c r="X122">
        <v>3.4</v>
      </c>
      <c r="Y122">
        <v>2</v>
      </c>
      <c r="Z122">
        <v>3.7</v>
      </c>
      <c r="AA122">
        <v>3.1</v>
      </c>
      <c r="AB122">
        <v>2</v>
      </c>
      <c r="AC122">
        <v>3.3</v>
      </c>
      <c r="AD122">
        <v>2.8</v>
      </c>
      <c r="AE122">
        <v>2</v>
      </c>
      <c r="AF122">
        <v>5.3</v>
      </c>
      <c r="AG122">
        <v>5.2</v>
      </c>
      <c r="AH122">
        <v>2</v>
      </c>
      <c r="AI122">
        <v>2.9</v>
      </c>
      <c r="AJ122">
        <v>2.8</v>
      </c>
      <c r="AK122">
        <v>2</v>
      </c>
      <c r="AL122">
        <v>5</v>
      </c>
      <c r="AM122">
        <v>4</v>
      </c>
      <c r="AN122">
        <v>4.5</v>
      </c>
      <c r="AO122">
        <v>4</v>
      </c>
      <c r="AP122">
        <v>4.2</v>
      </c>
      <c r="AQ122">
        <v>4</v>
      </c>
      <c r="AR122">
        <v>4</v>
      </c>
      <c r="AS122">
        <v>4</v>
      </c>
      <c r="AT122">
        <v>-4.5999999999999996</v>
      </c>
      <c r="AU122">
        <v>-6.6</v>
      </c>
      <c r="AV122">
        <v>-5</v>
      </c>
      <c r="AW122">
        <v>-4.5999999999999996</v>
      </c>
      <c r="AX122">
        <v>-5.5</v>
      </c>
      <c r="AY122">
        <v>-5</v>
      </c>
      <c r="AZ122">
        <v>9.9</v>
      </c>
      <c r="BA122">
        <v>10</v>
      </c>
      <c r="BB122">
        <v>11.5</v>
      </c>
      <c r="BC122">
        <v>10</v>
      </c>
      <c r="BD122">
        <v>4.5</v>
      </c>
      <c r="BE122">
        <v>4</v>
      </c>
      <c r="BF122">
        <v>11.5</v>
      </c>
      <c r="BG122">
        <v>10</v>
      </c>
      <c r="BH122">
        <v>11.5</v>
      </c>
      <c r="BI122">
        <v>10</v>
      </c>
      <c r="BJ122">
        <v>10.5</v>
      </c>
      <c r="BK122">
        <v>9</v>
      </c>
      <c r="BL122">
        <v>20.9</v>
      </c>
      <c r="BM122">
        <v>19</v>
      </c>
      <c r="BN122">
        <v>22.7</v>
      </c>
      <c r="BO122">
        <v>19</v>
      </c>
      <c r="BP122">
        <v>19.7</v>
      </c>
      <c r="BQ122">
        <v>20</v>
      </c>
      <c r="BR122">
        <v>21.8</v>
      </c>
      <c r="BS122">
        <v>25</v>
      </c>
      <c r="BT122">
        <v>21.9</v>
      </c>
      <c r="BU122">
        <v>25</v>
      </c>
      <c r="BV122">
        <v>23.8</v>
      </c>
      <c r="BW122">
        <v>18</v>
      </c>
      <c r="BX122">
        <v>21.4</v>
      </c>
      <c r="BY122">
        <v>20</v>
      </c>
      <c r="BZ122">
        <v>21.2</v>
      </c>
      <c r="CA122">
        <v>20</v>
      </c>
      <c r="CB122">
        <v>10.7</v>
      </c>
      <c r="CC122">
        <v>10</v>
      </c>
      <c r="CD122">
        <v>10.1</v>
      </c>
      <c r="CE122">
        <v>10</v>
      </c>
      <c r="CF122">
        <v>11.2</v>
      </c>
      <c r="CG122">
        <v>9</v>
      </c>
      <c r="CH122">
        <v>11.4</v>
      </c>
      <c r="CI122">
        <v>9</v>
      </c>
    </row>
    <row r="123" spans="1:87" x14ac:dyDescent="0.35">
      <c r="A123" s="1">
        <v>46059.531944444447</v>
      </c>
      <c r="B123">
        <v>-17.100000000000001</v>
      </c>
      <c r="C123">
        <v>3.5</v>
      </c>
      <c r="D123">
        <v>-25</v>
      </c>
      <c r="E123">
        <v>-18.5</v>
      </c>
      <c r="F123">
        <v>-19.8</v>
      </c>
      <c r="G123">
        <v>-25</v>
      </c>
      <c r="H123">
        <v>-17.7</v>
      </c>
      <c r="I123">
        <v>-15.7</v>
      </c>
      <c r="J123">
        <v>-25</v>
      </c>
      <c r="K123">
        <v>-17.2</v>
      </c>
      <c r="L123">
        <v>-17.899999999999999</v>
      </c>
      <c r="M123">
        <v>-25</v>
      </c>
      <c r="N123">
        <v>-18.7</v>
      </c>
      <c r="O123">
        <v>-18.7</v>
      </c>
      <c r="P123">
        <v>-25</v>
      </c>
      <c r="Q123">
        <v>-17.100000000000001</v>
      </c>
      <c r="R123">
        <v>-18.100000000000001</v>
      </c>
      <c r="S123">
        <v>-25</v>
      </c>
      <c r="T123">
        <v>3.7</v>
      </c>
      <c r="U123">
        <v>3.7</v>
      </c>
      <c r="V123">
        <v>2</v>
      </c>
      <c r="W123">
        <v>3.7</v>
      </c>
      <c r="X123">
        <v>3.5</v>
      </c>
      <c r="Y123">
        <v>2</v>
      </c>
      <c r="Z123">
        <v>3.6</v>
      </c>
      <c r="AA123">
        <v>3.1</v>
      </c>
      <c r="AB123">
        <v>2</v>
      </c>
      <c r="AC123">
        <v>3.3</v>
      </c>
      <c r="AD123">
        <v>2.5</v>
      </c>
      <c r="AE123">
        <v>2</v>
      </c>
      <c r="AF123">
        <v>5.4</v>
      </c>
      <c r="AG123">
        <v>5.3</v>
      </c>
      <c r="AH123">
        <v>2</v>
      </c>
      <c r="AI123">
        <v>2.9</v>
      </c>
      <c r="AJ123">
        <v>2.9</v>
      </c>
      <c r="AK123">
        <v>2</v>
      </c>
      <c r="AL123">
        <v>5.0999999999999996</v>
      </c>
      <c r="AM123">
        <v>4</v>
      </c>
      <c r="AN123">
        <v>4.5999999999999996</v>
      </c>
      <c r="AO123">
        <v>4</v>
      </c>
      <c r="AP123">
        <v>4.5</v>
      </c>
      <c r="AQ123">
        <v>4</v>
      </c>
      <c r="AR123">
        <v>4.3</v>
      </c>
      <c r="AS123">
        <v>4</v>
      </c>
      <c r="AT123">
        <v>-4.8</v>
      </c>
      <c r="AU123">
        <v>-6.8</v>
      </c>
      <c r="AV123">
        <v>-5</v>
      </c>
      <c r="AW123">
        <v>-4.5999999999999996</v>
      </c>
      <c r="AX123">
        <v>-5.0999999999999996</v>
      </c>
      <c r="AY123">
        <v>-5</v>
      </c>
      <c r="AZ123">
        <v>10.1</v>
      </c>
      <c r="BA123">
        <v>10</v>
      </c>
      <c r="BB123">
        <v>11.2</v>
      </c>
      <c r="BC123">
        <v>10</v>
      </c>
      <c r="BD123">
        <v>4.8</v>
      </c>
      <c r="BE123">
        <v>4</v>
      </c>
      <c r="BF123">
        <v>10.6</v>
      </c>
      <c r="BG123">
        <v>10</v>
      </c>
      <c r="BH123">
        <v>11.5</v>
      </c>
      <c r="BI123">
        <v>10</v>
      </c>
      <c r="BJ123">
        <v>10.5</v>
      </c>
      <c r="BK123">
        <v>9</v>
      </c>
      <c r="BL123">
        <v>20.9</v>
      </c>
      <c r="BM123">
        <v>19</v>
      </c>
      <c r="BN123">
        <v>22.7</v>
      </c>
      <c r="BO123">
        <v>19</v>
      </c>
      <c r="BP123">
        <v>19.8</v>
      </c>
      <c r="BQ123">
        <v>20</v>
      </c>
      <c r="BR123">
        <v>21.8</v>
      </c>
      <c r="BS123">
        <v>25</v>
      </c>
      <c r="BT123">
        <v>21.9</v>
      </c>
      <c r="BU123">
        <v>25</v>
      </c>
      <c r="BV123">
        <v>23.8</v>
      </c>
      <c r="BW123">
        <v>18</v>
      </c>
      <c r="BX123">
        <v>21.4</v>
      </c>
      <c r="BY123">
        <v>20</v>
      </c>
      <c r="BZ123">
        <v>21.2</v>
      </c>
      <c r="CA123">
        <v>20</v>
      </c>
      <c r="CB123">
        <v>11</v>
      </c>
      <c r="CC123">
        <v>10</v>
      </c>
      <c r="CD123">
        <v>10.1</v>
      </c>
      <c r="CE123">
        <v>10</v>
      </c>
      <c r="CF123">
        <v>11.1</v>
      </c>
      <c r="CG123">
        <v>9</v>
      </c>
      <c r="CH123">
        <v>11.3</v>
      </c>
      <c r="CI123">
        <v>9</v>
      </c>
    </row>
    <row r="124" spans="1:87" x14ac:dyDescent="0.35">
      <c r="A124" s="1">
        <v>46059.532638888886</v>
      </c>
      <c r="B124">
        <v>-17.100000000000001</v>
      </c>
      <c r="C124">
        <v>3.9</v>
      </c>
      <c r="D124">
        <v>-25</v>
      </c>
      <c r="E124">
        <v>-18.5</v>
      </c>
      <c r="F124">
        <v>-19.8</v>
      </c>
      <c r="G124">
        <v>-25</v>
      </c>
      <c r="H124">
        <v>-17.7</v>
      </c>
      <c r="I124">
        <v>-15.7</v>
      </c>
      <c r="J124">
        <v>-25</v>
      </c>
      <c r="K124">
        <v>-17.2</v>
      </c>
      <c r="L124">
        <v>-17.899999999999999</v>
      </c>
      <c r="M124">
        <v>-25</v>
      </c>
      <c r="N124">
        <v>-18.7</v>
      </c>
      <c r="O124">
        <v>-18.7</v>
      </c>
      <c r="P124">
        <v>-25</v>
      </c>
      <c r="Q124">
        <v>-17.2</v>
      </c>
      <c r="R124">
        <v>-18.2</v>
      </c>
      <c r="S124">
        <v>-25</v>
      </c>
      <c r="T124">
        <v>3.8</v>
      </c>
      <c r="U124">
        <v>3.8</v>
      </c>
      <c r="V124">
        <v>2</v>
      </c>
      <c r="W124">
        <v>3.8</v>
      </c>
      <c r="X124">
        <v>3.5</v>
      </c>
      <c r="Y124">
        <v>2</v>
      </c>
      <c r="Z124">
        <v>3.5</v>
      </c>
      <c r="AA124">
        <v>3</v>
      </c>
      <c r="AB124">
        <v>2</v>
      </c>
      <c r="AC124">
        <v>3.1</v>
      </c>
      <c r="AD124">
        <v>2.2000000000000002</v>
      </c>
      <c r="AE124">
        <v>2</v>
      </c>
      <c r="AF124">
        <v>5.5</v>
      </c>
      <c r="AG124">
        <v>5.4</v>
      </c>
      <c r="AH124">
        <v>2</v>
      </c>
      <c r="AI124">
        <v>5.4</v>
      </c>
      <c r="AJ124">
        <v>3</v>
      </c>
      <c r="AK124">
        <v>2</v>
      </c>
      <c r="AL124">
        <v>5.0999999999999996</v>
      </c>
      <c r="AM124">
        <v>4</v>
      </c>
      <c r="AN124">
        <v>4.7</v>
      </c>
      <c r="AO124">
        <v>4</v>
      </c>
      <c r="AP124">
        <v>4.5999999999999996</v>
      </c>
      <c r="AQ124">
        <v>4</v>
      </c>
      <c r="AR124">
        <v>4.7</v>
      </c>
      <c r="AS124">
        <v>4</v>
      </c>
      <c r="AT124">
        <v>-4.9000000000000004</v>
      </c>
      <c r="AU124">
        <v>-6.9</v>
      </c>
      <c r="AV124">
        <v>-5</v>
      </c>
      <c r="AW124">
        <v>-4.5999999999999996</v>
      </c>
      <c r="AX124">
        <v>-5</v>
      </c>
      <c r="AY124">
        <v>-5</v>
      </c>
      <c r="AZ124">
        <v>10.3</v>
      </c>
      <c r="BA124">
        <v>10</v>
      </c>
      <c r="BB124">
        <v>11.2</v>
      </c>
      <c r="BC124">
        <v>10</v>
      </c>
      <c r="BD124">
        <v>4.9000000000000004</v>
      </c>
      <c r="BE124">
        <v>4</v>
      </c>
      <c r="BF124">
        <v>9.9</v>
      </c>
      <c r="BG124">
        <v>10</v>
      </c>
      <c r="BH124">
        <v>11.4</v>
      </c>
      <c r="BI124">
        <v>10</v>
      </c>
      <c r="BJ124">
        <v>10.5</v>
      </c>
      <c r="BK124">
        <v>9</v>
      </c>
      <c r="BL124">
        <v>20.9</v>
      </c>
      <c r="BM124">
        <v>19</v>
      </c>
      <c r="BN124">
        <v>22.7</v>
      </c>
      <c r="BO124">
        <v>19</v>
      </c>
      <c r="BP124">
        <v>19.8</v>
      </c>
      <c r="BQ124">
        <v>20</v>
      </c>
      <c r="BR124">
        <v>21.8</v>
      </c>
      <c r="BS124">
        <v>25</v>
      </c>
      <c r="BT124">
        <v>21.9</v>
      </c>
      <c r="BU124">
        <v>25</v>
      </c>
      <c r="BV124">
        <v>23.8</v>
      </c>
      <c r="BW124">
        <v>18</v>
      </c>
      <c r="BX124">
        <v>21.4</v>
      </c>
      <c r="BY124">
        <v>20</v>
      </c>
      <c r="BZ124">
        <v>21.3</v>
      </c>
      <c r="CA124">
        <v>20</v>
      </c>
      <c r="CB124">
        <v>11.5</v>
      </c>
      <c r="CC124">
        <v>10</v>
      </c>
      <c r="CD124">
        <v>10.1</v>
      </c>
      <c r="CE124">
        <v>10</v>
      </c>
      <c r="CF124">
        <v>11.2</v>
      </c>
      <c r="CG124">
        <v>9</v>
      </c>
      <c r="CH124">
        <v>11.4</v>
      </c>
      <c r="CI124">
        <v>9</v>
      </c>
    </row>
    <row r="125" spans="1:87" x14ac:dyDescent="0.35">
      <c r="A125" s="1">
        <v>46059.533333333333</v>
      </c>
      <c r="B125">
        <v>-17.100000000000001</v>
      </c>
      <c r="C125">
        <v>4.4000000000000004</v>
      </c>
      <c r="D125">
        <v>-25</v>
      </c>
      <c r="E125">
        <v>-18.5</v>
      </c>
      <c r="F125">
        <v>-19.7</v>
      </c>
      <c r="G125">
        <v>-25</v>
      </c>
      <c r="H125">
        <v>-17.7</v>
      </c>
      <c r="I125">
        <v>-15.6</v>
      </c>
      <c r="J125">
        <v>-25</v>
      </c>
      <c r="K125">
        <v>-17.2</v>
      </c>
      <c r="L125">
        <v>-17.899999999999999</v>
      </c>
      <c r="M125">
        <v>-25</v>
      </c>
      <c r="N125">
        <v>-18.7</v>
      </c>
      <c r="O125">
        <v>-18.7</v>
      </c>
      <c r="P125">
        <v>-25</v>
      </c>
      <c r="Q125">
        <v>-17.3</v>
      </c>
      <c r="R125">
        <v>-18.2</v>
      </c>
      <c r="S125">
        <v>-25</v>
      </c>
      <c r="T125">
        <v>3.8</v>
      </c>
      <c r="U125">
        <v>3.8</v>
      </c>
      <c r="V125">
        <v>2</v>
      </c>
      <c r="W125">
        <v>3.8</v>
      </c>
      <c r="X125">
        <v>3.6</v>
      </c>
      <c r="Y125">
        <v>2</v>
      </c>
      <c r="Z125">
        <v>3.4</v>
      </c>
      <c r="AA125">
        <v>2.9</v>
      </c>
      <c r="AB125">
        <v>2</v>
      </c>
      <c r="AC125">
        <v>3</v>
      </c>
      <c r="AD125">
        <v>2.2999999999999998</v>
      </c>
      <c r="AE125">
        <v>2</v>
      </c>
      <c r="AF125">
        <v>5.6</v>
      </c>
      <c r="AG125">
        <v>5.4</v>
      </c>
      <c r="AH125">
        <v>2</v>
      </c>
      <c r="AI125">
        <v>5.5</v>
      </c>
      <c r="AJ125">
        <v>1.4</v>
      </c>
      <c r="AK125">
        <v>2</v>
      </c>
      <c r="AL125">
        <v>5.0999999999999996</v>
      </c>
      <c r="AM125">
        <v>4</v>
      </c>
      <c r="AN125">
        <v>4.7</v>
      </c>
      <c r="AO125">
        <v>4</v>
      </c>
      <c r="AP125">
        <v>4.8</v>
      </c>
      <c r="AQ125">
        <v>4</v>
      </c>
      <c r="AR125">
        <v>5</v>
      </c>
      <c r="AS125">
        <v>4</v>
      </c>
      <c r="AT125">
        <v>-4.9000000000000004</v>
      </c>
      <c r="AU125">
        <v>-6.5</v>
      </c>
      <c r="AV125">
        <v>-5</v>
      </c>
      <c r="AW125">
        <v>-4.5999999999999996</v>
      </c>
      <c r="AX125">
        <v>-6.4</v>
      </c>
      <c r="AY125">
        <v>-5</v>
      </c>
      <c r="AZ125">
        <v>10.4</v>
      </c>
      <c r="BA125">
        <v>10</v>
      </c>
      <c r="BB125">
        <v>10.9</v>
      </c>
      <c r="BC125">
        <v>10</v>
      </c>
      <c r="BD125">
        <v>5.2</v>
      </c>
      <c r="BE125">
        <v>4</v>
      </c>
      <c r="BF125">
        <v>9.5</v>
      </c>
      <c r="BG125">
        <v>10</v>
      </c>
      <c r="BH125">
        <v>11.4</v>
      </c>
      <c r="BI125">
        <v>10</v>
      </c>
      <c r="BJ125">
        <v>10.5</v>
      </c>
      <c r="BK125">
        <v>9</v>
      </c>
      <c r="BL125">
        <v>20.9</v>
      </c>
      <c r="BM125">
        <v>19</v>
      </c>
      <c r="BN125">
        <v>22.7</v>
      </c>
      <c r="BO125">
        <v>19</v>
      </c>
      <c r="BP125">
        <v>19.899999999999999</v>
      </c>
      <c r="BQ125">
        <v>20</v>
      </c>
      <c r="BR125">
        <v>21.8</v>
      </c>
      <c r="BS125">
        <v>25</v>
      </c>
      <c r="BT125">
        <v>21.9</v>
      </c>
      <c r="BU125">
        <v>25</v>
      </c>
      <c r="BV125">
        <v>23.8</v>
      </c>
      <c r="BW125">
        <v>18</v>
      </c>
      <c r="BX125">
        <v>21.4</v>
      </c>
      <c r="BY125">
        <v>20</v>
      </c>
      <c r="BZ125">
        <v>21.3</v>
      </c>
      <c r="CA125">
        <v>20</v>
      </c>
      <c r="CB125">
        <v>11.8</v>
      </c>
      <c r="CC125">
        <v>10</v>
      </c>
      <c r="CD125">
        <v>10</v>
      </c>
      <c r="CE125">
        <v>10</v>
      </c>
      <c r="CF125">
        <v>11.3</v>
      </c>
      <c r="CG125">
        <v>9</v>
      </c>
      <c r="CH125">
        <v>11.5</v>
      </c>
      <c r="CI125">
        <v>9</v>
      </c>
    </row>
    <row r="126" spans="1:87" x14ac:dyDescent="0.35">
      <c r="A126" s="1">
        <v>46059.53402777778</v>
      </c>
      <c r="B126">
        <v>-17.100000000000001</v>
      </c>
      <c r="C126">
        <v>4.8</v>
      </c>
      <c r="D126">
        <v>-25</v>
      </c>
      <c r="E126">
        <v>-18.5</v>
      </c>
      <c r="F126">
        <v>-19.7</v>
      </c>
      <c r="G126">
        <v>-25</v>
      </c>
      <c r="H126">
        <v>-17.7</v>
      </c>
      <c r="I126">
        <v>-15.6</v>
      </c>
      <c r="J126">
        <v>-25</v>
      </c>
      <c r="K126">
        <v>-17.2</v>
      </c>
      <c r="L126">
        <v>-17.8</v>
      </c>
      <c r="M126">
        <v>-25</v>
      </c>
      <c r="N126">
        <v>-18.7</v>
      </c>
      <c r="O126">
        <v>-18.8</v>
      </c>
      <c r="P126">
        <v>-25</v>
      </c>
      <c r="Q126">
        <v>-17.399999999999999</v>
      </c>
      <c r="R126">
        <v>-18.3</v>
      </c>
      <c r="S126">
        <v>-25</v>
      </c>
      <c r="T126">
        <v>3.9</v>
      </c>
      <c r="U126">
        <v>3.9</v>
      </c>
      <c r="V126">
        <v>2</v>
      </c>
      <c r="W126">
        <v>3.9</v>
      </c>
      <c r="X126">
        <v>3.7</v>
      </c>
      <c r="Y126">
        <v>2</v>
      </c>
      <c r="Z126">
        <v>3.4</v>
      </c>
      <c r="AA126">
        <v>2.9</v>
      </c>
      <c r="AB126">
        <v>2</v>
      </c>
      <c r="AC126">
        <v>3</v>
      </c>
      <c r="AD126">
        <v>1.3</v>
      </c>
      <c r="AE126">
        <v>2</v>
      </c>
      <c r="AF126">
        <v>5.7</v>
      </c>
      <c r="AG126">
        <v>5.5</v>
      </c>
      <c r="AH126">
        <v>2</v>
      </c>
      <c r="AI126">
        <v>5.5</v>
      </c>
      <c r="AJ126">
        <v>-5.3</v>
      </c>
      <c r="AK126">
        <v>2</v>
      </c>
      <c r="AL126">
        <v>5.2</v>
      </c>
      <c r="AM126">
        <v>4</v>
      </c>
      <c r="AN126">
        <v>4.8</v>
      </c>
      <c r="AO126">
        <v>4</v>
      </c>
      <c r="AP126">
        <v>5</v>
      </c>
      <c r="AQ126">
        <v>4</v>
      </c>
      <c r="AR126">
        <v>5.3</v>
      </c>
      <c r="AS126">
        <v>4</v>
      </c>
      <c r="AT126">
        <v>-5</v>
      </c>
      <c r="AU126">
        <v>-6.8</v>
      </c>
      <c r="AV126">
        <v>-5</v>
      </c>
      <c r="AW126">
        <v>-4.8</v>
      </c>
      <c r="AX126">
        <v>-6.8</v>
      </c>
      <c r="AY126">
        <v>-5</v>
      </c>
      <c r="AZ126">
        <v>10.5</v>
      </c>
      <c r="BA126">
        <v>10</v>
      </c>
      <c r="BB126">
        <v>10.8</v>
      </c>
      <c r="BC126">
        <v>10</v>
      </c>
      <c r="BD126">
        <v>5.3</v>
      </c>
      <c r="BE126">
        <v>4</v>
      </c>
      <c r="BF126">
        <v>9.5</v>
      </c>
      <c r="BG126">
        <v>10</v>
      </c>
      <c r="BH126">
        <v>11.4</v>
      </c>
      <c r="BI126">
        <v>10</v>
      </c>
      <c r="BJ126">
        <v>10.5</v>
      </c>
      <c r="BK126">
        <v>9</v>
      </c>
      <c r="BL126">
        <v>20.9</v>
      </c>
      <c r="BM126">
        <v>19</v>
      </c>
      <c r="BN126">
        <v>22.7</v>
      </c>
      <c r="BO126">
        <v>19</v>
      </c>
      <c r="BP126">
        <v>19.899999999999999</v>
      </c>
      <c r="BQ126">
        <v>20</v>
      </c>
      <c r="BR126">
        <v>21.8</v>
      </c>
      <c r="BS126">
        <v>25</v>
      </c>
      <c r="BT126">
        <v>21.9</v>
      </c>
      <c r="BU126">
        <v>25</v>
      </c>
      <c r="BV126">
        <v>23.8</v>
      </c>
      <c r="BW126">
        <v>18</v>
      </c>
      <c r="BX126">
        <v>21.5</v>
      </c>
      <c r="BY126">
        <v>20</v>
      </c>
      <c r="BZ126">
        <v>21.3</v>
      </c>
      <c r="CA126">
        <v>20</v>
      </c>
      <c r="CB126">
        <v>12.1</v>
      </c>
      <c r="CC126">
        <v>10</v>
      </c>
      <c r="CD126">
        <v>10</v>
      </c>
      <c r="CE126">
        <v>10</v>
      </c>
      <c r="CF126">
        <v>11.4</v>
      </c>
      <c r="CG126">
        <v>9</v>
      </c>
      <c r="CH126">
        <v>11.6</v>
      </c>
      <c r="CI126">
        <v>9</v>
      </c>
    </row>
    <row r="127" spans="1:87" x14ac:dyDescent="0.35">
      <c r="A127" s="1">
        <v>46059.534722222219</v>
      </c>
      <c r="B127">
        <v>-17.100000000000001</v>
      </c>
      <c r="C127">
        <v>5.2</v>
      </c>
      <c r="D127">
        <v>-25</v>
      </c>
      <c r="E127">
        <v>-18.5</v>
      </c>
      <c r="F127">
        <v>-19.7</v>
      </c>
      <c r="G127">
        <v>-25</v>
      </c>
      <c r="H127">
        <v>-17.7</v>
      </c>
      <c r="I127">
        <v>-15.6</v>
      </c>
      <c r="J127">
        <v>-25</v>
      </c>
      <c r="K127">
        <v>-17.2</v>
      </c>
      <c r="L127">
        <v>-17.8</v>
      </c>
      <c r="M127">
        <v>-25</v>
      </c>
      <c r="N127">
        <v>-18.7</v>
      </c>
      <c r="O127">
        <v>-18.8</v>
      </c>
      <c r="P127">
        <v>-25</v>
      </c>
      <c r="Q127">
        <v>-17.5</v>
      </c>
      <c r="R127">
        <v>-18.399999999999999</v>
      </c>
      <c r="S127">
        <v>-25</v>
      </c>
      <c r="T127">
        <v>3.9</v>
      </c>
      <c r="U127">
        <v>3.9</v>
      </c>
      <c r="V127">
        <v>2</v>
      </c>
      <c r="W127">
        <v>3.9</v>
      </c>
      <c r="X127">
        <v>3.7</v>
      </c>
      <c r="Y127">
        <v>2</v>
      </c>
      <c r="Z127">
        <v>3.2</v>
      </c>
      <c r="AA127">
        <v>2.5</v>
      </c>
      <c r="AB127">
        <v>2</v>
      </c>
      <c r="AC127">
        <v>2.8</v>
      </c>
      <c r="AD127">
        <v>0.6</v>
      </c>
      <c r="AE127">
        <v>2</v>
      </c>
      <c r="AF127">
        <v>5.6</v>
      </c>
      <c r="AG127">
        <v>5.2</v>
      </c>
      <c r="AH127">
        <v>2</v>
      </c>
      <c r="AI127">
        <v>5.3</v>
      </c>
      <c r="AJ127">
        <v>1.6</v>
      </c>
      <c r="AK127">
        <v>2</v>
      </c>
      <c r="AL127">
        <v>5.2</v>
      </c>
      <c r="AM127">
        <v>4</v>
      </c>
      <c r="AN127">
        <v>4.9000000000000004</v>
      </c>
      <c r="AO127">
        <v>4</v>
      </c>
      <c r="AP127">
        <v>5.2</v>
      </c>
      <c r="AQ127">
        <v>4</v>
      </c>
      <c r="AR127">
        <v>5.5</v>
      </c>
      <c r="AS127">
        <v>4</v>
      </c>
      <c r="AT127">
        <v>-5.2</v>
      </c>
      <c r="AU127">
        <v>-7.2</v>
      </c>
      <c r="AV127">
        <v>-5</v>
      </c>
      <c r="AW127">
        <v>-5.2</v>
      </c>
      <c r="AX127">
        <v>-6.2</v>
      </c>
      <c r="AY127">
        <v>-5</v>
      </c>
      <c r="AZ127">
        <v>10.6</v>
      </c>
      <c r="BA127">
        <v>10</v>
      </c>
      <c r="BB127">
        <v>10.7</v>
      </c>
      <c r="BC127">
        <v>10</v>
      </c>
      <c r="BD127">
        <v>5.5</v>
      </c>
      <c r="BE127">
        <v>4</v>
      </c>
      <c r="BF127">
        <v>10.1</v>
      </c>
      <c r="BG127">
        <v>10</v>
      </c>
      <c r="BH127">
        <v>11.4</v>
      </c>
      <c r="BI127">
        <v>10</v>
      </c>
      <c r="BJ127">
        <v>10.4</v>
      </c>
      <c r="BK127">
        <v>9</v>
      </c>
      <c r="BL127">
        <v>20.9</v>
      </c>
      <c r="BM127">
        <v>19</v>
      </c>
      <c r="BN127">
        <v>22.8</v>
      </c>
      <c r="BO127">
        <v>19</v>
      </c>
      <c r="BP127">
        <v>19.899999999999999</v>
      </c>
      <c r="BQ127">
        <v>20</v>
      </c>
      <c r="BR127">
        <v>21.9</v>
      </c>
      <c r="BS127">
        <v>25</v>
      </c>
      <c r="BT127">
        <v>21.9</v>
      </c>
      <c r="BU127">
        <v>25</v>
      </c>
      <c r="BV127">
        <v>23.8</v>
      </c>
      <c r="BW127">
        <v>18</v>
      </c>
      <c r="BX127">
        <v>21.5</v>
      </c>
      <c r="BY127">
        <v>20</v>
      </c>
      <c r="BZ127">
        <v>21.3</v>
      </c>
      <c r="CA127">
        <v>20</v>
      </c>
      <c r="CB127">
        <v>12</v>
      </c>
      <c r="CC127">
        <v>10</v>
      </c>
      <c r="CD127">
        <v>10</v>
      </c>
      <c r="CE127">
        <v>10</v>
      </c>
      <c r="CF127">
        <v>11.3</v>
      </c>
      <c r="CG127">
        <v>9</v>
      </c>
      <c r="CH127">
        <v>11.5</v>
      </c>
      <c r="CI127">
        <v>9</v>
      </c>
    </row>
    <row r="128" spans="1:87" x14ac:dyDescent="0.35">
      <c r="A128" s="1">
        <v>46059.536111111112</v>
      </c>
      <c r="B128">
        <v>-17.100000000000001</v>
      </c>
      <c r="C128">
        <v>6.1</v>
      </c>
      <c r="D128">
        <v>-25</v>
      </c>
      <c r="E128">
        <v>-18.5</v>
      </c>
      <c r="F128">
        <v>-20</v>
      </c>
      <c r="G128">
        <v>-25</v>
      </c>
      <c r="H128">
        <v>-17.600000000000001</v>
      </c>
      <c r="I128">
        <v>-15.6</v>
      </c>
      <c r="J128">
        <v>-25</v>
      </c>
      <c r="K128">
        <v>-17.2</v>
      </c>
      <c r="L128">
        <v>-17.8</v>
      </c>
      <c r="M128">
        <v>-25</v>
      </c>
      <c r="N128">
        <v>-18.8</v>
      </c>
      <c r="O128">
        <v>-18.899999999999999</v>
      </c>
      <c r="P128">
        <v>-25</v>
      </c>
      <c r="Q128">
        <v>-17.8</v>
      </c>
      <c r="R128">
        <v>-18.5</v>
      </c>
      <c r="S128">
        <v>-25</v>
      </c>
      <c r="T128">
        <v>3.7</v>
      </c>
      <c r="U128">
        <v>1.8</v>
      </c>
      <c r="V128">
        <v>2</v>
      </c>
      <c r="W128">
        <v>3.8</v>
      </c>
      <c r="X128">
        <v>1.9</v>
      </c>
      <c r="Y128">
        <v>2</v>
      </c>
      <c r="Z128">
        <v>2.9</v>
      </c>
      <c r="AA128">
        <v>2.2000000000000002</v>
      </c>
      <c r="AB128">
        <v>2</v>
      </c>
      <c r="AC128">
        <v>2.4</v>
      </c>
      <c r="AD128">
        <v>1.2</v>
      </c>
      <c r="AE128">
        <v>2</v>
      </c>
      <c r="AF128">
        <v>4.5999999999999996</v>
      </c>
      <c r="AG128">
        <v>4.0999999999999996</v>
      </c>
      <c r="AH128">
        <v>2</v>
      </c>
      <c r="AI128">
        <v>4.5</v>
      </c>
      <c r="AJ128">
        <v>3.3</v>
      </c>
      <c r="AK128">
        <v>2</v>
      </c>
      <c r="AL128">
        <v>5.3</v>
      </c>
      <c r="AM128">
        <v>4</v>
      </c>
      <c r="AN128">
        <v>5</v>
      </c>
      <c r="AO128">
        <v>4</v>
      </c>
      <c r="AP128">
        <v>5.4</v>
      </c>
      <c r="AQ128">
        <v>4</v>
      </c>
      <c r="AR128">
        <v>5.9</v>
      </c>
      <c r="AS128">
        <v>4</v>
      </c>
      <c r="AT128">
        <v>-4.8</v>
      </c>
      <c r="AU128">
        <v>-5.2</v>
      </c>
      <c r="AV128">
        <v>-5</v>
      </c>
      <c r="AW128">
        <v>-4.5</v>
      </c>
      <c r="AX128">
        <v>-4.5</v>
      </c>
      <c r="AY128">
        <v>-5</v>
      </c>
      <c r="AZ128">
        <v>10.8</v>
      </c>
      <c r="BA128">
        <v>10</v>
      </c>
      <c r="BB128">
        <v>10.8</v>
      </c>
      <c r="BC128">
        <v>10</v>
      </c>
      <c r="BD128">
        <v>5.8</v>
      </c>
      <c r="BE128">
        <v>4</v>
      </c>
      <c r="BF128">
        <v>10.8</v>
      </c>
      <c r="BG128">
        <v>10</v>
      </c>
      <c r="BH128">
        <v>11.3</v>
      </c>
      <c r="BI128">
        <v>10</v>
      </c>
      <c r="BJ128">
        <v>10.4</v>
      </c>
      <c r="BK128">
        <v>9</v>
      </c>
      <c r="BL128">
        <v>20.9</v>
      </c>
      <c r="BM128">
        <v>19</v>
      </c>
      <c r="BN128">
        <v>22.8</v>
      </c>
      <c r="BO128">
        <v>19</v>
      </c>
      <c r="BP128">
        <v>20</v>
      </c>
      <c r="BQ128">
        <v>20</v>
      </c>
      <c r="BR128">
        <v>21.9</v>
      </c>
      <c r="BS128">
        <v>25</v>
      </c>
      <c r="BT128">
        <v>21.9</v>
      </c>
      <c r="BU128">
        <v>25</v>
      </c>
      <c r="BV128">
        <v>23.8</v>
      </c>
      <c r="BW128">
        <v>18</v>
      </c>
      <c r="BX128">
        <v>21.5</v>
      </c>
      <c r="BY128">
        <v>20</v>
      </c>
      <c r="BZ128">
        <v>21.4</v>
      </c>
      <c r="CA128">
        <v>20</v>
      </c>
      <c r="CB128">
        <v>11.6</v>
      </c>
      <c r="CC128">
        <v>10</v>
      </c>
      <c r="CD128">
        <v>10</v>
      </c>
      <c r="CE128">
        <v>10</v>
      </c>
      <c r="CF128">
        <v>11.1</v>
      </c>
      <c r="CG128">
        <v>9</v>
      </c>
      <c r="CH128">
        <v>11.3</v>
      </c>
      <c r="CI128">
        <v>9</v>
      </c>
    </row>
    <row r="129" spans="1:87" x14ac:dyDescent="0.35">
      <c r="A129" s="1">
        <v>46059.536805555559</v>
      </c>
      <c r="B129">
        <v>-17.100000000000001</v>
      </c>
      <c r="C129">
        <v>6.6</v>
      </c>
      <c r="D129">
        <v>-25</v>
      </c>
      <c r="E129">
        <v>-18.5</v>
      </c>
      <c r="F129">
        <v>-19.8</v>
      </c>
      <c r="G129">
        <v>-25</v>
      </c>
      <c r="H129">
        <v>-17.600000000000001</v>
      </c>
      <c r="I129">
        <v>-15.6</v>
      </c>
      <c r="J129">
        <v>-25</v>
      </c>
      <c r="K129">
        <v>-17.2</v>
      </c>
      <c r="L129">
        <v>-17.8</v>
      </c>
      <c r="M129">
        <v>-25</v>
      </c>
      <c r="N129">
        <v>-18.8</v>
      </c>
      <c r="O129">
        <v>-19</v>
      </c>
      <c r="P129">
        <v>-25</v>
      </c>
      <c r="Q129">
        <v>-18</v>
      </c>
      <c r="R129">
        <v>-18.600000000000001</v>
      </c>
      <c r="S129">
        <v>-25</v>
      </c>
      <c r="T129">
        <v>3.2</v>
      </c>
      <c r="U129">
        <v>0.8</v>
      </c>
      <c r="V129">
        <v>2</v>
      </c>
      <c r="W129">
        <v>3.3</v>
      </c>
      <c r="X129">
        <v>1.7</v>
      </c>
      <c r="Y129">
        <v>2</v>
      </c>
      <c r="Z129">
        <v>2.9</v>
      </c>
      <c r="AA129">
        <v>2.2000000000000002</v>
      </c>
      <c r="AB129">
        <v>2</v>
      </c>
      <c r="AC129">
        <v>2.4</v>
      </c>
      <c r="AD129">
        <v>1.4</v>
      </c>
      <c r="AE129">
        <v>2</v>
      </c>
      <c r="AF129">
        <v>4.4000000000000004</v>
      </c>
      <c r="AG129">
        <v>4</v>
      </c>
      <c r="AH129">
        <v>2</v>
      </c>
      <c r="AI129">
        <v>4.3</v>
      </c>
      <c r="AJ129">
        <v>3.3</v>
      </c>
      <c r="AK129">
        <v>2</v>
      </c>
      <c r="AL129">
        <v>5.3</v>
      </c>
      <c r="AM129">
        <v>4</v>
      </c>
      <c r="AN129">
        <v>5</v>
      </c>
      <c r="AO129">
        <v>4</v>
      </c>
      <c r="AP129">
        <v>5.6</v>
      </c>
      <c r="AQ129">
        <v>4</v>
      </c>
      <c r="AR129">
        <v>6</v>
      </c>
      <c r="AS129">
        <v>4</v>
      </c>
      <c r="AT129">
        <v>-4.0999999999999996</v>
      </c>
      <c r="AU129">
        <v>-4.5</v>
      </c>
      <c r="AV129">
        <v>-5</v>
      </c>
      <c r="AW129">
        <v>-3.9</v>
      </c>
      <c r="AX129">
        <v>-3.8</v>
      </c>
      <c r="AY129">
        <v>-5</v>
      </c>
      <c r="AZ129">
        <v>10.9</v>
      </c>
      <c r="BA129">
        <v>10</v>
      </c>
      <c r="BB129">
        <v>10.7</v>
      </c>
      <c r="BC129">
        <v>10</v>
      </c>
      <c r="BD129">
        <v>5.9</v>
      </c>
      <c r="BE129">
        <v>4</v>
      </c>
      <c r="BF129">
        <v>11.1</v>
      </c>
      <c r="BG129">
        <v>10</v>
      </c>
      <c r="BH129">
        <v>11.3</v>
      </c>
      <c r="BI129">
        <v>10</v>
      </c>
      <c r="BJ129">
        <v>10.4</v>
      </c>
      <c r="BK129">
        <v>9</v>
      </c>
      <c r="BL129">
        <v>20.9</v>
      </c>
      <c r="BM129">
        <v>19</v>
      </c>
      <c r="BN129">
        <v>22.8</v>
      </c>
      <c r="BO129">
        <v>19</v>
      </c>
      <c r="BP129">
        <v>20.100000000000001</v>
      </c>
      <c r="BQ129">
        <v>20</v>
      </c>
      <c r="BR129">
        <v>21.9</v>
      </c>
      <c r="BS129">
        <v>25</v>
      </c>
      <c r="BT129">
        <v>21.9</v>
      </c>
      <c r="BU129">
        <v>25</v>
      </c>
      <c r="BV129">
        <v>23.8</v>
      </c>
      <c r="BW129">
        <v>18</v>
      </c>
      <c r="BX129">
        <v>21.5</v>
      </c>
      <c r="BY129">
        <v>20</v>
      </c>
      <c r="BZ129">
        <v>21.4</v>
      </c>
      <c r="CA129">
        <v>20</v>
      </c>
      <c r="CB129">
        <v>11.4</v>
      </c>
      <c r="CC129">
        <v>10</v>
      </c>
      <c r="CD129">
        <v>10.1</v>
      </c>
      <c r="CE129">
        <v>10</v>
      </c>
      <c r="CF129">
        <v>10.9</v>
      </c>
      <c r="CG129">
        <v>9</v>
      </c>
      <c r="CH129">
        <v>11.1</v>
      </c>
      <c r="CI129">
        <v>9</v>
      </c>
    </row>
    <row r="130" spans="1:87" x14ac:dyDescent="0.35">
      <c r="A130" s="1">
        <v>46059.537499999999</v>
      </c>
      <c r="B130">
        <v>-17.100000000000001</v>
      </c>
      <c r="C130">
        <v>6.9</v>
      </c>
      <c r="D130">
        <v>-25</v>
      </c>
      <c r="E130">
        <v>-18.5</v>
      </c>
      <c r="F130">
        <v>-19.8</v>
      </c>
      <c r="G130">
        <v>-25</v>
      </c>
      <c r="H130">
        <v>-17.600000000000001</v>
      </c>
      <c r="I130">
        <v>-15.6</v>
      </c>
      <c r="J130">
        <v>-25</v>
      </c>
      <c r="K130">
        <v>-17.2</v>
      </c>
      <c r="L130">
        <v>-17.7</v>
      </c>
      <c r="M130">
        <v>-25</v>
      </c>
      <c r="N130">
        <v>-18.899999999999999</v>
      </c>
      <c r="O130">
        <v>-19.100000000000001</v>
      </c>
      <c r="P130">
        <v>-25</v>
      </c>
      <c r="Q130">
        <v>-18.100000000000001</v>
      </c>
      <c r="R130">
        <v>-18.7</v>
      </c>
      <c r="S130">
        <v>-25</v>
      </c>
      <c r="T130">
        <v>2.8</v>
      </c>
      <c r="U130">
        <v>1</v>
      </c>
      <c r="V130">
        <v>2</v>
      </c>
      <c r="W130">
        <v>2.8</v>
      </c>
      <c r="X130">
        <v>1.3</v>
      </c>
      <c r="Y130">
        <v>2</v>
      </c>
      <c r="Z130">
        <v>2.9</v>
      </c>
      <c r="AA130">
        <v>2.2000000000000002</v>
      </c>
      <c r="AB130">
        <v>2</v>
      </c>
      <c r="AC130">
        <v>2.4</v>
      </c>
      <c r="AD130">
        <v>1.5</v>
      </c>
      <c r="AE130">
        <v>2</v>
      </c>
      <c r="AF130">
        <v>4.2</v>
      </c>
      <c r="AG130">
        <v>3.8</v>
      </c>
      <c r="AH130">
        <v>2</v>
      </c>
      <c r="AI130">
        <v>4.0999999999999996</v>
      </c>
      <c r="AJ130">
        <v>3</v>
      </c>
      <c r="AK130">
        <v>2</v>
      </c>
      <c r="AL130">
        <v>5.4</v>
      </c>
      <c r="AM130">
        <v>4</v>
      </c>
      <c r="AN130">
        <v>5.0999999999999996</v>
      </c>
      <c r="AO130">
        <v>4</v>
      </c>
      <c r="AP130">
        <v>5.7</v>
      </c>
      <c r="AQ130">
        <v>4</v>
      </c>
      <c r="AR130">
        <v>5.9</v>
      </c>
      <c r="AS130">
        <v>4</v>
      </c>
      <c r="AT130">
        <v>-3.7</v>
      </c>
      <c r="AU130">
        <v>-3.9</v>
      </c>
      <c r="AV130">
        <v>-5</v>
      </c>
      <c r="AW130">
        <v>-3.4</v>
      </c>
      <c r="AX130">
        <v>-3.2</v>
      </c>
      <c r="AY130">
        <v>-5</v>
      </c>
      <c r="AZ130">
        <v>11</v>
      </c>
      <c r="BA130">
        <v>10</v>
      </c>
      <c r="BB130">
        <v>10.6</v>
      </c>
      <c r="BC130">
        <v>10</v>
      </c>
      <c r="BD130">
        <v>6</v>
      </c>
      <c r="BE130">
        <v>4</v>
      </c>
      <c r="BF130">
        <v>11.4</v>
      </c>
      <c r="BG130">
        <v>10</v>
      </c>
      <c r="BH130">
        <v>11.3</v>
      </c>
      <c r="BI130">
        <v>10</v>
      </c>
      <c r="BJ130">
        <v>10.3</v>
      </c>
      <c r="BK130">
        <v>9</v>
      </c>
      <c r="BL130">
        <v>20.9</v>
      </c>
      <c r="BM130">
        <v>19</v>
      </c>
      <c r="BN130">
        <v>22.8</v>
      </c>
      <c r="BO130">
        <v>19</v>
      </c>
      <c r="BP130">
        <v>20.100000000000001</v>
      </c>
      <c r="BQ130">
        <v>20</v>
      </c>
      <c r="BR130">
        <v>21.9</v>
      </c>
      <c r="BS130">
        <v>25</v>
      </c>
      <c r="BT130">
        <v>21.9</v>
      </c>
      <c r="BU130">
        <v>25</v>
      </c>
      <c r="BV130">
        <v>23.8</v>
      </c>
      <c r="BW130">
        <v>18</v>
      </c>
      <c r="BX130">
        <v>21.6</v>
      </c>
      <c r="BY130">
        <v>20</v>
      </c>
      <c r="BZ130">
        <v>21.4</v>
      </c>
      <c r="CA130">
        <v>20</v>
      </c>
      <c r="CB130">
        <v>11.1</v>
      </c>
      <c r="CC130">
        <v>10</v>
      </c>
      <c r="CD130">
        <v>10.199999999999999</v>
      </c>
      <c r="CE130">
        <v>10</v>
      </c>
      <c r="CF130">
        <v>11</v>
      </c>
      <c r="CG130">
        <v>9</v>
      </c>
      <c r="CH130">
        <v>11.2</v>
      </c>
      <c r="CI130">
        <v>9</v>
      </c>
    </row>
    <row r="131" spans="1:87" x14ac:dyDescent="0.35">
      <c r="A131" s="1">
        <v>46059.538194444445</v>
      </c>
      <c r="B131">
        <v>-17.100000000000001</v>
      </c>
      <c r="C131">
        <v>7.2</v>
      </c>
      <c r="D131">
        <v>-25</v>
      </c>
      <c r="E131">
        <v>-18.5</v>
      </c>
      <c r="F131">
        <v>-19.8</v>
      </c>
      <c r="G131">
        <v>-25</v>
      </c>
      <c r="H131">
        <v>-17.5</v>
      </c>
      <c r="I131">
        <v>-15.5</v>
      </c>
      <c r="J131">
        <v>-25</v>
      </c>
      <c r="K131">
        <v>-17.100000000000001</v>
      </c>
      <c r="L131">
        <v>-17.7</v>
      </c>
      <c r="M131">
        <v>-25</v>
      </c>
      <c r="N131">
        <v>-19</v>
      </c>
      <c r="O131">
        <v>-19.2</v>
      </c>
      <c r="P131">
        <v>-25</v>
      </c>
      <c r="Q131">
        <v>-18.2</v>
      </c>
      <c r="R131">
        <v>-18.8</v>
      </c>
      <c r="S131">
        <v>-25</v>
      </c>
      <c r="T131">
        <v>2.4</v>
      </c>
      <c r="U131">
        <v>0.9</v>
      </c>
      <c r="V131">
        <v>2</v>
      </c>
      <c r="W131">
        <v>2.5</v>
      </c>
      <c r="X131">
        <v>0.9</v>
      </c>
      <c r="Y131">
        <v>2</v>
      </c>
      <c r="Z131">
        <v>2.8</v>
      </c>
      <c r="AA131">
        <v>2.2000000000000002</v>
      </c>
      <c r="AB131">
        <v>2</v>
      </c>
      <c r="AC131">
        <v>2.4</v>
      </c>
      <c r="AD131">
        <v>1.5</v>
      </c>
      <c r="AE131">
        <v>2</v>
      </c>
      <c r="AF131">
        <v>4.0999999999999996</v>
      </c>
      <c r="AG131">
        <v>3.7</v>
      </c>
      <c r="AH131">
        <v>2</v>
      </c>
      <c r="AI131">
        <v>4</v>
      </c>
      <c r="AJ131">
        <v>2.8</v>
      </c>
      <c r="AK131">
        <v>2</v>
      </c>
      <c r="AL131">
        <v>5.4</v>
      </c>
      <c r="AM131">
        <v>4</v>
      </c>
      <c r="AN131">
        <v>5.0999999999999996</v>
      </c>
      <c r="AO131">
        <v>4</v>
      </c>
      <c r="AP131">
        <v>5.9</v>
      </c>
      <c r="AQ131">
        <v>4</v>
      </c>
      <c r="AR131">
        <v>5</v>
      </c>
      <c r="AS131">
        <v>4</v>
      </c>
      <c r="AT131">
        <v>-3.3</v>
      </c>
      <c r="AU131">
        <v>-3.5</v>
      </c>
      <c r="AV131">
        <v>-5</v>
      </c>
      <c r="AW131">
        <v>-3</v>
      </c>
      <c r="AX131">
        <v>-2.8</v>
      </c>
      <c r="AY131">
        <v>-5</v>
      </c>
      <c r="AZ131">
        <v>11.1</v>
      </c>
      <c r="BA131">
        <v>10</v>
      </c>
      <c r="BB131">
        <v>10.6</v>
      </c>
      <c r="BC131">
        <v>10</v>
      </c>
      <c r="BD131">
        <v>5.7</v>
      </c>
      <c r="BE131">
        <v>4</v>
      </c>
      <c r="BF131">
        <v>11.9</v>
      </c>
      <c r="BG131">
        <v>10</v>
      </c>
      <c r="BH131">
        <v>11.3</v>
      </c>
      <c r="BI131">
        <v>10</v>
      </c>
      <c r="BJ131">
        <v>10.3</v>
      </c>
      <c r="BK131">
        <v>9</v>
      </c>
      <c r="BL131">
        <v>20.9</v>
      </c>
      <c r="BM131">
        <v>19</v>
      </c>
      <c r="BN131">
        <v>22.8</v>
      </c>
      <c r="BO131">
        <v>19</v>
      </c>
      <c r="BP131">
        <v>20.100000000000001</v>
      </c>
      <c r="BQ131">
        <v>20</v>
      </c>
      <c r="BR131">
        <v>21.9</v>
      </c>
      <c r="BS131">
        <v>25</v>
      </c>
      <c r="BT131">
        <v>21.9</v>
      </c>
      <c r="BU131">
        <v>25</v>
      </c>
      <c r="BV131">
        <v>23.8</v>
      </c>
      <c r="BW131">
        <v>18</v>
      </c>
      <c r="BX131">
        <v>21.6</v>
      </c>
      <c r="BY131">
        <v>20</v>
      </c>
      <c r="BZ131">
        <v>21.5</v>
      </c>
      <c r="CA131">
        <v>20</v>
      </c>
      <c r="CB131">
        <v>11.1</v>
      </c>
      <c r="CC131">
        <v>10</v>
      </c>
      <c r="CD131">
        <v>10.3</v>
      </c>
      <c r="CE131">
        <v>10</v>
      </c>
      <c r="CF131">
        <v>11.2</v>
      </c>
      <c r="CG131">
        <v>9</v>
      </c>
      <c r="CH131">
        <v>11.4</v>
      </c>
      <c r="CI131">
        <v>9</v>
      </c>
    </row>
    <row r="132" spans="1:87" x14ac:dyDescent="0.35">
      <c r="A132" s="1">
        <v>46059.538888888892</v>
      </c>
      <c r="B132">
        <v>-17.100000000000001</v>
      </c>
      <c r="C132">
        <v>7.4</v>
      </c>
      <c r="D132">
        <v>-25</v>
      </c>
      <c r="E132">
        <v>-18.5</v>
      </c>
      <c r="F132">
        <v>-19.899999999999999</v>
      </c>
      <c r="G132">
        <v>-25</v>
      </c>
      <c r="H132">
        <v>-17.5</v>
      </c>
      <c r="I132">
        <v>-15.5</v>
      </c>
      <c r="J132">
        <v>-25</v>
      </c>
      <c r="K132">
        <v>-17.100000000000001</v>
      </c>
      <c r="L132">
        <v>-17.7</v>
      </c>
      <c r="M132">
        <v>-25</v>
      </c>
      <c r="N132">
        <v>-19</v>
      </c>
      <c r="O132">
        <v>-19.3</v>
      </c>
      <c r="P132">
        <v>-25</v>
      </c>
      <c r="Q132">
        <v>-18.2</v>
      </c>
      <c r="R132">
        <v>-18.8</v>
      </c>
      <c r="S132">
        <v>-25</v>
      </c>
      <c r="T132">
        <v>2.1</v>
      </c>
      <c r="U132">
        <v>0.8</v>
      </c>
      <c r="V132">
        <v>2</v>
      </c>
      <c r="W132">
        <v>2.2000000000000002</v>
      </c>
      <c r="X132">
        <v>0.7</v>
      </c>
      <c r="Y132">
        <v>2</v>
      </c>
      <c r="Z132">
        <v>2.8</v>
      </c>
      <c r="AA132">
        <v>2.2000000000000002</v>
      </c>
      <c r="AB132">
        <v>2</v>
      </c>
      <c r="AC132">
        <v>2.4</v>
      </c>
      <c r="AD132">
        <v>1.5</v>
      </c>
      <c r="AE132">
        <v>2</v>
      </c>
      <c r="AF132">
        <v>3.9</v>
      </c>
      <c r="AG132">
        <v>3.5</v>
      </c>
      <c r="AH132">
        <v>2</v>
      </c>
      <c r="AI132">
        <v>3.8</v>
      </c>
      <c r="AJ132">
        <v>2.8</v>
      </c>
      <c r="AK132">
        <v>2</v>
      </c>
      <c r="AL132">
        <v>5.5</v>
      </c>
      <c r="AM132">
        <v>4</v>
      </c>
      <c r="AN132">
        <v>5.2</v>
      </c>
      <c r="AO132">
        <v>4</v>
      </c>
      <c r="AP132">
        <v>6</v>
      </c>
      <c r="AQ132">
        <v>4</v>
      </c>
      <c r="AR132">
        <v>4</v>
      </c>
      <c r="AS132">
        <v>4</v>
      </c>
      <c r="AT132">
        <v>-2.9</v>
      </c>
      <c r="AU132">
        <v>-3.2</v>
      </c>
      <c r="AV132">
        <v>-5</v>
      </c>
      <c r="AW132">
        <v>-2.6</v>
      </c>
      <c r="AX132">
        <v>-2.2999999999999998</v>
      </c>
      <c r="AY132">
        <v>-5</v>
      </c>
      <c r="AZ132">
        <v>11.2</v>
      </c>
      <c r="BA132">
        <v>10</v>
      </c>
      <c r="BB132">
        <v>10.5</v>
      </c>
      <c r="BC132">
        <v>10</v>
      </c>
      <c r="BD132">
        <v>5.2</v>
      </c>
      <c r="BE132">
        <v>4</v>
      </c>
      <c r="BF132">
        <v>12</v>
      </c>
      <c r="BG132">
        <v>10</v>
      </c>
      <c r="BH132">
        <v>11.3</v>
      </c>
      <c r="BI132">
        <v>10</v>
      </c>
      <c r="BJ132">
        <v>10.3</v>
      </c>
      <c r="BK132">
        <v>9</v>
      </c>
      <c r="BL132">
        <v>20.9</v>
      </c>
      <c r="BM132">
        <v>19</v>
      </c>
      <c r="BN132">
        <v>22.8</v>
      </c>
      <c r="BO132">
        <v>19</v>
      </c>
      <c r="BP132">
        <v>20.2</v>
      </c>
      <c r="BQ132">
        <v>20</v>
      </c>
      <c r="BR132">
        <v>21.9</v>
      </c>
      <c r="BS132">
        <v>25</v>
      </c>
      <c r="BT132">
        <v>21.9</v>
      </c>
      <c r="BU132">
        <v>25</v>
      </c>
      <c r="BV132">
        <v>23.8</v>
      </c>
      <c r="BW132">
        <v>18</v>
      </c>
      <c r="BX132">
        <v>21.6</v>
      </c>
      <c r="BY132">
        <v>20</v>
      </c>
      <c r="BZ132">
        <v>21.5</v>
      </c>
      <c r="CA132">
        <v>20</v>
      </c>
      <c r="CB132">
        <v>10.9</v>
      </c>
      <c r="CC132">
        <v>10</v>
      </c>
      <c r="CD132">
        <v>10.4</v>
      </c>
      <c r="CE132">
        <v>10</v>
      </c>
      <c r="CF132">
        <v>11.2</v>
      </c>
      <c r="CG132">
        <v>9</v>
      </c>
      <c r="CH132">
        <v>11.4</v>
      </c>
      <c r="CI132">
        <v>9</v>
      </c>
    </row>
    <row r="133" spans="1:87" x14ac:dyDescent="0.35">
      <c r="A133" s="1">
        <v>46059.539583333331</v>
      </c>
      <c r="B133">
        <v>-17.100000000000001</v>
      </c>
      <c r="C133">
        <v>7.9</v>
      </c>
      <c r="D133">
        <v>-25</v>
      </c>
      <c r="E133">
        <v>-18.5</v>
      </c>
      <c r="F133">
        <v>-19.8</v>
      </c>
      <c r="G133">
        <v>-25</v>
      </c>
      <c r="H133">
        <v>-17.5</v>
      </c>
      <c r="I133">
        <v>-15.5</v>
      </c>
      <c r="J133">
        <v>-25</v>
      </c>
      <c r="K133">
        <v>-17.100000000000001</v>
      </c>
      <c r="L133">
        <v>-17.7</v>
      </c>
      <c r="M133">
        <v>-25</v>
      </c>
      <c r="N133">
        <v>-19.100000000000001</v>
      </c>
      <c r="O133">
        <v>-19.600000000000001</v>
      </c>
      <c r="P133">
        <v>-25</v>
      </c>
      <c r="Q133">
        <v>-18.2</v>
      </c>
      <c r="R133">
        <v>-19</v>
      </c>
      <c r="S133">
        <v>-25</v>
      </c>
      <c r="T133">
        <v>2</v>
      </c>
      <c r="U133">
        <v>1</v>
      </c>
      <c r="V133">
        <v>2</v>
      </c>
      <c r="W133">
        <v>2.1</v>
      </c>
      <c r="X133">
        <v>0.8</v>
      </c>
      <c r="Y133">
        <v>2</v>
      </c>
      <c r="Z133">
        <v>2.7</v>
      </c>
      <c r="AA133">
        <v>2.2000000000000002</v>
      </c>
      <c r="AB133">
        <v>2</v>
      </c>
      <c r="AC133">
        <v>2.2999999999999998</v>
      </c>
      <c r="AD133">
        <v>1.5</v>
      </c>
      <c r="AE133">
        <v>2</v>
      </c>
      <c r="AF133">
        <v>3.8</v>
      </c>
      <c r="AG133">
        <v>3.4</v>
      </c>
      <c r="AH133">
        <v>2</v>
      </c>
      <c r="AI133">
        <v>3.7</v>
      </c>
      <c r="AJ133">
        <v>2.8</v>
      </c>
      <c r="AK133">
        <v>2</v>
      </c>
      <c r="AL133">
        <v>5.5</v>
      </c>
      <c r="AM133">
        <v>4</v>
      </c>
      <c r="AN133">
        <v>5.2</v>
      </c>
      <c r="AO133">
        <v>4</v>
      </c>
      <c r="AP133">
        <v>5.7</v>
      </c>
      <c r="AQ133">
        <v>4</v>
      </c>
      <c r="AR133">
        <v>3</v>
      </c>
      <c r="AS133">
        <v>4</v>
      </c>
      <c r="AT133">
        <v>-2.9</v>
      </c>
      <c r="AU133">
        <v>-4.0999999999999996</v>
      </c>
      <c r="AV133">
        <v>-5</v>
      </c>
      <c r="AW133">
        <v>-2.2000000000000002</v>
      </c>
      <c r="AX133">
        <v>-2</v>
      </c>
      <c r="AY133">
        <v>-5</v>
      </c>
      <c r="AZ133">
        <v>11.3</v>
      </c>
      <c r="BA133">
        <v>10</v>
      </c>
      <c r="BB133">
        <v>10.4</v>
      </c>
      <c r="BC133">
        <v>10</v>
      </c>
      <c r="BD133">
        <v>4.9000000000000004</v>
      </c>
      <c r="BE133">
        <v>4</v>
      </c>
      <c r="BF133">
        <v>11.7</v>
      </c>
      <c r="BG133">
        <v>10</v>
      </c>
      <c r="BH133">
        <v>11.3</v>
      </c>
      <c r="BI133">
        <v>10</v>
      </c>
      <c r="BJ133">
        <v>10.3</v>
      </c>
      <c r="BK133">
        <v>9</v>
      </c>
      <c r="BL133">
        <v>20.9</v>
      </c>
      <c r="BM133">
        <v>19</v>
      </c>
      <c r="BN133">
        <v>22.8</v>
      </c>
      <c r="BO133">
        <v>19</v>
      </c>
      <c r="BP133">
        <v>20.2</v>
      </c>
      <c r="BQ133">
        <v>20</v>
      </c>
      <c r="BR133">
        <v>21.9</v>
      </c>
      <c r="BS133">
        <v>25</v>
      </c>
      <c r="BT133">
        <v>21.9</v>
      </c>
      <c r="BU133">
        <v>25</v>
      </c>
      <c r="BV133">
        <v>23.8</v>
      </c>
      <c r="BW133">
        <v>18</v>
      </c>
      <c r="BX133">
        <v>21.6</v>
      </c>
      <c r="BY133">
        <v>20</v>
      </c>
      <c r="BZ133">
        <v>21.5</v>
      </c>
      <c r="CA133">
        <v>20</v>
      </c>
      <c r="CB133">
        <v>10.7</v>
      </c>
      <c r="CC133">
        <v>10</v>
      </c>
      <c r="CD133">
        <v>10.4</v>
      </c>
      <c r="CE133">
        <v>10</v>
      </c>
      <c r="CF133">
        <v>11.2</v>
      </c>
      <c r="CG133">
        <v>9</v>
      </c>
      <c r="CH133">
        <v>11.5</v>
      </c>
      <c r="CI133">
        <v>9</v>
      </c>
    </row>
    <row r="134" spans="1:87" x14ac:dyDescent="0.35">
      <c r="A134" s="1">
        <v>46059.540277777778</v>
      </c>
      <c r="B134">
        <v>-17.100000000000001</v>
      </c>
      <c r="C134">
        <v>8</v>
      </c>
      <c r="D134">
        <v>-25</v>
      </c>
      <c r="E134">
        <v>-18.5</v>
      </c>
      <c r="F134">
        <v>-19.7</v>
      </c>
      <c r="G134">
        <v>-25</v>
      </c>
      <c r="H134">
        <v>-17.5</v>
      </c>
      <c r="I134">
        <v>-15.5</v>
      </c>
      <c r="J134">
        <v>-25</v>
      </c>
      <c r="K134">
        <v>-17.100000000000001</v>
      </c>
      <c r="L134">
        <v>-17.7</v>
      </c>
      <c r="M134">
        <v>-25</v>
      </c>
      <c r="N134">
        <v>-19.100000000000001</v>
      </c>
      <c r="O134">
        <v>-19.7</v>
      </c>
      <c r="P134">
        <v>-25</v>
      </c>
      <c r="Q134">
        <v>-18.399999999999999</v>
      </c>
      <c r="R134">
        <v>-19.100000000000001</v>
      </c>
      <c r="S134">
        <v>-25</v>
      </c>
      <c r="T134">
        <v>2</v>
      </c>
      <c r="U134">
        <v>1.3</v>
      </c>
      <c r="V134">
        <v>2</v>
      </c>
      <c r="W134">
        <v>2.1</v>
      </c>
      <c r="X134">
        <v>1</v>
      </c>
      <c r="Y134">
        <v>2</v>
      </c>
      <c r="Z134">
        <v>2.7</v>
      </c>
      <c r="AA134">
        <v>2.2000000000000002</v>
      </c>
      <c r="AB134">
        <v>2</v>
      </c>
      <c r="AC134">
        <v>2.2999999999999998</v>
      </c>
      <c r="AD134">
        <v>1.6</v>
      </c>
      <c r="AE134">
        <v>2</v>
      </c>
      <c r="AF134">
        <v>3.7</v>
      </c>
      <c r="AG134">
        <v>3.3</v>
      </c>
      <c r="AH134">
        <v>2</v>
      </c>
      <c r="AI134">
        <v>3.6</v>
      </c>
      <c r="AJ134">
        <v>1.8</v>
      </c>
      <c r="AK134">
        <v>2</v>
      </c>
      <c r="AL134">
        <v>5.5</v>
      </c>
      <c r="AM134">
        <v>4</v>
      </c>
      <c r="AN134">
        <v>5.3</v>
      </c>
      <c r="AO134">
        <v>4</v>
      </c>
      <c r="AP134">
        <v>4.5999999999999996</v>
      </c>
      <c r="AQ134">
        <v>4</v>
      </c>
      <c r="AR134">
        <v>2.9</v>
      </c>
      <c r="AS134">
        <v>4</v>
      </c>
      <c r="AT134">
        <v>-3.3</v>
      </c>
      <c r="AU134">
        <v>-5</v>
      </c>
      <c r="AV134">
        <v>-5</v>
      </c>
      <c r="AW134">
        <v>-2.5</v>
      </c>
      <c r="AX134">
        <v>-3.5</v>
      </c>
      <c r="AY134">
        <v>-5</v>
      </c>
      <c r="AZ134">
        <v>11.4</v>
      </c>
      <c r="BA134">
        <v>10</v>
      </c>
      <c r="BB134">
        <v>10.3</v>
      </c>
      <c r="BC134">
        <v>10</v>
      </c>
      <c r="BD134">
        <v>4.8</v>
      </c>
      <c r="BE134">
        <v>4</v>
      </c>
      <c r="BF134">
        <v>10.9</v>
      </c>
      <c r="BG134">
        <v>10</v>
      </c>
      <c r="BH134">
        <v>11.3</v>
      </c>
      <c r="BI134">
        <v>10</v>
      </c>
      <c r="BJ134">
        <v>10.3</v>
      </c>
      <c r="BK134">
        <v>9</v>
      </c>
      <c r="BL134">
        <v>21</v>
      </c>
      <c r="BM134">
        <v>19</v>
      </c>
      <c r="BN134">
        <v>22.8</v>
      </c>
      <c r="BO134">
        <v>19</v>
      </c>
      <c r="BP134">
        <v>20.3</v>
      </c>
      <c r="BQ134">
        <v>20</v>
      </c>
      <c r="BR134">
        <v>21.9</v>
      </c>
      <c r="BS134">
        <v>25</v>
      </c>
      <c r="BT134">
        <v>21.9</v>
      </c>
      <c r="BU134">
        <v>25</v>
      </c>
      <c r="BV134">
        <v>23.8</v>
      </c>
      <c r="BW134">
        <v>18</v>
      </c>
      <c r="BX134">
        <v>21.6</v>
      </c>
      <c r="BY134">
        <v>20</v>
      </c>
      <c r="BZ134">
        <v>21.5</v>
      </c>
      <c r="CA134">
        <v>20</v>
      </c>
      <c r="CB134">
        <v>10.6</v>
      </c>
      <c r="CC134">
        <v>10</v>
      </c>
      <c r="CD134">
        <v>10.4</v>
      </c>
      <c r="CE134">
        <v>10</v>
      </c>
      <c r="CF134">
        <v>11.6</v>
      </c>
      <c r="CG134">
        <v>9</v>
      </c>
      <c r="CH134">
        <v>11.8</v>
      </c>
      <c r="CI134">
        <v>9</v>
      </c>
    </row>
    <row r="135" spans="1:87" x14ac:dyDescent="0.35">
      <c r="A135" s="1">
        <v>46059.540972222225</v>
      </c>
      <c r="B135">
        <v>-17.100000000000001</v>
      </c>
      <c r="C135">
        <v>6.9</v>
      </c>
      <c r="D135">
        <v>-25</v>
      </c>
      <c r="E135">
        <v>-18.5</v>
      </c>
      <c r="F135">
        <v>-19.7</v>
      </c>
      <c r="G135">
        <v>-25</v>
      </c>
      <c r="H135">
        <v>-17.5</v>
      </c>
      <c r="I135">
        <v>-15.5</v>
      </c>
      <c r="J135">
        <v>-25</v>
      </c>
      <c r="K135">
        <v>-17.100000000000001</v>
      </c>
      <c r="L135">
        <v>-17.600000000000001</v>
      </c>
      <c r="M135">
        <v>-25</v>
      </c>
      <c r="N135">
        <v>-19.2</v>
      </c>
      <c r="O135">
        <v>-19.8</v>
      </c>
      <c r="P135">
        <v>-25</v>
      </c>
      <c r="Q135">
        <v>-18.5</v>
      </c>
      <c r="R135">
        <v>-19.100000000000001</v>
      </c>
      <c r="S135">
        <v>-25</v>
      </c>
      <c r="T135">
        <v>2</v>
      </c>
      <c r="U135">
        <v>1.4</v>
      </c>
      <c r="V135">
        <v>2</v>
      </c>
      <c r="W135">
        <v>2.1</v>
      </c>
      <c r="X135">
        <v>1.1000000000000001</v>
      </c>
      <c r="Y135">
        <v>2</v>
      </c>
      <c r="Z135">
        <v>2.7</v>
      </c>
      <c r="AA135">
        <v>2.2000000000000002</v>
      </c>
      <c r="AB135">
        <v>2</v>
      </c>
      <c r="AC135">
        <v>2.2999999999999998</v>
      </c>
      <c r="AD135">
        <v>1.6</v>
      </c>
      <c r="AE135">
        <v>2</v>
      </c>
      <c r="AF135">
        <v>3.6</v>
      </c>
      <c r="AG135">
        <v>3.2</v>
      </c>
      <c r="AH135">
        <v>2</v>
      </c>
      <c r="AI135">
        <v>3.5</v>
      </c>
      <c r="AJ135">
        <v>2.2000000000000002</v>
      </c>
      <c r="AK135">
        <v>2</v>
      </c>
      <c r="AL135">
        <v>5.6</v>
      </c>
      <c r="AM135">
        <v>4</v>
      </c>
      <c r="AN135">
        <v>5.3</v>
      </c>
      <c r="AO135">
        <v>4</v>
      </c>
      <c r="AP135">
        <v>3.5</v>
      </c>
      <c r="AQ135">
        <v>4</v>
      </c>
      <c r="AR135">
        <v>3</v>
      </c>
      <c r="AS135">
        <v>4</v>
      </c>
      <c r="AT135">
        <v>-3.6</v>
      </c>
      <c r="AU135">
        <v>-5.5</v>
      </c>
      <c r="AV135">
        <v>-5</v>
      </c>
      <c r="AW135">
        <v>-3</v>
      </c>
      <c r="AX135">
        <v>-4.7</v>
      </c>
      <c r="AY135">
        <v>-5</v>
      </c>
      <c r="AZ135">
        <v>11.5</v>
      </c>
      <c r="BA135">
        <v>10</v>
      </c>
      <c r="BB135">
        <v>10.3</v>
      </c>
      <c r="BC135">
        <v>10</v>
      </c>
      <c r="BD135">
        <v>4.7</v>
      </c>
      <c r="BE135">
        <v>4</v>
      </c>
      <c r="BF135">
        <v>10</v>
      </c>
      <c r="BG135">
        <v>10</v>
      </c>
      <c r="BH135">
        <v>11.2</v>
      </c>
      <c r="BI135">
        <v>10</v>
      </c>
      <c r="BJ135">
        <v>10.3</v>
      </c>
      <c r="BK135">
        <v>9</v>
      </c>
      <c r="BL135">
        <v>21</v>
      </c>
      <c r="BM135">
        <v>19</v>
      </c>
      <c r="BN135">
        <v>22.9</v>
      </c>
      <c r="BO135">
        <v>19</v>
      </c>
      <c r="BP135">
        <v>20.3</v>
      </c>
      <c r="BQ135">
        <v>20</v>
      </c>
      <c r="BR135">
        <v>21.9</v>
      </c>
      <c r="BS135">
        <v>25</v>
      </c>
      <c r="BT135">
        <v>21.9</v>
      </c>
      <c r="BU135">
        <v>25</v>
      </c>
      <c r="BV135">
        <v>23.8</v>
      </c>
      <c r="BW135">
        <v>18</v>
      </c>
      <c r="BX135">
        <v>21.7</v>
      </c>
      <c r="BY135">
        <v>20</v>
      </c>
      <c r="BZ135">
        <v>21.5</v>
      </c>
      <c r="CA135">
        <v>20</v>
      </c>
      <c r="CB135">
        <v>10.5</v>
      </c>
      <c r="CC135">
        <v>10</v>
      </c>
      <c r="CD135">
        <v>10.5</v>
      </c>
      <c r="CE135">
        <v>10</v>
      </c>
      <c r="CF135">
        <v>11.6</v>
      </c>
      <c r="CG135">
        <v>9</v>
      </c>
      <c r="CH135">
        <v>11.8</v>
      </c>
      <c r="CI135">
        <v>9</v>
      </c>
    </row>
    <row r="136" spans="1:87" x14ac:dyDescent="0.35">
      <c r="A136" s="1">
        <v>46059.541666666664</v>
      </c>
      <c r="B136">
        <v>-17.100000000000001</v>
      </c>
      <c r="C136">
        <v>4.8</v>
      </c>
      <c r="D136">
        <v>-25</v>
      </c>
      <c r="E136">
        <v>-18.5</v>
      </c>
      <c r="F136">
        <v>-20.8</v>
      </c>
      <c r="G136">
        <v>-25</v>
      </c>
      <c r="H136">
        <v>-17.5</v>
      </c>
      <c r="I136">
        <v>-15.5</v>
      </c>
      <c r="J136">
        <v>-25</v>
      </c>
      <c r="K136">
        <v>-17</v>
      </c>
      <c r="L136">
        <v>-17.600000000000001</v>
      </c>
      <c r="M136">
        <v>-25</v>
      </c>
      <c r="N136">
        <v>-19.2</v>
      </c>
      <c r="O136">
        <v>-19.8</v>
      </c>
      <c r="P136">
        <v>-25</v>
      </c>
      <c r="Q136">
        <v>-18.600000000000001</v>
      </c>
      <c r="R136">
        <v>-19.100000000000001</v>
      </c>
      <c r="S136">
        <v>-25</v>
      </c>
      <c r="T136">
        <v>2</v>
      </c>
      <c r="U136">
        <v>1.5</v>
      </c>
      <c r="V136">
        <v>2</v>
      </c>
      <c r="W136">
        <v>2</v>
      </c>
      <c r="X136">
        <v>-0.1</v>
      </c>
      <c r="Y136">
        <v>2</v>
      </c>
      <c r="Z136">
        <v>2.7</v>
      </c>
      <c r="AA136">
        <v>2.1</v>
      </c>
      <c r="AB136">
        <v>2</v>
      </c>
      <c r="AC136">
        <v>2.2999999999999998</v>
      </c>
      <c r="AD136">
        <v>1.6</v>
      </c>
      <c r="AE136">
        <v>2</v>
      </c>
      <c r="AF136">
        <v>3.5</v>
      </c>
      <c r="AG136">
        <v>3</v>
      </c>
      <c r="AH136">
        <v>2</v>
      </c>
      <c r="AI136">
        <v>3.4</v>
      </c>
      <c r="AJ136">
        <v>2.2000000000000002</v>
      </c>
      <c r="AK136">
        <v>2</v>
      </c>
      <c r="AL136">
        <v>5.6</v>
      </c>
      <c r="AM136">
        <v>4</v>
      </c>
      <c r="AN136">
        <v>5.4</v>
      </c>
      <c r="AO136">
        <v>4</v>
      </c>
      <c r="AP136">
        <v>2.9</v>
      </c>
      <c r="AQ136">
        <v>4</v>
      </c>
      <c r="AR136">
        <v>3.4</v>
      </c>
      <c r="AS136">
        <v>4</v>
      </c>
      <c r="AT136">
        <v>-3.8</v>
      </c>
      <c r="AU136">
        <v>-5.5</v>
      </c>
      <c r="AV136">
        <v>-5</v>
      </c>
      <c r="AW136">
        <v>-3.3</v>
      </c>
      <c r="AX136">
        <v>-4.0999999999999996</v>
      </c>
      <c r="AY136">
        <v>-5</v>
      </c>
      <c r="AZ136">
        <v>11.5</v>
      </c>
      <c r="BA136">
        <v>10</v>
      </c>
      <c r="BB136">
        <v>10.3</v>
      </c>
      <c r="BC136">
        <v>10</v>
      </c>
      <c r="BD136">
        <v>4.7</v>
      </c>
      <c r="BE136">
        <v>4</v>
      </c>
      <c r="BF136">
        <v>9.5</v>
      </c>
      <c r="BG136">
        <v>10</v>
      </c>
      <c r="BH136">
        <v>11.2</v>
      </c>
      <c r="BI136">
        <v>10</v>
      </c>
      <c r="BJ136">
        <v>10.3</v>
      </c>
      <c r="BK136">
        <v>9</v>
      </c>
      <c r="BL136">
        <v>21</v>
      </c>
      <c r="BM136">
        <v>19</v>
      </c>
      <c r="BN136">
        <v>22.9</v>
      </c>
      <c r="BO136">
        <v>19</v>
      </c>
      <c r="BP136">
        <v>20.399999999999999</v>
      </c>
      <c r="BQ136">
        <v>20</v>
      </c>
      <c r="BR136">
        <v>21.9</v>
      </c>
      <c r="BS136">
        <v>25</v>
      </c>
      <c r="BT136">
        <v>21.9</v>
      </c>
      <c r="BU136">
        <v>25</v>
      </c>
      <c r="BV136">
        <v>23.8</v>
      </c>
      <c r="BW136">
        <v>18</v>
      </c>
      <c r="BX136">
        <v>21.7</v>
      </c>
      <c r="BY136">
        <v>20</v>
      </c>
      <c r="BZ136">
        <v>21.5</v>
      </c>
      <c r="CA136">
        <v>20</v>
      </c>
      <c r="CB136">
        <v>10.4</v>
      </c>
      <c r="CC136">
        <v>10</v>
      </c>
      <c r="CD136">
        <v>10.5</v>
      </c>
      <c r="CE136">
        <v>10</v>
      </c>
      <c r="CF136">
        <v>11.4</v>
      </c>
      <c r="CG136">
        <v>9</v>
      </c>
      <c r="CH136">
        <v>11.7</v>
      </c>
      <c r="CI136">
        <v>9</v>
      </c>
    </row>
    <row r="137" spans="1:87" x14ac:dyDescent="0.35">
      <c r="A137" s="1">
        <v>46059.542361111111</v>
      </c>
      <c r="B137">
        <v>-17.100000000000001</v>
      </c>
      <c r="C137">
        <v>3</v>
      </c>
      <c r="D137">
        <v>-25</v>
      </c>
      <c r="E137">
        <v>-18.5</v>
      </c>
      <c r="F137">
        <v>-20.7</v>
      </c>
      <c r="G137">
        <v>-25</v>
      </c>
      <c r="H137">
        <v>-17.5</v>
      </c>
      <c r="I137">
        <v>-15.5</v>
      </c>
      <c r="J137">
        <v>-25</v>
      </c>
      <c r="K137">
        <v>-17</v>
      </c>
      <c r="L137">
        <v>-17.600000000000001</v>
      </c>
      <c r="M137">
        <v>-25</v>
      </c>
      <c r="N137">
        <v>-19.3</v>
      </c>
      <c r="O137">
        <v>-19.899999999999999</v>
      </c>
      <c r="P137">
        <v>-25</v>
      </c>
      <c r="Q137">
        <v>-18.600000000000001</v>
      </c>
      <c r="R137">
        <v>-19.2</v>
      </c>
      <c r="S137">
        <v>-25</v>
      </c>
      <c r="T137">
        <v>2</v>
      </c>
      <c r="U137">
        <v>1.5</v>
      </c>
      <c r="V137">
        <v>2</v>
      </c>
      <c r="W137">
        <v>1.9</v>
      </c>
      <c r="X137">
        <v>0.7</v>
      </c>
      <c r="Y137">
        <v>2</v>
      </c>
      <c r="Z137">
        <v>2.6</v>
      </c>
      <c r="AA137">
        <v>2</v>
      </c>
      <c r="AB137">
        <v>2</v>
      </c>
      <c r="AC137">
        <v>2.2000000000000002</v>
      </c>
      <c r="AD137">
        <v>1.6</v>
      </c>
      <c r="AE137">
        <v>2</v>
      </c>
      <c r="AF137">
        <v>3.3</v>
      </c>
      <c r="AG137">
        <v>2.8</v>
      </c>
      <c r="AH137">
        <v>2</v>
      </c>
      <c r="AI137">
        <v>3.1</v>
      </c>
      <c r="AJ137">
        <v>2</v>
      </c>
      <c r="AK137">
        <v>2</v>
      </c>
      <c r="AL137">
        <v>5.6</v>
      </c>
      <c r="AM137">
        <v>4</v>
      </c>
      <c r="AN137">
        <v>5.4</v>
      </c>
      <c r="AO137">
        <v>4</v>
      </c>
      <c r="AP137">
        <v>2.9</v>
      </c>
      <c r="AQ137">
        <v>4</v>
      </c>
      <c r="AR137">
        <v>3.8</v>
      </c>
      <c r="AS137">
        <v>4</v>
      </c>
      <c r="AT137">
        <v>-4</v>
      </c>
      <c r="AU137">
        <v>-6.1</v>
      </c>
      <c r="AV137">
        <v>-5</v>
      </c>
      <c r="AW137">
        <v>-3.5</v>
      </c>
      <c r="AX137">
        <v>-4</v>
      </c>
      <c r="AY137">
        <v>-5</v>
      </c>
      <c r="AZ137">
        <v>11.6</v>
      </c>
      <c r="BA137">
        <v>10</v>
      </c>
      <c r="BB137">
        <v>10.1</v>
      </c>
      <c r="BC137">
        <v>10</v>
      </c>
      <c r="BD137">
        <v>4.3</v>
      </c>
      <c r="BE137">
        <v>4</v>
      </c>
      <c r="BF137">
        <v>9.5</v>
      </c>
      <c r="BG137">
        <v>10</v>
      </c>
      <c r="BH137">
        <v>11.2</v>
      </c>
      <c r="BI137">
        <v>10</v>
      </c>
      <c r="BJ137">
        <v>10.3</v>
      </c>
      <c r="BK137">
        <v>9</v>
      </c>
      <c r="BL137">
        <v>20.8</v>
      </c>
      <c r="BM137">
        <v>19</v>
      </c>
      <c r="BN137">
        <v>22.9</v>
      </c>
      <c r="BO137">
        <v>19</v>
      </c>
      <c r="BP137">
        <v>20.399999999999999</v>
      </c>
      <c r="BQ137">
        <v>20</v>
      </c>
      <c r="BR137">
        <v>21.9</v>
      </c>
      <c r="BS137">
        <v>25</v>
      </c>
      <c r="BT137">
        <v>21.9</v>
      </c>
      <c r="BU137">
        <v>25</v>
      </c>
      <c r="BV137">
        <v>23.8</v>
      </c>
      <c r="BW137">
        <v>18</v>
      </c>
      <c r="BX137">
        <v>21.7</v>
      </c>
      <c r="BY137">
        <v>20</v>
      </c>
      <c r="BZ137">
        <v>21.6</v>
      </c>
      <c r="CA137">
        <v>20</v>
      </c>
      <c r="CB137">
        <v>10.3</v>
      </c>
      <c r="CC137">
        <v>10</v>
      </c>
      <c r="CD137">
        <v>10.6</v>
      </c>
      <c r="CE137">
        <v>10</v>
      </c>
      <c r="CF137">
        <v>11.1</v>
      </c>
      <c r="CG137">
        <v>9</v>
      </c>
      <c r="CH137">
        <v>11.5</v>
      </c>
      <c r="CI137">
        <v>9</v>
      </c>
    </row>
    <row r="138" spans="1:87" x14ac:dyDescent="0.35">
      <c r="A138" s="1">
        <v>46059.543055555558</v>
      </c>
      <c r="B138">
        <v>-17.100000000000001</v>
      </c>
      <c r="C138">
        <v>1</v>
      </c>
      <c r="D138">
        <v>-25</v>
      </c>
      <c r="E138">
        <v>-18.600000000000001</v>
      </c>
      <c r="F138">
        <v>-20.3</v>
      </c>
      <c r="G138">
        <v>-25</v>
      </c>
      <c r="H138">
        <v>-17.5</v>
      </c>
      <c r="I138">
        <v>-15.5</v>
      </c>
      <c r="J138">
        <v>-25</v>
      </c>
      <c r="K138">
        <v>-17</v>
      </c>
      <c r="L138">
        <v>-17.600000000000001</v>
      </c>
      <c r="M138">
        <v>-25</v>
      </c>
      <c r="N138">
        <v>-19.399999999999999</v>
      </c>
      <c r="O138">
        <v>-19.8</v>
      </c>
      <c r="P138">
        <v>-25</v>
      </c>
      <c r="Q138">
        <v>-18.7</v>
      </c>
      <c r="R138">
        <v>-19.2</v>
      </c>
      <c r="S138">
        <v>-25</v>
      </c>
      <c r="T138">
        <v>2</v>
      </c>
      <c r="U138">
        <v>1.7</v>
      </c>
      <c r="V138">
        <v>2</v>
      </c>
      <c r="W138">
        <v>1.9</v>
      </c>
      <c r="X138">
        <v>1.1000000000000001</v>
      </c>
      <c r="Y138">
        <v>2</v>
      </c>
      <c r="Z138">
        <v>2.6</v>
      </c>
      <c r="AA138">
        <v>2</v>
      </c>
      <c r="AB138">
        <v>2</v>
      </c>
      <c r="AC138">
        <v>2.2000000000000002</v>
      </c>
      <c r="AD138">
        <v>1.6</v>
      </c>
      <c r="AE138">
        <v>2</v>
      </c>
      <c r="AF138">
        <v>3.1</v>
      </c>
      <c r="AG138">
        <v>2.6</v>
      </c>
      <c r="AH138">
        <v>2</v>
      </c>
      <c r="AI138">
        <v>3</v>
      </c>
      <c r="AJ138">
        <v>1.7</v>
      </c>
      <c r="AK138">
        <v>2</v>
      </c>
      <c r="AL138">
        <v>5.7</v>
      </c>
      <c r="AM138">
        <v>4</v>
      </c>
      <c r="AN138">
        <v>5.5</v>
      </c>
      <c r="AO138">
        <v>4</v>
      </c>
      <c r="AP138">
        <v>2.9</v>
      </c>
      <c r="AQ138">
        <v>4</v>
      </c>
      <c r="AR138">
        <v>4</v>
      </c>
      <c r="AS138">
        <v>4</v>
      </c>
      <c r="AT138">
        <v>-4.3</v>
      </c>
      <c r="AU138">
        <v>-6.4</v>
      </c>
      <c r="AV138">
        <v>-5</v>
      </c>
      <c r="AW138">
        <v>-3.7</v>
      </c>
      <c r="AX138">
        <v>-5.5</v>
      </c>
      <c r="AY138">
        <v>-5</v>
      </c>
      <c r="AZ138">
        <v>11.7</v>
      </c>
      <c r="BA138">
        <v>10</v>
      </c>
      <c r="BB138">
        <v>10</v>
      </c>
      <c r="BC138">
        <v>10</v>
      </c>
      <c r="BD138">
        <v>3.9</v>
      </c>
      <c r="BE138">
        <v>4</v>
      </c>
      <c r="BF138">
        <v>9.8000000000000007</v>
      </c>
      <c r="BG138">
        <v>10</v>
      </c>
      <c r="BH138">
        <v>11.2</v>
      </c>
      <c r="BI138">
        <v>10</v>
      </c>
      <c r="BJ138">
        <v>10.3</v>
      </c>
      <c r="BK138">
        <v>9</v>
      </c>
      <c r="BL138">
        <v>20.5</v>
      </c>
      <c r="BM138">
        <v>19</v>
      </c>
      <c r="BN138">
        <v>22.9</v>
      </c>
      <c r="BO138">
        <v>19</v>
      </c>
      <c r="BP138">
        <v>20.5</v>
      </c>
      <c r="BQ138">
        <v>20</v>
      </c>
      <c r="BR138">
        <v>21.9</v>
      </c>
      <c r="BS138">
        <v>25</v>
      </c>
      <c r="BT138">
        <v>21.9</v>
      </c>
      <c r="BU138">
        <v>25</v>
      </c>
      <c r="BV138">
        <v>23.7</v>
      </c>
      <c r="BW138">
        <v>18</v>
      </c>
      <c r="BX138">
        <v>21.7</v>
      </c>
      <c r="BY138">
        <v>20</v>
      </c>
      <c r="BZ138">
        <v>21.6</v>
      </c>
      <c r="CA138">
        <v>20</v>
      </c>
      <c r="CB138">
        <v>10.199999999999999</v>
      </c>
      <c r="CC138">
        <v>10</v>
      </c>
      <c r="CD138">
        <v>10.7</v>
      </c>
      <c r="CE138">
        <v>10</v>
      </c>
      <c r="CF138">
        <v>11.2</v>
      </c>
      <c r="CG138">
        <v>9</v>
      </c>
      <c r="CH138">
        <v>11.5</v>
      </c>
      <c r="CI138">
        <v>9</v>
      </c>
    </row>
    <row r="139" spans="1:87" x14ac:dyDescent="0.35">
      <c r="A139" s="1">
        <v>46059.543749999997</v>
      </c>
      <c r="B139">
        <v>-18</v>
      </c>
      <c r="C139">
        <v>-0.9</v>
      </c>
      <c r="D139">
        <v>-25</v>
      </c>
      <c r="E139">
        <v>-18.7</v>
      </c>
      <c r="F139">
        <v>-21.2</v>
      </c>
      <c r="G139">
        <v>-25</v>
      </c>
      <c r="H139">
        <v>-17.5</v>
      </c>
      <c r="I139">
        <v>-15.5</v>
      </c>
      <c r="J139">
        <v>-25</v>
      </c>
      <c r="K139">
        <v>-17</v>
      </c>
      <c r="L139">
        <v>-17.600000000000001</v>
      </c>
      <c r="M139">
        <v>-25</v>
      </c>
      <c r="N139">
        <v>-19.399999999999999</v>
      </c>
      <c r="O139">
        <v>-19.8</v>
      </c>
      <c r="P139">
        <v>-25</v>
      </c>
      <c r="Q139">
        <v>-18.8</v>
      </c>
      <c r="R139">
        <v>-19.3</v>
      </c>
      <c r="S139">
        <v>-25</v>
      </c>
      <c r="T139">
        <v>2</v>
      </c>
      <c r="U139">
        <v>2</v>
      </c>
      <c r="V139">
        <v>2</v>
      </c>
      <c r="W139">
        <v>2</v>
      </c>
      <c r="X139">
        <v>0.8</v>
      </c>
      <c r="Y139">
        <v>2</v>
      </c>
      <c r="Z139">
        <v>2.6</v>
      </c>
      <c r="AA139">
        <v>2</v>
      </c>
      <c r="AB139">
        <v>2</v>
      </c>
      <c r="AC139">
        <v>2.2000000000000002</v>
      </c>
      <c r="AD139">
        <v>1.7</v>
      </c>
      <c r="AE139">
        <v>2</v>
      </c>
      <c r="AF139">
        <v>3</v>
      </c>
      <c r="AG139">
        <v>2.6</v>
      </c>
      <c r="AH139">
        <v>2</v>
      </c>
      <c r="AI139">
        <v>3</v>
      </c>
      <c r="AJ139">
        <v>1.4</v>
      </c>
      <c r="AK139">
        <v>2</v>
      </c>
      <c r="AL139">
        <v>5.7</v>
      </c>
      <c r="AM139">
        <v>4</v>
      </c>
      <c r="AN139">
        <v>5.5</v>
      </c>
      <c r="AO139">
        <v>4</v>
      </c>
      <c r="AP139">
        <v>3.1</v>
      </c>
      <c r="AQ139">
        <v>4</v>
      </c>
      <c r="AR139">
        <v>4.4000000000000004</v>
      </c>
      <c r="AS139">
        <v>4</v>
      </c>
      <c r="AT139">
        <v>-4.5</v>
      </c>
      <c r="AU139">
        <v>-6.6</v>
      </c>
      <c r="AV139">
        <v>-5</v>
      </c>
      <c r="AW139">
        <v>-4</v>
      </c>
      <c r="AX139">
        <v>-6.2</v>
      </c>
      <c r="AY139">
        <v>-5</v>
      </c>
      <c r="AZ139">
        <v>11.8</v>
      </c>
      <c r="BA139">
        <v>10</v>
      </c>
      <c r="BB139">
        <v>10</v>
      </c>
      <c r="BC139">
        <v>10</v>
      </c>
      <c r="BD139">
        <v>3.8</v>
      </c>
      <c r="BE139">
        <v>4</v>
      </c>
      <c r="BF139">
        <v>10.199999999999999</v>
      </c>
      <c r="BG139">
        <v>10</v>
      </c>
      <c r="BH139">
        <v>11.2</v>
      </c>
      <c r="BI139">
        <v>10</v>
      </c>
      <c r="BJ139">
        <v>10.3</v>
      </c>
      <c r="BK139">
        <v>9</v>
      </c>
      <c r="BL139">
        <v>20.100000000000001</v>
      </c>
      <c r="BM139">
        <v>19</v>
      </c>
      <c r="BN139">
        <v>22.9</v>
      </c>
      <c r="BO139">
        <v>19</v>
      </c>
      <c r="BP139">
        <v>20.5</v>
      </c>
      <c r="BQ139">
        <v>20</v>
      </c>
      <c r="BR139">
        <v>21.9</v>
      </c>
      <c r="BS139">
        <v>25</v>
      </c>
      <c r="BT139">
        <v>21.9</v>
      </c>
      <c r="BU139">
        <v>25</v>
      </c>
      <c r="BV139">
        <v>23.7</v>
      </c>
      <c r="BW139">
        <v>18</v>
      </c>
      <c r="BX139">
        <v>21.7</v>
      </c>
      <c r="BY139">
        <v>20</v>
      </c>
      <c r="BZ139">
        <v>21.6</v>
      </c>
      <c r="CA139">
        <v>20</v>
      </c>
      <c r="CB139">
        <v>10.1</v>
      </c>
      <c r="CC139">
        <v>10</v>
      </c>
      <c r="CD139">
        <v>10.7</v>
      </c>
      <c r="CE139">
        <v>10</v>
      </c>
      <c r="CF139">
        <v>11.4</v>
      </c>
      <c r="CG139">
        <v>9</v>
      </c>
      <c r="CH139">
        <v>11.6</v>
      </c>
      <c r="CI139">
        <v>9</v>
      </c>
    </row>
    <row r="140" spans="1:87" x14ac:dyDescent="0.35">
      <c r="A140" s="1">
        <v>46059.544444444444</v>
      </c>
      <c r="B140">
        <v>-18.399999999999999</v>
      </c>
      <c r="C140">
        <v>-2.6</v>
      </c>
      <c r="D140">
        <v>-25</v>
      </c>
      <c r="E140">
        <v>-18.899999999999999</v>
      </c>
      <c r="F140">
        <v>-20.9</v>
      </c>
      <c r="G140">
        <v>-25</v>
      </c>
      <c r="H140">
        <v>-17.5</v>
      </c>
      <c r="I140">
        <v>-15.5</v>
      </c>
      <c r="J140">
        <v>-25</v>
      </c>
      <c r="K140">
        <v>-17</v>
      </c>
      <c r="L140">
        <v>-17.600000000000001</v>
      </c>
      <c r="M140">
        <v>-25</v>
      </c>
      <c r="N140">
        <v>-19.399999999999999</v>
      </c>
      <c r="O140">
        <v>-19.8</v>
      </c>
      <c r="P140">
        <v>-25</v>
      </c>
      <c r="Q140">
        <v>-18.8</v>
      </c>
      <c r="R140">
        <v>-19.3</v>
      </c>
      <c r="S140">
        <v>-25</v>
      </c>
      <c r="T140">
        <v>2</v>
      </c>
      <c r="U140">
        <v>2.2000000000000002</v>
      </c>
      <c r="V140">
        <v>2</v>
      </c>
      <c r="W140">
        <v>2.2999999999999998</v>
      </c>
      <c r="X140">
        <v>0.6</v>
      </c>
      <c r="Y140">
        <v>2</v>
      </c>
      <c r="Z140">
        <v>2.6</v>
      </c>
      <c r="AA140">
        <v>2</v>
      </c>
      <c r="AB140">
        <v>2</v>
      </c>
      <c r="AC140">
        <v>2.2000000000000002</v>
      </c>
      <c r="AD140">
        <v>1.7</v>
      </c>
      <c r="AE140">
        <v>2</v>
      </c>
      <c r="AF140">
        <v>3</v>
      </c>
      <c r="AG140">
        <v>2.6</v>
      </c>
      <c r="AH140">
        <v>2</v>
      </c>
      <c r="AI140">
        <v>2.9</v>
      </c>
      <c r="AJ140">
        <v>1.5</v>
      </c>
      <c r="AK140">
        <v>2</v>
      </c>
      <c r="AL140">
        <v>5.8</v>
      </c>
      <c r="AM140">
        <v>4</v>
      </c>
      <c r="AN140">
        <v>5.5</v>
      </c>
      <c r="AO140">
        <v>4</v>
      </c>
      <c r="AP140">
        <v>3.4</v>
      </c>
      <c r="AQ140">
        <v>4</v>
      </c>
      <c r="AR140">
        <v>4.7</v>
      </c>
      <c r="AS140">
        <v>4</v>
      </c>
      <c r="AT140">
        <v>-4.7</v>
      </c>
      <c r="AU140">
        <v>-6.6</v>
      </c>
      <c r="AV140">
        <v>-5</v>
      </c>
      <c r="AW140">
        <v>-4.3</v>
      </c>
      <c r="AX140">
        <v>-5.0999999999999996</v>
      </c>
      <c r="AY140">
        <v>-5</v>
      </c>
      <c r="AZ140">
        <v>11.8</v>
      </c>
      <c r="BA140">
        <v>10</v>
      </c>
      <c r="BB140">
        <v>10.1</v>
      </c>
      <c r="BC140">
        <v>10</v>
      </c>
      <c r="BD140">
        <v>3.8</v>
      </c>
      <c r="BE140">
        <v>4</v>
      </c>
      <c r="BF140">
        <v>10.6</v>
      </c>
      <c r="BG140">
        <v>10</v>
      </c>
      <c r="BH140">
        <v>11.1</v>
      </c>
      <c r="BI140">
        <v>10</v>
      </c>
      <c r="BJ140">
        <v>10.3</v>
      </c>
      <c r="BK140">
        <v>9</v>
      </c>
      <c r="BL140">
        <v>19.8</v>
      </c>
      <c r="BM140">
        <v>19</v>
      </c>
      <c r="BN140">
        <v>22.9</v>
      </c>
      <c r="BO140">
        <v>19</v>
      </c>
      <c r="BP140">
        <v>20.5</v>
      </c>
      <c r="BQ140">
        <v>20</v>
      </c>
      <c r="BR140">
        <v>21.9</v>
      </c>
      <c r="BS140">
        <v>25</v>
      </c>
      <c r="BT140">
        <v>21.9</v>
      </c>
      <c r="BU140">
        <v>25</v>
      </c>
      <c r="BV140">
        <v>23.7</v>
      </c>
      <c r="BW140">
        <v>18</v>
      </c>
      <c r="BX140">
        <v>21.8</v>
      </c>
      <c r="BY140">
        <v>20</v>
      </c>
      <c r="BZ140">
        <v>21.6</v>
      </c>
      <c r="CA140">
        <v>20</v>
      </c>
      <c r="CB140">
        <v>10</v>
      </c>
      <c r="CC140">
        <v>10</v>
      </c>
      <c r="CD140">
        <v>10.7</v>
      </c>
      <c r="CE140">
        <v>10</v>
      </c>
      <c r="CF140">
        <v>11.4</v>
      </c>
      <c r="CG140">
        <v>9</v>
      </c>
      <c r="CH140">
        <v>11.6</v>
      </c>
      <c r="CI140">
        <v>9</v>
      </c>
    </row>
    <row r="141" spans="1:87" x14ac:dyDescent="0.35">
      <c r="A141" s="1">
        <v>46059.545138888891</v>
      </c>
      <c r="B141">
        <v>-18.600000000000001</v>
      </c>
      <c r="C141">
        <v>-4.4000000000000004</v>
      </c>
      <c r="D141">
        <v>-25</v>
      </c>
      <c r="E141">
        <v>-19</v>
      </c>
      <c r="F141">
        <v>-20.5</v>
      </c>
      <c r="G141">
        <v>-25</v>
      </c>
      <c r="H141">
        <v>-17.5</v>
      </c>
      <c r="I141">
        <v>-15.5</v>
      </c>
      <c r="J141">
        <v>-25</v>
      </c>
      <c r="K141">
        <v>-17</v>
      </c>
      <c r="L141">
        <v>-17.600000000000001</v>
      </c>
      <c r="M141">
        <v>-25</v>
      </c>
      <c r="N141">
        <v>-19.399999999999999</v>
      </c>
      <c r="O141">
        <v>-19.8</v>
      </c>
      <c r="P141">
        <v>-25</v>
      </c>
      <c r="Q141">
        <v>-18.899999999999999</v>
      </c>
      <c r="R141">
        <v>-19.3</v>
      </c>
      <c r="S141">
        <v>-25</v>
      </c>
      <c r="T141">
        <v>2</v>
      </c>
      <c r="U141">
        <v>2.5</v>
      </c>
      <c r="V141">
        <v>2</v>
      </c>
      <c r="W141">
        <v>2.6</v>
      </c>
      <c r="X141">
        <v>0.6</v>
      </c>
      <c r="Y141">
        <v>2</v>
      </c>
      <c r="Z141">
        <v>2.6</v>
      </c>
      <c r="AA141">
        <v>2</v>
      </c>
      <c r="AB141">
        <v>2</v>
      </c>
      <c r="AC141">
        <v>2.1</v>
      </c>
      <c r="AD141">
        <v>0.6</v>
      </c>
      <c r="AE141">
        <v>2</v>
      </c>
      <c r="AF141">
        <v>2.8</v>
      </c>
      <c r="AG141">
        <v>2.4</v>
      </c>
      <c r="AH141">
        <v>2</v>
      </c>
      <c r="AI141">
        <v>2.6</v>
      </c>
      <c r="AJ141">
        <v>0.9</v>
      </c>
      <c r="AK141">
        <v>2</v>
      </c>
      <c r="AL141">
        <v>5.8</v>
      </c>
      <c r="AM141">
        <v>4</v>
      </c>
      <c r="AN141">
        <v>5.6</v>
      </c>
      <c r="AO141">
        <v>4</v>
      </c>
      <c r="AP141">
        <v>3.7</v>
      </c>
      <c r="AQ141">
        <v>4</v>
      </c>
      <c r="AR141">
        <v>5</v>
      </c>
      <c r="AS141">
        <v>4</v>
      </c>
      <c r="AT141">
        <v>-4.8</v>
      </c>
      <c r="AU141">
        <v>-6.8</v>
      </c>
      <c r="AV141">
        <v>-5</v>
      </c>
      <c r="AW141">
        <v>-4.4000000000000004</v>
      </c>
      <c r="AX141">
        <v>-5</v>
      </c>
      <c r="AY141">
        <v>-5</v>
      </c>
      <c r="AZ141">
        <v>11.9</v>
      </c>
      <c r="BA141">
        <v>10</v>
      </c>
      <c r="BB141">
        <v>10.4</v>
      </c>
      <c r="BC141">
        <v>10</v>
      </c>
      <c r="BD141">
        <v>4</v>
      </c>
      <c r="BE141">
        <v>4</v>
      </c>
      <c r="BF141">
        <v>10.9</v>
      </c>
      <c r="BG141">
        <v>10</v>
      </c>
      <c r="BH141">
        <v>11.1</v>
      </c>
      <c r="BI141">
        <v>10</v>
      </c>
      <c r="BJ141">
        <v>10.3</v>
      </c>
      <c r="BK141">
        <v>9</v>
      </c>
      <c r="BL141">
        <v>19.5</v>
      </c>
      <c r="BM141">
        <v>19</v>
      </c>
      <c r="BN141">
        <v>22.9</v>
      </c>
      <c r="BO141">
        <v>19</v>
      </c>
      <c r="BP141">
        <v>20.5</v>
      </c>
      <c r="BQ141">
        <v>20</v>
      </c>
      <c r="BR141">
        <v>21.8</v>
      </c>
      <c r="BS141">
        <v>25</v>
      </c>
      <c r="BT141">
        <v>21.9</v>
      </c>
      <c r="BU141">
        <v>25</v>
      </c>
      <c r="BV141">
        <v>23.7</v>
      </c>
      <c r="BW141">
        <v>18</v>
      </c>
      <c r="BX141">
        <v>21.8</v>
      </c>
      <c r="BY141">
        <v>20</v>
      </c>
      <c r="BZ141">
        <v>21.6</v>
      </c>
      <c r="CA141">
        <v>20</v>
      </c>
      <c r="CB141">
        <v>10.1</v>
      </c>
      <c r="CC141">
        <v>10</v>
      </c>
      <c r="CD141">
        <v>10.8</v>
      </c>
      <c r="CE141">
        <v>10</v>
      </c>
      <c r="CF141">
        <v>11.4</v>
      </c>
      <c r="CG141">
        <v>9</v>
      </c>
      <c r="CH141">
        <v>11.7</v>
      </c>
      <c r="CI141">
        <v>9</v>
      </c>
    </row>
    <row r="142" spans="1:87" x14ac:dyDescent="0.35">
      <c r="A142" s="1">
        <v>46059.54583333333</v>
      </c>
      <c r="B142">
        <v>-18.899999999999999</v>
      </c>
      <c r="C142">
        <v>-6.1</v>
      </c>
      <c r="D142">
        <v>-25</v>
      </c>
      <c r="E142">
        <v>-19.100000000000001</v>
      </c>
      <c r="F142">
        <v>-21.4</v>
      </c>
      <c r="G142">
        <v>-25</v>
      </c>
      <c r="H142">
        <v>-17.5</v>
      </c>
      <c r="I142">
        <v>-15.5</v>
      </c>
      <c r="J142">
        <v>-25</v>
      </c>
      <c r="K142">
        <v>-17</v>
      </c>
      <c r="L142">
        <v>-17.600000000000001</v>
      </c>
      <c r="M142">
        <v>-25</v>
      </c>
      <c r="N142">
        <v>-19.5</v>
      </c>
      <c r="O142">
        <v>-19.8</v>
      </c>
      <c r="P142">
        <v>-25</v>
      </c>
      <c r="Q142">
        <v>-18.899999999999999</v>
      </c>
      <c r="R142">
        <v>-19.3</v>
      </c>
      <c r="S142">
        <v>-25</v>
      </c>
      <c r="T142">
        <v>2</v>
      </c>
      <c r="U142">
        <v>2.5</v>
      </c>
      <c r="V142">
        <v>2</v>
      </c>
      <c r="W142">
        <v>2.8</v>
      </c>
      <c r="X142">
        <v>0.6</v>
      </c>
      <c r="Y142">
        <v>2</v>
      </c>
      <c r="Z142">
        <v>2.5</v>
      </c>
      <c r="AA142">
        <v>1.8</v>
      </c>
      <c r="AB142">
        <v>2</v>
      </c>
      <c r="AC142">
        <v>1.9</v>
      </c>
      <c r="AD142">
        <v>0.1</v>
      </c>
      <c r="AE142">
        <v>2</v>
      </c>
      <c r="AF142">
        <v>2.6</v>
      </c>
      <c r="AG142">
        <v>2.1</v>
      </c>
      <c r="AH142">
        <v>2</v>
      </c>
      <c r="AI142">
        <v>2.5</v>
      </c>
      <c r="AJ142">
        <v>0.6</v>
      </c>
      <c r="AK142">
        <v>2</v>
      </c>
      <c r="AL142">
        <v>5.8</v>
      </c>
      <c r="AM142">
        <v>4</v>
      </c>
      <c r="AN142">
        <v>5.7</v>
      </c>
      <c r="AO142">
        <v>4</v>
      </c>
      <c r="AP142">
        <v>3.9</v>
      </c>
      <c r="AQ142">
        <v>4</v>
      </c>
      <c r="AR142">
        <v>5.2</v>
      </c>
      <c r="AS142">
        <v>4</v>
      </c>
      <c r="AT142">
        <v>-4.9000000000000004</v>
      </c>
      <c r="AU142">
        <v>-6.9</v>
      </c>
      <c r="AV142">
        <v>-5</v>
      </c>
      <c r="AW142">
        <v>-4.5</v>
      </c>
      <c r="AX142">
        <v>-6.2</v>
      </c>
      <c r="AY142">
        <v>-5</v>
      </c>
      <c r="AZ142">
        <v>12</v>
      </c>
      <c r="BA142">
        <v>10</v>
      </c>
      <c r="BB142">
        <v>10.7</v>
      </c>
      <c r="BC142">
        <v>10</v>
      </c>
      <c r="BD142">
        <v>4.4000000000000004</v>
      </c>
      <c r="BE142">
        <v>4</v>
      </c>
      <c r="BF142">
        <v>11.3</v>
      </c>
      <c r="BG142">
        <v>10</v>
      </c>
      <c r="BH142">
        <v>11.1</v>
      </c>
      <c r="BI142">
        <v>10</v>
      </c>
      <c r="BJ142">
        <v>10.3</v>
      </c>
      <c r="BK142">
        <v>9</v>
      </c>
      <c r="BL142">
        <v>19.3</v>
      </c>
      <c r="BM142">
        <v>19</v>
      </c>
      <c r="BN142">
        <v>22.9</v>
      </c>
      <c r="BO142">
        <v>19</v>
      </c>
      <c r="BP142">
        <v>20.5</v>
      </c>
      <c r="BQ142">
        <v>20</v>
      </c>
      <c r="BR142">
        <v>21.8</v>
      </c>
      <c r="BS142">
        <v>25</v>
      </c>
      <c r="BT142">
        <v>21.9</v>
      </c>
      <c r="BU142">
        <v>25</v>
      </c>
      <c r="BV142">
        <v>23.7</v>
      </c>
      <c r="BW142">
        <v>18</v>
      </c>
      <c r="BX142">
        <v>21.8</v>
      </c>
      <c r="BY142">
        <v>20</v>
      </c>
      <c r="BZ142">
        <v>21.6</v>
      </c>
      <c r="CA142">
        <v>20</v>
      </c>
      <c r="CB142">
        <v>10.5</v>
      </c>
      <c r="CC142">
        <v>10</v>
      </c>
      <c r="CD142">
        <v>10.8</v>
      </c>
      <c r="CE142">
        <v>10</v>
      </c>
      <c r="CF142">
        <v>11.4</v>
      </c>
      <c r="CG142">
        <v>9</v>
      </c>
      <c r="CH142">
        <v>11.7</v>
      </c>
      <c r="CI142">
        <v>9</v>
      </c>
    </row>
    <row r="143" spans="1:87" x14ac:dyDescent="0.35">
      <c r="A143" s="1">
        <v>46059.546527777777</v>
      </c>
      <c r="B143">
        <v>-19.100000000000001</v>
      </c>
      <c r="C143">
        <v>-7.4</v>
      </c>
      <c r="D143">
        <v>-25</v>
      </c>
      <c r="E143">
        <v>-19.2</v>
      </c>
      <c r="F143">
        <v>-21.9</v>
      </c>
      <c r="G143">
        <v>-25</v>
      </c>
      <c r="H143">
        <v>-17.5</v>
      </c>
      <c r="I143">
        <v>-15.5</v>
      </c>
      <c r="J143">
        <v>-25</v>
      </c>
      <c r="K143">
        <v>-17</v>
      </c>
      <c r="L143">
        <v>-17.600000000000001</v>
      </c>
      <c r="M143">
        <v>-25</v>
      </c>
      <c r="N143">
        <v>-19.5</v>
      </c>
      <c r="O143">
        <v>-19.8</v>
      </c>
      <c r="P143">
        <v>-25</v>
      </c>
      <c r="Q143">
        <v>-19</v>
      </c>
      <c r="R143">
        <v>-19.399999999999999</v>
      </c>
      <c r="S143">
        <v>-25</v>
      </c>
      <c r="T143">
        <v>2</v>
      </c>
      <c r="U143">
        <v>2.6</v>
      </c>
      <c r="V143">
        <v>2</v>
      </c>
      <c r="W143">
        <v>2.9</v>
      </c>
      <c r="X143">
        <v>0.6</v>
      </c>
      <c r="Y143">
        <v>2</v>
      </c>
      <c r="Z143">
        <v>2.2999999999999998</v>
      </c>
      <c r="AA143">
        <v>1.7</v>
      </c>
      <c r="AB143">
        <v>2</v>
      </c>
      <c r="AC143">
        <v>1.9</v>
      </c>
      <c r="AD143">
        <v>1</v>
      </c>
      <c r="AE143">
        <v>2</v>
      </c>
      <c r="AF143">
        <v>2.5</v>
      </c>
      <c r="AG143">
        <v>2</v>
      </c>
      <c r="AH143">
        <v>2</v>
      </c>
      <c r="AI143">
        <v>2.2999999999999998</v>
      </c>
      <c r="AJ143">
        <v>0.6</v>
      </c>
      <c r="AK143">
        <v>2</v>
      </c>
      <c r="AL143">
        <v>5.9</v>
      </c>
      <c r="AM143">
        <v>4</v>
      </c>
      <c r="AN143">
        <v>5.7</v>
      </c>
      <c r="AO143">
        <v>4</v>
      </c>
      <c r="AP143">
        <v>4.2</v>
      </c>
      <c r="AQ143">
        <v>4</v>
      </c>
      <c r="AR143">
        <v>5.4</v>
      </c>
      <c r="AS143">
        <v>4</v>
      </c>
      <c r="AT143">
        <v>-5</v>
      </c>
      <c r="AU143">
        <v>-6.7</v>
      </c>
      <c r="AV143">
        <v>-5</v>
      </c>
      <c r="AW143">
        <v>-4.9000000000000004</v>
      </c>
      <c r="AX143">
        <v>-7.4</v>
      </c>
      <c r="AY143">
        <v>-5</v>
      </c>
      <c r="AZ143">
        <v>11.8</v>
      </c>
      <c r="BA143">
        <v>10</v>
      </c>
      <c r="BB143">
        <v>11.1</v>
      </c>
      <c r="BC143">
        <v>10</v>
      </c>
      <c r="BD143">
        <v>4.5999999999999996</v>
      </c>
      <c r="BE143">
        <v>4</v>
      </c>
      <c r="BF143">
        <v>11.5</v>
      </c>
      <c r="BG143">
        <v>10</v>
      </c>
      <c r="BH143">
        <v>11.1</v>
      </c>
      <c r="BI143">
        <v>10</v>
      </c>
      <c r="BJ143">
        <v>10.3</v>
      </c>
      <c r="BK143">
        <v>9</v>
      </c>
      <c r="BL143">
        <v>19</v>
      </c>
      <c r="BM143">
        <v>19</v>
      </c>
      <c r="BN143">
        <v>22.9</v>
      </c>
      <c r="BO143">
        <v>19</v>
      </c>
      <c r="BP143">
        <v>20.5</v>
      </c>
      <c r="BQ143">
        <v>20</v>
      </c>
      <c r="BR143">
        <v>21.8</v>
      </c>
      <c r="BS143">
        <v>25</v>
      </c>
      <c r="BT143">
        <v>21.9</v>
      </c>
      <c r="BU143">
        <v>25</v>
      </c>
      <c r="BV143">
        <v>23.7</v>
      </c>
      <c r="BW143">
        <v>18</v>
      </c>
      <c r="BX143">
        <v>21.8</v>
      </c>
      <c r="BY143">
        <v>20</v>
      </c>
      <c r="BZ143">
        <v>21.6</v>
      </c>
      <c r="CA143">
        <v>20</v>
      </c>
      <c r="CB143">
        <v>10.8</v>
      </c>
      <c r="CC143">
        <v>10</v>
      </c>
      <c r="CD143">
        <v>10.8</v>
      </c>
      <c r="CE143">
        <v>10</v>
      </c>
      <c r="CF143">
        <v>11.4</v>
      </c>
      <c r="CG143">
        <v>9</v>
      </c>
      <c r="CH143">
        <v>11.7</v>
      </c>
      <c r="CI143">
        <v>9</v>
      </c>
    </row>
    <row r="144" spans="1:87" x14ac:dyDescent="0.35">
      <c r="A144" s="1">
        <v>46059.547222222223</v>
      </c>
      <c r="B144">
        <v>-19.3</v>
      </c>
      <c r="C144">
        <v>-8.9</v>
      </c>
      <c r="D144">
        <v>-25</v>
      </c>
      <c r="E144">
        <v>-19.399999999999999</v>
      </c>
      <c r="F144">
        <v>-22.1</v>
      </c>
      <c r="G144">
        <v>-25</v>
      </c>
      <c r="H144">
        <v>-17.5</v>
      </c>
      <c r="I144">
        <v>-15.5</v>
      </c>
      <c r="J144">
        <v>-25</v>
      </c>
      <c r="K144">
        <v>-17</v>
      </c>
      <c r="L144">
        <v>-17.600000000000001</v>
      </c>
      <c r="M144">
        <v>-25</v>
      </c>
      <c r="N144">
        <v>-19.5</v>
      </c>
      <c r="O144">
        <v>-19.8</v>
      </c>
      <c r="P144">
        <v>-25</v>
      </c>
      <c r="Q144">
        <v>-19</v>
      </c>
      <c r="R144">
        <v>-19.5</v>
      </c>
      <c r="S144">
        <v>-25</v>
      </c>
      <c r="T144">
        <v>2</v>
      </c>
      <c r="U144">
        <v>2.7</v>
      </c>
      <c r="V144">
        <v>2</v>
      </c>
      <c r="W144">
        <v>3</v>
      </c>
      <c r="X144">
        <v>0.6</v>
      </c>
      <c r="Y144">
        <v>2</v>
      </c>
      <c r="Z144">
        <v>2.2999999999999998</v>
      </c>
      <c r="AA144">
        <v>1.8</v>
      </c>
      <c r="AB144">
        <v>2</v>
      </c>
      <c r="AC144">
        <v>1.9</v>
      </c>
      <c r="AD144">
        <v>1.4</v>
      </c>
      <c r="AE144">
        <v>2</v>
      </c>
      <c r="AF144">
        <v>2.4</v>
      </c>
      <c r="AG144">
        <v>1.9</v>
      </c>
      <c r="AH144">
        <v>2</v>
      </c>
      <c r="AI144">
        <v>2.2999999999999998</v>
      </c>
      <c r="AJ144">
        <v>1.2</v>
      </c>
      <c r="AK144">
        <v>2</v>
      </c>
      <c r="AL144">
        <v>5.9</v>
      </c>
      <c r="AM144">
        <v>4</v>
      </c>
      <c r="AN144">
        <v>5.8</v>
      </c>
      <c r="AO144">
        <v>4</v>
      </c>
      <c r="AP144">
        <v>4.4000000000000004</v>
      </c>
      <c r="AQ144">
        <v>4</v>
      </c>
      <c r="AR144">
        <v>5.7</v>
      </c>
      <c r="AS144">
        <v>4</v>
      </c>
      <c r="AT144">
        <v>-5</v>
      </c>
      <c r="AU144">
        <v>-6</v>
      </c>
      <c r="AV144">
        <v>-5</v>
      </c>
      <c r="AW144">
        <v>-5.4</v>
      </c>
      <c r="AX144">
        <v>-6.4</v>
      </c>
      <c r="AY144">
        <v>-5</v>
      </c>
      <c r="AZ144">
        <v>11.1</v>
      </c>
      <c r="BA144">
        <v>10</v>
      </c>
      <c r="BB144">
        <v>11.3</v>
      </c>
      <c r="BC144">
        <v>10</v>
      </c>
      <c r="BD144">
        <v>4.8</v>
      </c>
      <c r="BE144">
        <v>4</v>
      </c>
      <c r="BF144">
        <v>11.7</v>
      </c>
      <c r="BG144">
        <v>10</v>
      </c>
      <c r="BH144">
        <v>11.1</v>
      </c>
      <c r="BI144">
        <v>10</v>
      </c>
      <c r="BJ144">
        <v>10.3</v>
      </c>
      <c r="BK144">
        <v>9</v>
      </c>
      <c r="BL144">
        <v>18.899999999999999</v>
      </c>
      <c r="BM144">
        <v>19</v>
      </c>
      <c r="BN144">
        <v>22.9</v>
      </c>
      <c r="BO144">
        <v>19</v>
      </c>
      <c r="BP144">
        <v>20.5</v>
      </c>
      <c r="BQ144">
        <v>20</v>
      </c>
      <c r="BR144">
        <v>21.8</v>
      </c>
      <c r="BS144">
        <v>25</v>
      </c>
      <c r="BT144">
        <v>21.9</v>
      </c>
      <c r="BU144">
        <v>25</v>
      </c>
      <c r="BV144">
        <v>23.7</v>
      </c>
      <c r="BW144">
        <v>18</v>
      </c>
      <c r="BX144">
        <v>21.8</v>
      </c>
      <c r="BY144">
        <v>20</v>
      </c>
      <c r="BZ144">
        <v>21.7</v>
      </c>
      <c r="CA144">
        <v>20</v>
      </c>
      <c r="CB144">
        <v>11.3</v>
      </c>
      <c r="CC144">
        <v>10</v>
      </c>
      <c r="CD144">
        <v>10.8</v>
      </c>
      <c r="CE144">
        <v>10</v>
      </c>
      <c r="CF144">
        <v>11.6</v>
      </c>
      <c r="CG144">
        <v>9</v>
      </c>
      <c r="CH144">
        <v>11.8</v>
      </c>
      <c r="CI144">
        <v>9</v>
      </c>
    </row>
    <row r="145" spans="1:87" x14ac:dyDescent="0.35">
      <c r="A145" s="1">
        <v>46059.54791666667</v>
      </c>
      <c r="B145">
        <v>-19.600000000000001</v>
      </c>
      <c r="C145">
        <v>-10.1</v>
      </c>
      <c r="D145">
        <v>-25</v>
      </c>
      <c r="E145">
        <v>-19.5</v>
      </c>
      <c r="F145">
        <v>-22.4</v>
      </c>
      <c r="G145">
        <v>-25</v>
      </c>
      <c r="H145">
        <v>-17.5</v>
      </c>
      <c r="I145">
        <v>-15.5</v>
      </c>
      <c r="J145">
        <v>-25</v>
      </c>
      <c r="K145">
        <v>-17</v>
      </c>
      <c r="L145">
        <v>-17.600000000000001</v>
      </c>
      <c r="M145">
        <v>-25</v>
      </c>
      <c r="N145">
        <v>-19.5</v>
      </c>
      <c r="O145">
        <v>-19.8</v>
      </c>
      <c r="P145">
        <v>-25</v>
      </c>
      <c r="Q145">
        <v>-19.100000000000001</v>
      </c>
      <c r="R145">
        <v>-19.5</v>
      </c>
      <c r="S145">
        <v>-25</v>
      </c>
      <c r="T145">
        <v>2</v>
      </c>
      <c r="U145">
        <v>2.8</v>
      </c>
      <c r="V145">
        <v>2</v>
      </c>
      <c r="W145">
        <v>3.1</v>
      </c>
      <c r="X145">
        <v>0.6</v>
      </c>
      <c r="Y145">
        <v>2</v>
      </c>
      <c r="Z145">
        <v>2.2999999999999998</v>
      </c>
      <c r="AA145">
        <v>2</v>
      </c>
      <c r="AB145">
        <v>2</v>
      </c>
      <c r="AC145">
        <v>2</v>
      </c>
      <c r="AD145">
        <v>1.7</v>
      </c>
      <c r="AE145">
        <v>2</v>
      </c>
      <c r="AF145">
        <v>2.4</v>
      </c>
      <c r="AG145">
        <v>1.9</v>
      </c>
      <c r="AH145">
        <v>2</v>
      </c>
      <c r="AI145">
        <v>2.2000000000000002</v>
      </c>
      <c r="AJ145">
        <v>1</v>
      </c>
      <c r="AK145">
        <v>2</v>
      </c>
      <c r="AL145">
        <v>5.9</v>
      </c>
      <c r="AM145">
        <v>4</v>
      </c>
      <c r="AN145">
        <v>5.8</v>
      </c>
      <c r="AO145">
        <v>4</v>
      </c>
      <c r="AP145">
        <v>4.5</v>
      </c>
      <c r="AQ145">
        <v>4</v>
      </c>
      <c r="AR145">
        <v>5.8</v>
      </c>
      <c r="AS145">
        <v>4</v>
      </c>
      <c r="AT145">
        <v>-4.5999999999999996</v>
      </c>
      <c r="AU145">
        <v>-5.0999999999999996</v>
      </c>
      <c r="AV145">
        <v>-5</v>
      </c>
      <c r="AW145">
        <v>-5.2</v>
      </c>
      <c r="AX145">
        <v>-5.3</v>
      </c>
      <c r="AY145">
        <v>-5</v>
      </c>
      <c r="AZ145">
        <v>9.9</v>
      </c>
      <c r="BA145">
        <v>10</v>
      </c>
      <c r="BB145">
        <v>11.6</v>
      </c>
      <c r="BC145">
        <v>10</v>
      </c>
      <c r="BD145">
        <v>5</v>
      </c>
      <c r="BE145">
        <v>4</v>
      </c>
      <c r="BF145">
        <v>11.9</v>
      </c>
      <c r="BG145">
        <v>10</v>
      </c>
      <c r="BH145">
        <v>11</v>
      </c>
      <c r="BI145">
        <v>10</v>
      </c>
      <c r="BJ145">
        <v>10.3</v>
      </c>
      <c r="BK145">
        <v>9</v>
      </c>
      <c r="BL145">
        <v>18.8</v>
      </c>
      <c r="BM145">
        <v>19</v>
      </c>
      <c r="BN145">
        <v>22.9</v>
      </c>
      <c r="BO145">
        <v>19</v>
      </c>
      <c r="BP145">
        <v>20.5</v>
      </c>
      <c r="BQ145">
        <v>20</v>
      </c>
      <c r="BR145">
        <v>21.8</v>
      </c>
      <c r="BS145">
        <v>25</v>
      </c>
      <c r="BT145">
        <v>21.9</v>
      </c>
      <c r="BU145">
        <v>25</v>
      </c>
      <c r="BV145">
        <v>23.7</v>
      </c>
      <c r="BW145">
        <v>18</v>
      </c>
      <c r="BX145">
        <v>21.8</v>
      </c>
      <c r="BY145">
        <v>20</v>
      </c>
      <c r="BZ145">
        <v>21.7</v>
      </c>
      <c r="CA145">
        <v>20</v>
      </c>
      <c r="CB145">
        <v>11.6</v>
      </c>
      <c r="CC145">
        <v>10</v>
      </c>
      <c r="CD145">
        <v>10.8</v>
      </c>
      <c r="CE145">
        <v>10</v>
      </c>
      <c r="CF145">
        <v>11.5</v>
      </c>
      <c r="CG145">
        <v>9</v>
      </c>
      <c r="CH145">
        <v>11.8</v>
      </c>
      <c r="CI145">
        <v>9</v>
      </c>
    </row>
    <row r="146" spans="1:87" x14ac:dyDescent="0.35">
      <c r="A146" s="1">
        <v>46059.548611111109</v>
      </c>
      <c r="B146">
        <v>-19.8</v>
      </c>
      <c r="C146">
        <v>-11.3</v>
      </c>
      <c r="D146">
        <v>-25</v>
      </c>
      <c r="E146">
        <v>-19.600000000000001</v>
      </c>
      <c r="F146">
        <v>-21.8</v>
      </c>
      <c r="G146">
        <v>-25</v>
      </c>
      <c r="H146">
        <v>-17.5</v>
      </c>
      <c r="I146">
        <v>-15.5</v>
      </c>
      <c r="J146">
        <v>-25</v>
      </c>
      <c r="K146">
        <v>-17</v>
      </c>
      <c r="L146">
        <v>-17.600000000000001</v>
      </c>
      <c r="M146">
        <v>-25</v>
      </c>
      <c r="N146">
        <v>-19.600000000000001</v>
      </c>
      <c r="O146">
        <v>-19.8</v>
      </c>
      <c r="P146">
        <v>-25</v>
      </c>
      <c r="Q146">
        <v>-19.100000000000001</v>
      </c>
      <c r="R146">
        <v>-19.5</v>
      </c>
      <c r="S146">
        <v>-25</v>
      </c>
      <c r="T146">
        <v>2</v>
      </c>
      <c r="U146">
        <v>2.9</v>
      </c>
      <c r="V146">
        <v>2</v>
      </c>
      <c r="W146">
        <v>3.2</v>
      </c>
      <c r="X146">
        <v>0.6</v>
      </c>
      <c r="Y146">
        <v>2</v>
      </c>
      <c r="Z146">
        <v>2.4</v>
      </c>
      <c r="AA146">
        <v>2</v>
      </c>
      <c r="AB146">
        <v>2</v>
      </c>
      <c r="AC146">
        <v>2.1</v>
      </c>
      <c r="AD146">
        <v>1.9</v>
      </c>
      <c r="AE146">
        <v>2</v>
      </c>
      <c r="AF146">
        <v>2.4</v>
      </c>
      <c r="AG146">
        <v>1.9</v>
      </c>
      <c r="AH146">
        <v>2</v>
      </c>
      <c r="AI146">
        <v>2.2000000000000002</v>
      </c>
      <c r="AJ146">
        <v>1.2</v>
      </c>
      <c r="AK146">
        <v>2</v>
      </c>
      <c r="AL146">
        <v>6</v>
      </c>
      <c r="AM146">
        <v>4</v>
      </c>
      <c r="AN146">
        <v>5.8</v>
      </c>
      <c r="AO146">
        <v>4</v>
      </c>
      <c r="AP146">
        <v>4.8</v>
      </c>
      <c r="AQ146">
        <v>4</v>
      </c>
      <c r="AR146">
        <v>6</v>
      </c>
      <c r="AS146">
        <v>4</v>
      </c>
      <c r="AT146">
        <v>-4</v>
      </c>
      <c r="AU146">
        <v>-4.3</v>
      </c>
      <c r="AV146">
        <v>-5</v>
      </c>
      <c r="AW146">
        <v>-4.5</v>
      </c>
      <c r="AX146">
        <v>-4.4000000000000004</v>
      </c>
      <c r="AY146">
        <v>-5</v>
      </c>
      <c r="AZ146">
        <v>9.3000000000000007</v>
      </c>
      <c r="BA146">
        <v>10</v>
      </c>
      <c r="BB146">
        <v>11.9</v>
      </c>
      <c r="BC146">
        <v>10</v>
      </c>
      <c r="BD146">
        <v>5.2</v>
      </c>
      <c r="BE146">
        <v>4</v>
      </c>
      <c r="BF146">
        <v>12.1</v>
      </c>
      <c r="BG146">
        <v>10</v>
      </c>
      <c r="BH146">
        <v>11</v>
      </c>
      <c r="BI146">
        <v>10</v>
      </c>
      <c r="BJ146">
        <v>10.3</v>
      </c>
      <c r="BK146">
        <v>9</v>
      </c>
      <c r="BL146">
        <v>18.8</v>
      </c>
      <c r="BM146">
        <v>19</v>
      </c>
      <c r="BN146">
        <v>22.9</v>
      </c>
      <c r="BO146">
        <v>19</v>
      </c>
      <c r="BP146">
        <v>20.5</v>
      </c>
      <c r="BQ146">
        <v>20</v>
      </c>
      <c r="BR146">
        <v>21.8</v>
      </c>
      <c r="BS146">
        <v>25</v>
      </c>
      <c r="BT146">
        <v>21.9</v>
      </c>
      <c r="BU146">
        <v>25</v>
      </c>
      <c r="BV146">
        <v>23.7</v>
      </c>
      <c r="BW146">
        <v>18</v>
      </c>
      <c r="BX146">
        <v>21.8</v>
      </c>
      <c r="BY146">
        <v>20</v>
      </c>
      <c r="BZ146">
        <v>21.7</v>
      </c>
      <c r="CA146">
        <v>20</v>
      </c>
      <c r="CB146">
        <v>11.9</v>
      </c>
      <c r="CC146">
        <v>10</v>
      </c>
      <c r="CD146">
        <v>10.8</v>
      </c>
      <c r="CE146">
        <v>10</v>
      </c>
      <c r="CF146">
        <v>11.5</v>
      </c>
      <c r="CG146">
        <v>9</v>
      </c>
      <c r="CH146">
        <v>11.8</v>
      </c>
      <c r="CI146">
        <v>9</v>
      </c>
    </row>
    <row r="147" spans="1:87" x14ac:dyDescent="0.35">
      <c r="A147" s="1">
        <v>46059.549305555556</v>
      </c>
      <c r="B147">
        <v>-20</v>
      </c>
      <c r="C147">
        <v>-12.4</v>
      </c>
      <c r="D147">
        <v>-25</v>
      </c>
      <c r="E147">
        <v>-19.8</v>
      </c>
      <c r="F147">
        <v>-21.7</v>
      </c>
      <c r="G147">
        <v>-25</v>
      </c>
      <c r="H147">
        <v>-17.5</v>
      </c>
      <c r="I147">
        <v>-15.5</v>
      </c>
      <c r="J147">
        <v>-25</v>
      </c>
      <c r="K147">
        <v>-17</v>
      </c>
      <c r="L147">
        <v>-17.7</v>
      </c>
      <c r="M147">
        <v>-25</v>
      </c>
      <c r="N147">
        <v>-19.600000000000001</v>
      </c>
      <c r="O147">
        <v>-19.8</v>
      </c>
      <c r="P147">
        <v>-25</v>
      </c>
      <c r="Q147">
        <v>-19.2</v>
      </c>
      <c r="R147">
        <v>-19.5</v>
      </c>
      <c r="S147">
        <v>-25</v>
      </c>
      <c r="T147">
        <v>2</v>
      </c>
      <c r="U147">
        <v>2.9</v>
      </c>
      <c r="V147">
        <v>2</v>
      </c>
      <c r="W147">
        <v>3.4</v>
      </c>
      <c r="X147">
        <v>0.6</v>
      </c>
      <c r="Y147">
        <v>2</v>
      </c>
      <c r="Z147">
        <v>2.5</v>
      </c>
      <c r="AA147">
        <v>2.1</v>
      </c>
      <c r="AB147">
        <v>2</v>
      </c>
      <c r="AC147">
        <v>2.2000000000000002</v>
      </c>
      <c r="AD147">
        <v>1.9</v>
      </c>
      <c r="AE147">
        <v>2</v>
      </c>
      <c r="AF147">
        <v>2.4</v>
      </c>
      <c r="AG147">
        <v>1.9</v>
      </c>
      <c r="AH147">
        <v>2</v>
      </c>
      <c r="AI147">
        <v>2.2000000000000002</v>
      </c>
      <c r="AJ147">
        <v>1.2</v>
      </c>
      <c r="AK147">
        <v>2</v>
      </c>
      <c r="AL147">
        <v>6</v>
      </c>
      <c r="AM147">
        <v>4</v>
      </c>
      <c r="AN147">
        <v>5.9</v>
      </c>
      <c r="AO147">
        <v>4</v>
      </c>
      <c r="AP147">
        <v>4.9000000000000004</v>
      </c>
      <c r="AQ147">
        <v>4</v>
      </c>
      <c r="AR147">
        <v>6</v>
      </c>
      <c r="AS147">
        <v>4</v>
      </c>
      <c r="AT147">
        <v>-3.5</v>
      </c>
      <c r="AU147">
        <v>-3.8</v>
      </c>
      <c r="AV147">
        <v>-5</v>
      </c>
      <c r="AW147">
        <v>-3.9</v>
      </c>
      <c r="AX147">
        <v>-3.7</v>
      </c>
      <c r="AY147">
        <v>-5</v>
      </c>
      <c r="AZ147">
        <v>9.3000000000000007</v>
      </c>
      <c r="BA147">
        <v>10</v>
      </c>
      <c r="BB147">
        <v>12</v>
      </c>
      <c r="BC147">
        <v>10</v>
      </c>
      <c r="BD147">
        <v>5.4</v>
      </c>
      <c r="BE147">
        <v>4</v>
      </c>
      <c r="BF147">
        <v>11.2</v>
      </c>
      <c r="BG147">
        <v>10</v>
      </c>
      <c r="BH147">
        <v>11</v>
      </c>
      <c r="BI147">
        <v>10</v>
      </c>
      <c r="BJ147">
        <v>10.3</v>
      </c>
      <c r="BK147">
        <v>9</v>
      </c>
      <c r="BL147">
        <v>18.8</v>
      </c>
      <c r="BM147">
        <v>19</v>
      </c>
      <c r="BN147">
        <v>23</v>
      </c>
      <c r="BO147">
        <v>19</v>
      </c>
      <c r="BP147">
        <v>20.5</v>
      </c>
      <c r="BQ147">
        <v>20</v>
      </c>
      <c r="BR147">
        <v>21.8</v>
      </c>
      <c r="BS147">
        <v>25</v>
      </c>
      <c r="BT147">
        <v>21.9</v>
      </c>
      <c r="BU147">
        <v>25</v>
      </c>
      <c r="BV147">
        <v>23.7</v>
      </c>
      <c r="BW147">
        <v>18</v>
      </c>
      <c r="BX147">
        <v>21.9</v>
      </c>
      <c r="BY147">
        <v>20</v>
      </c>
      <c r="BZ147">
        <v>21.7</v>
      </c>
      <c r="CA147">
        <v>20</v>
      </c>
      <c r="CB147">
        <v>12.1</v>
      </c>
      <c r="CC147">
        <v>10</v>
      </c>
      <c r="CD147">
        <v>10.9</v>
      </c>
      <c r="CE147">
        <v>10</v>
      </c>
      <c r="CF147">
        <v>11.5</v>
      </c>
      <c r="CG147">
        <v>9</v>
      </c>
      <c r="CH147">
        <v>11.8</v>
      </c>
      <c r="CI147">
        <v>9</v>
      </c>
    </row>
    <row r="148" spans="1:87" x14ac:dyDescent="0.35">
      <c r="A148" s="1">
        <v>46059.55</v>
      </c>
      <c r="B148">
        <v>-20.2</v>
      </c>
      <c r="C148">
        <v>-13.3</v>
      </c>
      <c r="D148">
        <v>-25</v>
      </c>
      <c r="E148">
        <v>-19.899999999999999</v>
      </c>
      <c r="F148">
        <v>-22.6</v>
      </c>
      <c r="G148">
        <v>-25</v>
      </c>
      <c r="H148">
        <v>-17.5</v>
      </c>
      <c r="I148">
        <v>-15.5</v>
      </c>
      <c r="J148">
        <v>-25</v>
      </c>
      <c r="K148">
        <v>-17</v>
      </c>
      <c r="L148">
        <v>-17.7</v>
      </c>
      <c r="M148">
        <v>-25</v>
      </c>
      <c r="N148">
        <v>-19.600000000000001</v>
      </c>
      <c r="O148">
        <v>-19.8</v>
      </c>
      <c r="P148">
        <v>-25</v>
      </c>
      <c r="Q148">
        <v>-19.2</v>
      </c>
      <c r="R148">
        <v>-19.600000000000001</v>
      </c>
      <c r="S148">
        <v>-25</v>
      </c>
      <c r="T148">
        <v>2</v>
      </c>
      <c r="U148">
        <v>3</v>
      </c>
      <c r="V148">
        <v>2</v>
      </c>
      <c r="W148">
        <v>3.5</v>
      </c>
      <c r="X148">
        <v>0.6</v>
      </c>
      <c r="Y148">
        <v>2</v>
      </c>
      <c r="Z148">
        <v>2.6</v>
      </c>
      <c r="AA148">
        <v>2.2000000000000002</v>
      </c>
      <c r="AB148">
        <v>2</v>
      </c>
      <c r="AC148">
        <v>2.2999999999999998</v>
      </c>
      <c r="AD148">
        <v>2</v>
      </c>
      <c r="AE148">
        <v>2</v>
      </c>
      <c r="AF148">
        <v>2.2999999999999998</v>
      </c>
      <c r="AG148">
        <v>1.9</v>
      </c>
      <c r="AH148">
        <v>2</v>
      </c>
      <c r="AI148">
        <v>2.2000000000000002</v>
      </c>
      <c r="AJ148">
        <v>1.1000000000000001</v>
      </c>
      <c r="AK148">
        <v>2</v>
      </c>
      <c r="AL148">
        <v>6</v>
      </c>
      <c r="AM148">
        <v>4</v>
      </c>
      <c r="AN148">
        <v>5.9</v>
      </c>
      <c r="AO148">
        <v>4</v>
      </c>
      <c r="AP148">
        <v>5.0999999999999996</v>
      </c>
      <c r="AQ148">
        <v>4</v>
      </c>
      <c r="AR148">
        <v>5.8</v>
      </c>
      <c r="AS148">
        <v>4</v>
      </c>
      <c r="AT148">
        <v>-3.2</v>
      </c>
      <c r="AU148">
        <v>-3.5</v>
      </c>
      <c r="AV148">
        <v>-5</v>
      </c>
      <c r="AW148">
        <v>-3.5</v>
      </c>
      <c r="AX148">
        <v>-3.3</v>
      </c>
      <c r="AY148">
        <v>-5</v>
      </c>
      <c r="AZ148">
        <v>9.3000000000000007</v>
      </c>
      <c r="BA148">
        <v>10</v>
      </c>
      <c r="BB148">
        <v>12.1</v>
      </c>
      <c r="BC148">
        <v>10</v>
      </c>
      <c r="BD148">
        <v>5.5</v>
      </c>
      <c r="BE148">
        <v>4</v>
      </c>
      <c r="BF148">
        <v>10.6</v>
      </c>
      <c r="BG148">
        <v>10</v>
      </c>
      <c r="BH148">
        <v>11.1</v>
      </c>
      <c r="BI148">
        <v>10</v>
      </c>
      <c r="BJ148">
        <v>10.3</v>
      </c>
      <c r="BK148">
        <v>9</v>
      </c>
      <c r="BL148">
        <v>18.8</v>
      </c>
      <c r="BM148">
        <v>19</v>
      </c>
      <c r="BN148">
        <v>23</v>
      </c>
      <c r="BO148">
        <v>19</v>
      </c>
      <c r="BP148">
        <v>20.5</v>
      </c>
      <c r="BQ148">
        <v>20</v>
      </c>
      <c r="BR148">
        <v>21.8</v>
      </c>
      <c r="BS148">
        <v>25</v>
      </c>
      <c r="BT148">
        <v>21.9</v>
      </c>
      <c r="BU148">
        <v>25</v>
      </c>
      <c r="BV148">
        <v>23.7</v>
      </c>
      <c r="BW148">
        <v>18</v>
      </c>
      <c r="BX148">
        <v>21.9</v>
      </c>
      <c r="BY148">
        <v>20</v>
      </c>
      <c r="BZ148">
        <v>21.7</v>
      </c>
      <c r="CA148">
        <v>20</v>
      </c>
      <c r="CB148">
        <v>11.9</v>
      </c>
      <c r="CC148">
        <v>10</v>
      </c>
      <c r="CD148">
        <v>10.9</v>
      </c>
      <c r="CE148">
        <v>10</v>
      </c>
      <c r="CF148">
        <v>11.6</v>
      </c>
      <c r="CG148">
        <v>9</v>
      </c>
      <c r="CH148">
        <v>11.8</v>
      </c>
      <c r="CI148">
        <v>9</v>
      </c>
    </row>
    <row r="149" spans="1:87" x14ac:dyDescent="0.35">
      <c r="A149" s="1">
        <v>46059.550694444442</v>
      </c>
      <c r="B149">
        <v>-20.399999999999999</v>
      </c>
      <c r="C149">
        <v>-14.2</v>
      </c>
      <c r="D149">
        <v>-25</v>
      </c>
      <c r="E149">
        <v>-20.100000000000001</v>
      </c>
      <c r="F149">
        <v>-22.8</v>
      </c>
      <c r="G149">
        <v>-25</v>
      </c>
      <c r="H149">
        <v>-17.600000000000001</v>
      </c>
      <c r="I149">
        <v>-15.5</v>
      </c>
      <c r="J149">
        <v>-25</v>
      </c>
      <c r="K149">
        <v>-17</v>
      </c>
      <c r="L149">
        <v>-17.7</v>
      </c>
      <c r="M149">
        <v>-25</v>
      </c>
      <c r="N149">
        <v>-19.600000000000001</v>
      </c>
      <c r="O149">
        <v>-19.8</v>
      </c>
      <c r="P149">
        <v>-25</v>
      </c>
      <c r="Q149">
        <v>-19.3</v>
      </c>
      <c r="R149">
        <v>-19.600000000000001</v>
      </c>
      <c r="S149">
        <v>-25</v>
      </c>
      <c r="T149">
        <v>2</v>
      </c>
      <c r="U149">
        <v>3.1</v>
      </c>
      <c r="V149">
        <v>2</v>
      </c>
      <c r="W149">
        <v>3.5</v>
      </c>
      <c r="X149">
        <v>0.6</v>
      </c>
      <c r="Y149">
        <v>2</v>
      </c>
      <c r="Z149">
        <v>2.6</v>
      </c>
      <c r="AA149">
        <v>2.2000000000000002</v>
      </c>
      <c r="AB149">
        <v>2</v>
      </c>
      <c r="AC149">
        <v>2.2999999999999998</v>
      </c>
      <c r="AD149">
        <v>2.1</v>
      </c>
      <c r="AE149">
        <v>2</v>
      </c>
      <c r="AF149">
        <v>2.2999999999999998</v>
      </c>
      <c r="AG149">
        <v>1.9</v>
      </c>
      <c r="AH149">
        <v>2</v>
      </c>
      <c r="AI149">
        <v>2.1</v>
      </c>
      <c r="AJ149">
        <v>-0.6</v>
      </c>
      <c r="AK149">
        <v>2</v>
      </c>
      <c r="AL149">
        <v>5.8</v>
      </c>
      <c r="AM149">
        <v>4</v>
      </c>
      <c r="AN149">
        <v>6</v>
      </c>
      <c r="AO149">
        <v>4</v>
      </c>
      <c r="AP149">
        <v>5.3</v>
      </c>
      <c r="AQ149">
        <v>4</v>
      </c>
      <c r="AR149">
        <v>5.7</v>
      </c>
      <c r="AS149">
        <v>4</v>
      </c>
      <c r="AT149">
        <v>-2.9</v>
      </c>
      <c r="AU149">
        <v>-3.2</v>
      </c>
      <c r="AV149">
        <v>-5</v>
      </c>
      <c r="AW149">
        <v>-3.1</v>
      </c>
      <c r="AX149">
        <v>-2.9</v>
      </c>
      <c r="AY149">
        <v>-5</v>
      </c>
      <c r="AZ149">
        <v>9.4</v>
      </c>
      <c r="BA149">
        <v>10</v>
      </c>
      <c r="BB149">
        <v>11.9</v>
      </c>
      <c r="BC149">
        <v>10</v>
      </c>
      <c r="BD149">
        <v>5.7</v>
      </c>
      <c r="BE149">
        <v>4</v>
      </c>
      <c r="BF149">
        <v>9.8000000000000007</v>
      </c>
      <c r="BG149">
        <v>10</v>
      </c>
      <c r="BH149">
        <v>11.1</v>
      </c>
      <c r="BI149">
        <v>10</v>
      </c>
      <c r="BJ149">
        <v>10.3</v>
      </c>
      <c r="BK149">
        <v>9</v>
      </c>
      <c r="BL149">
        <v>18.8</v>
      </c>
      <c r="BM149">
        <v>19</v>
      </c>
      <c r="BN149">
        <v>23</v>
      </c>
      <c r="BO149">
        <v>19</v>
      </c>
      <c r="BP149">
        <v>20.5</v>
      </c>
      <c r="BQ149">
        <v>20</v>
      </c>
      <c r="BR149">
        <v>21.8</v>
      </c>
      <c r="BS149">
        <v>25</v>
      </c>
      <c r="BT149">
        <v>21.9</v>
      </c>
      <c r="BU149">
        <v>25</v>
      </c>
      <c r="BV149">
        <v>23.7</v>
      </c>
      <c r="BW149">
        <v>18</v>
      </c>
      <c r="BX149">
        <v>21.9</v>
      </c>
      <c r="BY149">
        <v>20</v>
      </c>
      <c r="BZ149">
        <v>21.8</v>
      </c>
      <c r="CA149">
        <v>20</v>
      </c>
      <c r="CB149">
        <v>11.7</v>
      </c>
      <c r="CC149">
        <v>10</v>
      </c>
      <c r="CD149">
        <v>11</v>
      </c>
      <c r="CE149">
        <v>10</v>
      </c>
      <c r="CF149">
        <v>11.7</v>
      </c>
      <c r="CG149">
        <v>9</v>
      </c>
      <c r="CH149">
        <v>11.9</v>
      </c>
      <c r="CI149">
        <v>9</v>
      </c>
    </row>
    <row r="150" spans="1:87" x14ac:dyDescent="0.35">
      <c r="A150" s="1">
        <v>46059.551388888889</v>
      </c>
      <c r="B150">
        <v>-20.6</v>
      </c>
      <c r="C150">
        <v>-15</v>
      </c>
      <c r="D150">
        <v>-25</v>
      </c>
      <c r="E150">
        <v>-20.3</v>
      </c>
      <c r="F150">
        <v>-23.1</v>
      </c>
      <c r="G150">
        <v>-25</v>
      </c>
      <c r="H150">
        <v>-17.600000000000001</v>
      </c>
      <c r="I150">
        <v>-15.5</v>
      </c>
      <c r="J150">
        <v>-25</v>
      </c>
      <c r="K150">
        <v>-17</v>
      </c>
      <c r="L150">
        <v>-17.7</v>
      </c>
      <c r="M150">
        <v>-25</v>
      </c>
      <c r="N150">
        <v>-19.7</v>
      </c>
      <c r="O150">
        <v>-19.8</v>
      </c>
      <c r="P150">
        <v>-25</v>
      </c>
      <c r="Q150">
        <v>-19.399999999999999</v>
      </c>
      <c r="R150">
        <v>-19.600000000000001</v>
      </c>
      <c r="S150">
        <v>-25</v>
      </c>
      <c r="T150">
        <v>2</v>
      </c>
      <c r="U150">
        <v>3.2</v>
      </c>
      <c r="V150">
        <v>2</v>
      </c>
      <c r="W150">
        <v>3.6</v>
      </c>
      <c r="X150">
        <v>0.6</v>
      </c>
      <c r="Y150">
        <v>2</v>
      </c>
      <c r="Z150">
        <v>2.7</v>
      </c>
      <c r="AA150">
        <v>2.2999999999999998</v>
      </c>
      <c r="AB150">
        <v>2</v>
      </c>
      <c r="AC150">
        <v>2.4</v>
      </c>
      <c r="AD150">
        <v>2.2000000000000002</v>
      </c>
      <c r="AE150">
        <v>2</v>
      </c>
      <c r="AF150">
        <v>2.1</v>
      </c>
      <c r="AG150">
        <v>1.6</v>
      </c>
      <c r="AH150">
        <v>2</v>
      </c>
      <c r="AI150">
        <v>2</v>
      </c>
      <c r="AJ150">
        <v>0.5</v>
      </c>
      <c r="AK150">
        <v>2</v>
      </c>
      <c r="AL150">
        <v>5.6</v>
      </c>
      <c r="AM150">
        <v>4</v>
      </c>
      <c r="AN150">
        <v>6</v>
      </c>
      <c r="AO150">
        <v>4</v>
      </c>
      <c r="AP150">
        <v>5.4</v>
      </c>
      <c r="AQ150">
        <v>4</v>
      </c>
      <c r="AR150">
        <v>5.7</v>
      </c>
      <c r="AS150">
        <v>4</v>
      </c>
      <c r="AT150">
        <v>-3</v>
      </c>
      <c r="AU150">
        <v>-4.5999999999999996</v>
      </c>
      <c r="AV150">
        <v>-5</v>
      </c>
      <c r="AW150">
        <v>-2.7</v>
      </c>
      <c r="AX150">
        <v>-2.6</v>
      </c>
      <c r="AY150">
        <v>-5</v>
      </c>
      <c r="AZ150">
        <v>9.6</v>
      </c>
      <c r="BA150">
        <v>10</v>
      </c>
      <c r="BB150">
        <v>11.8</v>
      </c>
      <c r="BC150">
        <v>10</v>
      </c>
      <c r="BD150">
        <v>5.9</v>
      </c>
      <c r="BE150">
        <v>4</v>
      </c>
      <c r="BF150">
        <v>9.5</v>
      </c>
      <c r="BG150">
        <v>10</v>
      </c>
      <c r="BH150">
        <v>11.1</v>
      </c>
      <c r="BI150">
        <v>10</v>
      </c>
      <c r="BJ150">
        <v>10.3</v>
      </c>
      <c r="BK150">
        <v>9</v>
      </c>
      <c r="BL150">
        <v>18.8</v>
      </c>
      <c r="BM150">
        <v>19</v>
      </c>
      <c r="BN150">
        <v>23</v>
      </c>
      <c r="BO150">
        <v>19</v>
      </c>
      <c r="BP150">
        <v>20.5</v>
      </c>
      <c r="BQ150">
        <v>20</v>
      </c>
      <c r="BR150">
        <v>21.8</v>
      </c>
      <c r="BS150">
        <v>25</v>
      </c>
      <c r="BT150">
        <v>21.9</v>
      </c>
      <c r="BU150">
        <v>25</v>
      </c>
      <c r="BV150">
        <v>23.7</v>
      </c>
      <c r="BW150">
        <v>18</v>
      </c>
      <c r="BX150">
        <v>21.9</v>
      </c>
      <c r="BY150">
        <v>20</v>
      </c>
      <c r="BZ150">
        <v>21.8</v>
      </c>
      <c r="CA150">
        <v>20</v>
      </c>
      <c r="CB150">
        <v>11.4</v>
      </c>
      <c r="CC150">
        <v>10</v>
      </c>
      <c r="CD150">
        <v>11</v>
      </c>
      <c r="CE150">
        <v>10</v>
      </c>
      <c r="CF150">
        <v>11.5</v>
      </c>
      <c r="CG150">
        <v>9</v>
      </c>
      <c r="CH150">
        <v>11.8</v>
      </c>
      <c r="CI150">
        <v>9</v>
      </c>
    </row>
    <row r="151" spans="1:87" x14ac:dyDescent="0.35">
      <c r="A151" s="1">
        <v>46059.552083333336</v>
      </c>
      <c r="B151">
        <v>-20.9</v>
      </c>
      <c r="C151">
        <v>-15.7</v>
      </c>
      <c r="D151">
        <v>-25</v>
      </c>
      <c r="E151">
        <v>-20.399999999999999</v>
      </c>
      <c r="F151">
        <v>-23.2</v>
      </c>
      <c r="G151">
        <v>-25</v>
      </c>
      <c r="H151">
        <v>-17.600000000000001</v>
      </c>
      <c r="I151">
        <v>-15.5</v>
      </c>
      <c r="J151">
        <v>-25</v>
      </c>
      <c r="K151">
        <v>-17</v>
      </c>
      <c r="L151">
        <v>-17.7</v>
      </c>
      <c r="M151">
        <v>-25</v>
      </c>
      <c r="N151">
        <v>-19.7</v>
      </c>
      <c r="O151">
        <v>-19.8</v>
      </c>
      <c r="P151">
        <v>-25</v>
      </c>
      <c r="Q151">
        <v>-19.399999999999999</v>
      </c>
      <c r="R151">
        <v>-19.600000000000001</v>
      </c>
      <c r="S151">
        <v>-25</v>
      </c>
      <c r="T151">
        <v>2</v>
      </c>
      <c r="U151">
        <v>3.3</v>
      </c>
      <c r="V151">
        <v>2</v>
      </c>
      <c r="W151">
        <v>3.7</v>
      </c>
      <c r="X151">
        <v>0.6</v>
      </c>
      <c r="Y151">
        <v>2</v>
      </c>
      <c r="Z151">
        <v>2.8</v>
      </c>
      <c r="AA151">
        <v>2.4</v>
      </c>
      <c r="AB151">
        <v>2</v>
      </c>
      <c r="AC151">
        <v>2.5</v>
      </c>
      <c r="AD151">
        <v>2.2999999999999998</v>
      </c>
      <c r="AE151">
        <v>2</v>
      </c>
      <c r="AF151">
        <v>2.1</v>
      </c>
      <c r="AG151">
        <v>1.7</v>
      </c>
      <c r="AH151">
        <v>2</v>
      </c>
      <c r="AI151">
        <v>2</v>
      </c>
      <c r="AJ151">
        <v>1.4</v>
      </c>
      <c r="AK151">
        <v>2</v>
      </c>
      <c r="AL151">
        <v>5.5</v>
      </c>
      <c r="AM151">
        <v>4</v>
      </c>
      <c r="AN151">
        <v>6</v>
      </c>
      <c r="AO151">
        <v>4</v>
      </c>
      <c r="AP151">
        <v>5.5</v>
      </c>
      <c r="AQ151">
        <v>4</v>
      </c>
      <c r="AR151">
        <v>5.8</v>
      </c>
      <c r="AS151">
        <v>4</v>
      </c>
      <c r="AT151">
        <v>-3.4</v>
      </c>
      <c r="AU151">
        <v>-5.2</v>
      </c>
      <c r="AV151">
        <v>-5</v>
      </c>
      <c r="AW151">
        <v>-2.5</v>
      </c>
      <c r="AX151">
        <v>-2.2999999999999998</v>
      </c>
      <c r="AY151">
        <v>-5</v>
      </c>
      <c r="AZ151">
        <v>9.8000000000000007</v>
      </c>
      <c r="BA151">
        <v>10</v>
      </c>
      <c r="BB151">
        <v>11.5</v>
      </c>
      <c r="BC151">
        <v>10</v>
      </c>
      <c r="BD151">
        <v>6</v>
      </c>
      <c r="BE151">
        <v>4</v>
      </c>
      <c r="BF151">
        <v>9.5</v>
      </c>
      <c r="BG151">
        <v>10</v>
      </c>
      <c r="BH151">
        <v>11.3</v>
      </c>
      <c r="BI151">
        <v>10</v>
      </c>
      <c r="BJ151">
        <v>10.199999999999999</v>
      </c>
      <c r="BK151">
        <v>9</v>
      </c>
      <c r="BL151">
        <v>18.8</v>
      </c>
      <c r="BM151">
        <v>19</v>
      </c>
      <c r="BN151">
        <v>23</v>
      </c>
      <c r="BO151">
        <v>19</v>
      </c>
      <c r="BP151">
        <v>20.5</v>
      </c>
      <c r="BQ151">
        <v>20</v>
      </c>
      <c r="BR151">
        <v>21.8</v>
      </c>
      <c r="BS151">
        <v>25</v>
      </c>
      <c r="BT151">
        <v>21.9</v>
      </c>
      <c r="BU151">
        <v>25</v>
      </c>
      <c r="BV151">
        <v>23.7</v>
      </c>
      <c r="BW151">
        <v>18</v>
      </c>
      <c r="BX151">
        <v>21.9</v>
      </c>
      <c r="BY151">
        <v>20</v>
      </c>
      <c r="BZ151">
        <v>21.8</v>
      </c>
      <c r="CA151">
        <v>20</v>
      </c>
      <c r="CB151">
        <v>11.2</v>
      </c>
      <c r="CC151">
        <v>10</v>
      </c>
      <c r="CD151">
        <v>11</v>
      </c>
      <c r="CE151">
        <v>10</v>
      </c>
      <c r="CF151">
        <v>11.5</v>
      </c>
      <c r="CG151">
        <v>9</v>
      </c>
      <c r="CH151">
        <v>11.8</v>
      </c>
      <c r="CI151">
        <v>9</v>
      </c>
    </row>
    <row r="152" spans="1:87" x14ac:dyDescent="0.35">
      <c r="A152" s="1">
        <v>46059.552777777775</v>
      </c>
      <c r="B152">
        <v>-21</v>
      </c>
      <c r="C152">
        <v>-16.2</v>
      </c>
      <c r="D152">
        <v>-25</v>
      </c>
      <c r="E152">
        <v>-20.6</v>
      </c>
      <c r="F152">
        <v>-23.3</v>
      </c>
      <c r="G152">
        <v>-25</v>
      </c>
      <c r="H152">
        <v>-17.600000000000001</v>
      </c>
      <c r="I152">
        <v>-15.5</v>
      </c>
      <c r="J152">
        <v>-25</v>
      </c>
      <c r="K152">
        <v>-17</v>
      </c>
      <c r="L152">
        <v>-17.7</v>
      </c>
      <c r="M152">
        <v>-25</v>
      </c>
      <c r="N152">
        <v>-19.7</v>
      </c>
      <c r="O152">
        <v>-19.899999999999999</v>
      </c>
      <c r="P152">
        <v>-25</v>
      </c>
      <c r="Q152">
        <v>-19.5</v>
      </c>
      <c r="R152">
        <v>-19.7</v>
      </c>
      <c r="S152">
        <v>-25</v>
      </c>
      <c r="T152">
        <v>2</v>
      </c>
      <c r="U152">
        <v>3.3</v>
      </c>
      <c r="V152">
        <v>2</v>
      </c>
      <c r="W152">
        <v>3.8</v>
      </c>
      <c r="X152">
        <v>0.6</v>
      </c>
      <c r="Y152">
        <v>2</v>
      </c>
      <c r="Z152">
        <v>2.8</v>
      </c>
      <c r="AA152">
        <v>2.6</v>
      </c>
      <c r="AB152">
        <v>2</v>
      </c>
      <c r="AC152">
        <v>2.6</v>
      </c>
      <c r="AD152">
        <v>2.4</v>
      </c>
      <c r="AE152">
        <v>2</v>
      </c>
      <c r="AF152">
        <v>2.2000000000000002</v>
      </c>
      <c r="AG152">
        <v>2</v>
      </c>
      <c r="AH152">
        <v>2</v>
      </c>
      <c r="AI152">
        <v>2.1</v>
      </c>
      <c r="AJ152">
        <v>1.8</v>
      </c>
      <c r="AK152">
        <v>2</v>
      </c>
      <c r="AL152">
        <v>5.5</v>
      </c>
      <c r="AM152">
        <v>4</v>
      </c>
      <c r="AN152">
        <v>5.7</v>
      </c>
      <c r="AO152">
        <v>4</v>
      </c>
      <c r="AP152">
        <v>5.7</v>
      </c>
      <c r="AQ152">
        <v>4</v>
      </c>
      <c r="AR152">
        <v>6</v>
      </c>
      <c r="AS152">
        <v>4</v>
      </c>
      <c r="AT152">
        <v>-3.6</v>
      </c>
      <c r="AU152">
        <v>-5.6</v>
      </c>
      <c r="AV152">
        <v>-5</v>
      </c>
      <c r="AW152">
        <v>-2.6</v>
      </c>
      <c r="AX152">
        <v>-3.6</v>
      </c>
      <c r="AY152">
        <v>-5</v>
      </c>
      <c r="AZ152">
        <v>10</v>
      </c>
      <c r="BA152">
        <v>10</v>
      </c>
      <c r="BB152">
        <v>11.4</v>
      </c>
      <c r="BC152">
        <v>10</v>
      </c>
      <c r="BD152">
        <v>6</v>
      </c>
      <c r="BE152">
        <v>4</v>
      </c>
      <c r="BF152">
        <v>9.9</v>
      </c>
      <c r="BG152">
        <v>10</v>
      </c>
      <c r="BH152">
        <v>11.3</v>
      </c>
      <c r="BI152">
        <v>10</v>
      </c>
      <c r="BJ152">
        <v>10.199999999999999</v>
      </c>
      <c r="BK152">
        <v>9</v>
      </c>
      <c r="BL152">
        <v>18.8</v>
      </c>
      <c r="BM152">
        <v>19</v>
      </c>
      <c r="BN152">
        <v>23</v>
      </c>
      <c r="BO152">
        <v>19</v>
      </c>
      <c r="BP152">
        <v>20.5</v>
      </c>
      <c r="BQ152">
        <v>20</v>
      </c>
      <c r="BR152">
        <v>21.8</v>
      </c>
      <c r="BS152">
        <v>25</v>
      </c>
      <c r="BT152">
        <v>21.9</v>
      </c>
      <c r="BU152">
        <v>25</v>
      </c>
      <c r="BV152">
        <v>23.7</v>
      </c>
      <c r="BW152">
        <v>18</v>
      </c>
      <c r="BX152">
        <v>21.9</v>
      </c>
      <c r="BY152">
        <v>20</v>
      </c>
      <c r="BZ152">
        <v>21.8</v>
      </c>
      <c r="CA152">
        <v>20</v>
      </c>
      <c r="CB152">
        <v>10.9</v>
      </c>
      <c r="CC152">
        <v>10</v>
      </c>
      <c r="CD152">
        <v>11</v>
      </c>
      <c r="CE152">
        <v>10</v>
      </c>
      <c r="CF152">
        <v>11.6</v>
      </c>
      <c r="CG152">
        <v>9</v>
      </c>
      <c r="CH152">
        <v>11.8</v>
      </c>
      <c r="CI152">
        <v>9</v>
      </c>
    </row>
    <row r="153" spans="1:87" x14ac:dyDescent="0.35">
      <c r="A153" s="1">
        <v>46059.553472222222</v>
      </c>
      <c r="B153">
        <v>-21.1</v>
      </c>
      <c r="C153">
        <v>-16.7</v>
      </c>
      <c r="D153">
        <v>-25</v>
      </c>
      <c r="E153">
        <v>-20.7</v>
      </c>
      <c r="F153">
        <v>-23.4</v>
      </c>
      <c r="G153">
        <v>-25</v>
      </c>
      <c r="H153">
        <v>-17.600000000000001</v>
      </c>
      <c r="I153">
        <v>-15.5</v>
      </c>
      <c r="J153">
        <v>-25</v>
      </c>
      <c r="K153">
        <v>-17</v>
      </c>
      <c r="L153">
        <v>-17.7</v>
      </c>
      <c r="M153">
        <v>-25</v>
      </c>
      <c r="N153">
        <v>-19.8</v>
      </c>
      <c r="O153">
        <v>-19.899999999999999</v>
      </c>
      <c r="P153">
        <v>-25</v>
      </c>
      <c r="Q153">
        <v>-19.5</v>
      </c>
      <c r="R153">
        <v>-19.7</v>
      </c>
      <c r="S153">
        <v>-25</v>
      </c>
      <c r="T153">
        <v>2</v>
      </c>
      <c r="U153">
        <v>3.4</v>
      </c>
      <c r="V153">
        <v>2</v>
      </c>
      <c r="W153">
        <v>3.8</v>
      </c>
      <c r="X153">
        <v>0.6</v>
      </c>
      <c r="Y153">
        <v>2</v>
      </c>
      <c r="Z153">
        <v>2.9</v>
      </c>
      <c r="AA153">
        <v>2.6</v>
      </c>
      <c r="AB153">
        <v>2</v>
      </c>
      <c r="AC153">
        <v>2.7</v>
      </c>
      <c r="AD153">
        <v>2.5</v>
      </c>
      <c r="AE153">
        <v>2</v>
      </c>
      <c r="AF153">
        <v>2.5</v>
      </c>
      <c r="AG153">
        <v>2.2999999999999998</v>
      </c>
      <c r="AH153">
        <v>2</v>
      </c>
      <c r="AI153">
        <v>2.2999999999999998</v>
      </c>
      <c r="AJ153">
        <v>2</v>
      </c>
      <c r="AK153">
        <v>2</v>
      </c>
      <c r="AL153">
        <v>5.5</v>
      </c>
      <c r="AM153">
        <v>4</v>
      </c>
      <c r="AN153">
        <v>5.5</v>
      </c>
      <c r="AO153">
        <v>4</v>
      </c>
      <c r="AP153">
        <v>5.8</v>
      </c>
      <c r="AQ153">
        <v>4</v>
      </c>
      <c r="AR153">
        <v>6.2</v>
      </c>
      <c r="AS153">
        <v>4</v>
      </c>
      <c r="AT153">
        <v>-3.9</v>
      </c>
      <c r="AU153">
        <v>-6</v>
      </c>
      <c r="AV153">
        <v>-5</v>
      </c>
      <c r="AW153">
        <v>-3.1</v>
      </c>
      <c r="AX153">
        <v>-4.9000000000000004</v>
      </c>
      <c r="AY153">
        <v>-5</v>
      </c>
      <c r="AZ153">
        <v>10.1</v>
      </c>
      <c r="BA153">
        <v>10</v>
      </c>
      <c r="BB153">
        <v>11.2</v>
      </c>
      <c r="BC153">
        <v>10</v>
      </c>
      <c r="BD153">
        <v>5.5</v>
      </c>
      <c r="BE153">
        <v>4</v>
      </c>
      <c r="BF153">
        <v>10.4</v>
      </c>
      <c r="BG153">
        <v>10</v>
      </c>
      <c r="BH153">
        <v>11.1</v>
      </c>
      <c r="BI153">
        <v>10</v>
      </c>
      <c r="BJ153">
        <v>10.199999999999999</v>
      </c>
      <c r="BK153">
        <v>9</v>
      </c>
      <c r="BL153">
        <v>18.8</v>
      </c>
      <c r="BM153">
        <v>19</v>
      </c>
      <c r="BN153">
        <v>23</v>
      </c>
      <c r="BO153">
        <v>19</v>
      </c>
      <c r="BP153">
        <v>20.5</v>
      </c>
      <c r="BQ153">
        <v>20</v>
      </c>
      <c r="BR153">
        <v>21.8</v>
      </c>
      <c r="BS153">
        <v>25</v>
      </c>
      <c r="BT153">
        <v>21.9</v>
      </c>
      <c r="BU153">
        <v>25</v>
      </c>
      <c r="BV153">
        <v>23.7</v>
      </c>
      <c r="BW153">
        <v>18</v>
      </c>
      <c r="BX153">
        <v>21.9</v>
      </c>
      <c r="BY153">
        <v>20</v>
      </c>
      <c r="BZ153">
        <v>21.8</v>
      </c>
      <c r="CA153">
        <v>20</v>
      </c>
      <c r="CB153">
        <v>10.8</v>
      </c>
      <c r="CC153">
        <v>10</v>
      </c>
      <c r="CD153">
        <v>11.1</v>
      </c>
      <c r="CE153">
        <v>10</v>
      </c>
      <c r="CF153">
        <v>11.6</v>
      </c>
      <c r="CG153">
        <v>9</v>
      </c>
      <c r="CH153">
        <v>11.8</v>
      </c>
      <c r="CI153">
        <v>9</v>
      </c>
    </row>
    <row r="154" spans="1:87" x14ac:dyDescent="0.35">
      <c r="A154" s="1">
        <v>46059.554166666669</v>
      </c>
      <c r="B154">
        <v>-21.2</v>
      </c>
      <c r="C154">
        <v>-17.100000000000001</v>
      </c>
      <c r="D154">
        <v>-25</v>
      </c>
      <c r="E154">
        <v>-20.8</v>
      </c>
      <c r="F154">
        <v>-23.6</v>
      </c>
      <c r="G154">
        <v>-25</v>
      </c>
      <c r="H154">
        <v>-17.600000000000001</v>
      </c>
      <c r="I154">
        <v>-15.5</v>
      </c>
      <c r="J154">
        <v>-25</v>
      </c>
      <c r="K154">
        <v>-17.100000000000001</v>
      </c>
      <c r="L154">
        <v>-17.8</v>
      </c>
      <c r="M154">
        <v>-25</v>
      </c>
      <c r="N154">
        <v>-19.8</v>
      </c>
      <c r="O154">
        <v>-20</v>
      </c>
      <c r="P154">
        <v>-25</v>
      </c>
      <c r="Q154">
        <v>-19.5</v>
      </c>
      <c r="R154">
        <v>-19.8</v>
      </c>
      <c r="S154">
        <v>-25</v>
      </c>
      <c r="T154">
        <v>2</v>
      </c>
      <c r="U154">
        <v>3.5</v>
      </c>
      <c r="V154">
        <v>2</v>
      </c>
      <c r="W154">
        <v>3.9</v>
      </c>
      <c r="X154">
        <v>0.6</v>
      </c>
      <c r="Y154">
        <v>2</v>
      </c>
      <c r="Z154">
        <v>3</v>
      </c>
      <c r="AA154">
        <v>2.7</v>
      </c>
      <c r="AB154">
        <v>2</v>
      </c>
      <c r="AC154">
        <v>2.8</v>
      </c>
      <c r="AD154">
        <v>2.6</v>
      </c>
      <c r="AE154">
        <v>2</v>
      </c>
      <c r="AF154">
        <v>2.6</v>
      </c>
      <c r="AG154">
        <v>2.4</v>
      </c>
      <c r="AH154">
        <v>2</v>
      </c>
      <c r="AI154">
        <v>2.5</v>
      </c>
      <c r="AJ154">
        <v>2.2999999999999998</v>
      </c>
      <c r="AK154">
        <v>2</v>
      </c>
      <c r="AL154">
        <v>5.5</v>
      </c>
      <c r="AM154">
        <v>4</v>
      </c>
      <c r="AN154">
        <v>5.3</v>
      </c>
      <c r="AO154">
        <v>4</v>
      </c>
      <c r="AP154">
        <v>5.9</v>
      </c>
      <c r="AQ154">
        <v>4</v>
      </c>
      <c r="AR154">
        <v>6.4</v>
      </c>
      <c r="AS154">
        <v>4</v>
      </c>
      <c r="AT154">
        <v>-4.2</v>
      </c>
      <c r="AU154">
        <v>-6.4</v>
      </c>
      <c r="AV154">
        <v>-5</v>
      </c>
      <c r="AW154">
        <v>-3.6</v>
      </c>
      <c r="AX154">
        <v>-4.4000000000000004</v>
      </c>
      <c r="AY154">
        <v>-5</v>
      </c>
      <c r="AZ154">
        <v>10.3</v>
      </c>
      <c r="BA154">
        <v>10</v>
      </c>
      <c r="BB154">
        <v>11</v>
      </c>
      <c r="BC154">
        <v>10</v>
      </c>
      <c r="BD154">
        <v>5</v>
      </c>
      <c r="BE154">
        <v>4</v>
      </c>
      <c r="BF154">
        <v>10.8</v>
      </c>
      <c r="BG154">
        <v>10</v>
      </c>
      <c r="BH154">
        <v>11.1</v>
      </c>
      <c r="BI154">
        <v>10</v>
      </c>
      <c r="BJ154">
        <v>10.199999999999999</v>
      </c>
      <c r="BK154">
        <v>9</v>
      </c>
      <c r="BL154">
        <v>18.899999999999999</v>
      </c>
      <c r="BM154">
        <v>19</v>
      </c>
      <c r="BN154">
        <v>23</v>
      </c>
      <c r="BO154">
        <v>19</v>
      </c>
      <c r="BP154">
        <v>20.5</v>
      </c>
      <c r="BQ154">
        <v>20</v>
      </c>
      <c r="BR154">
        <v>21.8</v>
      </c>
      <c r="BS154">
        <v>25</v>
      </c>
      <c r="BT154">
        <v>21.9</v>
      </c>
      <c r="BU154">
        <v>25</v>
      </c>
      <c r="BV154">
        <v>23.7</v>
      </c>
      <c r="BW154">
        <v>18</v>
      </c>
      <c r="BX154">
        <v>21.9</v>
      </c>
      <c r="BY154">
        <v>20</v>
      </c>
      <c r="BZ154">
        <v>21.8</v>
      </c>
      <c r="CA154">
        <v>20</v>
      </c>
      <c r="CB154">
        <v>10.6</v>
      </c>
      <c r="CC154">
        <v>10</v>
      </c>
      <c r="CD154">
        <v>11.1</v>
      </c>
      <c r="CE154">
        <v>10</v>
      </c>
      <c r="CF154">
        <v>11.6</v>
      </c>
      <c r="CG154">
        <v>9</v>
      </c>
      <c r="CH154">
        <v>11.8</v>
      </c>
      <c r="CI154">
        <v>9</v>
      </c>
    </row>
    <row r="155" spans="1:87" x14ac:dyDescent="0.35">
      <c r="A155" s="1">
        <v>46059.554861111108</v>
      </c>
      <c r="B155">
        <v>-21.4</v>
      </c>
      <c r="C155">
        <v>-17.5</v>
      </c>
      <c r="D155">
        <v>-25</v>
      </c>
      <c r="E155">
        <v>-20.9</v>
      </c>
      <c r="F155">
        <v>-23.6</v>
      </c>
      <c r="G155">
        <v>-25</v>
      </c>
      <c r="H155">
        <v>-17.600000000000001</v>
      </c>
      <c r="I155">
        <v>-15.5</v>
      </c>
      <c r="J155">
        <v>-25</v>
      </c>
      <c r="K155">
        <v>-17.100000000000001</v>
      </c>
      <c r="L155">
        <v>-17.8</v>
      </c>
      <c r="M155">
        <v>-25</v>
      </c>
      <c r="N155">
        <v>-19.899999999999999</v>
      </c>
      <c r="O155">
        <v>-20</v>
      </c>
      <c r="P155">
        <v>-25</v>
      </c>
      <c r="Q155">
        <v>-19.5</v>
      </c>
      <c r="R155">
        <v>-19.8</v>
      </c>
      <c r="S155">
        <v>-25</v>
      </c>
      <c r="T155">
        <v>2</v>
      </c>
      <c r="U155">
        <v>3.5</v>
      </c>
      <c r="V155">
        <v>2</v>
      </c>
      <c r="W155">
        <v>3.9</v>
      </c>
      <c r="X155">
        <v>0.6</v>
      </c>
      <c r="Y155">
        <v>2</v>
      </c>
      <c r="Z155">
        <v>3.1</v>
      </c>
      <c r="AA155">
        <v>2.9</v>
      </c>
      <c r="AB155">
        <v>2</v>
      </c>
      <c r="AC155">
        <v>2.9</v>
      </c>
      <c r="AD155">
        <v>2.7</v>
      </c>
      <c r="AE155">
        <v>2</v>
      </c>
      <c r="AF155">
        <v>2.8</v>
      </c>
      <c r="AG155">
        <v>2.6</v>
      </c>
      <c r="AH155">
        <v>2</v>
      </c>
      <c r="AI155">
        <v>2.7</v>
      </c>
      <c r="AJ155">
        <v>2.5</v>
      </c>
      <c r="AK155">
        <v>2</v>
      </c>
      <c r="AL155">
        <v>5.5</v>
      </c>
      <c r="AM155">
        <v>4</v>
      </c>
      <c r="AN155">
        <v>5.0999999999999996</v>
      </c>
      <c r="AO155">
        <v>4</v>
      </c>
      <c r="AP155">
        <v>6</v>
      </c>
      <c r="AQ155">
        <v>4</v>
      </c>
      <c r="AR155">
        <v>6.6</v>
      </c>
      <c r="AS155">
        <v>4</v>
      </c>
      <c r="AT155">
        <v>-4.4000000000000004</v>
      </c>
      <c r="AU155">
        <v>-6.5</v>
      </c>
      <c r="AV155">
        <v>-5</v>
      </c>
      <c r="AW155">
        <v>-3.8</v>
      </c>
      <c r="AX155">
        <v>-4.4000000000000004</v>
      </c>
      <c r="AY155">
        <v>-5</v>
      </c>
      <c r="AZ155">
        <v>10.4</v>
      </c>
      <c r="BA155">
        <v>10</v>
      </c>
      <c r="BB155">
        <v>10.8</v>
      </c>
      <c r="BC155">
        <v>10</v>
      </c>
      <c r="BD155">
        <v>4.5</v>
      </c>
      <c r="BE155">
        <v>4</v>
      </c>
      <c r="BF155">
        <v>11.1</v>
      </c>
      <c r="BG155">
        <v>10</v>
      </c>
      <c r="BH155">
        <v>11.1</v>
      </c>
      <c r="BI155">
        <v>10</v>
      </c>
      <c r="BJ155">
        <v>10.199999999999999</v>
      </c>
      <c r="BK155">
        <v>9</v>
      </c>
      <c r="BL155">
        <v>18.899999999999999</v>
      </c>
      <c r="BM155">
        <v>19</v>
      </c>
      <c r="BN155">
        <v>23</v>
      </c>
      <c r="BO155">
        <v>19</v>
      </c>
      <c r="BP155">
        <v>20.6</v>
      </c>
      <c r="BQ155">
        <v>20</v>
      </c>
      <c r="BR155">
        <v>21.8</v>
      </c>
      <c r="BS155">
        <v>25</v>
      </c>
      <c r="BT155">
        <v>21.9</v>
      </c>
      <c r="BU155">
        <v>25</v>
      </c>
      <c r="BV155">
        <v>23.7</v>
      </c>
      <c r="BW155">
        <v>18</v>
      </c>
      <c r="BX155">
        <v>22</v>
      </c>
      <c r="BY155">
        <v>20</v>
      </c>
      <c r="BZ155">
        <v>21.8</v>
      </c>
      <c r="CA155">
        <v>20</v>
      </c>
      <c r="CB155">
        <v>10.5</v>
      </c>
      <c r="CC155">
        <v>10</v>
      </c>
      <c r="CD155">
        <v>11.1</v>
      </c>
      <c r="CE155">
        <v>10</v>
      </c>
      <c r="CF155">
        <v>11.6</v>
      </c>
      <c r="CG155">
        <v>9</v>
      </c>
      <c r="CH155">
        <v>11.8</v>
      </c>
      <c r="CI155">
        <v>9</v>
      </c>
    </row>
    <row r="156" spans="1:87" x14ac:dyDescent="0.35">
      <c r="A156" s="1">
        <v>46059.555555555555</v>
      </c>
      <c r="B156">
        <v>-21.5</v>
      </c>
      <c r="C156">
        <v>-17.899999999999999</v>
      </c>
      <c r="D156">
        <v>-25</v>
      </c>
      <c r="E156">
        <v>-21</v>
      </c>
      <c r="F156">
        <v>-23.7</v>
      </c>
      <c r="G156">
        <v>-25</v>
      </c>
      <c r="H156">
        <v>-17.7</v>
      </c>
      <c r="I156">
        <v>-15.5</v>
      </c>
      <c r="J156">
        <v>-25</v>
      </c>
      <c r="K156">
        <v>-17.100000000000001</v>
      </c>
      <c r="L156">
        <v>-17.899999999999999</v>
      </c>
      <c r="M156">
        <v>-25</v>
      </c>
      <c r="N156">
        <v>-19.899999999999999</v>
      </c>
      <c r="O156">
        <v>-20</v>
      </c>
      <c r="P156">
        <v>-25</v>
      </c>
      <c r="Q156">
        <v>-19.5</v>
      </c>
      <c r="R156">
        <v>-19.8</v>
      </c>
      <c r="S156">
        <v>-25</v>
      </c>
      <c r="T156">
        <v>3.5</v>
      </c>
      <c r="U156">
        <v>3.6</v>
      </c>
      <c r="V156">
        <v>2</v>
      </c>
      <c r="W156">
        <v>4</v>
      </c>
      <c r="X156">
        <v>0.6</v>
      </c>
      <c r="Y156">
        <v>2</v>
      </c>
      <c r="Z156">
        <v>3.1</v>
      </c>
      <c r="AA156">
        <v>2.9</v>
      </c>
      <c r="AB156">
        <v>2</v>
      </c>
      <c r="AC156">
        <v>3</v>
      </c>
      <c r="AD156">
        <v>2.8</v>
      </c>
      <c r="AE156">
        <v>2</v>
      </c>
      <c r="AF156">
        <v>2.9</v>
      </c>
      <c r="AG156">
        <v>2.8</v>
      </c>
      <c r="AH156">
        <v>2</v>
      </c>
      <c r="AI156">
        <v>2.8</v>
      </c>
      <c r="AJ156">
        <v>2.7</v>
      </c>
      <c r="AK156">
        <v>2</v>
      </c>
      <c r="AL156">
        <v>5.5</v>
      </c>
      <c r="AM156">
        <v>4</v>
      </c>
      <c r="AN156">
        <v>4.9000000000000004</v>
      </c>
      <c r="AO156">
        <v>4</v>
      </c>
      <c r="AP156">
        <v>5.3</v>
      </c>
      <c r="AQ156">
        <v>4</v>
      </c>
      <c r="AR156">
        <v>6.7</v>
      </c>
      <c r="AS156">
        <v>4</v>
      </c>
      <c r="AT156">
        <v>-4.5999999999999996</v>
      </c>
      <c r="AU156">
        <v>-6.6</v>
      </c>
      <c r="AV156">
        <v>-5</v>
      </c>
      <c r="AW156">
        <v>-4</v>
      </c>
      <c r="AX156">
        <v>-6</v>
      </c>
      <c r="AY156">
        <v>-5</v>
      </c>
      <c r="AZ156">
        <v>10.5</v>
      </c>
      <c r="BA156">
        <v>10</v>
      </c>
      <c r="BB156">
        <v>10.7</v>
      </c>
      <c r="BC156">
        <v>10</v>
      </c>
      <c r="BD156">
        <v>4.0999999999999996</v>
      </c>
      <c r="BE156">
        <v>4</v>
      </c>
      <c r="BF156">
        <v>11.2</v>
      </c>
      <c r="BG156">
        <v>10</v>
      </c>
      <c r="BH156">
        <v>11.1</v>
      </c>
      <c r="BI156">
        <v>10</v>
      </c>
      <c r="BJ156">
        <v>10.199999999999999</v>
      </c>
      <c r="BK156">
        <v>9</v>
      </c>
      <c r="BL156">
        <v>18.899999999999999</v>
      </c>
      <c r="BM156">
        <v>19</v>
      </c>
      <c r="BN156">
        <v>23</v>
      </c>
      <c r="BO156">
        <v>19</v>
      </c>
      <c r="BP156">
        <v>20.6</v>
      </c>
      <c r="BQ156">
        <v>20</v>
      </c>
      <c r="BR156">
        <v>21.8</v>
      </c>
      <c r="BS156">
        <v>25</v>
      </c>
      <c r="BT156">
        <v>21.9</v>
      </c>
      <c r="BU156">
        <v>25</v>
      </c>
      <c r="BV156">
        <v>23.7</v>
      </c>
      <c r="BW156">
        <v>18</v>
      </c>
      <c r="BX156">
        <v>20.5</v>
      </c>
      <c r="BY156">
        <v>20</v>
      </c>
      <c r="BZ156">
        <v>21.8</v>
      </c>
      <c r="CA156">
        <v>20</v>
      </c>
      <c r="CB156">
        <v>10.4</v>
      </c>
      <c r="CC156">
        <v>10</v>
      </c>
      <c r="CD156">
        <v>11.1</v>
      </c>
      <c r="CE156">
        <v>10</v>
      </c>
      <c r="CF156">
        <v>11.5</v>
      </c>
      <c r="CG156">
        <v>9</v>
      </c>
      <c r="CH156">
        <v>11.8</v>
      </c>
      <c r="CI156">
        <v>9</v>
      </c>
    </row>
    <row r="157" spans="1:87" x14ac:dyDescent="0.35">
      <c r="A157" s="1">
        <v>46059.556250000001</v>
      </c>
      <c r="B157">
        <v>-21.6</v>
      </c>
      <c r="C157">
        <v>-18.100000000000001</v>
      </c>
      <c r="D157">
        <v>-25</v>
      </c>
      <c r="E157">
        <v>-21.1</v>
      </c>
      <c r="F157">
        <v>-23.8</v>
      </c>
      <c r="G157">
        <v>-25</v>
      </c>
      <c r="H157">
        <v>-17.7</v>
      </c>
      <c r="I157">
        <v>-15.5</v>
      </c>
      <c r="J157">
        <v>-25</v>
      </c>
      <c r="K157">
        <v>-17.100000000000001</v>
      </c>
      <c r="L157">
        <v>-17.899999999999999</v>
      </c>
      <c r="M157">
        <v>-25</v>
      </c>
      <c r="N157">
        <v>-19.899999999999999</v>
      </c>
      <c r="O157">
        <v>-20.100000000000001</v>
      </c>
      <c r="P157">
        <v>-25</v>
      </c>
      <c r="Q157">
        <v>-19.600000000000001</v>
      </c>
      <c r="R157">
        <v>-19.899999999999999</v>
      </c>
      <c r="S157">
        <v>-25</v>
      </c>
      <c r="T157">
        <v>3.5</v>
      </c>
      <c r="U157">
        <v>3.6</v>
      </c>
      <c r="V157">
        <v>2</v>
      </c>
      <c r="W157">
        <v>4</v>
      </c>
      <c r="X157">
        <v>-0.2</v>
      </c>
      <c r="Y157">
        <v>2</v>
      </c>
      <c r="Z157">
        <v>3.2</v>
      </c>
      <c r="AA157">
        <v>3</v>
      </c>
      <c r="AB157">
        <v>2</v>
      </c>
      <c r="AC157">
        <v>3</v>
      </c>
      <c r="AD157">
        <v>2.9</v>
      </c>
      <c r="AE157">
        <v>2</v>
      </c>
      <c r="AF157">
        <v>3.1</v>
      </c>
      <c r="AG157">
        <v>3</v>
      </c>
      <c r="AH157">
        <v>2</v>
      </c>
      <c r="AI157">
        <v>3</v>
      </c>
      <c r="AJ157">
        <v>2.9</v>
      </c>
      <c r="AK157">
        <v>2</v>
      </c>
      <c r="AL157">
        <v>5.4</v>
      </c>
      <c r="AM157">
        <v>4</v>
      </c>
      <c r="AN157">
        <v>4.8</v>
      </c>
      <c r="AO157">
        <v>4</v>
      </c>
      <c r="AP157">
        <v>4.4000000000000004</v>
      </c>
      <c r="AQ157">
        <v>4</v>
      </c>
      <c r="AR157">
        <v>6.8</v>
      </c>
      <c r="AS157">
        <v>4</v>
      </c>
      <c r="AT157">
        <v>-4.7</v>
      </c>
      <c r="AU157">
        <v>-6.7</v>
      </c>
      <c r="AV157">
        <v>-5</v>
      </c>
      <c r="AW157">
        <v>-4.4000000000000004</v>
      </c>
      <c r="AX157">
        <v>-6.4</v>
      </c>
      <c r="AY157">
        <v>-5</v>
      </c>
      <c r="AZ157">
        <v>10.6</v>
      </c>
      <c r="BA157">
        <v>10</v>
      </c>
      <c r="BB157">
        <v>10.6</v>
      </c>
      <c r="BC157">
        <v>10</v>
      </c>
      <c r="BD157">
        <v>3.7</v>
      </c>
      <c r="BE157">
        <v>4</v>
      </c>
      <c r="BF157">
        <v>11.6</v>
      </c>
      <c r="BG157">
        <v>10</v>
      </c>
      <c r="BH157">
        <v>11.1</v>
      </c>
      <c r="BI157">
        <v>10</v>
      </c>
      <c r="BJ157">
        <v>10.199999999999999</v>
      </c>
      <c r="BK157">
        <v>9</v>
      </c>
      <c r="BL157">
        <v>19</v>
      </c>
      <c r="BM157">
        <v>19</v>
      </c>
      <c r="BN157">
        <v>23</v>
      </c>
      <c r="BO157">
        <v>19</v>
      </c>
      <c r="BP157">
        <v>20.6</v>
      </c>
      <c r="BQ157">
        <v>20</v>
      </c>
      <c r="BR157">
        <v>21.8</v>
      </c>
      <c r="BS157">
        <v>25</v>
      </c>
      <c r="BT157">
        <v>21.9</v>
      </c>
      <c r="BU157">
        <v>25</v>
      </c>
      <c r="BV157">
        <v>23.7</v>
      </c>
      <c r="BW157">
        <v>18</v>
      </c>
      <c r="BX157">
        <v>19</v>
      </c>
      <c r="BY157">
        <v>20</v>
      </c>
      <c r="BZ157">
        <v>21.9</v>
      </c>
      <c r="CA157">
        <v>20</v>
      </c>
      <c r="CB157">
        <v>10.4</v>
      </c>
      <c r="CC157">
        <v>10</v>
      </c>
      <c r="CD157">
        <v>11.1</v>
      </c>
      <c r="CE157">
        <v>10</v>
      </c>
      <c r="CF157">
        <v>11.5</v>
      </c>
      <c r="CG157">
        <v>9</v>
      </c>
      <c r="CH157">
        <v>11.7</v>
      </c>
      <c r="CI157">
        <v>9</v>
      </c>
    </row>
    <row r="158" spans="1:87" x14ac:dyDescent="0.35">
      <c r="A158" s="1">
        <v>46059.556944444441</v>
      </c>
      <c r="B158">
        <v>-21.7</v>
      </c>
      <c r="C158">
        <v>-18.399999999999999</v>
      </c>
      <c r="D158">
        <v>-25</v>
      </c>
      <c r="E158">
        <v>-21.2</v>
      </c>
      <c r="F158">
        <v>-23.2</v>
      </c>
      <c r="G158">
        <v>-25</v>
      </c>
      <c r="H158">
        <v>-17.7</v>
      </c>
      <c r="I158">
        <v>-15.5</v>
      </c>
      <c r="J158">
        <v>-25</v>
      </c>
      <c r="K158">
        <v>-17.2</v>
      </c>
      <c r="L158">
        <v>-17.899999999999999</v>
      </c>
      <c r="M158">
        <v>-25</v>
      </c>
      <c r="N158">
        <v>-20</v>
      </c>
      <c r="O158">
        <v>-20.100000000000001</v>
      </c>
      <c r="P158">
        <v>-25</v>
      </c>
      <c r="Q158">
        <v>-19.7</v>
      </c>
      <c r="R158">
        <v>-20</v>
      </c>
      <c r="S158">
        <v>-25</v>
      </c>
      <c r="T158">
        <v>3.6</v>
      </c>
      <c r="U158">
        <v>3.7</v>
      </c>
      <c r="V158">
        <v>2</v>
      </c>
      <c r="W158">
        <v>4</v>
      </c>
      <c r="X158">
        <v>-0.4</v>
      </c>
      <c r="Y158">
        <v>2</v>
      </c>
      <c r="Z158">
        <v>3.3</v>
      </c>
      <c r="AA158">
        <v>3.1</v>
      </c>
      <c r="AB158">
        <v>2</v>
      </c>
      <c r="AC158">
        <v>3.1</v>
      </c>
      <c r="AD158">
        <v>3</v>
      </c>
      <c r="AE158">
        <v>2</v>
      </c>
      <c r="AF158">
        <v>3.3</v>
      </c>
      <c r="AG158">
        <v>3.2</v>
      </c>
      <c r="AH158">
        <v>2</v>
      </c>
      <c r="AI158">
        <v>3.2</v>
      </c>
      <c r="AJ158">
        <v>3.1</v>
      </c>
      <c r="AK158">
        <v>2</v>
      </c>
      <c r="AL158">
        <v>5.3</v>
      </c>
      <c r="AM158">
        <v>4</v>
      </c>
      <c r="AN158">
        <v>4.5999999999999996</v>
      </c>
      <c r="AO158">
        <v>4</v>
      </c>
      <c r="AP158">
        <v>3.4</v>
      </c>
      <c r="AQ158">
        <v>4</v>
      </c>
      <c r="AR158">
        <v>7</v>
      </c>
      <c r="AS158">
        <v>4</v>
      </c>
      <c r="AT158">
        <v>-4.8</v>
      </c>
      <c r="AU158">
        <v>-6.8</v>
      </c>
      <c r="AV158">
        <v>-5</v>
      </c>
      <c r="AW158">
        <v>-4.5</v>
      </c>
      <c r="AX158">
        <v>-5.3</v>
      </c>
      <c r="AY158">
        <v>-5</v>
      </c>
      <c r="AZ158">
        <v>10.8</v>
      </c>
      <c r="BA158">
        <v>10</v>
      </c>
      <c r="BB158">
        <v>10.5</v>
      </c>
      <c r="BC158">
        <v>10</v>
      </c>
      <c r="BD158">
        <v>3.7</v>
      </c>
      <c r="BE158">
        <v>4</v>
      </c>
      <c r="BF158">
        <v>11.8</v>
      </c>
      <c r="BG158">
        <v>10</v>
      </c>
      <c r="BH158">
        <v>11.1</v>
      </c>
      <c r="BI158">
        <v>10</v>
      </c>
      <c r="BJ158">
        <v>10.199999999999999</v>
      </c>
      <c r="BK158">
        <v>9</v>
      </c>
      <c r="BL158">
        <v>19</v>
      </c>
      <c r="BM158">
        <v>19</v>
      </c>
      <c r="BN158">
        <v>23</v>
      </c>
      <c r="BO158">
        <v>19</v>
      </c>
      <c r="BP158">
        <v>20.6</v>
      </c>
      <c r="BQ158">
        <v>20</v>
      </c>
      <c r="BR158">
        <v>21.8</v>
      </c>
      <c r="BS158">
        <v>25</v>
      </c>
      <c r="BT158">
        <v>21.9</v>
      </c>
      <c r="BU158">
        <v>25</v>
      </c>
      <c r="BV158">
        <v>23.7</v>
      </c>
      <c r="BW158">
        <v>18</v>
      </c>
      <c r="BX158">
        <v>18.600000000000001</v>
      </c>
      <c r="BY158">
        <v>20</v>
      </c>
      <c r="BZ158">
        <v>21.9</v>
      </c>
      <c r="CA158">
        <v>20</v>
      </c>
      <c r="CB158">
        <v>10.3</v>
      </c>
      <c r="CC158">
        <v>10</v>
      </c>
      <c r="CD158">
        <v>11.1</v>
      </c>
      <c r="CE158">
        <v>10</v>
      </c>
      <c r="CF158">
        <v>11.5</v>
      </c>
      <c r="CG158">
        <v>9</v>
      </c>
      <c r="CH158">
        <v>11.8</v>
      </c>
      <c r="CI158">
        <v>9</v>
      </c>
    </row>
    <row r="159" spans="1:87" x14ac:dyDescent="0.35">
      <c r="A159" s="1">
        <v>46059.557638888888</v>
      </c>
      <c r="B159">
        <v>-21.8</v>
      </c>
      <c r="C159">
        <v>-18.600000000000001</v>
      </c>
      <c r="D159">
        <v>-25</v>
      </c>
      <c r="E159">
        <v>-21.3</v>
      </c>
      <c r="F159">
        <v>-23.9</v>
      </c>
      <c r="G159">
        <v>-25</v>
      </c>
      <c r="H159">
        <v>-17.8</v>
      </c>
      <c r="I159">
        <v>-15.5</v>
      </c>
      <c r="J159">
        <v>-25</v>
      </c>
      <c r="K159">
        <v>-17.2</v>
      </c>
      <c r="L159">
        <v>-17.899999999999999</v>
      </c>
      <c r="M159">
        <v>-25</v>
      </c>
      <c r="N159">
        <v>-20</v>
      </c>
      <c r="O159">
        <v>-20.2</v>
      </c>
      <c r="P159">
        <v>-25</v>
      </c>
      <c r="Q159">
        <v>-19.7</v>
      </c>
      <c r="R159">
        <v>-20</v>
      </c>
      <c r="S159">
        <v>-25</v>
      </c>
      <c r="T159">
        <v>3.6</v>
      </c>
      <c r="U159">
        <v>3.3</v>
      </c>
      <c r="V159">
        <v>2</v>
      </c>
      <c r="W159">
        <v>3.6</v>
      </c>
      <c r="X159">
        <v>1.5</v>
      </c>
      <c r="Y159">
        <v>2</v>
      </c>
      <c r="Z159">
        <v>3.4</v>
      </c>
      <c r="AA159">
        <v>3.1</v>
      </c>
      <c r="AB159">
        <v>2</v>
      </c>
      <c r="AC159">
        <v>3.2</v>
      </c>
      <c r="AD159">
        <v>3.1</v>
      </c>
      <c r="AE159">
        <v>2</v>
      </c>
      <c r="AF159">
        <v>3.5</v>
      </c>
      <c r="AG159">
        <v>3.3</v>
      </c>
      <c r="AH159">
        <v>2</v>
      </c>
      <c r="AI159">
        <v>3.4</v>
      </c>
      <c r="AJ159">
        <v>3.3</v>
      </c>
      <c r="AK159">
        <v>2</v>
      </c>
      <c r="AL159">
        <v>5.3</v>
      </c>
      <c r="AM159">
        <v>4</v>
      </c>
      <c r="AN159">
        <v>4.5</v>
      </c>
      <c r="AO159">
        <v>4</v>
      </c>
      <c r="AP159">
        <v>3</v>
      </c>
      <c r="AQ159">
        <v>4</v>
      </c>
      <c r="AR159">
        <v>7.1</v>
      </c>
      <c r="AS159">
        <v>4</v>
      </c>
      <c r="AT159">
        <v>-4.9000000000000004</v>
      </c>
      <c r="AU159">
        <v>-6.9</v>
      </c>
      <c r="AV159">
        <v>-5</v>
      </c>
      <c r="AW159">
        <v>-4.5</v>
      </c>
      <c r="AX159">
        <v>-5</v>
      </c>
      <c r="AY159">
        <v>-5</v>
      </c>
      <c r="AZ159">
        <v>10.9</v>
      </c>
      <c r="BA159">
        <v>10</v>
      </c>
      <c r="BB159">
        <v>10.5</v>
      </c>
      <c r="BC159">
        <v>10</v>
      </c>
      <c r="BD159">
        <v>3.8</v>
      </c>
      <c r="BE159">
        <v>4</v>
      </c>
      <c r="BF159">
        <v>12</v>
      </c>
      <c r="BG159">
        <v>10</v>
      </c>
      <c r="BH159">
        <v>11.1</v>
      </c>
      <c r="BI159">
        <v>10</v>
      </c>
      <c r="BJ159">
        <v>10.199999999999999</v>
      </c>
      <c r="BK159">
        <v>9</v>
      </c>
      <c r="BL159">
        <v>19</v>
      </c>
      <c r="BM159">
        <v>19</v>
      </c>
      <c r="BN159">
        <v>23</v>
      </c>
      <c r="BO159">
        <v>19</v>
      </c>
      <c r="BP159">
        <v>20.6</v>
      </c>
      <c r="BQ159">
        <v>20</v>
      </c>
      <c r="BR159">
        <v>21.8</v>
      </c>
      <c r="BS159">
        <v>25</v>
      </c>
      <c r="BT159">
        <v>21.9</v>
      </c>
      <c r="BU159">
        <v>25</v>
      </c>
      <c r="BV159">
        <v>23.7</v>
      </c>
      <c r="BW159">
        <v>18</v>
      </c>
      <c r="BX159">
        <v>19</v>
      </c>
      <c r="BY159">
        <v>20</v>
      </c>
      <c r="BZ159">
        <v>21.9</v>
      </c>
      <c r="CA159">
        <v>20</v>
      </c>
      <c r="CB159">
        <v>10.199999999999999</v>
      </c>
      <c r="CC159">
        <v>10</v>
      </c>
      <c r="CD159">
        <v>11.1</v>
      </c>
      <c r="CE159">
        <v>10</v>
      </c>
      <c r="CF159">
        <v>11.2</v>
      </c>
      <c r="CG159">
        <v>9</v>
      </c>
      <c r="CH159">
        <v>11.5</v>
      </c>
      <c r="CI159">
        <v>9</v>
      </c>
    </row>
    <row r="160" spans="1:87" x14ac:dyDescent="0.35">
      <c r="A160" s="1">
        <v>46059.558333333334</v>
      </c>
      <c r="B160">
        <v>-21.9</v>
      </c>
      <c r="C160">
        <v>-18.8</v>
      </c>
      <c r="D160">
        <v>-25</v>
      </c>
      <c r="E160">
        <v>-21.4</v>
      </c>
      <c r="F160">
        <v>-24</v>
      </c>
      <c r="G160">
        <v>-25</v>
      </c>
      <c r="H160">
        <v>-17.8</v>
      </c>
      <c r="I160">
        <v>-15.5</v>
      </c>
      <c r="J160">
        <v>-25</v>
      </c>
      <c r="K160">
        <v>-17.2</v>
      </c>
      <c r="L160">
        <v>-17.899999999999999</v>
      </c>
      <c r="M160">
        <v>-25</v>
      </c>
      <c r="N160">
        <v>-20.100000000000001</v>
      </c>
      <c r="O160">
        <v>-20.2</v>
      </c>
      <c r="P160">
        <v>-25</v>
      </c>
      <c r="Q160">
        <v>-19.8</v>
      </c>
      <c r="R160">
        <v>-20</v>
      </c>
      <c r="S160">
        <v>-25</v>
      </c>
      <c r="T160">
        <v>3.4</v>
      </c>
      <c r="U160">
        <v>3.1</v>
      </c>
      <c r="V160">
        <v>2</v>
      </c>
      <c r="W160">
        <v>3.3</v>
      </c>
      <c r="X160">
        <v>1.7</v>
      </c>
      <c r="Y160">
        <v>2</v>
      </c>
      <c r="Z160">
        <v>3.5</v>
      </c>
      <c r="AA160">
        <v>3.2</v>
      </c>
      <c r="AB160">
        <v>2</v>
      </c>
      <c r="AC160">
        <v>3.3</v>
      </c>
      <c r="AD160">
        <v>3.1</v>
      </c>
      <c r="AE160">
        <v>2</v>
      </c>
      <c r="AF160">
        <v>3.6</v>
      </c>
      <c r="AG160">
        <v>3.5</v>
      </c>
      <c r="AH160">
        <v>2</v>
      </c>
      <c r="AI160">
        <v>3.5</v>
      </c>
      <c r="AJ160">
        <v>3.5</v>
      </c>
      <c r="AK160">
        <v>2</v>
      </c>
      <c r="AL160">
        <v>5.2</v>
      </c>
      <c r="AM160">
        <v>4</v>
      </c>
      <c r="AN160">
        <v>4.3</v>
      </c>
      <c r="AO160">
        <v>4</v>
      </c>
      <c r="AP160">
        <v>3</v>
      </c>
      <c r="AQ160">
        <v>4</v>
      </c>
      <c r="AR160">
        <v>7.2</v>
      </c>
      <c r="AS160">
        <v>4</v>
      </c>
      <c r="AT160">
        <v>-5</v>
      </c>
      <c r="AU160">
        <v>-6.7</v>
      </c>
      <c r="AV160">
        <v>-5</v>
      </c>
      <c r="AW160">
        <v>-4.5999999999999996</v>
      </c>
      <c r="AX160">
        <v>-6</v>
      </c>
      <c r="AY160">
        <v>-5</v>
      </c>
      <c r="AZ160">
        <v>11</v>
      </c>
      <c r="BA160">
        <v>10</v>
      </c>
      <c r="BB160">
        <v>10.5</v>
      </c>
      <c r="BC160">
        <v>10</v>
      </c>
      <c r="BD160">
        <v>4.2</v>
      </c>
      <c r="BE160">
        <v>4</v>
      </c>
      <c r="BF160">
        <v>11.7</v>
      </c>
      <c r="BG160">
        <v>10</v>
      </c>
      <c r="BH160">
        <v>11.6</v>
      </c>
      <c r="BI160">
        <v>10</v>
      </c>
      <c r="BJ160">
        <v>10.199999999999999</v>
      </c>
      <c r="BK160">
        <v>9</v>
      </c>
      <c r="BL160">
        <v>19.100000000000001</v>
      </c>
      <c r="BM160">
        <v>19</v>
      </c>
      <c r="BN160">
        <v>23.1</v>
      </c>
      <c r="BO160">
        <v>19</v>
      </c>
      <c r="BP160">
        <v>20.7</v>
      </c>
      <c r="BQ160">
        <v>20</v>
      </c>
      <c r="BR160">
        <v>21.8</v>
      </c>
      <c r="BS160">
        <v>25</v>
      </c>
      <c r="BT160">
        <v>21.9</v>
      </c>
      <c r="BU160">
        <v>25</v>
      </c>
      <c r="BV160">
        <v>23.7</v>
      </c>
      <c r="BW160">
        <v>18</v>
      </c>
      <c r="BX160">
        <v>19.399999999999999</v>
      </c>
      <c r="BY160">
        <v>20</v>
      </c>
      <c r="BZ160">
        <v>21.9</v>
      </c>
      <c r="CA160">
        <v>20</v>
      </c>
      <c r="CB160">
        <v>10.1</v>
      </c>
      <c r="CC160">
        <v>10</v>
      </c>
      <c r="CD160">
        <v>11.2</v>
      </c>
      <c r="CE160">
        <v>10</v>
      </c>
      <c r="CF160">
        <v>11.4</v>
      </c>
      <c r="CG160">
        <v>9</v>
      </c>
      <c r="CH160">
        <v>11.7</v>
      </c>
      <c r="CI160">
        <v>9</v>
      </c>
    </row>
    <row r="161" spans="1:87" x14ac:dyDescent="0.35">
      <c r="A161" s="1">
        <v>46059.559027777781</v>
      </c>
      <c r="B161">
        <v>-22</v>
      </c>
      <c r="C161">
        <v>-19</v>
      </c>
      <c r="D161">
        <v>-25</v>
      </c>
      <c r="E161">
        <v>-21.5</v>
      </c>
      <c r="F161">
        <v>-24.1</v>
      </c>
      <c r="G161">
        <v>-25</v>
      </c>
      <c r="H161">
        <v>-17.8</v>
      </c>
      <c r="I161">
        <v>-15.6</v>
      </c>
      <c r="J161">
        <v>-25</v>
      </c>
      <c r="K161">
        <v>-17.2</v>
      </c>
      <c r="L161">
        <v>-17.899999999999999</v>
      </c>
      <c r="M161">
        <v>-25</v>
      </c>
      <c r="N161">
        <v>-20.100000000000001</v>
      </c>
      <c r="O161">
        <v>-20.2</v>
      </c>
      <c r="P161">
        <v>-25</v>
      </c>
      <c r="Q161">
        <v>-19.8</v>
      </c>
      <c r="R161">
        <v>-20</v>
      </c>
      <c r="S161">
        <v>-25</v>
      </c>
      <c r="T161">
        <v>3.3</v>
      </c>
      <c r="U161">
        <v>3</v>
      </c>
      <c r="V161">
        <v>2</v>
      </c>
      <c r="W161">
        <v>3.1</v>
      </c>
      <c r="X161">
        <v>1.8</v>
      </c>
      <c r="Y161">
        <v>2</v>
      </c>
      <c r="Z161">
        <v>3.5</v>
      </c>
      <c r="AA161">
        <v>3.3</v>
      </c>
      <c r="AB161">
        <v>2</v>
      </c>
      <c r="AC161">
        <v>3.4</v>
      </c>
      <c r="AD161">
        <v>3.2</v>
      </c>
      <c r="AE161">
        <v>2</v>
      </c>
      <c r="AF161">
        <v>3.8</v>
      </c>
      <c r="AG161">
        <v>3.6</v>
      </c>
      <c r="AH161">
        <v>2</v>
      </c>
      <c r="AI161">
        <v>3.7</v>
      </c>
      <c r="AJ161">
        <v>3.6</v>
      </c>
      <c r="AK161">
        <v>2</v>
      </c>
      <c r="AL161">
        <v>5.2</v>
      </c>
      <c r="AM161">
        <v>4</v>
      </c>
      <c r="AN161">
        <v>4.2</v>
      </c>
      <c r="AO161">
        <v>4</v>
      </c>
      <c r="AP161">
        <v>3</v>
      </c>
      <c r="AQ161">
        <v>4</v>
      </c>
      <c r="AR161">
        <v>7.2</v>
      </c>
      <c r="AS161">
        <v>4</v>
      </c>
      <c r="AT161">
        <v>-5.0999999999999996</v>
      </c>
      <c r="AU161">
        <v>-6</v>
      </c>
      <c r="AV161">
        <v>-5</v>
      </c>
      <c r="AW161">
        <v>-5</v>
      </c>
      <c r="AX161">
        <v>-7.4</v>
      </c>
      <c r="AY161">
        <v>-5</v>
      </c>
      <c r="AZ161">
        <v>11.1</v>
      </c>
      <c r="BA161">
        <v>10</v>
      </c>
      <c r="BB161">
        <v>10.4</v>
      </c>
      <c r="BC161">
        <v>10</v>
      </c>
      <c r="BD161">
        <v>4.4000000000000004</v>
      </c>
      <c r="BE161">
        <v>4</v>
      </c>
      <c r="BF161">
        <v>10.9</v>
      </c>
      <c r="BG161">
        <v>10</v>
      </c>
      <c r="BH161">
        <v>11.4</v>
      </c>
      <c r="BI161">
        <v>10</v>
      </c>
      <c r="BJ161">
        <v>10.199999999999999</v>
      </c>
      <c r="BK161">
        <v>9</v>
      </c>
      <c r="BL161">
        <v>19.100000000000001</v>
      </c>
      <c r="BM161">
        <v>19</v>
      </c>
      <c r="BN161">
        <v>23.1</v>
      </c>
      <c r="BO161">
        <v>19</v>
      </c>
      <c r="BP161">
        <v>20.7</v>
      </c>
      <c r="BQ161">
        <v>20</v>
      </c>
      <c r="BR161">
        <v>21.8</v>
      </c>
      <c r="BS161">
        <v>25</v>
      </c>
      <c r="BT161">
        <v>21.9</v>
      </c>
      <c r="BU161">
        <v>25</v>
      </c>
      <c r="BV161">
        <v>23.7</v>
      </c>
      <c r="BW161">
        <v>18</v>
      </c>
      <c r="BX161">
        <v>19.8</v>
      </c>
      <c r="BY161">
        <v>20</v>
      </c>
      <c r="BZ161">
        <v>21.9</v>
      </c>
      <c r="CA161">
        <v>20</v>
      </c>
      <c r="CB161">
        <v>10</v>
      </c>
      <c r="CC161">
        <v>10</v>
      </c>
      <c r="CD161">
        <v>11.2</v>
      </c>
      <c r="CE161">
        <v>10</v>
      </c>
      <c r="CF161">
        <v>11.4</v>
      </c>
      <c r="CG161">
        <v>9</v>
      </c>
      <c r="CH161">
        <v>11.7</v>
      </c>
      <c r="CI161">
        <v>9</v>
      </c>
    </row>
    <row r="162" spans="1:87" x14ac:dyDescent="0.35">
      <c r="A162" s="1">
        <v>46059.55972222222</v>
      </c>
      <c r="B162">
        <v>-22.1</v>
      </c>
      <c r="C162">
        <v>-19.2</v>
      </c>
      <c r="D162">
        <v>-25</v>
      </c>
      <c r="E162">
        <v>-21.6</v>
      </c>
      <c r="F162">
        <v>-23.3</v>
      </c>
      <c r="G162">
        <v>-25</v>
      </c>
      <c r="H162">
        <v>-17.899999999999999</v>
      </c>
      <c r="I162">
        <v>-15.6</v>
      </c>
      <c r="J162">
        <v>-25</v>
      </c>
      <c r="K162">
        <v>-17.3</v>
      </c>
      <c r="L162">
        <v>-18</v>
      </c>
      <c r="M162">
        <v>-25</v>
      </c>
      <c r="N162">
        <v>-20.100000000000001</v>
      </c>
      <c r="O162">
        <v>-20.3</v>
      </c>
      <c r="P162">
        <v>-25</v>
      </c>
      <c r="Q162">
        <v>-19.8</v>
      </c>
      <c r="R162">
        <v>-20.100000000000001</v>
      </c>
      <c r="S162">
        <v>-25</v>
      </c>
      <c r="T162">
        <v>3.2</v>
      </c>
      <c r="U162">
        <v>2.9</v>
      </c>
      <c r="V162">
        <v>2</v>
      </c>
      <c r="W162">
        <v>3</v>
      </c>
      <c r="X162">
        <v>2.1</v>
      </c>
      <c r="Y162">
        <v>2</v>
      </c>
      <c r="Z162">
        <v>3.6</v>
      </c>
      <c r="AA162">
        <v>3.4</v>
      </c>
      <c r="AB162">
        <v>2</v>
      </c>
      <c r="AC162">
        <v>3.4</v>
      </c>
      <c r="AD162">
        <v>3.3</v>
      </c>
      <c r="AE162">
        <v>2</v>
      </c>
      <c r="AF162">
        <v>3.9</v>
      </c>
      <c r="AG162">
        <v>3.8</v>
      </c>
      <c r="AH162">
        <v>2</v>
      </c>
      <c r="AI162">
        <v>3.8</v>
      </c>
      <c r="AJ162">
        <v>3.8</v>
      </c>
      <c r="AK162">
        <v>2</v>
      </c>
      <c r="AL162">
        <v>5.2</v>
      </c>
      <c r="AM162">
        <v>4</v>
      </c>
      <c r="AN162">
        <v>4</v>
      </c>
      <c r="AO162">
        <v>4</v>
      </c>
      <c r="AP162">
        <v>3.3</v>
      </c>
      <c r="AQ162">
        <v>4</v>
      </c>
      <c r="AR162">
        <v>7.3</v>
      </c>
      <c r="AS162">
        <v>4</v>
      </c>
      <c r="AT162">
        <v>-4.7</v>
      </c>
      <c r="AU162">
        <v>-5.3</v>
      </c>
      <c r="AV162">
        <v>-5</v>
      </c>
      <c r="AW162">
        <v>-5.4</v>
      </c>
      <c r="AX162">
        <v>-6.3</v>
      </c>
      <c r="AY162">
        <v>-5</v>
      </c>
      <c r="AZ162">
        <v>11.2</v>
      </c>
      <c r="BA162">
        <v>10</v>
      </c>
      <c r="BB162">
        <v>10.4</v>
      </c>
      <c r="BC162">
        <v>10</v>
      </c>
      <c r="BD162">
        <v>4.5999999999999996</v>
      </c>
      <c r="BE162">
        <v>4</v>
      </c>
      <c r="BF162">
        <v>10.3</v>
      </c>
      <c r="BG162">
        <v>10</v>
      </c>
      <c r="BH162">
        <v>11.3</v>
      </c>
      <c r="BI162">
        <v>10</v>
      </c>
      <c r="BJ162">
        <v>10.3</v>
      </c>
      <c r="BK162">
        <v>9</v>
      </c>
      <c r="BL162">
        <v>19.100000000000001</v>
      </c>
      <c r="BM162">
        <v>19</v>
      </c>
      <c r="BN162">
        <v>23.1</v>
      </c>
      <c r="BO162">
        <v>19</v>
      </c>
      <c r="BP162">
        <v>20.7</v>
      </c>
      <c r="BQ162">
        <v>20</v>
      </c>
      <c r="BR162">
        <v>21.8</v>
      </c>
      <c r="BS162">
        <v>25</v>
      </c>
      <c r="BT162">
        <v>21.9</v>
      </c>
      <c r="BU162">
        <v>25</v>
      </c>
      <c r="BV162">
        <v>23.7</v>
      </c>
      <c r="BW162">
        <v>18</v>
      </c>
      <c r="BX162">
        <v>20</v>
      </c>
      <c r="BY162">
        <v>20</v>
      </c>
      <c r="BZ162">
        <v>21.9</v>
      </c>
      <c r="CA162">
        <v>20</v>
      </c>
      <c r="CB162">
        <v>10</v>
      </c>
      <c r="CC162">
        <v>10</v>
      </c>
      <c r="CD162">
        <v>11.2</v>
      </c>
      <c r="CE162">
        <v>10</v>
      </c>
      <c r="CF162">
        <v>11.5</v>
      </c>
      <c r="CG162">
        <v>9</v>
      </c>
      <c r="CH162">
        <v>11.7</v>
      </c>
      <c r="CI162">
        <v>9</v>
      </c>
    </row>
    <row r="163" spans="1:87" x14ac:dyDescent="0.35">
      <c r="A163" s="1">
        <v>46059.560416666667</v>
      </c>
      <c r="B163">
        <v>-22.2</v>
      </c>
      <c r="C163">
        <v>-19.399999999999999</v>
      </c>
      <c r="D163">
        <v>-25</v>
      </c>
      <c r="E163">
        <v>-21.6</v>
      </c>
      <c r="F163">
        <v>-24.1</v>
      </c>
      <c r="G163">
        <v>-25</v>
      </c>
      <c r="H163">
        <v>-17.899999999999999</v>
      </c>
      <c r="I163">
        <v>-15.6</v>
      </c>
      <c r="J163">
        <v>-25</v>
      </c>
      <c r="K163">
        <v>-17.3</v>
      </c>
      <c r="L163">
        <v>-18</v>
      </c>
      <c r="M163">
        <v>-25</v>
      </c>
      <c r="N163">
        <v>-20.2</v>
      </c>
      <c r="O163">
        <v>-20.3</v>
      </c>
      <c r="P163">
        <v>-25</v>
      </c>
      <c r="Q163">
        <v>-19.8</v>
      </c>
      <c r="R163">
        <v>-20.2</v>
      </c>
      <c r="S163">
        <v>-25</v>
      </c>
      <c r="T163">
        <v>3.1</v>
      </c>
      <c r="U163">
        <v>2.9</v>
      </c>
      <c r="V163">
        <v>2</v>
      </c>
      <c r="W163">
        <v>3</v>
      </c>
      <c r="X163">
        <v>2.2000000000000002</v>
      </c>
      <c r="Y163">
        <v>2</v>
      </c>
      <c r="Z163">
        <v>3.7</v>
      </c>
      <c r="AA163">
        <v>3.4</v>
      </c>
      <c r="AB163">
        <v>2</v>
      </c>
      <c r="AC163">
        <v>3.5</v>
      </c>
      <c r="AD163">
        <v>3.4</v>
      </c>
      <c r="AE163">
        <v>2</v>
      </c>
      <c r="AF163">
        <v>4.0999999999999996</v>
      </c>
      <c r="AG163">
        <v>4</v>
      </c>
      <c r="AH163">
        <v>2</v>
      </c>
      <c r="AI163">
        <v>4</v>
      </c>
      <c r="AJ163">
        <v>3.9</v>
      </c>
      <c r="AK163">
        <v>2</v>
      </c>
      <c r="AL163">
        <v>5.2</v>
      </c>
      <c r="AM163">
        <v>4</v>
      </c>
      <c r="AN163">
        <v>3.9</v>
      </c>
      <c r="AO163">
        <v>4</v>
      </c>
      <c r="AP163">
        <v>3.6</v>
      </c>
      <c r="AQ163">
        <v>4</v>
      </c>
      <c r="AR163">
        <v>7.3</v>
      </c>
      <c r="AS163">
        <v>4</v>
      </c>
      <c r="AT163">
        <v>-4.2</v>
      </c>
      <c r="AU163">
        <v>-4.5999999999999996</v>
      </c>
      <c r="AV163">
        <v>-5</v>
      </c>
      <c r="AW163">
        <v>-5.0999999999999996</v>
      </c>
      <c r="AX163">
        <v>-5.0999999999999996</v>
      </c>
      <c r="AY163">
        <v>-5</v>
      </c>
      <c r="AZ163">
        <v>11.3</v>
      </c>
      <c r="BA163">
        <v>10</v>
      </c>
      <c r="BB163">
        <v>10.4</v>
      </c>
      <c r="BC163">
        <v>10</v>
      </c>
      <c r="BD163">
        <v>4.9000000000000004</v>
      </c>
      <c r="BE163">
        <v>4</v>
      </c>
      <c r="BF163">
        <v>9.6999999999999993</v>
      </c>
      <c r="BG163">
        <v>10</v>
      </c>
      <c r="BH163">
        <v>11.3</v>
      </c>
      <c r="BI163">
        <v>10</v>
      </c>
      <c r="BJ163">
        <v>10.3</v>
      </c>
      <c r="BK163">
        <v>9</v>
      </c>
      <c r="BL163">
        <v>19.2</v>
      </c>
      <c r="BM163">
        <v>19</v>
      </c>
      <c r="BN163">
        <v>23.1</v>
      </c>
      <c r="BO163">
        <v>19</v>
      </c>
      <c r="BP163">
        <v>20.7</v>
      </c>
      <c r="BQ163">
        <v>20</v>
      </c>
      <c r="BR163">
        <v>21.8</v>
      </c>
      <c r="BS163">
        <v>25</v>
      </c>
      <c r="BT163">
        <v>21.9</v>
      </c>
      <c r="BU163">
        <v>25</v>
      </c>
      <c r="BV163">
        <v>23.7</v>
      </c>
      <c r="BW163">
        <v>18</v>
      </c>
      <c r="BX163">
        <v>20.2</v>
      </c>
      <c r="BY163">
        <v>20</v>
      </c>
      <c r="BZ163">
        <v>21.9</v>
      </c>
      <c r="CA163">
        <v>20</v>
      </c>
      <c r="CB163">
        <v>10.6</v>
      </c>
      <c r="CC163">
        <v>10</v>
      </c>
      <c r="CD163">
        <v>11.2</v>
      </c>
      <c r="CE163">
        <v>10</v>
      </c>
      <c r="CF163">
        <v>11.7</v>
      </c>
      <c r="CG163">
        <v>9</v>
      </c>
      <c r="CH163">
        <v>11.9</v>
      </c>
      <c r="CI163">
        <v>9</v>
      </c>
    </row>
    <row r="164" spans="1:87" x14ac:dyDescent="0.35">
      <c r="A164" s="1">
        <v>46059.561111111114</v>
      </c>
      <c r="B164">
        <v>-22.2</v>
      </c>
      <c r="C164">
        <v>-19.5</v>
      </c>
      <c r="D164">
        <v>-25</v>
      </c>
      <c r="E164">
        <v>-21.7</v>
      </c>
      <c r="F164">
        <v>-24.1</v>
      </c>
      <c r="G164">
        <v>-25</v>
      </c>
      <c r="H164">
        <v>-17.899999999999999</v>
      </c>
      <c r="I164">
        <v>-15.7</v>
      </c>
      <c r="J164">
        <v>-25</v>
      </c>
      <c r="K164">
        <v>-17.3</v>
      </c>
      <c r="L164">
        <v>-18</v>
      </c>
      <c r="M164">
        <v>-25</v>
      </c>
      <c r="N164">
        <v>-20.2</v>
      </c>
      <c r="O164">
        <v>-20.399999999999999</v>
      </c>
      <c r="P164">
        <v>-25</v>
      </c>
      <c r="Q164">
        <v>-19.899999999999999</v>
      </c>
      <c r="R164">
        <v>-20.2</v>
      </c>
      <c r="S164">
        <v>-25</v>
      </c>
      <c r="T164">
        <v>3.1</v>
      </c>
      <c r="U164">
        <v>2.9</v>
      </c>
      <c r="V164">
        <v>2</v>
      </c>
      <c r="W164">
        <v>3</v>
      </c>
      <c r="X164">
        <v>2.2000000000000002</v>
      </c>
      <c r="Y164">
        <v>2</v>
      </c>
      <c r="Z164">
        <v>3.7</v>
      </c>
      <c r="AA164">
        <v>3.5</v>
      </c>
      <c r="AB164">
        <v>2</v>
      </c>
      <c r="AC164">
        <v>3.5</v>
      </c>
      <c r="AD164">
        <v>3.4</v>
      </c>
      <c r="AE164">
        <v>2</v>
      </c>
      <c r="AF164">
        <v>4.2</v>
      </c>
      <c r="AG164">
        <v>4</v>
      </c>
      <c r="AH164">
        <v>2</v>
      </c>
      <c r="AI164">
        <v>4.0999999999999996</v>
      </c>
      <c r="AJ164">
        <v>4</v>
      </c>
      <c r="AK164">
        <v>2</v>
      </c>
      <c r="AL164">
        <v>5.2</v>
      </c>
      <c r="AM164">
        <v>4</v>
      </c>
      <c r="AN164">
        <v>3.8</v>
      </c>
      <c r="AO164">
        <v>4</v>
      </c>
      <c r="AP164">
        <v>3.9</v>
      </c>
      <c r="AQ164">
        <v>4</v>
      </c>
      <c r="AR164">
        <v>6.7</v>
      </c>
      <c r="AS164">
        <v>4</v>
      </c>
      <c r="AT164">
        <v>-3.7</v>
      </c>
      <c r="AU164">
        <v>-4</v>
      </c>
      <c r="AV164">
        <v>-5</v>
      </c>
      <c r="AW164">
        <v>-4.3</v>
      </c>
      <c r="AX164">
        <v>-4.2</v>
      </c>
      <c r="AY164">
        <v>-5</v>
      </c>
      <c r="AZ164">
        <v>11.4</v>
      </c>
      <c r="BA164">
        <v>10</v>
      </c>
      <c r="BB164">
        <v>10.199999999999999</v>
      </c>
      <c r="BC164">
        <v>10</v>
      </c>
      <c r="BD164">
        <v>5.0999999999999996</v>
      </c>
      <c r="BE164">
        <v>4</v>
      </c>
      <c r="BF164">
        <v>9.5</v>
      </c>
      <c r="BG164">
        <v>10</v>
      </c>
      <c r="BH164">
        <v>11.2</v>
      </c>
      <c r="BI164">
        <v>10</v>
      </c>
      <c r="BJ164">
        <v>10.4</v>
      </c>
      <c r="BK164">
        <v>9</v>
      </c>
      <c r="BL164">
        <v>19.2</v>
      </c>
      <c r="BM164">
        <v>19</v>
      </c>
      <c r="BN164">
        <v>23.1</v>
      </c>
      <c r="BO164">
        <v>19</v>
      </c>
      <c r="BP164">
        <v>20.7</v>
      </c>
      <c r="BQ164">
        <v>20</v>
      </c>
      <c r="BR164">
        <v>21.9</v>
      </c>
      <c r="BS164">
        <v>25</v>
      </c>
      <c r="BT164">
        <v>21.9</v>
      </c>
      <c r="BU164">
        <v>25</v>
      </c>
      <c r="BV164">
        <v>23.7</v>
      </c>
      <c r="BW164">
        <v>18</v>
      </c>
      <c r="BX164">
        <v>20.3</v>
      </c>
      <c r="BY164">
        <v>20</v>
      </c>
      <c r="BZ164">
        <v>21.9</v>
      </c>
      <c r="CA164">
        <v>20</v>
      </c>
      <c r="CB164">
        <v>11</v>
      </c>
      <c r="CC164">
        <v>10</v>
      </c>
      <c r="CD164">
        <v>11.2</v>
      </c>
      <c r="CE164">
        <v>10</v>
      </c>
      <c r="CF164">
        <v>11.7</v>
      </c>
      <c r="CG164">
        <v>9</v>
      </c>
      <c r="CH164">
        <v>11.9</v>
      </c>
      <c r="CI164">
        <v>9</v>
      </c>
    </row>
    <row r="165" spans="1:87" x14ac:dyDescent="0.35">
      <c r="A165" s="1">
        <v>46059.561805555553</v>
      </c>
      <c r="B165">
        <v>-22.3</v>
      </c>
      <c r="C165">
        <v>-19.600000000000001</v>
      </c>
      <c r="D165">
        <v>-25</v>
      </c>
      <c r="E165">
        <v>-21.8</v>
      </c>
      <c r="F165">
        <v>-23.4</v>
      </c>
      <c r="G165">
        <v>-25</v>
      </c>
      <c r="H165">
        <v>-18</v>
      </c>
      <c r="I165">
        <v>-15.7</v>
      </c>
      <c r="J165">
        <v>-25</v>
      </c>
      <c r="K165">
        <v>-17.399999999999999</v>
      </c>
      <c r="L165">
        <v>-18.100000000000001</v>
      </c>
      <c r="M165">
        <v>-25</v>
      </c>
      <c r="N165">
        <v>-20.2</v>
      </c>
      <c r="O165">
        <v>-20.399999999999999</v>
      </c>
      <c r="P165">
        <v>-25</v>
      </c>
      <c r="Q165">
        <v>-19.899999999999999</v>
      </c>
      <c r="R165">
        <v>-20.2</v>
      </c>
      <c r="S165">
        <v>-25</v>
      </c>
      <c r="T165">
        <v>3.1</v>
      </c>
      <c r="U165">
        <v>2.9</v>
      </c>
      <c r="V165">
        <v>2</v>
      </c>
      <c r="W165">
        <v>3</v>
      </c>
      <c r="X165">
        <v>1.2</v>
      </c>
      <c r="Y165">
        <v>2</v>
      </c>
      <c r="Z165">
        <v>3.8</v>
      </c>
      <c r="AA165">
        <v>3.6</v>
      </c>
      <c r="AB165">
        <v>2</v>
      </c>
      <c r="AC165">
        <v>3.6</v>
      </c>
      <c r="AD165">
        <v>3.5</v>
      </c>
      <c r="AE165">
        <v>2</v>
      </c>
      <c r="AF165">
        <v>4.2</v>
      </c>
      <c r="AG165">
        <v>4</v>
      </c>
      <c r="AH165">
        <v>2</v>
      </c>
      <c r="AI165">
        <v>4.0999999999999996</v>
      </c>
      <c r="AJ165">
        <v>3.5</v>
      </c>
      <c r="AK165">
        <v>2</v>
      </c>
      <c r="AL165">
        <v>5.2</v>
      </c>
      <c r="AM165">
        <v>4</v>
      </c>
      <c r="AN165">
        <v>3.8</v>
      </c>
      <c r="AO165">
        <v>4</v>
      </c>
      <c r="AP165">
        <v>4.0999999999999996</v>
      </c>
      <c r="AQ165">
        <v>4</v>
      </c>
      <c r="AR165">
        <v>6.1</v>
      </c>
      <c r="AS165">
        <v>4</v>
      </c>
      <c r="AT165">
        <v>-3.3</v>
      </c>
      <c r="AU165">
        <v>-3.6</v>
      </c>
      <c r="AV165">
        <v>-5</v>
      </c>
      <c r="AW165">
        <v>-3.8</v>
      </c>
      <c r="AX165">
        <v>-3.6</v>
      </c>
      <c r="AY165">
        <v>-5</v>
      </c>
      <c r="AZ165">
        <v>11.4</v>
      </c>
      <c r="BA165">
        <v>10</v>
      </c>
      <c r="BB165">
        <v>10.199999999999999</v>
      </c>
      <c r="BC165">
        <v>10</v>
      </c>
      <c r="BD165">
        <v>5.3</v>
      </c>
      <c r="BE165">
        <v>4</v>
      </c>
      <c r="BF165">
        <v>9.8000000000000007</v>
      </c>
      <c r="BG165">
        <v>10</v>
      </c>
      <c r="BH165">
        <v>11.2</v>
      </c>
      <c r="BI165">
        <v>10</v>
      </c>
      <c r="BJ165">
        <v>10.4</v>
      </c>
      <c r="BK165">
        <v>9</v>
      </c>
      <c r="BL165">
        <v>19.2</v>
      </c>
      <c r="BM165">
        <v>19</v>
      </c>
      <c r="BN165">
        <v>23.1</v>
      </c>
      <c r="BO165">
        <v>19</v>
      </c>
      <c r="BP165">
        <v>20.7</v>
      </c>
      <c r="BQ165">
        <v>20</v>
      </c>
      <c r="BR165">
        <v>21.9</v>
      </c>
      <c r="BS165">
        <v>25</v>
      </c>
      <c r="BT165">
        <v>21.9</v>
      </c>
      <c r="BU165">
        <v>25</v>
      </c>
      <c r="BV165">
        <v>23.7</v>
      </c>
      <c r="BW165">
        <v>18</v>
      </c>
      <c r="BX165">
        <v>20.399999999999999</v>
      </c>
      <c r="BY165">
        <v>20</v>
      </c>
      <c r="BZ165">
        <v>21.9</v>
      </c>
      <c r="CA165">
        <v>20</v>
      </c>
      <c r="CB165">
        <v>11.3</v>
      </c>
      <c r="CC165">
        <v>10</v>
      </c>
      <c r="CD165">
        <v>11.2</v>
      </c>
      <c r="CE165">
        <v>10</v>
      </c>
      <c r="CF165">
        <v>11.7</v>
      </c>
      <c r="CG165">
        <v>9</v>
      </c>
      <c r="CH165">
        <v>11.9</v>
      </c>
      <c r="CI165">
        <v>9</v>
      </c>
    </row>
    <row r="166" spans="1:87" x14ac:dyDescent="0.35">
      <c r="A166" s="1">
        <v>46059.5625</v>
      </c>
      <c r="B166">
        <v>-22.4</v>
      </c>
      <c r="C166">
        <v>-19.8</v>
      </c>
      <c r="D166">
        <v>-25</v>
      </c>
      <c r="E166">
        <v>-21.8</v>
      </c>
      <c r="F166">
        <v>-24.3</v>
      </c>
      <c r="G166">
        <v>-25</v>
      </c>
      <c r="H166">
        <v>-18</v>
      </c>
      <c r="I166">
        <v>-15.8</v>
      </c>
      <c r="J166">
        <v>-25</v>
      </c>
      <c r="K166">
        <v>-17.399999999999999</v>
      </c>
      <c r="L166">
        <v>-18.100000000000001</v>
      </c>
      <c r="M166">
        <v>-25</v>
      </c>
      <c r="N166">
        <v>-20.3</v>
      </c>
      <c r="O166">
        <v>-20.399999999999999</v>
      </c>
      <c r="P166">
        <v>-25</v>
      </c>
      <c r="Q166">
        <v>-20</v>
      </c>
      <c r="R166">
        <v>-20.3</v>
      </c>
      <c r="S166">
        <v>-25</v>
      </c>
      <c r="T166">
        <v>3</v>
      </c>
      <c r="U166">
        <v>2.6</v>
      </c>
      <c r="V166">
        <v>2</v>
      </c>
      <c r="W166">
        <v>2.8</v>
      </c>
      <c r="X166">
        <v>0</v>
      </c>
      <c r="Y166">
        <v>2</v>
      </c>
      <c r="Z166">
        <v>3.9</v>
      </c>
      <c r="AA166">
        <v>3.6</v>
      </c>
      <c r="AB166">
        <v>2</v>
      </c>
      <c r="AC166">
        <v>3.7</v>
      </c>
      <c r="AD166">
        <v>3.6</v>
      </c>
      <c r="AE166">
        <v>2</v>
      </c>
      <c r="AF166">
        <v>4.0999999999999996</v>
      </c>
      <c r="AG166">
        <v>3.7</v>
      </c>
      <c r="AH166">
        <v>2</v>
      </c>
      <c r="AI166">
        <v>4</v>
      </c>
      <c r="AJ166">
        <v>1.6</v>
      </c>
      <c r="AK166">
        <v>2</v>
      </c>
      <c r="AL166">
        <v>5.2</v>
      </c>
      <c r="AM166">
        <v>4</v>
      </c>
      <c r="AN166">
        <v>3.9</v>
      </c>
      <c r="AO166">
        <v>4</v>
      </c>
      <c r="AP166">
        <v>4.3</v>
      </c>
      <c r="AQ166">
        <v>4</v>
      </c>
      <c r="AR166">
        <v>5.7</v>
      </c>
      <c r="AS166">
        <v>4</v>
      </c>
      <c r="AT166">
        <v>-2.9</v>
      </c>
      <c r="AU166">
        <v>-3.2</v>
      </c>
      <c r="AV166">
        <v>-5</v>
      </c>
      <c r="AW166">
        <v>-3.4</v>
      </c>
      <c r="AX166">
        <v>-3.1</v>
      </c>
      <c r="AY166">
        <v>-5</v>
      </c>
      <c r="AZ166">
        <v>11.5</v>
      </c>
      <c r="BA166">
        <v>10</v>
      </c>
      <c r="BB166">
        <v>10.1</v>
      </c>
      <c r="BC166">
        <v>10</v>
      </c>
      <c r="BD166">
        <v>5.4</v>
      </c>
      <c r="BE166">
        <v>4</v>
      </c>
      <c r="BF166">
        <v>10</v>
      </c>
      <c r="BG166">
        <v>10</v>
      </c>
      <c r="BH166">
        <v>11.2</v>
      </c>
      <c r="BI166">
        <v>10</v>
      </c>
      <c r="BJ166">
        <v>10.5</v>
      </c>
      <c r="BK166">
        <v>9</v>
      </c>
      <c r="BL166">
        <v>19.3</v>
      </c>
      <c r="BM166">
        <v>19</v>
      </c>
      <c r="BN166">
        <v>23.1</v>
      </c>
      <c r="BO166">
        <v>19</v>
      </c>
      <c r="BP166">
        <v>20.8</v>
      </c>
      <c r="BQ166">
        <v>20</v>
      </c>
      <c r="BR166">
        <v>21.9</v>
      </c>
      <c r="BS166">
        <v>25</v>
      </c>
      <c r="BT166">
        <v>21.9</v>
      </c>
      <c r="BU166">
        <v>25</v>
      </c>
      <c r="BV166">
        <v>23.7</v>
      </c>
      <c r="BW166">
        <v>18</v>
      </c>
      <c r="BX166">
        <v>20.5</v>
      </c>
      <c r="BY166">
        <v>20</v>
      </c>
      <c r="BZ166">
        <v>21.9</v>
      </c>
      <c r="CA166">
        <v>20</v>
      </c>
      <c r="CB166">
        <v>11.7</v>
      </c>
      <c r="CC166">
        <v>10</v>
      </c>
      <c r="CD166">
        <v>11.2</v>
      </c>
      <c r="CE166">
        <v>10</v>
      </c>
      <c r="CF166">
        <v>11.5</v>
      </c>
      <c r="CG166">
        <v>9</v>
      </c>
      <c r="CH166">
        <v>11.7</v>
      </c>
      <c r="CI166">
        <v>9</v>
      </c>
    </row>
    <row r="167" spans="1:87" x14ac:dyDescent="0.35">
      <c r="A167" s="1">
        <v>46059.563194444447</v>
      </c>
      <c r="B167">
        <v>-22.5</v>
      </c>
      <c r="C167">
        <v>-19.899999999999999</v>
      </c>
      <c r="D167">
        <v>-25</v>
      </c>
      <c r="E167">
        <v>-21.9</v>
      </c>
      <c r="F167">
        <v>-24.4</v>
      </c>
      <c r="G167">
        <v>-25</v>
      </c>
      <c r="H167">
        <v>-18</v>
      </c>
      <c r="I167">
        <v>-15.8</v>
      </c>
      <c r="J167">
        <v>-25</v>
      </c>
      <c r="K167">
        <v>-17.399999999999999</v>
      </c>
      <c r="L167">
        <v>-18.100000000000001</v>
      </c>
      <c r="M167">
        <v>-25</v>
      </c>
      <c r="N167">
        <v>-20.3</v>
      </c>
      <c r="O167">
        <v>-20.399999999999999</v>
      </c>
      <c r="P167">
        <v>-25</v>
      </c>
      <c r="Q167">
        <v>-20</v>
      </c>
      <c r="R167">
        <v>-20.3</v>
      </c>
      <c r="S167">
        <v>-25</v>
      </c>
      <c r="T167">
        <v>2.7</v>
      </c>
      <c r="U167">
        <v>2.2999999999999998</v>
      </c>
      <c r="V167">
        <v>2</v>
      </c>
      <c r="W167">
        <v>2.5</v>
      </c>
      <c r="X167">
        <v>-0.5</v>
      </c>
      <c r="Y167">
        <v>2</v>
      </c>
      <c r="Z167">
        <v>3.9</v>
      </c>
      <c r="AA167">
        <v>3.7</v>
      </c>
      <c r="AB167">
        <v>2</v>
      </c>
      <c r="AC167">
        <v>3.7</v>
      </c>
      <c r="AD167">
        <v>3.6</v>
      </c>
      <c r="AE167">
        <v>2</v>
      </c>
      <c r="AF167">
        <v>3.7</v>
      </c>
      <c r="AG167">
        <v>3.2</v>
      </c>
      <c r="AH167">
        <v>2</v>
      </c>
      <c r="AI167">
        <v>3.5</v>
      </c>
      <c r="AJ167">
        <v>0.8</v>
      </c>
      <c r="AK167">
        <v>2</v>
      </c>
      <c r="AL167">
        <v>5.2</v>
      </c>
      <c r="AM167">
        <v>4</v>
      </c>
      <c r="AN167">
        <v>3.9</v>
      </c>
      <c r="AO167">
        <v>4</v>
      </c>
      <c r="AP167">
        <v>4.5</v>
      </c>
      <c r="AQ167">
        <v>4</v>
      </c>
      <c r="AR167">
        <v>5.2</v>
      </c>
      <c r="AS167">
        <v>4</v>
      </c>
      <c r="AT167">
        <v>-3</v>
      </c>
      <c r="AU167">
        <v>-4.7</v>
      </c>
      <c r="AV167">
        <v>-5</v>
      </c>
      <c r="AW167">
        <v>-2.9</v>
      </c>
      <c r="AX167">
        <v>-2.7</v>
      </c>
      <c r="AY167">
        <v>-5</v>
      </c>
      <c r="AZ167">
        <v>11.6</v>
      </c>
      <c r="BA167">
        <v>10</v>
      </c>
      <c r="BB167">
        <v>10.1</v>
      </c>
      <c r="BC167">
        <v>10</v>
      </c>
      <c r="BD167">
        <v>5.6</v>
      </c>
      <c r="BE167">
        <v>4</v>
      </c>
      <c r="BF167">
        <v>10.4</v>
      </c>
      <c r="BG167">
        <v>10</v>
      </c>
      <c r="BH167">
        <v>11.2</v>
      </c>
      <c r="BI167">
        <v>10</v>
      </c>
      <c r="BJ167">
        <v>10.5</v>
      </c>
      <c r="BK167">
        <v>9</v>
      </c>
      <c r="BL167">
        <v>19.3</v>
      </c>
      <c r="BM167">
        <v>19</v>
      </c>
      <c r="BN167">
        <v>23.1</v>
      </c>
      <c r="BO167">
        <v>19</v>
      </c>
      <c r="BP167">
        <v>20.8</v>
      </c>
      <c r="BQ167">
        <v>20</v>
      </c>
      <c r="BR167">
        <v>21.9</v>
      </c>
      <c r="BS167">
        <v>25</v>
      </c>
      <c r="BT167">
        <v>21.9</v>
      </c>
      <c r="BU167">
        <v>25</v>
      </c>
      <c r="BV167">
        <v>23.7</v>
      </c>
      <c r="BW167">
        <v>18</v>
      </c>
      <c r="BX167">
        <v>20.6</v>
      </c>
      <c r="BY167">
        <v>20</v>
      </c>
      <c r="BZ167">
        <v>21.9</v>
      </c>
      <c r="CA167">
        <v>20</v>
      </c>
      <c r="CB167">
        <v>12</v>
      </c>
      <c r="CC167">
        <v>10</v>
      </c>
      <c r="CD167">
        <v>11.2</v>
      </c>
      <c r="CE167">
        <v>10</v>
      </c>
      <c r="CF167">
        <v>11.5</v>
      </c>
      <c r="CG167">
        <v>9</v>
      </c>
      <c r="CH167">
        <v>11.7</v>
      </c>
      <c r="CI167">
        <v>9</v>
      </c>
    </row>
    <row r="168" spans="1:87" x14ac:dyDescent="0.35">
      <c r="A168" s="1">
        <v>46059.563888888886</v>
      </c>
      <c r="B168">
        <v>-22.6</v>
      </c>
      <c r="C168">
        <v>-20.100000000000001</v>
      </c>
      <c r="D168">
        <v>-25</v>
      </c>
      <c r="E168">
        <v>-22</v>
      </c>
      <c r="F168">
        <v>-24.5</v>
      </c>
      <c r="G168">
        <v>-25</v>
      </c>
      <c r="H168">
        <v>-18</v>
      </c>
      <c r="I168">
        <v>-15.8</v>
      </c>
      <c r="J168">
        <v>-25</v>
      </c>
      <c r="K168">
        <v>-17.399999999999999</v>
      </c>
      <c r="L168">
        <v>-18.100000000000001</v>
      </c>
      <c r="M168">
        <v>-25</v>
      </c>
      <c r="N168">
        <v>-20.3</v>
      </c>
      <c r="O168">
        <v>-20.5</v>
      </c>
      <c r="P168">
        <v>-25</v>
      </c>
      <c r="Q168">
        <v>-20</v>
      </c>
      <c r="R168">
        <v>-20.3</v>
      </c>
      <c r="S168">
        <v>-25</v>
      </c>
      <c r="T168">
        <v>2.5</v>
      </c>
      <c r="U168">
        <v>2</v>
      </c>
      <c r="V168">
        <v>2</v>
      </c>
      <c r="W168">
        <v>2.2000000000000002</v>
      </c>
      <c r="X168">
        <v>-0.9</v>
      </c>
      <c r="Y168">
        <v>2</v>
      </c>
      <c r="Z168">
        <v>4</v>
      </c>
      <c r="AA168">
        <v>3.7</v>
      </c>
      <c r="AB168">
        <v>2</v>
      </c>
      <c r="AC168">
        <v>3.8</v>
      </c>
      <c r="AD168">
        <v>3.7</v>
      </c>
      <c r="AE168">
        <v>2</v>
      </c>
      <c r="AF168">
        <v>3.4</v>
      </c>
      <c r="AG168">
        <v>2.9</v>
      </c>
      <c r="AH168">
        <v>2</v>
      </c>
      <c r="AI168">
        <v>3.2</v>
      </c>
      <c r="AJ168">
        <v>0.2</v>
      </c>
      <c r="AK168">
        <v>2</v>
      </c>
      <c r="AL168">
        <v>5.2</v>
      </c>
      <c r="AM168">
        <v>4</v>
      </c>
      <c r="AN168">
        <v>4</v>
      </c>
      <c r="AO168">
        <v>4</v>
      </c>
      <c r="AP168">
        <v>4.7</v>
      </c>
      <c r="AQ168">
        <v>4</v>
      </c>
      <c r="AR168">
        <v>4.7</v>
      </c>
      <c r="AS168">
        <v>4</v>
      </c>
      <c r="AT168">
        <v>-3.3</v>
      </c>
      <c r="AU168">
        <v>-5.2</v>
      </c>
      <c r="AV168">
        <v>-5</v>
      </c>
      <c r="AW168">
        <v>-2.7</v>
      </c>
      <c r="AX168">
        <v>-2.6</v>
      </c>
      <c r="AY168">
        <v>-5</v>
      </c>
      <c r="AZ168">
        <v>11.7</v>
      </c>
      <c r="BA168">
        <v>10</v>
      </c>
      <c r="BB168">
        <v>10.1</v>
      </c>
      <c r="BC168">
        <v>10</v>
      </c>
      <c r="BD168">
        <v>5.8</v>
      </c>
      <c r="BE168">
        <v>4</v>
      </c>
      <c r="BF168">
        <v>10.9</v>
      </c>
      <c r="BG168">
        <v>10</v>
      </c>
      <c r="BH168">
        <v>11.2</v>
      </c>
      <c r="BI168">
        <v>10</v>
      </c>
      <c r="BJ168">
        <v>10.5</v>
      </c>
      <c r="BK168">
        <v>9</v>
      </c>
      <c r="BL168">
        <v>19.3</v>
      </c>
      <c r="BM168">
        <v>19</v>
      </c>
      <c r="BN168">
        <v>23.1</v>
      </c>
      <c r="BO168">
        <v>19</v>
      </c>
      <c r="BP168">
        <v>20.8</v>
      </c>
      <c r="BQ168">
        <v>20</v>
      </c>
      <c r="BR168">
        <v>21.9</v>
      </c>
      <c r="BS168">
        <v>25</v>
      </c>
      <c r="BT168">
        <v>21.9</v>
      </c>
      <c r="BU168">
        <v>25</v>
      </c>
      <c r="BV168">
        <v>23.7</v>
      </c>
      <c r="BW168">
        <v>18</v>
      </c>
      <c r="BX168">
        <v>20.7</v>
      </c>
      <c r="BY168">
        <v>20</v>
      </c>
      <c r="BZ168">
        <v>22</v>
      </c>
      <c r="CA168">
        <v>20</v>
      </c>
      <c r="CB168">
        <v>12</v>
      </c>
      <c r="CC168">
        <v>10</v>
      </c>
      <c r="CD168">
        <v>11.2</v>
      </c>
      <c r="CE168">
        <v>10</v>
      </c>
      <c r="CF168">
        <v>11.5</v>
      </c>
      <c r="CG168">
        <v>9</v>
      </c>
      <c r="CH168">
        <v>11.8</v>
      </c>
      <c r="CI168">
        <v>9</v>
      </c>
    </row>
    <row r="169" spans="1:87" x14ac:dyDescent="0.35">
      <c r="A169" s="1">
        <v>46059.564583333333</v>
      </c>
      <c r="B169">
        <v>-22.6</v>
      </c>
      <c r="C169">
        <v>-20.2</v>
      </c>
      <c r="D169">
        <v>-25</v>
      </c>
      <c r="E169">
        <v>-22.1</v>
      </c>
      <c r="F169">
        <v>-23.8</v>
      </c>
      <c r="G169">
        <v>-25</v>
      </c>
      <c r="H169">
        <v>-18</v>
      </c>
      <c r="I169">
        <v>-15.8</v>
      </c>
      <c r="J169">
        <v>-25</v>
      </c>
      <c r="K169">
        <v>-17.399999999999999</v>
      </c>
      <c r="L169">
        <v>-18.2</v>
      </c>
      <c r="M169">
        <v>-25</v>
      </c>
      <c r="N169">
        <v>-20.399999999999999</v>
      </c>
      <c r="O169">
        <v>-20.5</v>
      </c>
      <c r="P169">
        <v>-25</v>
      </c>
      <c r="Q169">
        <v>-20.100000000000001</v>
      </c>
      <c r="R169">
        <v>-20.399999999999999</v>
      </c>
      <c r="S169">
        <v>-25</v>
      </c>
      <c r="T169">
        <v>2.2999999999999998</v>
      </c>
      <c r="U169">
        <v>1.8</v>
      </c>
      <c r="V169">
        <v>2</v>
      </c>
      <c r="W169">
        <v>2</v>
      </c>
      <c r="X169">
        <v>-1.3</v>
      </c>
      <c r="Y169">
        <v>2</v>
      </c>
      <c r="Z169">
        <v>4</v>
      </c>
      <c r="AA169">
        <v>3.8</v>
      </c>
      <c r="AB169">
        <v>2</v>
      </c>
      <c r="AC169">
        <v>3.9</v>
      </c>
      <c r="AD169">
        <v>3.8</v>
      </c>
      <c r="AE169">
        <v>2</v>
      </c>
      <c r="AF169">
        <v>3.1</v>
      </c>
      <c r="AG169">
        <v>2.6</v>
      </c>
      <c r="AH169">
        <v>2</v>
      </c>
      <c r="AI169">
        <v>2.9</v>
      </c>
      <c r="AJ169">
        <v>-0.3</v>
      </c>
      <c r="AK169">
        <v>2</v>
      </c>
      <c r="AL169">
        <v>5.2</v>
      </c>
      <c r="AM169">
        <v>4</v>
      </c>
      <c r="AN169">
        <v>4.0999999999999996</v>
      </c>
      <c r="AO169">
        <v>4</v>
      </c>
      <c r="AP169">
        <v>4.9000000000000004</v>
      </c>
      <c r="AQ169">
        <v>4</v>
      </c>
      <c r="AR169">
        <v>4.0999999999999996</v>
      </c>
      <c r="AS169">
        <v>4</v>
      </c>
      <c r="AT169">
        <v>-3.6</v>
      </c>
      <c r="AU169">
        <v>-5.0999999999999996</v>
      </c>
      <c r="AV169">
        <v>-5</v>
      </c>
      <c r="AW169">
        <v>-2.5</v>
      </c>
      <c r="AX169">
        <v>-2.2999999999999998</v>
      </c>
      <c r="AY169">
        <v>-5</v>
      </c>
      <c r="AZ169">
        <v>11.8</v>
      </c>
      <c r="BA169">
        <v>10</v>
      </c>
      <c r="BB169">
        <v>10</v>
      </c>
      <c r="BC169">
        <v>10</v>
      </c>
      <c r="BD169">
        <v>5.9</v>
      </c>
      <c r="BE169">
        <v>4</v>
      </c>
      <c r="BF169">
        <v>11.2</v>
      </c>
      <c r="BG169">
        <v>10</v>
      </c>
      <c r="BH169">
        <v>11.2</v>
      </c>
      <c r="BI169">
        <v>10</v>
      </c>
      <c r="BJ169">
        <v>10.5</v>
      </c>
      <c r="BK169">
        <v>9</v>
      </c>
      <c r="BL169">
        <v>19.399999999999999</v>
      </c>
      <c r="BM169">
        <v>19</v>
      </c>
      <c r="BN169">
        <v>23.1</v>
      </c>
      <c r="BO169">
        <v>19</v>
      </c>
      <c r="BP169">
        <v>20.8</v>
      </c>
      <c r="BQ169">
        <v>20</v>
      </c>
      <c r="BR169">
        <v>21.9</v>
      </c>
      <c r="BS169">
        <v>25</v>
      </c>
      <c r="BT169">
        <v>21.9</v>
      </c>
      <c r="BU169">
        <v>25</v>
      </c>
      <c r="BV169">
        <v>23.7</v>
      </c>
      <c r="BW169">
        <v>18</v>
      </c>
      <c r="BX169">
        <v>20.8</v>
      </c>
      <c r="BY169">
        <v>20</v>
      </c>
      <c r="BZ169">
        <v>21.2</v>
      </c>
      <c r="CA169">
        <v>20</v>
      </c>
      <c r="CB169">
        <v>12</v>
      </c>
      <c r="CC169">
        <v>10</v>
      </c>
      <c r="CD169">
        <v>11.2</v>
      </c>
      <c r="CE169">
        <v>10</v>
      </c>
      <c r="CF169">
        <v>11.5</v>
      </c>
      <c r="CG169">
        <v>9</v>
      </c>
      <c r="CH169">
        <v>11.8</v>
      </c>
      <c r="CI169">
        <v>9</v>
      </c>
    </row>
    <row r="170" spans="1:87" x14ac:dyDescent="0.35">
      <c r="A170" s="1">
        <v>46059.56527777778</v>
      </c>
      <c r="B170">
        <v>-22.7</v>
      </c>
      <c r="C170">
        <v>-20.399999999999999</v>
      </c>
      <c r="D170">
        <v>-25</v>
      </c>
      <c r="E170">
        <v>-22.1</v>
      </c>
      <c r="F170">
        <v>-23.7</v>
      </c>
      <c r="G170">
        <v>-25</v>
      </c>
      <c r="H170">
        <v>-18</v>
      </c>
      <c r="I170">
        <v>-15.8</v>
      </c>
      <c r="J170">
        <v>-25</v>
      </c>
      <c r="K170">
        <v>-17.5</v>
      </c>
      <c r="L170">
        <v>-18.2</v>
      </c>
      <c r="M170">
        <v>-25</v>
      </c>
      <c r="N170">
        <v>-20.399999999999999</v>
      </c>
      <c r="O170">
        <v>-20.6</v>
      </c>
      <c r="P170">
        <v>-25</v>
      </c>
      <c r="Q170">
        <v>-20.100000000000001</v>
      </c>
      <c r="R170">
        <v>-20.5</v>
      </c>
      <c r="S170">
        <v>-25</v>
      </c>
      <c r="T170">
        <v>2.2000000000000002</v>
      </c>
      <c r="U170">
        <v>1.7</v>
      </c>
      <c r="V170">
        <v>2</v>
      </c>
      <c r="W170">
        <v>1.9</v>
      </c>
      <c r="X170">
        <v>0.3</v>
      </c>
      <c r="Y170">
        <v>2</v>
      </c>
      <c r="Z170">
        <v>4.0999999999999996</v>
      </c>
      <c r="AA170">
        <v>3.9</v>
      </c>
      <c r="AB170">
        <v>2</v>
      </c>
      <c r="AC170">
        <v>3.9</v>
      </c>
      <c r="AD170">
        <v>3.8</v>
      </c>
      <c r="AE170">
        <v>2</v>
      </c>
      <c r="AF170">
        <v>2.8</v>
      </c>
      <c r="AG170">
        <v>2.2999999999999998</v>
      </c>
      <c r="AH170">
        <v>2</v>
      </c>
      <c r="AI170">
        <v>2.6</v>
      </c>
      <c r="AJ170">
        <v>0.2</v>
      </c>
      <c r="AK170">
        <v>2</v>
      </c>
      <c r="AL170">
        <v>5.2</v>
      </c>
      <c r="AM170">
        <v>4</v>
      </c>
      <c r="AN170">
        <v>4.2</v>
      </c>
      <c r="AO170">
        <v>4</v>
      </c>
      <c r="AP170">
        <v>5.0999999999999996</v>
      </c>
      <c r="AQ170">
        <v>4</v>
      </c>
      <c r="AR170">
        <v>3.7</v>
      </c>
      <c r="AS170">
        <v>4</v>
      </c>
      <c r="AT170">
        <v>-3.8</v>
      </c>
      <c r="AU170">
        <v>-5.9</v>
      </c>
      <c r="AV170">
        <v>-5</v>
      </c>
      <c r="AW170">
        <v>-2.2000000000000002</v>
      </c>
      <c r="AX170">
        <v>-2</v>
      </c>
      <c r="AY170">
        <v>-5</v>
      </c>
      <c r="AZ170">
        <v>11.8</v>
      </c>
      <c r="BA170">
        <v>10</v>
      </c>
      <c r="BB170">
        <v>10</v>
      </c>
      <c r="BC170">
        <v>10</v>
      </c>
      <c r="BD170">
        <v>6</v>
      </c>
      <c r="BE170">
        <v>4</v>
      </c>
      <c r="BF170">
        <v>11.4</v>
      </c>
      <c r="BG170">
        <v>10</v>
      </c>
      <c r="BH170">
        <v>11.2</v>
      </c>
      <c r="BI170">
        <v>10</v>
      </c>
      <c r="BJ170">
        <v>10.5</v>
      </c>
      <c r="BK170">
        <v>9</v>
      </c>
      <c r="BL170">
        <v>19.399999999999999</v>
      </c>
      <c r="BM170">
        <v>19</v>
      </c>
      <c r="BN170">
        <v>23.1</v>
      </c>
      <c r="BO170">
        <v>19</v>
      </c>
      <c r="BP170">
        <v>20.8</v>
      </c>
      <c r="BQ170">
        <v>20</v>
      </c>
      <c r="BR170">
        <v>21.9</v>
      </c>
      <c r="BS170">
        <v>25</v>
      </c>
      <c r="BT170">
        <v>21.9</v>
      </c>
      <c r="BU170">
        <v>25</v>
      </c>
      <c r="BV170">
        <v>23.7</v>
      </c>
      <c r="BW170">
        <v>18</v>
      </c>
      <c r="BX170">
        <v>20.8</v>
      </c>
      <c r="BY170">
        <v>20</v>
      </c>
      <c r="BZ170">
        <v>19.399999999999999</v>
      </c>
      <c r="CA170">
        <v>20</v>
      </c>
      <c r="CB170">
        <v>11.7</v>
      </c>
      <c r="CC170">
        <v>10</v>
      </c>
      <c r="CD170">
        <v>11.2</v>
      </c>
      <c r="CE170">
        <v>10</v>
      </c>
      <c r="CF170">
        <v>11.6</v>
      </c>
      <c r="CG170">
        <v>9</v>
      </c>
      <c r="CH170">
        <v>11.8</v>
      </c>
      <c r="CI170">
        <v>9</v>
      </c>
    </row>
    <row r="171" spans="1:87" x14ac:dyDescent="0.35">
      <c r="A171" s="1">
        <v>46059.565972222219</v>
      </c>
      <c r="B171">
        <v>-22.7</v>
      </c>
      <c r="C171">
        <v>-20.5</v>
      </c>
      <c r="D171">
        <v>-25</v>
      </c>
      <c r="E171">
        <v>-22.2</v>
      </c>
      <c r="F171">
        <v>-23.5</v>
      </c>
      <c r="G171">
        <v>-25</v>
      </c>
      <c r="H171">
        <v>-18</v>
      </c>
      <c r="I171">
        <v>-15.9</v>
      </c>
      <c r="J171">
        <v>-25</v>
      </c>
      <c r="K171">
        <v>-17.5</v>
      </c>
      <c r="L171">
        <v>-18.3</v>
      </c>
      <c r="M171">
        <v>-25</v>
      </c>
      <c r="N171">
        <v>-20.5</v>
      </c>
      <c r="O171">
        <v>-20.6</v>
      </c>
      <c r="P171">
        <v>-25</v>
      </c>
      <c r="Q171">
        <v>-20.2</v>
      </c>
      <c r="R171">
        <v>-20.5</v>
      </c>
      <c r="S171">
        <v>-25</v>
      </c>
      <c r="T171">
        <v>2.2000000000000002</v>
      </c>
      <c r="U171">
        <v>1.9</v>
      </c>
      <c r="V171">
        <v>2</v>
      </c>
      <c r="W171">
        <v>1.9</v>
      </c>
      <c r="X171">
        <v>0.9</v>
      </c>
      <c r="Y171">
        <v>2</v>
      </c>
      <c r="Z171">
        <v>4.2</v>
      </c>
      <c r="AA171">
        <v>3.9</v>
      </c>
      <c r="AB171">
        <v>2</v>
      </c>
      <c r="AC171">
        <v>4</v>
      </c>
      <c r="AD171">
        <v>3.9</v>
      </c>
      <c r="AE171">
        <v>2</v>
      </c>
      <c r="AF171">
        <v>2.7</v>
      </c>
      <c r="AG171">
        <v>2.2000000000000002</v>
      </c>
      <c r="AH171">
        <v>2</v>
      </c>
      <c r="AI171">
        <v>2.6</v>
      </c>
      <c r="AJ171">
        <v>0.7</v>
      </c>
      <c r="AK171">
        <v>2</v>
      </c>
      <c r="AL171">
        <v>5.2</v>
      </c>
      <c r="AM171">
        <v>4</v>
      </c>
      <c r="AN171">
        <v>4.3</v>
      </c>
      <c r="AO171">
        <v>4</v>
      </c>
      <c r="AP171">
        <v>5.3</v>
      </c>
      <c r="AQ171">
        <v>4</v>
      </c>
      <c r="AR171">
        <v>3.6</v>
      </c>
      <c r="AS171">
        <v>4</v>
      </c>
      <c r="AT171">
        <v>-4</v>
      </c>
      <c r="AU171">
        <v>-6.2</v>
      </c>
      <c r="AV171">
        <v>-5</v>
      </c>
      <c r="AW171">
        <v>-2</v>
      </c>
      <c r="AX171">
        <v>-1.8</v>
      </c>
      <c r="AY171">
        <v>-5</v>
      </c>
      <c r="AZ171">
        <v>11.9</v>
      </c>
      <c r="BA171">
        <v>10</v>
      </c>
      <c r="BB171">
        <v>10.3</v>
      </c>
      <c r="BC171">
        <v>10</v>
      </c>
      <c r="BD171">
        <v>5.8</v>
      </c>
      <c r="BE171">
        <v>4</v>
      </c>
      <c r="BF171">
        <v>11.7</v>
      </c>
      <c r="BG171">
        <v>10</v>
      </c>
      <c r="BH171">
        <v>11.2</v>
      </c>
      <c r="BI171">
        <v>10</v>
      </c>
      <c r="BJ171">
        <v>10.5</v>
      </c>
      <c r="BK171">
        <v>9</v>
      </c>
      <c r="BL171">
        <v>19.399999999999999</v>
      </c>
      <c r="BM171">
        <v>19</v>
      </c>
      <c r="BN171">
        <v>23.1</v>
      </c>
      <c r="BO171">
        <v>19</v>
      </c>
      <c r="BP171">
        <v>20.9</v>
      </c>
      <c r="BQ171">
        <v>20</v>
      </c>
      <c r="BR171">
        <v>21.9</v>
      </c>
      <c r="BS171">
        <v>25</v>
      </c>
      <c r="BT171">
        <v>21.9</v>
      </c>
      <c r="BU171">
        <v>25</v>
      </c>
      <c r="BV171">
        <v>23.7</v>
      </c>
      <c r="BW171">
        <v>18</v>
      </c>
      <c r="BX171">
        <v>20.9</v>
      </c>
      <c r="BY171">
        <v>20</v>
      </c>
      <c r="BZ171">
        <v>19</v>
      </c>
      <c r="CA171">
        <v>20</v>
      </c>
      <c r="CB171">
        <v>11.5</v>
      </c>
      <c r="CC171">
        <v>10</v>
      </c>
      <c r="CD171">
        <v>11.2</v>
      </c>
      <c r="CE171">
        <v>10</v>
      </c>
      <c r="CF171">
        <v>11.8</v>
      </c>
      <c r="CG171">
        <v>9</v>
      </c>
      <c r="CH171">
        <v>12</v>
      </c>
      <c r="CI171">
        <v>9</v>
      </c>
    </row>
    <row r="172" spans="1:87" x14ac:dyDescent="0.35">
      <c r="A172" s="1">
        <v>46059.567361111112</v>
      </c>
      <c r="B172">
        <v>-22.7</v>
      </c>
      <c r="C172">
        <v>-20.6</v>
      </c>
      <c r="D172">
        <v>-25</v>
      </c>
      <c r="E172">
        <v>-22.2</v>
      </c>
      <c r="F172">
        <v>-23.3</v>
      </c>
      <c r="G172">
        <v>-25</v>
      </c>
      <c r="H172">
        <v>-18.100000000000001</v>
      </c>
      <c r="I172">
        <v>-15.9</v>
      </c>
      <c r="J172">
        <v>-25</v>
      </c>
      <c r="K172">
        <v>-17.600000000000001</v>
      </c>
      <c r="L172">
        <v>-18.3</v>
      </c>
      <c r="M172">
        <v>-25</v>
      </c>
      <c r="N172">
        <v>-20.5</v>
      </c>
      <c r="O172">
        <v>-20.7</v>
      </c>
      <c r="P172">
        <v>-25</v>
      </c>
      <c r="Q172">
        <v>-20.2</v>
      </c>
      <c r="R172">
        <v>-20.6</v>
      </c>
      <c r="S172">
        <v>-25</v>
      </c>
      <c r="T172">
        <v>2.2999999999999998</v>
      </c>
      <c r="U172">
        <v>2.1</v>
      </c>
      <c r="V172">
        <v>2</v>
      </c>
      <c r="W172">
        <v>2.1</v>
      </c>
      <c r="X172">
        <v>1.4</v>
      </c>
      <c r="Y172">
        <v>2</v>
      </c>
      <c r="Z172">
        <v>4.0999999999999996</v>
      </c>
      <c r="AA172">
        <v>3.5</v>
      </c>
      <c r="AB172">
        <v>2</v>
      </c>
      <c r="AC172">
        <v>3.7</v>
      </c>
      <c r="AD172">
        <v>2.2000000000000002</v>
      </c>
      <c r="AE172">
        <v>2</v>
      </c>
      <c r="AF172">
        <v>2.4</v>
      </c>
      <c r="AG172">
        <v>2</v>
      </c>
      <c r="AH172">
        <v>2</v>
      </c>
      <c r="AI172">
        <v>2.2999999999999998</v>
      </c>
      <c r="AJ172">
        <v>-0.7</v>
      </c>
      <c r="AK172">
        <v>2</v>
      </c>
      <c r="AL172">
        <v>5.2</v>
      </c>
      <c r="AM172">
        <v>4</v>
      </c>
      <c r="AN172">
        <v>4.4000000000000004</v>
      </c>
      <c r="AO172">
        <v>4</v>
      </c>
      <c r="AP172">
        <v>5.5</v>
      </c>
      <c r="AQ172">
        <v>4</v>
      </c>
      <c r="AR172">
        <v>4.0999999999999996</v>
      </c>
      <c r="AS172">
        <v>4</v>
      </c>
      <c r="AT172">
        <v>-4.5</v>
      </c>
      <c r="AU172">
        <v>-6.3</v>
      </c>
      <c r="AV172">
        <v>-5</v>
      </c>
      <c r="AW172">
        <v>-2.9</v>
      </c>
      <c r="AX172">
        <v>-4.8</v>
      </c>
      <c r="AY172">
        <v>-5</v>
      </c>
      <c r="AZ172">
        <v>11.8</v>
      </c>
      <c r="BA172">
        <v>10</v>
      </c>
      <c r="BB172">
        <v>10.7</v>
      </c>
      <c r="BC172">
        <v>10</v>
      </c>
      <c r="BD172">
        <v>5.2</v>
      </c>
      <c r="BE172">
        <v>4</v>
      </c>
      <c r="BF172">
        <v>12.3</v>
      </c>
      <c r="BG172">
        <v>10</v>
      </c>
      <c r="BH172">
        <v>11.2</v>
      </c>
      <c r="BI172">
        <v>10</v>
      </c>
      <c r="BJ172">
        <v>10.5</v>
      </c>
      <c r="BK172">
        <v>9</v>
      </c>
      <c r="BL172">
        <v>19.5</v>
      </c>
      <c r="BM172">
        <v>19</v>
      </c>
      <c r="BN172">
        <v>23.1</v>
      </c>
      <c r="BO172">
        <v>19</v>
      </c>
      <c r="BP172">
        <v>20.9</v>
      </c>
      <c r="BQ172">
        <v>20</v>
      </c>
      <c r="BR172">
        <v>21.9</v>
      </c>
      <c r="BS172">
        <v>25</v>
      </c>
      <c r="BT172">
        <v>21.9</v>
      </c>
      <c r="BU172">
        <v>25</v>
      </c>
      <c r="BV172">
        <v>23.7</v>
      </c>
      <c r="BW172">
        <v>18</v>
      </c>
      <c r="BX172">
        <v>21</v>
      </c>
      <c r="BY172">
        <v>20</v>
      </c>
      <c r="BZ172">
        <v>19.5</v>
      </c>
      <c r="CA172">
        <v>20</v>
      </c>
      <c r="CB172">
        <v>11.1</v>
      </c>
      <c r="CC172">
        <v>10</v>
      </c>
      <c r="CD172">
        <v>11.3</v>
      </c>
      <c r="CE172">
        <v>10</v>
      </c>
      <c r="CF172">
        <v>11.7</v>
      </c>
      <c r="CG172">
        <v>9</v>
      </c>
      <c r="CH172">
        <v>11.9</v>
      </c>
      <c r="CI172">
        <v>9</v>
      </c>
    </row>
    <row r="173" spans="1:87" x14ac:dyDescent="0.35">
      <c r="A173" s="1">
        <v>46059.568055555559</v>
      </c>
      <c r="B173">
        <v>-22.7</v>
      </c>
      <c r="C173">
        <v>-20.7</v>
      </c>
      <c r="D173">
        <v>-25</v>
      </c>
      <c r="E173">
        <v>-22.2</v>
      </c>
      <c r="F173">
        <v>-24.1</v>
      </c>
      <c r="G173">
        <v>-25</v>
      </c>
      <c r="H173">
        <v>-18.100000000000001</v>
      </c>
      <c r="I173">
        <v>-16</v>
      </c>
      <c r="J173">
        <v>-25</v>
      </c>
      <c r="K173">
        <v>-17.600000000000001</v>
      </c>
      <c r="L173">
        <v>-18.3</v>
      </c>
      <c r="M173">
        <v>-25</v>
      </c>
      <c r="N173">
        <v>-20.6</v>
      </c>
      <c r="O173">
        <v>-20.7</v>
      </c>
      <c r="P173">
        <v>-25</v>
      </c>
      <c r="Q173">
        <v>-20.3</v>
      </c>
      <c r="R173">
        <v>-20.6</v>
      </c>
      <c r="S173">
        <v>-25</v>
      </c>
      <c r="T173">
        <v>2.4</v>
      </c>
      <c r="U173">
        <v>2.2000000000000002</v>
      </c>
      <c r="V173">
        <v>2</v>
      </c>
      <c r="W173">
        <v>2.2000000000000002</v>
      </c>
      <c r="X173">
        <v>1.6</v>
      </c>
      <c r="Y173">
        <v>2</v>
      </c>
      <c r="Z173">
        <v>3.9</v>
      </c>
      <c r="AA173">
        <v>3.2</v>
      </c>
      <c r="AB173">
        <v>2</v>
      </c>
      <c r="AC173">
        <v>3.4</v>
      </c>
      <c r="AD173">
        <v>1.6</v>
      </c>
      <c r="AE173">
        <v>2</v>
      </c>
      <c r="AF173">
        <v>2.2000000000000002</v>
      </c>
      <c r="AG173">
        <v>1.8</v>
      </c>
      <c r="AH173">
        <v>2</v>
      </c>
      <c r="AI173">
        <v>2.1</v>
      </c>
      <c r="AJ173">
        <v>-1</v>
      </c>
      <c r="AK173">
        <v>2</v>
      </c>
      <c r="AL173">
        <v>5.2</v>
      </c>
      <c r="AM173">
        <v>4</v>
      </c>
      <c r="AN173">
        <v>4.5</v>
      </c>
      <c r="AO173">
        <v>4</v>
      </c>
      <c r="AP173">
        <v>5.7</v>
      </c>
      <c r="AQ173">
        <v>4</v>
      </c>
      <c r="AR173">
        <v>4.4000000000000004</v>
      </c>
      <c r="AS173">
        <v>4</v>
      </c>
      <c r="AT173">
        <v>-4.5999999999999996</v>
      </c>
      <c r="AU173">
        <v>-6.5</v>
      </c>
      <c r="AV173">
        <v>-5</v>
      </c>
      <c r="AW173">
        <v>-3.3</v>
      </c>
      <c r="AX173">
        <v>-4.0999999999999996</v>
      </c>
      <c r="AY173">
        <v>-5</v>
      </c>
      <c r="AZ173">
        <v>10.9</v>
      </c>
      <c r="BA173">
        <v>10</v>
      </c>
      <c r="BB173">
        <v>11</v>
      </c>
      <c r="BC173">
        <v>10</v>
      </c>
      <c r="BD173">
        <v>5.2</v>
      </c>
      <c r="BE173">
        <v>4</v>
      </c>
      <c r="BF173">
        <v>12</v>
      </c>
      <c r="BG173">
        <v>10</v>
      </c>
      <c r="BH173">
        <v>11.2</v>
      </c>
      <c r="BI173">
        <v>10</v>
      </c>
      <c r="BJ173">
        <v>10.5</v>
      </c>
      <c r="BK173">
        <v>9</v>
      </c>
      <c r="BL173">
        <v>19.5</v>
      </c>
      <c r="BM173">
        <v>19</v>
      </c>
      <c r="BN173">
        <v>23.1</v>
      </c>
      <c r="BO173">
        <v>19</v>
      </c>
      <c r="BP173">
        <v>20.9</v>
      </c>
      <c r="BQ173">
        <v>20</v>
      </c>
      <c r="BR173">
        <v>21.8</v>
      </c>
      <c r="BS173">
        <v>25</v>
      </c>
      <c r="BT173">
        <v>21.9</v>
      </c>
      <c r="BU173">
        <v>25</v>
      </c>
      <c r="BV173">
        <v>23.7</v>
      </c>
      <c r="BW173">
        <v>18</v>
      </c>
      <c r="BX173">
        <v>21</v>
      </c>
      <c r="BY173">
        <v>20</v>
      </c>
      <c r="BZ173">
        <v>19.899999999999999</v>
      </c>
      <c r="CA173">
        <v>20</v>
      </c>
      <c r="CB173">
        <v>10.9</v>
      </c>
      <c r="CC173">
        <v>10</v>
      </c>
      <c r="CD173">
        <v>11.3</v>
      </c>
      <c r="CE173">
        <v>10</v>
      </c>
      <c r="CF173">
        <v>11.7</v>
      </c>
      <c r="CG173">
        <v>9</v>
      </c>
      <c r="CH173">
        <v>11.9</v>
      </c>
      <c r="CI173">
        <v>9</v>
      </c>
    </row>
    <row r="174" spans="1:87" x14ac:dyDescent="0.35">
      <c r="A174" s="1">
        <v>46059.568749999999</v>
      </c>
      <c r="B174">
        <v>-22.8</v>
      </c>
      <c r="C174">
        <v>-20.8</v>
      </c>
      <c r="D174">
        <v>-25</v>
      </c>
      <c r="E174">
        <v>-22.3</v>
      </c>
      <c r="F174">
        <v>-24.6</v>
      </c>
      <c r="G174">
        <v>-25</v>
      </c>
      <c r="H174">
        <v>-18.100000000000001</v>
      </c>
      <c r="I174">
        <v>-16</v>
      </c>
      <c r="J174">
        <v>-25</v>
      </c>
      <c r="K174">
        <v>-17.600000000000001</v>
      </c>
      <c r="L174">
        <v>-18.3</v>
      </c>
      <c r="M174">
        <v>-25</v>
      </c>
      <c r="N174">
        <v>-20.6</v>
      </c>
      <c r="O174">
        <v>-20.7</v>
      </c>
      <c r="P174">
        <v>-25</v>
      </c>
      <c r="Q174">
        <v>-20.3</v>
      </c>
      <c r="R174">
        <v>-20.6</v>
      </c>
      <c r="S174">
        <v>-25</v>
      </c>
      <c r="T174">
        <v>2.4</v>
      </c>
      <c r="U174">
        <v>2.2999999999999998</v>
      </c>
      <c r="V174">
        <v>2</v>
      </c>
      <c r="W174">
        <v>2.2999999999999998</v>
      </c>
      <c r="X174">
        <v>1.8</v>
      </c>
      <c r="Y174">
        <v>2</v>
      </c>
      <c r="Z174">
        <v>3.6</v>
      </c>
      <c r="AA174">
        <v>2.9</v>
      </c>
      <c r="AB174">
        <v>2</v>
      </c>
      <c r="AC174">
        <v>3.1</v>
      </c>
      <c r="AD174">
        <v>1.2</v>
      </c>
      <c r="AE174">
        <v>2</v>
      </c>
      <c r="AF174">
        <v>2.1</v>
      </c>
      <c r="AG174">
        <v>1.6</v>
      </c>
      <c r="AH174">
        <v>2</v>
      </c>
      <c r="AI174">
        <v>1.9</v>
      </c>
      <c r="AJ174">
        <v>-0.3</v>
      </c>
      <c r="AK174">
        <v>2</v>
      </c>
      <c r="AL174">
        <v>5.2</v>
      </c>
      <c r="AM174">
        <v>4</v>
      </c>
      <c r="AN174">
        <v>4.5</v>
      </c>
      <c r="AO174">
        <v>4</v>
      </c>
      <c r="AP174">
        <v>5.8</v>
      </c>
      <c r="AQ174">
        <v>4</v>
      </c>
      <c r="AR174">
        <v>4.7</v>
      </c>
      <c r="AS174">
        <v>4</v>
      </c>
      <c r="AT174">
        <v>-4.8</v>
      </c>
      <c r="AU174">
        <v>-6.7</v>
      </c>
      <c r="AV174">
        <v>-5</v>
      </c>
      <c r="AW174">
        <v>-3.6</v>
      </c>
      <c r="AX174">
        <v>-5</v>
      </c>
      <c r="AY174">
        <v>-5</v>
      </c>
      <c r="AZ174">
        <v>9.5</v>
      </c>
      <c r="BA174">
        <v>10</v>
      </c>
      <c r="BB174">
        <v>11.4</v>
      </c>
      <c r="BC174">
        <v>10</v>
      </c>
      <c r="BD174">
        <v>5.2</v>
      </c>
      <c r="BE174">
        <v>4</v>
      </c>
      <c r="BF174">
        <v>11</v>
      </c>
      <c r="BG174">
        <v>10</v>
      </c>
      <c r="BH174">
        <v>11.2</v>
      </c>
      <c r="BI174">
        <v>10</v>
      </c>
      <c r="BJ174">
        <v>10.5</v>
      </c>
      <c r="BK174">
        <v>9</v>
      </c>
      <c r="BL174">
        <v>19.5</v>
      </c>
      <c r="BM174">
        <v>19</v>
      </c>
      <c r="BN174">
        <v>23.1</v>
      </c>
      <c r="BO174">
        <v>19</v>
      </c>
      <c r="BP174">
        <v>20.9</v>
      </c>
      <c r="BQ174">
        <v>20</v>
      </c>
      <c r="BR174">
        <v>21.8</v>
      </c>
      <c r="BS174">
        <v>25</v>
      </c>
      <c r="BT174">
        <v>21.9</v>
      </c>
      <c r="BU174">
        <v>25</v>
      </c>
      <c r="BV174">
        <v>23.7</v>
      </c>
      <c r="BW174">
        <v>18</v>
      </c>
      <c r="BX174">
        <v>21</v>
      </c>
      <c r="BY174">
        <v>20</v>
      </c>
      <c r="BZ174">
        <v>20.100000000000001</v>
      </c>
      <c r="CA174">
        <v>20</v>
      </c>
      <c r="CB174">
        <v>10.8</v>
      </c>
      <c r="CC174">
        <v>10</v>
      </c>
      <c r="CD174">
        <v>11.3</v>
      </c>
      <c r="CE174">
        <v>10</v>
      </c>
      <c r="CF174">
        <v>11.7</v>
      </c>
      <c r="CG174">
        <v>9</v>
      </c>
      <c r="CH174">
        <v>11.9</v>
      </c>
      <c r="CI174">
        <v>9</v>
      </c>
    </row>
    <row r="175" spans="1:87" x14ac:dyDescent="0.35">
      <c r="A175" s="1">
        <v>46059.569444444445</v>
      </c>
      <c r="B175">
        <v>-22.9</v>
      </c>
      <c r="C175">
        <v>-20.9</v>
      </c>
      <c r="D175">
        <v>-25</v>
      </c>
      <c r="E175">
        <v>-22.4</v>
      </c>
      <c r="F175">
        <v>-24.8</v>
      </c>
      <c r="G175">
        <v>-25</v>
      </c>
      <c r="H175">
        <v>-18.2</v>
      </c>
      <c r="I175">
        <v>-16</v>
      </c>
      <c r="J175">
        <v>-25</v>
      </c>
      <c r="K175">
        <v>-17.600000000000001</v>
      </c>
      <c r="L175">
        <v>-18.3</v>
      </c>
      <c r="M175">
        <v>-25</v>
      </c>
      <c r="N175">
        <v>-20.6</v>
      </c>
      <c r="O175">
        <v>-20.8</v>
      </c>
      <c r="P175">
        <v>-25</v>
      </c>
      <c r="Q175">
        <v>-20.3</v>
      </c>
      <c r="R175">
        <v>-20.7</v>
      </c>
      <c r="S175">
        <v>-25</v>
      </c>
      <c r="T175">
        <v>2.5</v>
      </c>
      <c r="U175">
        <v>2.2999999999999998</v>
      </c>
      <c r="V175">
        <v>2</v>
      </c>
      <c r="W175">
        <v>2.4</v>
      </c>
      <c r="X175">
        <v>1.9</v>
      </c>
      <c r="Y175">
        <v>2</v>
      </c>
      <c r="Z175">
        <v>3.4</v>
      </c>
      <c r="AA175">
        <v>2.8</v>
      </c>
      <c r="AB175">
        <v>2</v>
      </c>
      <c r="AC175">
        <v>3</v>
      </c>
      <c r="AD175">
        <v>1.5</v>
      </c>
      <c r="AE175">
        <v>2</v>
      </c>
      <c r="AF175">
        <v>2.1</v>
      </c>
      <c r="AG175">
        <v>1.6</v>
      </c>
      <c r="AH175">
        <v>2</v>
      </c>
      <c r="AI175">
        <v>1.9</v>
      </c>
      <c r="AJ175">
        <v>0.7</v>
      </c>
      <c r="AK175">
        <v>2</v>
      </c>
      <c r="AL175">
        <v>5.2</v>
      </c>
      <c r="AM175">
        <v>4</v>
      </c>
      <c r="AN175">
        <v>4.5999999999999996</v>
      </c>
      <c r="AO175">
        <v>4</v>
      </c>
      <c r="AP175">
        <v>6</v>
      </c>
      <c r="AQ175">
        <v>4</v>
      </c>
      <c r="AR175">
        <v>5</v>
      </c>
      <c r="AS175">
        <v>4</v>
      </c>
      <c r="AT175">
        <v>-4.9000000000000004</v>
      </c>
      <c r="AU175">
        <v>-6.8</v>
      </c>
      <c r="AV175">
        <v>-5</v>
      </c>
      <c r="AW175">
        <v>-4</v>
      </c>
      <c r="AX175">
        <v>-6</v>
      </c>
      <c r="AY175">
        <v>-5</v>
      </c>
      <c r="AZ175">
        <v>8.8000000000000007</v>
      </c>
      <c r="BA175">
        <v>10</v>
      </c>
      <c r="BB175">
        <v>11.5</v>
      </c>
      <c r="BC175">
        <v>10</v>
      </c>
      <c r="BD175">
        <v>4.9000000000000004</v>
      </c>
      <c r="BE175">
        <v>4</v>
      </c>
      <c r="BF175">
        <v>10.1</v>
      </c>
      <c r="BG175">
        <v>10</v>
      </c>
      <c r="BH175">
        <v>11.2</v>
      </c>
      <c r="BI175">
        <v>10</v>
      </c>
      <c r="BJ175">
        <v>10.5</v>
      </c>
      <c r="BK175">
        <v>9</v>
      </c>
      <c r="BL175">
        <v>19.600000000000001</v>
      </c>
      <c r="BM175">
        <v>19</v>
      </c>
      <c r="BN175">
        <v>23.2</v>
      </c>
      <c r="BO175">
        <v>19</v>
      </c>
      <c r="BP175">
        <v>21</v>
      </c>
      <c r="BQ175">
        <v>20</v>
      </c>
      <c r="BR175">
        <v>21.8</v>
      </c>
      <c r="BS175">
        <v>25</v>
      </c>
      <c r="BT175">
        <v>21.9</v>
      </c>
      <c r="BU175">
        <v>25</v>
      </c>
      <c r="BV175">
        <v>23.7</v>
      </c>
      <c r="BW175">
        <v>18</v>
      </c>
      <c r="BX175">
        <v>21.1</v>
      </c>
      <c r="BY175">
        <v>20</v>
      </c>
      <c r="BZ175">
        <v>20.3</v>
      </c>
      <c r="CA175">
        <v>20</v>
      </c>
      <c r="CB175">
        <v>10.7</v>
      </c>
      <c r="CC175">
        <v>10</v>
      </c>
      <c r="CD175">
        <v>11.3</v>
      </c>
      <c r="CE175">
        <v>10</v>
      </c>
      <c r="CF175">
        <v>11.7</v>
      </c>
      <c r="CG175">
        <v>9</v>
      </c>
      <c r="CH175">
        <v>11.9</v>
      </c>
      <c r="CI175">
        <v>9</v>
      </c>
    </row>
    <row r="176" spans="1:87" x14ac:dyDescent="0.35">
      <c r="A176" s="1">
        <v>46059.570138888892</v>
      </c>
      <c r="B176">
        <v>-23</v>
      </c>
      <c r="C176">
        <v>-21</v>
      </c>
      <c r="D176">
        <v>-25</v>
      </c>
      <c r="E176">
        <v>-22.4</v>
      </c>
      <c r="F176">
        <v>-24.9</v>
      </c>
      <c r="G176">
        <v>-25</v>
      </c>
      <c r="H176">
        <v>-18.2</v>
      </c>
      <c r="I176">
        <v>-16</v>
      </c>
      <c r="J176">
        <v>-25</v>
      </c>
      <c r="K176">
        <v>-17.7</v>
      </c>
      <c r="L176">
        <v>-18.3</v>
      </c>
      <c r="M176">
        <v>-25</v>
      </c>
      <c r="N176">
        <v>-20.7</v>
      </c>
      <c r="O176">
        <v>-20.8</v>
      </c>
      <c r="P176">
        <v>-25</v>
      </c>
      <c r="Q176">
        <v>-20.399999999999999</v>
      </c>
      <c r="R176">
        <v>-20.7</v>
      </c>
      <c r="S176">
        <v>-25</v>
      </c>
      <c r="T176">
        <v>2.6</v>
      </c>
      <c r="U176">
        <v>2.4</v>
      </c>
      <c r="V176">
        <v>2</v>
      </c>
      <c r="W176">
        <v>2.4</v>
      </c>
      <c r="X176">
        <v>2</v>
      </c>
      <c r="Y176">
        <v>2</v>
      </c>
      <c r="Z176">
        <v>3.4</v>
      </c>
      <c r="AA176">
        <v>2.8</v>
      </c>
      <c r="AB176">
        <v>2</v>
      </c>
      <c r="AC176">
        <v>3</v>
      </c>
      <c r="AD176">
        <v>1.9</v>
      </c>
      <c r="AE176">
        <v>2</v>
      </c>
      <c r="AF176">
        <v>2.2000000000000002</v>
      </c>
      <c r="AG176">
        <v>2</v>
      </c>
      <c r="AH176">
        <v>2</v>
      </c>
      <c r="AI176">
        <v>2.1</v>
      </c>
      <c r="AJ176">
        <v>1.2</v>
      </c>
      <c r="AK176">
        <v>2</v>
      </c>
      <c r="AL176">
        <v>5.2</v>
      </c>
      <c r="AM176">
        <v>4</v>
      </c>
      <c r="AN176">
        <v>4.7</v>
      </c>
      <c r="AO176">
        <v>4</v>
      </c>
      <c r="AP176">
        <v>5.8</v>
      </c>
      <c r="AQ176">
        <v>4</v>
      </c>
      <c r="AR176">
        <v>5.2</v>
      </c>
      <c r="AS176">
        <v>4</v>
      </c>
      <c r="AT176">
        <v>-5</v>
      </c>
      <c r="AU176">
        <v>-6.7</v>
      </c>
      <c r="AV176">
        <v>-5</v>
      </c>
      <c r="AW176">
        <v>-4.3</v>
      </c>
      <c r="AX176">
        <v>-5.3</v>
      </c>
      <c r="AY176">
        <v>-5</v>
      </c>
      <c r="AZ176">
        <v>8.8000000000000007</v>
      </c>
      <c r="BA176">
        <v>10</v>
      </c>
      <c r="BB176">
        <v>11.7</v>
      </c>
      <c r="BC176">
        <v>10</v>
      </c>
      <c r="BD176">
        <v>4.4000000000000004</v>
      </c>
      <c r="BE176">
        <v>4</v>
      </c>
      <c r="BF176">
        <v>9.4</v>
      </c>
      <c r="BG176">
        <v>10</v>
      </c>
      <c r="BH176">
        <v>11.2</v>
      </c>
      <c r="BI176">
        <v>10</v>
      </c>
      <c r="BJ176">
        <v>10.4</v>
      </c>
      <c r="BK176">
        <v>9</v>
      </c>
      <c r="BL176">
        <v>19.600000000000001</v>
      </c>
      <c r="BM176">
        <v>19</v>
      </c>
      <c r="BN176">
        <v>23.2</v>
      </c>
      <c r="BO176">
        <v>19</v>
      </c>
      <c r="BP176">
        <v>21</v>
      </c>
      <c r="BQ176">
        <v>20</v>
      </c>
      <c r="BR176">
        <v>21.8</v>
      </c>
      <c r="BS176">
        <v>25</v>
      </c>
      <c r="BT176">
        <v>21.9</v>
      </c>
      <c r="BU176">
        <v>25</v>
      </c>
      <c r="BV176">
        <v>23.7</v>
      </c>
      <c r="BW176">
        <v>18</v>
      </c>
      <c r="BX176">
        <v>21.2</v>
      </c>
      <c r="BY176">
        <v>20</v>
      </c>
      <c r="BZ176">
        <v>20.5</v>
      </c>
      <c r="CA176">
        <v>20</v>
      </c>
      <c r="CB176">
        <v>10.7</v>
      </c>
      <c r="CC176">
        <v>10</v>
      </c>
      <c r="CD176">
        <v>11.3</v>
      </c>
      <c r="CE176">
        <v>10</v>
      </c>
      <c r="CF176">
        <v>11.7</v>
      </c>
      <c r="CG176">
        <v>9</v>
      </c>
      <c r="CH176">
        <v>11.9</v>
      </c>
      <c r="CI176">
        <v>9</v>
      </c>
    </row>
    <row r="177" spans="1:87" x14ac:dyDescent="0.35">
      <c r="A177" s="1">
        <v>46059.570833333331</v>
      </c>
      <c r="B177">
        <v>-23.1</v>
      </c>
      <c r="C177">
        <v>-21.1</v>
      </c>
      <c r="D177">
        <v>-25</v>
      </c>
      <c r="E177">
        <v>-22.6</v>
      </c>
      <c r="F177">
        <v>-25</v>
      </c>
      <c r="G177">
        <v>-25</v>
      </c>
      <c r="H177">
        <v>-18.2</v>
      </c>
      <c r="I177">
        <v>-16</v>
      </c>
      <c r="J177">
        <v>-25</v>
      </c>
      <c r="K177">
        <v>-17.7</v>
      </c>
      <c r="L177">
        <v>-18.3</v>
      </c>
      <c r="M177">
        <v>-25</v>
      </c>
      <c r="N177">
        <v>-20.7</v>
      </c>
      <c r="O177">
        <v>-20.8</v>
      </c>
      <c r="P177">
        <v>-25</v>
      </c>
      <c r="Q177">
        <v>-20.399999999999999</v>
      </c>
      <c r="R177">
        <v>-20.7</v>
      </c>
      <c r="S177">
        <v>-25</v>
      </c>
      <c r="T177">
        <v>2.6</v>
      </c>
      <c r="U177">
        <v>2.5</v>
      </c>
      <c r="V177">
        <v>2</v>
      </c>
      <c r="W177">
        <v>2.5</v>
      </c>
      <c r="X177">
        <v>2.1</v>
      </c>
      <c r="Y177">
        <v>2</v>
      </c>
      <c r="Z177">
        <v>3.4</v>
      </c>
      <c r="AA177">
        <v>2.8</v>
      </c>
      <c r="AB177">
        <v>2</v>
      </c>
      <c r="AC177">
        <v>3</v>
      </c>
      <c r="AD177">
        <v>2.2000000000000002</v>
      </c>
      <c r="AE177">
        <v>2</v>
      </c>
      <c r="AF177">
        <v>2.4</v>
      </c>
      <c r="AG177">
        <v>2.2000000000000002</v>
      </c>
      <c r="AH177">
        <v>2</v>
      </c>
      <c r="AI177">
        <v>2.2999999999999998</v>
      </c>
      <c r="AJ177">
        <v>1.7</v>
      </c>
      <c r="AK177">
        <v>2</v>
      </c>
      <c r="AL177">
        <v>5.2</v>
      </c>
      <c r="AM177">
        <v>4</v>
      </c>
      <c r="AN177">
        <v>4.7</v>
      </c>
      <c r="AO177">
        <v>4</v>
      </c>
      <c r="AP177">
        <v>4.9000000000000004</v>
      </c>
      <c r="AQ177">
        <v>4</v>
      </c>
      <c r="AR177">
        <v>5.4</v>
      </c>
      <c r="AS177">
        <v>4</v>
      </c>
      <c r="AT177">
        <v>-5</v>
      </c>
      <c r="AU177">
        <v>-5.9</v>
      </c>
      <c r="AV177">
        <v>-5</v>
      </c>
      <c r="AW177">
        <v>-4.8</v>
      </c>
      <c r="AX177">
        <v>-7.2</v>
      </c>
      <c r="AY177">
        <v>-5</v>
      </c>
      <c r="AZ177">
        <v>8.8000000000000007</v>
      </c>
      <c r="BA177">
        <v>10</v>
      </c>
      <c r="BB177">
        <v>12.1</v>
      </c>
      <c r="BC177">
        <v>10</v>
      </c>
      <c r="BD177">
        <v>4.0999999999999996</v>
      </c>
      <c r="BE177">
        <v>4</v>
      </c>
      <c r="BF177">
        <v>9.4</v>
      </c>
      <c r="BG177">
        <v>10</v>
      </c>
      <c r="BH177">
        <v>11.5</v>
      </c>
      <c r="BI177">
        <v>10</v>
      </c>
      <c r="BJ177">
        <v>10.4</v>
      </c>
      <c r="BK177">
        <v>9</v>
      </c>
      <c r="BL177">
        <v>19.7</v>
      </c>
      <c r="BM177">
        <v>19</v>
      </c>
      <c r="BN177">
        <v>23.2</v>
      </c>
      <c r="BO177">
        <v>19</v>
      </c>
      <c r="BP177">
        <v>21</v>
      </c>
      <c r="BQ177">
        <v>20</v>
      </c>
      <c r="BR177">
        <v>21.8</v>
      </c>
      <c r="BS177">
        <v>25</v>
      </c>
      <c r="BT177">
        <v>21.9</v>
      </c>
      <c r="BU177">
        <v>25</v>
      </c>
      <c r="BV177">
        <v>23.7</v>
      </c>
      <c r="BW177">
        <v>18</v>
      </c>
      <c r="BX177">
        <v>21.2</v>
      </c>
      <c r="BY177">
        <v>20</v>
      </c>
      <c r="BZ177">
        <v>20.6</v>
      </c>
      <c r="CA177">
        <v>20</v>
      </c>
      <c r="CB177">
        <v>10.7</v>
      </c>
      <c r="CC177">
        <v>10</v>
      </c>
      <c r="CD177">
        <v>11.4</v>
      </c>
      <c r="CE177">
        <v>10</v>
      </c>
      <c r="CF177">
        <v>11.5</v>
      </c>
      <c r="CG177">
        <v>9</v>
      </c>
      <c r="CH177">
        <v>11.8</v>
      </c>
      <c r="CI177">
        <v>9</v>
      </c>
    </row>
    <row r="178" spans="1:87" x14ac:dyDescent="0.35">
      <c r="A178" s="1">
        <v>46059.571527777778</v>
      </c>
      <c r="B178">
        <v>-23.2</v>
      </c>
      <c r="C178">
        <v>-21.2</v>
      </c>
      <c r="D178">
        <v>-25</v>
      </c>
      <c r="E178">
        <v>-22.7</v>
      </c>
      <c r="F178">
        <v>-24.3</v>
      </c>
      <c r="G178">
        <v>-25</v>
      </c>
      <c r="H178">
        <v>-18.2</v>
      </c>
      <c r="I178">
        <v>-16.100000000000001</v>
      </c>
      <c r="J178">
        <v>-25</v>
      </c>
      <c r="K178">
        <v>-17.7</v>
      </c>
      <c r="L178">
        <v>-18.399999999999999</v>
      </c>
      <c r="M178">
        <v>-25</v>
      </c>
      <c r="N178">
        <v>-20.7</v>
      </c>
      <c r="O178">
        <v>-20.9</v>
      </c>
      <c r="P178">
        <v>-25</v>
      </c>
      <c r="Q178">
        <v>-20.399999999999999</v>
      </c>
      <c r="R178">
        <v>-20.7</v>
      </c>
      <c r="S178">
        <v>-25</v>
      </c>
      <c r="T178">
        <v>2.7</v>
      </c>
      <c r="U178">
        <v>2.6</v>
      </c>
      <c r="V178">
        <v>2</v>
      </c>
      <c r="W178">
        <v>2.6</v>
      </c>
      <c r="X178">
        <v>2.2000000000000002</v>
      </c>
      <c r="Y178">
        <v>2</v>
      </c>
      <c r="Z178">
        <v>3.4</v>
      </c>
      <c r="AA178">
        <v>2.8</v>
      </c>
      <c r="AB178">
        <v>2</v>
      </c>
      <c r="AC178">
        <v>3</v>
      </c>
      <c r="AD178">
        <v>2.2999999999999998</v>
      </c>
      <c r="AE178">
        <v>2</v>
      </c>
      <c r="AF178">
        <v>2.6</v>
      </c>
      <c r="AG178">
        <v>2.4</v>
      </c>
      <c r="AH178">
        <v>2</v>
      </c>
      <c r="AI178">
        <v>2.5</v>
      </c>
      <c r="AJ178">
        <v>2</v>
      </c>
      <c r="AK178">
        <v>2</v>
      </c>
      <c r="AL178">
        <v>5.2</v>
      </c>
      <c r="AM178">
        <v>4</v>
      </c>
      <c r="AN178">
        <v>4.8</v>
      </c>
      <c r="AO178">
        <v>4</v>
      </c>
      <c r="AP178">
        <v>4</v>
      </c>
      <c r="AQ178">
        <v>4</v>
      </c>
      <c r="AR178">
        <v>5.6</v>
      </c>
      <c r="AS178">
        <v>4</v>
      </c>
      <c r="AT178">
        <v>-4.5999999999999996</v>
      </c>
      <c r="AU178">
        <v>-5.0999999999999996</v>
      </c>
      <c r="AV178">
        <v>-5</v>
      </c>
      <c r="AW178">
        <v>-5.3</v>
      </c>
      <c r="AX178">
        <v>-7</v>
      </c>
      <c r="AY178">
        <v>-5</v>
      </c>
      <c r="AZ178">
        <v>9</v>
      </c>
      <c r="BA178">
        <v>10</v>
      </c>
      <c r="BB178">
        <v>12.1</v>
      </c>
      <c r="BC178">
        <v>10</v>
      </c>
      <c r="BD178">
        <v>4.0999999999999996</v>
      </c>
      <c r="BE178">
        <v>4</v>
      </c>
      <c r="BF178">
        <v>9.8000000000000007</v>
      </c>
      <c r="BG178">
        <v>10</v>
      </c>
      <c r="BH178">
        <v>11.6</v>
      </c>
      <c r="BI178">
        <v>10</v>
      </c>
      <c r="BJ178">
        <v>10.3</v>
      </c>
      <c r="BK178">
        <v>9</v>
      </c>
      <c r="BL178">
        <v>19.7</v>
      </c>
      <c r="BM178">
        <v>19</v>
      </c>
      <c r="BN178">
        <v>23.2</v>
      </c>
      <c r="BO178">
        <v>19</v>
      </c>
      <c r="BP178">
        <v>21</v>
      </c>
      <c r="BQ178">
        <v>20</v>
      </c>
      <c r="BR178">
        <v>21.7</v>
      </c>
      <c r="BS178">
        <v>25</v>
      </c>
      <c r="BT178">
        <v>21.9</v>
      </c>
      <c r="BU178">
        <v>25</v>
      </c>
      <c r="BV178">
        <v>23.7</v>
      </c>
      <c r="BW178">
        <v>18</v>
      </c>
      <c r="BX178">
        <v>21.3</v>
      </c>
      <c r="BY178">
        <v>20</v>
      </c>
      <c r="BZ178">
        <v>20.7</v>
      </c>
      <c r="CA178">
        <v>20</v>
      </c>
      <c r="CB178">
        <v>10.7</v>
      </c>
      <c r="CC178">
        <v>10</v>
      </c>
      <c r="CD178">
        <v>11.5</v>
      </c>
      <c r="CE178">
        <v>10</v>
      </c>
      <c r="CF178">
        <v>11.6</v>
      </c>
      <c r="CG178">
        <v>9</v>
      </c>
      <c r="CH178">
        <v>11.8</v>
      </c>
      <c r="CI178">
        <v>9</v>
      </c>
    </row>
    <row r="179" spans="1:87" x14ac:dyDescent="0.35">
      <c r="A179" s="1">
        <v>46059.572222222225</v>
      </c>
      <c r="B179">
        <v>-23.2</v>
      </c>
      <c r="C179">
        <v>-21.2</v>
      </c>
      <c r="D179">
        <v>-25</v>
      </c>
      <c r="E179">
        <v>-22.7</v>
      </c>
      <c r="F179">
        <v>-24</v>
      </c>
      <c r="G179">
        <v>-25</v>
      </c>
      <c r="H179">
        <v>-18.2</v>
      </c>
      <c r="I179">
        <v>-16.100000000000001</v>
      </c>
      <c r="J179">
        <v>-25</v>
      </c>
      <c r="K179">
        <v>-17.7</v>
      </c>
      <c r="L179">
        <v>-18.399999999999999</v>
      </c>
      <c r="M179">
        <v>-25</v>
      </c>
      <c r="N179">
        <v>-20.7</v>
      </c>
      <c r="O179">
        <v>-20.9</v>
      </c>
      <c r="P179">
        <v>-25</v>
      </c>
      <c r="Q179">
        <v>-20.5</v>
      </c>
      <c r="R179">
        <v>-20.8</v>
      </c>
      <c r="S179">
        <v>-25</v>
      </c>
      <c r="T179">
        <v>2.8</v>
      </c>
      <c r="U179">
        <v>2.7</v>
      </c>
      <c r="V179">
        <v>2</v>
      </c>
      <c r="W179">
        <v>2.7</v>
      </c>
      <c r="X179">
        <v>2.4</v>
      </c>
      <c r="Y179">
        <v>2</v>
      </c>
      <c r="Z179">
        <v>3.4</v>
      </c>
      <c r="AA179">
        <v>2.8</v>
      </c>
      <c r="AB179">
        <v>2</v>
      </c>
      <c r="AC179">
        <v>3</v>
      </c>
      <c r="AD179">
        <v>1.9</v>
      </c>
      <c r="AE179">
        <v>2</v>
      </c>
      <c r="AF179">
        <v>2.8</v>
      </c>
      <c r="AG179">
        <v>2.6</v>
      </c>
      <c r="AH179">
        <v>2</v>
      </c>
      <c r="AI179">
        <v>2.7</v>
      </c>
      <c r="AJ179">
        <v>2.2999999999999998</v>
      </c>
      <c r="AK179">
        <v>2</v>
      </c>
      <c r="AL179">
        <v>5.2</v>
      </c>
      <c r="AM179">
        <v>4</v>
      </c>
      <c r="AN179">
        <v>4.9000000000000004</v>
      </c>
      <c r="AO179">
        <v>4</v>
      </c>
      <c r="AP179">
        <v>3.2</v>
      </c>
      <c r="AQ179">
        <v>4</v>
      </c>
      <c r="AR179">
        <v>5.8</v>
      </c>
      <c r="AS179">
        <v>4</v>
      </c>
      <c r="AT179">
        <v>-4.0999999999999996</v>
      </c>
      <c r="AU179">
        <v>-4.4000000000000004</v>
      </c>
      <c r="AV179">
        <v>-5</v>
      </c>
      <c r="AW179">
        <v>-5.3</v>
      </c>
      <c r="AX179">
        <v>-5.7</v>
      </c>
      <c r="AY179">
        <v>-5</v>
      </c>
      <c r="AZ179">
        <v>9.1999999999999993</v>
      </c>
      <c r="BA179">
        <v>10</v>
      </c>
      <c r="BB179">
        <v>12.1</v>
      </c>
      <c r="BC179">
        <v>10</v>
      </c>
      <c r="BD179">
        <v>4.0999999999999996</v>
      </c>
      <c r="BE179">
        <v>4</v>
      </c>
      <c r="BF179">
        <v>10.1</v>
      </c>
      <c r="BG179">
        <v>10</v>
      </c>
      <c r="BH179">
        <v>11.5</v>
      </c>
      <c r="BI179">
        <v>10</v>
      </c>
      <c r="BJ179">
        <v>10.3</v>
      </c>
      <c r="BK179">
        <v>9</v>
      </c>
      <c r="BL179">
        <v>19.7</v>
      </c>
      <c r="BM179">
        <v>19</v>
      </c>
      <c r="BN179">
        <v>23.2</v>
      </c>
      <c r="BO179">
        <v>19</v>
      </c>
      <c r="BP179">
        <v>21</v>
      </c>
      <c r="BQ179">
        <v>20</v>
      </c>
      <c r="BR179">
        <v>21.7</v>
      </c>
      <c r="BS179">
        <v>25</v>
      </c>
      <c r="BT179">
        <v>21.9</v>
      </c>
      <c r="BU179">
        <v>25</v>
      </c>
      <c r="BV179">
        <v>23.7</v>
      </c>
      <c r="BW179">
        <v>18</v>
      </c>
      <c r="BX179">
        <v>21.3</v>
      </c>
      <c r="BY179">
        <v>20</v>
      </c>
      <c r="BZ179">
        <v>20.8</v>
      </c>
      <c r="CA179">
        <v>20</v>
      </c>
      <c r="CB179">
        <v>10.7</v>
      </c>
      <c r="CC179">
        <v>10</v>
      </c>
      <c r="CD179">
        <v>11.5</v>
      </c>
      <c r="CE179">
        <v>10</v>
      </c>
      <c r="CF179">
        <v>11.5</v>
      </c>
      <c r="CG179">
        <v>9</v>
      </c>
      <c r="CH179">
        <v>11.8</v>
      </c>
      <c r="CI179">
        <v>9</v>
      </c>
    </row>
    <row r="180" spans="1:87" x14ac:dyDescent="0.35">
      <c r="A180" s="1">
        <v>46059.572916666664</v>
      </c>
      <c r="B180">
        <v>-23.2</v>
      </c>
      <c r="C180">
        <v>-21.3</v>
      </c>
      <c r="D180">
        <v>-25</v>
      </c>
      <c r="E180">
        <v>-22.7</v>
      </c>
      <c r="F180">
        <v>-23.9</v>
      </c>
      <c r="G180">
        <v>-25</v>
      </c>
      <c r="H180">
        <v>-18.2</v>
      </c>
      <c r="I180">
        <v>-16.100000000000001</v>
      </c>
      <c r="J180">
        <v>-25</v>
      </c>
      <c r="K180">
        <v>-17.7</v>
      </c>
      <c r="L180">
        <v>-18.399999999999999</v>
      </c>
      <c r="M180">
        <v>-25</v>
      </c>
      <c r="N180">
        <v>-20.8</v>
      </c>
      <c r="O180">
        <v>-20.9</v>
      </c>
      <c r="P180">
        <v>-25</v>
      </c>
      <c r="Q180">
        <v>-20.5</v>
      </c>
      <c r="R180">
        <v>-20.8</v>
      </c>
      <c r="S180">
        <v>-25</v>
      </c>
      <c r="T180">
        <v>2.9</v>
      </c>
      <c r="U180">
        <v>2.8</v>
      </c>
      <c r="V180">
        <v>2</v>
      </c>
      <c r="W180">
        <v>2.8</v>
      </c>
      <c r="X180">
        <v>2.5</v>
      </c>
      <c r="Y180">
        <v>2</v>
      </c>
      <c r="Z180">
        <v>3.3</v>
      </c>
      <c r="AA180">
        <v>2.8</v>
      </c>
      <c r="AB180">
        <v>2</v>
      </c>
      <c r="AC180">
        <v>2.9</v>
      </c>
      <c r="AD180">
        <v>1.6</v>
      </c>
      <c r="AE180">
        <v>2</v>
      </c>
      <c r="AF180">
        <v>3</v>
      </c>
      <c r="AG180">
        <v>2.8</v>
      </c>
      <c r="AH180">
        <v>2</v>
      </c>
      <c r="AI180">
        <v>2.8</v>
      </c>
      <c r="AJ180">
        <v>2.6</v>
      </c>
      <c r="AK180">
        <v>2</v>
      </c>
      <c r="AL180">
        <v>5.2</v>
      </c>
      <c r="AM180">
        <v>4</v>
      </c>
      <c r="AN180">
        <v>4.9000000000000004</v>
      </c>
      <c r="AO180">
        <v>4</v>
      </c>
      <c r="AP180">
        <v>3.1</v>
      </c>
      <c r="AQ180">
        <v>4</v>
      </c>
      <c r="AR180">
        <v>6</v>
      </c>
      <c r="AS180">
        <v>4</v>
      </c>
      <c r="AT180">
        <v>-3.6</v>
      </c>
      <c r="AU180">
        <v>-3.9</v>
      </c>
      <c r="AV180">
        <v>-5</v>
      </c>
      <c r="AW180">
        <v>-4.7</v>
      </c>
      <c r="AX180">
        <v>-4.7</v>
      </c>
      <c r="AY180">
        <v>-5</v>
      </c>
      <c r="AZ180">
        <v>9.4</v>
      </c>
      <c r="BA180">
        <v>10</v>
      </c>
      <c r="BB180">
        <v>11.8</v>
      </c>
      <c r="BC180">
        <v>10</v>
      </c>
      <c r="BD180">
        <v>4.0999999999999996</v>
      </c>
      <c r="BE180">
        <v>4</v>
      </c>
      <c r="BF180">
        <v>10.5</v>
      </c>
      <c r="BG180">
        <v>10</v>
      </c>
      <c r="BH180">
        <v>11.4</v>
      </c>
      <c r="BI180">
        <v>10</v>
      </c>
      <c r="BJ180">
        <v>10.3</v>
      </c>
      <c r="BK180">
        <v>9</v>
      </c>
      <c r="BL180">
        <v>19.8</v>
      </c>
      <c r="BM180">
        <v>19</v>
      </c>
      <c r="BN180">
        <v>23.2</v>
      </c>
      <c r="BO180">
        <v>19</v>
      </c>
      <c r="BP180">
        <v>21.1</v>
      </c>
      <c r="BQ180">
        <v>20</v>
      </c>
      <c r="BR180">
        <v>21.7</v>
      </c>
      <c r="BS180">
        <v>25</v>
      </c>
      <c r="BT180">
        <v>21.9</v>
      </c>
      <c r="BU180">
        <v>25</v>
      </c>
      <c r="BV180">
        <v>23.7</v>
      </c>
      <c r="BW180">
        <v>18</v>
      </c>
      <c r="BX180">
        <v>21.4</v>
      </c>
      <c r="BY180">
        <v>20</v>
      </c>
      <c r="BZ180">
        <v>20.9</v>
      </c>
      <c r="CA180">
        <v>20</v>
      </c>
      <c r="CB180">
        <v>10.7</v>
      </c>
      <c r="CC180">
        <v>10</v>
      </c>
      <c r="CD180">
        <v>11.6</v>
      </c>
      <c r="CE180">
        <v>10</v>
      </c>
      <c r="CF180">
        <v>11.6</v>
      </c>
      <c r="CG180">
        <v>9</v>
      </c>
      <c r="CH180">
        <v>11.9</v>
      </c>
      <c r="CI180">
        <v>9</v>
      </c>
    </row>
    <row r="181" spans="1:87" x14ac:dyDescent="0.35">
      <c r="A181" s="1">
        <v>46059.573611111111</v>
      </c>
      <c r="B181">
        <v>-23.2</v>
      </c>
      <c r="C181">
        <v>-21.3</v>
      </c>
      <c r="D181">
        <v>-25</v>
      </c>
      <c r="E181">
        <v>-22.7</v>
      </c>
      <c r="F181">
        <v>-23.9</v>
      </c>
      <c r="G181">
        <v>-25</v>
      </c>
      <c r="H181">
        <v>-18.2</v>
      </c>
      <c r="I181">
        <v>-16.100000000000001</v>
      </c>
      <c r="J181">
        <v>-25</v>
      </c>
      <c r="K181">
        <v>-17.7</v>
      </c>
      <c r="L181">
        <v>-18.5</v>
      </c>
      <c r="M181">
        <v>-25</v>
      </c>
      <c r="N181">
        <v>-20.8</v>
      </c>
      <c r="O181">
        <v>-21</v>
      </c>
      <c r="P181">
        <v>-25</v>
      </c>
      <c r="Q181">
        <v>-20.5</v>
      </c>
      <c r="R181">
        <v>-20.8</v>
      </c>
      <c r="S181">
        <v>-25</v>
      </c>
      <c r="T181">
        <v>3</v>
      </c>
      <c r="U181">
        <v>2.9</v>
      </c>
      <c r="V181">
        <v>2</v>
      </c>
      <c r="W181">
        <v>2.9</v>
      </c>
      <c r="X181">
        <v>2.6</v>
      </c>
      <c r="Y181">
        <v>2</v>
      </c>
      <c r="Z181">
        <v>3.2</v>
      </c>
      <c r="AA181">
        <v>2.7</v>
      </c>
      <c r="AB181">
        <v>2</v>
      </c>
      <c r="AC181">
        <v>2.9</v>
      </c>
      <c r="AD181">
        <v>1.9</v>
      </c>
      <c r="AE181">
        <v>2</v>
      </c>
      <c r="AF181">
        <v>3.2</v>
      </c>
      <c r="AG181">
        <v>3</v>
      </c>
      <c r="AH181">
        <v>2</v>
      </c>
      <c r="AI181">
        <v>3</v>
      </c>
      <c r="AJ181">
        <v>2.8</v>
      </c>
      <c r="AK181">
        <v>2</v>
      </c>
      <c r="AL181">
        <v>6.7</v>
      </c>
      <c r="AM181">
        <v>4</v>
      </c>
      <c r="AN181">
        <v>5</v>
      </c>
      <c r="AO181">
        <v>4</v>
      </c>
      <c r="AP181">
        <v>3.1</v>
      </c>
      <c r="AQ181">
        <v>4</v>
      </c>
      <c r="AR181">
        <v>6</v>
      </c>
      <c r="AS181">
        <v>4</v>
      </c>
      <c r="AT181">
        <v>-3.3</v>
      </c>
      <c r="AU181">
        <v>-3.6</v>
      </c>
      <c r="AV181">
        <v>-5</v>
      </c>
      <c r="AW181">
        <v>-4.0999999999999996</v>
      </c>
      <c r="AX181">
        <v>-4</v>
      </c>
      <c r="AY181">
        <v>-5</v>
      </c>
      <c r="AZ181">
        <v>9.6</v>
      </c>
      <c r="BA181">
        <v>10</v>
      </c>
      <c r="BB181">
        <v>11.4</v>
      </c>
      <c r="BC181">
        <v>10</v>
      </c>
      <c r="BD181">
        <v>3.8</v>
      </c>
      <c r="BE181">
        <v>4</v>
      </c>
      <c r="BF181">
        <v>10.9</v>
      </c>
      <c r="BG181">
        <v>10</v>
      </c>
      <c r="BH181">
        <v>11.4</v>
      </c>
      <c r="BI181">
        <v>10</v>
      </c>
      <c r="BJ181">
        <v>10.3</v>
      </c>
      <c r="BK181">
        <v>9</v>
      </c>
      <c r="BL181">
        <v>19.8</v>
      </c>
      <c r="BM181">
        <v>19</v>
      </c>
      <c r="BN181">
        <v>23.2</v>
      </c>
      <c r="BO181">
        <v>19</v>
      </c>
      <c r="BP181">
        <v>21.1</v>
      </c>
      <c r="BQ181">
        <v>20</v>
      </c>
      <c r="BR181">
        <v>21.7</v>
      </c>
      <c r="BS181">
        <v>25</v>
      </c>
      <c r="BT181">
        <v>21.9</v>
      </c>
      <c r="BU181">
        <v>25</v>
      </c>
      <c r="BV181">
        <v>23.7</v>
      </c>
      <c r="BW181">
        <v>18</v>
      </c>
      <c r="BX181">
        <v>21.4</v>
      </c>
      <c r="BY181">
        <v>20</v>
      </c>
      <c r="BZ181">
        <v>20.9</v>
      </c>
      <c r="CA181">
        <v>20</v>
      </c>
      <c r="CB181">
        <v>10.7</v>
      </c>
      <c r="CC181">
        <v>10</v>
      </c>
      <c r="CD181">
        <v>11.6</v>
      </c>
      <c r="CE181">
        <v>10</v>
      </c>
      <c r="CF181">
        <v>11.6</v>
      </c>
      <c r="CG181">
        <v>9</v>
      </c>
      <c r="CH181">
        <v>11.9</v>
      </c>
      <c r="CI181">
        <v>9</v>
      </c>
    </row>
    <row r="182" spans="1:87" x14ac:dyDescent="0.35">
      <c r="A182" s="1">
        <v>46059.574305555558</v>
      </c>
      <c r="B182">
        <v>-23.2</v>
      </c>
      <c r="C182">
        <v>-21.4</v>
      </c>
      <c r="D182">
        <v>-25</v>
      </c>
      <c r="E182">
        <v>-22.7</v>
      </c>
      <c r="F182">
        <v>-23.8</v>
      </c>
      <c r="G182">
        <v>-25</v>
      </c>
      <c r="H182">
        <v>-18.2</v>
      </c>
      <c r="I182">
        <v>-16.2</v>
      </c>
      <c r="J182">
        <v>-25</v>
      </c>
      <c r="K182">
        <v>-17.7</v>
      </c>
      <c r="L182">
        <v>-18.5</v>
      </c>
      <c r="M182">
        <v>-25</v>
      </c>
      <c r="N182">
        <v>-20.9</v>
      </c>
      <c r="O182">
        <v>-21</v>
      </c>
      <c r="P182">
        <v>-25</v>
      </c>
      <c r="Q182">
        <v>-20.6</v>
      </c>
      <c r="R182">
        <v>-20.9</v>
      </c>
      <c r="S182">
        <v>-25</v>
      </c>
      <c r="T182">
        <v>3</v>
      </c>
      <c r="U182">
        <v>3</v>
      </c>
      <c r="V182">
        <v>2</v>
      </c>
      <c r="W182">
        <v>3</v>
      </c>
      <c r="X182">
        <v>2.7</v>
      </c>
      <c r="Y182">
        <v>2</v>
      </c>
      <c r="Z182">
        <v>3.2</v>
      </c>
      <c r="AA182">
        <v>2.6</v>
      </c>
      <c r="AB182">
        <v>2</v>
      </c>
      <c r="AC182">
        <v>2.8</v>
      </c>
      <c r="AD182">
        <v>1.9</v>
      </c>
      <c r="AE182">
        <v>2</v>
      </c>
      <c r="AF182">
        <v>3.4</v>
      </c>
      <c r="AG182">
        <v>3.2</v>
      </c>
      <c r="AH182">
        <v>2</v>
      </c>
      <c r="AI182">
        <v>3.2</v>
      </c>
      <c r="AJ182">
        <v>3</v>
      </c>
      <c r="AK182">
        <v>2</v>
      </c>
      <c r="AL182">
        <v>6.6</v>
      </c>
      <c r="AM182">
        <v>4</v>
      </c>
      <c r="AN182">
        <v>5</v>
      </c>
      <c r="AO182">
        <v>4</v>
      </c>
      <c r="AP182">
        <v>3.3</v>
      </c>
      <c r="AQ182">
        <v>4</v>
      </c>
      <c r="AR182">
        <v>5.6</v>
      </c>
      <c r="AS182">
        <v>4</v>
      </c>
      <c r="AT182">
        <v>-3</v>
      </c>
      <c r="AU182">
        <v>-3.2</v>
      </c>
      <c r="AV182">
        <v>-5</v>
      </c>
      <c r="AW182">
        <v>-3.6</v>
      </c>
      <c r="AX182">
        <v>-3.4</v>
      </c>
      <c r="AY182">
        <v>-5</v>
      </c>
      <c r="AZ182">
        <v>9.8000000000000007</v>
      </c>
      <c r="BA182">
        <v>10</v>
      </c>
      <c r="BB182">
        <v>11.2</v>
      </c>
      <c r="BC182">
        <v>10</v>
      </c>
      <c r="BD182">
        <v>3.8</v>
      </c>
      <c r="BE182">
        <v>4</v>
      </c>
      <c r="BF182">
        <v>11.1</v>
      </c>
      <c r="BG182">
        <v>10</v>
      </c>
      <c r="BH182">
        <v>11.4</v>
      </c>
      <c r="BI182">
        <v>10</v>
      </c>
      <c r="BJ182">
        <v>10.199999999999999</v>
      </c>
      <c r="BK182">
        <v>9</v>
      </c>
      <c r="BL182">
        <v>19.8</v>
      </c>
      <c r="BM182">
        <v>19</v>
      </c>
      <c r="BN182">
        <v>23.2</v>
      </c>
      <c r="BO182">
        <v>19</v>
      </c>
      <c r="BP182">
        <v>21.1</v>
      </c>
      <c r="BQ182">
        <v>20</v>
      </c>
      <c r="BR182">
        <v>21.7</v>
      </c>
      <c r="BS182">
        <v>25</v>
      </c>
      <c r="BT182">
        <v>21.9</v>
      </c>
      <c r="BU182">
        <v>25</v>
      </c>
      <c r="BV182">
        <v>23.7</v>
      </c>
      <c r="BW182">
        <v>18</v>
      </c>
      <c r="BX182">
        <v>21.4</v>
      </c>
      <c r="BY182">
        <v>20</v>
      </c>
      <c r="BZ182">
        <v>21</v>
      </c>
      <c r="CA182">
        <v>20</v>
      </c>
      <c r="CB182">
        <v>10.7</v>
      </c>
      <c r="CC182">
        <v>10</v>
      </c>
      <c r="CD182">
        <v>11.6</v>
      </c>
      <c r="CE182">
        <v>10</v>
      </c>
      <c r="CF182">
        <v>11.9</v>
      </c>
      <c r="CG182">
        <v>9</v>
      </c>
      <c r="CH182">
        <v>12.1</v>
      </c>
      <c r="CI182">
        <v>9</v>
      </c>
    </row>
    <row r="183" spans="1:87" x14ac:dyDescent="0.35">
      <c r="A183" s="1">
        <v>46059.574999999997</v>
      </c>
      <c r="B183">
        <v>-23.2</v>
      </c>
      <c r="C183">
        <v>-21.4</v>
      </c>
      <c r="D183">
        <v>-25</v>
      </c>
      <c r="E183">
        <v>-22.7</v>
      </c>
      <c r="F183">
        <v>-23.8</v>
      </c>
      <c r="G183">
        <v>-25</v>
      </c>
      <c r="H183">
        <v>-18.2</v>
      </c>
      <c r="I183">
        <v>-16.2</v>
      </c>
      <c r="J183">
        <v>-25</v>
      </c>
      <c r="K183">
        <v>-17.7</v>
      </c>
      <c r="L183">
        <v>-18.5</v>
      </c>
      <c r="M183">
        <v>-25</v>
      </c>
      <c r="N183">
        <v>-20.9</v>
      </c>
      <c r="O183">
        <v>-21</v>
      </c>
      <c r="P183">
        <v>-25</v>
      </c>
      <c r="Q183">
        <v>-20.7</v>
      </c>
      <c r="R183">
        <v>-20.9</v>
      </c>
      <c r="S183">
        <v>-25</v>
      </c>
      <c r="T183">
        <v>3.1</v>
      </c>
      <c r="U183">
        <v>3.1</v>
      </c>
      <c r="V183">
        <v>2</v>
      </c>
      <c r="W183">
        <v>3.1</v>
      </c>
      <c r="X183">
        <v>2.8</v>
      </c>
      <c r="Y183">
        <v>2</v>
      </c>
      <c r="Z183">
        <v>3.1</v>
      </c>
      <c r="AA183">
        <v>2.6</v>
      </c>
      <c r="AB183">
        <v>2</v>
      </c>
      <c r="AC183">
        <v>2.7</v>
      </c>
      <c r="AD183">
        <v>1.9</v>
      </c>
      <c r="AE183">
        <v>2</v>
      </c>
      <c r="AF183">
        <v>3.5</v>
      </c>
      <c r="AG183">
        <v>3.4</v>
      </c>
      <c r="AH183">
        <v>2</v>
      </c>
      <c r="AI183">
        <v>3.4</v>
      </c>
      <c r="AJ183">
        <v>3.3</v>
      </c>
      <c r="AK183">
        <v>2</v>
      </c>
      <c r="AL183">
        <v>6.3</v>
      </c>
      <c r="AM183">
        <v>4</v>
      </c>
      <c r="AN183">
        <v>5.0999999999999996</v>
      </c>
      <c r="AO183">
        <v>4</v>
      </c>
      <c r="AP183">
        <v>3.5</v>
      </c>
      <c r="AQ183">
        <v>4</v>
      </c>
      <c r="AR183">
        <v>5.0999999999999996</v>
      </c>
      <c r="AS183">
        <v>4</v>
      </c>
      <c r="AT183">
        <v>-3</v>
      </c>
      <c r="AU183">
        <v>-4.5999999999999996</v>
      </c>
      <c r="AV183">
        <v>-5</v>
      </c>
      <c r="AW183">
        <v>-3.1</v>
      </c>
      <c r="AX183">
        <v>-2.9</v>
      </c>
      <c r="AY183">
        <v>-5</v>
      </c>
      <c r="AZ183">
        <v>10</v>
      </c>
      <c r="BA183">
        <v>10</v>
      </c>
      <c r="BB183">
        <v>10.9</v>
      </c>
      <c r="BC183">
        <v>10</v>
      </c>
      <c r="BD183">
        <v>3.8</v>
      </c>
      <c r="BE183">
        <v>4</v>
      </c>
      <c r="BF183">
        <v>11.4</v>
      </c>
      <c r="BG183">
        <v>10</v>
      </c>
      <c r="BH183">
        <v>11.4</v>
      </c>
      <c r="BI183">
        <v>10</v>
      </c>
      <c r="BJ183">
        <v>10.199999999999999</v>
      </c>
      <c r="BK183">
        <v>9</v>
      </c>
      <c r="BL183">
        <v>19.899999999999999</v>
      </c>
      <c r="BM183">
        <v>19</v>
      </c>
      <c r="BN183">
        <v>23.2</v>
      </c>
      <c r="BO183">
        <v>19</v>
      </c>
      <c r="BP183">
        <v>21.1</v>
      </c>
      <c r="BQ183">
        <v>20</v>
      </c>
      <c r="BR183">
        <v>21.7</v>
      </c>
      <c r="BS183">
        <v>25</v>
      </c>
      <c r="BT183">
        <v>21.9</v>
      </c>
      <c r="BU183">
        <v>25</v>
      </c>
      <c r="BV183">
        <v>23.7</v>
      </c>
      <c r="BW183">
        <v>18</v>
      </c>
      <c r="BX183">
        <v>21.5</v>
      </c>
      <c r="BY183">
        <v>20</v>
      </c>
      <c r="BZ183">
        <v>21</v>
      </c>
      <c r="CA183">
        <v>20</v>
      </c>
      <c r="CB183">
        <v>10.7</v>
      </c>
      <c r="CC183">
        <v>10</v>
      </c>
      <c r="CD183">
        <v>11.6</v>
      </c>
      <c r="CE183">
        <v>10</v>
      </c>
      <c r="CF183">
        <v>11.9</v>
      </c>
      <c r="CG183">
        <v>9</v>
      </c>
      <c r="CH183">
        <v>12.1</v>
      </c>
      <c r="CI183">
        <v>9</v>
      </c>
    </row>
    <row r="184" spans="1:87" x14ac:dyDescent="0.35">
      <c r="A184" s="1">
        <v>46059.575694444444</v>
      </c>
      <c r="B184">
        <v>-23.3</v>
      </c>
      <c r="C184">
        <v>-21.5</v>
      </c>
      <c r="D184">
        <v>-25</v>
      </c>
      <c r="E184">
        <v>-22.7</v>
      </c>
      <c r="F184">
        <v>-23.9</v>
      </c>
      <c r="G184">
        <v>-25</v>
      </c>
      <c r="H184">
        <v>-18.3</v>
      </c>
      <c r="I184">
        <v>-16.2</v>
      </c>
      <c r="J184">
        <v>-25</v>
      </c>
      <c r="K184">
        <v>-17.7</v>
      </c>
      <c r="L184">
        <v>-18.5</v>
      </c>
      <c r="M184">
        <v>-25</v>
      </c>
      <c r="N184">
        <v>-20.9</v>
      </c>
      <c r="O184">
        <v>-21</v>
      </c>
      <c r="P184">
        <v>-25</v>
      </c>
      <c r="Q184">
        <v>-20.7</v>
      </c>
      <c r="R184">
        <v>-20.9</v>
      </c>
      <c r="S184">
        <v>-25</v>
      </c>
      <c r="T184">
        <v>3.2</v>
      </c>
      <c r="U184">
        <v>3.2</v>
      </c>
      <c r="V184">
        <v>2</v>
      </c>
      <c r="W184">
        <v>3.2</v>
      </c>
      <c r="X184">
        <v>2.9</v>
      </c>
      <c r="Y184">
        <v>2</v>
      </c>
      <c r="Z184">
        <v>3.1</v>
      </c>
      <c r="AA184">
        <v>2.6</v>
      </c>
      <c r="AB184">
        <v>2</v>
      </c>
      <c r="AC184">
        <v>2.7</v>
      </c>
      <c r="AD184">
        <v>2</v>
      </c>
      <c r="AE184">
        <v>2</v>
      </c>
      <c r="AF184">
        <v>3.7</v>
      </c>
      <c r="AG184">
        <v>3.6</v>
      </c>
      <c r="AH184">
        <v>2</v>
      </c>
      <c r="AI184">
        <v>3.6</v>
      </c>
      <c r="AJ184">
        <v>3.5</v>
      </c>
      <c r="AK184">
        <v>2</v>
      </c>
      <c r="AL184">
        <v>6</v>
      </c>
      <c r="AM184">
        <v>4</v>
      </c>
      <c r="AN184">
        <v>5.0999999999999996</v>
      </c>
      <c r="AO184">
        <v>4</v>
      </c>
      <c r="AP184">
        <v>3.9</v>
      </c>
      <c r="AQ184">
        <v>4</v>
      </c>
      <c r="AR184">
        <v>5</v>
      </c>
      <c r="AS184">
        <v>4</v>
      </c>
      <c r="AT184">
        <v>-3.4</v>
      </c>
      <c r="AU184">
        <v>-5.0999999999999996</v>
      </c>
      <c r="AV184">
        <v>-5</v>
      </c>
      <c r="AW184">
        <v>-2.8</v>
      </c>
      <c r="AX184">
        <v>-2.7</v>
      </c>
      <c r="AY184">
        <v>-5</v>
      </c>
      <c r="AZ184">
        <v>10.199999999999999</v>
      </c>
      <c r="BA184">
        <v>10</v>
      </c>
      <c r="BB184">
        <v>10.9</v>
      </c>
      <c r="BC184">
        <v>10</v>
      </c>
      <c r="BD184">
        <v>3.9</v>
      </c>
      <c r="BE184">
        <v>4</v>
      </c>
      <c r="BF184">
        <v>11.6</v>
      </c>
      <c r="BG184">
        <v>10</v>
      </c>
      <c r="BH184">
        <v>11.4</v>
      </c>
      <c r="BI184">
        <v>10</v>
      </c>
      <c r="BJ184">
        <v>10.199999999999999</v>
      </c>
      <c r="BK184">
        <v>9</v>
      </c>
      <c r="BL184">
        <v>19.899999999999999</v>
      </c>
      <c r="BM184">
        <v>19</v>
      </c>
      <c r="BN184">
        <v>23.2</v>
      </c>
      <c r="BO184">
        <v>19</v>
      </c>
      <c r="BP184">
        <v>21.1</v>
      </c>
      <c r="BQ184">
        <v>20</v>
      </c>
      <c r="BR184">
        <v>21.7</v>
      </c>
      <c r="BS184">
        <v>25</v>
      </c>
      <c r="BT184">
        <v>21.9</v>
      </c>
      <c r="BU184">
        <v>25</v>
      </c>
      <c r="BV184">
        <v>23.7</v>
      </c>
      <c r="BW184">
        <v>18</v>
      </c>
      <c r="BX184">
        <v>21.5</v>
      </c>
      <c r="BY184">
        <v>20</v>
      </c>
      <c r="BZ184">
        <v>21.1</v>
      </c>
      <c r="CA184">
        <v>20</v>
      </c>
      <c r="CB184">
        <v>10.7</v>
      </c>
      <c r="CC184">
        <v>10</v>
      </c>
      <c r="CD184">
        <v>11.7</v>
      </c>
      <c r="CE184">
        <v>10</v>
      </c>
      <c r="CF184">
        <v>12</v>
      </c>
      <c r="CG184">
        <v>9</v>
      </c>
      <c r="CH184">
        <v>12.2</v>
      </c>
      <c r="CI184">
        <v>9</v>
      </c>
    </row>
    <row r="185" spans="1:87" x14ac:dyDescent="0.35">
      <c r="A185" s="1">
        <v>46059.576388888891</v>
      </c>
      <c r="B185">
        <v>-23.4</v>
      </c>
      <c r="C185">
        <v>-21.5</v>
      </c>
      <c r="D185">
        <v>-25</v>
      </c>
      <c r="E185">
        <v>-22.8</v>
      </c>
      <c r="F185">
        <v>-25</v>
      </c>
      <c r="G185">
        <v>-25</v>
      </c>
      <c r="H185">
        <v>-18.3</v>
      </c>
      <c r="I185">
        <v>-16.2</v>
      </c>
      <c r="J185">
        <v>-25</v>
      </c>
      <c r="K185">
        <v>-17.8</v>
      </c>
      <c r="L185">
        <v>-18.5</v>
      </c>
      <c r="M185">
        <v>-25</v>
      </c>
      <c r="N185">
        <v>-20.9</v>
      </c>
      <c r="O185">
        <v>-21.1</v>
      </c>
      <c r="P185">
        <v>-25</v>
      </c>
      <c r="Q185">
        <v>-20.8</v>
      </c>
      <c r="R185">
        <v>-21</v>
      </c>
      <c r="S185">
        <v>-25</v>
      </c>
      <c r="T185">
        <v>3.3</v>
      </c>
      <c r="U185">
        <v>3.3</v>
      </c>
      <c r="V185">
        <v>2</v>
      </c>
      <c r="W185">
        <v>3.3</v>
      </c>
      <c r="X185">
        <v>3</v>
      </c>
      <c r="Y185">
        <v>2</v>
      </c>
      <c r="Z185">
        <v>3</v>
      </c>
      <c r="AA185">
        <v>2.6</v>
      </c>
      <c r="AB185">
        <v>2</v>
      </c>
      <c r="AC185">
        <v>2.7</v>
      </c>
      <c r="AD185">
        <v>2</v>
      </c>
      <c r="AE185">
        <v>2</v>
      </c>
      <c r="AF185">
        <v>3.8</v>
      </c>
      <c r="AG185">
        <v>3.7</v>
      </c>
      <c r="AH185">
        <v>2</v>
      </c>
      <c r="AI185">
        <v>3.7</v>
      </c>
      <c r="AJ185">
        <v>3.6</v>
      </c>
      <c r="AK185">
        <v>2</v>
      </c>
      <c r="AL185">
        <v>5.8</v>
      </c>
      <c r="AM185">
        <v>4</v>
      </c>
      <c r="AN185">
        <v>5.2</v>
      </c>
      <c r="AO185">
        <v>4</v>
      </c>
      <c r="AP185">
        <v>4.0999999999999996</v>
      </c>
      <c r="AQ185">
        <v>4</v>
      </c>
      <c r="AR185">
        <v>5</v>
      </c>
      <c r="AS185">
        <v>4</v>
      </c>
      <c r="AT185">
        <v>-3.6</v>
      </c>
      <c r="AU185">
        <v>-5</v>
      </c>
      <c r="AV185">
        <v>-5</v>
      </c>
      <c r="AW185">
        <v>-2.6</v>
      </c>
      <c r="AX185">
        <v>-2.4</v>
      </c>
      <c r="AY185">
        <v>-5</v>
      </c>
      <c r="AZ185">
        <v>10.3</v>
      </c>
      <c r="BA185">
        <v>10</v>
      </c>
      <c r="BB185">
        <v>10.9</v>
      </c>
      <c r="BC185">
        <v>10</v>
      </c>
      <c r="BD185">
        <v>4.3</v>
      </c>
      <c r="BE185">
        <v>4</v>
      </c>
      <c r="BF185">
        <v>11.8</v>
      </c>
      <c r="BG185">
        <v>10</v>
      </c>
      <c r="BH185">
        <v>11.4</v>
      </c>
      <c r="BI185">
        <v>10</v>
      </c>
      <c r="BJ185">
        <v>10.199999999999999</v>
      </c>
      <c r="BK185">
        <v>9</v>
      </c>
      <c r="BL185">
        <v>19.899999999999999</v>
      </c>
      <c r="BM185">
        <v>19</v>
      </c>
      <c r="BN185">
        <v>23.2</v>
      </c>
      <c r="BO185">
        <v>19</v>
      </c>
      <c r="BP185">
        <v>21.1</v>
      </c>
      <c r="BQ185">
        <v>20</v>
      </c>
      <c r="BR185">
        <v>21.7</v>
      </c>
      <c r="BS185">
        <v>25</v>
      </c>
      <c r="BT185">
        <v>21.9</v>
      </c>
      <c r="BU185">
        <v>25</v>
      </c>
      <c r="BV185">
        <v>23.7</v>
      </c>
      <c r="BW185">
        <v>18</v>
      </c>
      <c r="BX185">
        <v>21.5</v>
      </c>
      <c r="BY185">
        <v>20</v>
      </c>
      <c r="BZ185">
        <v>21.1</v>
      </c>
      <c r="CA185">
        <v>20</v>
      </c>
      <c r="CB185">
        <v>10.7</v>
      </c>
      <c r="CC185">
        <v>10</v>
      </c>
      <c r="CD185">
        <v>11.8</v>
      </c>
      <c r="CE185">
        <v>10</v>
      </c>
      <c r="CF185">
        <v>12</v>
      </c>
      <c r="CG185">
        <v>9</v>
      </c>
      <c r="CH185">
        <v>12.3</v>
      </c>
      <c r="CI185">
        <v>9</v>
      </c>
    </row>
    <row r="186" spans="1:87" x14ac:dyDescent="0.35">
      <c r="A186" s="1">
        <v>46059.57708333333</v>
      </c>
      <c r="B186">
        <v>-23.4</v>
      </c>
      <c r="C186">
        <v>-21.5</v>
      </c>
      <c r="D186">
        <v>-25</v>
      </c>
      <c r="E186">
        <v>-22.8</v>
      </c>
      <c r="F186">
        <v>-25.1</v>
      </c>
      <c r="G186">
        <v>-25</v>
      </c>
      <c r="H186">
        <v>-18.3</v>
      </c>
      <c r="I186">
        <v>-16.2</v>
      </c>
      <c r="J186">
        <v>-25</v>
      </c>
      <c r="K186">
        <v>-17.8</v>
      </c>
      <c r="L186">
        <v>-18.5</v>
      </c>
      <c r="M186">
        <v>-25</v>
      </c>
      <c r="N186">
        <v>-21</v>
      </c>
      <c r="O186">
        <v>-21.1</v>
      </c>
      <c r="P186">
        <v>-25</v>
      </c>
      <c r="Q186">
        <v>-20.8</v>
      </c>
      <c r="R186">
        <v>-21</v>
      </c>
      <c r="S186">
        <v>-25</v>
      </c>
      <c r="T186">
        <v>3.4</v>
      </c>
      <c r="U186">
        <v>3.4</v>
      </c>
      <c r="V186">
        <v>2</v>
      </c>
      <c r="W186">
        <v>3.3</v>
      </c>
      <c r="X186">
        <v>3.1</v>
      </c>
      <c r="Y186">
        <v>2</v>
      </c>
      <c r="Z186">
        <v>3</v>
      </c>
      <c r="AA186">
        <v>2.5</v>
      </c>
      <c r="AB186">
        <v>2</v>
      </c>
      <c r="AC186">
        <v>2.6</v>
      </c>
      <c r="AD186">
        <v>2</v>
      </c>
      <c r="AE186">
        <v>2</v>
      </c>
      <c r="AF186">
        <v>4</v>
      </c>
      <c r="AG186">
        <v>3.9</v>
      </c>
      <c r="AH186">
        <v>2</v>
      </c>
      <c r="AI186">
        <v>3.9</v>
      </c>
      <c r="AJ186">
        <v>3.8</v>
      </c>
      <c r="AK186">
        <v>2</v>
      </c>
      <c r="AL186">
        <v>5.5</v>
      </c>
      <c r="AM186">
        <v>4</v>
      </c>
      <c r="AN186">
        <v>5.3</v>
      </c>
      <c r="AO186">
        <v>4</v>
      </c>
      <c r="AP186">
        <v>4.3</v>
      </c>
      <c r="AQ186">
        <v>4</v>
      </c>
      <c r="AR186">
        <v>5.3</v>
      </c>
      <c r="AS186">
        <v>4</v>
      </c>
      <c r="AT186">
        <v>-3.8</v>
      </c>
      <c r="AU186">
        <v>-5.4</v>
      </c>
      <c r="AV186">
        <v>-5</v>
      </c>
      <c r="AW186">
        <v>-2.6</v>
      </c>
      <c r="AX186">
        <v>-2.6</v>
      </c>
      <c r="AY186">
        <v>-5</v>
      </c>
      <c r="AZ186">
        <v>10.4</v>
      </c>
      <c r="BA186">
        <v>10</v>
      </c>
      <c r="BB186">
        <v>10.8</v>
      </c>
      <c r="BC186">
        <v>10</v>
      </c>
      <c r="BD186">
        <v>4.5</v>
      </c>
      <c r="BE186">
        <v>4</v>
      </c>
      <c r="BF186">
        <v>12</v>
      </c>
      <c r="BG186">
        <v>10</v>
      </c>
      <c r="BH186">
        <v>11.4</v>
      </c>
      <c r="BI186">
        <v>10</v>
      </c>
      <c r="BJ186">
        <v>10.199999999999999</v>
      </c>
      <c r="BK186">
        <v>9</v>
      </c>
      <c r="BL186">
        <v>20</v>
      </c>
      <c r="BM186">
        <v>19</v>
      </c>
      <c r="BN186">
        <v>23.2</v>
      </c>
      <c r="BO186">
        <v>19</v>
      </c>
      <c r="BP186">
        <v>21.2</v>
      </c>
      <c r="BQ186">
        <v>20</v>
      </c>
      <c r="BR186">
        <v>21.7</v>
      </c>
      <c r="BS186">
        <v>25</v>
      </c>
      <c r="BT186">
        <v>21.9</v>
      </c>
      <c r="BU186">
        <v>25</v>
      </c>
      <c r="BV186">
        <v>23.7</v>
      </c>
      <c r="BW186">
        <v>18</v>
      </c>
      <c r="BX186">
        <v>21.6</v>
      </c>
      <c r="BY186">
        <v>20</v>
      </c>
      <c r="BZ186">
        <v>21.2</v>
      </c>
      <c r="CA186">
        <v>20</v>
      </c>
      <c r="CB186">
        <v>10.7</v>
      </c>
      <c r="CC186">
        <v>10</v>
      </c>
      <c r="CD186">
        <v>11.8</v>
      </c>
      <c r="CE186">
        <v>10</v>
      </c>
      <c r="CF186">
        <v>12</v>
      </c>
      <c r="CG186">
        <v>9</v>
      </c>
      <c r="CH186">
        <v>12.3</v>
      </c>
      <c r="CI186">
        <v>9</v>
      </c>
    </row>
    <row r="187" spans="1:87" x14ac:dyDescent="0.35">
      <c r="A187" s="1">
        <v>46059.577777777777</v>
      </c>
      <c r="B187">
        <v>-23.5</v>
      </c>
      <c r="C187">
        <v>-21.6</v>
      </c>
      <c r="D187">
        <v>-25</v>
      </c>
      <c r="E187">
        <v>-22.9</v>
      </c>
      <c r="F187">
        <v>-25.3</v>
      </c>
      <c r="G187">
        <v>-25</v>
      </c>
      <c r="H187">
        <v>-18.3</v>
      </c>
      <c r="I187">
        <v>-16.2</v>
      </c>
      <c r="J187">
        <v>-25</v>
      </c>
      <c r="K187">
        <v>-17.8</v>
      </c>
      <c r="L187">
        <v>-18.5</v>
      </c>
      <c r="M187">
        <v>-25</v>
      </c>
      <c r="N187">
        <v>-21</v>
      </c>
      <c r="O187">
        <v>-21.1</v>
      </c>
      <c r="P187">
        <v>-25</v>
      </c>
      <c r="Q187">
        <v>-20.8</v>
      </c>
      <c r="R187">
        <v>-21</v>
      </c>
      <c r="S187">
        <v>-25</v>
      </c>
      <c r="T187">
        <v>3.4</v>
      </c>
      <c r="U187">
        <v>3.4</v>
      </c>
      <c r="V187">
        <v>2</v>
      </c>
      <c r="W187">
        <v>3.4</v>
      </c>
      <c r="X187">
        <v>3.2</v>
      </c>
      <c r="Y187">
        <v>2</v>
      </c>
      <c r="Z187">
        <v>2.9</v>
      </c>
      <c r="AA187">
        <v>2.4</v>
      </c>
      <c r="AB187">
        <v>2</v>
      </c>
      <c r="AC187">
        <v>2.5</v>
      </c>
      <c r="AD187">
        <v>2</v>
      </c>
      <c r="AE187">
        <v>2</v>
      </c>
      <c r="AF187">
        <v>4.0999999999999996</v>
      </c>
      <c r="AG187">
        <v>4</v>
      </c>
      <c r="AH187">
        <v>2</v>
      </c>
      <c r="AI187">
        <v>4</v>
      </c>
      <c r="AJ187">
        <v>3.9</v>
      </c>
      <c r="AK187">
        <v>2</v>
      </c>
      <c r="AL187">
        <v>5.3</v>
      </c>
      <c r="AM187">
        <v>4</v>
      </c>
      <c r="AN187">
        <v>5.3</v>
      </c>
      <c r="AO187">
        <v>4</v>
      </c>
      <c r="AP187">
        <v>4.5</v>
      </c>
      <c r="AQ187">
        <v>4</v>
      </c>
      <c r="AR187">
        <v>5.6</v>
      </c>
      <c r="AS187">
        <v>4</v>
      </c>
      <c r="AT187">
        <v>-4</v>
      </c>
      <c r="AU187">
        <v>-5.9</v>
      </c>
      <c r="AV187">
        <v>-5</v>
      </c>
      <c r="AW187">
        <v>-3</v>
      </c>
      <c r="AX187">
        <v>-4.5</v>
      </c>
      <c r="AY187">
        <v>-5</v>
      </c>
      <c r="AZ187">
        <v>10.5</v>
      </c>
      <c r="BA187">
        <v>10</v>
      </c>
      <c r="BB187">
        <v>10.7</v>
      </c>
      <c r="BC187">
        <v>10</v>
      </c>
      <c r="BD187">
        <v>4.7</v>
      </c>
      <c r="BE187">
        <v>4</v>
      </c>
      <c r="BF187">
        <v>11.8</v>
      </c>
      <c r="BG187">
        <v>10</v>
      </c>
      <c r="BH187">
        <v>11.4</v>
      </c>
      <c r="BI187">
        <v>10</v>
      </c>
      <c r="BJ187">
        <v>10.199999999999999</v>
      </c>
      <c r="BK187">
        <v>9</v>
      </c>
      <c r="BL187">
        <v>20</v>
      </c>
      <c r="BM187">
        <v>19</v>
      </c>
      <c r="BN187">
        <v>23.2</v>
      </c>
      <c r="BO187">
        <v>19</v>
      </c>
      <c r="BP187">
        <v>21.2</v>
      </c>
      <c r="BQ187">
        <v>20</v>
      </c>
      <c r="BR187">
        <v>21.7</v>
      </c>
      <c r="BS187">
        <v>25</v>
      </c>
      <c r="BT187">
        <v>21.9</v>
      </c>
      <c r="BU187">
        <v>25</v>
      </c>
      <c r="BV187">
        <v>23.7</v>
      </c>
      <c r="BW187">
        <v>18</v>
      </c>
      <c r="BX187">
        <v>21.6</v>
      </c>
      <c r="BY187">
        <v>20</v>
      </c>
      <c r="BZ187">
        <v>21.2</v>
      </c>
      <c r="CA187">
        <v>20</v>
      </c>
      <c r="CB187">
        <v>10.7</v>
      </c>
      <c r="CC187">
        <v>10</v>
      </c>
      <c r="CD187">
        <v>11.8</v>
      </c>
      <c r="CE187">
        <v>10</v>
      </c>
      <c r="CF187">
        <v>12</v>
      </c>
      <c r="CG187">
        <v>9</v>
      </c>
      <c r="CH187">
        <v>12.3</v>
      </c>
      <c r="CI187">
        <v>9</v>
      </c>
    </row>
    <row r="188" spans="1:87" x14ac:dyDescent="0.35">
      <c r="A188" s="1">
        <v>46059.578472222223</v>
      </c>
      <c r="B188">
        <v>-23.6</v>
      </c>
      <c r="C188">
        <v>-21.6</v>
      </c>
      <c r="D188">
        <v>-25</v>
      </c>
      <c r="E188">
        <v>-23</v>
      </c>
      <c r="F188">
        <v>-25.3</v>
      </c>
      <c r="G188">
        <v>-25</v>
      </c>
      <c r="H188">
        <v>-18.3</v>
      </c>
      <c r="I188">
        <v>-16.2</v>
      </c>
      <c r="J188">
        <v>-25</v>
      </c>
      <c r="K188">
        <v>-17.8</v>
      </c>
      <c r="L188">
        <v>-18.5</v>
      </c>
      <c r="M188">
        <v>-25</v>
      </c>
      <c r="N188">
        <v>-21</v>
      </c>
      <c r="O188">
        <v>-21.2</v>
      </c>
      <c r="P188">
        <v>-25</v>
      </c>
      <c r="Q188">
        <v>-20.9</v>
      </c>
      <c r="R188">
        <v>-21.1</v>
      </c>
      <c r="S188">
        <v>-25</v>
      </c>
      <c r="T188">
        <v>3.5</v>
      </c>
      <c r="U188">
        <v>3.5</v>
      </c>
      <c r="V188">
        <v>2</v>
      </c>
      <c r="W188">
        <v>3.5</v>
      </c>
      <c r="X188">
        <v>3.3</v>
      </c>
      <c r="Y188">
        <v>2</v>
      </c>
      <c r="Z188">
        <v>2.9</v>
      </c>
      <c r="AA188">
        <v>2.4</v>
      </c>
      <c r="AB188">
        <v>2</v>
      </c>
      <c r="AC188">
        <v>2.5</v>
      </c>
      <c r="AD188">
        <v>1.5</v>
      </c>
      <c r="AE188">
        <v>2</v>
      </c>
      <c r="AF188">
        <v>4.2</v>
      </c>
      <c r="AG188">
        <v>4</v>
      </c>
      <c r="AH188">
        <v>2</v>
      </c>
      <c r="AI188">
        <v>4.0999999999999996</v>
      </c>
      <c r="AJ188">
        <v>2.7</v>
      </c>
      <c r="AK188">
        <v>2</v>
      </c>
      <c r="AL188">
        <v>5</v>
      </c>
      <c r="AM188">
        <v>4</v>
      </c>
      <c r="AN188">
        <v>5.4</v>
      </c>
      <c r="AO188">
        <v>4</v>
      </c>
      <c r="AP188">
        <v>4.7</v>
      </c>
      <c r="AQ188">
        <v>4</v>
      </c>
      <c r="AR188">
        <v>5.8</v>
      </c>
      <c r="AS188">
        <v>4</v>
      </c>
      <c r="AT188">
        <v>-4.2</v>
      </c>
      <c r="AU188">
        <v>-6.1</v>
      </c>
      <c r="AV188">
        <v>-5</v>
      </c>
      <c r="AW188">
        <v>-3.5</v>
      </c>
      <c r="AX188">
        <v>-4.5</v>
      </c>
      <c r="AY188">
        <v>-5</v>
      </c>
      <c r="AZ188">
        <v>10.7</v>
      </c>
      <c r="BA188">
        <v>10</v>
      </c>
      <c r="BB188">
        <v>10.7</v>
      </c>
      <c r="BC188">
        <v>10</v>
      </c>
      <c r="BD188">
        <v>4.9000000000000004</v>
      </c>
      <c r="BE188">
        <v>4</v>
      </c>
      <c r="BF188">
        <v>11.1</v>
      </c>
      <c r="BG188">
        <v>10</v>
      </c>
      <c r="BH188">
        <v>11.4</v>
      </c>
      <c r="BI188">
        <v>10</v>
      </c>
      <c r="BJ188">
        <v>10.199999999999999</v>
      </c>
      <c r="BK188">
        <v>9</v>
      </c>
      <c r="BL188">
        <v>20</v>
      </c>
      <c r="BM188">
        <v>19</v>
      </c>
      <c r="BN188">
        <v>23.2</v>
      </c>
      <c r="BO188">
        <v>19</v>
      </c>
      <c r="BP188">
        <v>21.2</v>
      </c>
      <c r="BQ188">
        <v>20</v>
      </c>
      <c r="BR188">
        <v>21.7</v>
      </c>
      <c r="BS188">
        <v>25</v>
      </c>
      <c r="BT188">
        <v>21.9</v>
      </c>
      <c r="BU188">
        <v>25</v>
      </c>
      <c r="BV188">
        <v>23.7</v>
      </c>
      <c r="BW188">
        <v>18</v>
      </c>
      <c r="BX188">
        <v>21.6</v>
      </c>
      <c r="BY188">
        <v>20</v>
      </c>
      <c r="BZ188">
        <v>21.3</v>
      </c>
      <c r="CA188">
        <v>20</v>
      </c>
      <c r="CB188">
        <v>10.6</v>
      </c>
      <c r="CC188">
        <v>10</v>
      </c>
      <c r="CD188">
        <v>11.8</v>
      </c>
      <c r="CE188">
        <v>10</v>
      </c>
      <c r="CF188">
        <v>11.7</v>
      </c>
      <c r="CG188">
        <v>9</v>
      </c>
      <c r="CH188">
        <v>12</v>
      </c>
      <c r="CI188">
        <v>9</v>
      </c>
    </row>
    <row r="189" spans="1:87" x14ac:dyDescent="0.35">
      <c r="A189" s="1">
        <v>46059.57916666667</v>
      </c>
      <c r="B189">
        <v>-23.6</v>
      </c>
      <c r="C189">
        <v>-21.7</v>
      </c>
      <c r="D189">
        <v>-25</v>
      </c>
      <c r="E189">
        <v>-23.1</v>
      </c>
      <c r="F189">
        <v>-24.3</v>
      </c>
      <c r="G189">
        <v>-25</v>
      </c>
      <c r="H189">
        <v>-18.3</v>
      </c>
      <c r="I189">
        <v>-16.2</v>
      </c>
      <c r="J189">
        <v>-25</v>
      </c>
      <c r="K189">
        <v>-17.8</v>
      </c>
      <c r="L189">
        <v>-18.5</v>
      </c>
      <c r="M189">
        <v>-25</v>
      </c>
      <c r="N189">
        <v>-21.1</v>
      </c>
      <c r="O189">
        <v>-21.2</v>
      </c>
      <c r="P189">
        <v>-25</v>
      </c>
      <c r="Q189">
        <v>-20.9</v>
      </c>
      <c r="R189">
        <v>-21.1</v>
      </c>
      <c r="S189">
        <v>-25</v>
      </c>
      <c r="T189">
        <v>3.6</v>
      </c>
      <c r="U189">
        <v>3.6</v>
      </c>
      <c r="V189">
        <v>2</v>
      </c>
      <c r="W189">
        <v>3.5</v>
      </c>
      <c r="X189">
        <v>3.3</v>
      </c>
      <c r="Y189">
        <v>2</v>
      </c>
      <c r="Z189">
        <v>2.9</v>
      </c>
      <c r="AA189">
        <v>2.2000000000000002</v>
      </c>
      <c r="AB189">
        <v>2</v>
      </c>
      <c r="AC189">
        <v>2.4</v>
      </c>
      <c r="AD189">
        <v>0.5</v>
      </c>
      <c r="AE189">
        <v>2</v>
      </c>
      <c r="AF189">
        <v>4</v>
      </c>
      <c r="AG189">
        <v>3.6</v>
      </c>
      <c r="AH189">
        <v>2</v>
      </c>
      <c r="AI189">
        <v>3.8</v>
      </c>
      <c r="AJ189">
        <v>1.3</v>
      </c>
      <c r="AK189">
        <v>2</v>
      </c>
      <c r="AL189">
        <v>4.7</v>
      </c>
      <c r="AM189">
        <v>4</v>
      </c>
      <c r="AN189">
        <v>5.4</v>
      </c>
      <c r="AO189">
        <v>4</v>
      </c>
      <c r="AP189">
        <v>4.9000000000000004</v>
      </c>
      <c r="AQ189">
        <v>4</v>
      </c>
      <c r="AR189">
        <v>6</v>
      </c>
      <c r="AS189">
        <v>4</v>
      </c>
      <c r="AT189">
        <v>-4.4000000000000004</v>
      </c>
      <c r="AU189">
        <v>-6.1</v>
      </c>
      <c r="AV189">
        <v>-5</v>
      </c>
      <c r="AW189">
        <v>-3.7</v>
      </c>
      <c r="AX189">
        <v>-4.4000000000000004</v>
      </c>
      <c r="AY189">
        <v>-5</v>
      </c>
      <c r="AZ189">
        <v>10.8</v>
      </c>
      <c r="BA189">
        <v>10</v>
      </c>
      <c r="BB189">
        <v>10.6</v>
      </c>
      <c r="BC189">
        <v>10</v>
      </c>
      <c r="BD189">
        <v>5.0999999999999996</v>
      </c>
      <c r="BE189">
        <v>4</v>
      </c>
      <c r="BF189">
        <v>10.1</v>
      </c>
      <c r="BG189">
        <v>10</v>
      </c>
      <c r="BH189">
        <v>11.5</v>
      </c>
      <c r="BI189">
        <v>10</v>
      </c>
      <c r="BJ189">
        <v>10.199999999999999</v>
      </c>
      <c r="BK189">
        <v>9</v>
      </c>
      <c r="BL189">
        <v>20.100000000000001</v>
      </c>
      <c r="BM189">
        <v>19</v>
      </c>
      <c r="BN189">
        <v>23.2</v>
      </c>
      <c r="BO189">
        <v>19</v>
      </c>
      <c r="BP189">
        <v>21.3</v>
      </c>
      <c r="BQ189">
        <v>20</v>
      </c>
      <c r="BR189">
        <v>21.8</v>
      </c>
      <c r="BS189">
        <v>25</v>
      </c>
      <c r="BT189">
        <v>21.9</v>
      </c>
      <c r="BU189">
        <v>25</v>
      </c>
      <c r="BV189">
        <v>23.7</v>
      </c>
      <c r="BW189">
        <v>18</v>
      </c>
      <c r="BX189">
        <v>21.7</v>
      </c>
      <c r="BY189">
        <v>20</v>
      </c>
      <c r="BZ189">
        <v>21.3</v>
      </c>
      <c r="CA189">
        <v>20</v>
      </c>
      <c r="CB189">
        <v>10.6</v>
      </c>
      <c r="CC189">
        <v>10</v>
      </c>
      <c r="CD189">
        <v>11.8</v>
      </c>
      <c r="CE189">
        <v>10</v>
      </c>
      <c r="CF189">
        <v>11.5</v>
      </c>
      <c r="CG189">
        <v>9</v>
      </c>
      <c r="CH189">
        <v>11.7</v>
      </c>
      <c r="CI189">
        <v>9</v>
      </c>
    </row>
    <row r="190" spans="1:87" x14ac:dyDescent="0.35">
      <c r="A190" s="1">
        <v>46059.579861111109</v>
      </c>
      <c r="B190">
        <v>-23.6</v>
      </c>
      <c r="C190">
        <v>-21.8</v>
      </c>
      <c r="D190">
        <v>-25</v>
      </c>
      <c r="E190">
        <v>-23.1</v>
      </c>
      <c r="F190">
        <v>-23.9</v>
      </c>
      <c r="G190">
        <v>-25</v>
      </c>
      <c r="H190">
        <v>-18.3</v>
      </c>
      <c r="I190">
        <v>-16.3</v>
      </c>
      <c r="J190">
        <v>-25</v>
      </c>
      <c r="K190">
        <v>-17.8</v>
      </c>
      <c r="L190">
        <v>-18.600000000000001</v>
      </c>
      <c r="M190">
        <v>-25</v>
      </c>
      <c r="N190">
        <v>-21.1</v>
      </c>
      <c r="O190">
        <v>-21.2</v>
      </c>
      <c r="P190">
        <v>-25</v>
      </c>
      <c r="Q190">
        <v>-21</v>
      </c>
      <c r="R190">
        <v>-21.2</v>
      </c>
      <c r="S190">
        <v>-25</v>
      </c>
      <c r="T190">
        <v>3.6</v>
      </c>
      <c r="U190">
        <v>3.6</v>
      </c>
      <c r="V190">
        <v>2</v>
      </c>
      <c r="W190">
        <v>3.6</v>
      </c>
      <c r="X190">
        <v>3.4</v>
      </c>
      <c r="Y190">
        <v>2</v>
      </c>
      <c r="Z190">
        <v>2.7</v>
      </c>
      <c r="AA190">
        <v>2</v>
      </c>
      <c r="AB190">
        <v>2</v>
      </c>
      <c r="AC190">
        <v>2.2000000000000002</v>
      </c>
      <c r="AD190">
        <v>0</v>
      </c>
      <c r="AE190">
        <v>2</v>
      </c>
      <c r="AF190">
        <v>3.7</v>
      </c>
      <c r="AG190">
        <v>3</v>
      </c>
      <c r="AH190">
        <v>2</v>
      </c>
      <c r="AI190">
        <v>3.4</v>
      </c>
      <c r="AJ190">
        <v>0.5</v>
      </c>
      <c r="AK190">
        <v>2</v>
      </c>
      <c r="AL190">
        <v>4.5999999999999996</v>
      </c>
      <c r="AM190">
        <v>4</v>
      </c>
      <c r="AN190">
        <v>5.5</v>
      </c>
      <c r="AO190">
        <v>4</v>
      </c>
      <c r="AP190">
        <v>5.0999999999999996</v>
      </c>
      <c r="AQ190">
        <v>4</v>
      </c>
      <c r="AR190">
        <v>6.1</v>
      </c>
      <c r="AS190">
        <v>4</v>
      </c>
      <c r="AT190">
        <v>-4.5</v>
      </c>
      <c r="AU190">
        <v>-6.4</v>
      </c>
      <c r="AV190">
        <v>-5</v>
      </c>
      <c r="AW190">
        <v>-3.9</v>
      </c>
      <c r="AX190">
        <v>-5</v>
      </c>
      <c r="AY190">
        <v>-5</v>
      </c>
      <c r="AZ190">
        <v>10.9</v>
      </c>
      <c r="BA190">
        <v>10</v>
      </c>
      <c r="BB190">
        <v>10.6</v>
      </c>
      <c r="BC190">
        <v>10</v>
      </c>
      <c r="BD190">
        <v>5.2</v>
      </c>
      <c r="BE190">
        <v>4</v>
      </c>
      <c r="BF190">
        <v>9.6</v>
      </c>
      <c r="BG190">
        <v>10</v>
      </c>
      <c r="BH190">
        <v>11.5</v>
      </c>
      <c r="BI190">
        <v>10</v>
      </c>
      <c r="BJ190">
        <v>10.199999999999999</v>
      </c>
      <c r="BK190">
        <v>9</v>
      </c>
      <c r="BL190">
        <v>20.100000000000001</v>
      </c>
      <c r="BM190">
        <v>19</v>
      </c>
      <c r="BN190">
        <v>23.2</v>
      </c>
      <c r="BO190">
        <v>19</v>
      </c>
      <c r="BP190">
        <v>21.3</v>
      </c>
      <c r="BQ190">
        <v>20</v>
      </c>
      <c r="BR190">
        <v>21.8</v>
      </c>
      <c r="BS190">
        <v>25</v>
      </c>
      <c r="BT190">
        <v>21.9</v>
      </c>
      <c r="BU190">
        <v>25</v>
      </c>
      <c r="BV190">
        <v>23.7</v>
      </c>
      <c r="BW190">
        <v>18</v>
      </c>
      <c r="BX190">
        <v>21.7</v>
      </c>
      <c r="BY190">
        <v>20</v>
      </c>
      <c r="BZ190">
        <v>21.3</v>
      </c>
      <c r="CA190">
        <v>20</v>
      </c>
      <c r="CB190">
        <v>10.6</v>
      </c>
      <c r="CC190">
        <v>10</v>
      </c>
      <c r="CD190">
        <v>11.8</v>
      </c>
      <c r="CE190">
        <v>10</v>
      </c>
      <c r="CF190">
        <v>11.5</v>
      </c>
      <c r="CG190">
        <v>9</v>
      </c>
      <c r="CH190">
        <v>11.7</v>
      </c>
      <c r="CI190">
        <v>9</v>
      </c>
    </row>
    <row r="191" spans="1:87" x14ac:dyDescent="0.35">
      <c r="A191" s="1">
        <v>46059.580555555556</v>
      </c>
      <c r="B191">
        <v>-23.6</v>
      </c>
      <c r="C191">
        <v>-21.8</v>
      </c>
      <c r="D191">
        <v>-25</v>
      </c>
      <c r="E191">
        <v>-23.1</v>
      </c>
      <c r="F191">
        <v>-23.9</v>
      </c>
      <c r="G191">
        <v>-25</v>
      </c>
      <c r="H191">
        <v>-18.399999999999999</v>
      </c>
      <c r="I191">
        <v>-16.3</v>
      </c>
      <c r="J191">
        <v>-25</v>
      </c>
      <c r="K191">
        <v>-17.899999999999999</v>
      </c>
      <c r="L191">
        <v>-18.600000000000001</v>
      </c>
      <c r="M191">
        <v>-25</v>
      </c>
      <c r="N191">
        <v>-21.1</v>
      </c>
      <c r="O191">
        <v>-21.3</v>
      </c>
      <c r="P191">
        <v>-25</v>
      </c>
      <c r="Q191">
        <v>-21</v>
      </c>
      <c r="R191">
        <v>-21.2</v>
      </c>
      <c r="S191">
        <v>-25</v>
      </c>
      <c r="T191">
        <v>3.7</v>
      </c>
      <c r="U191">
        <v>3.7</v>
      </c>
      <c r="V191">
        <v>2</v>
      </c>
      <c r="W191">
        <v>3.7</v>
      </c>
      <c r="X191">
        <v>3.5</v>
      </c>
      <c r="Y191">
        <v>2</v>
      </c>
      <c r="Z191">
        <v>2.5</v>
      </c>
      <c r="AA191">
        <v>1.7</v>
      </c>
      <c r="AB191">
        <v>2</v>
      </c>
      <c r="AC191">
        <v>2</v>
      </c>
      <c r="AD191">
        <v>0</v>
      </c>
      <c r="AE191">
        <v>2</v>
      </c>
      <c r="AF191">
        <v>3.3</v>
      </c>
      <c r="AG191">
        <v>2.7</v>
      </c>
      <c r="AH191">
        <v>2</v>
      </c>
      <c r="AI191">
        <v>3</v>
      </c>
      <c r="AJ191">
        <v>-0.2</v>
      </c>
      <c r="AK191">
        <v>2</v>
      </c>
      <c r="AL191">
        <v>4.4000000000000004</v>
      </c>
      <c r="AM191">
        <v>4</v>
      </c>
      <c r="AN191">
        <v>5.5</v>
      </c>
      <c r="AO191">
        <v>4</v>
      </c>
      <c r="AP191">
        <v>5.2</v>
      </c>
      <c r="AQ191">
        <v>4</v>
      </c>
      <c r="AR191">
        <v>6.3</v>
      </c>
      <c r="AS191">
        <v>4</v>
      </c>
      <c r="AT191">
        <v>-4.5999999999999996</v>
      </c>
      <c r="AU191">
        <v>-6.5</v>
      </c>
      <c r="AV191">
        <v>-5</v>
      </c>
      <c r="AW191">
        <v>-4.2</v>
      </c>
      <c r="AX191">
        <v>-6.1</v>
      </c>
      <c r="AY191">
        <v>-5</v>
      </c>
      <c r="AZ191">
        <v>11</v>
      </c>
      <c r="BA191">
        <v>10</v>
      </c>
      <c r="BB191">
        <v>10.6</v>
      </c>
      <c r="BC191">
        <v>10</v>
      </c>
      <c r="BD191">
        <v>5.3</v>
      </c>
      <c r="BE191">
        <v>4</v>
      </c>
      <c r="BF191">
        <v>9.4</v>
      </c>
      <c r="BG191">
        <v>10</v>
      </c>
      <c r="BH191">
        <v>11.5</v>
      </c>
      <c r="BI191">
        <v>10</v>
      </c>
      <c r="BJ191">
        <v>10.199999999999999</v>
      </c>
      <c r="BK191">
        <v>9</v>
      </c>
      <c r="BL191">
        <v>20.100000000000001</v>
      </c>
      <c r="BM191">
        <v>19</v>
      </c>
      <c r="BN191">
        <v>23.2</v>
      </c>
      <c r="BO191">
        <v>19</v>
      </c>
      <c r="BP191">
        <v>21.3</v>
      </c>
      <c r="BQ191">
        <v>20</v>
      </c>
      <c r="BR191">
        <v>21.8</v>
      </c>
      <c r="BS191">
        <v>25</v>
      </c>
      <c r="BT191">
        <v>21.9</v>
      </c>
      <c r="BU191">
        <v>25</v>
      </c>
      <c r="BV191">
        <v>23.7</v>
      </c>
      <c r="BW191">
        <v>18</v>
      </c>
      <c r="BX191">
        <v>21.7</v>
      </c>
      <c r="BY191">
        <v>20</v>
      </c>
      <c r="BZ191">
        <v>21.4</v>
      </c>
      <c r="CA191">
        <v>20</v>
      </c>
      <c r="CB191">
        <v>10.6</v>
      </c>
      <c r="CC191">
        <v>10</v>
      </c>
      <c r="CD191">
        <v>11.9</v>
      </c>
      <c r="CE191">
        <v>10</v>
      </c>
      <c r="CF191">
        <v>11.6</v>
      </c>
      <c r="CG191">
        <v>9</v>
      </c>
      <c r="CH191">
        <v>11.7</v>
      </c>
      <c r="CI191">
        <v>9</v>
      </c>
    </row>
    <row r="192" spans="1:87" x14ac:dyDescent="0.35">
      <c r="A192" s="1">
        <v>46059.581250000003</v>
      </c>
      <c r="B192">
        <v>-23.6</v>
      </c>
      <c r="C192">
        <v>-21.8</v>
      </c>
      <c r="D192">
        <v>-25</v>
      </c>
      <c r="E192">
        <v>-23.1</v>
      </c>
      <c r="F192">
        <v>-23.9</v>
      </c>
      <c r="G192">
        <v>-25</v>
      </c>
      <c r="H192">
        <v>-18.399999999999999</v>
      </c>
      <c r="I192">
        <v>-16.3</v>
      </c>
      <c r="J192">
        <v>-25</v>
      </c>
      <c r="K192">
        <v>-17.899999999999999</v>
      </c>
      <c r="L192">
        <v>-18.7</v>
      </c>
      <c r="M192">
        <v>-25</v>
      </c>
      <c r="N192">
        <v>-21.2</v>
      </c>
      <c r="O192">
        <v>-21.3</v>
      </c>
      <c r="P192">
        <v>-25</v>
      </c>
      <c r="Q192">
        <v>-21.1</v>
      </c>
      <c r="R192">
        <v>-21.2</v>
      </c>
      <c r="S192">
        <v>-25</v>
      </c>
      <c r="T192">
        <v>3.8</v>
      </c>
      <c r="U192">
        <v>3.8</v>
      </c>
      <c r="V192">
        <v>2</v>
      </c>
      <c r="W192">
        <v>3.8</v>
      </c>
      <c r="X192">
        <v>3.5</v>
      </c>
      <c r="Y192">
        <v>2</v>
      </c>
      <c r="Z192">
        <v>2.4</v>
      </c>
      <c r="AA192">
        <v>1.7</v>
      </c>
      <c r="AB192">
        <v>2</v>
      </c>
      <c r="AC192">
        <v>1.9</v>
      </c>
      <c r="AD192">
        <v>1</v>
      </c>
      <c r="AE192">
        <v>2</v>
      </c>
      <c r="AF192">
        <v>2.9</v>
      </c>
      <c r="AG192">
        <v>2.4</v>
      </c>
      <c r="AH192">
        <v>2</v>
      </c>
      <c r="AI192">
        <v>2.8</v>
      </c>
      <c r="AJ192">
        <v>0.3</v>
      </c>
      <c r="AK192">
        <v>2</v>
      </c>
      <c r="AL192">
        <v>4.2</v>
      </c>
      <c r="AM192">
        <v>4</v>
      </c>
      <c r="AN192">
        <v>5.5</v>
      </c>
      <c r="AO192">
        <v>4</v>
      </c>
      <c r="AP192">
        <v>5.4</v>
      </c>
      <c r="AQ192">
        <v>4</v>
      </c>
      <c r="AR192">
        <v>6.3</v>
      </c>
      <c r="AS192">
        <v>4</v>
      </c>
      <c r="AT192">
        <v>-4.8</v>
      </c>
      <c r="AU192">
        <v>-6.7</v>
      </c>
      <c r="AV192">
        <v>-5</v>
      </c>
      <c r="AW192">
        <v>-4.4000000000000004</v>
      </c>
      <c r="AX192">
        <v>-5.7</v>
      </c>
      <c r="AY192">
        <v>-5</v>
      </c>
      <c r="AZ192">
        <v>11.1</v>
      </c>
      <c r="BA192">
        <v>10</v>
      </c>
      <c r="BB192">
        <v>10.5</v>
      </c>
      <c r="BC192">
        <v>10</v>
      </c>
      <c r="BD192">
        <v>5.5</v>
      </c>
      <c r="BE192">
        <v>4</v>
      </c>
      <c r="BF192">
        <v>9.6</v>
      </c>
      <c r="BG192">
        <v>10</v>
      </c>
      <c r="BH192">
        <v>11.5</v>
      </c>
      <c r="BI192">
        <v>10</v>
      </c>
      <c r="BJ192">
        <v>10.199999999999999</v>
      </c>
      <c r="BK192">
        <v>9</v>
      </c>
      <c r="BL192">
        <v>20.100000000000001</v>
      </c>
      <c r="BM192">
        <v>19</v>
      </c>
      <c r="BN192">
        <v>23.2</v>
      </c>
      <c r="BO192">
        <v>19</v>
      </c>
      <c r="BP192">
        <v>21.3</v>
      </c>
      <c r="BQ192">
        <v>20</v>
      </c>
      <c r="BR192">
        <v>21.8</v>
      </c>
      <c r="BS192">
        <v>25</v>
      </c>
      <c r="BT192">
        <v>21.9</v>
      </c>
      <c r="BU192">
        <v>25</v>
      </c>
      <c r="BV192">
        <v>23.7</v>
      </c>
      <c r="BW192">
        <v>18</v>
      </c>
      <c r="BX192">
        <v>21.8</v>
      </c>
      <c r="BY192">
        <v>20</v>
      </c>
      <c r="BZ192">
        <v>21.4</v>
      </c>
      <c r="CA192">
        <v>20</v>
      </c>
      <c r="CB192">
        <v>10.6</v>
      </c>
      <c r="CC192">
        <v>10</v>
      </c>
      <c r="CD192">
        <v>11.9</v>
      </c>
      <c r="CE192">
        <v>10</v>
      </c>
      <c r="CF192">
        <v>11.7</v>
      </c>
      <c r="CG192">
        <v>9</v>
      </c>
      <c r="CH192">
        <v>11.9</v>
      </c>
      <c r="CI192">
        <v>9</v>
      </c>
    </row>
    <row r="193" spans="1:87" x14ac:dyDescent="0.35">
      <c r="A193" s="1">
        <v>46059.581944444442</v>
      </c>
      <c r="B193">
        <v>-23.6</v>
      </c>
      <c r="C193">
        <v>-21.8</v>
      </c>
      <c r="D193">
        <v>-25</v>
      </c>
      <c r="E193">
        <v>-23.1</v>
      </c>
      <c r="F193">
        <v>-23.9</v>
      </c>
      <c r="G193">
        <v>-25</v>
      </c>
      <c r="H193">
        <v>-18.399999999999999</v>
      </c>
      <c r="I193">
        <v>-16.399999999999999</v>
      </c>
      <c r="J193">
        <v>-25</v>
      </c>
      <c r="K193">
        <v>-17.899999999999999</v>
      </c>
      <c r="L193">
        <v>-18.7</v>
      </c>
      <c r="M193">
        <v>-25</v>
      </c>
      <c r="N193">
        <v>-21.2</v>
      </c>
      <c r="O193">
        <v>-21.3</v>
      </c>
      <c r="P193">
        <v>-25</v>
      </c>
      <c r="Q193">
        <v>-21.1</v>
      </c>
      <c r="R193">
        <v>-21.2</v>
      </c>
      <c r="S193">
        <v>-25</v>
      </c>
      <c r="T193">
        <v>3.8</v>
      </c>
      <c r="U193">
        <v>3.8</v>
      </c>
      <c r="V193">
        <v>2</v>
      </c>
      <c r="W193">
        <v>3.8</v>
      </c>
      <c r="X193">
        <v>3.6</v>
      </c>
      <c r="Y193">
        <v>2</v>
      </c>
      <c r="Z193">
        <v>2.4</v>
      </c>
      <c r="AA193">
        <v>1.9</v>
      </c>
      <c r="AB193">
        <v>2</v>
      </c>
      <c r="AC193">
        <v>2</v>
      </c>
      <c r="AD193">
        <v>1.4</v>
      </c>
      <c r="AE193">
        <v>2</v>
      </c>
      <c r="AF193">
        <v>2.9</v>
      </c>
      <c r="AG193">
        <v>2.4</v>
      </c>
      <c r="AH193">
        <v>2</v>
      </c>
      <c r="AI193">
        <v>2.8</v>
      </c>
      <c r="AJ193">
        <v>0.3</v>
      </c>
      <c r="AK193">
        <v>2</v>
      </c>
      <c r="AL193">
        <v>4</v>
      </c>
      <c r="AM193">
        <v>4</v>
      </c>
      <c r="AN193">
        <v>5.6</v>
      </c>
      <c r="AO193">
        <v>4</v>
      </c>
      <c r="AP193">
        <v>5.5</v>
      </c>
      <c r="AQ193">
        <v>4</v>
      </c>
      <c r="AR193">
        <v>6.4</v>
      </c>
      <c r="AS193">
        <v>4</v>
      </c>
      <c r="AT193">
        <v>-4.9000000000000004</v>
      </c>
      <c r="AU193">
        <v>-6.8</v>
      </c>
      <c r="AV193">
        <v>-5</v>
      </c>
      <c r="AW193">
        <v>-4.5</v>
      </c>
      <c r="AX193">
        <v>-5.0999999999999996</v>
      </c>
      <c r="AY193">
        <v>-5</v>
      </c>
      <c r="AZ193">
        <v>11.2</v>
      </c>
      <c r="BA193">
        <v>10</v>
      </c>
      <c r="BB193">
        <v>10.4</v>
      </c>
      <c r="BC193">
        <v>10</v>
      </c>
      <c r="BD193">
        <v>5.6</v>
      </c>
      <c r="BE193">
        <v>4</v>
      </c>
      <c r="BF193">
        <v>10</v>
      </c>
      <c r="BG193">
        <v>10</v>
      </c>
      <c r="BH193">
        <v>11.5</v>
      </c>
      <c r="BI193">
        <v>10</v>
      </c>
      <c r="BJ193">
        <v>10.199999999999999</v>
      </c>
      <c r="BK193">
        <v>9</v>
      </c>
      <c r="BL193">
        <v>20.2</v>
      </c>
      <c r="BM193">
        <v>19</v>
      </c>
      <c r="BN193">
        <v>23.2</v>
      </c>
      <c r="BO193">
        <v>19</v>
      </c>
      <c r="BP193">
        <v>21.3</v>
      </c>
      <c r="BQ193">
        <v>20</v>
      </c>
      <c r="BR193">
        <v>21.8</v>
      </c>
      <c r="BS193">
        <v>25</v>
      </c>
      <c r="BT193">
        <v>21.9</v>
      </c>
      <c r="BU193">
        <v>25</v>
      </c>
      <c r="BV193">
        <v>23.7</v>
      </c>
      <c r="BW193">
        <v>18</v>
      </c>
      <c r="BX193">
        <v>21.8</v>
      </c>
      <c r="BY193">
        <v>20</v>
      </c>
      <c r="BZ193">
        <v>21.4</v>
      </c>
      <c r="CA193">
        <v>20</v>
      </c>
      <c r="CB193">
        <v>10.6</v>
      </c>
      <c r="CC193">
        <v>10</v>
      </c>
      <c r="CD193">
        <v>11.9</v>
      </c>
      <c r="CE193">
        <v>10</v>
      </c>
      <c r="CF193">
        <v>11.9</v>
      </c>
      <c r="CG193">
        <v>9</v>
      </c>
      <c r="CH193">
        <v>12.1</v>
      </c>
      <c r="CI193">
        <v>9</v>
      </c>
    </row>
    <row r="194" spans="1:87" x14ac:dyDescent="0.35">
      <c r="A194" s="1">
        <v>46059.582638888889</v>
      </c>
      <c r="B194">
        <v>-23.7</v>
      </c>
      <c r="C194">
        <v>-21.9</v>
      </c>
      <c r="D194">
        <v>-25</v>
      </c>
      <c r="E194">
        <v>-23.1</v>
      </c>
      <c r="F194">
        <v>-25.5</v>
      </c>
      <c r="G194">
        <v>-25</v>
      </c>
      <c r="H194">
        <v>-18.399999999999999</v>
      </c>
      <c r="I194">
        <v>-16.399999999999999</v>
      </c>
      <c r="J194">
        <v>-25</v>
      </c>
      <c r="K194">
        <v>-17.899999999999999</v>
      </c>
      <c r="L194">
        <v>-18.5</v>
      </c>
      <c r="M194">
        <v>-25</v>
      </c>
      <c r="N194">
        <v>-21.2</v>
      </c>
      <c r="O194">
        <v>-21.4</v>
      </c>
      <c r="P194">
        <v>-25</v>
      </c>
      <c r="Q194">
        <v>-21.1</v>
      </c>
      <c r="R194">
        <v>-21.3</v>
      </c>
      <c r="S194">
        <v>-25</v>
      </c>
      <c r="T194">
        <v>3.9</v>
      </c>
      <c r="U194">
        <v>3.9</v>
      </c>
      <c r="V194">
        <v>2</v>
      </c>
      <c r="W194">
        <v>3.9</v>
      </c>
      <c r="X194">
        <v>3.7</v>
      </c>
      <c r="Y194">
        <v>2</v>
      </c>
      <c r="Z194">
        <v>2.4</v>
      </c>
      <c r="AA194">
        <v>2</v>
      </c>
      <c r="AB194">
        <v>2</v>
      </c>
      <c r="AC194">
        <v>2.1</v>
      </c>
      <c r="AD194">
        <v>1.7</v>
      </c>
      <c r="AE194">
        <v>2</v>
      </c>
      <c r="AF194">
        <v>2.7</v>
      </c>
      <c r="AG194">
        <v>2.2000000000000002</v>
      </c>
      <c r="AH194">
        <v>2</v>
      </c>
      <c r="AI194">
        <v>2.5</v>
      </c>
      <c r="AJ194">
        <v>0.3</v>
      </c>
      <c r="AK194">
        <v>2</v>
      </c>
      <c r="AL194">
        <v>3.9</v>
      </c>
      <c r="AM194">
        <v>4</v>
      </c>
      <c r="AN194">
        <v>5.6</v>
      </c>
      <c r="AO194">
        <v>4</v>
      </c>
      <c r="AP194">
        <v>5.6</v>
      </c>
      <c r="AQ194">
        <v>4</v>
      </c>
      <c r="AR194">
        <v>6.4</v>
      </c>
      <c r="AS194">
        <v>4</v>
      </c>
      <c r="AT194">
        <v>-5</v>
      </c>
      <c r="AU194">
        <v>-7</v>
      </c>
      <c r="AV194">
        <v>-5</v>
      </c>
      <c r="AW194">
        <v>-4.5999999999999996</v>
      </c>
      <c r="AX194">
        <v>-6</v>
      </c>
      <c r="AY194">
        <v>-5</v>
      </c>
      <c r="AZ194">
        <v>11.3</v>
      </c>
      <c r="BA194">
        <v>10</v>
      </c>
      <c r="BB194">
        <v>10.3</v>
      </c>
      <c r="BC194">
        <v>10</v>
      </c>
      <c r="BD194">
        <v>5.8</v>
      </c>
      <c r="BE194">
        <v>4</v>
      </c>
      <c r="BF194">
        <v>10.4</v>
      </c>
      <c r="BG194">
        <v>10</v>
      </c>
      <c r="BH194">
        <v>11.6</v>
      </c>
      <c r="BI194">
        <v>10</v>
      </c>
      <c r="BJ194">
        <v>10.199999999999999</v>
      </c>
      <c r="BK194">
        <v>9</v>
      </c>
      <c r="BL194">
        <v>20.2</v>
      </c>
      <c r="BM194">
        <v>19</v>
      </c>
      <c r="BN194">
        <v>23.2</v>
      </c>
      <c r="BO194">
        <v>19</v>
      </c>
      <c r="BP194">
        <v>21.4</v>
      </c>
      <c r="BQ194">
        <v>20</v>
      </c>
      <c r="BR194">
        <v>21.9</v>
      </c>
      <c r="BS194">
        <v>25</v>
      </c>
      <c r="BT194">
        <v>21.9</v>
      </c>
      <c r="BU194">
        <v>25</v>
      </c>
      <c r="BV194">
        <v>23.7</v>
      </c>
      <c r="BW194">
        <v>18</v>
      </c>
      <c r="BX194">
        <v>21.8</v>
      </c>
      <c r="BY194">
        <v>20</v>
      </c>
      <c r="BZ194">
        <v>21.4</v>
      </c>
      <c r="CA194">
        <v>20</v>
      </c>
      <c r="CB194">
        <v>10.6</v>
      </c>
      <c r="CC194">
        <v>10</v>
      </c>
      <c r="CD194">
        <v>12</v>
      </c>
      <c r="CE194">
        <v>10</v>
      </c>
      <c r="CF194">
        <v>11.9</v>
      </c>
      <c r="CG194">
        <v>9</v>
      </c>
      <c r="CH194">
        <v>12.1</v>
      </c>
      <c r="CI194">
        <v>9</v>
      </c>
    </row>
    <row r="195" spans="1:87" x14ac:dyDescent="0.35">
      <c r="A195" s="1">
        <v>46059.583333333336</v>
      </c>
      <c r="B195">
        <v>-24</v>
      </c>
      <c r="C195">
        <v>-22</v>
      </c>
      <c r="D195">
        <v>-25</v>
      </c>
      <c r="E195">
        <v>-23.2</v>
      </c>
      <c r="F195">
        <v>-25.7</v>
      </c>
      <c r="G195">
        <v>-25</v>
      </c>
      <c r="H195">
        <v>-18.2</v>
      </c>
      <c r="I195">
        <v>-16.399999999999999</v>
      </c>
      <c r="J195">
        <v>-25</v>
      </c>
      <c r="K195">
        <v>-17.899999999999999</v>
      </c>
      <c r="L195">
        <v>-18.2</v>
      </c>
      <c r="M195">
        <v>-25</v>
      </c>
      <c r="N195">
        <v>-21.3</v>
      </c>
      <c r="O195">
        <v>-21.4</v>
      </c>
      <c r="P195">
        <v>-25</v>
      </c>
      <c r="Q195">
        <v>-21.1</v>
      </c>
      <c r="R195">
        <v>-21.4</v>
      </c>
      <c r="S195">
        <v>-25</v>
      </c>
      <c r="T195">
        <v>3.9</v>
      </c>
      <c r="U195">
        <v>4</v>
      </c>
      <c r="V195">
        <v>2</v>
      </c>
      <c r="W195">
        <v>4.2</v>
      </c>
      <c r="X195">
        <v>4.0999999999999996</v>
      </c>
      <c r="Y195">
        <v>2</v>
      </c>
      <c r="Z195">
        <v>2.5</v>
      </c>
      <c r="AA195">
        <v>2.1</v>
      </c>
      <c r="AB195">
        <v>2</v>
      </c>
      <c r="AC195">
        <v>2.2000000000000002</v>
      </c>
      <c r="AD195">
        <v>1.9</v>
      </c>
      <c r="AE195">
        <v>2</v>
      </c>
      <c r="AF195">
        <v>2.6</v>
      </c>
      <c r="AG195">
        <v>2.1</v>
      </c>
      <c r="AH195">
        <v>2</v>
      </c>
      <c r="AI195">
        <v>2.5</v>
      </c>
      <c r="AJ195">
        <v>0.9</v>
      </c>
      <c r="AK195">
        <v>2</v>
      </c>
      <c r="AL195">
        <v>3.8</v>
      </c>
      <c r="AM195">
        <v>4</v>
      </c>
      <c r="AN195">
        <v>5.7</v>
      </c>
      <c r="AO195">
        <v>4</v>
      </c>
      <c r="AP195">
        <v>5.8</v>
      </c>
      <c r="AQ195">
        <v>4</v>
      </c>
      <c r="AR195">
        <v>6</v>
      </c>
      <c r="AS195">
        <v>4</v>
      </c>
      <c r="AT195">
        <v>-3.5</v>
      </c>
      <c r="AU195">
        <v>-3.6</v>
      </c>
      <c r="AV195">
        <v>-5</v>
      </c>
      <c r="AW195">
        <v>-5</v>
      </c>
      <c r="AX195">
        <v>-7.5</v>
      </c>
      <c r="AY195">
        <v>-5</v>
      </c>
      <c r="AZ195">
        <v>11.4</v>
      </c>
      <c r="BA195">
        <v>10</v>
      </c>
      <c r="BB195">
        <v>10.199999999999999</v>
      </c>
      <c r="BC195">
        <v>10</v>
      </c>
      <c r="BD195">
        <v>5.9</v>
      </c>
      <c r="BE195">
        <v>4</v>
      </c>
      <c r="BF195">
        <v>10.6</v>
      </c>
      <c r="BG195">
        <v>10</v>
      </c>
      <c r="BH195">
        <v>11.6</v>
      </c>
      <c r="BI195">
        <v>10</v>
      </c>
      <c r="BJ195">
        <v>10.199999999999999</v>
      </c>
      <c r="BK195">
        <v>9</v>
      </c>
      <c r="BL195">
        <v>20.2</v>
      </c>
      <c r="BM195">
        <v>19</v>
      </c>
      <c r="BN195">
        <v>23.2</v>
      </c>
      <c r="BO195">
        <v>19</v>
      </c>
      <c r="BP195">
        <v>21.4</v>
      </c>
      <c r="BQ195">
        <v>20</v>
      </c>
      <c r="BR195">
        <v>21.9</v>
      </c>
      <c r="BS195">
        <v>25</v>
      </c>
      <c r="BT195">
        <v>21.9</v>
      </c>
      <c r="BU195">
        <v>25</v>
      </c>
      <c r="BV195">
        <v>23.7</v>
      </c>
      <c r="BW195">
        <v>18</v>
      </c>
      <c r="BX195">
        <v>21.8</v>
      </c>
      <c r="BY195">
        <v>20</v>
      </c>
      <c r="BZ195">
        <v>21.5</v>
      </c>
      <c r="CA195">
        <v>20</v>
      </c>
      <c r="CB195">
        <v>10.5</v>
      </c>
      <c r="CC195">
        <v>10</v>
      </c>
      <c r="CD195">
        <v>11.6</v>
      </c>
      <c r="CE195">
        <v>10</v>
      </c>
      <c r="CF195">
        <v>11.9</v>
      </c>
      <c r="CG195">
        <v>9</v>
      </c>
      <c r="CH195">
        <v>12.2</v>
      </c>
      <c r="CI195">
        <v>9</v>
      </c>
    </row>
    <row r="196" spans="1:87" x14ac:dyDescent="0.35">
      <c r="A196" s="1">
        <v>46059.584027777775</v>
      </c>
      <c r="B196">
        <v>-22.2</v>
      </c>
      <c r="C196">
        <v>-22</v>
      </c>
      <c r="D196">
        <v>-25</v>
      </c>
      <c r="E196">
        <v>-21.5</v>
      </c>
      <c r="F196">
        <v>-22.2</v>
      </c>
      <c r="G196">
        <v>-25</v>
      </c>
      <c r="H196">
        <v>-16.2</v>
      </c>
      <c r="I196">
        <v>-17.3</v>
      </c>
      <c r="J196">
        <v>-25</v>
      </c>
      <c r="K196">
        <v>-17.8</v>
      </c>
      <c r="L196">
        <v>-17</v>
      </c>
      <c r="M196">
        <v>-25</v>
      </c>
      <c r="N196">
        <v>-21.3</v>
      </c>
      <c r="O196">
        <v>-21.5</v>
      </c>
      <c r="P196">
        <v>-25</v>
      </c>
      <c r="Q196">
        <v>-21.1</v>
      </c>
      <c r="R196">
        <v>-21.4</v>
      </c>
      <c r="S196">
        <v>-25</v>
      </c>
      <c r="T196">
        <v>4</v>
      </c>
      <c r="U196">
        <v>3.1</v>
      </c>
      <c r="V196">
        <v>2</v>
      </c>
      <c r="W196">
        <v>4.2</v>
      </c>
      <c r="X196">
        <v>2.5</v>
      </c>
      <c r="Y196">
        <v>2</v>
      </c>
      <c r="Z196">
        <v>2.6</v>
      </c>
      <c r="AA196">
        <v>2.2000000000000002</v>
      </c>
      <c r="AB196">
        <v>2</v>
      </c>
      <c r="AC196">
        <v>2.2999999999999998</v>
      </c>
      <c r="AD196">
        <v>2</v>
      </c>
      <c r="AE196">
        <v>2</v>
      </c>
      <c r="AF196">
        <v>2.6</v>
      </c>
      <c r="AG196">
        <v>2.1</v>
      </c>
      <c r="AH196">
        <v>2</v>
      </c>
      <c r="AI196">
        <v>2.5</v>
      </c>
      <c r="AJ196">
        <v>1.2</v>
      </c>
      <c r="AK196">
        <v>2</v>
      </c>
      <c r="AL196">
        <v>3.8</v>
      </c>
      <c r="AM196">
        <v>4</v>
      </c>
      <c r="AN196">
        <v>5.7</v>
      </c>
      <c r="AO196">
        <v>4</v>
      </c>
      <c r="AP196">
        <v>5.9</v>
      </c>
      <c r="AQ196">
        <v>4</v>
      </c>
      <c r="AR196">
        <v>5.3</v>
      </c>
      <c r="AS196">
        <v>4</v>
      </c>
      <c r="AT196">
        <v>-3.2</v>
      </c>
      <c r="AU196">
        <v>-3.5</v>
      </c>
      <c r="AV196">
        <v>-5</v>
      </c>
      <c r="AW196">
        <v>-5.4</v>
      </c>
      <c r="AX196">
        <v>-6.2</v>
      </c>
      <c r="AY196">
        <v>-5</v>
      </c>
      <c r="AZ196">
        <v>11.4</v>
      </c>
      <c r="BA196">
        <v>10</v>
      </c>
      <c r="BB196">
        <v>10.3</v>
      </c>
      <c r="BC196">
        <v>10</v>
      </c>
      <c r="BD196">
        <v>6</v>
      </c>
      <c r="BE196">
        <v>4</v>
      </c>
      <c r="BF196">
        <v>11.1</v>
      </c>
      <c r="BG196">
        <v>10</v>
      </c>
      <c r="BH196">
        <v>11.6</v>
      </c>
      <c r="BI196">
        <v>10</v>
      </c>
      <c r="BJ196">
        <v>10.199999999999999</v>
      </c>
      <c r="BK196">
        <v>9</v>
      </c>
      <c r="BL196">
        <v>20.2</v>
      </c>
      <c r="BM196">
        <v>19</v>
      </c>
      <c r="BN196">
        <v>23.2</v>
      </c>
      <c r="BO196">
        <v>19</v>
      </c>
      <c r="BP196">
        <v>21.4</v>
      </c>
      <c r="BQ196">
        <v>20</v>
      </c>
      <c r="BR196">
        <v>21.9</v>
      </c>
      <c r="BS196">
        <v>25</v>
      </c>
      <c r="BT196">
        <v>21.9</v>
      </c>
      <c r="BU196">
        <v>25</v>
      </c>
      <c r="BV196">
        <v>23.7</v>
      </c>
      <c r="BW196">
        <v>18</v>
      </c>
      <c r="BX196">
        <v>21.8</v>
      </c>
      <c r="BY196">
        <v>20</v>
      </c>
      <c r="BZ196">
        <v>21.5</v>
      </c>
      <c r="CA196">
        <v>20</v>
      </c>
      <c r="CB196">
        <v>10.5</v>
      </c>
      <c r="CC196">
        <v>10</v>
      </c>
      <c r="CD196">
        <v>11.2</v>
      </c>
      <c r="CE196">
        <v>10</v>
      </c>
      <c r="CF196">
        <v>11.9</v>
      </c>
      <c r="CG196">
        <v>9</v>
      </c>
      <c r="CH196">
        <v>12.1</v>
      </c>
      <c r="CI196">
        <v>9</v>
      </c>
    </row>
    <row r="197" spans="1:87" x14ac:dyDescent="0.35">
      <c r="A197" s="1">
        <v>46059.584722222222</v>
      </c>
      <c r="B197">
        <v>-21.3</v>
      </c>
      <c r="C197">
        <v>-21.9</v>
      </c>
      <c r="D197">
        <v>-25</v>
      </c>
      <c r="E197">
        <v>-21</v>
      </c>
      <c r="F197">
        <v>-21.2</v>
      </c>
      <c r="G197">
        <v>-25</v>
      </c>
      <c r="H197">
        <v>-14.4</v>
      </c>
      <c r="I197">
        <v>-16.7</v>
      </c>
      <c r="J197">
        <v>-25</v>
      </c>
      <c r="K197">
        <v>-17.8</v>
      </c>
      <c r="L197">
        <v>-11.7</v>
      </c>
      <c r="M197">
        <v>-25</v>
      </c>
      <c r="N197">
        <v>-21.3</v>
      </c>
      <c r="O197">
        <v>-21.5</v>
      </c>
      <c r="P197">
        <v>-25</v>
      </c>
      <c r="Q197">
        <v>-21.1</v>
      </c>
      <c r="R197">
        <v>-21.4</v>
      </c>
      <c r="S197">
        <v>-25</v>
      </c>
      <c r="T197">
        <v>3.5</v>
      </c>
      <c r="U197">
        <v>1.5</v>
      </c>
      <c r="V197">
        <v>2</v>
      </c>
      <c r="W197">
        <v>3.6</v>
      </c>
      <c r="X197">
        <v>1.8</v>
      </c>
      <c r="Y197">
        <v>2</v>
      </c>
      <c r="Z197">
        <v>2.6</v>
      </c>
      <c r="AA197">
        <v>2.2999999999999998</v>
      </c>
      <c r="AB197">
        <v>2</v>
      </c>
      <c r="AC197">
        <v>2.4</v>
      </c>
      <c r="AD197">
        <v>2.1</v>
      </c>
      <c r="AE197">
        <v>2</v>
      </c>
      <c r="AF197">
        <v>2.5</v>
      </c>
      <c r="AG197">
        <v>2.1</v>
      </c>
      <c r="AH197">
        <v>2</v>
      </c>
      <c r="AI197">
        <v>2.5</v>
      </c>
      <c r="AJ197">
        <v>0.6</v>
      </c>
      <c r="AK197">
        <v>2</v>
      </c>
      <c r="AL197">
        <v>3.8</v>
      </c>
      <c r="AM197">
        <v>4</v>
      </c>
      <c r="AN197">
        <v>5.8</v>
      </c>
      <c r="AO197">
        <v>4</v>
      </c>
      <c r="AP197">
        <v>6</v>
      </c>
      <c r="AQ197">
        <v>4</v>
      </c>
      <c r="AR197">
        <v>4.9000000000000004</v>
      </c>
      <c r="AS197">
        <v>4</v>
      </c>
      <c r="AT197">
        <v>-2.9</v>
      </c>
      <c r="AU197">
        <v>-3.1</v>
      </c>
      <c r="AV197">
        <v>-5</v>
      </c>
      <c r="AW197">
        <v>-5</v>
      </c>
      <c r="AX197">
        <v>-5</v>
      </c>
      <c r="AY197">
        <v>-5</v>
      </c>
      <c r="AZ197">
        <v>11.5</v>
      </c>
      <c r="BA197">
        <v>10</v>
      </c>
      <c r="BB197">
        <v>9.1</v>
      </c>
      <c r="BC197">
        <v>10</v>
      </c>
      <c r="BD197">
        <v>6</v>
      </c>
      <c r="BE197">
        <v>4</v>
      </c>
      <c r="BF197">
        <v>11.2</v>
      </c>
      <c r="BG197">
        <v>10</v>
      </c>
      <c r="BH197">
        <v>11.6</v>
      </c>
      <c r="BI197">
        <v>10</v>
      </c>
      <c r="BJ197">
        <v>10.199999999999999</v>
      </c>
      <c r="BK197">
        <v>9</v>
      </c>
      <c r="BL197">
        <v>20.3</v>
      </c>
      <c r="BM197">
        <v>19</v>
      </c>
      <c r="BN197">
        <v>23.2</v>
      </c>
      <c r="BO197">
        <v>19</v>
      </c>
      <c r="BP197">
        <v>21.4</v>
      </c>
      <c r="BQ197">
        <v>20</v>
      </c>
      <c r="BR197">
        <v>21.9</v>
      </c>
      <c r="BS197">
        <v>25</v>
      </c>
      <c r="BT197">
        <v>21.9</v>
      </c>
      <c r="BU197">
        <v>25</v>
      </c>
      <c r="BV197">
        <v>23.7</v>
      </c>
      <c r="BW197">
        <v>18</v>
      </c>
      <c r="BX197">
        <v>21.8</v>
      </c>
      <c r="BY197">
        <v>20</v>
      </c>
      <c r="BZ197">
        <v>21.5</v>
      </c>
      <c r="CA197">
        <v>20</v>
      </c>
      <c r="CB197">
        <v>10.4</v>
      </c>
      <c r="CC197">
        <v>10</v>
      </c>
      <c r="CD197">
        <v>10.8</v>
      </c>
      <c r="CE197">
        <v>10</v>
      </c>
      <c r="CF197">
        <v>11.9</v>
      </c>
      <c r="CG197">
        <v>9</v>
      </c>
      <c r="CH197">
        <v>12.1</v>
      </c>
      <c r="CI197">
        <v>9</v>
      </c>
    </row>
    <row r="198" spans="1:87" x14ac:dyDescent="0.35">
      <c r="A198" s="1">
        <v>46059.585416666669</v>
      </c>
      <c r="B198">
        <v>-20.9</v>
      </c>
      <c r="C198">
        <v>-21.6</v>
      </c>
      <c r="D198">
        <v>-25</v>
      </c>
      <c r="E198">
        <v>-20.8</v>
      </c>
      <c r="F198">
        <v>-21</v>
      </c>
      <c r="G198">
        <v>-25</v>
      </c>
      <c r="H198">
        <v>-14.2</v>
      </c>
      <c r="I198">
        <v>-16.899999999999999</v>
      </c>
      <c r="J198">
        <v>-25</v>
      </c>
      <c r="K198">
        <v>-17.8</v>
      </c>
      <c r="L198">
        <v>-7.2</v>
      </c>
      <c r="M198">
        <v>-25</v>
      </c>
      <c r="N198">
        <v>-21.3</v>
      </c>
      <c r="O198">
        <v>-21.3</v>
      </c>
      <c r="P198">
        <v>-25</v>
      </c>
      <c r="Q198">
        <v>-21.1</v>
      </c>
      <c r="R198">
        <v>-21.2</v>
      </c>
      <c r="S198">
        <v>-25</v>
      </c>
      <c r="T198">
        <v>3.1</v>
      </c>
      <c r="U198">
        <v>1.7</v>
      </c>
      <c r="V198">
        <v>2</v>
      </c>
      <c r="W198">
        <v>3.2</v>
      </c>
      <c r="X198">
        <v>1.8</v>
      </c>
      <c r="Y198">
        <v>2</v>
      </c>
      <c r="Z198">
        <v>2.7</v>
      </c>
      <c r="AA198">
        <v>2.4</v>
      </c>
      <c r="AB198">
        <v>2</v>
      </c>
      <c r="AC198">
        <v>2.4</v>
      </c>
      <c r="AD198">
        <v>2.2000000000000002</v>
      </c>
      <c r="AE198">
        <v>2</v>
      </c>
      <c r="AF198">
        <v>2.5</v>
      </c>
      <c r="AG198">
        <v>2.1</v>
      </c>
      <c r="AH198">
        <v>2</v>
      </c>
      <c r="AI198">
        <v>2.5</v>
      </c>
      <c r="AJ198">
        <v>1</v>
      </c>
      <c r="AK198">
        <v>2</v>
      </c>
      <c r="AL198">
        <v>3.8</v>
      </c>
      <c r="AM198">
        <v>4</v>
      </c>
      <c r="AN198">
        <v>5.8</v>
      </c>
      <c r="AO198">
        <v>4</v>
      </c>
      <c r="AP198">
        <v>5.3</v>
      </c>
      <c r="AQ198">
        <v>4</v>
      </c>
      <c r="AR198">
        <v>4.5</v>
      </c>
      <c r="AS198">
        <v>4</v>
      </c>
      <c r="AT198">
        <v>-2.6</v>
      </c>
      <c r="AU198">
        <v>-2.8</v>
      </c>
      <c r="AV198">
        <v>-5</v>
      </c>
      <c r="AW198">
        <v>-4.3</v>
      </c>
      <c r="AX198">
        <v>-4.2</v>
      </c>
      <c r="AY198">
        <v>-5</v>
      </c>
      <c r="AZ198">
        <v>11.6</v>
      </c>
      <c r="BA198">
        <v>10</v>
      </c>
      <c r="BB198">
        <v>8.1</v>
      </c>
      <c r="BC198">
        <v>10</v>
      </c>
      <c r="BD198">
        <v>5.4</v>
      </c>
      <c r="BE198">
        <v>4</v>
      </c>
      <c r="BF198">
        <v>11.5</v>
      </c>
      <c r="BG198">
        <v>10</v>
      </c>
      <c r="BH198">
        <v>11.6</v>
      </c>
      <c r="BI198">
        <v>10</v>
      </c>
      <c r="BJ198">
        <v>10.199999999999999</v>
      </c>
      <c r="BK198">
        <v>9</v>
      </c>
      <c r="BL198">
        <v>20.3</v>
      </c>
      <c r="BM198">
        <v>19</v>
      </c>
      <c r="BN198">
        <v>23.2</v>
      </c>
      <c r="BO198">
        <v>19</v>
      </c>
      <c r="BP198">
        <v>21.4</v>
      </c>
      <c r="BQ198">
        <v>20</v>
      </c>
      <c r="BR198">
        <v>21.9</v>
      </c>
      <c r="BS198">
        <v>25</v>
      </c>
      <c r="BT198">
        <v>21.9</v>
      </c>
      <c r="BU198">
        <v>25</v>
      </c>
      <c r="BV198">
        <v>23.7</v>
      </c>
      <c r="BW198">
        <v>18</v>
      </c>
      <c r="BX198">
        <v>21.8</v>
      </c>
      <c r="BY198">
        <v>20</v>
      </c>
      <c r="BZ198">
        <v>21.5</v>
      </c>
      <c r="CA198">
        <v>20</v>
      </c>
      <c r="CB198">
        <v>10.3</v>
      </c>
      <c r="CC198">
        <v>10</v>
      </c>
      <c r="CD198">
        <v>10.6</v>
      </c>
      <c r="CE198">
        <v>10</v>
      </c>
      <c r="CF198">
        <v>11.8</v>
      </c>
      <c r="CG198">
        <v>9</v>
      </c>
      <c r="CH198">
        <v>12.1</v>
      </c>
      <c r="CI198">
        <v>9</v>
      </c>
    </row>
    <row r="199" spans="1:87" x14ac:dyDescent="0.35">
      <c r="A199" s="1">
        <v>46059.586111111108</v>
      </c>
      <c r="B199">
        <v>-20.6</v>
      </c>
      <c r="C199">
        <v>-21.2</v>
      </c>
      <c r="D199">
        <v>-25</v>
      </c>
      <c r="E199">
        <v>-20.6</v>
      </c>
      <c r="F199">
        <v>-20.7</v>
      </c>
      <c r="G199">
        <v>-25</v>
      </c>
      <c r="H199">
        <v>-14.6</v>
      </c>
      <c r="I199">
        <v>-17.600000000000001</v>
      </c>
      <c r="J199">
        <v>-25</v>
      </c>
      <c r="K199">
        <v>-17.8</v>
      </c>
      <c r="L199">
        <v>-3.6</v>
      </c>
      <c r="M199">
        <v>-25</v>
      </c>
      <c r="N199">
        <v>-21.1</v>
      </c>
      <c r="O199">
        <v>-21.1</v>
      </c>
      <c r="P199">
        <v>-25</v>
      </c>
      <c r="Q199">
        <v>-21</v>
      </c>
      <c r="R199">
        <v>-20.9</v>
      </c>
      <c r="S199">
        <v>-25</v>
      </c>
      <c r="T199">
        <v>2.9</v>
      </c>
      <c r="U199">
        <v>1.8</v>
      </c>
      <c r="V199">
        <v>2</v>
      </c>
      <c r="W199">
        <v>3</v>
      </c>
      <c r="X199">
        <v>1.8</v>
      </c>
      <c r="Y199">
        <v>2</v>
      </c>
      <c r="Z199">
        <v>2.8</v>
      </c>
      <c r="AA199">
        <v>2.5</v>
      </c>
      <c r="AB199">
        <v>2</v>
      </c>
      <c r="AC199">
        <v>2.6</v>
      </c>
      <c r="AD199">
        <v>2.2999999999999998</v>
      </c>
      <c r="AE199">
        <v>2</v>
      </c>
      <c r="AF199">
        <v>2.5</v>
      </c>
      <c r="AG199">
        <v>2.1</v>
      </c>
      <c r="AH199">
        <v>2</v>
      </c>
      <c r="AI199">
        <v>2.5</v>
      </c>
      <c r="AJ199">
        <v>1.3</v>
      </c>
      <c r="AK199">
        <v>2</v>
      </c>
      <c r="AL199">
        <v>3.9</v>
      </c>
      <c r="AM199">
        <v>4</v>
      </c>
      <c r="AN199">
        <v>5.9</v>
      </c>
      <c r="AO199">
        <v>4</v>
      </c>
      <c r="AP199">
        <v>4.3</v>
      </c>
      <c r="AQ199">
        <v>4</v>
      </c>
      <c r="AR199">
        <v>4.2</v>
      </c>
      <c r="AS199">
        <v>4</v>
      </c>
      <c r="AT199">
        <v>-2.5</v>
      </c>
      <c r="AU199">
        <v>-2.5</v>
      </c>
      <c r="AV199">
        <v>-5</v>
      </c>
      <c r="AW199">
        <v>-3.8</v>
      </c>
      <c r="AX199">
        <v>-3.6</v>
      </c>
      <c r="AY199">
        <v>-5</v>
      </c>
      <c r="AZ199">
        <v>11.7</v>
      </c>
      <c r="BA199">
        <v>10</v>
      </c>
      <c r="BB199">
        <v>7.6</v>
      </c>
      <c r="BC199">
        <v>10</v>
      </c>
      <c r="BD199">
        <v>4.7</v>
      </c>
      <c r="BE199">
        <v>4</v>
      </c>
      <c r="BF199">
        <v>11.7</v>
      </c>
      <c r="BG199">
        <v>10</v>
      </c>
      <c r="BH199">
        <v>11.6</v>
      </c>
      <c r="BI199">
        <v>10</v>
      </c>
      <c r="BJ199">
        <v>10.5</v>
      </c>
      <c r="BK199">
        <v>9</v>
      </c>
      <c r="BL199">
        <v>20.3</v>
      </c>
      <c r="BM199">
        <v>19</v>
      </c>
      <c r="BN199">
        <v>23.2</v>
      </c>
      <c r="BO199">
        <v>19</v>
      </c>
      <c r="BP199">
        <v>21.4</v>
      </c>
      <c r="BQ199">
        <v>20</v>
      </c>
      <c r="BR199">
        <v>21.9</v>
      </c>
      <c r="BS199">
        <v>25</v>
      </c>
      <c r="BT199">
        <v>21.9</v>
      </c>
      <c r="BU199">
        <v>25</v>
      </c>
      <c r="BV199">
        <v>23.7</v>
      </c>
      <c r="BW199">
        <v>18</v>
      </c>
      <c r="BX199">
        <v>21.9</v>
      </c>
      <c r="BY199">
        <v>20</v>
      </c>
      <c r="BZ199">
        <v>21.5</v>
      </c>
      <c r="CA199">
        <v>20</v>
      </c>
      <c r="CB199">
        <v>10.3</v>
      </c>
      <c r="CC199">
        <v>10</v>
      </c>
      <c r="CD199">
        <v>10.5</v>
      </c>
      <c r="CE199">
        <v>10</v>
      </c>
      <c r="CF199">
        <v>11.6</v>
      </c>
      <c r="CG199">
        <v>9</v>
      </c>
      <c r="CH199">
        <v>11.8</v>
      </c>
      <c r="CI199">
        <v>9</v>
      </c>
    </row>
    <row r="200" spans="1:87" x14ac:dyDescent="0.35">
      <c r="A200" s="1">
        <v>46059.586805555555</v>
      </c>
      <c r="B200">
        <v>-20.399999999999999</v>
      </c>
      <c r="C200">
        <v>-20.9</v>
      </c>
      <c r="D200">
        <v>-25</v>
      </c>
      <c r="E200">
        <v>-20.399999999999999</v>
      </c>
      <c r="F200">
        <v>-20.5</v>
      </c>
      <c r="G200">
        <v>-25</v>
      </c>
      <c r="H200">
        <v>-15</v>
      </c>
      <c r="I200">
        <v>-18.3</v>
      </c>
      <c r="J200">
        <v>-25</v>
      </c>
      <c r="K200">
        <v>-17.8</v>
      </c>
      <c r="L200">
        <v>-1</v>
      </c>
      <c r="M200">
        <v>-25</v>
      </c>
      <c r="N200">
        <v>-20.9</v>
      </c>
      <c r="O200">
        <v>-20.8</v>
      </c>
      <c r="P200">
        <v>-25</v>
      </c>
      <c r="Q200">
        <v>-20.8</v>
      </c>
      <c r="R200">
        <v>-20.6</v>
      </c>
      <c r="S200">
        <v>-25</v>
      </c>
      <c r="T200">
        <v>2.8</v>
      </c>
      <c r="U200">
        <v>1.9</v>
      </c>
      <c r="V200">
        <v>2</v>
      </c>
      <c r="W200">
        <v>2.8</v>
      </c>
      <c r="X200">
        <v>1</v>
      </c>
      <c r="Y200">
        <v>2</v>
      </c>
      <c r="Z200">
        <v>2.9</v>
      </c>
      <c r="AA200">
        <v>2.6</v>
      </c>
      <c r="AB200">
        <v>2</v>
      </c>
      <c r="AC200">
        <v>2.7</v>
      </c>
      <c r="AD200">
        <v>2.5</v>
      </c>
      <c r="AE200">
        <v>2</v>
      </c>
      <c r="AF200">
        <v>2.5</v>
      </c>
      <c r="AG200">
        <v>2.1</v>
      </c>
      <c r="AH200">
        <v>2</v>
      </c>
      <c r="AI200">
        <v>2.5</v>
      </c>
      <c r="AJ200">
        <v>1.4</v>
      </c>
      <c r="AK200">
        <v>2</v>
      </c>
      <c r="AL200">
        <v>4</v>
      </c>
      <c r="AM200">
        <v>4</v>
      </c>
      <c r="AN200">
        <v>5.9</v>
      </c>
      <c r="AO200">
        <v>4</v>
      </c>
      <c r="AP200">
        <v>3.1</v>
      </c>
      <c r="AQ200">
        <v>4</v>
      </c>
      <c r="AR200">
        <v>3.8</v>
      </c>
      <c r="AS200">
        <v>4</v>
      </c>
      <c r="AT200">
        <v>-2.5</v>
      </c>
      <c r="AU200">
        <v>-1.3</v>
      </c>
      <c r="AV200">
        <v>-5</v>
      </c>
      <c r="AW200">
        <v>-3.4</v>
      </c>
      <c r="AX200">
        <v>-3.2</v>
      </c>
      <c r="AY200">
        <v>-5</v>
      </c>
      <c r="AZ200">
        <v>11.8</v>
      </c>
      <c r="BA200">
        <v>10</v>
      </c>
      <c r="BB200">
        <v>7.6</v>
      </c>
      <c r="BC200">
        <v>10</v>
      </c>
      <c r="BD200">
        <v>4.3</v>
      </c>
      <c r="BE200">
        <v>4</v>
      </c>
      <c r="BF200">
        <v>11.9</v>
      </c>
      <c r="BG200">
        <v>10</v>
      </c>
      <c r="BH200">
        <v>11.5</v>
      </c>
      <c r="BI200">
        <v>10</v>
      </c>
      <c r="BJ200">
        <v>10.5</v>
      </c>
      <c r="BK200">
        <v>9</v>
      </c>
      <c r="BL200">
        <v>20.399999999999999</v>
      </c>
      <c r="BM200">
        <v>19</v>
      </c>
      <c r="BN200">
        <v>23.3</v>
      </c>
      <c r="BO200">
        <v>19</v>
      </c>
      <c r="BP200">
        <v>21.4</v>
      </c>
      <c r="BQ200">
        <v>20</v>
      </c>
      <c r="BR200">
        <v>21.9</v>
      </c>
      <c r="BS200">
        <v>25</v>
      </c>
      <c r="BT200">
        <v>21.9</v>
      </c>
      <c r="BU200">
        <v>25</v>
      </c>
      <c r="BV200">
        <v>23.7</v>
      </c>
      <c r="BW200">
        <v>18</v>
      </c>
      <c r="BX200">
        <v>21.9</v>
      </c>
      <c r="BY200">
        <v>20</v>
      </c>
      <c r="BZ200">
        <v>21.6</v>
      </c>
      <c r="CA200">
        <v>20</v>
      </c>
      <c r="CB200">
        <v>10.3</v>
      </c>
      <c r="CC200">
        <v>10</v>
      </c>
      <c r="CD200">
        <v>10.4</v>
      </c>
      <c r="CE200">
        <v>10</v>
      </c>
      <c r="CF200">
        <v>11.5</v>
      </c>
      <c r="CG200">
        <v>9</v>
      </c>
      <c r="CH200">
        <v>11.8</v>
      </c>
      <c r="CI200">
        <v>9</v>
      </c>
    </row>
    <row r="201" spans="1:87" x14ac:dyDescent="0.35">
      <c r="A201" s="1">
        <v>46059.587500000001</v>
      </c>
      <c r="B201">
        <v>-20.100000000000001</v>
      </c>
      <c r="C201">
        <v>-20.6</v>
      </c>
      <c r="D201">
        <v>-25</v>
      </c>
      <c r="E201">
        <v>-20.2</v>
      </c>
      <c r="F201">
        <v>-20.3</v>
      </c>
      <c r="G201">
        <v>-25</v>
      </c>
      <c r="H201">
        <v>-15.3</v>
      </c>
      <c r="I201">
        <v>-18.899999999999999</v>
      </c>
      <c r="J201">
        <v>-25</v>
      </c>
      <c r="K201">
        <v>-17.8</v>
      </c>
      <c r="L201">
        <v>1</v>
      </c>
      <c r="M201">
        <v>-25</v>
      </c>
      <c r="N201">
        <v>-20.7</v>
      </c>
      <c r="O201">
        <v>-20.6</v>
      </c>
      <c r="P201">
        <v>-25</v>
      </c>
      <c r="Q201">
        <v>-20.6</v>
      </c>
      <c r="R201">
        <v>-20.399999999999999</v>
      </c>
      <c r="S201">
        <v>-25</v>
      </c>
      <c r="T201">
        <v>2.5</v>
      </c>
      <c r="U201">
        <v>1.5</v>
      </c>
      <c r="V201">
        <v>2</v>
      </c>
      <c r="W201">
        <v>2.4</v>
      </c>
      <c r="X201">
        <v>0.4</v>
      </c>
      <c r="Y201">
        <v>2</v>
      </c>
      <c r="Z201">
        <v>3</v>
      </c>
      <c r="AA201">
        <v>2.7</v>
      </c>
      <c r="AB201">
        <v>2</v>
      </c>
      <c r="AC201">
        <v>2.8</v>
      </c>
      <c r="AD201">
        <v>2.6</v>
      </c>
      <c r="AE201">
        <v>2</v>
      </c>
      <c r="AF201">
        <v>2.2999999999999998</v>
      </c>
      <c r="AG201">
        <v>2</v>
      </c>
      <c r="AH201">
        <v>2</v>
      </c>
      <c r="AI201">
        <v>2.2999999999999998</v>
      </c>
      <c r="AJ201">
        <v>1.2</v>
      </c>
      <c r="AK201">
        <v>2</v>
      </c>
      <c r="AL201">
        <v>4.0999999999999996</v>
      </c>
      <c r="AM201">
        <v>4</v>
      </c>
      <c r="AN201">
        <v>5.9</v>
      </c>
      <c r="AO201">
        <v>4</v>
      </c>
      <c r="AP201">
        <v>2.9</v>
      </c>
      <c r="AQ201">
        <v>4</v>
      </c>
      <c r="AR201">
        <v>3.6</v>
      </c>
      <c r="AS201">
        <v>4</v>
      </c>
      <c r="AT201">
        <v>-2.5</v>
      </c>
      <c r="AU201">
        <v>-0.4</v>
      </c>
      <c r="AV201">
        <v>-5</v>
      </c>
      <c r="AW201">
        <v>-3.1</v>
      </c>
      <c r="AX201">
        <v>-2.9</v>
      </c>
      <c r="AY201">
        <v>-5</v>
      </c>
      <c r="AZ201">
        <v>11.8</v>
      </c>
      <c r="BA201">
        <v>10</v>
      </c>
      <c r="BB201">
        <v>7.8</v>
      </c>
      <c r="BC201">
        <v>10</v>
      </c>
      <c r="BD201">
        <v>4.2</v>
      </c>
      <c r="BE201">
        <v>4</v>
      </c>
      <c r="BF201">
        <v>12.1</v>
      </c>
      <c r="BG201">
        <v>10</v>
      </c>
      <c r="BH201">
        <v>11.5</v>
      </c>
      <c r="BI201">
        <v>10</v>
      </c>
      <c r="BJ201">
        <v>10.5</v>
      </c>
      <c r="BK201">
        <v>9</v>
      </c>
      <c r="BL201">
        <v>20.399999999999999</v>
      </c>
      <c r="BM201">
        <v>19</v>
      </c>
      <c r="BN201">
        <v>23.3</v>
      </c>
      <c r="BO201">
        <v>19</v>
      </c>
      <c r="BP201">
        <v>21.5</v>
      </c>
      <c r="BQ201">
        <v>20</v>
      </c>
      <c r="BR201">
        <v>21.9</v>
      </c>
      <c r="BS201">
        <v>25</v>
      </c>
      <c r="BT201">
        <v>21.9</v>
      </c>
      <c r="BU201">
        <v>25</v>
      </c>
      <c r="BV201">
        <v>23.7</v>
      </c>
      <c r="BW201">
        <v>18</v>
      </c>
      <c r="BX201">
        <v>21.9</v>
      </c>
      <c r="BY201">
        <v>20</v>
      </c>
      <c r="BZ201">
        <v>21.6</v>
      </c>
      <c r="CA201">
        <v>20</v>
      </c>
      <c r="CB201">
        <v>10.199999999999999</v>
      </c>
      <c r="CC201">
        <v>10</v>
      </c>
      <c r="CD201">
        <v>10.3</v>
      </c>
      <c r="CE201">
        <v>10</v>
      </c>
      <c r="CF201">
        <v>11.5</v>
      </c>
      <c r="CG201">
        <v>9</v>
      </c>
      <c r="CH201">
        <v>11.8</v>
      </c>
      <c r="CI201">
        <v>9</v>
      </c>
    </row>
    <row r="202" spans="1:87" x14ac:dyDescent="0.35">
      <c r="A202" s="1">
        <v>46059.588194444441</v>
      </c>
      <c r="B202">
        <v>-19.899999999999999</v>
      </c>
      <c r="C202">
        <v>-20.2</v>
      </c>
      <c r="D202">
        <v>-25</v>
      </c>
      <c r="E202">
        <v>-19.899999999999999</v>
      </c>
      <c r="F202">
        <v>-20</v>
      </c>
      <c r="G202">
        <v>-25</v>
      </c>
      <c r="H202">
        <v>-15.5</v>
      </c>
      <c r="I202">
        <v>-19.7</v>
      </c>
      <c r="J202">
        <v>-25</v>
      </c>
      <c r="K202">
        <v>-17.8</v>
      </c>
      <c r="L202">
        <v>2</v>
      </c>
      <c r="M202">
        <v>-25</v>
      </c>
      <c r="N202">
        <v>-20.2</v>
      </c>
      <c r="O202">
        <v>-19.899999999999999</v>
      </c>
      <c r="P202">
        <v>-25</v>
      </c>
      <c r="Q202">
        <v>-20.5</v>
      </c>
      <c r="R202">
        <v>-20.100000000000001</v>
      </c>
      <c r="S202">
        <v>-25</v>
      </c>
      <c r="T202">
        <v>2.1</v>
      </c>
      <c r="U202">
        <v>1.4</v>
      </c>
      <c r="V202">
        <v>2</v>
      </c>
      <c r="W202">
        <v>2.1</v>
      </c>
      <c r="X202">
        <v>0.5</v>
      </c>
      <c r="Y202">
        <v>2</v>
      </c>
      <c r="Z202">
        <v>3.1</v>
      </c>
      <c r="AA202">
        <v>2.8</v>
      </c>
      <c r="AB202">
        <v>2</v>
      </c>
      <c r="AC202">
        <v>2.9</v>
      </c>
      <c r="AD202">
        <v>2.7</v>
      </c>
      <c r="AE202">
        <v>2</v>
      </c>
      <c r="AF202">
        <v>2.2000000000000002</v>
      </c>
      <c r="AG202">
        <v>1.8</v>
      </c>
      <c r="AH202">
        <v>2</v>
      </c>
      <c r="AI202">
        <v>2.1</v>
      </c>
      <c r="AJ202">
        <v>1.2</v>
      </c>
      <c r="AK202">
        <v>2</v>
      </c>
      <c r="AL202">
        <v>4.2</v>
      </c>
      <c r="AM202">
        <v>4</v>
      </c>
      <c r="AN202">
        <v>6</v>
      </c>
      <c r="AO202">
        <v>4</v>
      </c>
      <c r="AP202">
        <v>2.9</v>
      </c>
      <c r="AQ202">
        <v>4</v>
      </c>
      <c r="AR202">
        <v>3.7</v>
      </c>
      <c r="AS202">
        <v>4</v>
      </c>
      <c r="AT202">
        <v>-2.5</v>
      </c>
      <c r="AU202">
        <v>1.7</v>
      </c>
      <c r="AV202">
        <v>-5</v>
      </c>
      <c r="AW202">
        <v>-3.5</v>
      </c>
      <c r="AX202">
        <v>-3.8</v>
      </c>
      <c r="AY202">
        <v>-5</v>
      </c>
      <c r="AZ202">
        <v>11.9</v>
      </c>
      <c r="BA202">
        <v>10</v>
      </c>
      <c r="BB202">
        <v>8.1999999999999993</v>
      </c>
      <c r="BC202">
        <v>10</v>
      </c>
      <c r="BD202">
        <v>4.0999999999999996</v>
      </c>
      <c r="BE202">
        <v>4</v>
      </c>
      <c r="BF202">
        <v>11.9</v>
      </c>
      <c r="BG202">
        <v>10</v>
      </c>
      <c r="BH202">
        <v>11.7</v>
      </c>
      <c r="BI202">
        <v>10</v>
      </c>
      <c r="BJ202">
        <v>10.6</v>
      </c>
      <c r="BK202">
        <v>9</v>
      </c>
      <c r="BL202">
        <v>20.399999999999999</v>
      </c>
      <c r="BM202">
        <v>19</v>
      </c>
      <c r="BN202">
        <v>23.3</v>
      </c>
      <c r="BO202">
        <v>19</v>
      </c>
      <c r="BP202">
        <v>21.5</v>
      </c>
      <c r="BQ202">
        <v>20</v>
      </c>
      <c r="BR202">
        <v>21.9</v>
      </c>
      <c r="BS202">
        <v>25</v>
      </c>
      <c r="BT202">
        <v>21.9</v>
      </c>
      <c r="BU202">
        <v>25</v>
      </c>
      <c r="BV202">
        <v>23.7</v>
      </c>
      <c r="BW202">
        <v>18</v>
      </c>
      <c r="BX202">
        <v>21.9</v>
      </c>
      <c r="BY202">
        <v>20</v>
      </c>
      <c r="BZ202">
        <v>21.6</v>
      </c>
      <c r="CA202">
        <v>20</v>
      </c>
      <c r="CB202">
        <v>10.199999999999999</v>
      </c>
      <c r="CC202">
        <v>10</v>
      </c>
      <c r="CD202">
        <v>10.199999999999999</v>
      </c>
      <c r="CE202">
        <v>10</v>
      </c>
      <c r="CF202">
        <v>11.5</v>
      </c>
      <c r="CG202">
        <v>9</v>
      </c>
      <c r="CH202">
        <v>11.7</v>
      </c>
      <c r="CI202">
        <v>9</v>
      </c>
    </row>
    <row r="203" spans="1:87" x14ac:dyDescent="0.35">
      <c r="A203" s="1">
        <v>46059.588888888888</v>
      </c>
      <c r="B203">
        <v>-19.7</v>
      </c>
      <c r="C203">
        <v>-19.899999999999999</v>
      </c>
      <c r="D203">
        <v>-25</v>
      </c>
      <c r="E203">
        <v>-19.7</v>
      </c>
      <c r="F203">
        <v>-19.8</v>
      </c>
      <c r="G203">
        <v>-25</v>
      </c>
      <c r="H203">
        <v>-15.7</v>
      </c>
      <c r="I203">
        <v>-20.2</v>
      </c>
      <c r="J203">
        <v>-25</v>
      </c>
      <c r="K203">
        <v>-17.8</v>
      </c>
      <c r="L203">
        <v>2.8</v>
      </c>
      <c r="M203">
        <v>-25</v>
      </c>
      <c r="N203">
        <v>-19.899999999999999</v>
      </c>
      <c r="O203">
        <v>-19.7</v>
      </c>
      <c r="P203">
        <v>-25</v>
      </c>
      <c r="Q203">
        <v>-20.2</v>
      </c>
      <c r="R203">
        <v>-19.8</v>
      </c>
      <c r="S203">
        <v>-25</v>
      </c>
      <c r="T203">
        <v>2</v>
      </c>
      <c r="U203">
        <v>1.3</v>
      </c>
      <c r="V203">
        <v>2</v>
      </c>
      <c r="W203">
        <v>1.9</v>
      </c>
      <c r="X203">
        <v>0.6</v>
      </c>
      <c r="Y203">
        <v>2</v>
      </c>
      <c r="Z203">
        <v>3.2</v>
      </c>
      <c r="AA203">
        <v>2.9</v>
      </c>
      <c r="AB203">
        <v>2</v>
      </c>
      <c r="AC203">
        <v>2.9</v>
      </c>
      <c r="AD203">
        <v>2.8</v>
      </c>
      <c r="AE203">
        <v>2</v>
      </c>
      <c r="AF203">
        <v>2.1</v>
      </c>
      <c r="AG203">
        <v>1.6</v>
      </c>
      <c r="AH203">
        <v>2</v>
      </c>
      <c r="AI203">
        <v>2</v>
      </c>
      <c r="AJ203">
        <v>0.9</v>
      </c>
      <c r="AK203">
        <v>2</v>
      </c>
      <c r="AL203">
        <v>4.3</v>
      </c>
      <c r="AM203">
        <v>4</v>
      </c>
      <c r="AN203">
        <v>6</v>
      </c>
      <c r="AO203">
        <v>4</v>
      </c>
      <c r="AP203">
        <v>2.9</v>
      </c>
      <c r="AQ203">
        <v>4</v>
      </c>
      <c r="AR203">
        <v>4</v>
      </c>
      <c r="AS203">
        <v>4</v>
      </c>
      <c r="AT203">
        <v>-2.5</v>
      </c>
      <c r="AU203">
        <v>5.9</v>
      </c>
      <c r="AV203">
        <v>-5</v>
      </c>
      <c r="AW203">
        <v>-4.0999999999999996</v>
      </c>
      <c r="AX203">
        <v>-6.4</v>
      </c>
      <c r="AY203">
        <v>-5</v>
      </c>
      <c r="AZ203">
        <v>12</v>
      </c>
      <c r="BA203">
        <v>10</v>
      </c>
      <c r="BB203">
        <v>8.6</v>
      </c>
      <c r="BC203">
        <v>10</v>
      </c>
      <c r="BD203">
        <v>4</v>
      </c>
      <c r="BE203">
        <v>4</v>
      </c>
      <c r="BF203">
        <v>11</v>
      </c>
      <c r="BG203">
        <v>10</v>
      </c>
      <c r="BH203">
        <v>11.7</v>
      </c>
      <c r="BI203">
        <v>10</v>
      </c>
      <c r="BJ203">
        <v>10.6</v>
      </c>
      <c r="BK203">
        <v>9</v>
      </c>
      <c r="BL203">
        <v>20.399999999999999</v>
      </c>
      <c r="BM203">
        <v>19</v>
      </c>
      <c r="BN203">
        <v>23.3</v>
      </c>
      <c r="BO203">
        <v>19</v>
      </c>
      <c r="BP203">
        <v>21.5</v>
      </c>
      <c r="BQ203">
        <v>20</v>
      </c>
      <c r="BR203">
        <v>21.9</v>
      </c>
      <c r="BS203">
        <v>25</v>
      </c>
      <c r="BT203">
        <v>21.9</v>
      </c>
      <c r="BU203">
        <v>25</v>
      </c>
      <c r="BV203">
        <v>23.7</v>
      </c>
      <c r="BW203">
        <v>18</v>
      </c>
      <c r="BX203">
        <v>21.9</v>
      </c>
      <c r="BY203">
        <v>20</v>
      </c>
      <c r="BZ203">
        <v>21.6</v>
      </c>
      <c r="CA203">
        <v>20</v>
      </c>
      <c r="CB203">
        <v>10.1</v>
      </c>
      <c r="CC203">
        <v>10</v>
      </c>
      <c r="CD203">
        <v>10.199999999999999</v>
      </c>
      <c r="CE203">
        <v>10</v>
      </c>
      <c r="CF203">
        <v>11.5</v>
      </c>
      <c r="CG203">
        <v>9</v>
      </c>
      <c r="CH203">
        <v>11.7</v>
      </c>
      <c r="CI203">
        <v>9</v>
      </c>
    </row>
    <row r="204" spans="1:87" x14ac:dyDescent="0.35">
      <c r="A204" s="1">
        <v>46059.589583333334</v>
      </c>
      <c r="B204">
        <v>-19.5</v>
      </c>
      <c r="C204">
        <v>-19.7</v>
      </c>
      <c r="D204">
        <v>-25</v>
      </c>
      <c r="E204">
        <v>-19.5</v>
      </c>
      <c r="F204">
        <v>-19.600000000000001</v>
      </c>
      <c r="G204">
        <v>-25</v>
      </c>
      <c r="H204">
        <v>-16</v>
      </c>
      <c r="I204">
        <v>-20.5</v>
      </c>
      <c r="J204">
        <v>-25</v>
      </c>
      <c r="K204">
        <v>-17.8</v>
      </c>
      <c r="L204">
        <v>3.3</v>
      </c>
      <c r="M204">
        <v>-25</v>
      </c>
      <c r="N204">
        <v>-19.600000000000001</v>
      </c>
      <c r="O204">
        <v>-19.3</v>
      </c>
      <c r="P204">
        <v>-25</v>
      </c>
      <c r="Q204">
        <v>-19.899999999999999</v>
      </c>
      <c r="R204">
        <v>-19.399999999999999</v>
      </c>
      <c r="S204">
        <v>-25</v>
      </c>
      <c r="T204">
        <v>1.9</v>
      </c>
      <c r="U204">
        <v>1.4</v>
      </c>
      <c r="V204">
        <v>2</v>
      </c>
      <c r="W204">
        <v>1.9</v>
      </c>
      <c r="X204">
        <v>1</v>
      </c>
      <c r="Y204">
        <v>2</v>
      </c>
      <c r="Z204">
        <v>3.2</v>
      </c>
      <c r="AA204">
        <v>3</v>
      </c>
      <c r="AB204">
        <v>2</v>
      </c>
      <c r="AC204">
        <v>3</v>
      </c>
      <c r="AD204">
        <v>2.9</v>
      </c>
      <c r="AE204">
        <v>2</v>
      </c>
      <c r="AF204">
        <v>2</v>
      </c>
      <c r="AG204">
        <v>1.6</v>
      </c>
      <c r="AH204">
        <v>2</v>
      </c>
      <c r="AI204">
        <v>2</v>
      </c>
      <c r="AJ204">
        <v>1.2</v>
      </c>
      <c r="AK204">
        <v>2</v>
      </c>
      <c r="AL204">
        <v>4.3</v>
      </c>
      <c r="AM204">
        <v>4</v>
      </c>
      <c r="AN204">
        <v>5.8</v>
      </c>
      <c r="AO204">
        <v>4</v>
      </c>
      <c r="AP204">
        <v>3.2</v>
      </c>
      <c r="AQ204">
        <v>4</v>
      </c>
      <c r="AR204">
        <v>4.4000000000000004</v>
      </c>
      <c r="AS204">
        <v>4</v>
      </c>
      <c r="AT204">
        <v>-2.5</v>
      </c>
      <c r="AU204">
        <v>9</v>
      </c>
      <c r="AV204">
        <v>-5</v>
      </c>
      <c r="AW204">
        <v>-4.5999999999999996</v>
      </c>
      <c r="AX204">
        <v>-5.0999999999999996</v>
      </c>
      <c r="AY204">
        <v>-5</v>
      </c>
      <c r="AZ204">
        <v>11.9</v>
      </c>
      <c r="BA204">
        <v>10</v>
      </c>
      <c r="BB204">
        <v>8.8000000000000007</v>
      </c>
      <c r="BC204">
        <v>10</v>
      </c>
      <c r="BD204">
        <v>3.9</v>
      </c>
      <c r="BE204">
        <v>4</v>
      </c>
      <c r="BF204">
        <v>9.6999999999999993</v>
      </c>
      <c r="BG204">
        <v>10</v>
      </c>
      <c r="BH204">
        <v>12.1</v>
      </c>
      <c r="BI204">
        <v>10</v>
      </c>
      <c r="BJ204">
        <v>10.8</v>
      </c>
      <c r="BK204">
        <v>9</v>
      </c>
      <c r="BL204">
        <v>20.5</v>
      </c>
      <c r="BM204">
        <v>19</v>
      </c>
      <c r="BN204">
        <v>23.3</v>
      </c>
      <c r="BO204">
        <v>19</v>
      </c>
      <c r="BP204">
        <v>21.5</v>
      </c>
      <c r="BQ204">
        <v>20</v>
      </c>
      <c r="BR204">
        <v>21.9</v>
      </c>
      <c r="BS204">
        <v>25</v>
      </c>
      <c r="BT204">
        <v>21.9</v>
      </c>
      <c r="BU204">
        <v>25</v>
      </c>
      <c r="BV204">
        <v>23.7</v>
      </c>
      <c r="BW204">
        <v>18</v>
      </c>
      <c r="BX204">
        <v>21.9</v>
      </c>
      <c r="BY204">
        <v>20</v>
      </c>
      <c r="BZ204">
        <v>21.6</v>
      </c>
      <c r="CA204">
        <v>20</v>
      </c>
      <c r="CB204">
        <v>10</v>
      </c>
      <c r="CC204">
        <v>10</v>
      </c>
      <c r="CD204">
        <v>10.199999999999999</v>
      </c>
      <c r="CE204">
        <v>10</v>
      </c>
      <c r="CF204">
        <v>11.4</v>
      </c>
      <c r="CG204">
        <v>9</v>
      </c>
      <c r="CH204">
        <v>11.6</v>
      </c>
      <c r="CI204">
        <v>9</v>
      </c>
    </row>
    <row r="205" spans="1:87" x14ac:dyDescent="0.35">
      <c r="A205" s="1">
        <v>46059.590277777781</v>
      </c>
      <c r="B205">
        <v>-19.2</v>
      </c>
      <c r="C205">
        <v>-19.399999999999999</v>
      </c>
      <c r="D205">
        <v>-25</v>
      </c>
      <c r="E205">
        <v>-19.3</v>
      </c>
      <c r="F205">
        <v>-19.399999999999999</v>
      </c>
      <c r="G205">
        <v>-25</v>
      </c>
      <c r="H205">
        <v>-16.100000000000001</v>
      </c>
      <c r="I205">
        <v>-20.8</v>
      </c>
      <c r="J205">
        <v>-25</v>
      </c>
      <c r="K205">
        <v>-17.8</v>
      </c>
      <c r="L205">
        <v>3.7</v>
      </c>
      <c r="M205">
        <v>-25</v>
      </c>
      <c r="N205">
        <v>-19.100000000000001</v>
      </c>
      <c r="O205">
        <v>-18.7</v>
      </c>
      <c r="P205">
        <v>-25</v>
      </c>
      <c r="Q205">
        <v>-19.7</v>
      </c>
      <c r="R205">
        <v>-19</v>
      </c>
      <c r="S205">
        <v>-25</v>
      </c>
      <c r="T205">
        <v>2</v>
      </c>
      <c r="U205">
        <v>1.7</v>
      </c>
      <c r="V205">
        <v>2</v>
      </c>
      <c r="W205">
        <v>1.9</v>
      </c>
      <c r="X205">
        <v>1.3</v>
      </c>
      <c r="Y205">
        <v>2</v>
      </c>
      <c r="Z205">
        <v>3.3</v>
      </c>
      <c r="AA205">
        <v>3.1</v>
      </c>
      <c r="AB205">
        <v>2</v>
      </c>
      <c r="AC205">
        <v>3.1</v>
      </c>
      <c r="AD205">
        <v>2.9</v>
      </c>
      <c r="AE205">
        <v>2</v>
      </c>
      <c r="AF205">
        <v>2.1</v>
      </c>
      <c r="AG205">
        <v>1.9</v>
      </c>
      <c r="AH205">
        <v>2</v>
      </c>
      <c r="AI205">
        <v>2</v>
      </c>
      <c r="AJ205">
        <v>1.5</v>
      </c>
      <c r="AK205">
        <v>2</v>
      </c>
      <c r="AL205">
        <v>4.4000000000000004</v>
      </c>
      <c r="AM205">
        <v>4</v>
      </c>
      <c r="AN205">
        <v>5.5</v>
      </c>
      <c r="AO205">
        <v>4</v>
      </c>
      <c r="AP205">
        <v>3.5</v>
      </c>
      <c r="AQ205">
        <v>4</v>
      </c>
      <c r="AR205">
        <v>4.7</v>
      </c>
      <c r="AS205">
        <v>4</v>
      </c>
      <c r="AT205">
        <v>-2.5</v>
      </c>
      <c r="AU205">
        <v>11.5</v>
      </c>
      <c r="AV205">
        <v>-5</v>
      </c>
      <c r="AW205">
        <v>-3.9</v>
      </c>
      <c r="AX205">
        <v>-3.1</v>
      </c>
      <c r="AY205">
        <v>-5</v>
      </c>
      <c r="AZ205">
        <v>11.3</v>
      </c>
      <c r="BA205">
        <v>10</v>
      </c>
      <c r="BB205">
        <v>9.1</v>
      </c>
      <c r="BC205">
        <v>10</v>
      </c>
      <c r="BD205">
        <v>3.9</v>
      </c>
      <c r="BE205">
        <v>4</v>
      </c>
      <c r="BF205">
        <v>9.1</v>
      </c>
      <c r="BG205">
        <v>10</v>
      </c>
      <c r="BH205">
        <v>12</v>
      </c>
      <c r="BI205">
        <v>10</v>
      </c>
      <c r="BJ205">
        <v>10.9</v>
      </c>
      <c r="BK205">
        <v>9</v>
      </c>
      <c r="BL205">
        <v>20.5</v>
      </c>
      <c r="BM205">
        <v>19</v>
      </c>
      <c r="BN205">
        <v>23.3</v>
      </c>
      <c r="BO205">
        <v>19</v>
      </c>
      <c r="BP205">
        <v>21.5</v>
      </c>
      <c r="BQ205">
        <v>20</v>
      </c>
      <c r="BR205">
        <v>21.7</v>
      </c>
      <c r="BS205">
        <v>25</v>
      </c>
      <c r="BT205">
        <v>21.9</v>
      </c>
      <c r="BU205">
        <v>25</v>
      </c>
      <c r="BV205">
        <v>23.7</v>
      </c>
      <c r="BW205">
        <v>18</v>
      </c>
      <c r="BX205">
        <v>21.9</v>
      </c>
      <c r="BY205">
        <v>20</v>
      </c>
      <c r="BZ205">
        <v>21.6</v>
      </c>
      <c r="CA205">
        <v>20</v>
      </c>
      <c r="CB205">
        <v>10.199999999999999</v>
      </c>
      <c r="CC205">
        <v>10</v>
      </c>
      <c r="CD205">
        <v>10.199999999999999</v>
      </c>
      <c r="CE205">
        <v>10</v>
      </c>
      <c r="CF205">
        <v>11.3</v>
      </c>
      <c r="CG205">
        <v>9</v>
      </c>
      <c r="CH205">
        <v>11.5</v>
      </c>
      <c r="CI205">
        <v>9</v>
      </c>
    </row>
    <row r="206" spans="1:87" x14ac:dyDescent="0.35">
      <c r="A206" s="1">
        <v>46059.591666666667</v>
      </c>
      <c r="B206">
        <v>-18.8</v>
      </c>
      <c r="C206">
        <v>-18.899999999999999</v>
      </c>
      <c r="D206">
        <v>-25</v>
      </c>
      <c r="E206">
        <v>-18.899999999999999</v>
      </c>
      <c r="F206">
        <v>-19</v>
      </c>
      <c r="G206">
        <v>-25</v>
      </c>
      <c r="H206">
        <v>-16.3</v>
      </c>
      <c r="I206">
        <v>-19.8</v>
      </c>
      <c r="J206">
        <v>-25</v>
      </c>
      <c r="K206">
        <v>-17.8</v>
      </c>
      <c r="L206">
        <v>4.4000000000000004</v>
      </c>
      <c r="M206">
        <v>-25</v>
      </c>
      <c r="N206">
        <v>-18.7</v>
      </c>
      <c r="O206">
        <v>-18.399999999999999</v>
      </c>
      <c r="P206">
        <v>-25</v>
      </c>
      <c r="Q206">
        <v>-19.3</v>
      </c>
      <c r="R206">
        <v>-18.600000000000001</v>
      </c>
      <c r="S206">
        <v>-25</v>
      </c>
      <c r="T206">
        <v>2.2000000000000002</v>
      </c>
      <c r="U206">
        <v>2</v>
      </c>
      <c r="V206">
        <v>2</v>
      </c>
      <c r="W206">
        <v>2.1</v>
      </c>
      <c r="X206">
        <v>1.7</v>
      </c>
      <c r="Y206">
        <v>2</v>
      </c>
      <c r="Z206">
        <v>3.5</v>
      </c>
      <c r="AA206">
        <v>3.2</v>
      </c>
      <c r="AB206">
        <v>2</v>
      </c>
      <c r="AC206">
        <v>3.3</v>
      </c>
      <c r="AD206">
        <v>3.1</v>
      </c>
      <c r="AE206">
        <v>2</v>
      </c>
      <c r="AF206">
        <v>2.4</v>
      </c>
      <c r="AG206">
        <v>2.2999999999999998</v>
      </c>
      <c r="AH206">
        <v>2</v>
      </c>
      <c r="AI206">
        <v>2.4</v>
      </c>
      <c r="AJ206">
        <v>2.1</v>
      </c>
      <c r="AK206">
        <v>2</v>
      </c>
      <c r="AL206">
        <v>4.5</v>
      </c>
      <c r="AM206">
        <v>4</v>
      </c>
      <c r="AN206">
        <v>5.2</v>
      </c>
      <c r="AO206">
        <v>4</v>
      </c>
      <c r="AP206">
        <v>4</v>
      </c>
      <c r="AQ206">
        <v>4</v>
      </c>
      <c r="AR206">
        <v>5.2</v>
      </c>
      <c r="AS206">
        <v>4</v>
      </c>
      <c r="AT206">
        <v>-2.5</v>
      </c>
      <c r="AU206">
        <v>17.2</v>
      </c>
      <c r="AV206">
        <v>-5</v>
      </c>
      <c r="AW206">
        <v>-3.1</v>
      </c>
      <c r="AX206">
        <v>-3</v>
      </c>
      <c r="AY206">
        <v>-5</v>
      </c>
      <c r="AZ206">
        <v>9.6999999999999993</v>
      </c>
      <c r="BA206">
        <v>10</v>
      </c>
      <c r="BB206">
        <v>9.8000000000000007</v>
      </c>
      <c r="BC206">
        <v>10</v>
      </c>
      <c r="BD206">
        <v>4.4000000000000004</v>
      </c>
      <c r="BE206">
        <v>4</v>
      </c>
      <c r="BF206">
        <v>9.6999999999999993</v>
      </c>
      <c r="BG206">
        <v>10</v>
      </c>
      <c r="BH206">
        <v>11.8</v>
      </c>
      <c r="BI206">
        <v>10</v>
      </c>
      <c r="BJ206">
        <v>11</v>
      </c>
      <c r="BK206">
        <v>9</v>
      </c>
      <c r="BL206">
        <v>20.5</v>
      </c>
      <c r="BM206">
        <v>19</v>
      </c>
      <c r="BN206">
        <v>23.3</v>
      </c>
      <c r="BO206">
        <v>19</v>
      </c>
      <c r="BP206">
        <v>21.6</v>
      </c>
      <c r="BQ206">
        <v>20</v>
      </c>
      <c r="BR206">
        <v>21.7</v>
      </c>
      <c r="BS206">
        <v>25</v>
      </c>
      <c r="BT206">
        <v>21.9</v>
      </c>
      <c r="BU206">
        <v>25</v>
      </c>
      <c r="BV206">
        <v>23.7</v>
      </c>
      <c r="BW206">
        <v>18</v>
      </c>
      <c r="BX206">
        <v>21.9</v>
      </c>
      <c r="BY206">
        <v>20</v>
      </c>
      <c r="BZ206">
        <v>21.7</v>
      </c>
      <c r="CA206">
        <v>20</v>
      </c>
      <c r="CB206">
        <v>11.1</v>
      </c>
      <c r="CC206">
        <v>10</v>
      </c>
      <c r="CD206">
        <v>10.199999999999999</v>
      </c>
      <c r="CE206">
        <v>10</v>
      </c>
      <c r="CF206">
        <v>11.3</v>
      </c>
      <c r="CG206">
        <v>9</v>
      </c>
      <c r="CH206">
        <v>11.5</v>
      </c>
      <c r="CI206">
        <v>9</v>
      </c>
    </row>
    <row r="207" spans="1:87" x14ac:dyDescent="0.35">
      <c r="A207" s="1">
        <v>46059.592361111114</v>
      </c>
      <c r="B207">
        <v>-18.600000000000001</v>
      </c>
      <c r="C207">
        <v>-18.600000000000001</v>
      </c>
      <c r="D207">
        <v>-25</v>
      </c>
      <c r="E207">
        <v>-18.7</v>
      </c>
      <c r="F207">
        <v>-18.8</v>
      </c>
      <c r="G207">
        <v>-25</v>
      </c>
      <c r="H207">
        <v>-16.3</v>
      </c>
      <c r="I207">
        <v>-18.600000000000001</v>
      </c>
      <c r="J207">
        <v>-25</v>
      </c>
      <c r="K207">
        <v>-17.8</v>
      </c>
      <c r="L207">
        <v>4.5999999999999996</v>
      </c>
      <c r="M207">
        <v>-25</v>
      </c>
      <c r="N207">
        <v>-18.600000000000001</v>
      </c>
      <c r="O207">
        <v>-18.399999999999999</v>
      </c>
      <c r="P207">
        <v>-25</v>
      </c>
      <c r="Q207">
        <v>-19.2</v>
      </c>
      <c r="R207">
        <v>-18.600000000000001</v>
      </c>
      <c r="S207">
        <v>-25</v>
      </c>
      <c r="T207">
        <v>2.2999999999999998</v>
      </c>
      <c r="U207">
        <v>2.1</v>
      </c>
      <c r="V207">
        <v>2</v>
      </c>
      <c r="W207">
        <v>2.2999999999999998</v>
      </c>
      <c r="X207">
        <v>1.9</v>
      </c>
      <c r="Y207">
        <v>2</v>
      </c>
      <c r="Z207">
        <v>3.6</v>
      </c>
      <c r="AA207">
        <v>3.3</v>
      </c>
      <c r="AB207">
        <v>2</v>
      </c>
      <c r="AC207">
        <v>3.3</v>
      </c>
      <c r="AD207">
        <v>3.2</v>
      </c>
      <c r="AE207">
        <v>2</v>
      </c>
      <c r="AF207">
        <v>2.6</v>
      </c>
      <c r="AG207">
        <v>2.4</v>
      </c>
      <c r="AH207">
        <v>2</v>
      </c>
      <c r="AI207">
        <v>2.5</v>
      </c>
      <c r="AJ207">
        <v>2.2999999999999998</v>
      </c>
      <c r="AK207">
        <v>2</v>
      </c>
      <c r="AL207">
        <v>4.5</v>
      </c>
      <c r="AM207">
        <v>4</v>
      </c>
      <c r="AN207">
        <v>5.0999999999999996</v>
      </c>
      <c r="AO207">
        <v>4</v>
      </c>
      <c r="AP207">
        <v>4.3</v>
      </c>
      <c r="AQ207">
        <v>4</v>
      </c>
      <c r="AR207">
        <v>5.5</v>
      </c>
      <c r="AS207">
        <v>4</v>
      </c>
      <c r="AT207">
        <v>-2.5</v>
      </c>
      <c r="AU207">
        <v>19.8</v>
      </c>
      <c r="AV207">
        <v>-5</v>
      </c>
      <c r="AW207">
        <v>-3.7</v>
      </c>
      <c r="AX207">
        <v>-5.6</v>
      </c>
      <c r="AY207">
        <v>-5</v>
      </c>
      <c r="AZ207">
        <v>9.3000000000000007</v>
      </c>
      <c r="BA207">
        <v>10</v>
      </c>
      <c r="BB207">
        <v>10.199999999999999</v>
      </c>
      <c r="BC207">
        <v>10</v>
      </c>
      <c r="BD207">
        <v>4.5999999999999996</v>
      </c>
      <c r="BE207">
        <v>4</v>
      </c>
      <c r="BF207">
        <v>10</v>
      </c>
      <c r="BG207">
        <v>10</v>
      </c>
      <c r="BH207">
        <v>11.8</v>
      </c>
      <c r="BI207">
        <v>10</v>
      </c>
      <c r="BJ207">
        <v>11</v>
      </c>
      <c r="BK207">
        <v>9</v>
      </c>
      <c r="BL207">
        <v>20.5</v>
      </c>
      <c r="BM207">
        <v>19</v>
      </c>
      <c r="BN207">
        <v>23.3</v>
      </c>
      <c r="BO207">
        <v>19</v>
      </c>
      <c r="BP207">
        <v>21.6</v>
      </c>
      <c r="BQ207">
        <v>20</v>
      </c>
      <c r="BR207">
        <v>21.7</v>
      </c>
      <c r="BS207">
        <v>25</v>
      </c>
      <c r="BT207">
        <v>21.9</v>
      </c>
      <c r="BU207">
        <v>25</v>
      </c>
      <c r="BV207">
        <v>23.7</v>
      </c>
      <c r="BW207">
        <v>18</v>
      </c>
      <c r="BX207">
        <v>21.9</v>
      </c>
      <c r="BY207">
        <v>20</v>
      </c>
      <c r="BZ207">
        <v>21.7</v>
      </c>
      <c r="CA207">
        <v>20</v>
      </c>
      <c r="CB207">
        <v>11.5</v>
      </c>
      <c r="CC207">
        <v>10</v>
      </c>
      <c r="CD207">
        <v>10.199999999999999</v>
      </c>
      <c r="CE207">
        <v>10</v>
      </c>
      <c r="CF207">
        <v>11.3</v>
      </c>
      <c r="CG207">
        <v>9</v>
      </c>
      <c r="CH207">
        <v>11.5</v>
      </c>
      <c r="CI207">
        <v>9</v>
      </c>
    </row>
    <row r="208" spans="1:87" x14ac:dyDescent="0.35">
      <c r="A208" s="1">
        <v>46059.593055555553</v>
      </c>
      <c r="B208">
        <v>-18.399999999999999</v>
      </c>
      <c r="C208">
        <v>-18.399999999999999</v>
      </c>
      <c r="D208">
        <v>-25</v>
      </c>
      <c r="E208">
        <v>-18.5</v>
      </c>
      <c r="F208">
        <v>-18.600000000000001</v>
      </c>
      <c r="G208">
        <v>-25</v>
      </c>
      <c r="H208">
        <v>-16.3</v>
      </c>
      <c r="I208">
        <v>-20.2</v>
      </c>
      <c r="J208">
        <v>-25</v>
      </c>
      <c r="K208">
        <v>-17.8</v>
      </c>
      <c r="L208">
        <v>4.9000000000000004</v>
      </c>
      <c r="M208">
        <v>-25</v>
      </c>
      <c r="N208">
        <v>-18.600000000000001</v>
      </c>
      <c r="O208">
        <v>-18.399999999999999</v>
      </c>
      <c r="P208">
        <v>-25</v>
      </c>
      <c r="Q208">
        <v>-19</v>
      </c>
      <c r="R208">
        <v>-18.399999999999999</v>
      </c>
      <c r="S208">
        <v>-25</v>
      </c>
      <c r="T208">
        <v>2.4</v>
      </c>
      <c r="U208">
        <v>2.2999999999999998</v>
      </c>
      <c r="V208">
        <v>2</v>
      </c>
      <c r="W208">
        <v>2.2999999999999998</v>
      </c>
      <c r="X208">
        <v>2</v>
      </c>
      <c r="Y208">
        <v>2</v>
      </c>
      <c r="Z208">
        <v>3.6</v>
      </c>
      <c r="AA208">
        <v>3.4</v>
      </c>
      <c r="AB208">
        <v>2</v>
      </c>
      <c r="AC208">
        <v>3.4</v>
      </c>
      <c r="AD208">
        <v>3.3</v>
      </c>
      <c r="AE208">
        <v>2</v>
      </c>
      <c r="AF208">
        <v>2.8</v>
      </c>
      <c r="AG208">
        <v>2.6</v>
      </c>
      <c r="AH208">
        <v>2</v>
      </c>
      <c r="AI208">
        <v>2.7</v>
      </c>
      <c r="AJ208">
        <v>2.5</v>
      </c>
      <c r="AK208">
        <v>2</v>
      </c>
      <c r="AL208">
        <v>4.5999999999999996</v>
      </c>
      <c r="AM208">
        <v>4</v>
      </c>
      <c r="AN208">
        <v>4.9000000000000004</v>
      </c>
      <c r="AO208">
        <v>4</v>
      </c>
      <c r="AP208">
        <v>4.5</v>
      </c>
      <c r="AQ208">
        <v>4</v>
      </c>
      <c r="AR208">
        <v>5.7</v>
      </c>
      <c r="AS208">
        <v>4</v>
      </c>
      <c r="AT208">
        <v>-2.5</v>
      </c>
      <c r="AU208">
        <v>22.2</v>
      </c>
      <c r="AV208">
        <v>-5</v>
      </c>
      <c r="AW208">
        <v>-4</v>
      </c>
      <c r="AX208">
        <v>-5.0999999999999996</v>
      </c>
      <c r="AY208">
        <v>-5</v>
      </c>
      <c r="AZ208">
        <v>9.1999999999999993</v>
      </c>
      <c r="BA208">
        <v>10</v>
      </c>
      <c r="BB208">
        <v>10.4</v>
      </c>
      <c r="BC208">
        <v>10</v>
      </c>
      <c r="BD208">
        <v>4.8</v>
      </c>
      <c r="BE208">
        <v>4</v>
      </c>
      <c r="BF208">
        <v>10.3</v>
      </c>
      <c r="BG208">
        <v>10</v>
      </c>
      <c r="BH208">
        <v>11.9</v>
      </c>
      <c r="BI208">
        <v>10</v>
      </c>
      <c r="BJ208">
        <v>11</v>
      </c>
      <c r="BK208">
        <v>9</v>
      </c>
      <c r="BL208">
        <v>20.6</v>
      </c>
      <c r="BM208">
        <v>19</v>
      </c>
      <c r="BN208">
        <v>23.3</v>
      </c>
      <c r="BO208">
        <v>19</v>
      </c>
      <c r="BP208">
        <v>21.6</v>
      </c>
      <c r="BQ208">
        <v>20</v>
      </c>
      <c r="BR208">
        <v>21.7</v>
      </c>
      <c r="BS208">
        <v>25</v>
      </c>
      <c r="BT208">
        <v>21.9</v>
      </c>
      <c r="BU208">
        <v>25</v>
      </c>
      <c r="BV208">
        <v>23.7</v>
      </c>
      <c r="BW208">
        <v>18</v>
      </c>
      <c r="BX208">
        <v>21.9</v>
      </c>
      <c r="BY208">
        <v>20</v>
      </c>
      <c r="BZ208">
        <v>21.7</v>
      </c>
      <c r="CA208">
        <v>20</v>
      </c>
      <c r="CB208">
        <v>11.8</v>
      </c>
      <c r="CC208">
        <v>10</v>
      </c>
      <c r="CD208">
        <v>10.199999999999999</v>
      </c>
      <c r="CE208">
        <v>10</v>
      </c>
      <c r="CF208">
        <v>11.2</v>
      </c>
      <c r="CG208">
        <v>9</v>
      </c>
      <c r="CH208">
        <v>11.5</v>
      </c>
      <c r="CI208">
        <v>9</v>
      </c>
    </row>
    <row r="209" spans="1:87" x14ac:dyDescent="0.35">
      <c r="A209" s="1">
        <v>46059.59375</v>
      </c>
      <c r="B209">
        <v>-18.2</v>
      </c>
      <c r="C209">
        <v>-18.100000000000001</v>
      </c>
      <c r="D209">
        <v>-25</v>
      </c>
      <c r="E209">
        <v>-18.3</v>
      </c>
      <c r="F209">
        <v>-18.399999999999999</v>
      </c>
      <c r="G209">
        <v>-25</v>
      </c>
      <c r="H209">
        <v>-16.3</v>
      </c>
      <c r="I209">
        <v>-20.2</v>
      </c>
      <c r="J209">
        <v>-25</v>
      </c>
      <c r="K209">
        <v>-17.8</v>
      </c>
      <c r="L209">
        <v>5.3</v>
      </c>
      <c r="M209">
        <v>-25</v>
      </c>
      <c r="N209">
        <v>-18.600000000000001</v>
      </c>
      <c r="O209">
        <v>-18.399999999999999</v>
      </c>
      <c r="P209">
        <v>-25</v>
      </c>
      <c r="Q209">
        <v>-18.899999999999999</v>
      </c>
      <c r="R209">
        <v>-18.399999999999999</v>
      </c>
      <c r="S209">
        <v>-25</v>
      </c>
      <c r="T209">
        <v>2.5</v>
      </c>
      <c r="U209">
        <v>2.4</v>
      </c>
      <c r="V209">
        <v>2</v>
      </c>
      <c r="W209">
        <v>2.4</v>
      </c>
      <c r="X209">
        <v>2.2000000000000002</v>
      </c>
      <c r="Y209">
        <v>2</v>
      </c>
      <c r="Z209">
        <v>3.6</v>
      </c>
      <c r="AA209">
        <v>3.4</v>
      </c>
      <c r="AB209">
        <v>2</v>
      </c>
      <c r="AC209">
        <v>3.5</v>
      </c>
      <c r="AD209">
        <v>3.3</v>
      </c>
      <c r="AE209">
        <v>2</v>
      </c>
      <c r="AF209">
        <v>3</v>
      </c>
      <c r="AG209">
        <v>2.9</v>
      </c>
      <c r="AH209">
        <v>2</v>
      </c>
      <c r="AI209">
        <v>2.9</v>
      </c>
      <c r="AJ209">
        <v>2.8</v>
      </c>
      <c r="AK209">
        <v>2</v>
      </c>
      <c r="AL209">
        <v>4.7</v>
      </c>
      <c r="AM209">
        <v>4</v>
      </c>
      <c r="AN209">
        <v>4.8</v>
      </c>
      <c r="AO209">
        <v>4</v>
      </c>
      <c r="AP209">
        <v>4.7</v>
      </c>
      <c r="AQ209">
        <v>4</v>
      </c>
      <c r="AR209">
        <v>5.9</v>
      </c>
      <c r="AS209">
        <v>4</v>
      </c>
      <c r="AT209">
        <v>-2.5</v>
      </c>
      <c r="AU209">
        <v>24.4</v>
      </c>
      <c r="AV209">
        <v>-5</v>
      </c>
      <c r="AW209">
        <v>-4.5999999999999996</v>
      </c>
      <c r="AX209">
        <v>-6.9</v>
      </c>
      <c r="AY209">
        <v>-5</v>
      </c>
      <c r="AZ209">
        <v>9.3000000000000007</v>
      </c>
      <c r="BA209">
        <v>10</v>
      </c>
      <c r="BB209">
        <v>10.7</v>
      </c>
      <c r="BC209">
        <v>10</v>
      </c>
      <c r="BD209">
        <v>5</v>
      </c>
      <c r="BE209">
        <v>4</v>
      </c>
      <c r="BF209">
        <v>10.7</v>
      </c>
      <c r="BG209">
        <v>10</v>
      </c>
      <c r="BH209">
        <v>12.1</v>
      </c>
      <c r="BI209">
        <v>10</v>
      </c>
      <c r="BJ209">
        <v>11</v>
      </c>
      <c r="BK209">
        <v>9</v>
      </c>
      <c r="BL209">
        <v>20.6</v>
      </c>
      <c r="BM209">
        <v>19</v>
      </c>
      <c r="BN209">
        <v>23.3</v>
      </c>
      <c r="BO209">
        <v>19</v>
      </c>
      <c r="BP209">
        <v>21.6</v>
      </c>
      <c r="BQ209">
        <v>20</v>
      </c>
      <c r="BR209">
        <v>21.7</v>
      </c>
      <c r="BS209">
        <v>25</v>
      </c>
      <c r="BT209">
        <v>21.9</v>
      </c>
      <c r="BU209">
        <v>25</v>
      </c>
      <c r="BV209">
        <v>23.7</v>
      </c>
      <c r="BW209">
        <v>18</v>
      </c>
      <c r="BX209">
        <v>22</v>
      </c>
      <c r="BY209">
        <v>20</v>
      </c>
      <c r="BZ209">
        <v>21.7</v>
      </c>
      <c r="CA209">
        <v>20</v>
      </c>
      <c r="CB209">
        <v>12.1</v>
      </c>
      <c r="CC209">
        <v>10</v>
      </c>
      <c r="CD209">
        <v>10.199999999999999</v>
      </c>
      <c r="CE209">
        <v>10</v>
      </c>
      <c r="CF209">
        <v>11.5</v>
      </c>
      <c r="CG209">
        <v>9</v>
      </c>
      <c r="CH209">
        <v>11.7</v>
      </c>
      <c r="CI209">
        <v>9</v>
      </c>
    </row>
    <row r="210" spans="1:87" x14ac:dyDescent="0.35">
      <c r="A210" s="1">
        <v>46059.594444444447</v>
      </c>
      <c r="B210">
        <v>-18</v>
      </c>
      <c r="C210">
        <v>-17.899999999999999</v>
      </c>
      <c r="D210">
        <v>-25</v>
      </c>
      <c r="E210">
        <v>-18.2</v>
      </c>
      <c r="F210">
        <v>-18.2</v>
      </c>
      <c r="G210">
        <v>-25</v>
      </c>
      <c r="H210">
        <v>-16.3</v>
      </c>
      <c r="I210">
        <v>-20.2</v>
      </c>
      <c r="J210">
        <v>-25</v>
      </c>
      <c r="K210">
        <v>-17.8</v>
      </c>
      <c r="L210">
        <v>5.3</v>
      </c>
      <c r="M210">
        <v>-25</v>
      </c>
      <c r="N210">
        <v>-18.600000000000001</v>
      </c>
      <c r="O210">
        <v>-18.399999999999999</v>
      </c>
      <c r="P210">
        <v>-25</v>
      </c>
      <c r="Q210">
        <v>-18.8</v>
      </c>
      <c r="R210">
        <v>-18.399999999999999</v>
      </c>
      <c r="S210">
        <v>-25</v>
      </c>
      <c r="T210">
        <v>2.6</v>
      </c>
      <c r="U210">
        <v>2.5</v>
      </c>
      <c r="V210">
        <v>2</v>
      </c>
      <c r="W210">
        <v>2.6</v>
      </c>
      <c r="X210">
        <v>2.2999999999999998</v>
      </c>
      <c r="Y210">
        <v>2</v>
      </c>
      <c r="Z210">
        <v>3.7</v>
      </c>
      <c r="AA210">
        <v>3.5</v>
      </c>
      <c r="AB210">
        <v>2</v>
      </c>
      <c r="AC210">
        <v>3.5</v>
      </c>
      <c r="AD210">
        <v>3.4</v>
      </c>
      <c r="AE210">
        <v>2</v>
      </c>
      <c r="AF210">
        <v>3.2</v>
      </c>
      <c r="AG210">
        <v>3</v>
      </c>
      <c r="AH210">
        <v>2</v>
      </c>
      <c r="AI210">
        <v>3.1</v>
      </c>
      <c r="AJ210">
        <v>2.9</v>
      </c>
      <c r="AK210">
        <v>2</v>
      </c>
      <c r="AL210">
        <v>4.7</v>
      </c>
      <c r="AM210">
        <v>4</v>
      </c>
      <c r="AN210">
        <v>4.5999999999999996</v>
      </c>
      <c r="AO210">
        <v>4</v>
      </c>
      <c r="AP210">
        <v>4.9000000000000004</v>
      </c>
      <c r="AQ210">
        <v>4</v>
      </c>
      <c r="AR210">
        <v>6</v>
      </c>
      <c r="AS210">
        <v>4</v>
      </c>
      <c r="AT210">
        <v>-2.5</v>
      </c>
      <c r="AU210">
        <v>26.2</v>
      </c>
      <c r="AV210">
        <v>-5</v>
      </c>
      <c r="AW210">
        <v>-5.0999999999999996</v>
      </c>
      <c r="AX210">
        <v>-7.5</v>
      </c>
      <c r="AY210">
        <v>-5</v>
      </c>
      <c r="AZ210">
        <v>9.4</v>
      </c>
      <c r="BA210">
        <v>10</v>
      </c>
      <c r="BB210">
        <v>11</v>
      </c>
      <c r="BC210">
        <v>10</v>
      </c>
      <c r="BD210">
        <v>5.3</v>
      </c>
      <c r="BE210">
        <v>4</v>
      </c>
      <c r="BF210">
        <v>10.9</v>
      </c>
      <c r="BG210">
        <v>10</v>
      </c>
      <c r="BH210">
        <v>12.4</v>
      </c>
      <c r="BI210">
        <v>10</v>
      </c>
      <c r="BJ210">
        <v>11</v>
      </c>
      <c r="BK210">
        <v>9</v>
      </c>
      <c r="BL210">
        <v>20.6</v>
      </c>
      <c r="BM210">
        <v>19</v>
      </c>
      <c r="BN210">
        <v>23.3</v>
      </c>
      <c r="BO210">
        <v>19</v>
      </c>
      <c r="BP210">
        <v>21.6</v>
      </c>
      <c r="BQ210">
        <v>20</v>
      </c>
      <c r="BR210">
        <v>21.7</v>
      </c>
      <c r="BS210">
        <v>25</v>
      </c>
      <c r="BT210">
        <v>21.9</v>
      </c>
      <c r="BU210">
        <v>25</v>
      </c>
      <c r="BV210">
        <v>23.7</v>
      </c>
      <c r="BW210">
        <v>18</v>
      </c>
      <c r="BX210">
        <v>20.2</v>
      </c>
      <c r="BY210">
        <v>20</v>
      </c>
      <c r="BZ210">
        <v>21.7</v>
      </c>
      <c r="CA210">
        <v>20</v>
      </c>
      <c r="CB210">
        <v>12</v>
      </c>
      <c r="CC210">
        <v>10</v>
      </c>
      <c r="CD210">
        <v>10.199999999999999</v>
      </c>
      <c r="CE210">
        <v>10</v>
      </c>
      <c r="CF210">
        <v>11.7</v>
      </c>
      <c r="CG210">
        <v>9</v>
      </c>
      <c r="CH210">
        <v>11.9</v>
      </c>
      <c r="CI210">
        <v>9</v>
      </c>
    </row>
    <row r="211" spans="1:87" x14ac:dyDescent="0.35">
      <c r="A211" s="1">
        <v>46059.595138888886</v>
      </c>
      <c r="B211">
        <v>-17.899999999999999</v>
      </c>
      <c r="C211">
        <v>-17.7</v>
      </c>
      <c r="D211">
        <v>-25</v>
      </c>
      <c r="E211">
        <v>-18</v>
      </c>
      <c r="F211">
        <v>-18</v>
      </c>
      <c r="G211">
        <v>-25</v>
      </c>
      <c r="H211">
        <v>-16.3</v>
      </c>
      <c r="I211">
        <v>-20.2</v>
      </c>
      <c r="J211">
        <v>-25</v>
      </c>
      <c r="K211">
        <v>-17.8</v>
      </c>
      <c r="L211">
        <v>5.6</v>
      </c>
      <c r="M211">
        <v>-25</v>
      </c>
      <c r="N211">
        <v>-18.3</v>
      </c>
      <c r="O211">
        <v>-18.100000000000001</v>
      </c>
      <c r="P211">
        <v>-25</v>
      </c>
      <c r="Q211">
        <v>-18.7</v>
      </c>
      <c r="R211">
        <v>-18.2</v>
      </c>
      <c r="S211">
        <v>-25</v>
      </c>
      <c r="T211">
        <v>2.7</v>
      </c>
      <c r="U211">
        <v>2.7</v>
      </c>
      <c r="V211">
        <v>2</v>
      </c>
      <c r="W211">
        <v>2.7</v>
      </c>
      <c r="X211">
        <v>2.4</v>
      </c>
      <c r="Y211">
        <v>2</v>
      </c>
      <c r="Z211">
        <v>3.8</v>
      </c>
      <c r="AA211">
        <v>3.5</v>
      </c>
      <c r="AB211">
        <v>2</v>
      </c>
      <c r="AC211">
        <v>3.6</v>
      </c>
      <c r="AD211">
        <v>3.5</v>
      </c>
      <c r="AE211">
        <v>2</v>
      </c>
      <c r="AF211">
        <v>3.4</v>
      </c>
      <c r="AG211">
        <v>3.2</v>
      </c>
      <c r="AH211">
        <v>2</v>
      </c>
      <c r="AI211">
        <v>3.3</v>
      </c>
      <c r="AJ211">
        <v>3.2</v>
      </c>
      <c r="AK211">
        <v>2</v>
      </c>
      <c r="AL211">
        <v>4.8</v>
      </c>
      <c r="AM211">
        <v>4</v>
      </c>
      <c r="AN211">
        <v>4.5</v>
      </c>
      <c r="AO211">
        <v>4</v>
      </c>
      <c r="AP211">
        <v>5.0999999999999996</v>
      </c>
      <c r="AQ211">
        <v>4</v>
      </c>
      <c r="AR211">
        <v>6</v>
      </c>
      <c r="AS211">
        <v>4</v>
      </c>
      <c r="AT211">
        <v>-2.5</v>
      </c>
      <c r="AU211">
        <v>26.9</v>
      </c>
      <c r="AV211">
        <v>-5</v>
      </c>
      <c r="AW211">
        <v>-5.0999999999999996</v>
      </c>
      <c r="AX211">
        <v>-5.5</v>
      </c>
      <c r="AY211">
        <v>-5</v>
      </c>
      <c r="AZ211">
        <v>9.6</v>
      </c>
      <c r="BA211">
        <v>10</v>
      </c>
      <c r="BB211">
        <v>11.2</v>
      </c>
      <c r="BC211">
        <v>10</v>
      </c>
      <c r="BD211">
        <v>5.4</v>
      </c>
      <c r="BE211">
        <v>4</v>
      </c>
      <c r="BF211">
        <v>11.3</v>
      </c>
      <c r="BG211">
        <v>10</v>
      </c>
      <c r="BH211">
        <v>12.8</v>
      </c>
      <c r="BI211">
        <v>10</v>
      </c>
      <c r="BJ211">
        <v>11.1</v>
      </c>
      <c r="BK211">
        <v>9</v>
      </c>
      <c r="BL211">
        <v>20.6</v>
      </c>
      <c r="BM211">
        <v>19</v>
      </c>
      <c r="BN211">
        <v>23.3</v>
      </c>
      <c r="BO211">
        <v>19</v>
      </c>
      <c r="BP211">
        <v>21.6</v>
      </c>
      <c r="BQ211">
        <v>20</v>
      </c>
      <c r="BR211">
        <v>21.7</v>
      </c>
      <c r="BS211">
        <v>25</v>
      </c>
      <c r="BT211">
        <v>21.9</v>
      </c>
      <c r="BU211">
        <v>25</v>
      </c>
      <c r="BV211">
        <v>23.7</v>
      </c>
      <c r="BW211">
        <v>18</v>
      </c>
      <c r="BX211">
        <v>19.100000000000001</v>
      </c>
      <c r="BY211">
        <v>20</v>
      </c>
      <c r="BZ211">
        <v>21.8</v>
      </c>
      <c r="CA211">
        <v>20</v>
      </c>
      <c r="CB211">
        <v>11.9</v>
      </c>
      <c r="CC211">
        <v>10</v>
      </c>
      <c r="CD211">
        <v>10.199999999999999</v>
      </c>
      <c r="CE211">
        <v>10</v>
      </c>
      <c r="CF211">
        <v>11.7</v>
      </c>
      <c r="CG211">
        <v>9</v>
      </c>
      <c r="CH211">
        <v>11.9</v>
      </c>
      <c r="CI211">
        <v>9</v>
      </c>
    </row>
    <row r="212" spans="1:87" x14ac:dyDescent="0.35">
      <c r="A212" s="1">
        <v>46059.59652777778</v>
      </c>
      <c r="B212">
        <v>-17.5</v>
      </c>
      <c r="C212">
        <v>-17.3</v>
      </c>
      <c r="D212">
        <v>-25</v>
      </c>
      <c r="E212">
        <v>-17.600000000000001</v>
      </c>
      <c r="F212">
        <v>-17.600000000000001</v>
      </c>
      <c r="G212">
        <v>-25</v>
      </c>
      <c r="H212">
        <v>-16.3</v>
      </c>
      <c r="I212">
        <v>-20.2</v>
      </c>
      <c r="J212">
        <v>-25</v>
      </c>
      <c r="K212">
        <v>-17.8</v>
      </c>
      <c r="L212">
        <v>6.5</v>
      </c>
      <c r="M212">
        <v>-25</v>
      </c>
      <c r="N212">
        <v>-18.100000000000001</v>
      </c>
      <c r="O212">
        <v>-17.899999999999999</v>
      </c>
      <c r="P212">
        <v>-25</v>
      </c>
      <c r="Q212">
        <v>-18.399999999999999</v>
      </c>
      <c r="R212">
        <v>-18</v>
      </c>
      <c r="S212">
        <v>-25</v>
      </c>
      <c r="T212">
        <v>2.9</v>
      </c>
      <c r="U212">
        <v>2.9</v>
      </c>
      <c r="V212">
        <v>2</v>
      </c>
      <c r="W212">
        <v>2.9</v>
      </c>
      <c r="X212">
        <v>2.7</v>
      </c>
      <c r="Y212">
        <v>2</v>
      </c>
      <c r="Z212">
        <v>3.9</v>
      </c>
      <c r="AA212">
        <v>3.7</v>
      </c>
      <c r="AB212">
        <v>2</v>
      </c>
      <c r="AC212">
        <v>3.7</v>
      </c>
      <c r="AD212">
        <v>3.6</v>
      </c>
      <c r="AE212">
        <v>2</v>
      </c>
      <c r="AF212">
        <v>3.7</v>
      </c>
      <c r="AG212">
        <v>3.6</v>
      </c>
      <c r="AH212">
        <v>2</v>
      </c>
      <c r="AI212">
        <v>3.6</v>
      </c>
      <c r="AJ212">
        <v>3.5</v>
      </c>
      <c r="AK212">
        <v>2</v>
      </c>
      <c r="AL212">
        <v>4.9000000000000004</v>
      </c>
      <c r="AM212">
        <v>4</v>
      </c>
      <c r="AN212">
        <v>4.2</v>
      </c>
      <c r="AO212">
        <v>4</v>
      </c>
      <c r="AP212">
        <v>5.4</v>
      </c>
      <c r="AQ212">
        <v>4</v>
      </c>
      <c r="AR212">
        <v>6</v>
      </c>
      <c r="AS212">
        <v>4</v>
      </c>
      <c r="AT212">
        <v>28.7</v>
      </c>
      <c r="AU212">
        <v>23.5</v>
      </c>
      <c r="AV212">
        <v>-5</v>
      </c>
      <c r="AW212">
        <v>-3.2</v>
      </c>
      <c r="AX212">
        <v>-3</v>
      </c>
      <c r="AY212">
        <v>-5</v>
      </c>
      <c r="AZ212">
        <v>9.9</v>
      </c>
      <c r="BA212">
        <v>10</v>
      </c>
      <c r="BB212">
        <v>11.6</v>
      </c>
      <c r="BC212">
        <v>10</v>
      </c>
      <c r="BD212">
        <v>5.8</v>
      </c>
      <c r="BE212">
        <v>4</v>
      </c>
      <c r="BF212">
        <v>11.7</v>
      </c>
      <c r="BG212">
        <v>10</v>
      </c>
      <c r="BH212">
        <v>12.5</v>
      </c>
      <c r="BI212">
        <v>10</v>
      </c>
      <c r="BJ212">
        <v>11.2</v>
      </c>
      <c r="BK212">
        <v>9</v>
      </c>
      <c r="BL212">
        <v>20.6</v>
      </c>
      <c r="BM212">
        <v>19</v>
      </c>
      <c r="BN212">
        <v>23.3</v>
      </c>
      <c r="BO212">
        <v>19</v>
      </c>
      <c r="BP212">
        <v>21.7</v>
      </c>
      <c r="BQ212">
        <v>20</v>
      </c>
      <c r="BR212">
        <v>21.7</v>
      </c>
      <c r="BS212">
        <v>25</v>
      </c>
      <c r="BT212">
        <v>21.9</v>
      </c>
      <c r="BU212">
        <v>25</v>
      </c>
      <c r="BV212">
        <v>23.6</v>
      </c>
      <c r="BW212">
        <v>18</v>
      </c>
      <c r="BX212">
        <v>19.5</v>
      </c>
      <c r="BY212">
        <v>20</v>
      </c>
      <c r="BZ212">
        <v>21.8</v>
      </c>
      <c r="CA212">
        <v>20</v>
      </c>
      <c r="CB212">
        <v>11.4</v>
      </c>
      <c r="CC212">
        <v>10</v>
      </c>
      <c r="CD212">
        <v>10.199999999999999</v>
      </c>
      <c r="CE212">
        <v>10</v>
      </c>
      <c r="CF212">
        <v>11.9</v>
      </c>
      <c r="CG212">
        <v>9</v>
      </c>
      <c r="CH212">
        <v>12.1</v>
      </c>
      <c r="CI212">
        <v>9</v>
      </c>
    </row>
    <row r="213" spans="1:87" x14ac:dyDescent="0.35">
      <c r="A213" s="1">
        <v>46059.597222222219</v>
      </c>
      <c r="B213">
        <v>-17.3</v>
      </c>
      <c r="C213">
        <v>-17.100000000000001</v>
      </c>
      <c r="D213">
        <v>-25</v>
      </c>
      <c r="E213">
        <v>-17.399999999999999</v>
      </c>
      <c r="F213">
        <v>-17.5</v>
      </c>
      <c r="G213">
        <v>-25</v>
      </c>
      <c r="H213">
        <v>-16.3</v>
      </c>
      <c r="I213">
        <v>-20.100000000000001</v>
      </c>
      <c r="J213">
        <v>-25</v>
      </c>
      <c r="K213">
        <v>-17.8</v>
      </c>
      <c r="L213">
        <v>6.7</v>
      </c>
      <c r="M213">
        <v>-25</v>
      </c>
      <c r="N213">
        <v>-18.100000000000001</v>
      </c>
      <c r="O213">
        <v>-17.899999999999999</v>
      </c>
      <c r="P213">
        <v>-25</v>
      </c>
      <c r="Q213">
        <v>-18.3</v>
      </c>
      <c r="R213">
        <v>-18</v>
      </c>
      <c r="S213">
        <v>-25</v>
      </c>
      <c r="T213">
        <v>3</v>
      </c>
      <c r="U213">
        <v>3</v>
      </c>
      <c r="V213">
        <v>2</v>
      </c>
      <c r="W213">
        <v>3</v>
      </c>
      <c r="X213">
        <v>2.8</v>
      </c>
      <c r="Y213">
        <v>2</v>
      </c>
      <c r="Z213">
        <v>4</v>
      </c>
      <c r="AA213">
        <v>3.7</v>
      </c>
      <c r="AB213">
        <v>2</v>
      </c>
      <c r="AC213">
        <v>3.8</v>
      </c>
      <c r="AD213">
        <v>3.7</v>
      </c>
      <c r="AE213">
        <v>2</v>
      </c>
      <c r="AF213">
        <v>3.9</v>
      </c>
      <c r="AG213">
        <v>3.7</v>
      </c>
      <c r="AH213">
        <v>2</v>
      </c>
      <c r="AI213">
        <v>3.8</v>
      </c>
      <c r="AJ213">
        <v>3.7</v>
      </c>
      <c r="AK213">
        <v>2</v>
      </c>
      <c r="AL213">
        <v>4.9000000000000004</v>
      </c>
      <c r="AM213">
        <v>4</v>
      </c>
      <c r="AN213">
        <v>4</v>
      </c>
      <c r="AO213">
        <v>4</v>
      </c>
      <c r="AP213">
        <v>5.5</v>
      </c>
      <c r="AQ213">
        <v>4</v>
      </c>
      <c r="AR213">
        <v>6.1</v>
      </c>
      <c r="AS213">
        <v>4</v>
      </c>
      <c r="AT213">
        <v>21.9</v>
      </c>
      <c r="AU213">
        <v>12.2</v>
      </c>
      <c r="AV213">
        <v>-5</v>
      </c>
      <c r="AW213">
        <v>-2.8</v>
      </c>
      <c r="AX213">
        <v>-2.7</v>
      </c>
      <c r="AY213">
        <v>-5</v>
      </c>
      <c r="AZ213">
        <v>10.1</v>
      </c>
      <c r="BA213">
        <v>10</v>
      </c>
      <c r="BB213">
        <v>11.9</v>
      </c>
      <c r="BC213">
        <v>10</v>
      </c>
      <c r="BD213">
        <v>5.9</v>
      </c>
      <c r="BE213">
        <v>4</v>
      </c>
      <c r="BF213">
        <v>12.1</v>
      </c>
      <c r="BG213">
        <v>10</v>
      </c>
      <c r="BH213">
        <v>12.1</v>
      </c>
      <c r="BI213">
        <v>10</v>
      </c>
      <c r="BJ213">
        <v>11.1</v>
      </c>
      <c r="BK213">
        <v>9</v>
      </c>
      <c r="BL213">
        <v>20.7</v>
      </c>
      <c r="BM213">
        <v>19</v>
      </c>
      <c r="BN213">
        <v>23.3</v>
      </c>
      <c r="BO213">
        <v>19</v>
      </c>
      <c r="BP213">
        <v>21.7</v>
      </c>
      <c r="BQ213">
        <v>20</v>
      </c>
      <c r="BR213">
        <v>21.7</v>
      </c>
      <c r="BS213">
        <v>25</v>
      </c>
      <c r="BT213">
        <v>21.9</v>
      </c>
      <c r="BU213">
        <v>25</v>
      </c>
      <c r="BV213">
        <v>23.6</v>
      </c>
      <c r="BW213">
        <v>18</v>
      </c>
      <c r="BX213">
        <v>19.899999999999999</v>
      </c>
      <c r="BY213">
        <v>20</v>
      </c>
      <c r="BZ213">
        <v>21.8</v>
      </c>
      <c r="CA213">
        <v>20</v>
      </c>
      <c r="CB213">
        <v>11.2</v>
      </c>
      <c r="CC213">
        <v>10</v>
      </c>
      <c r="CD213">
        <v>10.199999999999999</v>
      </c>
      <c r="CE213">
        <v>10</v>
      </c>
      <c r="CF213">
        <v>11.6</v>
      </c>
      <c r="CG213">
        <v>9</v>
      </c>
      <c r="CH213">
        <v>11.9</v>
      </c>
      <c r="CI213">
        <v>9</v>
      </c>
    </row>
    <row r="214" spans="1:87" x14ac:dyDescent="0.35">
      <c r="A214" s="1">
        <v>46059.597916666666</v>
      </c>
      <c r="B214">
        <v>-17.100000000000001</v>
      </c>
      <c r="C214">
        <v>-16.899999999999999</v>
      </c>
      <c r="D214">
        <v>-25</v>
      </c>
      <c r="E214">
        <v>-17.2</v>
      </c>
      <c r="F214">
        <v>-17.3</v>
      </c>
      <c r="G214">
        <v>-25</v>
      </c>
      <c r="H214">
        <v>-16.2</v>
      </c>
      <c r="I214">
        <v>-19.899999999999999</v>
      </c>
      <c r="J214">
        <v>-25</v>
      </c>
      <c r="K214">
        <v>-17.8</v>
      </c>
      <c r="L214">
        <v>7</v>
      </c>
      <c r="M214">
        <v>-25</v>
      </c>
      <c r="N214">
        <v>-17.8</v>
      </c>
      <c r="O214">
        <v>-17.5</v>
      </c>
      <c r="P214">
        <v>-25</v>
      </c>
      <c r="Q214">
        <v>-18.2</v>
      </c>
      <c r="R214">
        <v>-17.7</v>
      </c>
      <c r="S214">
        <v>-25</v>
      </c>
      <c r="T214">
        <v>3.1</v>
      </c>
      <c r="U214">
        <v>3.1</v>
      </c>
      <c r="V214">
        <v>2</v>
      </c>
      <c r="W214">
        <v>3.1</v>
      </c>
      <c r="X214">
        <v>2.9</v>
      </c>
      <c r="Y214">
        <v>2</v>
      </c>
      <c r="Z214">
        <v>4.0999999999999996</v>
      </c>
      <c r="AA214">
        <v>3.8</v>
      </c>
      <c r="AB214">
        <v>2</v>
      </c>
      <c r="AC214">
        <v>3.9</v>
      </c>
      <c r="AD214">
        <v>3.7</v>
      </c>
      <c r="AE214">
        <v>2</v>
      </c>
      <c r="AF214">
        <v>4</v>
      </c>
      <c r="AG214">
        <v>3.9</v>
      </c>
      <c r="AH214">
        <v>2</v>
      </c>
      <c r="AI214">
        <v>3.9</v>
      </c>
      <c r="AJ214">
        <v>3.8</v>
      </c>
      <c r="AK214">
        <v>2</v>
      </c>
      <c r="AL214">
        <v>5</v>
      </c>
      <c r="AM214">
        <v>4</v>
      </c>
      <c r="AN214">
        <v>3.8</v>
      </c>
      <c r="AO214">
        <v>4</v>
      </c>
      <c r="AP214">
        <v>5.7</v>
      </c>
      <c r="AQ214">
        <v>4</v>
      </c>
      <c r="AR214">
        <v>6.2</v>
      </c>
      <c r="AS214">
        <v>4</v>
      </c>
      <c r="AT214">
        <v>12.9</v>
      </c>
      <c r="AU214">
        <v>3.4</v>
      </c>
      <c r="AV214">
        <v>-5</v>
      </c>
      <c r="AW214">
        <v>-3.4</v>
      </c>
      <c r="AX214">
        <v>-3.3</v>
      </c>
      <c r="AY214">
        <v>-5</v>
      </c>
      <c r="AZ214">
        <v>10.199999999999999</v>
      </c>
      <c r="BA214">
        <v>10</v>
      </c>
      <c r="BB214">
        <v>12</v>
      </c>
      <c r="BC214">
        <v>10</v>
      </c>
      <c r="BD214">
        <v>6</v>
      </c>
      <c r="BE214">
        <v>4</v>
      </c>
      <c r="BF214">
        <v>11.8</v>
      </c>
      <c r="BG214">
        <v>10</v>
      </c>
      <c r="BH214">
        <v>11.8</v>
      </c>
      <c r="BI214">
        <v>10</v>
      </c>
      <c r="BJ214">
        <v>11</v>
      </c>
      <c r="BK214">
        <v>9</v>
      </c>
      <c r="BL214">
        <v>20.7</v>
      </c>
      <c r="BM214">
        <v>19</v>
      </c>
      <c r="BN214">
        <v>23.3</v>
      </c>
      <c r="BO214">
        <v>19</v>
      </c>
      <c r="BP214">
        <v>21.7</v>
      </c>
      <c r="BQ214">
        <v>20</v>
      </c>
      <c r="BR214">
        <v>21.7</v>
      </c>
      <c r="BS214">
        <v>25</v>
      </c>
      <c r="BT214">
        <v>21.9</v>
      </c>
      <c r="BU214">
        <v>25</v>
      </c>
      <c r="BV214">
        <v>23.6</v>
      </c>
      <c r="BW214">
        <v>18</v>
      </c>
      <c r="BX214">
        <v>20.2</v>
      </c>
      <c r="BY214">
        <v>20</v>
      </c>
      <c r="BZ214">
        <v>21.8</v>
      </c>
      <c r="CA214">
        <v>20</v>
      </c>
      <c r="CB214">
        <v>11.1</v>
      </c>
      <c r="CC214">
        <v>10</v>
      </c>
      <c r="CD214">
        <v>10.199999999999999</v>
      </c>
      <c r="CE214">
        <v>10</v>
      </c>
      <c r="CF214">
        <v>11.5</v>
      </c>
      <c r="CG214">
        <v>9</v>
      </c>
      <c r="CH214">
        <v>11.7</v>
      </c>
      <c r="CI214">
        <v>9</v>
      </c>
    </row>
    <row r="215" spans="1:87" x14ac:dyDescent="0.35">
      <c r="A215" s="1">
        <v>46059.598611111112</v>
      </c>
      <c r="B215">
        <v>-16.899999999999999</v>
      </c>
      <c r="C215">
        <v>-16.7</v>
      </c>
      <c r="D215">
        <v>-25</v>
      </c>
      <c r="E215">
        <v>-17.100000000000001</v>
      </c>
      <c r="F215">
        <v>-17.100000000000001</v>
      </c>
      <c r="G215">
        <v>-25</v>
      </c>
      <c r="H215">
        <v>-16.100000000000001</v>
      </c>
      <c r="I215">
        <v>-19.8</v>
      </c>
      <c r="J215">
        <v>-25</v>
      </c>
      <c r="K215">
        <v>-17.8</v>
      </c>
      <c r="L215">
        <v>7.3</v>
      </c>
      <c r="M215">
        <v>-25</v>
      </c>
      <c r="N215">
        <v>-17.600000000000001</v>
      </c>
      <c r="O215">
        <v>-17.3</v>
      </c>
      <c r="P215">
        <v>-25</v>
      </c>
      <c r="Q215">
        <v>-18</v>
      </c>
      <c r="R215">
        <v>-17.5</v>
      </c>
      <c r="S215">
        <v>-25</v>
      </c>
      <c r="T215">
        <v>3.2</v>
      </c>
      <c r="U215">
        <v>3.2</v>
      </c>
      <c r="V215">
        <v>2</v>
      </c>
      <c r="W215">
        <v>3.2</v>
      </c>
      <c r="X215">
        <v>3</v>
      </c>
      <c r="Y215">
        <v>2</v>
      </c>
      <c r="Z215">
        <v>4.0999999999999996</v>
      </c>
      <c r="AA215">
        <v>3.9</v>
      </c>
      <c r="AB215">
        <v>2</v>
      </c>
      <c r="AC215">
        <v>3.9</v>
      </c>
      <c r="AD215">
        <v>3.8</v>
      </c>
      <c r="AE215">
        <v>2</v>
      </c>
      <c r="AF215">
        <v>4.2</v>
      </c>
      <c r="AG215">
        <v>4</v>
      </c>
      <c r="AH215">
        <v>2</v>
      </c>
      <c r="AI215">
        <v>4</v>
      </c>
      <c r="AJ215">
        <v>3.9</v>
      </c>
      <c r="AK215">
        <v>2</v>
      </c>
      <c r="AL215">
        <v>5</v>
      </c>
      <c r="AM215">
        <v>4</v>
      </c>
      <c r="AN215">
        <v>3.8</v>
      </c>
      <c r="AO215">
        <v>4</v>
      </c>
      <c r="AP215">
        <v>5.8</v>
      </c>
      <c r="AQ215">
        <v>4</v>
      </c>
      <c r="AR215">
        <v>5.9</v>
      </c>
      <c r="AS215">
        <v>4</v>
      </c>
      <c r="AT215">
        <v>5.6</v>
      </c>
      <c r="AU215">
        <v>0.5</v>
      </c>
      <c r="AV215">
        <v>-5</v>
      </c>
      <c r="AW215">
        <v>-3.7</v>
      </c>
      <c r="AX215">
        <v>-3.8</v>
      </c>
      <c r="AY215">
        <v>-5</v>
      </c>
      <c r="AZ215">
        <v>10.3</v>
      </c>
      <c r="BA215">
        <v>10</v>
      </c>
      <c r="BB215">
        <v>12.1</v>
      </c>
      <c r="BC215">
        <v>10</v>
      </c>
      <c r="BD215">
        <v>6.1</v>
      </c>
      <c r="BE215">
        <v>4</v>
      </c>
      <c r="BF215">
        <v>11.3</v>
      </c>
      <c r="BG215">
        <v>10</v>
      </c>
      <c r="BH215">
        <v>11.5</v>
      </c>
      <c r="BI215">
        <v>10</v>
      </c>
      <c r="BJ215">
        <v>11</v>
      </c>
      <c r="BK215">
        <v>9</v>
      </c>
      <c r="BL215">
        <v>20.7</v>
      </c>
      <c r="BM215">
        <v>19</v>
      </c>
      <c r="BN215">
        <v>23.3</v>
      </c>
      <c r="BO215">
        <v>19</v>
      </c>
      <c r="BP215">
        <v>21.7</v>
      </c>
      <c r="BQ215">
        <v>20</v>
      </c>
      <c r="BR215">
        <v>21.7</v>
      </c>
      <c r="BS215">
        <v>25</v>
      </c>
      <c r="BT215">
        <v>21.9</v>
      </c>
      <c r="BU215">
        <v>25</v>
      </c>
      <c r="BV215">
        <v>23.6</v>
      </c>
      <c r="BW215">
        <v>18</v>
      </c>
      <c r="BX215">
        <v>20.399999999999999</v>
      </c>
      <c r="BY215">
        <v>20</v>
      </c>
      <c r="BZ215">
        <v>21.8</v>
      </c>
      <c r="CA215">
        <v>20</v>
      </c>
      <c r="CB215">
        <v>11</v>
      </c>
      <c r="CC215">
        <v>10</v>
      </c>
      <c r="CD215">
        <v>10.199999999999999</v>
      </c>
      <c r="CE215">
        <v>10</v>
      </c>
      <c r="CF215">
        <v>11.4</v>
      </c>
      <c r="CG215">
        <v>9</v>
      </c>
      <c r="CH215">
        <v>11.6</v>
      </c>
      <c r="CI215">
        <v>9</v>
      </c>
    </row>
    <row r="216" spans="1:87" x14ac:dyDescent="0.35">
      <c r="A216" s="1">
        <v>46059.599305555559</v>
      </c>
      <c r="B216">
        <v>-16.2</v>
      </c>
      <c r="C216">
        <v>-16.399999999999999</v>
      </c>
      <c r="D216">
        <v>-25</v>
      </c>
      <c r="E216">
        <v>-16.3</v>
      </c>
      <c r="F216">
        <v>-16.100000000000001</v>
      </c>
      <c r="G216">
        <v>-25</v>
      </c>
      <c r="H216">
        <v>-16.100000000000001</v>
      </c>
      <c r="I216">
        <v>-19.600000000000001</v>
      </c>
      <c r="J216">
        <v>-25</v>
      </c>
      <c r="K216">
        <v>-17.8</v>
      </c>
      <c r="L216">
        <v>7.6</v>
      </c>
      <c r="M216">
        <v>-25</v>
      </c>
      <c r="N216">
        <v>-17.399999999999999</v>
      </c>
      <c r="O216">
        <v>-17.100000000000001</v>
      </c>
      <c r="P216">
        <v>-25</v>
      </c>
      <c r="Q216">
        <v>-17.8</v>
      </c>
      <c r="R216">
        <v>-17.3</v>
      </c>
      <c r="S216">
        <v>-25</v>
      </c>
      <c r="T216">
        <v>3.3</v>
      </c>
      <c r="U216">
        <v>3.3</v>
      </c>
      <c r="V216">
        <v>2</v>
      </c>
      <c r="W216">
        <v>3.3</v>
      </c>
      <c r="X216">
        <v>3</v>
      </c>
      <c r="Y216">
        <v>2</v>
      </c>
      <c r="Z216">
        <v>4.2</v>
      </c>
      <c r="AA216">
        <v>3.9</v>
      </c>
      <c r="AB216">
        <v>2</v>
      </c>
      <c r="AC216">
        <v>4</v>
      </c>
      <c r="AD216">
        <v>3.9</v>
      </c>
      <c r="AE216">
        <v>2</v>
      </c>
      <c r="AF216">
        <v>4.2</v>
      </c>
      <c r="AG216">
        <v>4</v>
      </c>
      <c r="AH216">
        <v>2</v>
      </c>
      <c r="AI216">
        <v>4</v>
      </c>
      <c r="AJ216">
        <v>2.9</v>
      </c>
      <c r="AK216">
        <v>2</v>
      </c>
      <c r="AL216">
        <v>5</v>
      </c>
      <c r="AM216">
        <v>4</v>
      </c>
      <c r="AN216">
        <v>3.8</v>
      </c>
      <c r="AO216">
        <v>4</v>
      </c>
      <c r="AP216">
        <v>5.9</v>
      </c>
      <c r="AQ216">
        <v>4</v>
      </c>
      <c r="AR216">
        <v>5.3</v>
      </c>
      <c r="AS216">
        <v>4</v>
      </c>
      <c r="AT216">
        <v>1.4</v>
      </c>
      <c r="AU216">
        <v>-2.2999999999999998</v>
      </c>
      <c r="AV216">
        <v>-5</v>
      </c>
      <c r="AW216">
        <v>-3.6</v>
      </c>
      <c r="AX216">
        <v>-4.9000000000000004</v>
      </c>
      <c r="AY216">
        <v>-5</v>
      </c>
      <c r="AZ216">
        <v>10.5</v>
      </c>
      <c r="BA216">
        <v>10</v>
      </c>
      <c r="BB216">
        <v>12.1</v>
      </c>
      <c r="BC216">
        <v>10</v>
      </c>
      <c r="BD216">
        <v>5.9</v>
      </c>
      <c r="BE216">
        <v>4</v>
      </c>
      <c r="BF216">
        <v>10.5</v>
      </c>
      <c r="BG216">
        <v>10</v>
      </c>
      <c r="BH216">
        <v>11.2</v>
      </c>
      <c r="BI216">
        <v>10</v>
      </c>
      <c r="BJ216">
        <v>10.9</v>
      </c>
      <c r="BK216">
        <v>9</v>
      </c>
      <c r="BL216">
        <v>20.7</v>
      </c>
      <c r="BM216">
        <v>19</v>
      </c>
      <c r="BN216">
        <v>23.3</v>
      </c>
      <c r="BO216">
        <v>19</v>
      </c>
      <c r="BP216">
        <v>21.7</v>
      </c>
      <c r="BQ216">
        <v>20</v>
      </c>
      <c r="BR216">
        <v>21.7</v>
      </c>
      <c r="BS216">
        <v>25</v>
      </c>
      <c r="BT216">
        <v>21.9</v>
      </c>
      <c r="BU216">
        <v>25</v>
      </c>
      <c r="BV216">
        <v>23.6</v>
      </c>
      <c r="BW216">
        <v>18</v>
      </c>
      <c r="BX216">
        <v>20.399999999999999</v>
      </c>
      <c r="BY216">
        <v>20</v>
      </c>
      <c r="BZ216">
        <v>21.8</v>
      </c>
      <c r="CA216">
        <v>20</v>
      </c>
      <c r="CB216">
        <v>10.9</v>
      </c>
      <c r="CC216">
        <v>10</v>
      </c>
      <c r="CD216">
        <v>10.1</v>
      </c>
      <c r="CE216">
        <v>10</v>
      </c>
      <c r="CF216">
        <v>11.5</v>
      </c>
      <c r="CG216">
        <v>9</v>
      </c>
      <c r="CH216">
        <v>11.8</v>
      </c>
      <c r="CI216">
        <v>9</v>
      </c>
    </row>
    <row r="217" spans="1:87" x14ac:dyDescent="0.35">
      <c r="A217" s="1">
        <v>46059.6</v>
      </c>
      <c r="B217">
        <v>-15.9</v>
      </c>
      <c r="C217">
        <v>-16.100000000000001</v>
      </c>
      <c r="D217">
        <v>-25</v>
      </c>
      <c r="E217">
        <v>-16</v>
      </c>
      <c r="F217">
        <v>-16</v>
      </c>
      <c r="G217">
        <v>-25</v>
      </c>
      <c r="H217">
        <v>-15.9</v>
      </c>
      <c r="I217">
        <v>-19.399999999999999</v>
      </c>
      <c r="J217">
        <v>-25</v>
      </c>
      <c r="K217">
        <v>-17.8</v>
      </c>
      <c r="L217">
        <v>7.5</v>
      </c>
      <c r="M217">
        <v>-25</v>
      </c>
      <c r="N217">
        <v>-17.399999999999999</v>
      </c>
      <c r="O217">
        <v>-17.2</v>
      </c>
      <c r="P217">
        <v>-25</v>
      </c>
      <c r="Q217">
        <v>-17.8</v>
      </c>
      <c r="R217">
        <v>-17.3</v>
      </c>
      <c r="S217">
        <v>-25</v>
      </c>
      <c r="T217">
        <v>3.4</v>
      </c>
      <c r="U217">
        <v>3.4</v>
      </c>
      <c r="V217">
        <v>2</v>
      </c>
      <c r="W217">
        <v>3.4</v>
      </c>
      <c r="X217">
        <v>3.2</v>
      </c>
      <c r="Y217">
        <v>2</v>
      </c>
      <c r="Z217">
        <v>4.2</v>
      </c>
      <c r="AA217">
        <v>3.9</v>
      </c>
      <c r="AB217">
        <v>2</v>
      </c>
      <c r="AC217">
        <v>4</v>
      </c>
      <c r="AD217">
        <v>3.2</v>
      </c>
      <c r="AE217">
        <v>2</v>
      </c>
      <c r="AF217">
        <v>4</v>
      </c>
      <c r="AG217">
        <v>3.5</v>
      </c>
      <c r="AH217">
        <v>2</v>
      </c>
      <c r="AI217">
        <v>3.8</v>
      </c>
      <c r="AJ217">
        <v>1.8</v>
      </c>
      <c r="AK217">
        <v>2</v>
      </c>
      <c r="AL217">
        <v>5.0999999999999996</v>
      </c>
      <c r="AM217">
        <v>4</v>
      </c>
      <c r="AN217">
        <v>3.8</v>
      </c>
      <c r="AO217">
        <v>4</v>
      </c>
      <c r="AP217">
        <v>6</v>
      </c>
      <c r="AQ217">
        <v>4</v>
      </c>
      <c r="AR217">
        <v>4.9000000000000004</v>
      </c>
      <c r="AS217">
        <v>4</v>
      </c>
      <c r="AT217">
        <v>0.3</v>
      </c>
      <c r="AU217">
        <v>-2.2999999999999998</v>
      </c>
      <c r="AV217">
        <v>-5</v>
      </c>
      <c r="AW217">
        <v>-3.9</v>
      </c>
      <c r="AX217">
        <v>-4.5999999999999996</v>
      </c>
      <c r="AY217">
        <v>-5</v>
      </c>
      <c r="AZ217">
        <v>10.6</v>
      </c>
      <c r="BA217">
        <v>10</v>
      </c>
      <c r="BB217">
        <v>11.9</v>
      </c>
      <c r="BC217">
        <v>10</v>
      </c>
      <c r="BD217">
        <v>5.7</v>
      </c>
      <c r="BE217">
        <v>4</v>
      </c>
      <c r="BF217">
        <v>9.9</v>
      </c>
      <c r="BG217">
        <v>10</v>
      </c>
      <c r="BH217">
        <v>11.1</v>
      </c>
      <c r="BI217">
        <v>10</v>
      </c>
      <c r="BJ217">
        <v>10.8</v>
      </c>
      <c r="BK217">
        <v>9</v>
      </c>
      <c r="BL217">
        <v>20.7</v>
      </c>
      <c r="BM217">
        <v>19</v>
      </c>
      <c r="BN217">
        <v>23.3</v>
      </c>
      <c r="BO217">
        <v>19</v>
      </c>
      <c r="BP217">
        <v>21.8</v>
      </c>
      <c r="BQ217">
        <v>20</v>
      </c>
      <c r="BR217">
        <v>21.8</v>
      </c>
      <c r="BS217">
        <v>25</v>
      </c>
      <c r="BT217">
        <v>21.9</v>
      </c>
      <c r="BU217">
        <v>25</v>
      </c>
      <c r="BV217">
        <v>23.6</v>
      </c>
      <c r="BW217">
        <v>18</v>
      </c>
      <c r="BX217">
        <v>20.5</v>
      </c>
      <c r="BY217">
        <v>20</v>
      </c>
      <c r="BZ217">
        <v>21.8</v>
      </c>
      <c r="CA217">
        <v>20</v>
      </c>
      <c r="CB217">
        <v>10.8</v>
      </c>
      <c r="CC217">
        <v>10</v>
      </c>
      <c r="CD217">
        <v>10.1</v>
      </c>
      <c r="CE217">
        <v>10</v>
      </c>
      <c r="CF217">
        <v>11.6</v>
      </c>
      <c r="CG217">
        <v>9</v>
      </c>
      <c r="CH217">
        <v>11.8</v>
      </c>
      <c r="CI217">
        <v>9</v>
      </c>
    </row>
    <row r="218" spans="1:87" x14ac:dyDescent="0.35">
      <c r="A218" s="1">
        <v>46059.600694444445</v>
      </c>
      <c r="B218">
        <v>-15.7</v>
      </c>
      <c r="C218">
        <v>-15.9</v>
      </c>
      <c r="D218">
        <v>-25</v>
      </c>
      <c r="E218">
        <v>-15.8</v>
      </c>
      <c r="F218">
        <v>-15.8</v>
      </c>
      <c r="G218">
        <v>-25</v>
      </c>
      <c r="H218">
        <v>-15.8</v>
      </c>
      <c r="I218">
        <v>-19.399999999999999</v>
      </c>
      <c r="J218">
        <v>-25</v>
      </c>
      <c r="K218">
        <v>-17.8</v>
      </c>
      <c r="L218">
        <v>8.4</v>
      </c>
      <c r="M218">
        <v>-25</v>
      </c>
      <c r="N218">
        <v>-17.399999999999999</v>
      </c>
      <c r="O218">
        <v>-17.3</v>
      </c>
      <c r="P218">
        <v>-25</v>
      </c>
      <c r="Q218">
        <v>-17.7</v>
      </c>
      <c r="R218">
        <v>-17.3</v>
      </c>
      <c r="S218">
        <v>-25</v>
      </c>
      <c r="T218">
        <v>3.4</v>
      </c>
      <c r="U218">
        <v>3.4</v>
      </c>
      <c r="V218">
        <v>2</v>
      </c>
      <c r="W218">
        <v>3.4</v>
      </c>
      <c r="X218">
        <v>3.2</v>
      </c>
      <c r="Y218">
        <v>2</v>
      </c>
      <c r="Z218">
        <v>4.2</v>
      </c>
      <c r="AA218">
        <v>3.6</v>
      </c>
      <c r="AB218">
        <v>2</v>
      </c>
      <c r="AC218">
        <v>3.8</v>
      </c>
      <c r="AD218">
        <v>2.6</v>
      </c>
      <c r="AE218">
        <v>2</v>
      </c>
      <c r="AF218">
        <v>3.7</v>
      </c>
      <c r="AG218">
        <v>3.3</v>
      </c>
      <c r="AH218">
        <v>2</v>
      </c>
      <c r="AI218">
        <v>3.5</v>
      </c>
      <c r="AJ218">
        <v>1.6</v>
      </c>
      <c r="AK218">
        <v>2</v>
      </c>
      <c r="AL218">
        <v>5.0999999999999996</v>
      </c>
      <c r="AM218">
        <v>4</v>
      </c>
      <c r="AN218">
        <v>3.9</v>
      </c>
      <c r="AO218">
        <v>4</v>
      </c>
      <c r="AP218">
        <v>5.2</v>
      </c>
      <c r="AQ218">
        <v>4</v>
      </c>
      <c r="AR218">
        <v>4.5</v>
      </c>
      <c r="AS218">
        <v>4</v>
      </c>
      <c r="AT218">
        <v>-0.3</v>
      </c>
      <c r="AU218">
        <v>-2.6</v>
      </c>
      <c r="AV218">
        <v>-5</v>
      </c>
      <c r="AW218">
        <v>-4</v>
      </c>
      <c r="AX218">
        <v>-4.8</v>
      </c>
      <c r="AY218">
        <v>-5</v>
      </c>
      <c r="AZ218">
        <v>10.7</v>
      </c>
      <c r="BA218">
        <v>10</v>
      </c>
      <c r="BB218">
        <v>11.6</v>
      </c>
      <c r="BC218">
        <v>10</v>
      </c>
      <c r="BD218">
        <v>5.4</v>
      </c>
      <c r="BE218">
        <v>4</v>
      </c>
      <c r="BF218">
        <v>9.6</v>
      </c>
      <c r="BG218">
        <v>10</v>
      </c>
      <c r="BH218">
        <v>11.1</v>
      </c>
      <c r="BI218">
        <v>10</v>
      </c>
      <c r="BJ218">
        <v>10.7</v>
      </c>
      <c r="BK218">
        <v>9</v>
      </c>
      <c r="BL218">
        <v>20.7</v>
      </c>
      <c r="BM218">
        <v>19</v>
      </c>
      <c r="BN218">
        <v>23.3</v>
      </c>
      <c r="BO218">
        <v>19</v>
      </c>
      <c r="BP218">
        <v>21.8</v>
      </c>
      <c r="BQ218">
        <v>20</v>
      </c>
      <c r="BR218">
        <v>21.8</v>
      </c>
      <c r="BS218">
        <v>25</v>
      </c>
      <c r="BT218">
        <v>21.9</v>
      </c>
      <c r="BU218">
        <v>25</v>
      </c>
      <c r="BV218">
        <v>23.6</v>
      </c>
      <c r="BW218">
        <v>18</v>
      </c>
      <c r="BX218">
        <v>20.6</v>
      </c>
      <c r="BY218">
        <v>20</v>
      </c>
      <c r="BZ218">
        <v>21.8</v>
      </c>
      <c r="CA218">
        <v>20</v>
      </c>
      <c r="CB218">
        <v>10.7</v>
      </c>
      <c r="CC218">
        <v>10</v>
      </c>
      <c r="CD218">
        <v>10.1</v>
      </c>
      <c r="CE218">
        <v>10</v>
      </c>
      <c r="CF218">
        <v>11.5</v>
      </c>
      <c r="CG218">
        <v>9</v>
      </c>
      <c r="CH218">
        <v>11.8</v>
      </c>
      <c r="CI218">
        <v>9</v>
      </c>
    </row>
    <row r="219" spans="1:87" x14ac:dyDescent="0.35">
      <c r="A219" s="1">
        <v>46059.601388888892</v>
      </c>
      <c r="B219">
        <v>-15.5</v>
      </c>
      <c r="C219">
        <v>-15.6</v>
      </c>
      <c r="D219">
        <v>-25</v>
      </c>
      <c r="E219">
        <v>-15.6</v>
      </c>
      <c r="F219">
        <v>-15.6</v>
      </c>
      <c r="G219">
        <v>-25</v>
      </c>
      <c r="H219">
        <v>-15.7</v>
      </c>
      <c r="I219">
        <v>-19.399999999999999</v>
      </c>
      <c r="J219">
        <v>-25</v>
      </c>
      <c r="K219">
        <v>-17.8</v>
      </c>
      <c r="L219">
        <v>8.6</v>
      </c>
      <c r="M219">
        <v>-25</v>
      </c>
      <c r="N219">
        <v>-17.5</v>
      </c>
      <c r="O219">
        <v>-17.399999999999999</v>
      </c>
      <c r="P219">
        <v>-25</v>
      </c>
      <c r="Q219">
        <v>-17.7</v>
      </c>
      <c r="R219">
        <v>-17.3</v>
      </c>
      <c r="S219">
        <v>-25</v>
      </c>
      <c r="T219">
        <v>3.5</v>
      </c>
      <c r="U219">
        <v>3.4</v>
      </c>
      <c r="V219">
        <v>2</v>
      </c>
      <c r="W219">
        <v>3.4</v>
      </c>
      <c r="X219">
        <v>3.2</v>
      </c>
      <c r="Y219">
        <v>2</v>
      </c>
      <c r="Z219">
        <v>4</v>
      </c>
      <c r="AA219">
        <v>3.5</v>
      </c>
      <c r="AB219">
        <v>2</v>
      </c>
      <c r="AC219">
        <v>3.6</v>
      </c>
      <c r="AD219">
        <v>2.8</v>
      </c>
      <c r="AE219">
        <v>2</v>
      </c>
      <c r="AF219">
        <v>3.6</v>
      </c>
      <c r="AG219">
        <v>3.1</v>
      </c>
      <c r="AH219">
        <v>2</v>
      </c>
      <c r="AI219">
        <v>3.4</v>
      </c>
      <c r="AJ219">
        <v>2</v>
      </c>
      <c r="AK219">
        <v>2</v>
      </c>
      <c r="AL219">
        <v>5.2</v>
      </c>
      <c r="AM219">
        <v>4</v>
      </c>
      <c r="AN219">
        <v>4</v>
      </c>
      <c r="AO219">
        <v>4</v>
      </c>
      <c r="AP219">
        <v>4.2</v>
      </c>
      <c r="AQ219">
        <v>4</v>
      </c>
      <c r="AR219">
        <v>4</v>
      </c>
      <c r="AS219">
        <v>4</v>
      </c>
      <c r="AT219">
        <v>-0.7</v>
      </c>
      <c r="AU219">
        <v>-3</v>
      </c>
      <c r="AV219">
        <v>-5</v>
      </c>
      <c r="AW219">
        <v>-4.2</v>
      </c>
      <c r="AX219">
        <v>-5.9</v>
      </c>
      <c r="AY219">
        <v>-5</v>
      </c>
      <c r="AZ219">
        <v>10.8</v>
      </c>
      <c r="BA219">
        <v>10</v>
      </c>
      <c r="BB219">
        <v>11.4</v>
      </c>
      <c r="BC219">
        <v>10</v>
      </c>
      <c r="BD219">
        <v>5</v>
      </c>
      <c r="BE219">
        <v>4</v>
      </c>
      <c r="BF219">
        <v>9.6</v>
      </c>
      <c r="BG219">
        <v>10</v>
      </c>
      <c r="BH219">
        <v>11.1</v>
      </c>
      <c r="BI219">
        <v>10</v>
      </c>
      <c r="BJ219">
        <v>10.7</v>
      </c>
      <c r="BK219">
        <v>9</v>
      </c>
      <c r="BL219">
        <v>20.8</v>
      </c>
      <c r="BM219">
        <v>19</v>
      </c>
      <c r="BN219">
        <v>23.3</v>
      </c>
      <c r="BO219">
        <v>19</v>
      </c>
      <c r="BP219">
        <v>21.8</v>
      </c>
      <c r="BQ219">
        <v>20</v>
      </c>
      <c r="BR219">
        <v>21.8</v>
      </c>
      <c r="BS219">
        <v>25</v>
      </c>
      <c r="BT219">
        <v>21.9</v>
      </c>
      <c r="BU219">
        <v>25</v>
      </c>
      <c r="BV219">
        <v>23.6</v>
      </c>
      <c r="BW219">
        <v>18</v>
      </c>
      <c r="BX219">
        <v>20.7</v>
      </c>
      <c r="BY219">
        <v>20</v>
      </c>
      <c r="BZ219">
        <v>21.8</v>
      </c>
      <c r="CA219">
        <v>20</v>
      </c>
      <c r="CB219">
        <v>10.6</v>
      </c>
      <c r="CC219">
        <v>10</v>
      </c>
      <c r="CD219">
        <v>10.1</v>
      </c>
      <c r="CE219">
        <v>10</v>
      </c>
      <c r="CF219">
        <v>11.5</v>
      </c>
      <c r="CG219">
        <v>9</v>
      </c>
      <c r="CH219">
        <v>11.7</v>
      </c>
      <c r="CI219">
        <v>9</v>
      </c>
    </row>
    <row r="220" spans="1:87" x14ac:dyDescent="0.35">
      <c r="A220" s="1">
        <v>46059.602083333331</v>
      </c>
      <c r="B220">
        <v>-15</v>
      </c>
      <c r="C220">
        <v>-15.3</v>
      </c>
      <c r="D220">
        <v>-25</v>
      </c>
      <c r="E220">
        <v>-15</v>
      </c>
      <c r="F220">
        <v>-15</v>
      </c>
      <c r="G220">
        <v>-25</v>
      </c>
      <c r="H220">
        <v>-15.7</v>
      </c>
      <c r="I220">
        <v>-19.5</v>
      </c>
      <c r="J220">
        <v>-25</v>
      </c>
      <c r="K220">
        <v>-17.8</v>
      </c>
      <c r="L220">
        <v>5.3</v>
      </c>
      <c r="M220">
        <v>-25</v>
      </c>
      <c r="N220">
        <v>-17.5</v>
      </c>
      <c r="O220">
        <v>-17.5</v>
      </c>
      <c r="P220">
        <v>-25</v>
      </c>
      <c r="Q220">
        <v>-17.7</v>
      </c>
      <c r="R220">
        <v>-17.3</v>
      </c>
      <c r="S220">
        <v>-25</v>
      </c>
      <c r="T220">
        <v>3.6</v>
      </c>
      <c r="U220">
        <v>3.4</v>
      </c>
      <c r="V220">
        <v>2</v>
      </c>
      <c r="W220">
        <v>3.4</v>
      </c>
      <c r="X220">
        <v>3.3</v>
      </c>
      <c r="Y220">
        <v>2</v>
      </c>
      <c r="Z220">
        <v>4</v>
      </c>
      <c r="AA220">
        <v>3.5</v>
      </c>
      <c r="AB220">
        <v>2</v>
      </c>
      <c r="AC220">
        <v>3.6</v>
      </c>
      <c r="AD220">
        <v>2.6</v>
      </c>
      <c r="AE220">
        <v>2</v>
      </c>
      <c r="AF220">
        <v>3.5</v>
      </c>
      <c r="AG220">
        <v>3.1</v>
      </c>
      <c r="AH220">
        <v>2</v>
      </c>
      <c r="AI220">
        <v>3.3</v>
      </c>
      <c r="AJ220">
        <v>1.7</v>
      </c>
      <c r="AK220">
        <v>2</v>
      </c>
      <c r="AL220">
        <v>5.2</v>
      </c>
      <c r="AM220">
        <v>4</v>
      </c>
      <c r="AN220">
        <v>4.0999999999999996</v>
      </c>
      <c r="AO220">
        <v>4</v>
      </c>
      <c r="AP220">
        <v>3.1</v>
      </c>
      <c r="AQ220">
        <v>4</v>
      </c>
      <c r="AR220">
        <v>3.7</v>
      </c>
      <c r="AS220">
        <v>4</v>
      </c>
      <c r="AT220">
        <v>-1.5</v>
      </c>
      <c r="AU220">
        <v>-3.9</v>
      </c>
      <c r="AV220">
        <v>-5</v>
      </c>
      <c r="AW220">
        <v>-4.4000000000000004</v>
      </c>
      <c r="AX220">
        <v>-6.2</v>
      </c>
      <c r="AY220">
        <v>-5</v>
      </c>
      <c r="AZ220">
        <v>10.9</v>
      </c>
      <c r="BA220">
        <v>10</v>
      </c>
      <c r="BB220">
        <v>11.1</v>
      </c>
      <c r="BC220">
        <v>10</v>
      </c>
      <c r="BD220">
        <v>4.5</v>
      </c>
      <c r="BE220">
        <v>4</v>
      </c>
      <c r="BF220">
        <v>10.1</v>
      </c>
      <c r="BG220">
        <v>10</v>
      </c>
      <c r="BH220">
        <v>11.1</v>
      </c>
      <c r="BI220">
        <v>10</v>
      </c>
      <c r="BJ220">
        <v>10.6</v>
      </c>
      <c r="BK220">
        <v>9</v>
      </c>
      <c r="BL220">
        <v>20.8</v>
      </c>
      <c r="BM220">
        <v>19</v>
      </c>
      <c r="BN220">
        <v>23.3</v>
      </c>
      <c r="BO220">
        <v>19</v>
      </c>
      <c r="BP220">
        <v>21.8</v>
      </c>
      <c r="BQ220">
        <v>20</v>
      </c>
      <c r="BR220">
        <v>21.8</v>
      </c>
      <c r="BS220">
        <v>25</v>
      </c>
      <c r="BT220">
        <v>21.9</v>
      </c>
      <c r="BU220">
        <v>25</v>
      </c>
      <c r="BV220">
        <v>23.6</v>
      </c>
      <c r="BW220">
        <v>18</v>
      </c>
      <c r="BX220">
        <v>20.7</v>
      </c>
      <c r="BY220">
        <v>20</v>
      </c>
      <c r="BZ220">
        <v>21.9</v>
      </c>
      <c r="CA220">
        <v>20</v>
      </c>
      <c r="CB220">
        <v>10.5</v>
      </c>
      <c r="CC220">
        <v>10</v>
      </c>
      <c r="CD220">
        <v>10</v>
      </c>
      <c r="CE220">
        <v>10</v>
      </c>
      <c r="CF220">
        <v>11.5</v>
      </c>
      <c r="CG220">
        <v>9</v>
      </c>
      <c r="CH220">
        <v>11.7</v>
      </c>
      <c r="CI220">
        <v>9</v>
      </c>
    </row>
    <row r="221" spans="1:87" x14ac:dyDescent="0.35">
      <c r="A221" s="1">
        <v>46059.602777777778</v>
      </c>
      <c r="B221">
        <v>-14.9</v>
      </c>
      <c r="C221">
        <v>-15.1</v>
      </c>
      <c r="D221">
        <v>-25</v>
      </c>
      <c r="E221">
        <v>-15</v>
      </c>
      <c r="F221">
        <v>-15</v>
      </c>
      <c r="G221">
        <v>-25</v>
      </c>
      <c r="H221">
        <v>-15.6</v>
      </c>
      <c r="I221">
        <v>-19.5</v>
      </c>
      <c r="J221">
        <v>-25</v>
      </c>
      <c r="K221">
        <v>-17.8</v>
      </c>
      <c r="L221">
        <v>2.1</v>
      </c>
      <c r="M221">
        <v>-25</v>
      </c>
      <c r="N221">
        <v>-17.5</v>
      </c>
      <c r="O221">
        <v>-17.5</v>
      </c>
      <c r="P221">
        <v>-25</v>
      </c>
      <c r="Q221">
        <v>-17.600000000000001</v>
      </c>
      <c r="R221">
        <v>-17.3</v>
      </c>
      <c r="S221">
        <v>-25</v>
      </c>
      <c r="T221">
        <v>3.7</v>
      </c>
      <c r="U221">
        <v>3.4</v>
      </c>
      <c r="V221">
        <v>2</v>
      </c>
      <c r="W221">
        <v>3.4</v>
      </c>
      <c r="X221">
        <v>3.4</v>
      </c>
      <c r="Y221">
        <v>2</v>
      </c>
      <c r="Z221">
        <v>3.8</v>
      </c>
      <c r="AA221">
        <v>3.3</v>
      </c>
      <c r="AB221">
        <v>2</v>
      </c>
      <c r="AC221">
        <v>3.4</v>
      </c>
      <c r="AD221">
        <v>2.6</v>
      </c>
      <c r="AE221">
        <v>2</v>
      </c>
      <c r="AF221">
        <v>3.3</v>
      </c>
      <c r="AG221">
        <v>2.8</v>
      </c>
      <c r="AH221">
        <v>2</v>
      </c>
      <c r="AI221">
        <v>3.1</v>
      </c>
      <c r="AJ221">
        <v>1.7</v>
      </c>
      <c r="AK221">
        <v>2</v>
      </c>
      <c r="AL221">
        <v>5.3</v>
      </c>
      <c r="AM221">
        <v>4</v>
      </c>
      <c r="AN221">
        <v>4.2</v>
      </c>
      <c r="AO221">
        <v>4</v>
      </c>
      <c r="AP221">
        <v>2.8</v>
      </c>
      <c r="AQ221">
        <v>4</v>
      </c>
      <c r="AR221">
        <v>3.7</v>
      </c>
      <c r="AS221">
        <v>4</v>
      </c>
      <c r="AT221">
        <v>-1.7</v>
      </c>
      <c r="AU221">
        <v>-3.9</v>
      </c>
      <c r="AV221">
        <v>-5</v>
      </c>
      <c r="AW221">
        <v>-4.5999999999999996</v>
      </c>
      <c r="AX221">
        <v>-5.7</v>
      </c>
      <c r="AY221">
        <v>-5</v>
      </c>
      <c r="AZ221">
        <v>11</v>
      </c>
      <c r="BA221">
        <v>10</v>
      </c>
      <c r="BB221">
        <v>11.1</v>
      </c>
      <c r="BC221">
        <v>10</v>
      </c>
      <c r="BD221">
        <v>4.2</v>
      </c>
      <c r="BE221">
        <v>4</v>
      </c>
      <c r="BF221">
        <v>10.4</v>
      </c>
      <c r="BG221">
        <v>10</v>
      </c>
      <c r="BH221">
        <v>11.2</v>
      </c>
      <c r="BI221">
        <v>10</v>
      </c>
      <c r="BJ221">
        <v>10.6</v>
      </c>
      <c r="BK221">
        <v>9</v>
      </c>
      <c r="BL221">
        <v>20.8</v>
      </c>
      <c r="BM221">
        <v>19</v>
      </c>
      <c r="BN221">
        <v>23.3</v>
      </c>
      <c r="BO221">
        <v>19</v>
      </c>
      <c r="BP221">
        <v>21.8</v>
      </c>
      <c r="BQ221">
        <v>20</v>
      </c>
      <c r="BR221">
        <v>21.8</v>
      </c>
      <c r="BS221">
        <v>25</v>
      </c>
      <c r="BT221">
        <v>21.9</v>
      </c>
      <c r="BU221">
        <v>25</v>
      </c>
      <c r="BV221">
        <v>23.6</v>
      </c>
      <c r="BW221">
        <v>18</v>
      </c>
      <c r="BX221">
        <v>20.8</v>
      </c>
      <c r="BY221">
        <v>20</v>
      </c>
      <c r="BZ221">
        <v>21.9</v>
      </c>
      <c r="CA221">
        <v>20</v>
      </c>
      <c r="CB221">
        <v>10.5</v>
      </c>
      <c r="CC221">
        <v>10</v>
      </c>
      <c r="CD221">
        <v>10</v>
      </c>
      <c r="CE221">
        <v>10</v>
      </c>
      <c r="CF221">
        <v>11.5</v>
      </c>
      <c r="CG221">
        <v>9</v>
      </c>
      <c r="CH221">
        <v>11.7</v>
      </c>
      <c r="CI221">
        <v>9</v>
      </c>
    </row>
    <row r="222" spans="1:87" x14ac:dyDescent="0.35">
      <c r="A222" s="1">
        <v>46059.603472222225</v>
      </c>
      <c r="B222">
        <v>-14.9</v>
      </c>
      <c r="C222">
        <v>-14.9</v>
      </c>
      <c r="D222">
        <v>-25</v>
      </c>
      <c r="E222">
        <v>-15</v>
      </c>
      <c r="F222">
        <v>-15</v>
      </c>
      <c r="G222">
        <v>-25</v>
      </c>
      <c r="H222">
        <v>-15.6</v>
      </c>
      <c r="I222">
        <v>-19.5</v>
      </c>
      <c r="J222">
        <v>-25</v>
      </c>
      <c r="K222">
        <v>-17.8</v>
      </c>
      <c r="L222">
        <v>-0.4</v>
      </c>
      <c r="M222">
        <v>-25</v>
      </c>
      <c r="N222">
        <v>-17.5</v>
      </c>
      <c r="O222">
        <v>-17.5</v>
      </c>
      <c r="P222">
        <v>-25</v>
      </c>
      <c r="Q222">
        <v>-17.600000000000001</v>
      </c>
      <c r="R222">
        <v>-17.3</v>
      </c>
      <c r="S222">
        <v>-25</v>
      </c>
      <c r="T222">
        <v>3.8</v>
      </c>
      <c r="U222">
        <v>3.4</v>
      </c>
      <c r="V222">
        <v>2</v>
      </c>
      <c r="W222">
        <v>3.4</v>
      </c>
      <c r="X222">
        <v>3.5</v>
      </c>
      <c r="Y222">
        <v>2</v>
      </c>
      <c r="Z222">
        <v>3.7</v>
      </c>
      <c r="AA222">
        <v>3.2</v>
      </c>
      <c r="AB222">
        <v>2</v>
      </c>
      <c r="AC222">
        <v>3.3</v>
      </c>
      <c r="AD222">
        <v>2.6</v>
      </c>
      <c r="AE222">
        <v>2</v>
      </c>
      <c r="AF222">
        <v>3</v>
      </c>
      <c r="AG222">
        <v>2.6</v>
      </c>
      <c r="AH222">
        <v>2</v>
      </c>
      <c r="AI222">
        <v>2.9</v>
      </c>
      <c r="AJ222">
        <v>1.7</v>
      </c>
      <c r="AK222">
        <v>2</v>
      </c>
      <c r="AL222">
        <v>5.3</v>
      </c>
      <c r="AM222">
        <v>4</v>
      </c>
      <c r="AN222">
        <v>4.3</v>
      </c>
      <c r="AO222">
        <v>4</v>
      </c>
      <c r="AP222">
        <v>2.8</v>
      </c>
      <c r="AQ222">
        <v>4</v>
      </c>
      <c r="AR222">
        <v>3.9</v>
      </c>
      <c r="AS222">
        <v>4</v>
      </c>
      <c r="AT222">
        <v>-2</v>
      </c>
      <c r="AU222">
        <v>-4</v>
      </c>
      <c r="AV222">
        <v>-5</v>
      </c>
      <c r="AW222">
        <v>-4.7</v>
      </c>
      <c r="AX222">
        <v>-5.4</v>
      </c>
      <c r="AY222">
        <v>-5</v>
      </c>
      <c r="AZ222">
        <v>11.1</v>
      </c>
      <c r="BA222">
        <v>10</v>
      </c>
      <c r="BB222">
        <v>11</v>
      </c>
      <c r="BC222">
        <v>10</v>
      </c>
      <c r="BD222">
        <v>4</v>
      </c>
      <c r="BE222">
        <v>4</v>
      </c>
      <c r="BF222">
        <v>10.6</v>
      </c>
      <c r="BG222">
        <v>10</v>
      </c>
      <c r="BH222">
        <v>11.2</v>
      </c>
      <c r="BI222">
        <v>10</v>
      </c>
      <c r="BJ222">
        <v>10.6</v>
      </c>
      <c r="BK222">
        <v>9</v>
      </c>
      <c r="BL222">
        <v>20.8</v>
      </c>
      <c r="BM222">
        <v>19</v>
      </c>
      <c r="BN222">
        <v>23.3</v>
      </c>
      <c r="BO222">
        <v>19</v>
      </c>
      <c r="BP222">
        <v>21.8</v>
      </c>
      <c r="BQ222">
        <v>20</v>
      </c>
      <c r="BR222">
        <v>21.8</v>
      </c>
      <c r="BS222">
        <v>25</v>
      </c>
      <c r="BT222">
        <v>21.9</v>
      </c>
      <c r="BU222">
        <v>25</v>
      </c>
      <c r="BV222">
        <v>23.6</v>
      </c>
      <c r="BW222">
        <v>18</v>
      </c>
      <c r="BX222">
        <v>20.9</v>
      </c>
      <c r="BY222">
        <v>20</v>
      </c>
      <c r="BZ222">
        <v>21.9</v>
      </c>
      <c r="CA222">
        <v>20</v>
      </c>
      <c r="CB222">
        <v>10.4</v>
      </c>
      <c r="CC222">
        <v>10</v>
      </c>
      <c r="CD222">
        <v>10.1</v>
      </c>
      <c r="CE222">
        <v>10</v>
      </c>
      <c r="CF222">
        <v>11.5</v>
      </c>
      <c r="CG222">
        <v>9</v>
      </c>
      <c r="CH222">
        <v>11.7</v>
      </c>
      <c r="CI222">
        <v>9</v>
      </c>
    </row>
    <row r="223" spans="1:87" x14ac:dyDescent="0.35">
      <c r="A223" s="1">
        <v>46059.604166666664</v>
      </c>
      <c r="B223">
        <v>-14.8</v>
      </c>
      <c r="C223">
        <v>-14.6</v>
      </c>
      <c r="D223">
        <v>-25</v>
      </c>
      <c r="E223">
        <v>-15</v>
      </c>
      <c r="F223">
        <v>-15</v>
      </c>
      <c r="G223">
        <v>-25</v>
      </c>
      <c r="H223">
        <v>-15.6</v>
      </c>
      <c r="I223">
        <v>-19.600000000000001</v>
      </c>
      <c r="J223">
        <v>-25</v>
      </c>
      <c r="K223">
        <v>-17.8</v>
      </c>
      <c r="L223">
        <v>-1.7</v>
      </c>
      <c r="M223">
        <v>-25</v>
      </c>
      <c r="N223">
        <v>-17.5</v>
      </c>
      <c r="O223">
        <v>-17.5</v>
      </c>
      <c r="P223">
        <v>-25</v>
      </c>
      <c r="Q223">
        <v>-17.600000000000001</v>
      </c>
      <c r="R223">
        <v>-17.3</v>
      </c>
      <c r="S223">
        <v>-25</v>
      </c>
      <c r="T223">
        <v>3.9</v>
      </c>
      <c r="U223">
        <v>3.5</v>
      </c>
      <c r="V223">
        <v>2</v>
      </c>
      <c r="W223">
        <v>3.4</v>
      </c>
      <c r="X223">
        <v>3.6</v>
      </c>
      <c r="Y223">
        <v>2</v>
      </c>
      <c r="Z223">
        <v>3.6</v>
      </c>
      <c r="AA223">
        <v>3.1</v>
      </c>
      <c r="AB223">
        <v>2</v>
      </c>
      <c r="AC223">
        <v>3.3</v>
      </c>
      <c r="AD223">
        <v>2.7</v>
      </c>
      <c r="AE223">
        <v>2</v>
      </c>
      <c r="AF223">
        <v>3</v>
      </c>
      <c r="AG223">
        <v>2.5</v>
      </c>
      <c r="AH223">
        <v>2</v>
      </c>
      <c r="AI223">
        <v>2.8</v>
      </c>
      <c r="AJ223">
        <v>1.7</v>
      </c>
      <c r="AK223">
        <v>2</v>
      </c>
      <c r="AL223">
        <v>5.4</v>
      </c>
      <c r="AM223">
        <v>4</v>
      </c>
      <c r="AN223">
        <v>4.3</v>
      </c>
      <c r="AO223">
        <v>4</v>
      </c>
      <c r="AP223">
        <v>2.9</v>
      </c>
      <c r="AQ223">
        <v>4</v>
      </c>
      <c r="AR223">
        <v>4.2</v>
      </c>
      <c r="AS223">
        <v>4</v>
      </c>
      <c r="AT223">
        <v>-2.2000000000000002</v>
      </c>
      <c r="AU223">
        <v>-4.4000000000000004</v>
      </c>
      <c r="AV223">
        <v>-5</v>
      </c>
      <c r="AW223">
        <v>-4.8</v>
      </c>
      <c r="AX223">
        <v>-6</v>
      </c>
      <c r="AY223">
        <v>-5</v>
      </c>
      <c r="AZ223">
        <v>11.2</v>
      </c>
      <c r="BA223">
        <v>10</v>
      </c>
      <c r="BB223">
        <v>10.7</v>
      </c>
      <c r="BC223">
        <v>10</v>
      </c>
      <c r="BD223">
        <v>3.8</v>
      </c>
      <c r="BE223">
        <v>4</v>
      </c>
      <c r="BF223">
        <v>11</v>
      </c>
      <c r="BG223">
        <v>10</v>
      </c>
      <c r="BH223">
        <v>11.2</v>
      </c>
      <c r="BI223">
        <v>10</v>
      </c>
      <c r="BJ223">
        <v>10.6</v>
      </c>
      <c r="BK223">
        <v>9</v>
      </c>
      <c r="BL223">
        <v>20.9</v>
      </c>
      <c r="BM223">
        <v>19</v>
      </c>
      <c r="BN223">
        <v>23.3</v>
      </c>
      <c r="BO223">
        <v>19</v>
      </c>
      <c r="BP223">
        <v>21.9</v>
      </c>
      <c r="BQ223">
        <v>20</v>
      </c>
      <c r="BR223">
        <v>21.9</v>
      </c>
      <c r="BS223">
        <v>25</v>
      </c>
      <c r="BT223">
        <v>21.9</v>
      </c>
      <c r="BU223">
        <v>25</v>
      </c>
      <c r="BV223">
        <v>23.6</v>
      </c>
      <c r="BW223">
        <v>18</v>
      </c>
      <c r="BX223">
        <v>20.9</v>
      </c>
      <c r="BY223">
        <v>20</v>
      </c>
      <c r="BZ223">
        <v>21.9</v>
      </c>
      <c r="CA223">
        <v>20</v>
      </c>
      <c r="CB223">
        <v>10.3</v>
      </c>
      <c r="CC223">
        <v>10</v>
      </c>
      <c r="CD223">
        <v>10.199999999999999</v>
      </c>
      <c r="CE223">
        <v>10</v>
      </c>
      <c r="CF223">
        <v>11</v>
      </c>
      <c r="CG223">
        <v>9</v>
      </c>
      <c r="CH223">
        <v>11.2</v>
      </c>
      <c r="CI223">
        <v>9</v>
      </c>
    </row>
    <row r="224" spans="1:87" x14ac:dyDescent="0.35">
      <c r="A224" s="1">
        <v>46059.604861111111</v>
      </c>
      <c r="B224">
        <v>-14.9</v>
      </c>
      <c r="C224">
        <v>-14.5</v>
      </c>
      <c r="D224">
        <v>-25</v>
      </c>
      <c r="E224">
        <v>-15</v>
      </c>
      <c r="F224">
        <v>-15</v>
      </c>
      <c r="G224">
        <v>-25</v>
      </c>
      <c r="H224">
        <v>-15.6</v>
      </c>
      <c r="I224">
        <v>-19.600000000000001</v>
      </c>
      <c r="J224">
        <v>-25</v>
      </c>
      <c r="K224">
        <v>-15.8</v>
      </c>
      <c r="L224">
        <v>-3.7</v>
      </c>
      <c r="M224">
        <v>-25</v>
      </c>
      <c r="N224">
        <v>-17.5</v>
      </c>
      <c r="O224">
        <v>-17.5</v>
      </c>
      <c r="P224">
        <v>-25</v>
      </c>
      <c r="Q224">
        <v>-17.5</v>
      </c>
      <c r="R224">
        <v>-17.3</v>
      </c>
      <c r="S224">
        <v>-25</v>
      </c>
      <c r="T224">
        <v>4</v>
      </c>
      <c r="U224">
        <v>3.5</v>
      </c>
      <c r="V224">
        <v>2</v>
      </c>
      <c r="W224">
        <v>3.4</v>
      </c>
      <c r="X224">
        <v>3.6</v>
      </c>
      <c r="Y224">
        <v>2</v>
      </c>
      <c r="Z224">
        <v>3.6</v>
      </c>
      <c r="AA224">
        <v>3.1</v>
      </c>
      <c r="AB224">
        <v>2</v>
      </c>
      <c r="AC224">
        <v>3.3</v>
      </c>
      <c r="AD224">
        <v>2.9</v>
      </c>
      <c r="AE224">
        <v>2</v>
      </c>
      <c r="AF224">
        <v>2.9</v>
      </c>
      <c r="AG224">
        <v>2.5</v>
      </c>
      <c r="AH224">
        <v>2</v>
      </c>
      <c r="AI224">
        <v>2.8</v>
      </c>
      <c r="AJ224">
        <v>1.5</v>
      </c>
      <c r="AK224">
        <v>2</v>
      </c>
      <c r="AL224">
        <v>5.4</v>
      </c>
      <c r="AM224">
        <v>4</v>
      </c>
      <c r="AN224">
        <v>4.4000000000000004</v>
      </c>
      <c r="AO224">
        <v>4</v>
      </c>
      <c r="AP224">
        <v>3.1</v>
      </c>
      <c r="AQ224">
        <v>4</v>
      </c>
      <c r="AR224">
        <v>4.5999999999999996</v>
      </c>
      <c r="AS224">
        <v>4</v>
      </c>
      <c r="AT224">
        <v>-2.5</v>
      </c>
      <c r="AU224">
        <v>-4.8</v>
      </c>
      <c r="AV224">
        <v>-5</v>
      </c>
      <c r="AW224">
        <v>-5</v>
      </c>
      <c r="AX224">
        <v>-6.6</v>
      </c>
      <c r="AY224">
        <v>-5</v>
      </c>
      <c r="AZ224">
        <v>11.3</v>
      </c>
      <c r="BA224">
        <v>10</v>
      </c>
      <c r="BB224">
        <v>10.7</v>
      </c>
      <c r="BC224">
        <v>10</v>
      </c>
      <c r="BD224">
        <v>3.8</v>
      </c>
      <c r="BE224">
        <v>4</v>
      </c>
      <c r="BF224">
        <v>11.3</v>
      </c>
      <c r="BG224">
        <v>10</v>
      </c>
      <c r="BH224">
        <v>11.1</v>
      </c>
      <c r="BI224">
        <v>10</v>
      </c>
      <c r="BJ224">
        <v>10.6</v>
      </c>
      <c r="BK224">
        <v>9</v>
      </c>
      <c r="BL224">
        <v>20.9</v>
      </c>
      <c r="BM224">
        <v>19</v>
      </c>
      <c r="BN224">
        <v>23.3</v>
      </c>
      <c r="BO224">
        <v>19</v>
      </c>
      <c r="BP224">
        <v>21.9</v>
      </c>
      <c r="BQ224">
        <v>20</v>
      </c>
      <c r="BR224">
        <v>21.9</v>
      </c>
      <c r="BS224">
        <v>25</v>
      </c>
      <c r="BT224">
        <v>21.9</v>
      </c>
      <c r="BU224">
        <v>25</v>
      </c>
      <c r="BV224">
        <v>23.6</v>
      </c>
      <c r="BW224">
        <v>18</v>
      </c>
      <c r="BX224">
        <v>21</v>
      </c>
      <c r="BY224">
        <v>20</v>
      </c>
      <c r="BZ224">
        <v>21.9</v>
      </c>
      <c r="CA224">
        <v>20</v>
      </c>
      <c r="CB224">
        <v>10.3</v>
      </c>
      <c r="CC224">
        <v>10</v>
      </c>
      <c r="CD224">
        <v>10.199999999999999</v>
      </c>
      <c r="CE224">
        <v>10</v>
      </c>
      <c r="CF224">
        <v>11.1</v>
      </c>
      <c r="CG224">
        <v>9</v>
      </c>
      <c r="CH224">
        <v>11.3</v>
      </c>
      <c r="CI224">
        <v>9</v>
      </c>
    </row>
    <row r="225" spans="1:87" x14ac:dyDescent="0.35">
      <c r="A225" s="1">
        <v>46059.605555555558</v>
      </c>
      <c r="B225">
        <v>-15.1</v>
      </c>
      <c r="C225">
        <v>-14.3</v>
      </c>
      <c r="D225">
        <v>-25</v>
      </c>
      <c r="E225">
        <v>-15</v>
      </c>
      <c r="F225">
        <v>-15.3</v>
      </c>
      <c r="G225">
        <v>-25</v>
      </c>
      <c r="H225">
        <v>-15.6</v>
      </c>
      <c r="I225">
        <v>-19.600000000000001</v>
      </c>
      <c r="J225">
        <v>-25</v>
      </c>
      <c r="K225">
        <v>-15.8</v>
      </c>
      <c r="L225">
        <v>-5.3</v>
      </c>
      <c r="M225">
        <v>-25</v>
      </c>
      <c r="N225">
        <v>-17.5</v>
      </c>
      <c r="O225">
        <v>-17.399999999999999</v>
      </c>
      <c r="P225">
        <v>-25</v>
      </c>
      <c r="Q225">
        <v>-17.3</v>
      </c>
      <c r="R225">
        <v>-17.100000000000001</v>
      </c>
      <c r="S225">
        <v>-25</v>
      </c>
      <c r="T225">
        <v>4</v>
      </c>
      <c r="U225">
        <v>-2</v>
      </c>
      <c r="V225">
        <v>2</v>
      </c>
      <c r="W225">
        <v>3.4</v>
      </c>
      <c r="X225">
        <v>3.6</v>
      </c>
      <c r="Y225">
        <v>2</v>
      </c>
      <c r="Z225">
        <v>3.6</v>
      </c>
      <c r="AA225">
        <v>3.1</v>
      </c>
      <c r="AB225">
        <v>2</v>
      </c>
      <c r="AC225">
        <v>3.3</v>
      </c>
      <c r="AD225">
        <v>2.7</v>
      </c>
      <c r="AE225">
        <v>2</v>
      </c>
      <c r="AF225">
        <v>2.9</v>
      </c>
      <c r="AG225">
        <v>2.5</v>
      </c>
      <c r="AH225">
        <v>2</v>
      </c>
      <c r="AI225">
        <v>2.7</v>
      </c>
      <c r="AJ225">
        <v>1.5</v>
      </c>
      <c r="AK225">
        <v>2</v>
      </c>
      <c r="AL225">
        <v>5.4</v>
      </c>
      <c r="AM225">
        <v>4</v>
      </c>
      <c r="AN225">
        <v>4.5</v>
      </c>
      <c r="AO225">
        <v>4</v>
      </c>
      <c r="AP225">
        <v>3.5</v>
      </c>
      <c r="AQ225">
        <v>4</v>
      </c>
      <c r="AR225">
        <v>4.9000000000000004</v>
      </c>
      <c r="AS225">
        <v>4</v>
      </c>
      <c r="AT225">
        <v>-2.8</v>
      </c>
      <c r="AU225">
        <v>-5.4</v>
      </c>
      <c r="AV225">
        <v>-5</v>
      </c>
      <c r="AW225">
        <v>-5.0999999999999996</v>
      </c>
      <c r="AX225">
        <v>-6.2</v>
      </c>
      <c r="AY225">
        <v>-5</v>
      </c>
      <c r="AZ225">
        <v>11.4</v>
      </c>
      <c r="BA225">
        <v>10</v>
      </c>
      <c r="BB225">
        <v>10.9</v>
      </c>
      <c r="BC225">
        <v>10</v>
      </c>
      <c r="BD225">
        <v>4.0999999999999996</v>
      </c>
      <c r="BE225">
        <v>4</v>
      </c>
      <c r="BF225">
        <v>11.6</v>
      </c>
      <c r="BG225">
        <v>10</v>
      </c>
      <c r="BH225">
        <v>10.9</v>
      </c>
      <c r="BI225">
        <v>10</v>
      </c>
      <c r="BJ225">
        <v>10.6</v>
      </c>
      <c r="BK225">
        <v>9</v>
      </c>
      <c r="BL225">
        <v>20.9</v>
      </c>
      <c r="BM225">
        <v>19</v>
      </c>
      <c r="BN225">
        <v>23.3</v>
      </c>
      <c r="BO225">
        <v>19</v>
      </c>
      <c r="BP225">
        <v>21.9</v>
      </c>
      <c r="BQ225">
        <v>20</v>
      </c>
      <c r="BR225">
        <v>21.9</v>
      </c>
      <c r="BS225">
        <v>25</v>
      </c>
      <c r="BT225">
        <v>21.9</v>
      </c>
      <c r="BU225">
        <v>25</v>
      </c>
      <c r="BV225">
        <v>23.6</v>
      </c>
      <c r="BW225">
        <v>18</v>
      </c>
      <c r="BX225">
        <v>21</v>
      </c>
      <c r="BY225">
        <v>20</v>
      </c>
      <c r="BZ225">
        <v>21.9</v>
      </c>
      <c r="CA225">
        <v>20</v>
      </c>
      <c r="CB225">
        <v>10.199999999999999</v>
      </c>
      <c r="CC225">
        <v>10</v>
      </c>
      <c r="CD225">
        <v>10.3</v>
      </c>
      <c r="CE225">
        <v>10</v>
      </c>
      <c r="CF225">
        <v>11.1</v>
      </c>
      <c r="CG225">
        <v>9</v>
      </c>
      <c r="CH225">
        <v>11.3</v>
      </c>
      <c r="CI225">
        <v>9</v>
      </c>
    </row>
    <row r="226" spans="1:87" x14ac:dyDescent="0.35">
      <c r="A226" s="1">
        <v>46059.606249999997</v>
      </c>
      <c r="B226">
        <v>-15.3</v>
      </c>
      <c r="C226">
        <v>-14.2</v>
      </c>
      <c r="D226">
        <v>-25</v>
      </c>
      <c r="E226">
        <v>-15.2</v>
      </c>
      <c r="F226">
        <v>-15.4</v>
      </c>
      <c r="G226">
        <v>-25</v>
      </c>
      <c r="H226">
        <v>-15.6</v>
      </c>
      <c r="I226">
        <v>-18</v>
      </c>
      <c r="J226">
        <v>-25</v>
      </c>
      <c r="K226">
        <v>-15.8</v>
      </c>
      <c r="L226">
        <v>-6.4</v>
      </c>
      <c r="M226">
        <v>-25</v>
      </c>
      <c r="N226">
        <v>-17.5</v>
      </c>
      <c r="O226">
        <v>-16.899999999999999</v>
      </c>
      <c r="P226">
        <v>-25</v>
      </c>
      <c r="Q226">
        <v>-17.3</v>
      </c>
      <c r="R226">
        <v>-17.100000000000001</v>
      </c>
      <c r="S226">
        <v>-25</v>
      </c>
      <c r="T226">
        <v>4</v>
      </c>
      <c r="U226">
        <v>-5.6</v>
      </c>
      <c r="V226">
        <v>2</v>
      </c>
      <c r="W226">
        <v>3.4</v>
      </c>
      <c r="X226">
        <v>3.7</v>
      </c>
      <c r="Y226">
        <v>2</v>
      </c>
      <c r="Z226">
        <v>3.6</v>
      </c>
      <c r="AA226">
        <v>3</v>
      </c>
      <c r="AB226">
        <v>2</v>
      </c>
      <c r="AC226">
        <v>3.2</v>
      </c>
      <c r="AD226">
        <v>1.6</v>
      </c>
      <c r="AE226">
        <v>2</v>
      </c>
      <c r="AF226">
        <v>2.7</v>
      </c>
      <c r="AG226">
        <v>2.2999999999999998</v>
      </c>
      <c r="AH226">
        <v>2</v>
      </c>
      <c r="AI226">
        <v>2.6</v>
      </c>
      <c r="AJ226">
        <v>0.2</v>
      </c>
      <c r="AK226">
        <v>2</v>
      </c>
      <c r="AL226">
        <v>5.5</v>
      </c>
      <c r="AM226">
        <v>4</v>
      </c>
      <c r="AN226">
        <v>4.5</v>
      </c>
      <c r="AO226">
        <v>4</v>
      </c>
      <c r="AP226">
        <v>3.7</v>
      </c>
      <c r="AQ226">
        <v>4</v>
      </c>
      <c r="AR226">
        <v>5.0999999999999996</v>
      </c>
      <c r="AS226">
        <v>4</v>
      </c>
      <c r="AT226">
        <v>-3.2</v>
      </c>
      <c r="AU226">
        <v>-6</v>
      </c>
      <c r="AV226">
        <v>-5</v>
      </c>
      <c r="AW226">
        <v>-5</v>
      </c>
      <c r="AX226">
        <v>-5.3</v>
      </c>
      <c r="AY226">
        <v>-5</v>
      </c>
      <c r="AZ226">
        <v>11.5</v>
      </c>
      <c r="BA226">
        <v>10</v>
      </c>
      <c r="BB226">
        <v>10.9</v>
      </c>
      <c r="BC226">
        <v>10</v>
      </c>
      <c r="BD226">
        <v>4.4000000000000004</v>
      </c>
      <c r="BE226">
        <v>4</v>
      </c>
      <c r="BF226">
        <v>11.8</v>
      </c>
      <c r="BG226">
        <v>10</v>
      </c>
      <c r="BH226">
        <v>10.9</v>
      </c>
      <c r="BI226">
        <v>10</v>
      </c>
      <c r="BJ226">
        <v>10.6</v>
      </c>
      <c r="BK226">
        <v>9</v>
      </c>
      <c r="BL226">
        <v>20.9</v>
      </c>
      <c r="BM226">
        <v>19</v>
      </c>
      <c r="BN226">
        <v>23.3</v>
      </c>
      <c r="BO226">
        <v>19</v>
      </c>
      <c r="BP226">
        <v>21.9</v>
      </c>
      <c r="BQ226">
        <v>20</v>
      </c>
      <c r="BR226">
        <v>21.9</v>
      </c>
      <c r="BS226">
        <v>25</v>
      </c>
      <c r="BT226">
        <v>21.9</v>
      </c>
      <c r="BU226">
        <v>25</v>
      </c>
      <c r="BV226">
        <v>23.6</v>
      </c>
      <c r="BW226">
        <v>18</v>
      </c>
      <c r="BX226">
        <v>21.1</v>
      </c>
      <c r="BY226">
        <v>20</v>
      </c>
      <c r="BZ226">
        <v>21.9</v>
      </c>
      <c r="CA226">
        <v>20</v>
      </c>
      <c r="CB226">
        <v>10.199999999999999</v>
      </c>
      <c r="CC226">
        <v>10</v>
      </c>
      <c r="CD226">
        <v>10.4</v>
      </c>
      <c r="CE226">
        <v>10</v>
      </c>
      <c r="CF226">
        <v>11.2</v>
      </c>
      <c r="CG226">
        <v>9</v>
      </c>
      <c r="CH226">
        <v>11.4</v>
      </c>
      <c r="CI226">
        <v>9</v>
      </c>
    </row>
    <row r="227" spans="1:87" x14ac:dyDescent="0.35">
      <c r="A227" s="1">
        <v>46059.606944444444</v>
      </c>
      <c r="B227">
        <v>-15.3</v>
      </c>
      <c r="C227">
        <v>-14.2</v>
      </c>
      <c r="D227">
        <v>-25</v>
      </c>
      <c r="E227">
        <v>-15.2</v>
      </c>
      <c r="F227">
        <v>-15.5</v>
      </c>
      <c r="G227">
        <v>-25</v>
      </c>
      <c r="H227">
        <v>-15.6</v>
      </c>
      <c r="I227">
        <v>-18.8</v>
      </c>
      <c r="J227">
        <v>-25</v>
      </c>
      <c r="K227">
        <v>-15.8</v>
      </c>
      <c r="L227">
        <v>-7.4</v>
      </c>
      <c r="M227">
        <v>-25</v>
      </c>
      <c r="N227">
        <v>-17.5</v>
      </c>
      <c r="O227">
        <v>-14.8</v>
      </c>
      <c r="P227">
        <v>-25</v>
      </c>
      <c r="Q227">
        <v>-17.399999999999999</v>
      </c>
      <c r="R227">
        <v>-17.100000000000001</v>
      </c>
      <c r="S227">
        <v>-25</v>
      </c>
      <c r="T227">
        <v>4</v>
      </c>
      <c r="U227">
        <v>-8.9</v>
      </c>
      <c r="V227">
        <v>2</v>
      </c>
      <c r="W227">
        <v>3.4</v>
      </c>
      <c r="X227">
        <v>3.7</v>
      </c>
      <c r="Y227">
        <v>2</v>
      </c>
      <c r="Z227">
        <v>3.4</v>
      </c>
      <c r="AA227">
        <v>2.8</v>
      </c>
      <c r="AB227">
        <v>2</v>
      </c>
      <c r="AC227">
        <v>3</v>
      </c>
      <c r="AD227">
        <v>1.2</v>
      </c>
      <c r="AE227">
        <v>2</v>
      </c>
      <c r="AF227">
        <v>2.6</v>
      </c>
      <c r="AG227">
        <v>2.1</v>
      </c>
      <c r="AH227">
        <v>2</v>
      </c>
      <c r="AI227">
        <v>2.4</v>
      </c>
      <c r="AJ227">
        <v>-0.4</v>
      </c>
      <c r="AK227">
        <v>2</v>
      </c>
      <c r="AL227">
        <v>5.5</v>
      </c>
      <c r="AM227">
        <v>4</v>
      </c>
      <c r="AN227">
        <v>4.5999999999999996</v>
      </c>
      <c r="AO227">
        <v>4</v>
      </c>
      <c r="AP227">
        <v>3.9</v>
      </c>
      <c r="AQ227">
        <v>4</v>
      </c>
      <c r="AR227">
        <v>5.4</v>
      </c>
      <c r="AS227">
        <v>4</v>
      </c>
      <c r="AT227">
        <v>-3.6</v>
      </c>
      <c r="AU227">
        <v>-6.6</v>
      </c>
      <c r="AV227">
        <v>-5</v>
      </c>
      <c r="AW227">
        <v>-4.4000000000000004</v>
      </c>
      <c r="AX227">
        <v>-4.3</v>
      </c>
      <c r="AY227">
        <v>-5</v>
      </c>
      <c r="AZ227">
        <v>11.6</v>
      </c>
      <c r="BA227">
        <v>10</v>
      </c>
      <c r="BB227">
        <v>10.9</v>
      </c>
      <c r="BC227">
        <v>10</v>
      </c>
      <c r="BD227">
        <v>4.7</v>
      </c>
      <c r="BE227">
        <v>4</v>
      </c>
      <c r="BF227">
        <v>12</v>
      </c>
      <c r="BG227">
        <v>10</v>
      </c>
      <c r="BH227">
        <v>10.9</v>
      </c>
      <c r="BI227">
        <v>10</v>
      </c>
      <c r="BJ227">
        <v>10.6</v>
      </c>
      <c r="BK227">
        <v>9</v>
      </c>
      <c r="BL227">
        <v>20.9</v>
      </c>
      <c r="BM227">
        <v>19</v>
      </c>
      <c r="BN227">
        <v>23.3</v>
      </c>
      <c r="BO227">
        <v>19</v>
      </c>
      <c r="BP227">
        <v>21.9</v>
      </c>
      <c r="BQ227">
        <v>20</v>
      </c>
      <c r="BR227">
        <v>21.9</v>
      </c>
      <c r="BS227">
        <v>25</v>
      </c>
      <c r="BT227">
        <v>21.9</v>
      </c>
      <c r="BU227">
        <v>25</v>
      </c>
      <c r="BV227">
        <v>23.6</v>
      </c>
      <c r="BW227">
        <v>18</v>
      </c>
      <c r="BX227">
        <v>21.1</v>
      </c>
      <c r="BY227">
        <v>20</v>
      </c>
      <c r="BZ227">
        <v>21.9</v>
      </c>
      <c r="CA227">
        <v>20</v>
      </c>
      <c r="CB227">
        <v>10.1</v>
      </c>
      <c r="CC227">
        <v>10</v>
      </c>
      <c r="CD227">
        <v>10.5</v>
      </c>
      <c r="CE227">
        <v>10</v>
      </c>
      <c r="CF227">
        <v>11.3</v>
      </c>
      <c r="CG227">
        <v>9</v>
      </c>
      <c r="CH227">
        <v>11.5</v>
      </c>
      <c r="CI227">
        <v>9</v>
      </c>
    </row>
    <row r="228" spans="1:87" x14ac:dyDescent="0.35">
      <c r="A228" s="1">
        <v>46059.607638888891</v>
      </c>
      <c r="B228">
        <v>-15.3</v>
      </c>
      <c r="C228">
        <v>-14.1</v>
      </c>
      <c r="D228">
        <v>-25</v>
      </c>
      <c r="E228">
        <v>-15.2</v>
      </c>
      <c r="F228">
        <v>-15.5</v>
      </c>
      <c r="G228">
        <v>-25</v>
      </c>
      <c r="H228">
        <v>-15.6</v>
      </c>
      <c r="I228">
        <v>-19.100000000000001</v>
      </c>
      <c r="J228">
        <v>-25</v>
      </c>
      <c r="K228">
        <v>-15.8</v>
      </c>
      <c r="L228">
        <v>-8.1</v>
      </c>
      <c r="M228">
        <v>-25</v>
      </c>
      <c r="N228">
        <v>-17.5</v>
      </c>
      <c r="O228">
        <v>-11.3</v>
      </c>
      <c r="P228">
        <v>-25</v>
      </c>
      <c r="Q228">
        <v>-17.600000000000001</v>
      </c>
      <c r="R228">
        <v>-17.100000000000001</v>
      </c>
      <c r="S228">
        <v>-25</v>
      </c>
      <c r="T228">
        <v>4</v>
      </c>
      <c r="U228">
        <v>-10.9</v>
      </c>
      <c r="V228">
        <v>2</v>
      </c>
      <c r="W228">
        <v>3.4</v>
      </c>
      <c r="X228">
        <v>3.8</v>
      </c>
      <c r="Y228">
        <v>2</v>
      </c>
      <c r="Z228">
        <v>3.2</v>
      </c>
      <c r="AA228">
        <v>2.6</v>
      </c>
      <c r="AB228">
        <v>2</v>
      </c>
      <c r="AC228">
        <v>2.8</v>
      </c>
      <c r="AD228">
        <v>0.7</v>
      </c>
      <c r="AE228">
        <v>2</v>
      </c>
      <c r="AF228">
        <v>2.4</v>
      </c>
      <c r="AG228">
        <v>1.9</v>
      </c>
      <c r="AH228">
        <v>2</v>
      </c>
      <c r="AI228">
        <v>2.2000000000000002</v>
      </c>
      <c r="AJ228">
        <v>-0.8</v>
      </c>
      <c r="AK228">
        <v>2</v>
      </c>
      <c r="AL228">
        <v>5.5</v>
      </c>
      <c r="AM228">
        <v>4</v>
      </c>
      <c r="AN228">
        <v>4.7</v>
      </c>
      <c r="AO228">
        <v>4</v>
      </c>
      <c r="AP228">
        <v>4.2</v>
      </c>
      <c r="AQ228">
        <v>4</v>
      </c>
      <c r="AR228">
        <v>5.6</v>
      </c>
      <c r="AS228">
        <v>4</v>
      </c>
      <c r="AT228">
        <v>-4.0999999999999996</v>
      </c>
      <c r="AU228">
        <v>-7.2</v>
      </c>
      <c r="AV228">
        <v>-5</v>
      </c>
      <c r="AW228">
        <v>-3.8</v>
      </c>
      <c r="AX228">
        <v>-3.7</v>
      </c>
      <c r="AY228">
        <v>-5</v>
      </c>
      <c r="AZ228">
        <v>11.6</v>
      </c>
      <c r="BA228">
        <v>10</v>
      </c>
      <c r="BB228">
        <v>10.9</v>
      </c>
      <c r="BC228">
        <v>10</v>
      </c>
      <c r="BD228">
        <v>4.9000000000000004</v>
      </c>
      <c r="BE228">
        <v>4</v>
      </c>
      <c r="BF228">
        <v>11.7</v>
      </c>
      <c r="BG228">
        <v>10</v>
      </c>
      <c r="BH228">
        <v>10.9</v>
      </c>
      <c r="BI228">
        <v>10</v>
      </c>
      <c r="BJ228">
        <v>10.6</v>
      </c>
      <c r="BK228">
        <v>9</v>
      </c>
      <c r="BL228">
        <v>20.9</v>
      </c>
      <c r="BM228">
        <v>19</v>
      </c>
      <c r="BN228">
        <v>23.4</v>
      </c>
      <c r="BO228">
        <v>19</v>
      </c>
      <c r="BP228">
        <v>21.9</v>
      </c>
      <c r="BQ228">
        <v>20</v>
      </c>
      <c r="BR228">
        <v>21.9</v>
      </c>
      <c r="BS228">
        <v>25</v>
      </c>
      <c r="BT228">
        <v>21.9</v>
      </c>
      <c r="BU228">
        <v>25</v>
      </c>
      <c r="BV228">
        <v>23.6</v>
      </c>
      <c r="BW228">
        <v>18</v>
      </c>
      <c r="BX228">
        <v>21.2</v>
      </c>
      <c r="BY228">
        <v>20</v>
      </c>
      <c r="BZ228">
        <v>21.9</v>
      </c>
      <c r="CA228">
        <v>20</v>
      </c>
      <c r="CB228">
        <v>10.1</v>
      </c>
      <c r="CC228">
        <v>10</v>
      </c>
      <c r="CD228">
        <v>10.6</v>
      </c>
      <c r="CE228">
        <v>10</v>
      </c>
      <c r="CF228">
        <v>11.5</v>
      </c>
      <c r="CG228">
        <v>9</v>
      </c>
      <c r="CH228">
        <v>11.7</v>
      </c>
      <c r="CI228">
        <v>9</v>
      </c>
    </row>
    <row r="229" spans="1:87" x14ac:dyDescent="0.35">
      <c r="A229" s="1">
        <v>46059.60833333333</v>
      </c>
      <c r="B229">
        <v>-15.3</v>
      </c>
      <c r="C229">
        <v>-14.1</v>
      </c>
      <c r="D229">
        <v>-25</v>
      </c>
      <c r="E229">
        <v>-15.2</v>
      </c>
      <c r="F229">
        <v>-15.5</v>
      </c>
      <c r="G229">
        <v>-25</v>
      </c>
      <c r="H229">
        <v>-15.6</v>
      </c>
      <c r="I229">
        <v>-19.5</v>
      </c>
      <c r="J229">
        <v>-25</v>
      </c>
      <c r="K229">
        <v>-15.9</v>
      </c>
      <c r="L229">
        <v>-8.8000000000000007</v>
      </c>
      <c r="M229">
        <v>-25</v>
      </c>
      <c r="N229">
        <v>-17.5</v>
      </c>
      <c r="O229">
        <v>-7.9</v>
      </c>
      <c r="P229">
        <v>-25</v>
      </c>
      <c r="Q229">
        <v>-17.600000000000001</v>
      </c>
      <c r="R229">
        <v>-17.2</v>
      </c>
      <c r="S229">
        <v>-25</v>
      </c>
      <c r="T229">
        <v>4</v>
      </c>
      <c r="U229">
        <v>-12.5</v>
      </c>
      <c r="V229">
        <v>2</v>
      </c>
      <c r="W229">
        <v>3.4</v>
      </c>
      <c r="X229">
        <v>3.8</v>
      </c>
      <c r="Y229">
        <v>2</v>
      </c>
      <c r="Z229">
        <v>3</v>
      </c>
      <c r="AA229">
        <v>2.4</v>
      </c>
      <c r="AB229">
        <v>2</v>
      </c>
      <c r="AC229">
        <v>2.6</v>
      </c>
      <c r="AD229">
        <v>0.9</v>
      </c>
      <c r="AE229">
        <v>2</v>
      </c>
      <c r="AF229">
        <v>2.2000000000000002</v>
      </c>
      <c r="AG229">
        <v>1.7</v>
      </c>
      <c r="AH229">
        <v>2</v>
      </c>
      <c r="AI229">
        <v>2</v>
      </c>
      <c r="AJ229">
        <v>-0.1</v>
      </c>
      <c r="AK229">
        <v>2</v>
      </c>
      <c r="AL229">
        <v>5.6</v>
      </c>
      <c r="AM229">
        <v>4</v>
      </c>
      <c r="AN229">
        <v>4.7</v>
      </c>
      <c r="AO229">
        <v>4</v>
      </c>
      <c r="AP229">
        <v>4.4000000000000004</v>
      </c>
      <c r="AQ229">
        <v>4</v>
      </c>
      <c r="AR229">
        <v>5.8</v>
      </c>
      <c r="AS229">
        <v>4</v>
      </c>
      <c r="AT229">
        <v>-4.5999999999999996</v>
      </c>
      <c r="AU229">
        <v>-7.5</v>
      </c>
      <c r="AV229">
        <v>-5</v>
      </c>
      <c r="AW229">
        <v>-3.3</v>
      </c>
      <c r="AX229">
        <v>-3.1</v>
      </c>
      <c r="AY229">
        <v>-5</v>
      </c>
      <c r="AZ229">
        <v>11.7</v>
      </c>
      <c r="BA229">
        <v>10</v>
      </c>
      <c r="BB229">
        <v>10.8</v>
      </c>
      <c r="BC229">
        <v>10</v>
      </c>
      <c r="BD229">
        <v>5.0999999999999996</v>
      </c>
      <c r="BE229">
        <v>4</v>
      </c>
      <c r="BF229">
        <v>10.9</v>
      </c>
      <c r="BG229">
        <v>10</v>
      </c>
      <c r="BH229">
        <v>10.9</v>
      </c>
      <c r="BI229">
        <v>10</v>
      </c>
      <c r="BJ229">
        <v>10.6</v>
      </c>
      <c r="BK229">
        <v>9</v>
      </c>
      <c r="BL229">
        <v>21</v>
      </c>
      <c r="BM229">
        <v>19</v>
      </c>
      <c r="BN229">
        <v>23.4</v>
      </c>
      <c r="BO229">
        <v>19</v>
      </c>
      <c r="BP229">
        <v>21.9</v>
      </c>
      <c r="BQ229">
        <v>20</v>
      </c>
      <c r="BR229">
        <v>21.9</v>
      </c>
      <c r="BS229">
        <v>25</v>
      </c>
      <c r="BT229">
        <v>21.9</v>
      </c>
      <c r="BU229">
        <v>25</v>
      </c>
      <c r="BV229">
        <v>23.6</v>
      </c>
      <c r="BW229">
        <v>18</v>
      </c>
      <c r="BX229">
        <v>21.3</v>
      </c>
      <c r="BY229">
        <v>20</v>
      </c>
      <c r="BZ229">
        <v>21.9</v>
      </c>
      <c r="CA229">
        <v>20</v>
      </c>
      <c r="CB229">
        <v>10</v>
      </c>
      <c r="CC229">
        <v>10</v>
      </c>
      <c r="CD229">
        <v>10.7</v>
      </c>
      <c r="CE229">
        <v>10</v>
      </c>
      <c r="CF229">
        <v>11.5</v>
      </c>
      <c r="CG229">
        <v>9</v>
      </c>
      <c r="CH229">
        <v>11.7</v>
      </c>
      <c r="CI229">
        <v>9</v>
      </c>
    </row>
    <row r="230" spans="1:87" x14ac:dyDescent="0.35">
      <c r="A230" s="1">
        <v>46059.609027777777</v>
      </c>
      <c r="B230">
        <v>-15.9</v>
      </c>
      <c r="C230">
        <v>-14.1</v>
      </c>
      <c r="D230">
        <v>-25</v>
      </c>
      <c r="E230">
        <v>-15.6</v>
      </c>
      <c r="F230">
        <v>-18.399999999999999</v>
      </c>
      <c r="G230">
        <v>-25</v>
      </c>
      <c r="H230">
        <v>-15.7</v>
      </c>
      <c r="I230">
        <v>-20</v>
      </c>
      <c r="J230">
        <v>-25</v>
      </c>
      <c r="K230">
        <v>-16.100000000000001</v>
      </c>
      <c r="L230">
        <v>-9.4</v>
      </c>
      <c r="M230">
        <v>-25</v>
      </c>
      <c r="N230">
        <v>-17.5</v>
      </c>
      <c r="O230">
        <v>-4</v>
      </c>
      <c r="P230">
        <v>-25</v>
      </c>
      <c r="Q230">
        <v>-17.600000000000001</v>
      </c>
      <c r="R230">
        <v>-17.2</v>
      </c>
      <c r="S230">
        <v>-25</v>
      </c>
      <c r="T230">
        <v>4</v>
      </c>
      <c r="U230">
        <v>-10.6</v>
      </c>
      <c r="V230">
        <v>2</v>
      </c>
      <c r="W230">
        <v>3.4</v>
      </c>
      <c r="X230">
        <v>3.8</v>
      </c>
      <c r="Y230">
        <v>2</v>
      </c>
      <c r="Z230">
        <v>2.9</v>
      </c>
      <c r="AA230">
        <v>2.2000000000000002</v>
      </c>
      <c r="AB230">
        <v>2</v>
      </c>
      <c r="AC230">
        <v>2.4</v>
      </c>
      <c r="AD230">
        <v>1.1000000000000001</v>
      </c>
      <c r="AE230">
        <v>2</v>
      </c>
      <c r="AF230">
        <v>2.1</v>
      </c>
      <c r="AG230">
        <v>1.6</v>
      </c>
      <c r="AH230">
        <v>2</v>
      </c>
      <c r="AI230">
        <v>2</v>
      </c>
      <c r="AJ230">
        <v>0.9</v>
      </c>
      <c r="AK230">
        <v>2</v>
      </c>
      <c r="AL230">
        <v>5.6</v>
      </c>
      <c r="AM230">
        <v>4</v>
      </c>
      <c r="AN230">
        <v>4.8</v>
      </c>
      <c r="AO230">
        <v>4</v>
      </c>
      <c r="AP230">
        <v>4.5999999999999996</v>
      </c>
      <c r="AQ230">
        <v>4</v>
      </c>
      <c r="AR230">
        <v>6</v>
      </c>
      <c r="AS230">
        <v>4</v>
      </c>
      <c r="AT230">
        <v>-4.7</v>
      </c>
      <c r="AU230">
        <v>-6</v>
      </c>
      <c r="AV230">
        <v>-5</v>
      </c>
      <c r="AW230">
        <v>-2.9</v>
      </c>
      <c r="AX230">
        <v>-2.6</v>
      </c>
      <c r="AY230">
        <v>-5</v>
      </c>
      <c r="AZ230">
        <v>11.8</v>
      </c>
      <c r="BA230">
        <v>10</v>
      </c>
      <c r="BB230">
        <v>10.7</v>
      </c>
      <c r="BC230">
        <v>10</v>
      </c>
      <c r="BD230">
        <v>5.2</v>
      </c>
      <c r="BE230">
        <v>4</v>
      </c>
      <c r="BF230">
        <v>10.199999999999999</v>
      </c>
      <c r="BG230">
        <v>10</v>
      </c>
      <c r="BH230">
        <v>10.9</v>
      </c>
      <c r="BI230">
        <v>10</v>
      </c>
      <c r="BJ230">
        <v>10.6</v>
      </c>
      <c r="BK230">
        <v>9</v>
      </c>
      <c r="BL230">
        <v>21</v>
      </c>
      <c r="BM230">
        <v>19</v>
      </c>
      <c r="BN230">
        <v>23.4</v>
      </c>
      <c r="BO230">
        <v>19</v>
      </c>
      <c r="BP230">
        <v>21.9</v>
      </c>
      <c r="BQ230">
        <v>20</v>
      </c>
      <c r="BR230">
        <v>21.9</v>
      </c>
      <c r="BS230">
        <v>25</v>
      </c>
      <c r="BT230">
        <v>21.9</v>
      </c>
      <c r="BU230">
        <v>25</v>
      </c>
      <c r="BV230">
        <v>23.6</v>
      </c>
      <c r="BW230">
        <v>18</v>
      </c>
      <c r="BX230">
        <v>21.3</v>
      </c>
      <c r="BY230">
        <v>20</v>
      </c>
      <c r="BZ230">
        <v>21.9</v>
      </c>
      <c r="CA230">
        <v>20</v>
      </c>
      <c r="CB230">
        <v>10.3</v>
      </c>
      <c r="CC230">
        <v>10</v>
      </c>
      <c r="CD230">
        <v>10.7</v>
      </c>
      <c r="CE230">
        <v>10</v>
      </c>
      <c r="CF230">
        <v>11.5</v>
      </c>
      <c r="CG230">
        <v>9</v>
      </c>
      <c r="CH230">
        <v>11.7</v>
      </c>
      <c r="CI230">
        <v>9</v>
      </c>
    </row>
    <row r="231" spans="1:87" x14ac:dyDescent="0.35">
      <c r="A231" s="1">
        <v>46059.609722222223</v>
      </c>
      <c r="B231">
        <v>-16.600000000000001</v>
      </c>
      <c r="C231">
        <v>-14.1</v>
      </c>
      <c r="D231">
        <v>-25</v>
      </c>
      <c r="E231">
        <v>-16.100000000000001</v>
      </c>
      <c r="F231">
        <v>-18.399999999999999</v>
      </c>
      <c r="G231">
        <v>-25</v>
      </c>
      <c r="H231">
        <v>-15.8</v>
      </c>
      <c r="I231">
        <v>-20.7</v>
      </c>
      <c r="J231">
        <v>-25</v>
      </c>
      <c r="K231">
        <v>-16.3</v>
      </c>
      <c r="L231">
        <v>-10</v>
      </c>
      <c r="M231">
        <v>-25</v>
      </c>
      <c r="N231">
        <v>-17.5</v>
      </c>
      <c r="O231">
        <v>-1</v>
      </c>
      <c r="P231">
        <v>-25</v>
      </c>
      <c r="Q231">
        <v>-17.3</v>
      </c>
      <c r="R231">
        <v>-17.2</v>
      </c>
      <c r="S231">
        <v>-25</v>
      </c>
      <c r="T231">
        <v>4</v>
      </c>
      <c r="U231">
        <v>-6.3</v>
      </c>
      <c r="V231">
        <v>2</v>
      </c>
      <c r="W231">
        <v>3.4</v>
      </c>
      <c r="X231">
        <v>3.8</v>
      </c>
      <c r="Y231">
        <v>2</v>
      </c>
      <c r="Z231">
        <v>2.8</v>
      </c>
      <c r="AA231">
        <v>2.2000000000000002</v>
      </c>
      <c r="AB231">
        <v>2</v>
      </c>
      <c r="AC231">
        <v>2.4</v>
      </c>
      <c r="AD231">
        <v>1.4</v>
      </c>
      <c r="AE231">
        <v>2</v>
      </c>
      <c r="AF231">
        <v>2.1</v>
      </c>
      <c r="AG231">
        <v>1.9</v>
      </c>
      <c r="AH231">
        <v>2</v>
      </c>
      <c r="AI231">
        <v>2</v>
      </c>
      <c r="AJ231">
        <v>1.5</v>
      </c>
      <c r="AK231">
        <v>2</v>
      </c>
      <c r="AL231">
        <v>5.7</v>
      </c>
      <c r="AM231">
        <v>4</v>
      </c>
      <c r="AN231">
        <v>4.9000000000000004</v>
      </c>
      <c r="AO231">
        <v>4</v>
      </c>
      <c r="AP231">
        <v>4.8</v>
      </c>
      <c r="AQ231">
        <v>4</v>
      </c>
      <c r="AR231">
        <v>6.1</v>
      </c>
      <c r="AS231">
        <v>4</v>
      </c>
      <c r="AT231">
        <v>-4</v>
      </c>
      <c r="AU231">
        <v>-4.7</v>
      </c>
      <c r="AV231">
        <v>-5</v>
      </c>
      <c r="AW231">
        <v>-2.7</v>
      </c>
      <c r="AX231">
        <v>-2.5</v>
      </c>
      <c r="AY231">
        <v>-5</v>
      </c>
      <c r="AZ231">
        <v>11.9</v>
      </c>
      <c r="BA231">
        <v>10</v>
      </c>
      <c r="BB231">
        <v>10.5</v>
      </c>
      <c r="BC231">
        <v>10</v>
      </c>
      <c r="BD231">
        <v>5.4</v>
      </c>
      <c r="BE231">
        <v>4</v>
      </c>
      <c r="BF231">
        <v>9.4</v>
      </c>
      <c r="BG231">
        <v>10</v>
      </c>
      <c r="BH231">
        <v>10.9</v>
      </c>
      <c r="BI231">
        <v>10</v>
      </c>
      <c r="BJ231">
        <v>10.5</v>
      </c>
      <c r="BK231">
        <v>9</v>
      </c>
      <c r="BL231">
        <v>21</v>
      </c>
      <c r="BM231">
        <v>19</v>
      </c>
      <c r="BN231">
        <v>23.4</v>
      </c>
      <c r="BO231">
        <v>19</v>
      </c>
      <c r="BP231">
        <v>21.9</v>
      </c>
      <c r="BQ231">
        <v>20</v>
      </c>
      <c r="BR231">
        <v>21.8</v>
      </c>
      <c r="BS231">
        <v>25</v>
      </c>
      <c r="BT231">
        <v>21.9</v>
      </c>
      <c r="BU231">
        <v>25</v>
      </c>
      <c r="BV231">
        <v>23.6</v>
      </c>
      <c r="BW231">
        <v>18</v>
      </c>
      <c r="BX231">
        <v>21.4</v>
      </c>
      <c r="BY231">
        <v>20</v>
      </c>
      <c r="BZ231">
        <v>22</v>
      </c>
      <c r="CA231">
        <v>20</v>
      </c>
      <c r="CB231">
        <v>10.7</v>
      </c>
      <c r="CC231">
        <v>10</v>
      </c>
      <c r="CD231">
        <v>10.8</v>
      </c>
      <c r="CE231">
        <v>10</v>
      </c>
      <c r="CF231">
        <v>11.5</v>
      </c>
      <c r="CG231">
        <v>9</v>
      </c>
      <c r="CH231">
        <v>11.7</v>
      </c>
      <c r="CI231">
        <v>9</v>
      </c>
    </row>
    <row r="232" spans="1:87" x14ac:dyDescent="0.35">
      <c r="A232" s="1">
        <v>46059.61041666667</v>
      </c>
      <c r="B232">
        <v>-17.100000000000001</v>
      </c>
      <c r="C232">
        <v>-14.3</v>
      </c>
      <c r="D232">
        <v>-25</v>
      </c>
      <c r="E232">
        <v>-16.600000000000001</v>
      </c>
      <c r="F232">
        <v>-17.899999999999999</v>
      </c>
      <c r="G232">
        <v>-25</v>
      </c>
      <c r="H232">
        <v>-16</v>
      </c>
      <c r="I232">
        <v>-21.3</v>
      </c>
      <c r="J232">
        <v>-25</v>
      </c>
      <c r="K232">
        <v>-16.600000000000001</v>
      </c>
      <c r="L232">
        <v>-10.6</v>
      </c>
      <c r="M232">
        <v>-25</v>
      </c>
      <c r="N232">
        <v>-17.5</v>
      </c>
      <c r="O232">
        <v>1.6</v>
      </c>
      <c r="P232">
        <v>-25</v>
      </c>
      <c r="Q232">
        <v>-17</v>
      </c>
      <c r="R232">
        <v>-16.899999999999999</v>
      </c>
      <c r="S232">
        <v>-25</v>
      </c>
      <c r="T232">
        <v>4.0999999999999996</v>
      </c>
      <c r="U232">
        <v>-14</v>
      </c>
      <c r="V232">
        <v>2</v>
      </c>
      <c r="W232">
        <v>3.4</v>
      </c>
      <c r="X232">
        <v>3.8</v>
      </c>
      <c r="Y232">
        <v>2</v>
      </c>
      <c r="Z232">
        <v>2.8</v>
      </c>
      <c r="AA232">
        <v>2.2000000000000002</v>
      </c>
      <c r="AB232">
        <v>2</v>
      </c>
      <c r="AC232">
        <v>2.4</v>
      </c>
      <c r="AD232">
        <v>1.4</v>
      </c>
      <c r="AE232">
        <v>2</v>
      </c>
      <c r="AF232">
        <v>2.4</v>
      </c>
      <c r="AG232">
        <v>2.2000000000000002</v>
      </c>
      <c r="AH232">
        <v>2</v>
      </c>
      <c r="AI232">
        <v>2.2999999999999998</v>
      </c>
      <c r="AJ232">
        <v>1.9</v>
      </c>
      <c r="AK232">
        <v>2</v>
      </c>
      <c r="AL232">
        <v>5.7</v>
      </c>
      <c r="AM232">
        <v>4</v>
      </c>
      <c r="AN232">
        <v>4.9000000000000004</v>
      </c>
      <c r="AO232">
        <v>4</v>
      </c>
      <c r="AP232">
        <v>5</v>
      </c>
      <c r="AQ232">
        <v>4</v>
      </c>
      <c r="AR232">
        <v>6</v>
      </c>
      <c r="AS232">
        <v>4</v>
      </c>
      <c r="AT232">
        <v>-3.7</v>
      </c>
      <c r="AU232">
        <v>-4.5</v>
      </c>
      <c r="AV232">
        <v>-5</v>
      </c>
      <c r="AW232">
        <v>-3</v>
      </c>
      <c r="AX232">
        <v>-3.6</v>
      </c>
      <c r="AY232">
        <v>-5</v>
      </c>
      <c r="AZ232">
        <v>11.9</v>
      </c>
      <c r="BA232">
        <v>10</v>
      </c>
      <c r="BB232">
        <v>10.3</v>
      </c>
      <c r="BC232">
        <v>10</v>
      </c>
      <c r="BD232">
        <v>5.6</v>
      </c>
      <c r="BE232">
        <v>4</v>
      </c>
      <c r="BF232">
        <v>9.4</v>
      </c>
      <c r="BG232">
        <v>10</v>
      </c>
      <c r="BH232">
        <v>10.9</v>
      </c>
      <c r="BI232">
        <v>10</v>
      </c>
      <c r="BJ232">
        <v>10.5</v>
      </c>
      <c r="BK232">
        <v>9</v>
      </c>
      <c r="BL232">
        <v>20.8</v>
      </c>
      <c r="BM232">
        <v>19</v>
      </c>
      <c r="BN232">
        <v>23.4</v>
      </c>
      <c r="BO232">
        <v>19</v>
      </c>
      <c r="BP232">
        <v>21.9</v>
      </c>
      <c r="BQ232">
        <v>20</v>
      </c>
      <c r="BR232">
        <v>21.8</v>
      </c>
      <c r="BS232">
        <v>25</v>
      </c>
      <c r="BT232">
        <v>21.9</v>
      </c>
      <c r="BU232">
        <v>25</v>
      </c>
      <c r="BV232">
        <v>23.6</v>
      </c>
      <c r="BW232">
        <v>18</v>
      </c>
      <c r="BX232">
        <v>21.4</v>
      </c>
      <c r="BY232">
        <v>20</v>
      </c>
      <c r="BZ232">
        <v>21.7</v>
      </c>
      <c r="CA232">
        <v>20</v>
      </c>
      <c r="CB232">
        <v>11.1</v>
      </c>
      <c r="CC232">
        <v>10</v>
      </c>
      <c r="CD232">
        <v>10.8</v>
      </c>
      <c r="CE232">
        <v>10</v>
      </c>
      <c r="CF232">
        <v>11.5</v>
      </c>
      <c r="CG232">
        <v>9</v>
      </c>
      <c r="CH232">
        <v>11.7</v>
      </c>
      <c r="CI232">
        <v>9</v>
      </c>
    </row>
    <row r="233" spans="1:87" x14ac:dyDescent="0.35">
      <c r="A233" s="1">
        <v>46059.611111111109</v>
      </c>
      <c r="B233">
        <v>-17.5</v>
      </c>
      <c r="C233">
        <v>-14.5</v>
      </c>
      <c r="D233">
        <v>-25</v>
      </c>
      <c r="E233">
        <v>-16.899999999999999</v>
      </c>
      <c r="F233">
        <v>-18.2</v>
      </c>
      <c r="G233">
        <v>-25</v>
      </c>
      <c r="H233">
        <v>-16.2</v>
      </c>
      <c r="I233">
        <v>-21.4</v>
      </c>
      <c r="J233">
        <v>-25</v>
      </c>
      <c r="K233">
        <v>-16.8</v>
      </c>
      <c r="L233">
        <v>-11</v>
      </c>
      <c r="M233">
        <v>-25</v>
      </c>
      <c r="N233">
        <v>-17.5</v>
      </c>
      <c r="O233">
        <v>3.6</v>
      </c>
      <c r="P233">
        <v>-25</v>
      </c>
      <c r="Q233">
        <v>-16.8</v>
      </c>
      <c r="R233">
        <v>-16.7</v>
      </c>
      <c r="S233">
        <v>-25</v>
      </c>
      <c r="T233">
        <v>4.0999999999999996</v>
      </c>
      <c r="U233">
        <v>-9.5</v>
      </c>
      <c r="V233">
        <v>2</v>
      </c>
      <c r="W233">
        <v>3.4</v>
      </c>
      <c r="X233">
        <v>3.9</v>
      </c>
      <c r="Y233">
        <v>2</v>
      </c>
      <c r="Z233">
        <v>2.7</v>
      </c>
      <c r="AA233">
        <v>2.1</v>
      </c>
      <c r="AB233">
        <v>2</v>
      </c>
      <c r="AC233">
        <v>2.2999999999999998</v>
      </c>
      <c r="AD233">
        <v>1.4</v>
      </c>
      <c r="AE233">
        <v>2</v>
      </c>
      <c r="AF233">
        <v>2.6</v>
      </c>
      <c r="AG233">
        <v>2.4</v>
      </c>
      <c r="AH233">
        <v>2</v>
      </c>
      <c r="AI233">
        <v>2.5</v>
      </c>
      <c r="AJ233">
        <v>2.2000000000000002</v>
      </c>
      <c r="AK233">
        <v>2</v>
      </c>
      <c r="AL233">
        <v>5.8</v>
      </c>
      <c r="AM233">
        <v>4</v>
      </c>
      <c r="AN233">
        <v>5</v>
      </c>
      <c r="AO233">
        <v>4</v>
      </c>
      <c r="AP233">
        <v>5.0999999999999996</v>
      </c>
      <c r="AQ233">
        <v>4</v>
      </c>
      <c r="AR233">
        <v>5.9</v>
      </c>
      <c r="AS233">
        <v>4</v>
      </c>
      <c r="AT233">
        <v>-3.7</v>
      </c>
      <c r="AU233">
        <v>-5.4</v>
      </c>
      <c r="AV233">
        <v>-5</v>
      </c>
      <c r="AW233">
        <v>-3.4</v>
      </c>
      <c r="AX233">
        <v>-5.2</v>
      </c>
      <c r="AY233">
        <v>-5</v>
      </c>
      <c r="AZ233">
        <v>12</v>
      </c>
      <c r="BA233">
        <v>10</v>
      </c>
      <c r="BB233">
        <v>10.199999999999999</v>
      </c>
      <c r="BC233">
        <v>10</v>
      </c>
      <c r="BD233">
        <v>5.8</v>
      </c>
      <c r="BE233">
        <v>4</v>
      </c>
      <c r="BF233">
        <v>9.6999999999999993</v>
      </c>
      <c r="BG233">
        <v>10</v>
      </c>
      <c r="BH233">
        <v>10.9</v>
      </c>
      <c r="BI233">
        <v>10</v>
      </c>
      <c r="BJ233">
        <v>10.5</v>
      </c>
      <c r="BK233">
        <v>9</v>
      </c>
      <c r="BL233">
        <v>20.6</v>
      </c>
      <c r="BM233">
        <v>19</v>
      </c>
      <c r="BN233">
        <v>23.4</v>
      </c>
      <c r="BO233">
        <v>19</v>
      </c>
      <c r="BP233">
        <v>21.9</v>
      </c>
      <c r="BQ233">
        <v>20</v>
      </c>
      <c r="BR233">
        <v>21.8</v>
      </c>
      <c r="BS233">
        <v>25</v>
      </c>
      <c r="BT233">
        <v>21.9</v>
      </c>
      <c r="BU233">
        <v>25</v>
      </c>
      <c r="BV233">
        <v>23.6</v>
      </c>
      <c r="BW233">
        <v>18</v>
      </c>
      <c r="BX233">
        <v>21.4</v>
      </c>
      <c r="BY233">
        <v>20</v>
      </c>
      <c r="BZ233">
        <v>20.100000000000001</v>
      </c>
      <c r="CA233">
        <v>20</v>
      </c>
      <c r="CB233">
        <v>11.5</v>
      </c>
      <c r="CC233">
        <v>10</v>
      </c>
      <c r="CD233">
        <v>10.9</v>
      </c>
      <c r="CE233">
        <v>10</v>
      </c>
      <c r="CF233">
        <v>11.6</v>
      </c>
      <c r="CG233">
        <v>9</v>
      </c>
      <c r="CH233">
        <v>11.8</v>
      </c>
      <c r="CI233">
        <v>9</v>
      </c>
    </row>
    <row r="234" spans="1:87" x14ac:dyDescent="0.35">
      <c r="A234" s="1">
        <v>46059.611805555556</v>
      </c>
      <c r="B234">
        <v>-17.8</v>
      </c>
      <c r="C234">
        <v>-14.7</v>
      </c>
      <c r="D234">
        <v>-25</v>
      </c>
      <c r="E234">
        <v>-17.2</v>
      </c>
      <c r="F234">
        <v>-18.8</v>
      </c>
      <c r="G234">
        <v>-25</v>
      </c>
      <c r="H234">
        <v>-16.3</v>
      </c>
      <c r="I234">
        <v>-21.4</v>
      </c>
      <c r="J234">
        <v>-25</v>
      </c>
      <c r="K234">
        <v>-16.899999999999999</v>
      </c>
      <c r="L234">
        <v>-11.5</v>
      </c>
      <c r="M234">
        <v>-25</v>
      </c>
      <c r="N234">
        <v>-17.5</v>
      </c>
      <c r="O234">
        <v>5</v>
      </c>
      <c r="P234">
        <v>-25</v>
      </c>
      <c r="Q234">
        <v>-16.600000000000001</v>
      </c>
      <c r="R234">
        <v>-16.5</v>
      </c>
      <c r="S234">
        <v>-25</v>
      </c>
      <c r="T234">
        <v>4.0999999999999996</v>
      </c>
      <c r="U234">
        <v>-9.1999999999999993</v>
      </c>
      <c r="V234">
        <v>2</v>
      </c>
      <c r="W234">
        <v>3.4</v>
      </c>
      <c r="X234">
        <v>4</v>
      </c>
      <c r="Y234">
        <v>2</v>
      </c>
      <c r="Z234">
        <v>2.7</v>
      </c>
      <c r="AA234">
        <v>2.1</v>
      </c>
      <c r="AB234">
        <v>2</v>
      </c>
      <c r="AC234">
        <v>2.2000000000000002</v>
      </c>
      <c r="AD234">
        <v>1.2</v>
      </c>
      <c r="AE234">
        <v>2</v>
      </c>
      <c r="AF234">
        <v>2.7</v>
      </c>
      <c r="AG234">
        <v>2.5</v>
      </c>
      <c r="AH234">
        <v>2</v>
      </c>
      <c r="AI234">
        <v>2.6</v>
      </c>
      <c r="AJ234">
        <v>2.4</v>
      </c>
      <c r="AK234">
        <v>2</v>
      </c>
      <c r="AL234">
        <v>5.8</v>
      </c>
      <c r="AM234">
        <v>4</v>
      </c>
      <c r="AN234">
        <v>5</v>
      </c>
      <c r="AO234">
        <v>4</v>
      </c>
      <c r="AP234">
        <v>5.2</v>
      </c>
      <c r="AQ234">
        <v>4</v>
      </c>
      <c r="AR234">
        <v>5.9</v>
      </c>
      <c r="AS234">
        <v>4</v>
      </c>
      <c r="AT234">
        <v>-3.7</v>
      </c>
      <c r="AU234">
        <v>-5.9</v>
      </c>
      <c r="AV234">
        <v>-5</v>
      </c>
      <c r="AW234">
        <v>-3.7</v>
      </c>
      <c r="AX234">
        <v>-5.2</v>
      </c>
      <c r="AY234">
        <v>-5</v>
      </c>
      <c r="AZ234">
        <v>11.6</v>
      </c>
      <c r="BA234">
        <v>10</v>
      </c>
      <c r="BB234">
        <v>10.3</v>
      </c>
      <c r="BC234">
        <v>10</v>
      </c>
      <c r="BD234">
        <v>5.9</v>
      </c>
      <c r="BE234">
        <v>4</v>
      </c>
      <c r="BF234">
        <v>10.199999999999999</v>
      </c>
      <c r="BG234">
        <v>10</v>
      </c>
      <c r="BH234">
        <v>10.9</v>
      </c>
      <c r="BI234">
        <v>10</v>
      </c>
      <c r="BJ234">
        <v>10.5</v>
      </c>
      <c r="BK234">
        <v>9</v>
      </c>
      <c r="BL234">
        <v>20.3</v>
      </c>
      <c r="BM234">
        <v>19</v>
      </c>
      <c r="BN234">
        <v>23.4</v>
      </c>
      <c r="BO234">
        <v>19</v>
      </c>
      <c r="BP234">
        <v>21.9</v>
      </c>
      <c r="BQ234">
        <v>20</v>
      </c>
      <c r="BR234">
        <v>21.7</v>
      </c>
      <c r="BS234">
        <v>25</v>
      </c>
      <c r="BT234">
        <v>21.9</v>
      </c>
      <c r="BU234">
        <v>25</v>
      </c>
      <c r="BV234">
        <v>23.6</v>
      </c>
      <c r="BW234">
        <v>18</v>
      </c>
      <c r="BX234">
        <v>21.4</v>
      </c>
      <c r="BY234">
        <v>20</v>
      </c>
      <c r="BZ234">
        <v>18.899999999999999</v>
      </c>
      <c r="CA234">
        <v>20</v>
      </c>
      <c r="CB234">
        <v>11.8</v>
      </c>
      <c r="CC234">
        <v>10</v>
      </c>
      <c r="CD234">
        <v>10.9</v>
      </c>
      <c r="CE234">
        <v>10</v>
      </c>
      <c r="CF234">
        <v>11.5</v>
      </c>
      <c r="CG234">
        <v>9</v>
      </c>
      <c r="CH234">
        <v>11.7</v>
      </c>
      <c r="CI234">
        <v>9</v>
      </c>
    </row>
    <row r="235" spans="1:87" x14ac:dyDescent="0.35">
      <c r="A235" s="1">
        <v>46059.612500000003</v>
      </c>
      <c r="B235">
        <v>-18.2</v>
      </c>
      <c r="C235">
        <v>-15</v>
      </c>
      <c r="D235">
        <v>-25</v>
      </c>
      <c r="E235">
        <v>-17.600000000000001</v>
      </c>
      <c r="F235">
        <v>-20.6</v>
      </c>
      <c r="G235">
        <v>-25</v>
      </c>
      <c r="H235">
        <v>-16.5</v>
      </c>
      <c r="I235">
        <v>-21.6</v>
      </c>
      <c r="J235">
        <v>-25</v>
      </c>
      <c r="K235">
        <v>-17</v>
      </c>
      <c r="L235">
        <v>-11.8</v>
      </c>
      <c r="M235">
        <v>-25</v>
      </c>
      <c r="N235">
        <v>-17.5</v>
      </c>
      <c r="O235">
        <v>6.3</v>
      </c>
      <c r="P235">
        <v>-25</v>
      </c>
      <c r="Q235">
        <v>-16.3</v>
      </c>
      <c r="R235">
        <v>-16.3</v>
      </c>
      <c r="S235">
        <v>-25</v>
      </c>
      <c r="T235">
        <v>4.0999999999999996</v>
      </c>
      <c r="U235">
        <v>-14.3</v>
      </c>
      <c r="V235">
        <v>2</v>
      </c>
      <c r="W235">
        <v>3.4</v>
      </c>
      <c r="X235">
        <v>4</v>
      </c>
      <c r="Y235">
        <v>2</v>
      </c>
      <c r="Z235">
        <v>2.6</v>
      </c>
      <c r="AA235">
        <v>1.9</v>
      </c>
      <c r="AB235">
        <v>2</v>
      </c>
      <c r="AC235">
        <v>2</v>
      </c>
      <c r="AD235">
        <v>-0.2</v>
      </c>
      <c r="AE235">
        <v>2</v>
      </c>
      <c r="AF235">
        <v>2.9</v>
      </c>
      <c r="AG235">
        <v>2.7</v>
      </c>
      <c r="AH235">
        <v>2</v>
      </c>
      <c r="AI235">
        <v>2.8</v>
      </c>
      <c r="AJ235">
        <v>2.6</v>
      </c>
      <c r="AK235">
        <v>2</v>
      </c>
      <c r="AL235">
        <v>5.8</v>
      </c>
      <c r="AM235">
        <v>4</v>
      </c>
      <c r="AN235">
        <v>5.0999999999999996</v>
      </c>
      <c r="AO235">
        <v>4</v>
      </c>
      <c r="AP235">
        <v>5.4</v>
      </c>
      <c r="AQ235">
        <v>4</v>
      </c>
      <c r="AR235">
        <v>6.1</v>
      </c>
      <c r="AS235">
        <v>4</v>
      </c>
      <c r="AT235">
        <v>-3.9</v>
      </c>
      <c r="AU235">
        <v>-6.1</v>
      </c>
      <c r="AV235">
        <v>-5</v>
      </c>
      <c r="AW235">
        <v>-3.9</v>
      </c>
      <c r="AX235">
        <v>-4.5999999999999996</v>
      </c>
      <c r="AY235">
        <v>-5</v>
      </c>
      <c r="AZ235">
        <v>11</v>
      </c>
      <c r="BA235">
        <v>10</v>
      </c>
      <c r="BB235">
        <v>10.3</v>
      </c>
      <c r="BC235">
        <v>10</v>
      </c>
      <c r="BD235">
        <v>6</v>
      </c>
      <c r="BE235">
        <v>4</v>
      </c>
      <c r="BF235">
        <v>10.6</v>
      </c>
      <c r="BG235">
        <v>10</v>
      </c>
      <c r="BH235">
        <v>10.9</v>
      </c>
      <c r="BI235">
        <v>10</v>
      </c>
      <c r="BJ235">
        <v>10.5</v>
      </c>
      <c r="BK235">
        <v>9</v>
      </c>
      <c r="BL235">
        <v>20</v>
      </c>
      <c r="BM235">
        <v>19</v>
      </c>
      <c r="BN235">
        <v>23.4</v>
      </c>
      <c r="BO235">
        <v>19</v>
      </c>
      <c r="BP235">
        <v>21.9</v>
      </c>
      <c r="BQ235">
        <v>20</v>
      </c>
      <c r="BR235">
        <v>21.7</v>
      </c>
      <c r="BS235">
        <v>25</v>
      </c>
      <c r="BT235">
        <v>21.9</v>
      </c>
      <c r="BU235">
        <v>25</v>
      </c>
      <c r="BV235">
        <v>23.6</v>
      </c>
      <c r="BW235">
        <v>18</v>
      </c>
      <c r="BX235">
        <v>21.5</v>
      </c>
      <c r="BY235">
        <v>20</v>
      </c>
      <c r="BZ235">
        <v>18.7</v>
      </c>
      <c r="CA235">
        <v>20</v>
      </c>
      <c r="CB235">
        <v>12</v>
      </c>
      <c r="CC235">
        <v>10</v>
      </c>
      <c r="CD235">
        <v>11</v>
      </c>
      <c r="CE235">
        <v>10</v>
      </c>
      <c r="CF235">
        <v>11.3</v>
      </c>
      <c r="CG235">
        <v>9</v>
      </c>
      <c r="CH235">
        <v>11.6</v>
      </c>
      <c r="CI235">
        <v>9</v>
      </c>
    </row>
    <row r="236" spans="1:87" x14ac:dyDescent="0.35">
      <c r="A236" s="1">
        <v>46059.613194444442</v>
      </c>
      <c r="B236">
        <v>-18.600000000000001</v>
      </c>
      <c r="C236">
        <v>-15.4</v>
      </c>
      <c r="D236">
        <v>-25</v>
      </c>
      <c r="E236">
        <v>-17.899999999999999</v>
      </c>
      <c r="F236">
        <v>-21.1</v>
      </c>
      <c r="G236">
        <v>-25</v>
      </c>
      <c r="H236">
        <v>-16.600000000000001</v>
      </c>
      <c r="I236">
        <v>-21.9</v>
      </c>
      <c r="J236">
        <v>-25</v>
      </c>
      <c r="K236">
        <v>-17.2</v>
      </c>
      <c r="L236">
        <v>-12.2</v>
      </c>
      <c r="M236">
        <v>-25</v>
      </c>
      <c r="N236">
        <v>-17.5</v>
      </c>
      <c r="O236">
        <v>7.6</v>
      </c>
      <c r="P236">
        <v>-25</v>
      </c>
      <c r="Q236">
        <v>-16.100000000000001</v>
      </c>
      <c r="R236">
        <v>-16.100000000000001</v>
      </c>
      <c r="S236">
        <v>-25</v>
      </c>
      <c r="T236">
        <v>4.0999999999999996</v>
      </c>
      <c r="U236">
        <v>-7.9</v>
      </c>
      <c r="V236">
        <v>2</v>
      </c>
      <c r="W236">
        <v>4.2</v>
      </c>
      <c r="X236">
        <v>3.9</v>
      </c>
      <c r="Y236">
        <v>2</v>
      </c>
      <c r="Z236">
        <v>2.4</v>
      </c>
      <c r="AA236">
        <v>1.7</v>
      </c>
      <c r="AB236">
        <v>2</v>
      </c>
      <c r="AC236">
        <v>1.9</v>
      </c>
      <c r="AD236">
        <v>0.6</v>
      </c>
      <c r="AE236">
        <v>2</v>
      </c>
      <c r="AF236">
        <v>3.1</v>
      </c>
      <c r="AG236">
        <v>2.9</v>
      </c>
      <c r="AH236">
        <v>2</v>
      </c>
      <c r="AI236">
        <v>3</v>
      </c>
      <c r="AJ236">
        <v>2.8</v>
      </c>
      <c r="AK236">
        <v>2</v>
      </c>
      <c r="AL236">
        <v>5.8</v>
      </c>
      <c r="AM236">
        <v>4</v>
      </c>
      <c r="AN236">
        <v>5.0999999999999996</v>
      </c>
      <c r="AO236">
        <v>4</v>
      </c>
      <c r="AP236">
        <v>5.6</v>
      </c>
      <c r="AQ236">
        <v>4</v>
      </c>
      <c r="AR236">
        <v>6.3</v>
      </c>
      <c r="AS236">
        <v>4</v>
      </c>
      <c r="AT236">
        <v>-4.0999999999999996</v>
      </c>
      <c r="AU236">
        <v>-6.3</v>
      </c>
      <c r="AV236">
        <v>-5</v>
      </c>
      <c r="AW236">
        <v>-4</v>
      </c>
      <c r="AX236">
        <v>-4.5</v>
      </c>
      <c r="AY236">
        <v>-5</v>
      </c>
      <c r="AZ236">
        <v>10.5</v>
      </c>
      <c r="BA236">
        <v>10</v>
      </c>
      <c r="BB236">
        <v>10.3</v>
      </c>
      <c r="BC236">
        <v>10</v>
      </c>
      <c r="BD236">
        <v>5.9</v>
      </c>
      <c r="BE236">
        <v>4</v>
      </c>
      <c r="BF236">
        <v>10.8</v>
      </c>
      <c r="BG236">
        <v>10</v>
      </c>
      <c r="BH236">
        <v>10.9</v>
      </c>
      <c r="BI236">
        <v>10</v>
      </c>
      <c r="BJ236">
        <v>10.5</v>
      </c>
      <c r="BK236">
        <v>9</v>
      </c>
      <c r="BL236">
        <v>19.8</v>
      </c>
      <c r="BM236">
        <v>19</v>
      </c>
      <c r="BN236">
        <v>23.4</v>
      </c>
      <c r="BO236">
        <v>19</v>
      </c>
      <c r="BP236">
        <v>21.9</v>
      </c>
      <c r="BQ236">
        <v>20</v>
      </c>
      <c r="BR236">
        <v>21.7</v>
      </c>
      <c r="BS236">
        <v>25</v>
      </c>
      <c r="BT236">
        <v>21.9</v>
      </c>
      <c r="BU236">
        <v>25</v>
      </c>
      <c r="BV236">
        <v>23.6</v>
      </c>
      <c r="BW236">
        <v>18</v>
      </c>
      <c r="BX236">
        <v>21.5</v>
      </c>
      <c r="BY236">
        <v>20</v>
      </c>
      <c r="BZ236">
        <v>18.8</v>
      </c>
      <c r="CA236">
        <v>20</v>
      </c>
      <c r="CB236">
        <v>12</v>
      </c>
      <c r="CC236">
        <v>10</v>
      </c>
      <c r="CD236">
        <v>11</v>
      </c>
      <c r="CE236">
        <v>10</v>
      </c>
      <c r="CF236">
        <v>11.3</v>
      </c>
      <c r="CG236">
        <v>9</v>
      </c>
      <c r="CH236">
        <v>11.5</v>
      </c>
      <c r="CI236">
        <v>9</v>
      </c>
    </row>
    <row r="237" spans="1:87" x14ac:dyDescent="0.35">
      <c r="A237" s="1">
        <v>46059.613888888889</v>
      </c>
      <c r="B237">
        <v>-18.899999999999999</v>
      </c>
      <c r="C237">
        <v>-15.7</v>
      </c>
      <c r="D237">
        <v>-25</v>
      </c>
      <c r="E237">
        <v>-18.2</v>
      </c>
      <c r="F237">
        <v>-21.5</v>
      </c>
      <c r="G237">
        <v>-25</v>
      </c>
      <c r="H237">
        <v>-16.7</v>
      </c>
      <c r="I237">
        <v>-22.1</v>
      </c>
      <c r="J237">
        <v>-25</v>
      </c>
      <c r="K237">
        <v>-17.3</v>
      </c>
      <c r="L237">
        <v>-12.7</v>
      </c>
      <c r="M237">
        <v>-25</v>
      </c>
      <c r="N237">
        <v>-17.5</v>
      </c>
      <c r="O237">
        <v>8.9</v>
      </c>
      <c r="P237">
        <v>-25</v>
      </c>
      <c r="Q237">
        <v>-15.9</v>
      </c>
      <c r="R237">
        <v>-15.9</v>
      </c>
      <c r="S237">
        <v>-25</v>
      </c>
      <c r="T237">
        <v>4.0999999999999996</v>
      </c>
      <c r="U237">
        <v>-6.7</v>
      </c>
      <c r="V237">
        <v>2</v>
      </c>
      <c r="W237">
        <v>4.2</v>
      </c>
      <c r="X237">
        <v>2.7</v>
      </c>
      <c r="Y237">
        <v>2</v>
      </c>
      <c r="Z237">
        <v>2.4</v>
      </c>
      <c r="AA237">
        <v>1.8</v>
      </c>
      <c r="AB237">
        <v>2</v>
      </c>
      <c r="AC237">
        <v>1.9</v>
      </c>
      <c r="AD237">
        <v>1.2</v>
      </c>
      <c r="AE237">
        <v>2</v>
      </c>
      <c r="AF237">
        <v>3.2</v>
      </c>
      <c r="AG237">
        <v>3.1</v>
      </c>
      <c r="AH237">
        <v>2</v>
      </c>
      <c r="AI237">
        <v>3.1</v>
      </c>
      <c r="AJ237">
        <v>3</v>
      </c>
      <c r="AK237">
        <v>2</v>
      </c>
      <c r="AL237">
        <v>5.9</v>
      </c>
      <c r="AM237">
        <v>4</v>
      </c>
      <c r="AN237">
        <v>5.2</v>
      </c>
      <c r="AO237">
        <v>4</v>
      </c>
      <c r="AP237">
        <v>5.7</v>
      </c>
      <c r="AQ237">
        <v>4</v>
      </c>
      <c r="AR237">
        <v>6.5</v>
      </c>
      <c r="AS237">
        <v>4</v>
      </c>
      <c r="AT237">
        <v>-4.2</v>
      </c>
      <c r="AU237">
        <v>-6.4</v>
      </c>
      <c r="AV237">
        <v>-5</v>
      </c>
      <c r="AW237">
        <v>-4.0999999999999996</v>
      </c>
      <c r="AX237">
        <v>-5.9</v>
      </c>
      <c r="AY237">
        <v>-5</v>
      </c>
      <c r="AZ237">
        <v>9.8000000000000007</v>
      </c>
      <c r="BA237">
        <v>10</v>
      </c>
      <c r="BB237">
        <v>10.4</v>
      </c>
      <c r="BC237">
        <v>10</v>
      </c>
      <c r="BD237">
        <v>5.5</v>
      </c>
      <c r="BE237">
        <v>4</v>
      </c>
      <c r="BF237">
        <v>11.1</v>
      </c>
      <c r="BG237">
        <v>10</v>
      </c>
      <c r="BH237">
        <v>10.9</v>
      </c>
      <c r="BI237">
        <v>10</v>
      </c>
      <c r="BJ237">
        <v>10.5</v>
      </c>
      <c r="BK237">
        <v>9</v>
      </c>
      <c r="BL237">
        <v>19.7</v>
      </c>
      <c r="BM237">
        <v>19</v>
      </c>
      <c r="BN237">
        <v>23.4</v>
      </c>
      <c r="BO237">
        <v>19</v>
      </c>
      <c r="BP237">
        <v>21.8</v>
      </c>
      <c r="BQ237">
        <v>20</v>
      </c>
      <c r="BR237">
        <v>21.7</v>
      </c>
      <c r="BS237">
        <v>25</v>
      </c>
      <c r="BT237">
        <v>21.9</v>
      </c>
      <c r="BU237">
        <v>25</v>
      </c>
      <c r="BV237">
        <v>23.6</v>
      </c>
      <c r="BW237">
        <v>18</v>
      </c>
      <c r="BX237">
        <v>21.5</v>
      </c>
      <c r="BY237">
        <v>20</v>
      </c>
      <c r="BZ237">
        <v>19.3</v>
      </c>
      <c r="CA237">
        <v>20</v>
      </c>
      <c r="CB237">
        <v>11.7</v>
      </c>
      <c r="CC237">
        <v>10</v>
      </c>
      <c r="CD237">
        <v>11.1</v>
      </c>
      <c r="CE237">
        <v>10</v>
      </c>
      <c r="CF237">
        <v>11.2</v>
      </c>
      <c r="CG237">
        <v>9</v>
      </c>
      <c r="CH237">
        <v>11.4</v>
      </c>
      <c r="CI237">
        <v>9</v>
      </c>
    </row>
    <row r="238" spans="1:87" x14ac:dyDescent="0.35">
      <c r="A238" s="1">
        <v>46059.614583333336</v>
      </c>
      <c r="B238">
        <v>-19.2</v>
      </c>
      <c r="C238">
        <v>-16</v>
      </c>
      <c r="D238">
        <v>-25</v>
      </c>
      <c r="E238">
        <v>-18.600000000000001</v>
      </c>
      <c r="F238">
        <v>-21.9</v>
      </c>
      <c r="G238">
        <v>-25</v>
      </c>
      <c r="H238">
        <v>-16.8</v>
      </c>
      <c r="I238">
        <v>-22.4</v>
      </c>
      <c r="J238">
        <v>-25</v>
      </c>
      <c r="K238">
        <v>-17.5</v>
      </c>
      <c r="L238">
        <v>-13</v>
      </c>
      <c r="M238">
        <v>-25</v>
      </c>
      <c r="N238">
        <v>-17.5</v>
      </c>
      <c r="O238">
        <v>10.199999999999999</v>
      </c>
      <c r="P238">
        <v>-25</v>
      </c>
      <c r="Q238">
        <v>-15.7</v>
      </c>
      <c r="R238">
        <v>-15.7</v>
      </c>
      <c r="S238">
        <v>-25</v>
      </c>
      <c r="T238">
        <v>3.6</v>
      </c>
      <c r="U238">
        <v>0</v>
      </c>
      <c r="V238">
        <v>2</v>
      </c>
      <c r="W238">
        <v>3.8</v>
      </c>
      <c r="X238">
        <v>1</v>
      </c>
      <c r="Y238">
        <v>2</v>
      </c>
      <c r="Z238">
        <v>2.4</v>
      </c>
      <c r="AA238">
        <v>2</v>
      </c>
      <c r="AB238">
        <v>2</v>
      </c>
      <c r="AC238">
        <v>2</v>
      </c>
      <c r="AD238">
        <v>1.6</v>
      </c>
      <c r="AE238">
        <v>2</v>
      </c>
      <c r="AF238">
        <v>3.4</v>
      </c>
      <c r="AG238">
        <v>3.3</v>
      </c>
      <c r="AH238">
        <v>2</v>
      </c>
      <c r="AI238">
        <v>3.3</v>
      </c>
      <c r="AJ238">
        <v>3.2</v>
      </c>
      <c r="AK238">
        <v>2</v>
      </c>
      <c r="AL238">
        <v>5.9</v>
      </c>
      <c r="AM238">
        <v>4</v>
      </c>
      <c r="AN238">
        <v>5.2</v>
      </c>
      <c r="AO238">
        <v>4</v>
      </c>
      <c r="AP238">
        <v>5.9</v>
      </c>
      <c r="AQ238">
        <v>4</v>
      </c>
      <c r="AR238">
        <v>6.6</v>
      </c>
      <c r="AS238">
        <v>4</v>
      </c>
      <c r="AT238">
        <v>-4.3</v>
      </c>
      <c r="AU238">
        <v>-6.3</v>
      </c>
      <c r="AV238">
        <v>-5</v>
      </c>
      <c r="AW238">
        <v>-4.4000000000000004</v>
      </c>
      <c r="AX238">
        <v>-5.8</v>
      </c>
      <c r="AY238">
        <v>-5</v>
      </c>
      <c r="AZ238">
        <v>9.5</v>
      </c>
      <c r="BA238">
        <v>10</v>
      </c>
      <c r="BB238">
        <v>10.4</v>
      </c>
      <c r="BC238">
        <v>10</v>
      </c>
      <c r="BD238">
        <v>4.9000000000000004</v>
      </c>
      <c r="BE238">
        <v>4</v>
      </c>
      <c r="BF238">
        <v>11.5</v>
      </c>
      <c r="BG238">
        <v>10</v>
      </c>
      <c r="BH238">
        <v>10.9</v>
      </c>
      <c r="BI238">
        <v>10</v>
      </c>
      <c r="BJ238">
        <v>10.5</v>
      </c>
      <c r="BK238">
        <v>9</v>
      </c>
      <c r="BL238">
        <v>19.5</v>
      </c>
      <c r="BM238">
        <v>19</v>
      </c>
      <c r="BN238">
        <v>23.4</v>
      </c>
      <c r="BO238">
        <v>19</v>
      </c>
      <c r="BP238">
        <v>21.7</v>
      </c>
      <c r="BQ238">
        <v>20</v>
      </c>
      <c r="BR238">
        <v>21.7</v>
      </c>
      <c r="BS238">
        <v>25</v>
      </c>
      <c r="BT238">
        <v>21.9</v>
      </c>
      <c r="BU238">
        <v>25</v>
      </c>
      <c r="BV238">
        <v>23.6</v>
      </c>
      <c r="BW238">
        <v>18</v>
      </c>
      <c r="BX238">
        <v>21.6</v>
      </c>
      <c r="BY238">
        <v>20</v>
      </c>
      <c r="BZ238">
        <v>19.7</v>
      </c>
      <c r="CA238">
        <v>20</v>
      </c>
      <c r="CB238">
        <v>11.5</v>
      </c>
      <c r="CC238">
        <v>10</v>
      </c>
      <c r="CD238">
        <v>11.1</v>
      </c>
      <c r="CE238">
        <v>10</v>
      </c>
      <c r="CF238">
        <v>11.4</v>
      </c>
      <c r="CG238">
        <v>9</v>
      </c>
      <c r="CH238">
        <v>11.6</v>
      </c>
      <c r="CI238">
        <v>9</v>
      </c>
    </row>
    <row r="239" spans="1:87" x14ac:dyDescent="0.35">
      <c r="A239" s="1">
        <v>46059.615277777775</v>
      </c>
      <c r="B239">
        <v>-19.5</v>
      </c>
      <c r="C239">
        <v>-16.3</v>
      </c>
      <c r="D239">
        <v>-25</v>
      </c>
      <c r="E239">
        <v>-18.8</v>
      </c>
      <c r="F239">
        <v>-22.2</v>
      </c>
      <c r="G239">
        <v>-25</v>
      </c>
      <c r="H239">
        <v>-16.899999999999999</v>
      </c>
      <c r="I239">
        <v>-22.7</v>
      </c>
      <c r="J239">
        <v>-25</v>
      </c>
      <c r="K239">
        <v>-17.7</v>
      </c>
      <c r="L239">
        <v>-13.5</v>
      </c>
      <c r="M239">
        <v>-25</v>
      </c>
      <c r="N239">
        <v>-17.5</v>
      </c>
      <c r="O239">
        <v>11.4</v>
      </c>
      <c r="P239">
        <v>-25</v>
      </c>
      <c r="Q239">
        <v>-15.5</v>
      </c>
      <c r="R239">
        <v>-15.5</v>
      </c>
      <c r="S239">
        <v>-25</v>
      </c>
      <c r="T239">
        <v>3</v>
      </c>
      <c r="U239">
        <v>1</v>
      </c>
      <c r="V239">
        <v>2</v>
      </c>
      <c r="W239">
        <v>3.2</v>
      </c>
      <c r="X239">
        <v>0.1</v>
      </c>
      <c r="Y239">
        <v>2</v>
      </c>
      <c r="Z239">
        <v>2.4</v>
      </c>
      <c r="AA239">
        <v>2.1</v>
      </c>
      <c r="AB239">
        <v>2</v>
      </c>
      <c r="AC239">
        <v>2.1</v>
      </c>
      <c r="AD239">
        <v>1.9</v>
      </c>
      <c r="AE239">
        <v>2</v>
      </c>
      <c r="AF239">
        <v>3.6</v>
      </c>
      <c r="AG239">
        <v>3.4</v>
      </c>
      <c r="AH239">
        <v>2</v>
      </c>
      <c r="AI239">
        <v>3.5</v>
      </c>
      <c r="AJ239">
        <v>3.4</v>
      </c>
      <c r="AK239">
        <v>2</v>
      </c>
      <c r="AL239">
        <v>5.9</v>
      </c>
      <c r="AM239">
        <v>4</v>
      </c>
      <c r="AN239">
        <v>5.3</v>
      </c>
      <c r="AO239">
        <v>4</v>
      </c>
      <c r="AP239">
        <v>6</v>
      </c>
      <c r="AQ239">
        <v>4</v>
      </c>
      <c r="AR239">
        <v>6.8</v>
      </c>
      <c r="AS239">
        <v>4</v>
      </c>
      <c r="AT239">
        <v>-4.4000000000000004</v>
      </c>
      <c r="AU239">
        <v>-6.4</v>
      </c>
      <c r="AV239">
        <v>-5</v>
      </c>
      <c r="AW239">
        <v>-4.5</v>
      </c>
      <c r="AX239">
        <v>-5.0999999999999996</v>
      </c>
      <c r="AY239">
        <v>-5</v>
      </c>
      <c r="AZ239">
        <v>9.4</v>
      </c>
      <c r="BA239">
        <v>10</v>
      </c>
      <c r="BB239">
        <v>10.199999999999999</v>
      </c>
      <c r="BC239">
        <v>10</v>
      </c>
      <c r="BD239">
        <v>4.4000000000000004</v>
      </c>
      <c r="BE239">
        <v>4</v>
      </c>
      <c r="BF239">
        <v>11.7</v>
      </c>
      <c r="BG239">
        <v>10</v>
      </c>
      <c r="BH239">
        <v>10.9</v>
      </c>
      <c r="BI239">
        <v>10</v>
      </c>
      <c r="BJ239">
        <v>10.5</v>
      </c>
      <c r="BK239">
        <v>9</v>
      </c>
      <c r="BL239">
        <v>19.2</v>
      </c>
      <c r="BM239">
        <v>19</v>
      </c>
      <c r="BN239">
        <v>23.4</v>
      </c>
      <c r="BO239">
        <v>19</v>
      </c>
      <c r="BP239">
        <v>21.6</v>
      </c>
      <c r="BQ239">
        <v>20</v>
      </c>
      <c r="BR239">
        <v>21.7</v>
      </c>
      <c r="BS239">
        <v>25</v>
      </c>
      <c r="BT239">
        <v>21.9</v>
      </c>
      <c r="BU239">
        <v>25</v>
      </c>
      <c r="BV239">
        <v>23.6</v>
      </c>
      <c r="BW239">
        <v>18</v>
      </c>
      <c r="BX239">
        <v>21.6</v>
      </c>
      <c r="BY239">
        <v>20</v>
      </c>
      <c r="BZ239">
        <v>19.899999999999999</v>
      </c>
      <c r="CA239">
        <v>20</v>
      </c>
      <c r="CB239">
        <v>11.3</v>
      </c>
      <c r="CC239">
        <v>10</v>
      </c>
      <c r="CD239">
        <v>11.1</v>
      </c>
      <c r="CE239">
        <v>10</v>
      </c>
      <c r="CF239">
        <v>11.4</v>
      </c>
      <c r="CG239">
        <v>9</v>
      </c>
      <c r="CH239">
        <v>11.6</v>
      </c>
      <c r="CI239">
        <v>9</v>
      </c>
    </row>
    <row r="240" spans="1:87" x14ac:dyDescent="0.35">
      <c r="A240" s="1">
        <v>46059.615972222222</v>
      </c>
      <c r="B240">
        <v>-19.8</v>
      </c>
      <c r="C240">
        <v>-16.7</v>
      </c>
      <c r="D240">
        <v>-25</v>
      </c>
      <c r="E240">
        <v>-19.100000000000001</v>
      </c>
      <c r="F240">
        <v>-22.5</v>
      </c>
      <c r="G240">
        <v>-25</v>
      </c>
      <c r="H240">
        <v>-17</v>
      </c>
      <c r="I240">
        <v>-22.8</v>
      </c>
      <c r="J240">
        <v>-25</v>
      </c>
      <c r="K240">
        <v>-17.8</v>
      </c>
      <c r="L240">
        <v>-13.8</v>
      </c>
      <c r="M240">
        <v>-25</v>
      </c>
      <c r="N240">
        <v>-17.5</v>
      </c>
      <c r="O240">
        <v>12.7</v>
      </c>
      <c r="P240">
        <v>-25</v>
      </c>
      <c r="Q240">
        <v>-15.3</v>
      </c>
      <c r="R240">
        <v>-15.3</v>
      </c>
      <c r="S240">
        <v>-25</v>
      </c>
      <c r="T240">
        <v>2.5</v>
      </c>
      <c r="U240">
        <v>1.1000000000000001</v>
      </c>
      <c r="V240">
        <v>2</v>
      </c>
      <c r="W240">
        <v>2.6</v>
      </c>
      <c r="X240">
        <v>0.4</v>
      </c>
      <c r="Y240">
        <v>2</v>
      </c>
      <c r="Z240">
        <v>2.6</v>
      </c>
      <c r="AA240">
        <v>2.1</v>
      </c>
      <c r="AB240">
        <v>2</v>
      </c>
      <c r="AC240">
        <v>2.2000000000000002</v>
      </c>
      <c r="AD240">
        <v>2</v>
      </c>
      <c r="AE240">
        <v>2</v>
      </c>
      <c r="AF240">
        <v>3.7</v>
      </c>
      <c r="AG240">
        <v>3.6</v>
      </c>
      <c r="AH240">
        <v>2</v>
      </c>
      <c r="AI240">
        <v>3.6</v>
      </c>
      <c r="AJ240">
        <v>3.6</v>
      </c>
      <c r="AK240">
        <v>2</v>
      </c>
      <c r="AL240">
        <v>6</v>
      </c>
      <c r="AM240">
        <v>4</v>
      </c>
      <c r="AN240">
        <v>5.3</v>
      </c>
      <c r="AO240">
        <v>4</v>
      </c>
      <c r="AP240">
        <v>5.7</v>
      </c>
      <c r="AQ240">
        <v>4</v>
      </c>
      <c r="AR240">
        <v>6.9</v>
      </c>
      <c r="AS240">
        <v>4</v>
      </c>
      <c r="AT240">
        <v>-4.5</v>
      </c>
      <c r="AU240">
        <v>-6.6</v>
      </c>
      <c r="AV240">
        <v>-5</v>
      </c>
      <c r="AW240">
        <v>-4.5</v>
      </c>
      <c r="AX240">
        <v>-5.0999999999999996</v>
      </c>
      <c r="AY240">
        <v>-5</v>
      </c>
      <c r="AZ240">
        <v>9.4</v>
      </c>
      <c r="BA240">
        <v>10</v>
      </c>
      <c r="BB240">
        <v>10.1</v>
      </c>
      <c r="BC240">
        <v>10</v>
      </c>
      <c r="BD240">
        <v>4</v>
      </c>
      <c r="BE240">
        <v>4</v>
      </c>
      <c r="BF240">
        <v>11.9</v>
      </c>
      <c r="BG240">
        <v>10</v>
      </c>
      <c r="BH240">
        <v>10.9</v>
      </c>
      <c r="BI240">
        <v>10</v>
      </c>
      <c r="BJ240">
        <v>10.5</v>
      </c>
      <c r="BK240">
        <v>9</v>
      </c>
      <c r="BL240">
        <v>19</v>
      </c>
      <c r="BM240">
        <v>19</v>
      </c>
      <c r="BN240">
        <v>23.4</v>
      </c>
      <c r="BO240">
        <v>19</v>
      </c>
      <c r="BP240">
        <v>21.6</v>
      </c>
      <c r="BQ240">
        <v>20</v>
      </c>
      <c r="BR240">
        <v>21.7</v>
      </c>
      <c r="BS240">
        <v>25</v>
      </c>
      <c r="BT240">
        <v>21.9</v>
      </c>
      <c r="BU240">
        <v>25</v>
      </c>
      <c r="BV240">
        <v>23.6</v>
      </c>
      <c r="BW240">
        <v>18</v>
      </c>
      <c r="BX240">
        <v>21.6</v>
      </c>
      <c r="BY240">
        <v>20</v>
      </c>
      <c r="BZ240">
        <v>20.2</v>
      </c>
      <c r="CA240">
        <v>20</v>
      </c>
      <c r="CB240">
        <v>11.1</v>
      </c>
      <c r="CC240">
        <v>10</v>
      </c>
      <c r="CD240">
        <v>11.1</v>
      </c>
      <c r="CE240">
        <v>10</v>
      </c>
      <c r="CF240">
        <v>11.4</v>
      </c>
      <c r="CG240">
        <v>9</v>
      </c>
      <c r="CH240">
        <v>11.6</v>
      </c>
      <c r="CI240">
        <v>9</v>
      </c>
    </row>
    <row r="241" spans="1:87" x14ac:dyDescent="0.35">
      <c r="A241" s="1">
        <v>46059.616666666669</v>
      </c>
      <c r="B241">
        <v>-20.2</v>
      </c>
      <c r="C241">
        <v>-17</v>
      </c>
      <c r="D241">
        <v>-25</v>
      </c>
      <c r="E241">
        <v>-19.3</v>
      </c>
      <c r="F241">
        <v>-22</v>
      </c>
      <c r="G241">
        <v>-25</v>
      </c>
      <c r="H241">
        <v>-17.100000000000001</v>
      </c>
      <c r="I241">
        <v>-23</v>
      </c>
      <c r="J241">
        <v>-25</v>
      </c>
      <c r="K241">
        <v>-18</v>
      </c>
      <c r="L241">
        <v>-14.2</v>
      </c>
      <c r="M241">
        <v>-25</v>
      </c>
      <c r="N241">
        <v>-17.5</v>
      </c>
      <c r="O241">
        <v>14.2</v>
      </c>
      <c r="P241">
        <v>-25</v>
      </c>
      <c r="Q241">
        <v>-15.1</v>
      </c>
      <c r="R241">
        <v>-15.1</v>
      </c>
      <c r="S241">
        <v>-25</v>
      </c>
      <c r="T241">
        <v>2.5</v>
      </c>
      <c r="U241">
        <v>1.5</v>
      </c>
      <c r="V241">
        <v>2</v>
      </c>
      <c r="W241">
        <v>2.6</v>
      </c>
      <c r="X241">
        <v>1.1000000000000001</v>
      </c>
      <c r="Y241">
        <v>2</v>
      </c>
      <c r="Z241">
        <v>2.6</v>
      </c>
      <c r="AA241">
        <v>2.2999999999999998</v>
      </c>
      <c r="AB241">
        <v>2</v>
      </c>
      <c r="AC241">
        <v>2.2999999999999998</v>
      </c>
      <c r="AD241">
        <v>2.1</v>
      </c>
      <c r="AE241">
        <v>2</v>
      </c>
      <c r="AF241">
        <v>3.9</v>
      </c>
      <c r="AG241">
        <v>3.8</v>
      </c>
      <c r="AH241">
        <v>2</v>
      </c>
      <c r="AI241">
        <v>3.8</v>
      </c>
      <c r="AJ241">
        <v>3.8</v>
      </c>
      <c r="AK241">
        <v>2</v>
      </c>
      <c r="AL241">
        <v>6</v>
      </c>
      <c r="AM241">
        <v>4</v>
      </c>
      <c r="AN241">
        <v>5.4</v>
      </c>
      <c r="AO241">
        <v>4</v>
      </c>
      <c r="AP241">
        <v>4.7</v>
      </c>
      <c r="AQ241">
        <v>4</v>
      </c>
      <c r="AR241">
        <v>7</v>
      </c>
      <c r="AS241">
        <v>4</v>
      </c>
      <c r="AT241">
        <v>-4.7</v>
      </c>
      <c r="AU241">
        <v>-6.9</v>
      </c>
      <c r="AV241">
        <v>-5</v>
      </c>
      <c r="AW241">
        <v>-4.5999999999999996</v>
      </c>
      <c r="AX241">
        <v>-6.2</v>
      </c>
      <c r="AY241">
        <v>-5</v>
      </c>
      <c r="AZ241">
        <v>9.6</v>
      </c>
      <c r="BA241">
        <v>10</v>
      </c>
      <c r="BB241">
        <v>10</v>
      </c>
      <c r="BC241">
        <v>10</v>
      </c>
      <c r="BD241">
        <v>3.8</v>
      </c>
      <c r="BE241">
        <v>4</v>
      </c>
      <c r="BF241">
        <v>12.2</v>
      </c>
      <c r="BG241">
        <v>10</v>
      </c>
      <c r="BH241">
        <v>10.9</v>
      </c>
      <c r="BI241">
        <v>10</v>
      </c>
      <c r="BJ241">
        <v>10.5</v>
      </c>
      <c r="BK241">
        <v>9</v>
      </c>
      <c r="BL241">
        <v>18.899999999999999</v>
      </c>
      <c r="BM241">
        <v>19</v>
      </c>
      <c r="BN241">
        <v>23.4</v>
      </c>
      <c r="BO241">
        <v>19</v>
      </c>
      <c r="BP241">
        <v>21.5</v>
      </c>
      <c r="BQ241">
        <v>20</v>
      </c>
      <c r="BR241">
        <v>21.7</v>
      </c>
      <c r="BS241">
        <v>25</v>
      </c>
      <c r="BT241">
        <v>21.9</v>
      </c>
      <c r="BU241">
        <v>25</v>
      </c>
      <c r="BV241">
        <v>23.6</v>
      </c>
      <c r="BW241">
        <v>18</v>
      </c>
      <c r="BX241">
        <v>21.7</v>
      </c>
      <c r="BY241">
        <v>20</v>
      </c>
      <c r="BZ241">
        <v>20.3</v>
      </c>
      <c r="CA241">
        <v>20</v>
      </c>
      <c r="CB241">
        <v>11</v>
      </c>
      <c r="CC241">
        <v>10</v>
      </c>
      <c r="CD241">
        <v>11.2</v>
      </c>
      <c r="CE241">
        <v>10</v>
      </c>
      <c r="CF241">
        <v>11.4</v>
      </c>
      <c r="CG241">
        <v>9</v>
      </c>
      <c r="CH241">
        <v>11.6</v>
      </c>
      <c r="CI241">
        <v>9</v>
      </c>
    </row>
    <row r="242" spans="1:87" x14ac:dyDescent="0.35">
      <c r="A242" s="1">
        <v>46059.618750000001</v>
      </c>
      <c r="B242">
        <v>-21.1</v>
      </c>
      <c r="C242">
        <v>-17.899999999999999</v>
      </c>
      <c r="D242">
        <v>-25</v>
      </c>
      <c r="E242">
        <v>-20.2</v>
      </c>
      <c r="F242">
        <v>-22.9</v>
      </c>
      <c r="G242">
        <v>-25</v>
      </c>
      <c r="H242">
        <v>-17.5</v>
      </c>
      <c r="I242">
        <v>-23.6</v>
      </c>
      <c r="J242">
        <v>-25</v>
      </c>
      <c r="K242">
        <v>-18.399999999999999</v>
      </c>
      <c r="L242">
        <v>-15.1</v>
      </c>
      <c r="M242">
        <v>-25</v>
      </c>
      <c r="N242">
        <v>-17.5</v>
      </c>
      <c r="O242">
        <v>17.399999999999999</v>
      </c>
      <c r="P242">
        <v>-25</v>
      </c>
      <c r="Q242">
        <v>-14.6</v>
      </c>
      <c r="R242">
        <v>-14.5</v>
      </c>
      <c r="S242">
        <v>-25</v>
      </c>
      <c r="T242">
        <v>2.2999999999999998</v>
      </c>
      <c r="U242">
        <v>1.5</v>
      </c>
      <c r="V242">
        <v>2</v>
      </c>
      <c r="W242">
        <v>2.4</v>
      </c>
      <c r="X242">
        <v>0</v>
      </c>
      <c r="Y242">
        <v>2</v>
      </c>
      <c r="Z242">
        <v>2.8</v>
      </c>
      <c r="AA242">
        <v>2.5</v>
      </c>
      <c r="AB242">
        <v>2</v>
      </c>
      <c r="AC242">
        <v>2.6</v>
      </c>
      <c r="AD242">
        <v>2.4</v>
      </c>
      <c r="AE242">
        <v>2</v>
      </c>
      <c r="AF242">
        <v>4.0999999999999996</v>
      </c>
      <c r="AG242">
        <v>3.8</v>
      </c>
      <c r="AH242">
        <v>2</v>
      </c>
      <c r="AI242">
        <v>4</v>
      </c>
      <c r="AJ242">
        <v>2.9</v>
      </c>
      <c r="AK242">
        <v>2</v>
      </c>
      <c r="AL242">
        <v>5.3</v>
      </c>
      <c r="AM242">
        <v>4</v>
      </c>
      <c r="AN242">
        <v>5.5</v>
      </c>
      <c r="AO242">
        <v>4</v>
      </c>
      <c r="AP242">
        <v>3</v>
      </c>
      <c r="AQ242">
        <v>4</v>
      </c>
      <c r="AR242">
        <v>7.3</v>
      </c>
      <c r="AS242">
        <v>4</v>
      </c>
      <c r="AT242">
        <v>-4.8</v>
      </c>
      <c r="AU242">
        <v>-6.7</v>
      </c>
      <c r="AV242">
        <v>-5</v>
      </c>
      <c r="AW242">
        <v>-4.9000000000000004</v>
      </c>
      <c r="AX242">
        <v>-5.3</v>
      </c>
      <c r="AY242">
        <v>-5</v>
      </c>
      <c r="AZ242">
        <v>9.6</v>
      </c>
      <c r="BA242">
        <v>10</v>
      </c>
      <c r="BB242">
        <v>10.199999999999999</v>
      </c>
      <c r="BC242">
        <v>10</v>
      </c>
      <c r="BD242">
        <v>4.2</v>
      </c>
      <c r="BE242">
        <v>4</v>
      </c>
      <c r="BF242">
        <v>9.6999999999999993</v>
      </c>
      <c r="BG242">
        <v>10</v>
      </c>
      <c r="BH242">
        <v>10.9</v>
      </c>
      <c r="BI242">
        <v>10</v>
      </c>
      <c r="BJ242">
        <v>10.5</v>
      </c>
      <c r="BK242">
        <v>9</v>
      </c>
      <c r="BL242">
        <v>18.8</v>
      </c>
      <c r="BM242">
        <v>19</v>
      </c>
      <c r="BN242">
        <v>23.4</v>
      </c>
      <c r="BO242">
        <v>19</v>
      </c>
      <c r="BP242">
        <v>21.5</v>
      </c>
      <c r="BQ242">
        <v>20</v>
      </c>
      <c r="BR242">
        <v>21.7</v>
      </c>
      <c r="BS242">
        <v>25</v>
      </c>
      <c r="BT242">
        <v>21.9</v>
      </c>
      <c r="BU242">
        <v>25</v>
      </c>
      <c r="BV242">
        <v>23.6</v>
      </c>
      <c r="BW242">
        <v>18</v>
      </c>
      <c r="BX242">
        <v>21.7</v>
      </c>
      <c r="BY242">
        <v>20</v>
      </c>
      <c r="BZ242">
        <v>20.7</v>
      </c>
      <c r="CA242">
        <v>20</v>
      </c>
      <c r="CB242">
        <v>10.6</v>
      </c>
      <c r="CC242">
        <v>10</v>
      </c>
      <c r="CD242">
        <v>11.4</v>
      </c>
      <c r="CE242">
        <v>10</v>
      </c>
      <c r="CF242">
        <v>11.7</v>
      </c>
      <c r="CG242">
        <v>9</v>
      </c>
      <c r="CH242">
        <v>11.9</v>
      </c>
      <c r="CI242">
        <v>9</v>
      </c>
    </row>
    <row r="243" spans="1:87" x14ac:dyDescent="0.35">
      <c r="A243" s="1">
        <v>46059.619444444441</v>
      </c>
      <c r="B243">
        <v>-21.3</v>
      </c>
      <c r="C243">
        <v>-18.2</v>
      </c>
      <c r="D243">
        <v>-25</v>
      </c>
      <c r="E243">
        <v>-20.399999999999999</v>
      </c>
      <c r="F243">
        <v>-22.6</v>
      </c>
      <c r="G243">
        <v>-25</v>
      </c>
      <c r="H243">
        <v>-17.7</v>
      </c>
      <c r="I243">
        <v>-23.6</v>
      </c>
      <c r="J243">
        <v>-25</v>
      </c>
      <c r="K243">
        <v>-18.5</v>
      </c>
      <c r="L243">
        <v>-15.3</v>
      </c>
      <c r="M243">
        <v>-25</v>
      </c>
      <c r="N243">
        <v>-17.5</v>
      </c>
      <c r="O243">
        <v>18.100000000000001</v>
      </c>
      <c r="P243">
        <v>-25</v>
      </c>
      <c r="Q243">
        <v>-14.4</v>
      </c>
      <c r="R243">
        <v>-14.4</v>
      </c>
      <c r="S243">
        <v>-25</v>
      </c>
      <c r="T243">
        <v>2</v>
      </c>
      <c r="U243">
        <v>1</v>
      </c>
      <c r="V243">
        <v>2</v>
      </c>
      <c r="W243">
        <v>2</v>
      </c>
      <c r="X243">
        <v>-0.8</v>
      </c>
      <c r="Y243">
        <v>2</v>
      </c>
      <c r="Z243">
        <v>2.9</v>
      </c>
      <c r="AA243">
        <v>2.6</v>
      </c>
      <c r="AB243">
        <v>2</v>
      </c>
      <c r="AC243">
        <v>2.7</v>
      </c>
      <c r="AD243">
        <v>2.5</v>
      </c>
      <c r="AE243">
        <v>2</v>
      </c>
      <c r="AF243">
        <v>3.9</v>
      </c>
      <c r="AG243">
        <v>3.4</v>
      </c>
      <c r="AH243">
        <v>2</v>
      </c>
      <c r="AI243">
        <v>3.7</v>
      </c>
      <c r="AJ243">
        <v>2.8</v>
      </c>
      <c r="AK243">
        <v>2</v>
      </c>
      <c r="AL243">
        <v>5</v>
      </c>
      <c r="AM243">
        <v>4</v>
      </c>
      <c r="AN243">
        <v>5.6</v>
      </c>
      <c r="AO243">
        <v>4</v>
      </c>
      <c r="AP243">
        <v>3</v>
      </c>
      <c r="AQ243">
        <v>4</v>
      </c>
      <c r="AR243">
        <v>7.3</v>
      </c>
      <c r="AS243">
        <v>4</v>
      </c>
      <c r="AT243">
        <v>-4.9000000000000004</v>
      </c>
      <c r="AU243">
        <v>-6.9</v>
      </c>
      <c r="AV243">
        <v>-5</v>
      </c>
      <c r="AW243">
        <v>-4.9000000000000004</v>
      </c>
      <c r="AX243">
        <v>-5.4</v>
      </c>
      <c r="AY243">
        <v>-5</v>
      </c>
      <c r="AZ243">
        <v>9.6</v>
      </c>
      <c r="BA243">
        <v>10</v>
      </c>
      <c r="BB243">
        <v>10.4</v>
      </c>
      <c r="BC243">
        <v>10</v>
      </c>
      <c r="BD243">
        <v>4.5</v>
      </c>
      <c r="BE243">
        <v>4</v>
      </c>
      <c r="BF243">
        <v>9.5</v>
      </c>
      <c r="BG243">
        <v>10</v>
      </c>
      <c r="BH243">
        <v>10.9</v>
      </c>
      <c r="BI243">
        <v>10</v>
      </c>
      <c r="BJ243">
        <v>10.5</v>
      </c>
      <c r="BK243">
        <v>9</v>
      </c>
      <c r="BL243">
        <v>18.8</v>
      </c>
      <c r="BM243">
        <v>19</v>
      </c>
      <c r="BN243">
        <v>23.4</v>
      </c>
      <c r="BO243">
        <v>19</v>
      </c>
      <c r="BP243">
        <v>21.5</v>
      </c>
      <c r="BQ243">
        <v>20</v>
      </c>
      <c r="BR243">
        <v>21.7</v>
      </c>
      <c r="BS243">
        <v>25</v>
      </c>
      <c r="BT243">
        <v>21.9</v>
      </c>
      <c r="BU243">
        <v>25</v>
      </c>
      <c r="BV243">
        <v>23.6</v>
      </c>
      <c r="BW243">
        <v>18</v>
      </c>
      <c r="BX243">
        <v>21.8</v>
      </c>
      <c r="BY243">
        <v>20</v>
      </c>
      <c r="BZ243">
        <v>20.7</v>
      </c>
      <c r="CA243">
        <v>20</v>
      </c>
      <c r="CB243">
        <v>10.6</v>
      </c>
      <c r="CC243">
        <v>10</v>
      </c>
      <c r="CD243">
        <v>11.4</v>
      </c>
      <c r="CE243">
        <v>10</v>
      </c>
      <c r="CF243">
        <v>11.7</v>
      </c>
      <c r="CG243">
        <v>9</v>
      </c>
      <c r="CH243">
        <v>11.9</v>
      </c>
      <c r="CI243">
        <v>9</v>
      </c>
    </row>
    <row r="244" spans="1:87" x14ac:dyDescent="0.35">
      <c r="A244" s="1">
        <v>46059.620138888888</v>
      </c>
      <c r="B244">
        <v>-21.6</v>
      </c>
      <c r="C244">
        <v>-18.5</v>
      </c>
      <c r="D244">
        <v>-25</v>
      </c>
      <c r="E244">
        <v>-20.7</v>
      </c>
      <c r="F244">
        <v>-22.9</v>
      </c>
      <c r="G244">
        <v>-25</v>
      </c>
      <c r="H244">
        <v>-17.7</v>
      </c>
      <c r="I244">
        <v>-23.7</v>
      </c>
      <c r="J244">
        <v>-25</v>
      </c>
      <c r="K244">
        <v>-18.600000000000001</v>
      </c>
      <c r="L244">
        <v>-15.5</v>
      </c>
      <c r="M244">
        <v>-25</v>
      </c>
      <c r="N244">
        <v>-17.5</v>
      </c>
      <c r="O244">
        <v>18.600000000000001</v>
      </c>
      <c r="P244">
        <v>-25</v>
      </c>
      <c r="Q244">
        <v>-14.2</v>
      </c>
      <c r="R244">
        <v>-14.2</v>
      </c>
      <c r="S244">
        <v>-25</v>
      </c>
      <c r="T244">
        <v>1.8</v>
      </c>
      <c r="U244">
        <v>1</v>
      </c>
      <c r="V244">
        <v>2</v>
      </c>
      <c r="W244">
        <v>1.8</v>
      </c>
      <c r="X244">
        <v>0.2</v>
      </c>
      <c r="Y244">
        <v>2</v>
      </c>
      <c r="Z244">
        <v>3</v>
      </c>
      <c r="AA244">
        <v>2.7</v>
      </c>
      <c r="AB244">
        <v>2</v>
      </c>
      <c r="AC244">
        <v>2.8</v>
      </c>
      <c r="AD244">
        <v>2.6</v>
      </c>
      <c r="AE244">
        <v>2</v>
      </c>
      <c r="AF244">
        <v>3.6</v>
      </c>
      <c r="AG244">
        <v>3.2</v>
      </c>
      <c r="AH244">
        <v>2</v>
      </c>
      <c r="AI244">
        <v>3.4</v>
      </c>
      <c r="AJ244">
        <v>2.5</v>
      </c>
      <c r="AK244">
        <v>2</v>
      </c>
      <c r="AL244">
        <v>4.9000000000000004</v>
      </c>
      <c r="AM244">
        <v>4</v>
      </c>
      <c r="AN244">
        <v>5.6</v>
      </c>
      <c r="AO244">
        <v>4</v>
      </c>
      <c r="AP244">
        <v>3.2</v>
      </c>
      <c r="AQ244">
        <v>4</v>
      </c>
      <c r="AR244">
        <v>7.4</v>
      </c>
      <c r="AS244">
        <v>4</v>
      </c>
      <c r="AT244">
        <v>-5</v>
      </c>
      <c r="AU244">
        <v>-6.5</v>
      </c>
      <c r="AV244">
        <v>-5</v>
      </c>
      <c r="AW244">
        <v>-4.9000000000000004</v>
      </c>
      <c r="AX244">
        <v>-7</v>
      </c>
      <c r="AY244">
        <v>-5</v>
      </c>
      <c r="AZ244">
        <v>9.6</v>
      </c>
      <c r="BA244">
        <v>10</v>
      </c>
      <c r="BB244">
        <v>10.7</v>
      </c>
      <c r="BC244">
        <v>10</v>
      </c>
      <c r="BD244">
        <v>4.7</v>
      </c>
      <c r="BE244">
        <v>4</v>
      </c>
      <c r="BF244">
        <v>9.8000000000000007</v>
      </c>
      <c r="BG244">
        <v>10</v>
      </c>
      <c r="BH244">
        <v>11</v>
      </c>
      <c r="BI244">
        <v>10</v>
      </c>
      <c r="BJ244">
        <v>10.5</v>
      </c>
      <c r="BK244">
        <v>9</v>
      </c>
      <c r="BL244">
        <v>18.8</v>
      </c>
      <c r="BM244">
        <v>19</v>
      </c>
      <c r="BN244">
        <v>23.4</v>
      </c>
      <c r="BO244">
        <v>19</v>
      </c>
      <c r="BP244">
        <v>21.5</v>
      </c>
      <c r="BQ244">
        <v>20</v>
      </c>
      <c r="BR244">
        <v>21.7</v>
      </c>
      <c r="BS244">
        <v>25</v>
      </c>
      <c r="BT244">
        <v>21.9</v>
      </c>
      <c r="BU244">
        <v>25</v>
      </c>
      <c r="BV244">
        <v>23.6</v>
      </c>
      <c r="BW244">
        <v>18</v>
      </c>
      <c r="BX244">
        <v>21.8</v>
      </c>
      <c r="BY244">
        <v>20</v>
      </c>
      <c r="BZ244">
        <v>20.8</v>
      </c>
      <c r="CA244">
        <v>20</v>
      </c>
      <c r="CB244">
        <v>10.6</v>
      </c>
      <c r="CC244">
        <v>10</v>
      </c>
      <c r="CD244">
        <v>11.4</v>
      </c>
      <c r="CE244">
        <v>10</v>
      </c>
      <c r="CF244">
        <v>11.7</v>
      </c>
      <c r="CG244">
        <v>9</v>
      </c>
      <c r="CH244">
        <v>11.9</v>
      </c>
      <c r="CI244">
        <v>9</v>
      </c>
    </row>
    <row r="245" spans="1:87" x14ac:dyDescent="0.35">
      <c r="A245" s="1">
        <v>46059.620833333334</v>
      </c>
      <c r="B245">
        <v>-21.7</v>
      </c>
      <c r="C245">
        <v>-18.7</v>
      </c>
      <c r="D245">
        <v>-25</v>
      </c>
      <c r="E245">
        <v>-20.9</v>
      </c>
      <c r="F245">
        <v>-22.8</v>
      </c>
      <c r="G245">
        <v>-25</v>
      </c>
      <c r="H245">
        <v>-17.899999999999999</v>
      </c>
      <c r="I245">
        <v>-23.8</v>
      </c>
      <c r="J245">
        <v>-25</v>
      </c>
      <c r="K245">
        <v>-18.7</v>
      </c>
      <c r="L245">
        <v>-15.7</v>
      </c>
      <c r="M245">
        <v>-25</v>
      </c>
      <c r="N245">
        <v>-17.5</v>
      </c>
      <c r="O245">
        <v>19.3</v>
      </c>
      <c r="P245">
        <v>-25</v>
      </c>
      <c r="Q245">
        <v>-14</v>
      </c>
      <c r="R245">
        <v>-14</v>
      </c>
      <c r="S245">
        <v>-25</v>
      </c>
      <c r="T245">
        <v>1.8</v>
      </c>
      <c r="U245">
        <v>1.4</v>
      </c>
      <c r="V245">
        <v>2</v>
      </c>
      <c r="W245">
        <v>1.8</v>
      </c>
      <c r="X245">
        <v>0.8</v>
      </c>
      <c r="Y245">
        <v>2</v>
      </c>
      <c r="Z245">
        <v>3.1</v>
      </c>
      <c r="AA245">
        <v>2.8</v>
      </c>
      <c r="AB245">
        <v>2</v>
      </c>
      <c r="AC245">
        <v>2.9</v>
      </c>
      <c r="AD245">
        <v>2.7</v>
      </c>
      <c r="AE245">
        <v>2</v>
      </c>
      <c r="AF245">
        <v>3.5</v>
      </c>
      <c r="AG245">
        <v>3.1</v>
      </c>
      <c r="AH245">
        <v>2</v>
      </c>
      <c r="AI245">
        <v>3.3</v>
      </c>
      <c r="AJ245">
        <v>2.5</v>
      </c>
      <c r="AK245">
        <v>2</v>
      </c>
      <c r="AL245">
        <v>4.5999999999999996</v>
      </c>
      <c r="AM245">
        <v>4</v>
      </c>
      <c r="AN245">
        <v>5.7</v>
      </c>
      <c r="AO245">
        <v>4</v>
      </c>
      <c r="AP245">
        <v>3.5</v>
      </c>
      <c r="AQ245">
        <v>4</v>
      </c>
      <c r="AR245">
        <v>7.4</v>
      </c>
      <c r="AS245">
        <v>4</v>
      </c>
      <c r="AT245">
        <v>-5</v>
      </c>
      <c r="AU245">
        <v>-6.1</v>
      </c>
      <c r="AV245">
        <v>-5</v>
      </c>
      <c r="AW245">
        <v>-5.5</v>
      </c>
      <c r="AX245">
        <v>-6.9</v>
      </c>
      <c r="AY245">
        <v>-5</v>
      </c>
      <c r="AZ245">
        <v>9.6</v>
      </c>
      <c r="BA245">
        <v>10</v>
      </c>
      <c r="BB245">
        <v>11</v>
      </c>
      <c r="BC245">
        <v>10</v>
      </c>
      <c r="BD245">
        <v>4.9000000000000004</v>
      </c>
      <c r="BE245">
        <v>4</v>
      </c>
      <c r="BF245">
        <v>10.199999999999999</v>
      </c>
      <c r="BG245">
        <v>10</v>
      </c>
      <c r="BH245">
        <v>11</v>
      </c>
      <c r="BI245">
        <v>10</v>
      </c>
      <c r="BJ245">
        <v>10.5</v>
      </c>
      <c r="BK245">
        <v>9</v>
      </c>
      <c r="BL245">
        <v>18.8</v>
      </c>
      <c r="BM245">
        <v>19</v>
      </c>
      <c r="BN245">
        <v>23.4</v>
      </c>
      <c r="BO245">
        <v>19</v>
      </c>
      <c r="BP245">
        <v>21.5</v>
      </c>
      <c r="BQ245">
        <v>20</v>
      </c>
      <c r="BR245">
        <v>21.7</v>
      </c>
      <c r="BS245">
        <v>25</v>
      </c>
      <c r="BT245">
        <v>21.9</v>
      </c>
      <c r="BU245">
        <v>25</v>
      </c>
      <c r="BV245">
        <v>23.6</v>
      </c>
      <c r="BW245">
        <v>18</v>
      </c>
      <c r="BX245">
        <v>21.8</v>
      </c>
      <c r="BY245">
        <v>20</v>
      </c>
      <c r="BZ245">
        <v>20.9</v>
      </c>
      <c r="CA245">
        <v>20</v>
      </c>
      <c r="CB245">
        <v>10.5</v>
      </c>
      <c r="CC245">
        <v>10</v>
      </c>
      <c r="CD245">
        <v>11.4</v>
      </c>
      <c r="CE245">
        <v>10</v>
      </c>
      <c r="CF245">
        <v>11.6</v>
      </c>
      <c r="CG245">
        <v>9</v>
      </c>
      <c r="CH245">
        <v>11.8</v>
      </c>
      <c r="CI245">
        <v>9</v>
      </c>
    </row>
    <row r="246" spans="1:87" x14ac:dyDescent="0.35">
      <c r="A246" s="1">
        <v>46059.621527777781</v>
      </c>
      <c r="B246">
        <v>-21.8</v>
      </c>
      <c r="C246">
        <v>-18.899999999999999</v>
      </c>
      <c r="D246">
        <v>-25</v>
      </c>
      <c r="E246">
        <v>-20.9</v>
      </c>
      <c r="F246">
        <v>-22.8</v>
      </c>
      <c r="G246">
        <v>-25</v>
      </c>
      <c r="H246">
        <v>-18</v>
      </c>
      <c r="I246">
        <v>-23.8</v>
      </c>
      <c r="J246">
        <v>-25</v>
      </c>
      <c r="K246">
        <v>-18.8</v>
      </c>
      <c r="L246">
        <v>-15.9</v>
      </c>
      <c r="M246">
        <v>-25</v>
      </c>
      <c r="N246">
        <v>-17.5</v>
      </c>
      <c r="O246">
        <v>19.899999999999999</v>
      </c>
      <c r="P246">
        <v>-25</v>
      </c>
      <c r="Q246">
        <v>-14</v>
      </c>
      <c r="R246">
        <v>-13.9</v>
      </c>
      <c r="S246">
        <v>-25</v>
      </c>
      <c r="T246">
        <v>1.9</v>
      </c>
      <c r="U246">
        <v>1.6</v>
      </c>
      <c r="V246">
        <v>2</v>
      </c>
      <c r="W246">
        <v>1.9</v>
      </c>
      <c r="X246">
        <v>1.1000000000000001</v>
      </c>
      <c r="Y246">
        <v>2</v>
      </c>
      <c r="Z246">
        <v>3.2</v>
      </c>
      <c r="AA246">
        <v>2.9</v>
      </c>
      <c r="AB246">
        <v>2</v>
      </c>
      <c r="AC246">
        <v>3</v>
      </c>
      <c r="AD246">
        <v>2.8</v>
      </c>
      <c r="AE246">
        <v>2</v>
      </c>
      <c r="AF246">
        <v>3.4</v>
      </c>
      <c r="AG246">
        <v>3</v>
      </c>
      <c r="AH246">
        <v>2</v>
      </c>
      <c r="AI246">
        <v>3.3</v>
      </c>
      <c r="AJ246">
        <v>2.5</v>
      </c>
      <c r="AK246">
        <v>2</v>
      </c>
      <c r="AL246">
        <v>4.4000000000000004</v>
      </c>
      <c r="AM246">
        <v>4</v>
      </c>
      <c r="AN246">
        <v>5.7</v>
      </c>
      <c r="AO246">
        <v>4</v>
      </c>
      <c r="AP246">
        <v>3.7</v>
      </c>
      <c r="AQ246">
        <v>4</v>
      </c>
      <c r="AR246">
        <v>7.4</v>
      </c>
      <c r="AS246">
        <v>4</v>
      </c>
      <c r="AT246">
        <v>-4.5999999999999996</v>
      </c>
      <c r="AU246">
        <v>-5.0999999999999996</v>
      </c>
      <c r="AV246">
        <v>-5</v>
      </c>
      <c r="AW246">
        <v>-5.3</v>
      </c>
      <c r="AX246">
        <v>-5.5</v>
      </c>
      <c r="AY246">
        <v>-5</v>
      </c>
      <c r="AZ246">
        <v>9.6</v>
      </c>
      <c r="BA246">
        <v>10</v>
      </c>
      <c r="BB246">
        <v>11.2</v>
      </c>
      <c r="BC246">
        <v>10</v>
      </c>
      <c r="BD246">
        <v>5.0999999999999996</v>
      </c>
      <c r="BE246">
        <v>4</v>
      </c>
      <c r="BF246">
        <v>10.6</v>
      </c>
      <c r="BG246">
        <v>10</v>
      </c>
      <c r="BH246">
        <v>11</v>
      </c>
      <c r="BI246">
        <v>10</v>
      </c>
      <c r="BJ246">
        <v>10.5</v>
      </c>
      <c r="BK246">
        <v>9</v>
      </c>
      <c r="BL246">
        <v>18.8</v>
      </c>
      <c r="BM246">
        <v>19</v>
      </c>
      <c r="BN246">
        <v>23.4</v>
      </c>
      <c r="BO246">
        <v>19</v>
      </c>
      <c r="BP246">
        <v>21.5</v>
      </c>
      <c r="BQ246">
        <v>20</v>
      </c>
      <c r="BR246">
        <v>21.7</v>
      </c>
      <c r="BS246">
        <v>25</v>
      </c>
      <c r="BT246">
        <v>21.9</v>
      </c>
      <c r="BU246">
        <v>25</v>
      </c>
      <c r="BV246">
        <v>23.6</v>
      </c>
      <c r="BW246">
        <v>18</v>
      </c>
      <c r="BX246">
        <v>21.9</v>
      </c>
      <c r="BY246">
        <v>20</v>
      </c>
      <c r="BZ246">
        <v>20.9</v>
      </c>
      <c r="CA246">
        <v>20</v>
      </c>
      <c r="CB246">
        <v>10.5</v>
      </c>
      <c r="CC246">
        <v>10</v>
      </c>
      <c r="CD246">
        <v>11.4</v>
      </c>
      <c r="CE246">
        <v>10</v>
      </c>
      <c r="CF246">
        <v>11.6</v>
      </c>
      <c r="CG246">
        <v>9</v>
      </c>
      <c r="CH246">
        <v>11.8</v>
      </c>
      <c r="CI246">
        <v>9</v>
      </c>
    </row>
    <row r="247" spans="1:87" x14ac:dyDescent="0.35">
      <c r="A247" s="1">
        <v>46059.62222222222</v>
      </c>
      <c r="B247">
        <v>-21.8</v>
      </c>
      <c r="C247">
        <v>-19.100000000000001</v>
      </c>
      <c r="D247">
        <v>-25</v>
      </c>
      <c r="E247">
        <v>-21</v>
      </c>
      <c r="F247">
        <v>-22.8</v>
      </c>
      <c r="G247">
        <v>-25</v>
      </c>
      <c r="H247">
        <v>-18</v>
      </c>
      <c r="I247">
        <v>-23.8</v>
      </c>
      <c r="J247">
        <v>-25</v>
      </c>
      <c r="K247">
        <v>-18.8</v>
      </c>
      <c r="L247">
        <v>-16.100000000000001</v>
      </c>
      <c r="M247">
        <v>-25</v>
      </c>
      <c r="N247">
        <v>-17.5</v>
      </c>
      <c r="O247">
        <v>20.399999999999999</v>
      </c>
      <c r="P247">
        <v>-25</v>
      </c>
      <c r="Q247">
        <v>-13.9</v>
      </c>
      <c r="R247">
        <v>-13.9</v>
      </c>
      <c r="S247">
        <v>-25</v>
      </c>
      <c r="T247">
        <v>2</v>
      </c>
      <c r="U247">
        <v>1.8</v>
      </c>
      <c r="V247">
        <v>2</v>
      </c>
      <c r="W247">
        <v>2</v>
      </c>
      <c r="X247">
        <v>1.4</v>
      </c>
      <c r="Y247">
        <v>2</v>
      </c>
      <c r="Z247">
        <v>3.3</v>
      </c>
      <c r="AA247">
        <v>3</v>
      </c>
      <c r="AB247">
        <v>2</v>
      </c>
      <c r="AC247">
        <v>3</v>
      </c>
      <c r="AD247">
        <v>2.9</v>
      </c>
      <c r="AE247">
        <v>2</v>
      </c>
      <c r="AF247">
        <v>3.3</v>
      </c>
      <c r="AG247">
        <v>2.9</v>
      </c>
      <c r="AH247">
        <v>2</v>
      </c>
      <c r="AI247">
        <v>3.2</v>
      </c>
      <c r="AJ247">
        <v>2.5</v>
      </c>
      <c r="AK247">
        <v>2</v>
      </c>
      <c r="AL247">
        <v>4.2</v>
      </c>
      <c r="AM247">
        <v>4</v>
      </c>
      <c r="AN247">
        <v>5.8</v>
      </c>
      <c r="AO247">
        <v>4</v>
      </c>
      <c r="AP247">
        <v>4</v>
      </c>
      <c r="AQ247">
        <v>4</v>
      </c>
      <c r="AR247">
        <v>7.4</v>
      </c>
      <c r="AS247">
        <v>4</v>
      </c>
      <c r="AT247">
        <v>-4</v>
      </c>
      <c r="AU247">
        <v>-4.4000000000000004</v>
      </c>
      <c r="AV247">
        <v>-5</v>
      </c>
      <c r="AW247">
        <v>-4.5999999999999996</v>
      </c>
      <c r="AX247">
        <v>-4.5</v>
      </c>
      <c r="AY247">
        <v>-5</v>
      </c>
      <c r="AZ247">
        <v>9.6</v>
      </c>
      <c r="BA247">
        <v>10</v>
      </c>
      <c r="BB247">
        <v>11.6</v>
      </c>
      <c r="BC247">
        <v>10</v>
      </c>
      <c r="BD247">
        <v>5.3</v>
      </c>
      <c r="BE247">
        <v>4</v>
      </c>
      <c r="BF247">
        <v>10.9</v>
      </c>
      <c r="BG247">
        <v>10</v>
      </c>
      <c r="BH247">
        <v>11</v>
      </c>
      <c r="BI247">
        <v>10</v>
      </c>
      <c r="BJ247">
        <v>10.5</v>
      </c>
      <c r="BK247">
        <v>9</v>
      </c>
      <c r="BL247">
        <v>18.8</v>
      </c>
      <c r="BM247">
        <v>19</v>
      </c>
      <c r="BN247">
        <v>23.4</v>
      </c>
      <c r="BO247">
        <v>19</v>
      </c>
      <c r="BP247">
        <v>21.5</v>
      </c>
      <c r="BQ247">
        <v>20</v>
      </c>
      <c r="BR247">
        <v>21.7</v>
      </c>
      <c r="BS247">
        <v>25</v>
      </c>
      <c r="BT247">
        <v>21.9</v>
      </c>
      <c r="BU247">
        <v>25</v>
      </c>
      <c r="BV247">
        <v>23.6</v>
      </c>
      <c r="BW247">
        <v>18</v>
      </c>
      <c r="BX247">
        <v>21.9</v>
      </c>
      <c r="BY247">
        <v>20</v>
      </c>
      <c r="BZ247">
        <v>21</v>
      </c>
      <c r="CA247">
        <v>20</v>
      </c>
      <c r="CB247">
        <v>10.4</v>
      </c>
      <c r="CC247">
        <v>10</v>
      </c>
      <c r="CD247">
        <v>11.4</v>
      </c>
      <c r="CE247">
        <v>10</v>
      </c>
      <c r="CF247">
        <v>11.6</v>
      </c>
      <c r="CG247">
        <v>9</v>
      </c>
      <c r="CH247">
        <v>11.8</v>
      </c>
      <c r="CI247">
        <v>9</v>
      </c>
    </row>
    <row r="248" spans="1:87" x14ac:dyDescent="0.35">
      <c r="A248" s="1">
        <v>46059.622916666667</v>
      </c>
      <c r="B248">
        <v>-21.9</v>
      </c>
      <c r="C248">
        <v>-19.3</v>
      </c>
      <c r="D248">
        <v>-25</v>
      </c>
      <c r="E248">
        <v>-21.1</v>
      </c>
      <c r="F248">
        <v>-22.8</v>
      </c>
      <c r="G248">
        <v>-25</v>
      </c>
      <c r="H248">
        <v>-18.100000000000001</v>
      </c>
      <c r="I248">
        <v>-23.8</v>
      </c>
      <c r="J248">
        <v>-25</v>
      </c>
      <c r="K248">
        <v>-18.899999999999999</v>
      </c>
      <c r="L248">
        <v>-16.399999999999999</v>
      </c>
      <c r="M248">
        <v>-25</v>
      </c>
      <c r="N248">
        <v>-17.5</v>
      </c>
      <c r="O248">
        <v>20.6</v>
      </c>
      <c r="P248">
        <v>-25</v>
      </c>
      <c r="Q248">
        <v>-13.9</v>
      </c>
      <c r="R248">
        <v>-13.9</v>
      </c>
      <c r="S248">
        <v>-25</v>
      </c>
      <c r="T248">
        <v>2.1</v>
      </c>
      <c r="U248">
        <v>1.9</v>
      </c>
      <c r="V248">
        <v>2</v>
      </c>
      <c r="W248">
        <v>2.1</v>
      </c>
      <c r="X248">
        <v>1.5</v>
      </c>
      <c r="Y248">
        <v>2</v>
      </c>
      <c r="Z248">
        <v>3.3</v>
      </c>
      <c r="AA248">
        <v>3.1</v>
      </c>
      <c r="AB248">
        <v>2</v>
      </c>
      <c r="AC248">
        <v>3.1</v>
      </c>
      <c r="AD248">
        <v>3</v>
      </c>
      <c r="AE248">
        <v>2</v>
      </c>
      <c r="AF248">
        <v>3.3</v>
      </c>
      <c r="AG248">
        <v>2.9</v>
      </c>
      <c r="AH248">
        <v>2</v>
      </c>
      <c r="AI248">
        <v>3.1</v>
      </c>
      <c r="AJ248">
        <v>2.5</v>
      </c>
      <c r="AK248">
        <v>2</v>
      </c>
      <c r="AL248">
        <v>4</v>
      </c>
      <c r="AM248">
        <v>4</v>
      </c>
      <c r="AN248">
        <v>5.8</v>
      </c>
      <c r="AO248">
        <v>4</v>
      </c>
      <c r="AP248">
        <v>4.2</v>
      </c>
      <c r="AQ248">
        <v>4</v>
      </c>
      <c r="AR248">
        <v>7.4</v>
      </c>
      <c r="AS248">
        <v>4</v>
      </c>
      <c r="AT248">
        <v>-3.5</v>
      </c>
      <c r="AU248">
        <v>-3.8</v>
      </c>
      <c r="AV248">
        <v>-5</v>
      </c>
      <c r="AW248">
        <v>-4</v>
      </c>
      <c r="AX248">
        <v>-3.8</v>
      </c>
      <c r="AY248">
        <v>-5</v>
      </c>
      <c r="AZ248">
        <v>9.6</v>
      </c>
      <c r="BA248">
        <v>10</v>
      </c>
      <c r="BB248">
        <v>11.8</v>
      </c>
      <c r="BC248">
        <v>10</v>
      </c>
      <c r="BD248">
        <v>5.4</v>
      </c>
      <c r="BE248">
        <v>4</v>
      </c>
      <c r="BF248">
        <v>11.1</v>
      </c>
      <c r="BG248">
        <v>10</v>
      </c>
      <c r="BH248">
        <v>11</v>
      </c>
      <c r="BI248">
        <v>10</v>
      </c>
      <c r="BJ248">
        <v>10.4</v>
      </c>
      <c r="BK248">
        <v>9</v>
      </c>
      <c r="BL248">
        <v>18.899999999999999</v>
      </c>
      <c r="BM248">
        <v>19</v>
      </c>
      <c r="BN248">
        <v>23.4</v>
      </c>
      <c r="BO248">
        <v>19</v>
      </c>
      <c r="BP248">
        <v>21.5</v>
      </c>
      <c r="BQ248">
        <v>20</v>
      </c>
      <c r="BR248">
        <v>21.6</v>
      </c>
      <c r="BS248">
        <v>25</v>
      </c>
      <c r="BT248">
        <v>21.9</v>
      </c>
      <c r="BU248">
        <v>25</v>
      </c>
      <c r="BV248">
        <v>23.6</v>
      </c>
      <c r="BW248">
        <v>18</v>
      </c>
      <c r="BX248">
        <v>21.9</v>
      </c>
      <c r="BY248">
        <v>20</v>
      </c>
      <c r="BZ248">
        <v>21</v>
      </c>
      <c r="CA248">
        <v>20</v>
      </c>
      <c r="CB248">
        <v>10.4</v>
      </c>
      <c r="CC248">
        <v>10</v>
      </c>
      <c r="CD248">
        <v>11.5</v>
      </c>
      <c r="CE248">
        <v>10</v>
      </c>
      <c r="CF248">
        <v>11.5</v>
      </c>
      <c r="CG248">
        <v>9</v>
      </c>
      <c r="CH248">
        <v>11.8</v>
      </c>
      <c r="CI248">
        <v>9</v>
      </c>
    </row>
    <row r="249" spans="1:87" x14ac:dyDescent="0.35">
      <c r="A249" s="1">
        <v>46059.623611111114</v>
      </c>
      <c r="B249">
        <v>-21.9</v>
      </c>
      <c r="C249">
        <v>-19.5</v>
      </c>
      <c r="D249">
        <v>-25</v>
      </c>
      <c r="E249">
        <v>-21.2</v>
      </c>
      <c r="F249">
        <v>-22.8</v>
      </c>
      <c r="G249">
        <v>-25</v>
      </c>
      <c r="H249">
        <v>-18.2</v>
      </c>
      <c r="I249">
        <v>-23.8</v>
      </c>
      <c r="J249">
        <v>-25</v>
      </c>
      <c r="K249">
        <v>-18.899999999999999</v>
      </c>
      <c r="L249">
        <v>-16.5</v>
      </c>
      <c r="M249">
        <v>-25</v>
      </c>
      <c r="N249">
        <v>-17.5</v>
      </c>
      <c r="O249">
        <v>21</v>
      </c>
      <c r="P249">
        <v>-25</v>
      </c>
      <c r="Q249">
        <v>-13.9</v>
      </c>
      <c r="R249">
        <v>-13.9</v>
      </c>
      <c r="S249">
        <v>-25</v>
      </c>
      <c r="T249">
        <v>2.2000000000000002</v>
      </c>
      <c r="U249">
        <v>2</v>
      </c>
      <c r="V249">
        <v>2</v>
      </c>
      <c r="W249">
        <v>2.2000000000000002</v>
      </c>
      <c r="X249">
        <v>1.7</v>
      </c>
      <c r="Y249">
        <v>2</v>
      </c>
      <c r="Z249">
        <v>3.4</v>
      </c>
      <c r="AA249">
        <v>3.1</v>
      </c>
      <c r="AB249">
        <v>2</v>
      </c>
      <c r="AC249">
        <v>3.2</v>
      </c>
      <c r="AD249">
        <v>3</v>
      </c>
      <c r="AE249">
        <v>2</v>
      </c>
      <c r="AF249">
        <v>3.2</v>
      </c>
      <c r="AG249">
        <v>2.9</v>
      </c>
      <c r="AH249">
        <v>2</v>
      </c>
      <c r="AI249">
        <v>3.1</v>
      </c>
      <c r="AJ249">
        <v>2.5</v>
      </c>
      <c r="AK249">
        <v>2</v>
      </c>
      <c r="AL249">
        <v>3.9</v>
      </c>
      <c r="AM249">
        <v>4</v>
      </c>
      <c r="AN249">
        <v>5.9</v>
      </c>
      <c r="AO249">
        <v>4</v>
      </c>
      <c r="AP249">
        <v>4.4000000000000004</v>
      </c>
      <c r="AQ249">
        <v>4</v>
      </c>
      <c r="AR249">
        <v>7.1</v>
      </c>
      <c r="AS249">
        <v>4</v>
      </c>
      <c r="AT249">
        <v>-3.2</v>
      </c>
      <c r="AU249">
        <v>-3.4</v>
      </c>
      <c r="AV249">
        <v>-5</v>
      </c>
      <c r="AW249">
        <v>-3.5</v>
      </c>
      <c r="AX249">
        <v>-3.3</v>
      </c>
      <c r="AY249">
        <v>-5</v>
      </c>
      <c r="AZ249">
        <v>9.6</v>
      </c>
      <c r="BA249">
        <v>10</v>
      </c>
      <c r="BB249">
        <v>12.1</v>
      </c>
      <c r="BC249">
        <v>10</v>
      </c>
      <c r="BD249">
        <v>5.5</v>
      </c>
      <c r="BE249">
        <v>4</v>
      </c>
      <c r="BF249">
        <v>11.4</v>
      </c>
      <c r="BG249">
        <v>10</v>
      </c>
      <c r="BH249">
        <v>11</v>
      </c>
      <c r="BI249">
        <v>10</v>
      </c>
      <c r="BJ249">
        <v>10.4</v>
      </c>
      <c r="BK249">
        <v>9</v>
      </c>
      <c r="BL249">
        <v>19</v>
      </c>
      <c r="BM249">
        <v>19</v>
      </c>
      <c r="BN249">
        <v>23.4</v>
      </c>
      <c r="BO249">
        <v>19</v>
      </c>
      <c r="BP249">
        <v>21.5</v>
      </c>
      <c r="BQ249">
        <v>20</v>
      </c>
      <c r="BR249">
        <v>21.6</v>
      </c>
      <c r="BS249">
        <v>25</v>
      </c>
      <c r="BT249">
        <v>21.9</v>
      </c>
      <c r="BU249">
        <v>25</v>
      </c>
      <c r="BV249">
        <v>23.6</v>
      </c>
      <c r="BW249">
        <v>18</v>
      </c>
      <c r="BX249">
        <v>21.9</v>
      </c>
      <c r="BY249">
        <v>20</v>
      </c>
      <c r="BZ249">
        <v>21.1</v>
      </c>
      <c r="CA249">
        <v>20</v>
      </c>
      <c r="CB249">
        <v>10.4</v>
      </c>
      <c r="CC249">
        <v>10</v>
      </c>
      <c r="CD249">
        <v>11.6</v>
      </c>
      <c r="CE249">
        <v>10</v>
      </c>
      <c r="CF249">
        <v>11.6</v>
      </c>
      <c r="CG249">
        <v>9</v>
      </c>
      <c r="CH249">
        <v>11.8</v>
      </c>
      <c r="CI249">
        <v>9</v>
      </c>
    </row>
    <row r="250" spans="1:87" x14ac:dyDescent="0.35">
      <c r="A250" s="1">
        <v>46059.624305555553</v>
      </c>
      <c r="B250">
        <v>-21.9</v>
      </c>
      <c r="C250">
        <v>-19.600000000000001</v>
      </c>
      <c r="D250">
        <v>-25</v>
      </c>
      <c r="E250">
        <v>-21.2</v>
      </c>
      <c r="F250">
        <v>-22.8</v>
      </c>
      <c r="G250">
        <v>-25</v>
      </c>
      <c r="H250">
        <v>-18.3</v>
      </c>
      <c r="I250">
        <v>-23.8</v>
      </c>
      <c r="J250">
        <v>-25</v>
      </c>
      <c r="K250">
        <v>-19</v>
      </c>
      <c r="L250">
        <v>-16.7</v>
      </c>
      <c r="M250">
        <v>-25</v>
      </c>
      <c r="N250">
        <v>-17.5</v>
      </c>
      <c r="O250">
        <v>21.6</v>
      </c>
      <c r="P250">
        <v>-25</v>
      </c>
      <c r="Q250">
        <v>-13.9</v>
      </c>
      <c r="R250">
        <v>-13.9</v>
      </c>
      <c r="S250">
        <v>-25</v>
      </c>
      <c r="T250">
        <v>2.2999999999999998</v>
      </c>
      <c r="U250">
        <v>2.1</v>
      </c>
      <c r="V250">
        <v>2</v>
      </c>
      <c r="W250">
        <v>2.2999999999999998</v>
      </c>
      <c r="X250">
        <v>1.8</v>
      </c>
      <c r="Y250">
        <v>2</v>
      </c>
      <c r="Z250">
        <v>3.5</v>
      </c>
      <c r="AA250">
        <v>3.2</v>
      </c>
      <c r="AB250">
        <v>2</v>
      </c>
      <c r="AC250">
        <v>3.3</v>
      </c>
      <c r="AD250">
        <v>3.1</v>
      </c>
      <c r="AE250">
        <v>2</v>
      </c>
      <c r="AF250">
        <v>3.2</v>
      </c>
      <c r="AG250">
        <v>2.9</v>
      </c>
      <c r="AH250">
        <v>2</v>
      </c>
      <c r="AI250">
        <v>3.1</v>
      </c>
      <c r="AJ250">
        <v>2.1</v>
      </c>
      <c r="AK250">
        <v>2</v>
      </c>
      <c r="AL250">
        <v>3.8</v>
      </c>
      <c r="AM250">
        <v>4</v>
      </c>
      <c r="AN250">
        <v>5.9</v>
      </c>
      <c r="AO250">
        <v>4</v>
      </c>
      <c r="AP250">
        <v>4.5999999999999996</v>
      </c>
      <c r="AQ250">
        <v>4</v>
      </c>
      <c r="AR250">
        <v>6.5</v>
      </c>
      <c r="AS250">
        <v>4</v>
      </c>
      <c r="AT250">
        <v>-2.9</v>
      </c>
      <c r="AU250">
        <v>-3.7</v>
      </c>
      <c r="AV250">
        <v>-5</v>
      </c>
      <c r="AW250">
        <v>-3</v>
      </c>
      <c r="AX250">
        <v>-2.8</v>
      </c>
      <c r="AY250">
        <v>-5</v>
      </c>
      <c r="AZ250">
        <v>9.6</v>
      </c>
      <c r="BA250">
        <v>10</v>
      </c>
      <c r="BB250">
        <v>12.2</v>
      </c>
      <c r="BC250">
        <v>10</v>
      </c>
      <c r="BD250">
        <v>5.7</v>
      </c>
      <c r="BE250">
        <v>4</v>
      </c>
      <c r="BF250">
        <v>11.7</v>
      </c>
      <c r="BG250">
        <v>10</v>
      </c>
      <c r="BH250">
        <v>11</v>
      </c>
      <c r="BI250">
        <v>10</v>
      </c>
      <c r="BJ250">
        <v>10.4</v>
      </c>
      <c r="BK250">
        <v>9</v>
      </c>
      <c r="BL250">
        <v>19</v>
      </c>
      <c r="BM250">
        <v>19</v>
      </c>
      <c r="BN250">
        <v>23.4</v>
      </c>
      <c r="BO250">
        <v>19</v>
      </c>
      <c r="BP250">
        <v>21.5</v>
      </c>
      <c r="BQ250">
        <v>20</v>
      </c>
      <c r="BR250">
        <v>21.6</v>
      </c>
      <c r="BS250">
        <v>25</v>
      </c>
      <c r="BT250">
        <v>21.9</v>
      </c>
      <c r="BU250">
        <v>25</v>
      </c>
      <c r="BV250">
        <v>23.6</v>
      </c>
      <c r="BW250">
        <v>18</v>
      </c>
      <c r="BX250">
        <v>21.9</v>
      </c>
      <c r="BY250">
        <v>20</v>
      </c>
      <c r="BZ250">
        <v>21.1</v>
      </c>
      <c r="CA250">
        <v>20</v>
      </c>
      <c r="CB250">
        <v>10.4</v>
      </c>
      <c r="CC250">
        <v>10</v>
      </c>
      <c r="CD250">
        <v>11.7</v>
      </c>
      <c r="CE250">
        <v>10</v>
      </c>
      <c r="CF250">
        <v>11.6</v>
      </c>
      <c r="CG250">
        <v>9</v>
      </c>
      <c r="CH250">
        <v>11.9</v>
      </c>
      <c r="CI250">
        <v>9</v>
      </c>
    </row>
    <row r="251" spans="1:87" x14ac:dyDescent="0.35">
      <c r="A251" s="1">
        <v>46059.625</v>
      </c>
      <c r="B251">
        <v>-21.9</v>
      </c>
      <c r="C251">
        <v>-19.7</v>
      </c>
      <c r="D251">
        <v>-25</v>
      </c>
      <c r="E251">
        <v>-21.2</v>
      </c>
      <c r="F251">
        <v>-22.8</v>
      </c>
      <c r="G251">
        <v>-25</v>
      </c>
      <c r="H251">
        <v>-18.3</v>
      </c>
      <c r="I251">
        <v>-23.8</v>
      </c>
      <c r="J251">
        <v>-25</v>
      </c>
      <c r="K251">
        <v>-19.100000000000001</v>
      </c>
      <c r="L251">
        <v>-16.8</v>
      </c>
      <c r="M251">
        <v>-25</v>
      </c>
      <c r="N251">
        <v>-17.5</v>
      </c>
      <c r="O251">
        <v>22.1</v>
      </c>
      <c r="P251">
        <v>-25</v>
      </c>
      <c r="Q251">
        <v>-13.9</v>
      </c>
      <c r="R251">
        <v>-13.9</v>
      </c>
      <c r="S251">
        <v>-25</v>
      </c>
      <c r="T251">
        <v>2.4</v>
      </c>
      <c r="U251">
        <v>2.2999999999999998</v>
      </c>
      <c r="V251">
        <v>2</v>
      </c>
      <c r="W251">
        <v>2.4</v>
      </c>
      <c r="X251">
        <v>2</v>
      </c>
      <c r="Y251">
        <v>2</v>
      </c>
      <c r="Z251">
        <v>3.5</v>
      </c>
      <c r="AA251">
        <v>3.3</v>
      </c>
      <c r="AB251">
        <v>2</v>
      </c>
      <c r="AC251">
        <v>3.4</v>
      </c>
      <c r="AD251">
        <v>3.2</v>
      </c>
      <c r="AE251">
        <v>2</v>
      </c>
      <c r="AF251">
        <v>3.1</v>
      </c>
      <c r="AG251">
        <v>2.7</v>
      </c>
      <c r="AH251">
        <v>2</v>
      </c>
      <c r="AI251">
        <v>2.9</v>
      </c>
      <c r="AJ251">
        <v>2</v>
      </c>
      <c r="AK251">
        <v>2</v>
      </c>
      <c r="AL251">
        <v>3.8</v>
      </c>
      <c r="AM251">
        <v>4</v>
      </c>
      <c r="AN251">
        <v>5.9</v>
      </c>
      <c r="AO251">
        <v>4</v>
      </c>
      <c r="AP251">
        <v>4.8</v>
      </c>
      <c r="AQ251">
        <v>4</v>
      </c>
      <c r="AR251">
        <v>5.9</v>
      </c>
      <c r="AS251">
        <v>4</v>
      </c>
      <c r="AT251">
        <v>-2.9</v>
      </c>
      <c r="AU251">
        <v>-4.4000000000000004</v>
      </c>
      <c r="AV251">
        <v>-5</v>
      </c>
      <c r="AW251">
        <v>-2.8</v>
      </c>
      <c r="AX251">
        <v>-2.7</v>
      </c>
      <c r="AY251">
        <v>-5</v>
      </c>
      <c r="AZ251">
        <v>9.6</v>
      </c>
      <c r="BA251">
        <v>10</v>
      </c>
      <c r="BB251">
        <v>12.2</v>
      </c>
      <c r="BC251">
        <v>10</v>
      </c>
      <c r="BD251">
        <v>5.8</v>
      </c>
      <c r="BE251">
        <v>4</v>
      </c>
      <c r="BF251">
        <v>11.8</v>
      </c>
      <c r="BG251">
        <v>10</v>
      </c>
      <c r="BH251">
        <v>11</v>
      </c>
      <c r="BI251">
        <v>10</v>
      </c>
      <c r="BJ251">
        <v>10.4</v>
      </c>
      <c r="BK251">
        <v>9</v>
      </c>
      <c r="BL251">
        <v>19</v>
      </c>
      <c r="BM251">
        <v>19</v>
      </c>
      <c r="BN251">
        <v>23.4</v>
      </c>
      <c r="BO251">
        <v>19</v>
      </c>
      <c r="BP251">
        <v>21.5</v>
      </c>
      <c r="BQ251">
        <v>20</v>
      </c>
      <c r="BR251">
        <v>21.6</v>
      </c>
      <c r="BS251">
        <v>25</v>
      </c>
      <c r="BT251">
        <v>21.9</v>
      </c>
      <c r="BU251">
        <v>25</v>
      </c>
      <c r="BV251">
        <v>23.6</v>
      </c>
      <c r="BW251">
        <v>18</v>
      </c>
      <c r="BX251">
        <v>21.9</v>
      </c>
      <c r="BY251">
        <v>20</v>
      </c>
      <c r="BZ251">
        <v>21.2</v>
      </c>
      <c r="CA251">
        <v>20</v>
      </c>
      <c r="CB251">
        <v>10.3</v>
      </c>
      <c r="CC251">
        <v>10</v>
      </c>
      <c r="CD251">
        <v>11.7</v>
      </c>
      <c r="CE251">
        <v>10</v>
      </c>
      <c r="CF251">
        <v>11.9</v>
      </c>
      <c r="CG251">
        <v>9</v>
      </c>
      <c r="CH251">
        <v>12.1</v>
      </c>
      <c r="CI251">
        <v>9</v>
      </c>
    </row>
    <row r="252" spans="1:87" x14ac:dyDescent="0.35">
      <c r="A252" s="1">
        <v>46059.625694444447</v>
      </c>
      <c r="B252">
        <v>-22</v>
      </c>
      <c r="C252">
        <v>-19.8</v>
      </c>
      <c r="D252">
        <v>-25</v>
      </c>
      <c r="E252">
        <v>-21.3</v>
      </c>
      <c r="F252">
        <v>-22.8</v>
      </c>
      <c r="G252">
        <v>-25</v>
      </c>
      <c r="H252">
        <v>-18.3</v>
      </c>
      <c r="I252">
        <v>-23.8</v>
      </c>
      <c r="J252">
        <v>-25</v>
      </c>
      <c r="K252">
        <v>-19.100000000000001</v>
      </c>
      <c r="L252">
        <v>-16.899999999999999</v>
      </c>
      <c r="M252">
        <v>-25</v>
      </c>
      <c r="N252">
        <v>-17.5</v>
      </c>
      <c r="O252">
        <v>22.5</v>
      </c>
      <c r="P252">
        <v>-25</v>
      </c>
      <c r="Q252">
        <v>-13.9</v>
      </c>
      <c r="R252">
        <v>-13.9</v>
      </c>
      <c r="S252">
        <v>-25</v>
      </c>
      <c r="T252">
        <v>2.5</v>
      </c>
      <c r="U252">
        <v>2.4</v>
      </c>
      <c r="V252">
        <v>2</v>
      </c>
      <c r="W252">
        <v>2.5</v>
      </c>
      <c r="X252">
        <v>2.2000000000000002</v>
      </c>
      <c r="Y252">
        <v>2</v>
      </c>
      <c r="Z252">
        <v>3.6</v>
      </c>
      <c r="AA252">
        <v>3.4</v>
      </c>
      <c r="AB252">
        <v>2</v>
      </c>
      <c r="AC252">
        <v>3.4</v>
      </c>
      <c r="AD252">
        <v>3.3</v>
      </c>
      <c r="AE252">
        <v>2</v>
      </c>
      <c r="AF252">
        <v>3.1</v>
      </c>
      <c r="AG252">
        <v>2.7</v>
      </c>
      <c r="AH252">
        <v>2</v>
      </c>
      <c r="AI252">
        <v>2.9</v>
      </c>
      <c r="AJ252">
        <v>0.6</v>
      </c>
      <c r="AK252">
        <v>2</v>
      </c>
      <c r="AL252">
        <v>3.8</v>
      </c>
      <c r="AM252">
        <v>4</v>
      </c>
      <c r="AN252">
        <v>6</v>
      </c>
      <c r="AO252">
        <v>4</v>
      </c>
      <c r="AP252">
        <v>5</v>
      </c>
      <c r="AQ252">
        <v>4</v>
      </c>
      <c r="AR252">
        <v>5.5</v>
      </c>
      <c r="AS252">
        <v>4</v>
      </c>
      <c r="AT252">
        <v>-3.3</v>
      </c>
      <c r="AU252">
        <v>-5.0999999999999996</v>
      </c>
      <c r="AV252">
        <v>-5</v>
      </c>
      <c r="AW252">
        <v>-2.9</v>
      </c>
      <c r="AX252">
        <v>-3</v>
      </c>
      <c r="AY252">
        <v>-5</v>
      </c>
      <c r="AZ252">
        <v>9.6</v>
      </c>
      <c r="BA252">
        <v>10</v>
      </c>
      <c r="BB252">
        <v>12</v>
      </c>
      <c r="BC252">
        <v>10</v>
      </c>
      <c r="BD252">
        <v>5.9</v>
      </c>
      <c r="BE252">
        <v>4</v>
      </c>
      <c r="BF252">
        <v>12.2</v>
      </c>
      <c r="BG252">
        <v>10</v>
      </c>
      <c r="BH252">
        <v>11</v>
      </c>
      <c r="BI252">
        <v>10</v>
      </c>
      <c r="BJ252">
        <v>10.4</v>
      </c>
      <c r="BK252">
        <v>9</v>
      </c>
      <c r="BL252">
        <v>19</v>
      </c>
      <c r="BM252">
        <v>19</v>
      </c>
      <c r="BN252">
        <v>23.4</v>
      </c>
      <c r="BO252">
        <v>19</v>
      </c>
      <c r="BP252">
        <v>21.5</v>
      </c>
      <c r="BQ252">
        <v>20</v>
      </c>
      <c r="BR252">
        <v>21.6</v>
      </c>
      <c r="BS252">
        <v>25</v>
      </c>
      <c r="BT252">
        <v>21.9</v>
      </c>
      <c r="BU252">
        <v>25</v>
      </c>
      <c r="BV252">
        <v>23.6</v>
      </c>
      <c r="BW252">
        <v>18</v>
      </c>
      <c r="BX252">
        <v>21.8</v>
      </c>
      <c r="BY252">
        <v>20</v>
      </c>
      <c r="BZ252">
        <v>21.2</v>
      </c>
      <c r="CA252">
        <v>20</v>
      </c>
      <c r="CB252">
        <v>10.3</v>
      </c>
      <c r="CC252">
        <v>10</v>
      </c>
      <c r="CD252">
        <v>11.8</v>
      </c>
      <c r="CE252">
        <v>10</v>
      </c>
      <c r="CF252">
        <v>11.9</v>
      </c>
      <c r="CG252">
        <v>9</v>
      </c>
      <c r="CH252">
        <v>12.2</v>
      </c>
      <c r="CI252">
        <v>9</v>
      </c>
    </row>
    <row r="253" spans="1:87" x14ac:dyDescent="0.35">
      <c r="A253" s="1">
        <v>46059.626388888886</v>
      </c>
      <c r="B253">
        <v>-22</v>
      </c>
      <c r="C253">
        <v>-19.899999999999999</v>
      </c>
      <c r="D253">
        <v>-25</v>
      </c>
      <c r="E253">
        <v>-21.4</v>
      </c>
      <c r="F253">
        <v>-22.8</v>
      </c>
      <c r="G253">
        <v>-25</v>
      </c>
      <c r="H253">
        <v>-18.399999999999999</v>
      </c>
      <c r="I253">
        <v>-23.8</v>
      </c>
      <c r="J253">
        <v>-25</v>
      </c>
      <c r="K253">
        <v>-19.100000000000001</v>
      </c>
      <c r="L253">
        <v>-17.100000000000001</v>
      </c>
      <c r="M253">
        <v>-25</v>
      </c>
      <c r="N253">
        <v>-17.5</v>
      </c>
      <c r="O253">
        <v>22.5</v>
      </c>
      <c r="P253">
        <v>-25</v>
      </c>
      <c r="Q253">
        <v>-13.9</v>
      </c>
      <c r="R253">
        <v>-13.9</v>
      </c>
      <c r="S253">
        <v>-25</v>
      </c>
      <c r="T253">
        <v>2.6</v>
      </c>
      <c r="U253">
        <v>2.6</v>
      </c>
      <c r="V253">
        <v>2</v>
      </c>
      <c r="W253">
        <v>2.6</v>
      </c>
      <c r="X253">
        <v>2.2999999999999998</v>
      </c>
      <c r="Y253">
        <v>2</v>
      </c>
      <c r="Z253">
        <v>3.7</v>
      </c>
      <c r="AA253">
        <v>3.4</v>
      </c>
      <c r="AB253">
        <v>2</v>
      </c>
      <c r="AC253">
        <v>3.5</v>
      </c>
      <c r="AD253">
        <v>3.4</v>
      </c>
      <c r="AE253">
        <v>2</v>
      </c>
      <c r="AF253">
        <v>2.8</v>
      </c>
      <c r="AG253">
        <v>2.4</v>
      </c>
      <c r="AH253">
        <v>2</v>
      </c>
      <c r="AI253">
        <v>2.6</v>
      </c>
      <c r="AJ253">
        <v>0.1</v>
      </c>
      <c r="AK253">
        <v>2</v>
      </c>
      <c r="AL253">
        <v>3.9</v>
      </c>
      <c r="AM253">
        <v>4</v>
      </c>
      <c r="AN253">
        <v>6</v>
      </c>
      <c r="AO253">
        <v>4</v>
      </c>
      <c r="AP253">
        <v>5.2</v>
      </c>
      <c r="AQ253">
        <v>4</v>
      </c>
      <c r="AR253">
        <v>5.4</v>
      </c>
      <c r="AS253">
        <v>4</v>
      </c>
      <c r="AT253">
        <v>-3.6</v>
      </c>
      <c r="AU253">
        <v>-5.6</v>
      </c>
      <c r="AV253">
        <v>-5</v>
      </c>
      <c r="AW253">
        <v>-3.2</v>
      </c>
      <c r="AX253">
        <v>-4.7</v>
      </c>
      <c r="AY253">
        <v>-5</v>
      </c>
      <c r="AZ253">
        <v>9.6</v>
      </c>
      <c r="BA253">
        <v>10</v>
      </c>
      <c r="BB253">
        <v>11.8</v>
      </c>
      <c r="BC253">
        <v>10</v>
      </c>
      <c r="BD253">
        <v>6</v>
      </c>
      <c r="BE253">
        <v>4</v>
      </c>
      <c r="BF253">
        <v>11.9</v>
      </c>
      <c r="BG253">
        <v>10</v>
      </c>
      <c r="BH253">
        <v>10.9</v>
      </c>
      <c r="BI253">
        <v>10</v>
      </c>
      <c r="BJ253">
        <v>10.4</v>
      </c>
      <c r="BK253">
        <v>9</v>
      </c>
      <c r="BL253">
        <v>19.100000000000001</v>
      </c>
      <c r="BM253">
        <v>19</v>
      </c>
      <c r="BN253">
        <v>23.4</v>
      </c>
      <c r="BO253">
        <v>19</v>
      </c>
      <c r="BP253">
        <v>21.5</v>
      </c>
      <c r="BQ253">
        <v>20</v>
      </c>
      <c r="BR253">
        <v>21.6</v>
      </c>
      <c r="BS253">
        <v>25</v>
      </c>
      <c r="BT253">
        <v>21.9</v>
      </c>
      <c r="BU253">
        <v>25</v>
      </c>
      <c r="BV253">
        <v>23.6</v>
      </c>
      <c r="BW253">
        <v>18</v>
      </c>
      <c r="BX253">
        <v>19.2</v>
      </c>
      <c r="BY253">
        <v>20</v>
      </c>
      <c r="BZ253">
        <v>21.3</v>
      </c>
      <c r="CA253">
        <v>20</v>
      </c>
      <c r="CB253">
        <v>10.3</v>
      </c>
      <c r="CC253">
        <v>10</v>
      </c>
      <c r="CD253">
        <v>11.8</v>
      </c>
      <c r="CE253">
        <v>10</v>
      </c>
      <c r="CF253">
        <v>11.8</v>
      </c>
      <c r="CG253">
        <v>9</v>
      </c>
      <c r="CH253">
        <v>12.1</v>
      </c>
      <c r="CI253">
        <v>9</v>
      </c>
    </row>
    <row r="254" spans="1:87" x14ac:dyDescent="0.35">
      <c r="A254" s="1">
        <v>46059.627083333333</v>
      </c>
      <c r="B254">
        <v>-22</v>
      </c>
      <c r="C254">
        <v>-20</v>
      </c>
      <c r="D254">
        <v>-25</v>
      </c>
      <c r="E254">
        <v>-21.4</v>
      </c>
      <c r="F254">
        <v>-22.8</v>
      </c>
      <c r="G254">
        <v>-25</v>
      </c>
      <c r="H254">
        <v>-18.5</v>
      </c>
      <c r="I254">
        <v>-23.9</v>
      </c>
      <c r="J254">
        <v>-25</v>
      </c>
      <c r="K254">
        <v>-19.2</v>
      </c>
      <c r="L254">
        <v>-17.100000000000001</v>
      </c>
      <c r="M254">
        <v>-25</v>
      </c>
      <c r="N254">
        <v>-17.5</v>
      </c>
      <c r="O254">
        <v>22.6</v>
      </c>
      <c r="P254">
        <v>-25</v>
      </c>
      <c r="Q254">
        <v>-13.9</v>
      </c>
      <c r="R254">
        <v>-13.9</v>
      </c>
      <c r="S254">
        <v>-25</v>
      </c>
      <c r="T254">
        <v>2.8</v>
      </c>
      <c r="U254">
        <v>2.7</v>
      </c>
      <c r="V254">
        <v>2</v>
      </c>
      <c r="W254">
        <v>2.8</v>
      </c>
      <c r="X254">
        <v>2.4</v>
      </c>
      <c r="Y254">
        <v>2</v>
      </c>
      <c r="Z254">
        <v>3.7</v>
      </c>
      <c r="AA254">
        <v>3.5</v>
      </c>
      <c r="AB254">
        <v>2</v>
      </c>
      <c r="AC254">
        <v>3.6</v>
      </c>
      <c r="AD254">
        <v>3.4</v>
      </c>
      <c r="AE254">
        <v>2</v>
      </c>
      <c r="AF254">
        <v>2.7</v>
      </c>
      <c r="AG254">
        <v>2.2999999999999998</v>
      </c>
      <c r="AH254">
        <v>2</v>
      </c>
      <c r="AI254">
        <v>2.6</v>
      </c>
      <c r="AJ254">
        <v>1.1000000000000001</v>
      </c>
      <c r="AK254">
        <v>2</v>
      </c>
      <c r="AL254">
        <v>4</v>
      </c>
      <c r="AM254">
        <v>4</v>
      </c>
      <c r="AN254">
        <v>6</v>
      </c>
      <c r="AO254">
        <v>4</v>
      </c>
      <c r="AP254">
        <v>5.3</v>
      </c>
      <c r="AQ254">
        <v>4</v>
      </c>
      <c r="AR254">
        <v>5.4</v>
      </c>
      <c r="AS254">
        <v>4</v>
      </c>
      <c r="AT254">
        <v>-3.8</v>
      </c>
      <c r="AU254">
        <v>-5.9</v>
      </c>
      <c r="AV254">
        <v>-5</v>
      </c>
      <c r="AW254">
        <v>-3.6</v>
      </c>
      <c r="AX254">
        <v>-5.5</v>
      </c>
      <c r="AY254">
        <v>-5</v>
      </c>
      <c r="AZ254">
        <v>9.6</v>
      </c>
      <c r="BA254">
        <v>10</v>
      </c>
      <c r="BB254">
        <v>11.8</v>
      </c>
      <c r="BC254">
        <v>10</v>
      </c>
      <c r="BD254">
        <v>5.9</v>
      </c>
      <c r="BE254">
        <v>4</v>
      </c>
      <c r="BF254">
        <v>11.2</v>
      </c>
      <c r="BG254">
        <v>10</v>
      </c>
      <c r="BH254">
        <v>10.9</v>
      </c>
      <c r="BI254">
        <v>10</v>
      </c>
      <c r="BJ254">
        <v>10.4</v>
      </c>
      <c r="BK254">
        <v>9</v>
      </c>
      <c r="BL254">
        <v>19.100000000000001</v>
      </c>
      <c r="BM254">
        <v>19</v>
      </c>
      <c r="BN254">
        <v>23.4</v>
      </c>
      <c r="BO254">
        <v>19</v>
      </c>
      <c r="BP254">
        <v>21.5</v>
      </c>
      <c r="BQ254">
        <v>20</v>
      </c>
      <c r="BR254">
        <v>21.6</v>
      </c>
      <c r="BS254">
        <v>25</v>
      </c>
      <c r="BT254">
        <v>21.9</v>
      </c>
      <c r="BU254">
        <v>25</v>
      </c>
      <c r="BV254">
        <v>23.6</v>
      </c>
      <c r="BW254">
        <v>18</v>
      </c>
      <c r="BX254">
        <v>18.600000000000001</v>
      </c>
      <c r="BY254">
        <v>20</v>
      </c>
      <c r="BZ254">
        <v>21.3</v>
      </c>
      <c r="CA254">
        <v>20</v>
      </c>
      <c r="CB254">
        <v>10.3</v>
      </c>
      <c r="CC254">
        <v>10</v>
      </c>
      <c r="CD254">
        <v>11.8</v>
      </c>
      <c r="CE254">
        <v>10</v>
      </c>
      <c r="CF254">
        <v>11.9</v>
      </c>
      <c r="CG254">
        <v>9</v>
      </c>
      <c r="CH254">
        <v>12.1</v>
      </c>
      <c r="CI254">
        <v>9</v>
      </c>
    </row>
    <row r="255" spans="1:87" x14ac:dyDescent="0.35">
      <c r="A255" s="1">
        <v>46059.62777777778</v>
      </c>
      <c r="B255">
        <v>-22</v>
      </c>
      <c r="C255">
        <v>-20.100000000000001</v>
      </c>
      <c r="D255">
        <v>-25</v>
      </c>
      <c r="E255">
        <v>-21.5</v>
      </c>
      <c r="F255">
        <v>-22.8</v>
      </c>
      <c r="G255">
        <v>-25</v>
      </c>
      <c r="H255">
        <v>-18.5</v>
      </c>
      <c r="I255">
        <v>-23.8</v>
      </c>
      <c r="J255">
        <v>-25</v>
      </c>
      <c r="K255">
        <v>-19.2</v>
      </c>
      <c r="L255">
        <v>-17.2</v>
      </c>
      <c r="M255">
        <v>-25</v>
      </c>
      <c r="N255">
        <v>-17.5</v>
      </c>
      <c r="O255">
        <v>20.3</v>
      </c>
      <c r="P255">
        <v>-25</v>
      </c>
      <c r="Q255">
        <v>-13.9</v>
      </c>
      <c r="R255">
        <v>-13.9</v>
      </c>
      <c r="S255">
        <v>-25</v>
      </c>
      <c r="T255">
        <v>2.9</v>
      </c>
      <c r="U255">
        <v>2.8</v>
      </c>
      <c r="V255">
        <v>2</v>
      </c>
      <c r="W255">
        <v>2.9</v>
      </c>
      <c r="X255">
        <v>2.6</v>
      </c>
      <c r="Y255">
        <v>2</v>
      </c>
      <c r="Z255">
        <v>3.8</v>
      </c>
      <c r="AA255">
        <v>3.6</v>
      </c>
      <c r="AB255">
        <v>2</v>
      </c>
      <c r="AC255">
        <v>3.6</v>
      </c>
      <c r="AD255">
        <v>3.5</v>
      </c>
      <c r="AE255">
        <v>2</v>
      </c>
      <c r="AF255">
        <v>2.6</v>
      </c>
      <c r="AG255">
        <v>2.2000000000000002</v>
      </c>
      <c r="AH255">
        <v>2</v>
      </c>
      <c r="AI255">
        <v>2.5</v>
      </c>
      <c r="AJ255">
        <v>-0.1</v>
      </c>
      <c r="AK255">
        <v>2</v>
      </c>
      <c r="AL255">
        <v>4.0999999999999996</v>
      </c>
      <c r="AM255">
        <v>4</v>
      </c>
      <c r="AN255">
        <v>5.7</v>
      </c>
      <c r="AO255">
        <v>4</v>
      </c>
      <c r="AP255">
        <v>5.4</v>
      </c>
      <c r="AQ255">
        <v>4</v>
      </c>
      <c r="AR255">
        <v>5.3</v>
      </c>
      <c r="AS255">
        <v>4</v>
      </c>
      <c r="AT255">
        <v>-4.0999999999999996</v>
      </c>
      <c r="AU255">
        <v>-6.3</v>
      </c>
      <c r="AV255">
        <v>-5</v>
      </c>
      <c r="AW255">
        <v>-4</v>
      </c>
      <c r="AX255">
        <v>-4.8</v>
      </c>
      <c r="AY255">
        <v>-5</v>
      </c>
      <c r="AZ255">
        <v>9.6</v>
      </c>
      <c r="BA255">
        <v>10</v>
      </c>
      <c r="BB255">
        <v>11.9</v>
      </c>
      <c r="BC255">
        <v>10</v>
      </c>
      <c r="BD255">
        <v>5.8</v>
      </c>
      <c r="BE255">
        <v>4</v>
      </c>
      <c r="BF255">
        <v>10.3</v>
      </c>
      <c r="BG255">
        <v>10</v>
      </c>
      <c r="BH255">
        <v>10.9</v>
      </c>
      <c r="BI255">
        <v>10</v>
      </c>
      <c r="BJ255">
        <v>10.4</v>
      </c>
      <c r="BK255">
        <v>9</v>
      </c>
      <c r="BL255">
        <v>19.100000000000001</v>
      </c>
      <c r="BM255">
        <v>19</v>
      </c>
      <c r="BN255">
        <v>23.4</v>
      </c>
      <c r="BO255">
        <v>19</v>
      </c>
      <c r="BP255">
        <v>21.5</v>
      </c>
      <c r="BQ255">
        <v>20</v>
      </c>
      <c r="BR255">
        <v>21.7</v>
      </c>
      <c r="BS255">
        <v>25</v>
      </c>
      <c r="BT255">
        <v>21.9</v>
      </c>
      <c r="BU255">
        <v>25</v>
      </c>
      <c r="BV255">
        <v>23.6</v>
      </c>
      <c r="BW255">
        <v>18</v>
      </c>
      <c r="BX255">
        <v>18.8</v>
      </c>
      <c r="BY255">
        <v>20</v>
      </c>
      <c r="BZ255">
        <v>21.3</v>
      </c>
      <c r="CA255">
        <v>20</v>
      </c>
      <c r="CB255">
        <v>10.3</v>
      </c>
      <c r="CC255">
        <v>10</v>
      </c>
      <c r="CD255">
        <v>11.8</v>
      </c>
      <c r="CE255">
        <v>10</v>
      </c>
      <c r="CF255">
        <v>12</v>
      </c>
      <c r="CG255">
        <v>9</v>
      </c>
      <c r="CH255">
        <v>12.2</v>
      </c>
      <c r="CI255">
        <v>9</v>
      </c>
    </row>
    <row r="256" spans="1:87" x14ac:dyDescent="0.35">
      <c r="A256" s="1">
        <v>46059.628472222219</v>
      </c>
      <c r="B256">
        <v>-22.1</v>
      </c>
      <c r="C256">
        <v>-20.2</v>
      </c>
      <c r="D256">
        <v>-25</v>
      </c>
      <c r="E256">
        <v>-21.5</v>
      </c>
      <c r="F256">
        <v>-22.8</v>
      </c>
      <c r="G256">
        <v>-25</v>
      </c>
      <c r="H256">
        <v>-18.5</v>
      </c>
      <c r="I256">
        <v>-23.9</v>
      </c>
      <c r="J256">
        <v>-25</v>
      </c>
      <c r="K256">
        <v>-19.3</v>
      </c>
      <c r="L256">
        <v>-17.3</v>
      </c>
      <c r="M256">
        <v>-25</v>
      </c>
      <c r="N256">
        <v>-17.5</v>
      </c>
      <c r="O256">
        <v>17.100000000000001</v>
      </c>
      <c r="P256">
        <v>-25</v>
      </c>
      <c r="Q256">
        <v>-13.9</v>
      </c>
      <c r="R256">
        <v>-13.9</v>
      </c>
      <c r="S256">
        <v>-25</v>
      </c>
      <c r="T256">
        <v>2.9</v>
      </c>
      <c r="U256">
        <v>2.9</v>
      </c>
      <c r="V256">
        <v>2</v>
      </c>
      <c r="W256">
        <v>2.9</v>
      </c>
      <c r="X256">
        <v>2.7</v>
      </c>
      <c r="Y256">
        <v>2</v>
      </c>
      <c r="Z256">
        <v>3.9</v>
      </c>
      <c r="AA256">
        <v>3.6</v>
      </c>
      <c r="AB256">
        <v>2</v>
      </c>
      <c r="AC256">
        <v>3.7</v>
      </c>
      <c r="AD256">
        <v>3.6</v>
      </c>
      <c r="AE256">
        <v>2</v>
      </c>
      <c r="AF256">
        <v>2.5</v>
      </c>
      <c r="AG256">
        <v>2.1</v>
      </c>
      <c r="AH256">
        <v>2</v>
      </c>
      <c r="AI256">
        <v>2.4</v>
      </c>
      <c r="AJ256">
        <v>0.9</v>
      </c>
      <c r="AK256">
        <v>2</v>
      </c>
      <c r="AL256">
        <v>4.0999999999999996</v>
      </c>
      <c r="AM256">
        <v>4</v>
      </c>
      <c r="AN256">
        <v>5.4</v>
      </c>
      <c r="AO256">
        <v>4</v>
      </c>
      <c r="AP256">
        <v>5.6</v>
      </c>
      <c r="AQ256">
        <v>4</v>
      </c>
      <c r="AR256">
        <v>5.3</v>
      </c>
      <c r="AS256">
        <v>4</v>
      </c>
      <c r="AT256">
        <v>-4.3</v>
      </c>
      <c r="AU256">
        <v>-6.4</v>
      </c>
      <c r="AV256">
        <v>-5</v>
      </c>
      <c r="AW256">
        <v>-4.0999999999999996</v>
      </c>
      <c r="AX256">
        <v>-4.7</v>
      </c>
      <c r="AY256">
        <v>-5</v>
      </c>
      <c r="AZ256">
        <v>9.6</v>
      </c>
      <c r="BA256">
        <v>10</v>
      </c>
      <c r="BB256">
        <v>11.9</v>
      </c>
      <c r="BC256">
        <v>10</v>
      </c>
      <c r="BD256">
        <v>5.7</v>
      </c>
      <c r="BE256">
        <v>4</v>
      </c>
      <c r="BF256">
        <v>9.6999999999999993</v>
      </c>
      <c r="BG256">
        <v>10</v>
      </c>
      <c r="BH256">
        <v>10.9</v>
      </c>
      <c r="BI256">
        <v>10</v>
      </c>
      <c r="BJ256">
        <v>10.4</v>
      </c>
      <c r="BK256">
        <v>9</v>
      </c>
      <c r="BL256">
        <v>19.2</v>
      </c>
      <c r="BM256">
        <v>19</v>
      </c>
      <c r="BN256">
        <v>23.4</v>
      </c>
      <c r="BO256">
        <v>19</v>
      </c>
      <c r="BP256">
        <v>21.5</v>
      </c>
      <c r="BQ256">
        <v>20</v>
      </c>
      <c r="BR256">
        <v>21.7</v>
      </c>
      <c r="BS256">
        <v>25</v>
      </c>
      <c r="BT256">
        <v>21.9</v>
      </c>
      <c r="BU256">
        <v>25</v>
      </c>
      <c r="BV256">
        <v>23.6</v>
      </c>
      <c r="BW256">
        <v>18</v>
      </c>
      <c r="BX256">
        <v>19.399999999999999</v>
      </c>
      <c r="BY256">
        <v>20</v>
      </c>
      <c r="BZ256">
        <v>21.3</v>
      </c>
      <c r="CA256">
        <v>20</v>
      </c>
      <c r="CB256">
        <v>10.3</v>
      </c>
      <c r="CC256">
        <v>10</v>
      </c>
      <c r="CD256">
        <v>11.8</v>
      </c>
      <c r="CE256">
        <v>10</v>
      </c>
      <c r="CF256">
        <v>12</v>
      </c>
      <c r="CG256">
        <v>9</v>
      </c>
      <c r="CH256">
        <v>12.2</v>
      </c>
      <c r="CI256">
        <v>9</v>
      </c>
    </row>
    <row r="257" spans="1:87" x14ac:dyDescent="0.35">
      <c r="A257" s="1">
        <v>46059.629166666666</v>
      </c>
      <c r="B257">
        <v>-22.1</v>
      </c>
      <c r="C257">
        <v>-20.2</v>
      </c>
      <c r="D257">
        <v>-25</v>
      </c>
      <c r="E257">
        <v>-21.5</v>
      </c>
      <c r="F257">
        <v>-22.8</v>
      </c>
      <c r="G257">
        <v>-25</v>
      </c>
      <c r="H257">
        <v>-18.600000000000001</v>
      </c>
      <c r="I257">
        <v>-23.9</v>
      </c>
      <c r="J257">
        <v>-25</v>
      </c>
      <c r="K257">
        <v>-19.3</v>
      </c>
      <c r="L257">
        <v>-17.399999999999999</v>
      </c>
      <c r="M257">
        <v>-25</v>
      </c>
      <c r="N257">
        <v>-17.5</v>
      </c>
      <c r="O257">
        <v>13.6</v>
      </c>
      <c r="P257">
        <v>-25</v>
      </c>
      <c r="Q257">
        <v>-14</v>
      </c>
      <c r="R257">
        <v>-13.9</v>
      </c>
      <c r="S257">
        <v>-25</v>
      </c>
      <c r="T257">
        <v>3</v>
      </c>
      <c r="U257">
        <v>3</v>
      </c>
      <c r="V257">
        <v>2</v>
      </c>
      <c r="W257">
        <v>3</v>
      </c>
      <c r="X257">
        <v>2.8</v>
      </c>
      <c r="Y257">
        <v>2</v>
      </c>
      <c r="Z257">
        <v>3.9</v>
      </c>
      <c r="AA257">
        <v>3.7</v>
      </c>
      <c r="AB257">
        <v>2</v>
      </c>
      <c r="AC257">
        <v>3.8</v>
      </c>
      <c r="AD257">
        <v>3.7</v>
      </c>
      <c r="AE257">
        <v>2</v>
      </c>
      <c r="AF257">
        <v>2.5</v>
      </c>
      <c r="AG257">
        <v>2.1</v>
      </c>
      <c r="AH257">
        <v>2</v>
      </c>
      <c r="AI257">
        <v>2.2999999999999998</v>
      </c>
      <c r="AJ257">
        <v>-0.1</v>
      </c>
      <c r="AK257">
        <v>2</v>
      </c>
      <c r="AL257">
        <v>4.2</v>
      </c>
      <c r="AM257">
        <v>4</v>
      </c>
      <c r="AN257">
        <v>5.2</v>
      </c>
      <c r="AO257">
        <v>4</v>
      </c>
      <c r="AP257">
        <v>5.7</v>
      </c>
      <c r="AQ257">
        <v>4</v>
      </c>
      <c r="AR257">
        <v>5.5</v>
      </c>
      <c r="AS257">
        <v>4</v>
      </c>
      <c r="AT257">
        <v>-4.5</v>
      </c>
      <c r="AU257">
        <v>-6.5</v>
      </c>
      <c r="AV257">
        <v>-5</v>
      </c>
      <c r="AW257">
        <v>-4.2</v>
      </c>
      <c r="AX257">
        <v>-5.7</v>
      </c>
      <c r="AY257">
        <v>-5</v>
      </c>
      <c r="AZ257">
        <v>9.6</v>
      </c>
      <c r="BA257">
        <v>10</v>
      </c>
      <c r="BB257">
        <v>11.9</v>
      </c>
      <c r="BC257">
        <v>10</v>
      </c>
      <c r="BD257">
        <v>5.4</v>
      </c>
      <c r="BE257">
        <v>4</v>
      </c>
      <c r="BF257">
        <v>9.6</v>
      </c>
      <c r="BG257">
        <v>10</v>
      </c>
      <c r="BH257">
        <v>10.9</v>
      </c>
      <c r="BI257">
        <v>10</v>
      </c>
      <c r="BJ257">
        <v>10.4</v>
      </c>
      <c r="BK257">
        <v>9</v>
      </c>
      <c r="BL257">
        <v>19.2</v>
      </c>
      <c r="BM257">
        <v>19</v>
      </c>
      <c r="BN257">
        <v>23.4</v>
      </c>
      <c r="BO257">
        <v>19</v>
      </c>
      <c r="BP257">
        <v>21.5</v>
      </c>
      <c r="BQ257">
        <v>20</v>
      </c>
      <c r="BR257">
        <v>21.7</v>
      </c>
      <c r="BS257">
        <v>25</v>
      </c>
      <c r="BT257">
        <v>21.9</v>
      </c>
      <c r="BU257">
        <v>25</v>
      </c>
      <c r="BV257">
        <v>23.6</v>
      </c>
      <c r="BW257">
        <v>18</v>
      </c>
      <c r="BX257">
        <v>19.8</v>
      </c>
      <c r="BY257">
        <v>20</v>
      </c>
      <c r="BZ257">
        <v>21.4</v>
      </c>
      <c r="CA257">
        <v>20</v>
      </c>
      <c r="CB257">
        <v>10.3</v>
      </c>
      <c r="CC257">
        <v>10</v>
      </c>
      <c r="CD257">
        <v>11.9</v>
      </c>
      <c r="CE257">
        <v>10</v>
      </c>
      <c r="CF257">
        <v>12</v>
      </c>
      <c r="CG257">
        <v>9</v>
      </c>
      <c r="CH257">
        <v>12.2</v>
      </c>
      <c r="CI257">
        <v>9</v>
      </c>
    </row>
    <row r="258" spans="1:87" x14ac:dyDescent="0.35">
      <c r="A258" s="1">
        <v>46059.629861111112</v>
      </c>
      <c r="B258">
        <v>-22.1</v>
      </c>
      <c r="C258">
        <v>-20.3</v>
      </c>
      <c r="D258">
        <v>-25</v>
      </c>
      <c r="E258">
        <v>-21.5</v>
      </c>
      <c r="F258">
        <v>-22.8</v>
      </c>
      <c r="G258">
        <v>-25</v>
      </c>
      <c r="H258">
        <v>-18.7</v>
      </c>
      <c r="I258">
        <v>-23.9</v>
      </c>
      <c r="J258">
        <v>-25</v>
      </c>
      <c r="K258">
        <v>-19.399999999999999</v>
      </c>
      <c r="L258">
        <v>-17.5</v>
      </c>
      <c r="M258">
        <v>-25</v>
      </c>
      <c r="N258">
        <v>-14</v>
      </c>
      <c r="O258">
        <v>10.1</v>
      </c>
      <c r="P258">
        <v>-25</v>
      </c>
      <c r="Q258">
        <v>-14.1</v>
      </c>
      <c r="R258">
        <v>-13.9</v>
      </c>
      <c r="S258">
        <v>-25</v>
      </c>
      <c r="T258">
        <v>3.1</v>
      </c>
      <c r="U258">
        <v>3.1</v>
      </c>
      <c r="V258">
        <v>2</v>
      </c>
      <c r="W258">
        <v>3.1</v>
      </c>
      <c r="X258">
        <v>2.9</v>
      </c>
      <c r="Y258">
        <v>2</v>
      </c>
      <c r="Z258">
        <v>4</v>
      </c>
      <c r="AA258">
        <v>3.8</v>
      </c>
      <c r="AB258">
        <v>2</v>
      </c>
      <c r="AC258">
        <v>3.8</v>
      </c>
      <c r="AD258">
        <v>3.7</v>
      </c>
      <c r="AE258">
        <v>2</v>
      </c>
      <c r="AF258">
        <v>2.4</v>
      </c>
      <c r="AG258">
        <v>1.9</v>
      </c>
      <c r="AH258">
        <v>2</v>
      </c>
      <c r="AI258">
        <v>2.2000000000000002</v>
      </c>
      <c r="AJ258">
        <v>0.4</v>
      </c>
      <c r="AK258">
        <v>2</v>
      </c>
      <c r="AL258">
        <v>4.3</v>
      </c>
      <c r="AM258">
        <v>4</v>
      </c>
      <c r="AN258">
        <v>4.9000000000000004</v>
      </c>
      <c r="AO258">
        <v>4</v>
      </c>
      <c r="AP258">
        <v>5.9</v>
      </c>
      <c r="AQ258">
        <v>4</v>
      </c>
      <c r="AR258">
        <v>5.8</v>
      </c>
      <c r="AS258">
        <v>4</v>
      </c>
      <c r="AT258">
        <v>-4.7</v>
      </c>
      <c r="AU258">
        <v>-6.7</v>
      </c>
      <c r="AV258">
        <v>-5</v>
      </c>
      <c r="AW258">
        <v>-4.4000000000000004</v>
      </c>
      <c r="AX258">
        <v>-6.3</v>
      </c>
      <c r="AY258">
        <v>-5</v>
      </c>
      <c r="AZ258">
        <v>11.8</v>
      </c>
      <c r="BA258">
        <v>10</v>
      </c>
      <c r="BB258">
        <v>11.7</v>
      </c>
      <c r="BC258">
        <v>10</v>
      </c>
      <c r="BD258">
        <v>4.9000000000000004</v>
      </c>
      <c r="BE258">
        <v>4</v>
      </c>
      <c r="BF258">
        <v>9.8000000000000007</v>
      </c>
      <c r="BG258">
        <v>10</v>
      </c>
      <c r="BH258">
        <v>10.9</v>
      </c>
      <c r="BI258">
        <v>10</v>
      </c>
      <c r="BJ258">
        <v>10.4</v>
      </c>
      <c r="BK258">
        <v>9</v>
      </c>
      <c r="BL258">
        <v>19.2</v>
      </c>
      <c r="BM258">
        <v>19</v>
      </c>
      <c r="BN258">
        <v>23.4</v>
      </c>
      <c r="BO258">
        <v>19</v>
      </c>
      <c r="BP258">
        <v>21.5</v>
      </c>
      <c r="BQ258">
        <v>20</v>
      </c>
      <c r="BR258">
        <v>21.7</v>
      </c>
      <c r="BS258">
        <v>25</v>
      </c>
      <c r="BT258">
        <v>21.9</v>
      </c>
      <c r="BU258">
        <v>25</v>
      </c>
      <c r="BV258">
        <v>23.6</v>
      </c>
      <c r="BW258">
        <v>18</v>
      </c>
      <c r="BX258">
        <v>20</v>
      </c>
      <c r="BY258">
        <v>20</v>
      </c>
      <c r="BZ258">
        <v>21.4</v>
      </c>
      <c r="CA258">
        <v>20</v>
      </c>
      <c r="CB258">
        <v>10.199999999999999</v>
      </c>
      <c r="CC258">
        <v>10</v>
      </c>
      <c r="CD258">
        <v>12</v>
      </c>
      <c r="CE258">
        <v>10</v>
      </c>
      <c r="CF258">
        <v>12.1</v>
      </c>
      <c r="CG258">
        <v>9</v>
      </c>
      <c r="CH258">
        <v>12.3</v>
      </c>
      <c r="CI258">
        <v>9</v>
      </c>
    </row>
    <row r="259" spans="1:87" x14ac:dyDescent="0.35">
      <c r="A259" s="1">
        <v>46059.630555555559</v>
      </c>
      <c r="B259">
        <v>-22.2</v>
      </c>
      <c r="C259">
        <v>-20.3</v>
      </c>
      <c r="D259">
        <v>-25</v>
      </c>
      <c r="E259">
        <v>-21.6</v>
      </c>
      <c r="F259">
        <v>-22.9</v>
      </c>
      <c r="G259">
        <v>-25</v>
      </c>
      <c r="H259">
        <v>-18.7</v>
      </c>
      <c r="I259">
        <v>-24</v>
      </c>
      <c r="J259">
        <v>-25</v>
      </c>
      <c r="K259">
        <v>-19.399999999999999</v>
      </c>
      <c r="L259">
        <v>-17.600000000000001</v>
      </c>
      <c r="M259">
        <v>-25</v>
      </c>
      <c r="N259">
        <v>-14.1</v>
      </c>
      <c r="O259">
        <v>7.4</v>
      </c>
      <c r="P259">
        <v>-25</v>
      </c>
      <c r="Q259">
        <v>-14.2</v>
      </c>
      <c r="R259">
        <v>-14</v>
      </c>
      <c r="S259">
        <v>-25</v>
      </c>
      <c r="T259">
        <v>3.2</v>
      </c>
      <c r="U259">
        <v>3.2</v>
      </c>
      <c r="V259">
        <v>2</v>
      </c>
      <c r="W259">
        <v>3.2</v>
      </c>
      <c r="X259">
        <v>2.9</v>
      </c>
      <c r="Y259">
        <v>2</v>
      </c>
      <c r="Z259">
        <v>4.0999999999999996</v>
      </c>
      <c r="AA259">
        <v>3.8</v>
      </c>
      <c r="AB259">
        <v>2</v>
      </c>
      <c r="AC259">
        <v>3.9</v>
      </c>
      <c r="AD259">
        <v>3.8</v>
      </c>
      <c r="AE259">
        <v>2</v>
      </c>
      <c r="AF259">
        <v>2.2999999999999998</v>
      </c>
      <c r="AG259">
        <v>1.9</v>
      </c>
      <c r="AH259">
        <v>2</v>
      </c>
      <c r="AI259">
        <v>2.2000000000000002</v>
      </c>
      <c r="AJ259">
        <v>-0.1</v>
      </c>
      <c r="AK259">
        <v>2</v>
      </c>
      <c r="AL259">
        <v>4.4000000000000004</v>
      </c>
      <c r="AM259">
        <v>4</v>
      </c>
      <c r="AN259">
        <v>4.5999999999999996</v>
      </c>
      <c r="AO259">
        <v>4</v>
      </c>
      <c r="AP259">
        <v>6</v>
      </c>
      <c r="AQ259">
        <v>4</v>
      </c>
      <c r="AR259">
        <v>6.1</v>
      </c>
      <c r="AS259">
        <v>4</v>
      </c>
      <c r="AT259">
        <v>-4.8</v>
      </c>
      <c r="AU259">
        <v>-6.9</v>
      </c>
      <c r="AV259">
        <v>-5</v>
      </c>
      <c r="AW259">
        <v>-4.5999999999999996</v>
      </c>
      <c r="AX259">
        <v>-5.5</v>
      </c>
      <c r="AY259">
        <v>-5</v>
      </c>
      <c r="AZ259">
        <v>11.9</v>
      </c>
      <c r="BA259">
        <v>10</v>
      </c>
      <c r="BB259">
        <v>11.7</v>
      </c>
      <c r="BC259">
        <v>10</v>
      </c>
      <c r="BD259">
        <v>4.5999999999999996</v>
      </c>
      <c r="BE259">
        <v>4</v>
      </c>
      <c r="BF259">
        <v>10.1</v>
      </c>
      <c r="BG259">
        <v>10</v>
      </c>
      <c r="BH259">
        <v>10.9</v>
      </c>
      <c r="BI259">
        <v>10</v>
      </c>
      <c r="BJ259">
        <v>10.5</v>
      </c>
      <c r="BK259">
        <v>9</v>
      </c>
      <c r="BL259">
        <v>19.3</v>
      </c>
      <c r="BM259">
        <v>19</v>
      </c>
      <c r="BN259">
        <v>23.4</v>
      </c>
      <c r="BO259">
        <v>19</v>
      </c>
      <c r="BP259">
        <v>21.5</v>
      </c>
      <c r="BQ259">
        <v>20</v>
      </c>
      <c r="BR259">
        <v>21.7</v>
      </c>
      <c r="BS259">
        <v>25</v>
      </c>
      <c r="BT259">
        <v>21.9</v>
      </c>
      <c r="BU259">
        <v>25</v>
      </c>
      <c r="BV259">
        <v>23.6</v>
      </c>
      <c r="BW259">
        <v>18</v>
      </c>
      <c r="BX259">
        <v>20.2</v>
      </c>
      <c r="BY259">
        <v>20</v>
      </c>
      <c r="BZ259">
        <v>21.4</v>
      </c>
      <c r="CA259">
        <v>20</v>
      </c>
      <c r="CB259">
        <v>10.199999999999999</v>
      </c>
      <c r="CC259">
        <v>10</v>
      </c>
      <c r="CD259">
        <v>12</v>
      </c>
      <c r="CE259">
        <v>10</v>
      </c>
      <c r="CF259">
        <v>12.1</v>
      </c>
      <c r="CG259">
        <v>9</v>
      </c>
      <c r="CH259">
        <v>12.3</v>
      </c>
      <c r="CI259">
        <v>9</v>
      </c>
    </row>
    <row r="260" spans="1:87" x14ac:dyDescent="0.35">
      <c r="A260" s="1">
        <v>46059.631249999999</v>
      </c>
      <c r="B260">
        <v>-22.2</v>
      </c>
      <c r="C260">
        <v>-20.399999999999999</v>
      </c>
      <c r="D260">
        <v>-25</v>
      </c>
      <c r="E260">
        <v>-21.6</v>
      </c>
      <c r="F260">
        <v>-22.9</v>
      </c>
      <c r="G260">
        <v>-25</v>
      </c>
      <c r="H260">
        <v>-18.8</v>
      </c>
      <c r="I260">
        <v>-24</v>
      </c>
      <c r="J260">
        <v>-25</v>
      </c>
      <c r="K260">
        <v>-19.399999999999999</v>
      </c>
      <c r="L260">
        <v>-17.7</v>
      </c>
      <c r="M260">
        <v>-25</v>
      </c>
      <c r="N260">
        <v>-14.2</v>
      </c>
      <c r="O260">
        <v>4.5</v>
      </c>
      <c r="P260">
        <v>-25</v>
      </c>
      <c r="Q260">
        <v>-14.3</v>
      </c>
      <c r="R260">
        <v>-14.1</v>
      </c>
      <c r="S260">
        <v>-25</v>
      </c>
      <c r="T260">
        <v>3.3</v>
      </c>
      <c r="U260">
        <v>3.3</v>
      </c>
      <c r="V260">
        <v>2</v>
      </c>
      <c r="W260">
        <v>3.3</v>
      </c>
      <c r="X260">
        <v>3.1</v>
      </c>
      <c r="Y260">
        <v>2</v>
      </c>
      <c r="Z260">
        <v>4.0999999999999996</v>
      </c>
      <c r="AA260">
        <v>3.9</v>
      </c>
      <c r="AB260">
        <v>2</v>
      </c>
      <c r="AC260">
        <v>3.9</v>
      </c>
      <c r="AD260">
        <v>3.9</v>
      </c>
      <c r="AE260">
        <v>2</v>
      </c>
      <c r="AF260">
        <v>2.2000000000000002</v>
      </c>
      <c r="AG260">
        <v>1.9</v>
      </c>
      <c r="AH260">
        <v>2</v>
      </c>
      <c r="AI260">
        <v>2.1</v>
      </c>
      <c r="AJ260">
        <v>1.3</v>
      </c>
      <c r="AK260">
        <v>2</v>
      </c>
      <c r="AL260">
        <v>4.4000000000000004</v>
      </c>
      <c r="AM260">
        <v>4</v>
      </c>
      <c r="AN260">
        <v>4.4000000000000004</v>
      </c>
      <c r="AO260">
        <v>4</v>
      </c>
      <c r="AP260">
        <v>6</v>
      </c>
      <c r="AQ260">
        <v>4</v>
      </c>
      <c r="AR260">
        <v>6.3</v>
      </c>
      <c r="AS260">
        <v>4</v>
      </c>
      <c r="AT260">
        <v>-4.9000000000000004</v>
      </c>
      <c r="AU260">
        <v>-6.7</v>
      </c>
      <c r="AV260">
        <v>-5</v>
      </c>
      <c r="AW260">
        <v>-4.5999999999999996</v>
      </c>
      <c r="AX260">
        <v>-5.0999999999999996</v>
      </c>
      <c r="AY260">
        <v>-5</v>
      </c>
      <c r="AZ260">
        <v>11.9</v>
      </c>
      <c r="BA260">
        <v>10</v>
      </c>
      <c r="BB260">
        <v>11.7</v>
      </c>
      <c r="BC260">
        <v>10</v>
      </c>
      <c r="BD260">
        <v>4.3</v>
      </c>
      <c r="BE260">
        <v>4</v>
      </c>
      <c r="BF260">
        <v>10.3</v>
      </c>
      <c r="BG260">
        <v>10</v>
      </c>
      <c r="BH260">
        <v>10.9</v>
      </c>
      <c r="BI260">
        <v>10</v>
      </c>
      <c r="BJ260">
        <v>10.5</v>
      </c>
      <c r="BK260">
        <v>9</v>
      </c>
      <c r="BL260">
        <v>19.3</v>
      </c>
      <c r="BM260">
        <v>19</v>
      </c>
      <c r="BN260">
        <v>23.4</v>
      </c>
      <c r="BO260">
        <v>19</v>
      </c>
      <c r="BP260">
        <v>21.5</v>
      </c>
      <c r="BQ260">
        <v>20</v>
      </c>
      <c r="BR260">
        <v>21.7</v>
      </c>
      <c r="BS260">
        <v>25</v>
      </c>
      <c r="BT260">
        <v>21.9</v>
      </c>
      <c r="BU260">
        <v>25</v>
      </c>
      <c r="BV260">
        <v>23.6</v>
      </c>
      <c r="BW260">
        <v>18</v>
      </c>
      <c r="BX260">
        <v>20.399999999999999</v>
      </c>
      <c r="BY260">
        <v>20</v>
      </c>
      <c r="BZ260">
        <v>21.5</v>
      </c>
      <c r="CA260">
        <v>20</v>
      </c>
      <c r="CB260">
        <v>10.199999999999999</v>
      </c>
      <c r="CC260">
        <v>10</v>
      </c>
      <c r="CD260">
        <v>11.7</v>
      </c>
      <c r="CE260">
        <v>10</v>
      </c>
      <c r="CF260">
        <v>12</v>
      </c>
      <c r="CG260">
        <v>9</v>
      </c>
      <c r="CH260">
        <v>12.2</v>
      </c>
      <c r="CI260">
        <v>9</v>
      </c>
    </row>
    <row r="261" spans="1:87" x14ac:dyDescent="0.35">
      <c r="A261" s="1">
        <v>46059.631944444445</v>
      </c>
      <c r="B261">
        <v>-22.2</v>
      </c>
      <c r="C261">
        <v>-20.399999999999999</v>
      </c>
      <c r="D261">
        <v>-25</v>
      </c>
      <c r="E261">
        <v>-21.7</v>
      </c>
      <c r="F261">
        <v>-23</v>
      </c>
      <c r="G261">
        <v>-25</v>
      </c>
      <c r="H261">
        <v>-18.8</v>
      </c>
      <c r="I261">
        <v>-24</v>
      </c>
      <c r="J261">
        <v>-25</v>
      </c>
      <c r="K261">
        <v>-19.5</v>
      </c>
      <c r="L261">
        <v>-17.8</v>
      </c>
      <c r="M261">
        <v>-25</v>
      </c>
      <c r="N261">
        <v>-14.5</v>
      </c>
      <c r="O261">
        <v>2.2000000000000002</v>
      </c>
      <c r="P261">
        <v>-25</v>
      </c>
      <c r="Q261">
        <v>-14.4</v>
      </c>
      <c r="R261">
        <v>-14.2</v>
      </c>
      <c r="S261">
        <v>-25</v>
      </c>
      <c r="T261">
        <v>3.4</v>
      </c>
      <c r="U261">
        <v>3.5</v>
      </c>
      <c r="V261">
        <v>2</v>
      </c>
      <c r="W261">
        <v>3.4</v>
      </c>
      <c r="X261">
        <v>3.2</v>
      </c>
      <c r="Y261">
        <v>2</v>
      </c>
      <c r="Z261">
        <v>4.2</v>
      </c>
      <c r="AA261">
        <v>3.9</v>
      </c>
      <c r="AB261">
        <v>2</v>
      </c>
      <c r="AC261">
        <v>4</v>
      </c>
      <c r="AD261">
        <v>3.9</v>
      </c>
      <c r="AE261">
        <v>2</v>
      </c>
      <c r="AF261">
        <v>2.2999999999999998</v>
      </c>
      <c r="AG261">
        <v>2.1</v>
      </c>
      <c r="AH261">
        <v>2</v>
      </c>
      <c r="AI261">
        <v>2.2000000000000002</v>
      </c>
      <c r="AJ261">
        <v>1.7</v>
      </c>
      <c r="AK261">
        <v>2</v>
      </c>
      <c r="AL261">
        <v>4.5</v>
      </c>
      <c r="AM261">
        <v>4</v>
      </c>
      <c r="AN261">
        <v>4.2</v>
      </c>
      <c r="AO261">
        <v>4</v>
      </c>
      <c r="AP261">
        <v>5.7</v>
      </c>
      <c r="AQ261">
        <v>4</v>
      </c>
      <c r="AR261">
        <v>6.4</v>
      </c>
      <c r="AS261">
        <v>4</v>
      </c>
      <c r="AT261">
        <v>-5</v>
      </c>
      <c r="AU261">
        <v>-7.3</v>
      </c>
      <c r="AV261">
        <v>-5</v>
      </c>
      <c r="AW261">
        <v>-4.5999999999999996</v>
      </c>
      <c r="AX261">
        <v>-5.2</v>
      </c>
      <c r="AY261">
        <v>-5</v>
      </c>
      <c r="AZ261">
        <v>12</v>
      </c>
      <c r="BA261">
        <v>10</v>
      </c>
      <c r="BB261">
        <v>11.7</v>
      </c>
      <c r="BC261">
        <v>10</v>
      </c>
      <c r="BD261">
        <v>3.9</v>
      </c>
      <c r="BE261">
        <v>4</v>
      </c>
      <c r="BF261">
        <v>10.9</v>
      </c>
      <c r="BG261">
        <v>10</v>
      </c>
      <c r="BH261">
        <v>10.9</v>
      </c>
      <c r="BI261">
        <v>10</v>
      </c>
      <c r="BJ261">
        <v>10.5</v>
      </c>
      <c r="BK261">
        <v>9</v>
      </c>
      <c r="BL261">
        <v>19.399999999999999</v>
      </c>
      <c r="BM261">
        <v>19</v>
      </c>
      <c r="BN261">
        <v>23.4</v>
      </c>
      <c r="BO261">
        <v>19</v>
      </c>
      <c r="BP261">
        <v>21.5</v>
      </c>
      <c r="BQ261">
        <v>20</v>
      </c>
      <c r="BR261">
        <v>21.7</v>
      </c>
      <c r="BS261">
        <v>25</v>
      </c>
      <c r="BT261">
        <v>21.9</v>
      </c>
      <c r="BU261">
        <v>25</v>
      </c>
      <c r="BV261">
        <v>23.6</v>
      </c>
      <c r="BW261">
        <v>18</v>
      </c>
      <c r="BX261">
        <v>20.5</v>
      </c>
      <c r="BY261">
        <v>20</v>
      </c>
      <c r="BZ261">
        <v>21.5</v>
      </c>
      <c r="CA261">
        <v>20</v>
      </c>
      <c r="CB261">
        <v>10.199999999999999</v>
      </c>
      <c r="CC261">
        <v>10</v>
      </c>
      <c r="CD261">
        <v>11.3</v>
      </c>
      <c r="CE261">
        <v>10</v>
      </c>
      <c r="CF261">
        <v>11.8</v>
      </c>
      <c r="CG261">
        <v>9</v>
      </c>
      <c r="CH261">
        <v>12</v>
      </c>
      <c r="CI261">
        <v>9</v>
      </c>
    </row>
    <row r="262" spans="1:87" x14ac:dyDescent="0.35">
      <c r="A262" s="1">
        <v>46059.632638888892</v>
      </c>
      <c r="B262">
        <v>-22.3</v>
      </c>
      <c r="C262">
        <v>-20.399999999999999</v>
      </c>
      <c r="D262">
        <v>-25</v>
      </c>
      <c r="E262">
        <v>-21.7</v>
      </c>
      <c r="F262">
        <v>-23.1</v>
      </c>
      <c r="G262">
        <v>-25</v>
      </c>
      <c r="H262">
        <v>-18.899999999999999</v>
      </c>
      <c r="I262">
        <v>-24.1</v>
      </c>
      <c r="J262">
        <v>-25</v>
      </c>
      <c r="K262">
        <v>-19.5</v>
      </c>
      <c r="L262">
        <v>-17.899999999999999</v>
      </c>
      <c r="M262">
        <v>-25</v>
      </c>
      <c r="N262">
        <v>-14.7</v>
      </c>
      <c r="O262">
        <v>0.2</v>
      </c>
      <c r="P262">
        <v>-25</v>
      </c>
      <c r="Q262">
        <v>-14.5</v>
      </c>
      <c r="R262">
        <v>-14.3</v>
      </c>
      <c r="S262">
        <v>-25</v>
      </c>
      <c r="T262">
        <v>3.4</v>
      </c>
      <c r="U262">
        <v>3.5</v>
      </c>
      <c r="V262">
        <v>2</v>
      </c>
      <c r="W262">
        <v>3.4</v>
      </c>
      <c r="X262">
        <v>3.2</v>
      </c>
      <c r="Y262">
        <v>2</v>
      </c>
      <c r="Z262">
        <v>4.2</v>
      </c>
      <c r="AA262">
        <v>3.9</v>
      </c>
      <c r="AB262">
        <v>2</v>
      </c>
      <c r="AC262">
        <v>4</v>
      </c>
      <c r="AD262">
        <v>3</v>
      </c>
      <c r="AE262">
        <v>2</v>
      </c>
      <c r="AF262">
        <v>2.5</v>
      </c>
      <c r="AG262">
        <v>2.2999999999999998</v>
      </c>
      <c r="AH262">
        <v>2</v>
      </c>
      <c r="AI262">
        <v>2.4</v>
      </c>
      <c r="AJ262">
        <v>1.7</v>
      </c>
      <c r="AK262">
        <v>2</v>
      </c>
      <c r="AL262">
        <v>4.5</v>
      </c>
      <c r="AM262">
        <v>4</v>
      </c>
      <c r="AN262">
        <v>4.0999999999999996</v>
      </c>
      <c r="AO262">
        <v>4</v>
      </c>
      <c r="AP262">
        <v>5</v>
      </c>
      <c r="AQ262">
        <v>4</v>
      </c>
      <c r="AR262">
        <v>6.6</v>
      </c>
      <c r="AS262">
        <v>4</v>
      </c>
      <c r="AT262">
        <v>-5.0999999999999996</v>
      </c>
      <c r="AU262">
        <v>-6.4</v>
      </c>
      <c r="AV262">
        <v>-5</v>
      </c>
      <c r="AW262">
        <v>-4.8</v>
      </c>
      <c r="AX262">
        <v>-7</v>
      </c>
      <c r="AY262">
        <v>-5</v>
      </c>
      <c r="AZ262">
        <v>11.6</v>
      </c>
      <c r="BA262">
        <v>10</v>
      </c>
      <c r="BB262">
        <v>11.7</v>
      </c>
      <c r="BC262">
        <v>10</v>
      </c>
      <c r="BD262">
        <v>3.8</v>
      </c>
      <c r="BE262">
        <v>4</v>
      </c>
      <c r="BF262">
        <v>11.1</v>
      </c>
      <c r="BG262">
        <v>10</v>
      </c>
      <c r="BH262">
        <v>10.9</v>
      </c>
      <c r="BI262">
        <v>10</v>
      </c>
      <c r="BJ262">
        <v>10.5</v>
      </c>
      <c r="BK262">
        <v>9</v>
      </c>
      <c r="BL262">
        <v>19.399999999999999</v>
      </c>
      <c r="BM262">
        <v>19</v>
      </c>
      <c r="BN262">
        <v>23.5</v>
      </c>
      <c r="BO262">
        <v>19</v>
      </c>
      <c r="BP262">
        <v>21.5</v>
      </c>
      <c r="BQ262">
        <v>20</v>
      </c>
      <c r="BR262">
        <v>21.7</v>
      </c>
      <c r="BS262">
        <v>25</v>
      </c>
      <c r="BT262">
        <v>21.9</v>
      </c>
      <c r="BU262">
        <v>25</v>
      </c>
      <c r="BV262">
        <v>23.6</v>
      </c>
      <c r="BW262">
        <v>18</v>
      </c>
      <c r="BX262">
        <v>20.6</v>
      </c>
      <c r="BY262">
        <v>20</v>
      </c>
      <c r="BZ262">
        <v>21.5</v>
      </c>
      <c r="CA262">
        <v>20</v>
      </c>
      <c r="CB262">
        <v>10.199999999999999</v>
      </c>
      <c r="CC262">
        <v>10</v>
      </c>
      <c r="CD262">
        <v>11.1</v>
      </c>
      <c r="CE262">
        <v>10</v>
      </c>
      <c r="CF262">
        <v>11.7</v>
      </c>
      <c r="CG262">
        <v>9</v>
      </c>
      <c r="CH262">
        <v>11.9</v>
      </c>
      <c r="CI262">
        <v>9</v>
      </c>
    </row>
    <row r="263" spans="1:87" x14ac:dyDescent="0.35">
      <c r="A263" s="1">
        <v>46059.633333333331</v>
      </c>
      <c r="B263">
        <v>-22.3</v>
      </c>
      <c r="C263">
        <v>-20.5</v>
      </c>
      <c r="D263">
        <v>-25</v>
      </c>
      <c r="E263">
        <v>-21.7</v>
      </c>
      <c r="F263">
        <v>-23.1</v>
      </c>
      <c r="G263">
        <v>-25</v>
      </c>
      <c r="H263">
        <v>-18.899999999999999</v>
      </c>
      <c r="I263">
        <v>-24.1</v>
      </c>
      <c r="J263">
        <v>-25</v>
      </c>
      <c r="K263">
        <v>-19.5</v>
      </c>
      <c r="L263">
        <v>-17.899999999999999</v>
      </c>
      <c r="M263">
        <v>-25</v>
      </c>
      <c r="N263">
        <v>-14.8</v>
      </c>
      <c r="O263">
        <v>-1.5</v>
      </c>
      <c r="P263">
        <v>-25</v>
      </c>
      <c r="Q263">
        <v>-14.6</v>
      </c>
      <c r="R263">
        <v>-14.4</v>
      </c>
      <c r="S263">
        <v>-25</v>
      </c>
      <c r="T263">
        <v>3.5</v>
      </c>
      <c r="U263">
        <v>3.5</v>
      </c>
      <c r="V263">
        <v>2</v>
      </c>
      <c r="W263">
        <v>3.5</v>
      </c>
      <c r="X263">
        <v>3.3</v>
      </c>
      <c r="Y263">
        <v>2</v>
      </c>
      <c r="Z263">
        <v>4.2</v>
      </c>
      <c r="AA263">
        <v>3.7</v>
      </c>
      <c r="AB263">
        <v>2</v>
      </c>
      <c r="AC263">
        <v>3.8</v>
      </c>
      <c r="AD263">
        <v>2.5</v>
      </c>
      <c r="AE263">
        <v>2</v>
      </c>
      <c r="AF263">
        <v>2.6</v>
      </c>
      <c r="AG263">
        <v>2.4</v>
      </c>
      <c r="AH263">
        <v>2</v>
      </c>
      <c r="AI263">
        <v>2.5</v>
      </c>
      <c r="AJ263">
        <v>2.1</v>
      </c>
      <c r="AK263">
        <v>2</v>
      </c>
      <c r="AL263">
        <v>4.5999999999999996</v>
      </c>
      <c r="AM263">
        <v>4</v>
      </c>
      <c r="AN263">
        <v>4</v>
      </c>
      <c r="AO263">
        <v>4</v>
      </c>
      <c r="AP263">
        <v>4</v>
      </c>
      <c r="AQ263">
        <v>4</v>
      </c>
      <c r="AR263">
        <v>6.7</v>
      </c>
      <c r="AS263">
        <v>4</v>
      </c>
      <c r="AT263">
        <v>-5</v>
      </c>
      <c r="AU263">
        <v>-5.7</v>
      </c>
      <c r="AV263">
        <v>-5</v>
      </c>
      <c r="AW263">
        <v>-5.3</v>
      </c>
      <c r="AX263">
        <v>-6.8</v>
      </c>
      <c r="AY263">
        <v>-5</v>
      </c>
      <c r="AZ263">
        <v>10.9</v>
      </c>
      <c r="BA263">
        <v>10</v>
      </c>
      <c r="BB263">
        <v>11.6</v>
      </c>
      <c r="BC263">
        <v>10</v>
      </c>
      <c r="BD263">
        <v>3.8</v>
      </c>
      <c r="BE263">
        <v>4</v>
      </c>
      <c r="BF263">
        <v>11.3</v>
      </c>
      <c r="BG263">
        <v>10</v>
      </c>
      <c r="BH263">
        <v>10.9</v>
      </c>
      <c r="BI263">
        <v>10</v>
      </c>
      <c r="BJ263">
        <v>10.5</v>
      </c>
      <c r="BK263">
        <v>9</v>
      </c>
      <c r="BL263">
        <v>19.399999999999999</v>
      </c>
      <c r="BM263">
        <v>19</v>
      </c>
      <c r="BN263">
        <v>23.5</v>
      </c>
      <c r="BO263">
        <v>19</v>
      </c>
      <c r="BP263">
        <v>21.5</v>
      </c>
      <c r="BQ263">
        <v>20</v>
      </c>
      <c r="BR263">
        <v>21.7</v>
      </c>
      <c r="BS263">
        <v>25</v>
      </c>
      <c r="BT263">
        <v>21.9</v>
      </c>
      <c r="BU263">
        <v>25</v>
      </c>
      <c r="BV263">
        <v>23.6</v>
      </c>
      <c r="BW263">
        <v>18</v>
      </c>
      <c r="BX263">
        <v>20.7</v>
      </c>
      <c r="BY263">
        <v>20</v>
      </c>
      <c r="BZ263">
        <v>21.5</v>
      </c>
      <c r="CA263">
        <v>20</v>
      </c>
      <c r="CB263">
        <v>10.199999999999999</v>
      </c>
      <c r="CC263">
        <v>10</v>
      </c>
      <c r="CD263">
        <v>10.9</v>
      </c>
      <c r="CE263">
        <v>10</v>
      </c>
      <c r="CF263">
        <v>11.7</v>
      </c>
      <c r="CG263">
        <v>9</v>
      </c>
      <c r="CH263">
        <v>11.9</v>
      </c>
      <c r="CI263">
        <v>9</v>
      </c>
    </row>
    <row r="264" spans="1:87" x14ac:dyDescent="0.35">
      <c r="A264" s="1">
        <v>46059.634027777778</v>
      </c>
      <c r="B264">
        <v>-22.4</v>
      </c>
      <c r="C264">
        <v>-20.5</v>
      </c>
      <c r="D264">
        <v>-25</v>
      </c>
      <c r="E264">
        <v>-21.8</v>
      </c>
      <c r="F264">
        <v>-23.7</v>
      </c>
      <c r="G264">
        <v>-25</v>
      </c>
      <c r="H264">
        <v>-18.899999999999999</v>
      </c>
      <c r="I264">
        <v>-24.1</v>
      </c>
      <c r="J264">
        <v>-25</v>
      </c>
      <c r="K264">
        <v>-19.600000000000001</v>
      </c>
      <c r="L264">
        <v>-18</v>
      </c>
      <c r="M264">
        <v>-25</v>
      </c>
      <c r="N264">
        <v>-15</v>
      </c>
      <c r="O264">
        <v>-2.8</v>
      </c>
      <c r="P264">
        <v>-25</v>
      </c>
      <c r="Q264">
        <v>-14.7</v>
      </c>
      <c r="R264">
        <v>-14.5</v>
      </c>
      <c r="S264">
        <v>-25</v>
      </c>
      <c r="T264">
        <v>3.6</v>
      </c>
      <c r="U264">
        <v>3.6</v>
      </c>
      <c r="V264">
        <v>2</v>
      </c>
      <c r="W264">
        <v>3.6</v>
      </c>
      <c r="X264">
        <v>3.4</v>
      </c>
      <c r="Y264">
        <v>2</v>
      </c>
      <c r="Z264">
        <v>4</v>
      </c>
      <c r="AA264">
        <v>3.5</v>
      </c>
      <c r="AB264">
        <v>2</v>
      </c>
      <c r="AC264">
        <v>3.6</v>
      </c>
      <c r="AD264">
        <v>2.1</v>
      </c>
      <c r="AE264">
        <v>2</v>
      </c>
      <c r="AF264">
        <v>2.7</v>
      </c>
      <c r="AG264">
        <v>2.4</v>
      </c>
      <c r="AH264">
        <v>2</v>
      </c>
      <c r="AI264">
        <v>2.5</v>
      </c>
      <c r="AJ264">
        <v>1.9</v>
      </c>
      <c r="AK264">
        <v>2</v>
      </c>
      <c r="AL264">
        <v>4.7</v>
      </c>
      <c r="AM264">
        <v>4</v>
      </c>
      <c r="AN264">
        <v>4</v>
      </c>
      <c r="AO264">
        <v>4</v>
      </c>
      <c r="AP264">
        <v>3.2</v>
      </c>
      <c r="AQ264">
        <v>4</v>
      </c>
      <c r="AR264">
        <v>6.8</v>
      </c>
      <c r="AS264">
        <v>4</v>
      </c>
      <c r="AT264">
        <v>-4.4000000000000004</v>
      </c>
      <c r="AU264">
        <v>-4.9000000000000004</v>
      </c>
      <c r="AV264">
        <v>-5</v>
      </c>
      <c r="AW264">
        <v>-5.3</v>
      </c>
      <c r="AX264">
        <v>-5.5</v>
      </c>
      <c r="AY264">
        <v>-5</v>
      </c>
      <c r="AZ264">
        <v>10.1</v>
      </c>
      <c r="BA264">
        <v>10</v>
      </c>
      <c r="BB264">
        <v>11.5</v>
      </c>
      <c r="BC264">
        <v>10</v>
      </c>
      <c r="BD264">
        <v>3.9</v>
      </c>
      <c r="BE264">
        <v>4</v>
      </c>
      <c r="BF264">
        <v>11.5</v>
      </c>
      <c r="BG264">
        <v>10</v>
      </c>
      <c r="BH264">
        <v>10.9</v>
      </c>
      <c r="BI264">
        <v>10</v>
      </c>
      <c r="BJ264">
        <v>10.5</v>
      </c>
      <c r="BK264">
        <v>9</v>
      </c>
      <c r="BL264">
        <v>19.399999999999999</v>
      </c>
      <c r="BM264">
        <v>19</v>
      </c>
      <c r="BN264">
        <v>23.5</v>
      </c>
      <c r="BO264">
        <v>19</v>
      </c>
      <c r="BP264">
        <v>21.5</v>
      </c>
      <c r="BQ264">
        <v>20</v>
      </c>
      <c r="BR264">
        <v>21.7</v>
      </c>
      <c r="BS264">
        <v>25</v>
      </c>
      <c r="BT264">
        <v>21.9</v>
      </c>
      <c r="BU264">
        <v>25</v>
      </c>
      <c r="BV264">
        <v>23.6</v>
      </c>
      <c r="BW264">
        <v>18</v>
      </c>
      <c r="BX264">
        <v>20.8</v>
      </c>
      <c r="BY264">
        <v>20</v>
      </c>
      <c r="BZ264">
        <v>21.5</v>
      </c>
      <c r="CA264">
        <v>20</v>
      </c>
      <c r="CB264">
        <v>10.199999999999999</v>
      </c>
      <c r="CC264">
        <v>10</v>
      </c>
      <c r="CD264">
        <v>10.8</v>
      </c>
      <c r="CE264">
        <v>10</v>
      </c>
      <c r="CF264">
        <v>11.6</v>
      </c>
      <c r="CG264">
        <v>9</v>
      </c>
      <c r="CH264">
        <v>11.8</v>
      </c>
      <c r="CI264">
        <v>9</v>
      </c>
    </row>
    <row r="265" spans="1:87" x14ac:dyDescent="0.35">
      <c r="A265" s="1">
        <v>46059.634722222225</v>
      </c>
      <c r="B265">
        <v>-22.4</v>
      </c>
      <c r="C265">
        <v>-20.6</v>
      </c>
      <c r="D265">
        <v>-25</v>
      </c>
      <c r="E265">
        <v>-21.8</v>
      </c>
      <c r="F265">
        <v>-23.1</v>
      </c>
      <c r="G265">
        <v>-25</v>
      </c>
      <c r="H265">
        <v>-19</v>
      </c>
      <c r="I265">
        <v>-24.2</v>
      </c>
      <c r="J265">
        <v>-25</v>
      </c>
      <c r="K265">
        <v>-19.600000000000001</v>
      </c>
      <c r="L265">
        <v>-18.100000000000001</v>
      </c>
      <c r="M265">
        <v>-25</v>
      </c>
      <c r="N265">
        <v>-15.1</v>
      </c>
      <c r="O265">
        <v>-4.0999999999999996</v>
      </c>
      <c r="P265">
        <v>-25</v>
      </c>
      <c r="Q265">
        <v>-14.8</v>
      </c>
      <c r="R265">
        <v>-14.6</v>
      </c>
      <c r="S265">
        <v>-25</v>
      </c>
      <c r="T265">
        <v>3.7</v>
      </c>
      <c r="U265">
        <v>3.6</v>
      </c>
      <c r="V265">
        <v>2</v>
      </c>
      <c r="W265">
        <v>3.7</v>
      </c>
      <c r="X265">
        <v>3.4</v>
      </c>
      <c r="Y265">
        <v>2</v>
      </c>
      <c r="Z265">
        <v>3.8</v>
      </c>
      <c r="AA265">
        <v>3.3</v>
      </c>
      <c r="AB265">
        <v>2</v>
      </c>
      <c r="AC265">
        <v>3.4</v>
      </c>
      <c r="AD265">
        <v>2.1</v>
      </c>
      <c r="AE265">
        <v>2</v>
      </c>
      <c r="AF265">
        <v>2.7</v>
      </c>
      <c r="AG265">
        <v>2.2999999999999998</v>
      </c>
      <c r="AH265">
        <v>2</v>
      </c>
      <c r="AI265">
        <v>2.5</v>
      </c>
      <c r="AJ265">
        <v>1.6</v>
      </c>
      <c r="AK265">
        <v>2</v>
      </c>
      <c r="AL265">
        <v>4.7</v>
      </c>
      <c r="AM265">
        <v>4</v>
      </c>
      <c r="AN265">
        <v>4</v>
      </c>
      <c r="AO265">
        <v>4</v>
      </c>
      <c r="AP265">
        <v>3</v>
      </c>
      <c r="AQ265">
        <v>4</v>
      </c>
      <c r="AR265">
        <v>6.7</v>
      </c>
      <c r="AS265">
        <v>4</v>
      </c>
      <c r="AT265">
        <v>-3.9</v>
      </c>
      <c r="AU265">
        <v>-4.2</v>
      </c>
      <c r="AV265">
        <v>-5</v>
      </c>
      <c r="AW265">
        <v>-4.5</v>
      </c>
      <c r="AX265">
        <v>-4.4000000000000004</v>
      </c>
      <c r="AY265">
        <v>-5</v>
      </c>
      <c r="AZ265">
        <v>9.1999999999999993</v>
      </c>
      <c r="BA265">
        <v>10</v>
      </c>
      <c r="BB265">
        <v>11.5</v>
      </c>
      <c r="BC265">
        <v>10</v>
      </c>
      <c r="BD265">
        <v>4.3</v>
      </c>
      <c r="BE265">
        <v>4</v>
      </c>
      <c r="BF265">
        <v>11.7</v>
      </c>
      <c r="BG265">
        <v>10</v>
      </c>
      <c r="BH265">
        <v>10.9</v>
      </c>
      <c r="BI265">
        <v>10</v>
      </c>
      <c r="BJ265">
        <v>10.5</v>
      </c>
      <c r="BK265">
        <v>9</v>
      </c>
      <c r="BL265">
        <v>19.5</v>
      </c>
      <c r="BM265">
        <v>19</v>
      </c>
      <c r="BN265">
        <v>23.5</v>
      </c>
      <c r="BO265">
        <v>19</v>
      </c>
      <c r="BP265">
        <v>21.5</v>
      </c>
      <c r="BQ265">
        <v>20</v>
      </c>
      <c r="BR265">
        <v>21.7</v>
      </c>
      <c r="BS265">
        <v>25</v>
      </c>
      <c r="BT265">
        <v>21.9</v>
      </c>
      <c r="BU265">
        <v>25</v>
      </c>
      <c r="BV265">
        <v>23.6</v>
      </c>
      <c r="BW265">
        <v>18</v>
      </c>
      <c r="BX265">
        <v>20.8</v>
      </c>
      <c r="BY265">
        <v>20</v>
      </c>
      <c r="BZ265">
        <v>21.6</v>
      </c>
      <c r="CA265">
        <v>20</v>
      </c>
      <c r="CB265">
        <v>10.199999999999999</v>
      </c>
      <c r="CC265">
        <v>10</v>
      </c>
      <c r="CD265">
        <v>10.7</v>
      </c>
      <c r="CE265">
        <v>10</v>
      </c>
      <c r="CF265">
        <v>11.7</v>
      </c>
      <c r="CG265">
        <v>9</v>
      </c>
      <c r="CH265">
        <v>11.9</v>
      </c>
      <c r="CI265">
        <v>9</v>
      </c>
    </row>
    <row r="266" spans="1:87" x14ac:dyDescent="0.35">
      <c r="A266" s="1">
        <v>46059.635416666664</v>
      </c>
      <c r="B266">
        <v>-22.4</v>
      </c>
      <c r="C266">
        <v>-20.6</v>
      </c>
      <c r="D266">
        <v>-25</v>
      </c>
      <c r="E266">
        <v>-21.9</v>
      </c>
      <c r="F266">
        <v>-23.1</v>
      </c>
      <c r="G266">
        <v>-25</v>
      </c>
      <c r="H266">
        <v>-19</v>
      </c>
      <c r="I266">
        <v>-24.2</v>
      </c>
      <c r="J266">
        <v>-25</v>
      </c>
      <c r="K266">
        <v>-19.7</v>
      </c>
      <c r="L266">
        <v>-18.2</v>
      </c>
      <c r="M266">
        <v>-25</v>
      </c>
      <c r="N266">
        <v>-15.3</v>
      </c>
      <c r="O266">
        <v>-5.4</v>
      </c>
      <c r="P266">
        <v>-25</v>
      </c>
      <c r="Q266">
        <v>-14.9</v>
      </c>
      <c r="R266">
        <v>-14.7</v>
      </c>
      <c r="S266">
        <v>-25</v>
      </c>
      <c r="T266">
        <v>3.7</v>
      </c>
      <c r="U266">
        <v>3.7</v>
      </c>
      <c r="V266">
        <v>2</v>
      </c>
      <c r="W266">
        <v>3.7</v>
      </c>
      <c r="X266">
        <v>3.5</v>
      </c>
      <c r="Y266">
        <v>2</v>
      </c>
      <c r="Z266">
        <v>3.7</v>
      </c>
      <c r="AA266">
        <v>3.1</v>
      </c>
      <c r="AB266">
        <v>2</v>
      </c>
      <c r="AC266">
        <v>3.2</v>
      </c>
      <c r="AD266">
        <v>2.2000000000000002</v>
      </c>
      <c r="AE266">
        <v>2</v>
      </c>
      <c r="AF266">
        <v>2.5</v>
      </c>
      <c r="AG266">
        <v>2.1</v>
      </c>
      <c r="AH266">
        <v>2</v>
      </c>
      <c r="AI266">
        <v>2.2999999999999998</v>
      </c>
      <c r="AJ266">
        <v>1.4</v>
      </c>
      <c r="AK266">
        <v>2</v>
      </c>
      <c r="AL266">
        <v>4.8</v>
      </c>
      <c r="AM266">
        <v>4</v>
      </c>
      <c r="AN266">
        <v>4</v>
      </c>
      <c r="AO266">
        <v>4</v>
      </c>
      <c r="AP266">
        <v>3</v>
      </c>
      <c r="AQ266">
        <v>4</v>
      </c>
      <c r="AR266">
        <v>6</v>
      </c>
      <c r="AS266">
        <v>4</v>
      </c>
      <c r="AT266">
        <v>-3.5</v>
      </c>
      <c r="AU266">
        <v>-3.7</v>
      </c>
      <c r="AV266">
        <v>-5</v>
      </c>
      <c r="AW266">
        <v>-3.9</v>
      </c>
      <c r="AX266">
        <v>-3.7</v>
      </c>
      <c r="AY266">
        <v>-5</v>
      </c>
      <c r="AZ266">
        <v>9.1</v>
      </c>
      <c r="BA266">
        <v>10</v>
      </c>
      <c r="BB266">
        <v>11.5</v>
      </c>
      <c r="BC266">
        <v>10</v>
      </c>
      <c r="BD266">
        <v>4.5</v>
      </c>
      <c r="BE266">
        <v>4</v>
      </c>
      <c r="BF266">
        <v>11.9</v>
      </c>
      <c r="BG266">
        <v>10</v>
      </c>
      <c r="BH266">
        <v>10.9</v>
      </c>
      <c r="BI266">
        <v>10</v>
      </c>
      <c r="BJ266">
        <v>10.5</v>
      </c>
      <c r="BK266">
        <v>9</v>
      </c>
      <c r="BL266">
        <v>19.5</v>
      </c>
      <c r="BM266">
        <v>19</v>
      </c>
      <c r="BN266">
        <v>23.5</v>
      </c>
      <c r="BO266">
        <v>19</v>
      </c>
      <c r="BP266">
        <v>21.6</v>
      </c>
      <c r="BQ266">
        <v>20</v>
      </c>
      <c r="BR266">
        <v>21.7</v>
      </c>
      <c r="BS266">
        <v>25</v>
      </c>
      <c r="BT266">
        <v>21.9</v>
      </c>
      <c r="BU266">
        <v>25</v>
      </c>
      <c r="BV266">
        <v>23.6</v>
      </c>
      <c r="BW266">
        <v>18</v>
      </c>
      <c r="BX266">
        <v>20.9</v>
      </c>
      <c r="BY266">
        <v>20</v>
      </c>
      <c r="BZ266">
        <v>21.6</v>
      </c>
      <c r="CA266">
        <v>20</v>
      </c>
      <c r="CB266">
        <v>10.199999999999999</v>
      </c>
      <c r="CC266">
        <v>10</v>
      </c>
      <c r="CD266">
        <v>10.7</v>
      </c>
      <c r="CE266">
        <v>10</v>
      </c>
      <c r="CF266">
        <v>11.5</v>
      </c>
      <c r="CG266">
        <v>9</v>
      </c>
      <c r="CH266">
        <v>11.7</v>
      </c>
      <c r="CI266">
        <v>9</v>
      </c>
    </row>
    <row r="267" spans="1:87" x14ac:dyDescent="0.35">
      <c r="A267" s="1">
        <v>46059.636111111111</v>
      </c>
      <c r="B267">
        <v>-22.4</v>
      </c>
      <c r="C267">
        <v>-20.6</v>
      </c>
      <c r="D267">
        <v>-25</v>
      </c>
      <c r="E267">
        <v>-21.9</v>
      </c>
      <c r="F267">
        <v>-23.1</v>
      </c>
      <c r="G267">
        <v>-25</v>
      </c>
      <c r="H267">
        <v>-19.100000000000001</v>
      </c>
      <c r="I267">
        <v>-24.3</v>
      </c>
      <c r="J267">
        <v>-25</v>
      </c>
      <c r="K267">
        <v>-19.8</v>
      </c>
      <c r="L267">
        <v>-18.2</v>
      </c>
      <c r="M267">
        <v>-25</v>
      </c>
      <c r="N267">
        <v>-15.3</v>
      </c>
      <c r="O267">
        <v>-6.5</v>
      </c>
      <c r="P267">
        <v>-25</v>
      </c>
      <c r="Q267">
        <v>-15</v>
      </c>
      <c r="R267">
        <v>-14.8</v>
      </c>
      <c r="S267">
        <v>-25</v>
      </c>
      <c r="T267">
        <v>3.8</v>
      </c>
      <c r="U267">
        <v>3.8</v>
      </c>
      <c r="V267">
        <v>2</v>
      </c>
      <c r="W267">
        <v>3.8</v>
      </c>
      <c r="X267">
        <v>3.6</v>
      </c>
      <c r="Y267">
        <v>2</v>
      </c>
      <c r="Z267">
        <v>3.6</v>
      </c>
      <c r="AA267">
        <v>3.1</v>
      </c>
      <c r="AB267">
        <v>2</v>
      </c>
      <c r="AC267">
        <v>3.2</v>
      </c>
      <c r="AD267">
        <v>2.4</v>
      </c>
      <c r="AE267">
        <v>2</v>
      </c>
      <c r="AF267">
        <v>2.2999999999999998</v>
      </c>
      <c r="AG267">
        <v>1.9</v>
      </c>
      <c r="AH267">
        <v>2</v>
      </c>
      <c r="AI267">
        <v>2.2000000000000002</v>
      </c>
      <c r="AJ267">
        <v>1.3</v>
      </c>
      <c r="AK267">
        <v>2</v>
      </c>
      <c r="AL267">
        <v>4.8</v>
      </c>
      <c r="AM267">
        <v>4</v>
      </c>
      <c r="AN267">
        <v>4</v>
      </c>
      <c r="AO267">
        <v>4</v>
      </c>
      <c r="AP267">
        <v>3.2</v>
      </c>
      <c r="AQ267">
        <v>4</v>
      </c>
      <c r="AR267">
        <v>5.4</v>
      </c>
      <c r="AS267">
        <v>4</v>
      </c>
      <c r="AT267">
        <v>-3.1</v>
      </c>
      <c r="AU267">
        <v>-3.3</v>
      </c>
      <c r="AV267">
        <v>-5</v>
      </c>
      <c r="AW267">
        <v>-3.4</v>
      </c>
      <c r="AX267">
        <v>-3.2</v>
      </c>
      <c r="AY267">
        <v>-5</v>
      </c>
      <c r="AZ267">
        <v>9.1</v>
      </c>
      <c r="BA267">
        <v>10</v>
      </c>
      <c r="BB267">
        <v>11.2</v>
      </c>
      <c r="BC267">
        <v>10</v>
      </c>
      <c r="BD267">
        <v>4.8</v>
      </c>
      <c r="BE267">
        <v>4</v>
      </c>
      <c r="BF267">
        <v>12</v>
      </c>
      <c r="BG267">
        <v>10</v>
      </c>
      <c r="BH267">
        <v>10.9</v>
      </c>
      <c r="BI267">
        <v>10</v>
      </c>
      <c r="BJ267">
        <v>10.5</v>
      </c>
      <c r="BK267">
        <v>9</v>
      </c>
      <c r="BL267">
        <v>19.600000000000001</v>
      </c>
      <c r="BM267">
        <v>19</v>
      </c>
      <c r="BN267">
        <v>23.5</v>
      </c>
      <c r="BO267">
        <v>19</v>
      </c>
      <c r="BP267">
        <v>21.6</v>
      </c>
      <c r="BQ267">
        <v>20</v>
      </c>
      <c r="BR267">
        <v>21.7</v>
      </c>
      <c r="BS267">
        <v>25</v>
      </c>
      <c r="BT267">
        <v>21.9</v>
      </c>
      <c r="BU267">
        <v>25</v>
      </c>
      <c r="BV267">
        <v>23.6</v>
      </c>
      <c r="BW267">
        <v>18</v>
      </c>
      <c r="BX267">
        <v>20.9</v>
      </c>
      <c r="BY267">
        <v>20</v>
      </c>
      <c r="BZ267">
        <v>21.6</v>
      </c>
      <c r="CA267">
        <v>20</v>
      </c>
      <c r="CB267">
        <v>10.199999999999999</v>
      </c>
      <c r="CC267">
        <v>10</v>
      </c>
      <c r="CD267">
        <v>10.6</v>
      </c>
      <c r="CE267">
        <v>10</v>
      </c>
      <c r="CF267">
        <v>11.4</v>
      </c>
      <c r="CG267">
        <v>9</v>
      </c>
      <c r="CH267">
        <v>11.7</v>
      </c>
      <c r="CI267">
        <v>9</v>
      </c>
    </row>
    <row r="268" spans="1:87" x14ac:dyDescent="0.35">
      <c r="A268" s="1">
        <v>46059.636805555558</v>
      </c>
      <c r="B268">
        <v>-22.5</v>
      </c>
      <c r="C268">
        <v>-20.6</v>
      </c>
      <c r="D268">
        <v>-25</v>
      </c>
      <c r="E268">
        <v>-21.9</v>
      </c>
      <c r="F268">
        <v>-23.1</v>
      </c>
      <c r="G268">
        <v>-25</v>
      </c>
      <c r="H268">
        <v>-19.100000000000001</v>
      </c>
      <c r="I268">
        <v>-24.3</v>
      </c>
      <c r="J268">
        <v>-25</v>
      </c>
      <c r="K268">
        <v>-19.8</v>
      </c>
      <c r="L268">
        <v>-18.3</v>
      </c>
      <c r="M268">
        <v>-25</v>
      </c>
      <c r="N268">
        <v>-15.4</v>
      </c>
      <c r="O268">
        <v>-7.4</v>
      </c>
      <c r="P268">
        <v>-25</v>
      </c>
      <c r="Q268">
        <v>-15.1</v>
      </c>
      <c r="R268">
        <v>-15</v>
      </c>
      <c r="S268">
        <v>-25</v>
      </c>
      <c r="T268">
        <v>3.9</v>
      </c>
      <c r="U268">
        <v>3.9</v>
      </c>
      <c r="V268">
        <v>2</v>
      </c>
      <c r="W268">
        <v>3.9</v>
      </c>
      <c r="X268">
        <v>3.6</v>
      </c>
      <c r="Y268">
        <v>2</v>
      </c>
      <c r="Z268">
        <v>3.6</v>
      </c>
      <c r="AA268">
        <v>3.1</v>
      </c>
      <c r="AB268">
        <v>2</v>
      </c>
      <c r="AC268">
        <v>3.2</v>
      </c>
      <c r="AD268">
        <v>2.6</v>
      </c>
      <c r="AE268">
        <v>2</v>
      </c>
      <c r="AF268">
        <v>2.2999999999999998</v>
      </c>
      <c r="AG268">
        <v>1.9</v>
      </c>
      <c r="AH268">
        <v>2</v>
      </c>
      <c r="AI268">
        <v>2.2000000000000002</v>
      </c>
      <c r="AJ268">
        <v>1.3</v>
      </c>
      <c r="AK268">
        <v>2</v>
      </c>
      <c r="AL268">
        <v>4.9000000000000004</v>
      </c>
      <c r="AM268">
        <v>4</v>
      </c>
      <c r="AN268">
        <v>4.0999999999999996</v>
      </c>
      <c r="AO268">
        <v>4</v>
      </c>
      <c r="AP268">
        <v>3.5</v>
      </c>
      <c r="AQ268">
        <v>4</v>
      </c>
      <c r="AR268">
        <v>4.9000000000000004</v>
      </c>
      <c r="AS268">
        <v>4</v>
      </c>
      <c r="AT268">
        <v>-2.9</v>
      </c>
      <c r="AU268">
        <v>-4</v>
      </c>
      <c r="AV268">
        <v>-5</v>
      </c>
      <c r="AW268">
        <v>-2.9</v>
      </c>
      <c r="AX268">
        <v>-2.7</v>
      </c>
      <c r="AY268">
        <v>-5</v>
      </c>
      <c r="AZ268">
        <v>9.1999999999999993</v>
      </c>
      <c r="BA268">
        <v>10</v>
      </c>
      <c r="BB268">
        <v>10.7</v>
      </c>
      <c r="BC268">
        <v>10</v>
      </c>
      <c r="BD268">
        <v>5</v>
      </c>
      <c r="BE268">
        <v>4</v>
      </c>
      <c r="BF268">
        <v>11.3</v>
      </c>
      <c r="BG268">
        <v>10</v>
      </c>
      <c r="BH268">
        <v>10.9</v>
      </c>
      <c r="BI268">
        <v>10</v>
      </c>
      <c r="BJ268">
        <v>10.5</v>
      </c>
      <c r="BK268">
        <v>9</v>
      </c>
      <c r="BL268">
        <v>19.600000000000001</v>
      </c>
      <c r="BM268">
        <v>19</v>
      </c>
      <c r="BN268">
        <v>23.5</v>
      </c>
      <c r="BO268">
        <v>19</v>
      </c>
      <c r="BP268">
        <v>21.6</v>
      </c>
      <c r="BQ268">
        <v>20</v>
      </c>
      <c r="BR268">
        <v>21.7</v>
      </c>
      <c r="BS268">
        <v>25</v>
      </c>
      <c r="BT268">
        <v>21.9</v>
      </c>
      <c r="BU268">
        <v>25</v>
      </c>
      <c r="BV268">
        <v>23.6</v>
      </c>
      <c r="BW268">
        <v>18</v>
      </c>
      <c r="BX268">
        <v>21</v>
      </c>
      <c r="BY268">
        <v>20</v>
      </c>
      <c r="BZ268">
        <v>21.6</v>
      </c>
      <c r="CA268">
        <v>20</v>
      </c>
      <c r="CB268">
        <v>10.199999999999999</v>
      </c>
      <c r="CC268">
        <v>10</v>
      </c>
      <c r="CD268">
        <v>10.6</v>
      </c>
      <c r="CE268">
        <v>10</v>
      </c>
      <c r="CF268">
        <v>11.4</v>
      </c>
      <c r="CG268">
        <v>9</v>
      </c>
      <c r="CH268">
        <v>11.6</v>
      </c>
      <c r="CI268">
        <v>9</v>
      </c>
    </row>
    <row r="269" spans="1:87" x14ac:dyDescent="0.35">
      <c r="A269" s="1">
        <v>46059.637499999997</v>
      </c>
      <c r="B269">
        <v>-22.5</v>
      </c>
      <c r="C269">
        <v>-20.7</v>
      </c>
      <c r="D269">
        <v>-25</v>
      </c>
      <c r="E269">
        <v>-22</v>
      </c>
      <c r="F269">
        <v>-23.1</v>
      </c>
      <c r="G269">
        <v>-25</v>
      </c>
      <c r="H269">
        <v>-19.100000000000001</v>
      </c>
      <c r="I269">
        <v>-24.3</v>
      </c>
      <c r="J269">
        <v>-25</v>
      </c>
      <c r="K269">
        <v>-19.8</v>
      </c>
      <c r="L269">
        <v>-18.399999999999999</v>
      </c>
      <c r="M269">
        <v>-25</v>
      </c>
      <c r="N269">
        <v>-15.5</v>
      </c>
      <c r="O269">
        <v>-8.1999999999999993</v>
      </c>
      <c r="P269">
        <v>-25</v>
      </c>
      <c r="Q269">
        <v>-15.2</v>
      </c>
      <c r="R269">
        <v>-15</v>
      </c>
      <c r="S269">
        <v>-25</v>
      </c>
      <c r="T269">
        <v>3.9</v>
      </c>
      <c r="U269">
        <v>3.9</v>
      </c>
      <c r="V269">
        <v>2</v>
      </c>
      <c r="W269">
        <v>3.9</v>
      </c>
      <c r="X269">
        <v>3.7</v>
      </c>
      <c r="Y269">
        <v>2</v>
      </c>
      <c r="Z269">
        <v>3.6</v>
      </c>
      <c r="AA269">
        <v>3.1</v>
      </c>
      <c r="AB269">
        <v>2</v>
      </c>
      <c r="AC269">
        <v>3.2</v>
      </c>
      <c r="AD269">
        <v>2.6</v>
      </c>
      <c r="AE269">
        <v>2</v>
      </c>
      <c r="AF269">
        <v>2.2999999999999998</v>
      </c>
      <c r="AG269">
        <v>1.9</v>
      </c>
      <c r="AH269">
        <v>2</v>
      </c>
      <c r="AI269">
        <v>2.2000000000000002</v>
      </c>
      <c r="AJ269">
        <v>0.9</v>
      </c>
      <c r="AK269">
        <v>2</v>
      </c>
      <c r="AL269">
        <v>4.9000000000000004</v>
      </c>
      <c r="AM269">
        <v>4</v>
      </c>
      <c r="AN269">
        <v>4.2</v>
      </c>
      <c r="AO269">
        <v>4</v>
      </c>
      <c r="AP269">
        <v>3.7</v>
      </c>
      <c r="AQ269">
        <v>4</v>
      </c>
      <c r="AR269">
        <v>4.4000000000000004</v>
      </c>
      <c r="AS269">
        <v>4</v>
      </c>
      <c r="AT269">
        <v>-3.2</v>
      </c>
      <c r="AU269">
        <v>-5</v>
      </c>
      <c r="AV269">
        <v>-5</v>
      </c>
      <c r="AW269">
        <v>-2.8</v>
      </c>
      <c r="AX269">
        <v>-2.7</v>
      </c>
      <c r="AY269">
        <v>-5</v>
      </c>
      <c r="AZ269">
        <v>9.5</v>
      </c>
      <c r="BA269">
        <v>10</v>
      </c>
      <c r="BB269">
        <v>10.3</v>
      </c>
      <c r="BC269">
        <v>10</v>
      </c>
      <c r="BD269">
        <v>5.2</v>
      </c>
      <c r="BE269">
        <v>4</v>
      </c>
      <c r="BF269">
        <v>10.3</v>
      </c>
      <c r="BG269">
        <v>10</v>
      </c>
      <c r="BH269">
        <v>10.9</v>
      </c>
      <c r="BI269">
        <v>10</v>
      </c>
      <c r="BJ269">
        <v>10.5</v>
      </c>
      <c r="BK269">
        <v>9</v>
      </c>
      <c r="BL269">
        <v>19.7</v>
      </c>
      <c r="BM269">
        <v>19</v>
      </c>
      <c r="BN269">
        <v>23.5</v>
      </c>
      <c r="BO269">
        <v>19</v>
      </c>
      <c r="BP269">
        <v>21.6</v>
      </c>
      <c r="BQ269">
        <v>20</v>
      </c>
      <c r="BR269">
        <v>21.7</v>
      </c>
      <c r="BS269">
        <v>25</v>
      </c>
      <c r="BT269">
        <v>21.9</v>
      </c>
      <c r="BU269">
        <v>25</v>
      </c>
      <c r="BV269">
        <v>23.6</v>
      </c>
      <c r="BW269">
        <v>18</v>
      </c>
      <c r="BX269">
        <v>21</v>
      </c>
      <c r="BY269">
        <v>20</v>
      </c>
      <c r="BZ269">
        <v>21.6</v>
      </c>
      <c r="CA269">
        <v>20</v>
      </c>
      <c r="CB269">
        <v>10.1</v>
      </c>
      <c r="CC269">
        <v>10</v>
      </c>
      <c r="CD269">
        <v>10.5</v>
      </c>
      <c r="CE269">
        <v>10</v>
      </c>
      <c r="CF269">
        <v>11.4</v>
      </c>
      <c r="CG269">
        <v>9</v>
      </c>
      <c r="CH269">
        <v>11.6</v>
      </c>
      <c r="CI269">
        <v>9</v>
      </c>
    </row>
    <row r="270" spans="1:87" x14ac:dyDescent="0.35">
      <c r="A270" s="1">
        <v>46059.63958333333</v>
      </c>
      <c r="B270">
        <v>-22.6</v>
      </c>
      <c r="C270">
        <v>-20.8</v>
      </c>
      <c r="D270">
        <v>-25</v>
      </c>
      <c r="E270">
        <v>-22.1</v>
      </c>
      <c r="F270">
        <v>-24.4</v>
      </c>
      <c r="G270">
        <v>-25</v>
      </c>
      <c r="H270">
        <v>-19.2</v>
      </c>
      <c r="I270">
        <v>-24.4</v>
      </c>
      <c r="J270">
        <v>-25</v>
      </c>
      <c r="K270">
        <v>-19.899999999999999</v>
      </c>
      <c r="L270">
        <v>-18.600000000000001</v>
      </c>
      <c r="M270">
        <v>-25</v>
      </c>
      <c r="N270">
        <v>-15.8</v>
      </c>
      <c r="O270">
        <v>-10.199999999999999</v>
      </c>
      <c r="P270">
        <v>-25</v>
      </c>
      <c r="Q270">
        <v>-15.5</v>
      </c>
      <c r="R270">
        <v>-15.3</v>
      </c>
      <c r="S270">
        <v>-25</v>
      </c>
      <c r="T270">
        <v>3.4</v>
      </c>
      <c r="U270">
        <v>0.9</v>
      </c>
      <c r="V270">
        <v>2</v>
      </c>
      <c r="W270">
        <v>3.5</v>
      </c>
      <c r="X270">
        <v>1.4</v>
      </c>
      <c r="Y270">
        <v>2</v>
      </c>
      <c r="Z270">
        <v>3.4</v>
      </c>
      <c r="AA270">
        <v>2.8</v>
      </c>
      <c r="AB270">
        <v>2</v>
      </c>
      <c r="AC270">
        <v>2.9</v>
      </c>
      <c r="AD270">
        <v>1.5</v>
      </c>
      <c r="AE270">
        <v>2</v>
      </c>
      <c r="AF270">
        <v>2.1</v>
      </c>
      <c r="AG270">
        <v>1.9</v>
      </c>
      <c r="AH270">
        <v>2</v>
      </c>
      <c r="AI270">
        <v>2</v>
      </c>
      <c r="AJ270">
        <v>1.7</v>
      </c>
      <c r="AK270">
        <v>2</v>
      </c>
      <c r="AL270">
        <v>5.0999999999999996</v>
      </c>
      <c r="AM270">
        <v>4</v>
      </c>
      <c r="AN270">
        <v>4.4000000000000004</v>
      </c>
      <c r="AO270">
        <v>4</v>
      </c>
      <c r="AP270">
        <v>4.3</v>
      </c>
      <c r="AQ270">
        <v>4</v>
      </c>
      <c r="AR270">
        <v>3.7</v>
      </c>
      <c r="AS270">
        <v>4</v>
      </c>
      <c r="AT270">
        <v>-4</v>
      </c>
      <c r="AU270">
        <v>-6.1</v>
      </c>
      <c r="AV270">
        <v>-5</v>
      </c>
      <c r="AW270">
        <v>-3.7</v>
      </c>
      <c r="AX270">
        <v>-4.9000000000000004</v>
      </c>
      <c r="AY270">
        <v>-5</v>
      </c>
      <c r="AZ270">
        <v>10</v>
      </c>
      <c r="BA270">
        <v>10</v>
      </c>
      <c r="BB270">
        <v>9.8000000000000007</v>
      </c>
      <c r="BC270">
        <v>10</v>
      </c>
      <c r="BD270">
        <v>5.6</v>
      </c>
      <c r="BE270">
        <v>4</v>
      </c>
      <c r="BF270">
        <v>9.6999999999999993</v>
      </c>
      <c r="BG270">
        <v>10</v>
      </c>
      <c r="BH270">
        <v>10.9</v>
      </c>
      <c r="BI270">
        <v>10</v>
      </c>
      <c r="BJ270">
        <v>10.5</v>
      </c>
      <c r="BK270">
        <v>9</v>
      </c>
      <c r="BL270">
        <v>19.8</v>
      </c>
      <c r="BM270">
        <v>19</v>
      </c>
      <c r="BN270">
        <v>23.5</v>
      </c>
      <c r="BO270">
        <v>19</v>
      </c>
      <c r="BP270">
        <v>21.6</v>
      </c>
      <c r="BQ270">
        <v>20</v>
      </c>
      <c r="BR270">
        <v>21.7</v>
      </c>
      <c r="BS270">
        <v>25</v>
      </c>
      <c r="BT270">
        <v>21.9</v>
      </c>
      <c r="BU270">
        <v>25</v>
      </c>
      <c r="BV270">
        <v>23.6</v>
      </c>
      <c r="BW270">
        <v>18</v>
      </c>
      <c r="BX270">
        <v>21.2</v>
      </c>
      <c r="BY270">
        <v>20</v>
      </c>
      <c r="BZ270">
        <v>21.7</v>
      </c>
      <c r="CA270">
        <v>20</v>
      </c>
      <c r="CB270">
        <v>10.8</v>
      </c>
      <c r="CC270">
        <v>10</v>
      </c>
      <c r="CD270">
        <v>10.3</v>
      </c>
      <c r="CE270">
        <v>10</v>
      </c>
      <c r="CF270">
        <v>11.8</v>
      </c>
      <c r="CG270">
        <v>9</v>
      </c>
      <c r="CH270">
        <v>12</v>
      </c>
      <c r="CI270">
        <v>9</v>
      </c>
    </row>
    <row r="271" spans="1:87" x14ac:dyDescent="0.35">
      <c r="A271" s="1">
        <v>46059.640277777777</v>
      </c>
      <c r="B271">
        <v>-22.7</v>
      </c>
      <c r="C271">
        <v>-20.9</v>
      </c>
      <c r="D271">
        <v>-25</v>
      </c>
      <c r="E271">
        <v>-22.1</v>
      </c>
      <c r="F271">
        <v>-23.6</v>
      </c>
      <c r="G271">
        <v>-25</v>
      </c>
      <c r="H271">
        <v>-19.3</v>
      </c>
      <c r="I271">
        <v>-24.5</v>
      </c>
      <c r="J271">
        <v>-25</v>
      </c>
      <c r="K271">
        <v>-20</v>
      </c>
      <c r="L271">
        <v>-18.600000000000001</v>
      </c>
      <c r="M271">
        <v>-25</v>
      </c>
      <c r="N271">
        <v>-15.9</v>
      </c>
      <c r="O271">
        <v>-10.8</v>
      </c>
      <c r="P271">
        <v>-25</v>
      </c>
      <c r="Q271">
        <v>-15.6</v>
      </c>
      <c r="R271">
        <v>-15.4</v>
      </c>
      <c r="S271">
        <v>-25</v>
      </c>
      <c r="T271">
        <v>2.9</v>
      </c>
      <c r="U271">
        <v>-0.3</v>
      </c>
      <c r="V271">
        <v>2</v>
      </c>
      <c r="W271">
        <v>2.9</v>
      </c>
      <c r="X271">
        <v>0.5</v>
      </c>
      <c r="Y271">
        <v>2</v>
      </c>
      <c r="Z271">
        <v>3.3</v>
      </c>
      <c r="AA271">
        <v>2.7</v>
      </c>
      <c r="AB271">
        <v>2</v>
      </c>
      <c r="AC271">
        <v>2.8</v>
      </c>
      <c r="AD271">
        <v>1.2</v>
      </c>
      <c r="AE271">
        <v>2</v>
      </c>
      <c r="AF271">
        <v>2.2999999999999998</v>
      </c>
      <c r="AG271">
        <v>2.1</v>
      </c>
      <c r="AH271">
        <v>2</v>
      </c>
      <c r="AI271">
        <v>2.2000000000000002</v>
      </c>
      <c r="AJ271">
        <v>2</v>
      </c>
      <c r="AK271">
        <v>2</v>
      </c>
      <c r="AL271">
        <v>5.0999999999999996</v>
      </c>
      <c r="AM271">
        <v>4</v>
      </c>
      <c r="AN271">
        <v>4.5</v>
      </c>
      <c r="AO271">
        <v>4</v>
      </c>
      <c r="AP271">
        <v>4.5</v>
      </c>
      <c r="AQ271">
        <v>4</v>
      </c>
      <c r="AR271">
        <v>4.0999999999999996</v>
      </c>
      <c r="AS271">
        <v>4</v>
      </c>
      <c r="AT271">
        <v>-4.3</v>
      </c>
      <c r="AU271">
        <v>-6.4</v>
      </c>
      <c r="AV271">
        <v>-5</v>
      </c>
      <c r="AW271">
        <v>-3.9</v>
      </c>
      <c r="AX271">
        <v>-4.5999999999999996</v>
      </c>
      <c r="AY271">
        <v>-5</v>
      </c>
      <c r="AZ271">
        <v>10.1</v>
      </c>
      <c r="BA271">
        <v>10</v>
      </c>
      <c r="BB271">
        <v>9.8000000000000007</v>
      </c>
      <c r="BC271">
        <v>10</v>
      </c>
      <c r="BD271">
        <v>5.8</v>
      </c>
      <c r="BE271">
        <v>4</v>
      </c>
      <c r="BF271">
        <v>10.199999999999999</v>
      </c>
      <c r="BG271">
        <v>10</v>
      </c>
      <c r="BH271">
        <v>10.9</v>
      </c>
      <c r="BI271">
        <v>10</v>
      </c>
      <c r="BJ271">
        <v>10.5</v>
      </c>
      <c r="BK271">
        <v>9</v>
      </c>
      <c r="BL271">
        <v>19.8</v>
      </c>
      <c r="BM271">
        <v>19</v>
      </c>
      <c r="BN271">
        <v>23.5</v>
      </c>
      <c r="BO271">
        <v>19</v>
      </c>
      <c r="BP271">
        <v>21.6</v>
      </c>
      <c r="BQ271">
        <v>20</v>
      </c>
      <c r="BR271">
        <v>21.7</v>
      </c>
      <c r="BS271">
        <v>25</v>
      </c>
      <c r="BT271">
        <v>21.9</v>
      </c>
      <c r="BU271">
        <v>25</v>
      </c>
      <c r="BV271">
        <v>23.6</v>
      </c>
      <c r="BW271">
        <v>18</v>
      </c>
      <c r="BX271">
        <v>21.2</v>
      </c>
      <c r="BY271">
        <v>20</v>
      </c>
      <c r="BZ271">
        <v>21.7</v>
      </c>
      <c r="CA271">
        <v>20</v>
      </c>
      <c r="CB271">
        <v>11.1</v>
      </c>
      <c r="CC271">
        <v>10</v>
      </c>
      <c r="CD271">
        <v>10.199999999999999</v>
      </c>
      <c r="CE271">
        <v>10</v>
      </c>
      <c r="CF271">
        <v>11.4</v>
      </c>
      <c r="CG271">
        <v>9</v>
      </c>
      <c r="CH271">
        <v>11.6</v>
      </c>
      <c r="CI271">
        <v>9</v>
      </c>
    </row>
    <row r="272" spans="1:87" x14ac:dyDescent="0.35">
      <c r="A272" s="1">
        <v>46059.640972222223</v>
      </c>
      <c r="B272">
        <v>-22.7</v>
      </c>
      <c r="C272">
        <v>-20.9</v>
      </c>
      <c r="D272">
        <v>-25</v>
      </c>
      <c r="E272">
        <v>-22.2</v>
      </c>
      <c r="F272">
        <v>-24.3</v>
      </c>
      <c r="G272">
        <v>-25</v>
      </c>
      <c r="H272">
        <v>-19.3</v>
      </c>
      <c r="I272">
        <v>-24.5</v>
      </c>
      <c r="J272">
        <v>-25</v>
      </c>
      <c r="K272">
        <v>-20</v>
      </c>
      <c r="L272">
        <v>-18.7</v>
      </c>
      <c r="M272">
        <v>-25</v>
      </c>
      <c r="N272">
        <v>-16</v>
      </c>
      <c r="O272">
        <v>-11.3</v>
      </c>
      <c r="P272">
        <v>-25</v>
      </c>
      <c r="Q272">
        <v>-15.7</v>
      </c>
      <c r="R272">
        <v>-15.5</v>
      </c>
      <c r="S272">
        <v>-25</v>
      </c>
      <c r="T272">
        <v>2.4</v>
      </c>
      <c r="U272">
        <v>-1</v>
      </c>
      <c r="V272">
        <v>2</v>
      </c>
      <c r="W272">
        <v>2.4</v>
      </c>
      <c r="X272">
        <v>-0.3</v>
      </c>
      <c r="Y272">
        <v>2</v>
      </c>
      <c r="Z272">
        <v>3.2</v>
      </c>
      <c r="AA272">
        <v>2.6</v>
      </c>
      <c r="AB272">
        <v>2</v>
      </c>
      <c r="AC272">
        <v>2.7</v>
      </c>
      <c r="AD272">
        <v>0.9</v>
      </c>
      <c r="AE272">
        <v>2</v>
      </c>
      <c r="AF272">
        <v>2.5</v>
      </c>
      <c r="AG272">
        <v>2.4</v>
      </c>
      <c r="AH272">
        <v>2</v>
      </c>
      <c r="AI272">
        <v>2.4</v>
      </c>
      <c r="AJ272">
        <v>2.2999999999999998</v>
      </c>
      <c r="AK272">
        <v>2</v>
      </c>
      <c r="AL272">
        <v>5.2</v>
      </c>
      <c r="AM272">
        <v>4</v>
      </c>
      <c r="AN272">
        <v>4.5</v>
      </c>
      <c r="AO272">
        <v>4</v>
      </c>
      <c r="AP272">
        <v>4.7</v>
      </c>
      <c r="AQ272">
        <v>4</v>
      </c>
      <c r="AR272">
        <v>4.3</v>
      </c>
      <c r="AS272">
        <v>4</v>
      </c>
      <c r="AT272">
        <v>-4.5</v>
      </c>
      <c r="AU272">
        <v>-6.6</v>
      </c>
      <c r="AV272">
        <v>-5</v>
      </c>
      <c r="AW272">
        <v>-4.0999999999999996</v>
      </c>
      <c r="AX272">
        <v>-4.8</v>
      </c>
      <c r="AY272">
        <v>-5</v>
      </c>
      <c r="AZ272">
        <v>10.199999999999999</v>
      </c>
      <c r="BA272">
        <v>10</v>
      </c>
      <c r="BB272">
        <v>10</v>
      </c>
      <c r="BC272">
        <v>10</v>
      </c>
      <c r="BD272">
        <v>5.9</v>
      </c>
      <c r="BE272">
        <v>4</v>
      </c>
      <c r="BF272">
        <v>10.6</v>
      </c>
      <c r="BG272">
        <v>10</v>
      </c>
      <c r="BH272">
        <v>10.9</v>
      </c>
      <c r="BI272">
        <v>10</v>
      </c>
      <c r="BJ272">
        <v>10.5</v>
      </c>
      <c r="BK272">
        <v>9</v>
      </c>
      <c r="BL272">
        <v>19.8</v>
      </c>
      <c r="BM272">
        <v>19</v>
      </c>
      <c r="BN272">
        <v>23.5</v>
      </c>
      <c r="BO272">
        <v>19</v>
      </c>
      <c r="BP272">
        <v>21.7</v>
      </c>
      <c r="BQ272">
        <v>20</v>
      </c>
      <c r="BR272">
        <v>21.7</v>
      </c>
      <c r="BS272">
        <v>25</v>
      </c>
      <c r="BT272">
        <v>21.9</v>
      </c>
      <c r="BU272">
        <v>25</v>
      </c>
      <c r="BV272">
        <v>23.6</v>
      </c>
      <c r="BW272">
        <v>18</v>
      </c>
      <c r="BX272">
        <v>21.2</v>
      </c>
      <c r="BY272">
        <v>20</v>
      </c>
      <c r="BZ272">
        <v>21.7</v>
      </c>
      <c r="CA272">
        <v>20</v>
      </c>
      <c r="CB272">
        <v>11.5</v>
      </c>
      <c r="CC272">
        <v>10</v>
      </c>
      <c r="CD272">
        <v>10.199999999999999</v>
      </c>
      <c r="CE272">
        <v>10</v>
      </c>
      <c r="CF272">
        <v>11.2</v>
      </c>
      <c r="CG272">
        <v>9</v>
      </c>
      <c r="CH272">
        <v>11.4</v>
      </c>
      <c r="CI272">
        <v>9</v>
      </c>
    </row>
    <row r="273" spans="1:87" x14ac:dyDescent="0.35">
      <c r="A273" s="1">
        <v>46059.64166666667</v>
      </c>
      <c r="B273">
        <v>-22.8</v>
      </c>
      <c r="C273">
        <v>-20.9</v>
      </c>
      <c r="D273">
        <v>-25</v>
      </c>
      <c r="E273">
        <v>-22.3</v>
      </c>
      <c r="F273">
        <v>-24.6</v>
      </c>
      <c r="G273">
        <v>-25</v>
      </c>
      <c r="H273">
        <v>-19.3</v>
      </c>
      <c r="I273">
        <v>-24.5</v>
      </c>
      <c r="J273">
        <v>-25</v>
      </c>
      <c r="K273">
        <v>-20.100000000000001</v>
      </c>
      <c r="L273">
        <v>-18.8</v>
      </c>
      <c r="M273">
        <v>-25</v>
      </c>
      <c r="N273">
        <v>-16.100000000000001</v>
      </c>
      <c r="O273">
        <v>-11.7</v>
      </c>
      <c r="P273">
        <v>-25</v>
      </c>
      <c r="Q273">
        <v>-15.8</v>
      </c>
      <c r="R273">
        <v>-15.6</v>
      </c>
      <c r="S273">
        <v>-25</v>
      </c>
      <c r="T273">
        <v>2</v>
      </c>
      <c r="U273">
        <v>-0.1</v>
      </c>
      <c r="V273">
        <v>2</v>
      </c>
      <c r="W273">
        <v>2</v>
      </c>
      <c r="X273">
        <v>-0.9</v>
      </c>
      <c r="Y273">
        <v>2</v>
      </c>
      <c r="Z273">
        <v>3</v>
      </c>
      <c r="AA273">
        <v>2.4</v>
      </c>
      <c r="AB273">
        <v>2</v>
      </c>
      <c r="AC273">
        <v>2.6</v>
      </c>
      <c r="AD273">
        <v>1.2</v>
      </c>
      <c r="AE273">
        <v>2</v>
      </c>
      <c r="AF273">
        <v>2.7</v>
      </c>
      <c r="AG273">
        <v>2.5</v>
      </c>
      <c r="AH273">
        <v>2</v>
      </c>
      <c r="AI273">
        <v>2.6</v>
      </c>
      <c r="AJ273">
        <v>2.4</v>
      </c>
      <c r="AK273">
        <v>2</v>
      </c>
      <c r="AL273">
        <v>5.2</v>
      </c>
      <c r="AM273">
        <v>4</v>
      </c>
      <c r="AN273">
        <v>4.5999999999999996</v>
      </c>
      <c r="AO273">
        <v>4</v>
      </c>
      <c r="AP273">
        <v>4.9000000000000004</v>
      </c>
      <c r="AQ273">
        <v>4</v>
      </c>
      <c r="AR273">
        <v>4.7</v>
      </c>
      <c r="AS273">
        <v>4</v>
      </c>
      <c r="AT273">
        <v>-4.7</v>
      </c>
      <c r="AU273">
        <v>-6.6</v>
      </c>
      <c r="AV273">
        <v>-5</v>
      </c>
      <c r="AW273">
        <v>-4.3</v>
      </c>
      <c r="AX273">
        <v>-6.1</v>
      </c>
      <c r="AY273">
        <v>-5</v>
      </c>
      <c r="AZ273">
        <v>10.4</v>
      </c>
      <c r="BA273">
        <v>10</v>
      </c>
      <c r="BB273">
        <v>10.4</v>
      </c>
      <c r="BC273">
        <v>10</v>
      </c>
      <c r="BD273">
        <v>6</v>
      </c>
      <c r="BE273">
        <v>4</v>
      </c>
      <c r="BF273">
        <v>10.8</v>
      </c>
      <c r="BG273">
        <v>10</v>
      </c>
      <c r="BH273">
        <v>10.9</v>
      </c>
      <c r="BI273">
        <v>10</v>
      </c>
      <c r="BJ273">
        <v>10.5</v>
      </c>
      <c r="BK273">
        <v>9</v>
      </c>
      <c r="BL273">
        <v>19.899999999999999</v>
      </c>
      <c r="BM273">
        <v>19</v>
      </c>
      <c r="BN273">
        <v>23.5</v>
      </c>
      <c r="BO273">
        <v>19</v>
      </c>
      <c r="BP273">
        <v>21.7</v>
      </c>
      <c r="BQ273">
        <v>20</v>
      </c>
      <c r="BR273">
        <v>21.7</v>
      </c>
      <c r="BS273">
        <v>25</v>
      </c>
      <c r="BT273">
        <v>21.9</v>
      </c>
      <c r="BU273">
        <v>25</v>
      </c>
      <c r="BV273">
        <v>23.6</v>
      </c>
      <c r="BW273">
        <v>18</v>
      </c>
      <c r="BX273">
        <v>21.3</v>
      </c>
      <c r="BY273">
        <v>20</v>
      </c>
      <c r="BZ273">
        <v>21.7</v>
      </c>
      <c r="CA273">
        <v>20</v>
      </c>
      <c r="CB273">
        <v>11.9</v>
      </c>
      <c r="CC273">
        <v>10</v>
      </c>
      <c r="CD273">
        <v>10.1</v>
      </c>
      <c r="CE273">
        <v>10</v>
      </c>
      <c r="CF273">
        <v>11.1</v>
      </c>
      <c r="CG273">
        <v>9</v>
      </c>
      <c r="CH273">
        <v>11.3</v>
      </c>
      <c r="CI273">
        <v>9</v>
      </c>
    </row>
    <row r="274" spans="1:87" x14ac:dyDescent="0.35">
      <c r="A274" s="1">
        <v>46059.642361111109</v>
      </c>
      <c r="B274">
        <v>-22.9</v>
      </c>
      <c r="C274">
        <v>-21</v>
      </c>
      <c r="D274">
        <v>-25</v>
      </c>
      <c r="E274">
        <v>-22.3</v>
      </c>
      <c r="F274">
        <v>-24</v>
      </c>
      <c r="G274">
        <v>-25</v>
      </c>
      <c r="H274">
        <v>-19.399999999999999</v>
      </c>
      <c r="I274">
        <v>-24.5</v>
      </c>
      <c r="J274">
        <v>-25</v>
      </c>
      <c r="K274">
        <v>-20.100000000000001</v>
      </c>
      <c r="L274">
        <v>-18.8</v>
      </c>
      <c r="M274">
        <v>-25</v>
      </c>
      <c r="N274">
        <v>-16.2</v>
      </c>
      <c r="O274">
        <v>-12</v>
      </c>
      <c r="P274">
        <v>-25</v>
      </c>
      <c r="Q274">
        <v>-15.9</v>
      </c>
      <c r="R274">
        <v>-15.7</v>
      </c>
      <c r="S274">
        <v>-25</v>
      </c>
      <c r="T274">
        <v>1.8</v>
      </c>
      <c r="U274">
        <v>0.3</v>
      </c>
      <c r="V274">
        <v>2</v>
      </c>
      <c r="W274">
        <v>1.8</v>
      </c>
      <c r="X274">
        <v>0.1</v>
      </c>
      <c r="Y274">
        <v>2</v>
      </c>
      <c r="Z274">
        <v>2.9</v>
      </c>
      <c r="AA274">
        <v>2.2000000000000002</v>
      </c>
      <c r="AB274">
        <v>2</v>
      </c>
      <c r="AC274">
        <v>2.4</v>
      </c>
      <c r="AD274">
        <v>0.8</v>
      </c>
      <c r="AE274">
        <v>2</v>
      </c>
      <c r="AF274">
        <v>2.9</v>
      </c>
      <c r="AG274">
        <v>2.7</v>
      </c>
      <c r="AH274">
        <v>2</v>
      </c>
      <c r="AI274">
        <v>2.8</v>
      </c>
      <c r="AJ274">
        <v>2.6</v>
      </c>
      <c r="AK274">
        <v>2</v>
      </c>
      <c r="AL274">
        <v>5.3</v>
      </c>
      <c r="AM274">
        <v>4</v>
      </c>
      <c r="AN274">
        <v>4.7</v>
      </c>
      <c r="AO274">
        <v>4</v>
      </c>
      <c r="AP274">
        <v>5</v>
      </c>
      <c r="AQ274">
        <v>4</v>
      </c>
      <c r="AR274">
        <v>5</v>
      </c>
      <c r="AS274">
        <v>4</v>
      </c>
      <c r="AT274">
        <v>-4.8</v>
      </c>
      <c r="AU274">
        <v>-6.7</v>
      </c>
      <c r="AV274">
        <v>-5</v>
      </c>
      <c r="AW274">
        <v>-4.5</v>
      </c>
      <c r="AX274">
        <v>-5.5</v>
      </c>
      <c r="AY274">
        <v>-5</v>
      </c>
      <c r="AZ274">
        <v>10.5</v>
      </c>
      <c r="BA274">
        <v>10</v>
      </c>
      <c r="BB274">
        <v>10.6</v>
      </c>
      <c r="BC274">
        <v>10</v>
      </c>
      <c r="BD274">
        <v>5.8</v>
      </c>
      <c r="BE274">
        <v>4</v>
      </c>
      <c r="BF274">
        <v>11</v>
      </c>
      <c r="BG274">
        <v>10</v>
      </c>
      <c r="BH274">
        <v>11</v>
      </c>
      <c r="BI274">
        <v>10</v>
      </c>
      <c r="BJ274">
        <v>10.5</v>
      </c>
      <c r="BK274">
        <v>9</v>
      </c>
      <c r="BL274">
        <v>19.899999999999999</v>
      </c>
      <c r="BM274">
        <v>19</v>
      </c>
      <c r="BN274">
        <v>23.5</v>
      </c>
      <c r="BO274">
        <v>19</v>
      </c>
      <c r="BP274">
        <v>21.7</v>
      </c>
      <c r="BQ274">
        <v>20</v>
      </c>
      <c r="BR274">
        <v>21.7</v>
      </c>
      <c r="BS274">
        <v>25</v>
      </c>
      <c r="BT274">
        <v>21.9</v>
      </c>
      <c r="BU274">
        <v>25</v>
      </c>
      <c r="BV274">
        <v>23.6</v>
      </c>
      <c r="BW274">
        <v>18</v>
      </c>
      <c r="BX274">
        <v>21.3</v>
      </c>
      <c r="BY274">
        <v>20</v>
      </c>
      <c r="BZ274">
        <v>21.7</v>
      </c>
      <c r="CA274">
        <v>20</v>
      </c>
      <c r="CB274">
        <v>12.1</v>
      </c>
      <c r="CC274">
        <v>10</v>
      </c>
      <c r="CD274">
        <v>10</v>
      </c>
      <c r="CE274">
        <v>10</v>
      </c>
      <c r="CF274">
        <v>11.2</v>
      </c>
      <c r="CG274">
        <v>9</v>
      </c>
      <c r="CH274">
        <v>11.4</v>
      </c>
      <c r="CI274">
        <v>9</v>
      </c>
    </row>
    <row r="275" spans="1:87" x14ac:dyDescent="0.35">
      <c r="A275" s="1">
        <v>46059.643055555556</v>
      </c>
      <c r="B275">
        <v>-22.9</v>
      </c>
      <c r="C275">
        <v>-21.1</v>
      </c>
      <c r="D275">
        <v>-25</v>
      </c>
      <c r="E275">
        <v>-22.3</v>
      </c>
      <c r="F275">
        <v>-23.7</v>
      </c>
      <c r="G275">
        <v>-25</v>
      </c>
      <c r="H275">
        <v>-19.399999999999999</v>
      </c>
      <c r="I275">
        <v>-24.5</v>
      </c>
      <c r="J275">
        <v>-25</v>
      </c>
      <c r="K275">
        <v>-20.100000000000001</v>
      </c>
      <c r="L275">
        <v>-18.899999999999999</v>
      </c>
      <c r="M275">
        <v>-25</v>
      </c>
      <c r="N275">
        <v>-16.3</v>
      </c>
      <c r="O275">
        <v>-12.5</v>
      </c>
      <c r="P275">
        <v>-25</v>
      </c>
      <c r="Q275">
        <v>-16</v>
      </c>
      <c r="R275">
        <v>-15.8</v>
      </c>
      <c r="S275">
        <v>-25</v>
      </c>
      <c r="T275">
        <v>1.8</v>
      </c>
      <c r="U275">
        <v>0.9</v>
      </c>
      <c r="V275">
        <v>2</v>
      </c>
      <c r="W275">
        <v>1.8</v>
      </c>
      <c r="X275">
        <v>0.8</v>
      </c>
      <c r="Y275">
        <v>2</v>
      </c>
      <c r="Z275">
        <v>2.8</v>
      </c>
      <c r="AA275">
        <v>2.2000000000000002</v>
      </c>
      <c r="AB275">
        <v>2</v>
      </c>
      <c r="AC275">
        <v>2.4</v>
      </c>
      <c r="AD275">
        <v>1.4</v>
      </c>
      <c r="AE275">
        <v>2</v>
      </c>
      <c r="AF275">
        <v>3</v>
      </c>
      <c r="AG275">
        <v>2.9</v>
      </c>
      <c r="AH275">
        <v>2</v>
      </c>
      <c r="AI275">
        <v>2.9</v>
      </c>
      <c r="AJ275">
        <v>2.8</v>
      </c>
      <c r="AK275">
        <v>2</v>
      </c>
      <c r="AL275">
        <v>5.3</v>
      </c>
      <c r="AM275">
        <v>4</v>
      </c>
      <c r="AN275">
        <v>4.7</v>
      </c>
      <c r="AO275">
        <v>4</v>
      </c>
      <c r="AP275">
        <v>5.2</v>
      </c>
      <c r="AQ275">
        <v>4</v>
      </c>
      <c r="AR275">
        <v>5.3</v>
      </c>
      <c r="AS275">
        <v>4</v>
      </c>
      <c r="AT275">
        <v>-4.9000000000000004</v>
      </c>
      <c r="AU275">
        <v>-6.9</v>
      </c>
      <c r="AV275">
        <v>-5</v>
      </c>
      <c r="AW275">
        <v>-4.5</v>
      </c>
      <c r="AX275">
        <v>-5</v>
      </c>
      <c r="AY275">
        <v>-5</v>
      </c>
      <c r="AZ275">
        <v>10.6</v>
      </c>
      <c r="BA275">
        <v>10</v>
      </c>
      <c r="BB275">
        <v>10.9</v>
      </c>
      <c r="BC275">
        <v>10</v>
      </c>
      <c r="BD275">
        <v>5.6</v>
      </c>
      <c r="BE275">
        <v>4</v>
      </c>
      <c r="BF275">
        <v>11.3</v>
      </c>
      <c r="BG275">
        <v>10</v>
      </c>
      <c r="BH275">
        <v>11</v>
      </c>
      <c r="BI275">
        <v>10</v>
      </c>
      <c r="BJ275">
        <v>10.5</v>
      </c>
      <c r="BK275">
        <v>9</v>
      </c>
      <c r="BL275">
        <v>19.899999999999999</v>
      </c>
      <c r="BM275">
        <v>19</v>
      </c>
      <c r="BN275">
        <v>23.5</v>
      </c>
      <c r="BO275">
        <v>19</v>
      </c>
      <c r="BP275">
        <v>21.7</v>
      </c>
      <c r="BQ275">
        <v>20</v>
      </c>
      <c r="BR275">
        <v>21.7</v>
      </c>
      <c r="BS275">
        <v>25</v>
      </c>
      <c r="BT275">
        <v>21.9</v>
      </c>
      <c r="BU275">
        <v>25</v>
      </c>
      <c r="BV275">
        <v>23.6</v>
      </c>
      <c r="BW275">
        <v>18</v>
      </c>
      <c r="BX275">
        <v>21.3</v>
      </c>
      <c r="BY275">
        <v>20</v>
      </c>
      <c r="BZ275">
        <v>21.8</v>
      </c>
      <c r="CA275">
        <v>20</v>
      </c>
      <c r="CB275">
        <v>12.1</v>
      </c>
      <c r="CC275">
        <v>10</v>
      </c>
      <c r="CD275">
        <v>10</v>
      </c>
      <c r="CE275">
        <v>10</v>
      </c>
      <c r="CF275">
        <v>11.1</v>
      </c>
      <c r="CG275">
        <v>9</v>
      </c>
      <c r="CH275">
        <v>11.3</v>
      </c>
      <c r="CI275">
        <v>9</v>
      </c>
    </row>
    <row r="276" spans="1:87" x14ac:dyDescent="0.35">
      <c r="A276" s="1">
        <v>46059.643750000003</v>
      </c>
      <c r="B276">
        <v>-22.9</v>
      </c>
      <c r="C276">
        <v>-21.1</v>
      </c>
      <c r="D276">
        <v>-25</v>
      </c>
      <c r="E276">
        <v>-22.4</v>
      </c>
      <c r="F276">
        <v>-23.6</v>
      </c>
      <c r="G276">
        <v>-25</v>
      </c>
      <c r="H276">
        <v>-19.5</v>
      </c>
      <c r="I276">
        <v>-24.7</v>
      </c>
      <c r="J276">
        <v>-25</v>
      </c>
      <c r="K276">
        <v>-20.2</v>
      </c>
      <c r="L276">
        <v>-18.899999999999999</v>
      </c>
      <c r="M276">
        <v>-25</v>
      </c>
      <c r="N276">
        <v>-16.399999999999999</v>
      </c>
      <c r="O276">
        <v>-12.8</v>
      </c>
      <c r="P276">
        <v>-25</v>
      </c>
      <c r="Q276">
        <v>-16.100000000000001</v>
      </c>
      <c r="R276">
        <v>-15.9</v>
      </c>
      <c r="S276">
        <v>-25</v>
      </c>
      <c r="T276">
        <v>1.9</v>
      </c>
      <c r="U276">
        <v>1.3</v>
      </c>
      <c r="V276">
        <v>2</v>
      </c>
      <c r="W276">
        <v>1.9</v>
      </c>
      <c r="X276">
        <v>1.1000000000000001</v>
      </c>
      <c r="Y276">
        <v>2</v>
      </c>
      <c r="Z276">
        <v>2.8</v>
      </c>
      <c r="AA276">
        <v>2.2000000000000002</v>
      </c>
      <c r="AB276">
        <v>2</v>
      </c>
      <c r="AC276">
        <v>2.4</v>
      </c>
      <c r="AD276">
        <v>1.5</v>
      </c>
      <c r="AE276">
        <v>2</v>
      </c>
      <c r="AF276">
        <v>3.2</v>
      </c>
      <c r="AG276">
        <v>3.1</v>
      </c>
      <c r="AH276">
        <v>2</v>
      </c>
      <c r="AI276">
        <v>3.1</v>
      </c>
      <c r="AJ276">
        <v>3.1</v>
      </c>
      <c r="AK276">
        <v>2</v>
      </c>
      <c r="AL276">
        <v>5.3</v>
      </c>
      <c r="AM276">
        <v>4</v>
      </c>
      <c r="AN276">
        <v>4.8</v>
      </c>
      <c r="AO276">
        <v>4</v>
      </c>
      <c r="AP276">
        <v>5.4</v>
      </c>
      <c r="AQ276">
        <v>4</v>
      </c>
      <c r="AR276">
        <v>5.5</v>
      </c>
      <c r="AS276">
        <v>4</v>
      </c>
      <c r="AT276">
        <v>-5</v>
      </c>
      <c r="AU276">
        <v>-7.3</v>
      </c>
      <c r="AV276">
        <v>-5</v>
      </c>
      <c r="AW276">
        <v>-4.5</v>
      </c>
      <c r="AX276">
        <v>-5</v>
      </c>
      <c r="AY276">
        <v>-5</v>
      </c>
      <c r="AZ276">
        <v>10.7</v>
      </c>
      <c r="BA276">
        <v>10</v>
      </c>
      <c r="BB276">
        <v>11.1</v>
      </c>
      <c r="BC276">
        <v>10</v>
      </c>
      <c r="BD276">
        <v>5.2</v>
      </c>
      <c r="BE276">
        <v>4</v>
      </c>
      <c r="BF276">
        <v>11.6</v>
      </c>
      <c r="BG276">
        <v>10</v>
      </c>
      <c r="BH276">
        <v>11</v>
      </c>
      <c r="BI276">
        <v>10</v>
      </c>
      <c r="BJ276">
        <v>10.4</v>
      </c>
      <c r="BK276">
        <v>9</v>
      </c>
      <c r="BL276">
        <v>20</v>
      </c>
      <c r="BM276">
        <v>19</v>
      </c>
      <c r="BN276">
        <v>23.5</v>
      </c>
      <c r="BO276">
        <v>19</v>
      </c>
      <c r="BP276">
        <v>21.7</v>
      </c>
      <c r="BQ276">
        <v>20</v>
      </c>
      <c r="BR276">
        <v>21.8</v>
      </c>
      <c r="BS276">
        <v>25</v>
      </c>
      <c r="BT276">
        <v>21.9</v>
      </c>
      <c r="BU276">
        <v>25</v>
      </c>
      <c r="BV276">
        <v>23.6</v>
      </c>
      <c r="BW276">
        <v>18</v>
      </c>
      <c r="BX276">
        <v>21.3</v>
      </c>
      <c r="BY276">
        <v>20</v>
      </c>
      <c r="BZ276">
        <v>21.8</v>
      </c>
      <c r="CA276">
        <v>20</v>
      </c>
      <c r="CB276">
        <v>11.9</v>
      </c>
      <c r="CC276">
        <v>10</v>
      </c>
      <c r="CD276">
        <v>10</v>
      </c>
      <c r="CE276">
        <v>10</v>
      </c>
      <c r="CF276">
        <v>11.1</v>
      </c>
      <c r="CG276">
        <v>9</v>
      </c>
      <c r="CH276">
        <v>11.3</v>
      </c>
      <c r="CI276">
        <v>9</v>
      </c>
    </row>
    <row r="277" spans="1:87" x14ac:dyDescent="0.35">
      <c r="A277" s="1">
        <v>46059.644444444442</v>
      </c>
      <c r="B277">
        <v>-22.9</v>
      </c>
      <c r="C277">
        <v>-21.1</v>
      </c>
      <c r="D277">
        <v>-25</v>
      </c>
      <c r="E277">
        <v>-22.4</v>
      </c>
      <c r="F277">
        <v>-23.4</v>
      </c>
      <c r="G277">
        <v>-25</v>
      </c>
      <c r="H277">
        <v>-19.5</v>
      </c>
      <c r="I277">
        <v>-24.8</v>
      </c>
      <c r="J277">
        <v>-25</v>
      </c>
      <c r="K277">
        <v>-20.3</v>
      </c>
      <c r="L277">
        <v>-19</v>
      </c>
      <c r="M277">
        <v>-25</v>
      </c>
      <c r="N277">
        <v>-16.5</v>
      </c>
      <c r="O277">
        <v>-13.2</v>
      </c>
      <c r="P277">
        <v>-25</v>
      </c>
      <c r="Q277">
        <v>-16.100000000000001</v>
      </c>
      <c r="R277">
        <v>-16</v>
      </c>
      <c r="S277">
        <v>-25</v>
      </c>
      <c r="T277">
        <v>2</v>
      </c>
      <c r="U277">
        <v>1.6</v>
      </c>
      <c r="V277">
        <v>2</v>
      </c>
      <c r="W277">
        <v>2</v>
      </c>
      <c r="X277">
        <v>1.4</v>
      </c>
      <c r="Y277">
        <v>2</v>
      </c>
      <c r="Z277">
        <v>2.7</v>
      </c>
      <c r="AA277">
        <v>2.2000000000000002</v>
      </c>
      <c r="AB277">
        <v>2</v>
      </c>
      <c r="AC277">
        <v>2.2999999999999998</v>
      </c>
      <c r="AD277">
        <v>1.5</v>
      </c>
      <c r="AE277">
        <v>2</v>
      </c>
      <c r="AF277">
        <v>3.4</v>
      </c>
      <c r="AG277">
        <v>3.3</v>
      </c>
      <c r="AH277">
        <v>2</v>
      </c>
      <c r="AI277">
        <v>3.3</v>
      </c>
      <c r="AJ277">
        <v>3.2</v>
      </c>
      <c r="AK277">
        <v>2</v>
      </c>
      <c r="AL277">
        <v>5.4</v>
      </c>
      <c r="AM277">
        <v>4</v>
      </c>
      <c r="AN277">
        <v>4.9000000000000004</v>
      </c>
      <c r="AO277">
        <v>4</v>
      </c>
      <c r="AP277">
        <v>5.5</v>
      </c>
      <c r="AQ277">
        <v>4</v>
      </c>
      <c r="AR277">
        <v>5.7</v>
      </c>
      <c r="AS277">
        <v>4</v>
      </c>
      <c r="AT277">
        <v>-5.0999999999999996</v>
      </c>
      <c r="AU277">
        <v>-6.3</v>
      </c>
      <c r="AV277">
        <v>-5</v>
      </c>
      <c r="AW277">
        <v>-4.8</v>
      </c>
      <c r="AX277">
        <v>-7.2</v>
      </c>
      <c r="AY277">
        <v>-5</v>
      </c>
      <c r="AZ277">
        <v>10.8</v>
      </c>
      <c r="BA277">
        <v>10</v>
      </c>
      <c r="BB277">
        <v>11.4</v>
      </c>
      <c r="BC277">
        <v>10</v>
      </c>
      <c r="BD277">
        <v>4.8</v>
      </c>
      <c r="BE277">
        <v>4</v>
      </c>
      <c r="BF277">
        <v>11.8</v>
      </c>
      <c r="BG277">
        <v>10</v>
      </c>
      <c r="BH277">
        <v>11</v>
      </c>
      <c r="BI277">
        <v>10</v>
      </c>
      <c r="BJ277">
        <v>10.3</v>
      </c>
      <c r="BK277">
        <v>9</v>
      </c>
      <c r="BL277">
        <v>20</v>
      </c>
      <c r="BM277">
        <v>19</v>
      </c>
      <c r="BN277">
        <v>23.5</v>
      </c>
      <c r="BO277">
        <v>19</v>
      </c>
      <c r="BP277">
        <v>21.7</v>
      </c>
      <c r="BQ277">
        <v>20</v>
      </c>
      <c r="BR277">
        <v>21.8</v>
      </c>
      <c r="BS277">
        <v>25</v>
      </c>
      <c r="BT277">
        <v>21.9</v>
      </c>
      <c r="BU277">
        <v>25</v>
      </c>
      <c r="BV277">
        <v>23.6</v>
      </c>
      <c r="BW277">
        <v>18</v>
      </c>
      <c r="BX277">
        <v>21.3</v>
      </c>
      <c r="BY277">
        <v>20</v>
      </c>
      <c r="BZ277">
        <v>21.8</v>
      </c>
      <c r="CA277">
        <v>20</v>
      </c>
      <c r="CB277">
        <v>11.6</v>
      </c>
      <c r="CC277">
        <v>10</v>
      </c>
      <c r="CD277">
        <v>10.1</v>
      </c>
      <c r="CE277">
        <v>10</v>
      </c>
      <c r="CF277">
        <v>11.3</v>
      </c>
      <c r="CG277">
        <v>9</v>
      </c>
      <c r="CH277">
        <v>11.5</v>
      </c>
      <c r="CI277">
        <v>9</v>
      </c>
    </row>
    <row r="278" spans="1:87" x14ac:dyDescent="0.35">
      <c r="A278" s="1">
        <v>46059.645138888889</v>
      </c>
      <c r="B278">
        <v>-22.9</v>
      </c>
      <c r="C278">
        <v>-21.2</v>
      </c>
      <c r="D278">
        <v>-25</v>
      </c>
      <c r="E278">
        <v>-22.4</v>
      </c>
      <c r="F278">
        <v>-23.4</v>
      </c>
      <c r="G278">
        <v>-25</v>
      </c>
      <c r="H278">
        <v>-19.5</v>
      </c>
      <c r="I278">
        <v>-24.8</v>
      </c>
      <c r="J278">
        <v>-25</v>
      </c>
      <c r="K278">
        <v>-20.3</v>
      </c>
      <c r="L278">
        <v>-19</v>
      </c>
      <c r="M278">
        <v>-25</v>
      </c>
      <c r="N278">
        <v>-16.600000000000001</v>
      </c>
      <c r="O278">
        <v>-13.5</v>
      </c>
      <c r="P278">
        <v>-25</v>
      </c>
      <c r="Q278">
        <v>-16.2</v>
      </c>
      <c r="R278">
        <v>-16</v>
      </c>
      <c r="S278">
        <v>-25</v>
      </c>
      <c r="T278">
        <v>2.1</v>
      </c>
      <c r="U278">
        <v>1.8</v>
      </c>
      <c r="V278">
        <v>2</v>
      </c>
      <c r="W278">
        <v>2.1</v>
      </c>
      <c r="X278">
        <v>1.6</v>
      </c>
      <c r="Y278">
        <v>2</v>
      </c>
      <c r="Z278">
        <v>2.7</v>
      </c>
      <c r="AA278">
        <v>2.2000000000000002</v>
      </c>
      <c r="AB278">
        <v>2</v>
      </c>
      <c r="AC278">
        <v>2.2999999999999998</v>
      </c>
      <c r="AD278">
        <v>1.6</v>
      </c>
      <c r="AE278">
        <v>2</v>
      </c>
      <c r="AF278">
        <v>3.5</v>
      </c>
      <c r="AG278">
        <v>3.4</v>
      </c>
      <c r="AH278">
        <v>2</v>
      </c>
      <c r="AI278">
        <v>3.4</v>
      </c>
      <c r="AJ278">
        <v>3.4</v>
      </c>
      <c r="AK278">
        <v>2</v>
      </c>
      <c r="AL278">
        <v>5.4</v>
      </c>
      <c r="AM278">
        <v>4</v>
      </c>
      <c r="AN278">
        <v>4.9000000000000004</v>
      </c>
      <c r="AO278">
        <v>4</v>
      </c>
      <c r="AP278">
        <v>5.7</v>
      </c>
      <c r="AQ278">
        <v>4</v>
      </c>
      <c r="AR278">
        <v>5.9</v>
      </c>
      <c r="AS278">
        <v>4</v>
      </c>
      <c r="AT278">
        <v>-4.9000000000000004</v>
      </c>
      <c r="AU278">
        <v>-5.5</v>
      </c>
      <c r="AV278">
        <v>-5</v>
      </c>
      <c r="AW278">
        <v>-5.3</v>
      </c>
      <c r="AX278">
        <v>-6.5</v>
      </c>
      <c r="AY278">
        <v>-5</v>
      </c>
      <c r="AZ278">
        <v>11</v>
      </c>
      <c r="BA278">
        <v>10</v>
      </c>
      <c r="BB278">
        <v>11.7</v>
      </c>
      <c r="BC278">
        <v>10</v>
      </c>
      <c r="BD278">
        <v>4.7</v>
      </c>
      <c r="BE278">
        <v>4</v>
      </c>
      <c r="BF278">
        <v>12</v>
      </c>
      <c r="BG278">
        <v>10</v>
      </c>
      <c r="BH278">
        <v>11</v>
      </c>
      <c r="BI278">
        <v>10</v>
      </c>
      <c r="BJ278">
        <v>10.3</v>
      </c>
      <c r="BK278">
        <v>9</v>
      </c>
      <c r="BL278">
        <v>20</v>
      </c>
      <c r="BM278">
        <v>19</v>
      </c>
      <c r="BN278">
        <v>23.5</v>
      </c>
      <c r="BO278">
        <v>19</v>
      </c>
      <c r="BP278">
        <v>21.7</v>
      </c>
      <c r="BQ278">
        <v>20</v>
      </c>
      <c r="BR278">
        <v>21.9</v>
      </c>
      <c r="BS278">
        <v>25</v>
      </c>
      <c r="BT278">
        <v>21.9</v>
      </c>
      <c r="BU278">
        <v>25</v>
      </c>
      <c r="BV278">
        <v>23.6</v>
      </c>
      <c r="BW278">
        <v>18</v>
      </c>
      <c r="BX278">
        <v>21.4</v>
      </c>
      <c r="BY278">
        <v>20</v>
      </c>
      <c r="BZ278">
        <v>21.8</v>
      </c>
      <c r="CA278">
        <v>20</v>
      </c>
      <c r="CB278">
        <v>11.5</v>
      </c>
      <c r="CC278">
        <v>10</v>
      </c>
      <c r="CD278">
        <v>10.199999999999999</v>
      </c>
      <c r="CE278">
        <v>10</v>
      </c>
      <c r="CF278">
        <v>11.2</v>
      </c>
      <c r="CG278">
        <v>9</v>
      </c>
      <c r="CH278">
        <v>11.5</v>
      </c>
      <c r="CI278">
        <v>9</v>
      </c>
    </row>
    <row r="279" spans="1:87" x14ac:dyDescent="0.35">
      <c r="A279" s="1">
        <v>46059.645833333336</v>
      </c>
      <c r="B279">
        <v>-22.9</v>
      </c>
      <c r="C279">
        <v>-21.2</v>
      </c>
      <c r="D279">
        <v>-25</v>
      </c>
      <c r="E279">
        <v>-22.4</v>
      </c>
      <c r="F279">
        <v>-23.4</v>
      </c>
      <c r="G279">
        <v>-25</v>
      </c>
      <c r="H279">
        <v>-19.600000000000001</v>
      </c>
      <c r="I279">
        <v>-24.8</v>
      </c>
      <c r="J279">
        <v>-25</v>
      </c>
      <c r="K279">
        <v>-20.399999999999999</v>
      </c>
      <c r="L279">
        <v>-19.100000000000001</v>
      </c>
      <c r="M279">
        <v>-25</v>
      </c>
      <c r="N279">
        <v>-16.7</v>
      </c>
      <c r="O279">
        <v>-13.7</v>
      </c>
      <c r="P279">
        <v>-25</v>
      </c>
      <c r="Q279">
        <v>-16.3</v>
      </c>
      <c r="R279">
        <v>-16.100000000000001</v>
      </c>
      <c r="S279">
        <v>-25</v>
      </c>
      <c r="T279">
        <v>2.2999999999999998</v>
      </c>
      <c r="U279">
        <v>2</v>
      </c>
      <c r="V279">
        <v>2</v>
      </c>
      <c r="W279">
        <v>2.2000000000000002</v>
      </c>
      <c r="X279">
        <v>1.7</v>
      </c>
      <c r="Y279">
        <v>2</v>
      </c>
      <c r="Z279">
        <v>2.7</v>
      </c>
      <c r="AA279">
        <v>2.2000000000000002</v>
      </c>
      <c r="AB279">
        <v>2</v>
      </c>
      <c r="AC279">
        <v>2.2999999999999998</v>
      </c>
      <c r="AD279">
        <v>1.6</v>
      </c>
      <c r="AE279">
        <v>2</v>
      </c>
      <c r="AF279">
        <v>3.5</v>
      </c>
      <c r="AG279">
        <v>3.5</v>
      </c>
      <c r="AH279">
        <v>2</v>
      </c>
      <c r="AI279">
        <v>3.6</v>
      </c>
      <c r="AJ279">
        <v>3.5</v>
      </c>
      <c r="AK279">
        <v>2</v>
      </c>
      <c r="AL279">
        <v>5.5</v>
      </c>
      <c r="AM279">
        <v>4</v>
      </c>
      <c r="AN279">
        <v>5</v>
      </c>
      <c r="AO279">
        <v>4</v>
      </c>
      <c r="AP279">
        <v>5.8</v>
      </c>
      <c r="AQ279">
        <v>4</v>
      </c>
      <c r="AR279">
        <v>6</v>
      </c>
      <c r="AS279">
        <v>4</v>
      </c>
      <c r="AT279">
        <v>-4.3</v>
      </c>
      <c r="AU279">
        <v>-4.7</v>
      </c>
      <c r="AV279">
        <v>-5</v>
      </c>
      <c r="AW279">
        <v>-5.0999999999999996</v>
      </c>
      <c r="AX279">
        <v>-5.2</v>
      </c>
      <c r="AY279">
        <v>-5</v>
      </c>
      <c r="AZ279">
        <v>11</v>
      </c>
      <c r="BA279">
        <v>10</v>
      </c>
      <c r="BB279">
        <v>11.9</v>
      </c>
      <c r="BC279">
        <v>10</v>
      </c>
      <c r="BD279">
        <v>4.4000000000000004</v>
      </c>
      <c r="BE279">
        <v>4</v>
      </c>
      <c r="BF279">
        <v>11.9</v>
      </c>
      <c r="BG279">
        <v>10</v>
      </c>
      <c r="BH279">
        <v>11</v>
      </c>
      <c r="BI279">
        <v>10</v>
      </c>
      <c r="BJ279">
        <v>10.3</v>
      </c>
      <c r="BK279">
        <v>9</v>
      </c>
      <c r="BL279">
        <v>20.100000000000001</v>
      </c>
      <c r="BM279">
        <v>19</v>
      </c>
      <c r="BN279">
        <v>23.5</v>
      </c>
      <c r="BO279">
        <v>19</v>
      </c>
      <c r="BP279">
        <v>21.7</v>
      </c>
      <c r="BQ279">
        <v>20</v>
      </c>
      <c r="BR279">
        <v>21.9</v>
      </c>
      <c r="BS279">
        <v>25</v>
      </c>
      <c r="BT279">
        <v>21.9</v>
      </c>
      <c r="BU279">
        <v>25</v>
      </c>
      <c r="BV279">
        <v>23.6</v>
      </c>
      <c r="BW279">
        <v>18</v>
      </c>
      <c r="BX279">
        <v>21.4</v>
      </c>
      <c r="BY279">
        <v>20</v>
      </c>
      <c r="BZ279">
        <v>21.8</v>
      </c>
      <c r="CA279">
        <v>20</v>
      </c>
      <c r="CB279">
        <v>11.3</v>
      </c>
      <c r="CC279">
        <v>10</v>
      </c>
      <c r="CD279">
        <v>10.3</v>
      </c>
      <c r="CE279">
        <v>10</v>
      </c>
      <c r="CF279">
        <v>11.2</v>
      </c>
      <c r="CG279">
        <v>9</v>
      </c>
      <c r="CH279">
        <v>11.4</v>
      </c>
      <c r="CI279">
        <v>9</v>
      </c>
    </row>
    <row r="280" spans="1:87" x14ac:dyDescent="0.35">
      <c r="A280" s="1">
        <v>46059.646527777775</v>
      </c>
      <c r="B280">
        <v>-22.9</v>
      </c>
      <c r="C280">
        <v>-21.2</v>
      </c>
      <c r="D280">
        <v>-25</v>
      </c>
      <c r="E280">
        <v>-22.4</v>
      </c>
      <c r="F280">
        <v>-23.3</v>
      </c>
      <c r="G280">
        <v>-25</v>
      </c>
      <c r="H280">
        <v>-19.600000000000001</v>
      </c>
      <c r="I280">
        <v>-25.1</v>
      </c>
      <c r="J280">
        <v>-25</v>
      </c>
      <c r="K280">
        <v>-20.399999999999999</v>
      </c>
      <c r="L280">
        <v>-19.100000000000001</v>
      </c>
      <c r="M280">
        <v>-25</v>
      </c>
      <c r="N280">
        <v>-16.8</v>
      </c>
      <c r="O280">
        <v>-14</v>
      </c>
      <c r="P280">
        <v>-25</v>
      </c>
      <c r="Q280">
        <v>-16.399999999999999</v>
      </c>
      <c r="R280">
        <v>-16.2</v>
      </c>
      <c r="S280">
        <v>-25</v>
      </c>
      <c r="T280">
        <v>2.4</v>
      </c>
      <c r="U280">
        <v>2.1</v>
      </c>
      <c r="V280">
        <v>2</v>
      </c>
      <c r="W280">
        <v>2.2999999999999998</v>
      </c>
      <c r="X280">
        <v>1.9</v>
      </c>
      <c r="Y280">
        <v>2</v>
      </c>
      <c r="Z280">
        <v>2.7</v>
      </c>
      <c r="AA280">
        <v>2.2000000000000002</v>
      </c>
      <c r="AB280">
        <v>2</v>
      </c>
      <c r="AC280">
        <v>2.2999999999999998</v>
      </c>
      <c r="AD280">
        <v>1.6</v>
      </c>
      <c r="AE280">
        <v>2</v>
      </c>
      <c r="AF280">
        <v>3.5</v>
      </c>
      <c r="AG280">
        <v>3.5</v>
      </c>
      <c r="AH280">
        <v>2</v>
      </c>
      <c r="AI280">
        <v>3.8</v>
      </c>
      <c r="AJ280">
        <v>3.6</v>
      </c>
      <c r="AK280">
        <v>2</v>
      </c>
      <c r="AL280">
        <v>5.5</v>
      </c>
      <c r="AM280">
        <v>4</v>
      </c>
      <c r="AN280">
        <v>5</v>
      </c>
      <c r="AO280">
        <v>4</v>
      </c>
      <c r="AP280">
        <v>6</v>
      </c>
      <c r="AQ280">
        <v>4</v>
      </c>
      <c r="AR280">
        <v>5.8</v>
      </c>
      <c r="AS280">
        <v>4</v>
      </c>
      <c r="AT280">
        <v>-3.8</v>
      </c>
      <c r="AU280">
        <v>-4.0999999999999996</v>
      </c>
      <c r="AV280">
        <v>-5</v>
      </c>
      <c r="AW280">
        <v>-4.3</v>
      </c>
      <c r="AX280">
        <v>-4.2</v>
      </c>
      <c r="AY280">
        <v>-5</v>
      </c>
      <c r="AZ280">
        <v>11.1</v>
      </c>
      <c r="BA280">
        <v>10</v>
      </c>
      <c r="BB280">
        <v>12</v>
      </c>
      <c r="BC280">
        <v>10</v>
      </c>
      <c r="BD280">
        <v>4.3</v>
      </c>
      <c r="BE280">
        <v>4</v>
      </c>
      <c r="BF280">
        <v>10.9</v>
      </c>
      <c r="BG280">
        <v>10</v>
      </c>
      <c r="BH280">
        <v>11</v>
      </c>
      <c r="BI280">
        <v>10</v>
      </c>
      <c r="BJ280">
        <v>10.3</v>
      </c>
      <c r="BK280">
        <v>9</v>
      </c>
      <c r="BL280">
        <v>20.100000000000001</v>
      </c>
      <c r="BM280">
        <v>19</v>
      </c>
      <c r="BN280">
        <v>23.5</v>
      </c>
      <c r="BO280">
        <v>19</v>
      </c>
      <c r="BP280">
        <v>21.8</v>
      </c>
      <c r="BQ280">
        <v>20</v>
      </c>
      <c r="BR280">
        <v>21.9</v>
      </c>
      <c r="BS280">
        <v>25</v>
      </c>
      <c r="BT280">
        <v>21.9</v>
      </c>
      <c r="BU280">
        <v>25</v>
      </c>
      <c r="BV280">
        <v>23.6</v>
      </c>
      <c r="BW280">
        <v>18</v>
      </c>
      <c r="BX280">
        <v>21.4</v>
      </c>
      <c r="BY280">
        <v>20</v>
      </c>
      <c r="BZ280">
        <v>21.8</v>
      </c>
      <c r="CA280">
        <v>20</v>
      </c>
      <c r="CB280">
        <v>11.2</v>
      </c>
      <c r="CC280">
        <v>10</v>
      </c>
      <c r="CD280">
        <v>10.4</v>
      </c>
      <c r="CE280">
        <v>10</v>
      </c>
      <c r="CF280">
        <v>11.2</v>
      </c>
      <c r="CG280">
        <v>9</v>
      </c>
      <c r="CH280">
        <v>11.4</v>
      </c>
      <c r="CI280">
        <v>9</v>
      </c>
    </row>
    <row r="281" spans="1:87" x14ac:dyDescent="0.35">
      <c r="A281" s="1">
        <v>46059.647222222222</v>
      </c>
      <c r="B281">
        <v>-22.6</v>
      </c>
      <c r="C281">
        <v>-21.2</v>
      </c>
      <c r="D281">
        <v>-25</v>
      </c>
      <c r="E281">
        <v>-22.3</v>
      </c>
      <c r="F281">
        <v>-22.7</v>
      </c>
      <c r="G281">
        <v>-25</v>
      </c>
      <c r="H281">
        <v>-19.600000000000001</v>
      </c>
      <c r="I281">
        <v>-25.4</v>
      </c>
      <c r="J281">
        <v>-25</v>
      </c>
      <c r="K281">
        <v>-20.6</v>
      </c>
      <c r="L281">
        <v>-19.2</v>
      </c>
      <c r="M281">
        <v>-25</v>
      </c>
      <c r="N281">
        <v>-17</v>
      </c>
      <c r="O281">
        <v>-14.2</v>
      </c>
      <c r="P281">
        <v>-25</v>
      </c>
      <c r="Q281">
        <v>-16.600000000000001</v>
      </c>
      <c r="R281">
        <v>-16.399999999999999</v>
      </c>
      <c r="S281">
        <v>-25</v>
      </c>
      <c r="T281">
        <v>2.5</v>
      </c>
      <c r="U281">
        <v>2.4</v>
      </c>
      <c r="V281">
        <v>2</v>
      </c>
      <c r="W281">
        <v>2.5</v>
      </c>
      <c r="X281">
        <v>2.1</v>
      </c>
      <c r="Y281">
        <v>2</v>
      </c>
      <c r="Z281">
        <v>2.7</v>
      </c>
      <c r="AA281">
        <v>2.1</v>
      </c>
      <c r="AB281">
        <v>2</v>
      </c>
      <c r="AC281">
        <v>2.2000000000000002</v>
      </c>
      <c r="AD281">
        <v>1.7</v>
      </c>
      <c r="AE281">
        <v>2</v>
      </c>
      <c r="AF281">
        <v>3.5</v>
      </c>
      <c r="AG281">
        <v>3.5</v>
      </c>
      <c r="AH281">
        <v>2</v>
      </c>
      <c r="AI281">
        <v>3.9</v>
      </c>
      <c r="AJ281">
        <v>3.7</v>
      </c>
      <c r="AK281">
        <v>2</v>
      </c>
      <c r="AL281">
        <v>5.6</v>
      </c>
      <c r="AM281">
        <v>4</v>
      </c>
      <c r="AN281">
        <v>5.0999999999999996</v>
      </c>
      <c r="AO281">
        <v>4</v>
      </c>
      <c r="AP281">
        <v>6</v>
      </c>
      <c r="AQ281">
        <v>4</v>
      </c>
      <c r="AR281">
        <v>4.8</v>
      </c>
      <c r="AS281">
        <v>4</v>
      </c>
      <c r="AT281">
        <v>-3.4</v>
      </c>
      <c r="AU281">
        <v>-3.7</v>
      </c>
      <c r="AV281">
        <v>-5</v>
      </c>
      <c r="AW281">
        <v>-3.7</v>
      </c>
      <c r="AX281">
        <v>-3.5</v>
      </c>
      <c r="AY281">
        <v>-5</v>
      </c>
      <c r="AZ281">
        <v>11.3</v>
      </c>
      <c r="BA281">
        <v>10</v>
      </c>
      <c r="BB281">
        <v>12.1</v>
      </c>
      <c r="BC281">
        <v>10</v>
      </c>
      <c r="BD281">
        <v>4.2</v>
      </c>
      <c r="BE281">
        <v>4</v>
      </c>
      <c r="BF281">
        <v>10.199999999999999</v>
      </c>
      <c r="BG281">
        <v>10</v>
      </c>
      <c r="BH281">
        <v>11.1</v>
      </c>
      <c r="BI281">
        <v>10</v>
      </c>
      <c r="BJ281">
        <v>10.3</v>
      </c>
      <c r="BK281">
        <v>9</v>
      </c>
      <c r="BL281">
        <v>20.100000000000001</v>
      </c>
      <c r="BM281">
        <v>19</v>
      </c>
      <c r="BN281">
        <v>23.5</v>
      </c>
      <c r="BO281">
        <v>19</v>
      </c>
      <c r="BP281">
        <v>21.8</v>
      </c>
      <c r="BQ281">
        <v>20</v>
      </c>
      <c r="BR281">
        <v>21.9</v>
      </c>
      <c r="BS281">
        <v>25</v>
      </c>
      <c r="BT281">
        <v>21.9</v>
      </c>
      <c r="BU281">
        <v>25</v>
      </c>
      <c r="BV281">
        <v>23.6</v>
      </c>
      <c r="BW281">
        <v>18</v>
      </c>
      <c r="BX281">
        <v>21.4</v>
      </c>
      <c r="BY281">
        <v>20</v>
      </c>
      <c r="BZ281">
        <v>21.9</v>
      </c>
      <c r="CA281">
        <v>20</v>
      </c>
      <c r="CB281">
        <v>11</v>
      </c>
      <c r="CC281">
        <v>10</v>
      </c>
      <c r="CD281">
        <v>10.5</v>
      </c>
      <c r="CE281">
        <v>10</v>
      </c>
      <c r="CF281">
        <v>11.2</v>
      </c>
      <c r="CG281">
        <v>9</v>
      </c>
      <c r="CH281">
        <v>11.4</v>
      </c>
      <c r="CI281">
        <v>9</v>
      </c>
    </row>
    <row r="282" spans="1:87" x14ac:dyDescent="0.35">
      <c r="A282" s="1">
        <v>46059.647916666669</v>
      </c>
      <c r="B282">
        <v>-22.1</v>
      </c>
      <c r="C282">
        <v>-21.2</v>
      </c>
      <c r="D282">
        <v>-25</v>
      </c>
      <c r="E282">
        <v>-22</v>
      </c>
      <c r="F282">
        <v>-22.2</v>
      </c>
      <c r="G282">
        <v>-25</v>
      </c>
      <c r="H282">
        <v>-19.7</v>
      </c>
      <c r="I282">
        <v>-23.9</v>
      </c>
      <c r="J282">
        <v>-25</v>
      </c>
      <c r="K282">
        <v>-20.7</v>
      </c>
      <c r="L282">
        <v>-19.3</v>
      </c>
      <c r="M282">
        <v>-25</v>
      </c>
      <c r="N282">
        <v>-17.2</v>
      </c>
      <c r="O282">
        <v>-14.5</v>
      </c>
      <c r="P282">
        <v>-25</v>
      </c>
      <c r="Q282">
        <v>-16.8</v>
      </c>
      <c r="R282">
        <v>-16.600000000000001</v>
      </c>
      <c r="S282">
        <v>-25</v>
      </c>
      <c r="T282">
        <v>2.6</v>
      </c>
      <c r="U282">
        <v>2.5</v>
      </c>
      <c r="V282">
        <v>2</v>
      </c>
      <c r="W282">
        <v>2.6</v>
      </c>
      <c r="X282">
        <v>2.2000000000000002</v>
      </c>
      <c r="Y282">
        <v>2</v>
      </c>
      <c r="Z282">
        <v>2.6</v>
      </c>
      <c r="AA282">
        <v>2.1</v>
      </c>
      <c r="AB282">
        <v>2</v>
      </c>
      <c r="AC282">
        <v>2.2000000000000002</v>
      </c>
      <c r="AD282">
        <v>1.3</v>
      </c>
      <c r="AE282">
        <v>2</v>
      </c>
      <c r="AF282">
        <v>3.5</v>
      </c>
      <c r="AG282">
        <v>3.5</v>
      </c>
      <c r="AH282">
        <v>2</v>
      </c>
      <c r="AI282">
        <v>4</v>
      </c>
      <c r="AJ282">
        <v>3.8</v>
      </c>
      <c r="AK282">
        <v>2</v>
      </c>
      <c r="AL282">
        <v>5.6</v>
      </c>
      <c r="AM282">
        <v>4</v>
      </c>
      <c r="AN282">
        <v>5.0999999999999996</v>
      </c>
      <c r="AO282">
        <v>4</v>
      </c>
      <c r="AP282">
        <v>5.6</v>
      </c>
      <c r="AQ282">
        <v>4</v>
      </c>
      <c r="AR282">
        <v>3.6</v>
      </c>
      <c r="AS282">
        <v>4</v>
      </c>
      <c r="AT282">
        <v>-3.1</v>
      </c>
      <c r="AU282">
        <v>-3.3</v>
      </c>
      <c r="AV282">
        <v>-5</v>
      </c>
      <c r="AW282">
        <v>-3.3</v>
      </c>
      <c r="AX282">
        <v>-3.1</v>
      </c>
      <c r="AY282">
        <v>-5</v>
      </c>
      <c r="AZ282">
        <v>11.4</v>
      </c>
      <c r="BA282">
        <v>10</v>
      </c>
      <c r="BB282">
        <v>11.9</v>
      </c>
      <c r="BC282">
        <v>10</v>
      </c>
      <c r="BD282">
        <v>4.2</v>
      </c>
      <c r="BE282">
        <v>4</v>
      </c>
      <c r="BF282">
        <v>9.6999999999999993</v>
      </c>
      <c r="BG282">
        <v>10</v>
      </c>
      <c r="BH282">
        <v>11.1</v>
      </c>
      <c r="BI282">
        <v>10</v>
      </c>
      <c r="BJ282">
        <v>10.3</v>
      </c>
      <c r="BK282">
        <v>9</v>
      </c>
      <c r="BL282">
        <v>20.2</v>
      </c>
      <c r="BM282">
        <v>19</v>
      </c>
      <c r="BN282">
        <v>23.5</v>
      </c>
      <c r="BO282">
        <v>19</v>
      </c>
      <c r="BP282">
        <v>21.8</v>
      </c>
      <c r="BQ282">
        <v>20</v>
      </c>
      <c r="BR282">
        <v>21.9</v>
      </c>
      <c r="BS282">
        <v>25</v>
      </c>
      <c r="BT282">
        <v>21.9</v>
      </c>
      <c r="BU282">
        <v>25</v>
      </c>
      <c r="BV282">
        <v>23.6</v>
      </c>
      <c r="BW282">
        <v>18</v>
      </c>
      <c r="BX282">
        <v>21.5</v>
      </c>
      <c r="BY282">
        <v>20</v>
      </c>
      <c r="BZ282">
        <v>21.9</v>
      </c>
      <c r="CA282">
        <v>20</v>
      </c>
      <c r="CB282">
        <v>11</v>
      </c>
      <c r="CC282">
        <v>10</v>
      </c>
      <c r="CD282">
        <v>10.5</v>
      </c>
      <c r="CE282">
        <v>10</v>
      </c>
      <c r="CF282">
        <v>11.2</v>
      </c>
      <c r="CG282">
        <v>9</v>
      </c>
      <c r="CH282">
        <v>11.4</v>
      </c>
      <c r="CI282">
        <v>9</v>
      </c>
    </row>
    <row r="283" spans="1:87" x14ac:dyDescent="0.35">
      <c r="A283" s="1">
        <v>46059.648611111108</v>
      </c>
      <c r="B283">
        <v>-21.5</v>
      </c>
      <c r="C283">
        <v>-21.3</v>
      </c>
      <c r="D283">
        <v>-25</v>
      </c>
      <c r="E283">
        <v>-22</v>
      </c>
      <c r="F283">
        <v>-21.7</v>
      </c>
      <c r="G283">
        <v>-25</v>
      </c>
      <c r="H283">
        <v>-19.8</v>
      </c>
      <c r="I283">
        <v>-21.4</v>
      </c>
      <c r="J283">
        <v>-25</v>
      </c>
      <c r="K283">
        <v>-20.3</v>
      </c>
      <c r="L283">
        <v>-19.3</v>
      </c>
      <c r="M283">
        <v>-25</v>
      </c>
      <c r="N283">
        <v>-17.3</v>
      </c>
      <c r="O283">
        <v>-14.7</v>
      </c>
      <c r="P283">
        <v>-25</v>
      </c>
      <c r="Q283">
        <v>-16.899999999999999</v>
      </c>
      <c r="R283">
        <v>-16.7</v>
      </c>
      <c r="S283">
        <v>-25</v>
      </c>
      <c r="T283">
        <v>2.7</v>
      </c>
      <c r="U283">
        <v>2.6</v>
      </c>
      <c r="V283">
        <v>2</v>
      </c>
      <c r="W283">
        <v>2.7</v>
      </c>
      <c r="X283">
        <v>2.4</v>
      </c>
      <c r="Y283">
        <v>2</v>
      </c>
      <c r="Z283">
        <v>2.6</v>
      </c>
      <c r="AA283">
        <v>2.1</v>
      </c>
      <c r="AB283">
        <v>2</v>
      </c>
      <c r="AC283">
        <v>2.2000000000000002</v>
      </c>
      <c r="AD283">
        <v>1.8</v>
      </c>
      <c r="AE283">
        <v>2</v>
      </c>
      <c r="AF283">
        <v>3.5</v>
      </c>
      <c r="AG283">
        <v>3.6</v>
      </c>
      <c r="AH283">
        <v>2</v>
      </c>
      <c r="AI283">
        <v>4</v>
      </c>
      <c r="AJ283">
        <v>2.8</v>
      </c>
      <c r="AK283">
        <v>2</v>
      </c>
      <c r="AL283">
        <v>5.6</v>
      </c>
      <c r="AM283">
        <v>4</v>
      </c>
      <c r="AN283">
        <v>5.2</v>
      </c>
      <c r="AO283">
        <v>4</v>
      </c>
      <c r="AP283">
        <v>4.8</v>
      </c>
      <c r="AQ283">
        <v>4</v>
      </c>
      <c r="AR283">
        <v>3</v>
      </c>
      <c r="AS283">
        <v>4</v>
      </c>
      <c r="AT283">
        <v>-2.9</v>
      </c>
      <c r="AU283">
        <v>-3.3</v>
      </c>
      <c r="AV283">
        <v>-5</v>
      </c>
      <c r="AW283">
        <v>-2.9</v>
      </c>
      <c r="AX283">
        <v>-2.7</v>
      </c>
      <c r="AY283">
        <v>-5</v>
      </c>
      <c r="AZ283">
        <v>11.4</v>
      </c>
      <c r="BA283">
        <v>10</v>
      </c>
      <c r="BB283">
        <v>11.7</v>
      </c>
      <c r="BC283">
        <v>10</v>
      </c>
      <c r="BD283">
        <v>4.2</v>
      </c>
      <c r="BE283">
        <v>4</v>
      </c>
      <c r="BF283">
        <v>9.6</v>
      </c>
      <c r="BG283">
        <v>10</v>
      </c>
      <c r="BH283">
        <v>11.1</v>
      </c>
      <c r="BI283">
        <v>10</v>
      </c>
      <c r="BJ283">
        <v>10.3</v>
      </c>
      <c r="BK283">
        <v>9</v>
      </c>
      <c r="BL283">
        <v>20.2</v>
      </c>
      <c r="BM283">
        <v>19</v>
      </c>
      <c r="BN283">
        <v>23.5</v>
      </c>
      <c r="BO283">
        <v>19</v>
      </c>
      <c r="BP283">
        <v>21.8</v>
      </c>
      <c r="BQ283">
        <v>20</v>
      </c>
      <c r="BR283">
        <v>21.9</v>
      </c>
      <c r="BS283">
        <v>25</v>
      </c>
      <c r="BT283">
        <v>21.9</v>
      </c>
      <c r="BU283">
        <v>25</v>
      </c>
      <c r="BV283">
        <v>23.6</v>
      </c>
      <c r="BW283">
        <v>18</v>
      </c>
      <c r="BX283">
        <v>21.5</v>
      </c>
      <c r="BY283">
        <v>20</v>
      </c>
      <c r="BZ283">
        <v>21.9</v>
      </c>
      <c r="CA283">
        <v>20</v>
      </c>
      <c r="CB283">
        <v>10.9</v>
      </c>
      <c r="CC283">
        <v>10</v>
      </c>
      <c r="CD283">
        <v>10.6</v>
      </c>
      <c r="CE283">
        <v>10</v>
      </c>
      <c r="CF283">
        <v>11.3</v>
      </c>
      <c r="CG283">
        <v>9</v>
      </c>
      <c r="CH283">
        <v>11.5</v>
      </c>
      <c r="CI283">
        <v>9</v>
      </c>
    </row>
    <row r="284" spans="1:87" x14ac:dyDescent="0.35">
      <c r="A284" s="1">
        <v>46059.649305555555</v>
      </c>
      <c r="B284">
        <v>-21.1</v>
      </c>
      <c r="C284">
        <v>-21.3</v>
      </c>
      <c r="D284">
        <v>-25</v>
      </c>
      <c r="E284">
        <v>-22</v>
      </c>
      <c r="F284">
        <v>-19.8</v>
      </c>
      <c r="G284">
        <v>-25</v>
      </c>
      <c r="H284">
        <v>-19.7</v>
      </c>
      <c r="I284">
        <v>-20.6</v>
      </c>
      <c r="J284">
        <v>-25</v>
      </c>
      <c r="K284">
        <v>-19.8</v>
      </c>
      <c r="L284">
        <v>-19.2</v>
      </c>
      <c r="M284">
        <v>-25</v>
      </c>
      <c r="N284">
        <v>-17.2</v>
      </c>
      <c r="O284">
        <v>-14.9</v>
      </c>
      <c r="P284">
        <v>-25</v>
      </c>
      <c r="Q284">
        <v>-16.899999999999999</v>
      </c>
      <c r="R284">
        <v>-16.7</v>
      </c>
      <c r="S284">
        <v>-25</v>
      </c>
      <c r="T284">
        <v>2.8</v>
      </c>
      <c r="U284">
        <v>2.7</v>
      </c>
      <c r="V284">
        <v>2</v>
      </c>
      <c r="W284">
        <v>2.8</v>
      </c>
      <c r="X284">
        <v>2.5</v>
      </c>
      <c r="Y284">
        <v>2</v>
      </c>
      <c r="Z284">
        <v>2.6</v>
      </c>
      <c r="AA284">
        <v>2.1</v>
      </c>
      <c r="AB284">
        <v>2</v>
      </c>
      <c r="AC284">
        <v>2.2999999999999998</v>
      </c>
      <c r="AD284">
        <v>1.9</v>
      </c>
      <c r="AE284">
        <v>2</v>
      </c>
      <c r="AF284">
        <v>3.5</v>
      </c>
      <c r="AG284">
        <v>3.6</v>
      </c>
      <c r="AH284">
        <v>2</v>
      </c>
      <c r="AI284">
        <v>3.9</v>
      </c>
      <c r="AJ284">
        <v>2.2000000000000002</v>
      </c>
      <c r="AK284">
        <v>2</v>
      </c>
      <c r="AL284">
        <v>5.7</v>
      </c>
      <c r="AM284">
        <v>4</v>
      </c>
      <c r="AN284">
        <v>5.3</v>
      </c>
      <c r="AO284">
        <v>4</v>
      </c>
      <c r="AP284">
        <v>3.8</v>
      </c>
      <c r="AQ284">
        <v>4</v>
      </c>
      <c r="AR284">
        <v>3</v>
      </c>
      <c r="AS284">
        <v>4</v>
      </c>
      <c r="AT284">
        <v>-3</v>
      </c>
      <c r="AU284">
        <v>-4.7</v>
      </c>
      <c r="AV284">
        <v>-5</v>
      </c>
      <c r="AW284">
        <v>-2.8</v>
      </c>
      <c r="AX284">
        <v>-2.7</v>
      </c>
      <c r="AY284">
        <v>-5</v>
      </c>
      <c r="AZ284">
        <v>11.5</v>
      </c>
      <c r="BA284">
        <v>10</v>
      </c>
      <c r="BB284">
        <v>11.3</v>
      </c>
      <c r="BC284">
        <v>10</v>
      </c>
      <c r="BD284">
        <v>3.8</v>
      </c>
      <c r="BE284">
        <v>4</v>
      </c>
      <c r="BF284">
        <v>10</v>
      </c>
      <c r="BG284">
        <v>10</v>
      </c>
      <c r="BH284">
        <v>11.1</v>
      </c>
      <c r="BI284">
        <v>10</v>
      </c>
      <c r="BJ284">
        <v>10.3</v>
      </c>
      <c r="BK284">
        <v>9</v>
      </c>
      <c r="BL284">
        <v>20.2</v>
      </c>
      <c r="BM284">
        <v>19</v>
      </c>
      <c r="BN284">
        <v>23.5</v>
      </c>
      <c r="BO284">
        <v>19</v>
      </c>
      <c r="BP284">
        <v>21.8</v>
      </c>
      <c r="BQ284">
        <v>20</v>
      </c>
      <c r="BR284">
        <v>21.9</v>
      </c>
      <c r="BS284">
        <v>25</v>
      </c>
      <c r="BT284">
        <v>21.9</v>
      </c>
      <c r="BU284">
        <v>25</v>
      </c>
      <c r="BV284">
        <v>23.6</v>
      </c>
      <c r="BW284">
        <v>18</v>
      </c>
      <c r="BX284">
        <v>21.5</v>
      </c>
      <c r="BY284">
        <v>20</v>
      </c>
      <c r="BZ284">
        <v>21.9</v>
      </c>
      <c r="CA284">
        <v>20</v>
      </c>
      <c r="CB284">
        <v>10.8</v>
      </c>
      <c r="CC284">
        <v>10</v>
      </c>
      <c r="CD284">
        <v>10.6</v>
      </c>
      <c r="CE284">
        <v>10</v>
      </c>
      <c r="CF284">
        <v>11.5</v>
      </c>
      <c r="CG284">
        <v>9</v>
      </c>
      <c r="CH284">
        <v>11.7</v>
      </c>
      <c r="CI284">
        <v>9</v>
      </c>
    </row>
    <row r="285" spans="1:87" x14ac:dyDescent="0.35">
      <c r="A285" s="1">
        <v>46059.65</v>
      </c>
      <c r="B285">
        <v>-20.8</v>
      </c>
      <c r="C285">
        <v>-21.4</v>
      </c>
      <c r="D285">
        <v>-25</v>
      </c>
      <c r="E285">
        <v>-22</v>
      </c>
      <c r="F285">
        <v>-17</v>
      </c>
      <c r="G285">
        <v>-25</v>
      </c>
      <c r="H285">
        <v>-19.5</v>
      </c>
      <c r="I285">
        <v>-20.3</v>
      </c>
      <c r="J285">
        <v>-25</v>
      </c>
      <c r="K285">
        <v>-19.399999999999999</v>
      </c>
      <c r="L285">
        <v>-19.100000000000001</v>
      </c>
      <c r="M285">
        <v>-25</v>
      </c>
      <c r="N285">
        <v>-16.899999999999999</v>
      </c>
      <c r="O285">
        <v>-15</v>
      </c>
      <c r="P285">
        <v>-25</v>
      </c>
      <c r="Q285">
        <v>-16.8</v>
      </c>
      <c r="R285">
        <v>-16.7</v>
      </c>
      <c r="S285">
        <v>-25</v>
      </c>
      <c r="T285">
        <v>2.9</v>
      </c>
      <c r="U285">
        <v>2.8</v>
      </c>
      <c r="V285">
        <v>2</v>
      </c>
      <c r="W285">
        <v>2.9</v>
      </c>
      <c r="X285">
        <v>2.6</v>
      </c>
      <c r="Y285">
        <v>2</v>
      </c>
      <c r="Z285">
        <v>2.6</v>
      </c>
      <c r="AA285">
        <v>2.1</v>
      </c>
      <c r="AB285">
        <v>2</v>
      </c>
      <c r="AC285">
        <v>2.2999999999999998</v>
      </c>
      <c r="AD285">
        <v>1.5</v>
      </c>
      <c r="AE285">
        <v>2</v>
      </c>
      <c r="AF285">
        <v>3.5</v>
      </c>
      <c r="AG285">
        <v>3.6</v>
      </c>
      <c r="AH285">
        <v>2</v>
      </c>
      <c r="AI285">
        <v>3.5</v>
      </c>
      <c r="AJ285">
        <v>1.7</v>
      </c>
      <c r="AK285">
        <v>2</v>
      </c>
      <c r="AL285">
        <v>5.7</v>
      </c>
      <c r="AM285">
        <v>4</v>
      </c>
      <c r="AN285">
        <v>5.3</v>
      </c>
      <c r="AO285">
        <v>4</v>
      </c>
      <c r="AP285">
        <v>3.1</v>
      </c>
      <c r="AQ285">
        <v>4</v>
      </c>
      <c r="AR285">
        <v>3.1</v>
      </c>
      <c r="AS285">
        <v>4</v>
      </c>
      <c r="AT285">
        <v>-3.4</v>
      </c>
      <c r="AU285">
        <v>-5.4</v>
      </c>
      <c r="AV285">
        <v>-5</v>
      </c>
      <c r="AW285">
        <v>-3</v>
      </c>
      <c r="AX285">
        <v>-4.2</v>
      </c>
      <c r="AY285">
        <v>-5</v>
      </c>
      <c r="AZ285">
        <v>11.6</v>
      </c>
      <c r="BA285">
        <v>10</v>
      </c>
      <c r="BB285">
        <v>11.2</v>
      </c>
      <c r="BC285">
        <v>10</v>
      </c>
      <c r="BD285">
        <v>3.7</v>
      </c>
      <c r="BE285">
        <v>4</v>
      </c>
      <c r="BF285">
        <v>10.3</v>
      </c>
      <c r="BG285">
        <v>10</v>
      </c>
      <c r="BH285">
        <v>11.3</v>
      </c>
      <c r="BI285">
        <v>10</v>
      </c>
      <c r="BJ285">
        <v>10.3</v>
      </c>
      <c r="BK285">
        <v>9</v>
      </c>
      <c r="BL285">
        <v>20.3</v>
      </c>
      <c r="BM285">
        <v>19</v>
      </c>
      <c r="BN285">
        <v>23.5</v>
      </c>
      <c r="BO285">
        <v>19</v>
      </c>
      <c r="BP285">
        <v>21.8</v>
      </c>
      <c r="BQ285">
        <v>20</v>
      </c>
      <c r="BR285">
        <v>21.8</v>
      </c>
      <c r="BS285">
        <v>25</v>
      </c>
      <c r="BT285">
        <v>21.9</v>
      </c>
      <c r="BU285">
        <v>25</v>
      </c>
      <c r="BV285">
        <v>23.6</v>
      </c>
      <c r="BW285">
        <v>18</v>
      </c>
      <c r="BX285">
        <v>21.5</v>
      </c>
      <c r="BY285">
        <v>20</v>
      </c>
      <c r="BZ285">
        <v>21.9</v>
      </c>
      <c r="CA285">
        <v>20</v>
      </c>
      <c r="CB285">
        <v>10.8</v>
      </c>
      <c r="CC285">
        <v>10</v>
      </c>
      <c r="CD285">
        <v>10.7</v>
      </c>
      <c r="CE285">
        <v>10</v>
      </c>
      <c r="CF285">
        <v>11.4</v>
      </c>
      <c r="CG285">
        <v>9</v>
      </c>
      <c r="CH285">
        <v>11.6</v>
      </c>
      <c r="CI285">
        <v>9</v>
      </c>
    </row>
    <row r="286" spans="1:87" x14ac:dyDescent="0.35">
      <c r="A286" s="1">
        <v>46059.650694444441</v>
      </c>
      <c r="B286">
        <v>-20.7</v>
      </c>
      <c r="C286">
        <v>-21.8</v>
      </c>
      <c r="D286">
        <v>-25</v>
      </c>
      <c r="E286">
        <v>-22</v>
      </c>
      <c r="F286">
        <v>-13.6</v>
      </c>
      <c r="G286">
        <v>-25</v>
      </c>
      <c r="H286">
        <v>-19.2</v>
      </c>
      <c r="I286">
        <v>-20.7</v>
      </c>
      <c r="J286">
        <v>-25</v>
      </c>
      <c r="K286">
        <v>-19.3</v>
      </c>
      <c r="L286">
        <v>-19</v>
      </c>
      <c r="M286">
        <v>-25</v>
      </c>
      <c r="N286">
        <v>-16.600000000000001</v>
      </c>
      <c r="O286">
        <v>-15.1</v>
      </c>
      <c r="P286">
        <v>-25</v>
      </c>
      <c r="Q286">
        <v>-16.600000000000001</v>
      </c>
      <c r="R286">
        <v>-16.5</v>
      </c>
      <c r="S286">
        <v>-25</v>
      </c>
      <c r="T286">
        <v>3</v>
      </c>
      <c r="U286">
        <v>2.9</v>
      </c>
      <c r="V286">
        <v>2</v>
      </c>
      <c r="W286">
        <v>3</v>
      </c>
      <c r="X286">
        <v>2.7</v>
      </c>
      <c r="Y286">
        <v>2</v>
      </c>
      <c r="Z286">
        <v>2.6</v>
      </c>
      <c r="AA286">
        <v>2</v>
      </c>
      <c r="AB286">
        <v>2</v>
      </c>
      <c r="AC286">
        <v>2.2000000000000002</v>
      </c>
      <c r="AD286">
        <v>1.4</v>
      </c>
      <c r="AE286">
        <v>2</v>
      </c>
      <c r="AF286">
        <v>3.5</v>
      </c>
      <c r="AG286">
        <v>3.6</v>
      </c>
      <c r="AH286">
        <v>2</v>
      </c>
      <c r="AI286">
        <v>3.2</v>
      </c>
      <c r="AJ286">
        <v>1.7</v>
      </c>
      <c r="AK286">
        <v>2</v>
      </c>
      <c r="AL286">
        <v>5.8</v>
      </c>
      <c r="AM286">
        <v>4</v>
      </c>
      <c r="AN286">
        <v>5.4</v>
      </c>
      <c r="AO286">
        <v>4</v>
      </c>
      <c r="AP286">
        <v>2.9</v>
      </c>
      <c r="AQ286">
        <v>4</v>
      </c>
      <c r="AR286">
        <v>3.5</v>
      </c>
      <c r="AS286">
        <v>4</v>
      </c>
      <c r="AT286">
        <v>-3.7</v>
      </c>
      <c r="AU286">
        <v>-5.5</v>
      </c>
      <c r="AV286">
        <v>-5</v>
      </c>
      <c r="AW286">
        <v>-3.5</v>
      </c>
      <c r="AX286">
        <v>-5.5</v>
      </c>
      <c r="AY286">
        <v>-5</v>
      </c>
      <c r="AZ286">
        <v>11.7</v>
      </c>
      <c r="BA286">
        <v>10</v>
      </c>
      <c r="BB286">
        <v>11</v>
      </c>
      <c r="BC286">
        <v>10</v>
      </c>
      <c r="BD286">
        <v>3.8</v>
      </c>
      <c r="BE286">
        <v>4</v>
      </c>
      <c r="BF286">
        <v>10.6</v>
      </c>
      <c r="BG286">
        <v>10</v>
      </c>
      <c r="BH286">
        <v>11.4</v>
      </c>
      <c r="BI286">
        <v>10</v>
      </c>
      <c r="BJ286">
        <v>10.3</v>
      </c>
      <c r="BK286">
        <v>9</v>
      </c>
      <c r="BL286">
        <v>20.3</v>
      </c>
      <c r="BM286">
        <v>19</v>
      </c>
      <c r="BN286">
        <v>23.5</v>
      </c>
      <c r="BO286">
        <v>19</v>
      </c>
      <c r="BP286">
        <v>21.8</v>
      </c>
      <c r="BQ286">
        <v>20</v>
      </c>
      <c r="BR286">
        <v>21.7</v>
      </c>
      <c r="BS286">
        <v>25</v>
      </c>
      <c r="BT286">
        <v>21.9</v>
      </c>
      <c r="BU286">
        <v>25</v>
      </c>
      <c r="BV286">
        <v>23.6</v>
      </c>
      <c r="BW286">
        <v>18</v>
      </c>
      <c r="BX286">
        <v>21.5</v>
      </c>
      <c r="BY286">
        <v>20</v>
      </c>
      <c r="BZ286">
        <v>21.9</v>
      </c>
      <c r="CA286">
        <v>20</v>
      </c>
      <c r="CB286">
        <v>10.8</v>
      </c>
      <c r="CC286">
        <v>10</v>
      </c>
      <c r="CD286">
        <v>10.9</v>
      </c>
      <c r="CE286">
        <v>10</v>
      </c>
      <c r="CF286">
        <v>11.4</v>
      </c>
      <c r="CG286">
        <v>9</v>
      </c>
      <c r="CH286">
        <v>11.6</v>
      </c>
      <c r="CI286">
        <v>9</v>
      </c>
    </row>
    <row r="287" spans="1:87" x14ac:dyDescent="0.35">
      <c r="A287" s="1">
        <v>46059.651388888888</v>
      </c>
      <c r="B287">
        <v>-20.7</v>
      </c>
      <c r="C287">
        <v>-22.1</v>
      </c>
      <c r="D287">
        <v>-25</v>
      </c>
      <c r="E287">
        <v>-22</v>
      </c>
      <c r="F287">
        <v>-10.7</v>
      </c>
      <c r="G287">
        <v>-25</v>
      </c>
      <c r="H287">
        <v>-19.2</v>
      </c>
      <c r="I287">
        <v>-22.8</v>
      </c>
      <c r="J287">
        <v>-25</v>
      </c>
      <c r="K287">
        <v>-19.3</v>
      </c>
      <c r="L287">
        <v>-18.899999999999999</v>
      </c>
      <c r="M287">
        <v>-25</v>
      </c>
      <c r="N287">
        <v>-16.399999999999999</v>
      </c>
      <c r="O287">
        <v>-15.2</v>
      </c>
      <c r="P287">
        <v>-25</v>
      </c>
      <c r="Q287">
        <v>-16.399999999999999</v>
      </c>
      <c r="R287">
        <v>-16.3</v>
      </c>
      <c r="S287">
        <v>-25</v>
      </c>
      <c r="T287">
        <v>3.1</v>
      </c>
      <c r="U287">
        <v>3</v>
      </c>
      <c r="V287">
        <v>2</v>
      </c>
      <c r="W287">
        <v>3.1</v>
      </c>
      <c r="X287">
        <v>2.9</v>
      </c>
      <c r="Y287">
        <v>2</v>
      </c>
      <c r="Z287">
        <v>2.5</v>
      </c>
      <c r="AA287">
        <v>1.9</v>
      </c>
      <c r="AB287">
        <v>2</v>
      </c>
      <c r="AC287">
        <v>2.1</v>
      </c>
      <c r="AD287">
        <v>1.4</v>
      </c>
      <c r="AE287">
        <v>2</v>
      </c>
      <c r="AF287">
        <v>3.5</v>
      </c>
      <c r="AG287">
        <v>3.6</v>
      </c>
      <c r="AH287">
        <v>2</v>
      </c>
      <c r="AI287">
        <v>3</v>
      </c>
      <c r="AJ287">
        <v>1.7</v>
      </c>
      <c r="AK287">
        <v>2</v>
      </c>
      <c r="AL287">
        <v>5.8</v>
      </c>
      <c r="AM287">
        <v>4</v>
      </c>
      <c r="AN287">
        <v>5.4</v>
      </c>
      <c r="AO287">
        <v>4</v>
      </c>
      <c r="AP287">
        <v>2.9</v>
      </c>
      <c r="AQ287">
        <v>4</v>
      </c>
      <c r="AR287">
        <v>3.9</v>
      </c>
      <c r="AS287">
        <v>4</v>
      </c>
      <c r="AT287">
        <v>-4</v>
      </c>
      <c r="AU287">
        <v>-6</v>
      </c>
      <c r="AV287">
        <v>-5</v>
      </c>
      <c r="AW287">
        <v>-3.8</v>
      </c>
      <c r="AX287">
        <v>-4.5999999999999996</v>
      </c>
      <c r="AY287">
        <v>-5</v>
      </c>
      <c r="AZ287">
        <v>11.8</v>
      </c>
      <c r="BA287">
        <v>10</v>
      </c>
      <c r="BB287">
        <v>11</v>
      </c>
      <c r="BC287">
        <v>10</v>
      </c>
      <c r="BD287">
        <v>4</v>
      </c>
      <c r="BE287">
        <v>4</v>
      </c>
      <c r="BF287">
        <v>10.9</v>
      </c>
      <c r="BG287">
        <v>10</v>
      </c>
      <c r="BH287">
        <v>11.4</v>
      </c>
      <c r="BI287">
        <v>10</v>
      </c>
      <c r="BJ287">
        <v>10.3</v>
      </c>
      <c r="BK287">
        <v>9</v>
      </c>
      <c r="BL287">
        <v>20.3</v>
      </c>
      <c r="BM287">
        <v>19</v>
      </c>
      <c r="BN287">
        <v>23.5</v>
      </c>
      <c r="BO287">
        <v>19</v>
      </c>
      <c r="BP287">
        <v>21.8</v>
      </c>
      <c r="BQ287">
        <v>20</v>
      </c>
      <c r="BR287">
        <v>21.7</v>
      </c>
      <c r="BS287">
        <v>25</v>
      </c>
      <c r="BT287">
        <v>21.9</v>
      </c>
      <c r="BU287">
        <v>25</v>
      </c>
      <c r="BV287">
        <v>23.6</v>
      </c>
      <c r="BW287">
        <v>18</v>
      </c>
      <c r="BX287">
        <v>21.6</v>
      </c>
      <c r="BY287">
        <v>20</v>
      </c>
      <c r="BZ287">
        <v>21.9</v>
      </c>
      <c r="CA287">
        <v>20</v>
      </c>
      <c r="CB287">
        <v>10.8</v>
      </c>
      <c r="CC287">
        <v>10</v>
      </c>
      <c r="CD287">
        <v>10.9</v>
      </c>
      <c r="CE287">
        <v>10</v>
      </c>
      <c r="CF287">
        <v>11.4</v>
      </c>
      <c r="CG287">
        <v>9</v>
      </c>
      <c r="CH287">
        <v>11.6</v>
      </c>
      <c r="CI287">
        <v>9</v>
      </c>
    </row>
    <row r="288" spans="1:87" x14ac:dyDescent="0.35">
      <c r="A288" s="1">
        <v>46059.652083333334</v>
      </c>
      <c r="B288">
        <v>-20.7</v>
      </c>
      <c r="C288">
        <v>-21.2</v>
      </c>
      <c r="D288">
        <v>-25</v>
      </c>
      <c r="E288">
        <v>-22</v>
      </c>
      <c r="F288">
        <v>-8.4</v>
      </c>
      <c r="G288">
        <v>-25</v>
      </c>
      <c r="H288">
        <v>-19.2</v>
      </c>
      <c r="I288">
        <v>-23.9</v>
      </c>
      <c r="J288">
        <v>-25</v>
      </c>
      <c r="K288">
        <v>-19.5</v>
      </c>
      <c r="L288">
        <v>-18.899999999999999</v>
      </c>
      <c r="M288">
        <v>-25</v>
      </c>
      <c r="N288">
        <v>-16.399999999999999</v>
      </c>
      <c r="O288">
        <v>-15.2</v>
      </c>
      <c r="P288">
        <v>-25</v>
      </c>
      <c r="Q288">
        <v>-16.3</v>
      </c>
      <c r="R288">
        <v>-16.2</v>
      </c>
      <c r="S288">
        <v>-25</v>
      </c>
      <c r="T288">
        <v>3.2</v>
      </c>
      <c r="U288">
        <v>3.2</v>
      </c>
      <c r="V288">
        <v>2</v>
      </c>
      <c r="W288">
        <v>3.2</v>
      </c>
      <c r="X288">
        <v>3</v>
      </c>
      <c r="Y288">
        <v>2</v>
      </c>
      <c r="Z288">
        <v>2.5</v>
      </c>
      <c r="AA288">
        <v>1.9</v>
      </c>
      <c r="AB288">
        <v>2</v>
      </c>
      <c r="AC288">
        <v>2.1</v>
      </c>
      <c r="AD288">
        <v>1.6</v>
      </c>
      <c r="AE288">
        <v>2</v>
      </c>
      <c r="AF288">
        <v>3.5</v>
      </c>
      <c r="AG288">
        <v>3.6</v>
      </c>
      <c r="AH288">
        <v>2</v>
      </c>
      <c r="AI288">
        <v>2.8</v>
      </c>
      <c r="AJ288">
        <v>1.7</v>
      </c>
      <c r="AK288">
        <v>2</v>
      </c>
      <c r="AL288">
        <v>5.8</v>
      </c>
      <c r="AM288">
        <v>4</v>
      </c>
      <c r="AN288">
        <v>5.5</v>
      </c>
      <c r="AO288">
        <v>4</v>
      </c>
      <c r="AP288">
        <v>3.1</v>
      </c>
      <c r="AQ288">
        <v>4</v>
      </c>
      <c r="AR288">
        <v>4.2</v>
      </c>
      <c r="AS288">
        <v>4</v>
      </c>
      <c r="AT288">
        <v>-4.2</v>
      </c>
      <c r="AU288">
        <v>-6.4</v>
      </c>
      <c r="AV288">
        <v>-5</v>
      </c>
      <c r="AW288">
        <v>-4</v>
      </c>
      <c r="AX288">
        <v>-4.5999999999999996</v>
      </c>
      <c r="AY288">
        <v>-5</v>
      </c>
      <c r="AZ288">
        <v>11.8</v>
      </c>
      <c r="BA288">
        <v>10</v>
      </c>
      <c r="BB288">
        <v>10.7</v>
      </c>
      <c r="BC288">
        <v>10</v>
      </c>
      <c r="BD288">
        <v>4.3</v>
      </c>
      <c r="BE288">
        <v>4</v>
      </c>
      <c r="BF288">
        <v>11.1</v>
      </c>
      <c r="BG288">
        <v>10</v>
      </c>
      <c r="BH288">
        <v>11.7</v>
      </c>
      <c r="BI288">
        <v>10</v>
      </c>
      <c r="BJ288">
        <v>10.3</v>
      </c>
      <c r="BK288">
        <v>9</v>
      </c>
      <c r="BL288">
        <v>20.3</v>
      </c>
      <c r="BM288">
        <v>19</v>
      </c>
      <c r="BN288">
        <v>23.5</v>
      </c>
      <c r="BO288">
        <v>19</v>
      </c>
      <c r="BP288">
        <v>21.9</v>
      </c>
      <c r="BQ288">
        <v>20</v>
      </c>
      <c r="BR288">
        <v>21.7</v>
      </c>
      <c r="BS288">
        <v>25</v>
      </c>
      <c r="BT288">
        <v>21.9</v>
      </c>
      <c r="BU288">
        <v>25</v>
      </c>
      <c r="BV288">
        <v>23.6</v>
      </c>
      <c r="BW288">
        <v>18</v>
      </c>
      <c r="BX288">
        <v>21.6</v>
      </c>
      <c r="BY288">
        <v>20</v>
      </c>
      <c r="BZ288">
        <v>21.9</v>
      </c>
      <c r="CA288">
        <v>20</v>
      </c>
      <c r="CB288">
        <v>10.8</v>
      </c>
      <c r="CC288">
        <v>10</v>
      </c>
      <c r="CD288">
        <v>11.1</v>
      </c>
      <c r="CE288">
        <v>10</v>
      </c>
      <c r="CF288">
        <v>11.2</v>
      </c>
      <c r="CG288">
        <v>9</v>
      </c>
      <c r="CH288">
        <v>11.4</v>
      </c>
      <c r="CI288">
        <v>9</v>
      </c>
    </row>
    <row r="289" spans="1:87" x14ac:dyDescent="0.35">
      <c r="A289" s="1">
        <v>46059.652777777781</v>
      </c>
      <c r="B289">
        <v>-20.7</v>
      </c>
      <c r="C289">
        <v>-20.7</v>
      </c>
      <c r="D289">
        <v>-25</v>
      </c>
      <c r="E289">
        <v>-22</v>
      </c>
      <c r="F289">
        <v>-5.8</v>
      </c>
      <c r="G289">
        <v>-25</v>
      </c>
      <c r="H289">
        <v>-19.2</v>
      </c>
      <c r="I289">
        <v>-24.7</v>
      </c>
      <c r="J289">
        <v>-25</v>
      </c>
      <c r="K289">
        <v>-19.8</v>
      </c>
      <c r="L289">
        <v>-18.899999999999999</v>
      </c>
      <c r="M289">
        <v>-25</v>
      </c>
      <c r="N289">
        <v>-16.399999999999999</v>
      </c>
      <c r="O289">
        <v>-15.3</v>
      </c>
      <c r="P289">
        <v>-25</v>
      </c>
      <c r="Q289">
        <v>-16.3</v>
      </c>
      <c r="R289">
        <v>-16.100000000000001</v>
      </c>
      <c r="S289">
        <v>-25</v>
      </c>
      <c r="T289">
        <v>3.3</v>
      </c>
      <c r="U289">
        <v>3.2</v>
      </c>
      <c r="V289">
        <v>2</v>
      </c>
      <c r="W289">
        <v>3.3</v>
      </c>
      <c r="X289">
        <v>3</v>
      </c>
      <c r="Y289">
        <v>2</v>
      </c>
      <c r="Z289">
        <v>2.5</v>
      </c>
      <c r="AA289">
        <v>2</v>
      </c>
      <c r="AB289">
        <v>2</v>
      </c>
      <c r="AC289">
        <v>2.1</v>
      </c>
      <c r="AD289">
        <v>1.7</v>
      </c>
      <c r="AE289">
        <v>2</v>
      </c>
      <c r="AF289">
        <v>3.5</v>
      </c>
      <c r="AG289">
        <v>3.6</v>
      </c>
      <c r="AH289">
        <v>2</v>
      </c>
      <c r="AI289">
        <v>2.7</v>
      </c>
      <c r="AJ289">
        <v>1.7</v>
      </c>
      <c r="AK289">
        <v>2</v>
      </c>
      <c r="AL289">
        <v>5.9</v>
      </c>
      <c r="AM289">
        <v>4</v>
      </c>
      <c r="AN289">
        <v>5.5</v>
      </c>
      <c r="AO289">
        <v>4</v>
      </c>
      <c r="AP289">
        <v>3.4</v>
      </c>
      <c r="AQ289">
        <v>4</v>
      </c>
      <c r="AR289">
        <v>4.5</v>
      </c>
      <c r="AS289">
        <v>4</v>
      </c>
      <c r="AT289">
        <v>-4.5</v>
      </c>
      <c r="AU289">
        <v>-6.7</v>
      </c>
      <c r="AV289">
        <v>-5</v>
      </c>
      <c r="AW289">
        <v>-4.0999999999999996</v>
      </c>
      <c r="AX289">
        <v>-5.8</v>
      </c>
      <c r="AY289">
        <v>-5</v>
      </c>
      <c r="AZ289">
        <v>11.9</v>
      </c>
      <c r="BA289">
        <v>10</v>
      </c>
      <c r="BB289">
        <v>10.6</v>
      </c>
      <c r="BC289">
        <v>10</v>
      </c>
      <c r="BD289">
        <v>4.5999999999999996</v>
      </c>
      <c r="BE289">
        <v>4</v>
      </c>
      <c r="BF289">
        <v>11.6</v>
      </c>
      <c r="BG289">
        <v>10</v>
      </c>
      <c r="BH289">
        <v>11.7</v>
      </c>
      <c r="BI289">
        <v>10</v>
      </c>
      <c r="BJ289">
        <v>10.3</v>
      </c>
      <c r="BK289">
        <v>9</v>
      </c>
      <c r="BL289">
        <v>20.3</v>
      </c>
      <c r="BM289">
        <v>19</v>
      </c>
      <c r="BN289">
        <v>23.5</v>
      </c>
      <c r="BO289">
        <v>19</v>
      </c>
      <c r="BP289">
        <v>21.9</v>
      </c>
      <c r="BQ289">
        <v>20</v>
      </c>
      <c r="BR289">
        <v>21.7</v>
      </c>
      <c r="BS289">
        <v>25</v>
      </c>
      <c r="BT289">
        <v>21.9</v>
      </c>
      <c r="BU289">
        <v>25</v>
      </c>
      <c r="BV289">
        <v>23.6</v>
      </c>
      <c r="BW289">
        <v>18</v>
      </c>
      <c r="BX289">
        <v>21.6</v>
      </c>
      <c r="BY289">
        <v>20</v>
      </c>
      <c r="BZ289">
        <v>22</v>
      </c>
      <c r="CA289">
        <v>20</v>
      </c>
      <c r="CB289">
        <v>10.8</v>
      </c>
      <c r="CC289">
        <v>10</v>
      </c>
      <c r="CD289">
        <v>11.3</v>
      </c>
      <c r="CE289">
        <v>10</v>
      </c>
      <c r="CF289">
        <v>11.2</v>
      </c>
      <c r="CG289">
        <v>9</v>
      </c>
      <c r="CH289">
        <v>11.4</v>
      </c>
      <c r="CI289">
        <v>9</v>
      </c>
    </row>
    <row r="290" spans="1:87" x14ac:dyDescent="0.35">
      <c r="A290" s="1">
        <v>46059.65347222222</v>
      </c>
      <c r="B290">
        <v>-20.3</v>
      </c>
      <c r="C290">
        <v>-20.3</v>
      </c>
      <c r="D290">
        <v>-25</v>
      </c>
      <c r="E290">
        <v>-22</v>
      </c>
      <c r="F290">
        <v>-4.3</v>
      </c>
      <c r="G290">
        <v>-25</v>
      </c>
      <c r="H290">
        <v>-19.3</v>
      </c>
      <c r="I290">
        <v>-25</v>
      </c>
      <c r="J290">
        <v>-25</v>
      </c>
      <c r="K290">
        <v>-20.100000000000001</v>
      </c>
      <c r="L290">
        <v>-19</v>
      </c>
      <c r="M290">
        <v>-25</v>
      </c>
      <c r="N290">
        <v>-16.5</v>
      </c>
      <c r="O290">
        <v>-15.3</v>
      </c>
      <c r="P290">
        <v>-25</v>
      </c>
      <c r="Q290">
        <v>-16.3</v>
      </c>
      <c r="R290">
        <v>-16.100000000000001</v>
      </c>
      <c r="S290">
        <v>-25</v>
      </c>
      <c r="T290">
        <v>3.4</v>
      </c>
      <c r="U290">
        <v>3.3</v>
      </c>
      <c r="V290">
        <v>2</v>
      </c>
      <c r="W290">
        <v>3.4</v>
      </c>
      <c r="X290">
        <v>3.2</v>
      </c>
      <c r="Y290">
        <v>2</v>
      </c>
      <c r="Z290">
        <v>2.5</v>
      </c>
      <c r="AA290">
        <v>2</v>
      </c>
      <c r="AB290">
        <v>2</v>
      </c>
      <c r="AC290">
        <v>2.1</v>
      </c>
      <c r="AD290">
        <v>1.7</v>
      </c>
      <c r="AE290">
        <v>2</v>
      </c>
      <c r="AF290">
        <v>3.5</v>
      </c>
      <c r="AG290">
        <v>3.6</v>
      </c>
      <c r="AH290">
        <v>2</v>
      </c>
      <c r="AI290">
        <v>2.5</v>
      </c>
      <c r="AJ290">
        <v>1.5</v>
      </c>
      <c r="AK290">
        <v>2</v>
      </c>
      <c r="AL290">
        <v>5.9</v>
      </c>
      <c r="AM290">
        <v>4</v>
      </c>
      <c r="AN290">
        <v>5.6</v>
      </c>
      <c r="AO290">
        <v>4</v>
      </c>
      <c r="AP290">
        <v>3.7</v>
      </c>
      <c r="AQ290">
        <v>4</v>
      </c>
      <c r="AR290">
        <v>4.8</v>
      </c>
      <c r="AS290">
        <v>4</v>
      </c>
      <c r="AT290">
        <v>-4.5999999999999996</v>
      </c>
      <c r="AU290">
        <v>-6.8</v>
      </c>
      <c r="AV290">
        <v>-5</v>
      </c>
      <c r="AW290">
        <v>-4.4000000000000004</v>
      </c>
      <c r="AX290">
        <v>-6.4</v>
      </c>
      <c r="AY290">
        <v>-5</v>
      </c>
      <c r="AZ290">
        <v>12</v>
      </c>
      <c r="BA290">
        <v>10</v>
      </c>
      <c r="BB290">
        <v>10.6</v>
      </c>
      <c r="BC290">
        <v>10</v>
      </c>
      <c r="BD290">
        <v>4.7</v>
      </c>
      <c r="BE290">
        <v>4</v>
      </c>
      <c r="BF290">
        <v>11.7</v>
      </c>
      <c r="BG290">
        <v>10</v>
      </c>
      <c r="BH290">
        <v>11.5</v>
      </c>
      <c r="BI290">
        <v>10</v>
      </c>
      <c r="BJ290">
        <v>10.199999999999999</v>
      </c>
      <c r="BK290">
        <v>9</v>
      </c>
      <c r="BL290">
        <v>20.399999999999999</v>
      </c>
      <c r="BM290">
        <v>19</v>
      </c>
      <c r="BN290">
        <v>23.5</v>
      </c>
      <c r="BO290">
        <v>19</v>
      </c>
      <c r="BP290">
        <v>21.9</v>
      </c>
      <c r="BQ290">
        <v>20</v>
      </c>
      <c r="BR290">
        <v>21.7</v>
      </c>
      <c r="BS290">
        <v>25</v>
      </c>
      <c r="BT290">
        <v>21.9</v>
      </c>
      <c r="BU290">
        <v>25</v>
      </c>
      <c r="BV290">
        <v>23.6</v>
      </c>
      <c r="BW290">
        <v>18</v>
      </c>
      <c r="BX290">
        <v>21.7</v>
      </c>
      <c r="BY290">
        <v>20</v>
      </c>
      <c r="BZ290">
        <v>20.8</v>
      </c>
      <c r="CA290">
        <v>20</v>
      </c>
      <c r="CB290">
        <v>11.5</v>
      </c>
      <c r="CC290">
        <v>10</v>
      </c>
      <c r="CD290">
        <v>11.3</v>
      </c>
      <c r="CE290">
        <v>10</v>
      </c>
      <c r="CF290">
        <v>11.4</v>
      </c>
      <c r="CG290">
        <v>9</v>
      </c>
      <c r="CH290">
        <v>11.6</v>
      </c>
      <c r="CI290">
        <v>9</v>
      </c>
    </row>
    <row r="291" spans="1:87" x14ac:dyDescent="0.35">
      <c r="A291" s="1">
        <v>46059.654166666667</v>
      </c>
      <c r="B291">
        <v>-20</v>
      </c>
      <c r="C291">
        <v>-19.899999999999999</v>
      </c>
      <c r="D291">
        <v>-25</v>
      </c>
      <c r="E291">
        <v>-22</v>
      </c>
      <c r="F291">
        <v>-3.2</v>
      </c>
      <c r="G291">
        <v>-25</v>
      </c>
      <c r="H291">
        <v>-19.399999999999999</v>
      </c>
      <c r="I291">
        <v>-23</v>
      </c>
      <c r="J291">
        <v>-25</v>
      </c>
      <c r="K291">
        <v>-20.100000000000001</v>
      </c>
      <c r="L291">
        <v>-19.100000000000001</v>
      </c>
      <c r="M291">
        <v>-25</v>
      </c>
      <c r="N291">
        <v>-16.600000000000001</v>
      </c>
      <c r="O291">
        <v>-15.3</v>
      </c>
      <c r="P291">
        <v>-25</v>
      </c>
      <c r="Q291">
        <v>-16.3</v>
      </c>
      <c r="R291">
        <v>-16.2</v>
      </c>
      <c r="S291">
        <v>-25</v>
      </c>
      <c r="T291">
        <v>3.4</v>
      </c>
      <c r="U291">
        <v>3.4</v>
      </c>
      <c r="V291">
        <v>2</v>
      </c>
      <c r="W291">
        <v>3.4</v>
      </c>
      <c r="X291">
        <v>3.2</v>
      </c>
      <c r="Y291">
        <v>2</v>
      </c>
      <c r="Z291">
        <v>2.5</v>
      </c>
      <c r="AA291">
        <v>2</v>
      </c>
      <c r="AB291">
        <v>2</v>
      </c>
      <c r="AC291">
        <v>2.1</v>
      </c>
      <c r="AD291">
        <v>1.7</v>
      </c>
      <c r="AE291">
        <v>2</v>
      </c>
      <c r="AF291">
        <v>3.5</v>
      </c>
      <c r="AG291">
        <v>3.6</v>
      </c>
      <c r="AH291">
        <v>2</v>
      </c>
      <c r="AI291">
        <v>2.5</v>
      </c>
      <c r="AJ291">
        <v>1.4</v>
      </c>
      <c r="AK291">
        <v>2</v>
      </c>
      <c r="AL291">
        <v>5.9</v>
      </c>
      <c r="AM291">
        <v>4</v>
      </c>
      <c r="AN291">
        <v>5.6</v>
      </c>
      <c r="AO291">
        <v>4</v>
      </c>
      <c r="AP291">
        <v>3.9</v>
      </c>
      <c r="AQ291">
        <v>4</v>
      </c>
      <c r="AR291">
        <v>5.0999999999999996</v>
      </c>
      <c r="AS291">
        <v>4</v>
      </c>
      <c r="AT291">
        <v>-4.8</v>
      </c>
      <c r="AU291">
        <v>-6.8</v>
      </c>
      <c r="AV291">
        <v>-5</v>
      </c>
      <c r="AW291">
        <v>-4.5999999999999996</v>
      </c>
      <c r="AX291">
        <v>-5.3</v>
      </c>
      <c r="AY291">
        <v>-5</v>
      </c>
      <c r="AZ291">
        <v>11.4</v>
      </c>
      <c r="BA291">
        <v>10</v>
      </c>
      <c r="BB291">
        <v>10.7</v>
      </c>
      <c r="BC291">
        <v>10</v>
      </c>
      <c r="BD291">
        <v>4.9000000000000004</v>
      </c>
      <c r="BE291">
        <v>4</v>
      </c>
      <c r="BF291">
        <v>11.8</v>
      </c>
      <c r="BG291">
        <v>10</v>
      </c>
      <c r="BH291">
        <v>11.5</v>
      </c>
      <c r="BI291">
        <v>10</v>
      </c>
      <c r="BJ291">
        <v>10.199999999999999</v>
      </c>
      <c r="BK291">
        <v>9</v>
      </c>
      <c r="BL291">
        <v>20.399999999999999</v>
      </c>
      <c r="BM291">
        <v>19</v>
      </c>
      <c r="BN291">
        <v>23.1</v>
      </c>
      <c r="BO291">
        <v>19</v>
      </c>
      <c r="BP291">
        <v>21.9</v>
      </c>
      <c r="BQ291">
        <v>20</v>
      </c>
      <c r="BR291">
        <v>21.7</v>
      </c>
      <c r="BS291">
        <v>25</v>
      </c>
      <c r="BT291">
        <v>21.9</v>
      </c>
      <c r="BU291">
        <v>25</v>
      </c>
      <c r="BV291">
        <v>23.6</v>
      </c>
      <c r="BW291">
        <v>18</v>
      </c>
      <c r="BX291">
        <v>21.7</v>
      </c>
      <c r="BY291">
        <v>20</v>
      </c>
      <c r="BZ291">
        <v>19.399999999999999</v>
      </c>
      <c r="CA291">
        <v>20</v>
      </c>
      <c r="CB291">
        <v>12.4</v>
      </c>
      <c r="CC291">
        <v>10</v>
      </c>
      <c r="CD291">
        <v>11.4</v>
      </c>
      <c r="CE291">
        <v>10</v>
      </c>
      <c r="CF291">
        <v>11.4</v>
      </c>
      <c r="CG291">
        <v>9</v>
      </c>
      <c r="CH291">
        <v>11.6</v>
      </c>
      <c r="CI291">
        <v>9</v>
      </c>
    </row>
    <row r="292" spans="1:87" x14ac:dyDescent="0.35">
      <c r="A292" s="1">
        <v>46059.654861111114</v>
      </c>
      <c r="B292">
        <v>-19.7</v>
      </c>
      <c r="C292">
        <v>-19.600000000000001</v>
      </c>
      <c r="D292">
        <v>-25</v>
      </c>
      <c r="E292">
        <v>-22</v>
      </c>
      <c r="F292">
        <v>-2.5</v>
      </c>
      <c r="G292">
        <v>-25</v>
      </c>
      <c r="H292">
        <v>-19.399999999999999</v>
      </c>
      <c r="I292">
        <v>-22</v>
      </c>
      <c r="J292">
        <v>-25</v>
      </c>
      <c r="K292">
        <v>-20.100000000000001</v>
      </c>
      <c r="L292">
        <v>-19.100000000000001</v>
      </c>
      <c r="M292">
        <v>-25</v>
      </c>
      <c r="N292">
        <v>-16.7</v>
      </c>
      <c r="O292">
        <v>-15.4</v>
      </c>
      <c r="P292">
        <v>-25</v>
      </c>
      <c r="Q292">
        <v>-16.399999999999999</v>
      </c>
      <c r="R292">
        <v>-16.2</v>
      </c>
      <c r="S292">
        <v>-25</v>
      </c>
      <c r="T292">
        <v>3.5</v>
      </c>
      <c r="U292">
        <v>3.5</v>
      </c>
      <c r="V292">
        <v>2</v>
      </c>
      <c r="W292">
        <v>3.5</v>
      </c>
      <c r="X292">
        <v>3.3</v>
      </c>
      <c r="Y292">
        <v>2</v>
      </c>
      <c r="Z292">
        <v>2.5</v>
      </c>
      <c r="AA292">
        <v>2</v>
      </c>
      <c r="AB292">
        <v>2</v>
      </c>
      <c r="AC292">
        <v>2.1</v>
      </c>
      <c r="AD292">
        <v>1.8</v>
      </c>
      <c r="AE292">
        <v>2</v>
      </c>
      <c r="AF292">
        <v>3.5</v>
      </c>
      <c r="AG292">
        <v>3.5</v>
      </c>
      <c r="AH292">
        <v>2</v>
      </c>
      <c r="AI292">
        <v>2.5</v>
      </c>
      <c r="AJ292">
        <v>0.9</v>
      </c>
      <c r="AK292">
        <v>2</v>
      </c>
      <c r="AL292">
        <v>6</v>
      </c>
      <c r="AM292">
        <v>4</v>
      </c>
      <c r="AN292">
        <v>5.7</v>
      </c>
      <c r="AO292">
        <v>4</v>
      </c>
      <c r="AP292">
        <v>4.2</v>
      </c>
      <c r="AQ292">
        <v>4</v>
      </c>
      <c r="AR292">
        <v>5.3</v>
      </c>
      <c r="AS292">
        <v>4</v>
      </c>
      <c r="AT292">
        <v>-4.9000000000000004</v>
      </c>
      <c r="AU292">
        <v>-6.8</v>
      </c>
      <c r="AV292">
        <v>-5</v>
      </c>
      <c r="AW292">
        <v>-4.5999999999999996</v>
      </c>
      <c r="AX292">
        <v>-5</v>
      </c>
      <c r="AY292">
        <v>-5</v>
      </c>
      <c r="AZ292">
        <v>9.8000000000000007</v>
      </c>
      <c r="BA292">
        <v>10</v>
      </c>
      <c r="BB292">
        <v>10.7</v>
      </c>
      <c r="BC292">
        <v>10</v>
      </c>
      <c r="BD292">
        <v>5.0999999999999996</v>
      </c>
      <c r="BE292">
        <v>4</v>
      </c>
      <c r="BF292">
        <v>12.1</v>
      </c>
      <c r="BG292">
        <v>10</v>
      </c>
      <c r="BH292">
        <v>11.5</v>
      </c>
      <c r="BI292">
        <v>10</v>
      </c>
      <c r="BJ292">
        <v>10.199999999999999</v>
      </c>
      <c r="BK292">
        <v>9</v>
      </c>
      <c r="BL292">
        <v>20.399999999999999</v>
      </c>
      <c r="BM292">
        <v>19</v>
      </c>
      <c r="BN292">
        <v>22.7</v>
      </c>
      <c r="BO292">
        <v>19</v>
      </c>
      <c r="BP292">
        <v>21.9</v>
      </c>
      <c r="BQ292">
        <v>20</v>
      </c>
      <c r="BR292">
        <v>21.7</v>
      </c>
      <c r="BS292">
        <v>25</v>
      </c>
      <c r="BT292">
        <v>21.9</v>
      </c>
      <c r="BU292">
        <v>25</v>
      </c>
      <c r="BV292">
        <v>23.6</v>
      </c>
      <c r="BW292">
        <v>18</v>
      </c>
      <c r="BX292">
        <v>21.8</v>
      </c>
      <c r="BY292">
        <v>20</v>
      </c>
      <c r="BZ292">
        <v>19.3</v>
      </c>
      <c r="CA292">
        <v>20</v>
      </c>
      <c r="CB292">
        <v>13</v>
      </c>
      <c r="CC292">
        <v>10</v>
      </c>
      <c r="CD292">
        <v>11.5</v>
      </c>
      <c r="CE292">
        <v>10</v>
      </c>
      <c r="CF292">
        <v>11.6</v>
      </c>
      <c r="CG292">
        <v>9</v>
      </c>
      <c r="CH292">
        <v>11.7</v>
      </c>
      <c r="CI292">
        <v>9</v>
      </c>
    </row>
    <row r="293" spans="1:87" x14ac:dyDescent="0.35">
      <c r="A293" s="1">
        <v>46059.655555555553</v>
      </c>
      <c r="B293">
        <v>-19.3</v>
      </c>
      <c r="C293">
        <v>-19.2</v>
      </c>
      <c r="D293">
        <v>-25</v>
      </c>
      <c r="E293">
        <v>-22</v>
      </c>
      <c r="F293">
        <v>-1.7</v>
      </c>
      <c r="G293">
        <v>-25</v>
      </c>
      <c r="H293">
        <v>-19.399999999999999</v>
      </c>
      <c r="I293">
        <v>-23</v>
      </c>
      <c r="J293">
        <v>-25</v>
      </c>
      <c r="K293">
        <v>-20</v>
      </c>
      <c r="L293">
        <v>-19.100000000000001</v>
      </c>
      <c r="M293">
        <v>-25</v>
      </c>
      <c r="N293">
        <v>-16.7</v>
      </c>
      <c r="O293">
        <v>-15.4</v>
      </c>
      <c r="P293">
        <v>-25</v>
      </c>
      <c r="Q293">
        <v>-16.399999999999999</v>
      </c>
      <c r="R293">
        <v>-16.3</v>
      </c>
      <c r="S293">
        <v>-25</v>
      </c>
      <c r="T293">
        <v>3.6</v>
      </c>
      <c r="U293">
        <v>3.5</v>
      </c>
      <c r="V293">
        <v>2</v>
      </c>
      <c r="W293">
        <v>3.6</v>
      </c>
      <c r="X293">
        <v>3.4</v>
      </c>
      <c r="Y293">
        <v>2</v>
      </c>
      <c r="Z293">
        <v>2.5</v>
      </c>
      <c r="AA293">
        <v>2</v>
      </c>
      <c r="AB293">
        <v>2</v>
      </c>
      <c r="AC293">
        <v>2.1</v>
      </c>
      <c r="AD293">
        <v>0.9</v>
      </c>
      <c r="AE293">
        <v>2</v>
      </c>
      <c r="AF293">
        <v>3.5</v>
      </c>
      <c r="AG293">
        <v>3.5</v>
      </c>
      <c r="AH293">
        <v>2</v>
      </c>
      <c r="AI293">
        <v>2.2999999999999998</v>
      </c>
      <c r="AJ293">
        <v>-0.3</v>
      </c>
      <c r="AK293">
        <v>2</v>
      </c>
      <c r="AL293">
        <v>6</v>
      </c>
      <c r="AM293">
        <v>4</v>
      </c>
      <c r="AN293">
        <v>5.7</v>
      </c>
      <c r="AO293">
        <v>4</v>
      </c>
      <c r="AP293">
        <v>4.4000000000000004</v>
      </c>
      <c r="AQ293">
        <v>4</v>
      </c>
      <c r="AR293">
        <v>5.5</v>
      </c>
      <c r="AS293">
        <v>4</v>
      </c>
      <c r="AT293">
        <v>-5</v>
      </c>
      <c r="AU293">
        <v>-6.9</v>
      </c>
      <c r="AV293">
        <v>-5</v>
      </c>
      <c r="AW293">
        <v>-4.5999999999999996</v>
      </c>
      <c r="AX293">
        <v>-5.2</v>
      </c>
      <c r="AY293">
        <v>-5</v>
      </c>
      <c r="AZ293">
        <v>9.1999999999999993</v>
      </c>
      <c r="BA293">
        <v>10</v>
      </c>
      <c r="BB293">
        <v>10.6</v>
      </c>
      <c r="BC293">
        <v>10</v>
      </c>
      <c r="BD293">
        <v>5.3</v>
      </c>
      <c r="BE293">
        <v>4</v>
      </c>
      <c r="BF293">
        <v>11.8</v>
      </c>
      <c r="BG293">
        <v>10</v>
      </c>
      <c r="BH293">
        <v>11.8</v>
      </c>
      <c r="BI293">
        <v>10</v>
      </c>
      <c r="BJ293">
        <v>10</v>
      </c>
      <c r="BK293">
        <v>9</v>
      </c>
      <c r="BL293">
        <v>20.399999999999999</v>
      </c>
      <c r="BM293">
        <v>19</v>
      </c>
      <c r="BN293">
        <v>22.5</v>
      </c>
      <c r="BO293">
        <v>19</v>
      </c>
      <c r="BP293">
        <v>21.9</v>
      </c>
      <c r="BQ293">
        <v>20</v>
      </c>
      <c r="BR293">
        <v>21.7</v>
      </c>
      <c r="BS293">
        <v>25</v>
      </c>
      <c r="BT293">
        <v>21.9</v>
      </c>
      <c r="BU293">
        <v>25</v>
      </c>
      <c r="BV293">
        <v>23.6</v>
      </c>
      <c r="BW293">
        <v>18</v>
      </c>
      <c r="BX293">
        <v>21.8</v>
      </c>
      <c r="BY293">
        <v>20</v>
      </c>
      <c r="BZ293">
        <v>19.5</v>
      </c>
      <c r="CA293">
        <v>20</v>
      </c>
      <c r="CB293">
        <v>13.3</v>
      </c>
      <c r="CC293">
        <v>10</v>
      </c>
      <c r="CD293">
        <v>11.5</v>
      </c>
      <c r="CE293">
        <v>10</v>
      </c>
      <c r="CF293">
        <v>11.6</v>
      </c>
      <c r="CG293">
        <v>9</v>
      </c>
      <c r="CH293">
        <v>11.7</v>
      </c>
      <c r="CI293">
        <v>9</v>
      </c>
    </row>
    <row r="294" spans="1:87" x14ac:dyDescent="0.35">
      <c r="A294" s="1">
        <v>46059.65625</v>
      </c>
      <c r="B294">
        <v>-19</v>
      </c>
      <c r="C294">
        <v>-18.899999999999999</v>
      </c>
      <c r="D294">
        <v>-25</v>
      </c>
      <c r="E294">
        <v>-22</v>
      </c>
      <c r="F294">
        <v>-1</v>
      </c>
      <c r="G294">
        <v>-25</v>
      </c>
      <c r="H294">
        <v>-19.399999999999999</v>
      </c>
      <c r="I294">
        <v>-23.2</v>
      </c>
      <c r="J294">
        <v>-25</v>
      </c>
      <c r="K294">
        <v>-20</v>
      </c>
      <c r="L294">
        <v>-19.100000000000001</v>
      </c>
      <c r="M294">
        <v>-25</v>
      </c>
      <c r="N294">
        <v>-16.5</v>
      </c>
      <c r="O294">
        <v>-15.5</v>
      </c>
      <c r="P294">
        <v>-25</v>
      </c>
      <c r="Q294">
        <v>-16.399999999999999</v>
      </c>
      <c r="R294">
        <v>-16.3</v>
      </c>
      <c r="S294">
        <v>-25</v>
      </c>
      <c r="T294">
        <v>3.6</v>
      </c>
      <c r="U294">
        <v>3.6</v>
      </c>
      <c r="V294">
        <v>2</v>
      </c>
      <c r="W294">
        <v>3.7</v>
      </c>
      <c r="X294">
        <v>3.4</v>
      </c>
      <c r="Y294">
        <v>2</v>
      </c>
      <c r="Z294">
        <v>2.5</v>
      </c>
      <c r="AA294">
        <v>1.8</v>
      </c>
      <c r="AB294">
        <v>2</v>
      </c>
      <c r="AC294">
        <v>2</v>
      </c>
      <c r="AD294">
        <v>0</v>
      </c>
      <c r="AE294">
        <v>2</v>
      </c>
      <c r="AF294">
        <v>3.5</v>
      </c>
      <c r="AG294">
        <v>3.5</v>
      </c>
      <c r="AH294">
        <v>2</v>
      </c>
      <c r="AI294">
        <v>2</v>
      </c>
      <c r="AJ294">
        <v>-1</v>
      </c>
      <c r="AK294">
        <v>2</v>
      </c>
      <c r="AL294">
        <v>5.7</v>
      </c>
      <c r="AM294">
        <v>4</v>
      </c>
      <c r="AN294">
        <v>5.8</v>
      </c>
      <c r="AO294">
        <v>4</v>
      </c>
      <c r="AP294">
        <v>4.5999999999999996</v>
      </c>
      <c r="AQ294">
        <v>4</v>
      </c>
      <c r="AR294">
        <v>5.6</v>
      </c>
      <c r="AS294">
        <v>4</v>
      </c>
      <c r="AT294">
        <v>-5.0999999999999996</v>
      </c>
      <c r="AU294">
        <v>-6.2</v>
      </c>
      <c r="AV294">
        <v>-5</v>
      </c>
      <c r="AW294">
        <v>-4.9000000000000004</v>
      </c>
      <c r="AX294">
        <v>-7.2</v>
      </c>
      <c r="AY294">
        <v>-5</v>
      </c>
      <c r="AZ294">
        <v>9.1999999999999993</v>
      </c>
      <c r="BA294">
        <v>10</v>
      </c>
      <c r="BB294">
        <v>10.5</v>
      </c>
      <c r="BC294">
        <v>10</v>
      </c>
      <c r="BD294">
        <v>5.4</v>
      </c>
      <c r="BE294">
        <v>4</v>
      </c>
      <c r="BF294">
        <v>11</v>
      </c>
      <c r="BG294">
        <v>10</v>
      </c>
      <c r="BH294">
        <v>11.8</v>
      </c>
      <c r="BI294">
        <v>10</v>
      </c>
      <c r="BJ294">
        <v>10</v>
      </c>
      <c r="BK294">
        <v>9</v>
      </c>
      <c r="BL294">
        <v>20.399999999999999</v>
      </c>
      <c r="BM294">
        <v>19</v>
      </c>
      <c r="BN294">
        <v>22.2</v>
      </c>
      <c r="BO294">
        <v>19</v>
      </c>
      <c r="BP294">
        <v>21.9</v>
      </c>
      <c r="BQ294">
        <v>20</v>
      </c>
      <c r="BR294">
        <v>21.7</v>
      </c>
      <c r="BS294">
        <v>25</v>
      </c>
      <c r="BT294">
        <v>21.9</v>
      </c>
      <c r="BU294">
        <v>25</v>
      </c>
      <c r="BV294">
        <v>23.6</v>
      </c>
      <c r="BW294">
        <v>18</v>
      </c>
      <c r="BX294">
        <v>21.8</v>
      </c>
      <c r="BY294">
        <v>20</v>
      </c>
      <c r="BZ294">
        <v>19.899999999999999</v>
      </c>
      <c r="CA294">
        <v>20</v>
      </c>
      <c r="CB294">
        <v>13.6</v>
      </c>
      <c r="CC294">
        <v>10</v>
      </c>
      <c r="CD294">
        <v>11.5</v>
      </c>
      <c r="CE294">
        <v>10</v>
      </c>
      <c r="CF294">
        <v>11.6</v>
      </c>
      <c r="CG294">
        <v>9</v>
      </c>
      <c r="CH294">
        <v>11.8</v>
      </c>
      <c r="CI294">
        <v>9</v>
      </c>
    </row>
    <row r="295" spans="1:87" x14ac:dyDescent="0.35">
      <c r="A295" s="1">
        <v>46059.656944444447</v>
      </c>
      <c r="B295">
        <v>-18.600000000000001</v>
      </c>
      <c r="C295">
        <v>-18.5</v>
      </c>
      <c r="D295">
        <v>-25</v>
      </c>
      <c r="E295">
        <v>-22</v>
      </c>
      <c r="F295">
        <v>-0.1</v>
      </c>
      <c r="G295">
        <v>-25</v>
      </c>
      <c r="H295">
        <v>-19.399999999999999</v>
      </c>
      <c r="I295">
        <v>-23.6</v>
      </c>
      <c r="J295">
        <v>-25</v>
      </c>
      <c r="K295">
        <v>-20</v>
      </c>
      <c r="L295">
        <v>-19.100000000000001</v>
      </c>
      <c r="M295">
        <v>-25</v>
      </c>
      <c r="N295">
        <v>-16.3</v>
      </c>
      <c r="O295">
        <v>-15.5</v>
      </c>
      <c r="P295">
        <v>-25</v>
      </c>
      <c r="Q295">
        <v>-16.3</v>
      </c>
      <c r="R295">
        <v>-16.2</v>
      </c>
      <c r="S295">
        <v>-25</v>
      </c>
      <c r="T295">
        <v>3.7</v>
      </c>
      <c r="U295">
        <v>3.7</v>
      </c>
      <c r="V295">
        <v>2</v>
      </c>
      <c r="W295">
        <v>3.7</v>
      </c>
      <c r="X295">
        <v>3.5</v>
      </c>
      <c r="Y295">
        <v>2</v>
      </c>
      <c r="Z295">
        <v>2.2999999999999998</v>
      </c>
      <c r="AA295">
        <v>1.7</v>
      </c>
      <c r="AB295">
        <v>2</v>
      </c>
      <c r="AC295">
        <v>1.9</v>
      </c>
      <c r="AD295">
        <v>0.8</v>
      </c>
      <c r="AE295">
        <v>2</v>
      </c>
      <c r="AF295">
        <v>3.5</v>
      </c>
      <c r="AG295">
        <v>3.4</v>
      </c>
      <c r="AH295">
        <v>2</v>
      </c>
      <c r="AI295">
        <v>1.8</v>
      </c>
      <c r="AJ295">
        <v>0.2</v>
      </c>
      <c r="AK295">
        <v>2</v>
      </c>
      <c r="AL295">
        <v>5.5</v>
      </c>
      <c r="AM295">
        <v>4</v>
      </c>
      <c r="AN295">
        <v>5.8</v>
      </c>
      <c r="AO295">
        <v>4</v>
      </c>
      <c r="AP295">
        <v>4.8</v>
      </c>
      <c r="AQ295">
        <v>4</v>
      </c>
      <c r="AR295">
        <v>5.8</v>
      </c>
      <c r="AS295">
        <v>4</v>
      </c>
      <c r="AT295">
        <v>-4.9000000000000004</v>
      </c>
      <c r="AU295">
        <v>-5.5</v>
      </c>
      <c r="AV295">
        <v>-5</v>
      </c>
      <c r="AW295">
        <v>-5.4</v>
      </c>
      <c r="AX295">
        <v>-6.5</v>
      </c>
      <c r="AY295">
        <v>-5</v>
      </c>
      <c r="AZ295">
        <v>9.1999999999999993</v>
      </c>
      <c r="BA295">
        <v>10</v>
      </c>
      <c r="BB295">
        <v>10.4</v>
      </c>
      <c r="BC295">
        <v>10</v>
      </c>
      <c r="BD295">
        <v>5.5</v>
      </c>
      <c r="BE295">
        <v>4</v>
      </c>
      <c r="BF295">
        <v>10.4</v>
      </c>
      <c r="BG295">
        <v>10</v>
      </c>
      <c r="BH295">
        <v>11.8</v>
      </c>
      <c r="BI295">
        <v>10</v>
      </c>
      <c r="BJ295">
        <v>9.9</v>
      </c>
      <c r="BK295">
        <v>9</v>
      </c>
      <c r="BL295">
        <v>20.399999999999999</v>
      </c>
      <c r="BM295">
        <v>19</v>
      </c>
      <c r="BN295">
        <v>22</v>
      </c>
      <c r="BO295">
        <v>19</v>
      </c>
      <c r="BP295">
        <v>21.9</v>
      </c>
      <c r="BQ295">
        <v>20</v>
      </c>
      <c r="BR295">
        <v>21.7</v>
      </c>
      <c r="BS295">
        <v>25</v>
      </c>
      <c r="BT295">
        <v>21.9</v>
      </c>
      <c r="BU295">
        <v>25</v>
      </c>
      <c r="BV295">
        <v>23.6</v>
      </c>
      <c r="BW295">
        <v>18</v>
      </c>
      <c r="BX295">
        <v>21.9</v>
      </c>
      <c r="BY295">
        <v>20</v>
      </c>
      <c r="BZ295">
        <v>20.2</v>
      </c>
      <c r="CA295">
        <v>20</v>
      </c>
      <c r="CB295">
        <v>13.9</v>
      </c>
      <c r="CC295">
        <v>10</v>
      </c>
      <c r="CD295">
        <v>11.6</v>
      </c>
      <c r="CE295">
        <v>10</v>
      </c>
      <c r="CF295">
        <v>11.7</v>
      </c>
      <c r="CG295">
        <v>9</v>
      </c>
      <c r="CH295">
        <v>11.9</v>
      </c>
      <c r="CI295">
        <v>9</v>
      </c>
    </row>
    <row r="296" spans="1:87" x14ac:dyDescent="0.35">
      <c r="A296" s="1">
        <v>46059.657638888886</v>
      </c>
      <c r="B296">
        <v>-18.3</v>
      </c>
      <c r="C296">
        <v>-18.2</v>
      </c>
      <c r="D296">
        <v>-25</v>
      </c>
      <c r="E296">
        <v>-22</v>
      </c>
      <c r="F296">
        <v>0.6</v>
      </c>
      <c r="G296">
        <v>-25</v>
      </c>
      <c r="H296">
        <v>-19.399999999999999</v>
      </c>
      <c r="I296">
        <v>-23.6</v>
      </c>
      <c r="J296">
        <v>-25</v>
      </c>
      <c r="K296">
        <v>-19.899999999999999</v>
      </c>
      <c r="L296">
        <v>-19.100000000000001</v>
      </c>
      <c r="M296">
        <v>-25</v>
      </c>
      <c r="N296">
        <v>-16.2</v>
      </c>
      <c r="O296">
        <v>-15.5</v>
      </c>
      <c r="P296">
        <v>-25</v>
      </c>
      <c r="Q296">
        <v>-16.2</v>
      </c>
      <c r="R296">
        <v>-16.100000000000001</v>
      </c>
      <c r="S296">
        <v>-25</v>
      </c>
      <c r="T296">
        <v>3.8</v>
      </c>
      <c r="U296">
        <v>3.8</v>
      </c>
      <c r="V296">
        <v>2</v>
      </c>
      <c r="W296">
        <v>3.8</v>
      </c>
      <c r="X296">
        <v>3.6</v>
      </c>
      <c r="Y296">
        <v>2</v>
      </c>
      <c r="Z296">
        <v>2.2999999999999998</v>
      </c>
      <c r="AA296">
        <v>1.7</v>
      </c>
      <c r="AB296">
        <v>2</v>
      </c>
      <c r="AC296">
        <v>1.9</v>
      </c>
      <c r="AD296">
        <v>1.4</v>
      </c>
      <c r="AE296">
        <v>2</v>
      </c>
      <c r="AF296">
        <v>2.4</v>
      </c>
      <c r="AG296">
        <v>3.4</v>
      </c>
      <c r="AH296">
        <v>2</v>
      </c>
      <c r="AI296">
        <v>1.8</v>
      </c>
      <c r="AJ296">
        <v>0.9</v>
      </c>
      <c r="AK296">
        <v>2</v>
      </c>
      <c r="AL296">
        <v>5.3</v>
      </c>
      <c r="AM296">
        <v>4</v>
      </c>
      <c r="AN296">
        <v>5.9</v>
      </c>
      <c r="AO296">
        <v>4</v>
      </c>
      <c r="AP296">
        <v>4.9000000000000004</v>
      </c>
      <c r="AQ296">
        <v>4</v>
      </c>
      <c r="AR296">
        <v>6</v>
      </c>
      <c r="AS296">
        <v>4</v>
      </c>
      <c r="AT296">
        <v>-4.3</v>
      </c>
      <c r="AU296">
        <v>-4.7</v>
      </c>
      <c r="AV296">
        <v>-5</v>
      </c>
      <c r="AW296">
        <v>-5.2</v>
      </c>
      <c r="AX296">
        <v>-5.3</v>
      </c>
      <c r="AY296">
        <v>-5</v>
      </c>
      <c r="AZ296">
        <v>9.4</v>
      </c>
      <c r="BA296">
        <v>10</v>
      </c>
      <c r="BB296">
        <v>10.199999999999999</v>
      </c>
      <c r="BC296">
        <v>10</v>
      </c>
      <c r="BD296">
        <v>5.7</v>
      </c>
      <c r="BE296">
        <v>4</v>
      </c>
      <c r="BF296">
        <v>9.6999999999999993</v>
      </c>
      <c r="BG296">
        <v>10</v>
      </c>
      <c r="BH296">
        <v>11.7</v>
      </c>
      <c r="BI296">
        <v>10</v>
      </c>
      <c r="BJ296">
        <v>9.9</v>
      </c>
      <c r="BK296">
        <v>9</v>
      </c>
      <c r="BL296">
        <v>20.399999999999999</v>
      </c>
      <c r="BM296">
        <v>19</v>
      </c>
      <c r="BN296">
        <v>21.9</v>
      </c>
      <c r="BO296">
        <v>19</v>
      </c>
      <c r="BP296">
        <v>21.9</v>
      </c>
      <c r="BQ296">
        <v>20</v>
      </c>
      <c r="BR296">
        <v>21.7</v>
      </c>
      <c r="BS296">
        <v>25</v>
      </c>
      <c r="BT296">
        <v>21.9</v>
      </c>
      <c r="BU296">
        <v>25</v>
      </c>
      <c r="BV296">
        <v>23.6</v>
      </c>
      <c r="BW296">
        <v>18</v>
      </c>
      <c r="BX296">
        <v>21.9</v>
      </c>
      <c r="BY296">
        <v>20</v>
      </c>
      <c r="BZ296">
        <v>20.399999999999999</v>
      </c>
      <c r="CA296">
        <v>20</v>
      </c>
      <c r="CB296">
        <v>14.2</v>
      </c>
      <c r="CC296">
        <v>10</v>
      </c>
      <c r="CD296">
        <v>11.6</v>
      </c>
      <c r="CE296">
        <v>10</v>
      </c>
      <c r="CF296">
        <v>11.7</v>
      </c>
      <c r="CG296">
        <v>9</v>
      </c>
      <c r="CH296">
        <v>11.9</v>
      </c>
      <c r="CI296">
        <v>9</v>
      </c>
    </row>
    <row r="297" spans="1:87" x14ac:dyDescent="0.35">
      <c r="A297" s="1">
        <v>46059.658333333333</v>
      </c>
      <c r="B297">
        <v>-18</v>
      </c>
      <c r="C297">
        <v>-17.8</v>
      </c>
      <c r="D297">
        <v>-25</v>
      </c>
      <c r="E297">
        <v>-22</v>
      </c>
      <c r="F297">
        <v>1.4</v>
      </c>
      <c r="G297">
        <v>-25</v>
      </c>
      <c r="H297">
        <v>-19.399999999999999</v>
      </c>
      <c r="I297">
        <v>-23.6</v>
      </c>
      <c r="J297">
        <v>-25</v>
      </c>
      <c r="K297">
        <v>-19.899999999999999</v>
      </c>
      <c r="L297">
        <v>-19.100000000000001</v>
      </c>
      <c r="M297">
        <v>-25</v>
      </c>
      <c r="N297">
        <v>-16.100000000000001</v>
      </c>
      <c r="O297">
        <v>-15.5</v>
      </c>
      <c r="P297">
        <v>-25</v>
      </c>
      <c r="Q297">
        <v>-16.100000000000001</v>
      </c>
      <c r="R297">
        <v>-15.9</v>
      </c>
      <c r="S297">
        <v>-25</v>
      </c>
      <c r="T297">
        <v>3.8</v>
      </c>
      <c r="U297">
        <v>3.8</v>
      </c>
      <c r="V297">
        <v>2</v>
      </c>
      <c r="W297">
        <v>3.9</v>
      </c>
      <c r="X297">
        <v>3.7</v>
      </c>
      <c r="Y297">
        <v>2</v>
      </c>
      <c r="Z297">
        <v>2.2999999999999998</v>
      </c>
      <c r="AA297">
        <v>1.9</v>
      </c>
      <c r="AB297">
        <v>2</v>
      </c>
      <c r="AC297">
        <v>2</v>
      </c>
      <c r="AD297">
        <v>1.7</v>
      </c>
      <c r="AE297">
        <v>2</v>
      </c>
      <c r="AF297">
        <v>2.4</v>
      </c>
      <c r="AG297">
        <v>3.4</v>
      </c>
      <c r="AH297">
        <v>2</v>
      </c>
      <c r="AI297">
        <v>1.9</v>
      </c>
      <c r="AJ297">
        <v>1.4</v>
      </c>
      <c r="AK297">
        <v>2</v>
      </c>
      <c r="AL297">
        <v>5.2</v>
      </c>
      <c r="AM297">
        <v>4</v>
      </c>
      <c r="AN297">
        <v>5.9</v>
      </c>
      <c r="AO297">
        <v>4</v>
      </c>
      <c r="AP297">
        <v>5.0999999999999996</v>
      </c>
      <c r="AQ297">
        <v>4</v>
      </c>
      <c r="AR297">
        <v>6</v>
      </c>
      <c r="AS297">
        <v>4</v>
      </c>
      <c r="AT297">
        <v>-3.8</v>
      </c>
      <c r="AU297">
        <v>-4.0999999999999996</v>
      </c>
      <c r="AV297">
        <v>-5</v>
      </c>
      <c r="AW297">
        <v>-4.5</v>
      </c>
      <c r="AX297">
        <v>-4.3</v>
      </c>
      <c r="AY297">
        <v>-5</v>
      </c>
      <c r="AZ297">
        <v>9.5</v>
      </c>
      <c r="BA297">
        <v>10</v>
      </c>
      <c r="BB297">
        <v>10.199999999999999</v>
      </c>
      <c r="BC297">
        <v>10</v>
      </c>
      <c r="BD297">
        <v>5.8</v>
      </c>
      <c r="BE297">
        <v>4</v>
      </c>
      <c r="BF297">
        <v>9.5</v>
      </c>
      <c r="BG297">
        <v>10</v>
      </c>
      <c r="BH297">
        <v>11.6</v>
      </c>
      <c r="BI297">
        <v>10</v>
      </c>
      <c r="BJ297">
        <v>9.8000000000000007</v>
      </c>
      <c r="BK297">
        <v>9</v>
      </c>
      <c r="BL297">
        <v>20.399999999999999</v>
      </c>
      <c r="BM297">
        <v>19</v>
      </c>
      <c r="BN297">
        <v>21.8</v>
      </c>
      <c r="BO297">
        <v>19</v>
      </c>
      <c r="BP297">
        <v>21.9</v>
      </c>
      <c r="BQ297">
        <v>20</v>
      </c>
      <c r="BR297">
        <v>21.7</v>
      </c>
      <c r="BS297">
        <v>25</v>
      </c>
      <c r="BT297">
        <v>21.9</v>
      </c>
      <c r="BU297">
        <v>25</v>
      </c>
      <c r="BV297">
        <v>23.6</v>
      </c>
      <c r="BW297">
        <v>18</v>
      </c>
      <c r="BX297">
        <v>21.9</v>
      </c>
      <c r="BY297">
        <v>20</v>
      </c>
      <c r="BZ297">
        <v>20.6</v>
      </c>
      <c r="CA297">
        <v>20</v>
      </c>
      <c r="CB297">
        <v>14.3</v>
      </c>
      <c r="CC297">
        <v>10</v>
      </c>
      <c r="CD297">
        <v>11.6</v>
      </c>
      <c r="CE297">
        <v>10</v>
      </c>
      <c r="CF297">
        <v>11.8</v>
      </c>
      <c r="CG297">
        <v>9</v>
      </c>
      <c r="CH297">
        <v>12</v>
      </c>
      <c r="CI297">
        <v>9</v>
      </c>
    </row>
    <row r="298" spans="1:87" x14ac:dyDescent="0.35">
      <c r="A298" s="1">
        <v>46059.65902777778</v>
      </c>
      <c r="B298">
        <v>-17.600000000000001</v>
      </c>
      <c r="C298">
        <v>-17.5</v>
      </c>
      <c r="D298">
        <v>-25</v>
      </c>
      <c r="E298">
        <v>-22</v>
      </c>
      <c r="F298">
        <v>1.8</v>
      </c>
      <c r="G298">
        <v>-25</v>
      </c>
      <c r="H298">
        <v>-19.399999999999999</v>
      </c>
      <c r="I298">
        <v>-23.6</v>
      </c>
      <c r="J298">
        <v>-25</v>
      </c>
      <c r="K298">
        <v>-19.899999999999999</v>
      </c>
      <c r="L298">
        <v>-19.100000000000001</v>
      </c>
      <c r="M298">
        <v>-25</v>
      </c>
      <c r="N298">
        <v>-16.100000000000001</v>
      </c>
      <c r="O298">
        <v>-15.5</v>
      </c>
      <c r="P298">
        <v>-25</v>
      </c>
      <c r="Q298">
        <v>-16</v>
      </c>
      <c r="R298">
        <v>-15.9</v>
      </c>
      <c r="S298">
        <v>-25</v>
      </c>
      <c r="T298">
        <v>3.9</v>
      </c>
      <c r="U298">
        <v>3.9</v>
      </c>
      <c r="V298">
        <v>2</v>
      </c>
      <c r="W298">
        <v>3.9</v>
      </c>
      <c r="X298">
        <v>3.7</v>
      </c>
      <c r="Y298">
        <v>2</v>
      </c>
      <c r="Z298">
        <v>2.4</v>
      </c>
      <c r="AA298">
        <v>2</v>
      </c>
      <c r="AB298">
        <v>2</v>
      </c>
      <c r="AC298">
        <v>2.1</v>
      </c>
      <c r="AD298">
        <v>1.8</v>
      </c>
      <c r="AE298">
        <v>2</v>
      </c>
      <c r="AF298">
        <v>2.5</v>
      </c>
      <c r="AG298">
        <v>2.9</v>
      </c>
      <c r="AH298">
        <v>2</v>
      </c>
      <c r="AI298">
        <v>2.2000000000000002</v>
      </c>
      <c r="AJ298">
        <v>1.8</v>
      </c>
      <c r="AK298">
        <v>2</v>
      </c>
      <c r="AL298">
        <v>5.0999999999999996</v>
      </c>
      <c r="AM298">
        <v>4</v>
      </c>
      <c r="AN298">
        <v>6</v>
      </c>
      <c r="AO298">
        <v>4</v>
      </c>
      <c r="AP298">
        <v>5.3</v>
      </c>
      <c r="AQ298">
        <v>4</v>
      </c>
      <c r="AR298">
        <v>6</v>
      </c>
      <c r="AS298">
        <v>4</v>
      </c>
      <c r="AT298">
        <v>-3.4</v>
      </c>
      <c r="AU298">
        <v>-3.7</v>
      </c>
      <c r="AV298">
        <v>-5</v>
      </c>
      <c r="AW298">
        <v>-3.8</v>
      </c>
      <c r="AX298">
        <v>-3.6</v>
      </c>
      <c r="AY298">
        <v>-5</v>
      </c>
      <c r="AZ298">
        <v>9.6999999999999993</v>
      </c>
      <c r="BA298">
        <v>10</v>
      </c>
      <c r="BB298">
        <v>10.1</v>
      </c>
      <c r="BC298">
        <v>10</v>
      </c>
      <c r="BD298">
        <v>5.9</v>
      </c>
      <c r="BE298">
        <v>4</v>
      </c>
      <c r="BF298">
        <v>9.8000000000000007</v>
      </c>
      <c r="BG298">
        <v>10</v>
      </c>
      <c r="BH298">
        <v>11.5</v>
      </c>
      <c r="BI298">
        <v>10</v>
      </c>
      <c r="BJ298">
        <v>9.8000000000000007</v>
      </c>
      <c r="BK298">
        <v>9</v>
      </c>
      <c r="BL298">
        <v>20.399999999999999</v>
      </c>
      <c r="BM298">
        <v>19</v>
      </c>
      <c r="BN298">
        <v>21.7</v>
      </c>
      <c r="BO298">
        <v>19</v>
      </c>
      <c r="BP298">
        <v>21.9</v>
      </c>
      <c r="BQ298">
        <v>20</v>
      </c>
      <c r="BR298">
        <v>21.7</v>
      </c>
      <c r="BS298">
        <v>25</v>
      </c>
      <c r="BT298">
        <v>21.9</v>
      </c>
      <c r="BU298">
        <v>25</v>
      </c>
      <c r="BV298">
        <v>23.6</v>
      </c>
      <c r="BW298">
        <v>18</v>
      </c>
      <c r="BX298">
        <v>21.9</v>
      </c>
      <c r="BY298">
        <v>20</v>
      </c>
      <c r="BZ298">
        <v>20.7</v>
      </c>
      <c r="CA298">
        <v>20</v>
      </c>
      <c r="CB298">
        <v>14.4</v>
      </c>
      <c r="CC298">
        <v>10</v>
      </c>
      <c r="CD298">
        <v>11.7</v>
      </c>
      <c r="CE298">
        <v>10</v>
      </c>
      <c r="CF298">
        <v>11.8</v>
      </c>
      <c r="CG298">
        <v>9</v>
      </c>
      <c r="CH298">
        <v>12</v>
      </c>
      <c r="CI298">
        <v>9</v>
      </c>
    </row>
    <row r="299" spans="1:87" x14ac:dyDescent="0.35">
      <c r="A299" s="1">
        <v>46059.659722222219</v>
      </c>
      <c r="B299">
        <v>-17.3</v>
      </c>
      <c r="C299">
        <v>-17.100000000000001</v>
      </c>
      <c r="D299">
        <v>-25</v>
      </c>
      <c r="E299">
        <v>-22</v>
      </c>
      <c r="F299">
        <v>2.7</v>
      </c>
      <c r="G299">
        <v>-25</v>
      </c>
      <c r="H299">
        <v>-19.399999999999999</v>
      </c>
      <c r="I299">
        <v>-23.4</v>
      </c>
      <c r="J299">
        <v>-25</v>
      </c>
      <c r="K299">
        <v>-19.899999999999999</v>
      </c>
      <c r="L299">
        <v>-19.100000000000001</v>
      </c>
      <c r="M299">
        <v>-25</v>
      </c>
      <c r="N299">
        <v>-16</v>
      </c>
      <c r="O299">
        <v>-15.5</v>
      </c>
      <c r="P299">
        <v>-25</v>
      </c>
      <c r="Q299">
        <v>-15.9</v>
      </c>
      <c r="R299">
        <v>-15.8</v>
      </c>
      <c r="S299">
        <v>-25</v>
      </c>
      <c r="T299">
        <v>4</v>
      </c>
      <c r="U299">
        <v>4</v>
      </c>
      <c r="V299">
        <v>2</v>
      </c>
      <c r="W299">
        <v>4</v>
      </c>
      <c r="X299">
        <v>3.8</v>
      </c>
      <c r="Y299">
        <v>2</v>
      </c>
      <c r="Z299">
        <v>2.4</v>
      </c>
      <c r="AA299">
        <v>2.1</v>
      </c>
      <c r="AB299">
        <v>2</v>
      </c>
      <c r="AC299">
        <v>2.2000000000000002</v>
      </c>
      <c r="AD299">
        <v>2</v>
      </c>
      <c r="AE299">
        <v>2</v>
      </c>
      <c r="AF299">
        <v>2.7</v>
      </c>
      <c r="AG299">
        <v>2.7</v>
      </c>
      <c r="AH299">
        <v>2</v>
      </c>
      <c r="AI299">
        <v>2.4</v>
      </c>
      <c r="AJ299">
        <v>2.2000000000000002</v>
      </c>
      <c r="AK299">
        <v>2</v>
      </c>
      <c r="AL299">
        <v>4.9000000000000004</v>
      </c>
      <c r="AM299">
        <v>4</v>
      </c>
      <c r="AN299">
        <v>6</v>
      </c>
      <c r="AO299">
        <v>4</v>
      </c>
      <c r="AP299">
        <v>5.4</v>
      </c>
      <c r="AQ299">
        <v>4</v>
      </c>
      <c r="AR299">
        <v>6</v>
      </c>
      <c r="AS299">
        <v>4</v>
      </c>
      <c r="AT299">
        <v>-3</v>
      </c>
      <c r="AU299">
        <v>-3.3</v>
      </c>
      <c r="AV299">
        <v>-5</v>
      </c>
      <c r="AW299">
        <v>-3.3</v>
      </c>
      <c r="AX299">
        <v>-3.1</v>
      </c>
      <c r="AY299">
        <v>-5</v>
      </c>
      <c r="AZ299">
        <v>9.9</v>
      </c>
      <c r="BA299">
        <v>10</v>
      </c>
      <c r="BB299">
        <v>10</v>
      </c>
      <c r="BC299">
        <v>10</v>
      </c>
      <c r="BD299">
        <v>6</v>
      </c>
      <c r="BE299">
        <v>4</v>
      </c>
      <c r="BF299">
        <v>10</v>
      </c>
      <c r="BG299">
        <v>10</v>
      </c>
      <c r="BH299">
        <v>11.5</v>
      </c>
      <c r="BI299">
        <v>10</v>
      </c>
      <c r="BJ299">
        <v>9.8000000000000007</v>
      </c>
      <c r="BK299">
        <v>9</v>
      </c>
      <c r="BL299">
        <v>20.399999999999999</v>
      </c>
      <c r="BM299">
        <v>19</v>
      </c>
      <c r="BN299">
        <v>21.6</v>
      </c>
      <c r="BO299">
        <v>19</v>
      </c>
      <c r="BP299">
        <v>21.9</v>
      </c>
      <c r="BQ299">
        <v>20</v>
      </c>
      <c r="BR299">
        <v>21.8</v>
      </c>
      <c r="BS299">
        <v>25</v>
      </c>
      <c r="BT299">
        <v>21.9</v>
      </c>
      <c r="BU299">
        <v>25</v>
      </c>
      <c r="BV299">
        <v>23.6</v>
      </c>
      <c r="BW299">
        <v>18</v>
      </c>
      <c r="BX299">
        <v>22</v>
      </c>
      <c r="BY299">
        <v>20</v>
      </c>
      <c r="BZ299">
        <v>20.8</v>
      </c>
      <c r="CA299">
        <v>20</v>
      </c>
      <c r="CB299">
        <v>14.4</v>
      </c>
      <c r="CC299">
        <v>10</v>
      </c>
      <c r="CD299">
        <v>11.8</v>
      </c>
      <c r="CE299">
        <v>10</v>
      </c>
      <c r="CF299">
        <v>11.8</v>
      </c>
      <c r="CG299">
        <v>9</v>
      </c>
      <c r="CH299">
        <v>12</v>
      </c>
      <c r="CI299">
        <v>9</v>
      </c>
    </row>
    <row r="300" spans="1:87" x14ac:dyDescent="0.35">
      <c r="A300" s="1">
        <v>46059.660416666666</v>
      </c>
      <c r="B300">
        <v>-17</v>
      </c>
      <c r="C300">
        <v>-16.8</v>
      </c>
      <c r="D300">
        <v>-25</v>
      </c>
      <c r="E300">
        <v>-22</v>
      </c>
      <c r="F300">
        <v>3.3</v>
      </c>
      <c r="G300">
        <v>-25</v>
      </c>
      <c r="H300">
        <v>-19.399999999999999</v>
      </c>
      <c r="I300">
        <v>-22.3</v>
      </c>
      <c r="J300">
        <v>-25</v>
      </c>
      <c r="K300">
        <v>-19.899999999999999</v>
      </c>
      <c r="L300">
        <v>-19.100000000000001</v>
      </c>
      <c r="M300">
        <v>-25</v>
      </c>
      <c r="N300">
        <v>-16</v>
      </c>
      <c r="O300">
        <v>-15.5</v>
      </c>
      <c r="P300">
        <v>-25</v>
      </c>
      <c r="Q300">
        <v>-15.9</v>
      </c>
      <c r="R300">
        <v>-15.8</v>
      </c>
      <c r="S300">
        <v>-25</v>
      </c>
      <c r="T300">
        <v>3.9</v>
      </c>
      <c r="U300">
        <v>3.2</v>
      </c>
      <c r="V300">
        <v>2</v>
      </c>
      <c r="W300">
        <v>4</v>
      </c>
      <c r="X300">
        <v>2.5</v>
      </c>
      <c r="Y300">
        <v>2</v>
      </c>
      <c r="Z300">
        <v>2.5</v>
      </c>
      <c r="AA300">
        <v>2.2000000000000002</v>
      </c>
      <c r="AB300">
        <v>2</v>
      </c>
      <c r="AC300">
        <v>2.2000000000000002</v>
      </c>
      <c r="AD300">
        <v>2</v>
      </c>
      <c r="AE300">
        <v>2</v>
      </c>
      <c r="AF300">
        <v>2.9</v>
      </c>
      <c r="AG300">
        <v>2.7</v>
      </c>
      <c r="AH300">
        <v>2</v>
      </c>
      <c r="AI300">
        <v>2.6</v>
      </c>
      <c r="AJ300">
        <v>2.5</v>
      </c>
      <c r="AK300">
        <v>2</v>
      </c>
      <c r="AL300">
        <v>4.8</v>
      </c>
      <c r="AM300">
        <v>4</v>
      </c>
      <c r="AN300">
        <v>5.9</v>
      </c>
      <c r="AO300">
        <v>4</v>
      </c>
      <c r="AP300">
        <v>5.6</v>
      </c>
      <c r="AQ300">
        <v>4</v>
      </c>
      <c r="AR300">
        <v>6.2</v>
      </c>
      <c r="AS300">
        <v>4</v>
      </c>
      <c r="AT300">
        <v>-2.9</v>
      </c>
      <c r="AU300">
        <v>-4</v>
      </c>
      <c r="AV300">
        <v>-5</v>
      </c>
      <c r="AW300">
        <v>-2.9</v>
      </c>
      <c r="AX300">
        <v>-2.7</v>
      </c>
      <c r="AY300">
        <v>-5</v>
      </c>
      <c r="AZ300">
        <v>10</v>
      </c>
      <c r="BA300">
        <v>10</v>
      </c>
      <c r="BB300">
        <v>9.9</v>
      </c>
      <c r="BC300">
        <v>10</v>
      </c>
      <c r="BD300">
        <v>5.6</v>
      </c>
      <c r="BE300">
        <v>4</v>
      </c>
      <c r="BF300">
        <v>10.4</v>
      </c>
      <c r="BG300">
        <v>10</v>
      </c>
      <c r="BH300">
        <v>11.7</v>
      </c>
      <c r="BI300">
        <v>10</v>
      </c>
      <c r="BJ300">
        <v>9.8000000000000007</v>
      </c>
      <c r="BK300">
        <v>9</v>
      </c>
      <c r="BL300">
        <v>20.399999999999999</v>
      </c>
      <c r="BM300">
        <v>19</v>
      </c>
      <c r="BN300">
        <v>21.5</v>
      </c>
      <c r="BO300">
        <v>19</v>
      </c>
      <c r="BP300">
        <v>21.9</v>
      </c>
      <c r="BQ300">
        <v>20</v>
      </c>
      <c r="BR300">
        <v>21.8</v>
      </c>
      <c r="BS300">
        <v>25</v>
      </c>
      <c r="BT300">
        <v>21.9</v>
      </c>
      <c r="BU300">
        <v>25</v>
      </c>
      <c r="BV300">
        <v>23.6</v>
      </c>
      <c r="BW300">
        <v>18</v>
      </c>
      <c r="BX300">
        <v>20</v>
      </c>
      <c r="BY300">
        <v>20</v>
      </c>
      <c r="BZ300">
        <v>20.9</v>
      </c>
      <c r="CA300">
        <v>20</v>
      </c>
      <c r="CB300">
        <v>14.4</v>
      </c>
      <c r="CC300">
        <v>10</v>
      </c>
      <c r="CD300">
        <v>11.8</v>
      </c>
      <c r="CE300">
        <v>10</v>
      </c>
      <c r="CF300">
        <v>11.8</v>
      </c>
      <c r="CG300">
        <v>9</v>
      </c>
      <c r="CH300">
        <v>12</v>
      </c>
      <c r="CI300">
        <v>9</v>
      </c>
    </row>
    <row r="301" spans="1:87" x14ac:dyDescent="0.35">
      <c r="A301" s="1">
        <v>46059.661111111112</v>
      </c>
      <c r="B301">
        <v>-16.600000000000001</v>
      </c>
      <c r="C301">
        <v>-16.5</v>
      </c>
      <c r="D301">
        <v>-25</v>
      </c>
      <c r="E301">
        <v>-22</v>
      </c>
      <c r="F301">
        <v>3.7</v>
      </c>
      <c r="G301">
        <v>-25</v>
      </c>
      <c r="H301">
        <v>-19.399999999999999</v>
      </c>
      <c r="I301">
        <v>-22.8</v>
      </c>
      <c r="J301">
        <v>-25</v>
      </c>
      <c r="K301">
        <v>-19.8</v>
      </c>
      <c r="L301">
        <v>-19.100000000000001</v>
      </c>
      <c r="M301">
        <v>-25</v>
      </c>
      <c r="N301">
        <v>-16</v>
      </c>
      <c r="O301">
        <v>-15.5</v>
      </c>
      <c r="P301">
        <v>-25</v>
      </c>
      <c r="Q301">
        <v>-15.9</v>
      </c>
      <c r="R301">
        <v>-15.8</v>
      </c>
      <c r="S301">
        <v>-25</v>
      </c>
      <c r="T301">
        <v>3.3</v>
      </c>
      <c r="U301">
        <v>0.3</v>
      </c>
      <c r="V301">
        <v>2</v>
      </c>
      <c r="W301">
        <v>3.4</v>
      </c>
      <c r="X301">
        <v>1</v>
      </c>
      <c r="Y301">
        <v>2</v>
      </c>
      <c r="Z301">
        <v>2.6</v>
      </c>
      <c r="AA301">
        <v>2.2000000000000002</v>
      </c>
      <c r="AB301">
        <v>2</v>
      </c>
      <c r="AC301">
        <v>2.2999999999999998</v>
      </c>
      <c r="AD301">
        <v>2.1</v>
      </c>
      <c r="AE301">
        <v>2</v>
      </c>
      <c r="AF301">
        <v>3.1</v>
      </c>
      <c r="AG301">
        <v>2.9</v>
      </c>
      <c r="AH301">
        <v>2</v>
      </c>
      <c r="AI301">
        <v>2.9</v>
      </c>
      <c r="AJ301">
        <v>2.8</v>
      </c>
      <c r="AK301">
        <v>2</v>
      </c>
      <c r="AL301">
        <v>4.7</v>
      </c>
      <c r="AM301">
        <v>4</v>
      </c>
      <c r="AN301">
        <v>5.7</v>
      </c>
      <c r="AO301">
        <v>4</v>
      </c>
      <c r="AP301">
        <v>5.7</v>
      </c>
      <c r="AQ301">
        <v>4</v>
      </c>
      <c r="AR301">
        <v>6.4</v>
      </c>
      <c r="AS301">
        <v>4</v>
      </c>
      <c r="AT301">
        <v>-3.1</v>
      </c>
      <c r="AU301">
        <v>-5</v>
      </c>
      <c r="AV301">
        <v>-5</v>
      </c>
      <c r="AW301">
        <v>-2.8</v>
      </c>
      <c r="AX301">
        <v>-2.8</v>
      </c>
      <c r="AY301">
        <v>-5</v>
      </c>
      <c r="AZ301">
        <v>10.199999999999999</v>
      </c>
      <c r="BA301">
        <v>10</v>
      </c>
      <c r="BB301">
        <v>10.1</v>
      </c>
      <c r="BC301">
        <v>10</v>
      </c>
      <c r="BD301">
        <v>5.4</v>
      </c>
      <c r="BE301">
        <v>4</v>
      </c>
      <c r="BF301">
        <v>10.7</v>
      </c>
      <c r="BG301">
        <v>10</v>
      </c>
      <c r="BH301">
        <v>11.7</v>
      </c>
      <c r="BI301">
        <v>10</v>
      </c>
      <c r="BJ301">
        <v>9.6999999999999993</v>
      </c>
      <c r="BK301">
        <v>9</v>
      </c>
      <c r="BL301">
        <v>20.399999999999999</v>
      </c>
      <c r="BM301">
        <v>19</v>
      </c>
      <c r="BN301">
        <v>21.5</v>
      </c>
      <c r="BO301">
        <v>19</v>
      </c>
      <c r="BP301">
        <v>22</v>
      </c>
      <c r="BQ301">
        <v>20</v>
      </c>
      <c r="BR301">
        <v>21.8</v>
      </c>
      <c r="BS301">
        <v>25</v>
      </c>
      <c r="BT301">
        <v>21.9</v>
      </c>
      <c r="BU301">
        <v>25</v>
      </c>
      <c r="BV301">
        <v>23.6</v>
      </c>
      <c r="BW301">
        <v>18</v>
      </c>
      <c r="BX301">
        <v>18.8</v>
      </c>
      <c r="BY301">
        <v>20</v>
      </c>
      <c r="BZ301">
        <v>21</v>
      </c>
      <c r="CA301">
        <v>20</v>
      </c>
      <c r="CB301">
        <v>14.4</v>
      </c>
      <c r="CC301">
        <v>10</v>
      </c>
      <c r="CD301">
        <v>11.8</v>
      </c>
      <c r="CE301">
        <v>10</v>
      </c>
      <c r="CF301">
        <v>12</v>
      </c>
      <c r="CG301">
        <v>9</v>
      </c>
      <c r="CH301">
        <v>12.2</v>
      </c>
      <c r="CI301">
        <v>9</v>
      </c>
    </row>
    <row r="302" spans="1:87" x14ac:dyDescent="0.35">
      <c r="A302" s="1">
        <v>46059.661805555559</v>
      </c>
      <c r="B302">
        <v>-16.3</v>
      </c>
      <c r="C302">
        <v>-16.2</v>
      </c>
      <c r="D302">
        <v>-25</v>
      </c>
      <c r="E302">
        <v>-22</v>
      </c>
      <c r="F302">
        <v>4.4000000000000004</v>
      </c>
      <c r="G302">
        <v>-25</v>
      </c>
      <c r="H302">
        <v>-19.399999999999999</v>
      </c>
      <c r="I302">
        <v>-22.8</v>
      </c>
      <c r="J302">
        <v>-25</v>
      </c>
      <c r="K302">
        <v>-19.7</v>
      </c>
      <c r="L302">
        <v>-19.100000000000001</v>
      </c>
      <c r="M302">
        <v>-25</v>
      </c>
      <c r="N302">
        <v>-16</v>
      </c>
      <c r="O302">
        <v>-15.5</v>
      </c>
      <c r="P302">
        <v>-25</v>
      </c>
      <c r="Q302">
        <v>-15.9</v>
      </c>
      <c r="R302">
        <v>-15.8</v>
      </c>
      <c r="S302">
        <v>-25</v>
      </c>
      <c r="T302">
        <v>2.6</v>
      </c>
      <c r="U302">
        <v>-1.1000000000000001</v>
      </c>
      <c r="V302">
        <v>2</v>
      </c>
      <c r="W302">
        <v>2.7</v>
      </c>
      <c r="X302">
        <v>-0.1</v>
      </c>
      <c r="Y302">
        <v>2</v>
      </c>
      <c r="Z302">
        <v>2.6</v>
      </c>
      <c r="AA302">
        <v>2.2999999999999998</v>
      </c>
      <c r="AB302">
        <v>2</v>
      </c>
      <c r="AC302">
        <v>2.4</v>
      </c>
      <c r="AD302">
        <v>2.2000000000000002</v>
      </c>
      <c r="AE302">
        <v>2</v>
      </c>
      <c r="AF302">
        <v>3.3</v>
      </c>
      <c r="AG302">
        <v>3.1</v>
      </c>
      <c r="AH302">
        <v>2</v>
      </c>
      <c r="AI302">
        <v>3.1</v>
      </c>
      <c r="AJ302">
        <v>3</v>
      </c>
      <c r="AK302">
        <v>2</v>
      </c>
      <c r="AL302">
        <v>4.7</v>
      </c>
      <c r="AM302">
        <v>4</v>
      </c>
      <c r="AN302">
        <v>5.4</v>
      </c>
      <c r="AO302">
        <v>4</v>
      </c>
      <c r="AP302">
        <v>5.9</v>
      </c>
      <c r="AQ302">
        <v>4</v>
      </c>
      <c r="AR302">
        <v>6.5</v>
      </c>
      <c r="AS302">
        <v>4</v>
      </c>
      <c r="AT302">
        <v>-3.5</v>
      </c>
      <c r="AU302">
        <v>-5.5</v>
      </c>
      <c r="AV302">
        <v>-5</v>
      </c>
      <c r="AW302">
        <v>-3.1</v>
      </c>
      <c r="AX302">
        <v>-4.5</v>
      </c>
      <c r="AY302">
        <v>-5</v>
      </c>
      <c r="AZ302">
        <v>10.3</v>
      </c>
      <c r="BA302">
        <v>10</v>
      </c>
      <c r="BB302">
        <v>10.4</v>
      </c>
      <c r="BC302">
        <v>10</v>
      </c>
      <c r="BD302">
        <v>5.2</v>
      </c>
      <c r="BE302">
        <v>4</v>
      </c>
      <c r="BF302">
        <v>11</v>
      </c>
      <c r="BG302">
        <v>10</v>
      </c>
      <c r="BH302">
        <v>11.7</v>
      </c>
      <c r="BI302">
        <v>10</v>
      </c>
      <c r="BJ302">
        <v>9.6</v>
      </c>
      <c r="BK302">
        <v>9</v>
      </c>
      <c r="BL302">
        <v>20.399999999999999</v>
      </c>
      <c r="BM302">
        <v>19</v>
      </c>
      <c r="BN302">
        <v>21.5</v>
      </c>
      <c r="BO302">
        <v>19</v>
      </c>
      <c r="BP302">
        <v>22</v>
      </c>
      <c r="BQ302">
        <v>20</v>
      </c>
      <c r="BR302">
        <v>21.8</v>
      </c>
      <c r="BS302">
        <v>25</v>
      </c>
      <c r="BT302">
        <v>21.9</v>
      </c>
      <c r="BU302">
        <v>25</v>
      </c>
      <c r="BV302">
        <v>23.6</v>
      </c>
      <c r="BW302">
        <v>18</v>
      </c>
      <c r="BX302">
        <v>18.7</v>
      </c>
      <c r="BY302">
        <v>20</v>
      </c>
      <c r="BZ302">
        <v>21.1</v>
      </c>
      <c r="CA302">
        <v>20</v>
      </c>
      <c r="CB302">
        <v>14.4</v>
      </c>
      <c r="CC302">
        <v>10</v>
      </c>
      <c r="CD302">
        <v>11.9</v>
      </c>
      <c r="CE302">
        <v>10</v>
      </c>
      <c r="CF302">
        <v>12</v>
      </c>
      <c r="CG302">
        <v>9</v>
      </c>
      <c r="CH302">
        <v>12.3</v>
      </c>
      <c r="CI302">
        <v>9</v>
      </c>
    </row>
    <row r="303" spans="1:87" x14ac:dyDescent="0.35">
      <c r="A303" s="1">
        <v>46059.663194444445</v>
      </c>
      <c r="B303">
        <v>-15.8</v>
      </c>
      <c r="C303">
        <v>-15.7</v>
      </c>
      <c r="D303">
        <v>-25</v>
      </c>
      <c r="E303">
        <v>-22</v>
      </c>
      <c r="F303">
        <v>6.4</v>
      </c>
      <c r="G303">
        <v>-25</v>
      </c>
      <c r="H303">
        <v>-19.3</v>
      </c>
      <c r="I303">
        <v>-21.1</v>
      </c>
      <c r="J303">
        <v>-25</v>
      </c>
      <c r="K303">
        <v>-19.5</v>
      </c>
      <c r="L303">
        <v>-19.100000000000001</v>
      </c>
      <c r="M303">
        <v>-25</v>
      </c>
      <c r="N303">
        <v>-15.9</v>
      </c>
      <c r="O303">
        <v>-15.4</v>
      </c>
      <c r="P303">
        <v>-25</v>
      </c>
      <c r="Q303">
        <v>-15.8</v>
      </c>
      <c r="R303">
        <v>-15.7</v>
      </c>
      <c r="S303">
        <v>-25</v>
      </c>
      <c r="T303">
        <v>1.7</v>
      </c>
      <c r="U303">
        <v>-0.4</v>
      </c>
      <c r="V303">
        <v>2</v>
      </c>
      <c r="W303">
        <v>1.7</v>
      </c>
      <c r="X303">
        <v>-0.3</v>
      </c>
      <c r="Y303">
        <v>2</v>
      </c>
      <c r="Z303">
        <v>2.8</v>
      </c>
      <c r="AA303">
        <v>2.5</v>
      </c>
      <c r="AB303">
        <v>2</v>
      </c>
      <c r="AC303">
        <v>2.6</v>
      </c>
      <c r="AD303">
        <v>2.4</v>
      </c>
      <c r="AE303">
        <v>2</v>
      </c>
      <c r="AF303">
        <v>3.7</v>
      </c>
      <c r="AG303">
        <v>3.5</v>
      </c>
      <c r="AH303">
        <v>2</v>
      </c>
      <c r="AI303">
        <v>3.5</v>
      </c>
      <c r="AJ303">
        <v>3.4</v>
      </c>
      <c r="AK303">
        <v>2</v>
      </c>
      <c r="AL303">
        <v>4.7</v>
      </c>
      <c r="AM303">
        <v>4</v>
      </c>
      <c r="AN303">
        <v>5.0999999999999996</v>
      </c>
      <c r="AO303">
        <v>4</v>
      </c>
      <c r="AP303">
        <v>5.6</v>
      </c>
      <c r="AQ303">
        <v>4</v>
      </c>
      <c r="AR303">
        <v>6.8</v>
      </c>
      <c r="AS303">
        <v>4</v>
      </c>
      <c r="AT303">
        <v>-4</v>
      </c>
      <c r="AU303">
        <v>-6.1</v>
      </c>
      <c r="AV303">
        <v>-5</v>
      </c>
      <c r="AW303">
        <v>-3.8</v>
      </c>
      <c r="AX303">
        <v>-4.7</v>
      </c>
      <c r="AY303">
        <v>-5</v>
      </c>
      <c r="AZ303">
        <v>10.6</v>
      </c>
      <c r="BA303">
        <v>10</v>
      </c>
      <c r="BB303">
        <v>10.9</v>
      </c>
      <c r="BC303">
        <v>10</v>
      </c>
      <c r="BD303">
        <v>4.5</v>
      </c>
      <c r="BE303">
        <v>4</v>
      </c>
      <c r="BF303">
        <v>11.6</v>
      </c>
      <c r="BG303">
        <v>10</v>
      </c>
      <c r="BH303">
        <v>11.7</v>
      </c>
      <c r="BI303">
        <v>10</v>
      </c>
      <c r="BJ303">
        <v>9.6</v>
      </c>
      <c r="BK303">
        <v>9</v>
      </c>
      <c r="BL303">
        <v>20.399999999999999</v>
      </c>
      <c r="BM303">
        <v>19</v>
      </c>
      <c r="BN303">
        <v>21.3</v>
      </c>
      <c r="BO303">
        <v>19</v>
      </c>
      <c r="BP303">
        <v>21.2</v>
      </c>
      <c r="BQ303">
        <v>20</v>
      </c>
      <c r="BR303">
        <v>21.9</v>
      </c>
      <c r="BS303">
        <v>25</v>
      </c>
      <c r="BT303">
        <v>21.9</v>
      </c>
      <c r="BU303">
        <v>25</v>
      </c>
      <c r="BV303">
        <v>23.6</v>
      </c>
      <c r="BW303">
        <v>18</v>
      </c>
      <c r="BX303">
        <v>19.600000000000001</v>
      </c>
      <c r="BY303">
        <v>20</v>
      </c>
      <c r="BZ303">
        <v>21.2</v>
      </c>
      <c r="CA303">
        <v>20</v>
      </c>
      <c r="CB303">
        <v>14.4</v>
      </c>
      <c r="CC303">
        <v>10</v>
      </c>
      <c r="CD303">
        <v>11.9</v>
      </c>
      <c r="CE303">
        <v>10</v>
      </c>
      <c r="CF303">
        <v>12</v>
      </c>
      <c r="CG303">
        <v>9</v>
      </c>
      <c r="CH303">
        <v>12.2</v>
      </c>
      <c r="CI303">
        <v>9</v>
      </c>
    </row>
    <row r="304" spans="1:87" x14ac:dyDescent="0.35">
      <c r="A304" s="1">
        <v>46059.663888888892</v>
      </c>
      <c r="B304">
        <v>-15.7</v>
      </c>
      <c r="C304">
        <v>-15.7</v>
      </c>
      <c r="D304">
        <v>-25</v>
      </c>
      <c r="E304">
        <v>-22</v>
      </c>
      <c r="F304">
        <v>7.1</v>
      </c>
      <c r="G304">
        <v>-25</v>
      </c>
      <c r="H304">
        <v>-19.2</v>
      </c>
      <c r="I304">
        <v>-20.5</v>
      </c>
      <c r="J304">
        <v>-25</v>
      </c>
      <c r="K304">
        <v>-19.399999999999999</v>
      </c>
      <c r="L304">
        <v>-19</v>
      </c>
      <c r="M304">
        <v>-25</v>
      </c>
      <c r="N304">
        <v>-15.8</v>
      </c>
      <c r="O304">
        <v>-15.3</v>
      </c>
      <c r="P304">
        <v>-25</v>
      </c>
      <c r="Q304">
        <v>-15.8</v>
      </c>
      <c r="R304">
        <v>-15.7</v>
      </c>
      <c r="S304">
        <v>-25</v>
      </c>
      <c r="T304">
        <v>1.7</v>
      </c>
      <c r="U304">
        <v>0.4</v>
      </c>
      <c r="V304">
        <v>2</v>
      </c>
      <c r="W304">
        <v>1.7</v>
      </c>
      <c r="X304">
        <v>0.5</v>
      </c>
      <c r="Y304">
        <v>2</v>
      </c>
      <c r="Z304">
        <v>2.9</v>
      </c>
      <c r="AA304">
        <v>2.6</v>
      </c>
      <c r="AB304">
        <v>2</v>
      </c>
      <c r="AC304">
        <v>2.7</v>
      </c>
      <c r="AD304">
        <v>2.5</v>
      </c>
      <c r="AE304">
        <v>2</v>
      </c>
      <c r="AF304">
        <v>3.8</v>
      </c>
      <c r="AG304">
        <v>3.7</v>
      </c>
      <c r="AH304">
        <v>2</v>
      </c>
      <c r="AI304">
        <v>3.6</v>
      </c>
      <c r="AJ304">
        <v>3.6</v>
      </c>
      <c r="AK304">
        <v>2</v>
      </c>
      <c r="AL304">
        <v>4.7</v>
      </c>
      <c r="AM304">
        <v>4</v>
      </c>
      <c r="AN304">
        <v>4.9000000000000004</v>
      </c>
      <c r="AO304">
        <v>4</v>
      </c>
      <c r="AP304">
        <v>4.4000000000000004</v>
      </c>
      <c r="AQ304">
        <v>4</v>
      </c>
      <c r="AR304">
        <v>6.9</v>
      </c>
      <c r="AS304">
        <v>4</v>
      </c>
      <c r="AT304">
        <v>-4.2</v>
      </c>
      <c r="AU304">
        <v>-6.4</v>
      </c>
      <c r="AV304">
        <v>-5</v>
      </c>
      <c r="AW304">
        <v>-4</v>
      </c>
      <c r="AX304">
        <v>-4.5999999999999996</v>
      </c>
      <c r="AY304">
        <v>-5</v>
      </c>
      <c r="AZ304">
        <v>10.7</v>
      </c>
      <c r="BA304">
        <v>10</v>
      </c>
      <c r="BB304">
        <v>11.2</v>
      </c>
      <c r="BC304">
        <v>10</v>
      </c>
      <c r="BD304">
        <v>4.3</v>
      </c>
      <c r="BE304">
        <v>4</v>
      </c>
      <c r="BF304">
        <v>11.7</v>
      </c>
      <c r="BG304">
        <v>10</v>
      </c>
      <c r="BH304">
        <v>11.7</v>
      </c>
      <c r="BI304">
        <v>10</v>
      </c>
      <c r="BJ304">
        <v>9.6</v>
      </c>
      <c r="BK304">
        <v>9</v>
      </c>
      <c r="BL304">
        <v>20.399999999999999</v>
      </c>
      <c r="BM304">
        <v>19</v>
      </c>
      <c r="BN304">
        <v>21.2</v>
      </c>
      <c r="BO304">
        <v>19</v>
      </c>
      <c r="BP304">
        <v>20.7</v>
      </c>
      <c r="BQ304">
        <v>20</v>
      </c>
      <c r="BR304">
        <v>21.9</v>
      </c>
      <c r="BS304">
        <v>25</v>
      </c>
      <c r="BT304">
        <v>21.9</v>
      </c>
      <c r="BU304">
        <v>25</v>
      </c>
      <c r="BV304">
        <v>23.6</v>
      </c>
      <c r="BW304">
        <v>18</v>
      </c>
      <c r="BX304">
        <v>19.899999999999999</v>
      </c>
      <c r="BY304">
        <v>20</v>
      </c>
      <c r="BZ304">
        <v>21.2</v>
      </c>
      <c r="CA304">
        <v>20</v>
      </c>
      <c r="CB304">
        <v>14.4</v>
      </c>
      <c r="CC304">
        <v>10</v>
      </c>
      <c r="CD304">
        <v>11.5</v>
      </c>
      <c r="CE304">
        <v>10</v>
      </c>
      <c r="CF304">
        <v>11.9</v>
      </c>
      <c r="CG304">
        <v>9</v>
      </c>
      <c r="CH304">
        <v>12.2</v>
      </c>
      <c r="CI304">
        <v>9</v>
      </c>
    </row>
    <row r="305" spans="1:87" x14ac:dyDescent="0.35">
      <c r="A305" s="1">
        <v>46059.664583333331</v>
      </c>
      <c r="B305">
        <v>-15.7</v>
      </c>
      <c r="C305">
        <v>-15.7</v>
      </c>
      <c r="D305">
        <v>-25</v>
      </c>
      <c r="E305">
        <v>-22</v>
      </c>
      <c r="F305">
        <v>7.6</v>
      </c>
      <c r="G305">
        <v>-25</v>
      </c>
      <c r="H305">
        <v>-19.100000000000001</v>
      </c>
      <c r="I305">
        <v>-21.1</v>
      </c>
      <c r="J305">
        <v>-25</v>
      </c>
      <c r="K305">
        <v>-19.3</v>
      </c>
      <c r="L305">
        <v>-18.899999999999999</v>
      </c>
      <c r="M305">
        <v>-25</v>
      </c>
      <c r="N305">
        <v>-15.7</v>
      </c>
      <c r="O305">
        <v>-15.3</v>
      </c>
      <c r="P305">
        <v>-25</v>
      </c>
      <c r="Q305">
        <v>-15.7</v>
      </c>
      <c r="R305">
        <v>-15.6</v>
      </c>
      <c r="S305">
        <v>-25</v>
      </c>
      <c r="T305">
        <v>1.8</v>
      </c>
      <c r="U305">
        <v>0.9</v>
      </c>
      <c r="V305">
        <v>2</v>
      </c>
      <c r="W305">
        <v>1.8</v>
      </c>
      <c r="X305">
        <v>0.9</v>
      </c>
      <c r="Y305">
        <v>2</v>
      </c>
      <c r="Z305">
        <v>3</v>
      </c>
      <c r="AA305">
        <v>2.7</v>
      </c>
      <c r="AB305">
        <v>2</v>
      </c>
      <c r="AC305">
        <v>2.8</v>
      </c>
      <c r="AD305">
        <v>2.6</v>
      </c>
      <c r="AE305">
        <v>2</v>
      </c>
      <c r="AF305">
        <v>4</v>
      </c>
      <c r="AG305">
        <v>3.8</v>
      </c>
      <c r="AH305">
        <v>2</v>
      </c>
      <c r="AI305">
        <v>3.8</v>
      </c>
      <c r="AJ305">
        <v>3.8</v>
      </c>
      <c r="AK305">
        <v>2</v>
      </c>
      <c r="AL305">
        <v>4.7</v>
      </c>
      <c r="AM305">
        <v>4</v>
      </c>
      <c r="AN305">
        <v>4.8</v>
      </c>
      <c r="AO305">
        <v>4</v>
      </c>
      <c r="AP305">
        <v>3</v>
      </c>
      <c r="AQ305">
        <v>4</v>
      </c>
      <c r="AR305">
        <v>7</v>
      </c>
      <c r="AS305">
        <v>4</v>
      </c>
      <c r="AT305">
        <v>-4.4000000000000004</v>
      </c>
      <c r="AU305">
        <v>-6.6</v>
      </c>
      <c r="AV305">
        <v>-5</v>
      </c>
      <c r="AW305">
        <v>-4.0999999999999996</v>
      </c>
      <c r="AX305">
        <v>-5.8</v>
      </c>
      <c r="AY305">
        <v>-5</v>
      </c>
      <c r="AZ305">
        <v>10.8</v>
      </c>
      <c r="BA305">
        <v>10</v>
      </c>
      <c r="BB305">
        <v>11.4</v>
      </c>
      <c r="BC305">
        <v>10</v>
      </c>
      <c r="BD305">
        <v>3.8</v>
      </c>
      <c r="BE305">
        <v>4</v>
      </c>
      <c r="BF305">
        <v>12</v>
      </c>
      <c r="BG305">
        <v>10</v>
      </c>
      <c r="BH305">
        <v>11.9</v>
      </c>
      <c r="BI305">
        <v>10</v>
      </c>
      <c r="BJ305">
        <v>9.6</v>
      </c>
      <c r="BK305">
        <v>9</v>
      </c>
      <c r="BL305">
        <v>20.399999999999999</v>
      </c>
      <c r="BM305">
        <v>19</v>
      </c>
      <c r="BN305">
        <v>21.1</v>
      </c>
      <c r="BO305">
        <v>19</v>
      </c>
      <c r="BP305">
        <v>20.5</v>
      </c>
      <c r="BQ305">
        <v>20</v>
      </c>
      <c r="BR305">
        <v>21.9</v>
      </c>
      <c r="BS305">
        <v>25</v>
      </c>
      <c r="BT305">
        <v>21.9</v>
      </c>
      <c r="BU305">
        <v>25</v>
      </c>
      <c r="BV305">
        <v>23.6</v>
      </c>
      <c r="BW305">
        <v>18</v>
      </c>
      <c r="BX305">
        <v>20.2</v>
      </c>
      <c r="BY305">
        <v>20</v>
      </c>
      <c r="BZ305">
        <v>21.3</v>
      </c>
      <c r="CA305">
        <v>20</v>
      </c>
      <c r="CB305">
        <v>14.3</v>
      </c>
      <c r="CC305">
        <v>10</v>
      </c>
      <c r="CD305">
        <v>11.2</v>
      </c>
      <c r="CE305">
        <v>10</v>
      </c>
      <c r="CF305">
        <v>12.2</v>
      </c>
      <c r="CG305">
        <v>9</v>
      </c>
      <c r="CH305">
        <v>12.4</v>
      </c>
      <c r="CI305">
        <v>9</v>
      </c>
    </row>
    <row r="306" spans="1:87" x14ac:dyDescent="0.35">
      <c r="A306" s="1">
        <v>46059.665277777778</v>
      </c>
      <c r="B306">
        <v>-15.7</v>
      </c>
      <c r="C306">
        <v>-15.7</v>
      </c>
      <c r="D306">
        <v>-25</v>
      </c>
      <c r="E306">
        <v>-22</v>
      </c>
      <c r="F306">
        <v>7.7</v>
      </c>
      <c r="G306">
        <v>-25</v>
      </c>
      <c r="H306">
        <v>-19</v>
      </c>
      <c r="I306">
        <v>-22.6</v>
      </c>
      <c r="J306">
        <v>-25</v>
      </c>
      <c r="K306">
        <v>-19.2</v>
      </c>
      <c r="L306">
        <v>-18.899999999999999</v>
      </c>
      <c r="M306">
        <v>-25</v>
      </c>
      <c r="N306">
        <v>-15.6</v>
      </c>
      <c r="O306">
        <v>-15.3</v>
      </c>
      <c r="P306">
        <v>-25</v>
      </c>
      <c r="Q306">
        <v>-15.6</v>
      </c>
      <c r="R306">
        <v>-15.5</v>
      </c>
      <c r="S306">
        <v>-25</v>
      </c>
      <c r="T306">
        <v>1.9</v>
      </c>
      <c r="U306">
        <v>1.3</v>
      </c>
      <c r="V306">
        <v>2</v>
      </c>
      <c r="W306">
        <v>1.9</v>
      </c>
      <c r="X306">
        <v>1.2</v>
      </c>
      <c r="Y306">
        <v>2</v>
      </c>
      <c r="Z306">
        <v>3</v>
      </c>
      <c r="AA306">
        <v>2.8</v>
      </c>
      <c r="AB306">
        <v>2</v>
      </c>
      <c r="AC306">
        <v>2.9</v>
      </c>
      <c r="AD306">
        <v>2.7</v>
      </c>
      <c r="AE306">
        <v>2</v>
      </c>
      <c r="AF306">
        <v>4.0999999999999996</v>
      </c>
      <c r="AG306">
        <v>4</v>
      </c>
      <c r="AH306">
        <v>2</v>
      </c>
      <c r="AI306">
        <v>3.9</v>
      </c>
      <c r="AJ306">
        <v>3.9</v>
      </c>
      <c r="AK306">
        <v>2</v>
      </c>
      <c r="AL306">
        <v>4.5999999999999996</v>
      </c>
      <c r="AM306">
        <v>4</v>
      </c>
      <c r="AN306">
        <v>4.5999999999999996</v>
      </c>
      <c r="AO306">
        <v>4</v>
      </c>
      <c r="AP306">
        <v>2.7</v>
      </c>
      <c r="AQ306">
        <v>4</v>
      </c>
      <c r="AR306">
        <v>7.1</v>
      </c>
      <c r="AS306">
        <v>4</v>
      </c>
      <c r="AT306">
        <v>-4.5999999999999996</v>
      </c>
      <c r="AU306">
        <v>-6.7</v>
      </c>
      <c r="AV306">
        <v>-5</v>
      </c>
      <c r="AW306">
        <v>-4.4000000000000004</v>
      </c>
      <c r="AX306">
        <v>-6.3</v>
      </c>
      <c r="AY306">
        <v>-5</v>
      </c>
      <c r="AZ306">
        <v>11</v>
      </c>
      <c r="BA306">
        <v>10</v>
      </c>
      <c r="BB306">
        <v>11.7</v>
      </c>
      <c r="BC306">
        <v>10</v>
      </c>
      <c r="BD306">
        <v>3.8</v>
      </c>
      <c r="BE306">
        <v>4</v>
      </c>
      <c r="BF306">
        <v>12</v>
      </c>
      <c r="BG306">
        <v>10</v>
      </c>
      <c r="BH306">
        <v>12</v>
      </c>
      <c r="BI306">
        <v>10</v>
      </c>
      <c r="BJ306">
        <v>9.6</v>
      </c>
      <c r="BK306">
        <v>9</v>
      </c>
      <c r="BL306">
        <v>20.399999999999999</v>
      </c>
      <c r="BM306">
        <v>19</v>
      </c>
      <c r="BN306">
        <v>21.1</v>
      </c>
      <c r="BO306">
        <v>19</v>
      </c>
      <c r="BP306">
        <v>20.399999999999999</v>
      </c>
      <c r="BQ306">
        <v>20</v>
      </c>
      <c r="BR306">
        <v>21.9</v>
      </c>
      <c r="BS306">
        <v>25</v>
      </c>
      <c r="BT306">
        <v>21.9</v>
      </c>
      <c r="BU306">
        <v>25</v>
      </c>
      <c r="BV306">
        <v>23.6</v>
      </c>
      <c r="BW306">
        <v>18</v>
      </c>
      <c r="BX306">
        <v>20.3</v>
      </c>
      <c r="BY306">
        <v>20</v>
      </c>
      <c r="BZ306">
        <v>21.3</v>
      </c>
      <c r="CA306">
        <v>20</v>
      </c>
      <c r="CB306">
        <v>14.3</v>
      </c>
      <c r="CC306">
        <v>10</v>
      </c>
      <c r="CD306">
        <v>11.1</v>
      </c>
      <c r="CE306">
        <v>10</v>
      </c>
      <c r="CF306">
        <v>12.2</v>
      </c>
      <c r="CG306">
        <v>9</v>
      </c>
      <c r="CH306">
        <v>12.4</v>
      </c>
      <c r="CI306">
        <v>9</v>
      </c>
    </row>
    <row r="307" spans="1:87" x14ac:dyDescent="0.35">
      <c r="A307" s="1">
        <v>46059.665972222225</v>
      </c>
      <c r="B307">
        <v>-15.7</v>
      </c>
      <c r="C307">
        <v>-16.7</v>
      </c>
      <c r="D307">
        <v>-25</v>
      </c>
      <c r="E307">
        <v>-22</v>
      </c>
      <c r="F307">
        <v>7.8</v>
      </c>
      <c r="G307">
        <v>-25</v>
      </c>
      <c r="H307">
        <v>-19</v>
      </c>
      <c r="I307">
        <v>-22.7</v>
      </c>
      <c r="J307">
        <v>-25</v>
      </c>
      <c r="K307">
        <v>-19.2</v>
      </c>
      <c r="L307">
        <v>-18.899999999999999</v>
      </c>
      <c r="M307">
        <v>-25</v>
      </c>
      <c r="N307">
        <v>-15.6</v>
      </c>
      <c r="O307">
        <v>-15.2</v>
      </c>
      <c r="P307">
        <v>-25</v>
      </c>
      <c r="Q307">
        <v>-15.5</v>
      </c>
      <c r="R307">
        <v>-15.4</v>
      </c>
      <c r="S307">
        <v>-25</v>
      </c>
      <c r="T307">
        <v>2</v>
      </c>
      <c r="U307">
        <v>1.5</v>
      </c>
      <c r="V307">
        <v>2</v>
      </c>
      <c r="W307">
        <v>2</v>
      </c>
      <c r="X307">
        <v>1.5</v>
      </c>
      <c r="Y307">
        <v>2</v>
      </c>
      <c r="Z307">
        <v>3.2</v>
      </c>
      <c r="AA307">
        <v>2.9</v>
      </c>
      <c r="AB307">
        <v>2</v>
      </c>
      <c r="AC307">
        <v>2.9</v>
      </c>
      <c r="AD307">
        <v>2.8</v>
      </c>
      <c r="AE307">
        <v>2</v>
      </c>
      <c r="AF307">
        <v>4.2</v>
      </c>
      <c r="AG307">
        <v>4.0999999999999996</v>
      </c>
      <c r="AH307">
        <v>2</v>
      </c>
      <c r="AI307">
        <v>4</v>
      </c>
      <c r="AJ307">
        <v>4</v>
      </c>
      <c r="AK307">
        <v>2</v>
      </c>
      <c r="AL307">
        <v>4.5999999999999996</v>
      </c>
      <c r="AM307">
        <v>4</v>
      </c>
      <c r="AN307">
        <v>4.5</v>
      </c>
      <c r="AO307">
        <v>4</v>
      </c>
      <c r="AP307">
        <v>2.7</v>
      </c>
      <c r="AQ307">
        <v>4</v>
      </c>
      <c r="AR307">
        <v>7.2</v>
      </c>
      <c r="AS307">
        <v>4</v>
      </c>
      <c r="AT307">
        <v>-4.9000000000000004</v>
      </c>
      <c r="AU307">
        <v>-7.4</v>
      </c>
      <c r="AV307">
        <v>-5</v>
      </c>
      <c r="AW307">
        <v>-4.5999999999999996</v>
      </c>
      <c r="AX307">
        <v>-5.4</v>
      </c>
      <c r="AY307">
        <v>-5</v>
      </c>
      <c r="AZ307">
        <v>11.1</v>
      </c>
      <c r="BA307">
        <v>10</v>
      </c>
      <c r="BB307">
        <v>11.9</v>
      </c>
      <c r="BC307">
        <v>10</v>
      </c>
      <c r="BD307">
        <v>4.0999999999999996</v>
      </c>
      <c r="BE307">
        <v>4</v>
      </c>
      <c r="BF307">
        <v>11.4</v>
      </c>
      <c r="BG307">
        <v>10</v>
      </c>
      <c r="BH307">
        <v>12</v>
      </c>
      <c r="BI307">
        <v>10</v>
      </c>
      <c r="BJ307">
        <v>9.6</v>
      </c>
      <c r="BK307">
        <v>9</v>
      </c>
      <c r="BL307">
        <v>20.399999999999999</v>
      </c>
      <c r="BM307">
        <v>19</v>
      </c>
      <c r="BN307">
        <v>21.1</v>
      </c>
      <c r="BO307">
        <v>19</v>
      </c>
      <c r="BP307">
        <v>20.2</v>
      </c>
      <c r="BQ307">
        <v>20</v>
      </c>
      <c r="BR307">
        <v>21.9</v>
      </c>
      <c r="BS307">
        <v>25</v>
      </c>
      <c r="BT307">
        <v>21.9</v>
      </c>
      <c r="BU307">
        <v>25</v>
      </c>
      <c r="BV307">
        <v>23.6</v>
      </c>
      <c r="BW307">
        <v>18</v>
      </c>
      <c r="BX307">
        <v>20.399999999999999</v>
      </c>
      <c r="BY307">
        <v>20</v>
      </c>
      <c r="BZ307">
        <v>21.3</v>
      </c>
      <c r="CA307">
        <v>20</v>
      </c>
      <c r="CB307">
        <v>14.3</v>
      </c>
      <c r="CC307">
        <v>10</v>
      </c>
      <c r="CD307">
        <v>11</v>
      </c>
      <c r="CE307">
        <v>10</v>
      </c>
      <c r="CF307">
        <v>12.1</v>
      </c>
      <c r="CG307">
        <v>9</v>
      </c>
      <c r="CH307">
        <v>12.3</v>
      </c>
      <c r="CI307">
        <v>9</v>
      </c>
    </row>
    <row r="308" spans="1:87" x14ac:dyDescent="0.35">
      <c r="A308" s="1">
        <v>46059.666666666664</v>
      </c>
      <c r="B308">
        <v>-16</v>
      </c>
      <c r="C308">
        <v>-18.100000000000001</v>
      </c>
      <c r="D308">
        <v>-25</v>
      </c>
      <c r="E308">
        <v>-22</v>
      </c>
      <c r="F308">
        <v>5.5</v>
      </c>
      <c r="G308">
        <v>-25</v>
      </c>
      <c r="H308">
        <v>-19</v>
      </c>
      <c r="I308">
        <v>-22.7</v>
      </c>
      <c r="J308">
        <v>-25</v>
      </c>
      <c r="K308">
        <v>-19.2</v>
      </c>
      <c r="L308">
        <v>-18.8</v>
      </c>
      <c r="M308">
        <v>-25</v>
      </c>
      <c r="N308">
        <v>-15.5</v>
      </c>
      <c r="O308">
        <v>-15.2</v>
      </c>
      <c r="P308">
        <v>-25</v>
      </c>
      <c r="Q308">
        <v>-15.5</v>
      </c>
      <c r="R308">
        <v>-15.4</v>
      </c>
      <c r="S308">
        <v>-25</v>
      </c>
      <c r="T308">
        <v>2.1</v>
      </c>
      <c r="U308">
        <v>1.8</v>
      </c>
      <c r="V308">
        <v>2</v>
      </c>
      <c r="W308">
        <v>2.1</v>
      </c>
      <c r="X308">
        <v>1.6</v>
      </c>
      <c r="Y308">
        <v>2</v>
      </c>
      <c r="Z308">
        <v>3.2</v>
      </c>
      <c r="AA308">
        <v>2.9</v>
      </c>
      <c r="AB308">
        <v>2</v>
      </c>
      <c r="AC308">
        <v>2.9</v>
      </c>
      <c r="AD308">
        <v>2.9</v>
      </c>
      <c r="AE308">
        <v>2</v>
      </c>
      <c r="AF308">
        <v>4.2</v>
      </c>
      <c r="AG308">
        <v>4</v>
      </c>
      <c r="AH308">
        <v>2</v>
      </c>
      <c r="AI308">
        <v>4</v>
      </c>
      <c r="AJ308">
        <v>3.8</v>
      </c>
      <c r="AK308">
        <v>2</v>
      </c>
      <c r="AL308">
        <v>4.5</v>
      </c>
      <c r="AM308">
        <v>4</v>
      </c>
      <c r="AN308">
        <v>4.4000000000000004</v>
      </c>
      <c r="AO308">
        <v>4</v>
      </c>
      <c r="AP308">
        <v>2.8</v>
      </c>
      <c r="AQ308">
        <v>4</v>
      </c>
      <c r="AR308">
        <v>7.3</v>
      </c>
      <c r="AS308">
        <v>4</v>
      </c>
      <c r="AT308">
        <v>-5.5</v>
      </c>
      <c r="AU308">
        <v>-7.8</v>
      </c>
      <c r="AV308">
        <v>-5</v>
      </c>
      <c r="AW308">
        <v>-4.3</v>
      </c>
      <c r="AX308">
        <v>-4.4000000000000004</v>
      </c>
      <c r="AY308">
        <v>-5</v>
      </c>
      <c r="AZ308">
        <v>11.2</v>
      </c>
      <c r="BA308">
        <v>10</v>
      </c>
      <c r="BB308">
        <v>12</v>
      </c>
      <c r="BC308">
        <v>10</v>
      </c>
      <c r="BD308">
        <v>4.0999999999999996</v>
      </c>
      <c r="BE308">
        <v>4</v>
      </c>
      <c r="BF308">
        <v>10.9</v>
      </c>
      <c r="BG308">
        <v>10</v>
      </c>
      <c r="BH308">
        <v>12</v>
      </c>
      <c r="BI308">
        <v>10</v>
      </c>
      <c r="BJ308">
        <v>9.5</v>
      </c>
      <c r="BK308">
        <v>9</v>
      </c>
      <c r="BL308">
        <v>20.399999999999999</v>
      </c>
      <c r="BM308">
        <v>19</v>
      </c>
      <c r="BN308">
        <v>21.1</v>
      </c>
      <c r="BO308">
        <v>19</v>
      </c>
      <c r="BP308">
        <v>19.8</v>
      </c>
      <c r="BQ308">
        <v>20</v>
      </c>
      <c r="BR308">
        <v>21.9</v>
      </c>
      <c r="BS308">
        <v>25</v>
      </c>
      <c r="BT308">
        <v>21.9</v>
      </c>
      <c r="BU308">
        <v>25</v>
      </c>
      <c r="BV308">
        <v>23.6</v>
      </c>
      <c r="BW308">
        <v>18</v>
      </c>
      <c r="BX308">
        <v>20.5</v>
      </c>
      <c r="BY308">
        <v>20</v>
      </c>
      <c r="BZ308">
        <v>21.4</v>
      </c>
      <c r="CA308">
        <v>20</v>
      </c>
      <c r="CB308">
        <v>14.4</v>
      </c>
      <c r="CC308">
        <v>10</v>
      </c>
      <c r="CD308">
        <v>10.9</v>
      </c>
      <c r="CE308">
        <v>10</v>
      </c>
      <c r="CF308">
        <v>11.9</v>
      </c>
      <c r="CG308">
        <v>9</v>
      </c>
      <c r="CH308">
        <v>12.1</v>
      </c>
      <c r="CI308">
        <v>9</v>
      </c>
    </row>
    <row r="309" spans="1:87" x14ac:dyDescent="0.35">
      <c r="A309" s="1">
        <v>46059.667361111111</v>
      </c>
      <c r="B309">
        <v>-16.3</v>
      </c>
      <c r="C309">
        <v>-17.399999999999999</v>
      </c>
      <c r="D309">
        <v>-25</v>
      </c>
      <c r="E309">
        <v>-22</v>
      </c>
      <c r="F309">
        <v>3.5</v>
      </c>
      <c r="G309">
        <v>-25</v>
      </c>
      <c r="H309">
        <v>-19</v>
      </c>
      <c r="I309">
        <v>-23.3</v>
      </c>
      <c r="J309">
        <v>-25</v>
      </c>
      <c r="K309">
        <v>-19.3</v>
      </c>
      <c r="L309">
        <v>-18.8</v>
      </c>
      <c r="M309">
        <v>-25</v>
      </c>
      <c r="N309">
        <v>-15.5</v>
      </c>
      <c r="O309">
        <v>-15.1</v>
      </c>
      <c r="P309">
        <v>-25</v>
      </c>
      <c r="Q309">
        <v>-15.4</v>
      </c>
      <c r="R309">
        <v>-15.3</v>
      </c>
      <c r="S309">
        <v>-25</v>
      </c>
      <c r="T309">
        <v>2.2999999999999998</v>
      </c>
      <c r="U309">
        <v>2</v>
      </c>
      <c r="V309">
        <v>2</v>
      </c>
      <c r="W309">
        <v>2.2999999999999998</v>
      </c>
      <c r="X309">
        <v>1.8</v>
      </c>
      <c r="Y309">
        <v>2</v>
      </c>
      <c r="Z309">
        <v>3.2</v>
      </c>
      <c r="AA309">
        <v>3</v>
      </c>
      <c r="AB309">
        <v>2</v>
      </c>
      <c r="AC309">
        <v>2.9</v>
      </c>
      <c r="AD309">
        <v>2.9</v>
      </c>
      <c r="AE309">
        <v>2</v>
      </c>
      <c r="AF309">
        <v>4.2</v>
      </c>
      <c r="AG309">
        <v>3.9</v>
      </c>
      <c r="AH309">
        <v>2</v>
      </c>
      <c r="AI309">
        <v>4</v>
      </c>
      <c r="AJ309">
        <v>3.7</v>
      </c>
      <c r="AK309">
        <v>2</v>
      </c>
      <c r="AL309">
        <v>4.5</v>
      </c>
      <c r="AM309">
        <v>4</v>
      </c>
      <c r="AN309">
        <v>4.3</v>
      </c>
      <c r="AO309">
        <v>4</v>
      </c>
      <c r="AP309">
        <v>3</v>
      </c>
      <c r="AQ309">
        <v>4</v>
      </c>
      <c r="AR309">
        <v>7.4</v>
      </c>
      <c r="AS309">
        <v>4</v>
      </c>
      <c r="AT309">
        <v>-5.5</v>
      </c>
      <c r="AU309">
        <v>-6.3</v>
      </c>
      <c r="AV309">
        <v>-5</v>
      </c>
      <c r="AW309">
        <v>-3.7</v>
      </c>
      <c r="AX309">
        <v>-3.6</v>
      </c>
      <c r="AY309">
        <v>-5</v>
      </c>
      <c r="AZ309">
        <v>11.2</v>
      </c>
      <c r="BA309">
        <v>10</v>
      </c>
      <c r="BB309">
        <v>12</v>
      </c>
      <c r="BC309">
        <v>10</v>
      </c>
      <c r="BD309">
        <v>4.2</v>
      </c>
      <c r="BE309">
        <v>4</v>
      </c>
      <c r="BF309">
        <v>10.199999999999999</v>
      </c>
      <c r="BG309">
        <v>10</v>
      </c>
      <c r="BH309">
        <v>12</v>
      </c>
      <c r="BI309">
        <v>10</v>
      </c>
      <c r="BJ309">
        <v>9.5</v>
      </c>
      <c r="BK309">
        <v>9</v>
      </c>
      <c r="BL309">
        <v>20.399999999999999</v>
      </c>
      <c r="BM309">
        <v>19</v>
      </c>
      <c r="BN309">
        <v>21</v>
      </c>
      <c r="BO309">
        <v>19</v>
      </c>
      <c r="BP309">
        <v>19.7</v>
      </c>
      <c r="BQ309">
        <v>20</v>
      </c>
      <c r="BR309">
        <v>21.9</v>
      </c>
      <c r="BS309">
        <v>25</v>
      </c>
      <c r="BT309">
        <v>21.9</v>
      </c>
      <c r="BU309">
        <v>25</v>
      </c>
      <c r="BV309">
        <v>23.6</v>
      </c>
      <c r="BW309">
        <v>18</v>
      </c>
      <c r="BX309">
        <v>20.6</v>
      </c>
      <c r="BY309">
        <v>20</v>
      </c>
      <c r="BZ309">
        <v>21.4</v>
      </c>
      <c r="CA309">
        <v>20</v>
      </c>
      <c r="CB309">
        <v>14.4</v>
      </c>
      <c r="CC309">
        <v>10</v>
      </c>
      <c r="CD309">
        <v>10.9</v>
      </c>
      <c r="CE309">
        <v>10</v>
      </c>
      <c r="CF309">
        <v>11.9</v>
      </c>
      <c r="CG309">
        <v>9</v>
      </c>
      <c r="CH309">
        <v>12.1</v>
      </c>
      <c r="CI309">
        <v>9</v>
      </c>
    </row>
    <row r="310" spans="1:87" x14ac:dyDescent="0.35">
      <c r="A310" s="1">
        <v>46059.668055555558</v>
      </c>
      <c r="B310">
        <v>-16.5</v>
      </c>
      <c r="C310">
        <v>-17.2</v>
      </c>
      <c r="D310">
        <v>-25</v>
      </c>
      <c r="E310">
        <v>-22</v>
      </c>
      <c r="F310">
        <v>0.6</v>
      </c>
      <c r="G310">
        <v>-25</v>
      </c>
      <c r="H310">
        <v>-19</v>
      </c>
      <c r="I310">
        <v>-23.6</v>
      </c>
      <c r="J310">
        <v>-25</v>
      </c>
      <c r="K310">
        <v>-19.399999999999999</v>
      </c>
      <c r="L310">
        <v>-18.8</v>
      </c>
      <c r="M310">
        <v>-25</v>
      </c>
      <c r="N310">
        <v>-15.5</v>
      </c>
      <c r="O310">
        <v>-15.1</v>
      </c>
      <c r="P310">
        <v>-25</v>
      </c>
      <c r="Q310">
        <v>-15.4</v>
      </c>
      <c r="R310">
        <v>-15.3</v>
      </c>
      <c r="S310">
        <v>-25</v>
      </c>
      <c r="T310">
        <v>2.4</v>
      </c>
      <c r="U310">
        <v>2.1</v>
      </c>
      <c r="V310">
        <v>2</v>
      </c>
      <c r="W310">
        <v>2.4</v>
      </c>
      <c r="X310">
        <v>2</v>
      </c>
      <c r="Y310">
        <v>2</v>
      </c>
      <c r="Z310">
        <v>3.3</v>
      </c>
      <c r="AA310">
        <v>3.1</v>
      </c>
      <c r="AB310">
        <v>2</v>
      </c>
      <c r="AC310">
        <v>2.9</v>
      </c>
      <c r="AD310">
        <v>2.9</v>
      </c>
      <c r="AE310">
        <v>2</v>
      </c>
      <c r="AF310">
        <v>4.0999999999999996</v>
      </c>
      <c r="AG310">
        <v>3.8</v>
      </c>
      <c r="AH310">
        <v>2</v>
      </c>
      <c r="AI310">
        <v>3.9</v>
      </c>
      <c r="AJ310">
        <v>3.5</v>
      </c>
      <c r="AK310">
        <v>2</v>
      </c>
      <c r="AL310">
        <v>4.4000000000000004</v>
      </c>
      <c r="AM310">
        <v>4</v>
      </c>
      <c r="AN310">
        <v>4.2</v>
      </c>
      <c r="AO310">
        <v>4</v>
      </c>
      <c r="AP310">
        <v>3.2</v>
      </c>
      <c r="AQ310">
        <v>4</v>
      </c>
      <c r="AR310">
        <v>7.5</v>
      </c>
      <c r="AS310">
        <v>4</v>
      </c>
      <c r="AT310">
        <v>-4.8</v>
      </c>
      <c r="AU310">
        <v>-5.3</v>
      </c>
      <c r="AV310">
        <v>-5</v>
      </c>
      <c r="AW310">
        <v>-3.2</v>
      </c>
      <c r="AX310">
        <v>-3</v>
      </c>
      <c r="AY310">
        <v>-5</v>
      </c>
      <c r="AZ310">
        <v>11.4</v>
      </c>
      <c r="BA310">
        <v>10</v>
      </c>
      <c r="BB310">
        <v>12</v>
      </c>
      <c r="BC310">
        <v>10</v>
      </c>
      <c r="BD310">
        <v>4.5</v>
      </c>
      <c r="BE310">
        <v>4</v>
      </c>
      <c r="BF310">
        <v>9.5</v>
      </c>
      <c r="BG310">
        <v>10</v>
      </c>
      <c r="BH310">
        <v>12</v>
      </c>
      <c r="BI310">
        <v>10</v>
      </c>
      <c r="BJ310">
        <v>9.5</v>
      </c>
      <c r="BK310">
        <v>9</v>
      </c>
      <c r="BL310">
        <v>20.399999999999999</v>
      </c>
      <c r="BM310">
        <v>19</v>
      </c>
      <c r="BN310">
        <v>20.9</v>
      </c>
      <c r="BO310">
        <v>19</v>
      </c>
      <c r="BP310">
        <v>19.7</v>
      </c>
      <c r="BQ310">
        <v>20</v>
      </c>
      <c r="BR310">
        <v>21.9</v>
      </c>
      <c r="BS310">
        <v>25</v>
      </c>
      <c r="BT310">
        <v>21.9</v>
      </c>
      <c r="BU310">
        <v>25</v>
      </c>
      <c r="BV310">
        <v>23.6</v>
      </c>
      <c r="BW310">
        <v>18</v>
      </c>
      <c r="BX310">
        <v>20.7</v>
      </c>
      <c r="BY310">
        <v>20</v>
      </c>
      <c r="BZ310">
        <v>21.4</v>
      </c>
      <c r="CA310">
        <v>20</v>
      </c>
      <c r="CB310">
        <v>14.4</v>
      </c>
      <c r="CC310">
        <v>10</v>
      </c>
      <c r="CD310">
        <v>10.8</v>
      </c>
      <c r="CE310">
        <v>10</v>
      </c>
      <c r="CF310">
        <v>11.8</v>
      </c>
      <c r="CG310">
        <v>9</v>
      </c>
      <c r="CH310">
        <v>12</v>
      </c>
      <c r="CI310">
        <v>9</v>
      </c>
    </row>
    <row r="311" spans="1:87" x14ac:dyDescent="0.35">
      <c r="A311" s="1">
        <v>46059.668749999997</v>
      </c>
      <c r="B311">
        <v>-16.600000000000001</v>
      </c>
      <c r="C311">
        <v>-17.2</v>
      </c>
      <c r="D311">
        <v>-25</v>
      </c>
      <c r="E311">
        <v>-16.100000000000001</v>
      </c>
      <c r="F311">
        <v>-1.8</v>
      </c>
      <c r="G311">
        <v>-25</v>
      </c>
      <c r="H311">
        <v>-19</v>
      </c>
      <c r="I311">
        <v>-23.6</v>
      </c>
      <c r="J311">
        <v>-25</v>
      </c>
      <c r="K311">
        <v>-19.5</v>
      </c>
      <c r="L311">
        <v>-18.8</v>
      </c>
      <c r="M311">
        <v>-25</v>
      </c>
      <c r="N311">
        <v>-15.5</v>
      </c>
      <c r="O311">
        <v>-15</v>
      </c>
      <c r="P311">
        <v>-25</v>
      </c>
      <c r="Q311">
        <v>-15.4</v>
      </c>
      <c r="R311">
        <v>-15.3</v>
      </c>
      <c r="S311">
        <v>-25</v>
      </c>
      <c r="T311">
        <v>2.5</v>
      </c>
      <c r="U311">
        <v>2.2999999999999998</v>
      </c>
      <c r="V311">
        <v>2</v>
      </c>
      <c r="W311">
        <v>2.5</v>
      </c>
      <c r="X311">
        <v>2.2000000000000002</v>
      </c>
      <c r="Y311">
        <v>2</v>
      </c>
      <c r="Z311">
        <v>3.4</v>
      </c>
      <c r="AA311">
        <v>3.1</v>
      </c>
      <c r="AB311">
        <v>2</v>
      </c>
      <c r="AC311">
        <v>2.9</v>
      </c>
      <c r="AD311">
        <v>2.9</v>
      </c>
      <c r="AE311">
        <v>2</v>
      </c>
      <c r="AF311">
        <v>4</v>
      </c>
      <c r="AG311">
        <v>3.7</v>
      </c>
      <c r="AH311">
        <v>2</v>
      </c>
      <c r="AI311">
        <v>3.8</v>
      </c>
      <c r="AJ311">
        <v>3.3</v>
      </c>
      <c r="AK311">
        <v>2</v>
      </c>
      <c r="AL311">
        <v>4.4000000000000004</v>
      </c>
      <c r="AM311">
        <v>4</v>
      </c>
      <c r="AN311">
        <v>4.0999999999999996</v>
      </c>
      <c r="AO311">
        <v>4</v>
      </c>
      <c r="AP311">
        <v>3.5</v>
      </c>
      <c r="AQ311">
        <v>4</v>
      </c>
      <c r="AR311">
        <v>7.6</v>
      </c>
      <c r="AS311">
        <v>4</v>
      </c>
      <c r="AT311">
        <v>-4.2</v>
      </c>
      <c r="AU311">
        <v>-4.5</v>
      </c>
      <c r="AV311">
        <v>-5</v>
      </c>
      <c r="AW311">
        <v>-2.9</v>
      </c>
      <c r="AX311">
        <v>-2.6</v>
      </c>
      <c r="AY311">
        <v>-5</v>
      </c>
      <c r="AZ311">
        <v>11.4</v>
      </c>
      <c r="BA311">
        <v>10</v>
      </c>
      <c r="BB311">
        <v>11.8</v>
      </c>
      <c r="BC311">
        <v>10</v>
      </c>
      <c r="BD311">
        <v>4.7</v>
      </c>
      <c r="BE311">
        <v>4</v>
      </c>
      <c r="BF311">
        <v>9.5</v>
      </c>
      <c r="BG311">
        <v>10</v>
      </c>
      <c r="BH311">
        <v>12.1</v>
      </c>
      <c r="BI311">
        <v>10</v>
      </c>
      <c r="BJ311">
        <v>9.5</v>
      </c>
      <c r="BK311">
        <v>9</v>
      </c>
      <c r="BL311">
        <v>20.399999999999999</v>
      </c>
      <c r="BM311">
        <v>19</v>
      </c>
      <c r="BN311">
        <v>20.9</v>
      </c>
      <c r="BO311">
        <v>19</v>
      </c>
      <c r="BP311">
        <v>19.7</v>
      </c>
      <c r="BQ311">
        <v>20</v>
      </c>
      <c r="BR311">
        <v>21.9</v>
      </c>
      <c r="BS311">
        <v>25</v>
      </c>
      <c r="BT311">
        <v>21.9</v>
      </c>
      <c r="BU311">
        <v>25</v>
      </c>
      <c r="BV311">
        <v>23.6</v>
      </c>
      <c r="BW311">
        <v>18</v>
      </c>
      <c r="BX311">
        <v>20.8</v>
      </c>
      <c r="BY311">
        <v>20</v>
      </c>
      <c r="BZ311">
        <v>21.4</v>
      </c>
      <c r="CA311">
        <v>20</v>
      </c>
      <c r="CB311">
        <v>14.4</v>
      </c>
      <c r="CC311">
        <v>10</v>
      </c>
      <c r="CD311">
        <v>10.8</v>
      </c>
      <c r="CE311">
        <v>10</v>
      </c>
      <c r="CF311">
        <v>11.6</v>
      </c>
      <c r="CG311">
        <v>9</v>
      </c>
      <c r="CH311">
        <v>11.9</v>
      </c>
      <c r="CI311">
        <v>9</v>
      </c>
    </row>
    <row r="312" spans="1:87" x14ac:dyDescent="0.35">
      <c r="A312" s="1">
        <v>46059.669444444444</v>
      </c>
      <c r="B312">
        <v>-16.7</v>
      </c>
      <c r="C312">
        <v>-17.5</v>
      </c>
      <c r="D312">
        <v>-25</v>
      </c>
      <c r="E312">
        <v>-16.399999999999999</v>
      </c>
      <c r="F312">
        <v>-4.0999999999999996</v>
      </c>
      <c r="G312">
        <v>-25</v>
      </c>
      <c r="H312">
        <v>-19</v>
      </c>
      <c r="I312">
        <v>-23.7</v>
      </c>
      <c r="J312">
        <v>-25</v>
      </c>
      <c r="K312">
        <v>-19.5</v>
      </c>
      <c r="L312">
        <v>-18.8</v>
      </c>
      <c r="M312">
        <v>-25</v>
      </c>
      <c r="N312">
        <v>-15.5</v>
      </c>
      <c r="O312">
        <v>-15</v>
      </c>
      <c r="P312">
        <v>-25</v>
      </c>
      <c r="Q312">
        <v>-15.4</v>
      </c>
      <c r="R312">
        <v>-15.3</v>
      </c>
      <c r="S312">
        <v>-25</v>
      </c>
      <c r="T312">
        <v>2.6</v>
      </c>
      <c r="U312">
        <v>2.5</v>
      </c>
      <c r="V312">
        <v>2</v>
      </c>
      <c r="W312">
        <v>2.6</v>
      </c>
      <c r="X312">
        <v>2.2999999999999998</v>
      </c>
      <c r="Y312">
        <v>2</v>
      </c>
      <c r="Z312">
        <v>3.4</v>
      </c>
      <c r="AA312">
        <v>3.2</v>
      </c>
      <c r="AB312">
        <v>2</v>
      </c>
      <c r="AC312">
        <v>2.9</v>
      </c>
      <c r="AD312">
        <v>2.9</v>
      </c>
      <c r="AE312">
        <v>2</v>
      </c>
      <c r="AF312">
        <v>3.9</v>
      </c>
      <c r="AG312">
        <v>3.5</v>
      </c>
      <c r="AH312">
        <v>2</v>
      </c>
      <c r="AI312">
        <v>3.7</v>
      </c>
      <c r="AJ312">
        <v>3</v>
      </c>
      <c r="AK312">
        <v>2</v>
      </c>
      <c r="AL312">
        <v>4.3</v>
      </c>
      <c r="AM312">
        <v>4</v>
      </c>
      <c r="AN312">
        <v>4</v>
      </c>
      <c r="AO312">
        <v>4</v>
      </c>
      <c r="AP312">
        <v>3.8</v>
      </c>
      <c r="AQ312">
        <v>4</v>
      </c>
      <c r="AR312">
        <v>7.7</v>
      </c>
      <c r="AS312">
        <v>4</v>
      </c>
      <c r="AT312">
        <v>-3.7</v>
      </c>
      <c r="AU312">
        <v>-3.9</v>
      </c>
      <c r="AV312">
        <v>-5</v>
      </c>
      <c r="AW312">
        <v>-2.9</v>
      </c>
      <c r="AX312">
        <v>-1.6</v>
      </c>
      <c r="AY312">
        <v>-5</v>
      </c>
      <c r="AZ312">
        <v>11.5</v>
      </c>
      <c r="BA312">
        <v>10</v>
      </c>
      <c r="BB312">
        <v>11.6</v>
      </c>
      <c r="BC312">
        <v>10</v>
      </c>
      <c r="BD312">
        <v>4.9000000000000004</v>
      </c>
      <c r="BE312">
        <v>4</v>
      </c>
      <c r="BF312">
        <v>9.8000000000000007</v>
      </c>
      <c r="BG312">
        <v>10</v>
      </c>
      <c r="BH312">
        <v>12.2</v>
      </c>
      <c r="BI312">
        <v>10</v>
      </c>
      <c r="BJ312">
        <v>9.4</v>
      </c>
      <c r="BK312">
        <v>9</v>
      </c>
      <c r="BL312">
        <v>20.399999999999999</v>
      </c>
      <c r="BM312">
        <v>19</v>
      </c>
      <c r="BN312">
        <v>21</v>
      </c>
      <c r="BO312">
        <v>19</v>
      </c>
      <c r="BP312">
        <v>19.7</v>
      </c>
      <c r="BQ312">
        <v>20</v>
      </c>
      <c r="BR312">
        <v>21.8</v>
      </c>
      <c r="BS312">
        <v>25</v>
      </c>
      <c r="BT312">
        <v>21.9</v>
      </c>
      <c r="BU312">
        <v>25</v>
      </c>
      <c r="BV312">
        <v>23.6</v>
      </c>
      <c r="BW312">
        <v>18</v>
      </c>
      <c r="BX312">
        <v>20.8</v>
      </c>
      <c r="BY312">
        <v>20</v>
      </c>
      <c r="BZ312">
        <v>21.4</v>
      </c>
      <c r="CA312">
        <v>20</v>
      </c>
      <c r="CB312">
        <v>14.2</v>
      </c>
      <c r="CC312">
        <v>10</v>
      </c>
      <c r="CD312">
        <v>10.8</v>
      </c>
      <c r="CE312">
        <v>10</v>
      </c>
      <c r="CF312">
        <v>11.9</v>
      </c>
      <c r="CG312">
        <v>9</v>
      </c>
      <c r="CH312">
        <v>12.1</v>
      </c>
      <c r="CI312">
        <v>9</v>
      </c>
    </row>
    <row r="313" spans="1:87" x14ac:dyDescent="0.35">
      <c r="A313" s="1">
        <v>46059.670138888891</v>
      </c>
      <c r="B313">
        <v>-17</v>
      </c>
      <c r="C313">
        <v>-17.8</v>
      </c>
      <c r="D313">
        <v>-25</v>
      </c>
      <c r="E313">
        <v>-16.8</v>
      </c>
      <c r="F313">
        <v>-6</v>
      </c>
      <c r="G313">
        <v>-25</v>
      </c>
      <c r="H313">
        <v>-19</v>
      </c>
      <c r="I313">
        <v>-23.7</v>
      </c>
      <c r="J313">
        <v>-25</v>
      </c>
      <c r="K313">
        <v>-19.600000000000001</v>
      </c>
      <c r="L313">
        <v>-18.8</v>
      </c>
      <c r="M313">
        <v>-25</v>
      </c>
      <c r="N313">
        <v>-15.5</v>
      </c>
      <c r="O313">
        <v>-15</v>
      </c>
      <c r="P313">
        <v>-25</v>
      </c>
      <c r="Q313">
        <v>-15.4</v>
      </c>
      <c r="R313">
        <v>-15.3</v>
      </c>
      <c r="S313">
        <v>-25</v>
      </c>
      <c r="T313">
        <v>2.7</v>
      </c>
      <c r="U313">
        <v>2.6</v>
      </c>
      <c r="V313">
        <v>2</v>
      </c>
      <c r="W313">
        <v>2.8</v>
      </c>
      <c r="X313">
        <v>2.4</v>
      </c>
      <c r="Y313">
        <v>2</v>
      </c>
      <c r="Z313">
        <v>3.5</v>
      </c>
      <c r="AA313">
        <v>3.3</v>
      </c>
      <c r="AB313">
        <v>2</v>
      </c>
      <c r="AC313">
        <v>2.9</v>
      </c>
      <c r="AD313">
        <v>2.9</v>
      </c>
      <c r="AE313">
        <v>2</v>
      </c>
      <c r="AF313">
        <v>3.7</v>
      </c>
      <c r="AG313">
        <v>3.4</v>
      </c>
      <c r="AH313">
        <v>2</v>
      </c>
      <c r="AI313">
        <v>3.5</v>
      </c>
      <c r="AJ313">
        <v>1.5</v>
      </c>
      <c r="AK313">
        <v>2</v>
      </c>
      <c r="AL313">
        <v>4.3</v>
      </c>
      <c r="AM313">
        <v>4</v>
      </c>
      <c r="AN313">
        <v>4</v>
      </c>
      <c r="AO313">
        <v>4</v>
      </c>
      <c r="AP313">
        <v>4</v>
      </c>
      <c r="AQ313">
        <v>4</v>
      </c>
      <c r="AR313">
        <v>7.7</v>
      </c>
      <c r="AS313">
        <v>4</v>
      </c>
      <c r="AT313">
        <v>-3.3</v>
      </c>
      <c r="AU313">
        <v>-3.5</v>
      </c>
      <c r="AV313">
        <v>-5</v>
      </c>
      <c r="AW313">
        <v>-2.9</v>
      </c>
      <c r="AX313">
        <v>-0.1</v>
      </c>
      <c r="AY313">
        <v>-5</v>
      </c>
      <c r="AZ313">
        <v>11.6</v>
      </c>
      <c r="BA313">
        <v>10</v>
      </c>
      <c r="BB313">
        <v>11.3</v>
      </c>
      <c r="BC313">
        <v>10</v>
      </c>
      <c r="BD313">
        <v>5.0999999999999996</v>
      </c>
      <c r="BE313">
        <v>4</v>
      </c>
      <c r="BF313">
        <v>10.199999999999999</v>
      </c>
      <c r="BG313">
        <v>10</v>
      </c>
      <c r="BH313">
        <v>12.4</v>
      </c>
      <c r="BI313">
        <v>10</v>
      </c>
      <c r="BJ313">
        <v>9.3000000000000007</v>
      </c>
      <c r="BK313">
        <v>9</v>
      </c>
      <c r="BL313">
        <v>20.399999999999999</v>
      </c>
      <c r="BM313">
        <v>19</v>
      </c>
      <c r="BN313">
        <v>21.2</v>
      </c>
      <c r="BO313">
        <v>19</v>
      </c>
      <c r="BP313">
        <v>19.7</v>
      </c>
      <c r="BQ313">
        <v>20</v>
      </c>
      <c r="BR313">
        <v>21.8</v>
      </c>
      <c r="BS313">
        <v>25</v>
      </c>
      <c r="BT313">
        <v>21.9</v>
      </c>
      <c r="BU313">
        <v>25</v>
      </c>
      <c r="BV313">
        <v>23.6</v>
      </c>
      <c r="BW313">
        <v>18</v>
      </c>
      <c r="BX313">
        <v>20.9</v>
      </c>
      <c r="BY313">
        <v>20</v>
      </c>
      <c r="BZ313">
        <v>21.5</v>
      </c>
      <c r="CA313">
        <v>20</v>
      </c>
      <c r="CB313">
        <v>13.9</v>
      </c>
      <c r="CC313">
        <v>10</v>
      </c>
      <c r="CD313">
        <v>10.7</v>
      </c>
      <c r="CE313">
        <v>10</v>
      </c>
      <c r="CF313">
        <v>12.1</v>
      </c>
      <c r="CG313">
        <v>9</v>
      </c>
      <c r="CH313">
        <v>12.3</v>
      </c>
      <c r="CI313">
        <v>9</v>
      </c>
    </row>
    <row r="314" spans="1:87" x14ac:dyDescent="0.35">
      <c r="A314" s="1">
        <v>46059.67083333333</v>
      </c>
      <c r="B314">
        <v>-17.2</v>
      </c>
      <c r="C314">
        <v>-18.2</v>
      </c>
      <c r="D314">
        <v>-25</v>
      </c>
      <c r="E314">
        <v>-17.3</v>
      </c>
      <c r="F314">
        <v>-7.8</v>
      </c>
      <c r="G314">
        <v>-25</v>
      </c>
      <c r="H314">
        <v>-19.100000000000001</v>
      </c>
      <c r="I314">
        <v>-23.7</v>
      </c>
      <c r="J314">
        <v>-25</v>
      </c>
      <c r="K314">
        <v>-19.600000000000001</v>
      </c>
      <c r="L314">
        <v>-18.8</v>
      </c>
      <c r="M314">
        <v>-25</v>
      </c>
      <c r="N314">
        <v>-15.6</v>
      </c>
      <c r="O314">
        <v>-15</v>
      </c>
      <c r="P314">
        <v>-25</v>
      </c>
      <c r="Q314">
        <v>-15.4</v>
      </c>
      <c r="R314">
        <v>-15.3</v>
      </c>
      <c r="S314">
        <v>-25</v>
      </c>
      <c r="T314">
        <v>2.8</v>
      </c>
      <c r="U314">
        <v>2.8</v>
      </c>
      <c r="V314">
        <v>2</v>
      </c>
      <c r="W314">
        <v>2.9</v>
      </c>
      <c r="X314">
        <v>2.6</v>
      </c>
      <c r="Y314">
        <v>2</v>
      </c>
      <c r="Z314">
        <v>3.6</v>
      </c>
      <c r="AA314">
        <v>3.4</v>
      </c>
      <c r="AB314">
        <v>2</v>
      </c>
      <c r="AC314">
        <v>2.9</v>
      </c>
      <c r="AD314">
        <v>2.9</v>
      </c>
      <c r="AE314">
        <v>2</v>
      </c>
      <c r="AF314">
        <v>3.4</v>
      </c>
      <c r="AG314">
        <v>2.9</v>
      </c>
      <c r="AH314">
        <v>2</v>
      </c>
      <c r="AI314">
        <v>3.2</v>
      </c>
      <c r="AJ314">
        <v>1.4</v>
      </c>
      <c r="AK314">
        <v>2</v>
      </c>
      <c r="AL314">
        <v>4.0999999999999996</v>
      </c>
      <c r="AM314">
        <v>4</v>
      </c>
      <c r="AN314">
        <v>4</v>
      </c>
      <c r="AO314">
        <v>4</v>
      </c>
      <c r="AP314">
        <v>4.2</v>
      </c>
      <c r="AQ314">
        <v>4</v>
      </c>
      <c r="AR314">
        <v>7.7</v>
      </c>
      <c r="AS314">
        <v>4</v>
      </c>
      <c r="AT314">
        <v>-2.9</v>
      </c>
      <c r="AU314">
        <v>-3.2</v>
      </c>
      <c r="AV314">
        <v>-5</v>
      </c>
      <c r="AW314">
        <v>-2.9</v>
      </c>
      <c r="AX314">
        <v>3.1</v>
      </c>
      <c r="AY314">
        <v>-5</v>
      </c>
      <c r="AZ314">
        <v>11.7</v>
      </c>
      <c r="BA314">
        <v>10</v>
      </c>
      <c r="BB314">
        <v>11.1</v>
      </c>
      <c r="BC314">
        <v>10</v>
      </c>
      <c r="BD314">
        <v>5.3</v>
      </c>
      <c r="BE314">
        <v>4</v>
      </c>
      <c r="BF314">
        <v>10.7</v>
      </c>
      <c r="BG314">
        <v>10</v>
      </c>
      <c r="BH314">
        <v>12.4</v>
      </c>
      <c r="BI314">
        <v>10</v>
      </c>
      <c r="BJ314">
        <v>9.3000000000000007</v>
      </c>
      <c r="BK314">
        <v>9</v>
      </c>
      <c r="BL314">
        <v>20.399999999999999</v>
      </c>
      <c r="BM314">
        <v>19</v>
      </c>
      <c r="BN314">
        <v>21.3</v>
      </c>
      <c r="BO314">
        <v>19</v>
      </c>
      <c r="BP314">
        <v>19.7</v>
      </c>
      <c r="BQ314">
        <v>20</v>
      </c>
      <c r="BR314">
        <v>21.8</v>
      </c>
      <c r="BS314">
        <v>25</v>
      </c>
      <c r="BT314">
        <v>21.9</v>
      </c>
      <c r="BU314">
        <v>25</v>
      </c>
      <c r="BV314">
        <v>23.6</v>
      </c>
      <c r="BW314">
        <v>18</v>
      </c>
      <c r="BX314">
        <v>20.9</v>
      </c>
      <c r="BY314">
        <v>20</v>
      </c>
      <c r="BZ314">
        <v>21.5</v>
      </c>
      <c r="CA314">
        <v>20</v>
      </c>
      <c r="CB314">
        <v>13.6</v>
      </c>
      <c r="CC314">
        <v>10</v>
      </c>
      <c r="CD314">
        <v>10.6</v>
      </c>
      <c r="CE314">
        <v>10</v>
      </c>
      <c r="CF314">
        <v>12.1</v>
      </c>
      <c r="CG314">
        <v>9</v>
      </c>
      <c r="CH314">
        <v>12.3</v>
      </c>
      <c r="CI314">
        <v>9</v>
      </c>
    </row>
    <row r="315" spans="1:87" x14ac:dyDescent="0.35">
      <c r="A315" s="1">
        <v>46059.671527777777</v>
      </c>
      <c r="B315">
        <v>-17.5</v>
      </c>
      <c r="C315">
        <v>-18.600000000000001</v>
      </c>
      <c r="D315">
        <v>-25</v>
      </c>
      <c r="E315">
        <v>-17.8</v>
      </c>
      <c r="F315">
        <v>-9.4</v>
      </c>
      <c r="G315">
        <v>-25</v>
      </c>
      <c r="H315">
        <v>-19.100000000000001</v>
      </c>
      <c r="I315">
        <v>-23.7</v>
      </c>
      <c r="J315">
        <v>-25</v>
      </c>
      <c r="K315">
        <v>-19.600000000000001</v>
      </c>
      <c r="L315">
        <v>-18.899999999999999</v>
      </c>
      <c r="M315">
        <v>-25</v>
      </c>
      <c r="N315">
        <v>-15.6</v>
      </c>
      <c r="O315">
        <v>-15</v>
      </c>
      <c r="P315">
        <v>-25</v>
      </c>
      <c r="Q315">
        <v>-15.4</v>
      </c>
      <c r="R315">
        <v>-15.3</v>
      </c>
      <c r="S315">
        <v>-25</v>
      </c>
      <c r="T315">
        <v>2.9</v>
      </c>
      <c r="U315">
        <v>2.9</v>
      </c>
      <c r="V315">
        <v>2</v>
      </c>
      <c r="W315">
        <v>3</v>
      </c>
      <c r="X315">
        <v>2.8</v>
      </c>
      <c r="Y315">
        <v>2</v>
      </c>
      <c r="Z315">
        <v>3.6</v>
      </c>
      <c r="AA315">
        <v>3.4</v>
      </c>
      <c r="AB315">
        <v>2</v>
      </c>
      <c r="AC315">
        <v>2.9</v>
      </c>
      <c r="AD315">
        <v>2.9</v>
      </c>
      <c r="AE315">
        <v>2</v>
      </c>
      <c r="AF315">
        <v>3.3</v>
      </c>
      <c r="AG315">
        <v>2.9</v>
      </c>
      <c r="AH315">
        <v>2</v>
      </c>
      <c r="AI315">
        <v>3.1</v>
      </c>
      <c r="AJ315">
        <v>1</v>
      </c>
      <c r="AK315">
        <v>2</v>
      </c>
      <c r="AL315">
        <v>3.9</v>
      </c>
      <c r="AM315">
        <v>4</v>
      </c>
      <c r="AN315">
        <v>4</v>
      </c>
      <c r="AO315">
        <v>4</v>
      </c>
      <c r="AP315">
        <v>4.4000000000000004</v>
      </c>
      <c r="AQ315">
        <v>4</v>
      </c>
      <c r="AR315">
        <v>7.8</v>
      </c>
      <c r="AS315">
        <v>4</v>
      </c>
      <c r="AT315">
        <v>-2.7</v>
      </c>
      <c r="AU315">
        <v>-3</v>
      </c>
      <c r="AV315">
        <v>-5</v>
      </c>
      <c r="AW315">
        <v>-2.9</v>
      </c>
      <c r="AX315">
        <v>7.4</v>
      </c>
      <c r="AY315">
        <v>-5</v>
      </c>
      <c r="AZ315">
        <v>11.8</v>
      </c>
      <c r="BA315">
        <v>10</v>
      </c>
      <c r="BB315">
        <v>11</v>
      </c>
      <c r="BC315">
        <v>10</v>
      </c>
      <c r="BD315">
        <v>5.4</v>
      </c>
      <c r="BE315">
        <v>4</v>
      </c>
      <c r="BF315">
        <v>10.8</v>
      </c>
      <c r="BG315">
        <v>10</v>
      </c>
      <c r="BH315">
        <v>12.2</v>
      </c>
      <c r="BI315">
        <v>10</v>
      </c>
      <c r="BJ315">
        <v>9.3000000000000007</v>
      </c>
      <c r="BK315">
        <v>9</v>
      </c>
      <c r="BL315">
        <v>20.399999999999999</v>
      </c>
      <c r="BM315">
        <v>19</v>
      </c>
      <c r="BN315">
        <v>21.4</v>
      </c>
      <c r="BO315">
        <v>19</v>
      </c>
      <c r="BP315">
        <v>19.7</v>
      </c>
      <c r="BQ315">
        <v>20</v>
      </c>
      <c r="BR315">
        <v>21.7</v>
      </c>
      <c r="BS315">
        <v>25</v>
      </c>
      <c r="BT315">
        <v>21.9</v>
      </c>
      <c r="BU315">
        <v>25</v>
      </c>
      <c r="BV315">
        <v>23.6</v>
      </c>
      <c r="BW315">
        <v>18</v>
      </c>
      <c r="BX315">
        <v>21</v>
      </c>
      <c r="BY315">
        <v>20</v>
      </c>
      <c r="BZ315">
        <v>21.5</v>
      </c>
      <c r="CA315">
        <v>20</v>
      </c>
      <c r="CB315">
        <v>13.2</v>
      </c>
      <c r="CC315">
        <v>10</v>
      </c>
      <c r="CD315">
        <v>10.5</v>
      </c>
      <c r="CE315">
        <v>10</v>
      </c>
      <c r="CF315">
        <v>12</v>
      </c>
      <c r="CG315">
        <v>9</v>
      </c>
      <c r="CH315">
        <v>12.2</v>
      </c>
      <c r="CI315">
        <v>9</v>
      </c>
    </row>
    <row r="316" spans="1:87" x14ac:dyDescent="0.35">
      <c r="A316" s="1">
        <v>46059.672222222223</v>
      </c>
      <c r="B316">
        <v>-17.7</v>
      </c>
      <c r="C316">
        <v>-19.399999999999999</v>
      </c>
      <c r="D316">
        <v>-25</v>
      </c>
      <c r="E316">
        <v>-18.100000000000001</v>
      </c>
      <c r="F316">
        <v>-10.5</v>
      </c>
      <c r="G316">
        <v>-25</v>
      </c>
      <c r="H316">
        <v>-19.100000000000001</v>
      </c>
      <c r="I316">
        <v>-23.7</v>
      </c>
      <c r="J316">
        <v>-25</v>
      </c>
      <c r="K316">
        <v>-19.600000000000001</v>
      </c>
      <c r="L316">
        <v>-18.899999999999999</v>
      </c>
      <c r="M316">
        <v>-25</v>
      </c>
      <c r="N316">
        <v>-15.6</v>
      </c>
      <c r="O316">
        <v>-15</v>
      </c>
      <c r="P316">
        <v>-25</v>
      </c>
      <c r="Q316">
        <v>-15.4</v>
      </c>
      <c r="R316">
        <v>-15.3</v>
      </c>
      <c r="S316">
        <v>-25</v>
      </c>
      <c r="T316">
        <v>3</v>
      </c>
      <c r="U316">
        <v>3</v>
      </c>
      <c r="V316">
        <v>2</v>
      </c>
      <c r="W316">
        <v>3.1</v>
      </c>
      <c r="X316">
        <v>2.8</v>
      </c>
      <c r="Y316">
        <v>2</v>
      </c>
      <c r="Z316">
        <v>3.7</v>
      </c>
      <c r="AA316">
        <v>3.4</v>
      </c>
      <c r="AB316">
        <v>2</v>
      </c>
      <c r="AC316">
        <v>2.9</v>
      </c>
      <c r="AD316">
        <v>2.9</v>
      </c>
      <c r="AE316">
        <v>2</v>
      </c>
      <c r="AF316">
        <v>3.1</v>
      </c>
      <c r="AG316">
        <v>2.7</v>
      </c>
      <c r="AH316">
        <v>2</v>
      </c>
      <c r="AI316">
        <v>3</v>
      </c>
      <c r="AJ316">
        <v>0.1</v>
      </c>
      <c r="AK316">
        <v>2</v>
      </c>
      <c r="AL316">
        <v>3.9</v>
      </c>
      <c r="AM316">
        <v>4</v>
      </c>
      <c r="AN316">
        <v>4</v>
      </c>
      <c r="AO316">
        <v>4</v>
      </c>
      <c r="AP316">
        <v>4.5999999999999996</v>
      </c>
      <c r="AQ316">
        <v>4</v>
      </c>
      <c r="AR316">
        <v>7.4</v>
      </c>
      <c r="AS316">
        <v>4</v>
      </c>
      <c r="AT316">
        <v>-2.8</v>
      </c>
      <c r="AU316">
        <v>-4.5</v>
      </c>
      <c r="AV316">
        <v>-5</v>
      </c>
      <c r="AW316">
        <v>-2.9</v>
      </c>
      <c r="AX316">
        <v>11.5</v>
      </c>
      <c r="AY316">
        <v>-5</v>
      </c>
      <c r="AZ316">
        <v>11.8</v>
      </c>
      <c r="BA316">
        <v>10</v>
      </c>
      <c r="BB316">
        <v>10.9</v>
      </c>
      <c r="BC316">
        <v>10</v>
      </c>
      <c r="BD316">
        <v>5.6</v>
      </c>
      <c r="BE316">
        <v>4</v>
      </c>
      <c r="BF316">
        <v>11.2</v>
      </c>
      <c r="BG316">
        <v>10</v>
      </c>
      <c r="BH316">
        <v>12.3</v>
      </c>
      <c r="BI316">
        <v>10</v>
      </c>
      <c r="BJ316">
        <v>9.4</v>
      </c>
      <c r="BK316">
        <v>9</v>
      </c>
      <c r="BL316">
        <v>20.399999999999999</v>
      </c>
      <c r="BM316">
        <v>19</v>
      </c>
      <c r="BN316">
        <v>21.5</v>
      </c>
      <c r="BO316">
        <v>19</v>
      </c>
      <c r="BP316">
        <v>19.8</v>
      </c>
      <c r="BQ316">
        <v>20</v>
      </c>
      <c r="BR316">
        <v>21.6</v>
      </c>
      <c r="BS316">
        <v>25</v>
      </c>
      <c r="BT316">
        <v>21.9</v>
      </c>
      <c r="BU316">
        <v>25</v>
      </c>
      <c r="BV316">
        <v>23.6</v>
      </c>
      <c r="BW316">
        <v>18</v>
      </c>
      <c r="BX316">
        <v>21</v>
      </c>
      <c r="BY316">
        <v>20</v>
      </c>
      <c r="BZ316">
        <v>21.5</v>
      </c>
      <c r="CA316">
        <v>20</v>
      </c>
      <c r="CB316">
        <v>12.9</v>
      </c>
      <c r="CC316">
        <v>10</v>
      </c>
      <c r="CD316">
        <v>10.4</v>
      </c>
      <c r="CE316">
        <v>10</v>
      </c>
      <c r="CF316">
        <v>11.8</v>
      </c>
      <c r="CG316">
        <v>9</v>
      </c>
      <c r="CH316">
        <v>12</v>
      </c>
      <c r="CI316">
        <v>9</v>
      </c>
    </row>
    <row r="317" spans="1:87" x14ac:dyDescent="0.35">
      <c r="A317" s="1">
        <v>46059.67291666667</v>
      </c>
      <c r="B317">
        <v>-18</v>
      </c>
      <c r="C317">
        <v>-19.899999999999999</v>
      </c>
      <c r="D317">
        <v>-25</v>
      </c>
      <c r="E317">
        <v>-18.399999999999999</v>
      </c>
      <c r="F317">
        <v>-11.5</v>
      </c>
      <c r="G317">
        <v>-25</v>
      </c>
      <c r="H317">
        <v>-19.100000000000001</v>
      </c>
      <c r="I317">
        <v>-24</v>
      </c>
      <c r="J317">
        <v>-25</v>
      </c>
      <c r="K317">
        <v>-19.600000000000001</v>
      </c>
      <c r="L317">
        <v>-18.899999999999999</v>
      </c>
      <c r="M317">
        <v>-25</v>
      </c>
      <c r="N317">
        <v>-15.7</v>
      </c>
      <c r="O317">
        <v>-15</v>
      </c>
      <c r="P317">
        <v>-25</v>
      </c>
      <c r="Q317">
        <v>-15.5</v>
      </c>
      <c r="R317">
        <v>-15.3</v>
      </c>
      <c r="S317">
        <v>-25</v>
      </c>
      <c r="T317">
        <v>3.1</v>
      </c>
      <c r="U317">
        <v>3.1</v>
      </c>
      <c r="V317">
        <v>2</v>
      </c>
      <c r="W317">
        <v>3.1</v>
      </c>
      <c r="X317">
        <v>2.9</v>
      </c>
      <c r="Y317">
        <v>2</v>
      </c>
      <c r="Z317">
        <v>3.7</v>
      </c>
      <c r="AA317">
        <v>3.5</v>
      </c>
      <c r="AB317">
        <v>2</v>
      </c>
      <c r="AC317">
        <v>2.9</v>
      </c>
      <c r="AD317">
        <v>2.9</v>
      </c>
      <c r="AE317">
        <v>2</v>
      </c>
      <c r="AF317">
        <v>2.8</v>
      </c>
      <c r="AG317">
        <v>2.2999999999999998</v>
      </c>
      <c r="AH317">
        <v>2</v>
      </c>
      <c r="AI317">
        <v>2.7</v>
      </c>
      <c r="AJ317">
        <v>0.8</v>
      </c>
      <c r="AK317">
        <v>2</v>
      </c>
      <c r="AL317">
        <v>3.8</v>
      </c>
      <c r="AM317">
        <v>4</v>
      </c>
      <c r="AN317">
        <v>4.0999999999999996</v>
      </c>
      <c r="AO317">
        <v>4</v>
      </c>
      <c r="AP317">
        <v>4.8</v>
      </c>
      <c r="AQ317">
        <v>4</v>
      </c>
      <c r="AR317">
        <v>6.8</v>
      </c>
      <c r="AS317">
        <v>4</v>
      </c>
      <c r="AT317">
        <v>-3.3</v>
      </c>
      <c r="AU317">
        <v>-5.6</v>
      </c>
      <c r="AV317">
        <v>-5</v>
      </c>
      <c r="AW317">
        <v>-2.9</v>
      </c>
      <c r="AX317">
        <v>15.1</v>
      </c>
      <c r="AY317">
        <v>-5</v>
      </c>
      <c r="AZ317">
        <v>11.9</v>
      </c>
      <c r="BA317">
        <v>10</v>
      </c>
      <c r="BB317">
        <v>10.9</v>
      </c>
      <c r="BC317">
        <v>10</v>
      </c>
      <c r="BD317">
        <v>5.7</v>
      </c>
      <c r="BE317">
        <v>4</v>
      </c>
      <c r="BF317">
        <v>11.3</v>
      </c>
      <c r="BG317">
        <v>10</v>
      </c>
      <c r="BH317">
        <v>12.3</v>
      </c>
      <c r="BI317">
        <v>10</v>
      </c>
      <c r="BJ317">
        <v>9.4</v>
      </c>
      <c r="BK317">
        <v>9</v>
      </c>
      <c r="BL317">
        <v>20.399999999999999</v>
      </c>
      <c r="BM317">
        <v>19</v>
      </c>
      <c r="BN317">
        <v>21.6</v>
      </c>
      <c r="BO317">
        <v>19</v>
      </c>
      <c r="BP317">
        <v>19.8</v>
      </c>
      <c r="BQ317">
        <v>20</v>
      </c>
      <c r="BR317">
        <v>21.6</v>
      </c>
      <c r="BS317">
        <v>25</v>
      </c>
      <c r="BT317">
        <v>21.9</v>
      </c>
      <c r="BU317">
        <v>25</v>
      </c>
      <c r="BV317">
        <v>23.6</v>
      </c>
      <c r="BW317">
        <v>18</v>
      </c>
      <c r="BX317">
        <v>21.1</v>
      </c>
      <c r="BY317">
        <v>20</v>
      </c>
      <c r="BZ317">
        <v>21.6</v>
      </c>
      <c r="CA317">
        <v>20</v>
      </c>
      <c r="CB317">
        <v>12.5</v>
      </c>
      <c r="CC317">
        <v>10</v>
      </c>
      <c r="CD317">
        <v>10.4</v>
      </c>
      <c r="CE317">
        <v>10</v>
      </c>
      <c r="CF317">
        <v>11.7</v>
      </c>
      <c r="CG317">
        <v>9</v>
      </c>
      <c r="CH317">
        <v>12</v>
      </c>
      <c r="CI317">
        <v>9</v>
      </c>
    </row>
    <row r="318" spans="1:87" x14ac:dyDescent="0.35">
      <c r="A318" s="1">
        <v>46059.673611111109</v>
      </c>
      <c r="B318">
        <v>-18.2</v>
      </c>
      <c r="C318">
        <v>-19</v>
      </c>
      <c r="D318">
        <v>-25</v>
      </c>
      <c r="E318">
        <v>-18.5</v>
      </c>
      <c r="F318">
        <v>-12.5</v>
      </c>
      <c r="G318">
        <v>-25</v>
      </c>
      <c r="H318">
        <v>-19.100000000000001</v>
      </c>
      <c r="I318">
        <v>-24.2</v>
      </c>
      <c r="J318">
        <v>-25</v>
      </c>
      <c r="K318">
        <v>-19.7</v>
      </c>
      <c r="L318">
        <v>-19</v>
      </c>
      <c r="M318">
        <v>-25</v>
      </c>
      <c r="N318">
        <v>-15.9</v>
      </c>
      <c r="O318">
        <v>-15</v>
      </c>
      <c r="P318">
        <v>-25</v>
      </c>
      <c r="Q318">
        <v>-15.5</v>
      </c>
      <c r="R318">
        <v>-15.4</v>
      </c>
      <c r="S318">
        <v>-25</v>
      </c>
      <c r="T318">
        <v>3.2</v>
      </c>
      <c r="U318">
        <v>3.1</v>
      </c>
      <c r="V318">
        <v>2</v>
      </c>
      <c r="W318">
        <v>3.2</v>
      </c>
      <c r="X318">
        <v>3</v>
      </c>
      <c r="Y318">
        <v>2</v>
      </c>
      <c r="Z318">
        <v>3.8</v>
      </c>
      <c r="AA318">
        <v>3.5</v>
      </c>
      <c r="AB318">
        <v>2</v>
      </c>
      <c r="AC318">
        <v>2.9</v>
      </c>
      <c r="AD318">
        <v>2.9</v>
      </c>
      <c r="AE318">
        <v>2</v>
      </c>
      <c r="AF318">
        <v>2.8</v>
      </c>
      <c r="AG318">
        <v>2.2999999999999998</v>
      </c>
      <c r="AH318">
        <v>2</v>
      </c>
      <c r="AI318">
        <v>2.6</v>
      </c>
      <c r="AJ318">
        <v>0.7</v>
      </c>
      <c r="AK318">
        <v>2</v>
      </c>
      <c r="AL318">
        <v>3.8</v>
      </c>
      <c r="AM318">
        <v>4</v>
      </c>
      <c r="AN318">
        <v>4.2</v>
      </c>
      <c r="AO318">
        <v>4</v>
      </c>
      <c r="AP318">
        <v>5</v>
      </c>
      <c r="AQ318">
        <v>4</v>
      </c>
      <c r="AR318">
        <v>6.3</v>
      </c>
      <c r="AS318">
        <v>4</v>
      </c>
      <c r="AT318">
        <v>-3.7</v>
      </c>
      <c r="AU318">
        <v>-6.3</v>
      </c>
      <c r="AV318">
        <v>-5</v>
      </c>
      <c r="AW318">
        <v>-2.9</v>
      </c>
      <c r="AX318">
        <v>17.3</v>
      </c>
      <c r="AY318">
        <v>-5</v>
      </c>
      <c r="AZ318">
        <v>12</v>
      </c>
      <c r="BA318">
        <v>10</v>
      </c>
      <c r="BB318">
        <v>10.9</v>
      </c>
      <c r="BC318">
        <v>10</v>
      </c>
      <c r="BD318">
        <v>5.8</v>
      </c>
      <c r="BE318">
        <v>4</v>
      </c>
      <c r="BF318">
        <v>11.7</v>
      </c>
      <c r="BG318">
        <v>10</v>
      </c>
      <c r="BH318">
        <v>12.4</v>
      </c>
      <c r="BI318">
        <v>10</v>
      </c>
      <c r="BJ318">
        <v>9.5</v>
      </c>
      <c r="BK318">
        <v>9</v>
      </c>
      <c r="BL318">
        <v>20.399999999999999</v>
      </c>
      <c r="BM318">
        <v>19</v>
      </c>
      <c r="BN318">
        <v>21.7</v>
      </c>
      <c r="BO318">
        <v>19</v>
      </c>
      <c r="BP318">
        <v>19.8</v>
      </c>
      <c r="BQ318">
        <v>20</v>
      </c>
      <c r="BR318">
        <v>21.6</v>
      </c>
      <c r="BS318">
        <v>25</v>
      </c>
      <c r="BT318">
        <v>21.9</v>
      </c>
      <c r="BU318">
        <v>25</v>
      </c>
      <c r="BV318">
        <v>23.6</v>
      </c>
      <c r="BW318">
        <v>18</v>
      </c>
      <c r="BX318">
        <v>21.1</v>
      </c>
      <c r="BY318">
        <v>20</v>
      </c>
      <c r="BZ318">
        <v>21.6</v>
      </c>
      <c r="CA318">
        <v>20</v>
      </c>
      <c r="CB318">
        <v>12.3</v>
      </c>
      <c r="CC318">
        <v>10</v>
      </c>
      <c r="CD318">
        <v>10.3</v>
      </c>
      <c r="CE318">
        <v>10</v>
      </c>
      <c r="CF318">
        <v>11.7</v>
      </c>
      <c r="CG318">
        <v>9</v>
      </c>
      <c r="CH318">
        <v>11.9</v>
      </c>
      <c r="CI318">
        <v>9</v>
      </c>
    </row>
    <row r="319" spans="1:87" x14ac:dyDescent="0.35">
      <c r="A319" s="1">
        <v>46059.674305555556</v>
      </c>
      <c r="B319">
        <v>-18.2</v>
      </c>
      <c r="C319">
        <v>-18.7</v>
      </c>
      <c r="D319">
        <v>-25</v>
      </c>
      <c r="E319">
        <v>-18.5</v>
      </c>
      <c r="F319">
        <v>-13.5</v>
      </c>
      <c r="G319">
        <v>-25</v>
      </c>
      <c r="H319">
        <v>-19.2</v>
      </c>
      <c r="I319">
        <v>-24.2</v>
      </c>
      <c r="J319">
        <v>-25</v>
      </c>
      <c r="K319">
        <v>-19.8</v>
      </c>
      <c r="L319">
        <v>-19</v>
      </c>
      <c r="M319">
        <v>-25</v>
      </c>
      <c r="N319">
        <v>-16.100000000000001</v>
      </c>
      <c r="O319">
        <v>-15</v>
      </c>
      <c r="P319">
        <v>-25</v>
      </c>
      <c r="Q319">
        <v>-15.7</v>
      </c>
      <c r="R319">
        <v>-15.5</v>
      </c>
      <c r="S319">
        <v>-25</v>
      </c>
      <c r="T319">
        <v>3.3</v>
      </c>
      <c r="U319">
        <v>3.3</v>
      </c>
      <c r="V319">
        <v>2</v>
      </c>
      <c r="W319">
        <v>3.3</v>
      </c>
      <c r="X319">
        <v>3.1</v>
      </c>
      <c r="Y319">
        <v>2</v>
      </c>
      <c r="Z319">
        <v>3.9</v>
      </c>
      <c r="AA319">
        <v>3.6</v>
      </c>
      <c r="AB319">
        <v>2</v>
      </c>
      <c r="AC319">
        <v>2.9</v>
      </c>
      <c r="AD319">
        <v>2.9</v>
      </c>
      <c r="AE319">
        <v>2</v>
      </c>
      <c r="AF319">
        <v>2.6</v>
      </c>
      <c r="AG319">
        <v>2.1</v>
      </c>
      <c r="AH319">
        <v>2</v>
      </c>
      <c r="AI319">
        <v>2.4</v>
      </c>
      <c r="AJ319">
        <v>-0.5</v>
      </c>
      <c r="AK319">
        <v>2</v>
      </c>
      <c r="AL319">
        <v>3.8</v>
      </c>
      <c r="AM319">
        <v>4</v>
      </c>
      <c r="AN319">
        <v>4.3</v>
      </c>
      <c r="AO319">
        <v>4</v>
      </c>
      <c r="AP319">
        <v>5.0999999999999996</v>
      </c>
      <c r="AQ319">
        <v>4</v>
      </c>
      <c r="AR319">
        <v>6.1</v>
      </c>
      <c r="AS319">
        <v>4</v>
      </c>
      <c r="AT319">
        <v>-4.4000000000000004</v>
      </c>
      <c r="AU319">
        <v>-7.3</v>
      </c>
      <c r="AV319">
        <v>-5</v>
      </c>
      <c r="AW319">
        <v>-2.9</v>
      </c>
      <c r="AX319">
        <v>20</v>
      </c>
      <c r="AY319">
        <v>-5</v>
      </c>
      <c r="AZ319">
        <v>11.7</v>
      </c>
      <c r="BA319">
        <v>10</v>
      </c>
      <c r="BB319">
        <v>10.9</v>
      </c>
      <c r="BC319">
        <v>10</v>
      </c>
      <c r="BD319">
        <v>6</v>
      </c>
      <c r="BE319">
        <v>4</v>
      </c>
      <c r="BF319">
        <v>11.9</v>
      </c>
      <c r="BG319">
        <v>10</v>
      </c>
      <c r="BH319">
        <v>12.4</v>
      </c>
      <c r="BI319">
        <v>10</v>
      </c>
      <c r="BJ319">
        <v>9.6999999999999993</v>
      </c>
      <c r="BK319">
        <v>9</v>
      </c>
      <c r="BL319">
        <v>20.399999999999999</v>
      </c>
      <c r="BM319">
        <v>19</v>
      </c>
      <c r="BN319">
        <v>21.7</v>
      </c>
      <c r="BO319">
        <v>19</v>
      </c>
      <c r="BP319">
        <v>19.8</v>
      </c>
      <c r="BQ319">
        <v>20</v>
      </c>
      <c r="BR319">
        <v>21.6</v>
      </c>
      <c r="BS319">
        <v>25</v>
      </c>
      <c r="BT319">
        <v>21.9</v>
      </c>
      <c r="BU319">
        <v>25</v>
      </c>
      <c r="BV319">
        <v>23.6</v>
      </c>
      <c r="BW319">
        <v>18</v>
      </c>
      <c r="BX319">
        <v>21.2</v>
      </c>
      <c r="BY319">
        <v>20</v>
      </c>
      <c r="BZ319">
        <v>21.6</v>
      </c>
      <c r="CA319">
        <v>20</v>
      </c>
      <c r="CB319">
        <v>12.1</v>
      </c>
      <c r="CC319">
        <v>10</v>
      </c>
      <c r="CD319">
        <v>10.3</v>
      </c>
      <c r="CE319">
        <v>10</v>
      </c>
      <c r="CF319">
        <v>11.6</v>
      </c>
      <c r="CG319">
        <v>9</v>
      </c>
      <c r="CH319">
        <v>11.8</v>
      </c>
      <c r="CI319">
        <v>9</v>
      </c>
    </row>
    <row r="320" spans="1:87" x14ac:dyDescent="0.35">
      <c r="A320" s="1">
        <v>46059.675000000003</v>
      </c>
      <c r="B320">
        <v>-18.2</v>
      </c>
      <c r="C320">
        <v>-18.600000000000001</v>
      </c>
      <c r="D320">
        <v>-25</v>
      </c>
      <c r="E320">
        <v>-18.5</v>
      </c>
      <c r="F320">
        <v>-14.2</v>
      </c>
      <c r="G320">
        <v>-25</v>
      </c>
      <c r="H320">
        <v>-19.3</v>
      </c>
      <c r="I320">
        <v>-24.4</v>
      </c>
      <c r="J320">
        <v>-25</v>
      </c>
      <c r="K320">
        <v>-20</v>
      </c>
      <c r="L320">
        <v>-19.100000000000001</v>
      </c>
      <c r="M320">
        <v>-25</v>
      </c>
      <c r="N320">
        <v>-16.2</v>
      </c>
      <c r="O320">
        <v>-15</v>
      </c>
      <c r="P320">
        <v>-25</v>
      </c>
      <c r="Q320">
        <v>-15.8</v>
      </c>
      <c r="R320">
        <v>-15.6</v>
      </c>
      <c r="S320">
        <v>-25</v>
      </c>
      <c r="T320">
        <v>3.4</v>
      </c>
      <c r="U320">
        <v>3.4</v>
      </c>
      <c r="V320">
        <v>2</v>
      </c>
      <c r="W320">
        <v>3.4</v>
      </c>
      <c r="X320">
        <v>3.2</v>
      </c>
      <c r="Y320">
        <v>2</v>
      </c>
      <c r="Z320">
        <v>3.9</v>
      </c>
      <c r="AA320">
        <v>3.6</v>
      </c>
      <c r="AB320">
        <v>2</v>
      </c>
      <c r="AC320">
        <v>2.9</v>
      </c>
      <c r="AD320">
        <v>2.9</v>
      </c>
      <c r="AE320">
        <v>2</v>
      </c>
      <c r="AF320">
        <v>2.4</v>
      </c>
      <c r="AG320">
        <v>1.9</v>
      </c>
      <c r="AH320">
        <v>2</v>
      </c>
      <c r="AI320">
        <v>2.2000000000000002</v>
      </c>
      <c r="AJ320">
        <v>0.2</v>
      </c>
      <c r="AK320">
        <v>2</v>
      </c>
      <c r="AL320">
        <v>3.9</v>
      </c>
      <c r="AM320">
        <v>4</v>
      </c>
      <c r="AN320">
        <v>4.3</v>
      </c>
      <c r="AO320">
        <v>4</v>
      </c>
      <c r="AP320">
        <v>5.3</v>
      </c>
      <c r="AQ320">
        <v>4</v>
      </c>
      <c r="AR320">
        <v>6</v>
      </c>
      <c r="AS320">
        <v>4</v>
      </c>
      <c r="AT320">
        <v>-4.9000000000000004</v>
      </c>
      <c r="AU320">
        <v>-7.2</v>
      </c>
      <c r="AV320">
        <v>-5</v>
      </c>
      <c r="AW320">
        <v>-2.9</v>
      </c>
      <c r="AX320">
        <v>22.5</v>
      </c>
      <c r="AY320">
        <v>-5</v>
      </c>
      <c r="AZ320">
        <v>11.1</v>
      </c>
      <c r="BA320">
        <v>10</v>
      </c>
      <c r="BB320">
        <v>10.9</v>
      </c>
      <c r="BC320">
        <v>10</v>
      </c>
      <c r="BD320">
        <v>6</v>
      </c>
      <c r="BE320">
        <v>4</v>
      </c>
      <c r="BF320">
        <v>12.1</v>
      </c>
      <c r="BG320">
        <v>10</v>
      </c>
      <c r="BH320">
        <v>12.4</v>
      </c>
      <c r="BI320">
        <v>10</v>
      </c>
      <c r="BJ320">
        <v>9.9</v>
      </c>
      <c r="BK320">
        <v>9</v>
      </c>
      <c r="BL320">
        <v>20.5</v>
      </c>
      <c r="BM320">
        <v>19</v>
      </c>
      <c r="BN320">
        <v>21.8</v>
      </c>
      <c r="BO320">
        <v>19</v>
      </c>
      <c r="BP320">
        <v>19.899999999999999</v>
      </c>
      <c r="BQ320">
        <v>20</v>
      </c>
      <c r="BR320">
        <v>21.7</v>
      </c>
      <c r="BS320">
        <v>25</v>
      </c>
      <c r="BT320">
        <v>21.9</v>
      </c>
      <c r="BU320">
        <v>25</v>
      </c>
      <c r="BV320">
        <v>23.6</v>
      </c>
      <c r="BW320">
        <v>18</v>
      </c>
      <c r="BX320">
        <v>21.2</v>
      </c>
      <c r="BY320">
        <v>20</v>
      </c>
      <c r="BZ320">
        <v>21.6</v>
      </c>
      <c r="CA320">
        <v>20</v>
      </c>
      <c r="CB320">
        <v>11.9</v>
      </c>
      <c r="CC320">
        <v>10</v>
      </c>
      <c r="CD320">
        <v>10.199999999999999</v>
      </c>
      <c r="CE320">
        <v>10</v>
      </c>
      <c r="CF320">
        <v>11.4</v>
      </c>
      <c r="CG320">
        <v>9</v>
      </c>
      <c r="CH320">
        <v>11.6</v>
      </c>
      <c r="CI320">
        <v>9</v>
      </c>
    </row>
    <row r="321" spans="1:87" x14ac:dyDescent="0.35">
      <c r="A321" s="1">
        <v>46059.675694444442</v>
      </c>
      <c r="B321">
        <v>-18.2</v>
      </c>
      <c r="C321">
        <v>-18.600000000000001</v>
      </c>
      <c r="D321">
        <v>-25</v>
      </c>
      <c r="E321">
        <v>-18.5</v>
      </c>
      <c r="F321">
        <v>-14.7</v>
      </c>
      <c r="G321">
        <v>-25</v>
      </c>
      <c r="H321">
        <v>-19.3</v>
      </c>
      <c r="I321">
        <v>-24.4</v>
      </c>
      <c r="J321">
        <v>-25</v>
      </c>
      <c r="K321">
        <v>-20</v>
      </c>
      <c r="L321">
        <v>-19.100000000000001</v>
      </c>
      <c r="M321">
        <v>-25</v>
      </c>
      <c r="N321">
        <v>-16.399999999999999</v>
      </c>
      <c r="O321">
        <v>-15</v>
      </c>
      <c r="P321">
        <v>-25</v>
      </c>
      <c r="Q321">
        <v>-16</v>
      </c>
      <c r="R321">
        <v>-15.8</v>
      </c>
      <c r="S321">
        <v>-25</v>
      </c>
      <c r="T321">
        <v>3.5</v>
      </c>
      <c r="U321">
        <v>3.4</v>
      </c>
      <c r="V321">
        <v>2</v>
      </c>
      <c r="W321">
        <v>3.4</v>
      </c>
      <c r="X321">
        <v>3.3</v>
      </c>
      <c r="Y321">
        <v>2</v>
      </c>
      <c r="Z321">
        <v>3.9</v>
      </c>
      <c r="AA321">
        <v>3.7</v>
      </c>
      <c r="AB321">
        <v>2</v>
      </c>
      <c r="AC321">
        <v>2.9</v>
      </c>
      <c r="AD321">
        <v>2.9</v>
      </c>
      <c r="AE321">
        <v>2</v>
      </c>
      <c r="AF321">
        <v>2.4</v>
      </c>
      <c r="AG321">
        <v>1.9</v>
      </c>
      <c r="AH321">
        <v>2</v>
      </c>
      <c r="AI321">
        <v>2.2000000000000002</v>
      </c>
      <c r="AJ321">
        <v>-0.4</v>
      </c>
      <c r="AK321">
        <v>2</v>
      </c>
      <c r="AL321">
        <v>4</v>
      </c>
      <c r="AM321">
        <v>4</v>
      </c>
      <c r="AN321">
        <v>4.4000000000000004</v>
      </c>
      <c r="AO321">
        <v>4</v>
      </c>
      <c r="AP321">
        <v>5.4</v>
      </c>
      <c r="AQ321">
        <v>4</v>
      </c>
      <c r="AR321">
        <v>5.2</v>
      </c>
      <c r="AS321">
        <v>4</v>
      </c>
      <c r="AT321">
        <v>-4.9000000000000004</v>
      </c>
      <c r="AU321">
        <v>-5.7</v>
      </c>
      <c r="AV321">
        <v>-5</v>
      </c>
      <c r="AW321">
        <v>-2.9</v>
      </c>
      <c r="AX321">
        <v>24.7</v>
      </c>
      <c r="AY321">
        <v>-5</v>
      </c>
      <c r="AZ321">
        <v>10.3</v>
      </c>
      <c r="BA321">
        <v>10</v>
      </c>
      <c r="BB321">
        <v>10.7</v>
      </c>
      <c r="BC321">
        <v>10</v>
      </c>
      <c r="BD321">
        <v>6</v>
      </c>
      <c r="BE321">
        <v>4</v>
      </c>
      <c r="BF321">
        <v>11.6</v>
      </c>
      <c r="BG321">
        <v>10</v>
      </c>
      <c r="BH321">
        <v>12.4</v>
      </c>
      <c r="BI321">
        <v>10</v>
      </c>
      <c r="BJ321">
        <v>9.9</v>
      </c>
      <c r="BK321">
        <v>9</v>
      </c>
      <c r="BL321">
        <v>20.5</v>
      </c>
      <c r="BM321">
        <v>19</v>
      </c>
      <c r="BN321">
        <v>21.8</v>
      </c>
      <c r="BO321">
        <v>19</v>
      </c>
      <c r="BP321">
        <v>20</v>
      </c>
      <c r="BQ321">
        <v>20</v>
      </c>
      <c r="BR321">
        <v>21.7</v>
      </c>
      <c r="BS321">
        <v>25</v>
      </c>
      <c r="BT321">
        <v>21.9</v>
      </c>
      <c r="BU321">
        <v>25</v>
      </c>
      <c r="BV321">
        <v>23.6</v>
      </c>
      <c r="BW321">
        <v>18</v>
      </c>
      <c r="BX321">
        <v>21.2</v>
      </c>
      <c r="BY321">
        <v>20</v>
      </c>
      <c r="BZ321">
        <v>21.7</v>
      </c>
      <c r="CA321">
        <v>20</v>
      </c>
      <c r="CB321">
        <v>11.7</v>
      </c>
      <c r="CC321">
        <v>10</v>
      </c>
      <c r="CD321">
        <v>10.199999999999999</v>
      </c>
      <c r="CE321">
        <v>10</v>
      </c>
      <c r="CF321">
        <v>11.2</v>
      </c>
      <c r="CG321">
        <v>9</v>
      </c>
      <c r="CH321">
        <v>11.5</v>
      </c>
      <c r="CI321">
        <v>9</v>
      </c>
    </row>
    <row r="322" spans="1:87" x14ac:dyDescent="0.35">
      <c r="A322" s="1">
        <v>46059.676388888889</v>
      </c>
      <c r="B322">
        <v>-18.2</v>
      </c>
      <c r="C322">
        <v>-18.600000000000001</v>
      </c>
      <c r="D322">
        <v>-25</v>
      </c>
      <c r="E322">
        <v>-18.600000000000001</v>
      </c>
      <c r="F322">
        <v>-15.2</v>
      </c>
      <c r="G322">
        <v>-25</v>
      </c>
      <c r="H322">
        <v>-19.399999999999999</v>
      </c>
      <c r="I322">
        <v>-24.4</v>
      </c>
      <c r="J322">
        <v>-25</v>
      </c>
      <c r="K322">
        <v>-20.100000000000001</v>
      </c>
      <c r="L322">
        <v>-19.2</v>
      </c>
      <c r="M322">
        <v>-25</v>
      </c>
      <c r="N322">
        <v>-16.5</v>
      </c>
      <c r="O322">
        <v>-15</v>
      </c>
      <c r="P322">
        <v>-25</v>
      </c>
      <c r="Q322">
        <v>-16.100000000000001</v>
      </c>
      <c r="R322">
        <v>-15.9</v>
      </c>
      <c r="S322">
        <v>-25</v>
      </c>
      <c r="T322">
        <v>3.5</v>
      </c>
      <c r="U322">
        <v>3.5</v>
      </c>
      <c r="V322">
        <v>2</v>
      </c>
      <c r="W322">
        <v>3.5</v>
      </c>
      <c r="X322">
        <v>3.4</v>
      </c>
      <c r="Y322">
        <v>2</v>
      </c>
      <c r="Z322">
        <v>4</v>
      </c>
      <c r="AA322">
        <v>3.9</v>
      </c>
      <c r="AB322">
        <v>2</v>
      </c>
      <c r="AC322">
        <v>2.9</v>
      </c>
      <c r="AD322">
        <v>2.9</v>
      </c>
      <c r="AE322">
        <v>2</v>
      </c>
      <c r="AF322">
        <v>2.1</v>
      </c>
      <c r="AG322">
        <v>1.7</v>
      </c>
      <c r="AH322">
        <v>2</v>
      </c>
      <c r="AI322">
        <v>2</v>
      </c>
      <c r="AJ322">
        <v>-0.3</v>
      </c>
      <c r="AK322">
        <v>2</v>
      </c>
      <c r="AL322">
        <v>4.0999999999999996</v>
      </c>
      <c r="AM322">
        <v>4</v>
      </c>
      <c r="AN322">
        <v>4.4000000000000004</v>
      </c>
      <c r="AO322">
        <v>4</v>
      </c>
      <c r="AP322">
        <v>5.6</v>
      </c>
      <c r="AQ322">
        <v>4</v>
      </c>
      <c r="AR322">
        <v>4.5999999999999996</v>
      </c>
      <c r="AS322">
        <v>4</v>
      </c>
      <c r="AT322">
        <v>-4.3</v>
      </c>
      <c r="AU322">
        <v>-5.6</v>
      </c>
      <c r="AV322">
        <v>-5</v>
      </c>
      <c r="AW322">
        <v>-2.9</v>
      </c>
      <c r="AX322">
        <v>26.4</v>
      </c>
      <c r="AY322">
        <v>-5</v>
      </c>
      <c r="AZ322">
        <v>9.5</v>
      </c>
      <c r="BA322">
        <v>10</v>
      </c>
      <c r="BB322">
        <v>10.7</v>
      </c>
      <c r="BC322">
        <v>10</v>
      </c>
      <c r="BD322">
        <v>5.9</v>
      </c>
      <c r="BE322">
        <v>4</v>
      </c>
      <c r="BF322">
        <v>10.9</v>
      </c>
      <c r="BG322">
        <v>10</v>
      </c>
      <c r="BH322">
        <v>12.4</v>
      </c>
      <c r="BI322">
        <v>10</v>
      </c>
      <c r="BJ322">
        <v>10.1</v>
      </c>
      <c r="BK322">
        <v>9</v>
      </c>
      <c r="BL322">
        <v>20.5</v>
      </c>
      <c r="BM322">
        <v>19</v>
      </c>
      <c r="BN322">
        <v>21.9</v>
      </c>
      <c r="BO322">
        <v>19</v>
      </c>
      <c r="BP322">
        <v>20</v>
      </c>
      <c r="BQ322">
        <v>20</v>
      </c>
      <c r="BR322">
        <v>21.7</v>
      </c>
      <c r="BS322">
        <v>25</v>
      </c>
      <c r="BT322">
        <v>21.9</v>
      </c>
      <c r="BU322">
        <v>25</v>
      </c>
      <c r="BV322">
        <v>23.6</v>
      </c>
      <c r="BW322">
        <v>18</v>
      </c>
      <c r="BX322">
        <v>21.3</v>
      </c>
      <c r="BY322">
        <v>20</v>
      </c>
      <c r="BZ322">
        <v>21.7</v>
      </c>
      <c r="CA322">
        <v>20</v>
      </c>
      <c r="CB322">
        <v>11.5</v>
      </c>
      <c r="CC322">
        <v>10</v>
      </c>
      <c r="CD322">
        <v>10.199999999999999</v>
      </c>
      <c r="CE322">
        <v>10</v>
      </c>
      <c r="CF322">
        <v>11.2</v>
      </c>
      <c r="CG322">
        <v>9</v>
      </c>
      <c r="CH322">
        <v>11.4</v>
      </c>
      <c r="CI322">
        <v>9</v>
      </c>
    </row>
    <row r="323" spans="1:87" x14ac:dyDescent="0.35">
      <c r="A323" s="1">
        <v>46059.677083333336</v>
      </c>
      <c r="B323">
        <v>-18.3</v>
      </c>
      <c r="C323">
        <v>-18.600000000000001</v>
      </c>
      <c r="D323">
        <v>-25</v>
      </c>
      <c r="E323">
        <v>-18.7</v>
      </c>
      <c r="F323">
        <v>-15.6</v>
      </c>
      <c r="G323">
        <v>-25</v>
      </c>
      <c r="H323">
        <v>-19.399999999999999</v>
      </c>
      <c r="I323">
        <v>-24.4</v>
      </c>
      <c r="J323">
        <v>-25</v>
      </c>
      <c r="K323">
        <v>-20.100000000000001</v>
      </c>
      <c r="L323">
        <v>-19.2</v>
      </c>
      <c r="M323">
        <v>-25</v>
      </c>
      <c r="N323">
        <v>-16.7</v>
      </c>
      <c r="O323">
        <v>-15.1</v>
      </c>
      <c r="P323">
        <v>-25</v>
      </c>
      <c r="Q323">
        <v>-16.3</v>
      </c>
      <c r="R323">
        <v>-16.100000000000001</v>
      </c>
      <c r="S323">
        <v>-25</v>
      </c>
      <c r="T323">
        <v>3.6</v>
      </c>
      <c r="U323">
        <v>3.6</v>
      </c>
      <c r="V323">
        <v>2</v>
      </c>
      <c r="W323">
        <v>3.6</v>
      </c>
      <c r="X323">
        <v>3.4</v>
      </c>
      <c r="Y323">
        <v>2</v>
      </c>
      <c r="Z323">
        <v>4.0999999999999996</v>
      </c>
      <c r="AA323">
        <v>3.9</v>
      </c>
      <c r="AB323">
        <v>2</v>
      </c>
      <c r="AC323">
        <v>2.9</v>
      </c>
      <c r="AD323">
        <v>3</v>
      </c>
      <c r="AE323">
        <v>2</v>
      </c>
      <c r="AF323">
        <v>2</v>
      </c>
      <c r="AG323">
        <v>1.6</v>
      </c>
      <c r="AH323">
        <v>2</v>
      </c>
      <c r="AI323">
        <v>1.9</v>
      </c>
      <c r="AJ323">
        <v>0.8</v>
      </c>
      <c r="AK323">
        <v>2</v>
      </c>
      <c r="AL323">
        <v>4.2</v>
      </c>
      <c r="AM323">
        <v>4</v>
      </c>
      <c r="AN323">
        <v>4.4000000000000004</v>
      </c>
      <c r="AO323">
        <v>4</v>
      </c>
      <c r="AP323">
        <v>5.8</v>
      </c>
      <c r="AQ323">
        <v>4</v>
      </c>
      <c r="AR323">
        <v>4.0999999999999996</v>
      </c>
      <c r="AS323">
        <v>4</v>
      </c>
      <c r="AT323">
        <v>-4.3</v>
      </c>
      <c r="AU323">
        <v>-5.3</v>
      </c>
      <c r="AV323">
        <v>-5</v>
      </c>
      <c r="AW323">
        <v>-2.9</v>
      </c>
      <c r="AX323">
        <v>26.5</v>
      </c>
      <c r="AY323">
        <v>-5</v>
      </c>
      <c r="AZ323">
        <v>9.1999999999999993</v>
      </c>
      <c r="BA323">
        <v>10</v>
      </c>
      <c r="BB323">
        <v>10.6</v>
      </c>
      <c r="BC323">
        <v>10</v>
      </c>
      <c r="BD323">
        <v>5.7</v>
      </c>
      <c r="BE323">
        <v>4</v>
      </c>
      <c r="BF323">
        <v>10.199999999999999</v>
      </c>
      <c r="BG323">
        <v>10</v>
      </c>
      <c r="BH323">
        <v>12.4</v>
      </c>
      <c r="BI323">
        <v>10</v>
      </c>
      <c r="BJ323">
        <v>10.199999999999999</v>
      </c>
      <c r="BK323">
        <v>9</v>
      </c>
      <c r="BL323">
        <v>20.5</v>
      </c>
      <c r="BM323">
        <v>19</v>
      </c>
      <c r="BN323">
        <v>21.9</v>
      </c>
      <c r="BO323">
        <v>19</v>
      </c>
      <c r="BP323">
        <v>20.100000000000001</v>
      </c>
      <c r="BQ323">
        <v>20</v>
      </c>
      <c r="BR323">
        <v>21.6</v>
      </c>
      <c r="BS323">
        <v>25</v>
      </c>
      <c r="BT323">
        <v>21.9</v>
      </c>
      <c r="BU323">
        <v>25</v>
      </c>
      <c r="BV323">
        <v>23.6</v>
      </c>
      <c r="BW323">
        <v>18</v>
      </c>
      <c r="BX323">
        <v>21.3</v>
      </c>
      <c r="BY323">
        <v>20</v>
      </c>
      <c r="BZ323">
        <v>21.7</v>
      </c>
      <c r="CA323">
        <v>20</v>
      </c>
      <c r="CB323">
        <v>11.3</v>
      </c>
      <c r="CC323">
        <v>10</v>
      </c>
      <c r="CD323">
        <v>10.199999999999999</v>
      </c>
      <c r="CE323">
        <v>10</v>
      </c>
      <c r="CF323">
        <v>11.4</v>
      </c>
      <c r="CG323">
        <v>9</v>
      </c>
      <c r="CH323">
        <v>11.6</v>
      </c>
      <c r="CI323">
        <v>9</v>
      </c>
    </row>
    <row r="324" spans="1:87" x14ac:dyDescent="0.35">
      <c r="A324" s="1">
        <v>46059.677777777775</v>
      </c>
      <c r="B324">
        <v>-18.3</v>
      </c>
      <c r="C324">
        <v>-18.7</v>
      </c>
      <c r="D324">
        <v>-25</v>
      </c>
      <c r="E324">
        <v>-18.899999999999999</v>
      </c>
      <c r="F324">
        <v>-16</v>
      </c>
      <c r="G324">
        <v>-25</v>
      </c>
      <c r="H324">
        <v>-19.5</v>
      </c>
      <c r="I324">
        <v>-24.2</v>
      </c>
      <c r="J324">
        <v>-25</v>
      </c>
      <c r="K324">
        <v>-20.2</v>
      </c>
      <c r="L324">
        <v>-19.3</v>
      </c>
      <c r="M324">
        <v>-25</v>
      </c>
      <c r="N324">
        <v>-16.8</v>
      </c>
      <c r="O324">
        <v>-15.2</v>
      </c>
      <c r="P324">
        <v>-25</v>
      </c>
      <c r="Q324">
        <v>-16.399999999999999</v>
      </c>
      <c r="R324">
        <v>-16.2</v>
      </c>
      <c r="S324">
        <v>-25</v>
      </c>
      <c r="T324">
        <v>3.7</v>
      </c>
      <c r="U324">
        <v>3.7</v>
      </c>
      <c r="V324">
        <v>2</v>
      </c>
      <c r="W324">
        <v>3.7</v>
      </c>
      <c r="X324">
        <v>3.5</v>
      </c>
      <c r="Y324">
        <v>2</v>
      </c>
      <c r="Z324">
        <v>4.0999999999999996</v>
      </c>
      <c r="AA324">
        <v>4</v>
      </c>
      <c r="AB324">
        <v>2</v>
      </c>
      <c r="AC324">
        <v>2.9</v>
      </c>
      <c r="AD324">
        <v>3</v>
      </c>
      <c r="AE324">
        <v>2</v>
      </c>
      <c r="AF324">
        <v>2.1</v>
      </c>
      <c r="AG324">
        <v>1.9</v>
      </c>
      <c r="AH324">
        <v>2</v>
      </c>
      <c r="AI324">
        <v>2</v>
      </c>
      <c r="AJ324">
        <v>1.5</v>
      </c>
      <c r="AK324">
        <v>2</v>
      </c>
      <c r="AL324">
        <v>4.3</v>
      </c>
      <c r="AM324">
        <v>4</v>
      </c>
      <c r="AN324">
        <v>4.4000000000000004</v>
      </c>
      <c r="AO324">
        <v>4</v>
      </c>
      <c r="AP324">
        <v>5.9</v>
      </c>
      <c r="AQ324">
        <v>4</v>
      </c>
      <c r="AR324">
        <v>3.7</v>
      </c>
      <c r="AS324">
        <v>4</v>
      </c>
      <c r="AT324">
        <v>-3.9</v>
      </c>
      <c r="AU324">
        <v>-4.4000000000000004</v>
      </c>
      <c r="AV324">
        <v>-5</v>
      </c>
      <c r="AW324">
        <v>-2.9</v>
      </c>
      <c r="AX324">
        <v>24.9</v>
      </c>
      <c r="AY324">
        <v>-5</v>
      </c>
      <c r="AZ324">
        <v>9.1999999999999993</v>
      </c>
      <c r="BA324">
        <v>10</v>
      </c>
      <c r="BB324">
        <v>10.5</v>
      </c>
      <c r="BC324">
        <v>10</v>
      </c>
      <c r="BD324">
        <v>5.4</v>
      </c>
      <c r="BE324">
        <v>4</v>
      </c>
      <c r="BF324">
        <v>9.6</v>
      </c>
      <c r="BG324">
        <v>10</v>
      </c>
      <c r="BH324">
        <v>12.7</v>
      </c>
      <c r="BI324">
        <v>10</v>
      </c>
      <c r="BJ324">
        <v>10.3</v>
      </c>
      <c r="BK324">
        <v>9</v>
      </c>
      <c r="BL324">
        <v>20.5</v>
      </c>
      <c r="BM324">
        <v>19</v>
      </c>
      <c r="BN324">
        <v>22</v>
      </c>
      <c r="BO324">
        <v>19</v>
      </c>
      <c r="BP324">
        <v>20.100000000000001</v>
      </c>
      <c r="BQ324">
        <v>20</v>
      </c>
      <c r="BR324">
        <v>21.5</v>
      </c>
      <c r="BS324">
        <v>25</v>
      </c>
      <c r="BT324">
        <v>21.9</v>
      </c>
      <c r="BU324">
        <v>25</v>
      </c>
      <c r="BV324">
        <v>23.6</v>
      </c>
      <c r="BW324">
        <v>18</v>
      </c>
      <c r="BX324">
        <v>21.3</v>
      </c>
      <c r="BY324">
        <v>20</v>
      </c>
      <c r="BZ324">
        <v>21.7</v>
      </c>
      <c r="CA324">
        <v>20</v>
      </c>
      <c r="CB324">
        <v>11.1</v>
      </c>
      <c r="CC324">
        <v>10</v>
      </c>
      <c r="CD324">
        <v>10.199999999999999</v>
      </c>
      <c r="CE324">
        <v>10</v>
      </c>
      <c r="CF324">
        <v>11.5</v>
      </c>
      <c r="CG324">
        <v>9</v>
      </c>
      <c r="CH324">
        <v>11.7</v>
      </c>
      <c r="CI324">
        <v>9</v>
      </c>
    </row>
    <row r="325" spans="1:87" x14ac:dyDescent="0.35">
      <c r="A325" s="1">
        <v>46059.678472222222</v>
      </c>
      <c r="B325">
        <v>-18.5</v>
      </c>
      <c r="C325">
        <v>-20.100000000000001</v>
      </c>
      <c r="D325">
        <v>-25</v>
      </c>
      <c r="E325">
        <v>-19.100000000000001</v>
      </c>
      <c r="F325">
        <v>-16.399999999999999</v>
      </c>
      <c r="G325">
        <v>-25</v>
      </c>
      <c r="H325">
        <v>-19.5</v>
      </c>
      <c r="I325">
        <v>-24.1</v>
      </c>
      <c r="J325">
        <v>-25</v>
      </c>
      <c r="K325">
        <v>-20.2</v>
      </c>
      <c r="L325">
        <v>-19.3</v>
      </c>
      <c r="M325">
        <v>-25</v>
      </c>
      <c r="N325">
        <v>-16.899999999999999</v>
      </c>
      <c r="O325">
        <v>-15.3</v>
      </c>
      <c r="P325">
        <v>-25</v>
      </c>
      <c r="Q325">
        <v>-16.5</v>
      </c>
      <c r="R325">
        <v>-16.3</v>
      </c>
      <c r="S325">
        <v>-25</v>
      </c>
      <c r="T325">
        <v>3.7</v>
      </c>
      <c r="U325">
        <v>3.7</v>
      </c>
      <c r="V325">
        <v>2</v>
      </c>
      <c r="W325">
        <v>3.8</v>
      </c>
      <c r="X325">
        <v>3.6</v>
      </c>
      <c r="Y325">
        <v>2</v>
      </c>
      <c r="Z325">
        <v>4.2</v>
      </c>
      <c r="AA325">
        <v>4</v>
      </c>
      <c r="AB325">
        <v>2</v>
      </c>
      <c r="AC325">
        <v>2.9</v>
      </c>
      <c r="AD325">
        <v>3.1</v>
      </c>
      <c r="AE325">
        <v>2</v>
      </c>
      <c r="AF325">
        <v>2.4</v>
      </c>
      <c r="AG325">
        <v>2.2000000000000002</v>
      </c>
      <c r="AH325">
        <v>2</v>
      </c>
      <c r="AI325">
        <v>2.2000000000000002</v>
      </c>
      <c r="AJ325">
        <v>1.9</v>
      </c>
      <c r="AK325">
        <v>2</v>
      </c>
      <c r="AL325">
        <v>4.3</v>
      </c>
      <c r="AM325">
        <v>4</v>
      </c>
      <c r="AN325">
        <v>4.4000000000000004</v>
      </c>
      <c r="AO325">
        <v>4</v>
      </c>
      <c r="AP325">
        <v>6</v>
      </c>
      <c r="AQ325">
        <v>4</v>
      </c>
      <c r="AR325">
        <v>3.7</v>
      </c>
      <c r="AS325">
        <v>4</v>
      </c>
      <c r="AT325">
        <v>-3.4</v>
      </c>
      <c r="AU325">
        <v>-3.7</v>
      </c>
      <c r="AV325">
        <v>-5</v>
      </c>
      <c r="AW325">
        <v>24.9</v>
      </c>
      <c r="AX325">
        <v>20.7</v>
      </c>
      <c r="AY325">
        <v>-5</v>
      </c>
      <c r="AZ325">
        <v>9.3000000000000007</v>
      </c>
      <c r="BA325">
        <v>10</v>
      </c>
      <c r="BB325">
        <v>10.5</v>
      </c>
      <c r="BC325">
        <v>10</v>
      </c>
      <c r="BD325">
        <v>4.9000000000000004</v>
      </c>
      <c r="BE325">
        <v>4</v>
      </c>
      <c r="BF325">
        <v>9.6</v>
      </c>
      <c r="BG325">
        <v>10</v>
      </c>
      <c r="BH325">
        <v>12.7</v>
      </c>
      <c r="BI325">
        <v>10</v>
      </c>
      <c r="BJ325">
        <v>10.5</v>
      </c>
      <c r="BK325">
        <v>9</v>
      </c>
      <c r="BL325">
        <v>20.5</v>
      </c>
      <c r="BM325">
        <v>19</v>
      </c>
      <c r="BN325">
        <v>22</v>
      </c>
      <c r="BO325">
        <v>19</v>
      </c>
      <c r="BP325">
        <v>20.2</v>
      </c>
      <c r="BQ325">
        <v>20</v>
      </c>
      <c r="BR325">
        <v>21.5</v>
      </c>
      <c r="BS325">
        <v>25</v>
      </c>
      <c r="BT325">
        <v>21.9</v>
      </c>
      <c r="BU325">
        <v>25</v>
      </c>
      <c r="BV325">
        <v>23.6</v>
      </c>
      <c r="BW325">
        <v>18</v>
      </c>
      <c r="BX325">
        <v>21.3</v>
      </c>
      <c r="BY325">
        <v>20</v>
      </c>
      <c r="BZ325">
        <v>21.7</v>
      </c>
      <c r="CA325">
        <v>20</v>
      </c>
      <c r="CB325">
        <v>10.9</v>
      </c>
      <c r="CC325">
        <v>10</v>
      </c>
      <c r="CD325">
        <v>10.199999999999999</v>
      </c>
      <c r="CE325">
        <v>10</v>
      </c>
      <c r="CF325">
        <v>11.3</v>
      </c>
      <c r="CG325">
        <v>9</v>
      </c>
      <c r="CH325">
        <v>11.5</v>
      </c>
      <c r="CI325">
        <v>9</v>
      </c>
    </row>
    <row r="326" spans="1:87" x14ac:dyDescent="0.35">
      <c r="A326" s="1">
        <v>46059.679166666669</v>
      </c>
      <c r="B326">
        <v>-18.7</v>
      </c>
      <c r="C326">
        <v>-21.1</v>
      </c>
      <c r="D326">
        <v>-25</v>
      </c>
      <c r="E326">
        <v>-19.3</v>
      </c>
      <c r="F326">
        <v>-16.600000000000001</v>
      </c>
      <c r="G326">
        <v>-25</v>
      </c>
      <c r="H326">
        <v>-19.5</v>
      </c>
      <c r="I326">
        <v>-22.2</v>
      </c>
      <c r="J326">
        <v>-25</v>
      </c>
      <c r="K326">
        <v>-20.2</v>
      </c>
      <c r="L326">
        <v>-19.3</v>
      </c>
      <c r="M326">
        <v>-25</v>
      </c>
      <c r="N326">
        <v>-17</v>
      </c>
      <c r="O326">
        <v>-15.4</v>
      </c>
      <c r="P326">
        <v>-25</v>
      </c>
      <c r="Q326">
        <v>-16.600000000000001</v>
      </c>
      <c r="R326">
        <v>-16.399999999999999</v>
      </c>
      <c r="S326">
        <v>-25</v>
      </c>
      <c r="T326">
        <v>3.8</v>
      </c>
      <c r="U326">
        <v>3.8</v>
      </c>
      <c r="V326">
        <v>2</v>
      </c>
      <c r="W326">
        <v>3.8</v>
      </c>
      <c r="X326">
        <v>3.6</v>
      </c>
      <c r="Y326">
        <v>2</v>
      </c>
      <c r="Z326">
        <v>4.2</v>
      </c>
      <c r="AA326">
        <v>4</v>
      </c>
      <c r="AB326">
        <v>2</v>
      </c>
      <c r="AC326">
        <v>4.3</v>
      </c>
      <c r="AD326">
        <v>2.7</v>
      </c>
      <c r="AE326">
        <v>2</v>
      </c>
      <c r="AF326">
        <v>2.5</v>
      </c>
      <c r="AG326">
        <v>2.2999999999999998</v>
      </c>
      <c r="AH326">
        <v>2</v>
      </c>
      <c r="AI326">
        <v>2.4</v>
      </c>
      <c r="AJ326">
        <v>2.2000000000000002</v>
      </c>
      <c r="AK326">
        <v>2</v>
      </c>
      <c r="AL326">
        <v>4.4000000000000004</v>
      </c>
      <c r="AM326">
        <v>4</v>
      </c>
      <c r="AN326">
        <v>4.4000000000000004</v>
      </c>
      <c r="AO326">
        <v>4</v>
      </c>
      <c r="AP326">
        <v>5.7</v>
      </c>
      <c r="AQ326">
        <v>4</v>
      </c>
      <c r="AR326">
        <v>4</v>
      </c>
      <c r="AS326">
        <v>4</v>
      </c>
      <c r="AT326">
        <v>-3</v>
      </c>
      <c r="AU326">
        <v>-3.2</v>
      </c>
      <c r="AV326">
        <v>-5</v>
      </c>
      <c r="AW326">
        <v>18.7</v>
      </c>
      <c r="AX326">
        <v>9.6</v>
      </c>
      <c r="AY326">
        <v>-5</v>
      </c>
      <c r="AZ326">
        <v>9.5</v>
      </c>
      <c r="BA326">
        <v>10</v>
      </c>
      <c r="BB326">
        <v>10.3</v>
      </c>
      <c r="BC326">
        <v>10</v>
      </c>
      <c r="BD326">
        <v>4.5</v>
      </c>
      <c r="BE326">
        <v>4</v>
      </c>
      <c r="BF326">
        <v>9.8000000000000007</v>
      </c>
      <c r="BG326">
        <v>10</v>
      </c>
      <c r="BH326">
        <v>12.7</v>
      </c>
      <c r="BI326">
        <v>10</v>
      </c>
      <c r="BJ326">
        <v>10.6</v>
      </c>
      <c r="BK326">
        <v>9</v>
      </c>
      <c r="BL326">
        <v>20.6</v>
      </c>
      <c r="BM326">
        <v>19</v>
      </c>
      <c r="BN326">
        <v>22</v>
      </c>
      <c r="BO326">
        <v>19</v>
      </c>
      <c r="BP326">
        <v>20.3</v>
      </c>
      <c r="BQ326">
        <v>20</v>
      </c>
      <c r="BR326">
        <v>21.5</v>
      </c>
      <c r="BS326">
        <v>25</v>
      </c>
      <c r="BT326">
        <v>21.9</v>
      </c>
      <c r="BU326">
        <v>25</v>
      </c>
      <c r="BV326">
        <v>23.6</v>
      </c>
      <c r="BW326">
        <v>18</v>
      </c>
      <c r="BX326">
        <v>21.3</v>
      </c>
      <c r="BY326">
        <v>20</v>
      </c>
      <c r="BZ326">
        <v>21.7</v>
      </c>
      <c r="CA326">
        <v>20</v>
      </c>
      <c r="CB326">
        <v>10.8</v>
      </c>
      <c r="CC326">
        <v>10</v>
      </c>
      <c r="CD326">
        <v>10.199999999999999</v>
      </c>
      <c r="CE326">
        <v>10</v>
      </c>
      <c r="CF326">
        <v>11.2</v>
      </c>
      <c r="CG326">
        <v>9</v>
      </c>
      <c r="CH326">
        <v>11.4</v>
      </c>
      <c r="CI326">
        <v>9</v>
      </c>
    </row>
    <row r="327" spans="1:87" x14ac:dyDescent="0.35">
      <c r="A327" s="1">
        <v>46059.679861111108</v>
      </c>
      <c r="B327">
        <v>-18.899999999999999</v>
      </c>
      <c r="C327">
        <v>-19.8</v>
      </c>
      <c r="D327">
        <v>-25</v>
      </c>
      <c r="E327">
        <v>-19.399999999999999</v>
      </c>
      <c r="F327">
        <v>-16.899999999999999</v>
      </c>
      <c r="G327">
        <v>-25</v>
      </c>
      <c r="H327">
        <v>-19.5</v>
      </c>
      <c r="I327">
        <v>-24.2</v>
      </c>
      <c r="J327">
        <v>-25</v>
      </c>
      <c r="K327">
        <v>-20.2</v>
      </c>
      <c r="L327">
        <v>-19.3</v>
      </c>
      <c r="M327">
        <v>-25</v>
      </c>
      <c r="N327">
        <v>-17.2</v>
      </c>
      <c r="O327">
        <v>-15.5</v>
      </c>
      <c r="P327">
        <v>-25</v>
      </c>
      <c r="Q327">
        <v>-16.8</v>
      </c>
      <c r="R327">
        <v>-16.5</v>
      </c>
      <c r="S327">
        <v>-25</v>
      </c>
      <c r="T327">
        <v>3.9</v>
      </c>
      <c r="U327">
        <v>3.9</v>
      </c>
      <c r="V327">
        <v>2</v>
      </c>
      <c r="W327">
        <v>3.9</v>
      </c>
      <c r="X327">
        <v>3.7</v>
      </c>
      <c r="Y327">
        <v>2</v>
      </c>
      <c r="Z327">
        <v>4.2</v>
      </c>
      <c r="AA327">
        <v>4.0999999999999996</v>
      </c>
      <c r="AB327">
        <v>2</v>
      </c>
      <c r="AC327">
        <v>4.3</v>
      </c>
      <c r="AD327">
        <v>-0.6</v>
      </c>
      <c r="AE327">
        <v>2</v>
      </c>
      <c r="AF327">
        <v>2.7</v>
      </c>
      <c r="AG327">
        <v>2.6</v>
      </c>
      <c r="AH327">
        <v>2</v>
      </c>
      <c r="AI327">
        <v>2.6</v>
      </c>
      <c r="AJ327">
        <v>2.4</v>
      </c>
      <c r="AK327">
        <v>2</v>
      </c>
      <c r="AL327">
        <v>4.4000000000000004</v>
      </c>
      <c r="AM327">
        <v>4</v>
      </c>
      <c r="AN327">
        <v>4.4000000000000004</v>
      </c>
      <c r="AO327">
        <v>4</v>
      </c>
      <c r="AP327">
        <v>4.7</v>
      </c>
      <c r="AQ327">
        <v>4</v>
      </c>
      <c r="AR327">
        <v>4.4000000000000004</v>
      </c>
      <c r="AS327">
        <v>4</v>
      </c>
      <c r="AT327">
        <v>-2.7</v>
      </c>
      <c r="AU327">
        <v>-3.1</v>
      </c>
      <c r="AV327">
        <v>-5</v>
      </c>
      <c r="AW327">
        <v>8.6</v>
      </c>
      <c r="AX327">
        <v>2.5</v>
      </c>
      <c r="AY327">
        <v>-5</v>
      </c>
      <c r="AZ327">
        <v>9.6999999999999993</v>
      </c>
      <c r="BA327">
        <v>10</v>
      </c>
      <c r="BB327">
        <v>10.199999999999999</v>
      </c>
      <c r="BC327">
        <v>10</v>
      </c>
      <c r="BD327">
        <v>4.0999999999999996</v>
      </c>
      <c r="BE327">
        <v>4</v>
      </c>
      <c r="BF327">
        <v>10.4</v>
      </c>
      <c r="BG327">
        <v>10</v>
      </c>
      <c r="BH327">
        <v>12.8</v>
      </c>
      <c r="BI327">
        <v>10</v>
      </c>
      <c r="BJ327">
        <v>10.7</v>
      </c>
      <c r="BK327">
        <v>9</v>
      </c>
      <c r="BL327">
        <v>20.6</v>
      </c>
      <c r="BM327">
        <v>19</v>
      </c>
      <c r="BN327">
        <v>22.1</v>
      </c>
      <c r="BO327">
        <v>19</v>
      </c>
      <c r="BP327">
        <v>20.399999999999999</v>
      </c>
      <c r="BQ327">
        <v>20</v>
      </c>
      <c r="BR327">
        <v>21.5</v>
      </c>
      <c r="BS327">
        <v>25</v>
      </c>
      <c r="BT327">
        <v>21.9</v>
      </c>
      <c r="BU327">
        <v>25</v>
      </c>
      <c r="BV327">
        <v>23.6</v>
      </c>
      <c r="BW327">
        <v>18</v>
      </c>
      <c r="BX327">
        <v>21.4</v>
      </c>
      <c r="BY327">
        <v>20</v>
      </c>
      <c r="BZ327">
        <v>21.8</v>
      </c>
      <c r="CA327">
        <v>20</v>
      </c>
      <c r="CB327">
        <v>10.7</v>
      </c>
      <c r="CC327">
        <v>10</v>
      </c>
      <c r="CD327">
        <v>10.199999999999999</v>
      </c>
      <c r="CE327">
        <v>10</v>
      </c>
      <c r="CF327">
        <v>11.2</v>
      </c>
      <c r="CG327">
        <v>9</v>
      </c>
      <c r="CH327">
        <v>11.4</v>
      </c>
      <c r="CI327">
        <v>9</v>
      </c>
    </row>
    <row r="328" spans="1:87" x14ac:dyDescent="0.35">
      <c r="A328" s="1">
        <v>46059.680555555555</v>
      </c>
      <c r="B328">
        <v>-18.899999999999999</v>
      </c>
      <c r="C328">
        <v>-19.3</v>
      </c>
      <c r="D328">
        <v>-25</v>
      </c>
      <c r="E328">
        <v>-19.2</v>
      </c>
      <c r="F328">
        <v>-17.2</v>
      </c>
      <c r="G328">
        <v>-25</v>
      </c>
      <c r="H328">
        <v>-19.5</v>
      </c>
      <c r="I328">
        <v>-24.9</v>
      </c>
      <c r="J328">
        <v>-25</v>
      </c>
      <c r="K328">
        <v>-20.2</v>
      </c>
      <c r="L328">
        <v>-19.3</v>
      </c>
      <c r="M328">
        <v>-25</v>
      </c>
      <c r="N328">
        <v>-17.3</v>
      </c>
      <c r="O328">
        <v>-15.6</v>
      </c>
      <c r="P328">
        <v>-25</v>
      </c>
      <c r="Q328">
        <v>-16.899999999999999</v>
      </c>
      <c r="R328">
        <v>-16.7</v>
      </c>
      <c r="S328">
        <v>-25</v>
      </c>
      <c r="T328">
        <v>3.9</v>
      </c>
      <c r="U328">
        <v>3.9</v>
      </c>
      <c r="V328">
        <v>2</v>
      </c>
      <c r="W328">
        <v>3.9</v>
      </c>
      <c r="X328">
        <v>3.8</v>
      </c>
      <c r="Y328">
        <v>2</v>
      </c>
      <c r="Z328">
        <v>4.3</v>
      </c>
      <c r="AA328">
        <v>4.0999999999999996</v>
      </c>
      <c r="AB328">
        <v>2</v>
      </c>
      <c r="AC328">
        <v>4.3</v>
      </c>
      <c r="AD328">
        <v>1.9</v>
      </c>
      <c r="AE328">
        <v>2</v>
      </c>
      <c r="AF328">
        <v>2.9</v>
      </c>
      <c r="AG328">
        <v>2.7</v>
      </c>
      <c r="AH328">
        <v>2</v>
      </c>
      <c r="AI328">
        <v>2.8</v>
      </c>
      <c r="AJ328">
        <v>2.6</v>
      </c>
      <c r="AK328">
        <v>2</v>
      </c>
      <c r="AL328">
        <v>4.5</v>
      </c>
      <c r="AM328">
        <v>4</v>
      </c>
      <c r="AN328">
        <v>4.4000000000000004</v>
      </c>
      <c r="AO328">
        <v>4</v>
      </c>
      <c r="AP328">
        <v>3.8</v>
      </c>
      <c r="AQ328">
        <v>4</v>
      </c>
      <c r="AR328">
        <v>4.7</v>
      </c>
      <c r="AS328">
        <v>4</v>
      </c>
      <c r="AT328">
        <v>-2.8</v>
      </c>
      <c r="AU328">
        <v>-4</v>
      </c>
      <c r="AV328">
        <v>-5</v>
      </c>
      <c r="AW328">
        <v>3.8</v>
      </c>
      <c r="AX328">
        <v>1.7</v>
      </c>
      <c r="AY328">
        <v>-5</v>
      </c>
      <c r="AZ328">
        <v>9.9</v>
      </c>
      <c r="BA328">
        <v>10</v>
      </c>
      <c r="BB328">
        <v>10</v>
      </c>
      <c r="BC328">
        <v>10</v>
      </c>
      <c r="BD328">
        <v>3.9</v>
      </c>
      <c r="BE328">
        <v>4</v>
      </c>
      <c r="BF328">
        <v>10.6</v>
      </c>
      <c r="BG328">
        <v>10</v>
      </c>
      <c r="BH328">
        <v>13.1</v>
      </c>
      <c r="BI328">
        <v>10</v>
      </c>
      <c r="BJ328">
        <v>10.8</v>
      </c>
      <c r="BK328">
        <v>9</v>
      </c>
      <c r="BL328">
        <v>20.6</v>
      </c>
      <c r="BM328">
        <v>19</v>
      </c>
      <c r="BN328">
        <v>22.1</v>
      </c>
      <c r="BO328">
        <v>19</v>
      </c>
      <c r="BP328">
        <v>20.399999999999999</v>
      </c>
      <c r="BQ328">
        <v>20</v>
      </c>
      <c r="BR328">
        <v>21.5</v>
      </c>
      <c r="BS328">
        <v>25</v>
      </c>
      <c r="BT328">
        <v>21.9</v>
      </c>
      <c r="BU328">
        <v>25</v>
      </c>
      <c r="BV328">
        <v>23.6</v>
      </c>
      <c r="BW328">
        <v>18</v>
      </c>
      <c r="BX328">
        <v>21.4</v>
      </c>
      <c r="BY328">
        <v>20</v>
      </c>
      <c r="BZ328">
        <v>21.8</v>
      </c>
      <c r="CA328">
        <v>20</v>
      </c>
      <c r="CB328">
        <v>10.6</v>
      </c>
      <c r="CC328">
        <v>10</v>
      </c>
      <c r="CD328">
        <v>10.199999999999999</v>
      </c>
      <c r="CE328">
        <v>10</v>
      </c>
      <c r="CF328">
        <v>11.3</v>
      </c>
      <c r="CG328">
        <v>9</v>
      </c>
      <c r="CH328">
        <v>11.5</v>
      </c>
      <c r="CI328">
        <v>9</v>
      </c>
    </row>
    <row r="329" spans="1:87" x14ac:dyDescent="0.35">
      <c r="A329" s="1">
        <v>46059.681250000001</v>
      </c>
      <c r="B329">
        <v>-18.8</v>
      </c>
      <c r="C329">
        <v>-19</v>
      </c>
      <c r="D329">
        <v>-25</v>
      </c>
      <c r="E329">
        <v>-19</v>
      </c>
      <c r="F329">
        <v>-17.3</v>
      </c>
      <c r="G329">
        <v>-25</v>
      </c>
      <c r="H329">
        <v>-19.600000000000001</v>
      </c>
      <c r="I329">
        <v>-25.3</v>
      </c>
      <c r="J329">
        <v>-25</v>
      </c>
      <c r="K329">
        <v>-20.5</v>
      </c>
      <c r="L329">
        <v>-19.399999999999999</v>
      </c>
      <c r="M329">
        <v>-25</v>
      </c>
      <c r="N329">
        <v>-17.399999999999999</v>
      </c>
      <c r="O329">
        <v>-15.8</v>
      </c>
      <c r="P329">
        <v>-25</v>
      </c>
      <c r="Q329">
        <v>-17</v>
      </c>
      <c r="R329">
        <v>-16.7</v>
      </c>
      <c r="S329">
        <v>-25</v>
      </c>
      <c r="T329">
        <v>4</v>
      </c>
      <c r="U329">
        <v>4</v>
      </c>
      <c r="V329">
        <v>2</v>
      </c>
      <c r="W329">
        <v>4</v>
      </c>
      <c r="X329">
        <v>3.8</v>
      </c>
      <c r="Y329">
        <v>2</v>
      </c>
      <c r="Z329">
        <v>4.3</v>
      </c>
      <c r="AA329">
        <v>3.8</v>
      </c>
      <c r="AB329">
        <v>2</v>
      </c>
      <c r="AC329">
        <v>4.0999999999999996</v>
      </c>
      <c r="AD329">
        <v>2.7</v>
      </c>
      <c r="AE329">
        <v>2</v>
      </c>
      <c r="AF329">
        <v>3.1</v>
      </c>
      <c r="AG329">
        <v>2.9</v>
      </c>
      <c r="AH329">
        <v>2</v>
      </c>
      <c r="AI329">
        <v>3</v>
      </c>
      <c r="AJ329">
        <v>2.9</v>
      </c>
      <c r="AK329">
        <v>2</v>
      </c>
      <c r="AL329">
        <v>4.5999999999999996</v>
      </c>
      <c r="AM329">
        <v>4</v>
      </c>
      <c r="AN329">
        <v>4.4000000000000004</v>
      </c>
      <c r="AO329">
        <v>4</v>
      </c>
      <c r="AP329">
        <v>3.1</v>
      </c>
      <c r="AQ329">
        <v>4</v>
      </c>
      <c r="AR329">
        <v>5</v>
      </c>
      <c r="AS329">
        <v>4</v>
      </c>
      <c r="AT329">
        <v>-3.1</v>
      </c>
      <c r="AU329">
        <v>-4.9000000000000004</v>
      </c>
      <c r="AV329">
        <v>-5</v>
      </c>
      <c r="AW329">
        <v>1.7</v>
      </c>
      <c r="AX329">
        <v>-0.7</v>
      </c>
      <c r="AY329">
        <v>-5</v>
      </c>
      <c r="AZ329">
        <v>10</v>
      </c>
      <c r="BA329">
        <v>10</v>
      </c>
      <c r="BB329">
        <v>10</v>
      </c>
      <c r="BC329">
        <v>10</v>
      </c>
      <c r="BD329">
        <v>3.9</v>
      </c>
      <c r="BE329">
        <v>4</v>
      </c>
      <c r="BF329">
        <v>10.9</v>
      </c>
      <c r="BG329">
        <v>10</v>
      </c>
      <c r="BH329">
        <v>13.3</v>
      </c>
      <c r="BI329">
        <v>10</v>
      </c>
      <c r="BJ329">
        <v>10.8</v>
      </c>
      <c r="BK329">
        <v>9</v>
      </c>
      <c r="BL329">
        <v>20.6</v>
      </c>
      <c r="BM329">
        <v>19</v>
      </c>
      <c r="BN329">
        <v>22.2</v>
      </c>
      <c r="BO329">
        <v>19</v>
      </c>
      <c r="BP329">
        <v>20.5</v>
      </c>
      <c r="BQ329">
        <v>20</v>
      </c>
      <c r="BR329">
        <v>21.5</v>
      </c>
      <c r="BS329">
        <v>25</v>
      </c>
      <c r="BT329">
        <v>21.9</v>
      </c>
      <c r="BU329">
        <v>25</v>
      </c>
      <c r="BV329">
        <v>23.6</v>
      </c>
      <c r="BW329">
        <v>18</v>
      </c>
      <c r="BX329">
        <v>21.4</v>
      </c>
      <c r="BY329">
        <v>20</v>
      </c>
      <c r="BZ329">
        <v>21.8</v>
      </c>
      <c r="CA329">
        <v>20</v>
      </c>
      <c r="CB329">
        <v>10.5</v>
      </c>
      <c r="CC329">
        <v>10</v>
      </c>
      <c r="CD329">
        <v>10.199999999999999</v>
      </c>
      <c r="CE329">
        <v>10</v>
      </c>
      <c r="CF329">
        <v>11.3</v>
      </c>
      <c r="CG329">
        <v>9</v>
      </c>
      <c r="CH329">
        <v>11.5</v>
      </c>
      <c r="CI329">
        <v>9</v>
      </c>
    </row>
    <row r="330" spans="1:87" x14ac:dyDescent="0.35">
      <c r="A330" s="1">
        <v>46059.681944444441</v>
      </c>
      <c r="B330">
        <v>-18.7</v>
      </c>
      <c r="C330">
        <v>-18.8</v>
      </c>
      <c r="D330">
        <v>-25</v>
      </c>
      <c r="E330">
        <v>-18.8</v>
      </c>
      <c r="F330">
        <v>-17.399999999999999</v>
      </c>
      <c r="G330">
        <v>-25</v>
      </c>
      <c r="H330">
        <v>-19.7</v>
      </c>
      <c r="I330">
        <v>-25.3</v>
      </c>
      <c r="J330">
        <v>-25</v>
      </c>
      <c r="K330">
        <v>-20.6</v>
      </c>
      <c r="L330">
        <v>-19.5</v>
      </c>
      <c r="M330">
        <v>-25</v>
      </c>
      <c r="N330">
        <v>-17.5</v>
      </c>
      <c r="O330">
        <v>-15.9</v>
      </c>
      <c r="P330">
        <v>-25</v>
      </c>
      <c r="Q330">
        <v>-17</v>
      </c>
      <c r="R330">
        <v>-16.8</v>
      </c>
      <c r="S330">
        <v>-25</v>
      </c>
      <c r="T330">
        <v>3.7</v>
      </c>
      <c r="U330">
        <v>3.2</v>
      </c>
      <c r="V330">
        <v>2</v>
      </c>
      <c r="W330">
        <v>3.8</v>
      </c>
      <c r="X330">
        <v>2.9</v>
      </c>
      <c r="Y330">
        <v>2</v>
      </c>
      <c r="Z330">
        <v>4.2</v>
      </c>
      <c r="AA330">
        <v>3.6</v>
      </c>
      <c r="AB330">
        <v>2</v>
      </c>
      <c r="AC330">
        <v>3.8</v>
      </c>
      <c r="AD330">
        <v>2.9</v>
      </c>
      <c r="AE330">
        <v>2</v>
      </c>
      <c r="AF330">
        <v>3.3</v>
      </c>
      <c r="AG330">
        <v>3.1</v>
      </c>
      <c r="AH330">
        <v>2</v>
      </c>
      <c r="AI330">
        <v>3.2</v>
      </c>
      <c r="AJ330">
        <v>3</v>
      </c>
      <c r="AK330">
        <v>2</v>
      </c>
      <c r="AL330">
        <v>4.5999999999999996</v>
      </c>
      <c r="AM330">
        <v>4</v>
      </c>
      <c r="AN330">
        <v>4.4000000000000004</v>
      </c>
      <c r="AO330">
        <v>4</v>
      </c>
      <c r="AP330">
        <v>3</v>
      </c>
      <c r="AQ330">
        <v>4</v>
      </c>
      <c r="AR330">
        <v>5.3</v>
      </c>
      <c r="AS330">
        <v>4</v>
      </c>
      <c r="AT330">
        <v>-3.5</v>
      </c>
      <c r="AU330">
        <v>-5.4</v>
      </c>
      <c r="AV330">
        <v>-5</v>
      </c>
      <c r="AW330">
        <v>0.5</v>
      </c>
      <c r="AX330">
        <v>-1.1000000000000001</v>
      </c>
      <c r="AY330">
        <v>-5</v>
      </c>
      <c r="AZ330">
        <v>10.199999999999999</v>
      </c>
      <c r="BA330">
        <v>10</v>
      </c>
      <c r="BB330">
        <v>10.199999999999999</v>
      </c>
      <c r="BC330">
        <v>10</v>
      </c>
      <c r="BD330">
        <v>4</v>
      </c>
      <c r="BE330">
        <v>4</v>
      </c>
      <c r="BF330">
        <v>11.4</v>
      </c>
      <c r="BG330">
        <v>10</v>
      </c>
      <c r="BH330">
        <v>13.5</v>
      </c>
      <c r="BI330">
        <v>10</v>
      </c>
      <c r="BJ330">
        <v>11.1</v>
      </c>
      <c r="BK330">
        <v>9</v>
      </c>
      <c r="BL330">
        <v>20.6</v>
      </c>
      <c r="BM330">
        <v>19</v>
      </c>
      <c r="BN330">
        <v>22.2</v>
      </c>
      <c r="BO330">
        <v>19</v>
      </c>
      <c r="BP330">
        <v>20.5</v>
      </c>
      <c r="BQ330">
        <v>20</v>
      </c>
      <c r="BR330">
        <v>21.5</v>
      </c>
      <c r="BS330">
        <v>25</v>
      </c>
      <c r="BT330">
        <v>21.9</v>
      </c>
      <c r="BU330">
        <v>25</v>
      </c>
      <c r="BV330">
        <v>23.6</v>
      </c>
      <c r="BW330">
        <v>18</v>
      </c>
      <c r="BX330">
        <v>21.4</v>
      </c>
      <c r="BY330">
        <v>20</v>
      </c>
      <c r="BZ330">
        <v>21.8</v>
      </c>
      <c r="CA330">
        <v>20</v>
      </c>
      <c r="CB330">
        <v>10.4</v>
      </c>
      <c r="CC330">
        <v>10</v>
      </c>
      <c r="CD330">
        <v>10.199999999999999</v>
      </c>
      <c r="CE330">
        <v>10</v>
      </c>
      <c r="CF330">
        <v>11.4</v>
      </c>
      <c r="CG330">
        <v>9</v>
      </c>
      <c r="CH330">
        <v>11.6</v>
      </c>
      <c r="CI330">
        <v>9</v>
      </c>
    </row>
    <row r="331" spans="1:87" x14ac:dyDescent="0.35">
      <c r="A331" s="1">
        <v>46059.682638888888</v>
      </c>
      <c r="B331">
        <v>-18.5</v>
      </c>
      <c r="C331">
        <v>-18.7</v>
      </c>
      <c r="D331">
        <v>-25</v>
      </c>
      <c r="E331">
        <v>-18.7</v>
      </c>
      <c r="F331">
        <v>-17.5</v>
      </c>
      <c r="G331">
        <v>-25</v>
      </c>
      <c r="H331">
        <v>-19.8</v>
      </c>
      <c r="I331">
        <v>-25.4</v>
      </c>
      <c r="J331">
        <v>-25</v>
      </c>
      <c r="K331">
        <v>-20.7</v>
      </c>
      <c r="L331">
        <v>-19.600000000000001</v>
      </c>
      <c r="M331">
        <v>-25</v>
      </c>
      <c r="N331">
        <v>-17.600000000000001</v>
      </c>
      <c r="O331">
        <v>-16</v>
      </c>
      <c r="P331">
        <v>-25</v>
      </c>
      <c r="Q331">
        <v>-17.2</v>
      </c>
      <c r="R331">
        <v>-17</v>
      </c>
      <c r="S331">
        <v>-25</v>
      </c>
      <c r="T331">
        <v>3.3</v>
      </c>
      <c r="U331">
        <v>1.3</v>
      </c>
      <c r="V331">
        <v>2</v>
      </c>
      <c r="W331">
        <v>3.4</v>
      </c>
      <c r="X331">
        <v>1.4</v>
      </c>
      <c r="Y331">
        <v>2</v>
      </c>
      <c r="Z331">
        <v>4</v>
      </c>
      <c r="AA331">
        <v>3.5</v>
      </c>
      <c r="AB331">
        <v>2</v>
      </c>
      <c r="AC331">
        <v>3.7</v>
      </c>
      <c r="AD331">
        <v>2.8</v>
      </c>
      <c r="AE331">
        <v>2</v>
      </c>
      <c r="AF331">
        <v>3.4</v>
      </c>
      <c r="AG331">
        <v>3.3</v>
      </c>
      <c r="AH331">
        <v>2</v>
      </c>
      <c r="AI331">
        <v>3.3</v>
      </c>
      <c r="AJ331">
        <v>3.3</v>
      </c>
      <c r="AK331">
        <v>2</v>
      </c>
      <c r="AL331">
        <v>4.7</v>
      </c>
      <c r="AM331">
        <v>4</v>
      </c>
      <c r="AN331">
        <v>4.4000000000000004</v>
      </c>
      <c r="AO331">
        <v>4</v>
      </c>
      <c r="AP331">
        <v>3</v>
      </c>
      <c r="AQ331">
        <v>4</v>
      </c>
      <c r="AR331">
        <v>5.5</v>
      </c>
      <c r="AS331">
        <v>4</v>
      </c>
      <c r="AT331">
        <v>-3.7</v>
      </c>
      <c r="AU331">
        <v>-5.7</v>
      </c>
      <c r="AV331">
        <v>-5</v>
      </c>
      <c r="AW331">
        <v>-0.5</v>
      </c>
      <c r="AX331">
        <v>-2.6</v>
      </c>
      <c r="AY331">
        <v>-5</v>
      </c>
      <c r="AZ331">
        <v>10.3</v>
      </c>
      <c r="BA331">
        <v>10</v>
      </c>
      <c r="BB331">
        <v>10.5</v>
      </c>
      <c r="BC331">
        <v>10</v>
      </c>
      <c r="BD331">
        <v>4.3</v>
      </c>
      <c r="BE331">
        <v>4</v>
      </c>
      <c r="BF331">
        <v>11.6</v>
      </c>
      <c r="BG331">
        <v>10</v>
      </c>
      <c r="BH331">
        <v>13.5</v>
      </c>
      <c r="BI331">
        <v>10</v>
      </c>
      <c r="BJ331">
        <v>11.1</v>
      </c>
      <c r="BK331">
        <v>9</v>
      </c>
      <c r="BL331">
        <v>20.7</v>
      </c>
      <c r="BM331">
        <v>19</v>
      </c>
      <c r="BN331">
        <v>22.2</v>
      </c>
      <c r="BO331">
        <v>19</v>
      </c>
      <c r="BP331">
        <v>20.6</v>
      </c>
      <c r="BQ331">
        <v>20</v>
      </c>
      <c r="BR331">
        <v>21.6</v>
      </c>
      <c r="BS331">
        <v>25</v>
      </c>
      <c r="BT331">
        <v>21.9</v>
      </c>
      <c r="BU331">
        <v>25</v>
      </c>
      <c r="BV331">
        <v>23.6</v>
      </c>
      <c r="BW331">
        <v>18</v>
      </c>
      <c r="BX331">
        <v>21.4</v>
      </c>
      <c r="BY331">
        <v>20</v>
      </c>
      <c r="BZ331">
        <v>21.9</v>
      </c>
      <c r="CA331">
        <v>20</v>
      </c>
      <c r="CB331">
        <v>10.3</v>
      </c>
      <c r="CC331">
        <v>10</v>
      </c>
      <c r="CD331">
        <v>10.199999999999999</v>
      </c>
      <c r="CE331">
        <v>10</v>
      </c>
      <c r="CF331">
        <v>11.4</v>
      </c>
      <c r="CG331">
        <v>9</v>
      </c>
      <c r="CH331">
        <v>11.6</v>
      </c>
      <c r="CI331">
        <v>9</v>
      </c>
    </row>
    <row r="332" spans="1:87" x14ac:dyDescent="0.35">
      <c r="A332" s="1">
        <v>46059.683333333334</v>
      </c>
      <c r="B332">
        <v>-18.399999999999999</v>
      </c>
      <c r="C332">
        <v>-18.5</v>
      </c>
      <c r="D332">
        <v>-25</v>
      </c>
      <c r="E332">
        <v>-18.5</v>
      </c>
      <c r="F332">
        <v>-17.5</v>
      </c>
      <c r="G332">
        <v>-25</v>
      </c>
      <c r="H332">
        <v>-19.8</v>
      </c>
      <c r="I332">
        <v>-25.4</v>
      </c>
      <c r="J332">
        <v>-25</v>
      </c>
      <c r="K332">
        <v>-20.8</v>
      </c>
      <c r="L332">
        <v>-19.600000000000001</v>
      </c>
      <c r="M332">
        <v>-25</v>
      </c>
      <c r="N332">
        <v>-17.8</v>
      </c>
      <c r="O332">
        <v>-16.100000000000001</v>
      </c>
      <c r="P332">
        <v>-25</v>
      </c>
      <c r="Q332">
        <v>-17.3</v>
      </c>
      <c r="R332">
        <v>-17</v>
      </c>
      <c r="S332">
        <v>-25</v>
      </c>
      <c r="T332">
        <v>2.9</v>
      </c>
      <c r="U332">
        <v>-0.1</v>
      </c>
      <c r="V332">
        <v>2</v>
      </c>
      <c r="W332">
        <v>2.9</v>
      </c>
      <c r="X332">
        <v>0.5</v>
      </c>
      <c r="Y332">
        <v>2</v>
      </c>
      <c r="Z332">
        <v>3.8</v>
      </c>
      <c r="AA332">
        <v>3.3</v>
      </c>
      <c r="AB332">
        <v>2</v>
      </c>
      <c r="AC332">
        <v>3.5</v>
      </c>
      <c r="AD332">
        <v>1.8</v>
      </c>
      <c r="AE332">
        <v>2</v>
      </c>
      <c r="AF332">
        <v>3.6</v>
      </c>
      <c r="AG332">
        <v>3.5</v>
      </c>
      <c r="AH332">
        <v>2</v>
      </c>
      <c r="AI332">
        <v>3.5</v>
      </c>
      <c r="AJ332">
        <v>3.5</v>
      </c>
      <c r="AK332">
        <v>2</v>
      </c>
      <c r="AL332">
        <v>4.7</v>
      </c>
      <c r="AM332">
        <v>4</v>
      </c>
      <c r="AN332">
        <v>4.4000000000000004</v>
      </c>
      <c r="AO332">
        <v>4</v>
      </c>
      <c r="AP332">
        <v>3.4</v>
      </c>
      <c r="AQ332">
        <v>4</v>
      </c>
      <c r="AR332">
        <v>5.8</v>
      </c>
      <c r="AS332">
        <v>4</v>
      </c>
      <c r="AT332">
        <v>-4</v>
      </c>
      <c r="AU332">
        <v>-6.2</v>
      </c>
      <c r="AV332">
        <v>-5</v>
      </c>
      <c r="AW332">
        <v>-1</v>
      </c>
      <c r="AX332">
        <v>-2.2000000000000002</v>
      </c>
      <c r="AY332">
        <v>-5</v>
      </c>
      <c r="AZ332">
        <v>10.4</v>
      </c>
      <c r="BA332">
        <v>10</v>
      </c>
      <c r="BB332">
        <v>10.9</v>
      </c>
      <c r="BC332">
        <v>10</v>
      </c>
      <c r="BD332">
        <v>4.5</v>
      </c>
      <c r="BE332">
        <v>4</v>
      </c>
      <c r="BF332">
        <v>11.9</v>
      </c>
      <c r="BG332">
        <v>10</v>
      </c>
      <c r="BH332">
        <v>13.5</v>
      </c>
      <c r="BI332">
        <v>10</v>
      </c>
      <c r="BJ332">
        <v>11</v>
      </c>
      <c r="BK332">
        <v>9</v>
      </c>
      <c r="BL332">
        <v>20.7</v>
      </c>
      <c r="BM332">
        <v>19</v>
      </c>
      <c r="BN332">
        <v>22.3</v>
      </c>
      <c r="BO332">
        <v>19</v>
      </c>
      <c r="BP332">
        <v>20.7</v>
      </c>
      <c r="BQ332">
        <v>20</v>
      </c>
      <c r="BR332">
        <v>21.6</v>
      </c>
      <c r="BS332">
        <v>25</v>
      </c>
      <c r="BT332">
        <v>21.9</v>
      </c>
      <c r="BU332">
        <v>25</v>
      </c>
      <c r="BV332">
        <v>23.6</v>
      </c>
      <c r="BW332">
        <v>18</v>
      </c>
      <c r="BX332">
        <v>21.4</v>
      </c>
      <c r="BY332">
        <v>20</v>
      </c>
      <c r="BZ332">
        <v>21.9</v>
      </c>
      <c r="CA332">
        <v>20</v>
      </c>
      <c r="CB332">
        <v>10.199999999999999</v>
      </c>
      <c r="CC332">
        <v>10</v>
      </c>
      <c r="CD332">
        <v>10.3</v>
      </c>
      <c r="CE332">
        <v>10</v>
      </c>
      <c r="CF332">
        <v>11.6</v>
      </c>
      <c r="CG332">
        <v>9</v>
      </c>
      <c r="CH332">
        <v>11.8</v>
      </c>
      <c r="CI332">
        <v>9</v>
      </c>
    </row>
    <row r="333" spans="1:87" x14ac:dyDescent="0.35">
      <c r="A333" s="1">
        <v>46059.684027777781</v>
      </c>
      <c r="B333">
        <v>-18.3</v>
      </c>
      <c r="C333">
        <v>-18.399999999999999</v>
      </c>
      <c r="D333">
        <v>-25</v>
      </c>
      <c r="E333">
        <v>-18.5</v>
      </c>
      <c r="F333">
        <v>-17.5</v>
      </c>
      <c r="G333">
        <v>-25</v>
      </c>
      <c r="H333">
        <v>-19.899999999999999</v>
      </c>
      <c r="I333">
        <v>-25.3</v>
      </c>
      <c r="J333">
        <v>-25</v>
      </c>
      <c r="K333">
        <v>-20.8</v>
      </c>
      <c r="L333">
        <v>-19.7</v>
      </c>
      <c r="M333">
        <v>-25</v>
      </c>
      <c r="N333">
        <v>-17.899999999999999</v>
      </c>
      <c r="O333">
        <v>-16.2</v>
      </c>
      <c r="P333">
        <v>-25</v>
      </c>
      <c r="Q333">
        <v>-17.399999999999999</v>
      </c>
      <c r="R333">
        <v>-17.2</v>
      </c>
      <c r="S333">
        <v>-25</v>
      </c>
      <c r="T333">
        <v>2.4</v>
      </c>
      <c r="U333">
        <v>-1</v>
      </c>
      <c r="V333">
        <v>2</v>
      </c>
      <c r="W333">
        <v>2.4</v>
      </c>
      <c r="X333">
        <v>-0.3</v>
      </c>
      <c r="Y333">
        <v>2</v>
      </c>
      <c r="Z333">
        <v>3.7</v>
      </c>
      <c r="AA333">
        <v>3.1</v>
      </c>
      <c r="AB333">
        <v>2</v>
      </c>
      <c r="AC333">
        <v>3.3</v>
      </c>
      <c r="AD333">
        <v>1.5</v>
      </c>
      <c r="AE333">
        <v>2</v>
      </c>
      <c r="AF333">
        <v>3.8</v>
      </c>
      <c r="AG333">
        <v>3.7</v>
      </c>
      <c r="AH333">
        <v>2</v>
      </c>
      <c r="AI333">
        <v>3.7</v>
      </c>
      <c r="AJ333">
        <v>3.6</v>
      </c>
      <c r="AK333">
        <v>2</v>
      </c>
      <c r="AL333">
        <v>4.8</v>
      </c>
      <c r="AM333">
        <v>4</v>
      </c>
      <c r="AN333">
        <v>4.4000000000000004</v>
      </c>
      <c r="AO333">
        <v>4</v>
      </c>
      <c r="AP333">
        <v>3.7</v>
      </c>
      <c r="AQ333">
        <v>4</v>
      </c>
      <c r="AR333">
        <v>5.9</v>
      </c>
      <c r="AS333">
        <v>4</v>
      </c>
      <c r="AT333">
        <v>-4.2</v>
      </c>
      <c r="AU333">
        <v>-6.3</v>
      </c>
      <c r="AV333">
        <v>-5</v>
      </c>
      <c r="AW333">
        <v>-1.5</v>
      </c>
      <c r="AX333">
        <v>-3.6</v>
      </c>
      <c r="AY333">
        <v>-5</v>
      </c>
      <c r="AZ333">
        <v>10.5</v>
      </c>
      <c r="BA333">
        <v>10</v>
      </c>
      <c r="BB333">
        <v>11.2</v>
      </c>
      <c r="BC333">
        <v>10</v>
      </c>
      <c r="BD333">
        <v>4.8</v>
      </c>
      <c r="BE333">
        <v>4</v>
      </c>
      <c r="BF333">
        <v>12.2</v>
      </c>
      <c r="BG333">
        <v>10</v>
      </c>
      <c r="BH333">
        <v>13.5</v>
      </c>
      <c r="BI333">
        <v>10</v>
      </c>
      <c r="BJ333">
        <v>11</v>
      </c>
      <c r="BK333">
        <v>9</v>
      </c>
      <c r="BL333">
        <v>20.7</v>
      </c>
      <c r="BM333">
        <v>19</v>
      </c>
      <c r="BN333">
        <v>22.3</v>
      </c>
      <c r="BO333">
        <v>19</v>
      </c>
      <c r="BP333">
        <v>20.7</v>
      </c>
      <c r="BQ333">
        <v>20</v>
      </c>
      <c r="BR333">
        <v>21.7</v>
      </c>
      <c r="BS333">
        <v>25</v>
      </c>
      <c r="BT333">
        <v>21.9</v>
      </c>
      <c r="BU333">
        <v>25</v>
      </c>
      <c r="BV333">
        <v>23.6</v>
      </c>
      <c r="BW333">
        <v>18</v>
      </c>
      <c r="BX333">
        <v>21.4</v>
      </c>
      <c r="BY333">
        <v>20</v>
      </c>
      <c r="BZ333">
        <v>21.9</v>
      </c>
      <c r="CA333">
        <v>20</v>
      </c>
      <c r="CB333">
        <v>10.1</v>
      </c>
      <c r="CC333">
        <v>10</v>
      </c>
      <c r="CD333">
        <v>10.3</v>
      </c>
      <c r="CE333">
        <v>10</v>
      </c>
      <c r="CF333">
        <v>11.7</v>
      </c>
      <c r="CG333">
        <v>9</v>
      </c>
      <c r="CH333">
        <v>11.9</v>
      </c>
      <c r="CI333">
        <v>9</v>
      </c>
    </row>
    <row r="334" spans="1:87" x14ac:dyDescent="0.35">
      <c r="A334" s="1">
        <v>46059.68472222222</v>
      </c>
      <c r="B334">
        <v>-18.3</v>
      </c>
      <c r="C334">
        <v>-18.399999999999999</v>
      </c>
      <c r="D334">
        <v>-25</v>
      </c>
      <c r="E334">
        <v>-18.5</v>
      </c>
      <c r="F334">
        <v>-17.600000000000001</v>
      </c>
      <c r="G334">
        <v>-25</v>
      </c>
      <c r="H334">
        <v>-19.899999999999999</v>
      </c>
      <c r="I334">
        <v>-25.2</v>
      </c>
      <c r="J334">
        <v>-25</v>
      </c>
      <c r="K334">
        <v>-20.8</v>
      </c>
      <c r="L334">
        <v>-19.7</v>
      </c>
      <c r="M334">
        <v>-25</v>
      </c>
      <c r="N334">
        <v>-18</v>
      </c>
      <c r="O334">
        <v>-16.3</v>
      </c>
      <c r="P334">
        <v>-25</v>
      </c>
      <c r="Q334">
        <v>-17.600000000000001</v>
      </c>
      <c r="R334">
        <v>-17.3</v>
      </c>
      <c r="S334">
        <v>-25</v>
      </c>
      <c r="T334">
        <v>1.9</v>
      </c>
      <c r="U334">
        <v>-1.5</v>
      </c>
      <c r="V334">
        <v>2</v>
      </c>
      <c r="W334">
        <v>2</v>
      </c>
      <c r="X334">
        <v>-0.8</v>
      </c>
      <c r="Y334">
        <v>2</v>
      </c>
      <c r="Z334">
        <v>3.5</v>
      </c>
      <c r="AA334">
        <v>2.9</v>
      </c>
      <c r="AB334">
        <v>2</v>
      </c>
      <c r="AC334">
        <v>3.1</v>
      </c>
      <c r="AD334">
        <v>1.2</v>
      </c>
      <c r="AE334">
        <v>2</v>
      </c>
      <c r="AF334">
        <v>3.9</v>
      </c>
      <c r="AG334">
        <v>3.8</v>
      </c>
      <c r="AH334">
        <v>2</v>
      </c>
      <c r="AI334">
        <v>3.9</v>
      </c>
      <c r="AJ334">
        <v>3.8</v>
      </c>
      <c r="AK334">
        <v>2</v>
      </c>
      <c r="AL334">
        <v>4.8</v>
      </c>
      <c r="AM334">
        <v>4</v>
      </c>
      <c r="AN334">
        <v>4.4000000000000004</v>
      </c>
      <c r="AO334">
        <v>4</v>
      </c>
      <c r="AP334">
        <v>4</v>
      </c>
      <c r="AQ334">
        <v>4</v>
      </c>
      <c r="AR334">
        <v>6.1</v>
      </c>
      <c r="AS334">
        <v>4</v>
      </c>
      <c r="AT334">
        <v>-4.4000000000000004</v>
      </c>
      <c r="AU334">
        <v>-6.4</v>
      </c>
      <c r="AV334">
        <v>-5</v>
      </c>
      <c r="AW334">
        <v>-2</v>
      </c>
      <c r="AX334">
        <v>-3.7</v>
      </c>
      <c r="AY334">
        <v>-5</v>
      </c>
      <c r="AZ334">
        <v>10.7</v>
      </c>
      <c r="BA334">
        <v>10</v>
      </c>
      <c r="BB334">
        <v>11.6</v>
      </c>
      <c r="BC334">
        <v>10</v>
      </c>
      <c r="BD334">
        <v>5</v>
      </c>
      <c r="BE334">
        <v>4</v>
      </c>
      <c r="BF334">
        <v>11.8</v>
      </c>
      <c r="BG334">
        <v>10</v>
      </c>
      <c r="BH334">
        <v>13.3</v>
      </c>
      <c r="BI334">
        <v>10</v>
      </c>
      <c r="BJ334">
        <v>11.1</v>
      </c>
      <c r="BK334">
        <v>9</v>
      </c>
      <c r="BL334">
        <v>20.7</v>
      </c>
      <c r="BM334">
        <v>19</v>
      </c>
      <c r="BN334">
        <v>22.3</v>
      </c>
      <c r="BO334">
        <v>19</v>
      </c>
      <c r="BP334">
        <v>20.7</v>
      </c>
      <c r="BQ334">
        <v>20</v>
      </c>
      <c r="BR334">
        <v>21.7</v>
      </c>
      <c r="BS334">
        <v>25</v>
      </c>
      <c r="BT334">
        <v>21.9</v>
      </c>
      <c r="BU334">
        <v>25</v>
      </c>
      <c r="BV334">
        <v>23.6</v>
      </c>
      <c r="BW334">
        <v>18</v>
      </c>
      <c r="BX334">
        <v>21.5</v>
      </c>
      <c r="BY334">
        <v>20</v>
      </c>
      <c r="BZ334">
        <v>21.9</v>
      </c>
      <c r="CA334">
        <v>20</v>
      </c>
      <c r="CB334">
        <v>10.1</v>
      </c>
      <c r="CC334">
        <v>10</v>
      </c>
      <c r="CD334">
        <v>10.3</v>
      </c>
      <c r="CE334">
        <v>10</v>
      </c>
      <c r="CF334">
        <v>11.7</v>
      </c>
      <c r="CG334">
        <v>9</v>
      </c>
      <c r="CH334">
        <v>11.9</v>
      </c>
      <c r="CI334">
        <v>9</v>
      </c>
    </row>
    <row r="335" spans="1:87" x14ac:dyDescent="0.35">
      <c r="A335" s="1">
        <v>46059.685416666667</v>
      </c>
      <c r="B335">
        <v>-18.3</v>
      </c>
      <c r="C335">
        <v>-18.399999999999999</v>
      </c>
      <c r="D335">
        <v>-25</v>
      </c>
      <c r="E335">
        <v>-18.600000000000001</v>
      </c>
      <c r="F335">
        <v>-17.7</v>
      </c>
      <c r="G335">
        <v>-25</v>
      </c>
      <c r="H335">
        <v>-20</v>
      </c>
      <c r="I335">
        <v>-24.7</v>
      </c>
      <c r="J335">
        <v>-25</v>
      </c>
      <c r="K335">
        <v>-20.8</v>
      </c>
      <c r="L335">
        <v>-19.7</v>
      </c>
      <c r="M335">
        <v>-25</v>
      </c>
      <c r="N335">
        <v>-18.100000000000001</v>
      </c>
      <c r="O335">
        <v>-16.399999999999999</v>
      </c>
      <c r="P335">
        <v>-25</v>
      </c>
      <c r="Q335">
        <v>-17.7</v>
      </c>
      <c r="R335">
        <v>-17.399999999999999</v>
      </c>
      <c r="S335">
        <v>-25</v>
      </c>
      <c r="T335">
        <v>1.7</v>
      </c>
      <c r="U335">
        <v>0.1</v>
      </c>
      <c r="V335">
        <v>2</v>
      </c>
      <c r="W335">
        <v>1.7</v>
      </c>
      <c r="X335">
        <v>0</v>
      </c>
      <c r="Y335">
        <v>2</v>
      </c>
      <c r="Z335">
        <v>3.3</v>
      </c>
      <c r="AA335">
        <v>2.7</v>
      </c>
      <c r="AB335">
        <v>2</v>
      </c>
      <c r="AC335">
        <v>2.9</v>
      </c>
      <c r="AD335">
        <v>0.8</v>
      </c>
      <c r="AE335">
        <v>2</v>
      </c>
      <c r="AF335">
        <v>4.0999999999999996</v>
      </c>
      <c r="AG335">
        <v>4</v>
      </c>
      <c r="AH335">
        <v>2</v>
      </c>
      <c r="AI335">
        <v>4</v>
      </c>
      <c r="AJ335">
        <v>3.9</v>
      </c>
      <c r="AK335">
        <v>2</v>
      </c>
      <c r="AL335">
        <v>4.9000000000000004</v>
      </c>
      <c r="AM335">
        <v>4</v>
      </c>
      <c r="AN335">
        <v>4.4000000000000004</v>
      </c>
      <c r="AO335">
        <v>4</v>
      </c>
      <c r="AP335">
        <v>4.2</v>
      </c>
      <c r="AQ335">
        <v>4</v>
      </c>
      <c r="AR335">
        <v>5.9</v>
      </c>
      <c r="AS335">
        <v>4</v>
      </c>
      <c r="AT335">
        <v>-4.5</v>
      </c>
      <c r="AU335">
        <v>-6.5</v>
      </c>
      <c r="AV335">
        <v>-5</v>
      </c>
      <c r="AW335">
        <v>-2.2999999999999998</v>
      </c>
      <c r="AX335">
        <v>-3.2</v>
      </c>
      <c r="AY335">
        <v>-5</v>
      </c>
      <c r="AZ335">
        <v>10.8</v>
      </c>
      <c r="BA335">
        <v>10</v>
      </c>
      <c r="BB335">
        <v>11.9</v>
      </c>
      <c r="BC335">
        <v>10</v>
      </c>
      <c r="BD335">
        <v>5.3</v>
      </c>
      <c r="BE335">
        <v>4</v>
      </c>
      <c r="BF335">
        <v>10.6</v>
      </c>
      <c r="BG335">
        <v>10</v>
      </c>
      <c r="BH335">
        <v>13.1</v>
      </c>
      <c r="BI335">
        <v>10</v>
      </c>
      <c r="BJ335">
        <v>11.1</v>
      </c>
      <c r="BK335">
        <v>9</v>
      </c>
      <c r="BL335">
        <v>20.7</v>
      </c>
      <c r="BM335">
        <v>19</v>
      </c>
      <c r="BN335">
        <v>22.3</v>
      </c>
      <c r="BO335">
        <v>19</v>
      </c>
      <c r="BP335">
        <v>20.8</v>
      </c>
      <c r="BQ335">
        <v>20</v>
      </c>
      <c r="BR335">
        <v>21.7</v>
      </c>
      <c r="BS335">
        <v>25</v>
      </c>
      <c r="BT335">
        <v>21.9</v>
      </c>
      <c r="BU335">
        <v>25</v>
      </c>
      <c r="BV335">
        <v>23.6</v>
      </c>
      <c r="BW335">
        <v>18</v>
      </c>
      <c r="BX335">
        <v>21.5</v>
      </c>
      <c r="BY335">
        <v>20</v>
      </c>
      <c r="BZ335">
        <v>21.9</v>
      </c>
      <c r="CA335">
        <v>20</v>
      </c>
      <c r="CB335">
        <v>10</v>
      </c>
      <c r="CC335">
        <v>10</v>
      </c>
      <c r="CD335">
        <v>10.3</v>
      </c>
      <c r="CE335">
        <v>10</v>
      </c>
      <c r="CF335">
        <v>11.6</v>
      </c>
      <c r="CG335">
        <v>9</v>
      </c>
      <c r="CH335">
        <v>11.9</v>
      </c>
      <c r="CI335">
        <v>9</v>
      </c>
    </row>
    <row r="336" spans="1:87" x14ac:dyDescent="0.35">
      <c r="A336" s="1">
        <v>46059.686111111114</v>
      </c>
      <c r="B336">
        <v>-18.399999999999999</v>
      </c>
      <c r="C336">
        <v>-18.899999999999999</v>
      </c>
      <c r="D336">
        <v>-25</v>
      </c>
      <c r="E336">
        <v>-18.899999999999999</v>
      </c>
      <c r="F336">
        <v>-17.899999999999999</v>
      </c>
      <c r="G336">
        <v>-25</v>
      </c>
      <c r="H336">
        <v>-20</v>
      </c>
      <c r="I336">
        <v>-24.4</v>
      </c>
      <c r="J336">
        <v>-25</v>
      </c>
      <c r="K336">
        <v>-20.8</v>
      </c>
      <c r="L336">
        <v>-19.7</v>
      </c>
      <c r="M336">
        <v>-25</v>
      </c>
      <c r="N336">
        <v>-18.2</v>
      </c>
      <c r="O336">
        <v>-16.5</v>
      </c>
      <c r="P336">
        <v>-25</v>
      </c>
      <c r="Q336">
        <v>-17.8</v>
      </c>
      <c r="R336">
        <v>-17.5</v>
      </c>
      <c r="S336">
        <v>-25</v>
      </c>
      <c r="T336">
        <v>1.7</v>
      </c>
      <c r="U336">
        <v>0.6</v>
      </c>
      <c r="V336">
        <v>2</v>
      </c>
      <c r="W336">
        <v>1.7</v>
      </c>
      <c r="X336">
        <v>0.6</v>
      </c>
      <c r="Y336">
        <v>2</v>
      </c>
      <c r="Z336">
        <v>3.2</v>
      </c>
      <c r="AA336">
        <v>2.6</v>
      </c>
      <c r="AB336">
        <v>2</v>
      </c>
      <c r="AC336">
        <v>2.8</v>
      </c>
      <c r="AD336">
        <v>1.6</v>
      </c>
      <c r="AE336">
        <v>2</v>
      </c>
      <c r="AF336">
        <v>4.2</v>
      </c>
      <c r="AG336">
        <v>4</v>
      </c>
      <c r="AH336">
        <v>2</v>
      </c>
      <c r="AI336">
        <v>4</v>
      </c>
      <c r="AJ336">
        <v>3.5</v>
      </c>
      <c r="AK336">
        <v>2</v>
      </c>
      <c r="AL336">
        <v>4.9000000000000004</v>
      </c>
      <c r="AM336">
        <v>4</v>
      </c>
      <c r="AN336">
        <v>4.4000000000000004</v>
      </c>
      <c r="AO336">
        <v>4</v>
      </c>
      <c r="AP336">
        <v>4.5</v>
      </c>
      <c r="AQ336">
        <v>4</v>
      </c>
      <c r="AR336">
        <v>4.8</v>
      </c>
      <c r="AS336">
        <v>4</v>
      </c>
      <c r="AT336">
        <v>-4.5999999999999996</v>
      </c>
      <c r="AU336">
        <v>-6.7</v>
      </c>
      <c r="AV336">
        <v>-5</v>
      </c>
      <c r="AW336">
        <v>-2.5</v>
      </c>
      <c r="AX336">
        <v>-4.5</v>
      </c>
      <c r="AY336">
        <v>-5</v>
      </c>
      <c r="AZ336">
        <v>10.9</v>
      </c>
      <c r="BA336">
        <v>10</v>
      </c>
      <c r="BB336">
        <v>12</v>
      </c>
      <c r="BC336">
        <v>10</v>
      </c>
      <c r="BD336">
        <v>5.5</v>
      </c>
      <c r="BE336">
        <v>4</v>
      </c>
      <c r="BF336">
        <v>9.6</v>
      </c>
      <c r="BG336">
        <v>10</v>
      </c>
      <c r="BH336">
        <v>12.9</v>
      </c>
      <c r="BI336">
        <v>10</v>
      </c>
      <c r="BJ336">
        <v>11</v>
      </c>
      <c r="BK336">
        <v>9</v>
      </c>
      <c r="BL336">
        <v>20.7</v>
      </c>
      <c r="BM336">
        <v>19</v>
      </c>
      <c r="BN336">
        <v>22.4</v>
      </c>
      <c r="BO336">
        <v>19</v>
      </c>
      <c r="BP336">
        <v>20.8</v>
      </c>
      <c r="BQ336">
        <v>20</v>
      </c>
      <c r="BR336">
        <v>21.7</v>
      </c>
      <c r="BS336">
        <v>25</v>
      </c>
      <c r="BT336">
        <v>21.9</v>
      </c>
      <c r="BU336">
        <v>25</v>
      </c>
      <c r="BV336">
        <v>23.6</v>
      </c>
      <c r="BW336">
        <v>18</v>
      </c>
      <c r="BX336">
        <v>21.5</v>
      </c>
      <c r="BY336">
        <v>20</v>
      </c>
      <c r="BZ336">
        <v>21.9</v>
      </c>
      <c r="CA336">
        <v>20</v>
      </c>
      <c r="CB336">
        <v>10.4</v>
      </c>
      <c r="CC336">
        <v>10</v>
      </c>
      <c r="CD336">
        <v>10.3</v>
      </c>
      <c r="CE336">
        <v>10</v>
      </c>
      <c r="CF336">
        <v>11.6</v>
      </c>
      <c r="CG336">
        <v>9</v>
      </c>
      <c r="CH336">
        <v>11.9</v>
      </c>
      <c r="CI336">
        <v>9</v>
      </c>
    </row>
    <row r="337" spans="1:87" x14ac:dyDescent="0.35">
      <c r="A337" s="1">
        <v>46059.686805555553</v>
      </c>
      <c r="B337">
        <v>-18.7</v>
      </c>
      <c r="C337">
        <v>-19.5</v>
      </c>
      <c r="D337">
        <v>-25</v>
      </c>
      <c r="E337">
        <v>-19.2</v>
      </c>
      <c r="F337">
        <v>-18</v>
      </c>
      <c r="G337">
        <v>-25</v>
      </c>
      <c r="H337">
        <v>-20</v>
      </c>
      <c r="I337">
        <v>-23.9</v>
      </c>
      <c r="J337">
        <v>-25</v>
      </c>
      <c r="K337">
        <v>-20.7</v>
      </c>
      <c r="L337">
        <v>-19.7</v>
      </c>
      <c r="M337">
        <v>-25</v>
      </c>
      <c r="N337">
        <v>-18.3</v>
      </c>
      <c r="O337">
        <v>-16.7</v>
      </c>
      <c r="P337">
        <v>-25</v>
      </c>
      <c r="Q337">
        <v>-18.100000000000001</v>
      </c>
      <c r="R337">
        <v>-17.600000000000001</v>
      </c>
      <c r="S337">
        <v>-25</v>
      </c>
      <c r="T337">
        <v>1.8</v>
      </c>
      <c r="U337">
        <v>1.1000000000000001</v>
      </c>
      <c r="V337">
        <v>2</v>
      </c>
      <c r="W337">
        <v>1.8</v>
      </c>
      <c r="X337">
        <v>1</v>
      </c>
      <c r="Y337">
        <v>2</v>
      </c>
      <c r="Z337">
        <v>3.2</v>
      </c>
      <c r="AA337">
        <v>2.6</v>
      </c>
      <c r="AB337">
        <v>2</v>
      </c>
      <c r="AC337">
        <v>2.8</v>
      </c>
      <c r="AD337">
        <v>2</v>
      </c>
      <c r="AE337">
        <v>2</v>
      </c>
      <c r="AF337">
        <v>4.2</v>
      </c>
      <c r="AG337">
        <v>4</v>
      </c>
      <c r="AH337">
        <v>2</v>
      </c>
      <c r="AI337">
        <v>4</v>
      </c>
      <c r="AJ337">
        <v>2.8</v>
      </c>
      <c r="AK337">
        <v>2</v>
      </c>
      <c r="AL337">
        <v>5</v>
      </c>
      <c r="AM337">
        <v>4</v>
      </c>
      <c r="AN337">
        <v>4.4000000000000004</v>
      </c>
      <c r="AO337">
        <v>4</v>
      </c>
      <c r="AP337">
        <v>4.7</v>
      </c>
      <c r="AQ337">
        <v>4</v>
      </c>
      <c r="AR337">
        <v>3.7</v>
      </c>
      <c r="AS337">
        <v>4</v>
      </c>
      <c r="AT337">
        <v>-4.8</v>
      </c>
      <c r="AU337">
        <v>-6.8</v>
      </c>
      <c r="AV337">
        <v>-5</v>
      </c>
      <c r="AW337">
        <v>-2.8</v>
      </c>
      <c r="AX337">
        <v>-4.5999999999999996</v>
      </c>
      <c r="AY337">
        <v>-5</v>
      </c>
      <c r="AZ337">
        <v>11</v>
      </c>
      <c r="BA337">
        <v>10</v>
      </c>
      <c r="BB337">
        <v>12.1</v>
      </c>
      <c r="BC337">
        <v>10</v>
      </c>
      <c r="BD337">
        <v>5.6</v>
      </c>
      <c r="BE337">
        <v>4</v>
      </c>
      <c r="BF337">
        <v>9.1999999999999993</v>
      </c>
      <c r="BG337">
        <v>10</v>
      </c>
      <c r="BH337">
        <v>12.7</v>
      </c>
      <c r="BI337">
        <v>10</v>
      </c>
      <c r="BJ337">
        <v>11</v>
      </c>
      <c r="BK337">
        <v>9</v>
      </c>
      <c r="BL337">
        <v>20.8</v>
      </c>
      <c r="BM337">
        <v>19</v>
      </c>
      <c r="BN337">
        <v>22.4</v>
      </c>
      <c r="BO337">
        <v>19</v>
      </c>
      <c r="BP337">
        <v>20.9</v>
      </c>
      <c r="BQ337">
        <v>20</v>
      </c>
      <c r="BR337">
        <v>21.8</v>
      </c>
      <c r="BS337">
        <v>25</v>
      </c>
      <c r="BT337">
        <v>21.9</v>
      </c>
      <c r="BU337">
        <v>25</v>
      </c>
      <c r="BV337">
        <v>23.6</v>
      </c>
      <c r="BW337">
        <v>18</v>
      </c>
      <c r="BX337">
        <v>21.5</v>
      </c>
      <c r="BY337">
        <v>20</v>
      </c>
      <c r="BZ337">
        <v>21.9</v>
      </c>
      <c r="CA337">
        <v>20</v>
      </c>
      <c r="CB337">
        <v>10.8</v>
      </c>
      <c r="CC337">
        <v>10</v>
      </c>
      <c r="CD337">
        <v>10.3</v>
      </c>
      <c r="CE337">
        <v>10</v>
      </c>
      <c r="CF337">
        <v>11.6</v>
      </c>
      <c r="CG337">
        <v>9</v>
      </c>
      <c r="CH337">
        <v>11.9</v>
      </c>
      <c r="CI337">
        <v>9</v>
      </c>
    </row>
    <row r="338" spans="1:87" x14ac:dyDescent="0.35">
      <c r="A338" s="1">
        <v>46059.6875</v>
      </c>
      <c r="B338">
        <v>-18.899999999999999</v>
      </c>
      <c r="C338">
        <v>-19.8</v>
      </c>
      <c r="D338">
        <v>-25</v>
      </c>
      <c r="E338">
        <v>-19.399999999999999</v>
      </c>
      <c r="F338">
        <v>-18.100000000000001</v>
      </c>
      <c r="G338">
        <v>-25</v>
      </c>
      <c r="H338">
        <v>-20</v>
      </c>
      <c r="I338">
        <v>-22.3</v>
      </c>
      <c r="J338">
        <v>-25</v>
      </c>
      <c r="K338">
        <v>-20.6</v>
      </c>
      <c r="L338">
        <v>-19.7</v>
      </c>
      <c r="M338">
        <v>-25</v>
      </c>
      <c r="N338">
        <v>-18.399999999999999</v>
      </c>
      <c r="O338">
        <v>-16.8</v>
      </c>
      <c r="P338">
        <v>-25</v>
      </c>
      <c r="Q338">
        <v>-18.2</v>
      </c>
      <c r="R338">
        <v>-17.7</v>
      </c>
      <c r="S338">
        <v>-25</v>
      </c>
      <c r="T338">
        <v>1.9</v>
      </c>
      <c r="U338">
        <v>1.4</v>
      </c>
      <c r="V338">
        <v>2</v>
      </c>
      <c r="W338">
        <v>1.9</v>
      </c>
      <c r="X338">
        <v>1.2</v>
      </c>
      <c r="Y338">
        <v>2</v>
      </c>
      <c r="Z338">
        <v>3.2</v>
      </c>
      <c r="AA338">
        <v>2.6</v>
      </c>
      <c r="AB338">
        <v>2</v>
      </c>
      <c r="AC338">
        <v>2.8</v>
      </c>
      <c r="AD338">
        <v>1.8</v>
      </c>
      <c r="AE338">
        <v>2</v>
      </c>
      <c r="AF338">
        <v>4</v>
      </c>
      <c r="AG338">
        <v>3.6</v>
      </c>
      <c r="AH338">
        <v>2</v>
      </c>
      <c r="AI338">
        <v>3.8</v>
      </c>
      <c r="AJ338">
        <v>2.2000000000000002</v>
      </c>
      <c r="AK338">
        <v>2</v>
      </c>
      <c r="AL338">
        <v>5.0999999999999996</v>
      </c>
      <c r="AM338">
        <v>4</v>
      </c>
      <c r="AN338">
        <v>4.4000000000000004</v>
      </c>
      <c r="AO338">
        <v>4</v>
      </c>
      <c r="AP338">
        <v>4.9000000000000004</v>
      </c>
      <c r="AQ338">
        <v>4</v>
      </c>
      <c r="AR338">
        <v>3</v>
      </c>
      <c r="AS338">
        <v>4</v>
      </c>
      <c r="AT338">
        <v>-4.9000000000000004</v>
      </c>
      <c r="AU338">
        <v>-6.9</v>
      </c>
      <c r="AV338">
        <v>-5</v>
      </c>
      <c r="AW338">
        <v>-3.1</v>
      </c>
      <c r="AX338">
        <v>-4.5999999999999996</v>
      </c>
      <c r="AY338">
        <v>-5</v>
      </c>
      <c r="AZ338">
        <v>11.1</v>
      </c>
      <c r="BA338">
        <v>10</v>
      </c>
      <c r="BB338">
        <v>12.2</v>
      </c>
      <c r="BC338">
        <v>10</v>
      </c>
      <c r="BD338">
        <v>5.9</v>
      </c>
      <c r="BE338">
        <v>4</v>
      </c>
      <c r="BF338">
        <v>9.3000000000000007</v>
      </c>
      <c r="BG338">
        <v>10</v>
      </c>
      <c r="BH338">
        <v>12.6</v>
      </c>
      <c r="BI338">
        <v>10</v>
      </c>
      <c r="BJ338">
        <v>10.9</v>
      </c>
      <c r="BK338">
        <v>9</v>
      </c>
      <c r="BL338">
        <v>20.8</v>
      </c>
      <c r="BM338">
        <v>19</v>
      </c>
      <c r="BN338">
        <v>22.4</v>
      </c>
      <c r="BO338">
        <v>19</v>
      </c>
      <c r="BP338">
        <v>20.9</v>
      </c>
      <c r="BQ338">
        <v>20</v>
      </c>
      <c r="BR338">
        <v>21.8</v>
      </c>
      <c r="BS338">
        <v>25</v>
      </c>
      <c r="BT338">
        <v>21.9</v>
      </c>
      <c r="BU338">
        <v>25</v>
      </c>
      <c r="BV338">
        <v>23.6</v>
      </c>
      <c r="BW338">
        <v>18</v>
      </c>
      <c r="BX338">
        <v>21.5</v>
      </c>
      <c r="BY338">
        <v>20</v>
      </c>
      <c r="BZ338">
        <v>21.9</v>
      </c>
      <c r="CA338">
        <v>20</v>
      </c>
      <c r="CB338">
        <v>11.3</v>
      </c>
      <c r="CC338">
        <v>10</v>
      </c>
      <c r="CD338">
        <v>10.3</v>
      </c>
      <c r="CE338">
        <v>10</v>
      </c>
      <c r="CF338">
        <v>11.7</v>
      </c>
      <c r="CG338">
        <v>9</v>
      </c>
      <c r="CH338">
        <v>12</v>
      </c>
      <c r="CI338">
        <v>9</v>
      </c>
    </row>
    <row r="339" spans="1:87" x14ac:dyDescent="0.35">
      <c r="A339" s="1">
        <v>46059.688194444447</v>
      </c>
      <c r="B339">
        <v>-19.100000000000001</v>
      </c>
      <c r="C339">
        <v>-20</v>
      </c>
      <c r="D339">
        <v>-25</v>
      </c>
      <c r="E339">
        <v>-19.7</v>
      </c>
      <c r="F339">
        <v>-18.3</v>
      </c>
      <c r="G339">
        <v>-25</v>
      </c>
      <c r="H339">
        <v>-20</v>
      </c>
      <c r="I339">
        <v>-20.8</v>
      </c>
      <c r="J339">
        <v>-25</v>
      </c>
      <c r="K339">
        <v>-20.2</v>
      </c>
      <c r="L339">
        <v>-19.7</v>
      </c>
      <c r="M339">
        <v>-25</v>
      </c>
      <c r="N339">
        <v>-18.600000000000001</v>
      </c>
      <c r="O339">
        <v>-16.899999999999999</v>
      </c>
      <c r="P339">
        <v>-25</v>
      </c>
      <c r="Q339">
        <v>-18.3</v>
      </c>
      <c r="R339">
        <v>-17.8</v>
      </c>
      <c r="S339">
        <v>-25</v>
      </c>
      <c r="T339">
        <v>2</v>
      </c>
      <c r="U339">
        <v>1.7</v>
      </c>
      <c r="V339">
        <v>2</v>
      </c>
      <c r="W339">
        <v>2.1</v>
      </c>
      <c r="X339">
        <v>1.5</v>
      </c>
      <c r="Y339">
        <v>2</v>
      </c>
      <c r="Z339">
        <v>3.1</v>
      </c>
      <c r="AA339">
        <v>2.4</v>
      </c>
      <c r="AB339">
        <v>2</v>
      </c>
      <c r="AC339">
        <v>2.6</v>
      </c>
      <c r="AD339">
        <v>0.5</v>
      </c>
      <c r="AE339">
        <v>2</v>
      </c>
      <c r="AF339">
        <v>3.6</v>
      </c>
      <c r="AG339">
        <v>3.1</v>
      </c>
      <c r="AH339">
        <v>2</v>
      </c>
      <c r="AI339">
        <v>3.5</v>
      </c>
      <c r="AJ339">
        <v>0.9</v>
      </c>
      <c r="AK339">
        <v>2</v>
      </c>
      <c r="AL339">
        <v>5.0999999999999996</v>
      </c>
      <c r="AM339">
        <v>4</v>
      </c>
      <c r="AN339">
        <v>4.4000000000000004</v>
      </c>
      <c r="AO339">
        <v>4</v>
      </c>
      <c r="AP339">
        <v>5.0999999999999996</v>
      </c>
      <c r="AQ339">
        <v>4</v>
      </c>
      <c r="AR339">
        <v>2.9</v>
      </c>
      <c r="AS339">
        <v>4</v>
      </c>
      <c r="AT339">
        <v>-5</v>
      </c>
      <c r="AU339">
        <v>-7.1</v>
      </c>
      <c r="AV339">
        <v>-5</v>
      </c>
      <c r="AW339">
        <v>-3.3</v>
      </c>
      <c r="AX339">
        <v>-4.9000000000000004</v>
      </c>
      <c r="AY339">
        <v>-5</v>
      </c>
      <c r="AZ339">
        <v>11.2</v>
      </c>
      <c r="BA339">
        <v>10</v>
      </c>
      <c r="BB339">
        <v>12.2</v>
      </c>
      <c r="BC339">
        <v>10</v>
      </c>
      <c r="BD339">
        <v>5.9</v>
      </c>
      <c r="BE339">
        <v>4</v>
      </c>
      <c r="BF339">
        <v>9.6999999999999993</v>
      </c>
      <c r="BG339">
        <v>10</v>
      </c>
      <c r="BH339">
        <v>12.5</v>
      </c>
      <c r="BI339">
        <v>10</v>
      </c>
      <c r="BJ339">
        <v>10.9</v>
      </c>
      <c r="BK339">
        <v>9</v>
      </c>
      <c r="BL339">
        <v>20.8</v>
      </c>
      <c r="BM339">
        <v>19</v>
      </c>
      <c r="BN339">
        <v>22.4</v>
      </c>
      <c r="BO339">
        <v>19</v>
      </c>
      <c r="BP339">
        <v>20.9</v>
      </c>
      <c r="BQ339">
        <v>20</v>
      </c>
      <c r="BR339">
        <v>21.8</v>
      </c>
      <c r="BS339">
        <v>25</v>
      </c>
      <c r="BT339">
        <v>21.9</v>
      </c>
      <c r="BU339">
        <v>25</v>
      </c>
      <c r="BV339">
        <v>23.6</v>
      </c>
      <c r="BW339">
        <v>18</v>
      </c>
      <c r="BX339">
        <v>21.6</v>
      </c>
      <c r="BY339">
        <v>20</v>
      </c>
      <c r="BZ339">
        <v>21.9</v>
      </c>
      <c r="CA339">
        <v>20</v>
      </c>
      <c r="CB339">
        <v>11.7</v>
      </c>
      <c r="CC339">
        <v>10</v>
      </c>
      <c r="CD339">
        <v>10.3</v>
      </c>
      <c r="CE339">
        <v>10</v>
      </c>
      <c r="CF339">
        <v>11.5</v>
      </c>
      <c r="CG339">
        <v>9</v>
      </c>
      <c r="CH339">
        <v>11.7</v>
      </c>
      <c r="CI339">
        <v>9</v>
      </c>
    </row>
    <row r="340" spans="1:87" x14ac:dyDescent="0.35">
      <c r="A340" s="1">
        <v>46059.688888888886</v>
      </c>
      <c r="B340">
        <v>-19.2</v>
      </c>
      <c r="C340">
        <v>-19.899999999999999</v>
      </c>
      <c r="D340">
        <v>-25</v>
      </c>
      <c r="E340">
        <v>-19.7</v>
      </c>
      <c r="F340">
        <v>-18.5</v>
      </c>
      <c r="G340">
        <v>-25</v>
      </c>
      <c r="H340">
        <v>-19.7</v>
      </c>
      <c r="I340">
        <v>-19.899999999999999</v>
      </c>
      <c r="J340">
        <v>-25</v>
      </c>
      <c r="K340">
        <v>-19.600000000000001</v>
      </c>
      <c r="L340">
        <v>-19.600000000000001</v>
      </c>
      <c r="M340">
        <v>-25</v>
      </c>
      <c r="N340">
        <v>-18.600000000000001</v>
      </c>
      <c r="O340">
        <v>-17</v>
      </c>
      <c r="P340">
        <v>-25</v>
      </c>
      <c r="Q340">
        <v>-18.3</v>
      </c>
      <c r="R340">
        <v>-17.899999999999999</v>
      </c>
      <c r="S340">
        <v>-25</v>
      </c>
      <c r="T340">
        <v>2.1</v>
      </c>
      <c r="U340">
        <v>1.9</v>
      </c>
      <c r="V340">
        <v>2</v>
      </c>
      <c r="W340">
        <v>2.2000000000000002</v>
      </c>
      <c r="X340">
        <v>1.7</v>
      </c>
      <c r="Y340">
        <v>2</v>
      </c>
      <c r="Z340">
        <v>2.9</v>
      </c>
      <c r="AA340">
        <v>2</v>
      </c>
      <c r="AB340">
        <v>2</v>
      </c>
      <c r="AC340">
        <v>2.4</v>
      </c>
      <c r="AD340">
        <v>0.1</v>
      </c>
      <c r="AE340">
        <v>2</v>
      </c>
      <c r="AF340">
        <v>3.4</v>
      </c>
      <c r="AG340">
        <v>2.8</v>
      </c>
      <c r="AH340">
        <v>2</v>
      </c>
      <c r="AI340">
        <v>3.1</v>
      </c>
      <c r="AJ340">
        <v>0.2</v>
      </c>
      <c r="AK340">
        <v>2</v>
      </c>
      <c r="AL340">
        <v>5.0999999999999996</v>
      </c>
      <c r="AM340">
        <v>4</v>
      </c>
      <c r="AN340">
        <v>5.5</v>
      </c>
      <c r="AO340">
        <v>4</v>
      </c>
      <c r="AP340">
        <v>5.3</v>
      </c>
      <c r="AQ340">
        <v>4</v>
      </c>
      <c r="AR340">
        <v>3.1</v>
      </c>
      <c r="AS340">
        <v>4</v>
      </c>
      <c r="AT340">
        <v>-5.0999999999999996</v>
      </c>
      <c r="AU340">
        <v>-6.3</v>
      </c>
      <c r="AV340">
        <v>-5</v>
      </c>
      <c r="AW340">
        <v>-3.7</v>
      </c>
      <c r="AX340">
        <v>-6.3</v>
      </c>
      <c r="AY340">
        <v>-5</v>
      </c>
      <c r="AZ340">
        <v>11.3</v>
      </c>
      <c r="BA340">
        <v>10</v>
      </c>
      <c r="BB340">
        <v>11.9</v>
      </c>
      <c r="BC340">
        <v>10</v>
      </c>
      <c r="BD340">
        <v>6</v>
      </c>
      <c r="BE340">
        <v>4</v>
      </c>
      <c r="BF340">
        <v>10.3</v>
      </c>
      <c r="BG340">
        <v>10</v>
      </c>
      <c r="BH340">
        <v>12.4</v>
      </c>
      <c r="BI340">
        <v>10</v>
      </c>
      <c r="BJ340">
        <v>10.9</v>
      </c>
      <c r="BK340">
        <v>9</v>
      </c>
      <c r="BL340">
        <v>20.8</v>
      </c>
      <c r="BM340">
        <v>19</v>
      </c>
      <c r="BN340">
        <v>22.5</v>
      </c>
      <c r="BO340">
        <v>19</v>
      </c>
      <c r="BP340">
        <v>21</v>
      </c>
      <c r="BQ340">
        <v>20</v>
      </c>
      <c r="BR340">
        <v>21.8</v>
      </c>
      <c r="BS340">
        <v>25</v>
      </c>
      <c r="BT340">
        <v>21.9</v>
      </c>
      <c r="BU340">
        <v>25</v>
      </c>
      <c r="BV340">
        <v>23.6</v>
      </c>
      <c r="BW340">
        <v>18</v>
      </c>
      <c r="BX340">
        <v>21.6</v>
      </c>
      <c r="BY340">
        <v>20</v>
      </c>
      <c r="BZ340">
        <v>21.9</v>
      </c>
      <c r="CA340">
        <v>20</v>
      </c>
      <c r="CB340">
        <v>12</v>
      </c>
      <c r="CC340">
        <v>10</v>
      </c>
      <c r="CD340">
        <v>10.3</v>
      </c>
      <c r="CE340">
        <v>10</v>
      </c>
      <c r="CF340">
        <v>11.3</v>
      </c>
      <c r="CG340">
        <v>9</v>
      </c>
      <c r="CH340">
        <v>11.5</v>
      </c>
      <c r="CI340">
        <v>9</v>
      </c>
    </row>
    <row r="341" spans="1:87" x14ac:dyDescent="0.35">
      <c r="A341" s="1">
        <v>46059.689583333333</v>
      </c>
      <c r="B341">
        <v>-19.2</v>
      </c>
      <c r="C341">
        <v>-19.5</v>
      </c>
      <c r="D341">
        <v>-25</v>
      </c>
      <c r="E341">
        <v>-19.5</v>
      </c>
      <c r="F341">
        <v>-18.5</v>
      </c>
      <c r="G341">
        <v>-25</v>
      </c>
      <c r="H341">
        <v>-19.600000000000001</v>
      </c>
      <c r="I341">
        <v>-19.2</v>
      </c>
      <c r="J341">
        <v>-25</v>
      </c>
      <c r="K341">
        <v>-19.3</v>
      </c>
      <c r="L341">
        <v>-19.3</v>
      </c>
      <c r="M341">
        <v>-25</v>
      </c>
      <c r="N341">
        <v>-18.600000000000001</v>
      </c>
      <c r="O341">
        <v>-17.100000000000001</v>
      </c>
      <c r="P341">
        <v>-25</v>
      </c>
      <c r="Q341">
        <v>-18.3</v>
      </c>
      <c r="R341">
        <v>-18</v>
      </c>
      <c r="S341">
        <v>-25</v>
      </c>
      <c r="T341">
        <v>2.2000000000000002</v>
      </c>
      <c r="U341">
        <v>2</v>
      </c>
      <c r="V341">
        <v>2</v>
      </c>
      <c r="W341">
        <v>2.2000000000000002</v>
      </c>
      <c r="X341">
        <v>1.8</v>
      </c>
      <c r="Y341">
        <v>2</v>
      </c>
      <c r="Z341">
        <v>2.7</v>
      </c>
      <c r="AA341">
        <v>1.9</v>
      </c>
      <c r="AB341">
        <v>2</v>
      </c>
      <c r="AC341">
        <v>2.1</v>
      </c>
      <c r="AD341">
        <v>-0.2</v>
      </c>
      <c r="AE341">
        <v>2</v>
      </c>
      <c r="AF341">
        <v>3</v>
      </c>
      <c r="AG341">
        <v>2.5</v>
      </c>
      <c r="AH341">
        <v>2</v>
      </c>
      <c r="AI341">
        <v>2.8</v>
      </c>
      <c r="AJ341">
        <v>-0.3</v>
      </c>
      <c r="AK341">
        <v>2</v>
      </c>
      <c r="AL341">
        <v>5.2</v>
      </c>
      <c r="AM341">
        <v>4</v>
      </c>
      <c r="AN341">
        <v>5.6</v>
      </c>
      <c r="AO341">
        <v>4</v>
      </c>
      <c r="AP341">
        <v>5.4</v>
      </c>
      <c r="AQ341">
        <v>4</v>
      </c>
      <c r="AR341">
        <v>3.5</v>
      </c>
      <c r="AS341">
        <v>4</v>
      </c>
      <c r="AT341">
        <v>-4.8</v>
      </c>
      <c r="AU341">
        <v>-5.4</v>
      </c>
      <c r="AV341">
        <v>-5</v>
      </c>
      <c r="AW341">
        <v>-4.2</v>
      </c>
      <c r="AX341">
        <v>-5.9</v>
      </c>
      <c r="AY341">
        <v>-5</v>
      </c>
      <c r="AZ341">
        <v>11.4</v>
      </c>
      <c r="BA341">
        <v>10</v>
      </c>
      <c r="BB341">
        <v>11.6</v>
      </c>
      <c r="BC341">
        <v>10</v>
      </c>
      <c r="BD341">
        <v>5.6</v>
      </c>
      <c r="BE341">
        <v>4</v>
      </c>
      <c r="BF341">
        <v>10.5</v>
      </c>
      <c r="BG341">
        <v>10</v>
      </c>
      <c r="BH341">
        <v>12.3</v>
      </c>
      <c r="BI341">
        <v>10</v>
      </c>
      <c r="BJ341">
        <v>10.8</v>
      </c>
      <c r="BK341">
        <v>9</v>
      </c>
      <c r="BL341">
        <v>20.8</v>
      </c>
      <c r="BM341">
        <v>19</v>
      </c>
      <c r="BN341">
        <v>22.5</v>
      </c>
      <c r="BO341">
        <v>19</v>
      </c>
      <c r="BP341">
        <v>21</v>
      </c>
      <c r="BQ341">
        <v>20</v>
      </c>
      <c r="BR341">
        <v>21.8</v>
      </c>
      <c r="BS341">
        <v>25</v>
      </c>
      <c r="BT341">
        <v>21.9</v>
      </c>
      <c r="BU341">
        <v>25</v>
      </c>
      <c r="BV341">
        <v>23.6</v>
      </c>
      <c r="BW341">
        <v>18</v>
      </c>
      <c r="BX341">
        <v>21.6</v>
      </c>
      <c r="BY341">
        <v>20</v>
      </c>
      <c r="BZ341">
        <v>21.9</v>
      </c>
      <c r="CA341">
        <v>20</v>
      </c>
      <c r="CB341">
        <v>12.1</v>
      </c>
      <c r="CC341">
        <v>10</v>
      </c>
      <c r="CD341">
        <v>10.3</v>
      </c>
      <c r="CE341">
        <v>10</v>
      </c>
      <c r="CF341">
        <v>11.4</v>
      </c>
      <c r="CG341">
        <v>9</v>
      </c>
      <c r="CH341">
        <v>11.6</v>
      </c>
      <c r="CI341">
        <v>9</v>
      </c>
    </row>
    <row r="342" spans="1:87" x14ac:dyDescent="0.35">
      <c r="A342" s="1">
        <v>46059.69027777778</v>
      </c>
      <c r="B342">
        <v>-19</v>
      </c>
      <c r="C342">
        <v>-19.2</v>
      </c>
      <c r="D342">
        <v>-25</v>
      </c>
      <c r="E342">
        <v>-19.100000000000001</v>
      </c>
      <c r="F342">
        <v>-18.5</v>
      </c>
      <c r="G342">
        <v>-25</v>
      </c>
      <c r="H342">
        <v>-19.600000000000001</v>
      </c>
      <c r="I342">
        <v>-15.8</v>
      </c>
      <c r="J342">
        <v>-25</v>
      </c>
      <c r="K342">
        <v>-19.100000000000001</v>
      </c>
      <c r="L342">
        <v>-19.5</v>
      </c>
      <c r="M342">
        <v>-25</v>
      </c>
      <c r="N342">
        <v>-18.600000000000001</v>
      </c>
      <c r="O342">
        <v>-17.2</v>
      </c>
      <c r="P342">
        <v>-25</v>
      </c>
      <c r="Q342">
        <v>-18.3</v>
      </c>
      <c r="R342">
        <v>-18</v>
      </c>
      <c r="S342">
        <v>-25</v>
      </c>
      <c r="T342">
        <v>2.4</v>
      </c>
      <c r="U342">
        <v>2.2000000000000002</v>
      </c>
      <c r="V342">
        <v>2</v>
      </c>
      <c r="W342">
        <v>2.4</v>
      </c>
      <c r="X342">
        <v>2</v>
      </c>
      <c r="Y342">
        <v>2</v>
      </c>
      <c r="Z342">
        <v>2.5</v>
      </c>
      <c r="AA342">
        <v>1.7</v>
      </c>
      <c r="AB342">
        <v>2</v>
      </c>
      <c r="AC342">
        <v>1.9</v>
      </c>
      <c r="AD342">
        <v>0</v>
      </c>
      <c r="AE342">
        <v>2</v>
      </c>
      <c r="AF342">
        <v>2.8</v>
      </c>
      <c r="AG342">
        <v>2.2000000000000002</v>
      </c>
      <c r="AH342">
        <v>2</v>
      </c>
      <c r="AI342">
        <v>2.5</v>
      </c>
      <c r="AJ342">
        <v>-0.7</v>
      </c>
      <c r="AK342">
        <v>2</v>
      </c>
      <c r="AL342">
        <v>5.2</v>
      </c>
      <c r="AM342">
        <v>4</v>
      </c>
      <c r="AN342">
        <v>5.6</v>
      </c>
      <c r="AO342">
        <v>4</v>
      </c>
      <c r="AP342">
        <v>5.5</v>
      </c>
      <c r="AQ342">
        <v>4</v>
      </c>
      <c r="AR342">
        <v>3.8</v>
      </c>
      <c r="AS342">
        <v>4</v>
      </c>
      <c r="AT342">
        <v>-4.4000000000000004</v>
      </c>
      <c r="AU342">
        <v>-4.8</v>
      </c>
      <c r="AV342">
        <v>-5</v>
      </c>
      <c r="AW342">
        <v>-4.3</v>
      </c>
      <c r="AX342">
        <v>-5</v>
      </c>
      <c r="AY342">
        <v>-5</v>
      </c>
      <c r="AZ342">
        <v>11.5</v>
      </c>
      <c r="BA342">
        <v>10</v>
      </c>
      <c r="BB342">
        <v>11.3</v>
      </c>
      <c r="BC342">
        <v>10</v>
      </c>
      <c r="BD342">
        <v>5</v>
      </c>
      <c r="BE342">
        <v>4</v>
      </c>
      <c r="BF342">
        <v>10.9</v>
      </c>
      <c r="BG342">
        <v>10</v>
      </c>
      <c r="BH342">
        <v>12.2</v>
      </c>
      <c r="BI342">
        <v>10</v>
      </c>
      <c r="BJ342">
        <v>10.8</v>
      </c>
      <c r="BK342">
        <v>9</v>
      </c>
      <c r="BL342">
        <v>20.8</v>
      </c>
      <c r="BM342">
        <v>19</v>
      </c>
      <c r="BN342">
        <v>22.5</v>
      </c>
      <c r="BO342">
        <v>19</v>
      </c>
      <c r="BP342">
        <v>21</v>
      </c>
      <c r="BQ342">
        <v>20</v>
      </c>
      <c r="BR342">
        <v>21.8</v>
      </c>
      <c r="BS342">
        <v>25</v>
      </c>
      <c r="BT342">
        <v>21.9</v>
      </c>
      <c r="BU342">
        <v>25</v>
      </c>
      <c r="BV342">
        <v>23.6</v>
      </c>
      <c r="BW342">
        <v>18</v>
      </c>
      <c r="BX342">
        <v>21.6</v>
      </c>
      <c r="BY342">
        <v>20</v>
      </c>
      <c r="BZ342">
        <v>21.9</v>
      </c>
      <c r="CA342">
        <v>20</v>
      </c>
      <c r="CB342">
        <v>12</v>
      </c>
      <c r="CC342">
        <v>10</v>
      </c>
      <c r="CD342">
        <v>10.3</v>
      </c>
      <c r="CE342">
        <v>10</v>
      </c>
      <c r="CF342">
        <v>11.4</v>
      </c>
      <c r="CG342">
        <v>9</v>
      </c>
      <c r="CH342">
        <v>11.6</v>
      </c>
      <c r="CI342">
        <v>9</v>
      </c>
    </row>
    <row r="343" spans="1:87" x14ac:dyDescent="0.35">
      <c r="A343" s="1">
        <v>46059.690972222219</v>
      </c>
      <c r="B343">
        <v>-18.7</v>
      </c>
      <c r="C343">
        <v>-18.7</v>
      </c>
      <c r="D343">
        <v>-25</v>
      </c>
      <c r="E343">
        <v>-18.600000000000001</v>
      </c>
      <c r="F343">
        <v>-18.5</v>
      </c>
      <c r="G343">
        <v>-25</v>
      </c>
      <c r="H343">
        <v>-19.600000000000001</v>
      </c>
      <c r="I343">
        <v>-10.1</v>
      </c>
      <c r="J343">
        <v>-25</v>
      </c>
      <c r="K343">
        <v>-18.899999999999999</v>
      </c>
      <c r="L343">
        <v>-19.5</v>
      </c>
      <c r="M343">
        <v>-25</v>
      </c>
      <c r="N343">
        <v>-18.399999999999999</v>
      </c>
      <c r="O343">
        <v>-17.3</v>
      </c>
      <c r="P343">
        <v>-25</v>
      </c>
      <c r="Q343">
        <v>-18.2</v>
      </c>
      <c r="R343">
        <v>-18</v>
      </c>
      <c r="S343">
        <v>-25</v>
      </c>
      <c r="T343">
        <v>2.5</v>
      </c>
      <c r="U343">
        <v>2.4</v>
      </c>
      <c r="V343">
        <v>2</v>
      </c>
      <c r="W343">
        <v>2.5</v>
      </c>
      <c r="X343">
        <v>2.2000000000000002</v>
      </c>
      <c r="Y343">
        <v>2</v>
      </c>
      <c r="Z343">
        <v>2.4</v>
      </c>
      <c r="AA343">
        <v>1.7</v>
      </c>
      <c r="AB343">
        <v>2</v>
      </c>
      <c r="AC343">
        <v>1.9</v>
      </c>
      <c r="AD343">
        <v>1.1000000000000001</v>
      </c>
      <c r="AE343">
        <v>2</v>
      </c>
      <c r="AF343">
        <v>2.5</v>
      </c>
      <c r="AG343">
        <v>2</v>
      </c>
      <c r="AH343">
        <v>2</v>
      </c>
      <c r="AI343">
        <v>2.4</v>
      </c>
      <c r="AJ343">
        <v>0.5</v>
      </c>
      <c r="AK343">
        <v>2</v>
      </c>
      <c r="AL343">
        <v>5.3</v>
      </c>
      <c r="AM343">
        <v>4</v>
      </c>
      <c r="AN343">
        <v>5.7</v>
      </c>
      <c r="AO343">
        <v>4</v>
      </c>
      <c r="AP343">
        <v>5.7</v>
      </c>
      <c r="AQ343">
        <v>4</v>
      </c>
      <c r="AR343">
        <v>4.0999999999999996</v>
      </c>
      <c r="AS343">
        <v>4</v>
      </c>
      <c r="AT343">
        <v>-3.8</v>
      </c>
      <c r="AU343">
        <v>-4.0999999999999996</v>
      </c>
      <c r="AV343">
        <v>-5</v>
      </c>
      <c r="AW343">
        <v>-3.7</v>
      </c>
      <c r="AX343">
        <v>-3.8</v>
      </c>
      <c r="AY343">
        <v>-5</v>
      </c>
      <c r="AZ343">
        <v>11.6</v>
      </c>
      <c r="BA343">
        <v>10</v>
      </c>
      <c r="BB343">
        <v>11.2</v>
      </c>
      <c r="BC343">
        <v>10</v>
      </c>
      <c r="BD343">
        <v>4.4000000000000004</v>
      </c>
      <c r="BE343">
        <v>4</v>
      </c>
      <c r="BF343">
        <v>11.2</v>
      </c>
      <c r="BG343">
        <v>10</v>
      </c>
      <c r="BH343">
        <v>12.2</v>
      </c>
      <c r="BI343">
        <v>10</v>
      </c>
      <c r="BJ343">
        <v>10.8</v>
      </c>
      <c r="BK343">
        <v>9</v>
      </c>
      <c r="BL343">
        <v>20.9</v>
      </c>
      <c r="BM343">
        <v>19</v>
      </c>
      <c r="BN343">
        <v>22.6</v>
      </c>
      <c r="BO343">
        <v>19</v>
      </c>
      <c r="BP343">
        <v>21.1</v>
      </c>
      <c r="BQ343">
        <v>20</v>
      </c>
      <c r="BR343">
        <v>21.7</v>
      </c>
      <c r="BS343">
        <v>25</v>
      </c>
      <c r="BT343">
        <v>21.9</v>
      </c>
      <c r="BU343">
        <v>25</v>
      </c>
      <c r="BV343">
        <v>23.6</v>
      </c>
      <c r="BW343">
        <v>18</v>
      </c>
      <c r="BX343">
        <v>21.6</v>
      </c>
      <c r="BY343">
        <v>20</v>
      </c>
      <c r="BZ343">
        <v>21.3</v>
      </c>
      <c r="CA343">
        <v>20</v>
      </c>
      <c r="CB343">
        <v>11.6</v>
      </c>
      <c r="CC343">
        <v>10</v>
      </c>
      <c r="CD343">
        <v>10.1</v>
      </c>
      <c r="CE343">
        <v>10</v>
      </c>
      <c r="CF343">
        <v>11.5</v>
      </c>
      <c r="CG343">
        <v>9</v>
      </c>
      <c r="CH343">
        <v>11.7</v>
      </c>
      <c r="CI343">
        <v>9</v>
      </c>
    </row>
    <row r="344" spans="1:87" x14ac:dyDescent="0.35">
      <c r="A344" s="1">
        <v>46059.691666666666</v>
      </c>
      <c r="B344">
        <v>-18.399999999999999</v>
      </c>
      <c r="C344">
        <v>-18.399999999999999</v>
      </c>
      <c r="D344">
        <v>-25</v>
      </c>
      <c r="E344">
        <v>-18.3</v>
      </c>
      <c r="F344">
        <v>-18.3</v>
      </c>
      <c r="G344">
        <v>-25</v>
      </c>
      <c r="H344">
        <v>-19.600000000000001</v>
      </c>
      <c r="I344">
        <v>-5.4</v>
      </c>
      <c r="J344">
        <v>-25</v>
      </c>
      <c r="K344">
        <v>-18.8</v>
      </c>
      <c r="L344">
        <v>-19.7</v>
      </c>
      <c r="M344">
        <v>-25</v>
      </c>
      <c r="N344">
        <v>-18.100000000000001</v>
      </c>
      <c r="O344">
        <v>-17.3</v>
      </c>
      <c r="P344">
        <v>-25</v>
      </c>
      <c r="Q344">
        <v>-18</v>
      </c>
      <c r="R344">
        <v>-17.899999999999999</v>
      </c>
      <c r="S344">
        <v>-25</v>
      </c>
      <c r="T344">
        <v>2.6</v>
      </c>
      <c r="U344">
        <v>2.5</v>
      </c>
      <c r="V344">
        <v>2</v>
      </c>
      <c r="W344">
        <v>2.6</v>
      </c>
      <c r="X344">
        <v>2.2999999999999998</v>
      </c>
      <c r="Y344">
        <v>2</v>
      </c>
      <c r="Z344">
        <v>2.4</v>
      </c>
      <c r="AA344">
        <v>2</v>
      </c>
      <c r="AB344">
        <v>2</v>
      </c>
      <c r="AC344">
        <v>2</v>
      </c>
      <c r="AD344">
        <v>1.5</v>
      </c>
      <c r="AE344">
        <v>2</v>
      </c>
      <c r="AF344">
        <v>2.5</v>
      </c>
      <c r="AG344">
        <v>2</v>
      </c>
      <c r="AH344">
        <v>2</v>
      </c>
      <c r="AI344">
        <v>2.4</v>
      </c>
      <c r="AJ344">
        <v>0.2</v>
      </c>
      <c r="AK344">
        <v>2</v>
      </c>
      <c r="AL344">
        <v>5.3</v>
      </c>
      <c r="AM344">
        <v>4</v>
      </c>
      <c r="AN344">
        <v>5.7</v>
      </c>
      <c r="AO344">
        <v>4</v>
      </c>
      <c r="AP344">
        <v>5.8</v>
      </c>
      <c r="AQ344">
        <v>4</v>
      </c>
      <c r="AR344">
        <v>4.5</v>
      </c>
      <c r="AS344">
        <v>4</v>
      </c>
      <c r="AT344">
        <v>-3.4</v>
      </c>
      <c r="AU344">
        <v>-3.6</v>
      </c>
      <c r="AV344">
        <v>-5</v>
      </c>
      <c r="AW344">
        <v>-3.4</v>
      </c>
      <c r="AX344">
        <v>-3.5</v>
      </c>
      <c r="AY344">
        <v>-5</v>
      </c>
      <c r="AZ344">
        <v>11.7</v>
      </c>
      <c r="BA344">
        <v>10</v>
      </c>
      <c r="BB344">
        <v>11</v>
      </c>
      <c r="BC344">
        <v>10</v>
      </c>
      <c r="BD344">
        <v>4</v>
      </c>
      <c r="BE344">
        <v>4</v>
      </c>
      <c r="BF344">
        <v>11.4</v>
      </c>
      <c r="BG344">
        <v>10</v>
      </c>
      <c r="BH344">
        <v>12.1</v>
      </c>
      <c r="BI344">
        <v>10</v>
      </c>
      <c r="BJ344">
        <v>10.8</v>
      </c>
      <c r="BK344">
        <v>9</v>
      </c>
      <c r="BL344">
        <v>20.9</v>
      </c>
      <c r="BM344">
        <v>19</v>
      </c>
      <c r="BN344">
        <v>22.6</v>
      </c>
      <c r="BO344">
        <v>19</v>
      </c>
      <c r="BP344">
        <v>21.1</v>
      </c>
      <c r="BQ344">
        <v>20</v>
      </c>
      <c r="BR344">
        <v>21.7</v>
      </c>
      <c r="BS344">
        <v>25</v>
      </c>
      <c r="BT344">
        <v>21.9</v>
      </c>
      <c r="BU344">
        <v>25</v>
      </c>
      <c r="BV344">
        <v>23.6</v>
      </c>
      <c r="BW344">
        <v>18</v>
      </c>
      <c r="BX344">
        <v>21.7</v>
      </c>
      <c r="BY344">
        <v>20</v>
      </c>
      <c r="BZ344">
        <v>19.8</v>
      </c>
      <c r="CA344">
        <v>20</v>
      </c>
      <c r="CB344">
        <v>11.4</v>
      </c>
      <c r="CC344">
        <v>10</v>
      </c>
      <c r="CD344">
        <v>10.1</v>
      </c>
      <c r="CE344">
        <v>10</v>
      </c>
      <c r="CF344">
        <v>11.5</v>
      </c>
      <c r="CG344">
        <v>9</v>
      </c>
      <c r="CH344">
        <v>11.7</v>
      </c>
      <c r="CI344">
        <v>9</v>
      </c>
    </row>
    <row r="345" spans="1:87" x14ac:dyDescent="0.35">
      <c r="A345" s="1">
        <v>46059.692361111112</v>
      </c>
      <c r="B345">
        <v>-18.100000000000001</v>
      </c>
      <c r="C345">
        <v>-18.100000000000001</v>
      </c>
      <c r="D345">
        <v>-25</v>
      </c>
      <c r="E345">
        <v>-18</v>
      </c>
      <c r="F345">
        <v>-18.100000000000001</v>
      </c>
      <c r="G345">
        <v>-25</v>
      </c>
      <c r="H345">
        <v>-19.600000000000001</v>
      </c>
      <c r="I345">
        <v>-1.3</v>
      </c>
      <c r="J345">
        <v>-25</v>
      </c>
      <c r="K345">
        <v>-18.8</v>
      </c>
      <c r="L345">
        <v>-20.100000000000001</v>
      </c>
      <c r="M345">
        <v>-25</v>
      </c>
      <c r="N345">
        <v>-17.899999999999999</v>
      </c>
      <c r="O345">
        <v>-17.3</v>
      </c>
      <c r="P345">
        <v>-25</v>
      </c>
      <c r="Q345">
        <v>-17.8</v>
      </c>
      <c r="R345">
        <v>-17.7</v>
      </c>
      <c r="S345">
        <v>-25</v>
      </c>
      <c r="T345">
        <v>2.8</v>
      </c>
      <c r="U345">
        <v>2.7</v>
      </c>
      <c r="V345">
        <v>2</v>
      </c>
      <c r="W345">
        <v>2.7</v>
      </c>
      <c r="X345">
        <v>2.5</v>
      </c>
      <c r="Y345">
        <v>2</v>
      </c>
      <c r="Z345">
        <v>2.5</v>
      </c>
      <c r="AA345">
        <v>2.1</v>
      </c>
      <c r="AB345">
        <v>2</v>
      </c>
      <c r="AC345">
        <v>2.2000000000000002</v>
      </c>
      <c r="AD345">
        <v>1.8</v>
      </c>
      <c r="AE345">
        <v>2</v>
      </c>
      <c r="AF345">
        <v>2.4</v>
      </c>
      <c r="AG345">
        <v>1.9</v>
      </c>
      <c r="AH345">
        <v>2</v>
      </c>
      <c r="AI345">
        <v>2.2000000000000002</v>
      </c>
      <c r="AJ345">
        <v>-0.5</v>
      </c>
      <c r="AK345">
        <v>2</v>
      </c>
      <c r="AL345">
        <v>5.4</v>
      </c>
      <c r="AM345">
        <v>4</v>
      </c>
      <c r="AN345">
        <v>5.8</v>
      </c>
      <c r="AO345">
        <v>4</v>
      </c>
      <c r="AP345">
        <v>6</v>
      </c>
      <c r="AQ345">
        <v>4</v>
      </c>
      <c r="AR345">
        <v>4.8</v>
      </c>
      <c r="AS345">
        <v>4</v>
      </c>
      <c r="AT345">
        <v>-3</v>
      </c>
      <c r="AU345">
        <v>-3.2</v>
      </c>
      <c r="AV345">
        <v>-5</v>
      </c>
      <c r="AW345">
        <v>-3.7</v>
      </c>
      <c r="AX345">
        <v>-5.9</v>
      </c>
      <c r="AY345">
        <v>-5</v>
      </c>
      <c r="AZ345">
        <v>11.7</v>
      </c>
      <c r="BA345">
        <v>10</v>
      </c>
      <c r="BB345">
        <v>10.6</v>
      </c>
      <c r="BC345">
        <v>10</v>
      </c>
      <c r="BD345">
        <v>3.7</v>
      </c>
      <c r="BE345">
        <v>4</v>
      </c>
      <c r="BF345">
        <v>11.9</v>
      </c>
      <c r="BG345">
        <v>10</v>
      </c>
      <c r="BH345">
        <v>12</v>
      </c>
      <c r="BI345">
        <v>10</v>
      </c>
      <c r="BJ345">
        <v>10.8</v>
      </c>
      <c r="BK345">
        <v>9</v>
      </c>
      <c r="BL345">
        <v>20.9</v>
      </c>
      <c r="BM345">
        <v>19</v>
      </c>
      <c r="BN345">
        <v>22.6</v>
      </c>
      <c r="BO345">
        <v>19</v>
      </c>
      <c r="BP345">
        <v>21.2</v>
      </c>
      <c r="BQ345">
        <v>20</v>
      </c>
      <c r="BR345">
        <v>21.7</v>
      </c>
      <c r="BS345">
        <v>25</v>
      </c>
      <c r="BT345">
        <v>21.9</v>
      </c>
      <c r="BU345">
        <v>25</v>
      </c>
      <c r="BV345">
        <v>23.6</v>
      </c>
      <c r="BW345">
        <v>18</v>
      </c>
      <c r="BX345">
        <v>21.7</v>
      </c>
      <c r="BY345">
        <v>20</v>
      </c>
      <c r="BZ345">
        <v>19.100000000000001</v>
      </c>
      <c r="CA345">
        <v>20</v>
      </c>
      <c r="CB345">
        <v>11.2</v>
      </c>
      <c r="CC345">
        <v>10</v>
      </c>
      <c r="CD345">
        <v>10</v>
      </c>
      <c r="CE345">
        <v>10</v>
      </c>
      <c r="CF345">
        <v>11.5</v>
      </c>
      <c r="CG345">
        <v>9</v>
      </c>
      <c r="CH345">
        <v>11.7</v>
      </c>
      <c r="CI345">
        <v>9</v>
      </c>
    </row>
    <row r="346" spans="1:87" x14ac:dyDescent="0.35">
      <c r="A346" s="1">
        <v>46059.693055555559</v>
      </c>
      <c r="B346">
        <v>-17.899999999999999</v>
      </c>
      <c r="C346">
        <v>-17.8</v>
      </c>
      <c r="D346">
        <v>-25</v>
      </c>
      <c r="E346">
        <v>-17.7</v>
      </c>
      <c r="F346">
        <v>-18</v>
      </c>
      <c r="G346">
        <v>-25</v>
      </c>
      <c r="H346">
        <v>-19.600000000000001</v>
      </c>
      <c r="I346">
        <v>-0.3</v>
      </c>
      <c r="J346">
        <v>-25</v>
      </c>
      <c r="K346">
        <v>-18.8</v>
      </c>
      <c r="L346">
        <v>-19.5</v>
      </c>
      <c r="M346">
        <v>-25</v>
      </c>
      <c r="N346">
        <v>-17.7</v>
      </c>
      <c r="O346">
        <v>-17.3</v>
      </c>
      <c r="P346">
        <v>-25</v>
      </c>
      <c r="Q346">
        <v>-17.600000000000001</v>
      </c>
      <c r="R346">
        <v>-17.5</v>
      </c>
      <c r="S346">
        <v>-25</v>
      </c>
      <c r="T346">
        <v>2.8</v>
      </c>
      <c r="U346">
        <v>2.8</v>
      </c>
      <c r="V346">
        <v>2</v>
      </c>
      <c r="W346">
        <v>2.8</v>
      </c>
      <c r="X346">
        <v>2.6</v>
      </c>
      <c r="Y346">
        <v>2</v>
      </c>
      <c r="Z346">
        <v>2.6</v>
      </c>
      <c r="AA346">
        <v>2.2000000000000002</v>
      </c>
      <c r="AB346">
        <v>2</v>
      </c>
      <c r="AC346">
        <v>2.2999999999999998</v>
      </c>
      <c r="AD346">
        <v>2</v>
      </c>
      <c r="AE346">
        <v>2</v>
      </c>
      <c r="AF346">
        <v>2.2999999999999998</v>
      </c>
      <c r="AG346">
        <v>1.8</v>
      </c>
      <c r="AH346">
        <v>2</v>
      </c>
      <c r="AI346">
        <v>2.1</v>
      </c>
      <c r="AJ346">
        <v>1.1000000000000001</v>
      </c>
      <c r="AK346">
        <v>2</v>
      </c>
      <c r="AL346">
        <v>5.4</v>
      </c>
      <c r="AM346">
        <v>4</v>
      </c>
      <c r="AN346">
        <v>5.8</v>
      </c>
      <c r="AO346">
        <v>4</v>
      </c>
      <c r="AP346">
        <v>6</v>
      </c>
      <c r="AQ346">
        <v>4</v>
      </c>
      <c r="AR346">
        <v>5</v>
      </c>
      <c r="AS346">
        <v>4</v>
      </c>
      <c r="AT346">
        <v>-2.9</v>
      </c>
      <c r="AU346">
        <v>-4</v>
      </c>
      <c r="AV346">
        <v>-5</v>
      </c>
      <c r="AW346">
        <v>-4</v>
      </c>
      <c r="AX346">
        <v>-5.6</v>
      </c>
      <c r="AY346">
        <v>-5</v>
      </c>
      <c r="AZ346">
        <v>11.8</v>
      </c>
      <c r="BA346">
        <v>10</v>
      </c>
      <c r="BB346">
        <v>10.5</v>
      </c>
      <c r="BC346">
        <v>10</v>
      </c>
      <c r="BD346">
        <v>3.7</v>
      </c>
      <c r="BE346">
        <v>4</v>
      </c>
      <c r="BF346">
        <v>12</v>
      </c>
      <c r="BG346">
        <v>10</v>
      </c>
      <c r="BH346">
        <v>11.9</v>
      </c>
      <c r="BI346">
        <v>10</v>
      </c>
      <c r="BJ346">
        <v>10.8</v>
      </c>
      <c r="BK346">
        <v>9</v>
      </c>
      <c r="BL346">
        <v>20.9</v>
      </c>
      <c r="BM346">
        <v>19</v>
      </c>
      <c r="BN346">
        <v>22.6</v>
      </c>
      <c r="BO346">
        <v>19</v>
      </c>
      <c r="BP346">
        <v>21.2</v>
      </c>
      <c r="BQ346">
        <v>20</v>
      </c>
      <c r="BR346">
        <v>21.7</v>
      </c>
      <c r="BS346">
        <v>25</v>
      </c>
      <c r="BT346">
        <v>21.9</v>
      </c>
      <c r="BU346">
        <v>25</v>
      </c>
      <c r="BV346">
        <v>23.5</v>
      </c>
      <c r="BW346">
        <v>18</v>
      </c>
      <c r="BX346">
        <v>21.7</v>
      </c>
      <c r="BY346">
        <v>20</v>
      </c>
      <c r="BZ346">
        <v>19.100000000000001</v>
      </c>
      <c r="CA346">
        <v>20</v>
      </c>
      <c r="CB346">
        <v>11</v>
      </c>
      <c r="CC346">
        <v>10</v>
      </c>
      <c r="CD346">
        <v>10</v>
      </c>
      <c r="CE346">
        <v>10</v>
      </c>
      <c r="CF346">
        <v>11.6</v>
      </c>
      <c r="CG346">
        <v>9</v>
      </c>
      <c r="CH346">
        <v>11.8</v>
      </c>
      <c r="CI346">
        <v>9</v>
      </c>
    </row>
    <row r="347" spans="1:87" x14ac:dyDescent="0.35">
      <c r="A347" s="1">
        <v>46059.693749999999</v>
      </c>
      <c r="B347">
        <v>-17.600000000000001</v>
      </c>
      <c r="C347">
        <v>-17.600000000000001</v>
      </c>
      <c r="D347">
        <v>-25</v>
      </c>
      <c r="E347">
        <v>-17.399999999999999</v>
      </c>
      <c r="F347">
        <v>-17.7</v>
      </c>
      <c r="G347">
        <v>-25</v>
      </c>
      <c r="H347">
        <v>-19.600000000000001</v>
      </c>
      <c r="I347">
        <v>0.2</v>
      </c>
      <c r="J347">
        <v>-25</v>
      </c>
      <c r="K347">
        <v>-18.8</v>
      </c>
      <c r="L347">
        <v>-19.2</v>
      </c>
      <c r="M347">
        <v>-25</v>
      </c>
      <c r="N347">
        <v>-17.5</v>
      </c>
      <c r="O347">
        <v>-17.3</v>
      </c>
      <c r="P347">
        <v>-25</v>
      </c>
      <c r="Q347">
        <v>-17.5</v>
      </c>
      <c r="R347">
        <v>-17.399999999999999</v>
      </c>
      <c r="S347">
        <v>-25</v>
      </c>
      <c r="T347">
        <v>2.9</v>
      </c>
      <c r="U347">
        <v>2.9</v>
      </c>
      <c r="V347">
        <v>2</v>
      </c>
      <c r="W347">
        <v>2.9</v>
      </c>
      <c r="X347">
        <v>2.7</v>
      </c>
      <c r="Y347">
        <v>2</v>
      </c>
      <c r="Z347">
        <v>2.7</v>
      </c>
      <c r="AA347">
        <v>2.2999999999999998</v>
      </c>
      <c r="AB347">
        <v>2</v>
      </c>
      <c r="AC347">
        <v>2.4</v>
      </c>
      <c r="AD347">
        <v>2</v>
      </c>
      <c r="AE347">
        <v>2</v>
      </c>
      <c r="AF347">
        <v>2.2999999999999998</v>
      </c>
      <c r="AG347">
        <v>2.1</v>
      </c>
      <c r="AH347">
        <v>2</v>
      </c>
      <c r="AI347">
        <v>2.2000000000000002</v>
      </c>
      <c r="AJ347">
        <v>1.2</v>
      </c>
      <c r="AK347">
        <v>2</v>
      </c>
      <c r="AL347">
        <v>5.5</v>
      </c>
      <c r="AM347">
        <v>4</v>
      </c>
      <c r="AN347">
        <v>5.9</v>
      </c>
      <c r="AO347">
        <v>4</v>
      </c>
      <c r="AP347">
        <v>5.3</v>
      </c>
      <c r="AQ347">
        <v>4</v>
      </c>
      <c r="AR347">
        <v>5.2</v>
      </c>
      <c r="AS347">
        <v>4</v>
      </c>
      <c r="AT347">
        <v>-3.1</v>
      </c>
      <c r="AU347">
        <v>-4.9000000000000004</v>
      </c>
      <c r="AV347">
        <v>-5</v>
      </c>
      <c r="AW347">
        <v>-4</v>
      </c>
      <c r="AX347">
        <v>-4.7</v>
      </c>
      <c r="AY347">
        <v>-5</v>
      </c>
      <c r="AZ347">
        <v>11.9</v>
      </c>
      <c r="BA347">
        <v>10</v>
      </c>
      <c r="BB347">
        <v>10.4</v>
      </c>
      <c r="BC347">
        <v>10</v>
      </c>
      <c r="BD347">
        <v>3.8</v>
      </c>
      <c r="BE347">
        <v>4</v>
      </c>
      <c r="BF347">
        <v>11.6</v>
      </c>
      <c r="BG347">
        <v>10</v>
      </c>
      <c r="BH347">
        <v>11.9</v>
      </c>
      <c r="BI347">
        <v>10</v>
      </c>
      <c r="BJ347">
        <v>10.8</v>
      </c>
      <c r="BK347">
        <v>9</v>
      </c>
      <c r="BL347">
        <v>20.9</v>
      </c>
      <c r="BM347">
        <v>19</v>
      </c>
      <c r="BN347">
        <v>22.7</v>
      </c>
      <c r="BO347">
        <v>19</v>
      </c>
      <c r="BP347">
        <v>21.2</v>
      </c>
      <c r="BQ347">
        <v>20</v>
      </c>
      <c r="BR347">
        <v>21.7</v>
      </c>
      <c r="BS347">
        <v>25</v>
      </c>
      <c r="BT347">
        <v>21.9</v>
      </c>
      <c r="BU347">
        <v>25</v>
      </c>
      <c r="BV347">
        <v>23.5</v>
      </c>
      <c r="BW347">
        <v>18</v>
      </c>
      <c r="BX347">
        <v>21.7</v>
      </c>
      <c r="BY347">
        <v>20</v>
      </c>
      <c r="BZ347">
        <v>19.5</v>
      </c>
      <c r="CA347">
        <v>20</v>
      </c>
      <c r="CB347">
        <v>10.8</v>
      </c>
      <c r="CC347">
        <v>10</v>
      </c>
      <c r="CD347">
        <v>10.1</v>
      </c>
      <c r="CE347">
        <v>10</v>
      </c>
      <c r="CF347">
        <v>11.7</v>
      </c>
      <c r="CG347">
        <v>9</v>
      </c>
      <c r="CH347">
        <v>11.9</v>
      </c>
      <c r="CI347">
        <v>9</v>
      </c>
    </row>
    <row r="348" spans="1:87" x14ac:dyDescent="0.35">
      <c r="A348" s="1">
        <v>46059.694444444445</v>
      </c>
      <c r="B348">
        <v>-17.399999999999999</v>
      </c>
      <c r="C348">
        <v>-17.399999999999999</v>
      </c>
      <c r="D348">
        <v>-25</v>
      </c>
      <c r="E348">
        <v>-17.3</v>
      </c>
      <c r="F348">
        <v>-17.5</v>
      </c>
      <c r="G348">
        <v>-25</v>
      </c>
      <c r="H348">
        <v>-19.600000000000001</v>
      </c>
      <c r="I348">
        <v>0.6</v>
      </c>
      <c r="J348">
        <v>-25</v>
      </c>
      <c r="K348">
        <v>-18.8</v>
      </c>
      <c r="L348">
        <v>-19.2</v>
      </c>
      <c r="M348">
        <v>-25</v>
      </c>
      <c r="N348">
        <v>-17.399999999999999</v>
      </c>
      <c r="O348">
        <v>-17.3</v>
      </c>
      <c r="P348">
        <v>-25</v>
      </c>
      <c r="Q348">
        <v>-17.399999999999999</v>
      </c>
      <c r="R348">
        <v>-17.2</v>
      </c>
      <c r="S348">
        <v>-25</v>
      </c>
      <c r="T348">
        <v>3</v>
      </c>
      <c r="U348">
        <v>3</v>
      </c>
      <c r="V348">
        <v>2</v>
      </c>
      <c r="W348">
        <v>3</v>
      </c>
      <c r="X348">
        <v>2.8</v>
      </c>
      <c r="Y348">
        <v>2</v>
      </c>
      <c r="Z348">
        <v>2.7</v>
      </c>
      <c r="AA348">
        <v>2.4</v>
      </c>
      <c r="AB348">
        <v>2</v>
      </c>
      <c r="AC348">
        <v>2.4</v>
      </c>
      <c r="AD348">
        <v>2.1</v>
      </c>
      <c r="AE348">
        <v>2</v>
      </c>
      <c r="AF348">
        <v>2.4</v>
      </c>
      <c r="AG348">
        <v>2.2000000000000002</v>
      </c>
      <c r="AH348">
        <v>2</v>
      </c>
      <c r="AI348">
        <v>2.2999999999999998</v>
      </c>
      <c r="AJ348">
        <v>1.7</v>
      </c>
      <c r="AK348">
        <v>2</v>
      </c>
      <c r="AL348">
        <v>5.5</v>
      </c>
      <c r="AM348">
        <v>4</v>
      </c>
      <c r="AN348">
        <v>5.9</v>
      </c>
      <c r="AO348">
        <v>4</v>
      </c>
      <c r="AP348">
        <v>4.5999999999999996</v>
      </c>
      <c r="AQ348">
        <v>4</v>
      </c>
      <c r="AR348">
        <v>5.5</v>
      </c>
      <c r="AS348">
        <v>4</v>
      </c>
      <c r="AT348">
        <v>-3.5</v>
      </c>
      <c r="AU348">
        <v>-5.5</v>
      </c>
      <c r="AV348">
        <v>-5</v>
      </c>
      <c r="AW348">
        <v>-4</v>
      </c>
      <c r="AX348">
        <v>-4.4000000000000004</v>
      </c>
      <c r="AY348">
        <v>-5</v>
      </c>
      <c r="AZ348">
        <v>11.9</v>
      </c>
      <c r="BA348">
        <v>10</v>
      </c>
      <c r="BB348">
        <v>10.3</v>
      </c>
      <c r="BC348">
        <v>10</v>
      </c>
      <c r="BD348">
        <v>4.0999999999999996</v>
      </c>
      <c r="BE348">
        <v>4</v>
      </c>
      <c r="BF348">
        <v>10.8</v>
      </c>
      <c r="BG348">
        <v>10</v>
      </c>
      <c r="BH348">
        <v>11.8</v>
      </c>
      <c r="BI348">
        <v>10</v>
      </c>
      <c r="BJ348">
        <v>10.8</v>
      </c>
      <c r="BK348">
        <v>9</v>
      </c>
      <c r="BL348">
        <v>20.9</v>
      </c>
      <c r="BM348">
        <v>19</v>
      </c>
      <c r="BN348">
        <v>22.7</v>
      </c>
      <c r="BO348">
        <v>19</v>
      </c>
      <c r="BP348">
        <v>21.2</v>
      </c>
      <c r="BQ348">
        <v>20</v>
      </c>
      <c r="BR348">
        <v>21.7</v>
      </c>
      <c r="BS348">
        <v>25</v>
      </c>
      <c r="BT348">
        <v>21.9</v>
      </c>
      <c r="BU348">
        <v>25</v>
      </c>
      <c r="BV348">
        <v>23.5</v>
      </c>
      <c r="BW348">
        <v>18</v>
      </c>
      <c r="BX348">
        <v>21.7</v>
      </c>
      <c r="BY348">
        <v>20</v>
      </c>
      <c r="BZ348">
        <v>19.899999999999999</v>
      </c>
      <c r="CA348">
        <v>20</v>
      </c>
      <c r="CB348">
        <v>10.6</v>
      </c>
      <c r="CC348">
        <v>10</v>
      </c>
      <c r="CD348">
        <v>10.199999999999999</v>
      </c>
      <c r="CE348">
        <v>10</v>
      </c>
      <c r="CF348">
        <v>11.8</v>
      </c>
      <c r="CG348">
        <v>9</v>
      </c>
      <c r="CH348">
        <v>12</v>
      </c>
      <c r="CI348">
        <v>9</v>
      </c>
    </row>
    <row r="349" spans="1:87" x14ac:dyDescent="0.35">
      <c r="A349" s="1">
        <v>46059.695138888892</v>
      </c>
      <c r="B349">
        <v>-17.3</v>
      </c>
      <c r="C349">
        <v>-17.3</v>
      </c>
      <c r="D349">
        <v>-25</v>
      </c>
      <c r="E349">
        <v>-17.3</v>
      </c>
      <c r="F349">
        <v>-17.399999999999999</v>
      </c>
      <c r="G349">
        <v>-25</v>
      </c>
      <c r="H349">
        <v>-19.600000000000001</v>
      </c>
      <c r="I349">
        <v>1.4</v>
      </c>
      <c r="J349">
        <v>-25</v>
      </c>
      <c r="K349">
        <v>-18.8</v>
      </c>
      <c r="L349">
        <v>-19.100000000000001</v>
      </c>
      <c r="M349">
        <v>-25</v>
      </c>
      <c r="N349">
        <v>-17.3</v>
      </c>
      <c r="O349">
        <v>-17.3</v>
      </c>
      <c r="P349">
        <v>-25</v>
      </c>
      <c r="Q349">
        <v>-17.2</v>
      </c>
      <c r="R349">
        <v>-17.100000000000001</v>
      </c>
      <c r="S349">
        <v>-25</v>
      </c>
      <c r="T349">
        <v>3.1</v>
      </c>
      <c r="U349">
        <v>3.1</v>
      </c>
      <c r="V349">
        <v>2</v>
      </c>
      <c r="W349">
        <v>3.1</v>
      </c>
      <c r="X349">
        <v>2.9</v>
      </c>
      <c r="Y349">
        <v>2</v>
      </c>
      <c r="Z349">
        <v>2.8</v>
      </c>
      <c r="AA349">
        <v>2.5</v>
      </c>
      <c r="AB349">
        <v>2</v>
      </c>
      <c r="AC349">
        <v>2.6</v>
      </c>
      <c r="AD349">
        <v>2.2999999999999998</v>
      </c>
      <c r="AE349">
        <v>2</v>
      </c>
      <c r="AF349">
        <v>2.5</v>
      </c>
      <c r="AG349">
        <v>2.2999999999999998</v>
      </c>
      <c r="AH349">
        <v>2</v>
      </c>
      <c r="AI349">
        <v>2.4</v>
      </c>
      <c r="AJ349">
        <v>1.9</v>
      </c>
      <c r="AK349">
        <v>2</v>
      </c>
      <c r="AL349">
        <v>5.5</v>
      </c>
      <c r="AM349">
        <v>4</v>
      </c>
      <c r="AN349">
        <v>6</v>
      </c>
      <c r="AO349">
        <v>4</v>
      </c>
      <c r="AP349">
        <v>3.6</v>
      </c>
      <c r="AQ349">
        <v>4</v>
      </c>
      <c r="AR349">
        <v>5.7</v>
      </c>
      <c r="AS349">
        <v>4</v>
      </c>
      <c r="AT349">
        <v>-3.8</v>
      </c>
      <c r="AU349">
        <v>-5.5</v>
      </c>
      <c r="AV349">
        <v>-5</v>
      </c>
      <c r="AW349">
        <v>-4</v>
      </c>
      <c r="AX349">
        <v>-4.5</v>
      </c>
      <c r="AY349">
        <v>-5</v>
      </c>
      <c r="AZ349">
        <v>12</v>
      </c>
      <c r="BA349">
        <v>10</v>
      </c>
      <c r="BB349">
        <v>10.3</v>
      </c>
      <c r="BC349">
        <v>10</v>
      </c>
      <c r="BD349">
        <v>4.4000000000000004</v>
      </c>
      <c r="BE349">
        <v>4</v>
      </c>
      <c r="BF349">
        <v>10.1</v>
      </c>
      <c r="BG349">
        <v>10</v>
      </c>
      <c r="BH349">
        <v>11.7</v>
      </c>
      <c r="BI349">
        <v>10</v>
      </c>
      <c r="BJ349">
        <v>10.8</v>
      </c>
      <c r="BK349">
        <v>9</v>
      </c>
      <c r="BL349">
        <v>20.9</v>
      </c>
      <c r="BM349">
        <v>19</v>
      </c>
      <c r="BN349">
        <v>22.7</v>
      </c>
      <c r="BO349">
        <v>19</v>
      </c>
      <c r="BP349">
        <v>21.3</v>
      </c>
      <c r="BQ349">
        <v>20</v>
      </c>
      <c r="BR349">
        <v>21.7</v>
      </c>
      <c r="BS349">
        <v>25</v>
      </c>
      <c r="BT349">
        <v>21.9</v>
      </c>
      <c r="BU349">
        <v>25</v>
      </c>
      <c r="BV349">
        <v>23.5</v>
      </c>
      <c r="BW349">
        <v>18</v>
      </c>
      <c r="BX349">
        <v>21.7</v>
      </c>
      <c r="BY349">
        <v>20</v>
      </c>
      <c r="BZ349">
        <v>20.2</v>
      </c>
      <c r="CA349">
        <v>20</v>
      </c>
      <c r="CB349">
        <v>10.6</v>
      </c>
      <c r="CC349">
        <v>10</v>
      </c>
      <c r="CD349">
        <v>10.4</v>
      </c>
      <c r="CE349">
        <v>10</v>
      </c>
      <c r="CF349">
        <v>11.3</v>
      </c>
      <c r="CG349">
        <v>9</v>
      </c>
      <c r="CH349">
        <v>11.5</v>
      </c>
      <c r="CI349">
        <v>9</v>
      </c>
    </row>
    <row r="350" spans="1:87" x14ac:dyDescent="0.35">
      <c r="A350" s="1">
        <v>46059.695833333331</v>
      </c>
      <c r="B350">
        <v>-17.3</v>
      </c>
      <c r="C350">
        <v>-17.3</v>
      </c>
      <c r="D350">
        <v>-25</v>
      </c>
      <c r="E350">
        <v>-17.5</v>
      </c>
      <c r="F350">
        <v>-17.399999999999999</v>
      </c>
      <c r="G350">
        <v>-25</v>
      </c>
      <c r="H350">
        <v>-19.600000000000001</v>
      </c>
      <c r="I350">
        <v>3.9</v>
      </c>
      <c r="J350">
        <v>-25</v>
      </c>
      <c r="K350">
        <v>-18.600000000000001</v>
      </c>
      <c r="L350">
        <v>-18.8</v>
      </c>
      <c r="M350">
        <v>-25</v>
      </c>
      <c r="N350">
        <v>-17.2</v>
      </c>
      <c r="O350">
        <v>-17.2</v>
      </c>
      <c r="P350">
        <v>-25</v>
      </c>
      <c r="Q350">
        <v>-17.100000000000001</v>
      </c>
      <c r="R350">
        <v>-17</v>
      </c>
      <c r="S350">
        <v>-25</v>
      </c>
      <c r="T350">
        <v>3.2</v>
      </c>
      <c r="U350">
        <v>3.2</v>
      </c>
      <c r="V350">
        <v>2</v>
      </c>
      <c r="W350">
        <v>3.2</v>
      </c>
      <c r="X350">
        <v>3</v>
      </c>
      <c r="Y350">
        <v>2</v>
      </c>
      <c r="Z350">
        <v>2.9</v>
      </c>
      <c r="AA350">
        <v>2.6</v>
      </c>
      <c r="AB350">
        <v>2</v>
      </c>
      <c r="AC350">
        <v>2.6</v>
      </c>
      <c r="AD350">
        <v>2.4</v>
      </c>
      <c r="AE350">
        <v>2</v>
      </c>
      <c r="AF350">
        <v>2.6</v>
      </c>
      <c r="AG350">
        <v>2.4</v>
      </c>
      <c r="AH350">
        <v>2</v>
      </c>
      <c r="AI350">
        <v>2.5</v>
      </c>
      <c r="AJ350">
        <v>1.8</v>
      </c>
      <c r="AK350">
        <v>2</v>
      </c>
      <c r="AL350">
        <v>5.6</v>
      </c>
      <c r="AM350">
        <v>4</v>
      </c>
      <c r="AN350">
        <v>6</v>
      </c>
      <c r="AO350">
        <v>4</v>
      </c>
      <c r="AP350">
        <v>3.1</v>
      </c>
      <c r="AQ350">
        <v>4</v>
      </c>
      <c r="AR350">
        <v>5.9</v>
      </c>
      <c r="AS350">
        <v>4</v>
      </c>
      <c r="AT350">
        <v>-4</v>
      </c>
      <c r="AU350">
        <v>-6</v>
      </c>
      <c r="AV350">
        <v>-5</v>
      </c>
      <c r="AW350">
        <v>-4</v>
      </c>
      <c r="AX350">
        <v>-5.7</v>
      </c>
      <c r="AY350">
        <v>-5</v>
      </c>
      <c r="AZ350">
        <v>11</v>
      </c>
      <c r="BA350">
        <v>10</v>
      </c>
      <c r="BB350">
        <v>10.3</v>
      </c>
      <c r="BC350">
        <v>10</v>
      </c>
      <c r="BD350">
        <v>4.7</v>
      </c>
      <c r="BE350">
        <v>4</v>
      </c>
      <c r="BF350">
        <v>9.6</v>
      </c>
      <c r="BG350">
        <v>10</v>
      </c>
      <c r="BH350">
        <v>11.7</v>
      </c>
      <c r="BI350">
        <v>10</v>
      </c>
      <c r="BJ350">
        <v>10.8</v>
      </c>
      <c r="BK350">
        <v>9</v>
      </c>
      <c r="BL350">
        <v>21</v>
      </c>
      <c r="BM350">
        <v>19</v>
      </c>
      <c r="BN350">
        <v>22.7</v>
      </c>
      <c r="BO350">
        <v>19</v>
      </c>
      <c r="BP350">
        <v>21.3</v>
      </c>
      <c r="BQ350">
        <v>20</v>
      </c>
      <c r="BR350">
        <v>21.7</v>
      </c>
      <c r="BS350">
        <v>25</v>
      </c>
      <c r="BT350">
        <v>21.9</v>
      </c>
      <c r="BU350">
        <v>25</v>
      </c>
      <c r="BV350">
        <v>23.5</v>
      </c>
      <c r="BW350">
        <v>18</v>
      </c>
      <c r="BX350">
        <v>21.8</v>
      </c>
      <c r="BY350">
        <v>20</v>
      </c>
      <c r="BZ350">
        <v>20.399999999999999</v>
      </c>
      <c r="CA350">
        <v>20</v>
      </c>
      <c r="CB350">
        <v>10.5</v>
      </c>
      <c r="CC350">
        <v>10</v>
      </c>
      <c r="CD350">
        <v>10.5</v>
      </c>
      <c r="CE350">
        <v>10</v>
      </c>
      <c r="CF350">
        <v>11.5</v>
      </c>
      <c r="CG350">
        <v>9</v>
      </c>
      <c r="CH350">
        <v>11.7</v>
      </c>
      <c r="CI350">
        <v>9</v>
      </c>
    </row>
    <row r="351" spans="1:87" x14ac:dyDescent="0.35">
      <c r="A351" s="1">
        <v>46059.696527777778</v>
      </c>
      <c r="B351">
        <v>-17.5</v>
      </c>
      <c r="C351">
        <v>-17.600000000000001</v>
      </c>
      <c r="D351">
        <v>-25</v>
      </c>
      <c r="E351">
        <v>-17.8</v>
      </c>
      <c r="F351">
        <v>-17.399999999999999</v>
      </c>
      <c r="G351">
        <v>-25</v>
      </c>
      <c r="H351">
        <v>-19.600000000000001</v>
      </c>
      <c r="I351">
        <v>6.5</v>
      </c>
      <c r="J351">
        <v>-25</v>
      </c>
      <c r="K351">
        <v>-18.5</v>
      </c>
      <c r="L351">
        <v>-18.600000000000001</v>
      </c>
      <c r="M351">
        <v>-25</v>
      </c>
      <c r="N351">
        <v>-17.100000000000001</v>
      </c>
      <c r="O351">
        <v>-17.100000000000001</v>
      </c>
      <c r="P351">
        <v>-25</v>
      </c>
      <c r="Q351">
        <v>-17</v>
      </c>
      <c r="R351">
        <v>-16.899999999999999</v>
      </c>
      <c r="S351">
        <v>-25</v>
      </c>
      <c r="T351">
        <v>3.3</v>
      </c>
      <c r="U351">
        <v>3.3</v>
      </c>
      <c r="V351">
        <v>2</v>
      </c>
      <c r="W351">
        <v>3.3</v>
      </c>
      <c r="X351">
        <v>3</v>
      </c>
      <c r="Y351">
        <v>2</v>
      </c>
      <c r="Z351">
        <v>3</v>
      </c>
      <c r="AA351">
        <v>2.7</v>
      </c>
      <c r="AB351">
        <v>2</v>
      </c>
      <c r="AC351">
        <v>2.8</v>
      </c>
      <c r="AD351">
        <v>2.6</v>
      </c>
      <c r="AE351">
        <v>2</v>
      </c>
      <c r="AF351">
        <v>2.6</v>
      </c>
      <c r="AG351">
        <v>2.2999999999999998</v>
      </c>
      <c r="AH351">
        <v>2</v>
      </c>
      <c r="AI351">
        <v>2.5</v>
      </c>
      <c r="AJ351">
        <v>1.8</v>
      </c>
      <c r="AK351">
        <v>2</v>
      </c>
      <c r="AL351">
        <v>5.6</v>
      </c>
      <c r="AM351">
        <v>4</v>
      </c>
      <c r="AN351">
        <v>6</v>
      </c>
      <c r="AO351">
        <v>4</v>
      </c>
      <c r="AP351">
        <v>3.1</v>
      </c>
      <c r="AQ351">
        <v>4</v>
      </c>
      <c r="AR351">
        <v>6.1</v>
      </c>
      <c r="AS351">
        <v>4</v>
      </c>
      <c r="AT351">
        <v>-4.2</v>
      </c>
      <c r="AU351">
        <v>-6.3</v>
      </c>
      <c r="AV351">
        <v>-5</v>
      </c>
      <c r="AW351">
        <v>-4.2</v>
      </c>
      <c r="AX351">
        <v>-5.6</v>
      </c>
      <c r="AY351">
        <v>-5</v>
      </c>
      <c r="AZ351">
        <v>10.4</v>
      </c>
      <c r="BA351">
        <v>10</v>
      </c>
      <c r="BB351">
        <v>10.199999999999999</v>
      </c>
      <c r="BC351">
        <v>10</v>
      </c>
      <c r="BD351">
        <v>4.9000000000000004</v>
      </c>
      <c r="BE351">
        <v>4</v>
      </c>
      <c r="BF351">
        <v>9.6</v>
      </c>
      <c r="BG351">
        <v>10</v>
      </c>
      <c r="BH351">
        <v>11.6</v>
      </c>
      <c r="BI351">
        <v>10</v>
      </c>
      <c r="BJ351">
        <v>10.8</v>
      </c>
      <c r="BK351">
        <v>9</v>
      </c>
      <c r="BL351">
        <v>21</v>
      </c>
      <c r="BM351">
        <v>19</v>
      </c>
      <c r="BN351">
        <v>22.7</v>
      </c>
      <c r="BO351">
        <v>19</v>
      </c>
      <c r="BP351">
        <v>21.3</v>
      </c>
      <c r="BQ351">
        <v>20</v>
      </c>
      <c r="BR351">
        <v>21.7</v>
      </c>
      <c r="BS351">
        <v>25</v>
      </c>
      <c r="BT351">
        <v>21.9</v>
      </c>
      <c r="BU351">
        <v>25</v>
      </c>
      <c r="BV351">
        <v>23.5</v>
      </c>
      <c r="BW351">
        <v>18</v>
      </c>
      <c r="BX351">
        <v>21.8</v>
      </c>
      <c r="BY351">
        <v>20</v>
      </c>
      <c r="BZ351">
        <v>20.5</v>
      </c>
      <c r="CA351">
        <v>20</v>
      </c>
      <c r="CB351">
        <v>10.3</v>
      </c>
      <c r="CC351">
        <v>10</v>
      </c>
      <c r="CD351">
        <v>10.6</v>
      </c>
      <c r="CE351">
        <v>10</v>
      </c>
      <c r="CF351">
        <v>11.8</v>
      </c>
      <c r="CG351">
        <v>9</v>
      </c>
      <c r="CH351">
        <v>12</v>
      </c>
      <c r="CI351">
        <v>9</v>
      </c>
    </row>
    <row r="352" spans="1:87" x14ac:dyDescent="0.35">
      <c r="A352" s="1">
        <v>46059.697222222225</v>
      </c>
      <c r="B352">
        <v>-17.600000000000001</v>
      </c>
      <c r="C352">
        <v>-17.899999999999999</v>
      </c>
      <c r="D352">
        <v>-25</v>
      </c>
      <c r="E352">
        <v>-18.100000000000001</v>
      </c>
      <c r="F352">
        <v>-17.399999999999999</v>
      </c>
      <c r="G352">
        <v>-25</v>
      </c>
      <c r="H352">
        <v>-19.600000000000001</v>
      </c>
      <c r="I352">
        <v>9.1</v>
      </c>
      <c r="J352">
        <v>-25</v>
      </c>
      <c r="K352">
        <v>-18.3</v>
      </c>
      <c r="L352">
        <v>-18.3</v>
      </c>
      <c r="M352">
        <v>-25</v>
      </c>
      <c r="N352">
        <v>-16.899999999999999</v>
      </c>
      <c r="O352">
        <v>-17.100000000000001</v>
      </c>
      <c r="P352">
        <v>-25</v>
      </c>
      <c r="Q352">
        <v>-16.899999999999999</v>
      </c>
      <c r="R352">
        <v>-16.8</v>
      </c>
      <c r="S352">
        <v>-25</v>
      </c>
      <c r="T352">
        <v>3.4</v>
      </c>
      <c r="U352">
        <v>3.3</v>
      </c>
      <c r="V352">
        <v>2</v>
      </c>
      <c r="W352">
        <v>3.3</v>
      </c>
      <c r="X352">
        <v>3.1</v>
      </c>
      <c r="Y352">
        <v>2</v>
      </c>
      <c r="Z352">
        <v>3.1</v>
      </c>
      <c r="AA352">
        <v>2.8</v>
      </c>
      <c r="AB352">
        <v>2</v>
      </c>
      <c r="AC352">
        <v>2.9</v>
      </c>
      <c r="AD352">
        <v>2.7</v>
      </c>
      <c r="AE352">
        <v>2</v>
      </c>
      <c r="AF352">
        <v>2.6</v>
      </c>
      <c r="AG352">
        <v>2.2999999999999998</v>
      </c>
      <c r="AH352">
        <v>2</v>
      </c>
      <c r="AI352">
        <v>2.5</v>
      </c>
      <c r="AJ352">
        <v>1.7</v>
      </c>
      <c r="AK352">
        <v>2</v>
      </c>
      <c r="AL352">
        <v>5.7</v>
      </c>
      <c r="AM352">
        <v>4</v>
      </c>
      <c r="AN352">
        <v>6</v>
      </c>
      <c r="AO352">
        <v>4</v>
      </c>
      <c r="AP352">
        <v>3.2</v>
      </c>
      <c r="AQ352">
        <v>4</v>
      </c>
      <c r="AR352">
        <v>6.2</v>
      </c>
      <c r="AS352">
        <v>4</v>
      </c>
      <c r="AT352">
        <v>-4.4000000000000004</v>
      </c>
      <c r="AU352">
        <v>-6.5</v>
      </c>
      <c r="AV352">
        <v>-5</v>
      </c>
      <c r="AW352">
        <v>-4.2</v>
      </c>
      <c r="AX352">
        <v>-4.8</v>
      </c>
      <c r="AY352">
        <v>-5</v>
      </c>
      <c r="AZ352">
        <v>10</v>
      </c>
      <c r="BA352">
        <v>10</v>
      </c>
      <c r="BB352">
        <v>10</v>
      </c>
      <c r="BC352">
        <v>10</v>
      </c>
      <c r="BD352">
        <v>5.0999999999999996</v>
      </c>
      <c r="BE352">
        <v>4</v>
      </c>
      <c r="BF352">
        <v>10</v>
      </c>
      <c r="BG352">
        <v>10</v>
      </c>
      <c r="BH352">
        <v>11.6</v>
      </c>
      <c r="BI352">
        <v>10</v>
      </c>
      <c r="BJ352">
        <v>10.8</v>
      </c>
      <c r="BK352">
        <v>9</v>
      </c>
      <c r="BL352">
        <v>21</v>
      </c>
      <c r="BM352">
        <v>19</v>
      </c>
      <c r="BN352">
        <v>22.8</v>
      </c>
      <c r="BO352">
        <v>19</v>
      </c>
      <c r="BP352">
        <v>21.3</v>
      </c>
      <c r="BQ352">
        <v>20</v>
      </c>
      <c r="BR352">
        <v>21.7</v>
      </c>
      <c r="BS352">
        <v>25</v>
      </c>
      <c r="BT352">
        <v>21.9</v>
      </c>
      <c r="BU352">
        <v>25</v>
      </c>
      <c r="BV352">
        <v>23.5</v>
      </c>
      <c r="BW352">
        <v>18</v>
      </c>
      <c r="BX352">
        <v>21.8</v>
      </c>
      <c r="BY352">
        <v>20</v>
      </c>
      <c r="BZ352">
        <v>20.7</v>
      </c>
      <c r="CA352">
        <v>20</v>
      </c>
      <c r="CB352">
        <v>10.3</v>
      </c>
      <c r="CC352">
        <v>10</v>
      </c>
      <c r="CD352">
        <v>10.6</v>
      </c>
      <c r="CE352">
        <v>10</v>
      </c>
      <c r="CF352">
        <v>11.8</v>
      </c>
      <c r="CG352">
        <v>9</v>
      </c>
      <c r="CH352">
        <v>12</v>
      </c>
      <c r="CI352">
        <v>9</v>
      </c>
    </row>
    <row r="353" spans="1:87" x14ac:dyDescent="0.35">
      <c r="A353" s="1">
        <v>46059.697916666664</v>
      </c>
      <c r="B353">
        <v>-17.8</v>
      </c>
      <c r="C353">
        <v>-18.3</v>
      </c>
      <c r="D353">
        <v>-25</v>
      </c>
      <c r="E353">
        <v>-18.3</v>
      </c>
      <c r="F353">
        <v>-17.399999999999999</v>
      </c>
      <c r="G353">
        <v>-25</v>
      </c>
      <c r="H353">
        <v>-19.600000000000001</v>
      </c>
      <c r="I353">
        <v>11</v>
      </c>
      <c r="J353">
        <v>-25</v>
      </c>
      <c r="K353">
        <v>-18.100000000000001</v>
      </c>
      <c r="L353">
        <v>-18.100000000000001</v>
      </c>
      <c r="M353">
        <v>-25</v>
      </c>
      <c r="N353">
        <v>-16.8</v>
      </c>
      <c r="O353">
        <v>-17</v>
      </c>
      <c r="P353">
        <v>-25</v>
      </c>
      <c r="Q353">
        <v>-16.8</v>
      </c>
      <c r="R353">
        <v>-16.7</v>
      </c>
      <c r="S353">
        <v>-25</v>
      </c>
      <c r="T353">
        <v>3.4</v>
      </c>
      <c r="U353">
        <v>3.4</v>
      </c>
      <c r="V353">
        <v>2</v>
      </c>
      <c r="W353">
        <v>3.4</v>
      </c>
      <c r="X353">
        <v>3.3</v>
      </c>
      <c r="Y353">
        <v>2</v>
      </c>
      <c r="Z353">
        <v>3.2</v>
      </c>
      <c r="AA353">
        <v>2.9</v>
      </c>
      <c r="AB353">
        <v>2</v>
      </c>
      <c r="AC353">
        <v>3</v>
      </c>
      <c r="AD353">
        <v>2.8</v>
      </c>
      <c r="AE353">
        <v>2</v>
      </c>
      <c r="AF353">
        <v>2.6</v>
      </c>
      <c r="AG353">
        <v>2.2000000000000002</v>
      </c>
      <c r="AH353">
        <v>2</v>
      </c>
      <c r="AI353">
        <v>2.4</v>
      </c>
      <c r="AJ353">
        <v>1.7</v>
      </c>
      <c r="AK353">
        <v>2</v>
      </c>
      <c r="AL353">
        <v>5.7</v>
      </c>
      <c r="AM353">
        <v>4</v>
      </c>
      <c r="AN353">
        <v>6</v>
      </c>
      <c r="AO353">
        <v>4</v>
      </c>
      <c r="AP353">
        <v>3.4</v>
      </c>
      <c r="AQ353">
        <v>4</v>
      </c>
      <c r="AR353">
        <v>6.3</v>
      </c>
      <c r="AS353">
        <v>4</v>
      </c>
      <c r="AT353">
        <v>-4.5999999999999996</v>
      </c>
      <c r="AU353">
        <v>-6.6</v>
      </c>
      <c r="AV353">
        <v>-5</v>
      </c>
      <c r="AW353">
        <v>-4.2</v>
      </c>
      <c r="AX353">
        <v>-4.5999999999999996</v>
      </c>
      <c r="AY353">
        <v>-5</v>
      </c>
      <c r="AZ353">
        <v>9.6</v>
      </c>
      <c r="BA353">
        <v>10</v>
      </c>
      <c r="BB353">
        <v>10</v>
      </c>
      <c r="BC353">
        <v>10</v>
      </c>
      <c r="BD353">
        <v>5.3</v>
      </c>
      <c r="BE353">
        <v>4</v>
      </c>
      <c r="BF353">
        <v>10.4</v>
      </c>
      <c r="BG353">
        <v>10</v>
      </c>
      <c r="BH353">
        <v>11.5</v>
      </c>
      <c r="BI353">
        <v>10</v>
      </c>
      <c r="BJ353">
        <v>10.8</v>
      </c>
      <c r="BK353">
        <v>9</v>
      </c>
      <c r="BL353">
        <v>20.8</v>
      </c>
      <c r="BM353">
        <v>19</v>
      </c>
      <c r="BN353">
        <v>22.8</v>
      </c>
      <c r="BO353">
        <v>19</v>
      </c>
      <c r="BP353">
        <v>21.4</v>
      </c>
      <c r="BQ353">
        <v>20</v>
      </c>
      <c r="BR353">
        <v>21.7</v>
      </c>
      <c r="BS353">
        <v>25</v>
      </c>
      <c r="BT353">
        <v>21.9</v>
      </c>
      <c r="BU353">
        <v>25</v>
      </c>
      <c r="BV353">
        <v>23.5</v>
      </c>
      <c r="BW353">
        <v>18</v>
      </c>
      <c r="BX353">
        <v>21.8</v>
      </c>
      <c r="BY353">
        <v>20</v>
      </c>
      <c r="BZ353">
        <v>20.8</v>
      </c>
      <c r="CA353">
        <v>20</v>
      </c>
      <c r="CB353">
        <v>10.1</v>
      </c>
      <c r="CC353">
        <v>10</v>
      </c>
      <c r="CD353">
        <v>10.7</v>
      </c>
      <c r="CE353">
        <v>10</v>
      </c>
      <c r="CF353">
        <v>11.8</v>
      </c>
      <c r="CG353">
        <v>9</v>
      </c>
      <c r="CH353">
        <v>12</v>
      </c>
      <c r="CI353">
        <v>9</v>
      </c>
    </row>
    <row r="354" spans="1:87" x14ac:dyDescent="0.35">
      <c r="A354" s="1">
        <v>46059.698611111111</v>
      </c>
      <c r="B354">
        <v>-18</v>
      </c>
      <c r="C354">
        <v>-18.600000000000001</v>
      </c>
      <c r="D354">
        <v>-25</v>
      </c>
      <c r="E354">
        <v>-18.5</v>
      </c>
      <c r="F354">
        <v>-17.5</v>
      </c>
      <c r="G354">
        <v>-25</v>
      </c>
      <c r="H354">
        <v>-19.600000000000001</v>
      </c>
      <c r="I354">
        <v>12.4</v>
      </c>
      <c r="J354">
        <v>-25</v>
      </c>
      <c r="K354">
        <v>-17.899999999999999</v>
      </c>
      <c r="L354">
        <v>-17.899999999999999</v>
      </c>
      <c r="M354">
        <v>-25</v>
      </c>
      <c r="N354">
        <v>-16.7</v>
      </c>
      <c r="O354">
        <v>-16.8</v>
      </c>
      <c r="P354">
        <v>-25</v>
      </c>
      <c r="Q354">
        <v>-16.7</v>
      </c>
      <c r="R354">
        <v>-16.600000000000001</v>
      </c>
      <c r="S354">
        <v>-25</v>
      </c>
      <c r="T354">
        <v>3.5</v>
      </c>
      <c r="U354">
        <v>3.5</v>
      </c>
      <c r="V354">
        <v>2</v>
      </c>
      <c r="W354">
        <v>3.5</v>
      </c>
      <c r="X354">
        <v>3.3</v>
      </c>
      <c r="Y354">
        <v>2</v>
      </c>
      <c r="Z354">
        <v>3.3</v>
      </c>
      <c r="AA354">
        <v>3</v>
      </c>
      <c r="AB354">
        <v>2</v>
      </c>
      <c r="AC354">
        <v>3</v>
      </c>
      <c r="AD354">
        <v>2.9</v>
      </c>
      <c r="AE354">
        <v>2</v>
      </c>
      <c r="AF354">
        <v>2.5</v>
      </c>
      <c r="AG354">
        <v>2.2000000000000002</v>
      </c>
      <c r="AH354">
        <v>2</v>
      </c>
      <c r="AI354">
        <v>2.4</v>
      </c>
      <c r="AJ354">
        <v>1.7</v>
      </c>
      <c r="AK354">
        <v>2</v>
      </c>
      <c r="AL354">
        <v>5.8</v>
      </c>
      <c r="AM354">
        <v>4</v>
      </c>
      <c r="AN354">
        <v>6</v>
      </c>
      <c r="AO354">
        <v>4</v>
      </c>
      <c r="AP354">
        <v>3.6</v>
      </c>
      <c r="AQ354">
        <v>4</v>
      </c>
      <c r="AR354">
        <v>6.3</v>
      </c>
      <c r="AS354">
        <v>4</v>
      </c>
      <c r="AT354">
        <v>-4.7</v>
      </c>
      <c r="AU354">
        <v>-6.7</v>
      </c>
      <c r="AV354">
        <v>-5</v>
      </c>
      <c r="AW354">
        <v>-4.2</v>
      </c>
      <c r="AX354">
        <v>-5.5</v>
      </c>
      <c r="AY354">
        <v>-5</v>
      </c>
      <c r="AZ354">
        <v>9.6</v>
      </c>
      <c r="BA354">
        <v>10</v>
      </c>
      <c r="BB354">
        <v>10.199999999999999</v>
      </c>
      <c r="BC354">
        <v>10</v>
      </c>
      <c r="BD354">
        <v>5.4</v>
      </c>
      <c r="BE354">
        <v>4</v>
      </c>
      <c r="BF354">
        <v>10.7</v>
      </c>
      <c r="BG354">
        <v>10</v>
      </c>
      <c r="BH354">
        <v>11.5</v>
      </c>
      <c r="BI354">
        <v>10</v>
      </c>
      <c r="BJ354">
        <v>10.7</v>
      </c>
      <c r="BK354">
        <v>9</v>
      </c>
      <c r="BL354">
        <v>20.5</v>
      </c>
      <c r="BM354">
        <v>19</v>
      </c>
      <c r="BN354">
        <v>22.8</v>
      </c>
      <c r="BO354">
        <v>19</v>
      </c>
      <c r="BP354">
        <v>21.4</v>
      </c>
      <c r="BQ354">
        <v>20</v>
      </c>
      <c r="BR354">
        <v>21.7</v>
      </c>
      <c r="BS354">
        <v>25</v>
      </c>
      <c r="BT354">
        <v>21.9</v>
      </c>
      <c r="BU354">
        <v>25</v>
      </c>
      <c r="BV354">
        <v>23.5</v>
      </c>
      <c r="BW354">
        <v>18</v>
      </c>
      <c r="BX354">
        <v>21.9</v>
      </c>
      <c r="BY354">
        <v>20</v>
      </c>
      <c r="BZ354">
        <v>20.9</v>
      </c>
      <c r="CA354">
        <v>20</v>
      </c>
      <c r="CB354">
        <v>10</v>
      </c>
      <c r="CC354">
        <v>10</v>
      </c>
      <c r="CD354">
        <v>10.7</v>
      </c>
      <c r="CE354">
        <v>10</v>
      </c>
      <c r="CF354">
        <v>11.8</v>
      </c>
      <c r="CG354">
        <v>9</v>
      </c>
      <c r="CH354">
        <v>12</v>
      </c>
      <c r="CI354">
        <v>9</v>
      </c>
    </row>
    <row r="355" spans="1:87" x14ac:dyDescent="0.35">
      <c r="A355" s="1">
        <v>46059.699305555558</v>
      </c>
      <c r="B355">
        <v>-18.2</v>
      </c>
      <c r="C355">
        <v>-18.899999999999999</v>
      </c>
      <c r="D355">
        <v>-25</v>
      </c>
      <c r="E355">
        <v>-18.7</v>
      </c>
      <c r="F355">
        <v>-17.600000000000001</v>
      </c>
      <c r="G355">
        <v>-25</v>
      </c>
      <c r="H355">
        <v>-19.600000000000001</v>
      </c>
      <c r="I355">
        <v>13.8</v>
      </c>
      <c r="J355">
        <v>-25</v>
      </c>
      <c r="K355">
        <v>-17.600000000000001</v>
      </c>
      <c r="L355">
        <v>-17.7</v>
      </c>
      <c r="M355">
        <v>-25</v>
      </c>
      <c r="N355">
        <v>-16.600000000000001</v>
      </c>
      <c r="O355">
        <v>-16.7</v>
      </c>
      <c r="P355">
        <v>-25</v>
      </c>
      <c r="Q355">
        <v>-16.600000000000001</v>
      </c>
      <c r="R355">
        <v>-16.5</v>
      </c>
      <c r="S355">
        <v>-25</v>
      </c>
      <c r="T355">
        <v>3.6</v>
      </c>
      <c r="U355">
        <v>3.6</v>
      </c>
      <c r="V355">
        <v>2</v>
      </c>
      <c r="W355">
        <v>3.6</v>
      </c>
      <c r="X355">
        <v>3.4</v>
      </c>
      <c r="Y355">
        <v>2</v>
      </c>
      <c r="Z355">
        <v>3.4</v>
      </c>
      <c r="AA355">
        <v>3</v>
      </c>
      <c r="AB355">
        <v>2</v>
      </c>
      <c r="AC355">
        <v>3.1</v>
      </c>
      <c r="AD355">
        <v>3</v>
      </c>
      <c r="AE355">
        <v>2</v>
      </c>
      <c r="AF355">
        <v>2.5</v>
      </c>
      <c r="AG355">
        <v>2.1</v>
      </c>
      <c r="AH355">
        <v>2</v>
      </c>
      <c r="AI355">
        <v>2.2999999999999998</v>
      </c>
      <c r="AJ355">
        <v>1.1000000000000001</v>
      </c>
      <c r="AK355">
        <v>2</v>
      </c>
      <c r="AL355">
        <v>5.8</v>
      </c>
      <c r="AM355">
        <v>4</v>
      </c>
      <c r="AN355">
        <v>6</v>
      </c>
      <c r="AO355">
        <v>4</v>
      </c>
      <c r="AP355">
        <v>3.8</v>
      </c>
      <c r="AQ355">
        <v>4</v>
      </c>
      <c r="AR355">
        <v>6.3</v>
      </c>
      <c r="AS355">
        <v>4</v>
      </c>
      <c r="AT355">
        <v>-4.8</v>
      </c>
      <c r="AU355">
        <v>-6.7</v>
      </c>
      <c r="AV355">
        <v>-5</v>
      </c>
      <c r="AW355">
        <v>-4.3</v>
      </c>
      <c r="AX355">
        <v>-6</v>
      </c>
      <c r="AY355">
        <v>-5</v>
      </c>
      <c r="AZ355">
        <v>9.6</v>
      </c>
      <c r="BA355">
        <v>10</v>
      </c>
      <c r="BB355">
        <v>10.6</v>
      </c>
      <c r="BC355">
        <v>10</v>
      </c>
      <c r="BD355">
        <v>5.6</v>
      </c>
      <c r="BE355">
        <v>4</v>
      </c>
      <c r="BF355">
        <v>11.1</v>
      </c>
      <c r="BG355">
        <v>10</v>
      </c>
      <c r="BH355">
        <v>11.5</v>
      </c>
      <c r="BI355">
        <v>10</v>
      </c>
      <c r="BJ355">
        <v>10.7</v>
      </c>
      <c r="BK355">
        <v>9</v>
      </c>
      <c r="BL355">
        <v>20.3</v>
      </c>
      <c r="BM355">
        <v>19</v>
      </c>
      <c r="BN355">
        <v>22.8</v>
      </c>
      <c r="BO355">
        <v>19</v>
      </c>
      <c r="BP355">
        <v>21.4</v>
      </c>
      <c r="BQ355">
        <v>20</v>
      </c>
      <c r="BR355">
        <v>21.7</v>
      </c>
      <c r="BS355">
        <v>25</v>
      </c>
      <c r="BT355">
        <v>21.9</v>
      </c>
      <c r="BU355">
        <v>25</v>
      </c>
      <c r="BV355">
        <v>23.5</v>
      </c>
      <c r="BW355">
        <v>18</v>
      </c>
      <c r="BX355">
        <v>21.9</v>
      </c>
      <c r="BY355">
        <v>20</v>
      </c>
      <c r="BZ355">
        <v>20.9</v>
      </c>
      <c r="CA355">
        <v>20</v>
      </c>
      <c r="CB355">
        <v>10.1</v>
      </c>
      <c r="CC355">
        <v>10</v>
      </c>
      <c r="CD355">
        <v>10.8</v>
      </c>
      <c r="CE355">
        <v>10</v>
      </c>
      <c r="CF355">
        <v>11.8</v>
      </c>
      <c r="CG355">
        <v>9</v>
      </c>
      <c r="CH355">
        <v>12</v>
      </c>
      <c r="CI355">
        <v>9</v>
      </c>
    </row>
    <row r="356" spans="1:87" x14ac:dyDescent="0.35">
      <c r="A356" s="1">
        <v>46059.7</v>
      </c>
      <c r="B356">
        <v>-18.3</v>
      </c>
      <c r="C356">
        <v>-19</v>
      </c>
      <c r="D356">
        <v>-25</v>
      </c>
      <c r="E356">
        <v>-18.8</v>
      </c>
      <c r="F356">
        <v>-17.7</v>
      </c>
      <c r="G356">
        <v>-25</v>
      </c>
      <c r="H356">
        <v>-19.600000000000001</v>
      </c>
      <c r="I356">
        <v>14.2</v>
      </c>
      <c r="J356">
        <v>-25</v>
      </c>
      <c r="K356">
        <v>-17.399999999999999</v>
      </c>
      <c r="L356">
        <v>-17.399999999999999</v>
      </c>
      <c r="M356">
        <v>-25</v>
      </c>
      <c r="N356">
        <v>-16.600000000000001</v>
      </c>
      <c r="O356">
        <v>-16.600000000000001</v>
      </c>
      <c r="P356">
        <v>-25</v>
      </c>
      <c r="Q356">
        <v>-16.5</v>
      </c>
      <c r="R356">
        <v>-16.399999999999999</v>
      </c>
      <c r="S356">
        <v>-25</v>
      </c>
      <c r="T356">
        <v>3.6</v>
      </c>
      <c r="U356">
        <v>3.6</v>
      </c>
      <c r="V356">
        <v>2</v>
      </c>
      <c r="W356">
        <v>3.7</v>
      </c>
      <c r="X356">
        <v>3.5</v>
      </c>
      <c r="Y356">
        <v>2</v>
      </c>
      <c r="Z356">
        <v>3.4</v>
      </c>
      <c r="AA356">
        <v>3.1</v>
      </c>
      <c r="AB356">
        <v>2</v>
      </c>
      <c r="AC356">
        <v>3.2</v>
      </c>
      <c r="AD356">
        <v>3</v>
      </c>
      <c r="AE356">
        <v>2</v>
      </c>
      <c r="AF356">
        <v>2.4</v>
      </c>
      <c r="AG356">
        <v>2.1</v>
      </c>
      <c r="AH356">
        <v>2</v>
      </c>
      <c r="AI356">
        <v>2.2999999999999998</v>
      </c>
      <c r="AJ356">
        <v>0.1</v>
      </c>
      <c r="AK356">
        <v>2</v>
      </c>
      <c r="AL356">
        <v>5.8</v>
      </c>
      <c r="AM356">
        <v>4</v>
      </c>
      <c r="AN356">
        <v>5.9</v>
      </c>
      <c r="AO356">
        <v>4</v>
      </c>
      <c r="AP356">
        <v>4.0999999999999996</v>
      </c>
      <c r="AQ356">
        <v>4</v>
      </c>
      <c r="AR356">
        <v>6.4</v>
      </c>
      <c r="AS356">
        <v>4</v>
      </c>
      <c r="AT356">
        <v>-4.9000000000000004</v>
      </c>
      <c r="AU356">
        <v>-6.9</v>
      </c>
      <c r="AV356">
        <v>-5</v>
      </c>
      <c r="AW356">
        <v>-4.4000000000000004</v>
      </c>
      <c r="AX356">
        <v>-5.5</v>
      </c>
      <c r="AY356">
        <v>-5</v>
      </c>
      <c r="AZ356">
        <v>9.8000000000000007</v>
      </c>
      <c r="BA356">
        <v>10</v>
      </c>
      <c r="BB356">
        <v>10.9</v>
      </c>
      <c r="BC356">
        <v>10</v>
      </c>
      <c r="BD356">
        <v>5.8</v>
      </c>
      <c r="BE356">
        <v>4</v>
      </c>
      <c r="BF356">
        <v>11.3</v>
      </c>
      <c r="BG356">
        <v>10</v>
      </c>
      <c r="BH356">
        <v>11.5</v>
      </c>
      <c r="BI356">
        <v>10</v>
      </c>
      <c r="BJ356">
        <v>10.7</v>
      </c>
      <c r="BK356">
        <v>9</v>
      </c>
      <c r="BL356">
        <v>19.8</v>
      </c>
      <c r="BM356">
        <v>19</v>
      </c>
      <c r="BN356">
        <v>22.8</v>
      </c>
      <c r="BO356">
        <v>19</v>
      </c>
      <c r="BP356">
        <v>21.3</v>
      </c>
      <c r="BQ356">
        <v>20</v>
      </c>
      <c r="BR356">
        <v>21.7</v>
      </c>
      <c r="BS356">
        <v>25</v>
      </c>
      <c r="BT356">
        <v>21.9</v>
      </c>
      <c r="BU356">
        <v>25</v>
      </c>
      <c r="BV356">
        <v>23.5</v>
      </c>
      <c r="BW356">
        <v>18</v>
      </c>
      <c r="BX356">
        <v>21.9</v>
      </c>
      <c r="BY356">
        <v>20</v>
      </c>
      <c r="BZ356">
        <v>21</v>
      </c>
      <c r="CA356">
        <v>20</v>
      </c>
      <c r="CB356">
        <v>10.5</v>
      </c>
      <c r="CC356">
        <v>10</v>
      </c>
      <c r="CD356">
        <v>10.8</v>
      </c>
      <c r="CE356">
        <v>10</v>
      </c>
      <c r="CF356">
        <v>11.8</v>
      </c>
      <c r="CG356">
        <v>9</v>
      </c>
      <c r="CH356">
        <v>12</v>
      </c>
      <c r="CI356">
        <v>9</v>
      </c>
    </row>
    <row r="357" spans="1:87" x14ac:dyDescent="0.35">
      <c r="A357" s="1">
        <v>46059.700694444444</v>
      </c>
      <c r="B357">
        <v>-18.399999999999999</v>
      </c>
      <c r="C357">
        <v>-19.100000000000001</v>
      </c>
      <c r="D357">
        <v>-25</v>
      </c>
      <c r="E357">
        <v>-18.899999999999999</v>
      </c>
      <c r="F357">
        <v>-17.899999999999999</v>
      </c>
      <c r="G357">
        <v>-25</v>
      </c>
      <c r="H357">
        <v>-19.600000000000001</v>
      </c>
      <c r="I357">
        <v>14.7</v>
      </c>
      <c r="J357">
        <v>-25</v>
      </c>
      <c r="K357">
        <v>-17.2</v>
      </c>
      <c r="L357">
        <v>-17.2</v>
      </c>
      <c r="M357">
        <v>-25</v>
      </c>
      <c r="N357">
        <v>-16.5</v>
      </c>
      <c r="O357">
        <v>-16.5</v>
      </c>
      <c r="P357">
        <v>-25</v>
      </c>
      <c r="Q357">
        <v>-16.399999999999999</v>
      </c>
      <c r="R357">
        <v>-16.3</v>
      </c>
      <c r="S357">
        <v>-25</v>
      </c>
      <c r="T357">
        <v>3.7</v>
      </c>
      <c r="U357">
        <v>3.7</v>
      </c>
      <c r="V357">
        <v>2</v>
      </c>
      <c r="W357">
        <v>3.7</v>
      </c>
      <c r="X357">
        <v>3.5</v>
      </c>
      <c r="Y357">
        <v>2</v>
      </c>
      <c r="Z357">
        <v>3.5</v>
      </c>
      <c r="AA357">
        <v>3.2</v>
      </c>
      <c r="AB357">
        <v>2</v>
      </c>
      <c r="AC357">
        <v>3.3</v>
      </c>
      <c r="AD357">
        <v>3.1</v>
      </c>
      <c r="AE357">
        <v>2</v>
      </c>
      <c r="AF357">
        <v>2.2000000000000002</v>
      </c>
      <c r="AG357">
        <v>1.7</v>
      </c>
      <c r="AH357">
        <v>2</v>
      </c>
      <c r="AI357">
        <v>2</v>
      </c>
      <c r="AJ357">
        <v>-1.2</v>
      </c>
      <c r="AK357">
        <v>2</v>
      </c>
      <c r="AL357">
        <v>5.9</v>
      </c>
      <c r="AM357">
        <v>4</v>
      </c>
      <c r="AN357">
        <v>5.9</v>
      </c>
      <c r="AO357">
        <v>4</v>
      </c>
      <c r="AP357">
        <v>4.3</v>
      </c>
      <c r="AQ357">
        <v>4</v>
      </c>
      <c r="AR357">
        <v>6.6</v>
      </c>
      <c r="AS357">
        <v>4</v>
      </c>
      <c r="AT357">
        <v>-5</v>
      </c>
      <c r="AU357">
        <v>-6.9</v>
      </c>
      <c r="AV357">
        <v>-5</v>
      </c>
      <c r="AW357">
        <v>-4.5</v>
      </c>
      <c r="AX357">
        <v>-5</v>
      </c>
      <c r="AY357">
        <v>-5</v>
      </c>
      <c r="AZ357">
        <v>9.9</v>
      </c>
      <c r="BA357">
        <v>10</v>
      </c>
      <c r="BB357">
        <v>11.2</v>
      </c>
      <c r="BC357">
        <v>10</v>
      </c>
      <c r="BD357">
        <v>5.9</v>
      </c>
      <c r="BE357">
        <v>4</v>
      </c>
      <c r="BF357">
        <v>11.7</v>
      </c>
      <c r="BG357">
        <v>10</v>
      </c>
      <c r="BH357">
        <v>11.5</v>
      </c>
      <c r="BI357">
        <v>10</v>
      </c>
      <c r="BJ357">
        <v>10.7</v>
      </c>
      <c r="BK357">
        <v>9</v>
      </c>
      <c r="BL357">
        <v>19.5</v>
      </c>
      <c r="BM357">
        <v>19</v>
      </c>
      <c r="BN357">
        <v>22.8</v>
      </c>
      <c r="BO357">
        <v>19</v>
      </c>
      <c r="BP357">
        <v>21.1</v>
      </c>
      <c r="BQ357">
        <v>20</v>
      </c>
      <c r="BR357">
        <v>21.7</v>
      </c>
      <c r="BS357">
        <v>25</v>
      </c>
      <c r="BT357">
        <v>21.9</v>
      </c>
      <c r="BU357">
        <v>25</v>
      </c>
      <c r="BV357">
        <v>23.5</v>
      </c>
      <c r="BW357">
        <v>18</v>
      </c>
      <c r="BX357">
        <v>21.9</v>
      </c>
      <c r="BY357">
        <v>20</v>
      </c>
      <c r="BZ357">
        <v>21</v>
      </c>
      <c r="CA357">
        <v>20</v>
      </c>
      <c r="CB357">
        <v>10.9</v>
      </c>
      <c r="CC357">
        <v>10</v>
      </c>
      <c r="CD357">
        <v>10.9</v>
      </c>
      <c r="CE357">
        <v>10</v>
      </c>
      <c r="CF357">
        <v>11.4</v>
      </c>
      <c r="CG357">
        <v>9</v>
      </c>
      <c r="CH357">
        <v>11.7</v>
      </c>
      <c r="CI357">
        <v>9</v>
      </c>
    </row>
    <row r="358" spans="1:87" x14ac:dyDescent="0.35">
      <c r="A358" s="1">
        <v>46059.701388888891</v>
      </c>
      <c r="B358">
        <v>-18.5</v>
      </c>
      <c r="C358">
        <v>-19.100000000000001</v>
      </c>
      <c r="D358">
        <v>-25</v>
      </c>
      <c r="E358">
        <v>-19</v>
      </c>
      <c r="F358">
        <v>-18</v>
      </c>
      <c r="G358">
        <v>-25</v>
      </c>
      <c r="H358">
        <v>-19.600000000000001</v>
      </c>
      <c r="I358">
        <v>14.8</v>
      </c>
      <c r="J358">
        <v>-25</v>
      </c>
      <c r="K358">
        <v>-17.100000000000001</v>
      </c>
      <c r="L358">
        <v>-17.100000000000001</v>
      </c>
      <c r="M358">
        <v>-25</v>
      </c>
      <c r="N358">
        <v>-16.399999999999999</v>
      </c>
      <c r="O358">
        <v>-16.399999999999999</v>
      </c>
      <c r="P358">
        <v>-25</v>
      </c>
      <c r="Q358">
        <v>-16.3</v>
      </c>
      <c r="R358">
        <v>-16.2</v>
      </c>
      <c r="S358">
        <v>-25</v>
      </c>
      <c r="T358">
        <v>3.8</v>
      </c>
      <c r="U358">
        <v>3.8</v>
      </c>
      <c r="V358">
        <v>2</v>
      </c>
      <c r="W358">
        <v>3.8</v>
      </c>
      <c r="X358">
        <v>3.6</v>
      </c>
      <c r="Y358">
        <v>2</v>
      </c>
      <c r="Z358">
        <v>3.6</v>
      </c>
      <c r="AA358">
        <v>3.3</v>
      </c>
      <c r="AB358">
        <v>2</v>
      </c>
      <c r="AC358">
        <v>3.4</v>
      </c>
      <c r="AD358">
        <v>3.2</v>
      </c>
      <c r="AE358">
        <v>2</v>
      </c>
      <c r="AF358">
        <v>2</v>
      </c>
      <c r="AG358">
        <v>1.5</v>
      </c>
      <c r="AH358">
        <v>2</v>
      </c>
      <c r="AI358">
        <v>1.8</v>
      </c>
      <c r="AJ358">
        <v>0.4</v>
      </c>
      <c r="AK358">
        <v>2</v>
      </c>
      <c r="AL358">
        <v>5.9</v>
      </c>
      <c r="AM358">
        <v>4</v>
      </c>
      <c r="AN358">
        <v>5.9</v>
      </c>
      <c r="AO358">
        <v>4</v>
      </c>
      <c r="AP358">
        <v>4.5</v>
      </c>
      <c r="AQ358">
        <v>4</v>
      </c>
      <c r="AR358">
        <v>6.7</v>
      </c>
      <c r="AS358">
        <v>4</v>
      </c>
      <c r="AT358">
        <v>-5.0999999999999996</v>
      </c>
      <c r="AU358">
        <v>-6.1</v>
      </c>
      <c r="AV358">
        <v>-5</v>
      </c>
      <c r="AW358">
        <v>-4.5</v>
      </c>
      <c r="AX358">
        <v>-4.7</v>
      </c>
      <c r="AY358">
        <v>-5</v>
      </c>
      <c r="AZ358">
        <v>10.1</v>
      </c>
      <c r="BA358">
        <v>10</v>
      </c>
      <c r="BB358">
        <v>11.4</v>
      </c>
      <c r="BC358">
        <v>10</v>
      </c>
      <c r="BD358">
        <v>6</v>
      </c>
      <c r="BE358">
        <v>4</v>
      </c>
      <c r="BF358">
        <v>11.8</v>
      </c>
      <c r="BG358">
        <v>10</v>
      </c>
      <c r="BH358">
        <v>11.4</v>
      </c>
      <c r="BI358">
        <v>10</v>
      </c>
      <c r="BJ358">
        <v>10.7</v>
      </c>
      <c r="BK358">
        <v>9</v>
      </c>
      <c r="BL358">
        <v>19.2</v>
      </c>
      <c r="BM358">
        <v>19</v>
      </c>
      <c r="BN358">
        <v>22.9</v>
      </c>
      <c r="BO358">
        <v>19</v>
      </c>
      <c r="BP358">
        <v>21</v>
      </c>
      <c r="BQ358">
        <v>20</v>
      </c>
      <c r="BR358">
        <v>21.7</v>
      </c>
      <c r="BS358">
        <v>25</v>
      </c>
      <c r="BT358">
        <v>21.9</v>
      </c>
      <c r="BU358">
        <v>25</v>
      </c>
      <c r="BV358">
        <v>23.5</v>
      </c>
      <c r="BW358">
        <v>18</v>
      </c>
      <c r="BX358">
        <v>21.9</v>
      </c>
      <c r="BY358">
        <v>20</v>
      </c>
      <c r="BZ358">
        <v>21.1</v>
      </c>
      <c r="CA358">
        <v>20</v>
      </c>
      <c r="CB358">
        <v>11.2</v>
      </c>
      <c r="CC358">
        <v>10</v>
      </c>
      <c r="CD358">
        <v>10.9</v>
      </c>
      <c r="CE358">
        <v>10</v>
      </c>
      <c r="CF358">
        <v>11.3</v>
      </c>
      <c r="CG358">
        <v>9</v>
      </c>
      <c r="CH358">
        <v>11.5</v>
      </c>
      <c r="CI358">
        <v>9</v>
      </c>
    </row>
    <row r="359" spans="1:87" x14ac:dyDescent="0.35">
      <c r="A359" s="1">
        <v>46059.70208333333</v>
      </c>
      <c r="B359">
        <v>-18.600000000000001</v>
      </c>
      <c r="C359">
        <v>-19.100000000000001</v>
      </c>
      <c r="D359">
        <v>-25</v>
      </c>
      <c r="E359">
        <v>-19</v>
      </c>
      <c r="F359">
        <v>-18.100000000000001</v>
      </c>
      <c r="G359">
        <v>-25</v>
      </c>
      <c r="H359">
        <v>-19.600000000000001</v>
      </c>
      <c r="I359">
        <v>15.5</v>
      </c>
      <c r="J359">
        <v>-25</v>
      </c>
      <c r="K359">
        <v>-16.8</v>
      </c>
      <c r="L359">
        <v>-16.899999999999999</v>
      </c>
      <c r="M359">
        <v>-25</v>
      </c>
      <c r="N359">
        <v>-16.3</v>
      </c>
      <c r="O359">
        <v>-16.3</v>
      </c>
      <c r="P359">
        <v>-25</v>
      </c>
      <c r="Q359">
        <v>-16.3</v>
      </c>
      <c r="R359">
        <v>-16.100000000000001</v>
      </c>
      <c r="S359">
        <v>-25</v>
      </c>
      <c r="T359">
        <v>3.9</v>
      </c>
      <c r="U359">
        <v>3.9</v>
      </c>
      <c r="V359">
        <v>2</v>
      </c>
      <c r="W359">
        <v>3.9</v>
      </c>
      <c r="X359">
        <v>3.7</v>
      </c>
      <c r="Y359">
        <v>2</v>
      </c>
      <c r="Z359">
        <v>3.6</v>
      </c>
      <c r="AA359">
        <v>3.4</v>
      </c>
      <c r="AB359">
        <v>2</v>
      </c>
      <c r="AC359">
        <v>3.5</v>
      </c>
      <c r="AD359">
        <v>3.3</v>
      </c>
      <c r="AE359">
        <v>2</v>
      </c>
      <c r="AF359">
        <v>2</v>
      </c>
      <c r="AG359">
        <v>1.6</v>
      </c>
      <c r="AH359">
        <v>2</v>
      </c>
      <c r="AI359">
        <v>1.8</v>
      </c>
      <c r="AJ359">
        <v>1.2</v>
      </c>
      <c r="AK359">
        <v>2</v>
      </c>
      <c r="AL359">
        <v>5.9</v>
      </c>
      <c r="AM359">
        <v>4</v>
      </c>
      <c r="AN359">
        <v>5.9</v>
      </c>
      <c r="AO359">
        <v>4</v>
      </c>
      <c r="AP359">
        <v>4.7</v>
      </c>
      <c r="AQ359">
        <v>4</v>
      </c>
      <c r="AR359">
        <v>6.9</v>
      </c>
      <c r="AS359">
        <v>4</v>
      </c>
      <c r="AT359">
        <v>-4.8</v>
      </c>
      <c r="AU359">
        <v>-5.3</v>
      </c>
      <c r="AV359">
        <v>-5</v>
      </c>
      <c r="AW359">
        <v>-3.9</v>
      </c>
      <c r="AX359">
        <v>-3.8</v>
      </c>
      <c r="AY359">
        <v>-5</v>
      </c>
      <c r="AZ359">
        <v>10.199999999999999</v>
      </c>
      <c r="BA359">
        <v>10</v>
      </c>
      <c r="BB359">
        <v>11.6</v>
      </c>
      <c r="BC359">
        <v>10</v>
      </c>
      <c r="BD359">
        <v>5.9</v>
      </c>
      <c r="BE359">
        <v>4</v>
      </c>
      <c r="BF359">
        <v>12</v>
      </c>
      <c r="BG359">
        <v>10</v>
      </c>
      <c r="BH359">
        <v>11.4</v>
      </c>
      <c r="BI359">
        <v>10</v>
      </c>
      <c r="BJ359">
        <v>10.7</v>
      </c>
      <c r="BK359">
        <v>9</v>
      </c>
      <c r="BL359">
        <v>18.899999999999999</v>
      </c>
      <c r="BM359">
        <v>19</v>
      </c>
      <c r="BN359">
        <v>22.9</v>
      </c>
      <c r="BO359">
        <v>19</v>
      </c>
      <c r="BP359">
        <v>21</v>
      </c>
      <c r="BQ359">
        <v>20</v>
      </c>
      <c r="BR359">
        <v>21.8</v>
      </c>
      <c r="BS359">
        <v>25</v>
      </c>
      <c r="BT359">
        <v>21.9</v>
      </c>
      <c r="BU359">
        <v>25</v>
      </c>
      <c r="BV359">
        <v>23.5</v>
      </c>
      <c r="BW359">
        <v>18</v>
      </c>
      <c r="BX359">
        <v>21.9</v>
      </c>
      <c r="BY359">
        <v>20</v>
      </c>
      <c r="BZ359">
        <v>21.1</v>
      </c>
      <c r="CA359">
        <v>20</v>
      </c>
      <c r="CB359">
        <v>11.6</v>
      </c>
      <c r="CC359">
        <v>10</v>
      </c>
      <c r="CD359">
        <v>11</v>
      </c>
      <c r="CE359">
        <v>10</v>
      </c>
      <c r="CF359">
        <v>11.4</v>
      </c>
      <c r="CG359">
        <v>9</v>
      </c>
      <c r="CH359">
        <v>11.6</v>
      </c>
      <c r="CI359">
        <v>9</v>
      </c>
    </row>
    <row r="360" spans="1:87" x14ac:dyDescent="0.35">
      <c r="A360" s="1">
        <v>46059.702777777777</v>
      </c>
      <c r="B360">
        <v>-18.600000000000001</v>
      </c>
      <c r="C360">
        <v>-19.100000000000001</v>
      </c>
      <c r="D360">
        <v>-25</v>
      </c>
      <c r="E360">
        <v>-19</v>
      </c>
      <c r="F360">
        <v>-18.2</v>
      </c>
      <c r="G360">
        <v>-25</v>
      </c>
      <c r="H360">
        <v>-19.600000000000001</v>
      </c>
      <c r="I360">
        <v>16.3</v>
      </c>
      <c r="J360">
        <v>-25</v>
      </c>
      <c r="K360">
        <v>-16.600000000000001</v>
      </c>
      <c r="L360">
        <v>-16.7</v>
      </c>
      <c r="M360">
        <v>-25</v>
      </c>
      <c r="N360">
        <v>-16.2</v>
      </c>
      <c r="O360">
        <v>-16.2</v>
      </c>
      <c r="P360">
        <v>-25</v>
      </c>
      <c r="Q360">
        <v>-16.2</v>
      </c>
      <c r="R360">
        <v>-16.100000000000001</v>
      </c>
      <c r="S360">
        <v>-25</v>
      </c>
      <c r="T360">
        <v>3.9</v>
      </c>
      <c r="U360">
        <v>3.9</v>
      </c>
      <c r="V360">
        <v>2</v>
      </c>
      <c r="W360">
        <v>3.9</v>
      </c>
      <c r="X360">
        <v>3.8</v>
      </c>
      <c r="Y360">
        <v>2</v>
      </c>
      <c r="Z360">
        <v>3.7</v>
      </c>
      <c r="AA360">
        <v>3.5</v>
      </c>
      <c r="AB360">
        <v>2</v>
      </c>
      <c r="AC360">
        <v>3.5</v>
      </c>
      <c r="AD360">
        <v>3.4</v>
      </c>
      <c r="AE360">
        <v>2</v>
      </c>
      <c r="AF360">
        <v>2.1</v>
      </c>
      <c r="AG360">
        <v>2</v>
      </c>
      <c r="AH360">
        <v>2</v>
      </c>
      <c r="AI360">
        <v>2</v>
      </c>
      <c r="AJ360">
        <v>1.8</v>
      </c>
      <c r="AK360">
        <v>2</v>
      </c>
      <c r="AL360">
        <v>6</v>
      </c>
      <c r="AM360">
        <v>4</v>
      </c>
      <c r="AN360">
        <v>5.7</v>
      </c>
      <c r="AO360">
        <v>4</v>
      </c>
      <c r="AP360">
        <v>4.9000000000000004</v>
      </c>
      <c r="AQ360">
        <v>4</v>
      </c>
      <c r="AR360">
        <v>7</v>
      </c>
      <c r="AS360">
        <v>4</v>
      </c>
      <c r="AT360">
        <v>-4.2</v>
      </c>
      <c r="AU360">
        <v>-4.5999999999999996</v>
      </c>
      <c r="AV360">
        <v>-5</v>
      </c>
      <c r="AW360">
        <v>-3.7</v>
      </c>
      <c r="AX360">
        <v>-5.7</v>
      </c>
      <c r="AY360">
        <v>-5</v>
      </c>
      <c r="AZ360">
        <v>10.4</v>
      </c>
      <c r="BA360">
        <v>10</v>
      </c>
      <c r="BB360">
        <v>11.9</v>
      </c>
      <c r="BC360">
        <v>10</v>
      </c>
      <c r="BD360">
        <v>5.5</v>
      </c>
      <c r="BE360">
        <v>4</v>
      </c>
      <c r="BF360">
        <v>11.7</v>
      </c>
      <c r="BG360">
        <v>10</v>
      </c>
      <c r="BH360">
        <v>11.3</v>
      </c>
      <c r="BI360">
        <v>10</v>
      </c>
      <c r="BJ360">
        <v>10.7</v>
      </c>
      <c r="BK360">
        <v>9</v>
      </c>
      <c r="BL360">
        <v>18.8</v>
      </c>
      <c r="BM360">
        <v>19</v>
      </c>
      <c r="BN360">
        <v>22.9</v>
      </c>
      <c r="BO360">
        <v>19</v>
      </c>
      <c r="BP360">
        <v>21</v>
      </c>
      <c r="BQ360">
        <v>20</v>
      </c>
      <c r="BR360">
        <v>21.8</v>
      </c>
      <c r="BS360">
        <v>25</v>
      </c>
      <c r="BT360">
        <v>21.9</v>
      </c>
      <c r="BU360">
        <v>25</v>
      </c>
      <c r="BV360">
        <v>23.5</v>
      </c>
      <c r="BW360">
        <v>18</v>
      </c>
      <c r="BX360">
        <v>21.9</v>
      </c>
      <c r="BY360">
        <v>20</v>
      </c>
      <c r="BZ360">
        <v>21.2</v>
      </c>
      <c r="CA360">
        <v>20</v>
      </c>
      <c r="CB360">
        <v>11.9</v>
      </c>
      <c r="CC360">
        <v>10</v>
      </c>
      <c r="CD360">
        <v>11</v>
      </c>
      <c r="CE360">
        <v>10</v>
      </c>
      <c r="CF360">
        <v>11.4</v>
      </c>
      <c r="CG360">
        <v>9</v>
      </c>
      <c r="CH360">
        <v>11.6</v>
      </c>
      <c r="CI360">
        <v>9</v>
      </c>
    </row>
    <row r="361" spans="1:87" x14ac:dyDescent="0.35">
      <c r="A361" s="1">
        <v>46059.703472222223</v>
      </c>
      <c r="B361">
        <v>-18.600000000000001</v>
      </c>
      <c r="C361">
        <v>-19.100000000000001</v>
      </c>
      <c r="D361">
        <v>-25</v>
      </c>
      <c r="E361">
        <v>-19</v>
      </c>
      <c r="F361">
        <v>-18.3</v>
      </c>
      <c r="G361">
        <v>-25</v>
      </c>
      <c r="H361">
        <v>-19.600000000000001</v>
      </c>
      <c r="I361">
        <v>16.8</v>
      </c>
      <c r="J361">
        <v>-25</v>
      </c>
      <c r="K361">
        <v>-16.5</v>
      </c>
      <c r="L361">
        <v>-16.600000000000001</v>
      </c>
      <c r="M361">
        <v>-25</v>
      </c>
      <c r="N361">
        <v>-16.100000000000001</v>
      </c>
      <c r="O361">
        <v>-16.100000000000001</v>
      </c>
      <c r="P361">
        <v>-25</v>
      </c>
      <c r="Q361">
        <v>-16.100000000000001</v>
      </c>
      <c r="R361">
        <v>-16</v>
      </c>
      <c r="S361">
        <v>-25</v>
      </c>
      <c r="T361">
        <v>3.9</v>
      </c>
      <c r="U361">
        <v>4</v>
      </c>
      <c r="V361">
        <v>2</v>
      </c>
      <c r="W361">
        <v>4</v>
      </c>
      <c r="X361">
        <v>3.8</v>
      </c>
      <c r="Y361">
        <v>2</v>
      </c>
      <c r="Z361">
        <v>3.8</v>
      </c>
      <c r="AA361">
        <v>3.5</v>
      </c>
      <c r="AB361">
        <v>2</v>
      </c>
      <c r="AC361">
        <v>3.6</v>
      </c>
      <c r="AD361">
        <v>3.4</v>
      </c>
      <c r="AE361">
        <v>2</v>
      </c>
      <c r="AF361">
        <v>2.4</v>
      </c>
      <c r="AG361">
        <v>2.2999999999999998</v>
      </c>
      <c r="AH361">
        <v>2</v>
      </c>
      <c r="AI361">
        <v>2.2999999999999998</v>
      </c>
      <c r="AJ361">
        <v>2.1</v>
      </c>
      <c r="AK361">
        <v>2</v>
      </c>
      <c r="AL361">
        <v>6</v>
      </c>
      <c r="AM361">
        <v>4</v>
      </c>
      <c r="AN361">
        <v>5.5</v>
      </c>
      <c r="AO361">
        <v>4</v>
      </c>
      <c r="AP361">
        <v>5.0999999999999996</v>
      </c>
      <c r="AQ361">
        <v>4</v>
      </c>
      <c r="AR361">
        <v>7.1</v>
      </c>
      <c r="AS361">
        <v>4</v>
      </c>
      <c r="AT361">
        <v>-3.7</v>
      </c>
      <c r="AU361">
        <v>-3.9</v>
      </c>
      <c r="AV361">
        <v>-5</v>
      </c>
      <c r="AW361">
        <v>-4.3</v>
      </c>
      <c r="AX361">
        <v>-6.6</v>
      </c>
      <c r="AY361">
        <v>-5</v>
      </c>
      <c r="AZ361">
        <v>10.5</v>
      </c>
      <c r="BA361">
        <v>10</v>
      </c>
      <c r="BB361">
        <v>12.1</v>
      </c>
      <c r="BC361">
        <v>10</v>
      </c>
      <c r="BD361">
        <v>5.2</v>
      </c>
      <c r="BE361">
        <v>4</v>
      </c>
      <c r="BF361">
        <v>10.7</v>
      </c>
      <c r="BG361">
        <v>10</v>
      </c>
      <c r="BH361">
        <v>11.3</v>
      </c>
      <c r="BI361">
        <v>10</v>
      </c>
      <c r="BJ361">
        <v>10.7</v>
      </c>
      <c r="BK361">
        <v>9</v>
      </c>
      <c r="BL361">
        <v>18.7</v>
      </c>
      <c r="BM361">
        <v>19</v>
      </c>
      <c r="BN361">
        <v>22.9</v>
      </c>
      <c r="BO361">
        <v>19</v>
      </c>
      <c r="BP361">
        <v>20.9</v>
      </c>
      <c r="BQ361">
        <v>20</v>
      </c>
      <c r="BR361">
        <v>21.8</v>
      </c>
      <c r="BS361">
        <v>25</v>
      </c>
      <c r="BT361">
        <v>21.9</v>
      </c>
      <c r="BU361">
        <v>25</v>
      </c>
      <c r="BV361">
        <v>23.5</v>
      </c>
      <c r="BW361">
        <v>18</v>
      </c>
      <c r="BX361">
        <v>22</v>
      </c>
      <c r="BY361">
        <v>20</v>
      </c>
      <c r="BZ361">
        <v>21.3</v>
      </c>
      <c r="CA361">
        <v>20</v>
      </c>
      <c r="CB361">
        <v>12.1</v>
      </c>
      <c r="CC361">
        <v>10</v>
      </c>
      <c r="CD361">
        <v>11</v>
      </c>
      <c r="CE361">
        <v>10</v>
      </c>
      <c r="CF361">
        <v>11.1</v>
      </c>
      <c r="CG361">
        <v>9</v>
      </c>
      <c r="CH361">
        <v>11.3</v>
      </c>
      <c r="CI361">
        <v>9</v>
      </c>
    </row>
    <row r="362" spans="1:87" x14ac:dyDescent="0.35">
      <c r="A362" s="1">
        <v>46059.70416666667</v>
      </c>
      <c r="B362">
        <v>-18.600000000000001</v>
      </c>
      <c r="C362">
        <v>-19</v>
      </c>
      <c r="D362">
        <v>-25</v>
      </c>
      <c r="E362">
        <v>-19</v>
      </c>
      <c r="F362">
        <v>-18.3</v>
      </c>
      <c r="G362">
        <v>-25</v>
      </c>
      <c r="H362">
        <v>-19.600000000000001</v>
      </c>
      <c r="I362">
        <v>17.8</v>
      </c>
      <c r="J362">
        <v>-25</v>
      </c>
      <c r="K362">
        <v>-16.3</v>
      </c>
      <c r="L362">
        <v>-16.5</v>
      </c>
      <c r="M362">
        <v>-25</v>
      </c>
      <c r="N362">
        <v>-16</v>
      </c>
      <c r="O362">
        <v>-16.100000000000001</v>
      </c>
      <c r="P362">
        <v>-25</v>
      </c>
      <c r="Q362">
        <v>-16</v>
      </c>
      <c r="R362">
        <v>-15.9</v>
      </c>
      <c r="S362">
        <v>-25</v>
      </c>
      <c r="T362">
        <v>3.9</v>
      </c>
      <c r="U362">
        <v>3.9</v>
      </c>
      <c r="V362">
        <v>2</v>
      </c>
      <c r="W362">
        <v>3.9</v>
      </c>
      <c r="X362">
        <v>1.8</v>
      </c>
      <c r="Y362">
        <v>2</v>
      </c>
      <c r="Z362">
        <v>3.8</v>
      </c>
      <c r="AA362">
        <v>3.6</v>
      </c>
      <c r="AB362">
        <v>2</v>
      </c>
      <c r="AC362">
        <v>3.6</v>
      </c>
      <c r="AD362">
        <v>3.5</v>
      </c>
      <c r="AE362">
        <v>2</v>
      </c>
      <c r="AF362">
        <v>2.6</v>
      </c>
      <c r="AG362">
        <v>2.4</v>
      </c>
      <c r="AH362">
        <v>2</v>
      </c>
      <c r="AI362">
        <v>2.5</v>
      </c>
      <c r="AJ362">
        <v>2.2999999999999998</v>
      </c>
      <c r="AK362">
        <v>2</v>
      </c>
      <c r="AL362">
        <v>6</v>
      </c>
      <c r="AM362">
        <v>4</v>
      </c>
      <c r="AN362">
        <v>5.4</v>
      </c>
      <c r="AO362">
        <v>4</v>
      </c>
      <c r="AP362">
        <v>5.3</v>
      </c>
      <c r="AQ362">
        <v>4</v>
      </c>
      <c r="AR362">
        <v>7.2</v>
      </c>
      <c r="AS362">
        <v>4</v>
      </c>
      <c r="AT362">
        <v>-3.3</v>
      </c>
      <c r="AU362">
        <v>-3.6</v>
      </c>
      <c r="AV362">
        <v>-5</v>
      </c>
      <c r="AW362">
        <v>-4.8</v>
      </c>
      <c r="AX362">
        <v>-5.7</v>
      </c>
      <c r="AY362">
        <v>-5</v>
      </c>
      <c r="AZ362">
        <v>10.6</v>
      </c>
      <c r="BA362">
        <v>10</v>
      </c>
      <c r="BB362">
        <v>12.2</v>
      </c>
      <c r="BC362">
        <v>10</v>
      </c>
      <c r="BD362">
        <v>5</v>
      </c>
      <c r="BE362">
        <v>4</v>
      </c>
      <c r="BF362">
        <v>10</v>
      </c>
      <c r="BG362">
        <v>10</v>
      </c>
      <c r="BH362">
        <v>11.3</v>
      </c>
      <c r="BI362">
        <v>10</v>
      </c>
      <c r="BJ362">
        <v>10.7</v>
      </c>
      <c r="BK362">
        <v>9</v>
      </c>
      <c r="BL362">
        <v>18.7</v>
      </c>
      <c r="BM362">
        <v>19</v>
      </c>
      <c r="BN362">
        <v>22.9</v>
      </c>
      <c r="BO362">
        <v>19</v>
      </c>
      <c r="BP362">
        <v>20.9</v>
      </c>
      <c r="BQ362">
        <v>20</v>
      </c>
      <c r="BR362">
        <v>21.8</v>
      </c>
      <c r="BS362">
        <v>25</v>
      </c>
      <c r="BT362">
        <v>21.9</v>
      </c>
      <c r="BU362">
        <v>25</v>
      </c>
      <c r="BV362">
        <v>23.5</v>
      </c>
      <c r="BW362">
        <v>18</v>
      </c>
      <c r="BX362">
        <v>20.9</v>
      </c>
      <c r="BY362">
        <v>20</v>
      </c>
      <c r="BZ362">
        <v>21.3</v>
      </c>
      <c r="CA362">
        <v>20</v>
      </c>
      <c r="CB362">
        <v>12</v>
      </c>
      <c r="CC362">
        <v>10</v>
      </c>
      <c r="CD362">
        <v>11</v>
      </c>
      <c r="CE362">
        <v>10</v>
      </c>
      <c r="CF362">
        <v>10.8</v>
      </c>
      <c r="CG362">
        <v>9</v>
      </c>
      <c r="CH362">
        <v>11.1</v>
      </c>
      <c r="CI362">
        <v>9</v>
      </c>
    </row>
    <row r="363" spans="1:87" x14ac:dyDescent="0.35">
      <c r="A363" s="1">
        <v>46059.704861111109</v>
      </c>
      <c r="B363">
        <v>-18.600000000000001</v>
      </c>
      <c r="C363">
        <v>-19</v>
      </c>
      <c r="D363">
        <v>-25</v>
      </c>
      <c r="E363">
        <v>-19</v>
      </c>
      <c r="F363">
        <v>-18.3</v>
      </c>
      <c r="G363">
        <v>-25</v>
      </c>
      <c r="H363">
        <v>-19.600000000000001</v>
      </c>
      <c r="I363">
        <v>18.399999999999999</v>
      </c>
      <c r="J363">
        <v>-25</v>
      </c>
      <c r="K363">
        <v>-16.2</v>
      </c>
      <c r="L363">
        <v>-16.3</v>
      </c>
      <c r="M363">
        <v>-25</v>
      </c>
      <c r="N363">
        <v>-16</v>
      </c>
      <c r="O363">
        <v>-16</v>
      </c>
      <c r="P363">
        <v>-25</v>
      </c>
      <c r="Q363">
        <v>-15.9</v>
      </c>
      <c r="R363">
        <v>-15.8</v>
      </c>
      <c r="S363">
        <v>-25</v>
      </c>
      <c r="T363">
        <v>3.6</v>
      </c>
      <c r="U363">
        <v>3.3</v>
      </c>
      <c r="V363">
        <v>2</v>
      </c>
      <c r="W363">
        <v>3.5</v>
      </c>
      <c r="X363">
        <v>1.2</v>
      </c>
      <c r="Y363">
        <v>2</v>
      </c>
      <c r="Z363">
        <v>3.9</v>
      </c>
      <c r="AA363">
        <v>3.6</v>
      </c>
      <c r="AB363">
        <v>2</v>
      </c>
      <c r="AC363">
        <v>3.7</v>
      </c>
      <c r="AD363">
        <v>3.6</v>
      </c>
      <c r="AE363">
        <v>2</v>
      </c>
      <c r="AF363">
        <v>2.8</v>
      </c>
      <c r="AG363">
        <v>2.6</v>
      </c>
      <c r="AH363">
        <v>2</v>
      </c>
      <c r="AI363">
        <v>2.7</v>
      </c>
      <c r="AJ363">
        <v>2.5</v>
      </c>
      <c r="AK363">
        <v>2</v>
      </c>
      <c r="AL363">
        <v>5.8</v>
      </c>
      <c r="AM363">
        <v>4</v>
      </c>
      <c r="AN363">
        <v>5.3</v>
      </c>
      <c r="AO363">
        <v>4</v>
      </c>
      <c r="AP363">
        <v>5.4</v>
      </c>
      <c r="AQ363">
        <v>4</v>
      </c>
      <c r="AR363">
        <v>7.4</v>
      </c>
      <c r="AS363">
        <v>4</v>
      </c>
      <c r="AT363">
        <v>-3</v>
      </c>
      <c r="AU363">
        <v>-3.2</v>
      </c>
      <c r="AV363">
        <v>-5</v>
      </c>
      <c r="AW363">
        <v>-4.5</v>
      </c>
      <c r="AX363">
        <v>-4.5999999999999996</v>
      </c>
      <c r="AY363">
        <v>-5</v>
      </c>
      <c r="AZ363">
        <v>10.8</v>
      </c>
      <c r="BA363">
        <v>10</v>
      </c>
      <c r="BB363">
        <v>12</v>
      </c>
      <c r="BC363">
        <v>10</v>
      </c>
      <c r="BD363">
        <v>5</v>
      </c>
      <c r="BE363">
        <v>4</v>
      </c>
      <c r="BF363">
        <v>9.6</v>
      </c>
      <c r="BG363">
        <v>10</v>
      </c>
      <c r="BH363">
        <v>11.3</v>
      </c>
      <c r="BI363">
        <v>10</v>
      </c>
      <c r="BJ363">
        <v>10.7</v>
      </c>
      <c r="BK363">
        <v>9</v>
      </c>
      <c r="BL363">
        <v>18.7</v>
      </c>
      <c r="BM363">
        <v>19</v>
      </c>
      <c r="BN363">
        <v>22.9</v>
      </c>
      <c r="BO363">
        <v>19</v>
      </c>
      <c r="BP363">
        <v>20.9</v>
      </c>
      <c r="BQ363">
        <v>20</v>
      </c>
      <c r="BR363">
        <v>21.8</v>
      </c>
      <c r="BS363">
        <v>25</v>
      </c>
      <c r="BT363">
        <v>21.9</v>
      </c>
      <c r="BU363">
        <v>25</v>
      </c>
      <c r="BV363">
        <v>23.5</v>
      </c>
      <c r="BW363">
        <v>18</v>
      </c>
      <c r="BX363">
        <v>18.600000000000001</v>
      </c>
      <c r="BY363">
        <v>20</v>
      </c>
      <c r="BZ363">
        <v>21.3</v>
      </c>
      <c r="CA363">
        <v>20</v>
      </c>
      <c r="CB363">
        <v>11.7</v>
      </c>
      <c r="CC363">
        <v>10</v>
      </c>
      <c r="CD363">
        <v>11</v>
      </c>
      <c r="CE363">
        <v>10</v>
      </c>
      <c r="CF363">
        <v>10.6</v>
      </c>
      <c r="CG363">
        <v>9</v>
      </c>
      <c r="CH363">
        <v>10.9</v>
      </c>
      <c r="CI363">
        <v>9</v>
      </c>
    </row>
    <row r="364" spans="1:87" x14ac:dyDescent="0.35">
      <c r="A364" s="1">
        <v>46059.705555555556</v>
      </c>
      <c r="B364">
        <v>-18.600000000000001</v>
      </c>
      <c r="C364">
        <v>-18.899999999999999</v>
      </c>
      <c r="D364">
        <v>-25</v>
      </c>
      <c r="E364">
        <v>-19</v>
      </c>
      <c r="F364">
        <v>-18.3</v>
      </c>
      <c r="G364">
        <v>-25</v>
      </c>
      <c r="H364">
        <v>-19.600000000000001</v>
      </c>
      <c r="I364">
        <v>19.399999999999999</v>
      </c>
      <c r="J364">
        <v>-25</v>
      </c>
      <c r="K364">
        <v>-16</v>
      </c>
      <c r="L364">
        <v>-16.2</v>
      </c>
      <c r="M364">
        <v>-25</v>
      </c>
      <c r="N364">
        <v>-15.9</v>
      </c>
      <c r="O364">
        <v>-15.8</v>
      </c>
      <c r="P364">
        <v>-25</v>
      </c>
      <c r="Q364">
        <v>-15.9</v>
      </c>
      <c r="R364">
        <v>-15.7</v>
      </c>
      <c r="S364">
        <v>-25</v>
      </c>
      <c r="T364">
        <v>3.5</v>
      </c>
      <c r="U364">
        <v>3.2</v>
      </c>
      <c r="V364">
        <v>2</v>
      </c>
      <c r="W364">
        <v>3.3</v>
      </c>
      <c r="X364">
        <v>2</v>
      </c>
      <c r="Y364">
        <v>2</v>
      </c>
      <c r="Z364">
        <v>3.9</v>
      </c>
      <c r="AA364">
        <v>3.7</v>
      </c>
      <c r="AB364">
        <v>2</v>
      </c>
      <c r="AC364">
        <v>3.8</v>
      </c>
      <c r="AD364">
        <v>3.7</v>
      </c>
      <c r="AE364">
        <v>2</v>
      </c>
      <c r="AF364">
        <v>3</v>
      </c>
      <c r="AG364">
        <v>2.8</v>
      </c>
      <c r="AH364">
        <v>2</v>
      </c>
      <c r="AI364">
        <v>2.8</v>
      </c>
      <c r="AJ364">
        <v>2.7</v>
      </c>
      <c r="AK364">
        <v>2</v>
      </c>
      <c r="AL364">
        <v>5.6</v>
      </c>
      <c r="AM364">
        <v>4</v>
      </c>
      <c r="AN364">
        <v>5.2</v>
      </c>
      <c r="AO364">
        <v>4</v>
      </c>
      <c r="AP364">
        <v>5.5</v>
      </c>
      <c r="AQ364">
        <v>4</v>
      </c>
      <c r="AR364">
        <v>7.4</v>
      </c>
      <c r="AS364">
        <v>4</v>
      </c>
      <c r="AT364">
        <v>-2.9</v>
      </c>
      <c r="AU364">
        <v>-3.8</v>
      </c>
      <c r="AV364">
        <v>-5</v>
      </c>
      <c r="AW364">
        <v>-3.8</v>
      </c>
      <c r="AX364">
        <v>-3.7</v>
      </c>
      <c r="AY364">
        <v>-5</v>
      </c>
      <c r="AZ364">
        <v>10.9</v>
      </c>
      <c r="BA364">
        <v>10</v>
      </c>
      <c r="BB364">
        <v>11.8</v>
      </c>
      <c r="BC364">
        <v>10</v>
      </c>
      <c r="BD364">
        <v>4.5999999999999996</v>
      </c>
      <c r="BE364">
        <v>4</v>
      </c>
      <c r="BF364">
        <v>9.6</v>
      </c>
      <c r="BG364">
        <v>10</v>
      </c>
      <c r="BH364">
        <v>11.3</v>
      </c>
      <c r="BI364">
        <v>10</v>
      </c>
      <c r="BJ364">
        <v>10.7</v>
      </c>
      <c r="BK364">
        <v>9</v>
      </c>
      <c r="BL364">
        <v>18.7</v>
      </c>
      <c r="BM364">
        <v>19</v>
      </c>
      <c r="BN364">
        <v>22.9</v>
      </c>
      <c r="BO364">
        <v>19</v>
      </c>
      <c r="BP364">
        <v>20.9</v>
      </c>
      <c r="BQ364">
        <v>20</v>
      </c>
      <c r="BR364">
        <v>21.8</v>
      </c>
      <c r="BS364">
        <v>25</v>
      </c>
      <c r="BT364">
        <v>21.9</v>
      </c>
      <c r="BU364">
        <v>25</v>
      </c>
      <c r="BV364">
        <v>23.5</v>
      </c>
      <c r="BW364">
        <v>18</v>
      </c>
      <c r="BX364">
        <v>18.399999999999999</v>
      </c>
      <c r="BY364">
        <v>20</v>
      </c>
      <c r="BZ364">
        <v>21.4</v>
      </c>
      <c r="CA364">
        <v>20</v>
      </c>
      <c r="CB364">
        <v>11.3</v>
      </c>
      <c r="CC364">
        <v>10</v>
      </c>
      <c r="CD364">
        <v>11</v>
      </c>
      <c r="CE364">
        <v>10</v>
      </c>
      <c r="CF364">
        <v>10.7</v>
      </c>
      <c r="CG364">
        <v>9</v>
      </c>
      <c r="CH364">
        <v>10.9</v>
      </c>
      <c r="CI364">
        <v>9</v>
      </c>
    </row>
    <row r="365" spans="1:87" x14ac:dyDescent="0.35">
      <c r="A365" s="1">
        <v>46059.706250000003</v>
      </c>
      <c r="B365">
        <v>-18.600000000000001</v>
      </c>
      <c r="C365">
        <v>-18.899999999999999</v>
      </c>
      <c r="D365">
        <v>-25</v>
      </c>
      <c r="E365">
        <v>-19</v>
      </c>
      <c r="F365">
        <v>-18.3</v>
      </c>
      <c r="G365">
        <v>-25</v>
      </c>
      <c r="H365">
        <v>-19.600000000000001</v>
      </c>
      <c r="I365">
        <v>20.100000000000001</v>
      </c>
      <c r="J365">
        <v>-25</v>
      </c>
      <c r="K365">
        <v>-15.9</v>
      </c>
      <c r="L365">
        <v>-16.100000000000001</v>
      </c>
      <c r="M365">
        <v>-25</v>
      </c>
      <c r="N365">
        <v>-15.8</v>
      </c>
      <c r="O365">
        <v>-15.8</v>
      </c>
      <c r="P365">
        <v>-25</v>
      </c>
      <c r="Q365">
        <v>-15.8</v>
      </c>
      <c r="R365">
        <v>-15.7</v>
      </c>
      <c r="S365">
        <v>-25</v>
      </c>
      <c r="T365">
        <v>3.4</v>
      </c>
      <c r="U365">
        <v>3</v>
      </c>
      <c r="V365">
        <v>2</v>
      </c>
      <c r="W365">
        <v>3.2</v>
      </c>
      <c r="X365">
        <v>0.6</v>
      </c>
      <c r="Y365">
        <v>2</v>
      </c>
      <c r="Z365">
        <v>4</v>
      </c>
      <c r="AA365">
        <v>3.7</v>
      </c>
      <c r="AB365">
        <v>2</v>
      </c>
      <c r="AC365">
        <v>3.8</v>
      </c>
      <c r="AD365">
        <v>3.7</v>
      </c>
      <c r="AE365">
        <v>2</v>
      </c>
      <c r="AF365">
        <v>3.1</v>
      </c>
      <c r="AG365">
        <v>3</v>
      </c>
      <c r="AH365">
        <v>2</v>
      </c>
      <c r="AI365">
        <v>3</v>
      </c>
      <c r="AJ365">
        <v>2.9</v>
      </c>
      <c r="AK365">
        <v>2</v>
      </c>
      <c r="AL365">
        <v>5.5</v>
      </c>
      <c r="AM365">
        <v>4</v>
      </c>
      <c r="AN365">
        <v>5</v>
      </c>
      <c r="AO365">
        <v>4</v>
      </c>
      <c r="AP365">
        <v>5.7</v>
      </c>
      <c r="AQ365">
        <v>4</v>
      </c>
      <c r="AR365">
        <v>7.5</v>
      </c>
      <c r="AS365">
        <v>4</v>
      </c>
      <c r="AT365">
        <v>-3.1</v>
      </c>
      <c r="AU365">
        <v>-4.8</v>
      </c>
      <c r="AV365">
        <v>-5</v>
      </c>
      <c r="AW365">
        <v>-3.5</v>
      </c>
      <c r="AX365">
        <v>-3.6</v>
      </c>
      <c r="AY365">
        <v>-5</v>
      </c>
      <c r="AZ365">
        <v>11</v>
      </c>
      <c r="BA365">
        <v>10</v>
      </c>
      <c r="BB365">
        <v>11.5</v>
      </c>
      <c r="BC365">
        <v>10</v>
      </c>
      <c r="BD365">
        <v>4</v>
      </c>
      <c r="BE365">
        <v>4</v>
      </c>
      <c r="BF365">
        <v>9.9</v>
      </c>
      <c r="BG365">
        <v>10</v>
      </c>
      <c r="BH365">
        <v>11.3</v>
      </c>
      <c r="BI365">
        <v>10</v>
      </c>
      <c r="BJ365">
        <v>10.6</v>
      </c>
      <c r="BK365">
        <v>9</v>
      </c>
      <c r="BL365">
        <v>18.7</v>
      </c>
      <c r="BM365">
        <v>19</v>
      </c>
      <c r="BN365">
        <v>23</v>
      </c>
      <c r="BO365">
        <v>19</v>
      </c>
      <c r="BP365">
        <v>20.9</v>
      </c>
      <c r="BQ365">
        <v>20</v>
      </c>
      <c r="BR365">
        <v>21.9</v>
      </c>
      <c r="BS365">
        <v>25</v>
      </c>
      <c r="BT365">
        <v>21.9</v>
      </c>
      <c r="BU365">
        <v>25</v>
      </c>
      <c r="BV365">
        <v>23.5</v>
      </c>
      <c r="BW365">
        <v>18</v>
      </c>
      <c r="BX365">
        <v>18.7</v>
      </c>
      <c r="BY365">
        <v>20</v>
      </c>
      <c r="BZ365">
        <v>21.4</v>
      </c>
      <c r="CA365">
        <v>20</v>
      </c>
      <c r="CB365">
        <v>11.1</v>
      </c>
      <c r="CC365">
        <v>10</v>
      </c>
      <c r="CD365">
        <v>11</v>
      </c>
      <c r="CE365">
        <v>10</v>
      </c>
      <c r="CF365">
        <v>10.9</v>
      </c>
      <c r="CG365">
        <v>9</v>
      </c>
      <c r="CH365">
        <v>11.1</v>
      </c>
      <c r="CI365">
        <v>9</v>
      </c>
    </row>
    <row r="366" spans="1:87" x14ac:dyDescent="0.35">
      <c r="A366" s="1">
        <v>46059.706944444442</v>
      </c>
      <c r="B366">
        <v>-18.600000000000001</v>
      </c>
      <c r="C366">
        <v>-18.899999999999999</v>
      </c>
      <c r="D366">
        <v>-25</v>
      </c>
      <c r="E366">
        <v>-19</v>
      </c>
      <c r="F366">
        <v>-18.3</v>
      </c>
      <c r="G366">
        <v>-25</v>
      </c>
      <c r="H366">
        <v>-19.600000000000001</v>
      </c>
      <c r="I366">
        <v>20.7</v>
      </c>
      <c r="J366">
        <v>-25</v>
      </c>
      <c r="K366">
        <v>-15.7</v>
      </c>
      <c r="L366">
        <v>-15.9</v>
      </c>
      <c r="M366">
        <v>-25</v>
      </c>
      <c r="N366">
        <v>-15.7</v>
      </c>
      <c r="O366">
        <v>-15.7</v>
      </c>
      <c r="P366">
        <v>-25</v>
      </c>
      <c r="Q366">
        <v>-15.7</v>
      </c>
      <c r="R366">
        <v>-15.6</v>
      </c>
      <c r="S366">
        <v>-25</v>
      </c>
      <c r="T366">
        <v>3.2</v>
      </c>
      <c r="U366">
        <v>2.7</v>
      </c>
      <c r="V366">
        <v>2</v>
      </c>
      <c r="W366">
        <v>2.9</v>
      </c>
      <c r="X366">
        <v>-0.1</v>
      </c>
      <c r="Y366">
        <v>2</v>
      </c>
      <c r="Z366">
        <v>4.0999999999999996</v>
      </c>
      <c r="AA366">
        <v>3.8</v>
      </c>
      <c r="AB366">
        <v>2</v>
      </c>
      <c r="AC366">
        <v>3.9</v>
      </c>
      <c r="AD366">
        <v>3.8</v>
      </c>
      <c r="AE366">
        <v>2</v>
      </c>
      <c r="AF366">
        <v>3.4</v>
      </c>
      <c r="AG366">
        <v>3.2</v>
      </c>
      <c r="AH366">
        <v>2</v>
      </c>
      <c r="AI366">
        <v>3.2</v>
      </c>
      <c r="AJ366">
        <v>3.1</v>
      </c>
      <c r="AK366">
        <v>2</v>
      </c>
      <c r="AL366">
        <v>5.4</v>
      </c>
      <c r="AM366">
        <v>4</v>
      </c>
      <c r="AN366">
        <v>4.9000000000000004</v>
      </c>
      <c r="AO366">
        <v>4</v>
      </c>
      <c r="AP366">
        <v>5.8</v>
      </c>
      <c r="AQ366">
        <v>4</v>
      </c>
      <c r="AR366">
        <v>7.6</v>
      </c>
      <c r="AS366">
        <v>4</v>
      </c>
      <c r="AT366">
        <v>-3.4</v>
      </c>
      <c r="AU366">
        <v>-5.3</v>
      </c>
      <c r="AV366">
        <v>-5</v>
      </c>
      <c r="AW366">
        <v>-3.5</v>
      </c>
      <c r="AX366">
        <v>-3.8</v>
      </c>
      <c r="AY366">
        <v>-5</v>
      </c>
      <c r="AZ366">
        <v>11.1</v>
      </c>
      <c r="BA366">
        <v>10</v>
      </c>
      <c r="BB366">
        <v>11.3</v>
      </c>
      <c r="BC366">
        <v>10</v>
      </c>
      <c r="BD366">
        <v>3.8</v>
      </c>
      <c r="BE366">
        <v>4</v>
      </c>
      <c r="BF366">
        <v>10.5</v>
      </c>
      <c r="BG366">
        <v>10</v>
      </c>
      <c r="BH366">
        <v>11.2</v>
      </c>
      <c r="BI366">
        <v>10</v>
      </c>
      <c r="BJ366">
        <v>10.6</v>
      </c>
      <c r="BK366">
        <v>9</v>
      </c>
      <c r="BL366">
        <v>18.7</v>
      </c>
      <c r="BM366">
        <v>19</v>
      </c>
      <c r="BN366">
        <v>23</v>
      </c>
      <c r="BO366">
        <v>19</v>
      </c>
      <c r="BP366">
        <v>20.9</v>
      </c>
      <c r="BQ366">
        <v>20</v>
      </c>
      <c r="BR366">
        <v>21.9</v>
      </c>
      <c r="BS366">
        <v>25</v>
      </c>
      <c r="BT366">
        <v>21.9</v>
      </c>
      <c r="BU366">
        <v>25</v>
      </c>
      <c r="BV366">
        <v>23.5</v>
      </c>
      <c r="BW366">
        <v>18</v>
      </c>
      <c r="BX366">
        <v>19.2</v>
      </c>
      <c r="BY366">
        <v>20</v>
      </c>
      <c r="BZ366">
        <v>21.4</v>
      </c>
      <c r="CA366">
        <v>20</v>
      </c>
      <c r="CB366">
        <v>10.9</v>
      </c>
      <c r="CC366">
        <v>10</v>
      </c>
      <c r="CD366">
        <v>11</v>
      </c>
      <c r="CE366">
        <v>10</v>
      </c>
      <c r="CF366">
        <v>10.9</v>
      </c>
      <c r="CG366">
        <v>9</v>
      </c>
      <c r="CH366">
        <v>11.1</v>
      </c>
      <c r="CI366">
        <v>9</v>
      </c>
    </row>
    <row r="367" spans="1:87" x14ac:dyDescent="0.35">
      <c r="A367" s="1">
        <v>46059.707638888889</v>
      </c>
      <c r="B367">
        <v>-18.600000000000001</v>
      </c>
      <c r="C367">
        <v>-18.899999999999999</v>
      </c>
      <c r="D367">
        <v>-25</v>
      </c>
      <c r="E367">
        <v>-19</v>
      </c>
      <c r="F367">
        <v>-18.399999999999999</v>
      </c>
      <c r="G367">
        <v>-25</v>
      </c>
      <c r="H367">
        <v>-19.600000000000001</v>
      </c>
      <c r="I367">
        <v>17.8</v>
      </c>
      <c r="J367">
        <v>-25</v>
      </c>
      <c r="K367">
        <v>-15.5</v>
      </c>
      <c r="L367">
        <v>-15.6</v>
      </c>
      <c r="M367">
        <v>-25</v>
      </c>
      <c r="N367">
        <v>-15.7</v>
      </c>
      <c r="O367">
        <v>-15.6</v>
      </c>
      <c r="P367">
        <v>-25</v>
      </c>
      <c r="Q367">
        <v>-15.6</v>
      </c>
      <c r="R367">
        <v>-15.5</v>
      </c>
      <c r="S367">
        <v>-25</v>
      </c>
      <c r="T367">
        <v>3</v>
      </c>
      <c r="U367">
        <v>2.6</v>
      </c>
      <c r="V367">
        <v>2</v>
      </c>
      <c r="W367">
        <v>2.8</v>
      </c>
      <c r="X367">
        <v>0.9</v>
      </c>
      <c r="Y367">
        <v>2</v>
      </c>
      <c r="Z367">
        <v>4.0999999999999996</v>
      </c>
      <c r="AA367">
        <v>3.9</v>
      </c>
      <c r="AB367">
        <v>2</v>
      </c>
      <c r="AC367">
        <v>4</v>
      </c>
      <c r="AD367">
        <v>3.9</v>
      </c>
      <c r="AE367">
        <v>2</v>
      </c>
      <c r="AF367">
        <v>3.5</v>
      </c>
      <c r="AG367">
        <v>3.4</v>
      </c>
      <c r="AH367">
        <v>2</v>
      </c>
      <c r="AI367">
        <v>3.4</v>
      </c>
      <c r="AJ367">
        <v>3.3</v>
      </c>
      <c r="AK367">
        <v>2</v>
      </c>
      <c r="AL367">
        <v>5.3</v>
      </c>
      <c r="AM367">
        <v>4</v>
      </c>
      <c r="AN367">
        <v>4.7</v>
      </c>
      <c r="AO367">
        <v>4</v>
      </c>
      <c r="AP367">
        <v>5.9</v>
      </c>
      <c r="AQ367">
        <v>4</v>
      </c>
      <c r="AR367">
        <v>7.7</v>
      </c>
      <c r="AS367">
        <v>4</v>
      </c>
      <c r="AT367">
        <v>-3.7</v>
      </c>
      <c r="AU367">
        <v>-5.3</v>
      </c>
      <c r="AV367">
        <v>-5</v>
      </c>
      <c r="AW367">
        <v>-3.8</v>
      </c>
      <c r="AX367">
        <v>-5.6</v>
      </c>
      <c r="AY367">
        <v>-5</v>
      </c>
      <c r="AZ367">
        <v>11.2</v>
      </c>
      <c r="BA367">
        <v>10</v>
      </c>
      <c r="BB367">
        <v>11.2</v>
      </c>
      <c r="BC367">
        <v>10</v>
      </c>
      <c r="BD367">
        <v>3.8</v>
      </c>
      <c r="BE367">
        <v>4</v>
      </c>
      <c r="BF367">
        <v>10.7</v>
      </c>
      <c r="BG367">
        <v>10</v>
      </c>
      <c r="BH367">
        <v>11.2</v>
      </c>
      <c r="BI367">
        <v>10</v>
      </c>
      <c r="BJ367">
        <v>10.6</v>
      </c>
      <c r="BK367">
        <v>9</v>
      </c>
      <c r="BL367">
        <v>18.7</v>
      </c>
      <c r="BM367">
        <v>19</v>
      </c>
      <c r="BN367">
        <v>23</v>
      </c>
      <c r="BO367">
        <v>19</v>
      </c>
      <c r="BP367">
        <v>20.9</v>
      </c>
      <c r="BQ367">
        <v>20</v>
      </c>
      <c r="BR367">
        <v>21.8</v>
      </c>
      <c r="BS367">
        <v>25</v>
      </c>
      <c r="BT367">
        <v>21.9</v>
      </c>
      <c r="BU367">
        <v>25</v>
      </c>
      <c r="BV367">
        <v>23.5</v>
      </c>
      <c r="BW367">
        <v>18</v>
      </c>
      <c r="BX367">
        <v>19.600000000000001</v>
      </c>
      <c r="BY367">
        <v>20</v>
      </c>
      <c r="BZ367">
        <v>21.4</v>
      </c>
      <c r="CA367">
        <v>20</v>
      </c>
      <c r="CB367">
        <v>10.7</v>
      </c>
      <c r="CC367">
        <v>10</v>
      </c>
      <c r="CD367">
        <v>11</v>
      </c>
      <c r="CE367">
        <v>10</v>
      </c>
      <c r="CF367">
        <v>10.9</v>
      </c>
      <c r="CG367">
        <v>9</v>
      </c>
      <c r="CH367">
        <v>11.1</v>
      </c>
      <c r="CI367">
        <v>9</v>
      </c>
    </row>
    <row r="368" spans="1:87" x14ac:dyDescent="0.35">
      <c r="A368" s="1">
        <v>46059.708333333336</v>
      </c>
      <c r="B368">
        <v>-18.600000000000001</v>
      </c>
      <c r="C368">
        <v>-19.100000000000001</v>
      </c>
      <c r="D368">
        <v>-25</v>
      </c>
      <c r="E368">
        <v>-19</v>
      </c>
      <c r="F368">
        <v>-18.399999999999999</v>
      </c>
      <c r="G368">
        <v>-25</v>
      </c>
      <c r="H368">
        <v>-19.600000000000001</v>
      </c>
      <c r="I368">
        <v>14.3</v>
      </c>
      <c r="J368">
        <v>-25</v>
      </c>
      <c r="K368">
        <v>-15.4</v>
      </c>
      <c r="L368">
        <v>-15.5</v>
      </c>
      <c r="M368">
        <v>-25</v>
      </c>
      <c r="N368">
        <v>-15.6</v>
      </c>
      <c r="O368">
        <v>-15.5</v>
      </c>
      <c r="P368">
        <v>-25</v>
      </c>
      <c r="Q368">
        <v>-15.6</v>
      </c>
      <c r="R368">
        <v>-15.5</v>
      </c>
      <c r="S368">
        <v>-25</v>
      </c>
      <c r="T368">
        <v>3</v>
      </c>
      <c r="U368">
        <v>2.6</v>
      </c>
      <c r="V368">
        <v>2</v>
      </c>
      <c r="W368">
        <v>2.8</v>
      </c>
      <c r="X368">
        <v>1.2</v>
      </c>
      <c r="Y368">
        <v>2</v>
      </c>
      <c r="Z368">
        <v>4.2</v>
      </c>
      <c r="AA368">
        <v>3.9</v>
      </c>
      <c r="AB368">
        <v>2</v>
      </c>
      <c r="AC368">
        <v>4</v>
      </c>
      <c r="AD368">
        <v>3.2</v>
      </c>
      <c r="AE368">
        <v>2</v>
      </c>
      <c r="AF368">
        <v>3.7</v>
      </c>
      <c r="AG368">
        <v>3.6</v>
      </c>
      <c r="AH368">
        <v>2</v>
      </c>
      <c r="AI368">
        <v>3.5</v>
      </c>
      <c r="AJ368">
        <v>3.5</v>
      </c>
      <c r="AK368">
        <v>2</v>
      </c>
      <c r="AL368">
        <v>5.2</v>
      </c>
      <c r="AM368">
        <v>4</v>
      </c>
      <c r="AN368">
        <v>4.5999999999999996</v>
      </c>
      <c r="AO368">
        <v>4</v>
      </c>
      <c r="AP368">
        <v>6</v>
      </c>
      <c r="AQ368">
        <v>4</v>
      </c>
      <c r="AR368">
        <v>7.8</v>
      </c>
      <c r="AS368">
        <v>4</v>
      </c>
      <c r="AT368">
        <v>-3.9</v>
      </c>
      <c r="AU368">
        <v>-6</v>
      </c>
      <c r="AV368">
        <v>-5</v>
      </c>
      <c r="AW368">
        <v>-4.0999999999999996</v>
      </c>
      <c r="AX368">
        <v>-5.9</v>
      </c>
      <c r="AY368">
        <v>-5</v>
      </c>
      <c r="AZ368">
        <v>11.3</v>
      </c>
      <c r="BA368">
        <v>10</v>
      </c>
      <c r="BB368">
        <v>11.2</v>
      </c>
      <c r="BC368">
        <v>10</v>
      </c>
      <c r="BD368">
        <v>4</v>
      </c>
      <c r="BE368">
        <v>4</v>
      </c>
      <c r="BF368">
        <v>10.9</v>
      </c>
      <c r="BG368">
        <v>10</v>
      </c>
      <c r="BH368">
        <v>11.2</v>
      </c>
      <c r="BI368">
        <v>10</v>
      </c>
      <c r="BJ368">
        <v>10.6</v>
      </c>
      <c r="BK368">
        <v>9</v>
      </c>
      <c r="BL368">
        <v>18.7</v>
      </c>
      <c r="BM368">
        <v>19</v>
      </c>
      <c r="BN368">
        <v>23</v>
      </c>
      <c r="BO368">
        <v>19</v>
      </c>
      <c r="BP368">
        <v>20.9</v>
      </c>
      <c r="BQ368">
        <v>20</v>
      </c>
      <c r="BR368">
        <v>21.7</v>
      </c>
      <c r="BS368">
        <v>25</v>
      </c>
      <c r="BT368">
        <v>21.9</v>
      </c>
      <c r="BU368">
        <v>25</v>
      </c>
      <c r="BV368">
        <v>23.5</v>
      </c>
      <c r="BW368">
        <v>18</v>
      </c>
      <c r="BX368">
        <v>19.899999999999999</v>
      </c>
      <c r="BY368">
        <v>20</v>
      </c>
      <c r="BZ368">
        <v>21.5</v>
      </c>
      <c r="CA368">
        <v>20</v>
      </c>
      <c r="CB368">
        <v>10.7</v>
      </c>
      <c r="CC368">
        <v>10</v>
      </c>
      <c r="CD368">
        <v>11</v>
      </c>
      <c r="CE368">
        <v>10</v>
      </c>
      <c r="CF368">
        <v>10.8</v>
      </c>
      <c r="CG368">
        <v>9</v>
      </c>
      <c r="CH368">
        <v>11</v>
      </c>
      <c r="CI368">
        <v>9</v>
      </c>
    </row>
    <row r="369" spans="1:87" x14ac:dyDescent="0.35">
      <c r="A369" s="1">
        <v>46059.709027777775</v>
      </c>
      <c r="B369">
        <v>-18.7</v>
      </c>
      <c r="C369">
        <v>-19.3</v>
      </c>
      <c r="D369">
        <v>-25</v>
      </c>
      <c r="E369">
        <v>-19.100000000000001</v>
      </c>
      <c r="F369">
        <v>-18.5</v>
      </c>
      <c r="G369">
        <v>-25</v>
      </c>
      <c r="H369">
        <v>-19.600000000000001</v>
      </c>
      <c r="I369">
        <v>11</v>
      </c>
      <c r="J369">
        <v>-25</v>
      </c>
      <c r="K369">
        <v>-15.3</v>
      </c>
      <c r="L369">
        <v>-15.4</v>
      </c>
      <c r="M369">
        <v>-25</v>
      </c>
      <c r="N369">
        <v>-15.5</v>
      </c>
      <c r="O369">
        <v>-15.4</v>
      </c>
      <c r="P369">
        <v>-25</v>
      </c>
      <c r="Q369">
        <v>-15.5</v>
      </c>
      <c r="R369">
        <v>-15.4</v>
      </c>
      <c r="S369">
        <v>-25</v>
      </c>
      <c r="T369">
        <v>3</v>
      </c>
      <c r="U369">
        <v>2.6</v>
      </c>
      <c r="V369">
        <v>2</v>
      </c>
      <c r="W369">
        <v>2.8</v>
      </c>
      <c r="X369">
        <v>1.7</v>
      </c>
      <c r="Y369">
        <v>2</v>
      </c>
      <c r="Z369">
        <v>4.2</v>
      </c>
      <c r="AA369">
        <v>3.8</v>
      </c>
      <c r="AB369">
        <v>2</v>
      </c>
      <c r="AC369">
        <v>4</v>
      </c>
      <c r="AD369">
        <v>2.9</v>
      </c>
      <c r="AE369">
        <v>2</v>
      </c>
      <c r="AF369">
        <v>3.8</v>
      </c>
      <c r="AG369">
        <v>3.7</v>
      </c>
      <c r="AH369">
        <v>2</v>
      </c>
      <c r="AI369">
        <v>3.7</v>
      </c>
      <c r="AJ369">
        <v>3.7</v>
      </c>
      <c r="AK369">
        <v>2</v>
      </c>
      <c r="AL369">
        <v>5.0999999999999996</v>
      </c>
      <c r="AM369">
        <v>4</v>
      </c>
      <c r="AN369">
        <v>4.5</v>
      </c>
      <c r="AO369">
        <v>4</v>
      </c>
      <c r="AP369">
        <v>5.0999999999999996</v>
      </c>
      <c r="AQ369">
        <v>4</v>
      </c>
      <c r="AR369">
        <v>7.9</v>
      </c>
      <c r="AS369">
        <v>4</v>
      </c>
      <c r="AT369">
        <v>-4.2</v>
      </c>
      <c r="AU369">
        <v>-6.3</v>
      </c>
      <c r="AV369">
        <v>-5</v>
      </c>
      <c r="AW369">
        <v>-4.4000000000000004</v>
      </c>
      <c r="AX369">
        <v>-5.0999999999999996</v>
      </c>
      <c r="AY369">
        <v>-5</v>
      </c>
      <c r="AZ369">
        <v>11.4</v>
      </c>
      <c r="BA369">
        <v>10</v>
      </c>
      <c r="BB369">
        <v>11.1</v>
      </c>
      <c r="BC369">
        <v>10</v>
      </c>
      <c r="BD369">
        <v>4.3</v>
      </c>
      <c r="BE369">
        <v>4</v>
      </c>
      <c r="BF369">
        <v>11.3</v>
      </c>
      <c r="BG369">
        <v>10</v>
      </c>
      <c r="BH369">
        <v>11.2</v>
      </c>
      <c r="BI369">
        <v>10</v>
      </c>
      <c r="BJ369">
        <v>10.6</v>
      </c>
      <c r="BK369">
        <v>9</v>
      </c>
      <c r="BL369">
        <v>18.7</v>
      </c>
      <c r="BM369">
        <v>19</v>
      </c>
      <c r="BN369">
        <v>23</v>
      </c>
      <c r="BO369">
        <v>19</v>
      </c>
      <c r="BP369">
        <v>20.9</v>
      </c>
      <c r="BQ369">
        <v>20</v>
      </c>
      <c r="BR369">
        <v>21.6</v>
      </c>
      <c r="BS369">
        <v>25</v>
      </c>
      <c r="BT369">
        <v>21.9</v>
      </c>
      <c r="BU369">
        <v>25</v>
      </c>
      <c r="BV369">
        <v>23.5</v>
      </c>
      <c r="BW369">
        <v>18</v>
      </c>
      <c r="BX369">
        <v>20.100000000000001</v>
      </c>
      <c r="BY369">
        <v>20</v>
      </c>
      <c r="BZ369">
        <v>21.5</v>
      </c>
      <c r="CA369">
        <v>20</v>
      </c>
      <c r="CB369">
        <v>10.4</v>
      </c>
      <c r="CC369">
        <v>10</v>
      </c>
      <c r="CD369">
        <v>11.1</v>
      </c>
      <c r="CE369">
        <v>10</v>
      </c>
      <c r="CF369">
        <v>10.9</v>
      </c>
      <c r="CG369">
        <v>9</v>
      </c>
      <c r="CH369">
        <v>11.1</v>
      </c>
      <c r="CI369">
        <v>9</v>
      </c>
    </row>
    <row r="370" spans="1:87" x14ac:dyDescent="0.35">
      <c r="A370" s="1">
        <v>46059.709722222222</v>
      </c>
      <c r="B370">
        <v>-18.8</v>
      </c>
      <c r="C370">
        <v>-19.399999999999999</v>
      </c>
      <c r="D370">
        <v>-25</v>
      </c>
      <c r="E370">
        <v>-19.2</v>
      </c>
      <c r="F370">
        <v>-18.5</v>
      </c>
      <c r="G370">
        <v>-25</v>
      </c>
      <c r="H370">
        <v>-19.600000000000001</v>
      </c>
      <c r="I370">
        <v>8</v>
      </c>
      <c r="J370">
        <v>-25</v>
      </c>
      <c r="K370">
        <v>-15.2</v>
      </c>
      <c r="L370">
        <v>-15.3</v>
      </c>
      <c r="M370">
        <v>-25</v>
      </c>
      <c r="N370">
        <v>-15.4</v>
      </c>
      <c r="O370">
        <v>-15.3</v>
      </c>
      <c r="P370">
        <v>-25</v>
      </c>
      <c r="Q370">
        <v>-15.4</v>
      </c>
      <c r="R370">
        <v>-15.3</v>
      </c>
      <c r="S370">
        <v>-25</v>
      </c>
      <c r="T370">
        <v>3</v>
      </c>
      <c r="U370">
        <v>2.6</v>
      </c>
      <c r="V370">
        <v>2</v>
      </c>
      <c r="W370">
        <v>2.8</v>
      </c>
      <c r="X370">
        <v>1.7</v>
      </c>
      <c r="Y370">
        <v>2</v>
      </c>
      <c r="Z370">
        <v>4.2</v>
      </c>
      <c r="AA370">
        <v>3.6</v>
      </c>
      <c r="AB370">
        <v>2</v>
      </c>
      <c r="AC370">
        <v>3.8</v>
      </c>
      <c r="AD370">
        <v>2.6</v>
      </c>
      <c r="AE370">
        <v>2</v>
      </c>
      <c r="AF370">
        <v>4</v>
      </c>
      <c r="AG370">
        <v>3.9</v>
      </c>
      <c r="AH370">
        <v>2</v>
      </c>
      <c r="AI370">
        <v>3.9</v>
      </c>
      <c r="AJ370">
        <v>3.9</v>
      </c>
      <c r="AK370">
        <v>2</v>
      </c>
      <c r="AL370">
        <v>5.0999999999999996</v>
      </c>
      <c r="AM370">
        <v>4</v>
      </c>
      <c r="AN370">
        <v>4.4000000000000004</v>
      </c>
      <c r="AO370">
        <v>4</v>
      </c>
      <c r="AP370">
        <v>4.0999999999999996</v>
      </c>
      <c r="AQ370">
        <v>4</v>
      </c>
      <c r="AR370">
        <v>8</v>
      </c>
      <c r="AS370">
        <v>4</v>
      </c>
      <c r="AT370">
        <v>-4.5</v>
      </c>
      <c r="AU370">
        <v>-6.5</v>
      </c>
      <c r="AV370">
        <v>-5</v>
      </c>
      <c r="AW370">
        <v>-4.4000000000000004</v>
      </c>
      <c r="AX370">
        <v>-5</v>
      </c>
      <c r="AY370">
        <v>-5</v>
      </c>
      <c r="AZ370">
        <v>11.5</v>
      </c>
      <c r="BA370">
        <v>10</v>
      </c>
      <c r="BB370">
        <v>11</v>
      </c>
      <c r="BC370">
        <v>10</v>
      </c>
      <c r="BD370">
        <v>4.5999999999999996</v>
      </c>
      <c r="BE370">
        <v>4</v>
      </c>
      <c r="BF370">
        <v>11.6</v>
      </c>
      <c r="BG370">
        <v>10</v>
      </c>
      <c r="BH370">
        <v>11.2</v>
      </c>
      <c r="BI370">
        <v>10</v>
      </c>
      <c r="BJ370">
        <v>10.6</v>
      </c>
      <c r="BK370">
        <v>9</v>
      </c>
      <c r="BL370">
        <v>18.8</v>
      </c>
      <c r="BM370">
        <v>19</v>
      </c>
      <c r="BN370">
        <v>23</v>
      </c>
      <c r="BO370">
        <v>19</v>
      </c>
      <c r="BP370">
        <v>20.9</v>
      </c>
      <c r="BQ370">
        <v>20</v>
      </c>
      <c r="BR370">
        <v>21.6</v>
      </c>
      <c r="BS370">
        <v>25</v>
      </c>
      <c r="BT370">
        <v>21.9</v>
      </c>
      <c r="BU370">
        <v>25</v>
      </c>
      <c r="BV370">
        <v>23.5</v>
      </c>
      <c r="BW370">
        <v>18</v>
      </c>
      <c r="BX370">
        <v>20.3</v>
      </c>
      <c r="BY370">
        <v>20</v>
      </c>
      <c r="BZ370">
        <v>21.5</v>
      </c>
      <c r="CA370">
        <v>20</v>
      </c>
      <c r="CB370">
        <v>10.3</v>
      </c>
      <c r="CC370">
        <v>10</v>
      </c>
      <c r="CD370">
        <v>11.1</v>
      </c>
      <c r="CE370">
        <v>10</v>
      </c>
      <c r="CF370">
        <v>11.3</v>
      </c>
      <c r="CG370">
        <v>9</v>
      </c>
      <c r="CH370">
        <v>11.6</v>
      </c>
      <c r="CI370">
        <v>9</v>
      </c>
    </row>
    <row r="371" spans="1:87" x14ac:dyDescent="0.35">
      <c r="A371" s="1">
        <v>46059.711111111108</v>
      </c>
      <c r="B371">
        <v>-18.899999999999999</v>
      </c>
      <c r="C371">
        <v>-19.3</v>
      </c>
      <c r="D371">
        <v>-25</v>
      </c>
      <c r="E371">
        <v>-19.3</v>
      </c>
      <c r="F371">
        <v>-18.600000000000001</v>
      </c>
      <c r="G371">
        <v>-25</v>
      </c>
      <c r="H371">
        <v>-11.6</v>
      </c>
      <c r="I371">
        <v>3.6</v>
      </c>
      <c r="J371">
        <v>-25</v>
      </c>
      <c r="K371">
        <v>-15.1</v>
      </c>
      <c r="L371">
        <v>-15.3</v>
      </c>
      <c r="M371">
        <v>-25</v>
      </c>
      <c r="N371">
        <v>-15.3</v>
      </c>
      <c r="O371">
        <v>-15.2</v>
      </c>
      <c r="P371">
        <v>-25</v>
      </c>
      <c r="Q371">
        <v>-15.3</v>
      </c>
      <c r="R371">
        <v>-15.2</v>
      </c>
      <c r="S371">
        <v>-25</v>
      </c>
      <c r="T371">
        <v>2.9</v>
      </c>
      <c r="U371">
        <v>2.5</v>
      </c>
      <c r="V371">
        <v>2</v>
      </c>
      <c r="W371">
        <v>2.6</v>
      </c>
      <c r="X371">
        <v>0.8</v>
      </c>
      <c r="Y371">
        <v>2</v>
      </c>
      <c r="Z371">
        <v>3.8</v>
      </c>
      <c r="AA371">
        <v>3.3</v>
      </c>
      <c r="AB371">
        <v>2</v>
      </c>
      <c r="AC371">
        <v>3.4</v>
      </c>
      <c r="AD371">
        <v>2.2000000000000002</v>
      </c>
      <c r="AE371">
        <v>2</v>
      </c>
      <c r="AF371">
        <v>4.2</v>
      </c>
      <c r="AG371">
        <v>4</v>
      </c>
      <c r="AH371">
        <v>2</v>
      </c>
      <c r="AI371">
        <v>4</v>
      </c>
      <c r="AJ371">
        <v>3.6</v>
      </c>
      <c r="AK371">
        <v>2</v>
      </c>
      <c r="AL371">
        <v>4.8</v>
      </c>
      <c r="AM371">
        <v>4</v>
      </c>
      <c r="AN371">
        <v>4.2</v>
      </c>
      <c r="AO371">
        <v>4</v>
      </c>
      <c r="AP371">
        <v>2.8</v>
      </c>
      <c r="AQ371">
        <v>4</v>
      </c>
      <c r="AR371">
        <v>8.1</v>
      </c>
      <c r="AS371">
        <v>4</v>
      </c>
      <c r="AT371">
        <v>-4.7</v>
      </c>
      <c r="AU371">
        <v>-6.7</v>
      </c>
      <c r="AV371">
        <v>-5</v>
      </c>
      <c r="AW371">
        <v>-4.5999999999999996</v>
      </c>
      <c r="AX371">
        <v>-6.4</v>
      </c>
      <c r="AY371">
        <v>-5</v>
      </c>
      <c r="AZ371">
        <v>11.6</v>
      </c>
      <c r="BA371">
        <v>10</v>
      </c>
      <c r="BB371">
        <v>11.1</v>
      </c>
      <c r="BC371">
        <v>10</v>
      </c>
      <c r="BD371">
        <v>5</v>
      </c>
      <c r="BE371">
        <v>4</v>
      </c>
      <c r="BF371">
        <v>12.2</v>
      </c>
      <c r="BG371">
        <v>10</v>
      </c>
      <c r="BH371">
        <v>11.2</v>
      </c>
      <c r="BI371">
        <v>10</v>
      </c>
      <c r="BJ371">
        <v>10.6</v>
      </c>
      <c r="BK371">
        <v>9</v>
      </c>
      <c r="BL371">
        <v>18.8</v>
      </c>
      <c r="BM371">
        <v>19</v>
      </c>
      <c r="BN371">
        <v>23.1</v>
      </c>
      <c r="BO371">
        <v>19</v>
      </c>
      <c r="BP371">
        <v>20.9</v>
      </c>
      <c r="BQ371">
        <v>20</v>
      </c>
      <c r="BR371">
        <v>21.6</v>
      </c>
      <c r="BS371">
        <v>25</v>
      </c>
      <c r="BT371">
        <v>21.9</v>
      </c>
      <c r="BU371">
        <v>25</v>
      </c>
      <c r="BV371">
        <v>23.5</v>
      </c>
      <c r="BW371">
        <v>18</v>
      </c>
      <c r="BX371">
        <v>20.5</v>
      </c>
      <c r="BY371">
        <v>20</v>
      </c>
      <c r="BZ371">
        <v>21.6</v>
      </c>
      <c r="CA371">
        <v>20</v>
      </c>
      <c r="CB371">
        <v>10.1</v>
      </c>
      <c r="CC371">
        <v>10</v>
      </c>
      <c r="CD371">
        <v>11.1</v>
      </c>
      <c r="CE371">
        <v>10</v>
      </c>
      <c r="CF371">
        <v>11.5</v>
      </c>
      <c r="CG371">
        <v>9</v>
      </c>
      <c r="CH371">
        <v>11.7</v>
      </c>
      <c r="CI371">
        <v>9</v>
      </c>
    </row>
    <row r="372" spans="1:87" x14ac:dyDescent="0.35">
      <c r="A372" s="1">
        <v>46059.711805555555</v>
      </c>
      <c r="B372">
        <v>-18.899999999999999</v>
      </c>
      <c r="C372">
        <v>-19.100000000000001</v>
      </c>
      <c r="D372">
        <v>-25</v>
      </c>
      <c r="E372">
        <v>-19.100000000000001</v>
      </c>
      <c r="F372">
        <v>-18.600000000000001</v>
      </c>
      <c r="G372">
        <v>-25</v>
      </c>
      <c r="H372">
        <v>-11.8</v>
      </c>
      <c r="I372">
        <v>2</v>
      </c>
      <c r="J372">
        <v>-25</v>
      </c>
      <c r="K372">
        <v>-15.1</v>
      </c>
      <c r="L372">
        <v>-15.4</v>
      </c>
      <c r="M372">
        <v>-25</v>
      </c>
      <c r="N372">
        <v>-15.3</v>
      </c>
      <c r="O372">
        <v>-15.1</v>
      </c>
      <c r="P372">
        <v>-25</v>
      </c>
      <c r="Q372">
        <v>-15.3</v>
      </c>
      <c r="R372">
        <v>-15.2</v>
      </c>
      <c r="S372">
        <v>-25</v>
      </c>
      <c r="T372">
        <v>2.7</v>
      </c>
      <c r="U372">
        <v>2.4</v>
      </c>
      <c r="V372">
        <v>2</v>
      </c>
      <c r="W372">
        <v>2.5</v>
      </c>
      <c r="X372">
        <v>1.1000000000000001</v>
      </c>
      <c r="Y372">
        <v>2</v>
      </c>
      <c r="Z372">
        <v>3.7</v>
      </c>
      <c r="AA372">
        <v>3.2</v>
      </c>
      <c r="AB372">
        <v>2</v>
      </c>
      <c r="AC372">
        <v>3.3</v>
      </c>
      <c r="AD372">
        <v>2.4</v>
      </c>
      <c r="AE372">
        <v>2</v>
      </c>
      <c r="AF372">
        <v>4.0999999999999996</v>
      </c>
      <c r="AG372">
        <v>3.7</v>
      </c>
      <c r="AH372">
        <v>2</v>
      </c>
      <c r="AI372">
        <v>3.9</v>
      </c>
      <c r="AJ372">
        <v>3.1</v>
      </c>
      <c r="AK372">
        <v>2</v>
      </c>
      <c r="AL372">
        <v>4.8</v>
      </c>
      <c r="AM372">
        <v>4</v>
      </c>
      <c r="AN372">
        <v>4.0999999999999996</v>
      </c>
      <c r="AO372">
        <v>4</v>
      </c>
      <c r="AP372">
        <v>2.8</v>
      </c>
      <c r="AQ372">
        <v>4</v>
      </c>
      <c r="AR372">
        <v>8.1999999999999993</v>
      </c>
      <c r="AS372">
        <v>4</v>
      </c>
      <c r="AT372">
        <v>-4.8</v>
      </c>
      <c r="AU372">
        <v>-6.8</v>
      </c>
      <c r="AV372">
        <v>-5</v>
      </c>
      <c r="AW372">
        <v>-4.8</v>
      </c>
      <c r="AX372">
        <v>-5.8</v>
      </c>
      <c r="AY372">
        <v>-5</v>
      </c>
      <c r="AZ372">
        <v>11.7</v>
      </c>
      <c r="BA372">
        <v>10</v>
      </c>
      <c r="BB372">
        <v>11.1</v>
      </c>
      <c r="BC372">
        <v>10</v>
      </c>
      <c r="BD372">
        <v>5.2</v>
      </c>
      <c r="BE372">
        <v>4</v>
      </c>
      <c r="BF372">
        <v>11.8</v>
      </c>
      <c r="BG372">
        <v>10</v>
      </c>
      <c r="BH372">
        <v>11.2</v>
      </c>
      <c r="BI372">
        <v>10</v>
      </c>
      <c r="BJ372">
        <v>10.6</v>
      </c>
      <c r="BK372">
        <v>9</v>
      </c>
      <c r="BL372">
        <v>18.8</v>
      </c>
      <c r="BM372">
        <v>19</v>
      </c>
      <c r="BN372">
        <v>23.1</v>
      </c>
      <c r="BO372">
        <v>19</v>
      </c>
      <c r="BP372">
        <v>20.9</v>
      </c>
      <c r="BQ372">
        <v>20</v>
      </c>
      <c r="BR372">
        <v>21.6</v>
      </c>
      <c r="BS372">
        <v>25</v>
      </c>
      <c r="BT372">
        <v>21.9</v>
      </c>
      <c r="BU372">
        <v>25</v>
      </c>
      <c r="BV372">
        <v>23.5</v>
      </c>
      <c r="BW372">
        <v>18</v>
      </c>
      <c r="BX372">
        <v>20.6</v>
      </c>
      <c r="BY372">
        <v>20</v>
      </c>
      <c r="BZ372">
        <v>21.6</v>
      </c>
      <c r="CA372">
        <v>20</v>
      </c>
      <c r="CB372">
        <v>10</v>
      </c>
      <c r="CC372">
        <v>10</v>
      </c>
      <c r="CD372">
        <v>11.2</v>
      </c>
      <c r="CE372">
        <v>10</v>
      </c>
      <c r="CF372">
        <v>11.5</v>
      </c>
      <c r="CG372">
        <v>9</v>
      </c>
      <c r="CH372">
        <v>11.7</v>
      </c>
      <c r="CI372">
        <v>9</v>
      </c>
    </row>
    <row r="373" spans="1:87" x14ac:dyDescent="0.35">
      <c r="A373" s="1">
        <v>46059.712500000001</v>
      </c>
      <c r="B373">
        <v>-18.7</v>
      </c>
      <c r="C373">
        <v>-18.899999999999999</v>
      </c>
      <c r="D373">
        <v>-25</v>
      </c>
      <c r="E373">
        <v>-18.899999999999999</v>
      </c>
      <c r="F373">
        <v>-18.600000000000001</v>
      </c>
      <c r="G373">
        <v>-25</v>
      </c>
      <c r="H373">
        <v>-11.8</v>
      </c>
      <c r="I373">
        <v>0.8</v>
      </c>
      <c r="J373">
        <v>-25</v>
      </c>
      <c r="K373">
        <v>-15.1</v>
      </c>
      <c r="L373">
        <v>-15.4</v>
      </c>
      <c r="M373">
        <v>-25</v>
      </c>
      <c r="N373">
        <v>-15.3</v>
      </c>
      <c r="O373">
        <v>-15.1</v>
      </c>
      <c r="P373">
        <v>-25</v>
      </c>
      <c r="Q373">
        <v>-15.3</v>
      </c>
      <c r="R373">
        <v>-15.2</v>
      </c>
      <c r="S373">
        <v>-25</v>
      </c>
      <c r="T373">
        <v>2.6</v>
      </c>
      <c r="U373">
        <v>2.2000000000000002</v>
      </c>
      <c r="V373">
        <v>2</v>
      </c>
      <c r="W373">
        <v>2.4</v>
      </c>
      <c r="X373">
        <v>1.1000000000000001</v>
      </c>
      <c r="Y373">
        <v>2</v>
      </c>
      <c r="Z373">
        <v>3.7</v>
      </c>
      <c r="AA373">
        <v>3.2</v>
      </c>
      <c r="AB373">
        <v>2</v>
      </c>
      <c r="AC373">
        <v>3.3</v>
      </c>
      <c r="AD373">
        <v>2.5</v>
      </c>
      <c r="AE373">
        <v>2</v>
      </c>
      <c r="AF373">
        <v>3.8</v>
      </c>
      <c r="AG373">
        <v>3.4</v>
      </c>
      <c r="AH373">
        <v>2</v>
      </c>
      <c r="AI373">
        <v>3.6</v>
      </c>
      <c r="AJ373">
        <v>2.8</v>
      </c>
      <c r="AK373">
        <v>2</v>
      </c>
      <c r="AL373">
        <v>4.5999999999999996</v>
      </c>
      <c r="AM373">
        <v>4</v>
      </c>
      <c r="AN373">
        <v>4</v>
      </c>
      <c r="AO373">
        <v>4</v>
      </c>
      <c r="AP373">
        <v>2.9</v>
      </c>
      <c r="AQ373">
        <v>4</v>
      </c>
      <c r="AR373">
        <v>8.3000000000000007</v>
      </c>
      <c r="AS373">
        <v>4</v>
      </c>
      <c r="AT373">
        <v>-4.9000000000000004</v>
      </c>
      <c r="AU373">
        <v>-6.9</v>
      </c>
      <c r="AV373">
        <v>-5</v>
      </c>
      <c r="AW373">
        <v>-4.8</v>
      </c>
      <c r="AX373">
        <v>-5.2</v>
      </c>
      <c r="AY373">
        <v>-5</v>
      </c>
      <c r="AZ373">
        <v>11.8</v>
      </c>
      <c r="BA373">
        <v>10</v>
      </c>
      <c r="BB373">
        <v>11</v>
      </c>
      <c r="BC373">
        <v>10</v>
      </c>
      <c r="BD373">
        <v>5.4</v>
      </c>
      <c r="BE373">
        <v>4</v>
      </c>
      <c r="BF373">
        <v>10.7</v>
      </c>
      <c r="BG373">
        <v>10</v>
      </c>
      <c r="BH373">
        <v>11.1</v>
      </c>
      <c r="BI373">
        <v>10</v>
      </c>
      <c r="BJ373">
        <v>10.6</v>
      </c>
      <c r="BK373">
        <v>9</v>
      </c>
      <c r="BL373">
        <v>18.899999999999999</v>
      </c>
      <c r="BM373">
        <v>19</v>
      </c>
      <c r="BN373">
        <v>23.1</v>
      </c>
      <c r="BO373">
        <v>19</v>
      </c>
      <c r="BP373">
        <v>21</v>
      </c>
      <c r="BQ373">
        <v>20</v>
      </c>
      <c r="BR373">
        <v>21.6</v>
      </c>
      <c r="BS373">
        <v>25</v>
      </c>
      <c r="BT373">
        <v>21.9</v>
      </c>
      <c r="BU373">
        <v>25</v>
      </c>
      <c r="BV373">
        <v>23.5</v>
      </c>
      <c r="BW373">
        <v>18</v>
      </c>
      <c r="BX373">
        <v>20.7</v>
      </c>
      <c r="BY373">
        <v>20</v>
      </c>
      <c r="BZ373">
        <v>21.6</v>
      </c>
      <c r="CA373">
        <v>20</v>
      </c>
      <c r="CB373">
        <v>10.3</v>
      </c>
      <c r="CC373">
        <v>10</v>
      </c>
      <c r="CD373">
        <v>11.2</v>
      </c>
      <c r="CE373">
        <v>10</v>
      </c>
      <c r="CF373">
        <v>11.6</v>
      </c>
      <c r="CG373">
        <v>9</v>
      </c>
      <c r="CH373">
        <v>11.9</v>
      </c>
      <c r="CI373">
        <v>9</v>
      </c>
    </row>
    <row r="374" spans="1:87" x14ac:dyDescent="0.35">
      <c r="A374" s="1">
        <v>46059.713194444441</v>
      </c>
      <c r="B374">
        <v>-18.600000000000001</v>
      </c>
      <c r="C374">
        <v>-18.7</v>
      </c>
      <c r="D374">
        <v>-25</v>
      </c>
      <c r="E374">
        <v>-18.7</v>
      </c>
      <c r="F374">
        <v>-18.600000000000001</v>
      </c>
      <c r="G374">
        <v>-25</v>
      </c>
      <c r="H374">
        <v>-12.4</v>
      </c>
      <c r="I374">
        <v>0</v>
      </c>
      <c r="J374">
        <v>-25</v>
      </c>
      <c r="K374">
        <v>-15.1</v>
      </c>
      <c r="L374">
        <v>-15.4</v>
      </c>
      <c r="M374">
        <v>-25</v>
      </c>
      <c r="N374">
        <v>-15.3</v>
      </c>
      <c r="O374">
        <v>-15</v>
      </c>
      <c r="P374">
        <v>-25</v>
      </c>
      <c r="Q374">
        <v>-15.3</v>
      </c>
      <c r="R374">
        <v>-15.2</v>
      </c>
      <c r="S374">
        <v>-25</v>
      </c>
      <c r="T374">
        <v>2.5</v>
      </c>
      <c r="U374">
        <v>2.1</v>
      </c>
      <c r="V374">
        <v>2</v>
      </c>
      <c r="W374">
        <v>2.2000000000000002</v>
      </c>
      <c r="X374">
        <v>0.1</v>
      </c>
      <c r="Y374">
        <v>2</v>
      </c>
      <c r="Z374">
        <v>3.7</v>
      </c>
      <c r="AA374">
        <v>3.2</v>
      </c>
      <c r="AB374">
        <v>2</v>
      </c>
      <c r="AC374">
        <v>3.1</v>
      </c>
      <c r="AD374">
        <v>2.5</v>
      </c>
      <c r="AE374">
        <v>2</v>
      </c>
      <c r="AF374">
        <v>3.5</v>
      </c>
      <c r="AG374">
        <v>3.1</v>
      </c>
      <c r="AH374">
        <v>2</v>
      </c>
      <c r="AI374">
        <v>3.3</v>
      </c>
      <c r="AJ374">
        <v>2.2999999999999998</v>
      </c>
      <c r="AK374">
        <v>2</v>
      </c>
      <c r="AL374">
        <v>4.5</v>
      </c>
      <c r="AM374">
        <v>4</v>
      </c>
      <c r="AN374">
        <v>4</v>
      </c>
      <c r="AO374">
        <v>4</v>
      </c>
      <c r="AP374">
        <v>3.2</v>
      </c>
      <c r="AQ374">
        <v>4</v>
      </c>
      <c r="AR374">
        <v>8.3000000000000007</v>
      </c>
      <c r="AS374">
        <v>4</v>
      </c>
      <c r="AT374">
        <v>-5</v>
      </c>
      <c r="AU374">
        <v>-7</v>
      </c>
      <c r="AV374">
        <v>-5</v>
      </c>
      <c r="AW374">
        <v>-4.8</v>
      </c>
      <c r="AX374">
        <v>-5.0999999999999996</v>
      </c>
      <c r="AY374">
        <v>-5</v>
      </c>
      <c r="AZ374">
        <v>11.9</v>
      </c>
      <c r="BA374">
        <v>10</v>
      </c>
      <c r="BB374">
        <v>10.8</v>
      </c>
      <c r="BC374">
        <v>10</v>
      </c>
      <c r="BD374">
        <v>5.6</v>
      </c>
      <c r="BE374">
        <v>4</v>
      </c>
      <c r="BF374">
        <v>10.1</v>
      </c>
      <c r="BG374">
        <v>10</v>
      </c>
      <c r="BH374">
        <v>11.3</v>
      </c>
      <c r="BI374">
        <v>10</v>
      </c>
      <c r="BJ374">
        <v>10.6</v>
      </c>
      <c r="BK374">
        <v>9</v>
      </c>
      <c r="BL374">
        <v>18.899999999999999</v>
      </c>
      <c r="BM374">
        <v>19</v>
      </c>
      <c r="BN374">
        <v>23.1</v>
      </c>
      <c r="BO374">
        <v>19</v>
      </c>
      <c r="BP374">
        <v>21</v>
      </c>
      <c r="BQ374">
        <v>20</v>
      </c>
      <c r="BR374">
        <v>21.6</v>
      </c>
      <c r="BS374">
        <v>25</v>
      </c>
      <c r="BT374">
        <v>21.9</v>
      </c>
      <c r="BU374">
        <v>25</v>
      </c>
      <c r="BV374">
        <v>23.5</v>
      </c>
      <c r="BW374">
        <v>18</v>
      </c>
      <c r="BX374">
        <v>20.7</v>
      </c>
      <c r="BY374">
        <v>20</v>
      </c>
      <c r="BZ374">
        <v>21.6</v>
      </c>
      <c r="CA374">
        <v>20</v>
      </c>
      <c r="CB374">
        <v>10.8</v>
      </c>
      <c r="CC374">
        <v>10</v>
      </c>
      <c r="CD374">
        <v>11.3</v>
      </c>
      <c r="CE374">
        <v>10</v>
      </c>
      <c r="CF374">
        <v>11.6</v>
      </c>
      <c r="CG374">
        <v>9</v>
      </c>
      <c r="CH374">
        <v>11.9</v>
      </c>
      <c r="CI374">
        <v>9</v>
      </c>
    </row>
    <row r="375" spans="1:87" x14ac:dyDescent="0.35">
      <c r="A375" s="1">
        <v>46059.713888888888</v>
      </c>
      <c r="B375">
        <v>-18.5</v>
      </c>
      <c r="C375">
        <v>-18.600000000000001</v>
      </c>
      <c r="D375">
        <v>-25</v>
      </c>
      <c r="E375">
        <v>-18.600000000000001</v>
      </c>
      <c r="F375">
        <v>-18.5</v>
      </c>
      <c r="G375">
        <v>-25</v>
      </c>
      <c r="H375">
        <v>-13</v>
      </c>
      <c r="I375">
        <v>-1.2</v>
      </c>
      <c r="J375">
        <v>-25</v>
      </c>
      <c r="K375">
        <v>-15.1</v>
      </c>
      <c r="L375">
        <v>-15.5</v>
      </c>
      <c r="M375">
        <v>-25</v>
      </c>
      <c r="N375">
        <v>-15.3</v>
      </c>
      <c r="O375">
        <v>-15</v>
      </c>
      <c r="P375">
        <v>-25</v>
      </c>
      <c r="Q375">
        <v>-15.3</v>
      </c>
      <c r="R375">
        <v>-15.2</v>
      </c>
      <c r="S375">
        <v>-25</v>
      </c>
      <c r="T375">
        <v>2.4</v>
      </c>
      <c r="U375">
        <v>1.9</v>
      </c>
      <c r="V375">
        <v>2</v>
      </c>
      <c r="W375">
        <v>2.1</v>
      </c>
      <c r="X375">
        <v>-0.7</v>
      </c>
      <c r="Y375">
        <v>2</v>
      </c>
      <c r="Z375">
        <v>3.7</v>
      </c>
      <c r="AA375">
        <v>3.2</v>
      </c>
      <c r="AB375">
        <v>2</v>
      </c>
      <c r="AC375">
        <v>3</v>
      </c>
      <c r="AD375">
        <v>1.7</v>
      </c>
      <c r="AE375">
        <v>2</v>
      </c>
      <c r="AF375">
        <v>3.3</v>
      </c>
      <c r="AG375">
        <v>2.9</v>
      </c>
      <c r="AH375">
        <v>2</v>
      </c>
      <c r="AI375">
        <v>3.2</v>
      </c>
      <c r="AJ375">
        <v>1</v>
      </c>
      <c r="AK375">
        <v>2</v>
      </c>
      <c r="AL375">
        <v>4.4000000000000004</v>
      </c>
      <c r="AM375">
        <v>4</v>
      </c>
      <c r="AN375">
        <v>4</v>
      </c>
      <c r="AO375">
        <v>4</v>
      </c>
      <c r="AP375">
        <v>3.5</v>
      </c>
      <c r="AQ375">
        <v>4</v>
      </c>
      <c r="AR375">
        <v>8.3000000000000007</v>
      </c>
      <c r="AS375">
        <v>4</v>
      </c>
      <c r="AT375">
        <v>-5.0999999999999996</v>
      </c>
      <c r="AU375">
        <v>-6.3</v>
      </c>
      <c r="AV375">
        <v>-5</v>
      </c>
      <c r="AW375">
        <v>-5</v>
      </c>
      <c r="AX375">
        <v>-7</v>
      </c>
      <c r="AY375">
        <v>-5</v>
      </c>
      <c r="AZ375">
        <v>11.9</v>
      </c>
      <c r="BA375">
        <v>10</v>
      </c>
      <c r="BB375">
        <v>10.7</v>
      </c>
      <c r="BC375">
        <v>10</v>
      </c>
      <c r="BD375">
        <v>5.7</v>
      </c>
      <c r="BE375">
        <v>4</v>
      </c>
      <c r="BF375">
        <v>9.6</v>
      </c>
      <c r="BG375">
        <v>10</v>
      </c>
      <c r="BH375">
        <v>11.3</v>
      </c>
      <c r="BI375">
        <v>10</v>
      </c>
      <c r="BJ375">
        <v>10.6</v>
      </c>
      <c r="BK375">
        <v>9</v>
      </c>
      <c r="BL375">
        <v>19</v>
      </c>
      <c r="BM375">
        <v>19</v>
      </c>
      <c r="BN375">
        <v>23.1</v>
      </c>
      <c r="BO375">
        <v>19</v>
      </c>
      <c r="BP375">
        <v>21</v>
      </c>
      <c r="BQ375">
        <v>20</v>
      </c>
      <c r="BR375">
        <v>21.6</v>
      </c>
      <c r="BS375">
        <v>25</v>
      </c>
      <c r="BT375">
        <v>21.9</v>
      </c>
      <c r="BU375">
        <v>25</v>
      </c>
      <c r="BV375">
        <v>23.5</v>
      </c>
      <c r="BW375">
        <v>18</v>
      </c>
      <c r="BX375">
        <v>20.8</v>
      </c>
      <c r="BY375">
        <v>20</v>
      </c>
      <c r="BZ375">
        <v>21.7</v>
      </c>
      <c r="CA375">
        <v>20</v>
      </c>
      <c r="CB375">
        <v>11.3</v>
      </c>
      <c r="CC375">
        <v>10</v>
      </c>
      <c r="CD375">
        <v>11.3</v>
      </c>
      <c r="CE375">
        <v>10</v>
      </c>
      <c r="CF375">
        <v>11.6</v>
      </c>
      <c r="CG375">
        <v>9</v>
      </c>
      <c r="CH375">
        <v>11.9</v>
      </c>
      <c r="CI375">
        <v>9</v>
      </c>
    </row>
    <row r="376" spans="1:87" x14ac:dyDescent="0.35">
      <c r="A376" s="1">
        <v>46059.714583333334</v>
      </c>
      <c r="B376">
        <v>-18.399999999999999</v>
      </c>
      <c r="C376">
        <v>-18.399999999999999</v>
      </c>
      <c r="D376">
        <v>-25</v>
      </c>
      <c r="E376">
        <v>-18.399999999999999</v>
      </c>
      <c r="F376">
        <v>-18.399999999999999</v>
      </c>
      <c r="G376">
        <v>-25</v>
      </c>
      <c r="H376">
        <v>-13.3</v>
      </c>
      <c r="I376">
        <v>-2.2999999999999998</v>
      </c>
      <c r="J376">
        <v>-25</v>
      </c>
      <c r="K376">
        <v>-15.1</v>
      </c>
      <c r="L376">
        <v>-15.5</v>
      </c>
      <c r="M376">
        <v>-25</v>
      </c>
      <c r="N376">
        <v>-15.3</v>
      </c>
      <c r="O376">
        <v>-14.9</v>
      </c>
      <c r="P376">
        <v>-25</v>
      </c>
      <c r="Q376">
        <v>-15.3</v>
      </c>
      <c r="R376">
        <v>-15.2</v>
      </c>
      <c r="S376">
        <v>-25</v>
      </c>
      <c r="T376">
        <v>2.2999999999999998</v>
      </c>
      <c r="U376">
        <v>1.8</v>
      </c>
      <c r="V376">
        <v>2</v>
      </c>
      <c r="W376">
        <v>2</v>
      </c>
      <c r="X376">
        <v>0.2</v>
      </c>
      <c r="Y376">
        <v>2</v>
      </c>
      <c r="Z376">
        <v>3.7</v>
      </c>
      <c r="AA376">
        <v>3.2</v>
      </c>
      <c r="AB376">
        <v>2</v>
      </c>
      <c r="AC376">
        <v>2.7</v>
      </c>
      <c r="AD376">
        <v>0.9</v>
      </c>
      <c r="AE376">
        <v>2</v>
      </c>
      <c r="AF376">
        <v>3.1</v>
      </c>
      <c r="AG376">
        <v>2.6</v>
      </c>
      <c r="AH376">
        <v>2</v>
      </c>
      <c r="AI376">
        <v>2.9</v>
      </c>
      <c r="AJ376">
        <v>0.2</v>
      </c>
      <c r="AK376">
        <v>2</v>
      </c>
      <c r="AL376">
        <v>4.2</v>
      </c>
      <c r="AM376">
        <v>4</v>
      </c>
      <c r="AN376">
        <v>4</v>
      </c>
      <c r="AO376">
        <v>4</v>
      </c>
      <c r="AP376">
        <v>3.8</v>
      </c>
      <c r="AQ376">
        <v>4</v>
      </c>
      <c r="AR376">
        <v>8.3000000000000007</v>
      </c>
      <c r="AS376">
        <v>4</v>
      </c>
      <c r="AT376">
        <v>-5</v>
      </c>
      <c r="AU376">
        <v>-5.6</v>
      </c>
      <c r="AV376">
        <v>-5</v>
      </c>
      <c r="AW376">
        <v>-5.5</v>
      </c>
      <c r="AX376">
        <v>-6.7</v>
      </c>
      <c r="AY376">
        <v>-5</v>
      </c>
      <c r="AZ376">
        <v>11.9</v>
      </c>
      <c r="BA376">
        <v>10</v>
      </c>
      <c r="BB376">
        <v>10.5</v>
      </c>
      <c r="BC376">
        <v>10</v>
      </c>
      <c r="BD376">
        <v>5.9</v>
      </c>
      <c r="BE376">
        <v>4</v>
      </c>
      <c r="BF376">
        <v>9.5</v>
      </c>
      <c r="BG376">
        <v>10</v>
      </c>
      <c r="BH376">
        <v>11.3</v>
      </c>
      <c r="BI376">
        <v>10</v>
      </c>
      <c r="BJ376">
        <v>10.6</v>
      </c>
      <c r="BK376">
        <v>9</v>
      </c>
      <c r="BL376">
        <v>19</v>
      </c>
      <c r="BM376">
        <v>19</v>
      </c>
      <c r="BN376">
        <v>23.1</v>
      </c>
      <c r="BO376">
        <v>19</v>
      </c>
      <c r="BP376">
        <v>21</v>
      </c>
      <c r="BQ376">
        <v>20</v>
      </c>
      <c r="BR376">
        <v>21.6</v>
      </c>
      <c r="BS376">
        <v>25</v>
      </c>
      <c r="BT376">
        <v>21.9</v>
      </c>
      <c r="BU376">
        <v>25</v>
      </c>
      <c r="BV376">
        <v>23.5</v>
      </c>
      <c r="BW376">
        <v>18</v>
      </c>
      <c r="BX376">
        <v>20.8</v>
      </c>
      <c r="BY376">
        <v>20</v>
      </c>
      <c r="BZ376">
        <v>21.7</v>
      </c>
      <c r="CA376">
        <v>20</v>
      </c>
      <c r="CB376">
        <v>11.6</v>
      </c>
      <c r="CC376">
        <v>10</v>
      </c>
      <c r="CD376">
        <v>11.4</v>
      </c>
      <c r="CE376">
        <v>10</v>
      </c>
      <c r="CF376">
        <v>11.6</v>
      </c>
      <c r="CG376">
        <v>9</v>
      </c>
      <c r="CH376">
        <v>11.9</v>
      </c>
      <c r="CI376">
        <v>9</v>
      </c>
    </row>
    <row r="377" spans="1:87" x14ac:dyDescent="0.35">
      <c r="A377" s="1">
        <v>46059.715277777781</v>
      </c>
      <c r="B377">
        <v>-18.2</v>
      </c>
      <c r="C377">
        <v>-18.3</v>
      </c>
      <c r="D377">
        <v>-25</v>
      </c>
      <c r="E377">
        <v>-18.3</v>
      </c>
      <c r="F377">
        <v>-18.3</v>
      </c>
      <c r="G377">
        <v>-25</v>
      </c>
      <c r="H377">
        <v>-13.4</v>
      </c>
      <c r="I377">
        <v>-3.2</v>
      </c>
      <c r="J377">
        <v>-25</v>
      </c>
      <c r="K377">
        <v>-15.1</v>
      </c>
      <c r="L377">
        <v>-15.6</v>
      </c>
      <c r="M377">
        <v>-25</v>
      </c>
      <c r="N377">
        <v>-15.3</v>
      </c>
      <c r="O377">
        <v>-14.9</v>
      </c>
      <c r="P377">
        <v>-25</v>
      </c>
      <c r="Q377">
        <v>-15.3</v>
      </c>
      <c r="R377">
        <v>-15.2</v>
      </c>
      <c r="S377">
        <v>-25</v>
      </c>
      <c r="T377">
        <v>2.2999999999999998</v>
      </c>
      <c r="U377">
        <v>1.9</v>
      </c>
      <c r="V377">
        <v>2</v>
      </c>
      <c r="W377">
        <v>2</v>
      </c>
      <c r="X377">
        <v>0.9</v>
      </c>
      <c r="Y377">
        <v>2</v>
      </c>
      <c r="Z377">
        <v>3.7</v>
      </c>
      <c r="AA377">
        <v>3.2</v>
      </c>
      <c r="AB377">
        <v>2</v>
      </c>
      <c r="AC377">
        <v>2.4</v>
      </c>
      <c r="AD377">
        <v>0.4</v>
      </c>
      <c r="AE377">
        <v>2</v>
      </c>
      <c r="AF377">
        <v>2.8</v>
      </c>
      <c r="AG377">
        <v>2.2999999999999998</v>
      </c>
      <c r="AH377">
        <v>2</v>
      </c>
      <c r="AI377">
        <v>2.6</v>
      </c>
      <c r="AJ377">
        <v>-0.5</v>
      </c>
      <c r="AK377">
        <v>2</v>
      </c>
      <c r="AL377">
        <v>4</v>
      </c>
      <c r="AM377">
        <v>4</v>
      </c>
      <c r="AN377">
        <v>4</v>
      </c>
      <c r="AO377">
        <v>4</v>
      </c>
      <c r="AP377">
        <v>4</v>
      </c>
      <c r="AQ377">
        <v>4</v>
      </c>
      <c r="AR377">
        <v>8.3000000000000007</v>
      </c>
      <c r="AS377">
        <v>4</v>
      </c>
      <c r="AT377">
        <v>-4.4000000000000004</v>
      </c>
      <c r="AU377">
        <v>-4.7</v>
      </c>
      <c r="AV377">
        <v>-5</v>
      </c>
      <c r="AW377">
        <v>-5.2</v>
      </c>
      <c r="AX377">
        <v>-5.3</v>
      </c>
      <c r="AY377">
        <v>-5</v>
      </c>
      <c r="AZ377">
        <v>11.3</v>
      </c>
      <c r="BA377">
        <v>10</v>
      </c>
      <c r="BB377">
        <v>10.5</v>
      </c>
      <c r="BC377">
        <v>10</v>
      </c>
      <c r="BD377">
        <v>6</v>
      </c>
      <c r="BE377">
        <v>4</v>
      </c>
      <c r="BF377">
        <v>9.8000000000000007</v>
      </c>
      <c r="BG377">
        <v>10</v>
      </c>
      <c r="BH377">
        <v>11.3</v>
      </c>
      <c r="BI377">
        <v>10</v>
      </c>
      <c r="BJ377">
        <v>10.6</v>
      </c>
      <c r="BK377">
        <v>9</v>
      </c>
      <c r="BL377">
        <v>19</v>
      </c>
      <c r="BM377">
        <v>19</v>
      </c>
      <c r="BN377">
        <v>23.1</v>
      </c>
      <c r="BO377">
        <v>19</v>
      </c>
      <c r="BP377">
        <v>21</v>
      </c>
      <c r="BQ377">
        <v>20</v>
      </c>
      <c r="BR377">
        <v>21.6</v>
      </c>
      <c r="BS377">
        <v>25</v>
      </c>
      <c r="BT377">
        <v>21.9</v>
      </c>
      <c r="BU377">
        <v>25</v>
      </c>
      <c r="BV377">
        <v>23.5</v>
      </c>
      <c r="BW377">
        <v>18</v>
      </c>
      <c r="BX377">
        <v>20.9</v>
      </c>
      <c r="BY377">
        <v>20</v>
      </c>
      <c r="BZ377">
        <v>21.7</v>
      </c>
      <c r="CA377">
        <v>20</v>
      </c>
      <c r="CB377">
        <v>11.9</v>
      </c>
      <c r="CC377">
        <v>10</v>
      </c>
      <c r="CD377">
        <v>11.4</v>
      </c>
      <c r="CE377">
        <v>10</v>
      </c>
      <c r="CF377">
        <v>11.7</v>
      </c>
      <c r="CG377">
        <v>9</v>
      </c>
      <c r="CH377">
        <v>11.9</v>
      </c>
      <c r="CI377">
        <v>9</v>
      </c>
    </row>
    <row r="378" spans="1:87" x14ac:dyDescent="0.35">
      <c r="A378" s="1">
        <v>46059.71597222222</v>
      </c>
      <c r="B378">
        <v>-18.2</v>
      </c>
      <c r="C378">
        <v>-18.2</v>
      </c>
      <c r="D378">
        <v>-25</v>
      </c>
      <c r="E378">
        <v>-18.3</v>
      </c>
      <c r="F378">
        <v>-18.3</v>
      </c>
      <c r="G378">
        <v>-25</v>
      </c>
      <c r="H378">
        <v>-13.7</v>
      </c>
      <c r="I378">
        <v>-4.2</v>
      </c>
      <c r="J378">
        <v>-25</v>
      </c>
      <c r="K378">
        <v>-15.1</v>
      </c>
      <c r="L378">
        <v>-15.6</v>
      </c>
      <c r="M378">
        <v>-25</v>
      </c>
      <c r="N378">
        <v>-15.3</v>
      </c>
      <c r="O378">
        <v>-14.8</v>
      </c>
      <c r="P378">
        <v>-25</v>
      </c>
      <c r="Q378">
        <v>-15.3</v>
      </c>
      <c r="R378">
        <v>-15.2</v>
      </c>
      <c r="S378">
        <v>-25</v>
      </c>
      <c r="T378">
        <v>2.2999999999999998</v>
      </c>
      <c r="U378">
        <v>2</v>
      </c>
      <c r="V378">
        <v>2</v>
      </c>
      <c r="W378">
        <v>2</v>
      </c>
      <c r="X378">
        <v>1.2</v>
      </c>
      <c r="Y378">
        <v>2</v>
      </c>
      <c r="Z378">
        <v>3.7</v>
      </c>
      <c r="AA378">
        <v>3.2</v>
      </c>
      <c r="AB378">
        <v>2</v>
      </c>
      <c r="AC378">
        <v>2.1</v>
      </c>
      <c r="AD378">
        <v>0.7</v>
      </c>
      <c r="AE378">
        <v>2</v>
      </c>
      <c r="AF378">
        <v>2.6</v>
      </c>
      <c r="AG378">
        <v>2</v>
      </c>
      <c r="AH378">
        <v>2</v>
      </c>
      <c r="AI378">
        <v>2.2999999999999998</v>
      </c>
      <c r="AJ378">
        <v>0.2</v>
      </c>
      <c r="AK378">
        <v>2</v>
      </c>
      <c r="AL378">
        <v>3.9</v>
      </c>
      <c r="AM378">
        <v>4</v>
      </c>
      <c r="AN378">
        <v>4.0999999999999996</v>
      </c>
      <c r="AO378">
        <v>4</v>
      </c>
      <c r="AP378">
        <v>4.2</v>
      </c>
      <c r="AQ378">
        <v>4</v>
      </c>
      <c r="AR378">
        <v>8.3000000000000007</v>
      </c>
      <c r="AS378">
        <v>4</v>
      </c>
      <c r="AT378">
        <v>-3.8</v>
      </c>
      <c r="AU378">
        <v>-4.0999999999999996</v>
      </c>
      <c r="AV378">
        <v>-5</v>
      </c>
      <c r="AW378">
        <v>-4.4000000000000004</v>
      </c>
      <c r="AX378">
        <v>-4.3</v>
      </c>
      <c r="AY378">
        <v>-5</v>
      </c>
      <c r="AZ378">
        <v>10.7</v>
      </c>
      <c r="BA378">
        <v>10</v>
      </c>
      <c r="BB378">
        <v>10.5</v>
      </c>
      <c r="BC378">
        <v>10</v>
      </c>
      <c r="BD378">
        <v>5.9</v>
      </c>
      <c r="BE378">
        <v>4</v>
      </c>
      <c r="BF378">
        <v>10.199999999999999</v>
      </c>
      <c r="BG378">
        <v>10</v>
      </c>
      <c r="BH378">
        <v>11.3</v>
      </c>
      <c r="BI378">
        <v>10</v>
      </c>
      <c r="BJ378">
        <v>10.6</v>
      </c>
      <c r="BK378">
        <v>9</v>
      </c>
      <c r="BL378">
        <v>19</v>
      </c>
      <c r="BM378">
        <v>19</v>
      </c>
      <c r="BN378">
        <v>23.1</v>
      </c>
      <c r="BO378">
        <v>19</v>
      </c>
      <c r="BP378">
        <v>21</v>
      </c>
      <c r="BQ378">
        <v>20</v>
      </c>
      <c r="BR378">
        <v>21.6</v>
      </c>
      <c r="BS378">
        <v>25</v>
      </c>
      <c r="BT378">
        <v>21.9</v>
      </c>
      <c r="BU378">
        <v>25</v>
      </c>
      <c r="BV378">
        <v>23.5</v>
      </c>
      <c r="BW378">
        <v>18</v>
      </c>
      <c r="BX378">
        <v>21</v>
      </c>
      <c r="BY378">
        <v>20</v>
      </c>
      <c r="BZ378">
        <v>21.7</v>
      </c>
      <c r="CA378">
        <v>20</v>
      </c>
      <c r="CB378">
        <v>12</v>
      </c>
      <c r="CC378">
        <v>10</v>
      </c>
      <c r="CD378">
        <v>11.4</v>
      </c>
      <c r="CE378">
        <v>10</v>
      </c>
      <c r="CF378">
        <v>11.6</v>
      </c>
      <c r="CG378">
        <v>9</v>
      </c>
      <c r="CH378">
        <v>11.9</v>
      </c>
      <c r="CI378">
        <v>9</v>
      </c>
    </row>
    <row r="379" spans="1:87" x14ac:dyDescent="0.35">
      <c r="A379" s="1">
        <v>46059.716666666667</v>
      </c>
      <c r="B379">
        <v>-18.2</v>
      </c>
      <c r="C379">
        <v>-18.2</v>
      </c>
      <c r="D379">
        <v>-25</v>
      </c>
      <c r="E379">
        <v>-18.3</v>
      </c>
      <c r="F379">
        <v>-18.2</v>
      </c>
      <c r="G379">
        <v>-25</v>
      </c>
      <c r="H379">
        <v>-13.7</v>
      </c>
      <c r="I379">
        <v>-5.0999999999999996</v>
      </c>
      <c r="J379">
        <v>-25</v>
      </c>
      <c r="K379">
        <v>-15.1</v>
      </c>
      <c r="L379">
        <v>-15.6</v>
      </c>
      <c r="M379">
        <v>-25</v>
      </c>
      <c r="N379">
        <v>-15.3</v>
      </c>
      <c r="O379">
        <v>-14.8</v>
      </c>
      <c r="P379">
        <v>-25</v>
      </c>
      <c r="Q379">
        <v>-15.3</v>
      </c>
      <c r="R379">
        <v>-15.1</v>
      </c>
      <c r="S379">
        <v>-25</v>
      </c>
      <c r="T379">
        <v>2.2999999999999998</v>
      </c>
      <c r="U379">
        <v>2.1</v>
      </c>
      <c r="V379">
        <v>2</v>
      </c>
      <c r="W379">
        <v>2.1</v>
      </c>
      <c r="X379">
        <v>1.5</v>
      </c>
      <c r="Y379">
        <v>2</v>
      </c>
      <c r="Z379">
        <v>3.7</v>
      </c>
      <c r="AA379">
        <v>3.2</v>
      </c>
      <c r="AB379">
        <v>2</v>
      </c>
      <c r="AC379">
        <v>2</v>
      </c>
      <c r="AD379">
        <v>1</v>
      </c>
      <c r="AE379">
        <v>2</v>
      </c>
      <c r="AF379">
        <v>2.2999999999999998</v>
      </c>
      <c r="AG379">
        <v>1.8</v>
      </c>
      <c r="AH379">
        <v>2</v>
      </c>
      <c r="AI379">
        <v>2.1</v>
      </c>
      <c r="AJ379">
        <v>0.4</v>
      </c>
      <c r="AK379">
        <v>2</v>
      </c>
      <c r="AL379">
        <v>3.9</v>
      </c>
      <c r="AM379">
        <v>4</v>
      </c>
      <c r="AN379">
        <v>4.2</v>
      </c>
      <c r="AO379">
        <v>4</v>
      </c>
      <c r="AP379">
        <v>4.4000000000000004</v>
      </c>
      <c r="AQ379">
        <v>4</v>
      </c>
      <c r="AR379">
        <v>8.1999999999999993</v>
      </c>
      <c r="AS379">
        <v>4</v>
      </c>
      <c r="AT379">
        <v>-3.4</v>
      </c>
      <c r="AU379">
        <v>-3.6</v>
      </c>
      <c r="AV379">
        <v>-5</v>
      </c>
      <c r="AW379">
        <v>-3.8</v>
      </c>
      <c r="AX379">
        <v>-3.6</v>
      </c>
      <c r="AY379">
        <v>-5</v>
      </c>
      <c r="AZ379">
        <v>9.5</v>
      </c>
      <c r="BA379">
        <v>10</v>
      </c>
      <c r="BB379">
        <v>10.3</v>
      </c>
      <c r="BC379">
        <v>10</v>
      </c>
      <c r="BD379">
        <v>5.6</v>
      </c>
      <c r="BE379">
        <v>4</v>
      </c>
      <c r="BF379">
        <v>10.8</v>
      </c>
      <c r="BG379">
        <v>10</v>
      </c>
      <c r="BH379">
        <v>11.3</v>
      </c>
      <c r="BI379">
        <v>10</v>
      </c>
      <c r="BJ379">
        <v>10.6</v>
      </c>
      <c r="BK379">
        <v>9</v>
      </c>
      <c r="BL379">
        <v>19.100000000000001</v>
      </c>
      <c r="BM379">
        <v>19</v>
      </c>
      <c r="BN379">
        <v>23.1</v>
      </c>
      <c r="BO379">
        <v>19</v>
      </c>
      <c r="BP379">
        <v>21</v>
      </c>
      <c r="BQ379">
        <v>20</v>
      </c>
      <c r="BR379">
        <v>21.6</v>
      </c>
      <c r="BS379">
        <v>25</v>
      </c>
      <c r="BT379">
        <v>21.9</v>
      </c>
      <c r="BU379">
        <v>25</v>
      </c>
      <c r="BV379">
        <v>23.5</v>
      </c>
      <c r="BW379">
        <v>18</v>
      </c>
      <c r="BX379">
        <v>21</v>
      </c>
      <c r="BY379">
        <v>20</v>
      </c>
      <c r="BZ379">
        <v>21.7</v>
      </c>
      <c r="CA379">
        <v>20</v>
      </c>
      <c r="CB379">
        <v>11.9</v>
      </c>
      <c r="CC379">
        <v>10</v>
      </c>
      <c r="CD379">
        <v>11.5</v>
      </c>
      <c r="CE379">
        <v>10</v>
      </c>
      <c r="CF379">
        <v>11.6</v>
      </c>
      <c r="CG379">
        <v>9</v>
      </c>
      <c r="CH379">
        <v>11.9</v>
      </c>
      <c r="CI379">
        <v>9</v>
      </c>
    </row>
    <row r="380" spans="1:87" x14ac:dyDescent="0.35">
      <c r="A380" s="1">
        <v>46059.717361111114</v>
      </c>
      <c r="B380">
        <v>-18.2</v>
      </c>
      <c r="C380">
        <v>-18.2</v>
      </c>
      <c r="D380">
        <v>-25</v>
      </c>
      <c r="E380">
        <v>-18.399999999999999</v>
      </c>
      <c r="F380">
        <v>-18.2</v>
      </c>
      <c r="G380">
        <v>-25</v>
      </c>
      <c r="H380">
        <v>-13.8</v>
      </c>
      <c r="I380">
        <v>-5.9</v>
      </c>
      <c r="J380">
        <v>-25</v>
      </c>
      <c r="K380">
        <v>-15.1</v>
      </c>
      <c r="L380">
        <v>-15.6</v>
      </c>
      <c r="M380">
        <v>-25</v>
      </c>
      <c r="N380">
        <v>-15.3</v>
      </c>
      <c r="O380">
        <v>-14.8</v>
      </c>
      <c r="P380">
        <v>-25</v>
      </c>
      <c r="Q380">
        <v>-15.3</v>
      </c>
      <c r="R380">
        <v>-15.1</v>
      </c>
      <c r="S380">
        <v>-25</v>
      </c>
      <c r="T380">
        <v>2.4</v>
      </c>
      <c r="U380">
        <v>2.2000000000000002</v>
      </c>
      <c r="V380">
        <v>2</v>
      </c>
      <c r="W380">
        <v>2.2000000000000002</v>
      </c>
      <c r="X380">
        <v>1.7</v>
      </c>
      <c r="Y380">
        <v>2</v>
      </c>
      <c r="Z380">
        <v>3.7</v>
      </c>
      <c r="AA380">
        <v>3.2</v>
      </c>
      <c r="AB380">
        <v>2</v>
      </c>
      <c r="AC380">
        <v>2</v>
      </c>
      <c r="AD380">
        <v>1.4</v>
      </c>
      <c r="AE380">
        <v>2</v>
      </c>
      <c r="AF380">
        <v>2.2000000000000002</v>
      </c>
      <c r="AG380">
        <v>1.8</v>
      </c>
      <c r="AH380">
        <v>2</v>
      </c>
      <c r="AI380">
        <v>2.1</v>
      </c>
      <c r="AJ380">
        <v>0.8</v>
      </c>
      <c r="AK380">
        <v>2</v>
      </c>
      <c r="AL380">
        <v>3.9</v>
      </c>
      <c r="AM380">
        <v>4</v>
      </c>
      <c r="AN380">
        <v>4.2</v>
      </c>
      <c r="AO380">
        <v>4</v>
      </c>
      <c r="AP380">
        <v>4.5999999999999996</v>
      </c>
      <c r="AQ380">
        <v>4</v>
      </c>
      <c r="AR380">
        <v>7.7</v>
      </c>
      <c r="AS380">
        <v>4</v>
      </c>
      <c r="AT380">
        <v>-3</v>
      </c>
      <c r="AU380">
        <v>-3.2</v>
      </c>
      <c r="AV380">
        <v>-5</v>
      </c>
      <c r="AW380">
        <v>-3.3</v>
      </c>
      <c r="AX380">
        <v>-3.1</v>
      </c>
      <c r="AY380">
        <v>-5</v>
      </c>
      <c r="AZ380">
        <v>9.1</v>
      </c>
      <c r="BA380">
        <v>10</v>
      </c>
      <c r="BB380">
        <v>10.199999999999999</v>
      </c>
      <c r="BC380">
        <v>10</v>
      </c>
      <c r="BD380">
        <v>5.2</v>
      </c>
      <c r="BE380">
        <v>4</v>
      </c>
      <c r="BF380">
        <v>11.1</v>
      </c>
      <c r="BG380">
        <v>10</v>
      </c>
      <c r="BH380">
        <v>11.3</v>
      </c>
      <c r="BI380">
        <v>10</v>
      </c>
      <c r="BJ380">
        <v>10.6</v>
      </c>
      <c r="BK380">
        <v>9</v>
      </c>
      <c r="BL380">
        <v>19.100000000000001</v>
      </c>
      <c r="BM380">
        <v>19</v>
      </c>
      <c r="BN380">
        <v>23.2</v>
      </c>
      <c r="BO380">
        <v>19</v>
      </c>
      <c r="BP380">
        <v>21</v>
      </c>
      <c r="BQ380">
        <v>20</v>
      </c>
      <c r="BR380">
        <v>21.6</v>
      </c>
      <c r="BS380">
        <v>25</v>
      </c>
      <c r="BT380">
        <v>21.9</v>
      </c>
      <c r="BU380">
        <v>25</v>
      </c>
      <c r="BV380">
        <v>23.5</v>
      </c>
      <c r="BW380">
        <v>18</v>
      </c>
      <c r="BX380">
        <v>21.1</v>
      </c>
      <c r="BY380">
        <v>20</v>
      </c>
      <c r="BZ380">
        <v>21.8</v>
      </c>
      <c r="CA380">
        <v>20</v>
      </c>
      <c r="CB380">
        <v>11.6</v>
      </c>
      <c r="CC380">
        <v>10</v>
      </c>
      <c r="CD380">
        <v>11.5</v>
      </c>
      <c r="CE380">
        <v>10</v>
      </c>
      <c r="CF380">
        <v>11.5</v>
      </c>
      <c r="CG380">
        <v>9</v>
      </c>
      <c r="CH380">
        <v>11.8</v>
      </c>
      <c r="CI380">
        <v>9</v>
      </c>
    </row>
    <row r="381" spans="1:87" x14ac:dyDescent="0.35">
      <c r="A381" s="1">
        <v>46059.718055555553</v>
      </c>
      <c r="B381">
        <v>-18.2</v>
      </c>
      <c r="C381">
        <v>-18.399999999999999</v>
      </c>
      <c r="D381">
        <v>-25</v>
      </c>
      <c r="E381">
        <v>-18.5</v>
      </c>
      <c r="F381">
        <v>-18.2</v>
      </c>
      <c r="G381">
        <v>-25</v>
      </c>
      <c r="H381">
        <v>-14</v>
      </c>
      <c r="I381">
        <v>-6.6</v>
      </c>
      <c r="J381">
        <v>-25</v>
      </c>
      <c r="K381">
        <v>-15.1</v>
      </c>
      <c r="L381">
        <v>-15.6</v>
      </c>
      <c r="M381">
        <v>-25</v>
      </c>
      <c r="N381">
        <v>-15.3</v>
      </c>
      <c r="O381">
        <v>-14.8</v>
      </c>
      <c r="P381">
        <v>-25</v>
      </c>
      <c r="Q381">
        <v>-15.3</v>
      </c>
      <c r="R381">
        <v>-15.1</v>
      </c>
      <c r="S381">
        <v>-25</v>
      </c>
      <c r="T381">
        <v>2.5</v>
      </c>
      <c r="U381">
        <v>2.2999999999999998</v>
      </c>
      <c r="V381">
        <v>2</v>
      </c>
      <c r="W381">
        <v>2.2999999999999998</v>
      </c>
      <c r="X381">
        <v>1.8</v>
      </c>
      <c r="Y381">
        <v>2</v>
      </c>
      <c r="Z381">
        <v>3.7</v>
      </c>
      <c r="AA381">
        <v>3.2</v>
      </c>
      <c r="AB381">
        <v>2</v>
      </c>
      <c r="AC381">
        <v>2</v>
      </c>
      <c r="AD381">
        <v>1.7</v>
      </c>
      <c r="AE381">
        <v>2</v>
      </c>
      <c r="AF381">
        <v>2.2000000000000002</v>
      </c>
      <c r="AG381">
        <v>1.8</v>
      </c>
      <c r="AH381">
        <v>2</v>
      </c>
      <c r="AI381">
        <v>2.1</v>
      </c>
      <c r="AJ381">
        <v>1</v>
      </c>
      <c r="AK381">
        <v>2</v>
      </c>
      <c r="AL381">
        <v>3.9</v>
      </c>
      <c r="AM381">
        <v>4</v>
      </c>
      <c r="AN381">
        <v>4.3</v>
      </c>
      <c r="AO381">
        <v>4</v>
      </c>
      <c r="AP381">
        <v>4.8</v>
      </c>
      <c r="AQ381">
        <v>4</v>
      </c>
      <c r="AR381">
        <v>7.1</v>
      </c>
      <c r="AS381">
        <v>4</v>
      </c>
      <c r="AT381">
        <v>-2.9</v>
      </c>
      <c r="AU381">
        <v>-4.2</v>
      </c>
      <c r="AV381">
        <v>-5</v>
      </c>
      <c r="AW381">
        <v>-2.9</v>
      </c>
      <c r="AX381">
        <v>-2.7</v>
      </c>
      <c r="AY381">
        <v>-5</v>
      </c>
      <c r="AZ381">
        <v>9</v>
      </c>
      <c r="BA381">
        <v>10</v>
      </c>
      <c r="BB381">
        <v>10.199999999999999</v>
      </c>
      <c r="BC381">
        <v>10</v>
      </c>
      <c r="BD381">
        <v>4.5999999999999996</v>
      </c>
      <c r="BE381">
        <v>4</v>
      </c>
      <c r="BF381">
        <v>11.3</v>
      </c>
      <c r="BG381">
        <v>10</v>
      </c>
      <c r="BH381">
        <v>11.3</v>
      </c>
      <c r="BI381">
        <v>10</v>
      </c>
      <c r="BJ381">
        <v>10.6</v>
      </c>
      <c r="BK381">
        <v>9</v>
      </c>
      <c r="BL381">
        <v>19.100000000000001</v>
      </c>
      <c r="BM381">
        <v>19</v>
      </c>
      <c r="BN381">
        <v>23.2</v>
      </c>
      <c r="BO381">
        <v>19</v>
      </c>
      <c r="BP381">
        <v>21</v>
      </c>
      <c r="BQ381">
        <v>20</v>
      </c>
      <c r="BR381">
        <v>21.6</v>
      </c>
      <c r="BS381">
        <v>25</v>
      </c>
      <c r="BT381">
        <v>21.9</v>
      </c>
      <c r="BU381">
        <v>25</v>
      </c>
      <c r="BV381">
        <v>23.5</v>
      </c>
      <c r="BW381">
        <v>18</v>
      </c>
      <c r="BX381">
        <v>21.1</v>
      </c>
      <c r="BY381">
        <v>20</v>
      </c>
      <c r="BZ381">
        <v>21.8</v>
      </c>
      <c r="CA381">
        <v>20</v>
      </c>
      <c r="CB381">
        <v>11.4</v>
      </c>
      <c r="CC381">
        <v>10</v>
      </c>
      <c r="CD381">
        <v>11.5</v>
      </c>
      <c r="CE381">
        <v>10</v>
      </c>
      <c r="CF381">
        <v>11.5</v>
      </c>
      <c r="CG381">
        <v>9</v>
      </c>
      <c r="CH381">
        <v>11.8</v>
      </c>
      <c r="CI381">
        <v>9</v>
      </c>
    </row>
    <row r="382" spans="1:87" x14ac:dyDescent="0.35">
      <c r="A382" s="1">
        <v>46059.71875</v>
      </c>
      <c r="B382">
        <v>-18.2</v>
      </c>
      <c r="C382">
        <v>-18.5</v>
      </c>
      <c r="D382">
        <v>-25</v>
      </c>
      <c r="E382">
        <v>-18.600000000000001</v>
      </c>
      <c r="F382">
        <v>-18.2</v>
      </c>
      <c r="G382">
        <v>-25</v>
      </c>
      <c r="H382">
        <v>-14.1</v>
      </c>
      <c r="I382">
        <v>-7.2</v>
      </c>
      <c r="J382">
        <v>-25</v>
      </c>
      <c r="K382">
        <v>-15.1</v>
      </c>
      <c r="L382">
        <v>-15.5</v>
      </c>
      <c r="M382">
        <v>-25</v>
      </c>
      <c r="N382">
        <v>-15.3</v>
      </c>
      <c r="O382">
        <v>-14.7</v>
      </c>
      <c r="P382">
        <v>-25</v>
      </c>
      <c r="Q382">
        <v>-15.3</v>
      </c>
      <c r="R382">
        <v>-15.1</v>
      </c>
      <c r="S382">
        <v>-25</v>
      </c>
      <c r="T382">
        <v>2.5</v>
      </c>
      <c r="U382">
        <v>2.4</v>
      </c>
      <c r="V382">
        <v>2</v>
      </c>
      <c r="W382">
        <v>2.4</v>
      </c>
      <c r="X382">
        <v>1.9</v>
      </c>
      <c r="Y382">
        <v>2</v>
      </c>
      <c r="Z382">
        <v>3.7</v>
      </c>
      <c r="AA382">
        <v>3.3</v>
      </c>
      <c r="AB382">
        <v>2</v>
      </c>
      <c r="AC382">
        <v>2.1</v>
      </c>
      <c r="AD382">
        <v>2</v>
      </c>
      <c r="AE382">
        <v>2</v>
      </c>
      <c r="AF382">
        <v>2.2000000000000002</v>
      </c>
      <c r="AG382">
        <v>1.7</v>
      </c>
      <c r="AH382">
        <v>2</v>
      </c>
      <c r="AI382">
        <v>2</v>
      </c>
      <c r="AJ382">
        <v>0.5</v>
      </c>
      <c r="AK382">
        <v>2</v>
      </c>
      <c r="AL382">
        <v>4</v>
      </c>
      <c r="AM382">
        <v>4</v>
      </c>
      <c r="AN382">
        <v>4.4000000000000004</v>
      </c>
      <c r="AO382">
        <v>4</v>
      </c>
      <c r="AP382">
        <v>5</v>
      </c>
      <c r="AQ382">
        <v>4</v>
      </c>
      <c r="AR382">
        <v>6.6</v>
      </c>
      <c r="AS382">
        <v>4</v>
      </c>
      <c r="AT382">
        <v>-3.2</v>
      </c>
      <c r="AU382">
        <v>-5.0999999999999996</v>
      </c>
      <c r="AV382">
        <v>-5</v>
      </c>
      <c r="AW382">
        <v>-2.7</v>
      </c>
      <c r="AX382">
        <v>-2.5</v>
      </c>
      <c r="AY382">
        <v>-5</v>
      </c>
      <c r="AZ382">
        <v>9</v>
      </c>
      <c r="BA382">
        <v>10</v>
      </c>
      <c r="BB382">
        <v>10.1</v>
      </c>
      <c r="BC382">
        <v>10</v>
      </c>
      <c r="BD382">
        <v>4.2</v>
      </c>
      <c r="BE382">
        <v>4</v>
      </c>
      <c r="BF382">
        <v>11.5</v>
      </c>
      <c r="BG382">
        <v>10</v>
      </c>
      <c r="BH382">
        <v>11.3</v>
      </c>
      <c r="BI382">
        <v>10</v>
      </c>
      <c r="BJ382">
        <v>10.6</v>
      </c>
      <c r="BK382">
        <v>9</v>
      </c>
      <c r="BL382">
        <v>19.100000000000001</v>
      </c>
      <c r="BM382">
        <v>19</v>
      </c>
      <c r="BN382">
        <v>23.2</v>
      </c>
      <c r="BO382">
        <v>19</v>
      </c>
      <c r="BP382">
        <v>21.1</v>
      </c>
      <c r="BQ382">
        <v>20</v>
      </c>
      <c r="BR382">
        <v>21.6</v>
      </c>
      <c r="BS382">
        <v>25</v>
      </c>
      <c r="BT382">
        <v>21.9</v>
      </c>
      <c r="BU382">
        <v>25</v>
      </c>
      <c r="BV382">
        <v>23.5</v>
      </c>
      <c r="BW382">
        <v>18</v>
      </c>
      <c r="BX382">
        <v>21.2</v>
      </c>
      <c r="BY382">
        <v>20</v>
      </c>
      <c r="BZ382">
        <v>21.8</v>
      </c>
      <c r="CA382">
        <v>20</v>
      </c>
      <c r="CB382">
        <v>11.1</v>
      </c>
      <c r="CC382">
        <v>10</v>
      </c>
      <c r="CD382">
        <v>11.5</v>
      </c>
      <c r="CE382">
        <v>10</v>
      </c>
      <c r="CF382">
        <v>11.7</v>
      </c>
      <c r="CG382">
        <v>9</v>
      </c>
      <c r="CH382">
        <v>11.9</v>
      </c>
      <c r="CI382">
        <v>9</v>
      </c>
    </row>
    <row r="383" spans="1:87" x14ac:dyDescent="0.35">
      <c r="A383" s="1">
        <v>46059.719444444447</v>
      </c>
      <c r="B383">
        <v>-18.3</v>
      </c>
      <c r="C383">
        <v>-18.600000000000001</v>
      </c>
      <c r="D383">
        <v>-25</v>
      </c>
      <c r="E383">
        <v>-18.600000000000001</v>
      </c>
      <c r="F383">
        <v>-18.2</v>
      </c>
      <c r="G383">
        <v>-25</v>
      </c>
      <c r="H383">
        <v>-14.4</v>
      </c>
      <c r="I383">
        <v>-7.7</v>
      </c>
      <c r="J383">
        <v>-25</v>
      </c>
      <c r="K383">
        <v>-15.1</v>
      </c>
      <c r="L383">
        <v>-15.5</v>
      </c>
      <c r="M383">
        <v>-25</v>
      </c>
      <c r="N383">
        <v>-15.3</v>
      </c>
      <c r="O383">
        <v>-14.7</v>
      </c>
      <c r="P383">
        <v>-25</v>
      </c>
      <c r="Q383">
        <v>-15.2</v>
      </c>
      <c r="R383">
        <v>-15.1</v>
      </c>
      <c r="S383">
        <v>-25</v>
      </c>
      <c r="T383">
        <v>2.6</v>
      </c>
      <c r="U383">
        <v>2.4</v>
      </c>
      <c r="V383">
        <v>2</v>
      </c>
      <c r="W383">
        <v>2.5</v>
      </c>
      <c r="X383">
        <v>2.1</v>
      </c>
      <c r="Y383">
        <v>2</v>
      </c>
      <c r="Z383">
        <v>3.7</v>
      </c>
      <c r="AA383">
        <v>3.3</v>
      </c>
      <c r="AB383">
        <v>2</v>
      </c>
      <c r="AC383">
        <v>2.2000000000000002</v>
      </c>
      <c r="AD383">
        <v>2.1</v>
      </c>
      <c r="AE383">
        <v>2</v>
      </c>
      <c r="AF383">
        <v>2.2000000000000002</v>
      </c>
      <c r="AG383">
        <v>1.7</v>
      </c>
      <c r="AH383">
        <v>2</v>
      </c>
      <c r="AI383">
        <v>2</v>
      </c>
      <c r="AJ383">
        <v>0.9</v>
      </c>
      <c r="AK383">
        <v>2</v>
      </c>
      <c r="AL383">
        <v>4.0999999999999996</v>
      </c>
      <c r="AM383">
        <v>4</v>
      </c>
      <c r="AN383">
        <v>4.4000000000000004</v>
      </c>
      <c r="AO383">
        <v>4</v>
      </c>
      <c r="AP383">
        <v>5.0999999999999996</v>
      </c>
      <c r="AQ383">
        <v>4</v>
      </c>
      <c r="AR383">
        <v>6.2</v>
      </c>
      <c r="AS383">
        <v>4</v>
      </c>
      <c r="AT383">
        <v>-3.5</v>
      </c>
      <c r="AU383">
        <v>-5.4</v>
      </c>
      <c r="AV383">
        <v>-5</v>
      </c>
      <c r="AW383">
        <v>-2.2999999999999998</v>
      </c>
      <c r="AX383">
        <v>-2.1</v>
      </c>
      <c r="AY383">
        <v>-5</v>
      </c>
      <c r="AZ383">
        <v>9.3000000000000007</v>
      </c>
      <c r="BA383">
        <v>10</v>
      </c>
      <c r="BB383">
        <v>10</v>
      </c>
      <c r="BC383">
        <v>10</v>
      </c>
      <c r="BD383">
        <v>3.7</v>
      </c>
      <c r="BE383">
        <v>4</v>
      </c>
      <c r="BF383">
        <v>11.6</v>
      </c>
      <c r="BG383">
        <v>10</v>
      </c>
      <c r="BH383">
        <v>11.3</v>
      </c>
      <c r="BI383">
        <v>10</v>
      </c>
      <c r="BJ383">
        <v>10.6</v>
      </c>
      <c r="BK383">
        <v>9</v>
      </c>
      <c r="BL383">
        <v>19.2</v>
      </c>
      <c r="BM383">
        <v>19</v>
      </c>
      <c r="BN383">
        <v>23.2</v>
      </c>
      <c r="BO383">
        <v>19</v>
      </c>
      <c r="BP383">
        <v>21.1</v>
      </c>
      <c r="BQ383">
        <v>20</v>
      </c>
      <c r="BR383">
        <v>21.5</v>
      </c>
      <c r="BS383">
        <v>25</v>
      </c>
      <c r="BT383">
        <v>21.9</v>
      </c>
      <c r="BU383">
        <v>25</v>
      </c>
      <c r="BV383">
        <v>23.5</v>
      </c>
      <c r="BW383">
        <v>18</v>
      </c>
      <c r="BX383">
        <v>21.3</v>
      </c>
      <c r="BY383">
        <v>20</v>
      </c>
      <c r="BZ383">
        <v>21.8</v>
      </c>
      <c r="CA383">
        <v>20</v>
      </c>
      <c r="CB383">
        <v>11</v>
      </c>
      <c r="CC383">
        <v>10</v>
      </c>
      <c r="CD383">
        <v>11.6</v>
      </c>
      <c r="CE383">
        <v>10</v>
      </c>
      <c r="CF383">
        <v>11.6</v>
      </c>
      <c r="CG383">
        <v>9</v>
      </c>
      <c r="CH383">
        <v>11.9</v>
      </c>
      <c r="CI383">
        <v>9</v>
      </c>
    </row>
    <row r="384" spans="1:87" x14ac:dyDescent="0.35">
      <c r="A384" s="1">
        <v>46059.720138888886</v>
      </c>
      <c r="B384">
        <v>-18.3</v>
      </c>
      <c r="C384">
        <v>-18.7</v>
      </c>
      <c r="D384">
        <v>-25</v>
      </c>
      <c r="E384">
        <v>-18.600000000000001</v>
      </c>
      <c r="F384">
        <v>-18.2</v>
      </c>
      <c r="G384">
        <v>-25</v>
      </c>
      <c r="H384">
        <v>-14.4</v>
      </c>
      <c r="I384">
        <v>-8.1999999999999993</v>
      </c>
      <c r="J384">
        <v>-25</v>
      </c>
      <c r="K384">
        <v>-15.1</v>
      </c>
      <c r="L384">
        <v>-15.5</v>
      </c>
      <c r="M384">
        <v>-25</v>
      </c>
      <c r="N384">
        <v>-15.3</v>
      </c>
      <c r="O384">
        <v>-14.7</v>
      </c>
      <c r="P384">
        <v>-25</v>
      </c>
      <c r="Q384">
        <v>-15.2</v>
      </c>
      <c r="R384">
        <v>-15.1</v>
      </c>
      <c r="S384">
        <v>-25</v>
      </c>
      <c r="T384">
        <v>2.7</v>
      </c>
      <c r="U384">
        <v>2.6</v>
      </c>
      <c r="V384">
        <v>2</v>
      </c>
      <c r="W384">
        <v>2.6</v>
      </c>
      <c r="X384">
        <v>2.1</v>
      </c>
      <c r="Y384">
        <v>2</v>
      </c>
      <c r="Z384">
        <v>3.7</v>
      </c>
      <c r="AA384">
        <v>3.3</v>
      </c>
      <c r="AB384">
        <v>2</v>
      </c>
      <c r="AC384">
        <v>2.2999999999999998</v>
      </c>
      <c r="AD384">
        <v>2.2000000000000002</v>
      </c>
      <c r="AE384">
        <v>2</v>
      </c>
      <c r="AF384">
        <v>2.2000000000000002</v>
      </c>
      <c r="AG384">
        <v>1.9</v>
      </c>
      <c r="AH384">
        <v>2</v>
      </c>
      <c r="AI384">
        <v>2</v>
      </c>
      <c r="AJ384">
        <v>1.6</v>
      </c>
      <c r="AK384">
        <v>2</v>
      </c>
      <c r="AL384">
        <v>4.2</v>
      </c>
      <c r="AM384">
        <v>4</v>
      </c>
      <c r="AN384">
        <v>4.5</v>
      </c>
      <c r="AO384">
        <v>4</v>
      </c>
      <c r="AP384">
        <v>5.3</v>
      </c>
      <c r="AQ384">
        <v>4</v>
      </c>
      <c r="AR384">
        <v>5.9</v>
      </c>
      <c r="AS384">
        <v>4</v>
      </c>
      <c r="AT384">
        <v>-3.8</v>
      </c>
      <c r="AU384">
        <v>-5.8</v>
      </c>
      <c r="AV384">
        <v>-5</v>
      </c>
      <c r="AW384">
        <v>-2.1</v>
      </c>
      <c r="AX384">
        <v>-2</v>
      </c>
      <c r="AY384">
        <v>-5</v>
      </c>
      <c r="AZ384">
        <v>9.4</v>
      </c>
      <c r="BA384">
        <v>10</v>
      </c>
      <c r="BB384">
        <v>10</v>
      </c>
      <c r="BC384">
        <v>10</v>
      </c>
      <c r="BD384">
        <v>3.7</v>
      </c>
      <c r="BE384">
        <v>4</v>
      </c>
      <c r="BF384">
        <v>11.9</v>
      </c>
      <c r="BG384">
        <v>10</v>
      </c>
      <c r="BH384">
        <v>11.2</v>
      </c>
      <c r="BI384">
        <v>10</v>
      </c>
      <c r="BJ384">
        <v>10.6</v>
      </c>
      <c r="BK384">
        <v>9</v>
      </c>
      <c r="BL384">
        <v>19.2</v>
      </c>
      <c r="BM384">
        <v>19</v>
      </c>
      <c r="BN384">
        <v>23.2</v>
      </c>
      <c r="BO384">
        <v>19</v>
      </c>
      <c r="BP384">
        <v>21.1</v>
      </c>
      <c r="BQ384">
        <v>20</v>
      </c>
      <c r="BR384">
        <v>21.5</v>
      </c>
      <c r="BS384">
        <v>25</v>
      </c>
      <c r="BT384">
        <v>21.9</v>
      </c>
      <c r="BU384">
        <v>25</v>
      </c>
      <c r="BV384">
        <v>23.5</v>
      </c>
      <c r="BW384">
        <v>18</v>
      </c>
      <c r="BX384">
        <v>21.3</v>
      </c>
      <c r="BY384">
        <v>20</v>
      </c>
      <c r="BZ384">
        <v>21.8</v>
      </c>
      <c r="CA384">
        <v>20</v>
      </c>
      <c r="CB384">
        <v>10.8</v>
      </c>
      <c r="CC384">
        <v>10</v>
      </c>
      <c r="CD384">
        <v>11.6</v>
      </c>
      <c r="CE384">
        <v>10</v>
      </c>
      <c r="CF384">
        <v>11.6</v>
      </c>
      <c r="CG384">
        <v>9</v>
      </c>
      <c r="CH384">
        <v>11.9</v>
      </c>
      <c r="CI384">
        <v>9</v>
      </c>
    </row>
    <row r="385" spans="1:87" x14ac:dyDescent="0.35">
      <c r="A385" s="1">
        <v>46059.720833333333</v>
      </c>
      <c r="B385">
        <v>-18.399999999999999</v>
      </c>
      <c r="C385">
        <v>-18.8</v>
      </c>
      <c r="D385">
        <v>-25</v>
      </c>
      <c r="E385">
        <v>-18.7</v>
      </c>
      <c r="F385">
        <v>-18.2</v>
      </c>
      <c r="G385">
        <v>-25</v>
      </c>
      <c r="H385">
        <v>-14.4</v>
      </c>
      <c r="I385">
        <v>-8.6</v>
      </c>
      <c r="J385">
        <v>-25</v>
      </c>
      <c r="K385">
        <v>-15.1</v>
      </c>
      <c r="L385">
        <v>-15.5</v>
      </c>
      <c r="M385">
        <v>-25</v>
      </c>
      <c r="N385">
        <v>-15.3</v>
      </c>
      <c r="O385">
        <v>-14.7</v>
      </c>
      <c r="P385">
        <v>-25</v>
      </c>
      <c r="Q385">
        <v>-15.2</v>
      </c>
      <c r="R385">
        <v>-15.1</v>
      </c>
      <c r="S385">
        <v>-25</v>
      </c>
      <c r="T385">
        <v>2.7</v>
      </c>
      <c r="U385">
        <v>2.7</v>
      </c>
      <c r="V385">
        <v>2</v>
      </c>
      <c r="W385">
        <v>2.6</v>
      </c>
      <c r="X385">
        <v>2.4</v>
      </c>
      <c r="Y385">
        <v>2</v>
      </c>
      <c r="Z385">
        <v>3.7</v>
      </c>
      <c r="AA385">
        <v>3.3</v>
      </c>
      <c r="AB385">
        <v>2</v>
      </c>
      <c r="AC385">
        <v>2.4</v>
      </c>
      <c r="AD385">
        <v>2.2999999999999998</v>
      </c>
      <c r="AE385">
        <v>2</v>
      </c>
      <c r="AF385">
        <v>2.2999999999999998</v>
      </c>
      <c r="AG385">
        <v>2.2000000000000002</v>
      </c>
      <c r="AH385">
        <v>2</v>
      </c>
      <c r="AI385">
        <v>2.2999999999999998</v>
      </c>
      <c r="AJ385">
        <v>2</v>
      </c>
      <c r="AK385">
        <v>2</v>
      </c>
      <c r="AL385">
        <v>4.3</v>
      </c>
      <c r="AM385">
        <v>4</v>
      </c>
      <c r="AN385">
        <v>4.5999999999999996</v>
      </c>
      <c r="AO385">
        <v>4</v>
      </c>
      <c r="AP385">
        <v>5.5</v>
      </c>
      <c r="AQ385">
        <v>4</v>
      </c>
      <c r="AR385">
        <v>5.0999999999999996</v>
      </c>
      <c r="AS385">
        <v>4</v>
      </c>
      <c r="AT385">
        <v>-4.0999999999999996</v>
      </c>
      <c r="AU385">
        <v>-6.3</v>
      </c>
      <c r="AV385">
        <v>-5</v>
      </c>
      <c r="AW385">
        <v>-2.4</v>
      </c>
      <c r="AX385">
        <v>-3.5</v>
      </c>
      <c r="AY385">
        <v>-5</v>
      </c>
      <c r="AZ385">
        <v>9.6</v>
      </c>
      <c r="BA385">
        <v>10</v>
      </c>
      <c r="BB385">
        <v>10.1</v>
      </c>
      <c r="BC385">
        <v>10</v>
      </c>
      <c r="BD385">
        <v>3.8</v>
      </c>
      <c r="BE385">
        <v>4</v>
      </c>
      <c r="BF385">
        <v>12.2</v>
      </c>
      <c r="BG385">
        <v>10</v>
      </c>
      <c r="BH385">
        <v>11.2</v>
      </c>
      <c r="BI385">
        <v>10</v>
      </c>
      <c r="BJ385">
        <v>10.6</v>
      </c>
      <c r="BK385">
        <v>9</v>
      </c>
      <c r="BL385">
        <v>19.3</v>
      </c>
      <c r="BM385">
        <v>19</v>
      </c>
      <c r="BN385">
        <v>23.2</v>
      </c>
      <c r="BO385">
        <v>19</v>
      </c>
      <c r="BP385">
        <v>21.1</v>
      </c>
      <c r="BQ385">
        <v>20</v>
      </c>
      <c r="BR385">
        <v>21.5</v>
      </c>
      <c r="BS385">
        <v>25</v>
      </c>
      <c r="BT385">
        <v>21.9</v>
      </c>
      <c r="BU385">
        <v>25</v>
      </c>
      <c r="BV385">
        <v>23.5</v>
      </c>
      <c r="BW385">
        <v>18</v>
      </c>
      <c r="BX385">
        <v>21.4</v>
      </c>
      <c r="BY385">
        <v>20</v>
      </c>
      <c r="BZ385">
        <v>21.9</v>
      </c>
      <c r="CA385">
        <v>20</v>
      </c>
      <c r="CB385">
        <v>10.7</v>
      </c>
      <c r="CC385">
        <v>10</v>
      </c>
      <c r="CD385">
        <v>11.6</v>
      </c>
      <c r="CE385">
        <v>10</v>
      </c>
      <c r="CF385">
        <v>11.8</v>
      </c>
      <c r="CG385">
        <v>9</v>
      </c>
      <c r="CH385">
        <v>12.1</v>
      </c>
      <c r="CI385">
        <v>9</v>
      </c>
    </row>
    <row r="386" spans="1:87" x14ac:dyDescent="0.35">
      <c r="A386" s="1">
        <v>46059.72152777778</v>
      </c>
      <c r="B386">
        <v>-18.399999999999999</v>
      </c>
      <c r="C386">
        <v>-18.899999999999999</v>
      </c>
      <c r="D386">
        <v>-25</v>
      </c>
      <c r="E386">
        <v>-18.8</v>
      </c>
      <c r="F386">
        <v>-18.2</v>
      </c>
      <c r="G386">
        <v>-25</v>
      </c>
      <c r="H386">
        <v>-14.4</v>
      </c>
      <c r="I386">
        <v>-8.9</v>
      </c>
      <c r="J386">
        <v>-25</v>
      </c>
      <c r="K386">
        <v>-15.1</v>
      </c>
      <c r="L386">
        <v>-15.5</v>
      </c>
      <c r="M386">
        <v>-25</v>
      </c>
      <c r="N386">
        <v>-15.3</v>
      </c>
      <c r="O386">
        <v>-14.7</v>
      </c>
      <c r="P386">
        <v>-25</v>
      </c>
      <c r="Q386">
        <v>-15.2</v>
      </c>
      <c r="R386">
        <v>-15.1</v>
      </c>
      <c r="S386">
        <v>-25</v>
      </c>
      <c r="T386">
        <v>2.8</v>
      </c>
      <c r="U386">
        <v>2.8</v>
      </c>
      <c r="V386">
        <v>2</v>
      </c>
      <c r="W386">
        <v>2.8</v>
      </c>
      <c r="X386">
        <v>2.5</v>
      </c>
      <c r="Y386">
        <v>2</v>
      </c>
      <c r="Z386">
        <v>3.7</v>
      </c>
      <c r="AA386">
        <v>3.3</v>
      </c>
      <c r="AB386">
        <v>2</v>
      </c>
      <c r="AC386">
        <v>2.5</v>
      </c>
      <c r="AD386">
        <v>2.5</v>
      </c>
      <c r="AE386">
        <v>2</v>
      </c>
      <c r="AF386">
        <v>2.5</v>
      </c>
      <c r="AG386">
        <v>2.4</v>
      </c>
      <c r="AH386">
        <v>2</v>
      </c>
      <c r="AI386">
        <v>2.4</v>
      </c>
      <c r="AJ386">
        <v>2.2000000000000002</v>
      </c>
      <c r="AK386">
        <v>2</v>
      </c>
      <c r="AL386">
        <v>4.4000000000000004</v>
      </c>
      <c r="AM386">
        <v>4</v>
      </c>
      <c r="AN386">
        <v>4.5999999999999996</v>
      </c>
      <c r="AO386">
        <v>4</v>
      </c>
      <c r="AP386">
        <v>5.6</v>
      </c>
      <c r="AQ386">
        <v>4</v>
      </c>
      <c r="AR386">
        <v>4</v>
      </c>
      <c r="AS386">
        <v>4</v>
      </c>
      <c r="AT386">
        <v>-4.4000000000000004</v>
      </c>
      <c r="AU386">
        <v>-6.6</v>
      </c>
      <c r="AV386">
        <v>-5</v>
      </c>
      <c r="AW386">
        <v>-2.8</v>
      </c>
      <c r="AX386">
        <v>-4.9000000000000004</v>
      </c>
      <c r="AY386">
        <v>-5</v>
      </c>
      <c r="AZ386">
        <v>9.8000000000000007</v>
      </c>
      <c r="BA386">
        <v>10</v>
      </c>
      <c r="BB386">
        <v>10.4</v>
      </c>
      <c r="BC386">
        <v>10</v>
      </c>
      <c r="BD386">
        <v>4</v>
      </c>
      <c r="BE386">
        <v>4</v>
      </c>
      <c r="BF386">
        <v>11.6</v>
      </c>
      <c r="BG386">
        <v>10</v>
      </c>
      <c r="BH386">
        <v>11.1</v>
      </c>
      <c r="BI386">
        <v>10</v>
      </c>
      <c r="BJ386">
        <v>10.6</v>
      </c>
      <c r="BK386">
        <v>9</v>
      </c>
      <c r="BL386">
        <v>19.3</v>
      </c>
      <c r="BM386">
        <v>19</v>
      </c>
      <c r="BN386">
        <v>23.2</v>
      </c>
      <c r="BO386">
        <v>19</v>
      </c>
      <c r="BP386">
        <v>21.1</v>
      </c>
      <c r="BQ386">
        <v>20</v>
      </c>
      <c r="BR386">
        <v>21.5</v>
      </c>
      <c r="BS386">
        <v>25</v>
      </c>
      <c r="BT386">
        <v>21.9</v>
      </c>
      <c r="BU386">
        <v>25</v>
      </c>
      <c r="BV386">
        <v>23.5</v>
      </c>
      <c r="BW386">
        <v>18</v>
      </c>
      <c r="BX386">
        <v>21.4</v>
      </c>
      <c r="BY386">
        <v>20</v>
      </c>
      <c r="BZ386">
        <v>21.9</v>
      </c>
      <c r="CA386">
        <v>20</v>
      </c>
      <c r="CB386">
        <v>10.5</v>
      </c>
      <c r="CC386">
        <v>10</v>
      </c>
      <c r="CD386">
        <v>11.6</v>
      </c>
      <c r="CE386">
        <v>10</v>
      </c>
      <c r="CF386">
        <v>11.9</v>
      </c>
      <c r="CG386">
        <v>9</v>
      </c>
      <c r="CH386">
        <v>12.1</v>
      </c>
      <c r="CI386">
        <v>9</v>
      </c>
    </row>
    <row r="387" spans="1:87" x14ac:dyDescent="0.35">
      <c r="A387" s="1">
        <v>46059.722222222219</v>
      </c>
      <c r="B387">
        <v>-18.5</v>
      </c>
      <c r="C387">
        <v>-18.899999999999999</v>
      </c>
      <c r="D387">
        <v>-25</v>
      </c>
      <c r="E387">
        <v>-18.8</v>
      </c>
      <c r="F387">
        <v>-18.3</v>
      </c>
      <c r="G387">
        <v>-25</v>
      </c>
      <c r="H387">
        <v>-14.5</v>
      </c>
      <c r="I387">
        <v>-9.3000000000000007</v>
      </c>
      <c r="J387">
        <v>-25</v>
      </c>
      <c r="K387">
        <v>-15</v>
      </c>
      <c r="L387">
        <v>-15.4</v>
      </c>
      <c r="M387">
        <v>-25</v>
      </c>
      <c r="N387">
        <v>-15.3</v>
      </c>
      <c r="O387">
        <v>-14.7</v>
      </c>
      <c r="P387">
        <v>-25</v>
      </c>
      <c r="Q387">
        <v>-15.2</v>
      </c>
      <c r="R387">
        <v>-15.1</v>
      </c>
      <c r="S387">
        <v>-25</v>
      </c>
      <c r="T387">
        <v>2.9</v>
      </c>
      <c r="U387">
        <v>2.9</v>
      </c>
      <c r="V387">
        <v>2</v>
      </c>
      <c r="W387">
        <v>2.9</v>
      </c>
      <c r="X387">
        <v>2.6</v>
      </c>
      <c r="Y387">
        <v>2</v>
      </c>
      <c r="Z387">
        <v>3.7</v>
      </c>
      <c r="AA387">
        <v>3.3</v>
      </c>
      <c r="AB387">
        <v>2</v>
      </c>
      <c r="AC387">
        <v>2.6</v>
      </c>
      <c r="AD387">
        <v>2.6</v>
      </c>
      <c r="AE387">
        <v>2</v>
      </c>
      <c r="AF387">
        <v>2.7</v>
      </c>
      <c r="AG387">
        <v>2.6</v>
      </c>
      <c r="AH387">
        <v>2</v>
      </c>
      <c r="AI387">
        <v>2.6</v>
      </c>
      <c r="AJ387">
        <v>2.4</v>
      </c>
      <c r="AK387">
        <v>2</v>
      </c>
      <c r="AL387">
        <v>4.4000000000000004</v>
      </c>
      <c r="AM387">
        <v>4</v>
      </c>
      <c r="AN387">
        <v>4.7</v>
      </c>
      <c r="AO387">
        <v>4</v>
      </c>
      <c r="AP387">
        <v>5.8</v>
      </c>
      <c r="AQ387">
        <v>4</v>
      </c>
      <c r="AR387">
        <v>3.5</v>
      </c>
      <c r="AS387">
        <v>4</v>
      </c>
      <c r="AT387">
        <v>-4.5</v>
      </c>
      <c r="AU387">
        <v>-6.6</v>
      </c>
      <c r="AV387">
        <v>-5</v>
      </c>
      <c r="AW387">
        <v>-3.3</v>
      </c>
      <c r="AX387">
        <v>-4.3</v>
      </c>
      <c r="AY387">
        <v>-5</v>
      </c>
      <c r="AZ387">
        <v>9.9</v>
      </c>
      <c r="BA387">
        <v>10</v>
      </c>
      <c r="BB387">
        <v>10.8</v>
      </c>
      <c r="BC387">
        <v>10</v>
      </c>
      <c r="BD387">
        <v>4.4000000000000004</v>
      </c>
      <c r="BE387">
        <v>4</v>
      </c>
      <c r="BF387">
        <v>10.4</v>
      </c>
      <c r="BG387">
        <v>10</v>
      </c>
      <c r="BH387">
        <v>11</v>
      </c>
      <c r="BI387">
        <v>10</v>
      </c>
      <c r="BJ387">
        <v>10.6</v>
      </c>
      <c r="BK387">
        <v>9</v>
      </c>
      <c r="BL387">
        <v>19.399999999999999</v>
      </c>
      <c r="BM387">
        <v>19</v>
      </c>
      <c r="BN387">
        <v>23.2</v>
      </c>
      <c r="BO387">
        <v>19</v>
      </c>
      <c r="BP387">
        <v>21.1</v>
      </c>
      <c r="BQ387">
        <v>20</v>
      </c>
      <c r="BR387">
        <v>21.5</v>
      </c>
      <c r="BS387">
        <v>25</v>
      </c>
      <c r="BT387">
        <v>21.9</v>
      </c>
      <c r="BU387">
        <v>25</v>
      </c>
      <c r="BV387">
        <v>23.5</v>
      </c>
      <c r="BW387">
        <v>18</v>
      </c>
      <c r="BX387">
        <v>21.4</v>
      </c>
      <c r="BY387">
        <v>20</v>
      </c>
      <c r="BZ387">
        <v>21.9</v>
      </c>
      <c r="CA387">
        <v>20</v>
      </c>
      <c r="CB387">
        <v>10.4</v>
      </c>
      <c r="CC387">
        <v>10</v>
      </c>
      <c r="CD387">
        <v>11.6</v>
      </c>
      <c r="CE387">
        <v>10</v>
      </c>
      <c r="CF387">
        <v>11.9</v>
      </c>
      <c r="CG387">
        <v>9</v>
      </c>
      <c r="CH387">
        <v>12.1</v>
      </c>
      <c r="CI387">
        <v>9</v>
      </c>
    </row>
    <row r="388" spans="1:87" x14ac:dyDescent="0.35">
      <c r="A388" s="1">
        <v>46059.722916666666</v>
      </c>
      <c r="B388">
        <v>-18.5</v>
      </c>
      <c r="C388">
        <v>-18.899999999999999</v>
      </c>
      <c r="D388">
        <v>-25</v>
      </c>
      <c r="E388">
        <v>-18.8</v>
      </c>
      <c r="F388">
        <v>-18.3</v>
      </c>
      <c r="G388">
        <v>-25</v>
      </c>
      <c r="H388">
        <v>-14.5</v>
      </c>
      <c r="I388">
        <v>-9.5</v>
      </c>
      <c r="J388">
        <v>-25</v>
      </c>
      <c r="K388">
        <v>-15</v>
      </c>
      <c r="L388">
        <v>-15.4</v>
      </c>
      <c r="M388">
        <v>-25</v>
      </c>
      <c r="N388">
        <v>-15.3</v>
      </c>
      <c r="O388">
        <v>-14.7</v>
      </c>
      <c r="P388">
        <v>-25</v>
      </c>
      <c r="Q388">
        <v>-15.2</v>
      </c>
      <c r="R388">
        <v>-15.1</v>
      </c>
      <c r="S388">
        <v>-25</v>
      </c>
      <c r="T388">
        <v>3</v>
      </c>
      <c r="U388">
        <v>3</v>
      </c>
      <c r="V388">
        <v>2</v>
      </c>
      <c r="W388">
        <v>3</v>
      </c>
      <c r="X388">
        <v>2.7</v>
      </c>
      <c r="Y388">
        <v>2</v>
      </c>
      <c r="Z388">
        <v>3.7</v>
      </c>
      <c r="AA388">
        <v>3.3</v>
      </c>
      <c r="AB388">
        <v>2</v>
      </c>
      <c r="AC388">
        <v>2.7</v>
      </c>
      <c r="AD388">
        <v>2.7</v>
      </c>
      <c r="AE388">
        <v>2</v>
      </c>
      <c r="AF388">
        <v>2.9</v>
      </c>
      <c r="AG388">
        <v>2.8</v>
      </c>
      <c r="AH388">
        <v>2</v>
      </c>
      <c r="AI388">
        <v>2.8</v>
      </c>
      <c r="AJ388">
        <v>2.7</v>
      </c>
      <c r="AK388">
        <v>2</v>
      </c>
      <c r="AL388">
        <v>4.5</v>
      </c>
      <c r="AM388">
        <v>4</v>
      </c>
      <c r="AN388">
        <v>4.8</v>
      </c>
      <c r="AO388">
        <v>4</v>
      </c>
      <c r="AP388">
        <v>5.9</v>
      </c>
      <c r="AQ388">
        <v>4</v>
      </c>
      <c r="AR388">
        <v>3.5</v>
      </c>
      <c r="AS388">
        <v>4</v>
      </c>
      <c r="AT388">
        <v>-4.5999999999999996</v>
      </c>
      <c r="AU388">
        <v>-6.6</v>
      </c>
      <c r="AV388">
        <v>-5</v>
      </c>
      <c r="AW388">
        <v>-3.6</v>
      </c>
      <c r="AX388">
        <v>-4.2</v>
      </c>
      <c r="AY388">
        <v>-5</v>
      </c>
      <c r="AZ388">
        <v>10.1</v>
      </c>
      <c r="BA388">
        <v>10</v>
      </c>
      <c r="BB388">
        <v>11.1</v>
      </c>
      <c r="BC388">
        <v>10</v>
      </c>
      <c r="BD388">
        <v>4.5999999999999996</v>
      </c>
      <c r="BE388">
        <v>4</v>
      </c>
      <c r="BF388">
        <v>9.4</v>
      </c>
      <c r="BG388">
        <v>10</v>
      </c>
      <c r="BH388">
        <v>11</v>
      </c>
      <c r="BI388">
        <v>10</v>
      </c>
      <c r="BJ388">
        <v>10.6</v>
      </c>
      <c r="BK388">
        <v>9</v>
      </c>
      <c r="BL388">
        <v>19.399999999999999</v>
      </c>
      <c r="BM388">
        <v>19</v>
      </c>
      <c r="BN388">
        <v>23.2</v>
      </c>
      <c r="BO388">
        <v>19</v>
      </c>
      <c r="BP388">
        <v>21.2</v>
      </c>
      <c r="BQ388">
        <v>20</v>
      </c>
      <c r="BR388">
        <v>21.6</v>
      </c>
      <c r="BS388">
        <v>25</v>
      </c>
      <c r="BT388">
        <v>21.9</v>
      </c>
      <c r="BU388">
        <v>25</v>
      </c>
      <c r="BV388">
        <v>23.5</v>
      </c>
      <c r="BW388">
        <v>18</v>
      </c>
      <c r="BX388">
        <v>21.4</v>
      </c>
      <c r="BY388">
        <v>20</v>
      </c>
      <c r="BZ388">
        <v>21.9</v>
      </c>
      <c r="CA388">
        <v>20</v>
      </c>
      <c r="CB388">
        <v>10.3</v>
      </c>
      <c r="CC388">
        <v>10</v>
      </c>
      <c r="CD388">
        <v>11.6</v>
      </c>
      <c r="CE388">
        <v>10</v>
      </c>
      <c r="CF388">
        <v>11.9</v>
      </c>
      <c r="CG388">
        <v>9</v>
      </c>
      <c r="CH388">
        <v>12.1</v>
      </c>
      <c r="CI388">
        <v>9</v>
      </c>
    </row>
    <row r="389" spans="1:87" x14ac:dyDescent="0.35">
      <c r="A389" s="1">
        <v>46059.723611111112</v>
      </c>
      <c r="B389">
        <v>-18.5</v>
      </c>
      <c r="C389">
        <v>-18.899999999999999</v>
      </c>
      <c r="D389">
        <v>-25</v>
      </c>
      <c r="E389">
        <v>-18.8</v>
      </c>
      <c r="F389">
        <v>-18.399999999999999</v>
      </c>
      <c r="G389">
        <v>-25</v>
      </c>
      <c r="H389">
        <v>-14.6</v>
      </c>
      <c r="I389">
        <v>-9.8000000000000007</v>
      </c>
      <c r="J389">
        <v>-25</v>
      </c>
      <c r="K389">
        <v>-15</v>
      </c>
      <c r="L389">
        <v>-15.4</v>
      </c>
      <c r="M389">
        <v>-25</v>
      </c>
      <c r="N389">
        <v>-15.3</v>
      </c>
      <c r="O389">
        <v>-14.7</v>
      </c>
      <c r="P389">
        <v>-25</v>
      </c>
      <c r="Q389">
        <v>-15.2</v>
      </c>
      <c r="R389">
        <v>-15.1</v>
      </c>
      <c r="S389">
        <v>-25</v>
      </c>
      <c r="T389">
        <v>3.1</v>
      </c>
      <c r="U389">
        <v>3.1</v>
      </c>
      <c r="V389">
        <v>2</v>
      </c>
      <c r="W389">
        <v>3</v>
      </c>
      <c r="X389">
        <v>2.8</v>
      </c>
      <c r="Y389">
        <v>2</v>
      </c>
      <c r="Z389">
        <v>3.7</v>
      </c>
      <c r="AA389">
        <v>3.4</v>
      </c>
      <c r="AB389">
        <v>2</v>
      </c>
      <c r="AC389">
        <v>2.8</v>
      </c>
      <c r="AD389">
        <v>2.8</v>
      </c>
      <c r="AE389">
        <v>2</v>
      </c>
      <c r="AF389">
        <v>3.1</v>
      </c>
      <c r="AG389">
        <v>3</v>
      </c>
      <c r="AH389">
        <v>2</v>
      </c>
      <c r="AI389">
        <v>3</v>
      </c>
      <c r="AJ389">
        <v>2.9</v>
      </c>
      <c r="AK389">
        <v>2</v>
      </c>
      <c r="AL389">
        <v>4.5</v>
      </c>
      <c r="AM389">
        <v>4</v>
      </c>
      <c r="AN389">
        <v>4.8</v>
      </c>
      <c r="AO389">
        <v>4</v>
      </c>
      <c r="AP389">
        <v>6</v>
      </c>
      <c r="AQ389">
        <v>4</v>
      </c>
      <c r="AR389">
        <v>3.7</v>
      </c>
      <c r="AS389">
        <v>4</v>
      </c>
      <c r="AT389">
        <v>-4.8</v>
      </c>
      <c r="AU389">
        <v>-6.8</v>
      </c>
      <c r="AV389">
        <v>-5</v>
      </c>
      <c r="AW389">
        <v>-3.8</v>
      </c>
      <c r="AX389">
        <v>-5.6</v>
      </c>
      <c r="AY389">
        <v>-5</v>
      </c>
      <c r="AZ389">
        <v>10.199999999999999</v>
      </c>
      <c r="BA389">
        <v>10</v>
      </c>
      <c r="BB389">
        <v>11.4</v>
      </c>
      <c r="BC389">
        <v>10</v>
      </c>
      <c r="BD389">
        <v>4.8</v>
      </c>
      <c r="BE389">
        <v>4</v>
      </c>
      <c r="BF389">
        <v>9.1999999999999993</v>
      </c>
      <c r="BG389">
        <v>10</v>
      </c>
      <c r="BH389">
        <v>11</v>
      </c>
      <c r="BI389">
        <v>10</v>
      </c>
      <c r="BJ389">
        <v>10.6</v>
      </c>
      <c r="BK389">
        <v>9</v>
      </c>
      <c r="BL389">
        <v>19.5</v>
      </c>
      <c r="BM389">
        <v>19</v>
      </c>
      <c r="BN389">
        <v>23.2</v>
      </c>
      <c r="BO389">
        <v>19</v>
      </c>
      <c r="BP389">
        <v>21.2</v>
      </c>
      <c r="BQ389">
        <v>20</v>
      </c>
      <c r="BR389">
        <v>21.6</v>
      </c>
      <c r="BS389">
        <v>25</v>
      </c>
      <c r="BT389">
        <v>21.9</v>
      </c>
      <c r="BU389">
        <v>25</v>
      </c>
      <c r="BV389">
        <v>23.5</v>
      </c>
      <c r="BW389">
        <v>18</v>
      </c>
      <c r="BX389">
        <v>21.5</v>
      </c>
      <c r="BY389">
        <v>20</v>
      </c>
      <c r="BZ389">
        <v>21.9</v>
      </c>
      <c r="CA389">
        <v>20</v>
      </c>
      <c r="CB389">
        <v>10.199999999999999</v>
      </c>
      <c r="CC389">
        <v>10</v>
      </c>
      <c r="CD389">
        <v>11.6</v>
      </c>
      <c r="CE389">
        <v>10</v>
      </c>
      <c r="CF389">
        <v>11.8</v>
      </c>
      <c r="CG389">
        <v>9</v>
      </c>
      <c r="CH389">
        <v>12</v>
      </c>
      <c r="CI389">
        <v>9</v>
      </c>
    </row>
    <row r="390" spans="1:87" x14ac:dyDescent="0.35">
      <c r="A390" s="1">
        <v>46059.724305555559</v>
      </c>
      <c r="B390">
        <v>-18.5</v>
      </c>
      <c r="C390">
        <v>-18.899999999999999</v>
      </c>
      <c r="D390">
        <v>-25</v>
      </c>
      <c r="E390">
        <v>-18.8</v>
      </c>
      <c r="F390">
        <v>-18.399999999999999</v>
      </c>
      <c r="G390">
        <v>-25</v>
      </c>
      <c r="H390">
        <v>-14.6</v>
      </c>
      <c r="I390">
        <v>-10</v>
      </c>
      <c r="J390">
        <v>-25</v>
      </c>
      <c r="K390">
        <v>-15</v>
      </c>
      <c r="L390">
        <v>-15.4</v>
      </c>
      <c r="M390">
        <v>-25</v>
      </c>
      <c r="N390">
        <v>-15.3</v>
      </c>
      <c r="O390">
        <v>-14.7</v>
      </c>
      <c r="P390">
        <v>-25</v>
      </c>
      <c r="Q390">
        <v>-15.2</v>
      </c>
      <c r="R390">
        <v>-15.1</v>
      </c>
      <c r="S390">
        <v>-25</v>
      </c>
      <c r="T390">
        <v>3.2</v>
      </c>
      <c r="U390">
        <v>3.2</v>
      </c>
      <c r="V390">
        <v>2</v>
      </c>
      <c r="W390">
        <v>3.1</v>
      </c>
      <c r="X390">
        <v>2.9</v>
      </c>
      <c r="Y390">
        <v>2</v>
      </c>
      <c r="Z390">
        <v>4</v>
      </c>
      <c r="AA390">
        <v>3.5</v>
      </c>
      <c r="AB390">
        <v>2</v>
      </c>
      <c r="AC390">
        <v>2.9</v>
      </c>
      <c r="AD390">
        <v>2.9</v>
      </c>
      <c r="AE390">
        <v>2</v>
      </c>
      <c r="AF390">
        <v>3.3</v>
      </c>
      <c r="AG390">
        <v>3.2</v>
      </c>
      <c r="AH390">
        <v>2</v>
      </c>
      <c r="AI390">
        <v>3.2</v>
      </c>
      <c r="AJ390">
        <v>3.1</v>
      </c>
      <c r="AK390">
        <v>2</v>
      </c>
      <c r="AL390">
        <v>4.5999999999999996</v>
      </c>
      <c r="AM390">
        <v>4</v>
      </c>
      <c r="AN390">
        <v>4.9000000000000004</v>
      </c>
      <c r="AO390">
        <v>4</v>
      </c>
      <c r="AP390">
        <v>5.6</v>
      </c>
      <c r="AQ390">
        <v>4</v>
      </c>
      <c r="AR390">
        <v>4.0999999999999996</v>
      </c>
      <c r="AS390">
        <v>4</v>
      </c>
      <c r="AT390">
        <v>-4.9000000000000004</v>
      </c>
      <c r="AU390">
        <v>-6.9</v>
      </c>
      <c r="AV390">
        <v>-5</v>
      </c>
      <c r="AW390">
        <v>-4.0999999999999996</v>
      </c>
      <c r="AX390">
        <v>-5.9</v>
      </c>
      <c r="AY390">
        <v>-5</v>
      </c>
      <c r="AZ390">
        <v>10.4</v>
      </c>
      <c r="BA390">
        <v>10</v>
      </c>
      <c r="BB390">
        <v>11.8</v>
      </c>
      <c r="BC390">
        <v>10</v>
      </c>
      <c r="BD390">
        <v>5</v>
      </c>
      <c r="BE390">
        <v>4</v>
      </c>
      <c r="BF390">
        <v>9.4</v>
      </c>
      <c r="BG390">
        <v>10</v>
      </c>
      <c r="BH390">
        <v>11</v>
      </c>
      <c r="BI390">
        <v>10</v>
      </c>
      <c r="BJ390">
        <v>10.6</v>
      </c>
      <c r="BK390">
        <v>9</v>
      </c>
      <c r="BL390">
        <v>19.5</v>
      </c>
      <c r="BM390">
        <v>19</v>
      </c>
      <c r="BN390">
        <v>23.3</v>
      </c>
      <c r="BO390">
        <v>19</v>
      </c>
      <c r="BP390">
        <v>21.2</v>
      </c>
      <c r="BQ390">
        <v>20</v>
      </c>
      <c r="BR390">
        <v>21.6</v>
      </c>
      <c r="BS390">
        <v>25</v>
      </c>
      <c r="BT390">
        <v>21.9</v>
      </c>
      <c r="BU390">
        <v>25</v>
      </c>
      <c r="BV390">
        <v>23.5</v>
      </c>
      <c r="BW390">
        <v>18</v>
      </c>
      <c r="BX390">
        <v>21.5</v>
      </c>
      <c r="BY390">
        <v>20</v>
      </c>
      <c r="BZ390">
        <v>21.9</v>
      </c>
      <c r="CA390">
        <v>20</v>
      </c>
      <c r="CB390">
        <v>10.1</v>
      </c>
      <c r="CC390">
        <v>10</v>
      </c>
      <c r="CD390">
        <v>11.6</v>
      </c>
      <c r="CE390">
        <v>10</v>
      </c>
      <c r="CF390">
        <v>11.5</v>
      </c>
      <c r="CG390">
        <v>9</v>
      </c>
      <c r="CH390">
        <v>11.7</v>
      </c>
      <c r="CI390">
        <v>9</v>
      </c>
    </row>
    <row r="391" spans="1:87" x14ac:dyDescent="0.35">
      <c r="A391" s="1">
        <v>46059.724999999999</v>
      </c>
      <c r="B391">
        <v>-18.5</v>
      </c>
      <c r="C391">
        <v>-18.899999999999999</v>
      </c>
      <c r="D391">
        <v>-25</v>
      </c>
      <c r="E391">
        <v>-18.8</v>
      </c>
      <c r="F391">
        <v>-18.399999999999999</v>
      </c>
      <c r="G391">
        <v>-25</v>
      </c>
      <c r="H391">
        <v>-14.8</v>
      </c>
      <c r="I391">
        <v>-10.199999999999999</v>
      </c>
      <c r="J391">
        <v>-25</v>
      </c>
      <c r="K391">
        <v>-15</v>
      </c>
      <c r="L391">
        <v>-15.4</v>
      </c>
      <c r="M391">
        <v>-25</v>
      </c>
      <c r="N391">
        <v>-15.3</v>
      </c>
      <c r="O391">
        <v>-14.7</v>
      </c>
      <c r="P391">
        <v>-25</v>
      </c>
      <c r="Q391">
        <v>-15.2</v>
      </c>
      <c r="R391">
        <v>-15.1</v>
      </c>
      <c r="S391">
        <v>-25</v>
      </c>
      <c r="T391">
        <v>3.3</v>
      </c>
      <c r="U391">
        <v>3.3</v>
      </c>
      <c r="V391">
        <v>2</v>
      </c>
      <c r="W391">
        <v>3.2</v>
      </c>
      <c r="X391">
        <v>3</v>
      </c>
      <c r="Y391">
        <v>2</v>
      </c>
      <c r="Z391">
        <v>4</v>
      </c>
      <c r="AA391">
        <v>3.6</v>
      </c>
      <c r="AB391">
        <v>2</v>
      </c>
      <c r="AC391">
        <v>3</v>
      </c>
      <c r="AD391">
        <v>3</v>
      </c>
      <c r="AE391">
        <v>2</v>
      </c>
      <c r="AF391">
        <v>3.5</v>
      </c>
      <c r="AG391">
        <v>3.4</v>
      </c>
      <c r="AH391">
        <v>2</v>
      </c>
      <c r="AI391">
        <v>3.3</v>
      </c>
      <c r="AJ391">
        <v>3.3</v>
      </c>
      <c r="AK391">
        <v>2</v>
      </c>
      <c r="AL391">
        <v>4.5999999999999996</v>
      </c>
      <c r="AM391">
        <v>4</v>
      </c>
      <c r="AN391">
        <v>4.9000000000000004</v>
      </c>
      <c r="AO391">
        <v>4</v>
      </c>
      <c r="AP391">
        <v>4.5</v>
      </c>
      <c r="AQ391">
        <v>4</v>
      </c>
      <c r="AR391">
        <v>4.4000000000000004</v>
      </c>
      <c r="AS391">
        <v>4</v>
      </c>
      <c r="AT391">
        <v>-5</v>
      </c>
      <c r="AU391">
        <v>-6.9</v>
      </c>
      <c r="AV391">
        <v>-5</v>
      </c>
      <c r="AW391">
        <v>-4.3</v>
      </c>
      <c r="AX391">
        <v>-5.3</v>
      </c>
      <c r="AY391">
        <v>-5</v>
      </c>
      <c r="AZ391">
        <v>10.5</v>
      </c>
      <c r="BA391">
        <v>10</v>
      </c>
      <c r="BB391">
        <v>11.9</v>
      </c>
      <c r="BC391">
        <v>10</v>
      </c>
      <c r="BD391">
        <v>5.2</v>
      </c>
      <c r="BE391">
        <v>4</v>
      </c>
      <c r="BF391">
        <v>9.9</v>
      </c>
      <c r="BG391">
        <v>10</v>
      </c>
      <c r="BH391">
        <v>11</v>
      </c>
      <c r="BI391">
        <v>10</v>
      </c>
      <c r="BJ391">
        <v>10.6</v>
      </c>
      <c r="BK391">
        <v>9</v>
      </c>
      <c r="BL391">
        <v>19.600000000000001</v>
      </c>
      <c r="BM391">
        <v>19</v>
      </c>
      <c r="BN391">
        <v>23.3</v>
      </c>
      <c r="BO391">
        <v>19</v>
      </c>
      <c r="BP391">
        <v>21.2</v>
      </c>
      <c r="BQ391">
        <v>20</v>
      </c>
      <c r="BR391">
        <v>21.7</v>
      </c>
      <c r="BS391">
        <v>25</v>
      </c>
      <c r="BT391">
        <v>21.9</v>
      </c>
      <c r="BU391">
        <v>25</v>
      </c>
      <c r="BV391">
        <v>23.5</v>
      </c>
      <c r="BW391">
        <v>18</v>
      </c>
      <c r="BX391">
        <v>21.5</v>
      </c>
      <c r="BY391">
        <v>20</v>
      </c>
      <c r="BZ391">
        <v>21.9</v>
      </c>
      <c r="CA391">
        <v>20</v>
      </c>
      <c r="CB391">
        <v>10.1</v>
      </c>
      <c r="CC391">
        <v>10</v>
      </c>
      <c r="CD391">
        <v>11.6</v>
      </c>
      <c r="CE391">
        <v>10</v>
      </c>
      <c r="CF391">
        <v>11.5</v>
      </c>
      <c r="CG391">
        <v>9</v>
      </c>
      <c r="CH391">
        <v>11.7</v>
      </c>
      <c r="CI391">
        <v>9</v>
      </c>
    </row>
    <row r="392" spans="1:87" x14ac:dyDescent="0.35">
      <c r="A392" s="1">
        <v>46059.725694444445</v>
      </c>
      <c r="B392">
        <v>-18.5</v>
      </c>
      <c r="C392">
        <v>-18.899999999999999</v>
      </c>
      <c r="D392">
        <v>-25</v>
      </c>
      <c r="E392">
        <v>-18.8</v>
      </c>
      <c r="F392">
        <v>-18.399999999999999</v>
      </c>
      <c r="G392">
        <v>-25</v>
      </c>
      <c r="H392">
        <v>-14.8</v>
      </c>
      <c r="I392">
        <v>-10.4</v>
      </c>
      <c r="J392">
        <v>-25</v>
      </c>
      <c r="K392">
        <v>-15</v>
      </c>
      <c r="L392">
        <v>-15.4</v>
      </c>
      <c r="M392">
        <v>-25</v>
      </c>
      <c r="N392">
        <v>-15.3</v>
      </c>
      <c r="O392">
        <v>-14.6</v>
      </c>
      <c r="P392">
        <v>-25</v>
      </c>
      <c r="Q392">
        <v>-15.1</v>
      </c>
      <c r="R392">
        <v>-15</v>
      </c>
      <c r="S392">
        <v>-25</v>
      </c>
      <c r="T392">
        <v>3.4</v>
      </c>
      <c r="U392">
        <v>3.3</v>
      </c>
      <c r="V392">
        <v>2</v>
      </c>
      <c r="W392">
        <v>3.3</v>
      </c>
      <c r="X392">
        <v>3.1</v>
      </c>
      <c r="Y392">
        <v>2</v>
      </c>
      <c r="Z392">
        <v>4.0999999999999996</v>
      </c>
      <c r="AA392">
        <v>3.6</v>
      </c>
      <c r="AB392">
        <v>2</v>
      </c>
      <c r="AC392">
        <v>3.1</v>
      </c>
      <c r="AD392">
        <v>3.1</v>
      </c>
      <c r="AE392">
        <v>2</v>
      </c>
      <c r="AF392">
        <v>3.6</v>
      </c>
      <c r="AG392">
        <v>3.5</v>
      </c>
      <c r="AH392">
        <v>2</v>
      </c>
      <c r="AI392">
        <v>3.5</v>
      </c>
      <c r="AJ392">
        <v>3.5</v>
      </c>
      <c r="AK392">
        <v>2</v>
      </c>
      <c r="AL392">
        <v>4.7</v>
      </c>
      <c r="AM392">
        <v>4</v>
      </c>
      <c r="AN392">
        <v>5</v>
      </c>
      <c r="AO392">
        <v>4</v>
      </c>
      <c r="AP392">
        <v>3.5</v>
      </c>
      <c r="AQ392">
        <v>4</v>
      </c>
      <c r="AR392">
        <v>4.4000000000000004</v>
      </c>
      <c r="AS392">
        <v>4</v>
      </c>
      <c r="AT392">
        <v>-5</v>
      </c>
      <c r="AU392">
        <v>-5.9</v>
      </c>
      <c r="AV392">
        <v>-5</v>
      </c>
      <c r="AW392">
        <v>-4.8</v>
      </c>
      <c r="AX392">
        <v>-7.1</v>
      </c>
      <c r="AY392">
        <v>-5</v>
      </c>
      <c r="AZ392">
        <v>10.6</v>
      </c>
      <c r="BA392">
        <v>10</v>
      </c>
      <c r="BB392">
        <v>12.1</v>
      </c>
      <c r="BC392">
        <v>10</v>
      </c>
      <c r="BD392">
        <v>5.4</v>
      </c>
      <c r="BE392">
        <v>4</v>
      </c>
      <c r="BF392">
        <v>10.1</v>
      </c>
      <c r="BG392">
        <v>10</v>
      </c>
      <c r="BH392">
        <v>11</v>
      </c>
      <c r="BI392">
        <v>10</v>
      </c>
      <c r="BJ392">
        <v>10.6</v>
      </c>
      <c r="BK392">
        <v>9</v>
      </c>
      <c r="BL392">
        <v>19.600000000000001</v>
      </c>
      <c r="BM392">
        <v>19</v>
      </c>
      <c r="BN392">
        <v>23.3</v>
      </c>
      <c r="BO392">
        <v>19</v>
      </c>
      <c r="BP392">
        <v>21.2</v>
      </c>
      <c r="BQ392">
        <v>20</v>
      </c>
      <c r="BR392">
        <v>21.7</v>
      </c>
      <c r="BS392">
        <v>25</v>
      </c>
      <c r="BT392">
        <v>21.9</v>
      </c>
      <c r="BU392">
        <v>25</v>
      </c>
      <c r="BV392">
        <v>23.5</v>
      </c>
      <c r="BW392">
        <v>18</v>
      </c>
      <c r="BX392">
        <v>21.5</v>
      </c>
      <c r="BY392">
        <v>20</v>
      </c>
      <c r="BZ392">
        <v>22</v>
      </c>
      <c r="CA392">
        <v>20</v>
      </c>
      <c r="CB392">
        <v>10</v>
      </c>
      <c r="CC392">
        <v>10</v>
      </c>
      <c r="CD392">
        <v>11.6</v>
      </c>
      <c r="CE392">
        <v>10</v>
      </c>
      <c r="CF392">
        <v>11.5</v>
      </c>
      <c r="CG392">
        <v>9</v>
      </c>
      <c r="CH392">
        <v>11.7</v>
      </c>
      <c r="CI392">
        <v>9</v>
      </c>
    </row>
    <row r="393" spans="1:87" x14ac:dyDescent="0.35">
      <c r="A393" s="1">
        <v>46059.726388888892</v>
      </c>
      <c r="B393">
        <v>-18.5</v>
      </c>
      <c r="C393">
        <v>-18.8</v>
      </c>
      <c r="D393">
        <v>-25</v>
      </c>
      <c r="E393">
        <v>-18.8</v>
      </c>
      <c r="F393">
        <v>-18.399999999999999</v>
      </c>
      <c r="G393">
        <v>-25</v>
      </c>
      <c r="H393">
        <v>-14.8</v>
      </c>
      <c r="I393">
        <v>-10.6</v>
      </c>
      <c r="J393">
        <v>-25</v>
      </c>
      <c r="K393">
        <v>-15</v>
      </c>
      <c r="L393">
        <v>-15.5</v>
      </c>
      <c r="M393">
        <v>-25</v>
      </c>
      <c r="N393">
        <v>-15.3</v>
      </c>
      <c r="O393">
        <v>-14.6</v>
      </c>
      <c r="P393">
        <v>-25</v>
      </c>
      <c r="Q393">
        <v>-15.1</v>
      </c>
      <c r="R393">
        <v>-15</v>
      </c>
      <c r="S393">
        <v>-25</v>
      </c>
      <c r="T393">
        <v>3.4</v>
      </c>
      <c r="U393">
        <v>3.4</v>
      </c>
      <c r="V393">
        <v>2</v>
      </c>
      <c r="W393">
        <v>3.4</v>
      </c>
      <c r="X393">
        <v>3.2</v>
      </c>
      <c r="Y393">
        <v>2</v>
      </c>
      <c r="Z393">
        <v>4.0999999999999996</v>
      </c>
      <c r="AA393">
        <v>3.6</v>
      </c>
      <c r="AB393">
        <v>2</v>
      </c>
      <c r="AC393">
        <v>3.2</v>
      </c>
      <c r="AD393">
        <v>3.2</v>
      </c>
      <c r="AE393">
        <v>2</v>
      </c>
      <c r="AF393">
        <v>3.8</v>
      </c>
      <c r="AG393">
        <v>3.7</v>
      </c>
      <c r="AH393">
        <v>2</v>
      </c>
      <c r="AI393">
        <v>3.7</v>
      </c>
      <c r="AJ393">
        <v>3.6</v>
      </c>
      <c r="AK393">
        <v>2</v>
      </c>
      <c r="AL393">
        <v>4.8</v>
      </c>
      <c r="AM393">
        <v>4</v>
      </c>
      <c r="AN393">
        <v>5.0999999999999996</v>
      </c>
      <c r="AO393">
        <v>4</v>
      </c>
      <c r="AP393">
        <v>2.9</v>
      </c>
      <c r="AQ393">
        <v>4</v>
      </c>
      <c r="AR393">
        <v>4.4000000000000004</v>
      </c>
      <c r="AS393">
        <v>4</v>
      </c>
      <c r="AT393">
        <v>-4.5999999999999996</v>
      </c>
      <c r="AU393">
        <v>-5.0999999999999996</v>
      </c>
      <c r="AV393">
        <v>-5</v>
      </c>
      <c r="AW393">
        <v>-5.3</v>
      </c>
      <c r="AX393">
        <v>-7</v>
      </c>
      <c r="AY393">
        <v>-5</v>
      </c>
      <c r="AZ393">
        <v>10.7</v>
      </c>
      <c r="BA393">
        <v>10</v>
      </c>
      <c r="BB393">
        <v>12.1</v>
      </c>
      <c r="BC393">
        <v>10</v>
      </c>
      <c r="BD393">
        <v>5.6</v>
      </c>
      <c r="BE393">
        <v>4</v>
      </c>
      <c r="BF393">
        <v>10.6</v>
      </c>
      <c r="BG393">
        <v>10</v>
      </c>
      <c r="BH393">
        <v>11.3</v>
      </c>
      <c r="BI393">
        <v>10</v>
      </c>
      <c r="BJ393">
        <v>10.6</v>
      </c>
      <c r="BK393">
        <v>9</v>
      </c>
      <c r="BL393">
        <v>19.600000000000001</v>
      </c>
      <c r="BM393">
        <v>19</v>
      </c>
      <c r="BN393">
        <v>23.3</v>
      </c>
      <c r="BO393">
        <v>19</v>
      </c>
      <c r="BP393">
        <v>21.2</v>
      </c>
      <c r="BQ393">
        <v>20</v>
      </c>
      <c r="BR393">
        <v>21.6</v>
      </c>
      <c r="BS393">
        <v>25</v>
      </c>
      <c r="BT393">
        <v>21.9</v>
      </c>
      <c r="BU393">
        <v>25</v>
      </c>
      <c r="BV393">
        <v>23.5</v>
      </c>
      <c r="BW393">
        <v>18</v>
      </c>
      <c r="BX393">
        <v>21.6</v>
      </c>
      <c r="BY393">
        <v>20</v>
      </c>
      <c r="BZ393">
        <v>20.7</v>
      </c>
      <c r="CA393">
        <v>20</v>
      </c>
      <c r="CB393">
        <v>10.4</v>
      </c>
      <c r="CC393">
        <v>10</v>
      </c>
      <c r="CD393">
        <v>11.6</v>
      </c>
      <c r="CE393">
        <v>10</v>
      </c>
      <c r="CF393">
        <v>11.7</v>
      </c>
      <c r="CG393">
        <v>9</v>
      </c>
      <c r="CH393">
        <v>11.9</v>
      </c>
      <c r="CI393">
        <v>9</v>
      </c>
    </row>
    <row r="394" spans="1:87" x14ac:dyDescent="0.35">
      <c r="A394" s="1">
        <v>46059.727083333331</v>
      </c>
      <c r="B394">
        <v>-18.5</v>
      </c>
      <c r="C394">
        <v>-18.7</v>
      </c>
      <c r="D394">
        <v>-25</v>
      </c>
      <c r="E394">
        <v>-18.7</v>
      </c>
      <c r="F394">
        <v>-18.399999999999999</v>
      </c>
      <c r="G394">
        <v>-25</v>
      </c>
      <c r="H394">
        <v>-14.9</v>
      </c>
      <c r="I394">
        <v>-10.8</v>
      </c>
      <c r="J394">
        <v>-25</v>
      </c>
      <c r="K394">
        <v>-15</v>
      </c>
      <c r="L394">
        <v>-15.5</v>
      </c>
      <c r="M394">
        <v>-25</v>
      </c>
      <c r="N394">
        <v>-15.3</v>
      </c>
      <c r="O394">
        <v>-14.6</v>
      </c>
      <c r="P394">
        <v>-25</v>
      </c>
      <c r="Q394">
        <v>-15.1</v>
      </c>
      <c r="R394">
        <v>-15</v>
      </c>
      <c r="S394">
        <v>-25</v>
      </c>
      <c r="T394">
        <v>3.5</v>
      </c>
      <c r="U394">
        <v>3.5</v>
      </c>
      <c r="V394">
        <v>2</v>
      </c>
      <c r="W394">
        <v>3.5</v>
      </c>
      <c r="X394">
        <v>3.2</v>
      </c>
      <c r="Y394">
        <v>2</v>
      </c>
      <c r="Z394">
        <v>4</v>
      </c>
      <c r="AA394">
        <v>3.6</v>
      </c>
      <c r="AB394">
        <v>2</v>
      </c>
      <c r="AC394">
        <v>3.4</v>
      </c>
      <c r="AD394">
        <v>3.3</v>
      </c>
      <c r="AE394">
        <v>2</v>
      </c>
      <c r="AF394">
        <v>4</v>
      </c>
      <c r="AG394">
        <v>3.8</v>
      </c>
      <c r="AH394">
        <v>2</v>
      </c>
      <c r="AI394">
        <v>3.8</v>
      </c>
      <c r="AJ394">
        <v>3.8</v>
      </c>
      <c r="AK394">
        <v>2</v>
      </c>
      <c r="AL394">
        <v>4.8</v>
      </c>
      <c r="AM394">
        <v>4</v>
      </c>
      <c r="AN394">
        <v>5.0999999999999996</v>
      </c>
      <c r="AO394">
        <v>4</v>
      </c>
      <c r="AP394">
        <v>2.8</v>
      </c>
      <c r="AQ394">
        <v>4</v>
      </c>
      <c r="AR394">
        <v>4.4000000000000004</v>
      </c>
      <c r="AS394">
        <v>4</v>
      </c>
      <c r="AT394">
        <v>-4</v>
      </c>
      <c r="AU394">
        <v>-4.3</v>
      </c>
      <c r="AV394">
        <v>-5</v>
      </c>
      <c r="AW394">
        <v>-5.2</v>
      </c>
      <c r="AX394">
        <v>-5.5</v>
      </c>
      <c r="AY394">
        <v>-5</v>
      </c>
      <c r="AZ394">
        <v>10.9</v>
      </c>
      <c r="BA394">
        <v>10</v>
      </c>
      <c r="BB394">
        <v>11.7</v>
      </c>
      <c r="BC394">
        <v>10</v>
      </c>
      <c r="BD394">
        <v>5.8</v>
      </c>
      <c r="BE394">
        <v>4</v>
      </c>
      <c r="BF394">
        <v>11.1</v>
      </c>
      <c r="BG394">
        <v>10</v>
      </c>
      <c r="BH394">
        <v>11.3</v>
      </c>
      <c r="BI394">
        <v>10</v>
      </c>
      <c r="BJ394">
        <v>10.6</v>
      </c>
      <c r="BK394">
        <v>9</v>
      </c>
      <c r="BL394">
        <v>19.7</v>
      </c>
      <c r="BM394">
        <v>19</v>
      </c>
      <c r="BN394">
        <v>23.3</v>
      </c>
      <c r="BO394">
        <v>19</v>
      </c>
      <c r="BP394">
        <v>21.2</v>
      </c>
      <c r="BQ394">
        <v>20</v>
      </c>
      <c r="BR394">
        <v>21.5</v>
      </c>
      <c r="BS394">
        <v>25</v>
      </c>
      <c r="BT394">
        <v>21.9</v>
      </c>
      <c r="BU394">
        <v>25</v>
      </c>
      <c r="BV394">
        <v>23.5</v>
      </c>
      <c r="BW394">
        <v>18</v>
      </c>
      <c r="BX394">
        <v>21.6</v>
      </c>
      <c r="BY394">
        <v>20</v>
      </c>
      <c r="BZ394">
        <v>19.399999999999999</v>
      </c>
      <c r="CA394">
        <v>20</v>
      </c>
      <c r="CB394">
        <v>10.9</v>
      </c>
      <c r="CC394">
        <v>10</v>
      </c>
      <c r="CD394">
        <v>11.6</v>
      </c>
      <c r="CE394">
        <v>10</v>
      </c>
      <c r="CF394">
        <v>11.8</v>
      </c>
      <c r="CG394">
        <v>9</v>
      </c>
      <c r="CH394">
        <v>12.1</v>
      </c>
      <c r="CI394">
        <v>9</v>
      </c>
    </row>
    <row r="395" spans="1:87" x14ac:dyDescent="0.35">
      <c r="A395" s="1">
        <v>46059.727777777778</v>
      </c>
      <c r="B395">
        <v>-18.5</v>
      </c>
      <c r="C395">
        <v>-18.600000000000001</v>
      </c>
      <c r="D395">
        <v>-25</v>
      </c>
      <c r="E395">
        <v>-18.600000000000001</v>
      </c>
      <c r="F395">
        <v>-18.399999999999999</v>
      </c>
      <c r="G395">
        <v>-25</v>
      </c>
      <c r="H395">
        <v>-15</v>
      </c>
      <c r="I395">
        <v>-11</v>
      </c>
      <c r="J395">
        <v>-25</v>
      </c>
      <c r="K395">
        <v>-15</v>
      </c>
      <c r="L395">
        <v>-15.6</v>
      </c>
      <c r="M395">
        <v>-25</v>
      </c>
      <c r="N395">
        <v>-15.3</v>
      </c>
      <c r="O395">
        <v>-14.6</v>
      </c>
      <c r="P395">
        <v>-25</v>
      </c>
      <c r="Q395">
        <v>-15.1</v>
      </c>
      <c r="R395">
        <v>-15</v>
      </c>
      <c r="S395">
        <v>-25</v>
      </c>
      <c r="T395">
        <v>3.6</v>
      </c>
      <c r="U395">
        <v>3.6</v>
      </c>
      <c r="V395">
        <v>2</v>
      </c>
      <c r="W395">
        <v>3.5</v>
      </c>
      <c r="X395">
        <v>3.3</v>
      </c>
      <c r="Y395">
        <v>2</v>
      </c>
      <c r="Z395">
        <v>4</v>
      </c>
      <c r="AA395">
        <v>3.6</v>
      </c>
      <c r="AB395">
        <v>2</v>
      </c>
      <c r="AC395">
        <v>3.5</v>
      </c>
      <c r="AD395">
        <v>3.3</v>
      </c>
      <c r="AE395">
        <v>2</v>
      </c>
      <c r="AF395">
        <v>4.0999999999999996</v>
      </c>
      <c r="AG395">
        <v>4</v>
      </c>
      <c r="AH395">
        <v>2</v>
      </c>
      <c r="AI395">
        <v>4</v>
      </c>
      <c r="AJ395">
        <v>4</v>
      </c>
      <c r="AK395">
        <v>2</v>
      </c>
      <c r="AL395">
        <v>4.9000000000000004</v>
      </c>
      <c r="AM395">
        <v>4</v>
      </c>
      <c r="AN395">
        <v>5.2</v>
      </c>
      <c r="AO395">
        <v>4</v>
      </c>
      <c r="AP395">
        <v>3</v>
      </c>
      <c r="AQ395">
        <v>4</v>
      </c>
      <c r="AR395">
        <v>4.4000000000000004</v>
      </c>
      <c r="AS395">
        <v>4</v>
      </c>
      <c r="AT395">
        <v>-3.6</v>
      </c>
      <c r="AU395">
        <v>-3.8</v>
      </c>
      <c r="AV395">
        <v>-5</v>
      </c>
      <c r="AW395">
        <v>-4.5</v>
      </c>
      <c r="AX395">
        <v>-4.4000000000000004</v>
      </c>
      <c r="AY395">
        <v>-5</v>
      </c>
      <c r="AZ395">
        <v>11</v>
      </c>
      <c r="BA395">
        <v>10</v>
      </c>
      <c r="BB395">
        <v>11.5</v>
      </c>
      <c r="BC395">
        <v>10</v>
      </c>
      <c r="BD395">
        <v>5.9</v>
      </c>
      <c r="BE395">
        <v>4</v>
      </c>
      <c r="BF395">
        <v>11.3</v>
      </c>
      <c r="BG395">
        <v>10</v>
      </c>
      <c r="BH395">
        <v>11.3</v>
      </c>
      <c r="BI395">
        <v>10</v>
      </c>
      <c r="BJ395">
        <v>10.7</v>
      </c>
      <c r="BK395">
        <v>9</v>
      </c>
      <c r="BL395">
        <v>19.7</v>
      </c>
      <c r="BM395">
        <v>19</v>
      </c>
      <c r="BN395">
        <v>23.3</v>
      </c>
      <c r="BO395">
        <v>19</v>
      </c>
      <c r="BP395">
        <v>21.3</v>
      </c>
      <c r="BQ395">
        <v>20</v>
      </c>
      <c r="BR395">
        <v>21.5</v>
      </c>
      <c r="BS395">
        <v>25</v>
      </c>
      <c r="BT395">
        <v>21.9</v>
      </c>
      <c r="BU395">
        <v>25</v>
      </c>
      <c r="BV395">
        <v>23.5</v>
      </c>
      <c r="BW395">
        <v>18</v>
      </c>
      <c r="BX395">
        <v>21.6</v>
      </c>
      <c r="BY395">
        <v>20</v>
      </c>
      <c r="BZ395">
        <v>19</v>
      </c>
      <c r="CA395">
        <v>20</v>
      </c>
      <c r="CB395">
        <v>11.2</v>
      </c>
      <c r="CC395">
        <v>10</v>
      </c>
      <c r="CD395">
        <v>11.5</v>
      </c>
      <c r="CE395">
        <v>10</v>
      </c>
      <c r="CF395">
        <v>11.8</v>
      </c>
      <c r="CG395">
        <v>9</v>
      </c>
      <c r="CH395">
        <v>12</v>
      </c>
      <c r="CI395">
        <v>9</v>
      </c>
    </row>
    <row r="396" spans="1:87" x14ac:dyDescent="0.35">
      <c r="A396" s="1">
        <v>46059.728472222225</v>
      </c>
      <c r="B396">
        <v>-18.399999999999999</v>
      </c>
      <c r="C396">
        <v>-18.5</v>
      </c>
      <c r="D396">
        <v>-25</v>
      </c>
      <c r="E396">
        <v>-18.600000000000001</v>
      </c>
      <c r="F396">
        <v>-18.399999999999999</v>
      </c>
      <c r="G396">
        <v>-25</v>
      </c>
      <c r="H396">
        <v>-15.1</v>
      </c>
      <c r="I396">
        <v>-11.1</v>
      </c>
      <c r="J396">
        <v>-25</v>
      </c>
      <c r="K396">
        <v>-15.1</v>
      </c>
      <c r="L396">
        <v>-15.7</v>
      </c>
      <c r="M396">
        <v>-25</v>
      </c>
      <c r="N396">
        <v>-15.3</v>
      </c>
      <c r="O396">
        <v>-14.6</v>
      </c>
      <c r="P396">
        <v>-25</v>
      </c>
      <c r="Q396">
        <v>-15.1</v>
      </c>
      <c r="R396">
        <v>-15</v>
      </c>
      <c r="S396">
        <v>-25</v>
      </c>
      <c r="T396">
        <v>3.6</v>
      </c>
      <c r="U396">
        <v>3.6</v>
      </c>
      <c r="V396">
        <v>2</v>
      </c>
      <c r="W396">
        <v>3.6</v>
      </c>
      <c r="X396">
        <v>3.4</v>
      </c>
      <c r="Y396">
        <v>2</v>
      </c>
      <c r="Z396">
        <v>4</v>
      </c>
      <c r="AA396">
        <v>3.6</v>
      </c>
      <c r="AB396">
        <v>2</v>
      </c>
      <c r="AC396">
        <v>3.5</v>
      </c>
      <c r="AD396">
        <v>3.5</v>
      </c>
      <c r="AE396">
        <v>2</v>
      </c>
      <c r="AF396">
        <v>4.2</v>
      </c>
      <c r="AG396">
        <v>4</v>
      </c>
      <c r="AH396">
        <v>2</v>
      </c>
      <c r="AI396">
        <v>4</v>
      </c>
      <c r="AJ396">
        <v>3.9</v>
      </c>
      <c r="AK396">
        <v>2</v>
      </c>
      <c r="AL396">
        <v>4.9000000000000004</v>
      </c>
      <c r="AM396">
        <v>4</v>
      </c>
      <c r="AN396">
        <v>5.2</v>
      </c>
      <c r="AO396">
        <v>4</v>
      </c>
      <c r="AP396">
        <v>3.4</v>
      </c>
      <c r="AQ396">
        <v>4</v>
      </c>
      <c r="AR396">
        <v>4.4000000000000004</v>
      </c>
      <c r="AS396">
        <v>4</v>
      </c>
      <c r="AT396">
        <v>-3.1</v>
      </c>
      <c r="AU396">
        <v>-3.4</v>
      </c>
      <c r="AV396">
        <v>-5</v>
      </c>
      <c r="AW396">
        <v>-3.8</v>
      </c>
      <c r="AX396">
        <v>-3.6</v>
      </c>
      <c r="AY396">
        <v>-5</v>
      </c>
      <c r="AZ396">
        <v>11.1</v>
      </c>
      <c r="BA396">
        <v>10</v>
      </c>
      <c r="BB396">
        <v>11.3</v>
      </c>
      <c r="BC396">
        <v>10</v>
      </c>
      <c r="BD396">
        <v>6</v>
      </c>
      <c r="BE396">
        <v>4</v>
      </c>
      <c r="BF396">
        <v>11.5</v>
      </c>
      <c r="BG396">
        <v>10</v>
      </c>
      <c r="BH396">
        <v>11.3</v>
      </c>
      <c r="BI396">
        <v>10</v>
      </c>
      <c r="BJ396">
        <v>10.7</v>
      </c>
      <c r="BK396">
        <v>9</v>
      </c>
      <c r="BL396">
        <v>19.7</v>
      </c>
      <c r="BM396">
        <v>19</v>
      </c>
      <c r="BN396">
        <v>23.3</v>
      </c>
      <c r="BO396">
        <v>19</v>
      </c>
      <c r="BP396">
        <v>21.3</v>
      </c>
      <c r="BQ396">
        <v>20</v>
      </c>
      <c r="BR396">
        <v>21.4</v>
      </c>
      <c r="BS396">
        <v>25</v>
      </c>
      <c r="BT396">
        <v>21.9</v>
      </c>
      <c r="BU396">
        <v>25</v>
      </c>
      <c r="BV396">
        <v>23.5</v>
      </c>
      <c r="BW396">
        <v>18</v>
      </c>
      <c r="BX396">
        <v>21.6</v>
      </c>
      <c r="BY396">
        <v>20</v>
      </c>
      <c r="BZ396">
        <v>19.100000000000001</v>
      </c>
      <c r="CA396">
        <v>20</v>
      </c>
      <c r="CB396">
        <v>11.5</v>
      </c>
      <c r="CC396">
        <v>10</v>
      </c>
      <c r="CD396">
        <v>11.5</v>
      </c>
      <c r="CE396">
        <v>10</v>
      </c>
      <c r="CF396">
        <v>11.6</v>
      </c>
      <c r="CG396">
        <v>9</v>
      </c>
      <c r="CH396">
        <v>11.9</v>
      </c>
      <c r="CI396">
        <v>9</v>
      </c>
    </row>
    <row r="397" spans="1:87" x14ac:dyDescent="0.35">
      <c r="A397" s="1">
        <v>46059.729166666664</v>
      </c>
      <c r="B397">
        <v>-18.3</v>
      </c>
      <c r="C397">
        <v>-18.5</v>
      </c>
      <c r="D397">
        <v>-25</v>
      </c>
      <c r="E397">
        <v>-18.600000000000001</v>
      </c>
      <c r="F397">
        <v>-18.399999999999999</v>
      </c>
      <c r="G397">
        <v>-25</v>
      </c>
      <c r="H397">
        <v>-15.1</v>
      </c>
      <c r="I397">
        <v>-11.3</v>
      </c>
      <c r="J397">
        <v>-25</v>
      </c>
      <c r="K397">
        <v>-15.1</v>
      </c>
      <c r="L397">
        <v>-15.7</v>
      </c>
      <c r="M397">
        <v>-25</v>
      </c>
      <c r="N397">
        <v>-15.2</v>
      </c>
      <c r="O397">
        <v>-14.6</v>
      </c>
      <c r="P397">
        <v>-25</v>
      </c>
      <c r="Q397">
        <v>-15.1</v>
      </c>
      <c r="R397">
        <v>-15</v>
      </c>
      <c r="S397">
        <v>-25</v>
      </c>
      <c r="T397">
        <v>3.7</v>
      </c>
      <c r="U397">
        <v>3.7</v>
      </c>
      <c r="V397">
        <v>2</v>
      </c>
      <c r="W397">
        <v>3.7</v>
      </c>
      <c r="X397">
        <v>3.5</v>
      </c>
      <c r="Y397">
        <v>2</v>
      </c>
      <c r="Z397">
        <v>4</v>
      </c>
      <c r="AA397">
        <v>3.6</v>
      </c>
      <c r="AB397">
        <v>2</v>
      </c>
      <c r="AC397">
        <v>3.6</v>
      </c>
      <c r="AD397">
        <v>3.5</v>
      </c>
      <c r="AE397">
        <v>2</v>
      </c>
      <c r="AF397">
        <v>4.2</v>
      </c>
      <c r="AG397">
        <v>3.9</v>
      </c>
      <c r="AH397">
        <v>2</v>
      </c>
      <c r="AI397">
        <v>4</v>
      </c>
      <c r="AJ397">
        <v>3.5</v>
      </c>
      <c r="AK397">
        <v>2</v>
      </c>
      <c r="AL397">
        <v>5</v>
      </c>
      <c r="AM397">
        <v>4</v>
      </c>
      <c r="AN397">
        <v>5.3</v>
      </c>
      <c r="AO397">
        <v>4</v>
      </c>
      <c r="AP397">
        <v>3.6</v>
      </c>
      <c r="AQ397">
        <v>4</v>
      </c>
      <c r="AR397">
        <v>4.4000000000000004</v>
      </c>
      <c r="AS397">
        <v>4</v>
      </c>
      <c r="AT397">
        <v>-2.9</v>
      </c>
      <c r="AU397">
        <v>-3.8</v>
      </c>
      <c r="AV397">
        <v>-5</v>
      </c>
      <c r="AW397">
        <v>-3.4</v>
      </c>
      <c r="AX397">
        <v>-3.2</v>
      </c>
      <c r="AY397">
        <v>-5</v>
      </c>
      <c r="AZ397">
        <v>11.2</v>
      </c>
      <c r="BA397">
        <v>10</v>
      </c>
      <c r="BB397">
        <v>11.2</v>
      </c>
      <c r="BC397">
        <v>10</v>
      </c>
      <c r="BD397">
        <v>5.8</v>
      </c>
      <c r="BE397">
        <v>4</v>
      </c>
      <c r="BF397">
        <v>11.9</v>
      </c>
      <c r="BG397">
        <v>10</v>
      </c>
      <c r="BH397">
        <v>11.3</v>
      </c>
      <c r="BI397">
        <v>10</v>
      </c>
      <c r="BJ397">
        <v>10.7</v>
      </c>
      <c r="BK397">
        <v>9</v>
      </c>
      <c r="BL397">
        <v>19.8</v>
      </c>
      <c r="BM397">
        <v>19</v>
      </c>
      <c r="BN397">
        <v>23.3</v>
      </c>
      <c r="BO397">
        <v>19</v>
      </c>
      <c r="BP397">
        <v>21.3</v>
      </c>
      <c r="BQ397">
        <v>20</v>
      </c>
      <c r="BR397">
        <v>21.2</v>
      </c>
      <c r="BS397">
        <v>25</v>
      </c>
      <c r="BT397">
        <v>21.9</v>
      </c>
      <c r="BU397">
        <v>25</v>
      </c>
      <c r="BV397">
        <v>23.5</v>
      </c>
      <c r="BW397">
        <v>18</v>
      </c>
      <c r="BX397">
        <v>21.7</v>
      </c>
      <c r="BY397">
        <v>20</v>
      </c>
      <c r="BZ397">
        <v>19.600000000000001</v>
      </c>
      <c r="CA397">
        <v>20</v>
      </c>
      <c r="CB397">
        <v>12</v>
      </c>
      <c r="CC397">
        <v>10</v>
      </c>
      <c r="CD397">
        <v>11.5</v>
      </c>
      <c r="CE397">
        <v>10</v>
      </c>
      <c r="CF397">
        <v>11.6</v>
      </c>
      <c r="CG397">
        <v>9</v>
      </c>
      <c r="CH397">
        <v>11.8</v>
      </c>
      <c r="CI397">
        <v>9</v>
      </c>
    </row>
    <row r="398" spans="1:87" x14ac:dyDescent="0.35">
      <c r="A398" s="1">
        <v>46059.729861111111</v>
      </c>
      <c r="B398">
        <v>-18.3</v>
      </c>
      <c r="C398">
        <v>-18.5</v>
      </c>
      <c r="D398">
        <v>-25</v>
      </c>
      <c r="E398">
        <v>-18.600000000000001</v>
      </c>
      <c r="F398">
        <v>-18.399999999999999</v>
      </c>
      <c r="G398">
        <v>-25</v>
      </c>
      <c r="H398">
        <v>-15.1</v>
      </c>
      <c r="I398">
        <v>-11.4</v>
      </c>
      <c r="J398">
        <v>-25</v>
      </c>
      <c r="K398">
        <v>-15.1</v>
      </c>
      <c r="L398">
        <v>-15.7</v>
      </c>
      <c r="M398">
        <v>-25</v>
      </c>
      <c r="N398">
        <v>-15.1</v>
      </c>
      <c r="O398">
        <v>-14.6</v>
      </c>
      <c r="P398">
        <v>-25</v>
      </c>
      <c r="Q398">
        <v>-15.1</v>
      </c>
      <c r="R398">
        <v>-15</v>
      </c>
      <c r="S398">
        <v>-25</v>
      </c>
      <c r="T398">
        <v>3.8</v>
      </c>
      <c r="U398">
        <v>3.8</v>
      </c>
      <c r="V398">
        <v>2</v>
      </c>
      <c r="W398">
        <v>3.7</v>
      </c>
      <c r="X398">
        <v>3.6</v>
      </c>
      <c r="Y398">
        <v>2</v>
      </c>
      <c r="Z398">
        <v>4</v>
      </c>
      <c r="AA398">
        <v>3.7</v>
      </c>
      <c r="AB398">
        <v>2</v>
      </c>
      <c r="AC398">
        <v>3.7</v>
      </c>
      <c r="AD398">
        <v>3.6</v>
      </c>
      <c r="AE398">
        <v>2</v>
      </c>
      <c r="AF398">
        <v>4</v>
      </c>
      <c r="AG398">
        <v>3.6</v>
      </c>
      <c r="AH398">
        <v>2</v>
      </c>
      <c r="AI398">
        <v>3.8</v>
      </c>
      <c r="AJ398">
        <v>3.2</v>
      </c>
      <c r="AK398">
        <v>2</v>
      </c>
      <c r="AL398">
        <v>5</v>
      </c>
      <c r="AM398">
        <v>4</v>
      </c>
      <c r="AN398">
        <v>5.3</v>
      </c>
      <c r="AO398">
        <v>4</v>
      </c>
      <c r="AP398">
        <v>3.9</v>
      </c>
      <c r="AQ398">
        <v>4</v>
      </c>
      <c r="AR398">
        <v>4.4000000000000004</v>
      </c>
      <c r="AS398">
        <v>4</v>
      </c>
      <c r="AT398">
        <v>-3.1</v>
      </c>
      <c r="AU398">
        <v>-4.8</v>
      </c>
      <c r="AV398">
        <v>-5</v>
      </c>
      <c r="AW398">
        <v>-2.9</v>
      </c>
      <c r="AX398">
        <v>-2.7</v>
      </c>
      <c r="AY398">
        <v>-5</v>
      </c>
      <c r="AZ398">
        <v>11.3</v>
      </c>
      <c r="BA398">
        <v>10</v>
      </c>
      <c r="BB398">
        <v>10.9</v>
      </c>
      <c r="BC398">
        <v>10</v>
      </c>
      <c r="BD398">
        <v>5.0999999999999996</v>
      </c>
      <c r="BE398">
        <v>4</v>
      </c>
      <c r="BF398">
        <v>11.9</v>
      </c>
      <c r="BG398">
        <v>10</v>
      </c>
      <c r="BH398">
        <v>11.3</v>
      </c>
      <c r="BI398">
        <v>10</v>
      </c>
      <c r="BJ398">
        <v>10.7</v>
      </c>
      <c r="BK398">
        <v>9</v>
      </c>
      <c r="BL398">
        <v>19.8</v>
      </c>
      <c r="BM398">
        <v>19</v>
      </c>
      <c r="BN398">
        <v>23.3</v>
      </c>
      <c r="BO398">
        <v>19</v>
      </c>
      <c r="BP398">
        <v>21.3</v>
      </c>
      <c r="BQ398">
        <v>20</v>
      </c>
      <c r="BR398">
        <v>20.9</v>
      </c>
      <c r="BS398">
        <v>25</v>
      </c>
      <c r="BT398">
        <v>21.9</v>
      </c>
      <c r="BU398">
        <v>25</v>
      </c>
      <c r="BV398">
        <v>23.5</v>
      </c>
      <c r="BW398">
        <v>18</v>
      </c>
      <c r="BX398">
        <v>21.7</v>
      </c>
      <c r="BY398">
        <v>20</v>
      </c>
      <c r="BZ398">
        <v>19.899999999999999</v>
      </c>
      <c r="CA398">
        <v>20</v>
      </c>
      <c r="CB398">
        <v>12</v>
      </c>
      <c r="CC398">
        <v>10</v>
      </c>
      <c r="CD398">
        <v>11.5</v>
      </c>
      <c r="CE398">
        <v>10</v>
      </c>
      <c r="CF398">
        <v>11.6</v>
      </c>
      <c r="CG398">
        <v>9</v>
      </c>
      <c r="CH398">
        <v>11.8</v>
      </c>
      <c r="CI398">
        <v>9</v>
      </c>
    </row>
    <row r="399" spans="1:87" x14ac:dyDescent="0.35">
      <c r="A399" s="1">
        <v>46059.730555555558</v>
      </c>
      <c r="B399">
        <v>-18.3</v>
      </c>
      <c r="C399">
        <v>-18.8</v>
      </c>
      <c r="D399">
        <v>-25</v>
      </c>
      <c r="E399">
        <v>-18.7</v>
      </c>
      <c r="F399">
        <v>-18.399999999999999</v>
      </c>
      <c r="G399">
        <v>-25</v>
      </c>
      <c r="H399">
        <v>-15.1</v>
      </c>
      <c r="I399">
        <v>-11.5</v>
      </c>
      <c r="J399">
        <v>-25</v>
      </c>
      <c r="K399">
        <v>-15.1</v>
      </c>
      <c r="L399">
        <v>-15.7</v>
      </c>
      <c r="M399">
        <v>-25</v>
      </c>
      <c r="N399">
        <v>-15</v>
      </c>
      <c r="O399">
        <v>-14.6</v>
      </c>
      <c r="P399">
        <v>-25</v>
      </c>
      <c r="Q399">
        <v>-15</v>
      </c>
      <c r="R399">
        <v>-14.9</v>
      </c>
      <c r="S399">
        <v>-25</v>
      </c>
      <c r="T399">
        <v>3.8</v>
      </c>
      <c r="U399">
        <v>3.8</v>
      </c>
      <c r="V399">
        <v>2</v>
      </c>
      <c r="W399">
        <v>3.8</v>
      </c>
      <c r="X399">
        <v>3.6</v>
      </c>
      <c r="Y399">
        <v>2</v>
      </c>
      <c r="Z399">
        <v>4</v>
      </c>
      <c r="AA399">
        <v>3.7</v>
      </c>
      <c r="AB399">
        <v>2</v>
      </c>
      <c r="AC399">
        <v>3.8</v>
      </c>
      <c r="AD399">
        <v>3.6</v>
      </c>
      <c r="AE399">
        <v>2</v>
      </c>
      <c r="AF399">
        <v>3.8</v>
      </c>
      <c r="AG399">
        <v>3.4</v>
      </c>
      <c r="AH399">
        <v>2</v>
      </c>
      <c r="AI399">
        <v>3.6</v>
      </c>
      <c r="AJ399">
        <v>1.3</v>
      </c>
      <c r="AK399">
        <v>2</v>
      </c>
      <c r="AL399">
        <v>5.0999999999999996</v>
      </c>
      <c r="AM399">
        <v>4</v>
      </c>
      <c r="AN399">
        <v>5.4</v>
      </c>
      <c r="AO399">
        <v>4</v>
      </c>
      <c r="AP399">
        <v>4.2</v>
      </c>
      <c r="AQ399">
        <v>4</v>
      </c>
      <c r="AR399">
        <v>4.4000000000000004</v>
      </c>
      <c r="AS399">
        <v>4</v>
      </c>
      <c r="AT399">
        <v>-3.5</v>
      </c>
      <c r="AU399">
        <v>-5.4</v>
      </c>
      <c r="AV399">
        <v>-5</v>
      </c>
      <c r="AW399">
        <v>-2.6</v>
      </c>
      <c r="AX399">
        <v>-2.5</v>
      </c>
      <c r="AY399">
        <v>-5</v>
      </c>
      <c r="AZ399">
        <v>11.4</v>
      </c>
      <c r="BA399">
        <v>10</v>
      </c>
      <c r="BB399">
        <v>10.8</v>
      </c>
      <c r="BC399">
        <v>10</v>
      </c>
      <c r="BD399">
        <v>4.5</v>
      </c>
      <c r="BE399">
        <v>4</v>
      </c>
      <c r="BF399">
        <v>12</v>
      </c>
      <c r="BG399">
        <v>10</v>
      </c>
      <c r="BH399">
        <v>11.3</v>
      </c>
      <c r="BI399">
        <v>10</v>
      </c>
      <c r="BJ399">
        <v>10.8</v>
      </c>
      <c r="BK399">
        <v>9</v>
      </c>
      <c r="BL399">
        <v>19.899999999999999</v>
      </c>
      <c r="BM399">
        <v>19</v>
      </c>
      <c r="BN399">
        <v>23.3</v>
      </c>
      <c r="BO399">
        <v>19</v>
      </c>
      <c r="BP399">
        <v>21.3</v>
      </c>
      <c r="BQ399">
        <v>20</v>
      </c>
      <c r="BR399">
        <v>20.7</v>
      </c>
      <c r="BS399">
        <v>25</v>
      </c>
      <c r="BT399">
        <v>21.9</v>
      </c>
      <c r="BU399">
        <v>25</v>
      </c>
      <c r="BV399">
        <v>23.5</v>
      </c>
      <c r="BW399">
        <v>18</v>
      </c>
      <c r="BX399">
        <v>21.7</v>
      </c>
      <c r="BY399">
        <v>20</v>
      </c>
      <c r="BZ399">
        <v>20.100000000000001</v>
      </c>
      <c r="CA399">
        <v>20</v>
      </c>
      <c r="CB399">
        <v>11.9</v>
      </c>
      <c r="CC399">
        <v>10</v>
      </c>
      <c r="CD399">
        <v>11.5</v>
      </c>
      <c r="CE399">
        <v>10</v>
      </c>
      <c r="CF399">
        <v>11.5</v>
      </c>
      <c r="CG399">
        <v>9</v>
      </c>
      <c r="CH399">
        <v>11.8</v>
      </c>
      <c r="CI399">
        <v>9</v>
      </c>
    </row>
    <row r="400" spans="1:87" x14ac:dyDescent="0.35">
      <c r="A400" s="1">
        <v>46059.731249999997</v>
      </c>
      <c r="B400">
        <v>-18.5</v>
      </c>
      <c r="C400">
        <v>-19</v>
      </c>
      <c r="D400">
        <v>-25</v>
      </c>
      <c r="E400">
        <v>-18.899999999999999</v>
      </c>
      <c r="F400">
        <v>-18.399999999999999</v>
      </c>
      <c r="G400">
        <v>-25</v>
      </c>
      <c r="H400">
        <v>-15.1</v>
      </c>
      <c r="I400">
        <v>-11.6</v>
      </c>
      <c r="J400">
        <v>-25</v>
      </c>
      <c r="K400">
        <v>-15.1</v>
      </c>
      <c r="L400">
        <v>-15.7</v>
      </c>
      <c r="M400">
        <v>-25</v>
      </c>
      <c r="N400">
        <v>-14.8</v>
      </c>
      <c r="O400">
        <v>-14.6</v>
      </c>
      <c r="P400">
        <v>-25</v>
      </c>
      <c r="Q400">
        <v>-14.9</v>
      </c>
      <c r="R400">
        <v>-14.7</v>
      </c>
      <c r="S400">
        <v>-25</v>
      </c>
      <c r="T400">
        <v>3.9</v>
      </c>
      <c r="U400">
        <v>3.9</v>
      </c>
      <c r="V400">
        <v>2</v>
      </c>
      <c r="W400">
        <v>3.9</v>
      </c>
      <c r="X400">
        <v>3.7</v>
      </c>
      <c r="Y400">
        <v>2</v>
      </c>
      <c r="Z400">
        <v>4.0999999999999996</v>
      </c>
      <c r="AA400">
        <v>3.8</v>
      </c>
      <c r="AB400">
        <v>2</v>
      </c>
      <c r="AC400">
        <v>3.8</v>
      </c>
      <c r="AD400">
        <v>3.7</v>
      </c>
      <c r="AE400">
        <v>2</v>
      </c>
      <c r="AF400">
        <v>3.4</v>
      </c>
      <c r="AG400">
        <v>2.9</v>
      </c>
      <c r="AH400">
        <v>2</v>
      </c>
      <c r="AI400">
        <v>3.2</v>
      </c>
      <c r="AJ400">
        <v>0.1</v>
      </c>
      <c r="AK400">
        <v>2</v>
      </c>
      <c r="AL400">
        <v>5.0999999999999996</v>
      </c>
      <c r="AM400">
        <v>4</v>
      </c>
      <c r="AN400">
        <v>5.4</v>
      </c>
      <c r="AO400">
        <v>4</v>
      </c>
      <c r="AP400">
        <v>4.4000000000000004</v>
      </c>
      <c r="AQ400">
        <v>4</v>
      </c>
      <c r="AR400">
        <v>4.4000000000000004</v>
      </c>
      <c r="AS400">
        <v>4</v>
      </c>
      <c r="AT400">
        <v>-3.7</v>
      </c>
      <c r="AU400">
        <v>-5.2</v>
      </c>
      <c r="AV400">
        <v>-5</v>
      </c>
      <c r="AW400">
        <v>-2.2999999999999998</v>
      </c>
      <c r="AX400">
        <v>-2.1</v>
      </c>
      <c r="AY400">
        <v>-5</v>
      </c>
      <c r="AZ400">
        <v>11.4</v>
      </c>
      <c r="BA400">
        <v>10</v>
      </c>
      <c r="BB400">
        <v>10.5</v>
      </c>
      <c r="BC400">
        <v>10</v>
      </c>
      <c r="BD400">
        <v>4.4000000000000004</v>
      </c>
      <c r="BE400">
        <v>4</v>
      </c>
      <c r="BF400">
        <v>11.4</v>
      </c>
      <c r="BG400">
        <v>10</v>
      </c>
      <c r="BH400">
        <v>11.3</v>
      </c>
      <c r="BI400">
        <v>10</v>
      </c>
      <c r="BJ400">
        <v>10.8</v>
      </c>
      <c r="BK400">
        <v>9</v>
      </c>
      <c r="BL400">
        <v>19.899999999999999</v>
      </c>
      <c r="BM400">
        <v>19</v>
      </c>
      <c r="BN400">
        <v>23.3</v>
      </c>
      <c r="BO400">
        <v>19</v>
      </c>
      <c r="BP400">
        <v>21.3</v>
      </c>
      <c r="BQ400">
        <v>20</v>
      </c>
      <c r="BR400">
        <v>20.7</v>
      </c>
      <c r="BS400">
        <v>25</v>
      </c>
      <c r="BT400">
        <v>21.9</v>
      </c>
      <c r="BU400">
        <v>25</v>
      </c>
      <c r="BV400">
        <v>23.5</v>
      </c>
      <c r="BW400">
        <v>18</v>
      </c>
      <c r="BX400">
        <v>21.7</v>
      </c>
      <c r="BY400">
        <v>20</v>
      </c>
      <c r="BZ400">
        <v>20.399999999999999</v>
      </c>
      <c r="CA400">
        <v>20</v>
      </c>
      <c r="CB400">
        <v>11.6</v>
      </c>
      <c r="CC400">
        <v>10</v>
      </c>
      <c r="CD400">
        <v>11.5</v>
      </c>
      <c r="CE400">
        <v>10</v>
      </c>
      <c r="CF400">
        <v>11.5</v>
      </c>
      <c r="CG400">
        <v>9</v>
      </c>
      <c r="CH400">
        <v>11.8</v>
      </c>
      <c r="CI400">
        <v>9</v>
      </c>
    </row>
    <row r="401" spans="1:87" x14ac:dyDescent="0.35">
      <c r="A401" s="1">
        <v>46059.731944444444</v>
      </c>
      <c r="B401">
        <v>-18.600000000000001</v>
      </c>
      <c r="C401">
        <v>-19.100000000000001</v>
      </c>
      <c r="D401">
        <v>-25</v>
      </c>
      <c r="E401">
        <v>-18.899999999999999</v>
      </c>
      <c r="F401">
        <v>-18.399999999999999</v>
      </c>
      <c r="G401">
        <v>-25</v>
      </c>
      <c r="H401">
        <v>-15.1</v>
      </c>
      <c r="I401">
        <v>-11.7</v>
      </c>
      <c r="J401">
        <v>-25</v>
      </c>
      <c r="K401">
        <v>-15.1</v>
      </c>
      <c r="L401">
        <v>-15.7</v>
      </c>
      <c r="M401">
        <v>-25</v>
      </c>
      <c r="N401">
        <v>-14.7</v>
      </c>
      <c r="O401">
        <v>-15</v>
      </c>
      <c r="P401">
        <v>-25</v>
      </c>
      <c r="Q401">
        <v>-14.9</v>
      </c>
      <c r="R401">
        <v>-14.7</v>
      </c>
      <c r="S401">
        <v>-25</v>
      </c>
      <c r="T401">
        <v>4</v>
      </c>
      <c r="U401">
        <v>4</v>
      </c>
      <c r="V401">
        <v>2</v>
      </c>
      <c r="W401">
        <v>3.9</v>
      </c>
      <c r="X401">
        <v>3.7</v>
      </c>
      <c r="Y401">
        <v>2</v>
      </c>
      <c r="Z401">
        <v>4.0999999999999996</v>
      </c>
      <c r="AA401">
        <v>3.9</v>
      </c>
      <c r="AB401">
        <v>2</v>
      </c>
      <c r="AC401">
        <v>3.9</v>
      </c>
      <c r="AD401">
        <v>3.8</v>
      </c>
      <c r="AE401">
        <v>2</v>
      </c>
      <c r="AF401">
        <v>3.1</v>
      </c>
      <c r="AG401">
        <v>2.6</v>
      </c>
      <c r="AH401">
        <v>2</v>
      </c>
      <c r="AI401">
        <v>2.9</v>
      </c>
      <c r="AJ401">
        <v>1.1000000000000001</v>
      </c>
      <c r="AK401">
        <v>2</v>
      </c>
      <c r="AL401">
        <v>5.2</v>
      </c>
      <c r="AM401">
        <v>4</v>
      </c>
      <c r="AN401">
        <v>5.5</v>
      </c>
      <c r="AO401">
        <v>4</v>
      </c>
      <c r="AP401">
        <v>4.5999999999999996</v>
      </c>
      <c r="AQ401">
        <v>4</v>
      </c>
      <c r="AR401">
        <v>4.4000000000000004</v>
      </c>
      <c r="AS401">
        <v>4</v>
      </c>
      <c r="AT401">
        <v>-3.9</v>
      </c>
      <c r="AU401">
        <v>-5.9</v>
      </c>
      <c r="AV401">
        <v>-5</v>
      </c>
      <c r="AW401">
        <v>-2.2000000000000002</v>
      </c>
      <c r="AX401">
        <v>-2.1</v>
      </c>
      <c r="AY401">
        <v>-5</v>
      </c>
      <c r="AZ401">
        <v>11.5</v>
      </c>
      <c r="BA401">
        <v>10</v>
      </c>
      <c r="BB401">
        <v>10.5</v>
      </c>
      <c r="BC401">
        <v>10</v>
      </c>
      <c r="BD401">
        <v>4.4000000000000004</v>
      </c>
      <c r="BE401">
        <v>4</v>
      </c>
      <c r="BF401">
        <v>10.6</v>
      </c>
      <c r="BG401">
        <v>10</v>
      </c>
      <c r="BH401">
        <v>11.3</v>
      </c>
      <c r="BI401">
        <v>10</v>
      </c>
      <c r="BJ401">
        <v>10.8</v>
      </c>
      <c r="BK401">
        <v>9</v>
      </c>
      <c r="BL401">
        <v>19.899999999999999</v>
      </c>
      <c r="BM401">
        <v>19</v>
      </c>
      <c r="BN401">
        <v>23.3</v>
      </c>
      <c r="BO401">
        <v>19</v>
      </c>
      <c r="BP401">
        <v>21.4</v>
      </c>
      <c r="BQ401">
        <v>20</v>
      </c>
      <c r="BR401">
        <v>20.8</v>
      </c>
      <c r="BS401">
        <v>25</v>
      </c>
      <c r="BT401">
        <v>21.9</v>
      </c>
      <c r="BU401">
        <v>25</v>
      </c>
      <c r="BV401">
        <v>23.5</v>
      </c>
      <c r="BW401">
        <v>18</v>
      </c>
      <c r="BX401">
        <v>21.7</v>
      </c>
      <c r="BY401">
        <v>20</v>
      </c>
      <c r="BZ401">
        <v>20.5</v>
      </c>
      <c r="CA401">
        <v>20</v>
      </c>
      <c r="CB401">
        <v>11.4</v>
      </c>
      <c r="CC401">
        <v>10</v>
      </c>
      <c r="CD401">
        <v>11.5</v>
      </c>
      <c r="CE401">
        <v>10</v>
      </c>
      <c r="CF401">
        <v>11.7</v>
      </c>
      <c r="CG401">
        <v>9</v>
      </c>
      <c r="CH401">
        <v>11.9</v>
      </c>
      <c r="CI401">
        <v>9</v>
      </c>
    </row>
    <row r="402" spans="1:87" x14ac:dyDescent="0.35">
      <c r="A402" s="1">
        <v>46059.732638888891</v>
      </c>
      <c r="B402">
        <v>-18.600000000000001</v>
      </c>
      <c r="C402">
        <v>-18.8</v>
      </c>
      <c r="D402">
        <v>-25</v>
      </c>
      <c r="E402">
        <v>-18.8</v>
      </c>
      <c r="F402">
        <v>-18.399999999999999</v>
      </c>
      <c r="G402">
        <v>-25</v>
      </c>
      <c r="H402">
        <v>-15.1</v>
      </c>
      <c r="I402">
        <v>-11.8</v>
      </c>
      <c r="J402">
        <v>-25</v>
      </c>
      <c r="K402">
        <v>-15.1</v>
      </c>
      <c r="L402">
        <v>-15.6</v>
      </c>
      <c r="M402">
        <v>-25</v>
      </c>
      <c r="N402">
        <v>-14.8</v>
      </c>
      <c r="O402">
        <v>-15.6</v>
      </c>
      <c r="P402">
        <v>-25</v>
      </c>
      <c r="Q402">
        <v>-14.9</v>
      </c>
      <c r="R402">
        <v>-14.9</v>
      </c>
      <c r="S402">
        <v>-25</v>
      </c>
      <c r="T402">
        <v>4</v>
      </c>
      <c r="U402">
        <v>2.5</v>
      </c>
      <c r="V402">
        <v>2</v>
      </c>
      <c r="W402">
        <v>4</v>
      </c>
      <c r="X402">
        <v>2.7</v>
      </c>
      <c r="Y402">
        <v>2</v>
      </c>
      <c r="Z402">
        <v>4.2</v>
      </c>
      <c r="AA402">
        <v>3.9</v>
      </c>
      <c r="AB402">
        <v>2</v>
      </c>
      <c r="AC402">
        <v>4</v>
      </c>
      <c r="AD402">
        <v>3.9</v>
      </c>
      <c r="AE402">
        <v>2</v>
      </c>
      <c r="AF402">
        <v>3.1</v>
      </c>
      <c r="AG402">
        <v>2.6</v>
      </c>
      <c r="AH402">
        <v>2</v>
      </c>
      <c r="AI402">
        <v>2.9</v>
      </c>
      <c r="AJ402">
        <v>1.3</v>
      </c>
      <c r="AK402">
        <v>2</v>
      </c>
      <c r="AL402">
        <v>5.2</v>
      </c>
      <c r="AM402">
        <v>4</v>
      </c>
      <c r="AN402">
        <v>5.5</v>
      </c>
      <c r="AO402">
        <v>4</v>
      </c>
      <c r="AP402">
        <v>4.8</v>
      </c>
      <c r="AQ402">
        <v>4</v>
      </c>
      <c r="AR402">
        <v>4.4000000000000004</v>
      </c>
      <c r="AS402">
        <v>4</v>
      </c>
      <c r="AT402">
        <v>-4.2</v>
      </c>
      <c r="AU402">
        <v>-6.2</v>
      </c>
      <c r="AV402">
        <v>-5</v>
      </c>
      <c r="AW402">
        <v>-2.6</v>
      </c>
      <c r="AX402">
        <v>-3.9</v>
      </c>
      <c r="AY402">
        <v>-5</v>
      </c>
      <c r="AZ402">
        <v>11.6</v>
      </c>
      <c r="BA402">
        <v>10</v>
      </c>
      <c r="BB402">
        <v>10.5</v>
      </c>
      <c r="BC402">
        <v>10</v>
      </c>
      <c r="BD402">
        <v>4.4000000000000004</v>
      </c>
      <c r="BE402">
        <v>4</v>
      </c>
      <c r="BF402">
        <v>9.6</v>
      </c>
      <c r="BG402">
        <v>10</v>
      </c>
      <c r="BH402">
        <v>11.3</v>
      </c>
      <c r="BI402">
        <v>10</v>
      </c>
      <c r="BJ402">
        <v>10.8</v>
      </c>
      <c r="BK402">
        <v>9</v>
      </c>
      <c r="BL402">
        <v>19.899999999999999</v>
      </c>
      <c r="BM402">
        <v>19</v>
      </c>
      <c r="BN402">
        <v>23.3</v>
      </c>
      <c r="BO402">
        <v>19</v>
      </c>
      <c r="BP402">
        <v>21.4</v>
      </c>
      <c r="BQ402">
        <v>20</v>
      </c>
      <c r="BR402">
        <v>20.9</v>
      </c>
      <c r="BS402">
        <v>25</v>
      </c>
      <c r="BT402">
        <v>21.9</v>
      </c>
      <c r="BU402">
        <v>25</v>
      </c>
      <c r="BV402">
        <v>23.5</v>
      </c>
      <c r="BW402">
        <v>18</v>
      </c>
      <c r="BX402">
        <v>21.8</v>
      </c>
      <c r="BY402">
        <v>20</v>
      </c>
      <c r="BZ402">
        <v>20.6</v>
      </c>
      <c r="CA402">
        <v>20</v>
      </c>
      <c r="CB402">
        <v>11.2</v>
      </c>
      <c r="CC402">
        <v>10</v>
      </c>
      <c r="CD402">
        <v>11.5</v>
      </c>
      <c r="CE402">
        <v>10</v>
      </c>
      <c r="CF402">
        <v>11.7</v>
      </c>
      <c r="CG402">
        <v>9</v>
      </c>
      <c r="CH402">
        <v>11.9</v>
      </c>
      <c r="CI402">
        <v>9</v>
      </c>
    </row>
    <row r="403" spans="1:87" x14ac:dyDescent="0.35">
      <c r="A403" s="1">
        <v>46059.73333333333</v>
      </c>
      <c r="B403">
        <v>-18.399999999999999</v>
      </c>
      <c r="C403">
        <v>-18.5</v>
      </c>
      <c r="D403">
        <v>-25</v>
      </c>
      <c r="E403">
        <v>-18.5</v>
      </c>
      <c r="F403">
        <v>-18.399999999999999</v>
      </c>
      <c r="G403">
        <v>-25</v>
      </c>
      <c r="H403">
        <v>-15.1</v>
      </c>
      <c r="I403">
        <v>-11.8</v>
      </c>
      <c r="J403">
        <v>-25</v>
      </c>
      <c r="K403">
        <v>-15.1</v>
      </c>
      <c r="L403">
        <v>-15.6</v>
      </c>
      <c r="M403">
        <v>-25</v>
      </c>
      <c r="N403">
        <v>-15.2</v>
      </c>
      <c r="O403">
        <v>-16.100000000000001</v>
      </c>
      <c r="P403">
        <v>-25</v>
      </c>
      <c r="Q403">
        <v>-14.9</v>
      </c>
      <c r="R403">
        <v>-15</v>
      </c>
      <c r="S403">
        <v>-25</v>
      </c>
      <c r="T403">
        <v>3.5</v>
      </c>
      <c r="U403">
        <v>1.2</v>
      </c>
      <c r="V403">
        <v>2</v>
      </c>
      <c r="W403">
        <v>3.6</v>
      </c>
      <c r="X403">
        <v>1.8</v>
      </c>
      <c r="Y403">
        <v>2</v>
      </c>
      <c r="Z403">
        <v>4.2</v>
      </c>
      <c r="AA403">
        <v>3.9</v>
      </c>
      <c r="AB403">
        <v>2</v>
      </c>
      <c r="AC403">
        <v>4</v>
      </c>
      <c r="AD403">
        <v>2.7</v>
      </c>
      <c r="AE403">
        <v>2</v>
      </c>
      <c r="AF403">
        <v>3</v>
      </c>
      <c r="AG403">
        <v>2.6</v>
      </c>
      <c r="AH403">
        <v>2</v>
      </c>
      <c r="AI403">
        <v>2.9</v>
      </c>
      <c r="AJ403">
        <v>1.2</v>
      </c>
      <c r="AK403">
        <v>2</v>
      </c>
      <c r="AL403">
        <v>5.3</v>
      </c>
      <c r="AM403">
        <v>4</v>
      </c>
      <c r="AN403">
        <v>5.5</v>
      </c>
      <c r="AO403">
        <v>4</v>
      </c>
      <c r="AP403">
        <v>5</v>
      </c>
      <c r="AQ403">
        <v>4</v>
      </c>
      <c r="AR403">
        <v>4.4000000000000004</v>
      </c>
      <c r="AS403">
        <v>4</v>
      </c>
      <c r="AT403">
        <v>-4.5</v>
      </c>
      <c r="AU403">
        <v>-6.5</v>
      </c>
      <c r="AV403">
        <v>-5</v>
      </c>
      <c r="AW403">
        <v>-3.1</v>
      </c>
      <c r="AX403">
        <v>-4.9000000000000004</v>
      </c>
      <c r="AY403">
        <v>-5</v>
      </c>
      <c r="AZ403">
        <v>11.7</v>
      </c>
      <c r="BA403">
        <v>10</v>
      </c>
      <c r="BB403">
        <v>10.5</v>
      </c>
      <c r="BC403">
        <v>10</v>
      </c>
      <c r="BD403">
        <v>4.4000000000000004</v>
      </c>
      <c r="BE403">
        <v>4</v>
      </c>
      <c r="BF403">
        <v>9.6</v>
      </c>
      <c r="BG403">
        <v>10</v>
      </c>
      <c r="BH403">
        <v>11.3</v>
      </c>
      <c r="BI403">
        <v>10</v>
      </c>
      <c r="BJ403">
        <v>10.8</v>
      </c>
      <c r="BK403">
        <v>9</v>
      </c>
      <c r="BL403">
        <v>20</v>
      </c>
      <c r="BM403">
        <v>19</v>
      </c>
      <c r="BN403">
        <v>23.3</v>
      </c>
      <c r="BO403">
        <v>19</v>
      </c>
      <c r="BP403">
        <v>21.4</v>
      </c>
      <c r="BQ403">
        <v>20</v>
      </c>
      <c r="BR403">
        <v>21</v>
      </c>
      <c r="BS403">
        <v>25</v>
      </c>
      <c r="BT403">
        <v>21.9</v>
      </c>
      <c r="BU403">
        <v>25</v>
      </c>
      <c r="BV403">
        <v>23.5</v>
      </c>
      <c r="BW403">
        <v>18</v>
      </c>
      <c r="BX403">
        <v>21.8</v>
      </c>
      <c r="BY403">
        <v>20</v>
      </c>
      <c r="BZ403">
        <v>20.7</v>
      </c>
      <c r="CA403">
        <v>20</v>
      </c>
      <c r="CB403">
        <v>11</v>
      </c>
      <c r="CC403">
        <v>10</v>
      </c>
      <c r="CD403">
        <v>11.5</v>
      </c>
      <c r="CE403">
        <v>10</v>
      </c>
      <c r="CF403">
        <v>11.5</v>
      </c>
      <c r="CG403">
        <v>9</v>
      </c>
      <c r="CH403">
        <v>11.8</v>
      </c>
      <c r="CI403">
        <v>9</v>
      </c>
    </row>
    <row r="404" spans="1:87" x14ac:dyDescent="0.35">
      <c r="A404" s="1">
        <v>46059.734027777777</v>
      </c>
      <c r="B404">
        <v>-18.2</v>
      </c>
      <c r="C404">
        <v>-18.2</v>
      </c>
      <c r="D404">
        <v>-25</v>
      </c>
      <c r="E404">
        <v>-18.2</v>
      </c>
      <c r="F404">
        <v>-18.3</v>
      </c>
      <c r="G404">
        <v>-25</v>
      </c>
      <c r="H404">
        <v>-15.1</v>
      </c>
      <c r="I404">
        <v>-11.9</v>
      </c>
      <c r="J404">
        <v>-25</v>
      </c>
      <c r="K404">
        <v>-15.1</v>
      </c>
      <c r="L404">
        <v>-15.6</v>
      </c>
      <c r="M404">
        <v>-25</v>
      </c>
      <c r="N404">
        <v>-15.5</v>
      </c>
      <c r="O404">
        <v>-16.399999999999999</v>
      </c>
      <c r="P404">
        <v>-25</v>
      </c>
      <c r="Q404">
        <v>-14.9</v>
      </c>
      <c r="R404">
        <v>-15.1</v>
      </c>
      <c r="S404">
        <v>-25</v>
      </c>
      <c r="T404">
        <v>3.1</v>
      </c>
      <c r="U404">
        <v>1.4</v>
      </c>
      <c r="V404">
        <v>2</v>
      </c>
      <c r="W404">
        <v>3.2</v>
      </c>
      <c r="X404">
        <v>1.8</v>
      </c>
      <c r="Y404">
        <v>2</v>
      </c>
      <c r="Z404">
        <v>4.2</v>
      </c>
      <c r="AA404">
        <v>3.6</v>
      </c>
      <c r="AB404">
        <v>2</v>
      </c>
      <c r="AC404">
        <v>3.8</v>
      </c>
      <c r="AD404">
        <v>2.5</v>
      </c>
      <c r="AE404">
        <v>2</v>
      </c>
      <c r="AF404">
        <v>3</v>
      </c>
      <c r="AG404">
        <v>2.6</v>
      </c>
      <c r="AH404">
        <v>2</v>
      </c>
      <c r="AI404">
        <v>2.8</v>
      </c>
      <c r="AJ404">
        <v>1.4</v>
      </c>
      <c r="AK404">
        <v>2</v>
      </c>
      <c r="AL404">
        <v>5.3</v>
      </c>
      <c r="AM404">
        <v>4</v>
      </c>
      <c r="AN404">
        <v>5.6</v>
      </c>
      <c r="AO404">
        <v>4</v>
      </c>
      <c r="AP404">
        <v>5.2</v>
      </c>
      <c r="AQ404">
        <v>4</v>
      </c>
      <c r="AR404">
        <v>4.4000000000000004</v>
      </c>
      <c r="AS404">
        <v>4</v>
      </c>
      <c r="AT404">
        <v>-4.5999999999999996</v>
      </c>
      <c r="AU404">
        <v>-6.5</v>
      </c>
      <c r="AV404">
        <v>-5</v>
      </c>
      <c r="AW404">
        <v>-3.5</v>
      </c>
      <c r="AX404">
        <v>-4.4000000000000004</v>
      </c>
      <c r="AY404">
        <v>-5</v>
      </c>
      <c r="AZ404">
        <v>11.8</v>
      </c>
      <c r="BA404">
        <v>10</v>
      </c>
      <c r="BB404">
        <v>10.4</v>
      </c>
      <c r="BC404">
        <v>10</v>
      </c>
      <c r="BD404">
        <v>4</v>
      </c>
      <c r="BE404">
        <v>4</v>
      </c>
      <c r="BF404">
        <v>9.8000000000000007</v>
      </c>
      <c r="BG404">
        <v>10</v>
      </c>
      <c r="BH404">
        <v>11.3</v>
      </c>
      <c r="BI404">
        <v>10</v>
      </c>
      <c r="BJ404">
        <v>10.8</v>
      </c>
      <c r="BK404">
        <v>9</v>
      </c>
      <c r="BL404">
        <v>20</v>
      </c>
      <c r="BM404">
        <v>19</v>
      </c>
      <c r="BN404">
        <v>23.3</v>
      </c>
      <c r="BO404">
        <v>19</v>
      </c>
      <c r="BP404">
        <v>21.4</v>
      </c>
      <c r="BQ404">
        <v>20</v>
      </c>
      <c r="BR404">
        <v>21.1</v>
      </c>
      <c r="BS404">
        <v>25</v>
      </c>
      <c r="BT404">
        <v>21.9</v>
      </c>
      <c r="BU404">
        <v>25</v>
      </c>
      <c r="BV404">
        <v>23.5</v>
      </c>
      <c r="BW404">
        <v>18</v>
      </c>
      <c r="BX404">
        <v>21.8</v>
      </c>
      <c r="BY404">
        <v>20</v>
      </c>
      <c r="BZ404">
        <v>20.8</v>
      </c>
      <c r="CA404">
        <v>20</v>
      </c>
      <c r="CB404">
        <v>10.8</v>
      </c>
      <c r="CC404">
        <v>10</v>
      </c>
      <c r="CD404">
        <v>11.5</v>
      </c>
      <c r="CE404">
        <v>10</v>
      </c>
      <c r="CF404">
        <v>11.5</v>
      </c>
      <c r="CG404">
        <v>9</v>
      </c>
      <c r="CH404">
        <v>11.7</v>
      </c>
      <c r="CI404">
        <v>9</v>
      </c>
    </row>
    <row r="405" spans="1:87" x14ac:dyDescent="0.35">
      <c r="A405" s="1">
        <v>46059.734722222223</v>
      </c>
      <c r="B405">
        <v>-18</v>
      </c>
      <c r="C405">
        <v>-18.100000000000001</v>
      </c>
      <c r="D405">
        <v>-25</v>
      </c>
      <c r="E405">
        <v>-18.100000000000001</v>
      </c>
      <c r="F405">
        <v>-18.2</v>
      </c>
      <c r="G405">
        <v>-25</v>
      </c>
      <c r="H405">
        <v>-15.1</v>
      </c>
      <c r="I405">
        <v>-12</v>
      </c>
      <c r="J405">
        <v>-25</v>
      </c>
      <c r="K405">
        <v>-15.1</v>
      </c>
      <c r="L405">
        <v>-15.6</v>
      </c>
      <c r="M405">
        <v>-25</v>
      </c>
      <c r="N405">
        <v>-15.7</v>
      </c>
      <c r="O405">
        <v>-16.399999999999999</v>
      </c>
      <c r="P405">
        <v>-25</v>
      </c>
      <c r="Q405">
        <v>-14.9</v>
      </c>
      <c r="R405">
        <v>-15</v>
      </c>
      <c r="S405">
        <v>-25</v>
      </c>
      <c r="T405">
        <v>2.7</v>
      </c>
      <c r="U405">
        <v>1.2</v>
      </c>
      <c r="V405">
        <v>2</v>
      </c>
      <c r="W405">
        <v>2.8</v>
      </c>
      <c r="X405">
        <v>0.6</v>
      </c>
      <c r="Y405">
        <v>2</v>
      </c>
      <c r="Z405">
        <v>4</v>
      </c>
      <c r="AA405">
        <v>3.5</v>
      </c>
      <c r="AB405">
        <v>2</v>
      </c>
      <c r="AC405">
        <v>3.6</v>
      </c>
      <c r="AD405">
        <v>2.2000000000000002</v>
      </c>
      <c r="AE405">
        <v>2</v>
      </c>
      <c r="AF405">
        <v>2.9</v>
      </c>
      <c r="AG405">
        <v>2.6</v>
      </c>
      <c r="AH405">
        <v>2</v>
      </c>
      <c r="AI405">
        <v>2.8</v>
      </c>
      <c r="AJ405">
        <v>1.5</v>
      </c>
      <c r="AK405">
        <v>2</v>
      </c>
      <c r="AL405">
        <v>5.4</v>
      </c>
      <c r="AM405">
        <v>4</v>
      </c>
      <c r="AN405">
        <v>5.7</v>
      </c>
      <c r="AO405">
        <v>4</v>
      </c>
      <c r="AP405">
        <v>5.3</v>
      </c>
      <c r="AQ405">
        <v>4</v>
      </c>
      <c r="AR405">
        <v>4.4000000000000004</v>
      </c>
      <c r="AS405">
        <v>4</v>
      </c>
      <c r="AT405">
        <v>-4.7</v>
      </c>
      <c r="AU405">
        <v>-6.6</v>
      </c>
      <c r="AV405">
        <v>-5</v>
      </c>
      <c r="AW405">
        <v>-3.8</v>
      </c>
      <c r="AX405">
        <v>-5.2</v>
      </c>
      <c r="AY405">
        <v>-5</v>
      </c>
      <c r="AZ405">
        <v>11.9</v>
      </c>
      <c r="BA405">
        <v>10</v>
      </c>
      <c r="BB405">
        <v>10.3</v>
      </c>
      <c r="BC405">
        <v>10</v>
      </c>
      <c r="BD405">
        <v>3.9</v>
      </c>
      <c r="BE405">
        <v>4</v>
      </c>
      <c r="BF405">
        <v>10.1</v>
      </c>
      <c r="BG405">
        <v>10</v>
      </c>
      <c r="BH405">
        <v>11.3</v>
      </c>
      <c r="BI405">
        <v>10</v>
      </c>
      <c r="BJ405">
        <v>10.8</v>
      </c>
      <c r="BK405">
        <v>9</v>
      </c>
      <c r="BL405">
        <v>20</v>
      </c>
      <c r="BM405">
        <v>19</v>
      </c>
      <c r="BN405">
        <v>23.4</v>
      </c>
      <c r="BO405">
        <v>19</v>
      </c>
      <c r="BP405">
        <v>21.4</v>
      </c>
      <c r="BQ405">
        <v>20</v>
      </c>
      <c r="BR405">
        <v>21.1</v>
      </c>
      <c r="BS405">
        <v>25</v>
      </c>
      <c r="BT405">
        <v>21.9</v>
      </c>
      <c r="BU405">
        <v>25</v>
      </c>
      <c r="BV405">
        <v>23.5</v>
      </c>
      <c r="BW405">
        <v>18</v>
      </c>
      <c r="BX405">
        <v>21.8</v>
      </c>
      <c r="BY405">
        <v>20</v>
      </c>
      <c r="BZ405">
        <v>20.9</v>
      </c>
      <c r="CA405">
        <v>20</v>
      </c>
      <c r="CB405">
        <v>10.7</v>
      </c>
      <c r="CC405">
        <v>10</v>
      </c>
      <c r="CD405">
        <v>11.5</v>
      </c>
      <c r="CE405">
        <v>10</v>
      </c>
      <c r="CF405">
        <v>11.6</v>
      </c>
      <c r="CG405">
        <v>9</v>
      </c>
      <c r="CH405">
        <v>11.8</v>
      </c>
      <c r="CI405">
        <v>9</v>
      </c>
    </row>
    <row r="406" spans="1:87" x14ac:dyDescent="0.35">
      <c r="A406" s="1">
        <v>46059.73541666667</v>
      </c>
      <c r="B406">
        <v>-18</v>
      </c>
      <c r="C406">
        <v>-18.2</v>
      </c>
      <c r="D406">
        <v>-25</v>
      </c>
      <c r="E406">
        <v>-18.3</v>
      </c>
      <c r="F406">
        <v>-18.2</v>
      </c>
      <c r="G406">
        <v>-25</v>
      </c>
      <c r="H406">
        <v>-15.3</v>
      </c>
      <c r="I406">
        <v>-12</v>
      </c>
      <c r="J406">
        <v>-25</v>
      </c>
      <c r="K406">
        <v>-15.1</v>
      </c>
      <c r="L406">
        <v>-15.8</v>
      </c>
      <c r="M406">
        <v>-25</v>
      </c>
      <c r="N406">
        <v>-15.9</v>
      </c>
      <c r="O406">
        <v>-16.399999999999999</v>
      </c>
      <c r="P406">
        <v>-25</v>
      </c>
      <c r="Q406">
        <v>-14.9</v>
      </c>
      <c r="R406">
        <v>-14.7</v>
      </c>
      <c r="S406">
        <v>-25</v>
      </c>
      <c r="T406">
        <v>2.4</v>
      </c>
      <c r="U406">
        <v>1</v>
      </c>
      <c r="V406">
        <v>2</v>
      </c>
      <c r="W406">
        <v>2.5</v>
      </c>
      <c r="X406">
        <v>0.1</v>
      </c>
      <c r="Y406">
        <v>2</v>
      </c>
      <c r="Z406">
        <v>3.9</v>
      </c>
      <c r="AA406">
        <v>3.3</v>
      </c>
      <c r="AB406">
        <v>2</v>
      </c>
      <c r="AC406">
        <v>3.5</v>
      </c>
      <c r="AD406">
        <v>1.8</v>
      </c>
      <c r="AE406">
        <v>2</v>
      </c>
      <c r="AF406">
        <v>2.9</v>
      </c>
      <c r="AG406">
        <v>2.5</v>
      </c>
      <c r="AH406">
        <v>2</v>
      </c>
      <c r="AI406">
        <v>2.7</v>
      </c>
      <c r="AJ406">
        <v>1.7</v>
      </c>
      <c r="AK406">
        <v>2</v>
      </c>
      <c r="AL406">
        <v>5.4</v>
      </c>
      <c r="AM406">
        <v>4</v>
      </c>
      <c r="AN406">
        <v>5.7</v>
      </c>
      <c r="AO406">
        <v>4</v>
      </c>
      <c r="AP406">
        <v>5.5</v>
      </c>
      <c r="AQ406">
        <v>4</v>
      </c>
      <c r="AR406">
        <v>4.4000000000000004</v>
      </c>
      <c r="AS406">
        <v>4</v>
      </c>
      <c r="AT406">
        <v>-4.8</v>
      </c>
      <c r="AU406">
        <v>-6.8</v>
      </c>
      <c r="AV406">
        <v>-5</v>
      </c>
      <c r="AW406">
        <v>-4</v>
      </c>
      <c r="AX406">
        <v>-5.9</v>
      </c>
      <c r="AY406">
        <v>-5</v>
      </c>
      <c r="AZ406">
        <v>11.9</v>
      </c>
      <c r="BA406">
        <v>10</v>
      </c>
      <c r="BB406">
        <v>10.4</v>
      </c>
      <c r="BC406">
        <v>10</v>
      </c>
      <c r="BD406">
        <v>3.9</v>
      </c>
      <c r="BE406">
        <v>4</v>
      </c>
      <c r="BF406">
        <v>10.6</v>
      </c>
      <c r="BG406">
        <v>10</v>
      </c>
      <c r="BH406">
        <v>11.3</v>
      </c>
      <c r="BI406">
        <v>10</v>
      </c>
      <c r="BJ406">
        <v>10.8</v>
      </c>
      <c r="BK406">
        <v>9</v>
      </c>
      <c r="BL406">
        <v>20.100000000000001</v>
      </c>
      <c r="BM406">
        <v>19</v>
      </c>
      <c r="BN406">
        <v>23.4</v>
      </c>
      <c r="BO406">
        <v>19</v>
      </c>
      <c r="BP406">
        <v>21.4</v>
      </c>
      <c r="BQ406">
        <v>20</v>
      </c>
      <c r="BR406">
        <v>21.2</v>
      </c>
      <c r="BS406">
        <v>25</v>
      </c>
      <c r="BT406">
        <v>21.9</v>
      </c>
      <c r="BU406">
        <v>25</v>
      </c>
      <c r="BV406">
        <v>23.5</v>
      </c>
      <c r="BW406">
        <v>18</v>
      </c>
      <c r="BX406">
        <v>21.9</v>
      </c>
      <c r="BY406">
        <v>20</v>
      </c>
      <c r="BZ406">
        <v>21</v>
      </c>
      <c r="CA406">
        <v>20</v>
      </c>
      <c r="CB406">
        <v>10.6</v>
      </c>
      <c r="CC406">
        <v>10</v>
      </c>
      <c r="CD406">
        <v>11.6</v>
      </c>
      <c r="CE406">
        <v>10</v>
      </c>
      <c r="CF406">
        <v>11.6</v>
      </c>
      <c r="CG406">
        <v>9</v>
      </c>
      <c r="CH406">
        <v>11.8</v>
      </c>
      <c r="CI406">
        <v>9</v>
      </c>
    </row>
    <row r="407" spans="1:87" x14ac:dyDescent="0.35">
      <c r="A407" s="1">
        <v>46059.736111111109</v>
      </c>
      <c r="B407">
        <v>-18.2</v>
      </c>
      <c r="C407">
        <v>-18.8</v>
      </c>
      <c r="D407">
        <v>-25</v>
      </c>
      <c r="E407">
        <v>-18.7</v>
      </c>
      <c r="F407">
        <v>-18.2</v>
      </c>
      <c r="G407">
        <v>-25</v>
      </c>
      <c r="H407">
        <v>-15.3</v>
      </c>
      <c r="I407">
        <v>-12.2</v>
      </c>
      <c r="J407">
        <v>-25</v>
      </c>
      <c r="K407">
        <v>-15.2</v>
      </c>
      <c r="L407">
        <v>-15.9</v>
      </c>
      <c r="M407">
        <v>-25</v>
      </c>
      <c r="N407">
        <v>-16</v>
      </c>
      <c r="O407">
        <v>-16.399999999999999</v>
      </c>
      <c r="P407">
        <v>-25</v>
      </c>
      <c r="Q407">
        <v>-14.9</v>
      </c>
      <c r="R407">
        <v>-14.2</v>
      </c>
      <c r="S407">
        <v>-25</v>
      </c>
      <c r="T407">
        <v>2.2000000000000002</v>
      </c>
      <c r="U407">
        <v>0.9</v>
      </c>
      <c r="V407">
        <v>2</v>
      </c>
      <c r="W407">
        <v>2.2000000000000002</v>
      </c>
      <c r="X407">
        <v>-0.3</v>
      </c>
      <c r="Y407">
        <v>2</v>
      </c>
      <c r="Z407">
        <v>3.7</v>
      </c>
      <c r="AA407">
        <v>3.2</v>
      </c>
      <c r="AB407">
        <v>2</v>
      </c>
      <c r="AC407">
        <v>3.3</v>
      </c>
      <c r="AD407">
        <v>1.6</v>
      </c>
      <c r="AE407">
        <v>2</v>
      </c>
      <c r="AF407">
        <v>2.8</v>
      </c>
      <c r="AG407">
        <v>2.5</v>
      </c>
      <c r="AH407">
        <v>2</v>
      </c>
      <c r="AI407">
        <v>2.7</v>
      </c>
      <c r="AJ407">
        <v>1.7</v>
      </c>
      <c r="AK407">
        <v>2</v>
      </c>
      <c r="AL407">
        <v>5.5</v>
      </c>
      <c r="AM407">
        <v>4</v>
      </c>
      <c r="AN407">
        <v>5.8</v>
      </c>
      <c r="AO407">
        <v>4</v>
      </c>
      <c r="AP407">
        <v>5.6</v>
      </c>
      <c r="AQ407">
        <v>4</v>
      </c>
      <c r="AR407">
        <v>4.4000000000000004</v>
      </c>
      <c r="AS407">
        <v>4</v>
      </c>
      <c r="AT407">
        <v>-5</v>
      </c>
      <c r="AU407">
        <v>-7</v>
      </c>
      <c r="AV407">
        <v>-5</v>
      </c>
      <c r="AW407">
        <v>-4.3</v>
      </c>
      <c r="AX407">
        <v>-5.9</v>
      </c>
      <c r="AY407">
        <v>-5</v>
      </c>
      <c r="AZ407">
        <v>12</v>
      </c>
      <c r="BA407">
        <v>10</v>
      </c>
      <c r="BB407">
        <v>10.4</v>
      </c>
      <c r="BC407">
        <v>10</v>
      </c>
      <c r="BD407">
        <v>4.0999999999999996</v>
      </c>
      <c r="BE407">
        <v>4</v>
      </c>
      <c r="BF407">
        <v>10.9</v>
      </c>
      <c r="BG407">
        <v>10</v>
      </c>
      <c r="BH407">
        <v>11.3</v>
      </c>
      <c r="BI407">
        <v>10</v>
      </c>
      <c r="BJ407">
        <v>10.8</v>
      </c>
      <c r="BK407">
        <v>9</v>
      </c>
      <c r="BL407">
        <v>20.100000000000001</v>
      </c>
      <c r="BM407">
        <v>19</v>
      </c>
      <c r="BN407">
        <v>23.4</v>
      </c>
      <c r="BO407">
        <v>19</v>
      </c>
      <c r="BP407">
        <v>21.4</v>
      </c>
      <c r="BQ407">
        <v>20</v>
      </c>
      <c r="BR407">
        <v>21.2</v>
      </c>
      <c r="BS407">
        <v>25</v>
      </c>
      <c r="BT407">
        <v>21.9</v>
      </c>
      <c r="BU407">
        <v>25</v>
      </c>
      <c r="BV407">
        <v>23.5</v>
      </c>
      <c r="BW407">
        <v>18</v>
      </c>
      <c r="BX407">
        <v>21.9</v>
      </c>
      <c r="BY407">
        <v>20</v>
      </c>
      <c r="BZ407">
        <v>21</v>
      </c>
      <c r="CA407">
        <v>20</v>
      </c>
      <c r="CB407">
        <v>10.5</v>
      </c>
      <c r="CC407">
        <v>10</v>
      </c>
      <c r="CD407">
        <v>11.6</v>
      </c>
      <c r="CE407">
        <v>10</v>
      </c>
      <c r="CF407">
        <v>11.6</v>
      </c>
      <c r="CG407">
        <v>9</v>
      </c>
      <c r="CH407">
        <v>11.8</v>
      </c>
      <c r="CI407">
        <v>9</v>
      </c>
    </row>
    <row r="408" spans="1:87" x14ac:dyDescent="0.35">
      <c r="A408" s="1">
        <v>46059.736805555556</v>
      </c>
      <c r="B408">
        <v>-18.399999999999999</v>
      </c>
      <c r="C408">
        <v>-19.3</v>
      </c>
      <c r="D408">
        <v>-25</v>
      </c>
      <c r="E408">
        <v>-18.899999999999999</v>
      </c>
      <c r="F408">
        <v>-18.2</v>
      </c>
      <c r="G408">
        <v>-25</v>
      </c>
      <c r="H408">
        <v>-15.4</v>
      </c>
      <c r="I408">
        <v>-12.3</v>
      </c>
      <c r="J408">
        <v>-25</v>
      </c>
      <c r="K408">
        <v>-15.2</v>
      </c>
      <c r="L408">
        <v>-15.9</v>
      </c>
      <c r="M408">
        <v>-25</v>
      </c>
      <c r="N408">
        <v>-16.100000000000001</v>
      </c>
      <c r="O408">
        <v>-16.399999999999999</v>
      </c>
      <c r="P408">
        <v>-25</v>
      </c>
      <c r="Q408">
        <v>-14.9</v>
      </c>
      <c r="R408">
        <v>-13.3</v>
      </c>
      <c r="S408">
        <v>-25</v>
      </c>
      <c r="T408">
        <v>1.9</v>
      </c>
      <c r="U408">
        <v>0.8</v>
      </c>
      <c r="V408">
        <v>2</v>
      </c>
      <c r="W408">
        <v>2</v>
      </c>
      <c r="X408">
        <v>-0.7</v>
      </c>
      <c r="Y408">
        <v>2</v>
      </c>
      <c r="Z408">
        <v>3.6</v>
      </c>
      <c r="AA408">
        <v>3</v>
      </c>
      <c r="AB408">
        <v>2</v>
      </c>
      <c r="AC408">
        <v>3.1</v>
      </c>
      <c r="AD408">
        <v>1.4</v>
      </c>
      <c r="AE408">
        <v>2</v>
      </c>
      <c r="AF408">
        <v>2.8</v>
      </c>
      <c r="AG408">
        <v>2.4</v>
      </c>
      <c r="AH408">
        <v>2</v>
      </c>
      <c r="AI408">
        <v>2.6</v>
      </c>
      <c r="AJ408">
        <v>1.7</v>
      </c>
      <c r="AK408">
        <v>2</v>
      </c>
      <c r="AL408">
        <v>5.5</v>
      </c>
      <c r="AM408">
        <v>4</v>
      </c>
      <c r="AN408">
        <v>5.8</v>
      </c>
      <c r="AO408">
        <v>4</v>
      </c>
      <c r="AP408">
        <v>5.8</v>
      </c>
      <c r="AQ408">
        <v>4</v>
      </c>
      <c r="AR408">
        <v>4.4000000000000004</v>
      </c>
      <c r="AS408">
        <v>4</v>
      </c>
      <c r="AT408">
        <v>-5.0999999999999996</v>
      </c>
      <c r="AU408">
        <v>-6.3</v>
      </c>
      <c r="AV408">
        <v>-5</v>
      </c>
      <c r="AW408">
        <v>-4.5999999999999996</v>
      </c>
      <c r="AX408">
        <v>-5.5</v>
      </c>
      <c r="AY408">
        <v>-5</v>
      </c>
      <c r="AZ408">
        <v>11.5</v>
      </c>
      <c r="BA408">
        <v>10</v>
      </c>
      <c r="BB408">
        <v>10.4</v>
      </c>
      <c r="BC408">
        <v>10</v>
      </c>
      <c r="BD408">
        <v>4.4000000000000004</v>
      </c>
      <c r="BE408">
        <v>4</v>
      </c>
      <c r="BF408">
        <v>11.2</v>
      </c>
      <c r="BG408">
        <v>10</v>
      </c>
      <c r="BH408">
        <v>11.3</v>
      </c>
      <c r="BI408">
        <v>10</v>
      </c>
      <c r="BJ408">
        <v>10.8</v>
      </c>
      <c r="BK408">
        <v>9</v>
      </c>
      <c r="BL408">
        <v>20.100000000000001</v>
      </c>
      <c r="BM408">
        <v>19</v>
      </c>
      <c r="BN408">
        <v>23.4</v>
      </c>
      <c r="BO408">
        <v>19</v>
      </c>
      <c r="BP408">
        <v>21.5</v>
      </c>
      <c r="BQ408">
        <v>20</v>
      </c>
      <c r="BR408">
        <v>21.3</v>
      </c>
      <c r="BS408">
        <v>25</v>
      </c>
      <c r="BT408">
        <v>21.9</v>
      </c>
      <c r="BU408">
        <v>25</v>
      </c>
      <c r="BV408">
        <v>23.5</v>
      </c>
      <c r="BW408">
        <v>18</v>
      </c>
      <c r="BX408">
        <v>21.9</v>
      </c>
      <c r="BY408">
        <v>20</v>
      </c>
      <c r="BZ408">
        <v>21.1</v>
      </c>
      <c r="CA408">
        <v>20</v>
      </c>
      <c r="CB408">
        <v>10.3</v>
      </c>
      <c r="CC408">
        <v>10</v>
      </c>
      <c r="CD408">
        <v>11.6</v>
      </c>
      <c r="CE408">
        <v>10</v>
      </c>
      <c r="CF408">
        <v>11.8</v>
      </c>
      <c r="CG408">
        <v>9</v>
      </c>
      <c r="CH408">
        <v>12</v>
      </c>
      <c r="CI408">
        <v>9</v>
      </c>
    </row>
    <row r="409" spans="1:87" x14ac:dyDescent="0.35">
      <c r="A409" s="1">
        <v>46059.737500000003</v>
      </c>
      <c r="B409">
        <v>-18.600000000000001</v>
      </c>
      <c r="C409">
        <v>-19.5</v>
      </c>
      <c r="D409">
        <v>-25</v>
      </c>
      <c r="E409">
        <v>-19.100000000000001</v>
      </c>
      <c r="F409">
        <v>-18.3</v>
      </c>
      <c r="G409">
        <v>-25</v>
      </c>
      <c r="H409">
        <v>-15.5</v>
      </c>
      <c r="I409">
        <v>-12.3</v>
      </c>
      <c r="J409">
        <v>-25</v>
      </c>
      <c r="K409">
        <v>-15.2</v>
      </c>
      <c r="L409">
        <v>-15.9</v>
      </c>
      <c r="M409">
        <v>-25</v>
      </c>
      <c r="N409">
        <v>-16.2</v>
      </c>
      <c r="O409">
        <v>-16.5</v>
      </c>
      <c r="P409">
        <v>-25</v>
      </c>
      <c r="Q409">
        <v>-14.9</v>
      </c>
      <c r="R409">
        <v>-12.9</v>
      </c>
      <c r="S409">
        <v>-25</v>
      </c>
      <c r="T409">
        <v>1.8</v>
      </c>
      <c r="U409">
        <v>1</v>
      </c>
      <c r="V409">
        <v>2</v>
      </c>
      <c r="W409">
        <v>1.9</v>
      </c>
      <c r="X409">
        <v>0.4</v>
      </c>
      <c r="Y409">
        <v>2</v>
      </c>
      <c r="Z409">
        <v>3.5</v>
      </c>
      <c r="AA409">
        <v>2.8</v>
      </c>
      <c r="AB409">
        <v>2</v>
      </c>
      <c r="AC409">
        <v>2.9</v>
      </c>
      <c r="AD409">
        <v>1.2</v>
      </c>
      <c r="AE409">
        <v>2</v>
      </c>
      <c r="AF409">
        <v>2.7</v>
      </c>
      <c r="AG409">
        <v>2.2999999999999998</v>
      </c>
      <c r="AH409">
        <v>2</v>
      </c>
      <c r="AI409">
        <v>2.4</v>
      </c>
      <c r="AJ409">
        <v>1.1000000000000001</v>
      </c>
      <c r="AK409">
        <v>2</v>
      </c>
      <c r="AL409">
        <v>5.6</v>
      </c>
      <c r="AM409">
        <v>4</v>
      </c>
      <c r="AN409">
        <v>5.9</v>
      </c>
      <c r="AO409">
        <v>4</v>
      </c>
      <c r="AP409">
        <v>5.9</v>
      </c>
      <c r="AQ409">
        <v>4</v>
      </c>
      <c r="AR409">
        <v>7.5</v>
      </c>
      <c r="AS409">
        <v>4</v>
      </c>
      <c r="AT409">
        <v>-5.0999999999999996</v>
      </c>
      <c r="AU409">
        <v>-5.7</v>
      </c>
      <c r="AV409">
        <v>-5</v>
      </c>
      <c r="AW409">
        <v>-4.5999999999999996</v>
      </c>
      <c r="AX409">
        <v>-4.7</v>
      </c>
      <c r="AY409">
        <v>-5</v>
      </c>
      <c r="AZ409">
        <v>10.9</v>
      </c>
      <c r="BA409">
        <v>10</v>
      </c>
      <c r="BB409">
        <v>10.4</v>
      </c>
      <c r="BC409">
        <v>10</v>
      </c>
      <c r="BD409">
        <v>4.5999999999999996</v>
      </c>
      <c r="BE409">
        <v>4</v>
      </c>
      <c r="BF409">
        <v>11.5</v>
      </c>
      <c r="BG409">
        <v>10</v>
      </c>
      <c r="BH409">
        <v>11.3</v>
      </c>
      <c r="BI409">
        <v>10</v>
      </c>
      <c r="BJ409">
        <v>10.8</v>
      </c>
      <c r="BK409">
        <v>9</v>
      </c>
      <c r="BL409">
        <v>20.100000000000001</v>
      </c>
      <c r="BM409">
        <v>19</v>
      </c>
      <c r="BN409">
        <v>23.4</v>
      </c>
      <c r="BO409">
        <v>19</v>
      </c>
      <c r="BP409">
        <v>21.5</v>
      </c>
      <c r="BQ409">
        <v>20</v>
      </c>
      <c r="BR409">
        <v>21.3</v>
      </c>
      <c r="BS409">
        <v>25</v>
      </c>
      <c r="BT409">
        <v>21.9</v>
      </c>
      <c r="BU409">
        <v>25</v>
      </c>
      <c r="BV409">
        <v>23.5</v>
      </c>
      <c r="BW409">
        <v>18</v>
      </c>
      <c r="BX409">
        <v>21.9</v>
      </c>
      <c r="BY409">
        <v>20</v>
      </c>
      <c r="BZ409">
        <v>21.1</v>
      </c>
      <c r="CA409">
        <v>20</v>
      </c>
      <c r="CB409">
        <v>10.199999999999999</v>
      </c>
      <c r="CC409">
        <v>10</v>
      </c>
      <c r="CD409">
        <v>11.6</v>
      </c>
      <c r="CE409">
        <v>10</v>
      </c>
      <c r="CF409">
        <v>11.9</v>
      </c>
      <c r="CG409">
        <v>9</v>
      </c>
      <c r="CH409">
        <v>12.2</v>
      </c>
      <c r="CI409">
        <v>9</v>
      </c>
    </row>
    <row r="410" spans="1:87" x14ac:dyDescent="0.35">
      <c r="A410" s="1">
        <v>46059.738194444442</v>
      </c>
      <c r="B410">
        <v>-18.7</v>
      </c>
      <c r="C410">
        <v>-19.3</v>
      </c>
      <c r="D410">
        <v>-25</v>
      </c>
      <c r="E410">
        <v>-19.100000000000001</v>
      </c>
      <c r="F410">
        <v>-18.399999999999999</v>
      </c>
      <c r="G410">
        <v>-25</v>
      </c>
      <c r="H410">
        <v>-15.6</v>
      </c>
      <c r="I410">
        <v>-12.4</v>
      </c>
      <c r="J410">
        <v>-25</v>
      </c>
      <c r="K410">
        <v>-15.3</v>
      </c>
      <c r="L410">
        <v>-16.100000000000001</v>
      </c>
      <c r="M410">
        <v>-25</v>
      </c>
      <c r="N410">
        <v>-16.3</v>
      </c>
      <c r="O410">
        <v>-17</v>
      </c>
      <c r="P410">
        <v>-25</v>
      </c>
      <c r="Q410">
        <v>-14.9</v>
      </c>
      <c r="R410">
        <v>-12.3</v>
      </c>
      <c r="S410">
        <v>-25</v>
      </c>
      <c r="T410">
        <v>1.8</v>
      </c>
      <c r="U410">
        <v>1.4</v>
      </c>
      <c r="V410">
        <v>2</v>
      </c>
      <c r="W410">
        <v>1.9</v>
      </c>
      <c r="X410">
        <v>0.9</v>
      </c>
      <c r="Y410">
        <v>2</v>
      </c>
      <c r="Z410">
        <v>3.3</v>
      </c>
      <c r="AA410">
        <v>2.6</v>
      </c>
      <c r="AB410">
        <v>2</v>
      </c>
      <c r="AC410">
        <v>2.8</v>
      </c>
      <c r="AD410">
        <v>1.3</v>
      </c>
      <c r="AE410">
        <v>2</v>
      </c>
      <c r="AF410">
        <v>2.4</v>
      </c>
      <c r="AG410">
        <v>2</v>
      </c>
      <c r="AH410">
        <v>2</v>
      </c>
      <c r="AI410">
        <v>2.2000000000000002</v>
      </c>
      <c r="AJ410">
        <v>1</v>
      </c>
      <c r="AK410">
        <v>2</v>
      </c>
      <c r="AL410">
        <v>5.6</v>
      </c>
      <c r="AM410">
        <v>4</v>
      </c>
      <c r="AN410">
        <v>5.9</v>
      </c>
      <c r="AO410">
        <v>4</v>
      </c>
      <c r="AP410">
        <v>6</v>
      </c>
      <c r="AQ410">
        <v>4</v>
      </c>
      <c r="AR410">
        <v>7.5</v>
      </c>
      <c r="AS410">
        <v>4</v>
      </c>
      <c r="AT410">
        <v>-4.5</v>
      </c>
      <c r="AU410">
        <v>-5</v>
      </c>
      <c r="AV410">
        <v>-5</v>
      </c>
      <c r="AW410">
        <v>-3.9</v>
      </c>
      <c r="AX410">
        <v>-4.0999999999999996</v>
      </c>
      <c r="AY410">
        <v>-5</v>
      </c>
      <c r="AZ410">
        <v>9.6999999999999993</v>
      </c>
      <c r="BA410">
        <v>10</v>
      </c>
      <c r="BB410">
        <v>10.4</v>
      </c>
      <c r="BC410">
        <v>10</v>
      </c>
      <c r="BD410">
        <v>4.9000000000000004</v>
      </c>
      <c r="BE410">
        <v>4</v>
      </c>
      <c r="BF410">
        <v>11.7</v>
      </c>
      <c r="BG410">
        <v>10</v>
      </c>
      <c r="BH410">
        <v>11.3</v>
      </c>
      <c r="BI410">
        <v>10</v>
      </c>
      <c r="BJ410">
        <v>10.8</v>
      </c>
      <c r="BK410">
        <v>9</v>
      </c>
      <c r="BL410">
        <v>20.2</v>
      </c>
      <c r="BM410">
        <v>19</v>
      </c>
      <c r="BN410">
        <v>23.4</v>
      </c>
      <c r="BO410">
        <v>19</v>
      </c>
      <c r="BP410">
        <v>21.5</v>
      </c>
      <c r="BQ410">
        <v>20</v>
      </c>
      <c r="BR410">
        <v>21.3</v>
      </c>
      <c r="BS410">
        <v>25</v>
      </c>
      <c r="BT410">
        <v>21.9</v>
      </c>
      <c r="BU410">
        <v>25</v>
      </c>
      <c r="BV410">
        <v>23.5</v>
      </c>
      <c r="BW410">
        <v>18</v>
      </c>
      <c r="BX410">
        <v>21.9</v>
      </c>
      <c r="BY410">
        <v>20</v>
      </c>
      <c r="BZ410">
        <v>21.2</v>
      </c>
      <c r="CA410">
        <v>20</v>
      </c>
      <c r="CB410">
        <v>10.1</v>
      </c>
      <c r="CC410">
        <v>10</v>
      </c>
      <c r="CD410">
        <v>11.7</v>
      </c>
      <c r="CE410">
        <v>10</v>
      </c>
      <c r="CF410">
        <v>11.8</v>
      </c>
      <c r="CG410">
        <v>9</v>
      </c>
      <c r="CH410">
        <v>12</v>
      </c>
      <c r="CI410">
        <v>9</v>
      </c>
    </row>
    <row r="411" spans="1:87" x14ac:dyDescent="0.35">
      <c r="A411" s="1">
        <v>46059.739583333336</v>
      </c>
      <c r="B411">
        <v>-18.3</v>
      </c>
      <c r="C411">
        <v>-18.3</v>
      </c>
      <c r="D411">
        <v>-25</v>
      </c>
      <c r="E411">
        <v>-18.3</v>
      </c>
      <c r="F411">
        <v>-18.399999999999999</v>
      </c>
      <c r="G411">
        <v>-25</v>
      </c>
      <c r="H411">
        <v>-15.8</v>
      </c>
      <c r="I411">
        <v>-12.6</v>
      </c>
      <c r="J411">
        <v>-25</v>
      </c>
      <c r="K411">
        <v>-15.5</v>
      </c>
      <c r="L411">
        <v>-16.399999999999999</v>
      </c>
      <c r="M411">
        <v>-25</v>
      </c>
      <c r="N411">
        <v>-16.7</v>
      </c>
      <c r="O411">
        <v>-17.600000000000001</v>
      </c>
      <c r="P411">
        <v>-25</v>
      </c>
      <c r="Q411">
        <v>-14.9</v>
      </c>
      <c r="R411">
        <v>-8</v>
      </c>
      <c r="S411">
        <v>-25</v>
      </c>
      <c r="T411">
        <v>2</v>
      </c>
      <c r="U411">
        <v>1.9</v>
      </c>
      <c r="V411">
        <v>2</v>
      </c>
      <c r="W411">
        <v>2.1</v>
      </c>
      <c r="X411">
        <v>1.5</v>
      </c>
      <c r="Y411">
        <v>2</v>
      </c>
      <c r="Z411">
        <v>3.2</v>
      </c>
      <c r="AA411">
        <v>2.6</v>
      </c>
      <c r="AB411">
        <v>2</v>
      </c>
      <c r="AC411">
        <v>2.7</v>
      </c>
      <c r="AD411">
        <v>2</v>
      </c>
      <c r="AE411">
        <v>2</v>
      </c>
      <c r="AF411">
        <v>2.2999999999999998</v>
      </c>
      <c r="AG411">
        <v>1.9</v>
      </c>
      <c r="AH411">
        <v>2</v>
      </c>
      <c r="AI411">
        <v>2.2000000000000002</v>
      </c>
      <c r="AJ411">
        <v>0.7</v>
      </c>
      <c r="AK411">
        <v>2</v>
      </c>
      <c r="AL411">
        <v>5.7</v>
      </c>
      <c r="AM411">
        <v>4</v>
      </c>
      <c r="AN411">
        <v>6</v>
      </c>
      <c r="AO411">
        <v>4</v>
      </c>
      <c r="AP411">
        <v>4.5</v>
      </c>
      <c r="AQ411">
        <v>4</v>
      </c>
      <c r="AR411">
        <v>5.7</v>
      </c>
      <c r="AS411">
        <v>4</v>
      </c>
      <c r="AT411">
        <v>-3.6</v>
      </c>
      <c r="AU411">
        <v>-3.8</v>
      </c>
      <c r="AV411">
        <v>-5</v>
      </c>
      <c r="AW411">
        <v>-4.8</v>
      </c>
      <c r="AX411">
        <v>-6.5</v>
      </c>
      <c r="AY411">
        <v>-5</v>
      </c>
      <c r="AZ411">
        <v>8.9</v>
      </c>
      <c r="BA411">
        <v>10</v>
      </c>
      <c r="BB411">
        <v>10.4</v>
      </c>
      <c r="BC411">
        <v>10</v>
      </c>
      <c r="BD411">
        <v>5.2</v>
      </c>
      <c r="BE411">
        <v>4</v>
      </c>
      <c r="BF411">
        <v>12</v>
      </c>
      <c r="BG411">
        <v>10</v>
      </c>
      <c r="BH411">
        <v>11.3</v>
      </c>
      <c r="BI411">
        <v>10</v>
      </c>
      <c r="BJ411">
        <v>10.8</v>
      </c>
      <c r="BK411">
        <v>9</v>
      </c>
      <c r="BL411">
        <v>20.2</v>
      </c>
      <c r="BM411">
        <v>19</v>
      </c>
      <c r="BN411">
        <v>23.4</v>
      </c>
      <c r="BO411">
        <v>19</v>
      </c>
      <c r="BP411">
        <v>21.5</v>
      </c>
      <c r="BQ411">
        <v>20</v>
      </c>
      <c r="BR411">
        <v>21.3</v>
      </c>
      <c r="BS411">
        <v>25</v>
      </c>
      <c r="BT411">
        <v>21.9</v>
      </c>
      <c r="BU411">
        <v>25</v>
      </c>
      <c r="BV411">
        <v>23.5</v>
      </c>
      <c r="BW411">
        <v>18</v>
      </c>
      <c r="BX411">
        <v>20.100000000000001</v>
      </c>
      <c r="BY411">
        <v>20</v>
      </c>
      <c r="BZ411">
        <v>21.2</v>
      </c>
      <c r="CA411">
        <v>20</v>
      </c>
      <c r="CB411">
        <v>10.199999999999999</v>
      </c>
      <c r="CC411">
        <v>10</v>
      </c>
      <c r="CD411">
        <v>11.7</v>
      </c>
      <c r="CE411">
        <v>10</v>
      </c>
      <c r="CF411">
        <v>11.8</v>
      </c>
      <c r="CG411">
        <v>9</v>
      </c>
      <c r="CH411">
        <v>12</v>
      </c>
      <c r="CI411">
        <v>9</v>
      </c>
    </row>
    <row r="412" spans="1:87" x14ac:dyDescent="0.35">
      <c r="A412" s="1">
        <v>46059.740277777775</v>
      </c>
      <c r="B412">
        <v>-18</v>
      </c>
      <c r="C412">
        <v>-18</v>
      </c>
      <c r="D412">
        <v>-25</v>
      </c>
      <c r="E412">
        <v>-18</v>
      </c>
      <c r="F412">
        <v>-18.2</v>
      </c>
      <c r="G412">
        <v>-25</v>
      </c>
      <c r="H412">
        <v>-16</v>
      </c>
      <c r="I412">
        <v>-12.8</v>
      </c>
      <c r="J412">
        <v>-25</v>
      </c>
      <c r="K412">
        <v>-15.6</v>
      </c>
      <c r="L412">
        <v>-16.5</v>
      </c>
      <c r="M412">
        <v>-25</v>
      </c>
      <c r="N412">
        <v>-16.899999999999999</v>
      </c>
      <c r="O412">
        <v>-17.8</v>
      </c>
      <c r="P412">
        <v>-25</v>
      </c>
      <c r="Q412">
        <v>-14.9</v>
      </c>
      <c r="R412">
        <v>-6.8</v>
      </c>
      <c r="S412">
        <v>-25</v>
      </c>
      <c r="T412">
        <v>2.2000000000000002</v>
      </c>
      <c r="U412">
        <v>2</v>
      </c>
      <c r="V412">
        <v>2</v>
      </c>
      <c r="W412">
        <v>2.2000000000000002</v>
      </c>
      <c r="X412">
        <v>1.7</v>
      </c>
      <c r="Y412">
        <v>2</v>
      </c>
      <c r="Z412">
        <v>3.2</v>
      </c>
      <c r="AA412">
        <v>2.6</v>
      </c>
      <c r="AB412">
        <v>2</v>
      </c>
      <c r="AC412">
        <v>2.7</v>
      </c>
      <c r="AD412">
        <v>2</v>
      </c>
      <c r="AE412">
        <v>2</v>
      </c>
      <c r="AF412">
        <v>2.2999999999999998</v>
      </c>
      <c r="AG412">
        <v>2</v>
      </c>
      <c r="AH412">
        <v>2</v>
      </c>
      <c r="AI412">
        <v>2.2000000000000002</v>
      </c>
      <c r="AJ412">
        <v>1.3</v>
      </c>
      <c r="AK412">
        <v>2</v>
      </c>
      <c r="AL412">
        <v>5.7</v>
      </c>
      <c r="AM412">
        <v>4</v>
      </c>
      <c r="AN412">
        <v>5.9</v>
      </c>
      <c r="AO412">
        <v>4</v>
      </c>
      <c r="AP412">
        <v>3.6</v>
      </c>
      <c r="AQ412">
        <v>4</v>
      </c>
      <c r="AR412">
        <v>5.5</v>
      </c>
      <c r="AS412">
        <v>4</v>
      </c>
      <c r="AT412">
        <v>-3.2</v>
      </c>
      <c r="AU412">
        <v>-3.4</v>
      </c>
      <c r="AV412">
        <v>-5</v>
      </c>
      <c r="AW412">
        <v>-5</v>
      </c>
      <c r="AX412">
        <v>-5.4</v>
      </c>
      <c r="AY412">
        <v>-5</v>
      </c>
      <c r="AZ412">
        <v>8.9</v>
      </c>
      <c r="BA412">
        <v>10</v>
      </c>
      <c r="BB412">
        <v>10.4</v>
      </c>
      <c r="BC412">
        <v>10</v>
      </c>
      <c r="BD412">
        <v>5.5</v>
      </c>
      <c r="BE412">
        <v>4</v>
      </c>
      <c r="BF412">
        <v>11.3</v>
      </c>
      <c r="BG412">
        <v>10</v>
      </c>
      <c r="BH412">
        <v>11.3</v>
      </c>
      <c r="BI412">
        <v>10</v>
      </c>
      <c r="BJ412">
        <v>10.8</v>
      </c>
      <c r="BK412">
        <v>9</v>
      </c>
      <c r="BL412">
        <v>20.3</v>
      </c>
      <c r="BM412">
        <v>19</v>
      </c>
      <c r="BN412">
        <v>23.4</v>
      </c>
      <c r="BO412">
        <v>19</v>
      </c>
      <c r="BP412">
        <v>21.5</v>
      </c>
      <c r="BQ412">
        <v>20</v>
      </c>
      <c r="BR412">
        <v>21.3</v>
      </c>
      <c r="BS412">
        <v>25</v>
      </c>
      <c r="BT412">
        <v>21.9</v>
      </c>
      <c r="BU412">
        <v>25</v>
      </c>
      <c r="BV412">
        <v>23.5</v>
      </c>
      <c r="BW412">
        <v>18</v>
      </c>
      <c r="BX412">
        <v>18.8</v>
      </c>
      <c r="BY412">
        <v>20</v>
      </c>
      <c r="BZ412">
        <v>21.3</v>
      </c>
      <c r="CA412">
        <v>20</v>
      </c>
      <c r="CB412">
        <v>10.6</v>
      </c>
      <c r="CC412">
        <v>10</v>
      </c>
      <c r="CD412">
        <v>11.7</v>
      </c>
      <c r="CE412">
        <v>10</v>
      </c>
      <c r="CF412">
        <v>11.8</v>
      </c>
      <c r="CG412">
        <v>9</v>
      </c>
      <c r="CH412">
        <v>12.1</v>
      </c>
      <c r="CI412">
        <v>9</v>
      </c>
    </row>
    <row r="413" spans="1:87" x14ac:dyDescent="0.35">
      <c r="A413" s="1">
        <v>46059.740972222222</v>
      </c>
      <c r="B413">
        <v>-17.7</v>
      </c>
      <c r="C413">
        <v>-17.7</v>
      </c>
      <c r="D413">
        <v>-25</v>
      </c>
      <c r="E413">
        <v>-17.600000000000001</v>
      </c>
      <c r="F413">
        <v>-18.100000000000001</v>
      </c>
      <c r="G413">
        <v>-25</v>
      </c>
      <c r="H413">
        <v>-16.100000000000001</v>
      </c>
      <c r="I413">
        <v>-12.9</v>
      </c>
      <c r="J413">
        <v>-25</v>
      </c>
      <c r="K413">
        <v>-15.7</v>
      </c>
      <c r="L413">
        <v>-16.600000000000001</v>
      </c>
      <c r="M413">
        <v>-25</v>
      </c>
      <c r="N413">
        <v>-17.100000000000001</v>
      </c>
      <c r="O413">
        <v>-18</v>
      </c>
      <c r="P413">
        <v>-25</v>
      </c>
      <c r="Q413">
        <v>-14.9</v>
      </c>
      <c r="R413">
        <v>-5.3</v>
      </c>
      <c r="S413">
        <v>-25</v>
      </c>
      <c r="T413">
        <v>2.2999999999999998</v>
      </c>
      <c r="U413">
        <v>2.1</v>
      </c>
      <c r="V413">
        <v>2</v>
      </c>
      <c r="W413">
        <v>2.2999999999999998</v>
      </c>
      <c r="X413">
        <v>1.8</v>
      </c>
      <c r="Y413">
        <v>2</v>
      </c>
      <c r="Z413">
        <v>3.2</v>
      </c>
      <c r="AA413">
        <v>2.6</v>
      </c>
      <c r="AB413">
        <v>2</v>
      </c>
      <c r="AC413">
        <v>2.7</v>
      </c>
      <c r="AD413">
        <v>2</v>
      </c>
      <c r="AE413">
        <v>2</v>
      </c>
      <c r="AF413">
        <v>2.2999999999999998</v>
      </c>
      <c r="AG413">
        <v>2</v>
      </c>
      <c r="AH413">
        <v>2</v>
      </c>
      <c r="AI413">
        <v>2.2000000000000002</v>
      </c>
      <c r="AJ413">
        <v>1.4</v>
      </c>
      <c r="AK413">
        <v>2</v>
      </c>
      <c r="AL413">
        <v>5.8</v>
      </c>
      <c r="AM413">
        <v>4</v>
      </c>
      <c r="AN413">
        <v>5.5</v>
      </c>
      <c r="AO413">
        <v>4</v>
      </c>
      <c r="AP413">
        <v>3.1</v>
      </c>
      <c r="AQ413">
        <v>4</v>
      </c>
      <c r="AR413">
        <v>5.5</v>
      </c>
      <c r="AS413">
        <v>4</v>
      </c>
      <c r="AT413">
        <v>-2.9</v>
      </c>
      <c r="AU413">
        <v>-3.3</v>
      </c>
      <c r="AV413">
        <v>-5</v>
      </c>
      <c r="AW413">
        <v>-4.4000000000000004</v>
      </c>
      <c r="AX413">
        <v>-4.4000000000000004</v>
      </c>
      <c r="AY413">
        <v>-5</v>
      </c>
      <c r="AZ413">
        <v>9</v>
      </c>
      <c r="BA413">
        <v>10</v>
      </c>
      <c r="BB413">
        <v>10.3</v>
      </c>
      <c r="BC413">
        <v>10</v>
      </c>
      <c r="BD413">
        <v>5.6</v>
      </c>
      <c r="BE413">
        <v>4</v>
      </c>
      <c r="BF413">
        <v>10.5</v>
      </c>
      <c r="BG413">
        <v>10</v>
      </c>
      <c r="BH413">
        <v>11.4</v>
      </c>
      <c r="BI413">
        <v>10</v>
      </c>
      <c r="BJ413">
        <v>10.8</v>
      </c>
      <c r="BK413">
        <v>9</v>
      </c>
      <c r="BL413">
        <v>20.3</v>
      </c>
      <c r="BM413">
        <v>19</v>
      </c>
      <c r="BN413">
        <v>23.4</v>
      </c>
      <c r="BO413">
        <v>19</v>
      </c>
      <c r="BP413">
        <v>21.6</v>
      </c>
      <c r="BQ413">
        <v>20</v>
      </c>
      <c r="BR413">
        <v>21.3</v>
      </c>
      <c r="BS413">
        <v>25</v>
      </c>
      <c r="BT413">
        <v>21.9</v>
      </c>
      <c r="BU413">
        <v>25</v>
      </c>
      <c r="BV413">
        <v>23.5</v>
      </c>
      <c r="BW413">
        <v>18</v>
      </c>
      <c r="BX413">
        <v>18.7</v>
      </c>
      <c r="BY413">
        <v>20</v>
      </c>
      <c r="BZ413">
        <v>21.3</v>
      </c>
      <c r="CA413">
        <v>20</v>
      </c>
      <c r="CB413">
        <v>11</v>
      </c>
      <c r="CC413">
        <v>10</v>
      </c>
      <c r="CD413">
        <v>11.7</v>
      </c>
      <c r="CE413">
        <v>10</v>
      </c>
      <c r="CF413">
        <v>11.8</v>
      </c>
      <c r="CG413">
        <v>9</v>
      </c>
      <c r="CH413">
        <v>12.1</v>
      </c>
      <c r="CI413">
        <v>9</v>
      </c>
    </row>
    <row r="414" spans="1:87" x14ac:dyDescent="0.35">
      <c r="A414" s="1">
        <v>46059.741666666669</v>
      </c>
      <c r="B414">
        <v>-17.5</v>
      </c>
      <c r="C414">
        <v>-17.5</v>
      </c>
      <c r="D414">
        <v>-25</v>
      </c>
      <c r="E414">
        <v>-17.399999999999999</v>
      </c>
      <c r="F414">
        <v>-17.8</v>
      </c>
      <c r="G414">
        <v>-25</v>
      </c>
      <c r="H414">
        <v>-16.2</v>
      </c>
      <c r="I414">
        <v>-13</v>
      </c>
      <c r="J414">
        <v>-25</v>
      </c>
      <c r="K414">
        <v>-15.7</v>
      </c>
      <c r="L414">
        <v>-16.8</v>
      </c>
      <c r="M414">
        <v>-25</v>
      </c>
      <c r="N414">
        <v>-17.3</v>
      </c>
      <c r="O414">
        <v>-18</v>
      </c>
      <c r="P414">
        <v>-25</v>
      </c>
      <c r="Q414">
        <v>-14.9</v>
      </c>
      <c r="R414">
        <v>-4</v>
      </c>
      <c r="S414">
        <v>-25</v>
      </c>
      <c r="T414">
        <v>2.4</v>
      </c>
      <c r="U414">
        <v>2.2999999999999998</v>
      </c>
      <c r="V414">
        <v>2</v>
      </c>
      <c r="W414">
        <v>2.4</v>
      </c>
      <c r="X414">
        <v>2</v>
      </c>
      <c r="Y414">
        <v>2</v>
      </c>
      <c r="Z414">
        <v>3.1</v>
      </c>
      <c r="AA414">
        <v>2.5</v>
      </c>
      <c r="AB414">
        <v>2</v>
      </c>
      <c r="AC414">
        <v>2.7</v>
      </c>
      <c r="AD414">
        <v>2</v>
      </c>
      <c r="AE414">
        <v>2</v>
      </c>
      <c r="AF414">
        <v>2.2999999999999998</v>
      </c>
      <c r="AG414">
        <v>1.9</v>
      </c>
      <c r="AH414">
        <v>2</v>
      </c>
      <c r="AI414">
        <v>2.1</v>
      </c>
      <c r="AJ414">
        <v>1</v>
      </c>
      <c r="AK414">
        <v>2</v>
      </c>
      <c r="AL414">
        <v>5.8</v>
      </c>
      <c r="AM414">
        <v>4</v>
      </c>
      <c r="AN414">
        <v>5.2</v>
      </c>
      <c r="AO414">
        <v>4</v>
      </c>
      <c r="AP414">
        <v>3.1</v>
      </c>
      <c r="AQ414">
        <v>4</v>
      </c>
      <c r="AR414">
        <v>5.8</v>
      </c>
      <c r="AS414">
        <v>4</v>
      </c>
      <c r="AT414">
        <v>-3.2</v>
      </c>
      <c r="AU414">
        <v>-5.3</v>
      </c>
      <c r="AV414">
        <v>-5</v>
      </c>
      <c r="AW414">
        <v>-3.8</v>
      </c>
      <c r="AX414">
        <v>-3.7</v>
      </c>
      <c r="AY414">
        <v>-5</v>
      </c>
      <c r="AZ414">
        <v>9.1999999999999993</v>
      </c>
      <c r="BA414">
        <v>10</v>
      </c>
      <c r="BB414">
        <v>10.199999999999999</v>
      </c>
      <c r="BC414">
        <v>10</v>
      </c>
      <c r="BD414">
        <v>5.8</v>
      </c>
      <c r="BE414">
        <v>4</v>
      </c>
      <c r="BF414">
        <v>9.9</v>
      </c>
      <c r="BG414">
        <v>10</v>
      </c>
      <c r="BH414">
        <v>11.4</v>
      </c>
      <c r="BI414">
        <v>10</v>
      </c>
      <c r="BJ414">
        <v>10.8</v>
      </c>
      <c r="BK414">
        <v>9</v>
      </c>
      <c r="BL414">
        <v>20.3</v>
      </c>
      <c r="BM414">
        <v>19</v>
      </c>
      <c r="BN414">
        <v>23.4</v>
      </c>
      <c r="BO414">
        <v>19</v>
      </c>
      <c r="BP414">
        <v>21.6</v>
      </c>
      <c r="BQ414">
        <v>20</v>
      </c>
      <c r="BR414">
        <v>21.3</v>
      </c>
      <c r="BS414">
        <v>25</v>
      </c>
      <c r="BT414">
        <v>21.9</v>
      </c>
      <c r="BU414">
        <v>25</v>
      </c>
      <c r="BV414">
        <v>23.5</v>
      </c>
      <c r="BW414">
        <v>18</v>
      </c>
      <c r="BX414">
        <v>19.2</v>
      </c>
      <c r="BY414">
        <v>20</v>
      </c>
      <c r="BZ414">
        <v>21.4</v>
      </c>
      <c r="CA414">
        <v>20</v>
      </c>
      <c r="CB414">
        <v>11.5</v>
      </c>
      <c r="CC414">
        <v>10</v>
      </c>
      <c r="CD414">
        <v>11.7</v>
      </c>
      <c r="CE414">
        <v>10</v>
      </c>
      <c r="CF414">
        <v>11.9</v>
      </c>
      <c r="CG414">
        <v>9</v>
      </c>
      <c r="CH414">
        <v>12.2</v>
      </c>
      <c r="CI414">
        <v>9</v>
      </c>
    </row>
    <row r="415" spans="1:87" x14ac:dyDescent="0.35">
      <c r="A415" s="1">
        <v>46059.742361111108</v>
      </c>
      <c r="B415">
        <v>-17.2</v>
      </c>
      <c r="C415">
        <v>-17.2</v>
      </c>
      <c r="D415">
        <v>-25</v>
      </c>
      <c r="E415">
        <v>-17.100000000000001</v>
      </c>
      <c r="F415">
        <v>-17.600000000000001</v>
      </c>
      <c r="G415">
        <v>-25</v>
      </c>
      <c r="H415">
        <v>-16.3</v>
      </c>
      <c r="I415">
        <v>-13.2</v>
      </c>
      <c r="J415">
        <v>-25</v>
      </c>
      <c r="K415">
        <v>-15.8</v>
      </c>
      <c r="L415">
        <v>-16.899999999999999</v>
      </c>
      <c r="M415">
        <v>-25</v>
      </c>
      <c r="N415">
        <v>-17.3</v>
      </c>
      <c r="O415">
        <v>-18.100000000000001</v>
      </c>
      <c r="P415">
        <v>-25</v>
      </c>
      <c r="Q415">
        <v>-14.9</v>
      </c>
      <c r="R415">
        <v>-3.4</v>
      </c>
      <c r="S415">
        <v>-25</v>
      </c>
      <c r="T415">
        <v>2.5</v>
      </c>
      <c r="U415">
        <v>2.4</v>
      </c>
      <c r="V415">
        <v>2</v>
      </c>
      <c r="W415">
        <v>2.5</v>
      </c>
      <c r="X415">
        <v>2.2000000000000002</v>
      </c>
      <c r="Y415">
        <v>2</v>
      </c>
      <c r="Z415">
        <v>3.1</v>
      </c>
      <c r="AA415">
        <v>2.5</v>
      </c>
      <c r="AB415">
        <v>2</v>
      </c>
      <c r="AC415">
        <v>2.7</v>
      </c>
      <c r="AD415">
        <v>2</v>
      </c>
      <c r="AE415">
        <v>2</v>
      </c>
      <c r="AF415">
        <v>2.2000000000000002</v>
      </c>
      <c r="AG415">
        <v>1.8</v>
      </c>
      <c r="AH415">
        <v>2</v>
      </c>
      <c r="AI415">
        <v>2</v>
      </c>
      <c r="AJ415">
        <v>1.1000000000000001</v>
      </c>
      <c r="AK415">
        <v>2</v>
      </c>
      <c r="AL415">
        <v>5.9</v>
      </c>
      <c r="AM415">
        <v>4</v>
      </c>
      <c r="AN415">
        <v>5</v>
      </c>
      <c r="AO415">
        <v>4</v>
      </c>
      <c r="AP415">
        <v>3.1</v>
      </c>
      <c r="AQ415">
        <v>4</v>
      </c>
      <c r="AR415">
        <v>6</v>
      </c>
      <c r="AS415">
        <v>4</v>
      </c>
      <c r="AT415">
        <v>-3.7</v>
      </c>
      <c r="AU415">
        <v>-6.2</v>
      </c>
      <c r="AV415">
        <v>-5</v>
      </c>
      <c r="AW415">
        <v>-3.7</v>
      </c>
      <c r="AX415">
        <v>-3.6</v>
      </c>
      <c r="AY415">
        <v>-5</v>
      </c>
      <c r="AZ415">
        <v>9.5</v>
      </c>
      <c r="BA415">
        <v>10</v>
      </c>
      <c r="BB415">
        <v>10</v>
      </c>
      <c r="BC415">
        <v>10</v>
      </c>
      <c r="BD415">
        <v>5.9</v>
      </c>
      <c r="BE415">
        <v>4</v>
      </c>
      <c r="BF415">
        <v>9.4</v>
      </c>
      <c r="BG415">
        <v>10</v>
      </c>
      <c r="BH415">
        <v>11.4</v>
      </c>
      <c r="BI415">
        <v>10</v>
      </c>
      <c r="BJ415">
        <v>10.8</v>
      </c>
      <c r="BK415">
        <v>9</v>
      </c>
      <c r="BL415">
        <v>20.3</v>
      </c>
      <c r="BM415">
        <v>19</v>
      </c>
      <c r="BN415">
        <v>23.4</v>
      </c>
      <c r="BO415">
        <v>19</v>
      </c>
      <c r="BP415">
        <v>21.6</v>
      </c>
      <c r="BQ415">
        <v>20</v>
      </c>
      <c r="BR415">
        <v>21.3</v>
      </c>
      <c r="BS415">
        <v>25</v>
      </c>
      <c r="BT415">
        <v>21.9</v>
      </c>
      <c r="BU415">
        <v>25</v>
      </c>
      <c r="BV415">
        <v>23.5</v>
      </c>
      <c r="BW415">
        <v>18</v>
      </c>
      <c r="BX415">
        <v>19.5</v>
      </c>
      <c r="BY415">
        <v>20</v>
      </c>
      <c r="BZ415">
        <v>21.4</v>
      </c>
      <c r="CA415">
        <v>20</v>
      </c>
      <c r="CB415">
        <v>11.8</v>
      </c>
      <c r="CC415">
        <v>10</v>
      </c>
      <c r="CD415">
        <v>11.7</v>
      </c>
      <c r="CE415">
        <v>10</v>
      </c>
      <c r="CF415">
        <v>11.9</v>
      </c>
      <c r="CG415">
        <v>9</v>
      </c>
      <c r="CH415">
        <v>12</v>
      </c>
      <c r="CI415">
        <v>9</v>
      </c>
    </row>
    <row r="416" spans="1:87" x14ac:dyDescent="0.35">
      <c r="A416" s="1">
        <v>46059.743055555555</v>
      </c>
      <c r="B416">
        <v>-17</v>
      </c>
      <c r="C416">
        <v>-17</v>
      </c>
      <c r="D416">
        <v>-25</v>
      </c>
      <c r="E416">
        <v>-16.899999999999999</v>
      </c>
      <c r="F416">
        <v>-17.399999999999999</v>
      </c>
      <c r="G416">
        <v>-25</v>
      </c>
      <c r="H416">
        <v>-16.5</v>
      </c>
      <c r="I416">
        <v>-13.3</v>
      </c>
      <c r="J416">
        <v>-25</v>
      </c>
      <c r="K416">
        <v>-16</v>
      </c>
      <c r="L416">
        <v>-17</v>
      </c>
      <c r="M416">
        <v>-25</v>
      </c>
      <c r="N416">
        <v>-17.5</v>
      </c>
      <c r="O416">
        <v>-18.2</v>
      </c>
      <c r="P416">
        <v>-25</v>
      </c>
      <c r="Q416">
        <v>-14.9</v>
      </c>
      <c r="R416">
        <v>-3.2</v>
      </c>
      <c r="S416">
        <v>-25</v>
      </c>
      <c r="T416">
        <v>2.7</v>
      </c>
      <c r="U416">
        <v>2.6</v>
      </c>
      <c r="V416">
        <v>2</v>
      </c>
      <c r="W416">
        <v>2.6</v>
      </c>
      <c r="X416">
        <v>2.2999999999999998</v>
      </c>
      <c r="Y416">
        <v>2</v>
      </c>
      <c r="Z416">
        <v>3.1</v>
      </c>
      <c r="AA416">
        <v>2.5</v>
      </c>
      <c r="AB416">
        <v>2</v>
      </c>
      <c r="AC416">
        <v>2.7</v>
      </c>
      <c r="AD416">
        <v>2</v>
      </c>
      <c r="AE416">
        <v>2</v>
      </c>
      <c r="AF416">
        <v>2.2000000000000002</v>
      </c>
      <c r="AG416">
        <v>1.8</v>
      </c>
      <c r="AH416">
        <v>2</v>
      </c>
      <c r="AI416">
        <v>2</v>
      </c>
      <c r="AJ416">
        <v>1.6</v>
      </c>
      <c r="AK416">
        <v>2</v>
      </c>
      <c r="AL416">
        <v>5.9</v>
      </c>
      <c r="AM416">
        <v>4</v>
      </c>
      <c r="AN416">
        <v>4.7</v>
      </c>
      <c r="AO416">
        <v>4</v>
      </c>
      <c r="AP416">
        <v>3.4</v>
      </c>
      <c r="AQ416">
        <v>4</v>
      </c>
      <c r="AR416">
        <v>6.2</v>
      </c>
      <c r="AS416">
        <v>4</v>
      </c>
      <c r="AT416">
        <v>-4.3</v>
      </c>
      <c r="AU416">
        <v>-7.1</v>
      </c>
      <c r="AV416">
        <v>-5</v>
      </c>
      <c r="AW416">
        <v>-3.3</v>
      </c>
      <c r="AX416">
        <v>-3.2</v>
      </c>
      <c r="AY416">
        <v>-5</v>
      </c>
      <c r="AZ416">
        <v>9.6</v>
      </c>
      <c r="BA416">
        <v>10</v>
      </c>
      <c r="BB416">
        <v>10</v>
      </c>
      <c r="BC416">
        <v>10</v>
      </c>
      <c r="BD416">
        <v>6</v>
      </c>
      <c r="BE416">
        <v>4</v>
      </c>
      <c r="BF416">
        <v>9.5</v>
      </c>
      <c r="BG416">
        <v>10</v>
      </c>
      <c r="BH416">
        <v>11.4</v>
      </c>
      <c r="BI416">
        <v>10</v>
      </c>
      <c r="BJ416">
        <v>10.8</v>
      </c>
      <c r="BK416">
        <v>9</v>
      </c>
      <c r="BL416">
        <v>20.399999999999999</v>
      </c>
      <c r="BM416">
        <v>19</v>
      </c>
      <c r="BN416">
        <v>23.4</v>
      </c>
      <c r="BO416">
        <v>19</v>
      </c>
      <c r="BP416">
        <v>21.6</v>
      </c>
      <c r="BQ416">
        <v>20</v>
      </c>
      <c r="BR416">
        <v>21.4</v>
      </c>
      <c r="BS416">
        <v>25</v>
      </c>
      <c r="BT416">
        <v>21.9</v>
      </c>
      <c r="BU416">
        <v>25</v>
      </c>
      <c r="BV416">
        <v>23.5</v>
      </c>
      <c r="BW416">
        <v>18</v>
      </c>
      <c r="BX416">
        <v>19.899999999999999</v>
      </c>
      <c r="BY416">
        <v>20</v>
      </c>
      <c r="BZ416">
        <v>21.4</v>
      </c>
      <c r="CA416">
        <v>20</v>
      </c>
      <c r="CB416">
        <v>12</v>
      </c>
      <c r="CC416">
        <v>10</v>
      </c>
      <c r="CD416">
        <v>11.7</v>
      </c>
      <c r="CE416">
        <v>10</v>
      </c>
      <c r="CF416">
        <v>11.6</v>
      </c>
      <c r="CG416">
        <v>9</v>
      </c>
      <c r="CH416">
        <v>11.9</v>
      </c>
      <c r="CI416">
        <v>9</v>
      </c>
    </row>
    <row r="417" spans="1:87" x14ac:dyDescent="0.35">
      <c r="A417" s="1">
        <v>46059.743750000001</v>
      </c>
      <c r="B417">
        <v>-16.8</v>
      </c>
      <c r="C417">
        <v>-16.7</v>
      </c>
      <c r="D417">
        <v>-25</v>
      </c>
      <c r="E417">
        <v>-16.600000000000001</v>
      </c>
      <c r="F417">
        <v>-17.2</v>
      </c>
      <c r="G417">
        <v>-25</v>
      </c>
      <c r="H417">
        <v>-16.5</v>
      </c>
      <c r="I417">
        <v>-13.4</v>
      </c>
      <c r="J417">
        <v>-25</v>
      </c>
      <c r="K417">
        <v>-16</v>
      </c>
      <c r="L417">
        <v>-17.100000000000001</v>
      </c>
      <c r="M417">
        <v>-25</v>
      </c>
      <c r="N417">
        <v>-17.600000000000001</v>
      </c>
      <c r="O417">
        <v>-18.2</v>
      </c>
      <c r="P417">
        <v>-25</v>
      </c>
      <c r="Q417">
        <v>-14.9</v>
      </c>
      <c r="R417">
        <v>0.4</v>
      </c>
      <c r="S417">
        <v>-25</v>
      </c>
      <c r="T417">
        <v>2.7</v>
      </c>
      <c r="U417">
        <v>2.7</v>
      </c>
      <c r="V417">
        <v>2</v>
      </c>
      <c r="W417">
        <v>2.7</v>
      </c>
      <c r="X417">
        <v>2.5</v>
      </c>
      <c r="Y417">
        <v>2</v>
      </c>
      <c r="Z417">
        <v>3.1</v>
      </c>
      <c r="AA417">
        <v>2.5</v>
      </c>
      <c r="AB417">
        <v>2</v>
      </c>
      <c r="AC417">
        <v>2.6</v>
      </c>
      <c r="AD417">
        <v>2</v>
      </c>
      <c r="AE417">
        <v>2</v>
      </c>
      <c r="AF417">
        <v>2.2999999999999998</v>
      </c>
      <c r="AG417">
        <v>2.1</v>
      </c>
      <c r="AH417">
        <v>2</v>
      </c>
      <c r="AI417">
        <v>2.2000000000000002</v>
      </c>
      <c r="AJ417">
        <v>1.9</v>
      </c>
      <c r="AK417">
        <v>2</v>
      </c>
      <c r="AL417">
        <v>5.9</v>
      </c>
      <c r="AM417">
        <v>4</v>
      </c>
      <c r="AN417">
        <v>4.5</v>
      </c>
      <c r="AO417">
        <v>4</v>
      </c>
      <c r="AP417">
        <v>3.7</v>
      </c>
      <c r="AQ417">
        <v>4</v>
      </c>
      <c r="AR417">
        <v>6.4</v>
      </c>
      <c r="AS417">
        <v>4</v>
      </c>
      <c r="AT417">
        <v>-4.9000000000000004</v>
      </c>
      <c r="AU417">
        <v>-7</v>
      </c>
      <c r="AV417">
        <v>-5</v>
      </c>
      <c r="AW417">
        <v>-2.9</v>
      </c>
      <c r="AX417">
        <v>-2.7</v>
      </c>
      <c r="AY417">
        <v>-5</v>
      </c>
      <c r="AZ417">
        <v>9.8000000000000007</v>
      </c>
      <c r="BA417">
        <v>10</v>
      </c>
      <c r="BB417">
        <v>10.1</v>
      </c>
      <c r="BC417">
        <v>10</v>
      </c>
      <c r="BD417">
        <v>5.9</v>
      </c>
      <c r="BE417">
        <v>4</v>
      </c>
      <c r="BF417">
        <v>9.8000000000000007</v>
      </c>
      <c r="BG417">
        <v>10</v>
      </c>
      <c r="BH417">
        <v>11.4</v>
      </c>
      <c r="BI417">
        <v>10</v>
      </c>
      <c r="BJ417">
        <v>10.8</v>
      </c>
      <c r="BK417">
        <v>9</v>
      </c>
      <c r="BL417">
        <v>20.399999999999999</v>
      </c>
      <c r="BM417">
        <v>19</v>
      </c>
      <c r="BN417">
        <v>23.4</v>
      </c>
      <c r="BO417">
        <v>19</v>
      </c>
      <c r="BP417">
        <v>21.6</v>
      </c>
      <c r="BQ417">
        <v>20</v>
      </c>
      <c r="BR417">
        <v>21.4</v>
      </c>
      <c r="BS417">
        <v>25</v>
      </c>
      <c r="BT417">
        <v>21.9</v>
      </c>
      <c r="BU417">
        <v>25</v>
      </c>
      <c r="BV417">
        <v>23.5</v>
      </c>
      <c r="BW417">
        <v>18</v>
      </c>
      <c r="BX417">
        <v>20.100000000000001</v>
      </c>
      <c r="BY417">
        <v>20</v>
      </c>
      <c r="BZ417">
        <v>21.5</v>
      </c>
      <c r="CA417">
        <v>20</v>
      </c>
      <c r="CB417">
        <v>12.1</v>
      </c>
      <c r="CC417">
        <v>10</v>
      </c>
      <c r="CD417">
        <v>11.7</v>
      </c>
      <c r="CE417">
        <v>10</v>
      </c>
      <c r="CF417">
        <v>11.6</v>
      </c>
      <c r="CG417">
        <v>9</v>
      </c>
      <c r="CH417">
        <v>11.9</v>
      </c>
      <c r="CI417">
        <v>9</v>
      </c>
    </row>
    <row r="418" spans="1:87" x14ac:dyDescent="0.35">
      <c r="A418" s="1">
        <v>46059.744444444441</v>
      </c>
      <c r="B418">
        <v>-16.600000000000001</v>
      </c>
      <c r="C418">
        <v>-16.5</v>
      </c>
      <c r="D418">
        <v>-25</v>
      </c>
      <c r="E418">
        <v>-16.399999999999999</v>
      </c>
      <c r="F418">
        <v>-16.899999999999999</v>
      </c>
      <c r="G418">
        <v>-25</v>
      </c>
      <c r="H418">
        <v>-16.7</v>
      </c>
      <c r="I418">
        <v>-13.5</v>
      </c>
      <c r="J418">
        <v>-25</v>
      </c>
      <c r="K418">
        <v>-16.100000000000001</v>
      </c>
      <c r="L418">
        <v>-17.2</v>
      </c>
      <c r="M418">
        <v>-25</v>
      </c>
      <c r="N418">
        <v>-17.600000000000001</v>
      </c>
      <c r="O418">
        <v>-18.399999999999999</v>
      </c>
      <c r="P418">
        <v>-25</v>
      </c>
      <c r="Q418">
        <v>-14.9</v>
      </c>
      <c r="R418">
        <v>0</v>
      </c>
      <c r="S418">
        <v>-25</v>
      </c>
      <c r="T418">
        <v>2.9</v>
      </c>
      <c r="U418">
        <v>2.8</v>
      </c>
      <c r="V418">
        <v>2</v>
      </c>
      <c r="W418">
        <v>2.9</v>
      </c>
      <c r="X418">
        <v>2.6</v>
      </c>
      <c r="Y418">
        <v>2</v>
      </c>
      <c r="Z418">
        <v>3</v>
      </c>
      <c r="AA418">
        <v>2.5</v>
      </c>
      <c r="AB418">
        <v>2</v>
      </c>
      <c r="AC418">
        <v>2.6</v>
      </c>
      <c r="AD418">
        <v>2</v>
      </c>
      <c r="AE418">
        <v>2</v>
      </c>
      <c r="AF418">
        <v>2.5</v>
      </c>
      <c r="AG418">
        <v>2.4</v>
      </c>
      <c r="AH418">
        <v>2</v>
      </c>
      <c r="AI418">
        <v>2.4</v>
      </c>
      <c r="AJ418">
        <v>2.2000000000000002</v>
      </c>
      <c r="AK418">
        <v>2</v>
      </c>
      <c r="AL418">
        <v>6</v>
      </c>
      <c r="AM418">
        <v>4</v>
      </c>
      <c r="AN418">
        <v>4.3</v>
      </c>
      <c r="AO418">
        <v>4</v>
      </c>
      <c r="AP418">
        <v>4</v>
      </c>
      <c r="AQ418">
        <v>4</v>
      </c>
      <c r="AR418">
        <v>6.6</v>
      </c>
      <c r="AS418">
        <v>4</v>
      </c>
      <c r="AT418">
        <v>-4.8</v>
      </c>
      <c r="AU418">
        <v>-5.6</v>
      </c>
      <c r="AV418">
        <v>-5</v>
      </c>
      <c r="AW418">
        <v>-2.6</v>
      </c>
      <c r="AX418">
        <v>-2.5</v>
      </c>
      <c r="AY418">
        <v>-5</v>
      </c>
      <c r="AZ418">
        <v>10</v>
      </c>
      <c r="BA418">
        <v>10</v>
      </c>
      <c r="BB418">
        <v>10.5</v>
      </c>
      <c r="BC418">
        <v>10</v>
      </c>
      <c r="BD418">
        <v>5.5</v>
      </c>
      <c r="BE418">
        <v>4</v>
      </c>
      <c r="BF418">
        <v>10.199999999999999</v>
      </c>
      <c r="BG418">
        <v>10</v>
      </c>
      <c r="BH418">
        <v>11.7</v>
      </c>
      <c r="BI418">
        <v>10</v>
      </c>
      <c r="BJ418">
        <v>10.8</v>
      </c>
      <c r="BK418">
        <v>9</v>
      </c>
      <c r="BL418">
        <v>20.399999999999999</v>
      </c>
      <c r="BM418">
        <v>19</v>
      </c>
      <c r="BN418">
        <v>23.4</v>
      </c>
      <c r="BO418">
        <v>19</v>
      </c>
      <c r="BP418">
        <v>21.6</v>
      </c>
      <c r="BQ418">
        <v>20</v>
      </c>
      <c r="BR418">
        <v>21.4</v>
      </c>
      <c r="BS418">
        <v>25</v>
      </c>
      <c r="BT418">
        <v>21.9</v>
      </c>
      <c r="BU418">
        <v>25</v>
      </c>
      <c r="BV418">
        <v>23.5</v>
      </c>
      <c r="BW418">
        <v>18</v>
      </c>
      <c r="BX418">
        <v>20.3</v>
      </c>
      <c r="BY418">
        <v>20</v>
      </c>
      <c r="BZ418">
        <v>21.5</v>
      </c>
      <c r="CA418">
        <v>20</v>
      </c>
      <c r="CB418">
        <v>11.8</v>
      </c>
      <c r="CC418">
        <v>10</v>
      </c>
      <c r="CD418">
        <v>11.7</v>
      </c>
      <c r="CE418">
        <v>10</v>
      </c>
      <c r="CF418">
        <v>11.4</v>
      </c>
      <c r="CG418">
        <v>9</v>
      </c>
      <c r="CH418">
        <v>11.6</v>
      </c>
      <c r="CI418">
        <v>9</v>
      </c>
    </row>
    <row r="419" spans="1:87" x14ac:dyDescent="0.35">
      <c r="A419" s="1">
        <v>46059.745138888888</v>
      </c>
      <c r="B419">
        <v>-16.5</v>
      </c>
      <c r="C419">
        <v>-16.399999999999999</v>
      </c>
      <c r="D419">
        <v>-25</v>
      </c>
      <c r="E419">
        <v>-16.3</v>
      </c>
      <c r="F419">
        <v>-16.7</v>
      </c>
      <c r="G419">
        <v>-25</v>
      </c>
      <c r="H419">
        <v>-16.8</v>
      </c>
      <c r="I419">
        <v>-13.6</v>
      </c>
      <c r="J419">
        <v>-25</v>
      </c>
      <c r="K419">
        <v>-16.2</v>
      </c>
      <c r="L419">
        <v>-17.2</v>
      </c>
      <c r="M419">
        <v>-25</v>
      </c>
      <c r="N419">
        <v>-17.7</v>
      </c>
      <c r="O419">
        <v>-18.600000000000001</v>
      </c>
      <c r="P419">
        <v>-25</v>
      </c>
      <c r="Q419">
        <v>-14.9</v>
      </c>
      <c r="R419">
        <v>0.8</v>
      </c>
      <c r="S419">
        <v>-25</v>
      </c>
      <c r="T419">
        <v>3</v>
      </c>
      <c r="U419">
        <v>2.9</v>
      </c>
      <c r="V419">
        <v>2</v>
      </c>
      <c r="W419">
        <v>3</v>
      </c>
      <c r="X419">
        <v>2.7</v>
      </c>
      <c r="Y419">
        <v>2</v>
      </c>
      <c r="Z419">
        <v>3</v>
      </c>
      <c r="AA419">
        <v>2.4</v>
      </c>
      <c r="AB419">
        <v>2</v>
      </c>
      <c r="AC419">
        <v>2.5</v>
      </c>
      <c r="AD419">
        <v>1.9</v>
      </c>
      <c r="AE419">
        <v>2</v>
      </c>
      <c r="AF419">
        <v>2.7</v>
      </c>
      <c r="AG419">
        <v>2.5</v>
      </c>
      <c r="AH419">
        <v>2</v>
      </c>
      <c r="AI419">
        <v>2.6</v>
      </c>
      <c r="AJ419">
        <v>2.4</v>
      </c>
      <c r="AK419">
        <v>2</v>
      </c>
      <c r="AL419">
        <v>6</v>
      </c>
      <c r="AM419">
        <v>4</v>
      </c>
      <c r="AN419">
        <v>4.0999999999999996</v>
      </c>
      <c r="AO419">
        <v>4</v>
      </c>
      <c r="AP419">
        <v>4.3</v>
      </c>
      <c r="AQ419">
        <v>4</v>
      </c>
      <c r="AR419">
        <v>6.8</v>
      </c>
      <c r="AS419">
        <v>4</v>
      </c>
      <c r="AT419">
        <v>-4.3</v>
      </c>
      <c r="AU419">
        <v>-4.8</v>
      </c>
      <c r="AV419">
        <v>-5</v>
      </c>
      <c r="AW419">
        <v>-2.2999999999999998</v>
      </c>
      <c r="AX419">
        <v>-2.1</v>
      </c>
      <c r="AY419">
        <v>-5</v>
      </c>
      <c r="AZ419">
        <v>10.1</v>
      </c>
      <c r="BA419">
        <v>10</v>
      </c>
      <c r="BB419">
        <v>10.8</v>
      </c>
      <c r="BC419">
        <v>10</v>
      </c>
      <c r="BD419">
        <v>5.2</v>
      </c>
      <c r="BE419">
        <v>4</v>
      </c>
      <c r="BF419">
        <v>10.7</v>
      </c>
      <c r="BG419">
        <v>10</v>
      </c>
      <c r="BH419">
        <v>11.7</v>
      </c>
      <c r="BI419">
        <v>10</v>
      </c>
      <c r="BJ419">
        <v>10.8</v>
      </c>
      <c r="BK419">
        <v>9</v>
      </c>
      <c r="BL419">
        <v>20.399999999999999</v>
      </c>
      <c r="BM419">
        <v>19</v>
      </c>
      <c r="BN419">
        <v>23.4</v>
      </c>
      <c r="BO419">
        <v>19</v>
      </c>
      <c r="BP419">
        <v>21.6</v>
      </c>
      <c r="BQ419">
        <v>20</v>
      </c>
      <c r="BR419">
        <v>21.4</v>
      </c>
      <c r="BS419">
        <v>25</v>
      </c>
      <c r="BT419">
        <v>21.9</v>
      </c>
      <c r="BU419">
        <v>25</v>
      </c>
      <c r="BV419">
        <v>23.5</v>
      </c>
      <c r="BW419">
        <v>18</v>
      </c>
      <c r="BX419">
        <v>20.399999999999999</v>
      </c>
      <c r="BY419">
        <v>20</v>
      </c>
      <c r="BZ419">
        <v>21.5</v>
      </c>
      <c r="CA419">
        <v>20</v>
      </c>
      <c r="CB419">
        <v>11.5</v>
      </c>
      <c r="CC419">
        <v>10</v>
      </c>
      <c r="CD419">
        <v>11.7</v>
      </c>
      <c r="CE419">
        <v>10</v>
      </c>
      <c r="CF419">
        <v>11.4</v>
      </c>
      <c r="CG419">
        <v>9</v>
      </c>
      <c r="CH419">
        <v>11.6</v>
      </c>
      <c r="CI419">
        <v>9</v>
      </c>
    </row>
    <row r="420" spans="1:87" x14ac:dyDescent="0.35">
      <c r="A420" s="1">
        <v>46059.745833333334</v>
      </c>
      <c r="B420">
        <v>-16.3</v>
      </c>
      <c r="C420">
        <v>-16.2</v>
      </c>
      <c r="D420">
        <v>-25</v>
      </c>
      <c r="E420">
        <v>-16.2</v>
      </c>
      <c r="F420">
        <v>-16.600000000000001</v>
      </c>
      <c r="G420">
        <v>-25</v>
      </c>
      <c r="H420">
        <v>-16.8</v>
      </c>
      <c r="I420">
        <v>-13</v>
      </c>
      <c r="J420">
        <v>-25</v>
      </c>
      <c r="K420">
        <v>-16.2</v>
      </c>
      <c r="L420">
        <v>-17.3</v>
      </c>
      <c r="M420">
        <v>-25</v>
      </c>
      <c r="N420">
        <v>-17.8</v>
      </c>
      <c r="O420">
        <v>-18.7</v>
      </c>
      <c r="P420">
        <v>-25</v>
      </c>
      <c r="Q420">
        <v>-14.9</v>
      </c>
      <c r="R420">
        <v>0.3</v>
      </c>
      <c r="S420">
        <v>-25</v>
      </c>
      <c r="T420">
        <v>3</v>
      </c>
      <c r="U420">
        <v>3</v>
      </c>
      <c r="V420">
        <v>2</v>
      </c>
      <c r="W420">
        <v>3.1</v>
      </c>
      <c r="X420">
        <v>2.8</v>
      </c>
      <c r="Y420">
        <v>2</v>
      </c>
      <c r="Z420">
        <v>2.9</v>
      </c>
      <c r="AA420">
        <v>2.4</v>
      </c>
      <c r="AB420">
        <v>2</v>
      </c>
      <c r="AC420">
        <v>2.5</v>
      </c>
      <c r="AD420">
        <v>1.4</v>
      </c>
      <c r="AE420">
        <v>2</v>
      </c>
      <c r="AF420">
        <v>2.9</v>
      </c>
      <c r="AG420">
        <v>2.7</v>
      </c>
      <c r="AH420">
        <v>2</v>
      </c>
      <c r="AI420">
        <v>2.7</v>
      </c>
      <c r="AJ420">
        <v>2.6</v>
      </c>
      <c r="AK420">
        <v>2</v>
      </c>
      <c r="AL420">
        <v>5.9</v>
      </c>
      <c r="AM420">
        <v>4</v>
      </c>
      <c r="AN420">
        <v>4.0999999999999996</v>
      </c>
      <c r="AO420">
        <v>4</v>
      </c>
      <c r="AP420">
        <v>4.5</v>
      </c>
      <c r="AQ420">
        <v>4</v>
      </c>
      <c r="AR420">
        <v>6.9</v>
      </c>
      <c r="AS420">
        <v>4</v>
      </c>
      <c r="AT420">
        <v>-4.0999999999999996</v>
      </c>
      <c r="AU420">
        <v>-5.6</v>
      </c>
      <c r="AV420">
        <v>-5</v>
      </c>
      <c r="AW420">
        <v>-2.1</v>
      </c>
      <c r="AX420">
        <v>-2</v>
      </c>
      <c r="AY420">
        <v>-5</v>
      </c>
      <c r="AZ420">
        <v>10.3</v>
      </c>
      <c r="BA420">
        <v>10</v>
      </c>
      <c r="BB420">
        <v>11</v>
      </c>
      <c r="BC420">
        <v>10</v>
      </c>
      <c r="BD420">
        <v>5</v>
      </c>
      <c r="BE420">
        <v>4</v>
      </c>
      <c r="BF420">
        <v>11</v>
      </c>
      <c r="BG420">
        <v>10</v>
      </c>
      <c r="BH420">
        <v>11.6</v>
      </c>
      <c r="BI420">
        <v>10</v>
      </c>
      <c r="BJ420">
        <v>10.8</v>
      </c>
      <c r="BK420">
        <v>9</v>
      </c>
      <c r="BL420">
        <v>20.399999999999999</v>
      </c>
      <c r="BM420">
        <v>19</v>
      </c>
      <c r="BN420">
        <v>23.4</v>
      </c>
      <c r="BO420">
        <v>19</v>
      </c>
      <c r="BP420">
        <v>21.7</v>
      </c>
      <c r="BQ420">
        <v>20</v>
      </c>
      <c r="BR420">
        <v>21.4</v>
      </c>
      <c r="BS420">
        <v>25</v>
      </c>
      <c r="BT420">
        <v>21.9</v>
      </c>
      <c r="BU420">
        <v>25</v>
      </c>
      <c r="BV420">
        <v>23.5</v>
      </c>
      <c r="BW420">
        <v>18</v>
      </c>
      <c r="BX420">
        <v>20.5</v>
      </c>
      <c r="BY420">
        <v>20</v>
      </c>
      <c r="BZ420">
        <v>21.5</v>
      </c>
      <c r="CA420">
        <v>20</v>
      </c>
      <c r="CB420">
        <v>11.4</v>
      </c>
      <c r="CC420">
        <v>10</v>
      </c>
      <c r="CD420">
        <v>11.7</v>
      </c>
      <c r="CE420">
        <v>10</v>
      </c>
      <c r="CF420">
        <v>11.4</v>
      </c>
      <c r="CG420">
        <v>9</v>
      </c>
      <c r="CH420">
        <v>11.6</v>
      </c>
      <c r="CI420">
        <v>9</v>
      </c>
    </row>
    <row r="421" spans="1:87" x14ac:dyDescent="0.35">
      <c r="A421" s="1">
        <v>46059.746527777781</v>
      </c>
      <c r="B421">
        <v>-16.2</v>
      </c>
      <c r="C421">
        <v>-16.2</v>
      </c>
      <c r="D421">
        <v>-25</v>
      </c>
      <c r="E421">
        <v>-16.2</v>
      </c>
      <c r="F421">
        <v>-16.399999999999999</v>
      </c>
      <c r="G421">
        <v>-25</v>
      </c>
      <c r="H421">
        <v>-16.899999999999999</v>
      </c>
      <c r="I421">
        <v>-13.3</v>
      </c>
      <c r="J421">
        <v>-25</v>
      </c>
      <c r="K421">
        <v>-16.3</v>
      </c>
      <c r="L421">
        <v>-17.3</v>
      </c>
      <c r="M421">
        <v>-25</v>
      </c>
      <c r="N421">
        <v>-17.899999999999999</v>
      </c>
      <c r="O421">
        <v>-18.7</v>
      </c>
      <c r="P421">
        <v>-25</v>
      </c>
      <c r="Q421">
        <v>-14.9</v>
      </c>
      <c r="R421">
        <v>0.5</v>
      </c>
      <c r="S421">
        <v>-25</v>
      </c>
      <c r="T421">
        <v>3.2</v>
      </c>
      <c r="U421">
        <v>3.1</v>
      </c>
      <c r="V421">
        <v>2</v>
      </c>
      <c r="W421">
        <v>3.2</v>
      </c>
      <c r="X421">
        <v>2.9</v>
      </c>
      <c r="Y421">
        <v>2</v>
      </c>
      <c r="Z421">
        <v>2.8</v>
      </c>
      <c r="AA421">
        <v>2</v>
      </c>
      <c r="AB421">
        <v>2</v>
      </c>
      <c r="AC421">
        <v>2.2000000000000002</v>
      </c>
      <c r="AD421">
        <v>0.2</v>
      </c>
      <c r="AE421">
        <v>2</v>
      </c>
      <c r="AF421">
        <v>3</v>
      </c>
      <c r="AG421">
        <v>2.9</v>
      </c>
      <c r="AH421">
        <v>2</v>
      </c>
      <c r="AI421">
        <v>2.9</v>
      </c>
      <c r="AJ421">
        <v>2.8</v>
      </c>
      <c r="AK421">
        <v>2</v>
      </c>
      <c r="AL421">
        <v>5.6</v>
      </c>
      <c r="AM421">
        <v>4</v>
      </c>
      <c r="AN421">
        <v>4.0999999999999996</v>
      </c>
      <c r="AO421">
        <v>4</v>
      </c>
      <c r="AP421">
        <v>4.7</v>
      </c>
      <c r="AQ421">
        <v>4</v>
      </c>
      <c r="AR421">
        <v>7.1</v>
      </c>
      <c r="AS421">
        <v>4</v>
      </c>
      <c r="AT421">
        <v>-4.2</v>
      </c>
      <c r="AU421">
        <v>-5.8</v>
      </c>
      <c r="AV421">
        <v>-5</v>
      </c>
      <c r="AW421">
        <v>-2.5</v>
      </c>
      <c r="AX421">
        <v>-4.2</v>
      </c>
      <c r="AY421">
        <v>-5</v>
      </c>
      <c r="AZ421">
        <v>10.4</v>
      </c>
      <c r="BA421">
        <v>10</v>
      </c>
      <c r="BB421">
        <v>11.3</v>
      </c>
      <c r="BC421">
        <v>10</v>
      </c>
      <c r="BD421">
        <v>4.4000000000000004</v>
      </c>
      <c r="BE421">
        <v>4</v>
      </c>
      <c r="BF421">
        <v>11.5</v>
      </c>
      <c r="BG421">
        <v>10</v>
      </c>
      <c r="BH421">
        <v>11.6</v>
      </c>
      <c r="BI421">
        <v>10</v>
      </c>
      <c r="BJ421">
        <v>10.7</v>
      </c>
      <c r="BK421">
        <v>9</v>
      </c>
      <c r="BL421">
        <v>20.5</v>
      </c>
      <c r="BM421">
        <v>19</v>
      </c>
      <c r="BN421">
        <v>23.4</v>
      </c>
      <c r="BO421">
        <v>19</v>
      </c>
      <c r="BP421">
        <v>21.7</v>
      </c>
      <c r="BQ421">
        <v>20</v>
      </c>
      <c r="BR421">
        <v>21.4</v>
      </c>
      <c r="BS421">
        <v>25</v>
      </c>
      <c r="BT421">
        <v>21.9</v>
      </c>
      <c r="BU421">
        <v>25</v>
      </c>
      <c r="BV421">
        <v>23.5</v>
      </c>
      <c r="BW421">
        <v>18</v>
      </c>
      <c r="BX421">
        <v>20.6</v>
      </c>
      <c r="BY421">
        <v>20</v>
      </c>
      <c r="BZ421">
        <v>21.6</v>
      </c>
      <c r="CA421">
        <v>20</v>
      </c>
      <c r="CB421">
        <v>11.2</v>
      </c>
      <c r="CC421">
        <v>10</v>
      </c>
      <c r="CD421">
        <v>11.7</v>
      </c>
      <c r="CE421">
        <v>10</v>
      </c>
      <c r="CF421">
        <v>11.7</v>
      </c>
      <c r="CG421">
        <v>9</v>
      </c>
      <c r="CH421">
        <v>12</v>
      </c>
      <c r="CI421">
        <v>9</v>
      </c>
    </row>
    <row r="422" spans="1:87" x14ac:dyDescent="0.35">
      <c r="A422" s="1">
        <v>46059.747916666667</v>
      </c>
      <c r="B422">
        <v>-16.2</v>
      </c>
      <c r="C422">
        <v>-16.3</v>
      </c>
      <c r="D422">
        <v>-25</v>
      </c>
      <c r="E422">
        <v>-16.5</v>
      </c>
      <c r="F422">
        <v>-16.3</v>
      </c>
      <c r="G422">
        <v>-25</v>
      </c>
      <c r="H422">
        <v>-16.899999999999999</v>
      </c>
      <c r="I422">
        <v>-14</v>
      </c>
      <c r="J422">
        <v>-25</v>
      </c>
      <c r="K422">
        <v>-16.3</v>
      </c>
      <c r="L422">
        <v>-17.3</v>
      </c>
      <c r="M422">
        <v>-25</v>
      </c>
      <c r="N422">
        <v>-18</v>
      </c>
      <c r="O422">
        <v>-18.600000000000001</v>
      </c>
      <c r="P422">
        <v>-25</v>
      </c>
      <c r="Q422">
        <v>-14.9</v>
      </c>
      <c r="R422">
        <v>4.3</v>
      </c>
      <c r="S422">
        <v>-25</v>
      </c>
      <c r="T422">
        <v>3.3</v>
      </c>
      <c r="U422">
        <v>3.3</v>
      </c>
      <c r="V422">
        <v>2</v>
      </c>
      <c r="W422">
        <v>3.3</v>
      </c>
      <c r="X422">
        <v>3.1</v>
      </c>
      <c r="Y422">
        <v>2</v>
      </c>
      <c r="Z422">
        <v>2.6</v>
      </c>
      <c r="AA422">
        <v>1.9</v>
      </c>
      <c r="AB422">
        <v>2</v>
      </c>
      <c r="AC422">
        <v>2.1</v>
      </c>
      <c r="AD422">
        <v>0</v>
      </c>
      <c r="AE422">
        <v>2</v>
      </c>
      <c r="AF422">
        <v>3.4</v>
      </c>
      <c r="AG422">
        <v>3.3</v>
      </c>
      <c r="AH422">
        <v>2</v>
      </c>
      <c r="AI422">
        <v>3.3</v>
      </c>
      <c r="AJ422">
        <v>3.2</v>
      </c>
      <c r="AK422">
        <v>2</v>
      </c>
      <c r="AL422">
        <v>5.3</v>
      </c>
      <c r="AM422">
        <v>4</v>
      </c>
      <c r="AN422">
        <v>4</v>
      </c>
      <c r="AO422">
        <v>4</v>
      </c>
      <c r="AP422">
        <v>5.0999999999999996</v>
      </c>
      <c r="AQ422">
        <v>4</v>
      </c>
      <c r="AR422">
        <v>7.4</v>
      </c>
      <c r="AS422">
        <v>4</v>
      </c>
      <c r="AT422">
        <v>-4.4000000000000004</v>
      </c>
      <c r="AU422">
        <v>-6.2</v>
      </c>
      <c r="AV422">
        <v>-5</v>
      </c>
      <c r="AW422">
        <v>-3.4</v>
      </c>
      <c r="AX422">
        <v>-4.0999999999999996</v>
      </c>
      <c r="AY422">
        <v>-5</v>
      </c>
      <c r="AZ422">
        <v>10.6</v>
      </c>
      <c r="BA422">
        <v>10</v>
      </c>
      <c r="BB422">
        <v>11.9</v>
      </c>
      <c r="BC422">
        <v>10</v>
      </c>
      <c r="BD422">
        <v>3.6</v>
      </c>
      <c r="BE422">
        <v>4</v>
      </c>
      <c r="BF422">
        <v>12</v>
      </c>
      <c r="BG422">
        <v>10</v>
      </c>
      <c r="BH422">
        <v>11.5</v>
      </c>
      <c r="BI422">
        <v>10</v>
      </c>
      <c r="BJ422">
        <v>10.7</v>
      </c>
      <c r="BK422">
        <v>9</v>
      </c>
      <c r="BL422">
        <v>20.5</v>
      </c>
      <c r="BM422">
        <v>19</v>
      </c>
      <c r="BN422">
        <v>23.4</v>
      </c>
      <c r="BO422">
        <v>19</v>
      </c>
      <c r="BP422">
        <v>21.7</v>
      </c>
      <c r="BQ422">
        <v>20</v>
      </c>
      <c r="BR422">
        <v>21.4</v>
      </c>
      <c r="BS422">
        <v>25</v>
      </c>
      <c r="BT422">
        <v>21.9</v>
      </c>
      <c r="BU422">
        <v>25</v>
      </c>
      <c r="BV422">
        <v>23.5</v>
      </c>
      <c r="BW422">
        <v>18</v>
      </c>
      <c r="BX422">
        <v>20.8</v>
      </c>
      <c r="BY422">
        <v>20</v>
      </c>
      <c r="BZ422">
        <v>21.6</v>
      </c>
      <c r="CA422">
        <v>20</v>
      </c>
      <c r="CB422">
        <v>10.8</v>
      </c>
      <c r="CC422">
        <v>10</v>
      </c>
      <c r="CD422">
        <v>11.7</v>
      </c>
      <c r="CE422">
        <v>10</v>
      </c>
      <c r="CF422">
        <v>11.7</v>
      </c>
      <c r="CG422">
        <v>9</v>
      </c>
      <c r="CH422">
        <v>12</v>
      </c>
      <c r="CI422">
        <v>9</v>
      </c>
    </row>
    <row r="423" spans="1:87" x14ac:dyDescent="0.35">
      <c r="A423" s="1">
        <v>46059.748611111114</v>
      </c>
      <c r="B423">
        <v>-16.5</v>
      </c>
      <c r="C423">
        <v>-16.8</v>
      </c>
      <c r="D423">
        <v>-25</v>
      </c>
      <c r="E423">
        <v>-17</v>
      </c>
      <c r="F423">
        <v>-16.3</v>
      </c>
      <c r="G423">
        <v>-25</v>
      </c>
      <c r="H423">
        <v>-16.899999999999999</v>
      </c>
      <c r="I423">
        <v>-14</v>
      </c>
      <c r="J423">
        <v>-25</v>
      </c>
      <c r="K423">
        <v>-16.3</v>
      </c>
      <c r="L423">
        <v>-17.2</v>
      </c>
      <c r="M423">
        <v>-25</v>
      </c>
      <c r="N423">
        <v>-18</v>
      </c>
      <c r="O423">
        <v>-18.399999999999999</v>
      </c>
      <c r="P423">
        <v>-25</v>
      </c>
      <c r="Q423">
        <v>-14.9</v>
      </c>
      <c r="R423">
        <v>8.3000000000000007</v>
      </c>
      <c r="S423">
        <v>-25</v>
      </c>
      <c r="T423">
        <v>3.4</v>
      </c>
      <c r="U423">
        <v>3.4</v>
      </c>
      <c r="V423">
        <v>2</v>
      </c>
      <c r="W423">
        <v>3.4</v>
      </c>
      <c r="X423">
        <v>3.2</v>
      </c>
      <c r="Y423">
        <v>2</v>
      </c>
      <c r="Z423">
        <v>2.4</v>
      </c>
      <c r="AA423">
        <v>1.7</v>
      </c>
      <c r="AB423">
        <v>2</v>
      </c>
      <c r="AC423">
        <v>1.9</v>
      </c>
      <c r="AD423">
        <v>0.6</v>
      </c>
      <c r="AE423">
        <v>2</v>
      </c>
      <c r="AF423">
        <v>3.6</v>
      </c>
      <c r="AG423">
        <v>3.5</v>
      </c>
      <c r="AH423">
        <v>2</v>
      </c>
      <c r="AI423">
        <v>3.4</v>
      </c>
      <c r="AJ423">
        <v>3.4</v>
      </c>
      <c r="AK423">
        <v>2</v>
      </c>
      <c r="AL423">
        <v>5.0999999999999996</v>
      </c>
      <c r="AM423">
        <v>4</v>
      </c>
      <c r="AN423">
        <v>4</v>
      </c>
      <c r="AO423">
        <v>4</v>
      </c>
      <c r="AP423">
        <v>5.3</v>
      </c>
      <c r="AQ423">
        <v>4</v>
      </c>
      <c r="AR423">
        <v>7.5</v>
      </c>
      <c r="AS423">
        <v>4</v>
      </c>
      <c r="AT423">
        <v>-4.5999999999999996</v>
      </c>
      <c r="AU423">
        <v>-6.5</v>
      </c>
      <c r="AV423">
        <v>-5</v>
      </c>
      <c r="AW423">
        <v>-3.7</v>
      </c>
      <c r="AX423">
        <v>-5.2</v>
      </c>
      <c r="AY423">
        <v>-5</v>
      </c>
      <c r="AZ423">
        <v>10.8</v>
      </c>
      <c r="BA423">
        <v>10</v>
      </c>
      <c r="BB423">
        <v>12</v>
      </c>
      <c r="BC423">
        <v>10</v>
      </c>
      <c r="BD423">
        <v>3.6</v>
      </c>
      <c r="BE423">
        <v>4</v>
      </c>
      <c r="BF423">
        <v>11.9</v>
      </c>
      <c r="BG423">
        <v>10</v>
      </c>
      <c r="BH423">
        <v>11.5</v>
      </c>
      <c r="BI423">
        <v>10</v>
      </c>
      <c r="BJ423">
        <v>10.6</v>
      </c>
      <c r="BK423">
        <v>9</v>
      </c>
      <c r="BL423">
        <v>20.5</v>
      </c>
      <c r="BM423">
        <v>19</v>
      </c>
      <c r="BN423">
        <v>23.4</v>
      </c>
      <c r="BO423">
        <v>19</v>
      </c>
      <c r="BP423">
        <v>21.7</v>
      </c>
      <c r="BQ423">
        <v>20</v>
      </c>
      <c r="BR423">
        <v>21.3</v>
      </c>
      <c r="BS423">
        <v>25</v>
      </c>
      <c r="BT423">
        <v>21.9</v>
      </c>
      <c r="BU423">
        <v>25</v>
      </c>
      <c r="BV423">
        <v>23.5</v>
      </c>
      <c r="BW423">
        <v>18</v>
      </c>
      <c r="BX423">
        <v>20.8</v>
      </c>
      <c r="BY423">
        <v>20</v>
      </c>
      <c r="BZ423">
        <v>21.6</v>
      </c>
      <c r="CA423">
        <v>20</v>
      </c>
      <c r="CB423">
        <v>10.7</v>
      </c>
      <c r="CC423">
        <v>10</v>
      </c>
      <c r="CD423">
        <v>11.7</v>
      </c>
      <c r="CE423">
        <v>10</v>
      </c>
      <c r="CF423">
        <v>11.7</v>
      </c>
      <c r="CG423">
        <v>9</v>
      </c>
      <c r="CH423">
        <v>12</v>
      </c>
      <c r="CI423">
        <v>9</v>
      </c>
    </row>
    <row r="424" spans="1:87" x14ac:dyDescent="0.35">
      <c r="A424" s="1">
        <v>46059.749305555553</v>
      </c>
      <c r="B424">
        <v>-16.899999999999999</v>
      </c>
      <c r="C424">
        <v>-17.8</v>
      </c>
      <c r="D424">
        <v>-25</v>
      </c>
      <c r="E424">
        <v>-17.5</v>
      </c>
      <c r="F424">
        <v>-16.399999999999999</v>
      </c>
      <c r="G424">
        <v>-25</v>
      </c>
      <c r="H424">
        <v>-16.899999999999999</v>
      </c>
      <c r="I424">
        <v>-14.1</v>
      </c>
      <c r="J424">
        <v>-25</v>
      </c>
      <c r="K424">
        <v>-16.3</v>
      </c>
      <c r="L424">
        <v>-17.100000000000001</v>
      </c>
      <c r="M424">
        <v>-25</v>
      </c>
      <c r="N424">
        <v>-18</v>
      </c>
      <c r="O424">
        <v>-18.399999999999999</v>
      </c>
      <c r="P424">
        <v>-25</v>
      </c>
      <c r="Q424">
        <v>-14.9</v>
      </c>
      <c r="R424">
        <v>8.1</v>
      </c>
      <c r="S424">
        <v>-25</v>
      </c>
      <c r="T424">
        <v>3.5</v>
      </c>
      <c r="U424">
        <v>3.5</v>
      </c>
      <c r="V424">
        <v>2</v>
      </c>
      <c r="W424">
        <v>3.5</v>
      </c>
      <c r="X424">
        <v>3.3</v>
      </c>
      <c r="Y424">
        <v>2</v>
      </c>
      <c r="Z424">
        <v>2.4</v>
      </c>
      <c r="AA424">
        <v>1.8</v>
      </c>
      <c r="AB424">
        <v>2</v>
      </c>
      <c r="AC424">
        <v>1.9</v>
      </c>
      <c r="AD424">
        <v>1.3</v>
      </c>
      <c r="AE424">
        <v>2</v>
      </c>
      <c r="AF424">
        <v>3.8</v>
      </c>
      <c r="AG424">
        <v>3.6</v>
      </c>
      <c r="AH424">
        <v>2</v>
      </c>
      <c r="AI424">
        <v>3.6</v>
      </c>
      <c r="AJ424">
        <v>3.6</v>
      </c>
      <c r="AK424">
        <v>2</v>
      </c>
      <c r="AL424">
        <v>4.9000000000000004</v>
      </c>
      <c r="AM424">
        <v>4</v>
      </c>
      <c r="AN424">
        <v>4</v>
      </c>
      <c r="AO424">
        <v>4</v>
      </c>
      <c r="AP424">
        <v>5.4</v>
      </c>
      <c r="AQ424">
        <v>4</v>
      </c>
      <c r="AR424">
        <v>7.6</v>
      </c>
      <c r="AS424">
        <v>4</v>
      </c>
      <c r="AT424">
        <v>-4.7</v>
      </c>
      <c r="AU424">
        <v>-6.4</v>
      </c>
      <c r="AV424">
        <v>-5</v>
      </c>
      <c r="AW424">
        <v>-4</v>
      </c>
      <c r="AX424">
        <v>-6</v>
      </c>
      <c r="AY424">
        <v>-5</v>
      </c>
      <c r="AZ424">
        <v>10.8</v>
      </c>
      <c r="BA424">
        <v>10</v>
      </c>
      <c r="BB424">
        <v>12.2</v>
      </c>
      <c r="BC424">
        <v>10</v>
      </c>
      <c r="BD424">
        <v>4.2</v>
      </c>
      <c r="BE424">
        <v>4</v>
      </c>
      <c r="BF424">
        <v>11.8</v>
      </c>
      <c r="BG424">
        <v>10</v>
      </c>
      <c r="BH424">
        <v>11.5</v>
      </c>
      <c r="BI424">
        <v>10</v>
      </c>
      <c r="BJ424">
        <v>10.6</v>
      </c>
      <c r="BK424">
        <v>9</v>
      </c>
      <c r="BL424">
        <v>20.6</v>
      </c>
      <c r="BM424">
        <v>19</v>
      </c>
      <c r="BN424">
        <v>23.5</v>
      </c>
      <c r="BO424">
        <v>19</v>
      </c>
      <c r="BP424">
        <v>21.7</v>
      </c>
      <c r="BQ424">
        <v>20</v>
      </c>
      <c r="BR424">
        <v>21.3</v>
      </c>
      <c r="BS424">
        <v>25</v>
      </c>
      <c r="BT424">
        <v>21.9</v>
      </c>
      <c r="BU424">
        <v>25</v>
      </c>
      <c r="BV424">
        <v>23.6</v>
      </c>
      <c r="BW424">
        <v>18</v>
      </c>
      <c r="BX424">
        <v>20.9</v>
      </c>
      <c r="BY424">
        <v>20</v>
      </c>
      <c r="BZ424">
        <v>21.7</v>
      </c>
      <c r="CA424">
        <v>20</v>
      </c>
      <c r="CB424">
        <v>10.6</v>
      </c>
      <c r="CC424">
        <v>10</v>
      </c>
      <c r="CD424">
        <v>11.7</v>
      </c>
      <c r="CE424">
        <v>10</v>
      </c>
      <c r="CF424">
        <v>11.6</v>
      </c>
      <c r="CG424">
        <v>9</v>
      </c>
      <c r="CH424">
        <v>12</v>
      </c>
      <c r="CI424">
        <v>9</v>
      </c>
    </row>
    <row r="425" spans="1:87" x14ac:dyDescent="0.35">
      <c r="A425" s="1">
        <v>46059.75</v>
      </c>
      <c r="B425">
        <v>-17.2</v>
      </c>
      <c r="C425">
        <v>-19.399999999999999</v>
      </c>
      <c r="D425">
        <v>-25</v>
      </c>
      <c r="E425">
        <v>-17.899999999999999</v>
      </c>
      <c r="F425">
        <v>-16.7</v>
      </c>
      <c r="G425">
        <v>-25</v>
      </c>
      <c r="H425">
        <v>-16.8</v>
      </c>
      <c r="I425">
        <v>-14.1</v>
      </c>
      <c r="J425">
        <v>-25</v>
      </c>
      <c r="K425">
        <v>-16.3</v>
      </c>
      <c r="L425">
        <v>-17.100000000000001</v>
      </c>
      <c r="M425">
        <v>-25</v>
      </c>
      <c r="N425">
        <v>-18</v>
      </c>
      <c r="O425">
        <v>-18.3</v>
      </c>
      <c r="P425">
        <v>-25</v>
      </c>
      <c r="Q425">
        <v>-14.9</v>
      </c>
      <c r="R425">
        <v>9.1999999999999993</v>
      </c>
      <c r="S425">
        <v>-25</v>
      </c>
      <c r="T425">
        <v>3.5</v>
      </c>
      <c r="U425">
        <v>3.5</v>
      </c>
      <c r="V425">
        <v>2</v>
      </c>
      <c r="W425">
        <v>3.6</v>
      </c>
      <c r="X425">
        <v>3.4</v>
      </c>
      <c r="Y425">
        <v>2</v>
      </c>
      <c r="Z425">
        <v>2.4</v>
      </c>
      <c r="AA425">
        <v>1.9</v>
      </c>
      <c r="AB425">
        <v>2</v>
      </c>
      <c r="AC425">
        <v>2</v>
      </c>
      <c r="AD425">
        <v>1.6</v>
      </c>
      <c r="AE425">
        <v>2</v>
      </c>
      <c r="AF425">
        <v>3.9</v>
      </c>
      <c r="AG425">
        <v>3.8</v>
      </c>
      <c r="AH425">
        <v>2</v>
      </c>
      <c r="AI425">
        <v>3.8</v>
      </c>
      <c r="AJ425">
        <v>3.7</v>
      </c>
      <c r="AK425">
        <v>2</v>
      </c>
      <c r="AL425">
        <v>4.5999999999999996</v>
      </c>
      <c r="AM425">
        <v>4</v>
      </c>
      <c r="AN425">
        <v>4</v>
      </c>
      <c r="AO425">
        <v>4</v>
      </c>
      <c r="AP425">
        <v>5.6</v>
      </c>
      <c r="AQ425">
        <v>4</v>
      </c>
      <c r="AR425">
        <v>7.7</v>
      </c>
      <c r="AS425">
        <v>4</v>
      </c>
      <c r="AT425">
        <v>-4.7</v>
      </c>
      <c r="AU425">
        <v>-6.2</v>
      </c>
      <c r="AV425">
        <v>-5</v>
      </c>
      <c r="AW425">
        <v>-4.3</v>
      </c>
      <c r="AX425">
        <v>-5.4</v>
      </c>
      <c r="AY425">
        <v>-5</v>
      </c>
      <c r="AZ425">
        <v>11</v>
      </c>
      <c r="BA425">
        <v>10</v>
      </c>
      <c r="BB425">
        <v>12.3</v>
      </c>
      <c r="BC425">
        <v>10</v>
      </c>
      <c r="BD425">
        <v>4.5999999999999996</v>
      </c>
      <c r="BE425">
        <v>4</v>
      </c>
      <c r="BF425">
        <v>11.5</v>
      </c>
      <c r="BG425">
        <v>10</v>
      </c>
      <c r="BH425">
        <v>11.6</v>
      </c>
      <c r="BI425">
        <v>10</v>
      </c>
      <c r="BJ425">
        <v>10.6</v>
      </c>
      <c r="BK425">
        <v>9</v>
      </c>
      <c r="BL425">
        <v>20.6</v>
      </c>
      <c r="BM425">
        <v>19</v>
      </c>
      <c r="BN425">
        <v>23.5</v>
      </c>
      <c r="BO425">
        <v>19</v>
      </c>
      <c r="BP425">
        <v>21.8</v>
      </c>
      <c r="BQ425">
        <v>20</v>
      </c>
      <c r="BR425">
        <v>21.3</v>
      </c>
      <c r="BS425">
        <v>25</v>
      </c>
      <c r="BT425">
        <v>21.9</v>
      </c>
      <c r="BU425">
        <v>25</v>
      </c>
      <c r="BV425">
        <v>23.6</v>
      </c>
      <c r="BW425">
        <v>18</v>
      </c>
      <c r="BX425">
        <v>20.9</v>
      </c>
      <c r="BY425">
        <v>20</v>
      </c>
      <c r="BZ425">
        <v>21.7</v>
      </c>
      <c r="CA425">
        <v>20</v>
      </c>
      <c r="CB425">
        <v>10.5</v>
      </c>
      <c r="CC425">
        <v>10</v>
      </c>
      <c r="CD425">
        <v>11.7</v>
      </c>
      <c r="CE425">
        <v>10</v>
      </c>
      <c r="CF425">
        <v>11</v>
      </c>
      <c r="CG425">
        <v>9</v>
      </c>
      <c r="CH425">
        <v>11.3</v>
      </c>
      <c r="CI425">
        <v>9</v>
      </c>
    </row>
    <row r="426" spans="1:87" x14ac:dyDescent="0.35">
      <c r="A426" s="1">
        <v>46059.750694444447</v>
      </c>
      <c r="B426">
        <v>-17.600000000000001</v>
      </c>
      <c r="C426">
        <v>-19.3</v>
      </c>
      <c r="D426">
        <v>-25</v>
      </c>
      <c r="E426">
        <v>-18.2</v>
      </c>
      <c r="F426">
        <v>-16.899999999999999</v>
      </c>
      <c r="G426">
        <v>-25</v>
      </c>
      <c r="H426">
        <v>-16.8</v>
      </c>
      <c r="I426">
        <v>-14.1</v>
      </c>
      <c r="J426">
        <v>-25</v>
      </c>
      <c r="K426">
        <v>-16.3</v>
      </c>
      <c r="L426">
        <v>-17.100000000000001</v>
      </c>
      <c r="M426">
        <v>-25</v>
      </c>
      <c r="N426">
        <v>-17.899999999999999</v>
      </c>
      <c r="O426">
        <v>-18.2</v>
      </c>
      <c r="P426">
        <v>-25</v>
      </c>
      <c r="Q426">
        <v>-14.9</v>
      </c>
      <c r="R426">
        <v>10.4</v>
      </c>
      <c r="S426">
        <v>-25</v>
      </c>
      <c r="T426">
        <v>3.6</v>
      </c>
      <c r="U426">
        <v>3.6</v>
      </c>
      <c r="V426">
        <v>2</v>
      </c>
      <c r="W426">
        <v>3.6</v>
      </c>
      <c r="X426">
        <v>3.4</v>
      </c>
      <c r="Y426">
        <v>2</v>
      </c>
      <c r="Z426">
        <v>2.4</v>
      </c>
      <c r="AA426">
        <v>2</v>
      </c>
      <c r="AB426">
        <v>2</v>
      </c>
      <c r="AC426">
        <v>2.1</v>
      </c>
      <c r="AD426">
        <v>1.9</v>
      </c>
      <c r="AE426">
        <v>2</v>
      </c>
      <c r="AF426">
        <v>4.0999999999999996</v>
      </c>
      <c r="AG426">
        <v>3.9</v>
      </c>
      <c r="AH426">
        <v>2</v>
      </c>
      <c r="AI426">
        <v>3.9</v>
      </c>
      <c r="AJ426">
        <v>3.9</v>
      </c>
      <c r="AK426">
        <v>2</v>
      </c>
      <c r="AL426">
        <v>4.4000000000000004</v>
      </c>
      <c r="AM426">
        <v>4</v>
      </c>
      <c r="AN426">
        <v>4</v>
      </c>
      <c r="AO426">
        <v>4</v>
      </c>
      <c r="AP426">
        <v>5.8</v>
      </c>
      <c r="AQ426">
        <v>4</v>
      </c>
      <c r="AR426">
        <v>7.8</v>
      </c>
      <c r="AS426">
        <v>4</v>
      </c>
      <c r="AT426">
        <v>-4.8</v>
      </c>
      <c r="AU426">
        <v>-7</v>
      </c>
      <c r="AV426">
        <v>-5</v>
      </c>
      <c r="AW426">
        <v>-4.4000000000000004</v>
      </c>
      <c r="AX426">
        <v>-5.0999999999999996</v>
      </c>
      <c r="AY426">
        <v>-5</v>
      </c>
      <c r="AZ426">
        <v>11.1</v>
      </c>
      <c r="BA426">
        <v>10</v>
      </c>
      <c r="BB426">
        <v>12.3</v>
      </c>
      <c r="BC426">
        <v>10</v>
      </c>
      <c r="BD426">
        <v>4.7</v>
      </c>
      <c r="BE426">
        <v>4</v>
      </c>
      <c r="BF426">
        <v>11</v>
      </c>
      <c r="BG426">
        <v>10</v>
      </c>
      <c r="BH426">
        <v>11.9</v>
      </c>
      <c r="BI426">
        <v>10</v>
      </c>
      <c r="BJ426">
        <v>10.6</v>
      </c>
      <c r="BK426">
        <v>9</v>
      </c>
      <c r="BL426">
        <v>20.6</v>
      </c>
      <c r="BM426">
        <v>19</v>
      </c>
      <c r="BN426">
        <v>23.5</v>
      </c>
      <c r="BO426">
        <v>19</v>
      </c>
      <c r="BP426">
        <v>21.8</v>
      </c>
      <c r="BQ426">
        <v>20</v>
      </c>
      <c r="BR426">
        <v>21.3</v>
      </c>
      <c r="BS426">
        <v>25</v>
      </c>
      <c r="BT426">
        <v>21.9</v>
      </c>
      <c r="BU426">
        <v>25</v>
      </c>
      <c r="BV426">
        <v>23.6</v>
      </c>
      <c r="BW426">
        <v>18</v>
      </c>
      <c r="BX426">
        <v>21</v>
      </c>
      <c r="BY426">
        <v>20</v>
      </c>
      <c r="BZ426">
        <v>21.7</v>
      </c>
      <c r="CA426">
        <v>20</v>
      </c>
      <c r="CB426">
        <v>10.4</v>
      </c>
      <c r="CC426">
        <v>10</v>
      </c>
      <c r="CD426">
        <v>11.7</v>
      </c>
      <c r="CE426">
        <v>10</v>
      </c>
      <c r="CF426">
        <v>10.8</v>
      </c>
      <c r="CG426">
        <v>9</v>
      </c>
      <c r="CH426">
        <v>11.1</v>
      </c>
      <c r="CI426">
        <v>9</v>
      </c>
    </row>
    <row r="427" spans="1:87" x14ac:dyDescent="0.35">
      <c r="A427" s="1">
        <v>46059.751388888886</v>
      </c>
      <c r="B427">
        <v>-17.7</v>
      </c>
      <c r="C427">
        <v>-18.600000000000001</v>
      </c>
      <c r="D427">
        <v>-25</v>
      </c>
      <c r="E427">
        <v>-18.2</v>
      </c>
      <c r="F427">
        <v>-17.100000000000001</v>
      </c>
      <c r="G427">
        <v>-25</v>
      </c>
      <c r="H427">
        <v>-16.8</v>
      </c>
      <c r="I427">
        <v>-14.1</v>
      </c>
      <c r="J427">
        <v>-25</v>
      </c>
      <c r="K427">
        <v>-16.3</v>
      </c>
      <c r="L427">
        <v>-17.100000000000001</v>
      </c>
      <c r="M427">
        <v>-25</v>
      </c>
      <c r="N427">
        <v>-17.899999999999999</v>
      </c>
      <c r="O427">
        <v>-18</v>
      </c>
      <c r="P427">
        <v>-25</v>
      </c>
      <c r="Q427">
        <v>-14.9</v>
      </c>
      <c r="R427">
        <v>6.9</v>
      </c>
      <c r="S427">
        <v>-25</v>
      </c>
      <c r="T427">
        <v>3.7</v>
      </c>
      <c r="U427">
        <v>3.7</v>
      </c>
      <c r="V427">
        <v>2</v>
      </c>
      <c r="W427">
        <v>3.7</v>
      </c>
      <c r="X427">
        <v>3.5</v>
      </c>
      <c r="Y427">
        <v>2</v>
      </c>
      <c r="Z427">
        <v>2.5</v>
      </c>
      <c r="AA427">
        <v>2.1</v>
      </c>
      <c r="AB427">
        <v>2</v>
      </c>
      <c r="AC427">
        <v>2.2000000000000002</v>
      </c>
      <c r="AD427">
        <v>2</v>
      </c>
      <c r="AE427">
        <v>2</v>
      </c>
      <c r="AF427">
        <v>4.2</v>
      </c>
      <c r="AG427">
        <v>4.0999999999999996</v>
      </c>
      <c r="AH427">
        <v>2</v>
      </c>
      <c r="AI427">
        <v>4</v>
      </c>
      <c r="AJ427">
        <v>3.5</v>
      </c>
      <c r="AK427">
        <v>2</v>
      </c>
      <c r="AL427">
        <v>4.2</v>
      </c>
      <c r="AM427">
        <v>4</v>
      </c>
      <c r="AN427">
        <v>4</v>
      </c>
      <c r="AO427">
        <v>4</v>
      </c>
      <c r="AP427">
        <v>5.9</v>
      </c>
      <c r="AQ427">
        <v>4</v>
      </c>
      <c r="AR427">
        <v>7.8</v>
      </c>
      <c r="AS427">
        <v>4</v>
      </c>
      <c r="AT427">
        <v>-4.9000000000000004</v>
      </c>
      <c r="AU427">
        <v>-5.8</v>
      </c>
      <c r="AV427">
        <v>-5</v>
      </c>
      <c r="AW427">
        <v>-4.4000000000000004</v>
      </c>
      <c r="AX427">
        <v>-4.5</v>
      </c>
      <c r="AY427">
        <v>-5</v>
      </c>
      <c r="AZ427">
        <v>11.2</v>
      </c>
      <c r="BA427">
        <v>10</v>
      </c>
      <c r="BB427">
        <v>12.2</v>
      </c>
      <c r="BC427">
        <v>10</v>
      </c>
      <c r="BD427">
        <v>4.7</v>
      </c>
      <c r="BE427">
        <v>4</v>
      </c>
      <c r="BF427">
        <v>10.4</v>
      </c>
      <c r="BG427">
        <v>10</v>
      </c>
      <c r="BH427">
        <v>11.8</v>
      </c>
      <c r="BI427">
        <v>10</v>
      </c>
      <c r="BJ427">
        <v>10.6</v>
      </c>
      <c r="BK427">
        <v>9</v>
      </c>
      <c r="BL427">
        <v>20.6</v>
      </c>
      <c r="BM427">
        <v>19</v>
      </c>
      <c r="BN427">
        <v>23.5</v>
      </c>
      <c r="BO427">
        <v>19</v>
      </c>
      <c r="BP427">
        <v>21.8</v>
      </c>
      <c r="BQ427">
        <v>20</v>
      </c>
      <c r="BR427">
        <v>21.3</v>
      </c>
      <c r="BS427">
        <v>25</v>
      </c>
      <c r="BT427">
        <v>21.9</v>
      </c>
      <c r="BU427">
        <v>25</v>
      </c>
      <c r="BV427">
        <v>23.6</v>
      </c>
      <c r="BW427">
        <v>18</v>
      </c>
      <c r="BX427">
        <v>21</v>
      </c>
      <c r="BY427">
        <v>20</v>
      </c>
      <c r="BZ427">
        <v>21.7</v>
      </c>
      <c r="CA427">
        <v>20</v>
      </c>
      <c r="CB427">
        <v>10.199999999999999</v>
      </c>
      <c r="CC427">
        <v>10</v>
      </c>
      <c r="CD427">
        <v>11.7</v>
      </c>
      <c r="CE427">
        <v>10</v>
      </c>
      <c r="CF427">
        <v>10.8</v>
      </c>
      <c r="CG427">
        <v>9</v>
      </c>
      <c r="CH427">
        <v>11.1</v>
      </c>
      <c r="CI427">
        <v>9</v>
      </c>
    </row>
    <row r="428" spans="1:87" x14ac:dyDescent="0.35">
      <c r="A428" s="1">
        <v>46059.752083333333</v>
      </c>
      <c r="B428">
        <v>-17.8</v>
      </c>
      <c r="C428">
        <v>-18.2</v>
      </c>
      <c r="D428">
        <v>-25</v>
      </c>
      <c r="E428">
        <v>-18.2</v>
      </c>
      <c r="F428">
        <v>-17.2</v>
      </c>
      <c r="G428">
        <v>-25</v>
      </c>
      <c r="H428">
        <v>-16.8</v>
      </c>
      <c r="I428">
        <v>-14.2</v>
      </c>
      <c r="J428">
        <v>-25</v>
      </c>
      <c r="K428">
        <v>-16.3</v>
      </c>
      <c r="L428">
        <v>-17.100000000000001</v>
      </c>
      <c r="M428">
        <v>-25</v>
      </c>
      <c r="N428">
        <v>-17.8</v>
      </c>
      <c r="O428">
        <v>-18</v>
      </c>
      <c r="P428">
        <v>-25</v>
      </c>
      <c r="Q428">
        <v>-14.9</v>
      </c>
      <c r="R428">
        <v>8.8000000000000007</v>
      </c>
      <c r="S428">
        <v>-25</v>
      </c>
      <c r="T428">
        <v>3.7</v>
      </c>
      <c r="U428">
        <v>3.7</v>
      </c>
      <c r="V428">
        <v>2</v>
      </c>
      <c r="W428">
        <v>3.8</v>
      </c>
      <c r="X428">
        <v>3.6</v>
      </c>
      <c r="Y428">
        <v>2</v>
      </c>
      <c r="Z428">
        <v>2.6</v>
      </c>
      <c r="AA428">
        <v>2.2999999999999998</v>
      </c>
      <c r="AB428">
        <v>2</v>
      </c>
      <c r="AC428">
        <v>2.2999999999999998</v>
      </c>
      <c r="AD428">
        <v>2.1</v>
      </c>
      <c r="AE428">
        <v>2</v>
      </c>
      <c r="AF428">
        <v>4.2</v>
      </c>
      <c r="AG428">
        <v>3.8</v>
      </c>
      <c r="AH428">
        <v>2</v>
      </c>
      <c r="AI428">
        <v>3.9</v>
      </c>
      <c r="AJ428">
        <v>1.6</v>
      </c>
      <c r="AK428">
        <v>2</v>
      </c>
      <c r="AL428">
        <v>4</v>
      </c>
      <c r="AM428">
        <v>4</v>
      </c>
      <c r="AN428">
        <v>4.0999999999999996</v>
      </c>
      <c r="AO428">
        <v>4</v>
      </c>
      <c r="AP428">
        <v>6</v>
      </c>
      <c r="AQ428">
        <v>4</v>
      </c>
      <c r="AR428">
        <v>7.8</v>
      </c>
      <c r="AS428">
        <v>4</v>
      </c>
      <c r="AT428">
        <v>-4.5999999999999996</v>
      </c>
      <c r="AU428">
        <v>-5</v>
      </c>
      <c r="AV428">
        <v>-5</v>
      </c>
      <c r="AW428">
        <v>-3.9</v>
      </c>
      <c r="AX428">
        <v>-3.8</v>
      </c>
      <c r="AY428">
        <v>-5</v>
      </c>
      <c r="AZ428">
        <v>11.3</v>
      </c>
      <c r="BA428">
        <v>10</v>
      </c>
      <c r="BB428">
        <v>12</v>
      </c>
      <c r="BC428">
        <v>10</v>
      </c>
      <c r="BD428">
        <v>4.9000000000000004</v>
      </c>
      <c r="BE428">
        <v>4</v>
      </c>
      <c r="BF428">
        <v>9.6999999999999993</v>
      </c>
      <c r="BG428">
        <v>10</v>
      </c>
      <c r="BH428">
        <v>11.7</v>
      </c>
      <c r="BI428">
        <v>10</v>
      </c>
      <c r="BJ428">
        <v>10.5</v>
      </c>
      <c r="BK428">
        <v>9</v>
      </c>
      <c r="BL428">
        <v>20.6</v>
      </c>
      <c r="BM428">
        <v>19</v>
      </c>
      <c r="BN428">
        <v>23.5</v>
      </c>
      <c r="BO428">
        <v>19</v>
      </c>
      <c r="BP428">
        <v>21.8</v>
      </c>
      <c r="BQ428">
        <v>20</v>
      </c>
      <c r="BR428">
        <v>21.3</v>
      </c>
      <c r="BS428">
        <v>25</v>
      </c>
      <c r="BT428">
        <v>21.9</v>
      </c>
      <c r="BU428">
        <v>25</v>
      </c>
      <c r="BV428">
        <v>23.6</v>
      </c>
      <c r="BW428">
        <v>18</v>
      </c>
      <c r="BX428">
        <v>21.1</v>
      </c>
      <c r="BY428">
        <v>20</v>
      </c>
      <c r="BZ428">
        <v>21.8</v>
      </c>
      <c r="CA428">
        <v>20</v>
      </c>
      <c r="CB428">
        <v>10.1</v>
      </c>
      <c r="CC428">
        <v>10</v>
      </c>
      <c r="CD428">
        <v>11.7</v>
      </c>
      <c r="CE428">
        <v>10</v>
      </c>
      <c r="CF428">
        <v>10.8</v>
      </c>
      <c r="CG428">
        <v>9</v>
      </c>
      <c r="CH428">
        <v>11.1</v>
      </c>
      <c r="CI428">
        <v>9</v>
      </c>
    </row>
    <row r="429" spans="1:87" x14ac:dyDescent="0.35">
      <c r="A429" s="1">
        <v>46059.75277777778</v>
      </c>
      <c r="B429">
        <v>-17.7</v>
      </c>
      <c r="C429">
        <v>-17.899999999999999</v>
      </c>
      <c r="D429">
        <v>-25</v>
      </c>
      <c r="E429">
        <v>-18</v>
      </c>
      <c r="F429">
        <v>-17.2</v>
      </c>
      <c r="G429">
        <v>-25</v>
      </c>
      <c r="H429">
        <v>-16.8</v>
      </c>
      <c r="I429">
        <v>-14.2</v>
      </c>
      <c r="J429">
        <v>-25</v>
      </c>
      <c r="K429">
        <v>-16.3</v>
      </c>
      <c r="L429">
        <v>-17.2</v>
      </c>
      <c r="M429">
        <v>-25</v>
      </c>
      <c r="N429">
        <v>-17.8</v>
      </c>
      <c r="O429">
        <v>-18.100000000000001</v>
      </c>
      <c r="P429">
        <v>-25</v>
      </c>
      <c r="Q429">
        <v>-14.9</v>
      </c>
      <c r="R429">
        <v>13.4</v>
      </c>
      <c r="S429">
        <v>-25</v>
      </c>
      <c r="T429">
        <v>3.8</v>
      </c>
      <c r="U429">
        <v>3.8</v>
      </c>
      <c r="V429">
        <v>2</v>
      </c>
      <c r="W429">
        <v>3.8</v>
      </c>
      <c r="X429">
        <v>3.6</v>
      </c>
      <c r="Y429">
        <v>2</v>
      </c>
      <c r="Z429">
        <v>2.7</v>
      </c>
      <c r="AA429">
        <v>2.6</v>
      </c>
      <c r="AB429">
        <v>2</v>
      </c>
      <c r="AC429">
        <v>2.4</v>
      </c>
      <c r="AD429">
        <v>2.5</v>
      </c>
      <c r="AE429">
        <v>2</v>
      </c>
      <c r="AF429">
        <v>3.9</v>
      </c>
      <c r="AG429">
        <v>3.5</v>
      </c>
      <c r="AH429">
        <v>2</v>
      </c>
      <c r="AI429">
        <v>3.8</v>
      </c>
      <c r="AJ429">
        <v>2.7</v>
      </c>
      <c r="AK429">
        <v>2</v>
      </c>
      <c r="AL429">
        <v>3.8</v>
      </c>
      <c r="AM429">
        <v>4</v>
      </c>
      <c r="AN429">
        <v>4.2</v>
      </c>
      <c r="AO429">
        <v>4</v>
      </c>
      <c r="AP429">
        <v>5.9</v>
      </c>
      <c r="AQ429">
        <v>4</v>
      </c>
      <c r="AR429">
        <v>7.8</v>
      </c>
      <c r="AS429">
        <v>4</v>
      </c>
      <c r="AT429">
        <v>-4.0999999999999996</v>
      </c>
      <c r="AU429">
        <v>-4.4000000000000004</v>
      </c>
      <c r="AV429">
        <v>-5</v>
      </c>
      <c r="AW429">
        <v>-3.7</v>
      </c>
      <c r="AX429">
        <v>-5.6</v>
      </c>
      <c r="AY429">
        <v>-5</v>
      </c>
      <c r="AZ429">
        <v>11.4</v>
      </c>
      <c r="BA429">
        <v>10</v>
      </c>
      <c r="BB429">
        <v>11.6</v>
      </c>
      <c r="BC429">
        <v>10</v>
      </c>
      <c r="BD429">
        <v>5.0999999999999996</v>
      </c>
      <c r="BE429">
        <v>4</v>
      </c>
      <c r="BF429">
        <v>9.5</v>
      </c>
      <c r="BG429">
        <v>10</v>
      </c>
      <c r="BH429">
        <v>11.7</v>
      </c>
      <c r="BI429">
        <v>10</v>
      </c>
      <c r="BJ429">
        <v>10.4</v>
      </c>
      <c r="BK429">
        <v>9</v>
      </c>
      <c r="BL429">
        <v>20.6</v>
      </c>
      <c r="BM429">
        <v>19</v>
      </c>
      <c r="BN429">
        <v>23.5</v>
      </c>
      <c r="BO429">
        <v>19</v>
      </c>
      <c r="BP429">
        <v>21.8</v>
      </c>
      <c r="BQ429">
        <v>20</v>
      </c>
      <c r="BR429">
        <v>21.3</v>
      </c>
      <c r="BS429">
        <v>25</v>
      </c>
      <c r="BT429">
        <v>21.9</v>
      </c>
      <c r="BU429">
        <v>25</v>
      </c>
      <c r="BV429">
        <v>23.6</v>
      </c>
      <c r="BW429">
        <v>18</v>
      </c>
      <c r="BX429">
        <v>21.1</v>
      </c>
      <c r="BY429">
        <v>20</v>
      </c>
      <c r="BZ429">
        <v>21.8</v>
      </c>
      <c r="CA429">
        <v>20</v>
      </c>
      <c r="CB429">
        <v>10.1</v>
      </c>
      <c r="CC429">
        <v>10</v>
      </c>
      <c r="CD429">
        <v>11.7</v>
      </c>
      <c r="CE429">
        <v>10</v>
      </c>
      <c r="CF429">
        <v>10.9</v>
      </c>
      <c r="CG429">
        <v>9</v>
      </c>
      <c r="CH429">
        <v>11.1</v>
      </c>
      <c r="CI429">
        <v>9</v>
      </c>
    </row>
    <row r="430" spans="1:87" x14ac:dyDescent="0.35">
      <c r="A430" s="1">
        <v>46059.754166666666</v>
      </c>
      <c r="B430">
        <v>-17.5</v>
      </c>
      <c r="C430">
        <v>-17.600000000000001</v>
      </c>
      <c r="D430">
        <v>-25</v>
      </c>
      <c r="E430">
        <v>-17.600000000000001</v>
      </c>
      <c r="F430">
        <v>-17.2</v>
      </c>
      <c r="G430">
        <v>-25</v>
      </c>
      <c r="H430">
        <v>-16.899999999999999</v>
      </c>
      <c r="I430">
        <v>-14.3</v>
      </c>
      <c r="J430">
        <v>-25</v>
      </c>
      <c r="K430">
        <v>-16.3</v>
      </c>
      <c r="L430">
        <v>-17.3</v>
      </c>
      <c r="M430">
        <v>-25</v>
      </c>
      <c r="N430">
        <v>-17.8</v>
      </c>
      <c r="O430">
        <v>-18.5</v>
      </c>
      <c r="P430">
        <v>-25</v>
      </c>
      <c r="Q430">
        <v>-14.9</v>
      </c>
      <c r="R430">
        <v>15</v>
      </c>
      <c r="S430">
        <v>-25</v>
      </c>
      <c r="T430">
        <v>3.9</v>
      </c>
      <c r="U430">
        <v>3.9</v>
      </c>
      <c r="V430">
        <v>2</v>
      </c>
      <c r="W430">
        <v>4</v>
      </c>
      <c r="X430">
        <v>3.8</v>
      </c>
      <c r="Y430">
        <v>2</v>
      </c>
      <c r="Z430">
        <v>2.9</v>
      </c>
      <c r="AA430">
        <v>2.6</v>
      </c>
      <c r="AB430">
        <v>2</v>
      </c>
      <c r="AC430">
        <v>2.6</v>
      </c>
      <c r="AD430">
        <v>2.2999999999999998</v>
      </c>
      <c r="AE430">
        <v>2</v>
      </c>
      <c r="AF430">
        <v>3.9</v>
      </c>
      <c r="AG430">
        <v>3.5</v>
      </c>
      <c r="AH430">
        <v>2</v>
      </c>
      <c r="AI430">
        <v>3.8</v>
      </c>
      <c r="AJ430">
        <v>3.1</v>
      </c>
      <c r="AK430">
        <v>2</v>
      </c>
      <c r="AL430">
        <v>3.8</v>
      </c>
      <c r="AM430">
        <v>4</v>
      </c>
      <c r="AN430">
        <v>4.3</v>
      </c>
      <c r="AO430">
        <v>4</v>
      </c>
      <c r="AP430">
        <v>4.7</v>
      </c>
      <c r="AQ430">
        <v>4</v>
      </c>
      <c r="AR430">
        <v>6.7</v>
      </c>
      <c r="AS430">
        <v>4</v>
      </c>
      <c r="AT430">
        <v>-3.5</v>
      </c>
      <c r="AU430">
        <v>-3.4</v>
      </c>
      <c r="AV430">
        <v>-5</v>
      </c>
      <c r="AW430">
        <v>-4.9000000000000004</v>
      </c>
      <c r="AX430">
        <v>-5.8</v>
      </c>
      <c r="AY430">
        <v>-5</v>
      </c>
      <c r="AZ430">
        <v>11.5</v>
      </c>
      <c r="BA430">
        <v>10</v>
      </c>
      <c r="BB430">
        <v>11.4</v>
      </c>
      <c r="BC430">
        <v>10</v>
      </c>
      <c r="BD430">
        <v>5.4</v>
      </c>
      <c r="BE430">
        <v>4</v>
      </c>
      <c r="BF430">
        <v>10</v>
      </c>
      <c r="BG430">
        <v>10</v>
      </c>
      <c r="BH430">
        <v>11.7</v>
      </c>
      <c r="BI430">
        <v>10</v>
      </c>
      <c r="BJ430">
        <v>10.4</v>
      </c>
      <c r="BK430">
        <v>9</v>
      </c>
      <c r="BL430">
        <v>20.7</v>
      </c>
      <c r="BM430">
        <v>19</v>
      </c>
      <c r="BN430">
        <v>23.5</v>
      </c>
      <c r="BO430">
        <v>19</v>
      </c>
      <c r="BP430">
        <v>21.8</v>
      </c>
      <c r="BQ430">
        <v>20</v>
      </c>
      <c r="BR430">
        <v>21.3</v>
      </c>
      <c r="BS430">
        <v>25</v>
      </c>
      <c r="BT430">
        <v>21.9</v>
      </c>
      <c r="BU430">
        <v>25</v>
      </c>
      <c r="BV430">
        <v>23.6</v>
      </c>
      <c r="BW430">
        <v>18</v>
      </c>
      <c r="BX430">
        <v>21.2</v>
      </c>
      <c r="BY430">
        <v>20</v>
      </c>
      <c r="BZ430">
        <v>21.8</v>
      </c>
      <c r="CA430">
        <v>20</v>
      </c>
      <c r="CB430">
        <v>10.4</v>
      </c>
      <c r="CC430">
        <v>10</v>
      </c>
      <c r="CD430">
        <v>11.7</v>
      </c>
      <c r="CE430">
        <v>10</v>
      </c>
      <c r="CF430">
        <v>11.1</v>
      </c>
      <c r="CG430">
        <v>9</v>
      </c>
      <c r="CH430">
        <v>11.3</v>
      </c>
      <c r="CI430">
        <v>9</v>
      </c>
    </row>
    <row r="431" spans="1:87" x14ac:dyDescent="0.35">
      <c r="A431" s="1">
        <v>46059.754861111112</v>
      </c>
      <c r="B431">
        <v>-17.3</v>
      </c>
      <c r="C431">
        <v>-17.399999999999999</v>
      </c>
      <c r="D431">
        <v>-25</v>
      </c>
      <c r="E431">
        <v>-17.5</v>
      </c>
      <c r="F431">
        <v>-17.2</v>
      </c>
      <c r="G431">
        <v>-25</v>
      </c>
      <c r="H431">
        <v>-16.899999999999999</v>
      </c>
      <c r="I431">
        <v>-14.4</v>
      </c>
      <c r="J431">
        <v>-25</v>
      </c>
      <c r="K431">
        <v>-16.3</v>
      </c>
      <c r="L431">
        <v>-17.3</v>
      </c>
      <c r="M431">
        <v>-25</v>
      </c>
      <c r="N431">
        <v>-17.899999999999999</v>
      </c>
      <c r="O431">
        <v>-18.7</v>
      </c>
      <c r="P431">
        <v>-25</v>
      </c>
      <c r="Q431">
        <v>-14.9</v>
      </c>
      <c r="R431">
        <v>10.9</v>
      </c>
      <c r="S431">
        <v>-25</v>
      </c>
      <c r="T431">
        <v>3.9</v>
      </c>
      <c r="U431">
        <v>4</v>
      </c>
      <c r="V431">
        <v>2</v>
      </c>
      <c r="W431">
        <v>4</v>
      </c>
      <c r="X431">
        <v>2.7</v>
      </c>
      <c r="Y431">
        <v>2</v>
      </c>
      <c r="Z431">
        <v>2.9</v>
      </c>
      <c r="AA431">
        <v>2.6</v>
      </c>
      <c r="AB431">
        <v>2</v>
      </c>
      <c r="AC431">
        <v>2.7</v>
      </c>
      <c r="AD431">
        <v>2.5</v>
      </c>
      <c r="AE431">
        <v>2</v>
      </c>
      <c r="AF431">
        <v>3.9</v>
      </c>
      <c r="AG431">
        <v>3.6</v>
      </c>
      <c r="AH431">
        <v>2</v>
      </c>
      <c r="AI431">
        <v>3.8</v>
      </c>
      <c r="AJ431">
        <v>3.4</v>
      </c>
      <c r="AK431">
        <v>2</v>
      </c>
      <c r="AL431">
        <v>3.8</v>
      </c>
      <c r="AM431">
        <v>4</v>
      </c>
      <c r="AN431">
        <v>4.4000000000000004</v>
      </c>
      <c r="AO431">
        <v>4</v>
      </c>
      <c r="AP431">
        <v>3.8</v>
      </c>
      <c r="AQ431">
        <v>4</v>
      </c>
      <c r="AR431">
        <v>6.3</v>
      </c>
      <c r="AS431">
        <v>4</v>
      </c>
      <c r="AT431">
        <v>-3.5</v>
      </c>
      <c r="AU431">
        <v>-1.9</v>
      </c>
      <c r="AV431">
        <v>-5</v>
      </c>
      <c r="AW431">
        <v>-4.7</v>
      </c>
      <c r="AX431">
        <v>-4.8</v>
      </c>
      <c r="AY431">
        <v>-5</v>
      </c>
      <c r="AZ431">
        <v>11.6</v>
      </c>
      <c r="BA431">
        <v>10</v>
      </c>
      <c r="BB431">
        <v>11.2</v>
      </c>
      <c r="BC431">
        <v>10</v>
      </c>
      <c r="BD431">
        <v>5.6</v>
      </c>
      <c r="BE431">
        <v>4</v>
      </c>
      <c r="BF431">
        <v>10.4</v>
      </c>
      <c r="BG431">
        <v>10</v>
      </c>
      <c r="BH431">
        <v>11.7</v>
      </c>
      <c r="BI431">
        <v>10</v>
      </c>
      <c r="BJ431">
        <v>10.4</v>
      </c>
      <c r="BK431">
        <v>9</v>
      </c>
      <c r="BL431">
        <v>20.7</v>
      </c>
      <c r="BM431">
        <v>19</v>
      </c>
      <c r="BN431">
        <v>23.5</v>
      </c>
      <c r="BO431">
        <v>19</v>
      </c>
      <c r="BP431">
        <v>21.8</v>
      </c>
      <c r="BQ431">
        <v>20</v>
      </c>
      <c r="BR431">
        <v>21.3</v>
      </c>
      <c r="BS431">
        <v>25</v>
      </c>
      <c r="BT431">
        <v>21.9</v>
      </c>
      <c r="BU431">
        <v>25</v>
      </c>
      <c r="BV431">
        <v>23.6</v>
      </c>
      <c r="BW431">
        <v>18</v>
      </c>
      <c r="BX431">
        <v>21.3</v>
      </c>
      <c r="BY431">
        <v>20</v>
      </c>
      <c r="BZ431">
        <v>21.8</v>
      </c>
      <c r="CA431">
        <v>20</v>
      </c>
      <c r="CB431">
        <v>10.8</v>
      </c>
      <c r="CC431">
        <v>10</v>
      </c>
      <c r="CD431">
        <v>11.7</v>
      </c>
      <c r="CE431">
        <v>10</v>
      </c>
      <c r="CF431">
        <v>11.1</v>
      </c>
      <c r="CG431">
        <v>9</v>
      </c>
      <c r="CH431">
        <v>11.3</v>
      </c>
      <c r="CI431">
        <v>9</v>
      </c>
    </row>
    <row r="432" spans="1:87" x14ac:dyDescent="0.35">
      <c r="A432" s="1">
        <v>46059.755555555559</v>
      </c>
      <c r="B432">
        <v>-17.3</v>
      </c>
      <c r="C432">
        <v>-17.399999999999999</v>
      </c>
      <c r="D432">
        <v>-25</v>
      </c>
      <c r="E432">
        <v>-17.5</v>
      </c>
      <c r="F432">
        <v>-17.2</v>
      </c>
      <c r="G432">
        <v>-25</v>
      </c>
      <c r="H432">
        <v>-17</v>
      </c>
      <c r="I432">
        <v>-14.4</v>
      </c>
      <c r="J432">
        <v>-25</v>
      </c>
      <c r="K432">
        <v>-16.399999999999999</v>
      </c>
      <c r="L432">
        <v>-17.3</v>
      </c>
      <c r="M432">
        <v>-25</v>
      </c>
      <c r="N432">
        <v>-17.899999999999999</v>
      </c>
      <c r="O432">
        <v>-18.7</v>
      </c>
      <c r="P432">
        <v>-25</v>
      </c>
      <c r="Q432">
        <v>-14.9</v>
      </c>
      <c r="R432">
        <v>13</v>
      </c>
      <c r="S432">
        <v>-25</v>
      </c>
      <c r="T432">
        <v>3.8</v>
      </c>
      <c r="U432">
        <v>3.6</v>
      </c>
      <c r="V432">
        <v>2</v>
      </c>
      <c r="W432">
        <v>3.8</v>
      </c>
      <c r="X432">
        <v>2.1</v>
      </c>
      <c r="Y432">
        <v>2</v>
      </c>
      <c r="Z432">
        <v>3</v>
      </c>
      <c r="AA432">
        <v>2.7</v>
      </c>
      <c r="AB432">
        <v>2</v>
      </c>
      <c r="AC432">
        <v>2.8</v>
      </c>
      <c r="AD432">
        <v>2.6</v>
      </c>
      <c r="AE432">
        <v>2</v>
      </c>
      <c r="AF432">
        <v>3.9</v>
      </c>
      <c r="AG432">
        <v>3.6</v>
      </c>
      <c r="AH432">
        <v>2</v>
      </c>
      <c r="AI432">
        <v>3.8</v>
      </c>
      <c r="AJ432">
        <v>3.3</v>
      </c>
      <c r="AK432">
        <v>2</v>
      </c>
      <c r="AL432">
        <v>3.9</v>
      </c>
      <c r="AM432">
        <v>4</v>
      </c>
      <c r="AN432">
        <v>4.5</v>
      </c>
      <c r="AO432">
        <v>4</v>
      </c>
      <c r="AP432">
        <v>3.2</v>
      </c>
      <c r="AQ432">
        <v>4</v>
      </c>
      <c r="AR432">
        <v>5.9</v>
      </c>
      <c r="AS432">
        <v>4</v>
      </c>
      <c r="AT432">
        <v>-3.5</v>
      </c>
      <c r="AU432">
        <v>-0.3</v>
      </c>
      <c r="AV432">
        <v>-5</v>
      </c>
      <c r="AW432">
        <v>-4.0999999999999996</v>
      </c>
      <c r="AX432">
        <v>-4</v>
      </c>
      <c r="AY432">
        <v>-5</v>
      </c>
      <c r="AZ432">
        <v>11.7</v>
      </c>
      <c r="BA432">
        <v>10</v>
      </c>
      <c r="BB432">
        <v>11.2</v>
      </c>
      <c r="BC432">
        <v>10</v>
      </c>
      <c r="BD432">
        <v>5.8</v>
      </c>
      <c r="BE432">
        <v>4</v>
      </c>
      <c r="BF432">
        <v>10.8</v>
      </c>
      <c r="BG432">
        <v>10</v>
      </c>
      <c r="BH432">
        <v>11.7</v>
      </c>
      <c r="BI432">
        <v>10</v>
      </c>
      <c r="BJ432">
        <v>10.5</v>
      </c>
      <c r="BK432">
        <v>9</v>
      </c>
      <c r="BL432">
        <v>20.7</v>
      </c>
      <c r="BM432">
        <v>19</v>
      </c>
      <c r="BN432">
        <v>23.5</v>
      </c>
      <c r="BO432">
        <v>19</v>
      </c>
      <c r="BP432">
        <v>21.9</v>
      </c>
      <c r="BQ432">
        <v>20</v>
      </c>
      <c r="BR432">
        <v>21.3</v>
      </c>
      <c r="BS432">
        <v>25</v>
      </c>
      <c r="BT432">
        <v>21.9</v>
      </c>
      <c r="BU432">
        <v>25</v>
      </c>
      <c r="BV432">
        <v>23.6</v>
      </c>
      <c r="BW432">
        <v>18</v>
      </c>
      <c r="BX432">
        <v>21.3</v>
      </c>
      <c r="BY432">
        <v>20</v>
      </c>
      <c r="BZ432">
        <v>21.8</v>
      </c>
      <c r="CA432">
        <v>20</v>
      </c>
      <c r="CB432">
        <v>11.3</v>
      </c>
      <c r="CC432">
        <v>10</v>
      </c>
      <c r="CD432">
        <v>11.7</v>
      </c>
      <c r="CE432">
        <v>10</v>
      </c>
      <c r="CF432">
        <v>11</v>
      </c>
      <c r="CG432">
        <v>9</v>
      </c>
      <c r="CH432">
        <v>11.2</v>
      </c>
      <c r="CI432">
        <v>9</v>
      </c>
    </row>
    <row r="433" spans="1:87" x14ac:dyDescent="0.35">
      <c r="A433" s="1">
        <v>46059.756249999999</v>
      </c>
      <c r="B433">
        <v>-17.3</v>
      </c>
      <c r="C433">
        <v>-17.600000000000001</v>
      </c>
      <c r="D433">
        <v>-25</v>
      </c>
      <c r="E433">
        <v>-17.8</v>
      </c>
      <c r="F433">
        <v>-17.2</v>
      </c>
      <c r="G433">
        <v>-25</v>
      </c>
      <c r="H433">
        <v>-17</v>
      </c>
      <c r="I433">
        <v>-14.5</v>
      </c>
      <c r="J433">
        <v>-25</v>
      </c>
      <c r="K433">
        <v>-16.5</v>
      </c>
      <c r="L433">
        <v>-17.3</v>
      </c>
      <c r="M433">
        <v>-25</v>
      </c>
      <c r="N433">
        <v>-17.899999999999999</v>
      </c>
      <c r="O433">
        <v>-18.399999999999999</v>
      </c>
      <c r="P433">
        <v>-25</v>
      </c>
      <c r="Q433">
        <v>-14.9</v>
      </c>
      <c r="R433">
        <v>12.2</v>
      </c>
      <c r="S433">
        <v>-25</v>
      </c>
      <c r="T433">
        <v>3.6</v>
      </c>
      <c r="U433">
        <v>3.3</v>
      </c>
      <c r="V433">
        <v>2</v>
      </c>
      <c r="W433">
        <v>3.5</v>
      </c>
      <c r="X433">
        <v>2.2000000000000002</v>
      </c>
      <c r="Y433">
        <v>2</v>
      </c>
      <c r="Z433">
        <v>3.1</v>
      </c>
      <c r="AA433">
        <v>2.8</v>
      </c>
      <c r="AB433">
        <v>2</v>
      </c>
      <c r="AC433">
        <v>2.9</v>
      </c>
      <c r="AD433">
        <v>2.7</v>
      </c>
      <c r="AE433">
        <v>2</v>
      </c>
      <c r="AF433">
        <v>3.8</v>
      </c>
      <c r="AG433">
        <v>3.4</v>
      </c>
      <c r="AH433">
        <v>2</v>
      </c>
      <c r="AI433">
        <v>3.7</v>
      </c>
      <c r="AJ433">
        <v>2.7</v>
      </c>
      <c r="AK433">
        <v>2</v>
      </c>
      <c r="AL433">
        <v>4</v>
      </c>
      <c r="AM433">
        <v>4</v>
      </c>
      <c r="AN433">
        <v>4.5</v>
      </c>
      <c r="AO433">
        <v>4</v>
      </c>
      <c r="AP433">
        <v>3.2</v>
      </c>
      <c r="AQ433">
        <v>4</v>
      </c>
      <c r="AR433">
        <v>5.2</v>
      </c>
      <c r="AS433">
        <v>4</v>
      </c>
      <c r="AT433">
        <v>-3.5</v>
      </c>
      <c r="AU433">
        <v>4.2</v>
      </c>
      <c r="AV433">
        <v>-5</v>
      </c>
      <c r="AW433">
        <v>-3.9</v>
      </c>
      <c r="AX433">
        <v>-5.2</v>
      </c>
      <c r="AY433">
        <v>-5</v>
      </c>
      <c r="AZ433">
        <v>11.8</v>
      </c>
      <c r="BA433">
        <v>10</v>
      </c>
      <c r="BB433">
        <v>11</v>
      </c>
      <c r="BC433">
        <v>10</v>
      </c>
      <c r="BD433">
        <v>5.9</v>
      </c>
      <c r="BE433">
        <v>4</v>
      </c>
      <c r="BF433">
        <v>11.1</v>
      </c>
      <c r="BG433">
        <v>10</v>
      </c>
      <c r="BH433">
        <v>11.7</v>
      </c>
      <c r="BI433">
        <v>10</v>
      </c>
      <c r="BJ433">
        <v>10.5</v>
      </c>
      <c r="BK433">
        <v>9</v>
      </c>
      <c r="BL433">
        <v>20.7</v>
      </c>
      <c r="BM433">
        <v>19</v>
      </c>
      <c r="BN433">
        <v>23.5</v>
      </c>
      <c r="BO433">
        <v>19</v>
      </c>
      <c r="BP433">
        <v>21.9</v>
      </c>
      <c r="BQ433">
        <v>20</v>
      </c>
      <c r="BR433">
        <v>21.3</v>
      </c>
      <c r="BS433">
        <v>25</v>
      </c>
      <c r="BT433">
        <v>21.9</v>
      </c>
      <c r="BU433">
        <v>25</v>
      </c>
      <c r="BV433">
        <v>23.6</v>
      </c>
      <c r="BW433">
        <v>18</v>
      </c>
      <c r="BX433">
        <v>21.3</v>
      </c>
      <c r="BY433">
        <v>20</v>
      </c>
      <c r="BZ433">
        <v>21.8</v>
      </c>
      <c r="CA433">
        <v>20</v>
      </c>
      <c r="CB433">
        <v>11.6</v>
      </c>
      <c r="CC433">
        <v>10</v>
      </c>
      <c r="CD433">
        <v>11.7</v>
      </c>
      <c r="CE433">
        <v>10</v>
      </c>
      <c r="CF433">
        <v>11</v>
      </c>
      <c r="CG433">
        <v>9</v>
      </c>
      <c r="CH433">
        <v>11.2</v>
      </c>
      <c r="CI433">
        <v>9</v>
      </c>
    </row>
    <row r="434" spans="1:87" x14ac:dyDescent="0.35">
      <c r="A434" s="1">
        <v>46059.756944444445</v>
      </c>
      <c r="B434">
        <v>-17.600000000000001</v>
      </c>
      <c r="C434">
        <v>-19</v>
      </c>
      <c r="D434">
        <v>-25</v>
      </c>
      <c r="E434">
        <v>-18.2</v>
      </c>
      <c r="F434">
        <v>-17.399999999999999</v>
      </c>
      <c r="G434">
        <v>-25</v>
      </c>
      <c r="H434">
        <v>-17</v>
      </c>
      <c r="I434">
        <v>-14.5</v>
      </c>
      <c r="J434">
        <v>-25</v>
      </c>
      <c r="K434">
        <v>-16.5</v>
      </c>
      <c r="L434">
        <v>-17.3</v>
      </c>
      <c r="M434">
        <v>-25</v>
      </c>
      <c r="N434">
        <v>-17.899999999999999</v>
      </c>
      <c r="O434">
        <v>-18.3</v>
      </c>
      <c r="P434">
        <v>-25</v>
      </c>
      <c r="Q434">
        <v>-14.9</v>
      </c>
      <c r="R434">
        <v>16.2</v>
      </c>
      <c r="S434">
        <v>-25</v>
      </c>
      <c r="T434">
        <v>3.4</v>
      </c>
      <c r="U434">
        <v>3.1</v>
      </c>
      <c r="V434">
        <v>2</v>
      </c>
      <c r="W434">
        <v>3.3</v>
      </c>
      <c r="X434">
        <v>2.2000000000000002</v>
      </c>
      <c r="Y434">
        <v>2</v>
      </c>
      <c r="Z434">
        <v>3.2</v>
      </c>
      <c r="AA434">
        <v>2.9</v>
      </c>
      <c r="AB434">
        <v>2</v>
      </c>
      <c r="AC434">
        <v>3</v>
      </c>
      <c r="AD434">
        <v>2.9</v>
      </c>
      <c r="AE434">
        <v>2</v>
      </c>
      <c r="AF434">
        <v>3.6</v>
      </c>
      <c r="AG434">
        <v>3.2</v>
      </c>
      <c r="AH434">
        <v>2</v>
      </c>
      <c r="AI434">
        <v>3.4</v>
      </c>
      <c r="AJ434">
        <v>2.7</v>
      </c>
      <c r="AK434">
        <v>2</v>
      </c>
      <c r="AL434">
        <v>4.0999999999999996</v>
      </c>
      <c r="AM434">
        <v>4</v>
      </c>
      <c r="AN434">
        <v>4.5999999999999996</v>
      </c>
      <c r="AO434">
        <v>4</v>
      </c>
      <c r="AP434">
        <v>3.3</v>
      </c>
      <c r="AQ434">
        <v>4</v>
      </c>
      <c r="AR434">
        <v>4.2</v>
      </c>
      <c r="AS434">
        <v>4</v>
      </c>
      <c r="AT434">
        <v>-3.5</v>
      </c>
      <c r="AU434">
        <v>8.1999999999999993</v>
      </c>
      <c r="AV434">
        <v>-5</v>
      </c>
      <c r="AW434">
        <v>-4.5999999999999996</v>
      </c>
      <c r="AX434">
        <v>-7.1</v>
      </c>
      <c r="AY434">
        <v>-5</v>
      </c>
      <c r="AZ434">
        <v>11.8</v>
      </c>
      <c r="BA434">
        <v>10</v>
      </c>
      <c r="BB434">
        <v>10.9</v>
      </c>
      <c r="BC434">
        <v>10</v>
      </c>
      <c r="BD434">
        <v>6</v>
      </c>
      <c r="BE434">
        <v>4</v>
      </c>
      <c r="BF434">
        <v>11.3</v>
      </c>
      <c r="BG434">
        <v>10</v>
      </c>
      <c r="BH434">
        <v>11.8</v>
      </c>
      <c r="BI434">
        <v>10</v>
      </c>
      <c r="BJ434">
        <v>10.6</v>
      </c>
      <c r="BK434">
        <v>9</v>
      </c>
      <c r="BL434">
        <v>20.7</v>
      </c>
      <c r="BM434">
        <v>19</v>
      </c>
      <c r="BN434">
        <v>23.5</v>
      </c>
      <c r="BO434">
        <v>19</v>
      </c>
      <c r="BP434">
        <v>21.9</v>
      </c>
      <c r="BQ434">
        <v>20</v>
      </c>
      <c r="BR434">
        <v>21.3</v>
      </c>
      <c r="BS434">
        <v>25</v>
      </c>
      <c r="BT434">
        <v>21.9</v>
      </c>
      <c r="BU434">
        <v>25</v>
      </c>
      <c r="BV434">
        <v>23.6</v>
      </c>
      <c r="BW434">
        <v>18</v>
      </c>
      <c r="BX434">
        <v>21.4</v>
      </c>
      <c r="BY434">
        <v>20</v>
      </c>
      <c r="BZ434">
        <v>21.9</v>
      </c>
      <c r="CA434">
        <v>20</v>
      </c>
      <c r="CB434">
        <v>12</v>
      </c>
      <c r="CC434">
        <v>10</v>
      </c>
      <c r="CD434">
        <v>11.8</v>
      </c>
      <c r="CE434">
        <v>10</v>
      </c>
      <c r="CF434">
        <v>11</v>
      </c>
      <c r="CG434">
        <v>9</v>
      </c>
      <c r="CH434">
        <v>11.2</v>
      </c>
      <c r="CI434">
        <v>9</v>
      </c>
    </row>
    <row r="435" spans="1:87" x14ac:dyDescent="0.35">
      <c r="A435" s="1">
        <v>46059.758333333331</v>
      </c>
      <c r="B435">
        <v>-18.2</v>
      </c>
      <c r="C435">
        <v>-19.5</v>
      </c>
      <c r="D435">
        <v>-25</v>
      </c>
      <c r="E435">
        <v>-18.7</v>
      </c>
      <c r="F435">
        <v>-17.7</v>
      </c>
      <c r="G435">
        <v>-25</v>
      </c>
      <c r="H435">
        <v>-17</v>
      </c>
      <c r="I435">
        <v>-14.5</v>
      </c>
      <c r="J435">
        <v>-25</v>
      </c>
      <c r="K435">
        <v>-16.5</v>
      </c>
      <c r="L435">
        <v>-17.3</v>
      </c>
      <c r="M435">
        <v>-25</v>
      </c>
      <c r="N435">
        <v>-17.899999999999999</v>
      </c>
      <c r="O435">
        <v>-18.3</v>
      </c>
      <c r="P435">
        <v>-25</v>
      </c>
      <c r="Q435">
        <v>-14.9</v>
      </c>
      <c r="R435">
        <v>18.399999999999999</v>
      </c>
      <c r="S435">
        <v>-25</v>
      </c>
      <c r="T435">
        <v>3.4</v>
      </c>
      <c r="U435">
        <v>3.1</v>
      </c>
      <c r="V435">
        <v>2</v>
      </c>
      <c r="W435">
        <v>3.2</v>
      </c>
      <c r="X435">
        <v>2.2999999999999998</v>
      </c>
      <c r="Y435">
        <v>2</v>
      </c>
      <c r="Z435">
        <v>3.3</v>
      </c>
      <c r="AA435">
        <v>3.1</v>
      </c>
      <c r="AB435">
        <v>2</v>
      </c>
      <c r="AC435">
        <v>3.1</v>
      </c>
      <c r="AD435">
        <v>3</v>
      </c>
      <c r="AE435">
        <v>2</v>
      </c>
      <c r="AF435">
        <v>3.5</v>
      </c>
      <c r="AG435">
        <v>3.2</v>
      </c>
      <c r="AH435">
        <v>2</v>
      </c>
      <c r="AI435">
        <v>3.4</v>
      </c>
      <c r="AJ435">
        <v>2.6</v>
      </c>
      <c r="AK435">
        <v>2</v>
      </c>
      <c r="AL435">
        <v>4.2</v>
      </c>
      <c r="AM435">
        <v>4</v>
      </c>
      <c r="AN435">
        <v>4.7</v>
      </c>
      <c r="AO435">
        <v>4</v>
      </c>
      <c r="AP435">
        <v>3.8</v>
      </c>
      <c r="AQ435">
        <v>4</v>
      </c>
      <c r="AR435">
        <v>3.5</v>
      </c>
      <c r="AS435">
        <v>4</v>
      </c>
      <c r="AT435">
        <v>-3.5</v>
      </c>
      <c r="AU435">
        <v>15.2</v>
      </c>
      <c r="AV435">
        <v>-5</v>
      </c>
      <c r="AW435">
        <v>-5.0999999999999996</v>
      </c>
      <c r="AX435">
        <v>-5.2</v>
      </c>
      <c r="AY435">
        <v>-5</v>
      </c>
      <c r="AZ435">
        <v>12</v>
      </c>
      <c r="BA435">
        <v>10</v>
      </c>
      <c r="BB435">
        <v>10.7</v>
      </c>
      <c r="BC435">
        <v>10</v>
      </c>
      <c r="BD435">
        <v>5.0999999999999996</v>
      </c>
      <c r="BE435">
        <v>4</v>
      </c>
      <c r="BF435">
        <v>11.9</v>
      </c>
      <c r="BG435">
        <v>10</v>
      </c>
      <c r="BH435">
        <v>12.3</v>
      </c>
      <c r="BI435">
        <v>10</v>
      </c>
      <c r="BJ435">
        <v>10.9</v>
      </c>
      <c r="BK435">
        <v>9</v>
      </c>
      <c r="BL435">
        <v>20.8</v>
      </c>
      <c r="BM435">
        <v>19</v>
      </c>
      <c r="BN435">
        <v>23.5</v>
      </c>
      <c r="BO435">
        <v>19</v>
      </c>
      <c r="BP435">
        <v>21.9</v>
      </c>
      <c r="BQ435">
        <v>20</v>
      </c>
      <c r="BR435">
        <v>21.4</v>
      </c>
      <c r="BS435">
        <v>25</v>
      </c>
      <c r="BT435">
        <v>21.9</v>
      </c>
      <c r="BU435">
        <v>25</v>
      </c>
      <c r="BV435">
        <v>23.6</v>
      </c>
      <c r="BW435">
        <v>18</v>
      </c>
      <c r="BX435">
        <v>21.4</v>
      </c>
      <c r="BY435">
        <v>20</v>
      </c>
      <c r="BZ435">
        <v>21.9</v>
      </c>
      <c r="CA435">
        <v>20</v>
      </c>
      <c r="CB435">
        <v>11.9</v>
      </c>
      <c r="CC435">
        <v>10</v>
      </c>
      <c r="CD435">
        <v>11.9</v>
      </c>
      <c r="CE435">
        <v>10</v>
      </c>
      <c r="CF435">
        <v>11.3</v>
      </c>
      <c r="CG435">
        <v>9</v>
      </c>
      <c r="CH435">
        <v>11.5</v>
      </c>
      <c r="CI435">
        <v>9</v>
      </c>
    </row>
    <row r="436" spans="1:87" x14ac:dyDescent="0.35">
      <c r="A436" s="1">
        <v>46059.759027777778</v>
      </c>
      <c r="B436">
        <v>-18.2</v>
      </c>
      <c r="C436">
        <v>-18.8</v>
      </c>
      <c r="D436">
        <v>-25</v>
      </c>
      <c r="E436">
        <v>-18.7</v>
      </c>
      <c r="F436">
        <v>-17.8</v>
      </c>
      <c r="G436">
        <v>-25</v>
      </c>
      <c r="H436">
        <v>-17</v>
      </c>
      <c r="I436">
        <v>-14.5</v>
      </c>
      <c r="J436">
        <v>-25</v>
      </c>
      <c r="K436">
        <v>-16.5</v>
      </c>
      <c r="L436">
        <v>-17.3</v>
      </c>
      <c r="M436">
        <v>-25</v>
      </c>
      <c r="N436">
        <v>-17.899999999999999</v>
      </c>
      <c r="O436">
        <v>-18.2</v>
      </c>
      <c r="P436">
        <v>-25</v>
      </c>
      <c r="Q436">
        <v>-14.9</v>
      </c>
      <c r="R436">
        <v>17.600000000000001</v>
      </c>
      <c r="S436">
        <v>-25</v>
      </c>
      <c r="T436">
        <v>3.3</v>
      </c>
      <c r="U436">
        <v>3</v>
      </c>
      <c r="V436">
        <v>2</v>
      </c>
      <c r="W436">
        <v>3.1</v>
      </c>
      <c r="X436">
        <v>2</v>
      </c>
      <c r="Y436">
        <v>2</v>
      </c>
      <c r="Z436">
        <v>3.4</v>
      </c>
      <c r="AA436">
        <v>3.1</v>
      </c>
      <c r="AB436">
        <v>2</v>
      </c>
      <c r="AC436">
        <v>3.2</v>
      </c>
      <c r="AD436">
        <v>3</v>
      </c>
      <c r="AE436">
        <v>2</v>
      </c>
      <c r="AF436">
        <v>3.5</v>
      </c>
      <c r="AG436">
        <v>3.1</v>
      </c>
      <c r="AH436">
        <v>2</v>
      </c>
      <c r="AI436">
        <v>3.3</v>
      </c>
      <c r="AJ436">
        <v>2.2999999999999998</v>
      </c>
      <c r="AK436">
        <v>2</v>
      </c>
      <c r="AL436">
        <v>4.3</v>
      </c>
      <c r="AM436">
        <v>4</v>
      </c>
      <c r="AN436">
        <v>4.8</v>
      </c>
      <c r="AO436">
        <v>4</v>
      </c>
      <c r="AP436">
        <v>4.0999999999999996</v>
      </c>
      <c r="AQ436">
        <v>4</v>
      </c>
      <c r="AR436">
        <v>3.7</v>
      </c>
      <c r="AS436">
        <v>4</v>
      </c>
      <c r="AT436">
        <v>-3.5</v>
      </c>
      <c r="AU436">
        <v>18.600000000000001</v>
      </c>
      <c r="AV436">
        <v>-5</v>
      </c>
      <c r="AW436">
        <v>-4.4000000000000004</v>
      </c>
      <c r="AX436">
        <v>-4.3</v>
      </c>
      <c r="AY436">
        <v>-5</v>
      </c>
      <c r="AZ436">
        <v>11.7</v>
      </c>
      <c r="BA436">
        <v>10</v>
      </c>
      <c r="BB436">
        <v>10.7</v>
      </c>
      <c r="BC436">
        <v>10</v>
      </c>
      <c r="BD436">
        <v>4.5</v>
      </c>
      <c r="BE436">
        <v>4</v>
      </c>
      <c r="BF436">
        <v>12</v>
      </c>
      <c r="BG436">
        <v>10</v>
      </c>
      <c r="BH436">
        <v>12.6</v>
      </c>
      <c r="BI436">
        <v>10</v>
      </c>
      <c r="BJ436">
        <v>11</v>
      </c>
      <c r="BK436">
        <v>9</v>
      </c>
      <c r="BL436">
        <v>20.8</v>
      </c>
      <c r="BM436">
        <v>19</v>
      </c>
      <c r="BN436">
        <v>23.5</v>
      </c>
      <c r="BO436">
        <v>19</v>
      </c>
      <c r="BP436">
        <v>21.9</v>
      </c>
      <c r="BQ436">
        <v>20</v>
      </c>
      <c r="BR436">
        <v>21.4</v>
      </c>
      <c r="BS436">
        <v>25</v>
      </c>
      <c r="BT436">
        <v>21.9</v>
      </c>
      <c r="BU436">
        <v>25</v>
      </c>
      <c r="BV436">
        <v>23.6</v>
      </c>
      <c r="BW436">
        <v>18</v>
      </c>
      <c r="BX436">
        <v>21.5</v>
      </c>
      <c r="BY436">
        <v>20</v>
      </c>
      <c r="BZ436">
        <v>21.9</v>
      </c>
      <c r="CA436">
        <v>20</v>
      </c>
      <c r="CB436">
        <v>11.7</v>
      </c>
      <c r="CC436">
        <v>10</v>
      </c>
      <c r="CD436">
        <v>12</v>
      </c>
      <c r="CE436">
        <v>10</v>
      </c>
      <c r="CF436">
        <v>11.3</v>
      </c>
      <c r="CG436">
        <v>9</v>
      </c>
      <c r="CH436">
        <v>11.6</v>
      </c>
      <c r="CI436">
        <v>9</v>
      </c>
    </row>
    <row r="437" spans="1:87" x14ac:dyDescent="0.35">
      <c r="A437" s="1">
        <v>46059.759722222225</v>
      </c>
      <c r="B437">
        <v>-18.2</v>
      </c>
      <c r="C437">
        <v>-18.399999999999999</v>
      </c>
      <c r="D437">
        <v>-25</v>
      </c>
      <c r="E437">
        <v>-18.5</v>
      </c>
      <c r="F437">
        <v>-17.8</v>
      </c>
      <c r="G437">
        <v>-25</v>
      </c>
      <c r="H437">
        <v>-17</v>
      </c>
      <c r="I437">
        <v>-14.5</v>
      </c>
      <c r="J437">
        <v>-25</v>
      </c>
      <c r="K437">
        <v>-16.5</v>
      </c>
      <c r="L437">
        <v>-17.3</v>
      </c>
      <c r="M437">
        <v>-25</v>
      </c>
      <c r="N437">
        <v>-17.899999999999999</v>
      </c>
      <c r="O437">
        <v>-18.3</v>
      </c>
      <c r="P437">
        <v>-25</v>
      </c>
      <c r="Q437">
        <v>-14.9</v>
      </c>
      <c r="R437">
        <v>17.3</v>
      </c>
      <c r="S437">
        <v>-25</v>
      </c>
      <c r="T437">
        <v>3.1</v>
      </c>
      <c r="U437">
        <v>2.7</v>
      </c>
      <c r="V437">
        <v>2</v>
      </c>
      <c r="W437">
        <v>2.9</v>
      </c>
      <c r="X437">
        <v>0.5</v>
      </c>
      <c r="Y437">
        <v>2</v>
      </c>
      <c r="Z437">
        <v>3.5</v>
      </c>
      <c r="AA437">
        <v>3.3</v>
      </c>
      <c r="AB437">
        <v>2</v>
      </c>
      <c r="AC437">
        <v>3.3</v>
      </c>
      <c r="AD437">
        <v>3.2</v>
      </c>
      <c r="AE437">
        <v>2</v>
      </c>
      <c r="AF437">
        <v>3.2</v>
      </c>
      <c r="AG437">
        <v>2.7</v>
      </c>
      <c r="AH437">
        <v>2</v>
      </c>
      <c r="AI437">
        <v>3</v>
      </c>
      <c r="AJ437">
        <v>0.3</v>
      </c>
      <c r="AK437">
        <v>2</v>
      </c>
      <c r="AL437">
        <v>4.4000000000000004</v>
      </c>
      <c r="AM437">
        <v>4</v>
      </c>
      <c r="AN437">
        <v>4.8</v>
      </c>
      <c r="AO437">
        <v>4</v>
      </c>
      <c r="AP437">
        <v>4.4000000000000004</v>
      </c>
      <c r="AQ437">
        <v>4</v>
      </c>
      <c r="AR437">
        <v>4.0999999999999996</v>
      </c>
      <c r="AS437">
        <v>4</v>
      </c>
      <c r="AT437">
        <v>-3.5</v>
      </c>
      <c r="AU437">
        <v>21.6</v>
      </c>
      <c r="AV437">
        <v>-5</v>
      </c>
      <c r="AW437">
        <v>-4.2</v>
      </c>
      <c r="AX437">
        <v>-4.2</v>
      </c>
      <c r="AY437">
        <v>-5</v>
      </c>
      <c r="AZ437">
        <v>10.3</v>
      </c>
      <c r="BA437">
        <v>10</v>
      </c>
      <c r="BB437">
        <v>10.6</v>
      </c>
      <c r="BC437">
        <v>10</v>
      </c>
      <c r="BD437">
        <v>4.3</v>
      </c>
      <c r="BE437">
        <v>4</v>
      </c>
      <c r="BF437">
        <v>11.5</v>
      </c>
      <c r="BG437">
        <v>10</v>
      </c>
      <c r="BH437">
        <v>12.8</v>
      </c>
      <c r="BI437">
        <v>10</v>
      </c>
      <c r="BJ437">
        <v>11.1</v>
      </c>
      <c r="BK437">
        <v>9</v>
      </c>
      <c r="BL437">
        <v>20.8</v>
      </c>
      <c r="BM437">
        <v>19</v>
      </c>
      <c r="BN437">
        <v>23.5</v>
      </c>
      <c r="BO437">
        <v>19</v>
      </c>
      <c r="BP437">
        <v>21.9</v>
      </c>
      <c r="BQ437">
        <v>20</v>
      </c>
      <c r="BR437">
        <v>21.4</v>
      </c>
      <c r="BS437">
        <v>25</v>
      </c>
      <c r="BT437">
        <v>21.9</v>
      </c>
      <c r="BU437">
        <v>25</v>
      </c>
      <c r="BV437">
        <v>23.6</v>
      </c>
      <c r="BW437">
        <v>18</v>
      </c>
      <c r="BX437">
        <v>21.5</v>
      </c>
      <c r="BY437">
        <v>20</v>
      </c>
      <c r="BZ437">
        <v>21.9</v>
      </c>
      <c r="CA437">
        <v>20</v>
      </c>
      <c r="CB437">
        <v>11.4</v>
      </c>
      <c r="CC437">
        <v>10</v>
      </c>
      <c r="CD437">
        <v>12</v>
      </c>
      <c r="CE437">
        <v>10</v>
      </c>
      <c r="CF437">
        <v>11.4</v>
      </c>
      <c r="CG437">
        <v>9</v>
      </c>
      <c r="CH437">
        <v>11.6</v>
      </c>
      <c r="CI437">
        <v>9</v>
      </c>
    </row>
    <row r="438" spans="1:87" x14ac:dyDescent="0.35">
      <c r="A438" s="1">
        <v>46059.760416666664</v>
      </c>
      <c r="B438">
        <v>-18</v>
      </c>
      <c r="C438">
        <v>-18.2</v>
      </c>
      <c r="D438">
        <v>-25</v>
      </c>
      <c r="E438">
        <v>-18.2</v>
      </c>
      <c r="F438">
        <v>-17.8</v>
      </c>
      <c r="G438">
        <v>-25</v>
      </c>
      <c r="H438">
        <v>-17.100000000000001</v>
      </c>
      <c r="I438">
        <v>-14.6</v>
      </c>
      <c r="J438">
        <v>-25</v>
      </c>
      <c r="K438">
        <v>-16.5</v>
      </c>
      <c r="L438">
        <v>-17.5</v>
      </c>
      <c r="M438">
        <v>-25</v>
      </c>
      <c r="N438">
        <v>-17.899999999999999</v>
      </c>
      <c r="O438">
        <v>-18.5</v>
      </c>
      <c r="P438">
        <v>-25</v>
      </c>
      <c r="Q438">
        <v>-14.9</v>
      </c>
      <c r="R438">
        <v>16.600000000000001</v>
      </c>
      <c r="S438">
        <v>-25</v>
      </c>
      <c r="T438">
        <v>2.9</v>
      </c>
      <c r="U438">
        <v>2.4</v>
      </c>
      <c r="V438">
        <v>2</v>
      </c>
      <c r="W438">
        <v>2.6</v>
      </c>
      <c r="X438">
        <v>-0.4</v>
      </c>
      <c r="Y438">
        <v>2</v>
      </c>
      <c r="Z438">
        <v>3.6</v>
      </c>
      <c r="AA438">
        <v>3.3</v>
      </c>
      <c r="AB438">
        <v>2</v>
      </c>
      <c r="AC438">
        <v>3.4</v>
      </c>
      <c r="AD438">
        <v>3.2</v>
      </c>
      <c r="AE438">
        <v>2</v>
      </c>
      <c r="AF438">
        <v>2.9</v>
      </c>
      <c r="AG438">
        <v>2.2999999999999998</v>
      </c>
      <c r="AH438">
        <v>2</v>
      </c>
      <c r="AI438">
        <v>2.7</v>
      </c>
      <c r="AJ438">
        <v>-0.4</v>
      </c>
      <c r="AK438">
        <v>2</v>
      </c>
      <c r="AL438">
        <v>4.4000000000000004</v>
      </c>
      <c r="AM438">
        <v>4</v>
      </c>
      <c r="AN438">
        <v>4.9000000000000004</v>
      </c>
      <c r="AO438">
        <v>4</v>
      </c>
      <c r="AP438">
        <v>4.5999999999999996</v>
      </c>
      <c r="AQ438">
        <v>4</v>
      </c>
      <c r="AR438">
        <v>4.5</v>
      </c>
      <c r="AS438">
        <v>4</v>
      </c>
      <c r="AT438">
        <v>-3.5</v>
      </c>
      <c r="AU438">
        <v>23.7</v>
      </c>
      <c r="AV438">
        <v>-5</v>
      </c>
      <c r="AW438">
        <v>-3.8</v>
      </c>
      <c r="AX438">
        <v>-3.6</v>
      </c>
      <c r="AY438">
        <v>-5</v>
      </c>
      <c r="AZ438">
        <v>9.3000000000000007</v>
      </c>
      <c r="BA438">
        <v>10</v>
      </c>
      <c r="BB438">
        <v>10.6</v>
      </c>
      <c r="BC438">
        <v>10</v>
      </c>
      <c r="BD438">
        <v>4.3</v>
      </c>
      <c r="BE438">
        <v>4</v>
      </c>
      <c r="BF438">
        <v>10.5</v>
      </c>
      <c r="BG438">
        <v>10</v>
      </c>
      <c r="BH438">
        <v>13.2</v>
      </c>
      <c r="BI438">
        <v>10</v>
      </c>
      <c r="BJ438">
        <v>11.3</v>
      </c>
      <c r="BK438">
        <v>9</v>
      </c>
      <c r="BL438">
        <v>20.8</v>
      </c>
      <c r="BM438">
        <v>19</v>
      </c>
      <c r="BN438">
        <v>23.5</v>
      </c>
      <c r="BO438">
        <v>19</v>
      </c>
      <c r="BP438">
        <v>21.9</v>
      </c>
      <c r="BQ438">
        <v>20</v>
      </c>
      <c r="BR438">
        <v>21.4</v>
      </c>
      <c r="BS438">
        <v>25</v>
      </c>
      <c r="BT438">
        <v>21.9</v>
      </c>
      <c r="BU438">
        <v>25</v>
      </c>
      <c r="BV438">
        <v>23.6</v>
      </c>
      <c r="BW438">
        <v>18</v>
      </c>
      <c r="BX438">
        <v>21.5</v>
      </c>
      <c r="BY438">
        <v>20</v>
      </c>
      <c r="BZ438">
        <v>21.9</v>
      </c>
      <c r="CA438">
        <v>20</v>
      </c>
      <c r="CB438">
        <v>11.1</v>
      </c>
      <c r="CC438">
        <v>10</v>
      </c>
      <c r="CD438">
        <v>11.6</v>
      </c>
      <c r="CE438">
        <v>10</v>
      </c>
      <c r="CF438">
        <v>11.4</v>
      </c>
      <c r="CG438">
        <v>9</v>
      </c>
      <c r="CH438">
        <v>11.6</v>
      </c>
      <c r="CI438">
        <v>9</v>
      </c>
    </row>
    <row r="439" spans="1:87" x14ac:dyDescent="0.35">
      <c r="A439" s="1">
        <v>46059.761111111111</v>
      </c>
      <c r="B439">
        <v>-17.8</v>
      </c>
      <c r="C439">
        <v>-17.8</v>
      </c>
      <c r="D439">
        <v>-25</v>
      </c>
      <c r="E439">
        <v>-17.899999999999999</v>
      </c>
      <c r="F439">
        <v>-17.8</v>
      </c>
      <c r="G439">
        <v>-25</v>
      </c>
      <c r="H439">
        <v>-17.3</v>
      </c>
      <c r="I439">
        <v>-14.7</v>
      </c>
      <c r="J439">
        <v>-25</v>
      </c>
      <c r="K439">
        <v>-16.600000000000001</v>
      </c>
      <c r="L439">
        <v>-17.600000000000001</v>
      </c>
      <c r="M439">
        <v>-25</v>
      </c>
      <c r="N439">
        <v>-17.899999999999999</v>
      </c>
      <c r="O439">
        <v>-18.7</v>
      </c>
      <c r="P439">
        <v>-25</v>
      </c>
      <c r="Q439">
        <v>-14.9</v>
      </c>
      <c r="R439">
        <v>14.5</v>
      </c>
      <c r="S439">
        <v>-25</v>
      </c>
      <c r="T439">
        <v>2.6</v>
      </c>
      <c r="U439">
        <v>2.1</v>
      </c>
      <c r="V439">
        <v>2</v>
      </c>
      <c r="W439">
        <v>2.4</v>
      </c>
      <c r="X439">
        <v>-0.8</v>
      </c>
      <c r="Y439">
        <v>2</v>
      </c>
      <c r="Z439">
        <v>3.6</v>
      </c>
      <c r="AA439">
        <v>3.4</v>
      </c>
      <c r="AB439">
        <v>2</v>
      </c>
      <c r="AC439">
        <v>3.4</v>
      </c>
      <c r="AD439">
        <v>3.3</v>
      </c>
      <c r="AE439">
        <v>2</v>
      </c>
      <c r="AF439">
        <v>2.6</v>
      </c>
      <c r="AG439">
        <v>2</v>
      </c>
      <c r="AH439">
        <v>2</v>
      </c>
      <c r="AI439">
        <v>2.2999999999999998</v>
      </c>
      <c r="AJ439">
        <v>-0.8</v>
      </c>
      <c r="AK439">
        <v>2</v>
      </c>
      <c r="AL439">
        <v>4.5</v>
      </c>
      <c r="AM439">
        <v>4</v>
      </c>
      <c r="AN439">
        <v>5</v>
      </c>
      <c r="AO439">
        <v>4</v>
      </c>
      <c r="AP439">
        <v>4.7</v>
      </c>
      <c r="AQ439">
        <v>4</v>
      </c>
      <c r="AR439">
        <v>4.8</v>
      </c>
      <c r="AS439">
        <v>4</v>
      </c>
      <c r="AT439">
        <v>-3.5</v>
      </c>
      <c r="AU439">
        <v>25.9</v>
      </c>
      <c r="AV439">
        <v>-5</v>
      </c>
      <c r="AW439">
        <v>-3.3</v>
      </c>
      <c r="AX439">
        <v>-3.1</v>
      </c>
      <c r="AY439">
        <v>-5</v>
      </c>
      <c r="AZ439">
        <v>9</v>
      </c>
      <c r="BA439">
        <v>10</v>
      </c>
      <c r="BB439">
        <v>10.6</v>
      </c>
      <c r="BC439">
        <v>10</v>
      </c>
      <c r="BD439">
        <v>4.3</v>
      </c>
      <c r="BE439">
        <v>4</v>
      </c>
      <c r="BF439">
        <v>9.6999999999999993</v>
      </c>
      <c r="BG439">
        <v>10</v>
      </c>
      <c r="BH439">
        <v>13.3</v>
      </c>
      <c r="BI439">
        <v>10</v>
      </c>
      <c r="BJ439">
        <v>11.6</v>
      </c>
      <c r="BK439">
        <v>9</v>
      </c>
      <c r="BL439">
        <v>20.9</v>
      </c>
      <c r="BM439">
        <v>19</v>
      </c>
      <c r="BN439">
        <v>23.5</v>
      </c>
      <c r="BO439">
        <v>19</v>
      </c>
      <c r="BP439">
        <v>21.9</v>
      </c>
      <c r="BQ439">
        <v>20</v>
      </c>
      <c r="BR439">
        <v>20.9</v>
      </c>
      <c r="BS439">
        <v>25</v>
      </c>
      <c r="BT439">
        <v>21.9</v>
      </c>
      <c r="BU439">
        <v>25</v>
      </c>
      <c r="BV439">
        <v>23.6</v>
      </c>
      <c r="BW439">
        <v>18</v>
      </c>
      <c r="BX439">
        <v>21.5</v>
      </c>
      <c r="BY439">
        <v>20</v>
      </c>
      <c r="BZ439">
        <v>21.9</v>
      </c>
      <c r="CA439">
        <v>20</v>
      </c>
      <c r="CB439">
        <v>11</v>
      </c>
      <c r="CC439">
        <v>10</v>
      </c>
      <c r="CD439">
        <v>11.3</v>
      </c>
      <c r="CE439">
        <v>10</v>
      </c>
      <c r="CF439">
        <v>11.4</v>
      </c>
      <c r="CG439">
        <v>9</v>
      </c>
      <c r="CH439">
        <v>11.6</v>
      </c>
      <c r="CI439">
        <v>9</v>
      </c>
    </row>
    <row r="440" spans="1:87" x14ac:dyDescent="0.35">
      <c r="A440" s="1">
        <v>46059.761805555558</v>
      </c>
      <c r="B440">
        <v>-17.5</v>
      </c>
      <c r="C440">
        <v>-17.600000000000001</v>
      </c>
      <c r="D440">
        <v>-25</v>
      </c>
      <c r="E440">
        <v>-17.600000000000001</v>
      </c>
      <c r="F440">
        <v>-17.8</v>
      </c>
      <c r="G440">
        <v>-25</v>
      </c>
      <c r="H440">
        <v>-17.3</v>
      </c>
      <c r="I440">
        <v>-14.7</v>
      </c>
      <c r="J440">
        <v>-25</v>
      </c>
      <c r="K440">
        <v>-16.7</v>
      </c>
      <c r="L440">
        <v>-17.7</v>
      </c>
      <c r="M440">
        <v>-25</v>
      </c>
      <c r="N440">
        <v>-18</v>
      </c>
      <c r="O440">
        <v>-18.8</v>
      </c>
      <c r="P440">
        <v>-25</v>
      </c>
      <c r="Q440">
        <v>-14.9</v>
      </c>
      <c r="R440">
        <v>8.9</v>
      </c>
      <c r="S440">
        <v>-25</v>
      </c>
      <c r="T440">
        <v>2.4</v>
      </c>
      <c r="U440">
        <v>1.9</v>
      </c>
      <c r="V440">
        <v>2</v>
      </c>
      <c r="W440">
        <v>2.1</v>
      </c>
      <c r="X440">
        <v>-1.2</v>
      </c>
      <c r="Y440">
        <v>2</v>
      </c>
      <c r="Z440">
        <v>3.7</v>
      </c>
      <c r="AA440">
        <v>3.5</v>
      </c>
      <c r="AB440">
        <v>2</v>
      </c>
      <c r="AC440">
        <v>3.5</v>
      </c>
      <c r="AD440">
        <v>3.4</v>
      </c>
      <c r="AE440">
        <v>2</v>
      </c>
      <c r="AF440">
        <v>2.2999999999999998</v>
      </c>
      <c r="AG440">
        <v>1.8</v>
      </c>
      <c r="AH440">
        <v>2</v>
      </c>
      <c r="AI440">
        <v>2.1</v>
      </c>
      <c r="AJ440">
        <v>-1.2</v>
      </c>
      <c r="AK440">
        <v>2</v>
      </c>
      <c r="AL440">
        <v>4.5999999999999996</v>
      </c>
      <c r="AM440">
        <v>4</v>
      </c>
      <c r="AN440">
        <v>5</v>
      </c>
      <c r="AO440">
        <v>4</v>
      </c>
      <c r="AP440">
        <v>4.9000000000000004</v>
      </c>
      <c r="AQ440">
        <v>4</v>
      </c>
      <c r="AR440">
        <v>5.0999999999999996</v>
      </c>
      <c r="AS440">
        <v>4</v>
      </c>
      <c r="AT440">
        <v>-3.5</v>
      </c>
      <c r="AU440">
        <v>26.8</v>
      </c>
      <c r="AV440">
        <v>-5</v>
      </c>
      <c r="AW440">
        <v>-2.9</v>
      </c>
      <c r="AX440">
        <v>-2.7</v>
      </c>
      <c r="AY440">
        <v>-5</v>
      </c>
      <c r="AZ440">
        <v>8.9</v>
      </c>
      <c r="BA440">
        <v>10</v>
      </c>
      <c r="BB440">
        <v>10.6</v>
      </c>
      <c r="BC440">
        <v>10</v>
      </c>
      <c r="BD440">
        <v>4.3</v>
      </c>
      <c r="BE440">
        <v>4</v>
      </c>
      <c r="BF440">
        <v>9.5</v>
      </c>
      <c r="BG440">
        <v>10</v>
      </c>
      <c r="BH440">
        <v>13.4</v>
      </c>
      <c r="BI440">
        <v>10</v>
      </c>
      <c r="BJ440">
        <v>11.7</v>
      </c>
      <c r="BK440">
        <v>9</v>
      </c>
      <c r="BL440">
        <v>20.9</v>
      </c>
      <c r="BM440">
        <v>19</v>
      </c>
      <c r="BN440">
        <v>23.5</v>
      </c>
      <c r="BO440">
        <v>19</v>
      </c>
      <c r="BP440">
        <v>21.9</v>
      </c>
      <c r="BQ440">
        <v>20</v>
      </c>
      <c r="BR440">
        <v>20.7</v>
      </c>
      <c r="BS440">
        <v>25</v>
      </c>
      <c r="BT440">
        <v>21.9</v>
      </c>
      <c r="BU440">
        <v>25</v>
      </c>
      <c r="BV440">
        <v>23.6</v>
      </c>
      <c r="BW440">
        <v>18</v>
      </c>
      <c r="BX440">
        <v>21.5</v>
      </c>
      <c r="BY440">
        <v>20</v>
      </c>
      <c r="BZ440">
        <v>21.9</v>
      </c>
      <c r="CA440">
        <v>20</v>
      </c>
      <c r="CB440">
        <v>10.7</v>
      </c>
      <c r="CC440">
        <v>10</v>
      </c>
      <c r="CD440">
        <v>11</v>
      </c>
      <c r="CE440">
        <v>10</v>
      </c>
      <c r="CF440">
        <v>11.5</v>
      </c>
      <c r="CG440">
        <v>9</v>
      </c>
      <c r="CH440">
        <v>11.7</v>
      </c>
      <c r="CI440">
        <v>9</v>
      </c>
    </row>
    <row r="441" spans="1:87" x14ac:dyDescent="0.35">
      <c r="A441" s="1">
        <v>46059.762499999997</v>
      </c>
      <c r="B441">
        <v>-17.3</v>
      </c>
      <c r="C441">
        <v>-17.3</v>
      </c>
      <c r="D441">
        <v>-25</v>
      </c>
      <c r="E441">
        <v>-17.399999999999999</v>
      </c>
      <c r="F441">
        <v>-17.600000000000001</v>
      </c>
      <c r="G441">
        <v>-25</v>
      </c>
      <c r="H441">
        <v>-17.399999999999999</v>
      </c>
      <c r="I441">
        <v>-14.7</v>
      </c>
      <c r="J441">
        <v>-25</v>
      </c>
      <c r="K441">
        <v>-16.7</v>
      </c>
      <c r="L441">
        <v>-17.7</v>
      </c>
      <c r="M441">
        <v>-25</v>
      </c>
      <c r="N441">
        <v>-18.100000000000001</v>
      </c>
      <c r="O441">
        <v>-18.899999999999999</v>
      </c>
      <c r="P441">
        <v>-25</v>
      </c>
      <c r="Q441">
        <v>-4.8</v>
      </c>
      <c r="R441">
        <v>4.9000000000000004</v>
      </c>
      <c r="S441">
        <v>-25</v>
      </c>
      <c r="T441">
        <v>2.2000000000000002</v>
      </c>
      <c r="U441">
        <v>1.7</v>
      </c>
      <c r="V441">
        <v>2</v>
      </c>
      <c r="W441">
        <v>1.9</v>
      </c>
      <c r="X441">
        <v>-0.4</v>
      </c>
      <c r="Y441">
        <v>2</v>
      </c>
      <c r="Z441">
        <v>3.7</v>
      </c>
      <c r="AA441">
        <v>3.5</v>
      </c>
      <c r="AB441">
        <v>2</v>
      </c>
      <c r="AC441">
        <v>3.6</v>
      </c>
      <c r="AD441">
        <v>3.5</v>
      </c>
      <c r="AE441">
        <v>2</v>
      </c>
      <c r="AF441">
        <v>2.1</v>
      </c>
      <c r="AG441">
        <v>1.5</v>
      </c>
      <c r="AH441">
        <v>2</v>
      </c>
      <c r="AI441">
        <v>1.9</v>
      </c>
      <c r="AJ441">
        <v>-0.2</v>
      </c>
      <c r="AK441">
        <v>2</v>
      </c>
      <c r="AL441">
        <v>4.5999999999999996</v>
      </c>
      <c r="AM441">
        <v>4</v>
      </c>
      <c r="AN441">
        <v>5.0999999999999996</v>
      </c>
      <c r="AO441">
        <v>4</v>
      </c>
      <c r="AP441">
        <v>5</v>
      </c>
      <c r="AQ441">
        <v>4</v>
      </c>
      <c r="AR441">
        <v>5.3</v>
      </c>
      <c r="AS441">
        <v>4</v>
      </c>
      <c r="AT441">
        <v>-3.5</v>
      </c>
      <c r="AU441">
        <v>26.5</v>
      </c>
      <c r="AV441">
        <v>-5</v>
      </c>
      <c r="AW441">
        <v>-2.6</v>
      </c>
      <c r="AX441">
        <v>-2.5</v>
      </c>
      <c r="AY441">
        <v>-5</v>
      </c>
      <c r="AZ441">
        <v>9.1</v>
      </c>
      <c r="BA441">
        <v>10</v>
      </c>
      <c r="BB441">
        <v>10.6</v>
      </c>
      <c r="BC441">
        <v>10</v>
      </c>
      <c r="BD441">
        <v>3.9</v>
      </c>
      <c r="BE441">
        <v>4</v>
      </c>
      <c r="BF441">
        <v>9.6999999999999993</v>
      </c>
      <c r="BG441">
        <v>10</v>
      </c>
      <c r="BH441">
        <v>13.5</v>
      </c>
      <c r="BI441">
        <v>10</v>
      </c>
      <c r="BJ441">
        <v>11.7</v>
      </c>
      <c r="BK441">
        <v>9</v>
      </c>
      <c r="BL441">
        <v>20.9</v>
      </c>
      <c r="BM441">
        <v>19</v>
      </c>
      <c r="BN441">
        <v>23.5</v>
      </c>
      <c r="BO441">
        <v>19</v>
      </c>
      <c r="BP441">
        <v>22</v>
      </c>
      <c r="BQ441">
        <v>20</v>
      </c>
      <c r="BR441">
        <v>20.399999999999999</v>
      </c>
      <c r="BS441">
        <v>25</v>
      </c>
      <c r="BT441">
        <v>21.9</v>
      </c>
      <c r="BU441">
        <v>25</v>
      </c>
      <c r="BV441">
        <v>23.6</v>
      </c>
      <c r="BW441">
        <v>18</v>
      </c>
      <c r="BX441">
        <v>21.5</v>
      </c>
      <c r="BY441">
        <v>20</v>
      </c>
      <c r="BZ441">
        <v>22</v>
      </c>
      <c r="CA441">
        <v>20</v>
      </c>
      <c r="CB441">
        <v>10.7</v>
      </c>
      <c r="CC441">
        <v>10</v>
      </c>
      <c r="CD441">
        <v>10.9</v>
      </c>
      <c r="CE441">
        <v>10</v>
      </c>
      <c r="CF441">
        <v>11.5</v>
      </c>
      <c r="CG441">
        <v>9</v>
      </c>
      <c r="CH441">
        <v>11.7</v>
      </c>
      <c r="CI441">
        <v>9</v>
      </c>
    </row>
    <row r="442" spans="1:87" x14ac:dyDescent="0.35">
      <c r="A442" s="1">
        <v>46059.763194444444</v>
      </c>
      <c r="B442">
        <v>-17.2</v>
      </c>
      <c r="C442">
        <v>-17.2</v>
      </c>
      <c r="D442">
        <v>-25</v>
      </c>
      <c r="E442">
        <v>-17.3</v>
      </c>
      <c r="F442">
        <v>-17.5</v>
      </c>
      <c r="G442">
        <v>-25</v>
      </c>
      <c r="H442">
        <v>-17.5</v>
      </c>
      <c r="I442">
        <v>-14.8</v>
      </c>
      <c r="J442">
        <v>-25</v>
      </c>
      <c r="K442">
        <v>-16.8</v>
      </c>
      <c r="L442">
        <v>-17.8</v>
      </c>
      <c r="M442">
        <v>-25</v>
      </c>
      <c r="N442">
        <v>-18.3</v>
      </c>
      <c r="O442">
        <v>-19.100000000000001</v>
      </c>
      <c r="P442">
        <v>-25</v>
      </c>
      <c r="Q442">
        <v>-5.5</v>
      </c>
      <c r="R442">
        <v>-0.4</v>
      </c>
      <c r="S442">
        <v>-25</v>
      </c>
      <c r="T442">
        <v>2.2000000000000002</v>
      </c>
      <c r="U442">
        <v>1.8</v>
      </c>
      <c r="V442">
        <v>2</v>
      </c>
      <c r="W442">
        <v>1.9</v>
      </c>
      <c r="X442">
        <v>0.7</v>
      </c>
      <c r="Y442">
        <v>2</v>
      </c>
      <c r="Z442">
        <v>3.8</v>
      </c>
      <c r="AA442">
        <v>3.6</v>
      </c>
      <c r="AB442">
        <v>2</v>
      </c>
      <c r="AC442">
        <v>3.6</v>
      </c>
      <c r="AD442">
        <v>3.5</v>
      </c>
      <c r="AE442">
        <v>2</v>
      </c>
      <c r="AF442">
        <v>2.1</v>
      </c>
      <c r="AG442">
        <v>1.7</v>
      </c>
      <c r="AH442">
        <v>2</v>
      </c>
      <c r="AI442">
        <v>1.9</v>
      </c>
      <c r="AJ442">
        <v>0.8</v>
      </c>
      <c r="AK442">
        <v>2</v>
      </c>
      <c r="AL442">
        <v>4.7</v>
      </c>
      <c r="AM442">
        <v>4</v>
      </c>
      <c r="AN442">
        <v>5.0999999999999996</v>
      </c>
      <c r="AO442">
        <v>4</v>
      </c>
      <c r="AP442">
        <v>5.2</v>
      </c>
      <c r="AQ442">
        <v>4</v>
      </c>
      <c r="AR442">
        <v>5.6</v>
      </c>
      <c r="AS442">
        <v>4</v>
      </c>
      <c r="AT442">
        <v>27</v>
      </c>
      <c r="AU442">
        <v>23.6</v>
      </c>
      <c r="AV442">
        <v>-5</v>
      </c>
      <c r="AW442">
        <v>-2.5</v>
      </c>
      <c r="AX442">
        <v>-2.5</v>
      </c>
      <c r="AY442">
        <v>-5</v>
      </c>
      <c r="AZ442">
        <v>9.1999999999999993</v>
      </c>
      <c r="BA442">
        <v>10</v>
      </c>
      <c r="BB442">
        <v>10.4</v>
      </c>
      <c r="BC442">
        <v>10</v>
      </c>
      <c r="BD442">
        <v>3.9</v>
      </c>
      <c r="BE442">
        <v>4</v>
      </c>
      <c r="BF442">
        <v>10.3</v>
      </c>
      <c r="BG442">
        <v>10</v>
      </c>
      <c r="BH442">
        <v>13.3</v>
      </c>
      <c r="BI442">
        <v>10</v>
      </c>
      <c r="BJ442">
        <v>11.7</v>
      </c>
      <c r="BK442">
        <v>9</v>
      </c>
      <c r="BL442">
        <v>20.9</v>
      </c>
      <c r="BM442">
        <v>19</v>
      </c>
      <c r="BN442">
        <v>23.5</v>
      </c>
      <c r="BO442">
        <v>19</v>
      </c>
      <c r="BP442">
        <v>22</v>
      </c>
      <c r="BQ442">
        <v>20</v>
      </c>
      <c r="BR442">
        <v>20.2</v>
      </c>
      <c r="BS442">
        <v>25</v>
      </c>
      <c r="BT442">
        <v>21.9</v>
      </c>
      <c r="BU442">
        <v>25</v>
      </c>
      <c r="BV442">
        <v>23.6</v>
      </c>
      <c r="BW442">
        <v>18</v>
      </c>
      <c r="BX442">
        <v>21.5</v>
      </c>
      <c r="BY442">
        <v>20</v>
      </c>
      <c r="BZ442">
        <v>20.9</v>
      </c>
      <c r="CA442">
        <v>20</v>
      </c>
      <c r="CB442">
        <v>10.6</v>
      </c>
      <c r="CC442">
        <v>10</v>
      </c>
      <c r="CD442">
        <v>10.9</v>
      </c>
      <c r="CE442">
        <v>10</v>
      </c>
      <c r="CF442">
        <v>11.3</v>
      </c>
      <c r="CG442">
        <v>9</v>
      </c>
      <c r="CH442">
        <v>11.5</v>
      </c>
      <c r="CI442">
        <v>9</v>
      </c>
    </row>
    <row r="443" spans="1:87" x14ac:dyDescent="0.35">
      <c r="A443" s="1">
        <v>46059.763888888891</v>
      </c>
      <c r="B443">
        <v>-17.100000000000001</v>
      </c>
      <c r="C443">
        <v>-17.100000000000001</v>
      </c>
      <c r="D443">
        <v>-25</v>
      </c>
      <c r="E443">
        <v>-17.3</v>
      </c>
      <c r="F443">
        <v>-17.399999999999999</v>
      </c>
      <c r="G443">
        <v>-25</v>
      </c>
      <c r="H443">
        <v>-17.5</v>
      </c>
      <c r="I443">
        <v>-14.9</v>
      </c>
      <c r="J443">
        <v>-25</v>
      </c>
      <c r="K443">
        <v>-16.899999999999999</v>
      </c>
      <c r="L443">
        <v>-17.8</v>
      </c>
      <c r="M443">
        <v>-25</v>
      </c>
      <c r="N443">
        <v>-18.3</v>
      </c>
      <c r="O443">
        <v>-19.100000000000001</v>
      </c>
      <c r="P443">
        <v>-25</v>
      </c>
      <c r="Q443">
        <v>-7</v>
      </c>
      <c r="R443">
        <v>-2</v>
      </c>
      <c r="S443">
        <v>-25</v>
      </c>
      <c r="T443">
        <v>2.2000000000000002</v>
      </c>
      <c r="U443">
        <v>2</v>
      </c>
      <c r="V443">
        <v>2</v>
      </c>
      <c r="W443">
        <v>2</v>
      </c>
      <c r="X443">
        <v>1.1000000000000001</v>
      </c>
      <c r="Y443">
        <v>2</v>
      </c>
      <c r="Z443">
        <v>3.9</v>
      </c>
      <c r="AA443">
        <v>3.6</v>
      </c>
      <c r="AB443">
        <v>2</v>
      </c>
      <c r="AC443">
        <v>3.7</v>
      </c>
      <c r="AD443">
        <v>3.6</v>
      </c>
      <c r="AE443">
        <v>2</v>
      </c>
      <c r="AF443">
        <v>2.2000000000000002</v>
      </c>
      <c r="AG443">
        <v>2</v>
      </c>
      <c r="AH443">
        <v>2</v>
      </c>
      <c r="AI443">
        <v>2.1</v>
      </c>
      <c r="AJ443">
        <v>1.3</v>
      </c>
      <c r="AK443">
        <v>2</v>
      </c>
      <c r="AL443">
        <v>4.7</v>
      </c>
      <c r="AM443">
        <v>4</v>
      </c>
      <c r="AN443">
        <v>5.2</v>
      </c>
      <c r="AO443">
        <v>4</v>
      </c>
      <c r="AP443">
        <v>5.3</v>
      </c>
      <c r="AQ443">
        <v>4</v>
      </c>
      <c r="AR443">
        <v>5.8</v>
      </c>
      <c r="AS443">
        <v>4</v>
      </c>
      <c r="AT443">
        <v>22.7</v>
      </c>
      <c r="AU443">
        <v>13.5</v>
      </c>
      <c r="AV443">
        <v>-5</v>
      </c>
      <c r="AW443">
        <v>-2.9</v>
      </c>
      <c r="AX443">
        <v>-4.5</v>
      </c>
      <c r="AY443">
        <v>-5</v>
      </c>
      <c r="AZ443">
        <v>9.4</v>
      </c>
      <c r="BA443">
        <v>10</v>
      </c>
      <c r="BB443">
        <v>10.3</v>
      </c>
      <c r="BC443">
        <v>10</v>
      </c>
      <c r="BD443">
        <v>3.9</v>
      </c>
      <c r="BE443">
        <v>4</v>
      </c>
      <c r="BF443">
        <v>10.5</v>
      </c>
      <c r="BG443">
        <v>10</v>
      </c>
      <c r="BH443">
        <v>13.1</v>
      </c>
      <c r="BI443">
        <v>10</v>
      </c>
      <c r="BJ443">
        <v>11.7</v>
      </c>
      <c r="BK443">
        <v>9</v>
      </c>
      <c r="BL443">
        <v>20.9</v>
      </c>
      <c r="BM443">
        <v>19</v>
      </c>
      <c r="BN443">
        <v>23.5</v>
      </c>
      <c r="BO443">
        <v>19</v>
      </c>
      <c r="BP443">
        <v>21.9</v>
      </c>
      <c r="BQ443">
        <v>20</v>
      </c>
      <c r="BR443">
        <v>20.3</v>
      </c>
      <c r="BS443">
        <v>25</v>
      </c>
      <c r="BT443">
        <v>21.9</v>
      </c>
      <c r="BU443">
        <v>25</v>
      </c>
      <c r="BV443">
        <v>23.6</v>
      </c>
      <c r="BW443">
        <v>18</v>
      </c>
      <c r="BX443">
        <v>21.6</v>
      </c>
      <c r="BY443">
        <v>20</v>
      </c>
      <c r="BZ443">
        <v>20.2</v>
      </c>
      <c r="CA443">
        <v>20</v>
      </c>
      <c r="CB443">
        <v>10.4</v>
      </c>
      <c r="CC443">
        <v>10</v>
      </c>
      <c r="CD443">
        <v>10.8</v>
      </c>
      <c r="CE443">
        <v>10</v>
      </c>
      <c r="CF443">
        <v>11.3</v>
      </c>
      <c r="CG443">
        <v>9</v>
      </c>
      <c r="CH443">
        <v>11.5</v>
      </c>
      <c r="CI443">
        <v>9</v>
      </c>
    </row>
    <row r="444" spans="1:87" x14ac:dyDescent="0.35">
      <c r="A444" s="1">
        <v>46059.76458333333</v>
      </c>
      <c r="B444">
        <v>-17.100000000000001</v>
      </c>
      <c r="C444">
        <v>-17.2</v>
      </c>
      <c r="D444">
        <v>-25</v>
      </c>
      <c r="E444">
        <v>-17.5</v>
      </c>
      <c r="F444">
        <v>-17.399999999999999</v>
      </c>
      <c r="G444">
        <v>-25</v>
      </c>
      <c r="H444">
        <v>-17.5</v>
      </c>
      <c r="I444">
        <v>-14.9</v>
      </c>
      <c r="J444">
        <v>-25</v>
      </c>
      <c r="K444">
        <v>-16.899999999999999</v>
      </c>
      <c r="L444">
        <v>-17.8</v>
      </c>
      <c r="M444">
        <v>-25</v>
      </c>
      <c r="N444">
        <v>-18.399999999999999</v>
      </c>
      <c r="O444">
        <v>-19.2</v>
      </c>
      <c r="P444">
        <v>-25</v>
      </c>
      <c r="Q444">
        <v>-8.1999999999999993</v>
      </c>
      <c r="R444">
        <v>-5.5</v>
      </c>
      <c r="S444">
        <v>-25</v>
      </c>
      <c r="T444">
        <v>2.2999999999999998</v>
      </c>
      <c r="U444">
        <v>2.2000000000000002</v>
      </c>
      <c r="V444">
        <v>2</v>
      </c>
      <c r="W444">
        <v>2.2000000000000002</v>
      </c>
      <c r="X444">
        <v>1.4</v>
      </c>
      <c r="Y444">
        <v>2</v>
      </c>
      <c r="Z444">
        <v>3.9</v>
      </c>
      <c r="AA444">
        <v>3.7</v>
      </c>
      <c r="AB444">
        <v>2</v>
      </c>
      <c r="AC444">
        <v>3.7</v>
      </c>
      <c r="AD444">
        <v>3.6</v>
      </c>
      <c r="AE444">
        <v>2</v>
      </c>
      <c r="AF444">
        <v>2.4</v>
      </c>
      <c r="AG444">
        <v>2.2000000000000002</v>
      </c>
      <c r="AH444">
        <v>2</v>
      </c>
      <c r="AI444">
        <v>2.2999999999999998</v>
      </c>
      <c r="AJ444">
        <v>1.8</v>
      </c>
      <c r="AK444">
        <v>2</v>
      </c>
      <c r="AL444">
        <v>4.8</v>
      </c>
      <c r="AM444">
        <v>4</v>
      </c>
      <c r="AN444">
        <v>5.2</v>
      </c>
      <c r="AO444">
        <v>4</v>
      </c>
      <c r="AP444">
        <v>5.4</v>
      </c>
      <c r="AQ444">
        <v>4</v>
      </c>
      <c r="AR444">
        <v>6</v>
      </c>
      <c r="AS444">
        <v>4</v>
      </c>
      <c r="AT444">
        <v>15.1</v>
      </c>
      <c r="AU444">
        <v>3.6</v>
      </c>
      <c r="AV444">
        <v>-5</v>
      </c>
      <c r="AW444">
        <v>-3.4</v>
      </c>
      <c r="AX444">
        <v>-5.3</v>
      </c>
      <c r="AY444">
        <v>-5</v>
      </c>
      <c r="AZ444">
        <v>9.6</v>
      </c>
      <c r="BA444">
        <v>10</v>
      </c>
      <c r="BB444">
        <v>10.3</v>
      </c>
      <c r="BC444">
        <v>10</v>
      </c>
      <c r="BD444">
        <v>4.0999999999999996</v>
      </c>
      <c r="BE444">
        <v>4</v>
      </c>
      <c r="BF444">
        <v>11</v>
      </c>
      <c r="BG444">
        <v>10</v>
      </c>
      <c r="BH444">
        <v>13</v>
      </c>
      <c r="BI444">
        <v>10</v>
      </c>
      <c r="BJ444">
        <v>11.7</v>
      </c>
      <c r="BK444">
        <v>9</v>
      </c>
      <c r="BL444">
        <v>20.9</v>
      </c>
      <c r="BM444">
        <v>19</v>
      </c>
      <c r="BN444">
        <v>23.5</v>
      </c>
      <c r="BO444">
        <v>19</v>
      </c>
      <c r="BP444">
        <v>21.6</v>
      </c>
      <c r="BQ444">
        <v>20</v>
      </c>
      <c r="BR444">
        <v>20.5</v>
      </c>
      <c r="BS444">
        <v>25</v>
      </c>
      <c r="BT444">
        <v>21.9</v>
      </c>
      <c r="BU444">
        <v>25</v>
      </c>
      <c r="BV444">
        <v>23.6</v>
      </c>
      <c r="BW444">
        <v>18</v>
      </c>
      <c r="BX444">
        <v>21.6</v>
      </c>
      <c r="BY444">
        <v>20</v>
      </c>
      <c r="BZ444">
        <v>19.8</v>
      </c>
      <c r="CA444">
        <v>20</v>
      </c>
      <c r="CB444">
        <v>10.199999999999999</v>
      </c>
      <c r="CC444">
        <v>10</v>
      </c>
      <c r="CD444">
        <v>10.8</v>
      </c>
      <c r="CE444">
        <v>10</v>
      </c>
      <c r="CF444">
        <v>11.4</v>
      </c>
      <c r="CG444">
        <v>9</v>
      </c>
      <c r="CH444">
        <v>11.5</v>
      </c>
      <c r="CI444">
        <v>9</v>
      </c>
    </row>
    <row r="445" spans="1:87" x14ac:dyDescent="0.35">
      <c r="A445" s="1">
        <v>46059.765277777777</v>
      </c>
      <c r="B445">
        <v>-17.3</v>
      </c>
      <c r="C445">
        <v>-17.5</v>
      </c>
      <c r="D445">
        <v>-25</v>
      </c>
      <c r="E445">
        <v>-17.8</v>
      </c>
      <c r="F445">
        <v>-17.399999999999999</v>
      </c>
      <c r="G445">
        <v>-25</v>
      </c>
      <c r="H445">
        <v>-17.5</v>
      </c>
      <c r="I445">
        <v>-14.9</v>
      </c>
      <c r="J445">
        <v>-25</v>
      </c>
      <c r="K445">
        <v>-16.899999999999999</v>
      </c>
      <c r="L445">
        <v>-17.8</v>
      </c>
      <c r="M445">
        <v>-25</v>
      </c>
      <c r="N445">
        <v>-18.5</v>
      </c>
      <c r="O445">
        <v>-19.2</v>
      </c>
      <c r="P445">
        <v>-25</v>
      </c>
      <c r="Q445">
        <v>-9.1999999999999993</v>
      </c>
      <c r="R445">
        <v>-9.1999999999999993</v>
      </c>
      <c r="S445">
        <v>-25</v>
      </c>
      <c r="T445">
        <v>2.4</v>
      </c>
      <c r="U445">
        <v>2.2000000000000002</v>
      </c>
      <c r="V445">
        <v>2</v>
      </c>
      <c r="W445">
        <v>2.2000000000000002</v>
      </c>
      <c r="X445">
        <v>1.6</v>
      </c>
      <c r="Y445">
        <v>2</v>
      </c>
      <c r="Z445">
        <v>4</v>
      </c>
      <c r="AA445">
        <v>3.8</v>
      </c>
      <c r="AB445">
        <v>2</v>
      </c>
      <c r="AC445">
        <v>3.8</v>
      </c>
      <c r="AD445">
        <v>3.7</v>
      </c>
      <c r="AE445">
        <v>2</v>
      </c>
      <c r="AF445">
        <v>2.6</v>
      </c>
      <c r="AG445">
        <v>2.4</v>
      </c>
      <c r="AH445">
        <v>2</v>
      </c>
      <c r="AI445">
        <v>2.5</v>
      </c>
      <c r="AJ445">
        <v>2.2000000000000002</v>
      </c>
      <c r="AK445">
        <v>2</v>
      </c>
      <c r="AL445">
        <v>4.9000000000000004</v>
      </c>
      <c r="AM445">
        <v>4</v>
      </c>
      <c r="AN445">
        <v>5.3</v>
      </c>
      <c r="AO445">
        <v>4</v>
      </c>
      <c r="AP445">
        <v>5.6</v>
      </c>
      <c r="AQ445">
        <v>4</v>
      </c>
      <c r="AR445">
        <v>6</v>
      </c>
      <c r="AS445">
        <v>4</v>
      </c>
      <c r="AT445">
        <v>5.8</v>
      </c>
      <c r="AU445">
        <v>0.3</v>
      </c>
      <c r="AV445">
        <v>-5</v>
      </c>
      <c r="AW445">
        <v>-3.7</v>
      </c>
      <c r="AX445">
        <v>-4.5</v>
      </c>
      <c r="AY445">
        <v>-5</v>
      </c>
      <c r="AZ445">
        <v>9.9</v>
      </c>
      <c r="BA445">
        <v>10</v>
      </c>
      <c r="BB445">
        <v>10.3</v>
      </c>
      <c r="BC445">
        <v>10</v>
      </c>
      <c r="BD445">
        <v>4.5</v>
      </c>
      <c r="BE445">
        <v>4</v>
      </c>
      <c r="BF445">
        <v>11.3</v>
      </c>
      <c r="BG445">
        <v>10</v>
      </c>
      <c r="BH445">
        <v>12.7</v>
      </c>
      <c r="BI445">
        <v>10</v>
      </c>
      <c r="BJ445">
        <v>11.7</v>
      </c>
      <c r="BK445">
        <v>9</v>
      </c>
      <c r="BL445">
        <v>20.9</v>
      </c>
      <c r="BM445">
        <v>19</v>
      </c>
      <c r="BN445">
        <v>23.5</v>
      </c>
      <c r="BO445">
        <v>19</v>
      </c>
      <c r="BP445">
        <v>21.1</v>
      </c>
      <c r="BQ445">
        <v>20</v>
      </c>
      <c r="BR445">
        <v>20.7</v>
      </c>
      <c r="BS445">
        <v>25</v>
      </c>
      <c r="BT445">
        <v>21.9</v>
      </c>
      <c r="BU445">
        <v>25</v>
      </c>
      <c r="BV445">
        <v>23.6</v>
      </c>
      <c r="BW445">
        <v>18</v>
      </c>
      <c r="BX445">
        <v>21.6</v>
      </c>
      <c r="BY445">
        <v>20</v>
      </c>
      <c r="BZ445">
        <v>19.7</v>
      </c>
      <c r="CA445">
        <v>20</v>
      </c>
      <c r="CB445">
        <v>10.199999999999999</v>
      </c>
      <c r="CC445">
        <v>10</v>
      </c>
      <c r="CD445">
        <v>10.7</v>
      </c>
      <c r="CE445">
        <v>10</v>
      </c>
      <c r="CF445">
        <v>11.5</v>
      </c>
      <c r="CG445">
        <v>9</v>
      </c>
      <c r="CH445">
        <v>11.8</v>
      </c>
      <c r="CI445">
        <v>9</v>
      </c>
    </row>
    <row r="446" spans="1:87" x14ac:dyDescent="0.35">
      <c r="A446" s="1">
        <v>46059.765972222223</v>
      </c>
      <c r="B446">
        <v>-17.600000000000001</v>
      </c>
      <c r="C446">
        <v>-18.899999999999999</v>
      </c>
      <c r="D446">
        <v>-25</v>
      </c>
      <c r="E446">
        <v>-18.2</v>
      </c>
      <c r="F446">
        <v>-17.399999999999999</v>
      </c>
      <c r="G446">
        <v>-25</v>
      </c>
      <c r="H446">
        <v>-17.5</v>
      </c>
      <c r="I446">
        <v>-14.9</v>
      </c>
      <c r="J446">
        <v>-25</v>
      </c>
      <c r="K446">
        <v>-16.899999999999999</v>
      </c>
      <c r="L446">
        <v>-17.7</v>
      </c>
      <c r="M446">
        <v>-25</v>
      </c>
      <c r="N446">
        <v>-18.5</v>
      </c>
      <c r="O446">
        <v>-19.2</v>
      </c>
      <c r="P446">
        <v>-25</v>
      </c>
      <c r="Q446">
        <v>-9.4</v>
      </c>
      <c r="R446">
        <v>-10.199999999999999</v>
      </c>
      <c r="S446">
        <v>-25</v>
      </c>
      <c r="T446">
        <v>2.5</v>
      </c>
      <c r="U446">
        <v>2.2999999999999998</v>
      </c>
      <c r="V446">
        <v>2</v>
      </c>
      <c r="W446">
        <v>2.2999999999999998</v>
      </c>
      <c r="X446">
        <v>1.8</v>
      </c>
      <c r="Y446">
        <v>2</v>
      </c>
      <c r="Z446">
        <v>4.0999999999999996</v>
      </c>
      <c r="AA446">
        <v>3.8</v>
      </c>
      <c r="AB446">
        <v>2</v>
      </c>
      <c r="AC446">
        <v>3.9</v>
      </c>
      <c r="AD446">
        <v>3.8</v>
      </c>
      <c r="AE446">
        <v>2</v>
      </c>
      <c r="AF446">
        <v>2.8</v>
      </c>
      <c r="AG446">
        <v>2.6</v>
      </c>
      <c r="AH446">
        <v>2</v>
      </c>
      <c r="AI446">
        <v>2.7</v>
      </c>
      <c r="AJ446">
        <v>2.4</v>
      </c>
      <c r="AK446">
        <v>2</v>
      </c>
      <c r="AL446">
        <v>4.9000000000000004</v>
      </c>
      <c r="AM446">
        <v>4</v>
      </c>
      <c r="AN446">
        <v>5.4</v>
      </c>
      <c r="AO446">
        <v>4</v>
      </c>
      <c r="AP446">
        <v>5.8</v>
      </c>
      <c r="AQ446">
        <v>4</v>
      </c>
      <c r="AR446">
        <v>5.3</v>
      </c>
      <c r="AS446">
        <v>4</v>
      </c>
      <c r="AT446">
        <v>2.4</v>
      </c>
      <c r="AU446">
        <v>-1.2</v>
      </c>
      <c r="AV446">
        <v>-5</v>
      </c>
      <c r="AW446">
        <v>-4</v>
      </c>
      <c r="AX446">
        <v>-5.3</v>
      </c>
      <c r="AY446">
        <v>-5</v>
      </c>
      <c r="AZ446">
        <v>10</v>
      </c>
      <c r="BA446">
        <v>10</v>
      </c>
      <c r="BB446">
        <v>10.4</v>
      </c>
      <c r="BC446">
        <v>10</v>
      </c>
      <c r="BD446">
        <v>4.7</v>
      </c>
      <c r="BE446">
        <v>4</v>
      </c>
      <c r="BF446">
        <v>11.7</v>
      </c>
      <c r="BG446">
        <v>10</v>
      </c>
      <c r="BH446">
        <v>12.5</v>
      </c>
      <c r="BI446">
        <v>10</v>
      </c>
      <c r="BJ446">
        <v>11.6</v>
      </c>
      <c r="BK446">
        <v>9</v>
      </c>
      <c r="BL446">
        <v>20.9</v>
      </c>
      <c r="BM446">
        <v>19</v>
      </c>
      <c r="BN446">
        <v>23.5</v>
      </c>
      <c r="BO446">
        <v>19</v>
      </c>
      <c r="BP446">
        <v>20.6</v>
      </c>
      <c r="BQ446">
        <v>20</v>
      </c>
      <c r="BR446">
        <v>20.9</v>
      </c>
      <c r="BS446">
        <v>25</v>
      </c>
      <c r="BT446">
        <v>21.9</v>
      </c>
      <c r="BU446">
        <v>25</v>
      </c>
      <c r="BV446">
        <v>23.6</v>
      </c>
      <c r="BW446">
        <v>18</v>
      </c>
      <c r="BX446">
        <v>21.6</v>
      </c>
      <c r="BY446">
        <v>20</v>
      </c>
      <c r="BZ446">
        <v>19.8</v>
      </c>
      <c r="CA446">
        <v>20</v>
      </c>
      <c r="CB446">
        <v>10.1</v>
      </c>
      <c r="CC446">
        <v>10</v>
      </c>
      <c r="CD446">
        <v>10.6</v>
      </c>
      <c r="CE446">
        <v>10</v>
      </c>
      <c r="CF446">
        <v>11.5</v>
      </c>
      <c r="CG446">
        <v>9</v>
      </c>
      <c r="CH446">
        <v>11.8</v>
      </c>
      <c r="CI446">
        <v>9</v>
      </c>
    </row>
    <row r="447" spans="1:87" x14ac:dyDescent="0.35">
      <c r="A447" s="1">
        <v>46059.76666666667</v>
      </c>
      <c r="B447">
        <v>-18</v>
      </c>
      <c r="C447">
        <v>-20.3</v>
      </c>
      <c r="D447">
        <v>-25</v>
      </c>
      <c r="E447">
        <v>-18.7</v>
      </c>
      <c r="F447">
        <v>-17.600000000000001</v>
      </c>
      <c r="G447">
        <v>-25</v>
      </c>
      <c r="H447">
        <v>-17.399999999999999</v>
      </c>
      <c r="I447">
        <v>-14.9</v>
      </c>
      <c r="J447">
        <v>-25</v>
      </c>
      <c r="K447">
        <v>-16.899999999999999</v>
      </c>
      <c r="L447">
        <v>-17.600000000000001</v>
      </c>
      <c r="M447">
        <v>-25</v>
      </c>
      <c r="N447">
        <v>-18.5</v>
      </c>
      <c r="O447">
        <v>-19.2</v>
      </c>
      <c r="P447">
        <v>-25</v>
      </c>
      <c r="Q447">
        <v>-10.4</v>
      </c>
      <c r="R447">
        <v>-12.4</v>
      </c>
      <c r="S447">
        <v>-25</v>
      </c>
      <c r="T447">
        <v>2.5</v>
      </c>
      <c r="U447">
        <v>2.4</v>
      </c>
      <c r="V447">
        <v>2</v>
      </c>
      <c r="W447">
        <v>2.4</v>
      </c>
      <c r="X447">
        <v>1.9</v>
      </c>
      <c r="Y447">
        <v>2</v>
      </c>
      <c r="Z447">
        <v>4.0999999999999996</v>
      </c>
      <c r="AA447">
        <v>3.9</v>
      </c>
      <c r="AB447">
        <v>2</v>
      </c>
      <c r="AC447">
        <v>3.9</v>
      </c>
      <c r="AD447">
        <v>3.9</v>
      </c>
      <c r="AE447">
        <v>2</v>
      </c>
      <c r="AF447">
        <v>3</v>
      </c>
      <c r="AG447">
        <v>2.8</v>
      </c>
      <c r="AH447">
        <v>2</v>
      </c>
      <c r="AI447">
        <v>2.9</v>
      </c>
      <c r="AJ447">
        <v>2.7</v>
      </c>
      <c r="AK447">
        <v>2</v>
      </c>
      <c r="AL447">
        <v>5</v>
      </c>
      <c r="AM447">
        <v>4</v>
      </c>
      <c r="AN447">
        <v>5.4</v>
      </c>
      <c r="AO447">
        <v>4</v>
      </c>
      <c r="AP447">
        <v>5.9</v>
      </c>
      <c r="AQ447">
        <v>4</v>
      </c>
      <c r="AR447">
        <v>4.3</v>
      </c>
      <c r="AS447">
        <v>4</v>
      </c>
      <c r="AT447">
        <v>0.8</v>
      </c>
      <c r="AU447">
        <v>-2</v>
      </c>
      <c r="AV447">
        <v>-5</v>
      </c>
      <c r="AW447">
        <v>-4.2</v>
      </c>
      <c r="AX447">
        <v>-6.1</v>
      </c>
      <c r="AY447">
        <v>-5</v>
      </c>
      <c r="AZ447">
        <v>10.1</v>
      </c>
      <c r="BA447">
        <v>10</v>
      </c>
      <c r="BB447">
        <v>10.4</v>
      </c>
      <c r="BC447">
        <v>10</v>
      </c>
      <c r="BD447">
        <v>4.9000000000000004</v>
      </c>
      <c r="BE447">
        <v>4</v>
      </c>
      <c r="BF447">
        <v>11.8</v>
      </c>
      <c r="BG447">
        <v>10</v>
      </c>
      <c r="BH447">
        <v>12.4</v>
      </c>
      <c r="BI447">
        <v>10</v>
      </c>
      <c r="BJ447">
        <v>11.6</v>
      </c>
      <c r="BK447">
        <v>9</v>
      </c>
      <c r="BL447">
        <v>20.9</v>
      </c>
      <c r="BM447">
        <v>19</v>
      </c>
      <c r="BN447">
        <v>23.5</v>
      </c>
      <c r="BO447">
        <v>19</v>
      </c>
      <c r="BP447">
        <v>20.399999999999999</v>
      </c>
      <c r="BQ447">
        <v>20</v>
      </c>
      <c r="BR447">
        <v>20.9</v>
      </c>
      <c r="BS447">
        <v>25</v>
      </c>
      <c r="BT447">
        <v>21.9</v>
      </c>
      <c r="BU447">
        <v>25</v>
      </c>
      <c r="BV447">
        <v>23.6</v>
      </c>
      <c r="BW447">
        <v>18</v>
      </c>
      <c r="BX447">
        <v>21.6</v>
      </c>
      <c r="BY447">
        <v>20</v>
      </c>
      <c r="BZ447">
        <v>20.100000000000001</v>
      </c>
      <c r="CA447">
        <v>20</v>
      </c>
      <c r="CB447">
        <v>10.1</v>
      </c>
      <c r="CC447">
        <v>10</v>
      </c>
      <c r="CD447">
        <v>10.6</v>
      </c>
      <c r="CE447">
        <v>10</v>
      </c>
      <c r="CF447">
        <v>11.5</v>
      </c>
      <c r="CG447">
        <v>9</v>
      </c>
      <c r="CH447">
        <v>11.7</v>
      </c>
      <c r="CI447">
        <v>9</v>
      </c>
    </row>
    <row r="448" spans="1:87" x14ac:dyDescent="0.35">
      <c r="A448" s="1">
        <v>46059.768055555556</v>
      </c>
      <c r="B448">
        <v>-18.3</v>
      </c>
      <c r="C448">
        <v>-19</v>
      </c>
      <c r="D448">
        <v>-25</v>
      </c>
      <c r="E448">
        <v>-18.8</v>
      </c>
      <c r="F448">
        <v>-17.899999999999999</v>
      </c>
      <c r="G448">
        <v>-25</v>
      </c>
      <c r="H448">
        <v>-17.3</v>
      </c>
      <c r="I448">
        <v>-15</v>
      </c>
      <c r="J448">
        <v>-25</v>
      </c>
      <c r="K448">
        <v>-16.8</v>
      </c>
      <c r="L448">
        <v>-17.5</v>
      </c>
      <c r="M448">
        <v>-25</v>
      </c>
      <c r="N448">
        <v>-18.7</v>
      </c>
      <c r="O448">
        <v>-19.3</v>
      </c>
      <c r="P448">
        <v>-25</v>
      </c>
      <c r="Q448">
        <v>-11.6</v>
      </c>
      <c r="R448">
        <v>-14.9</v>
      </c>
      <c r="S448">
        <v>-25</v>
      </c>
      <c r="T448">
        <v>2.7</v>
      </c>
      <c r="U448">
        <v>2.6</v>
      </c>
      <c r="V448">
        <v>2</v>
      </c>
      <c r="W448">
        <v>2.6</v>
      </c>
      <c r="X448">
        <v>2.2000000000000002</v>
      </c>
      <c r="Y448">
        <v>2</v>
      </c>
      <c r="Z448">
        <v>4.2</v>
      </c>
      <c r="AA448">
        <v>3.9</v>
      </c>
      <c r="AB448">
        <v>2</v>
      </c>
      <c r="AC448">
        <v>4</v>
      </c>
      <c r="AD448">
        <v>3</v>
      </c>
      <c r="AE448">
        <v>2</v>
      </c>
      <c r="AF448">
        <v>3.4</v>
      </c>
      <c r="AG448">
        <v>3.3</v>
      </c>
      <c r="AH448">
        <v>2</v>
      </c>
      <c r="AI448">
        <v>2.9</v>
      </c>
      <c r="AJ448">
        <v>2.7</v>
      </c>
      <c r="AK448">
        <v>2</v>
      </c>
      <c r="AL448">
        <v>5.0999999999999996</v>
      </c>
      <c r="AM448">
        <v>4</v>
      </c>
      <c r="AN448">
        <v>5.5</v>
      </c>
      <c r="AO448">
        <v>4</v>
      </c>
      <c r="AP448">
        <v>5.3</v>
      </c>
      <c r="AQ448">
        <v>4</v>
      </c>
      <c r="AR448">
        <v>3</v>
      </c>
      <c r="AS448">
        <v>4</v>
      </c>
      <c r="AT448">
        <v>-0.7</v>
      </c>
      <c r="AU448">
        <v>-3</v>
      </c>
      <c r="AV448">
        <v>-5</v>
      </c>
      <c r="AW448">
        <v>-4.5</v>
      </c>
      <c r="AX448">
        <v>-5.0999999999999996</v>
      </c>
      <c r="AY448">
        <v>-5</v>
      </c>
      <c r="AZ448">
        <v>10.4</v>
      </c>
      <c r="BA448">
        <v>10</v>
      </c>
      <c r="BB448">
        <v>10.199999999999999</v>
      </c>
      <c r="BC448">
        <v>10</v>
      </c>
      <c r="BD448">
        <v>5.3</v>
      </c>
      <c r="BE448">
        <v>4</v>
      </c>
      <c r="BF448">
        <v>11.8</v>
      </c>
      <c r="BG448">
        <v>10</v>
      </c>
      <c r="BH448">
        <v>12.2</v>
      </c>
      <c r="BI448">
        <v>10</v>
      </c>
      <c r="BJ448">
        <v>11.5</v>
      </c>
      <c r="BK448">
        <v>9</v>
      </c>
      <c r="BL448">
        <v>20.9</v>
      </c>
      <c r="BM448">
        <v>19</v>
      </c>
      <c r="BN448">
        <v>23.5</v>
      </c>
      <c r="BO448">
        <v>19</v>
      </c>
      <c r="BP448">
        <v>20.2</v>
      </c>
      <c r="BQ448">
        <v>20</v>
      </c>
      <c r="BR448">
        <v>20.9</v>
      </c>
      <c r="BS448">
        <v>25</v>
      </c>
      <c r="BT448">
        <v>21.9</v>
      </c>
      <c r="BU448">
        <v>25</v>
      </c>
      <c r="BV448">
        <v>23.6</v>
      </c>
      <c r="BW448">
        <v>18</v>
      </c>
      <c r="BX448">
        <v>21.6</v>
      </c>
      <c r="BY448">
        <v>20</v>
      </c>
      <c r="BZ448">
        <v>20.5</v>
      </c>
      <c r="CA448">
        <v>20</v>
      </c>
      <c r="CB448">
        <v>10.3</v>
      </c>
      <c r="CC448">
        <v>10</v>
      </c>
      <c r="CD448">
        <v>10.5</v>
      </c>
      <c r="CE448">
        <v>10</v>
      </c>
      <c r="CF448">
        <v>11.4</v>
      </c>
      <c r="CG448">
        <v>9</v>
      </c>
      <c r="CH448">
        <v>11.6</v>
      </c>
      <c r="CI448">
        <v>9</v>
      </c>
    </row>
    <row r="449" spans="1:87" x14ac:dyDescent="0.35">
      <c r="A449" s="1">
        <v>46059.768750000003</v>
      </c>
      <c r="B449">
        <v>-18.3</v>
      </c>
      <c r="C449">
        <v>-18.600000000000001</v>
      </c>
      <c r="D449">
        <v>-25</v>
      </c>
      <c r="E449">
        <v>-18.600000000000001</v>
      </c>
      <c r="F449">
        <v>-18</v>
      </c>
      <c r="G449">
        <v>-25</v>
      </c>
      <c r="H449">
        <v>-17.399999999999999</v>
      </c>
      <c r="I449">
        <v>-15</v>
      </c>
      <c r="J449">
        <v>-25</v>
      </c>
      <c r="K449">
        <v>-16.8</v>
      </c>
      <c r="L449">
        <v>-17.8</v>
      </c>
      <c r="M449">
        <v>-25</v>
      </c>
      <c r="N449">
        <v>-18.7</v>
      </c>
      <c r="O449">
        <v>-19.2</v>
      </c>
      <c r="P449">
        <v>-25</v>
      </c>
      <c r="Q449">
        <v>-12.6</v>
      </c>
      <c r="R449">
        <v>-15.4</v>
      </c>
      <c r="S449">
        <v>-25</v>
      </c>
      <c r="T449">
        <v>2.8</v>
      </c>
      <c r="U449">
        <v>2.7</v>
      </c>
      <c r="V449">
        <v>2</v>
      </c>
      <c r="W449">
        <v>2.7</v>
      </c>
      <c r="X449">
        <v>2.2999999999999998</v>
      </c>
      <c r="Y449">
        <v>2</v>
      </c>
      <c r="Z449">
        <v>4.2</v>
      </c>
      <c r="AA449">
        <v>3.7</v>
      </c>
      <c r="AB449">
        <v>2</v>
      </c>
      <c r="AC449">
        <v>3.8</v>
      </c>
      <c r="AD449">
        <v>2.8</v>
      </c>
      <c r="AE449">
        <v>2</v>
      </c>
      <c r="AF449">
        <v>3.6</v>
      </c>
      <c r="AG449">
        <v>3.5</v>
      </c>
      <c r="AH449">
        <v>2</v>
      </c>
      <c r="AI449">
        <v>2.9</v>
      </c>
      <c r="AJ449">
        <v>2.7</v>
      </c>
      <c r="AK449">
        <v>2</v>
      </c>
      <c r="AL449">
        <v>5.2</v>
      </c>
      <c r="AM449">
        <v>4</v>
      </c>
      <c r="AN449">
        <v>5.5</v>
      </c>
      <c r="AO449">
        <v>4</v>
      </c>
      <c r="AP449">
        <v>4.5</v>
      </c>
      <c r="AQ449">
        <v>4</v>
      </c>
      <c r="AR449">
        <v>3</v>
      </c>
      <c r="AS449">
        <v>4</v>
      </c>
      <c r="AT449">
        <v>-1.1000000000000001</v>
      </c>
      <c r="AU449">
        <v>-3.4</v>
      </c>
      <c r="AV449">
        <v>-5</v>
      </c>
      <c r="AW449">
        <v>-4.5</v>
      </c>
      <c r="AX449">
        <v>-5</v>
      </c>
      <c r="AY449">
        <v>-5</v>
      </c>
      <c r="AZ449">
        <v>10.5</v>
      </c>
      <c r="BA449">
        <v>10</v>
      </c>
      <c r="BB449">
        <v>10.1</v>
      </c>
      <c r="BC449">
        <v>10</v>
      </c>
      <c r="BD449">
        <v>5.5</v>
      </c>
      <c r="BE449">
        <v>4</v>
      </c>
      <c r="BF449">
        <v>10.9</v>
      </c>
      <c r="BG449">
        <v>10</v>
      </c>
      <c r="BH449">
        <v>12.1</v>
      </c>
      <c r="BI449">
        <v>10</v>
      </c>
      <c r="BJ449">
        <v>11.5</v>
      </c>
      <c r="BK449">
        <v>9</v>
      </c>
      <c r="BL449">
        <v>20.9</v>
      </c>
      <c r="BM449">
        <v>19</v>
      </c>
      <c r="BN449">
        <v>23.5</v>
      </c>
      <c r="BO449">
        <v>19</v>
      </c>
      <c r="BP449">
        <v>19.7</v>
      </c>
      <c r="BQ449">
        <v>20</v>
      </c>
      <c r="BR449">
        <v>20.9</v>
      </c>
      <c r="BS449">
        <v>25</v>
      </c>
      <c r="BT449">
        <v>21.9</v>
      </c>
      <c r="BU449">
        <v>25</v>
      </c>
      <c r="BV449">
        <v>23.6</v>
      </c>
      <c r="BW449">
        <v>18</v>
      </c>
      <c r="BX449">
        <v>21.6</v>
      </c>
      <c r="BY449">
        <v>20</v>
      </c>
      <c r="BZ449">
        <v>20.6</v>
      </c>
      <c r="CA449">
        <v>20</v>
      </c>
      <c r="CB449">
        <v>10.7</v>
      </c>
      <c r="CC449">
        <v>10</v>
      </c>
      <c r="CD449">
        <v>10.5</v>
      </c>
      <c r="CE449">
        <v>10</v>
      </c>
      <c r="CF449">
        <v>11.3</v>
      </c>
      <c r="CG449">
        <v>9</v>
      </c>
      <c r="CH449">
        <v>11.5</v>
      </c>
      <c r="CI449">
        <v>9</v>
      </c>
    </row>
    <row r="450" spans="1:87" x14ac:dyDescent="0.35">
      <c r="A450" s="1">
        <v>46059.769444444442</v>
      </c>
      <c r="B450">
        <v>-18.100000000000001</v>
      </c>
      <c r="C450">
        <v>-18.2</v>
      </c>
      <c r="D450">
        <v>-25</v>
      </c>
      <c r="E450">
        <v>-18.3</v>
      </c>
      <c r="F450">
        <v>-18</v>
      </c>
      <c r="G450">
        <v>-25</v>
      </c>
      <c r="H450">
        <v>-17.5</v>
      </c>
      <c r="I450">
        <v>-15</v>
      </c>
      <c r="J450">
        <v>-25</v>
      </c>
      <c r="K450">
        <v>-16.8</v>
      </c>
      <c r="L450">
        <v>-17.8</v>
      </c>
      <c r="M450">
        <v>-25</v>
      </c>
      <c r="N450">
        <v>-18.8</v>
      </c>
      <c r="O450">
        <v>-19.5</v>
      </c>
      <c r="P450">
        <v>-25</v>
      </c>
      <c r="Q450">
        <v>-13.5</v>
      </c>
      <c r="R450">
        <v>-16.2</v>
      </c>
      <c r="S450">
        <v>-25</v>
      </c>
      <c r="T450">
        <v>2.9</v>
      </c>
      <c r="U450">
        <v>2.8</v>
      </c>
      <c r="V450">
        <v>2</v>
      </c>
      <c r="W450">
        <v>2.8</v>
      </c>
      <c r="X450">
        <v>2.4</v>
      </c>
      <c r="Y450">
        <v>2</v>
      </c>
      <c r="Z450">
        <v>4.0999999999999996</v>
      </c>
      <c r="AA450">
        <v>3.7</v>
      </c>
      <c r="AB450">
        <v>2</v>
      </c>
      <c r="AC450">
        <v>3.8</v>
      </c>
      <c r="AD450">
        <v>3</v>
      </c>
      <c r="AE450">
        <v>2</v>
      </c>
      <c r="AF450">
        <v>3.8</v>
      </c>
      <c r="AG450">
        <v>3.7</v>
      </c>
      <c r="AH450">
        <v>2</v>
      </c>
      <c r="AI450">
        <v>2.9</v>
      </c>
      <c r="AJ450">
        <v>2.7</v>
      </c>
      <c r="AK450">
        <v>2</v>
      </c>
      <c r="AL450">
        <v>5.2</v>
      </c>
      <c r="AM450">
        <v>4</v>
      </c>
      <c r="AN450">
        <v>5.6</v>
      </c>
      <c r="AO450">
        <v>4</v>
      </c>
      <c r="AP450">
        <v>3.8</v>
      </c>
      <c r="AQ450">
        <v>4</v>
      </c>
      <c r="AR450">
        <v>3.3</v>
      </c>
      <c r="AS450">
        <v>4</v>
      </c>
      <c r="AT450">
        <v>-1.6</v>
      </c>
      <c r="AU450">
        <v>-3.8</v>
      </c>
      <c r="AV450">
        <v>-5</v>
      </c>
      <c r="AW450">
        <v>-4.5999999999999996</v>
      </c>
      <c r="AX450">
        <v>-6.2</v>
      </c>
      <c r="AY450">
        <v>-5</v>
      </c>
      <c r="AZ450">
        <v>10.6</v>
      </c>
      <c r="BA450">
        <v>10</v>
      </c>
      <c r="BB450">
        <v>10.1</v>
      </c>
      <c r="BC450">
        <v>10</v>
      </c>
      <c r="BD450">
        <v>5.6</v>
      </c>
      <c r="BE450">
        <v>4</v>
      </c>
      <c r="BF450">
        <v>10.1</v>
      </c>
      <c r="BG450">
        <v>10</v>
      </c>
      <c r="BH450">
        <v>12</v>
      </c>
      <c r="BI450">
        <v>10</v>
      </c>
      <c r="BJ450">
        <v>11.4</v>
      </c>
      <c r="BK450">
        <v>9</v>
      </c>
      <c r="BL450">
        <v>20.9</v>
      </c>
      <c r="BM450">
        <v>19</v>
      </c>
      <c r="BN450">
        <v>23.5</v>
      </c>
      <c r="BO450">
        <v>19</v>
      </c>
      <c r="BP450">
        <v>19.7</v>
      </c>
      <c r="BQ450">
        <v>20</v>
      </c>
      <c r="BR450">
        <v>20.9</v>
      </c>
      <c r="BS450">
        <v>25</v>
      </c>
      <c r="BT450">
        <v>21.9</v>
      </c>
      <c r="BU450">
        <v>25</v>
      </c>
      <c r="BV450">
        <v>23.6</v>
      </c>
      <c r="BW450">
        <v>18</v>
      </c>
      <c r="BX450">
        <v>21.7</v>
      </c>
      <c r="BY450">
        <v>20</v>
      </c>
      <c r="BZ450">
        <v>20.8</v>
      </c>
      <c r="CA450">
        <v>20</v>
      </c>
      <c r="CB450">
        <v>11.2</v>
      </c>
      <c r="CC450">
        <v>10</v>
      </c>
      <c r="CD450">
        <v>10.4</v>
      </c>
      <c r="CE450">
        <v>10</v>
      </c>
      <c r="CF450">
        <v>11.3</v>
      </c>
      <c r="CG450">
        <v>9</v>
      </c>
      <c r="CH450">
        <v>11.5</v>
      </c>
      <c r="CI450">
        <v>9</v>
      </c>
    </row>
    <row r="451" spans="1:87" x14ac:dyDescent="0.35">
      <c r="A451" s="1">
        <v>46059.770138888889</v>
      </c>
      <c r="B451">
        <v>-17.899999999999999</v>
      </c>
      <c r="C451">
        <v>-18</v>
      </c>
      <c r="D451">
        <v>-25</v>
      </c>
      <c r="E451">
        <v>-18.100000000000001</v>
      </c>
      <c r="F451">
        <v>-18</v>
      </c>
      <c r="G451">
        <v>-25</v>
      </c>
      <c r="H451">
        <v>-17.5</v>
      </c>
      <c r="I451">
        <v>-15.1</v>
      </c>
      <c r="J451">
        <v>-25</v>
      </c>
      <c r="K451">
        <v>-16.899999999999999</v>
      </c>
      <c r="L451">
        <v>-17.899999999999999</v>
      </c>
      <c r="M451">
        <v>-25</v>
      </c>
      <c r="N451">
        <v>-19</v>
      </c>
      <c r="O451">
        <v>-19.8</v>
      </c>
      <c r="P451">
        <v>-25</v>
      </c>
      <c r="Q451">
        <v>-13.6</v>
      </c>
      <c r="R451">
        <v>-16.899999999999999</v>
      </c>
      <c r="S451">
        <v>-25</v>
      </c>
      <c r="T451">
        <v>2.9</v>
      </c>
      <c r="U451">
        <v>2.9</v>
      </c>
      <c r="V451">
        <v>2</v>
      </c>
      <c r="W451">
        <v>2.9</v>
      </c>
      <c r="X451">
        <v>2.6</v>
      </c>
      <c r="Y451">
        <v>2</v>
      </c>
      <c r="Z451">
        <v>4</v>
      </c>
      <c r="AA451">
        <v>3.6</v>
      </c>
      <c r="AB451">
        <v>2</v>
      </c>
      <c r="AC451">
        <v>3.7</v>
      </c>
      <c r="AD451">
        <v>3</v>
      </c>
      <c r="AE451">
        <v>2</v>
      </c>
      <c r="AF451">
        <v>3.9</v>
      </c>
      <c r="AG451">
        <v>3.9</v>
      </c>
      <c r="AH451">
        <v>2</v>
      </c>
      <c r="AI451">
        <v>2.9</v>
      </c>
      <c r="AJ451">
        <v>2.6</v>
      </c>
      <c r="AK451">
        <v>2</v>
      </c>
      <c r="AL451">
        <v>5.3</v>
      </c>
      <c r="AM451">
        <v>4</v>
      </c>
      <c r="AN451">
        <v>5.7</v>
      </c>
      <c r="AO451">
        <v>4</v>
      </c>
      <c r="AP451">
        <v>3</v>
      </c>
      <c r="AQ451">
        <v>4</v>
      </c>
      <c r="AR451">
        <v>3.7</v>
      </c>
      <c r="AS451">
        <v>4</v>
      </c>
      <c r="AT451">
        <v>-2</v>
      </c>
      <c r="AU451">
        <v>-4.2</v>
      </c>
      <c r="AV451">
        <v>-5</v>
      </c>
      <c r="AW451">
        <v>-4.9000000000000004</v>
      </c>
      <c r="AX451">
        <v>-6.6</v>
      </c>
      <c r="AY451">
        <v>-5</v>
      </c>
      <c r="AZ451">
        <v>10.8</v>
      </c>
      <c r="BA451">
        <v>10</v>
      </c>
      <c r="BB451">
        <v>10</v>
      </c>
      <c r="BC451">
        <v>10</v>
      </c>
      <c r="BD451">
        <v>5.8</v>
      </c>
      <c r="BE451">
        <v>4</v>
      </c>
      <c r="BF451">
        <v>9.5</v>
      </c>
      <c r="BG451">
        <v>10</v>
      </c>
      <c r="BH451">
        <v>11.9</v>
      </c>
      <c r="BI451">
        <v>10</v>
      </c>
      <c r="BJ451">
        <v>11.4</v>
      </c>
      <c r="BK451">
        <v>9</v>
      </c>
      <c r="BL451">
        <v>20.9</v>
      </c>
      <c r="BM451">
        <v>19</v>
      </c>
      <c r="BN451">
        <v>23.5</v>
      </c>
      <c r="BO451">
        <v>19</v>
      </c>
      <c r="BP451">
        <v>19.7</v>
      </c>
      <c r="BQ451">
        <v>20</v>
      </c>
      <c r="BR451">
        <v>20.9</v>
      </c>
      <c r="BS451">
        <v>25</v>
      </c>
      <c r="BT451">
        <v>21.9</v>
      </c>
      <c r="BU451">
        <v>25</v>
      </c>
      <c r="BV451">
        <v>23.6</v>
      </c>
      <c r="BW451">
        <v>18</v>
      </c>
      <c r="BX451">
        <v>21.7</v>
      </c>
      <c r="BY451">
        <v>20</v>
      </c>
      <c r="BZ451">
        <v>20.8</v>
      </c>
      <c r="CA451">
        <v>20</v>
      </c>
      <c r="CB451">
        <v>11.6</v>
      </c>
      <c r="CC451">
        <v>10</v>
      </c>
      <c r="CD451">
        <v>10.3</v>
      </c>
      <c r="CE451">
        <v>10</v>
      </c>
      <c r="CF451">
        <v>11.2</v>
      </c>
      <c r="CG451">
        <v>9</v>
      </c>
      <c r="CH451">
        <v>11.4</v>
      </c>
      <c r="CI451">
        <v>9</v>
      </c>
    </row>
    <row r="452" spans="1:87" x14ac:dyDescent="0.35">
      <c r="A452" s="1">
        <v>46059.770833333336</v>
      </c>
      <c r="B452">
        <v>-17.7</v>
      </c>
      <c r="C452">
        <v>-17.8</v>
      </c>
      <c r="D452">
        <v>-25</v>
      </c>
      <c r="E452">
        <v>-17.8</v>
      </c>
      <c r="F452">
        <v>-17.899999999999999</v>
      </c>
      <c r="G452">
        <v>-25</v>
      </c>
      <c r="H452">
        <v>-17.600000000000001</v>
      </c>
      <c r="I452">
        <v>-15.1</v>
      </c>
      <c r="J452">
        <v>-25</v>
      </c>
      <c r="K452">
        <v>-16.899999999999999</v>
      </c>
      <c r="L452">
        <v>-17.899999999999999</v>
      </c>
      <c r="M452">
        <v>-25</v>
      </c>
      <c r="N452">
        <v>-19.100000000000001</v>
      </c>
      <c r="O452">
        <v>-20.3</v>
      </c>
      <c r="P452">
        <v>-25</v>
      </c>
      <c r="Q452">
        <v>-14</v>
      </c>
      <c r="R452">
        <v>-17.5</v>
      </c>
      <c r="S452">
        <v>-25</v>
      </c>
      <c r="T452">
        <v>3</v>
      </c>
      <c r="U452">
        <v>3</v>
      </c>
      <c r="V452">
        <v>2</v>
      </c>
      <c r="W452">
        <v>3</v>
      </c>
      <c r="X452">
        <v>2.7</v>
      </c>
      <c r="Y452">
        <v>2</v>
      </c>
      <c r="Z452">
        <v>3.9</v>
      </c>
      <c r="AA452">
        <v>3.4</v>
      </c>
      <c r="AB452">
        <v>2</v>
      </c>
      <c r="AC452">
        <v>3.5</v>
      </c>
      <c r="AD452">
        <v>3</v>
      </c>
      <c r="AE452">
        <v>2</v>
      </c>
      <c r="AF452">
        <v>4.0999999999999996</v>
      </c>
      <c r="AG452">
        <v>4</v>
      </c>
      <c r="AH452">
        <v>2</v>
      </c>
      <c r="AI452">
        <v>2.9</v>
      </c>
      <c r="AJ452">
        <v>2.6</v>
      </c>
      <c r="AK452">
        <v>2</v>
      </c>
      <c r="AL452">
        <v>5.3</v>
      </c>
      <c r="AM452">
        <v>4</v>
      </c>
      <c r="AN452">
        <v>5.7</v>
      </c>
      <c r="AO452">
        <v>4</v>
      </c>
      <c r="AP452">
        <v>2.9</v>
      </c>
      <c r="AQ452">
        <v>4</v>
      </c>
      <c r="AR452">
        <v>4</v>
      </c>
      <c r="AS452">
        <v>4</v>
      </c>
      <c r="AT452">
        <v>-2.2999999999999998</v>
      </c>
      <c r="AU452">
        <v>-4.8</v>
      </c>
      <c r="AV452">
        <v>-5</v>
      </c>
      <c r="AW452">
        <v>-5</v>
      </c>
      <c r="AX452">
        <v>-5.8</v>
      </c>
      <c r="AY452">
        <v>-5</v>
      </c>
      <c r="AZ452">
        <v>10.9</v>
      </c>
      <c r="BA452">
        <v>10</v>
      </c>
      <c r="BB452">
        <v>9.9</v>
      </c>
      <c r="BC452">
        <v>10</v>
      </c>
      <c r="BD452">
        <v>6</v>
      </c>
      <c r="BE452">
        <v>4</v>
      </c>
      <c r="BF452">
        <v>9.4</v>
      </c>
      <c r="BG452">
        <v>10</v>
      </c>
      <c r="BH452">
        <v>11.9</v>
      </c>
      <c r="BI452">
        <v>10</v>
      </c>
      <c r="BJ452">
        <v>11.3</v>
      </c>
      <c r="BK452">
        <v>9</v>
      </c>
      <c r="BL452">
        <v>20.9</v>
      </c>
      <c r="BM452">
        <v>19</v>
      </c>
      <c r="BN452">
        <v>23.5</v>
      </c>
      <c r="BO452">
        <v>19</v>
      </c>
      <c r="BP452">
        <v>19.7</v>
      </c>
      <c r="BQ452">
        <v>20</v>
      </c>
      <c r="BR452">
        <v>20.9</v>
      </c>
      <c r="BS452">
        <v>25</v>
      </c>
      <c r="BT452">
        <v>21.9</v>
      </c>
      <c r="BU452">
        <v>25</v>
      </c>
      <c r="BV452">
        <v>23.6</v>
      </c>
      <c r="BW452">
        <v>18</v>
      </c>
      <c r="BX452">
        <v>21.7</v>
      </c>
      <c r="BY452">
        <v>20</v>
      </c>
      <c r="BZ452">
        <v>20.9</v>
      </c>
      <c r="CA452">
        <v>20</v>
      </c>
      <c r="CB452">
        <v>11.9</v>
      </c>
      <c r="CC452">
        <v>10</v>
      </c>
      <c r="CD452">
        <v>10.3</v>
      </c>
      <c r="CE452">
        <v>10</v>
      </c>
      <c r="CF452">
        <v>11</v>
      </c>
      <c r="CG452">
        <v>9</v>
      </c>
      <c r="CH452">
        <v>11.2</v>
      </c>
      <c r="CI452">
        <v>9</v>
      </c>
    </row>
    <row r="453" spans="1:87" x14ac:dyDescent="0.35">
      <c r="A453" s="1">
        <v>46059.771527777775</v>
      </c>
      <c r="B453">
        <v>-17.5</v>
      </c>
      <c r="C453">
        <v>-17.5</v>
      </c>
      <c r="D453">
        <v>-25</v>
      </c>
      <c r="E453">
        <v>-17.5</v>
      </c>
      <c r="F453">
        <v>-17.8</v>
      </c>
      <c r="G453">
        <v>-25</v>
      </c>
      <c r="H453">
        <v>-17.7</v>
      </c>
      <c r="I453">
        <v>-15.2</v>
      </c>
      <c r="J453">
        <v>-25</v>
      </c>
      <c r="K453">
        <v>-17</v>
      </c>
      <c r="L453">
        <v>-18.100000000000001</v>
      </c>
      <c r="M453">
        <v>-25</v>
      </c>
      <c r="N453">
        <v>-19.3</v>
      </c>
      <c r="O453">
        <v>-20.3</v>
      </c>
      <c r="P453">
        <v>-25</v>
      </c>
      <c r="Q453">
        <v>-14.9</v>
      </c>
      <c r="R453">
        <v>-17.899999999999999</v>
      </c>
      <c r="S453">
        <v>-25</v>
      </c>
      <c r="T453">
        <v>3.1</v>
      </c>
      <c r="U453">
        <v>3.1</v>
      </c>
      <c r="V453">
        <v>2</v>
      </c>
      <c r="W453">
        <v>3.1</v>
      </c>
      <c r="X453">
        <v>2.8</v>
      </c>
      <c r="Y453">
        <v>2</v>
      </c>
      <c r="Z453">
        <v>3.8</v>
      </c>
      <c r="AA453">
        <v>3.4</v>
      </c>
      <c r="AB453">
        <v>2</v>
      </c>
      <c r="AC453">
        <v>3.5</v>
      </c>
      <c r="AD453">
        <v>2.9</v>
      </c>
      <c r="AE453">
        <v>2</v>
      </c>
      <c r="AF453">
        <v>4.3</v>
      </c>
      <c r="AG453">
        <v>4.2</v>
      </c>
      <c r="AH453">
        <v>2</v>
      </c>
      <c r="AI453">
        <v>2.9</v>
      </c>
      <c r="AJ453">
        <v>2.6</v>
      </c>
      <c r="AK453">
        <v>2</v>
      </c>
      <c r="AL453">
        <v>5.4</v>
      </c>
      <c r="AM453">
        <v>4</v>
      </c>
      <c r="AN453">
        <v>5.8</v>
      </c>
      <c r="AO453">
        <v>4</v>
      </c>
      <c r="AP453">
        <v>2.9</v>
      </c>
      <c r="AQ453">
        <v>4</v>
      </c>
      <c r="AR453">
        <v>4.4000000000000004</v>
      </c>
      <c r="AS453">
        <v>4</v>
      </c>
      <c r="AT453">
        <v>-2.7</v>
      </c>
      <c r="AU453">
        <v>-5.5</v>
      </c>
      <c r="AV453">
        <v>-5</v>
      </c>
      <c r="AW453">
        <v>-5</v>
      </c>
      <c r="AX453">
        <v>-5.0999999999999996</v>
      </c>
      <c r="AY453">
        <v>-5</v>
      </c>
      <c r="AZ453">
        <v>11</v>
      </c>
      <c r="BA453">
        <v>10</v>
      </c>
      <c r="BB453">
        <v>9.9</v>
      </c>
      <c r="BC453">
        <v>10</v>
      </c>
      <c r="BD453">
        <v>6</v>
      </c>
      <c r="BE453">
        <v>4</v>
      </c>
      <c r="BF453">
        <v>9.8000000000000007</v>
      </c>
      <c r="BG453">
        <v>10</v>
      </c>
      <c r="BH453">
        <v>11.8</v>
      </c>
      <c r="BI453">
        <v>10</v>
      </c>
      <c r="BJ453">
        <v>11.3</v>
      </c>
      <c r="BK453">
        <v>9</v>
      </c>
      <c r="BL453">
        <v>20.9</v>
      </c>
      <c r="BM453">
        <v>19</v>
      </c>
      <c r="BN453">
        <v>23.5</v>
      </c>
      <c r="BO453">
        <v>19</v>
      </c>
      <c r="BP453">
        <v>19.7</v>
      </c>
      <c r="BQ453">
        <v>20</v>
      </c>
      <c r="BR453">
        <v>21</v>
      </c>
      <c r="BS453">
        <v>25</v>
      </c>
      <c r="BT453">
        <v>21.9</v>
      </c>
      <c r="BU453">
        <v>25</v>
      </c>
      <c r="BV453">
        <v>23.6</v>
      </c>
      <c r="BW453">
        <v>18</v>
      </c>
      <c r="BX453">
        <v>21.7</v>
      </c>
      <c r="BY453">
        <v>20</v>
      </c>
      <c r="BZ453">
        <v>21</v>
      </c>
      <c r="CA453">
        <v>20</v>
      </c>
      <c r="CB453">
        <v>12</v>
      </c>
      <c r="CC453">
        <v>10</v>
      </c>
      <c r="CD453">
        <v>10.199999999999999</v>
      </c>
      <c r="CE453">
        <v>10</v>
      </c>
      <c r="CF453">
        <v>10.9</v>
      </c>
      <c r="CG453">
        <v>9</v>
      </c>
      <c r="CH453">
        <v>11.1</v>
      </c>
      <c r="CI453">
        <v>9</v>
      </c>
    </row>
    <row r="454" spans="1:87" x14ac:dyDescent="0.35">
      <c r="A454" s="1">
        <v>46059.772222222222</v>
      </c>
      <c r="B454">
        <v>-17.2</v>
      </c>
      <c r="C454">
        <v>-17.2</v>
      </c>
      <c r="D454">
        <v>-25</v>
      </c>
      <c r="E454">
        <v>-17.2</v>
      </c>
      <c r="F454">
        <v>-17.600000000000001</v>
      </c>
      <c r="G454">
        <v>-25</v>
      </c>
      <c r="H454">
        <v>-17.7</v>
      </c>
      <c r="I454">
        <v>-15.2</v>
      </c>
      <c r="J454">
        <v>-25</v>
      </c>
      <c r="K454">
        <v>-17.100000000000001</v>
      </c>
      <c r="L454">
        <v>-18.100000000000001</v>
      </c>
      <c r="M454">
        <v>-25</v>
      </c>
      <c r="N454">
        <v>-19.5</v>
      </c>
      <c r="O454">
        <v>-20.5</v>
      </c>
      <c r="P454">
        <v>-25</v>
      </c>
      <c r="Q454">
        <v>-15.4</v>
      </c>
      <c r="R454">
        <v>-18.2</v>
      </c>
      <c r="S454">
        <v>-25</v>
      </c>
      <c r="T454">
        <v>3.2</v>
      </c>
      <c r="U454">
        <v>3.2</v>
      </c>
      <c r="V454">
        <v>2</v>
      </c>
      <c r="W454">
        <v>3.2</v>
      </c>
      <c r="X454">
        <v>2.9</v>
      </c>
      <c r="Y454">
        <v>2</v>
      </c>
      <c r="Z454">
        <v>3.7</v>
      </c>
      <c r="AA454">
        <v>3.2</v>
      </c>
      <c r="AB454">
        <v>2</v>
      </c>
      <c r="AC454">
        <v>3.3</v>
      </c>
      <c r="AD454">
        <v>2.8</v>
      </c>
      <c r="AE454">
        <v>2</v>
      </c>
      <c r="AF454">
        <v>4.4000000000000004</v>
      </c>
      <c r="AG454">
        <v>4.2</v>
      </c>
      <c r="AH454">
        <v>2</v>
      </c>
      <c r="AI454">
        <v>2.9</v>
      </c>
      <c r="AJ454">
        <v>2.6</v>
      </c>
      <c r="AK454">
        <v>2</v>
      </c>
      <c r="AL454">
        <v>5.4</v>
      </c>
      <c r="AM454">
        <v>4</v>
      </c>
      <c r="AN454">
        <v>5.8</v>
      </c>
      <c r="AO454">
        <v>4</v>
      </c>
      <c r="AP454">
        <v>3.2</v>
      </c>
      <c r="AQ454">
        <v>4</v>
      </c>
      <c r="AR454">
        <v>4.7</v>
      </c>
      <c r="AS454">
        <v>4</v>
      </c>
      <c r="AT454">
        <v>-3.2</v>
      </c>
      <c r="AU454">
        <v>-6.1</v>
      </c>
      <c r="AV454">
        <v>-5</v>
      </c>
      <c r="AW454">
        <v>-4.3</v>
      </c>
      <c r="AX454">
        <v>-4.2</v>
      </c>
      <c r="AY454">
        <v>-5</v>
      </c>
      <c r="AZ454">
        <v>11</v>
      </c>
      <c r="BA454">
        <v>10</v>
      </c>
      <c r="BB454">
        <v>10.1</v>
      </c>
      <c r="BC454">
        <v>10</v>
      </c>
      <c r="BD454">
        <v>5.7</v>
      </c>
      <c r="BE454">
        <v>4</v>
      </c>
      <c r="BF454">
        <v>10.199999999999999</v>
      </c>
      <c r="BG454">
        <v>10</v>
      </c>
      <c r="BH454">
        <v>11.8</v>
      </c>
      <c r="BI454">
        <v>10</v>
      </c>
      <c r="BJ454">
        <v>11.3</v>
      </c>
      <c r="BK454">
        <v>9</v>
      </c>
      <c r="BL454">
        <v>20.9</v>
      </c>
      <c r="BM454">
        <v>19</v>
      </c>
      <c r="BN454">
        <v>23.5</v>
      </c>
      <c r="BO454">
        <v>19</v>
      </c>
      <c r="BP454">
        <v>19.8</v>
      </c>
      <c r="BQ454">
        <v>20</v>
      </c>
      <c r="BR454">
        <v>21</v>
      </c>
      <c r="BS454">
        <v>25</v>
      </c>
      <c r="BT454">
        <v>21.9</v>
      </c>
      <c r="BU454">
        <v>25</v>
      </c>
      <c r="BV454">
        <v>23.6</v>
      </c>
      <c r="BW454">
        <v>18</v>
      </c>
      <c r="BX454">
        <v>21.7</v>
      </c>
      <c r="BY454">
        <v>20</v>
      </c>
      <c r="BZ454">
        <v>21</v>
      </c>
      <c r="CA454">
        <v>20</v>
      </c>
      <c r="CB454">
        <v>11.9</v>
      </c>
      <c r="CC454">
        <v>10</v>
      </c>
      <c r="CD454">
        <v>10.199999999999999</v>
      </c>
      <c r="CE454">
        <v>10</v>
      </c>
      <c r="CF454">
        <v>11.1</v>
      </c>
      <c r="CG454">
        <v>9</v>
      </c>
      <c r="CH454">
        <v>11.4</v>
      </c>
      <c r="CI454">
        <v>9</v>
      </c>
    </row>
    <row r="455" spans="1:87" x14ac:dyDescent="0.35">
      <c r="A455" s="1">
        <v>46059.772916666669</v>
      </c>
      <c r="B455">
        <v>-17.2</v>
      </c>
      <c r="C455">
        <v>-17</v>
      </c>
      <c r="D455">
        <v>-25</v>
      </c>
      <c r="E455">
        <v>-17</v>
      </c>
      <c r="F455">
        <v>-18.399999999999999</v>
      </c>
      <c r="G455">
        <v>-25</v>
      </c>
      <c r="H455">
        <v>-17.8</v>
      </c>
      <c r="I455">
        <v>-15.3</v>
      </c>
      <c r="J455">
        <v>-25</v>
      </c>
      <c r="K455">
        <v>-17.100000000000001</v>
      </c>
      <c r="L455">
        <v>-18.100000000000001</v>
      </c>
      <c r="M455">
        <v>-25</v>
      </c>
      <c r="N455">
        <v>-19.600000000000001</v>
      </c>
      <c r="O455">
        <v>-20.6</v>
      </c>
      <c r="P455">
        <v>-25</v>
      </c>
      <c r="Q455">
        <v>-15.8</v>
      </c>
      <c r="R455">
        <v>-18.100000000000001</v>
      </c>
      <c r="S455">
        <v>-25</v>
      </c>
      <c r="T455">
        <v>3.3</v>
      </c>
      <c r="U455">
        <v>3.3</v>
      </c>
      <c r="V455">
        <v>2</v>
      </c>
      <c r="W455">
        <v>3.2</v>
      </c>
      <c r="X455">
        <v>3</v>
      </c>
      <c r="Y455">
        <v>2</v>
      </c>
      <c r="Z455">
        <v>3.7</v>
      </c>
      <c r="AA455">
        <v>3.1</v>
      </c>
      <c r="AB455">
        <v>2</v>
      </c>
      <c r="AC455">
        <v>3.3</v>
      </c>
      <c r="AD455">
        <v>2.8</v>
      </c>
      <c r="AE455">
        <v>2</v>
      </c>
      <c r="AF455">
        <v>4.5</v>
      </c>
      <c r="AG455">
        <v>4.5</v>
      </c>
      <c r="AH455">
        <v>2</v>
      </c>
      <c r="AI455">
        <v>2.9</v>
      </c>
      <c r="AJ455">
        <v>2.6</v>
      </c>
      <c r="AK455">
        <v>2</v>
      </c>
      <c r="AL455">
        <v>5.4</v>
      </c>
      <c r="AM455">
        <v>4</v>
      </c>
      <c r="AN455">
        <v>5.9</v>
      </c>
      <c r="AO455">
        <v>4</v>
      </c>
      <c r="AP455">
        <v>3.5</v>
      </c>
      <c r="AQ455">
        <v>4</v>
      </c>
      <c r="AR455">
        <v>4.9000000000000004</v>
      </c>
      <c r="AS455">
        <v>4</v>
      </c>
      <c r="AT455">
        <v>-3.7</v>
      </c>
      <c r="AU455">
        <v>-6.8</v>
      </c>
      <c r="AV455">
        <v>-5</v>
      </c>
      <c r="AW455">
        <v>-3.8</v>
      </c>
      <c r="AX455">
        <v>-3.6</v>
      </c>
      <c r="AY455">
        <v>-5</v>
      </c>
      <c r="AZ455">
        <v>11.2</v>
      </c>
      <c r="BA455">
        <v>10</v>
      </c>
      <c r="BB455">
        <v>10.5</v>
      </c>
      <c r="BC455">
        <v>10</v>
      </c>
      <c r="BD455">
        <v>5.2</v>
      </c>
      <c r="BE455">
        <v>4</v>
      </c>
      <c r="BF455">
        <v>10.7</v>
      </c>
      <c r="BG455">
        <v>10</v>
      </c>
      <c r="BH455">
        <v>11.7</v>
      </c>
      <c r="BI455">
        <v>10</v>
      </c>
      <c r="BJ455">
        <v>11.3</v>
      </c>
      <c r="BK455">
        <v>9</v>
      </c>
      <c r="BL455">
        <v>20.9</v>
      </c>
      <c r="BM455">
        <v>19</v>
      </c>
      <c r="BN455">
        <v>23.5</v>
      </c>
      <c r="BO455">
        <v>19</v>
      </c>
      <c r="BP455">
        <v>19.8</v>
      </c>
      <c r="BQ455">
        <v>20</v>
      </c>
      <c r="BR455">
        <v>21.1</v>
      </c>
      <c r="BS455">
        <v>25</v>
      </c>
      <c r="BT455">
        <v>21.9</v>
      </c>
      <c r="BU455">
        <v>25</v>
      </c>
      <c r="BV455">
        <v>23.6</v>
      </c>
      <c r="BW455">
        <v>18</v>
      </c>
      <c r="BX455">
        <v>21.7</v>
      </c>
      <c r="BY455">
        <v>20</v>
      </c>
      <c r="BZ455">
        <v>21.1</v>
      </c>
      <c r="CA455">
        <v>20</v>
      </c>
      <c r="CB455">
        <v>11.6</v>
      </c>
      <c r="CC455">
        <v>10</v>
      </c>
      <c r="CD455">
        <v>10.199999999999999</v>
      </c>
      <c r="CE455">
        <v>10</v>
      </c>
      <c r="CF455">
        <v>11</v>
      </c>
      <c r="CG455">
        <v>9</v>
      </c>
      <c r="CH455">
        <v>11.2</v>
      </c>
      <c r="CI455">
        <v>9</v>
      </c>
    </row>
    <row r="456" spans="1:87" x14ac:dyDescent="0.35">
      <c r="A456" s="1">
        <v>46059.773611111108</v>
      </c>
      <c r="B456">
        <v>-17.2</v>
      </c>
      <c r="C456">
        <v>-15.9</v>
      </c>
      <c r="D456">
        <v>-25</v>
      </c>
      <c r="E456">
        <v>-17.100000000000001</v>
      </c>
      <c r="F456">
        <v>-19.100000000000001</v>
      </c>
      <c r="G456">
        <v>-25</v>
      </c>
      <c r="H456">
        <v>-17.8</v>
      </c>
      <c r="I456">
        <v>-15.3</v>
      </c>
      <c r="J456">
        <v>-25</v>
      </c>
      <c r="K456">
        <v>-17.100000000000001</v>
      </c>
      <c r="L456">
        <v>-18</v>
      </c>
      <c r="M456">
        <v>-25</v>
      </c>
      <c r="N456">
        <v>-19.600000000000001</v>
      </c>
      <c r="O456">
        <v>-20</v>
      </c>
      <c r="P456">
        <v>-25</v>
      </c>
      <c r="Q456">
        <v>-16.2</v>
      </c>
      <c r="R456">
        <v>-18.100000000000001</v>
      </c>
      <c r="S456">
        <v>-25</v>
      </c>
      <c r="T456">
        <v>3.4</v>
      </c>
      <c r="U456">
        <v>3.4</v>
      </c>
      <c r="V456">
        <v>2</v>
      </c>
      <c r="W456">
        <v>3.3</v>
      </c>
      <c r="X456">
        <v>3.1</v>
      </c>
      <c r="Y456">
        <v>2</v>
      </c>
      <c r="Z456">
        <v>3.6</v>
      </c>
      <c r="AA456">
        <v>3</v>
      </c>
      <c r="AB456">
        <v>2</v>
      </c>
      <c r="AC456">
        <v>3.2</v>
      </c>
      <c r="AD456">
        <v>2.6</v>
      </c>
      <c r="AE456">
        <v>2</v>
      </c>
      <c r="AF456">
        <v>4.5999999999999996</v>
      </c>
      <c r="AG456">
        <v>4.5</v>
      </c>
      <c r="AH456">
        <v>2</v>
      </c>
      <c r="AI456">
        <v>2.9</v>
      </c>
      <c r="AJ456">
        <v>2.6</v>
      </c>
      <c r="AK456">
        <v>2</v>
      </c>
      <c r="AL456">
        <v>5.5</v>
      </c>
      <c r="AM456">
        <v>4</v>
      </c>
      <c r="AN456">
        <v>5.9</v>
      </c>
      <c r="AO456">
        <v>4</v>
      </c>
      <c r="AP456">
        <v>3.7</v>
      </c>
      <c r="AQ456">
        <v>4</v>
      </c>
      <c r="AR456">
        <v>5.2</v>
      </c>
      <c r="AS456">
        <v>4</v>
      </c>
      <c r="AT456">
        <v>-4.2</v>
      </c>
      <c r="AU456">
        <v>-7.1</v>
      </c>
      <c r="AV456">
        <v>-5</v>
      </c>
      <c r="AW456">
        <v>-3.3</v>
      </c>
      <c r="AX456">
        <v>-3.1</v>
      </c>
      <c r="AY456">
        <v>-5</v>
      </c>
      <c r="AZ456">
        <v>11.3</v>
      </c>
      <c r="BA456">
        <v>10</v>
      </c>
      <c r="BB456">
        <v>10.7</v>
      </c>
      <c r="BC456">
        <v>10</v>
      </c>
      <c r="BD456">
        <v>5</v>
      </c>
      <c r="BE456">
        <v>4</v>
      </c>
      <c r="BF456">
        <v>10.9</v>
      </c>
      <c r="BG456">
        <v>10</v>
      </c>
      <c r="BH456">
        <v>11.6</v>
      </c>
      <c r="BI456">
        <v>10</v>
      </c>
      <c r="BJ456">
        <v>11.3</v>
      </c>
      <c r="BK456">
        <v>9</v>
      </c>
      <c r="BL456">
        <v>20.9</v>
      </c>
      <c r="BM456">
        <v>19</v>
      </c>
      <c r="BN456">
        <v>23.6</v>
      </c>
      <c r="BO456">
        <v>19</v>
      </c>
      <c r="BP456">
        <v>19.899999999999999</v>
      </c>
      <c r="BQ456">
        <v>20</v>
      </c>
      <c r="BR456">
        <v>21.2</v>
      </c>
      <c r="BS456">
        <v>25</v>
      </c>
      <c r="BT456">
        <v>21.9</v>
      </c>
      <c r="BU456">
        <v>25</v>
      </c>
      <c r="BV456">
        <v>23.6</v>
      </c>
      <c r="BW456">
        <v>18</v>
      </c>
      <c r="BX456">
        <v>21.7</v>
      </c>
      <c r="BY456">
        <v>20</v>
      </c>
      <c r="BZ456">
        <v>21.1</v>
      </c>
      <c r="CA456">
        <v>20</v>
      </c>
      <c r="CB456">
        <v>11.3</v>
      </c>
      <c r="CC456">
        <v>10</v>
      </c>
      <c r="CD456">
        <v>10.1</v>
      </c>
      <c r="CE456">
        <v>10</v>
      </c>
      <c r="CF456">
        <v>11.1</v>
      </c>
      <c r="CG456">
        <v>9</v>
      </c>
      <c r="CH456">
        <v>11.3</v>
      </c>
      <c r="CI456">
        <v>9</v>
      </c>
    </row>
    <row r="457" spans="1:87" x14ac:dyDescent="0.35">
      <c r="A457" s="1">
        <v>46059.774305555555</v>
      </c>
      <c r="B457">
        <v>-17.2</v>
      </c>
      <c r="C457">
        <v>-13.4</v>
      </c>
      <c r="D457">
        <v>-25</v>
      </c>
      <c r="E457">
        <v>-17.399999999999999</v>
      </c>
      <c r="F457">
        <v>-19.600000000000001</v>
      </c>
      <c r="G457">
        <v>-25</v>
      </c>
      <c r="H457">
        <v>-17.5</v>
      </c>
      <c r="I457">
        <v>-15.3</v>
      </c>
      <c r="J457">
        <v>-25</v>
      </c>
      <c r="K457">
        <v>-17.100000000000001</v>
      </c>
      <c r="L457">
        <v>-17.7</v>
      </c>
      <c r="M457">
        <v>-25</v>
      </c>
      <c r="N457">
        <v>-19.600000000000001</v>
      </c>
      <c r="O457">
        <v>-19.600000000000001</v>
      </c>
      <c r="P457">
        <v>-25</v>
      </c>
      <c r="Q457">
        <v>-16.100000000000001</v>
      </c>
      <c r="R457">
        <v>-18.100000000000001</v>
      </c>
      <c r="S457">
        <v>-25</v>
      </c>
      <c r="T457">
        <v>3.4</v>
      </c>
      <c r="U457">
        <v>3.4</v>
      </c>
      <c r="V457">
        <v>2</v>
      </c>
      <c r="W457">
        <v>3.4</v>
      </c>
      <c r="X457">
        <v>3.2</v>
      </c>
      <c r="Y457">
        <v>2</v>
      </c>
      <c r="Z457">
        <v>3.5</v>
      </c>
      <c r="AA457">
        <v>3</v>
      </c>
      <c r="AB457">
        <v>2</v>
      </c>
      <c r="AC457">
        <v>3.1</v>
      </c>
      <c r="AD457">
        <v>2.6</v>
      </c>
      <c r="AE457">
        <v>2</v>
      </c>
      <c r="AF457">
        <v>4.7</v>
      </c>
      <c r="AG457">
        <v>4.7</v>
      </c>
      <c r="AH457">
        <v>2</v>
      </c>
      <c r="AI457">
        <v>2.9</v>
      </c>
      <c r="AJ457">
        <v>2.6</v>
      </c>
      <c r="AK457">
        <v>2</v>
      </c>
      <c r="AL457">
        <v>5.5</v>
      </c>
      <c r="AM457">
        <v>4</v>
      </c>
      <c r="AN457">
        <v>5.9</v>
      </c>
      <c r="AO457">
        <v>4</v>
      </c>
      <c r="AP457">
        <v>4</v>
      </c>
      <c r="AQ457">
        <v>4</v>
      </c>
      <c r="AR457">
        <v>5.4</v>
      </c>
      <c r="AS457">
        <v>4</v>
      </c>
      <c r="AT457">
        <v>-4.2</v>
      </c>
      <c r="AU457">
        <v>-5.4</v>
      </c>
      <c r="AV457">
        <v>-5</v>
      </c>
      <c r="AW457">
        <v>-2.9</v>
      </c>
      <c r="AX457">
        <v>-2.7</v>
      </c>
      <c r="AY457">
        <v>-5</v>
      </c>
      <c r="AZ457">
        <v>11.4</v>
      </c>
      <c r="BA457">
        <v>10</v>
      </c>
      <c r="BB457">
        <v>10.9</v>
      </c>
      <c r="BC457">
        <v>10</v>
      </c>
      <c r="BD457">
        <v>4.5999999999999996</v>
      </c>
      <c r="BE457">
        <v>4</v>
      </c>
      <c r="BF457">
        <v>11.1</v>
      </c>
      <c r="BG457">
        <v>10</v>
      </c>
      <c r="BH457">
        <v>11.6</v>
      </c>
      <c r="BI457">
        <v>10</v>
      </c>
      <c r="BJ457">
        <v>11.2</v>
      </c>
      <c r="BK457">
        <v>9</v>
      </c>
      <c r="BL457">
        <v>20.9</v>
      </c>
      <c r="BM457">
        <v>19</v>
      </c>
      <c r="BN457">
        <v>23.6</v>
      </c>
      <c r="BO457">
        <v>19</v>
      </c>
      <c r="BP457">
        <v>19.899999999999999</v>
      </c>
      <c r="BQ457">
        <v>20</v>
      </c>
      <c r="BR457">
        <v>21.2</v>
      </c>
      <c r="BS457">
        <v>25</v>
      </c>
      <c r="BT457">
        <v>21.9</v>
      </c>
      <c r="BU457">
        <v>25</v>
      </c>
      <c r="BV457">
        <v>23.6</v>
      </c>
      <c r="BW457">
        <v>18</v>
      </c>
      <c r="BX457">
        <v>21.7</v>
      </c>
      <c r="BY457">
        <v>20</v>
      </c>
      <c r="BZ457">
        <v>21.2</v>
      </c>
      <c r="CA457">
        <v>20</v>
      </c>
      <c r="CB457">
        <v>11</v>
      </c>
      <c r="CC457">
        <v>10</v>
      </c>
      <c r="CD457">
        <v>10.1</v>
      </c>
      <c r="CE457">
        <v>10</v>
      </c>
      <c r="CF457">
        <v>11</v>
      </c>
      <c r="CG457">
        <v>9</v>
      </c>
      <c r="CH457">
        <v>11.2</v>
      </c>
      <c r="CI457">
        <v>9</v>
      </c>
    </row>
    <row r="458" spans="1:87" x14ac:dyDescent="0.35">
      <c r="A458" s="1">
        <v>46059.775000000001</v>
      </c>
      <c r="B458">
        <v>-17.2</v>
      </c>
      <c r="C458">
        <v>-10.3</v>
      </c>
      <c r="D458">
        <v>-25</v>
      </c>
      <c r="E458">
        <v>-17.7</v>
      </c>
      <c r="F458">
        <v>-20.399999999999999</v>
      </c>
      <c r="G458">
        <v>-25</v>
      </c>
      <c r="H458">
        <v>-17.399999999999999</v>
      </c>
      <c r="I458">
        <v>-15.3</v>
      </c>
      <c r="J458">
        <v>-25</v>
      </c>
      <c r="K458">
        <v>-17</v>
      </c>
      <c r="L458">
        <v>-17.5</v>
      </c>
      <c r="M458">
        <v>-25</v>
      </c>
      <c r="N458">
        <v>-19.399999999999999</v>
      </c>
      <c r="O458">
        <v>-19.3</v>
      </c>
      <c r="P458">
        <v>-25</v>
      </c>
      <c r="Q458">
        <v>-16.2</v>
      </c>
      <c r="R458">
        <v>-18.100000000000001</v>
      </c>
      <c r="S458">
        <v>-25</v>
      </c>
      <c r="T458">
        <v>3.5</v>
      </c>
      <c r="U458">
        <v>3.5</v>
      </c>
      <c r="V458">
        <v>2</v>
      </c>
      <c r="W458">
        <v>3.4</v>
      </c>
      <c r="X458">
        <v>3.2</v>
      </c>
      <c r="Y458">
        <v>2</v>
      </c>
      <c r="Z458">
        <v>3.4</v>
      </c>
      <c r="AA458">
        <v>2.8</v>
      </c>
      <c r="AB458">
        <v>2</v>
      </c>
      <c r="AC458">
        <v>2.9</v>
      </c>
      <c r="AD458">
        <v>1.1000000000000001</v>
      </c>
      <c r="AE458">
        <v>2</v>
      </c>
      <c r="AF458">
        <v>4.9000000000000004</v>
      </c>
      <c r="AG458">
        <v>4.7</v>
      </c>
      <c r="AH458">
        <v>2</v>
      </c>
      <c r="AI458">
        <v>2.9</v>
      </c>
      <c r="AJ458">
        <v>2.6</v>
      </c>
      <c r="AK458">
        <v>2</v>
      </c>
      <c r="AL458">
        <v>5.6</v>
      </c>
      <c r="AM458">
        <v>4</v>
      </c>
      <c r="AN458">
        <v>6</v>
      </c>
      <c r="AO458">
        <v>4</v>
      </c>
      <c r="AP458">
        <v>4.2</v>
      </c>
      <c r="AQ458">
        <v>4</v>
      </c>
      <c r="AR458">
        <v>5.6</v>
      </c>
      <c r="AS458">
        <v>4</v>
      </c>
      <c r="AT458">
        <v>-3.6</v>
      </c>
      <c r="AU458">
        <v>-4.2</v>
      </c>
      <c r="AV458">
        <v>-5</v>
      </c>
      <c r="AW458">
        <v>-2.8</v>
      </c>
      <c r="AX458">
        <v>-2.8</v>
      </c>
      <c r="AY458">
        <v>-5</v>
      </c>
      <c r="AZ458">
        <v>11.5</v>
      </c>
      <c r="BA458">
        <v>10</v>
      </c>
      <c r="BB458">
        <v>11.3</v>
      </c>
      <c r="BC458">
        <v>10</v>
      </c>
      <c r="BD458">
        <v>4.2</v>
      </c>
      <c r="BE458">
        <v>4</v>
      </c>
      <c r="BF458">
        <v>11.5</v>
      </c>
      <c r="BG458">
        <v>10</v>
      </c>
      <c r="BH458">
        <v>11.6</v>
      </c>
      <c r="BI458">
        <v>10</v>
      </c>
      <c r="BJ458">
        <v>11.2</v>
      </c>
      <c r="BK458">
        <v>9</v>
      </c>
      <c r="BL458">
        <v>20.9</v>
      </c>
      <c r="BM458">
        <v>19</v>
      </c>
      <c r="BN458">
        <v>23.6</v>
      </c>
      <c r="BO458">
        <v>19</v>
      </c>
      <c r="BP458">
        <v>19.899999999999999</v>
      </c>
      <c r="BQ458">
        <v>20</v>
      </c>
      <c r="BR458">
        <v>21.2</v>
      </c>
      <c r="BS458">
        <v>25</v>
      </c>
      <c r="BT458">
        <v>21.9</v>
      </c>
      <c r="BU458">
        <v>25</v>
      </c>
      <c r="BV458">
        <v>23.6</v>
      </c>
      <c r="BW458">
        <v>18</v>
      </c>
      <c r="BX458">
        <v>21.7</v>
      </c>
      <c r="BY458">
        <v>20</v>
      </c>
      <c r="BZ458">
        <v>21.2</v>
      </c>
      <c r="CA458">
        <v>20</v>
      </c>
      <c r="CB458">
        <v>10.9</v>
      </c>
      <c r="CC458">
        <v>10</v>
      </c>
      <c r="CD458">
        <v>10</v>
      </c>
      <c r="CE458">
        <v>10</v>
      </c>
      <c r="CF458">
        <v>10.9</v>
      </c>
      <c r="CG458">
        <v>9</v>
      </c>
      <c r="CH458">
        <v>11.1</v>
      </c>
      <c r="CI458">
        <v>9</v>
      </c>
    </row>
    <row r="459" spans="1:87" x14ac:dyDescent="0.35">
      <c r="A459" s="1">
        <v>46059.775694444441</v>
      </c>
      <c r="B459">
        <v>-17.2</v>
      </c>
      <c r="C459">
        <v>-7.2</v>
      </c>
      <c r="D459">
        <v>-25</v>
      </c>
      <c r="E459">
        <v>-18</v>
      </c>
      <c r="F459">
        <v>-20.7</v>
      </c>
      <c r="G459">
        <v>-25</v>
      </c>
      <c r="H459">
        <v>-17.2</v>
      </c>
      <c r="I459">
        <v>-15.3</v>
      </c>
      <c r="J459">
        <v>-25</v>
      </c>
      <c r="K459">
        <v>-16.899999999999999</v>
      </c>
      <c r="L459">
        <v>-17.5</v>
      </c>
      <c r="M459">
        <v>-25</v>
      </c>
      <c r="N459">
        <v>-19.100000000000001</v>
      </c>
      <c r="O459">
        <v>-19</v>
      </c>
      <c r="P459">
        <v>-25</v>
      </c>
      <c r="Q459">
        <v>-16.100000000000001</v>
      </c>
      <c r="R459">
        <v>-17.899999999999999</v>
      </c>
      <c r="S459">
        <v>-25</v>
      </c>
      <c r="T459">
        <v>3.6</v>
      </c>
      <c r="U459">
        <v>3.6</v>
      </c>
      <c r="V459">
        <v>2</v>
      </c>
      <c r="W459">
        <v>3.5</v>
      </c>
      <c r="X459">
        <v>3.3</v>
      </c>
      <c r="Y459">
        <v>2</v>
      </c>
      <c r="Z459">
        <v>3.3</v>
      </c>
      <c r="AA459">
        <v>2.6</v>
      </c>
      <c r="AB459">
        <v>2</v>
      </c>
      <c r="AC459">
        <v>2.8</v>
      </c>
      <c r="AD459">
        <v>1.6</v>
      </c>
      <c r="AE459">
        <v>2</v>
      </c>
      <c r="AF459">
        <v>5</v>
      </c>
      <c r="AG459">
        <v>4.8</v>
      </c>
      <c r="AH459">
        <v>2</v>
      </c>
      <c r="AI459">
        <v>2.9</v>
      </c>
      <c r="AJ459">
        <v>2.6</v>
      </c>
      <c r="AK459">
        <v>2</v>
      </c>
      <c r="AL459">
        <v>5.6</v>
      </c>
      <c r="AM459">
        <v>4</v>
      </c>
      <c r="AN459">
        <v>6</v>
      </c>
      <c r="AO459">
        <v>4</v>
      </c>
      <c r="AP459">
        <v>4.4000000000000004</v>
      </c>
      <c r="AQ459">
        <v>4</v>
      </c>
      <c r="AR459">
        <v>5.8</v>
      </c>
      <c r="AS459">
        <v>4</v>
      </c>
      <c r="AT459">
        <v>-3.4</v>
      </c>
      <c r="AU459">
        <v>-5</v>
      </c>
      <c r="AV459">
        <v>-5</v>
      </c>
      <c r="AW459">
        <v>-3.1</v>
      </c>
      <c r="AX459">
        <v>-4.3</v>
      </c>
      <c r="AY459">
        <v>-5</v>
      </c>
      <c r="AZ459">
        <v>11.5</v>
      </c>
      <c r="BA459">
        <v>10</v>
      </c>
      <c r="BB459">
        <v>11.5</v>
      </c>
      <c r="BC459">
        <v>10</v>
      </c>
      <c r="BD459">
        <v>4.0999999999999996</v>
      </c>
      <c r="BE459">
        <v>4</v>
      </c>
      <c r="BF459">
        <v>11.7</v>
      </c>
      <c r="BG459">
        <v>10</v>
      </c>
      <c r="BH459">
        <v>11.5</v>
      </c>
      <c r="BI459">
        <v>10</v>
      </c>
      <c r="BJ459">
        <v>11.1</v>
      </c>
      <c r="BK459">
        <v>9</v>
      </c>
      <c r="BL459">
        <v>20.9</v>
      </c>
      <c r="BM459">
        <v>19</v>
      </c>
      <c r="BN459">
        <v>23.6</v>
      </c>
      <c r="BO459">
        <v>19</v>
      </c>
      <c r="BP459">
        <v>20</v>
      </c>
      <c r="BQ459">
        <v>20</v>
      </c>
      <c r="BR459">
        <v>21.3</v>
      </c>
      <c r="BS459">
        <v>25</v>
      </c>
      <c r="BT459">
        <v>21.9</v>
      </c>
      <c r="BU459">
        <v>25</v>
      </c>
      <c r="BV459">
        <v>23.6</v>
      </c>
      <c r="BW459">
        <v>18</v>
      </c>
      <c r="BX459">
        <v>21.7</v>
      </c>
      <c r="BY459">
        <v>20</v>
      </c>
      <c r="BZ459">
        <v>21.3</v>
      </c>
      <c r="CA459">
        <v>20</v>
      </c>
      <c r="CB459">
        <v>10.8</v>
      </c>
      <c r="CC459">
        <v>10</v>
      </c>
      <c r="CD459">
        <v>10</v>
      </c>
      <c r="CE459">
        <v>10</v>
      </c>
      <c r="CF459">
        <v>10.8</v>
      </c>
      <c r="CG459">
        <v>9</v>
      </c>
      <c r="CH459">
        <v>11</v>
      </c>
      <c r="CI459">
        <v>9</v>
      </c>
    </row>
    <row r="460" spans="1:87" x14ac:dyDescent="0.35">
      <c r="A460" s="1">
        <v>46059.776388888888</v>
      </c>
      <c r="B460">
        <v>-17.2</v>
      </c>
      <c r="C460">
        <v>-4.5999999999999996</v>
      </c>
      <c r="D460">
        <v>-25</v>
      </c>
      <c r="E460">
        <v>-18.399999999999999</v>
      </c>
      <c r="F460">
        <v>-21.2</v>
      </c>
      <c r="G460">
        <v>-25</v>
      </c>
      <c r="H460">
        <v>-17.2</v>
      </c>
      <c r="I460">
        <v>-15.3</v>
      </c>
      <c r="J460">
        <v>-25</v>
      </c>
      <c r="K460">
        <v>-16.8</v>
      </c>
      <c r="L460">
        <v>-17.5</v>
      </c>
      <c r="M460">
        <v>-25</v>
      </c>
      <c r="N460">
        <v>-18.899999999999999</v>
      </c>
      <c r="O460">
        <v>-18.8</v>
      </c>
      <c r="P460">
        <v>-25</v>
      </c>
      <c r="Q460">
        <v>-16.100000000000001</v>
      </c>
      <c r="R460">
        <v>-17.8</v>
      </c>
      <c r="S460">
        <v>-25</v>
      </c>
      <c r="T460">
        <v>3.6</v>
      </c>
      <c r="U460">
        <v>3.6</v>
      </c>
      <c r="V460">
        <v>2</v>
      </c>
      <c r="W460">
        <v>3.6</v>
      </c>
      <c r="X460">
        <v>3.4</v>
      </c>
      <c r="Y460">
        <v>2</v>
      </c>
      <c r="Z460">
        <v>3.2</v>
      </c>
      <c r="AA460">
        <v>2.6</v>
      </c>
      <c r="AB460">
        <v>2</v>
      </c>
      <c r="AC460">
        <v>2.7</v>
      </c>
      <c r="AD460">
        <v>0.8</v>
      </c>
      <c r="AE460">
        <v>2</v>
      </c>
      <c r="AF460">
        <v>5.0999999999999996</v>
      </c>
      <c r="AG460">
        <v>5</v>
      </c>
      <c r="AH460">
        <v>2</v>
      </c>
      <c r="AI460">
        <v>2.9</v>
      </c>
      <c r="AJ460">
        <v>2.6</v>
      </c>
      <c r="AK460">
        <v>2</v>
      </c>
      <c r="AL460">
        <v>5.7</v>
      </c>
      <c r="AM460">
        <v>4</v>
      </c>
      <c r="AN460">
        <v>5.6</v>
      </c>
      <c r="AO460">
        <v>4</v>
      </c>
      <c r="AP460">
        <v>4.5999999999999996</v>
      </c>
      <c r="AQ460">
        <v>4</v>
      </c>
      <c r="AR460">
        <v>6</v>
      </c>
      <c r="AS460">
        <v>4</v>
      </c>
      <c r="AT460">
        <v>-3.4</v>
      </c>
      <c r="AU460">
        <v>-5.5</v>
      </c>
      <c r="AV460">
        <v>-5</v>
      </c>
      <c r="AW460">
        <v>-3.6</v>
      </c>
      <c r="AX460">
        <v>-5.3</v>
      </c>
      <c r="AY460">
        <v>-5</v>
      </c>
      <c r="AZ460">
        <v>11.6</v>
      </c>
      <c r="BA460">
        <v>10</v>
      </c>
      <c r="BB460">
        <v>11.7</v>
      </c>
      <c r="BC460">
        <v>10</v>
      </c>
      <c r="BD460">
        <v>3.8</v>
      </c>
      <c r="BE460">
        <v>4</v>
      </c>
      <c r="BF460">
        <v>11.9</v>
      </c>
      <c r="BG460">
        <v>10</v>
      </c>
      <c r="BH460">
        <v>11.5</v>
      </c>
      <c r="BI460">
        <v>10</v>
      </c>
      <c r="BJ460">
        <v>11.1</v>
      </c>
      <c r="BK460">
        <v>9</v>
      </c>
      <c r="BL460">
        <v>20.9</v>
      </c>
      <c r="BM460">
        <v>19</v>
      </c>
      <c r="BN460">
        <v>23.6</v>
      </c>
      <c r="BO460">
        <v>19</v>
      </c>
      <c r="BP460">
        <v>20</v>
      </c>
      <c r="BQ460">
        <v>20</v>
      </c>
      <c r="BR460">
        <v>21.3</v>
      </c>
      <c r="BS460">
        <v>25</v>
      </c>
      <c r="BT460">
        <v>21.9</v>
      </c>
      <c r="BU460">
        <v>25</v>
      </c>
      <c r="BV460">
        <v>23.6</v>
      </c>
      <c r="BW460">
        <v>18</v>
      </c>
      <c r="BX460">
        <v>21.7</v>
      </c>
      <c r="BY460">
        <v>20</v>
      </c>
      <c r="BZ460">
        <v>21.3</v>
      </c>
      <c r="CA460">
        <v>20</v>
      </c>
      <c r="CB460">
        <v>10.6</v>
      </c>
      <c r="CC460">
        <v>10</v>
      </c>
      <c r="CD460">
        <v>10</v>
      </c>
      <c r="CE460">
        <v>10</v>
      </c>
      <c r="CF460">
        <v>10.7</v>
      </c>
      <c r="CG460">
        <v>9</v>
      </c>
      <c r="CH460">
        <v>11</v>
      </c>
      <c r="CI460">
        <v>9</v>
      </c>
    </row>
    <row r="461" spans="1:87" x14ac:dyDescent="0.35">
      <c r="A461" s="1">
        <v>46059.777083333334</v>
      </c>
      <c r="B461">
        <v>-17.2</v>
      </c>
      <c r="C461">
        <v>-2.5</v>
      </c>
      <c r="D461">
        <v>-25</v>
      </c>
      <c r="E461">
        <v>-18.5</v>
      </c>
      <c r="F461">
        <v>-20.7</v>
      </c>
      <c r="G461">
        <v>-25</v>
      </c>
      <c r="H461">
        <v>-17.2</v>
      </c>
      <c r="I461">
        <v>-15.3</v>
      </c>
      <c r="J461">
        <v>-25</v>
      </c>
      <c r="K461">
        <v>-16.8</v>
      </c>
      <c r="L461">
        <v>-17.5</v>
      </c>
      <c r="M461">
        <v>-25</v>
      </c>
      <c r="N461">
        <v>-18.8</v>
      </c>
      <c r="O461">
        <v>-18.8</v>
      </c>
      <c r="P461">
        <v>-25</v>
      </c>
      <c r="Q461">
        <v>-16.2</v>
      </c>
      <c r="R461">
        <v>-17.8</v>
      </c>
      <c r="S461">
        <v>-25</v>
      </c>
      <c r="T461">
        <v>3.7</v>
      </c>
      <c r="U461">
        <v>3.7</v>
      </c>
      <c r="V461">
        <v>2</v>
      </c>
      <c r="W461">
        <v>3.7</v>
      </c>
      <c r="X461">
        <v>3.5</v>
      </c>
      <c r="Y461">
        <v>2</v>
      </c>
      <c r="Z461">
        <v>3</v>
      </c>
      <c r="AA461">
        <v>2.4</v>
      </c>
      <c r="AB461">
        <v>2</v>
      </c>
      <c r="AC461">
        <v>2.6</v>
      </c>
      <c r="AD461">
        <v>1.3</v>
      </c>
      <c r="AE461">
        <v>2</v>
      </c>
      <c r="AF461">
        <v>5.2</v>
      </c>
      <c r="AG461">
        <v>5.0999999999999996</v>
      </c>
      <c r="AH461">
        <v>2</v>
      </c>
      <c r="AI461">
        <v>2.9</v>
      </c>
      <c r="AJ461">
        <v>2.7</v>
      </c>
      <c r="AK461">
        <v>2</v>
      </c>
      <c r="AL461">
        <v>5.7</v>
      </c>
      <c r="AM461">
        <v>4</v>
      </c>
      <c r="AN461">
        <v>5.3</v>
      </c>
      <c r="AO461">
        <v>4</v>
      </c>
      <c r="AP461">
        <v>4.8</v>
      </c>
      <c r="AQ461">
        <v>4</v>
      </c>
      <c r="AR461">
        <v>6</v>
      </c>
      <c r="AS461">
        <v>4</v>
      </c>
      <c r="AT461">
        <v>-3.6</v>
      </c>
      <c r="AU461">
        <v>-5.8</v>
      </c>
      <c r="AV461">
        <v>-5</v>
      </c>
      <c r="AW461">
        <v>-3.9</v>
      </c>
      <c r="AX461">
        <v>-4.8</v>
      </c>
      <c r="AY461">
        <v>-5</v>
      </c>
      <c r="AZ461">
        <v>11.7</v>
      </c>
      <c r="BA461">
        <v>10</v>
      </c>
      <c r="BB461">
        <v>11.9</v>
      </c>
      <c r="BC461">
        <v>10</v>
      </c>
      <c r="BD461">
        <v>3.8</v>
      </c>
      <c r="BE461">
        <v>4</v>
      </c>
      <c r="BF461">
        <v>12</v>
      </c>
      <c r="BG461">
        <v>10</v>
      </c>
      <c r="BH461">
        <v>11.4</v>
      </c>
      <c r="BI461">
        <v>10</v>
      </c>
      <c r="BJ461">
        <v>11.1</v>
      </c>
      <c r="BK461">
        <v>9</v>
      </c>
      <c r="BL461">
        <v>20.9</v>
      </c>
      <c r="BM461">
        <v>19</v>
      </c>
      <c r="BN461">
        <v>23.6</v>
      </c>
      <c r="BO461">
        <v>19</v>
      </c>
      <c r="BP461">
        <v>20</v>
      </c>
      <c r="BQ461">
        <v>20</v>
      </c>
      <c r="BR461">
        <v>21.3</v>
      </c>
      <c r="BS461">
        <v>25</v>
      </c>
      <c r="BT461">
        <v>21.9</v>
      </c>
      <c r="BU461">
        <v>25</v>
      </c>
      <c r="BV461">
        <v>23.6</v>
      </c>
      <c r="BW461">
        <v>18</v>
      </c>
      <c r="BX461">
        <v>21.8</v>
      </c>
      <c r="BY461">
        <v>20</v>
      </c>
      <c r="BZ461">
        <v>21.3</v>
      </c>
      <c r="CA461">
        <v>20</v>
      </c>
      <c r="CB461">
        <v>10.4</v>
      </c>
      <c r="CC461">
        <v>10</v>
      </c>
      <c r="CD461">
        <v>10.1</v>
      </c>
      <c r="CE461">
        <v>10</v>
      </c>
      <c r="CF461">
        <v>10.9</v>
      </c>
      <c r="CG461">
        <v>9</v>
      </c>
      <c r="CH461">
        <v>11</v>
      </c>
      <c r="CI461">
        <v>9</v>
      </c>
    </row>
    <row r="462" spans="1:87" x14ac:dyDescent="0.35">
      <c r="A462" s="1">
        <v>46059.777777777781</v>
      </c>
      <c r="B462">
        <v>-17.2</v>
      </c>
      <c r="C462">
        <v>-0.6</v>
      </c>
      <c r="D462">
        <v>-25</v>
      </c>
      <c r="E462">
        <v>-18.7</v>
      </c>
      <c r="F462">
        <v>-20.3</v>
      </c>
      <c r="G462">
        <v>-25</v>
      </c>
      <c r="H462">
        <v>-17.2</v>
      </c>
      <c r="I462">
        <v>-15.3</v>
      </c>
      <c r="J462">
        <v>-25</v>
      </c>
      <c r="K462">
        <v>-16.8</v>
      </c>
      <c r="L462">
        <v>-17.5</v>
      </c>
      <c r="M462">
        <v>-25</v>
      </c>
      <c r="N462">
        <v>-18.8</v>
      </c>
      <c r="O462">
        <v>-18.8</v>
      </c>
      <c r="P462">
        <v>-25</v>
      </c>
      <c r="Q462">
        <v>-16.3</v>
      </c>
      <c r="R462">
        <v>-17.8</v>
      </c>
      <c r="S462">
        <v>-25</v>
      </c>
      <c r="T462">
        <v>3.8</v>
      </c>
      <c r="U462">
        <v>3.8</v>
      </c>
      <c r="V462">
        <v>2</v>
      </c>
      <c r="W462">
        <v>3.8</v>
      </c>
      <c r="X462">
        <v>3.6</v>
      </c>
      <c r="Y462">
        <v>2</v>
      </c>
      <c r="Z462">
        <v>3</v>
      </c>
      <c r="AA462">
        <v>2.4</v>
      </c>
      <c r="AB462">
        <v>2</v>
      </c>
      <c r="AC462">
        <v>2.6</v>
      </c>
      <c r="AD462">
        <v>1</v>
      </c>
      <c r="AE462">
        <v>2</v>
      </c>
      <c r="AF462">
        <v>5.3</v>
      </c>
      <c r="AG462">
        <v>5.0999999999999996</v>
      </c>
      <c r="AH462">
        <v>2</v>
      </c>
      <c r="AI462">
        <v>2.9</v>
      </c>
      <c r="AJ462">
        <v>2.8</v>
      </c>
      <c r="AK462">
        <v>2</v>
      </c>
      <c r="AL462">
        <v>5.8</v>
      </c>
      <c r="AM462">
        <v>4</v>
      </c>
      <c r="AN462">
        <v>5.2</v>
      </c>
      <c r="AO462">
        <v>4</v>
      </c>
      <c r="AP462">
        <v>5</v>
      </c>
      <c r="AQ462">
        <v>4</v>
      </c>
      <c r="AR462">
        <v>6</v>
      </c>
      <c r="AS462">
        <v>4</v>
      </c>
      <c r="AT462">
        <v>-3.8</v>
      </c>
      <c r="AU462">
        <v>-6</v>
      </c>
      <c r="AV462">
        <v>-5</v>
      </c>
      <c r="AW462">
        <v>-4.0999999999999996</v>
      </c>
      <c r="AX462">
        <v>-4.5999999999999996</v>
      </c>
      <c r="AY462">
        <v>-5</v>
      </c>
      <c r="AZ462">
        <v>11.8</v>
      </c>
      <c r="BA462">
        <v>10</v>
      </c>
      <c r="BB462">
        <v>12.2</v>
      </c>
      <c r="BC462">
        <v>10</v>
      </c>
      <c r="BD462">
        <v>3.9</v>
      </c>
      <c r="BE462">
        <v>4</v>
      </c>
      <c r="BF462">
        <v>11.9</v>
      </c>
      <c r="BG462">
        <v>10</v>
      </c>
      <c r="BH462">
        <v>11.4</v>
      </c>
      <c r="BI462">
        <v>10</v>
      </c>
      <c r="BJ462">
        <v>11.1</v>
      </c>
      <c r="BK462">
        <v>9</v>
      </c>
      <c r="BL462">
        <v>20.9</v>
      </c>
      <c r="BM462">
        <v>19</v>
      </c>
      <c r="BN462">
        <v>23.6</v>
      </c>
      <c r="BO462">
        <v>19</v>
      </c>
      <c r="BP462">
        <v>20.100000000000001</v>
      </c>
      <c r="BQ462">
        <v>20</v>
      </c>
      <c r="BR462">
        <v>21.4</v>
      </c>
      <c r="BS462">
        <v>25</v>
      </c>
      <c r="BT462">
        <v>21.9</v>
      </c>
      <c r="BU462">
        <v>25</v>
      </c>
      <c r="BV462">
        <v>23.6</v>
      </c>
      <c r="BW462">
        <v>18</v>
      </c>
      <c r="BX462">
        <v>21.8</v>
      </c>
      <c r="BY462">
        <v>20</v>
      </c>
      <c r="BZ462">
        <v>21.4</v>
      </c>
      <c r="CA462">
        <v>20</v>
      </c>
      <c r="CB462">
        <v>10.3</v>
      </c>
      <c r="CC462">
        <v>10</v>
      </c>
      <c r="CD462">
        <v>10.3</v>
      </c>
      <c r="CE462">
        <v>10</v>
      </c>
      <c r="CF462">
        <v>11</v>
      </c>
      <c r="CG462">
        <v>9</v>
      </c>
      <c r="CH462">
        <v>11.2</v>
      </c>
      <c r="CI462">
        <v>9</v>
      </c>
    </row>
    <row r="463" spans="1:87" x14ac:dyDescent="0.35">
      <c r="A463" s="1">
        <v>46059.77847222222</v>
      </c>
      <c r="B463">
        <v>-17.2</v>
      </c>
      <c r="C463">
        <v>0.9</v>
      </c>
      <c r="D463">
        <v>-25</v>
      </c>
      <c r="E463">
        <v>-18.899999999999999</v>
      </c>
      <c r="F463">
        <v>-20.100000000000001</v>
      </c>
      <c r="G463">
        <v>-25</v>
      </c>
      <c r="H463">
        <v>-17.3</v>
      </c>
      <c r="I463">
        <v>-15.3</v>
      </c>
      <c r="J463">
        <v>-25</v>
      </c>
      <c r="K463">
        <v>-16.8</v>
      </c>
      <c r="L463">
        <v>-17.600000000000001</v>
      </c>
      <c r="M463">
        <v>-25</v>
      </c>
      <c r="N463">
        <v>-18.7</v>
      </c>
      <c r="O463">
        <v>-18.8</v>
      </c>
      <c r="P463">
        <v>-25</v>
      </c>
      <c r="Q463">
        <v>-16.399999999999999</v>
      </c>
      <c r="R463">
        <v>-17.8</v>
      </c>
      <c r="S463">
        <v>-25</v>
      </c>
      <c r="T463">
        <v>3.8</v>
      </c>
      <c r="U463">
        <v>3.9</v>
      </c>
      <c r="V463">
        <v>2</v>
      </c>
      <c r="W463">
        <v>3.8</v>
      </c>
      <c r="X463">
        <v>3.6</v>
      </c>
      <c r="Y463">
        <v>2</v>
      </c>
      <c r="Z463">
        <v>2.9</v>
      </c>
      <c r="AA463">
        <v>2.2000000000000002</v>
      </c>
      <c r="AB463">
        <v>2</v>
      </c>
      <c r="AC463">
        <v>2.4</v>
      </c>
      <c r="AD463">
        <v>0.7</v>
      </c>
      <c r="AE463">
        <v>2</v>
      </c>
      <c r="AF463">
        <v>5.4</v>
      </c>
      <c r="AG463">
        <v>5.3</v>
      </c>
      <c r="AH463">
        <v>2</v>
      </c>
      <c r="AI463">
        <v>2.9</v>
      </c>
      <c r="AJ463">
        <v>2.8</v>
      </c>
      <c r="AK463">
        <v>2</v>
      </c>
      <c r="AL463">
        <v>5.8</v>
      </c>
      <c r="AM463">
        <v>4</v>
      </c>
      <c r="AN463">
        <v>5</v>
      </c>
      <c r="AO463">
        <v>4</v>
      </c>
      <c r="AP463">
        <v>5.0999999999999996</v>
      </c>
      <c r="AQ463">
        <v>4</v>
      </c>
      <c r="AR463">
        <v>6.1</v>
      </c>
      <c r="AS463">
        <v>4</v>
      </c>
      <c r="AT463">
        <v>-4</v>
      </c>
      <c r="AU463">
        <v>-6.1</v>
      </c>
      <c r="AV463">
        <v>-5</v>
      </c>
      <c r="AW463">
        <v>-4.2</v>
      </c>
      <c r="AX463">
        <v>-5.8</v>
      </c>
      <c r="AY463">
        <v>-5</v>
      </c>
      <c r="AZ463">
        <v>11.9</v>
      </c>
      <c r="BA463">
        <v>10</v>
      </c>
      <c r="BB463">
        <v>12.2</v>
      </c>
      <c r="BC463">
        <v>10</v>
      </c>
      <c r="BD463">
        <v>4.2</v>
      </c>
      <c r="BE463">
        <v>4</v>
      </c>
      <c r="BF463">
        <v>11</v>
      </c>
      <c r="BG463">
        <v>10</v>
      </c>
      <c r="BH463">
        <v>11.3</v>
      </c>
      <c r="BI463">
        <v>10</v>
      </c>
      <c r="BJ463">
        <v>11.1</v>
      </c>
      <c r="BK463">
        <v>9</v>
      </c>
      <c r="BL463">
        <v>21</v>
      </c>
      <c r="BM463">
        <v>19</v>
      </c>
      <c r="BN463">
        <v>23.6</v>
      </c>
      <c r="BO463">
        <v>19</v>
      </c>
      <c r="BP463">
        <v>20.100000000000001</v>
      </c>
      <c r="BQ463">
        <v>20</v>
      </c>
      <c r="BR463">
        <v>21.4</v>
      </c>
      <c r="BS463">
        <v>25</v>
      </c>
      <c r="BT463">
        <v>21.9</v>
      </c>
      <c r="BU463">
        <v>25</v>
      </c>
      <c r="BV463">
        <v>23.6</v>
      </c>
      <c r="BW463">
        <v>18</v>
      </c>
      <c r="BX463">
        <v>21.8</v>
      </c>
      <c r="BY463">
        <v>20</v>
      </c>
      <c r="BZ463">
        <v>21.4</v>
      </c>
      <c r="CA463">
        <v>20</v>
      </c>
      <c r="CB463">
        <v>10.3</v>
      </c>
      <c r="CC463">
        <v>10</v>
      </c>
      <c r="CD463">
        <v>10.3</v>
      </c>
      <c r="CE463">
        <v>10</v>
      </c>
      <c r="CF463">
        <v>11</v>
      </c>
      <c r="CG463">
        <v>9</v>
      </c>
      <c r="CH463">
        <v>11.3</v>
      </c>
      <c r="CI463">
        <v>9</v>
      </c>
    </row>
    <row r="464" spans="1:87" x14ac:dyDescent="0.35">
      <c r="A464" s="1">
        <v>46059.779166666667</v>
      </c>
      <c r="B464">
        <v>-17.2</v>
      </c>
      <c r="C464">
        <v>1.8</v>
      </c>
      <c r="D464">
        <v>-25</v>
      </c>
      <c r="E464">
        <v>-18.899999999999999</v>
      </c>
      <c r="F464">
        <v>-19.7</v>
      </c>
      <c r="G464">
        <v>-25</v>
      </c>
      <c r="H464">
        <v>-17.3</v>
      </c>
      <c r="I464">
        <v>-15.3</v>
      </c>
      <c r="J464">
        <v>-25</v>
      </c>
      <c r="K464">
        <v>-16.8</v>
      </c>
      <c r="L464">
        <v>-17.600000000000001</v>
      </c>
      <c r="M464">
        <v>-25</v>
      </c>
      <c r="N464">
        <v>-18.7</v>
      </c>
      <c r="O464">
        <v>-18.8</v>
      </c>
      <c r="P464">
        <v>-25</v>
      </c>
      <c r="Q464">
        <v>-16.5</v>
      </c>
      <c r="R464">
        <v>-18</v>
      </c>
      <c r="S464">
        <v>-25</v>
      </c>
      <c r="T464">
        <v>3.9</v>
      </c>
      <c r="U464">
        <v>3.9</v>
      </c>
      <c r="V464">
        <v>2</v>
      </c>
      <c r="W464">
        <v>3.9</v>
      </c>
      <c r="X464">
        <v>3.7</v>
      </c>
      <c r="Y464">
        <v>2</v>
      </c>
      <c r="Z464">
        <v>2.8</v>
      </c>
      <c r="AA464">
        <v>2.2000000000000002</v>
      </c>
      <c r="AB464">
        <v>2</v>
      </c>
      <c r="AC464">
        <v>2.4</v>
      </c>
      <c r="AD464">
        <v>1.1000000000000001</v>
      </c>
      <c r="AE464">
        <v>2</v>
      </c>
      <c r="AF464">
        <v>5.5</v>
      </c>
      <c r="AG464">
        <v>5.4</v>
      </c>
      <c r="AH464">
        <v>2</v>
      </c>
      <c r="AI464">
        <v>2.9</v>
      </c>
      <c r="AJ464">
        <v>2.9</v>
      </c>
      <c r="AK464">
        <v>2</v>
      </c>
      <c r="AL464">
        <v>5.8</v>
      </c>
      <c r="AM464">
        <v>4</v>
      </c>
      <c r="AN464">
        <v>4.8</v>
      </c>
      <c r="AO464">
        <v>4</v>
      </c>
      <c r="AP464">
        <v>5.3</v>
      </c>
      <c r="AQ464">
        <v>4</v>
      </c>
      <c r="AR464">
        <v>6.3</v>
      </c>
      <c r="AS464">
        <v>4</v>
      </c>
      <c r="AT464">
        <v>-4.2</v>
      </c>
      <c r="AU464">
        <v>-6.3</v>
      </c>
      <c r="AV464">
        <v>-5</v>
      </c>
      <c r="AW464">
        <v>-4.5</v>
      </c>
      <c r="AX464">
        <v>-6.3</v>
      </c>
      <c r="AY464">
        <v>-5</v>
      </c>
      <c r="AZ464">
        <v>11.9</v>
      </c>
      <c r="BA464">
        <v>10</v>
      </c>
      <c r="BB464">
        <v>12.2</v>
      </c>
      <c r="BC464">
        <v>10</v>
      </c>
      <c r="BD464">
        <v>4.4000000000000004</v>
      </c>
      <c r="BE464">
        <v>4</v>
      </c>
      <c r="BF464">
        <v>10.4</v>
      </c>
      <c r="BG464">
        <v>10</v>
      </c>
      <c r="BH464">
        <v>11.3</v>
      </c>
      <c r="BI464">
        <v>10</v>
      </c>
      <c r="BJ464">
        <v>11.1</v>
      </c>
      <c r="BK464">
        <v>9</v>
      </c>
      <c r="BL464">
        <v>21</v>
      </c>
      <c r="BM464">
        <v>19</v>
      </c>
      <c r="BN464">
        <v>23.6</v>
      </c>
      <c r="BO464">
        <v>19</v>
      </c>
      <c r="BP464">
        <v>20.100000000000001</v>
      </c>
      <c r="BQ464">
        <v>20</v>
      </c>
      <c r="BR464">
        <v>21.4</v>
      </c>
      <c r="BS464">
        <v>25</v>
      </c>
      <c r="BT464">
        <v>21.9</v>
      </c>
      <c r="BU464">
        <v>25</v>
      </c>
      <c r="BV464">
        <v>23.6</v>
      </c>
      <c r="BW464">
        <v>18</v>
      </c>
      <c r="BX464">
        <v>21.8</v>
      </c>
      <c r="BY464">
        <v>20</v>
      </c>
      <c r="BZ464">
        <v>21.4</v>
      </c>
      <c r="CA464">
        <v>20</v>
      </c>
      <c r="CB464">
        <v>10.199999999999999</v>
      </c>
      <c r="CC464">
        <v>10</v>
      </c>
      <c r="CD464">
        <v>10.4</v>
      </c>
      <c r="CE464">
        <v>10</v>
      </c>
      <c r="CF464">
        <v>11.2</v>
      </c>
      <c r="CG464">
        <v>9</v>
      </c>
      <c r="CH464">
        <v>11.4</v>
      </c>
      <c r="CI464">
        <v>9</v>
      </c>
    </row>
    <row r="465" spans="1:87" x14ac:dyDescent="0.35">
      <c r="A465" s="1">
        <v>46059.779861111114</v>
      </c>
      <c r="B465">
        <v>-17.2</v>
      </c>
      <c r="C465">
        <v>2.2999999999999998</v>
      </c>
      <c r="D465">
        <v>-25</v>
      </c>
      <c r="E465">
        <v>-18.899999999999999</v>
      </c>
      <c r="F465">
        <v>-19.3</v>
      </c>
      <c r="G465">
        <v>-25</v>
      </c>
      <c r="H465">
        <v>-17.3</v>
      </c>
      <c r="I465">
        <v>-15.2</v>
      </c>
      <c r="J465">
        <v>-25</v>
      </c>
      <c r="K465">
        <v>-16.8</v>
      </c>
      <c r="L465">
        <v>-17.600000000000001</v>
      </c>
      <c r="M465">
        <v>-25</v>
      </c>
      <c r="N465">
        <v>-18.7</v>
      </c>
      <c r="O465">
        <v>-18.8</v>
      </c>
      <c r="P465">
        <v>-25</v>
      </c>
      <c r="Q465">
        <v>-16.7</v>
      </c>
      <c r="R465">
        <v>-18.100000000000001</v>
      </c>
      <c r="S465">
        <v>-25</v>
      </c>
      <c r="T465">
        <v>4</v>
      </c>
      <c r="U465">
        <v>4</v>
      </c>
      <c r="V465">
        <v>2</v>
      </c>
      <c r="W465">
        <v>4</v>
      </c>
      <c r="X465">
        <v>3.7</v>
      </c>
      <c r="Y465">
        <v>2</v>
      </c>
      <c r="Z465">
        <v>2.8</v>
      </c>
      <c r="AA465">
        <v>2.1</v>
      </c>
      <c r="AB465">
        <v>2</v>
      </c>
      <c r="AC465">
        <v>2.2000000000000002</v>
      </c>
      <c r="AD465">
        <v>0</v>
      </c>
      <c r="AE465">
        <v>2</v>
      </c>
      <c r="AF465">
        <v>5.6</v>
      </c>
      <c r="AG465">
        <v>5.4</v>
      </c>
      <c r="AH465">
        <v>2</v>
      </c>
      <c r="AI465">
        <v>5.4</v>
      </c>
      <c r="AJ465">
        <v>-1.4</v>
      </c>
      <c r="AK465">
        <v>2</v>
      </c>
      <c r="AL465">
        <v>5.9</v>
      </c>
      <c r="AM465">
        <v>4</v>
      </c>
      <c r="AN465">
        <v>4.7</v>
      </c>
      <c r="AO465">
        <v>4</v>
      </c>
      <c r="AP465">
        <v>5.4</v>
      </c>
      <c r="AQ465">
        <v>4</v>
      </c>
      <c r="AR465">
        <v>6.4</v>
      </c>
      <c r="AS465">
        <v>4</v>
      </c>
      <c r="AT465">
        <v>-4.2</v>
      </c>
      <c r="AU465">
        <v>-6.4</v>
      </c>
      <c r="AV465">
        <v>-5</v>
      </c>
      <c r="AW465">
        <v>-4.7</v>
      </c>
      <c r="AX465">
        <v>-5.7</v>
      </c>
      <c r="AY465">
        <v>-5</v>
      </c>
      <c r="AZ465">
        <v>12</v>
      </c>
      <c r="BA465">
        <v>10</v>
      </c>
      <c r="BB465">
        <v>11.9</v>
      </c>
      <c r="BC465">
        <v>10</v>
      </c>
      <c r="BD465">
        <v>4.5999999999999996</v>
      </c>
      <c r="BE465">
        <v>4</v>
      </c>
      <c r="BF465">
        <v>9.9</v>
      </c>
      <c r="BG465">
        <v>10</v>
      </c>
      <c r="BH465">
        <v>11.3</v>
      </c>
      <c r="BI465">
        <v>10</v>
      </c>
      <c r="BJ465">
        <v>11.1</v>
      </c>
      <c r="BK465">
        <v>9</v>
      </c>
      <c r="BL465">
        <v>21</v>
      </c>
      <c r="BM465">
        <v>19</v>
      </c>
      <c r="BN465">
        <v>23.6</v>
      </c>
      <c r="BO465">
        <v>19</v>
      </c>
      <c r="BP465">
        <v>20.100000000000001</v>
      </c>
      <c r="BQ465">
        <v>20</v>
      </c>
      <c r="BR465">
        <v>21.4</v>
      </c>
      <c r="BS465">
        <v>25</v>
      </c>
      <c r="BT465">
        <v>21.9</v>
      </c>
      <c r="BU465">
        <v>25</v>
      </c>
      <c r="BV465">
        <v>23.6</v>
      </c>
      <c r="BW465">
        <v>18</v>
      </c>
      <c r="BX465">
        <v>21.8</v>
      </c>
      <c r="BY465">
        <v>20</v>
      </c>
      <c r="BZ465">
        <v>21.4</v>
      </c>
      <c r="CA465">
        <v>20</v>
      </c>
      <c r="CB465">
        <v>10</v>
      </c>
      <c r="CC465">
        <v>10</v>
      </c>
      <c r="CD465">
        <v>10.4</v>
      </c>
      <c r="CE465">
        <v>10</v>
      </c>
      <c r="CF465">
        <v>11.1</v>
      </c>
      <c r="CG465">
        <v>9</v>
      </c>
      <c r="CH465">
        <v>11.3</v>
      </c>
      <c r="CI465">
        <v>9</v>
      </c>
    </row>
    <row r="466" spans="1:87" x14ac:dyDescent="0.35">
      <c r="A466" s="1">
        <v>46059.780555555553</v>
      </c>
      <c r="B466">
        <v>-17.2</v>
      </c>
      <c r="C466">
        <v>3.2</v>
      </c>
      <c r="D466">
        <v>-25</v>
      </c>
      <c r="E466">
        <v>-18.7</v>
      </c>
      <c r="F466">
        <v>-19</v>
      </c>
      <c r="G466">
        <v>-25</v>
      </c>
      <c r="H466">
        <v>-17.3</v>
      </c>
      <c r="I466">
        <v>-15.2</v>
      </c>
      <c r="J466">
        <v>-25</v>
      </c>
      <c r="K466">
        <v>-16.8</v>
      </c>
      <c r="L466">
        <v>-17.600000000000001</v>
      </c>
      <c r="M466">
        <v>-25</v>
      </c>
      <c r="N466">
        <v>-18.7</v>
      </c>
      <c r="O466">
        <v>-18.899999999999999</v>
      </c>
      <c r="P466">
        <v>-25</v>
      </c>
      <c r="Q466">
        <v>-17</v>
      </c>
      <c r="R466">
        <v>-18.2</v>
      </c>
      <c r="S466">
        <v>-25</v>
      </c>
      <c r="T466">
        <v>4</v>
      </c>
      <c r="U466">
        <v>2.2999999999999998</v>
      </c>
      <c r="V466">
        <v>2</v>
      </c>
      <c r="W466">
        <v>4</v>
      </c>
      <c r="X466">
        <v>2.4</v>
      </c>
      <c r="Y466">
        <v>2</v>
      </c>
      <c r="Z466">
        <v>2.6</v>
      </c>
      <c r="AA466">
        <v>1.9</v>
      </c>
      <c r="AB466">
        <v>2</v>
      </c>
      <c r="AC466">
        <v>2</v>
      </c>
      <c r="AD466">
        <v>0.6</v>
      </c>
      <c r="AE466">
        <v>2</v>
      </c>
      <c r="AF466">
        <v>5.6</v>
      </c>
      <c r="AG466">
        <v>5.5</v>
      </c>
      <c r="AH466">
        <v>2</v>
      </c>
      <c r="AI466">
        <v>5.5</v>
      </c>
      <c r="AJ466">
        <v>-4.8</v>
      </c>
      <c r="AK466">
        <v>2</v>
      </c>
      <c r="AL466">
        <v>5.9</v>
      </c>
      <c r="AM466">
        <v>4</v>
      </c>
      <c r="AN466">
        <v>4.7</v>
      </c>
      <c r="AO466">
        <v>4</v>
      </c>
      <c r="AP466">
        <v>5.6</v>
      </c>
      <c r="AQ466">
        <v>4</v>
      </c>
      <c r="AR466">
        <v>6.6</v>
      </c>
      <c r="AS466">
        <v>4</v>
      </c>
      <c r="AT466">
        <v>-4.4000000000000004</v>
      </c>
      <c r="AU466">
        <v>-6.5</v>
      </c>
      <c r="AV466">
        <v>-5</v>
      </c>
      <c r="AW466">
        <v>-4.8</v>
      </c>
      <c r="AX466">
        <v>-5.2</v>
      </c>
      <c r="AY466">
        <v>-5</v>
      </c>
      <c r="AZ466">
        <v>11.8</v>
      </c>
      <c r="BA466">
        <v>10</v>
      </c>
      <c r="BB466">
        <v>11.8</v>
      </c>
      <c r="BC466">
        <v>10</v>
      </c>
      <c r="BD466">
        <v>4.9000000000000004</v>
      </c>
      <c r="BE466">
        <v>4</v>
      </c>
      <c r="BF466">
        <v>9.5</v>
      </c>
      <c r="BG466">
        <v>10</v>
      </c>
      <c r="BH466">
        <v>11.3</v>
      </c>
      <c r="BI466">
        <v>10</v>
      </c>
      <c r="BJ466">
        <v>11.1</v>
      </c>
      <c r="BK466">
        <v>9</v>
      </c>
      <c r="BL466">
        <v>20.8</v>
      </c>
      <c r="BM466">
        <v>19</v>
      </c>
      <c r="BN466">
        <v>23.6</v>
      </c>
      <c r="BO466">
        <v>19</v>
      </c>
      <c r="BP466">
        <v>20.2</v>
      </c>
      <c r="BQ466">
        <v>20</v>
      </c>
      <c r="BR466">
        <v>21.4</v>
      </c>
      <c r="BS466">
        <v>25</v>
      </c>
      <c r="BT466">
        <v>21.9</v>
      </c>
      <c r="BU466">
        <v>25</v>
      </c>
      <c r="BV466">
        <v>23.6</v>
      </c>
      <c r="BW466">
        <v>18</v>
      </c>
      <c r="BX466">
        <v>21.9</v>
      </c>
      <c r="BY466">
        <v>20</v>
      </c>
      <c r="BZ466">
        <v>21.5</v>
      </c>
      <c r="CA466">
        <v>20</v>
      </c>
      <c r="CB466">
        <v>10</v>
      </c>
      <c r="CC466">
        <v>10</v>
      </c>
      <c r="CD466">
        <v>10.5</v>
      </c>
      <c r="CE466">
        <v>10</v>
      </c>
      <c r="CF466">
        <v>11.1</v>
      </c>
      <c r="CG466">
        <v>9</v>
      </c>
      <c r="CH466">
        <v>11.3</v>
      </c>
      <c r="CI466">
        <v>9</v>
      </c>
    </row>
    <row r="467" spans="1:87" x14ac:dyDescent="0.35">
      <c r="A467" s="1">
        <v>46059.78125</v>
      </c>
      <c r="B467">
        <v>-17.2</v>
      </c>
      <c r="C467">
        <v>4</v>
      </c>
      <c r="D467">
        <v>-25</v>
      </c>
      <c r="E467">
        <v>-18.5</v>
      </c>
      <c r="F467">
        <v>-18.899999999999999</v>
      </c>
      <c r="G467">
        <v>-25</v>
      </c>
      <c r="H467">
        <v>-17.3</v>
      </c>
      <c r="I467">
        <v>-15.2</v>
      </c>
      <c r="J467">
        <v>-25</v>
      </c>
      <c r="K467">
        <v>-16.8</v>
      </c>
      <c r="L467">
        <v>-17.600000000000001</v>
      </c>
      <c r="M467">
        <v>-25</v>
      </c>
      <c r="N467">
        <v>-18.8</v>
      </c>
      <c r="O467">
        <v>-19</v>
      </c>
      <c r="P467">
        <v>-25</v>
      </c>
      <c r="Q467">
        <v>-17.2</v>
      </c>
      <c r="R467">
        <v>-18.399999999999999</v>
      </c>
      <c r="S467">
        <v>-25</v>
      </c>
      <c r="T467">
        <v>3.4</v>
      </c>
      <c r="U467">
        <v>0.6</v>
      </c>
      <c r="V467">
        <v>2</v>
      </c>
      <c r="W467">
        <v>3.4</v>
      </c>
      <c r="X467">
        <v>1</v>
      </c>
      <c r="Y467">
        <v>2</v>
      </c>
      <c r="Z467">
        <v>2.5</v>
      </c>
      <c r="AA467">
        <v>1.9</v>
      </c>
      <c r="AB467">
        <v>2</v>
      </c>
      <c r="AC467">
        <v>2</v>
      </c>
      <c r="AD467">
        <v>1.1000000000000001</v>
      </c>
      <c r="AE467">
        <v>2</v>
      </c>
      <c r="AF467">
        <v>5.7</v>
      </c>
      <c r="AG467">
        <v>5.4</v>
      </c>
      <c r="AH467">
        <v>2</v>
      </c>
      <c r="AI467">
        <v>5.5</v>
      </c>
      <c r="AJ467">
        <v>1.6</v>
      </c>
      <c r="AK467">
        <v>2</v>
      </c>
      <c r="AL467">
        <v>6</v>
      </c>
      <c r="AM467">
        <v>4</v>
      </c>
      <c r="AN467">
        <v>4.7</v>
      </c>
      <c r="AO467">
        <v>4</v>
      </c>
      <c r="AP467">
        <v>5.8</v>
      </c>
      <c r="AQ467">
        <v>4</v>
      </c>
      <c r="AR467">
        <v>6.7</v>
      </c>
      <c r="AS467">
        <v>4</v>
      </c>
      <c r="AT467">
        <v>-4.5</v>
      </c>
      <c r="AU467">
        <v>-6.6</v>
      </c>
      <c r="AV467">
        <v>-5</v>
      </c>
      <c r="AW467">
        <v>-4.8</v>
      </c>
      <c r="AX467">
        <v>-5.0999999999999996</v>
      </c>
      <c r="AY467">
        <v>-5</v>
      </c>
      <c r="AZ467">
        <v>11.4</v>
      </c>
      <c r="BA467">
        <v>10</v>
      </c>
      <c r="BB467">
        <v>11.6</v>
      </c>
      <c r="BC467">
        <v>10</v>
      </c>
      <c r="BD467">
        <v>5.0999999999999996</v>
      </c>
      <c r="BE467">
        <v>4</v>
      </c>
      <c r="BF467">
        <v>9.8000000000000007</v>
      </c>
      <c r="BG467">
        <v>10</v>
      </c>
      <c r="BH467">
        <v>11.2</v>
      </c>
      <c r="BI467">
        <v>10</v>
      </c>
      <c r="BJ467">
        <v>11.1</v>
      </c>
      <c r="BK467">
        <v>9</v>
      </c>
      <c r="BL467">
        <v>20.399999999999999</v>
      </c>
      <c r="BM467">
        <v>19</v>
      </c>
      <c r="BN467">
        <v>23.6</v>
      </c>
      <c r="BO467">
        <v>19</v>
      </c>
      <c r="BP467">
        <v>20.2</v>
      </c>
      <c r="BQ467">
        <v>20</v>
      </c>
      <c r="BR467">
        <v>21.3</v>
      </c>
      <c r="BS467">
        <v>25</v>
      </c>
      <c r="BT467">
        <v>21.9</v>
      </c>
      <c r="BU467">
        <v>25</v>
      </c>
      <c r="BV467">
        <v>23.6</v>
      </c>
      <c r="BW467">
        <v>18</v>
      </c>
      <c r="BX467">
        <v>21.9</v>
      </c>
      <c r="BY467">
        <v>20</v>
      </c>
      <c r="BZ467">
        <v>21.5</v>
      </c>
      <c r="CA467">
        <v>20</v>
      </c>
      <c r="CB467">
        <v>10.3</v>
      </c>
      <c r="CC467">
        <v>10</v>
      </c>
      <c r="CD467">
        <v>10.5</v>
      </c>
      <c r="CE467">
        <v>10</v>
      </c>
      <c r="CF467">
        <v>11.2</v>
      </c>
      <c r="CG467">
        <v>9</v>
      </c>
      <c r="CH467">
        <v>11.4</v>
      </c>
      <c r="CI467">
        <v>9</v>
      </c>
    </row>
    <row r="468" spans="1:87" x14ac:dyDescent="0.35">
      <c r="A468" s="1">
        <v>46059.781944444447</v>
      </c>
      <c r="B468">
        <v>-17.2</v>
      </c>
      <c r="C468">
        <v>4.5</v>
      </c>
      <c r="D468">
        <v>-25</v>
      </c>
      <c r="E468">
        <v>-18.5</v>
      </c>
      <c r="F468">
        <v>-18.899999999999999</v>
      </c>
      <c r="G468">
        <v>-25</v>
      </c>
      <c r="H468">
        <v>-17.2</v>
      </c>
      <c r="I468">
        <v>-15.2</v>
      </c>
      <c r="J468">
        <v>-25</v>
      </c>
      <c r="K468">
        <v>-16.8</v>
      </c>
      <c r="L468">
        <v>-17.5</v>
      </c>
      <c r="M468">
        <v>-25</v>
      </c>
      <c r="N468">
        <v>-18.899999999999999</v>
      </c>
      <c r="O468">
        <v>-19</v>
      </c>
      <c r="P468">
        <v>-25</v>
      </c>
      <c r="Q468">
        <v>-17.399999999999999</v>
      </c>
      <c r="R468">
        <v>-18.5</v>
      </c>
      <c r="S468">
        <v>-25</v>
      </c>
      <c r="T468">
        <v>2.8</v>
      </c>
      <c r="U468">
        <v>-0.5</v>
      </c>
      <c r="V468">
        <v>2</v>
      </c>
      <c r="W468">
        <v>2.9</v>
      </c>
      <c r="X468">
        <v>0.2</v>
      </c>
      <c r="Y468">
        <v>2</v>
      </c>
      <c r="Z468">
        <v>2.5</v>
      </c>
      <c r="AA468">
        <v>2</v>
      </c>
      <c r="AB468">
        <v>2</v>
      </c>
      <c r="AC468">
        <v>2</v>
      </c>
      <c r="AD468">
        <v>1.6</v>
      </c>
      <c r="AE468">
        <v>2</v>
      </c>
      <c r="AF468">
        <v>5.3</v>
      </c>
      <c r="AG468">
        <v>4.7</v>
      </c>
      <c r="AH468">
        <v>2</v>
      </c>
      <c r="AI468">
        <v>5</v>
      </c>
      <c r="AJ468">
        <v>3.4</v>
      </c>
      <c r="AK468">
        <v>2</v>
      </c>
      <c r="AL468">
        <v>6</v>
      </c>
      <c r="AM468">
        <v>4</v>
      </c>
      <c r="AN468">
        <v>4.7</v>
      </c>
      <c r="AO468">
        <v>4</v>
      </c>
      <c r="AP468">
        <v>5.9</v>
      </c>
      <c r="AQ468">
        <v>4</v>
      </c>
      <c r="AR468">
        <v>6.9</v>
      </c>
      <c r="AS468">
        <v>4</v>
      </c>
      <c r="AT468">
        <v>-4.5999999999999996</v>
      </c>
      <c r="AU468">
        <v>-6.7</v>
      </c>
      <c r="AV468">
        <v>-5</v>
      </c>
      <c r="AW468">
        <v>-4.9000000000000004</v>
      </c>
      <c r="AX468">
        <v>-6.5</v>
      </c>
      <c r="AY468">
        <v>-5</v>
      </c>
      <c r="AZ468">
        <v>10.8</v>
      </c>
      <c r="BA468">
        <v>10</v>
      </c>
      <c r="BB468">
        <v>11.3</v>
      </c>
      <c r="BC468">
        <v>10</v>
      </c>
      <c r="BD468">
        <v>5.3</v>
      </c>
      <c r="BE468">
        <v>4</v>
      </c>
      <c r="BF468">
        <v>10</v>
      </c>
      <c r="BG468">
        <v>10</v>
      </c>
      <c r="BH468">
        <v>11.1</v>
      </c>
      <c r="BI468">
        <v>10</v>
      </c>
      <c r="BJ468">
        <v>11.1</v>
      </c>
      <c r="BK468">
        <v>9</v>
      </c>
      <c r="BL468">
        <v>20.2</v>
      </c>
      <c r="BM468">
        <v>19</v>
      </c>
      <c r="BN468">
        <v>23.6</v>
      </c>
      <c r="BO468">
        <v>19</v>
      </c>
      <c r="BP468">
        <v>20.2</v>
      </c>
      <c r="BQ468">
        <v>20</v>
      </c>
      <c r="BR468">
        <v>21.3</v>
      </c>
      <c r="BS468">
        <v>25</v>
      </c>
      <c r="BT468">
        <v>21.9</v>
      </c>
      <c r="BU468">
        <v>25</v>
      </c>
      <c r="BV468">
        <v>23.6</v>
      </c>
      <c r="BW468">
        <v>18</v>
      </c>
      <c r="BX468">
        <v>21.9</v>
      </c>
      <c r="BY468">
        <v>20</v>
      </c>
      <c r="BZ468">
        <v>21.5</v>
      </c>
      <c r="CA468">
        <v>20</v>
      </c>
      <c r="CB468">
        <v>10.9</v>
      </c>
      <c r="CC468">
        <v>10</v>
      </c>
      <c r="CD468">
        <v>10.6</v>
      </c>
      <c r="CE468">
        <v>10</v>
      </c>
      <c r="CF468">
        <v>11.2</v>
      </c>
      <c r="CG468">
        <v>9</v>
      </c>
      <c r="CH468">
        <v>11.4</v>
      </c>
      <c r="CI468">
        <v>9</v>
      </c>
    </row>
    <row r="469" spans="1:87" x14ac:dyDescent="0.35">
      <c r="A469" s="1">
        <v>46059.782638888886</v>
      </c>
      <c r="B469">
        <v>-17.2</v>
      </c>
      <c r="C469">
        <v>4.9000000000000004</v>
      </c>
      <c r="D469">
        <v>-25</v>
      </c>
      <c r="E469">
        <v>-18.5</v>
      </c>
      <c r="F469">
        <v>-19</v>
      </c>
      <c r="G469">
        <v>-25</v>
      </c>
      <c r="H469">
        <v>-17.2</v>
      </c>
      <c r="I469">
        <v>-15.2</v>
      </c>
      <c r="J469">
        <v>-25</v>
      </c>
      <c r="K469">
        <v>-16.8</v>
      </c>
      <c r="L469">
        <v>-17.5</v>
      </c>
      <c r="M469">
        <v>-25</v>
      </c>
      <c r="N469">
        <v>-18.899999999999999</v>
      </c>
      <c r="O469">
        <v>-19</v>
      </c>
      <c r="P469">
        <v>-25</v>
      </c>
      <c r="Q469">
        <v>-17.5</v>
      </c>
      <c r="R469">
        <v>-18.5</v>
      </c>
      <c r="S469">
        <v>-25</v>
      </c>
      <c r="T469">
        <v>2.4</v>
      </c>
      <c r="U469">
        <v>-0.2</v>
      </c>
      <c r="V469">
        <v>2</v>
      </c>
      <c r="W469">
        <v>2.4</v>
      </c>
      <c r="X469">
        <v>-0.4</v>
      </c>
      <c r="Y469">
        <v>2</v>
      </c>
      <c r="Z469">
        <v>2.5</v>
      </c>
      <c r="AA469">
        <v>2.1</v>
      </c>
      <c r="AB469">
        <v>2</v>
      </c>
      <c r="AC469">
        <v>2.2000000000000002</v>
      </c>
      <c r="AD469">
        <v>1.9</v>
      </c>
      <c r="AE469">
        <v>2</v>
      </c>
      <c r="AF469">
        <v>4.9000000000000004</v>
      </c>
      <c r="AG469">
        <v>4.4000000000000004</v>
      </c>
      <c r="AH469">
        <v>2</v>
      </c>
      <c r="AI469">
        <v>4.5999999999999996</v>
      </c>
      <c r="AJ469">
        <v>3.5</v>
      </c>
      <c r="AK469">
        <v>2</v>
      </c>
      <c r="AL469">
        <v>6</v>
      </c>
      <c r="AM469">
        <v>4</v>
      </c>
      <c r="AN469">
        <v>4.7</v>
      </c>
      <c r="AO469">
        <v>4</v>
      </c>
      <c r="AP469">
        <v>6</v>
      </c>
      <c r="AQ469">
        <v>4</v>
      </c>
      <c r="AR469">
        <v>7</v>
      </c>
      <c r="AS469">
        <v>4</v>
      </c>
      <c r="AT469">
        <v>-4.9000000000000004</v>
      </c>
      <c r="AU469">
        <v>-7.4</v>
      </c>
      <c r="AV469">
        <v>-5</v>
      </c>
      <c r="AW469">
        <v>-5.0999999999999996</v>
      </c>
      <c r="AX469">
        <v>-7</v>
      </c>
      <c r="AY469">
        <v>-5</v>
      </c>
      <c r="AZ469">
        <v>10.199999999999999</v>
      </c>
      <c r="BA469">
        <v>10</v>
      </c>
      <c r="BB469">
        <v>11.2</v>
      </c>
      <c r="BC469">
        <v>10</v>
      </c>
      <c r="BD469">
        <v>5.4</v>
      </c>
      <c r="BE469">
        <v>4</v>
      </c>
      <c r="BF469">
        <v>10.5</v>
      </c>
      <c r="BG469">
        <v>10</v>
      </c>
      <c r="BH469">
        <v>11.1</v>
      </c>
      <c r="BI469">
        <v>10</v>
      </c>
      <c r="BJ469">
        <v>11.1</v>
      </c>
      <c r="BK469">
        <v>9</v>
      </c>
      <c r="BL469">
        <v>19.899999999999999</v>
      </c>
      <c r="BM469">
        <v>19</v>
      </c>
      <c r="BN469">
        <v>23.6</v>
      </c>
      <c r="BO469">
        <v>19</v>
      </c>
      <c r="BP469">
        <v>20.2</v>
      </c>
      <c r="BQ469">
        <v>20</v>
      </c>
      <c r="BR469">
        <v>21.3</v>
      </c>
      <c r="BS469">
        <v>25</v>
      </c>
      <c r="BT469">
        <v>21.9</v>
      </c>
      <c r="BU469">
        <v>25</v>
      </c>
      <c r="BV469">
        <v>23.6</v>
      </c>
      <c r="BW469">
        <v>18</v>
      </c>
      <c r="BX469">
        <v>21.9</v>
      </c>
      <c r="BY469">
        <v>20</v>
      </c>
      <c r="BZ469">
        <v>21.5</v>
      </c>
      <c r="CA469">
        <v>20</v>
      </c>
      <c r="CB469">
        <v>11.3</v>
      </c>
      <c r="CC469">
        <v>10</v>
      </c>
      <c r="CD469">
        <v>10.8</v>
      </c>
      <c r="CE469">
        <v>10</v>
      </c>
      <c r="CF469">
        <v>11.3</v>
      </c>
      <c r="CG469">
        <v>9</v>
      </c>
      <c r="CH469">
        <v>11.5</v>
      </c>
      <c r="CI469">
        <v>9</v>
      </c>
    </row>
    <row r="470" spans="1:87" x14ac:dyDescent="0.35">
      <c r="A470" s="1">
        <v>46059.783333333333</v>
      </c>
      <c r="B470">
        <v>-17.2</v>
      </c>
      <c r="C470">
        <v>5.2</v>
      </c>
      <c r="D470">
        <v>-25</v>
      </c>
      <c r="E470">
        <v>-18.5</v>
      </c>
      <c r="F470">
        <v>-19.2</v>
      </c>
      <c r="G470">
        <v>-25</v>
      </c>
      <c r="H470">
        <v>-17.100000000000001</v>
      </c>
      <c r="I470">
        <v>-15.2</v>
      </c>
      <c r="J470">
        <v>-25</v>
      </c>
      <c r="K470">
        <v>-16.7</v>
      </c>
      <c r="L470">
        <v>-17.399999999999999</v>
      </c>
      <c r="M470">
        <v>-25</v>
      </c>
      <c r="N470">
        <v>-18.899999999999999</v>
      </c>
      <c r="O470">
        <v>-19</v>
      </c>
      <c r="P470">
        <v>-25</v>
      </c>
      <c r="Q470">
        <v>-17.5</v>
      </c>
      <c r="R470">
        <v>-18.600000000000001</v>
      </c>
      <c r="S470">
        <v>-25</v>
      </c>
      <c r="T470">
        <v>2.1</v>
      </c>
      <c r="U470">
        <v>0.6</v>
      </c>
      <c r="V470">
        <v>2</v>
      </c>
      <c r="W470">
        <v>2.2000000000000002</v>
      </c>
      <c r="X470">
        <v>0.5</v>
      </c>
      <c r="Y470">
        <v>2</v>
      </c>
      <c r="Z470">
        <v>2.6</v>
      </c>
      <c r="AA470">
        <v>2.2000000000000002</v>
      </c>
      <c r="AB470">
        <v>2</v>
      </c>
      <c r="AC470">
        <v>2.2999999999999998</v>
      </c>
      <c r="AD470">
        <v>2</v>
      </c>
      <c r="AE470">
        <v>2</v>
      </c>
      <c r="AF470">
        <v>4.7</v>
      </c>
      <c r="AG470">
        <v>4.2</v>
      </c>
      <c r="AH470">
        <v>2</v>
      </c>
      <c r="AI470">
        <v>4.5</v>
      </c>
      <c r="AJ470">
        <v>3.7</v>
      </c>
      <c r="AK470">
        <v>2</v>
      </c>
      <c r="AL470">
        <v>6</v>
      </c>
      <c r="AM470">
        <v>4</v>
      </c>
      <c r="AN470">
        <v>4.8</v>
      </c>
      <c r="AO470">
        <v>4</v>
      </c>
      <c r="AP470">
        <v>5.3</v>
      </c>
      <c r="AQ470">
        <v>4</v>
      </c>
      <c r="AR470">
        <v>7.1</v>
      </c>
      <c r="AS470">
        <v>4</v>
      </c>
      <c r="AT470">
        <v>-5.4</v>
      </c>
      <c r="AU470">
        <v>-8.3000000000000007</v>
      </c>
      <c r="AV470">
        <v>-5</v>
      </c>
      <c r="AW470">
        <v>-5.2</v>
      </c>
      <c r="AX470">
        <v>-6</v>
      </c>
      <c r="AY470">
        <v>-5</v>
      </c>
      <c r="AZ470">
        <v>9.8000000000000007</v>
      </c>
      <c r="BA470">
        <v>10</v>
      </c>
      <c r="BB470">
        <v>11.1</v>
      </c>
      <c r="BC470">
        <v>10</v>
      </c>
      <c r="BD470">
        <v>5.6</v>
      </c>
      <c r="BE470">
        <v>4</v>
      </c>
      <c r="BF470">
        <v>10.7</v>
      </c>
      <c r="BG470">
        <v>10</v>
      </c>
      <c r="BH470">
        <v>11.1</v>
      </c>
      <c r="BI470">
        <v>10</v>
      </c>
      <c r="BJ470">
        <v>11.1</v>
      </c>
      <c r="BK470">
        <v>9</v>
      </c>
      <c r="BL470">
        <v>19.600000000000001</v>
      </c>
      <c r="BM470">
        <v>19</v>
      </c>
      <c r="BN470">
        <v>23.6</v>
      </c>
      <c r="BO470">
        <v>19</v>
      </c>
      <c r="BP470">
        <v>20.2</v>
      </c>
      <c r="BQ470">
        <v>20</v>
      </c>
      <c r="BR470">
        <v>21.3</v>
      </c>
      <c r="BS470">
        <v>25</v>
      </c>
      <c r="BT470">
        <v>21.9</v>
      </c>
      <c r="BU470">
        <v>25</v>
      </c>
      <c r="BV470">
        <v>23.6</v>
      </c>
      <c r="BW470">
        <v>18</v>
      </c>
      <c r="BX470">
        <v>21.9</v>
      </c>
      <c r="BY470">
        <v>20</v>
      </c>
      <c r="BZ470">
        <v>21.6</v>
      </c>
      <c r="CA470">
        <v>20</v>
      </c>
      <c r="CB470">
        <v>11.6</v>
      </c>
      <c r="CC470">
        <v>10</v>
      </c>
      <c r="CD470">
        <v>10.8</v>
      </c>
      <c r="CE470">
        <v>10</v>
      </c>
      <c r="CF470">
        <v>11.3</v>
      </c>
      <c r="CG470">
        <v>9</v>
      </c>
      <c r="CH470">
        <v>11.5</v>
      </c>
      <c r="CI470">
        <v>9</v>
      </c>
    </row>
    <row r="471" spans="1:87" x14ac:dyDescent="0.35">
      <c r="A471" s="1">
        <v>46059.78402777778</v>
      </c>
      <c r="B471">
        <v>-17.2</v>
      </c>
      <c r="C471">
        <v>5.5</v>
      </c>
      <c r="D471">
        <v>-25</v>
      </c>
      <c r="E471">
        <v>-18.5</v>
      </c>
      <c r="F471">
        <v>-19.3</v>
      </c>
      <c r="G471">
        <v>-25</v>
      </c>
      <c r="H471">
        <v>-17.100000000000001</v>
      </c>
      <c r="I471">
        <v>-15.2</v>
      </c>
      <c r="J471">
        <v>-25</v>
      </c>
      <c r="K471">
        <v>-16.7</v>
      </c>
      <c r="L471">
        <v>-17.399999999999999</v>
      </c>
      <c r="M471">
        <v>-25</v>
      </c>
      <c r="N471">
        <v>-18.899999999999999</v>
      </c>
      <c r="O471">
        <v>-19</v>
      </c>
      <c r="P471">
        <v>-25</v>
      </c>
      <c r="Q471">
        <v>-17.600000000000001</v>
      </c>
      <c r="R471">
        <v>-18.600000000000001</v>
      </c>
      <c r="S471">
        <v>-25</v>
      </c>
      <c r="T471">
        <v>2.1</v>
      </c>
      <c r="U471">
        <v>1.1000000000000001</v>
      </c>
      <c r="V471">
        <v>2</v>
      </c>
      <c r="W471">
        <v>2.2000000000000002</v>
      </c>
      <c r="X471">
        <v>1</v>
      </c>
      <c r="Y471">
        <v>2</v>
      </c>
      <c r="Z471">
        <v>2.7</v>
      </c>
      <c r="AA471">
        <v>2.2999999999999998</v>
      </c>
      <c r="AB471">
        <v>2</v>
      </c>
      <c r="AC471">
        <v>2.4</v>
      </c>
      <c r="AD471">
        <v>2.1</v>
      </c>
      <c r="AE471">
        <v>2</v>
      </c>
      <c r="AF471">
        <v>4.5999999999999996</v>
      </c>
      <c r="AG471">
        <v>4.2</v>
      </c>
      <c r="AH471">
        <v>2</v>
      </c>
      <c r="AI471">
        <v>4.5</v>
      </c>
      <c r="AJ471">
        <v>3.7</v>
      </c>
      <c r="AK471">
        <v>2</v>
      </c>
      <c r="AL471">
        <v>6</v>
      </c>
      <c r="AM471">
        <v>4</v>
      </c>
      <c r="AN471">
        <v>4.9000000000000004</v>
      </c>
      <c r="AO471">
        <v>4</v>
      </c>
      <c r="AP471">
        <v>4.3</v>
      </c>
      <c r="AQ471">
        <v>4</v>
      </c>
      <c r="AR471">
        <v>7.2</v>
      </c>
      <c r="AS471">
        <v>4</v>
      </c>
      <c r="AT471">
        <v>-5.5</v>
      </c>
      <c r="AU471">
        <v>-6.8</v>
      </c>
      <c r="AV471">
        <v>-5</v>
      </c>
      <c r="AW471">
        <v>-4.9000000000000004</v>
      </c>
      <c r="AX471">
        <v>-4.9000000000000004</v>
      </c>
      <c r="AY471">
        <v>-5</v>
      </c>
      <c r="AZ471">
        <v>9.6</v>
      </c>
      <c r="BA471">
        <v>10</v>
      </c>
      <c r="BB471">
        <v>11</v>
      </c>
      <c r="BC471">
        <v>10</v>
      </c>
      <c r="BD471">
        <v>5.8</v>
      </c>
      <c r="BE471">
        <v>4</v>
      </c>
      <c r="BF471">
        <v>11.1</v>
      </c>
      <c r="BG471">
        <v>10</v>
      </c>
      <c r="BH471">
        <v>11.1</v>
      </c>
      <c r="BI471">
        <v>10</v>
      </c>
      <c r="BJ471">
        <v>11.1</v>
      </c>
      <c r="BK471">
        <v>9</v>
      </c>
      <c r="BL471">
        <v>19.3</v>
      </c>
      <c r="BM471">
        <v>19</v>
      </c>
      <c r="BN471">
        <v>23.6</v>
      </c>
      <c r="BO471">
        <v>19</v>
      </c>
      <c r="BP471">
        <v>20.2</v>
      </c>
      <c r="BQ471">
        <v>20</v>
      </c>
      <c r="BR471">
        <v>21.3</v>
      </c>
      <c r="BS471">
        <v>25</v>
      </c>
      <c r="BT471">
        <v>21.9</v>
      </c>
      <c r="BU471">
        <v>25</v>
      </c>
      <c r="BV471">
        <v>23.6</v>
      </c>
      <c r="BW471">
        <v>18</v>
      </c>
      <c r="BX471">
        <v>21.9</v>
      </c>
      <c r="BY471">
        <v>20</v>
      </c>
      <c r="BZ471">
        <v>21.6</v>
      </c>
      <c r="CA471">
        <v>20</v>
      </c>
      <c r="CB471">
        <v>11.9</v>
      </c>
      <c r="CC471">
        <v>10</v>
      </c>
      <c r="CD471">
        <v>10.8</v>
      </c>
      <c r="CE471">
        <v>10</v>
      </c>
      <c r="CF471">
        <v>11.5</v>
      </c>
      <c r="CG471">
        <v>9</v>
      </c>
      <c r="CH471">
        <v>11.7</v>
      </c>
      <c r="CI471">
        <v>9</v>
      </c>
    </row>
    <row r="472" spans="1:87" x14ac:dyDescent="0.35">
      <c r="A472" s="1">
        <v>46059.784722222219</v>
      </c>
      <c r="B472">
        <v>-17.2</v>
      </c>
      <c r="C472">
        <v>6.1</v>
      </c>
      <c r="D472">
        <v>-25</v>
      </c>
      <c r="E472">
        <v>-18.5</v>
      </c>
      <c r="F472">
        <v>-19.399999999999999</v>
      </c>
      <c r="G472">
        <v>-25</v>
      </c>
      <c r="H472">
        <v>-17.100000000000001</v>
      </c>
      <c r="I472">
        <v>-15.2</v>
      </c>
      <c r="J472">
        <v>-25</v>
      </c>
      <c r="K472">
        <v>-16.600000000000001</v>
      </c>
      <c r="L472">
        <v>-17.399999999999999</v>
      </c>
      <c r="M472">
        <v>-25</v>
      </c>
      <c r="N472">
        <v>-18.899999999999999</v>
      </c>
      <c r="O472">
        <v>-19</v>
      </c>
      <c r="P472">
        <v>-25</v>
      </c>
      <c r="Q472">
        <v>-17.600000000000001</v>
      </c>
      <c r="R472">
        <v>-18.600000000000001</v>
      </c>
      <c r="S472">
        <v>-25</v>
      </c>
      <c r="T472">
        <v>2.1</v>
      </c>
      <c r="U472">
        <v>1.3</v>
      </c>
      <c r="V472">
        <v>2</v>
      </c>
      <c r="W472">
        <v>2.2000000000000002</v>
      </c>
      <c r="X472">
        <v>1.2</v>
      </c>
      <c r="Y472">
        <v>2</v>
      </c>
      <c r="Z472">
        <v>2.8</v>
      </c>
      <c r="AA472">
        <v>2.4</v>
      </c>
      <c r="AB472">
        <v>2</v>
      </c>
      <c r="AC472">
        <v>2.5</v>
      </c>
      <c r="AD472">
        <v>2.2000000000000002</v>
      </c>
      <c r="AE472">
        <v>2</v>
      </c>
      <c r="AF472">
        <v>4.5</v>
      </c>
      <c r="AG472">
        <v>4.2</v>
      </c>
      <c r="AH472">
        <v>2</v>
      </c>
      <c r="AI472">
        <v>4.4000000000000004</v>
      </c>
      <c r="AJ472">
        <v>3.7</v>
      </c>
      <c r="AK472">
        <v>2</v>
      </c>
      <c r="AL472">
        <v>6</v>
      </c>
      <c r="AM472">
        <v>4</v>
      </c>
      <c r="AN472">
        <v>4.9000000000000004</v>
      </c>
      <c r="AO472">
        <v>4</v>
      </c>
      <c r="AP472">
        <v>3.4</v>
      </c>
      <c r="AQ472">
        <v>4</v>
      </c>
      <c r="AR472">
        <v>7.3</v>
      </c>
      <c r="AS472">
        <v>4</v>
      </c>
      <c r="AT472">
        <v>-5</v>
      </c>
      <c r="AU472">
        <v>-5.6</v>
      </c>
      <c r="AV472">
        <v>-5</v>
      </c>
      <c r="AW472">
        <v>-4.3</v>
      </c>
      <c r="AX472">
        <v>-4.0999999999999996</v>
      </c>
      <c r="AY472">
        <v>-5</v>
      </c>
      <c r="AZ472">
        <v>9.5</v>
      </c>
      <c r="BA472">
        <v>10</v>
      </c>
      <c r="BB472">
        <v>10.9</v>
      </c>
      <c r="BC472">
        <v>10</v>
      </c>
      <c r="BD472">
        <v>5.9</v>
      </c>
      <c r="BE472">
        <v>4</v>
      </c>
      <c r="BF472">
        <v>11.5</v>
      </c>
      <c r="BG472">
        <v>10</v>
      </c>
      <c r="BH472">
        <v>11.1</v>
      </c>
      <c r="BI472">
        <v>10</v>
      </c>
      <c r="BJ472">
        <v>11.1</v>
      </c>
      <c r="BK472">
        <v>9</v>
      </c>
      <c r="BL472">
        <v>19</v>
      </c>
      <c r="BM472">
        <v>19</v>
      </c>
      <c r="BN472">
        <v>23.6</v>
      </c>
      <c r="BO472">
        <v>19</v>
      </c>
      <c r="BP472">
        <v>20.100000000000001</v>
      </c>
      <c r="BQ472">
        <v>20</v>
      </c>
      <c r="BR472">
        <v>21.3</v>
      </c>
      <c r="BS472">
        <v>25</v>
      </c>
      <c r="BT472">
        <v>21.9</v>
      </c>
      <c r="BU472">
        <v>25</v>
      </c>
      <c r="BV472">
        <v>23.6</v>
      </c>
      <c r="BW472">
        <v>18</v>
      </c>
      <c r="BX472">
        <v>22</v>
      </c>
      <c r="BY472">
        <v>20</v>
      </c>
      <c r="BZ472">
        <v>21.6</v>
      </c>
      <c r="CA472">
        <v>20</v>
      </c>
      <c r="CB472">
        <v>12</v>
      </c>
      <c r="CC472">
        <v>10</v>
      </c>
      <c r="CD472">
        <v>10.8</v>
      </c>
      <c r="CE472">
        <v>10</v>
      </c>
      <c r="CF472">
        <v>11.3</v>
      </c>
      <c r="CG472">
        <v>9</v>
      </c>
      <c r="CH472">
        <v>11.6</v>
      </c>
      <c r="CI472">
        <v>9</v>
      </c>
    </row>
    <row r="473" spans="1:87" x14ac:dyDescent="0.35">
      <c r="A473" s="1">
        <v>46059.785416666666</v>
      </c>
      <c r="B473">
        <v>-17.2</v>
      </c>
      <c r="C473">
        <v>6.3</v>
      </c>
      <c r="D473">
        <v>-25</v>
      </c>
      <c r="E473">
        <v>-18.5</v>
      </c>
      <c r="F473">
        <v>-19.2</v>
      </c>
      <c r="G473">
        <v>-25</v>
      </c>
      <c r="H473">
        <v>-17.100000000000001</v>
      </c>
      <c r="I473">
        <v>-15.2</v>
      </c>
      <c r="J473">
        <v>-25</v>
      </c>
      <c r="K473">
        <v>-16.600000000000001</v>
      </c>
      <c r="L473">
        <v>-17.399999999999999</v>
      </c>
      <c r="M473">
        <v>-25</v>
      </c>
      <c r="N473">
        <v>-18.899999999999999</v>
      </c>
      <c r="O473">
        <v>-19</v>
      </c>
      <c r="P473">
        <v>-25</v>
      </c>
      <c r="Q473">
        <v>-17.8</v>
      </c>
      <c r="R473">
        <v>-18.600000000000001</v>
      </c>
      <c r="S473">
        <v>-25</v>
      </c>
      <c r="T473">
        <v>2.1</v>
      </c>
      <c r="U473">
        <v>1.3</v>
      </c>
      <c r="V473">
        <v>2</v>
      </c>
      <c r="W473">
        <v>2.2000000000000002</v>
      </c>
      <c r="X473">
        <v>0.2</v>
      </c>
      <c r="Y473">
        <v>2</v>
      </c>
      <c r="Z473">
        <v>2.8</v>
      </c>
      <c r="AA473">
        <v>2.5</v>
      </c>
      <c r="AB473">
        <v>2</v>
      </c>
      <c r="AC473">
        <v>2.6</v>
      </c>
      <c r="AD473">
        <v>2.4</v>
      </c>
      <c r="AE473">
        <v>2</v>
      </c>
      <c r="AF473">
        <v>4.4000000000000004</v>
      </c>
      <c r="AG473">
        <v>4</v>
      </c>
      <c r="AH473">
        <v>2</v>
      </c>
      <c r="AI473">
        <v>4.2</v>
      </c>
      <c r="AJ473">
        <v>3.2</v>
      </c>
      <c r="AK473">
        <v>2</v>
      </c>
      <c r="AL473">
        <v>6</v>
      </c>
      <c r="AM473">
        <v>4</v>
      </c>
      <c r="AN473">
        <v>5</v>
      </c>
      <c r="AO473">
        <v>4</v>
      </c>
      <c r="AP473">
        <v>3</v>
      </c>
      <c r="AQ473">
        <v>4</v>
      </c>
      <c r="AR473">
        <v>7.4</v>
      </c>
      <c r="AS473">
        <v>4</v>
      </c>
      <c r="AT473">
        <v>-4.4000000000000004</v>
      </c>
      <c r="AU473">
        <v>-4.9000000000000004</v>
      </c>
      <c r="AV473">
        <v>-5</v>
      </c>
      <c r="AW473">
        <v>-3.7</v>
      </c>
      <c r="AX473">
        <v>-3.6</v>
      </c>
      <c r="AY473">
        <v>-5</v>
      </c>
      <c r="AZ473">
        <v>9.6</v>
      </c>
      <c r="BA473">
        <v>10</v>
      </c>
      <c r="BB473">
        <v>10.6</v>
      </c>
      <c r="BC473">
        <v>10</v>
      </c>
      <c r="BD473">
        <v>6</v>
      </c>
      <c r="BE473">
        <v>4</v>
      </c>
      <c r="BF473">
        <v>11.6</v>
      </c>
      <c r="BG473">
        <v>10</v>
      </c>
      <c r="BH473">
        <v>11</v>
      </c>
      <c r="BI473">
        <v>10</v>
      </c>
      <c r="BJ473">
        <v>11.1</v>
      </c>
      <c r="BK473">
        <v>9</v>
      </c>
      <c r="BL473">
        <v>18.8</v>
      </c>
      <c r="BM473">
        <v>19</v>
      </c>
      <c r="BN473">
        <v>23.6</v>
      </c>
      <c r="BO473">
        <v>19</v>
      </c>
      <c r="BP473">
        <v>20.100000000000001</v>
      </c>
      <c r="BQ473">
        <v>20</v>
      </c>
      <c r="BR473">
        <v>21.3</v>
      </c>
      <c r="BS473">
        <v>25</v>
      </c>
      <c r="BT473">
        <v>21.9</v>
      </c>
      <c r="BU473">
        <v>25</v>
      </c>
      <c r="BV473">
        <v>23.6</v>
      </c>
      <c r="BW473">
        <v>18</v>
      </c>
      <c r="BX473">
        <v>21.2</v>
      </c>
      <c r="BY473">
        <v>20</v>
      </c>
      <c r="BZ473">
        <v>21.6</v>
      </c>
      <c r="CA473">
        <v>20</v>
      </c>
      <c r="CB473">
        <v>11.9</v>
      </c>
      <c r="CC473">
        <v>10</v>
      </c>
      <c r="CD473">
        <v>10.8</v>
      </c>
      <c r="CE473">
        <v>10</v>
      </c>
      <c r="CF473">
        <v>11.1</v>
      </c>
      <c r="CG473">
        <v>9</v>
      </c>
      <c r="CH473">
        <v>11.3</v>
      </c>
      <c r="CI473">
        <v>9</v>
      </c>
    </row>
    <row r="474" spans="1:87" x14ac:dyDescent="0.35">
      <c r="A474" s="1">
        <v>46059.786111111112</v>
      </c>
      <c r="B474">
        <v>-17.2</v>
      </c>
      <c r="C474">
        <v>6.7</v>
      </c>
      <c r="D474">
        <v>-25</v>
      </c>
      <c r="E474">
        <v>-18.399999999999999</v>
      </c>
      <c r="F474">
        <v>-19</v>
      </c>
      <c r="G474">
        <v>-25</v>
      </c>
      <c r="H474">
        <v>-17.100000000000001</v>
      </c>
      <c r="I474">
        <v>-15.2</v>
      </c>
      <c r="J474">
        <v>-25</v>
      </c>
      <c r="K474">
        <v>-16.600000000000001</v>
      </c>
      <c r="L474">
        <v>-17.399999999999999</v>
      </c>
      <c r="M474">
        <v>-25</v>
      </c>
      <c r="N474">
        <v>-18.899999999999999</v>
      </c>
      <c r="O474">
        <v>-19</v>
      </c>
      <c r="P474">
        <v>-25</v>
      </c>
      <c r="Q474">
        <v>-17.899999999999999</v>
      </c>
      <c r="R474">
        <v>-18.600000000000001</v>
      </c>
      <c r="S474">
        <v>-25</v>
      </c>
      <c r="T474">
        <v>1.9</v>
      </c>
      <c r="U474">
        <v>0.8</v>
      </c>
      <c r="V474">
        <v>2</v>
      </c>
      <c r="W474">
        <v>1.9</v>
      </c>
      <c r="X474">
        <v>0</v>
      </c>
      <c r="Y474">
        <v>2</v>
      </c>
      <c r="Z474">
        <v>2.9</v>
      </c>
      <c r="AA474">
        <v>2.6</v>
      </c>
      <c r="AB474">
        <v>2</v>
      </c>
      <c r="AC474">
        <v>2.7</v>
      </c>
      <c r="AD474">
        <v>2.5</v>
      </c>
      <c r="AE474">
        <v>2</v>
      </c>
      <c r="AF474">
        <v>4.0999999999999996</v>
      </c>
      <c r="AG474">
        <v>3.6</v>
      </c>
      <c r="AH474">
        <v>2</v>
      </c>
      <c r="AI474">
        <v>4</v>
      </c>
      <c r="AJ474">
        <v>2.8</v>
      </c>
      <c r="AK474">
        <v>2</v>
      </c>
      <c r="AL474">
        <v>5.8</v>
      </c>
      <c r="AM474">
        <v>4</v>
      </c>
      <c r="AN474">
        <v>5</v>
      </c>
      <c r="AO474">
        <v>4</v>
      </c>
      <c r="AP474">
        <v>2.9</v>
      </c>
      <c r="AQ474">
        <v>4</v>
      </c>
      <c r="AR474">
        <v>7.5</v>
      </c>
      <c r="AS474">
        <v>4</v>
      </c>
      <c r="AT474">
        <v>-3.8</v>
      </c>
      <c r="AU474">
        <v>-4.2</v>
      </c>
      <c r="AV474">
        <v>-5</v>
      </c>
      <c r="AW474">
        <v>-3.3</v>
      </c>
      <c r="AX474">
        <v>-3.1</v>
      </c>
      <c r="AY474">
        <v>-5</v>
      </c>
      <c r="AZ474">
        <v>9.6999999999999993</v>
      </c>
      <c r="BA474">
        <v>10</v>
      </c>
      <c r="BB474">
        <v>10.4</v>
      </c>
      <c r="BC474">
        <v>10</v>
      </c>
      <c r="BD474">
        <v>5.8</v>
      </c>
      <c r="BE474">
        <v>4</v>
      </c>
      <c r="BF474">
        <v>12</v>
      </c>
      <c r="BG474">
        <v>10</v>
      </c>
      <c r="BH474">
        <v>11</v>
      </c>
      <c r="BI474">
        <v>10</v>
      </c>
      <c r="BJ474">
        <v>11.1</v>
      </c>
      <c r="BK474">
        <v>9</v>
      </c>
      <c r="BL474">
        <v>18.7</v>
      </c>
      <c r="BM474">
        <v>19</v>
      </c>
      <c r="BN474">
        <v>23.6</v>
      </c>
      <c r="BO474">
        <v>19</v>
      </c>
      <c r="BP474">
        <v>20.100000000000001</v>
      </c>
      <c r="BQ474">
        <v>20</v>
      </c>
      <c r="BR474">
        <v>21.3</v>
      </c>
      <c r="BS474">
        <v>25</v>
      </c>
      <c r="BT474">
        <v>21.9</v>
      </c>
      <c r="BU474">
        <v>25</v>
      </c>
      <c r="BV474">
        <v>23.6</v>
      </c>
      <c r="BW474">
        <v>18</v>
      </c>
      <c r="BX474">
        <v>18.8</v>
      </c>
      <c r="BY474">
        <v>20</v>
      </c>
      <c r="BZ474">
        <v>21.6</v>
      </c>
      <c r="CA474">
        <v>20</v>
      </c>
      <c r="CB474">
        <v>11.7</v>
      </c>
      <c r="CC474">
        <v>10</v>
      </c>
      <c r="CD474">
        <v>10.9</v>
      </c>
      <c r="CE474">
        <v>10</v>
      </c>
      <c r="CF474">
        <v>11.2</v>
      </c>
      <c r="CG474">
        <v>9</v>
      </c>
      <c r="CH474">
        <v>11.4</v>
      </c>
      <c r="CI474">
        <v>9</v>
      </c>
    </row>
    <row r="475" spans="1:87" x14ac:dyDescent="0.35">
      <c r="A475" s="1">
        <v>46059.786805555559</v>
      </c>
      <c r="B475">
        <v>-17.2</v>
      </c>
      <c r="C475">
        <v>7.4</v>
      </c>
      <c r="D475">
        <v>-25</v>
      </c>
      <c r="E475">
        <v>-18.399999999999999</v>
      </c>
      <c r="F475">
        <v>-19.899999999999999</v>
      </c>
      <c r="G475">
        <v>-25</v>
      </c>
      <c r="H475">
        <v>-17.100000000000001</v>
      </c>
      <c r="I475">
        <v>-15.1</v>
      </c>
      <c r="J475">
        <v>-25</v>
      </c>
      <c r="K475">
        <v>-16.600000000000001</v>
      </c>
      <c r="L475">
        <v>-17.399999999999999</v>
      </c>
      <c r="M475">
        <v>-25</v>
      </c>
      <c r="N475">
        <v>-18.899999999999999</v>
      </c>
      <c r="O475">
        <v>-19</v>
      </c>
      <c r="P475">
        <v>-25</v>
      </c>
      <c r="Q475">
        <v>-18</v>
      </c>
      <c r="R475">
        <v>-18.600000000000001</v>
      </c>
      <c r="S475">
        <v>-25</v>
      </c>
      <c r="T475">
        <v>1.8</v>
      </c>
      <c r="U475">
        <v>1</v>
      </c>
      <c r="V475">
        <v>2</v>
      </c>
      <c r="W475">
        <v>1.8</v>
      </c>
      <c r="X475">
        <v>0.7</v>
      </c>
      <c r="Y475">
        <v>2</v>
      </c>
      <c r="Z475">
        <v>3</v>
      </c>
      <c r="AA475">
        <v>2.8</v>
      </c>
      <c r="AB475">
        <v>2</v>
      </c>
      <c r="AC475">
        <v>2.8</v>
      </c>
      <c r="AD475">
        <v>2.6</v>
      </c>
      <c r="AE475">
        <v>2</v>
      </c>
      <c r="AF475">
        <v>3.9</v>
      </c>
      <c r="AG475">
        <v>3.4</v>
      </c>
      <c r="AH475">
        <v>2</v>
      </c>
      <c r="AI475">
        <v>3.7</v>
      </c>
      <c r="AJ475">
        <v>2.7</v>
      </c>
      <c r="AK475">
        <v>2</v>
      </c>
      <c r="AL475">
        <v>5.7</v>
      </c>
      <c r="AM475">
        <v>4</v>
      </c>
      <c r="AN475">
        <v>5</v>
      </c>
      <c r="AO475">
        <v>4</v>
      </c>
      <c r="AP475">
        <v>2.9</v>
      </c>
      <c r="AQ475">
        <v>4</v>
      </c>
      <c r="AR475">
        <v>7.6</v>
      </c>
      <c r="AS475">
        <v>4</v>
      </c>
      <c r="AT475">
        <v>-3.4</v>
      </c>
      <c r="AU475">
        <v>-3.6</v>
      </c>
      <c r="AV475">
        <v>-5</v>
      </c>
      <c r="AW475">
        <v>-2.9</v>
      </c>
      <c r="AX475">
        <v>-2.7</v>
      </c>
      <c r="AY475">
        <v>-5</v>
      </c>
      <c r="AZ475">
        <v>9.9</v>
      </c>
      <c r="BA475">
        <v>10</v>
      </c>
      <c r="BB475">
        <v>10.3</v>
      </c>
      <c r="BC475">
        <v>10</v>
      </c>
      <c r="BD475">
        <v>5.4</v>
      </c>
      <c r="BE475">
        <v>4</v>
      </c>
      <c r="BF475">
        <v>11.8</v>
      </c>
      <c r="BG475">
        <v>10</v>
      </c>
      <c r="BH475">
        <v>11</v>
      </c>
      <c r="BI475">
        <v>10</v>
      </c>
      <c r="BJ475">
        <v>11.1</v>
      </c>
      <c r="BK475">
        <v>9</v>
      </c>
      <c r="BL475">
        <v>18.7</v>
      </c>
      <c r="BM475">
        <v>19</v>
      </c>
      <c r="BN475">
        <v>23.6</v>
      </c>
      <c r="BO475">
        <v>19</v>
      </c>
      <c r="BP475">
        <v>20.100000000000001</v>
      </c>
      <c r="BQ475">
        <v>20</v>
      </c>
      <c r="BR475">
        <v>21.3</v>
      </c>
      <c r="BS475">
        <v>25</v>
      </c>
      <c r="BT475">
        <v>21.9</v>
      </c>
      <c r="BU475">
        <v>25</v>
      </c>
      <c r="BV475">
        <v>23.6</v>
      </c>
      <c r="BW475">
        <v>18</v>
      </c>
      <c r="BX475">
        <v>17.899999999999999</v>
      </c>
      <c r="BY475">
        <v>20</v>
      </c>
      <c r="BZ475">
        <v>21.7</v>
      </c>
      <c r="CA475">
        <v>20</v>
      </c>
      <c r="CB475">
        <v>11.4</v>
      </c>
      <c r="CC475">
        <v>10</v>
      </c>
      <c r="CD475">
        <v>10.9</v>
      </c>
      <c r="CE475">
        <v>10</v>
      </c>
      <c r="CF475">
        <v>11</v>
      </c>
      <c r="CG475">
        <v>9</v>
      </c>
      <c r="CH475">
        <v>11.2</v>
      </c>
      <c r="CI475">
        <v>9</v>
      </c>
    </row>
    <row r="476" spans="1:87" x14ac:dyDescent="0.35">
      <c r="A476" s="1">
        <v>46059.787499999999</v>
      </c>
      <c r="B476">
        <v>-17.2</v>
      </c>
      <c r="C476">
        <v>7.5</v>
      </c>
      <c r="D476">
        <v>-25</v>
      </c>
      <c r="E476">
        <v>-18.3</v>
      </c>
      <c r="F476">
        <v>-20.399999999999999</v>
      </c>
      <c r="G476">
        <v>-25</v>
      </c>
      <c r="H476">
        <v>-17</v>
      </c>
      <c r="I476">
        <v>-15.1</v>
      </c>
      <c r="J476">
        <v>-25</v>
      </c>
      <c r="K476">
        <v>-16.600000000000001</v>
      </c>
      <c r="L476">
        <v>-17.3</v>
      </c>
      <c r="M476">
        <v>-25</v>
      </c>
      <c r="N476">
        <v>-18.899999999999999</v>
      </c>
      <c r="O476">
        <v>-19</v>
      </c>
      <c r="P476">
        <v>-25</v>
      </c>
      <c r="Q476">
        <v>-18.100000000000001</v>
      </c>
      <c r="R476">
        <v>-18.600000000000001</v>
      </c>
      <c r="S476">
        <v>-25</v>
      </c>
      <c r="T476">
        <v>1.8</v>
      </c>
      <c r="U476">
        <v>1.4</v>
      </c>
      <c r="V476">
        <v>2</v>
      </c>
      <c r="W476">
        <v>1.8</v>
      </c>
      <c r="X476">
        <v>1.1000000000000001</v>
      </c>
      <c r="Y476">
        <v>2</v>
      </c>
      <c r="Z476">
        <v>3.1</v>
      </c>
      <c r="AA476">
        <v>2.8</v>
      </c>
      <c r="AB476">
        <v>2</v>
      </c>
      <c r="AC476">
        <v>2.9</v>
      </c>
      <c r="AD476">
        <v>2.7</v>
      </c>
      <c r="AE476">
        <v>2</v>
      </c>
      <c r="AF476">
        <v>3.8</v>
      </c>
      <c r="AG476">
        <v>3.4</v>
      </c>
      <c r="AH476">
        <v>2</v>
      </c>
      <c r="AI476">
        <v>3.7</v>
      </c>
      <c r="AJ476">
        <v>2.5</v>
      </c>
      <c r="AK476">
        <v>2</v>
      </c>
      <c r="AL476">
        <v>5.5</v>
      </c>
      <c r="AM476">
        <v>4</v>
      </c>
      <c r="AN476">
        <v>4.9000000000000004</v>
      </c>
      <c r="AO476">
        <v>4</v>
      </c>
      <c r="AP476">
        <v>3.2</v>
      </c>
      <c r="AQ476">
        <v>4</v>
      </c>
      <c r="AR476">
        <v>7.7</v>
      </c>
      <c r="AS476">
        <v>4</v>
      </c>
      <c r="AT476">
        <v>-3</v>
      </c>
      <c r="AU476">
        <v>-3.2</v>
      </c>
      <c r="AV476">
        <v>-5</v>
      </c>
      <c r="AW476">
        <v>-3.1</v>
      </c>
      <c r="AX476">
        <v>-3.7</v>
      </c>
      <c r="AY476">
        <v>-5</v>
      </c>
      <c r="AZ476">
        <v>10.1</v>
      </c>
      <c r="BA476">
        <v>10</v>
      </c>
      <c r="BB476">
        <v>10.3</v>
      </c>
      <c r="BC476">
        <v>10</v>
      </c>
      <c r="BD476">
        <v>5.2</v>
      </c>
      <c r="BE476">
        <v>4</v>
      </c>
      <c r="BF476">
        <v>10.9</v>
      </c>
      <c r="BG476">
        <v>10</v>
      </c>
      <c r="BH476">
        <v>11</v>
      </c>
      <c r="BI476">
        <v>10</v>
      </c>
      <c r="BJ476">
        <v>11.1</v>
      </c>
      <c r="BK476">
        <v>9</v>
      </c>
      <c r="BL476">
        <v>18.7</v>
      </c>
      <c r="BM476">
        <v>19</v>
      </c>
      <c r="BN476">
        <v>23.6</v>
      </c>
      <c r="BO476">
        <v>19</v>
      </c>
      <c r="BP476">
        <v>20.100000000000001</v>
      </c>
      <c r="BQ476">
        <v>20</v>
      </c>
      <c r="BR476">
        <v>21.3</v>
      </c>
      <c r="BS476">
        <v>25</v>
      </c>
      <c r="BT476">
        <v>21.9</v>
      </c>
      <c r="BU476">
        <v>25</v>
      </c>
      <c r="BV476">
        <v>23.6</v>
      </c>
      <c r="BW476">
        <v>18</v>
      </c>
      <c r="BX476">
        <v>18</v>
      </c>
      <c r="BY476">
        <v>20</v>
      </c>
      <c r="BZ476">
        <v>21.7</v>
      </c>
      <c r="CA476">
        <v>20</v>
      </c>
      <c r="CB476">
        <v>11</v>
      </c>
      <c r="CC476">
        <v>10</v>
      </c>
      <c r="CD476">
        <v>11</v>
      </c>
      <c r="CE476">
        <v>10</v>
      </c>
      <c r="CF476">
        <v>10.9</v>
      </c>
      <c r="CG476">
        <v>9</v>
      </c>
      <c r="CH476">
        <v>11.1</v>
      </c>
      <c r="CI476">
        <v>9</v>
      </c>
    </row>
    <row r="477" spans="1:87" x14ac:dyDescent="0.35">
      <c r="A477" s="1">
        <v>46059.788194444445</v>
      </c>
      <c r="B477">
        <v>-17.2</v>
      </c>
      <c r="C477">
        <v>7.9</v>
      </c>
      <c r="D477">
        <v>-25</v>
      </c>
      <c r="E477">
        <v>-18.3</v>
      </c>
      <c r="F477">
        <v>-19.8</v>
      </c>
      <c r="G477">
        <v>-25</v>
      </c>
      <c r="H477">
        <v>-16.899999999999999</v>
      </c>
      <c r="I477">
        <v>-15.1</v>
      </c>
      <c r="J477">
        <v>-25</v>
      </c>
      <c r="K477">
        <v>-16.600000000000001</v>
      </c>
      <c r="L477">
        <v>-17.2</v>
      </c>
      <c r="M477">
        <v>-25</v>
      </c>
      <c r="N477">
        <v>-18.899999999999999</v>
      </c>
      <c r="O477">
        <v>-19.100000000000001</v>
      </c>
      <c r="P477">
        <v>-25</v>
      </c>
      <c r="Q477">
        <v>-18.100000000000001</v>
      </c>
      <c r="R477">
        <v>-18.7</v>
      </c>
      <c r="S477">
        <v>-25</v>
      </c>
      <c r="T477">
        <v>1.9</v>
      </c>
      <c r="U477">
        <v>1.6</v>
      </c>
      <c r="V477">
        <v>2</v>
      </c>
      <c r="W477">
        <v>1.9</v>
      </c>
      <c r="X477">
        <v>1.3</v>
      </c>
      <c r="Y477">
        <v>2</v>
      </c>
      <c r="Z477">
        <v>3.2</v>
      </c>
      <c r="AA477">
        <v>2.9</v>
      </c>
      <c r="AB477">
        <v>2</v>
      </c>
      <c r="AC477">
        <v>2.9</v>
      </c>
      <c r="AD477">
        <v>2.8</v>
      </c>
      <c r="AE477">
        <v>2</v>
      </c>
      <c r="AF477">
        <v>3.6</v>
      </c>
      <c r="AG477">
        <v>3.2</v>
      </c>
      <c r="AH477">
        <v>2</v>
      </c>
      <c r="AI477">
        <v>3.5</v>
      </c>
      <c r="AJ477">
        <v>2</v>
      </c>
      <c r="AK477">
        <v>2</v>
      </c>
      <c r="AL477">
        <v>5.4</v>
      </c>
      <c r="AM477">
        <v>4</v>
      </c>
      <c r="AN477">
        <v>4.7</v>
      </c>
      <c r="AO477">
        <v>4</v>
      </c>
      <c r="AP477">
        <v>3.5</v>
      </c>
      <c r="AQ477">
        <v>4</v>
      </c>
      <c r="AR477">
        <v>7.8</v>
      </c>
      <c r="AS477">
        <v>4</v>
      </c>
      <c r="AT477">
        <v>-2.7</v>
      </c>
      <c r="AU477">
        <v>-3.1</v>
      </c>
      <c r="AV477">
        <v>-5</v>
      </c>
      <c r="AW477">
        <v>-3.5</v>
      </c>
      <c r="AX477">
        <v>-5.3</v>
      </c>
      <c r="AY477">
        <v>-5</v>
      </c>
      <c r="AZ477">
        <v>10.199999999999999</v>
      </c>
      <c r="BA477">
        <v>10</v>
      </c>
      <c r="BB477">
        <v>10.3</v>
      </c>
      <c r="BC477">
        <v>10</v>
      </c>
      <c r="BD477">
        <v>5.0999999999999996</v>
      </c>
      <c r="BE477">
        <v>4</v>
      </c>
      <c r="BF477">
        <v>10</v>
      </c>
      <c r="BG477">
        <v>10</v>
      </c>
      <c r="BH477">
        <v>11</v>
      </c>
      <c r="BI477">
        <v>10</v>
      </c>
      <c r="BJ477">
        <v>11.1</v>
      </c>
      <c r="BK477">
        <v>9</v>
      </c>
      <c r="BL477">
        <v>18.7</v>
      </c>
      <c r="BM477">
        <v>19</v>
      </c>
      <c r="BN477">
        <v>23.6</v>
      </c>
      <c r="BO477">
        <v>19</v>
      </c>
      <c r="BP477">
        <v>20.2</v>
      </c>
      <c r="BQ477">
        <v>20</v>
      </c>
      <c r="BR477">
        <v>21.3</v>
      </c>
      <c r="BS477">
        <v>25</v>
      </c>
      <c r="BT477">
        <v>21.9</v>
      </c>
      <c r="BU477">
        <v>25</v>
      </c>
      <c r="BV477">
        <v>23.6</v>
      </c>
      <c r="BW477">
        <v>18</v>
      </c>
      <c r="BX477">
        <v>18.600000000000001</v>
      </c>
      <c r="BY477">
        <v>20</v>
      </c>
      <c r="BZ477">
        <v>21.7</v>
      </c>
      <c r="CA477">
        <v>20</v>
      </c>
      <c r="CB477">
        <v>10.8</v>
      </c>
      <c r="CC477">
        <v>10</v>
      </c>
      <c r="CD477">
        <v>11</v>
      </c>
      <c r="CE477">
        <v>10</v>
      </c>
      <c r="CF477">
        <v>10.9</v>
      </c>
      <c r="CG477">
        <v>9</v>
      </c>
      <c r="CH477">
        <v>11.2</v>
      </c>
      <c r="CI477">
        <v>9</v>
      </c>
    </row>
    <row r="478" spans="1:87" x14ac:dyDescent="0.35">
      <c r="A478" s="1">
        <v>46059.788888888892</v>
      </c>
      <c r="B478">
        <v>-17.2</v>
      </c>
      <c r="C478">
        <v>8.1</v>
      </c>
      <c r="D478">
        <v>-25</v>
      </c>
      <c r="E478">
        <v>-18.3</v>
      </c>
      <c r="F478">
        <v>-19.600000000000001</v>
      </c>
      <c r="G478">
        <v>-25</v>
      </c>
      <c r="H478">
        <v>-16.899999999999999</v>
      </c>
      <c r="I478">
        <v>-15.1</v>
      </c>
      <c r="J478">
        <v>-25</v>
      </c>
      <c r="K478">
        <v>-16.5</v>
      </c>
      <c r="L478">
        <v>-17.2</v>
      </c>
      <c r="M478">
        <v>-25</v>
      </c>
      <c r="N478">
        <v>-19</v>
      </c>
      <c r="O478">
        <v>-19.100000000000001</v>
      </c>
      <c r="P478">
        <v>-25</v>
      </c>
      <c r="Q478">
        <v>-18.100000000000001</v>
      </c>
      <c r="R478">
        <v>-18.8</v>
      </c>
      <c r="S478">
        <v>-25</v>
      </c>
      <c r="T478">
        <v>2</v>
      </c>
      <c r="U478">
        <v>1.8</v>
      </c>
      <c r="V478">
        <v>2</v>
      </c>
      <c r="W478">
        <v>2</v>
      </c>
      <c r="X478">
        <v>1.5</v>
      </c>
      <c r="Y478">
        <v>2</v>
      </c>
      <c r="Z478">
        <v>3.3</v>
      </c>
      <c r="AA478">
        <v>3</v>
      </c>
      <c r="AB478">
        <v>2</v>
      </c>
      <c r="AC478">
        <v>3</v>
      </c>
      <c r="AD478">
        <v>2.9</v>
      </c>
      <c r="AE478">
        <v>2</v>
      </c>
      <c r="AF478">
        <v>3.6</v>
      </c>
      <c r="AG478">
        <v>3.1</v>
      </c>
      <c r="AH478">
        <v>2</v>
      </c>
      <c r="AI478">
        <v>3.5</v>
      </c>
      <c r="AJ478">
        <v>1.5</v>
      </c>
      <c r="AK478">
        <v>2</v>
      </c>
      <c r="AL478">
        <v>5.3</v>
      </c>
      <c r="AM478">
        <v>4</v>
      </c>
      <c r="AN478">
        <v>4.5999999999999996</v>
      </c>
      <c r="AO478">
        <v>4</v>
      </c>
      <c r="AP478">
        <v>3.8</v>
      </c>
      <c r="AQ478">
        <v>4</v>
      </c>
      <c r="AR478">
        <v>7.9</v>
      </c>
      <c r="AS478">
        <v>4</v>
      </c>
      <c r="AT478">
        <v>-2.7</v>
      </c>
      <c r="AU478">
        <v>-3.9</v>
      </c>
      <c r="AV478">
        <v>-5</v>
      </c>
      <c r="AW478">
        <v>-3.9</v>
      </c>
      <c r="AX478">
        <v>-5.4</v>
      </c>
      <c r="AY478">
        <v>-5</v>
      </c>
      <c r="AZ478">
        <v>10.3</v>
      </c>
      <c r="BA478">
        <v>10</v>
      </c>
      <c r="BB478">
        <v>10.1</v>
      </c>
      <c r="BC478">
        <v>10</v>
      </c>
      <c r="BD478">
        <v>5</v>
      </c>
      <c r="BE478">
        <v>4</v>
      </c>
      <c r="BF478">
        <v>9.6</v>
      </c>
      <c r="BG478">
        <v>10</v>
      </c>
      <c r="BH478">
        <v>11</v>
      </c>
      <c r="BI478">
        <v>10</v>
      </c>
      <c r="BJ478">
        <v>11.1</v>
      </c>
      <c r="BK478">
        <v>9</v>
      </c>
      <c r="BL478">
        <v>18.7</v>
      </c>
      <c r="BM478">
        <v>19</v>
      </c>
      <c r="BN478">
        <v>23.6</v>
      </c>
      <c r="BO478">
        <v>19</v>
      </c>
      <c r="BP478">
        <v>20.2</v>
      </c>
      <c r="BQ478">
        <v>20</v>
      </c>
      <c r="BR478">
        <v>21.4</v>
      </c>
      <c r="BS478">
        <v>25</v>
      </c>
      <c r="BT478">
        <v>21.9</v>
      </c>
      <c r="BU478">
        <v>25</v>
      </c>
      <c r="BV478">
        <v>23.6</v>
      </c>
      <c r="BW478">
        <v>18</v>
      </c>
      <c r="BX478">
        <v>19.100000000000001</v>
      </c>
      <c r="BY478">
        <v>20</v>
      </c>
      <c r="BZ478">
        <v>21.7</v>
      </c>
      <c r="CA478">
        <v>20</v>
      </c>
      <c r="CB478">
        <v>10.7</v>
      </c>
      <c r="CC478">
        <v>10</v>
      </c>
      <c r="CD478">
        <v>11</v>
      </c>
      <c r="CE478">
        <v>10</v>
      </c>
      <c r="CF478">
        <v>11.1</v>
      </c>
      <c r="CG478">
        <v>9</v>
      </c>
      <c r="CH478">
        <v>11.3</v>
      </c>
      <c r="CI478">
        <v>9</v>
      </c>
    </row>
    <row r="479" spans="1:87" x14ac:dyDescent="0.35">
      <c r="A479" s="1">
        <v>46059.789583333331</v>
      </c>
      <c r="B479">
        <v>-17.2</v>
      </c>
      <c r="C479">
        <v>8.1</v>
      </c>
      <c r="D479">
        <v>-25</v>
      </c>
      <c r="E479">
        <v>-18.3</v>
      </c>
      <c r="F479">
        <v>-19.5</v>
      </c>
      <c r="G479">
        <v>-25</v>
      </c>
      <c r="H479">
        <v>-16.899999999999999</v>
      </c>
      <c r="I479">
        <v>-15</v>
      </c>
      <c r="J479">
        <v>-25</v>
      </c>
      <c r="K479">
        <v>-16.5</v>
      </c>
      <c r="L479">
        <v>-17.2</v>
      </c>
      <c r="M479">
        <v>-25</v>
      </c>
      <c r="N479">
        <v>-19</v>
      </c>
      <c r="O479">
        <v>-19.100000000000001</v>
      </c>
      <c r="P479">
        <v>-25</v>
      </c>
      <c r="Q479">
        <v>-18.2</v>
      </c>
      <c r="R479">
        <v>-18.8</v>
      </c>
      <c r="S479">
        <v>-25</v>
      </c>
      <c r="T479">
        <v>2.1</v>
      </c>
      <c r="U479">
        <v>1.9</v>
      </c>
      <c r="V479">
        <v>2</v>
      </c>
      <c r="W479">
        <v>2.1</v>
      </c>
      <c r="X479">
        <v>1.6</v>
      </c>
      <c r="Y479">
        <v>2</v>
      </c>
      <c r="Z479">
        <v>3.3</v>
      </c>
      <c r="AA479">
        <v>3</v>
      </c>
      <c r="AB479">
        <v>2</v>
      </c>
      <c r="AC479">
        <v>3.1</v>
      </c>
      <c r="AD479">
        <v>3</v>
      </c>
      <c r="AE479">
        <v>2</v>
      </c>
      <c r="AF479">
        <v>3.4</v>
      </c>
      <c r="AG479">
        <v>2.9</v>
      </c>
      <c r="AH479">
        <v>2</v>
      </c>
      <c r="AI479">
        <v>3.2</v>
      </c>
      <c r="AJ479">
        <v>0.8</v>
      </c>
      <c r="AK479">
        <v>2</v>
      </c>
      <c r="AL479">
        <v>5.2</v>
      </c>
      <c r="AM479">
        <v>4</v>
      </c>
      <c r="AN479">
        <v>4.5</v>
      </c>
      <c r="AO479">
        <v>4</v>
      </c>
      <c r="AP479">
        <v>4</v>
      </c>
      <c r="AQ479">
        <v>4</v>
      </c>
      <c r="AR479">
        <v>8</v>
      </c>
      <c r="AS479">
        <v>4</v>
      </c>
      <c r="AT479">
        <v>-3.1</v>
      </c>
      <c r="AU479">
        <v>-4.8</v>
      </c>
      <c r="AV479">
        <v>-5</v>
      </c>
      <c r="AW479">
        <v>-4</v>
      </c>
      <c r="AX479">
        <v>-4.5999999999999996</v>
      </c>
      <c r="AY479">
        <v>-5</v>
      </c>
      <c r="AZ479">
        <v>10.5</v>
      </c>
      <c r="BA479">
        <v>10</v>
      </c>
      <c r="BB479">
        <v>10.1</v>
      </c>
      <c r="BC479">
        <v>10</v>
      </c>
      <c r="BD479">
        <v>4.5999999999999996</v>
      </c>
      <c r="BE479">
        <v>4</v>
      </c>
      <c r="BF479">
        <v>9.6</v>
      </c>
      <c r="BG479">
        <v>10</v>
      </c>
      <c r="BH479">
        <v>11</v>
      </c>
      <c r="BI479">
        <v>10</v>
      </c>
      <c r="BJ479">
        <v>11.1</v>
      </c>
      <c r="BK479">
        <v>9</v>
      </c>
      <c r="BL479">
        <v>18.7</v>
      </c>
      <c r="BM479">
        <v>19</v>
      </c>
      <c r="BN479">
        <v>23.6</v>
      </c>
      <c r="BO479">
        <v>19</v>
      </c>
      <c r="BP479">
        <v>20.2</v>
      </c>
      <c r="BQ479">
        <v>20</v>
      </c>
      <c r="BR479">
        <v>21.4</v>
      </c>
      <c r="BS479">
        <v>25</v>
      </c>
      <c r="BT479">
        <v>21.9</v>
      </c>
      <c r="BU479">
        <v>25</v>
      </c>
      <c r="BV479">
        <v>23.6</v>
      </c>
      <c r="BW479">
        <v>18</v>
      </c>
      <c r="BX479">
        <v>19.5</v>
      </c>
      <c r="BY479">
        <v>20</v>
      </c>
      <c r="BZ479">
        <v>21.8</v>
      </c>
      <c r="CA479">
        <v>20</v>
      </c>
      <c r="CB479">
        <v>10.5</v>
      </c>
      <c r="CC479">
        <v>10</v>
      </c>
      <c r="CD479">
        <v>11</v>
      </c>
      <c r="CE479">
        <v>10</v>
      </c>
      <c r="CF479">
        <v>11.3</v>
      </c>
      <c r="CG479">
        <v>9</v>
      </c>
      <c r="CH479">
        <v>11.5</v>
      </c>
      <c r="CI479">
        <v>9</v>
      </c>
    </row>
    <row r="480" spans="1:87" x14ac:dyDescent="0.35">
      <c r="A480" s="1">
        <v>46059.790277777778</v>
      </c>
      <c r="B480">
        <v>-17.2</v>
      </c>
      <c r="C480">
        <v>8.1</v>
      </c>
      <c r="D480">
        <v>-25</v>
      </c>
      <c r="E480">
        <v>-18.3</v>
      </c>
      <c r="F480">
        <v>-19.399999999999999</v>
      </c>
      <c r="G480">
        <v>-25</v>
      </c>
      <c r="H480">
        <v>-16.899999999999999</v>
      </c>
      <c r="I480">
        <v>-15</v>
      </c>
      <c r="J480">
        <v>-25</v>
      </c>
      <c r="K480">
        <v>-16.5</v>
      </c>
      <c r="L480">
        <v>-17.2</v>
      </c>
      <c r="M480">
        <v>-25</v>
      </c>
      <c r="N480">
        <v>-19</v>
      </c>
      <c r="O480">
        <v>-19.100000000000001</v>
      </c>
      <c r="P480">
        <v>-25</v>
      </c>
      <c r="Q480">
        <v>-18.2</v>
      </c>
      <c r="R480">
        <v>-18.899999999999999</v>
      </c>
      <c r="S480">
        <v>-25</v>
      </c>
      <c r="T480">
        <v>2.2000000000000002</v>
      </c>
      <c r="U480">
        <v>2.1</v>
      </c>
      <c r="V480">
        <v>2</v>
      </c>
      <c r="W480">
        <v>2.2000000000000002</v>
      </c>
      <c r="X480">
        <v>1.8</v>
      </c>
      <c r="Y480">
        <v>2</v>
      </c>
      <c r="Z480">
        <v>3.4</v>
      </c>
      <c r="AA480">
        <v>3.2</v>
      </c>
      <c r="AB480">
        <v>2</v>
      </c>
      <c r="AC480">
        <v>3.2</v>
      </c>
      <c r="AD480">
        <v>3.1</v>
      </c>
      <c r="AE480">
        <v>2</v>
      </c>
      <c r="AF480">
        <v>3.2</v>
      </c>
      <c r="AG480">
        <v>2.7</v>
      </c>
      <c r="AH480">
        <v>2</v>
      </c>
      <c r="AI480">
        <v>3.1</v>
      </c>
      <c r="AJ480">
        <v>1.4</v>
      </c>
      <c r="AK480">
        <v>2</v>
      </c>
      <c r="AL480">
        <v>5</v>
      </c>
      <c r="AM480">
        <v>4</v>
      </c>
      <c r="AN480">
        <v>4.4000000000000004</v>
      </c>
      <c r="AO480">
        <v>4</v>
      </c>
      <c r="AP480">
        <v>4.2</v>
      </c>
      <c r="AQ480">
        <v>4</v>
      </c>
      <c r="AR480">
        <v>8</v>
      </c>
      <c r="AS480">
        <v>4</v>
      </c>
      <c r="AT480">
        <v>-3.4</v>
      </c>
      <c r="AU480">
        <v>-5.3</v>
      </c>
      <c r="AV480">
        <v>-5</v>
      </c>
      <c r="AW480">
        <v>-4.2</v>
      </c>
      <c r="AX480">
        <v>-5.0999999999999996</v>
      </c>
      <c r="AY480">
        <v>-5</v>
      </c>
      <c r="AZ480">
        <v>10.6</v>
      </c>
      <c r="BA480">
        <v>10</v>
      </c>
      <c r="BB480">
        <v>10</v>
      </c>
      <c r="BC480">
        <v>10</v>
      </c>
      <c r="BD480">
        <v>4.3</v>
      </c>
      <c r="BE480">
        <v>4</v>
      </c>
      <c r="BF480">
        <v>10.1</v>
      </c>
      <c r="BG480">
        <v>10</v>
      </c>
      <c r="BH480">
        <v>11</v>
      </c>
      <c r="BI480">
        <v>10</v>
      </c>
      <c r="BJ480">
        <v>11.1</v>
      </c>
      <c r="BK480">
        <v>9</v>
      </c>
      <c r="BL480">
        <v>18.7</v>
      </c>
      <c r="BM480">
        <v>19</v>
      </c>
      <c r="BN480">
        <v>23.6</v>
      </c>
      <c r="BO480">
        <v>19</v>
      </c>
      <c r="BP480">
        <v>20.3</v>
      </c>
      <c r="BQ480">
        <v>20</v>
      </c>
      <c r="BR480">
        <v>21.4</v>
      </c>
      <c r="BS480">
        <v>25</v>
      </c>
      <c r="BT480">
        <v>21.9</v>
      </c>
      <c r="BU480">
        <v>25</v>
      </c>
      <c r="BV480">
        <v>23.6</v>
      </c>
      <c r="BW480">
        <v>18</v>
      </c>
      <c r="BX480">
        <v>19.8</v>
      </c>
      <c r="BY480">
        <v>20</v>
      </c>
      <c r="BZ480">
        <v>21.8</v>
      </c>
      <c r="CA480">
        <v>20</v>
      </c>
      <c r="CB480">
        <v>10.3</v>
      </c>
      <c r="CC480">
        <v>10</v>
      </c>
      <c r="CD480">
        <v>11</v>
      </c>
      <c r="CE480">
        <v>10</v>
      </c>
      <c r="CF480">
        <v>11</v>
      </c>
      <c r="CG480">
        <v>9</v>
      </c>
      <c r="CH480">
        <v>11.2</v>
      </c>
      <c r="CI480">
        <v>9</v>
      </c>
    </row>
    <row r="481" spans="1:87" x14ac:dyDescent="0.35">
      <c r="A481" s="1">
        <v>46059.790972222225</v>
      </c>
      <c r="B481">
        <v>-17.2</v>
      </c>
      <c r="C481">
        <v>7.1</v>
      </c>
      <c r="D481">
        <v>-25</v>
      </c>
      <c r="E481">
        <v>-18.3</v>
      </c>
      <c r="F481">
        <v>-19.5</v>
      </c>
      <c r="G481">
        <v>-25</v>
      </c>
      <c r="H481">
        <v>-16.899999999999999</v>
      </c>
      <c r="I481">
        <v>-15</v>
      </c>
      <c r="J481">
        <v>-25</v>
      </c>
      <c r="K481">
        <v>-16.5</v>
      </c>
      <c r="L481">
        <v>-17.2</v>
      </c>
      <c r="M481">
        <v>-25</v>
      </c>
      <c r="N481">
        <v>-19</v>
      </c>
      <c r="O481">
        <v>-19.100000000000001</v>
      </c>
      <c r="P481">
        <v>-25</v>
      </c>
      <c r="Q481">
        <v>-18.2</v>
      </c>
      <c r="R481">
        <v>-18.899999999999999</v>
      </c>
      <c r="S481">
        <v>-25</v>
      </c>
      <c r="T481">
        <v>2.2999999999999998</v>
      </c>
      <c r="U481">
        <v>2.2000000000000002</v>
      </c>
      <c r="V481">
        <v>2</v>
      </c>
      <c r="W481">
        <v>2.2999999999999998</v>
      </c>
      <c r="X481">
        <v>1.9</v>
      </c>
      <c r="Y481">
        <v>2</v>
      </c>
      <c r="Z481">
        <v>3.5</v>
      </c>
      <c r="AA481">
        <v>3.2</v>
      </c>
      <c r="AB481">
        <v>2</v>
      </c>
      <c r="AC481">
        <v>3.3</v>
      </c>
      <c r="AD481">
        <v>3.2</v>
      </c>
      <c r="AE481">
        <v>2</v>
      </c>
      <c r="AF481">
        <v>3.1</v>
      </c>
      <c r="AG481">
        <v>2.7</v>
      </c>
      <c r="AH481">
        <v>2</v>
      </c>
      <c r="AI481">
        <v>2.9</v>
      </c>
      <c r="AJ481">
        <v>0</v>
      </c>
      <c r="AK481">
        <v>2</v>
      </c>
      <c r="AL481">
        <v>5</v>
      </c>
      <c r="AM481">
        <v>4</v>
      </c>
      <c r="AN481">
        <v>4.3</v>
      </c>
      <c r="AO481">
        <v>4</v>
      </c>
      <c r="AP481">
        <v>4.4000000000000004</v>
      </c>
      <c r="AQ481">
        <v>4</v>
      </c>
      <c r="AR481">
        <v>8.1</v>
      </c>
      <c r="AS481">
        <v>4</v>
      </c>
      <c r="AT481">
        <v>-3.7</v>
      </c>
      <c r="AU481">
        <v>-5.8</v>
      </c>
      <c r="AV481">
        <v>-5</v>
      </c>
      <c r="AW481">
        <v>-4.4000000000000004</v>
      </c>
      <c r="AX481">
        <v>-6.1</v>
      </c>
      <c r="AY481">
        <v>-5</v>
      </c>
      <c r="AZ481">
        <v>10.7</v>
      </c>
      <c r="BA481">
        <v>10</v>
      </c>
      <c r="BB481">
        <v>10</v>
      </c>
      <c r="BC481">
        <v>10</v>
      </c>
      <c r="BD481">
        <v>4</v>
      </c>
      <c r="BE481">
        <v>4</v>
      </c>
      <c r="BF481">
        <v>10.4</v>
      </c>
      <c r="BG481">
        <v>10</v>
      </c>
      <c r="BH481">
        <v>10.9</v>
      </c>
      <c r="BI481">
        <v>10</v>
      </c>
      <c r="BJ481">
        <v>11.1</v>
      </c>
      <c r="BK481">
        <v>9</v>
      </c>
      <c r="BL481">
        <v>18.7</v>
      </c>
      <c r="BM481">
        <v>19</v>
      </c>
      <c r="BN481">
        <v>23.6</v>
      </c>
      <c r="BO481">
        <v>19</v>
      </c>
      <c r="BP481">
        <v>20.3</v>
      </c>
      <c r="BQ481">
        <v>20</v>
      </c>
      <c r="BR481">
        <v>21.4</v>
      </c>
      <c r="BS481">
        <v>25</v>
      </c>
      <c r="BT481">
        <v>21.9</v>
      </c>
      <c r="BU481">
        <v>25</v>
      </c>
      <c r="BV481">
        <v>23.6</v>
      </c>
      <c r="BW481">
        <v>18</v>
      </c>
      <c r="BX481">
        <v>19.899999999999999</v>
      </c>
      <c r="BY481">
        <v>20</v>
      </c>
      <c r="BZ481">
        <v>21.8</v>
      </c>
      <c r="CA481">
        <v>20</v>
      </c>
      <c r="CB481">
        <v>10.199999999999999</v>
      </c>
      <c r="CC481">
        <v>10</v>
      </c>
      <c r="CD481">
        <v>11</v>
      </c>
      <c r="CE481">
        <v>10</v>
      </c>
      <c r="CF481">
        <v>11.2</v>
      </c>
      <c r="CG481">
        <v>9</v>
      </c>
      <c r="CH481">
        <v>11.4</v>
      </c>
      <c r="CI481">
        <v>9</v>
      </c>
    </row>
    <row r="482" spans="1:87" x14ac:dyDescent="0.35">
      <c r="A482" s="1">
        <v>46059.791666666664</v>
      </c>
      <c r="B482">
        <v>-17.2</v>
      </c>
      <c r="C482">
        <v>5.5</v>
      </c>
      <c r="D482">
        <v>-25</v>
      </c>
      <c r="E482">
        <v>-18.3</v>
      </c>
      <c r="F482">
        <v>-20.6</v>
      </c>
      <c r="G482">
        <v>-25</v>
      </c>
      <c r="H482">
        <v>-16.899999999999999</v>
      </c>
      <c r="I482">
        <v>-15</v>
      </c>
      <c r="J482">
        <v>-25</v>
      </c>
      <c r="K482">
        <v>-16.5</v>
      </c>
      <c r="L482">
        <v>-17.2</v>
      </c>
      <c r="M482">
        <v>-25</v>
      </c>
      <c r="N482">
        <v>-19.100000000000001</v>
      </c>
      <c r="O482">
        <v>-19.100000000000001</v>
      </c>
      <c r="P482">
        <v>-25</v>
      </c>
      <c r="Q482">
        <v>-18.2</v>
      </c>
      <c r="R482">
        <v>-18.899999999999999</v>
      </c>
      <c r="S482">
        <v>-25</v>
      </c>
      <c r="T482">
        <v>2.2999999999999998</v>
      </c>
      <c r="U482">
        <v>2.2999999999999998</v>
      </c>
      <c r="V482">
        <v>2</v>
      </c>
      <c r="W482">
        <v>2.4</v>
      </c>
      <c r="X482">
        <v>2.1</v>
      </c>
      <c r="Y482">
        <v>2</v>
      </c>
      <c r="Z482">
        <v>3.6</v>
      </c>
      <c r="AA482">
        <v>3.3</v>
      </c>
      <c r="AB482">
        <v>2</v>
      </c>
      <c r="AC482">
        <v>3.4</v>
      </c>
      <c r="AD482">
        <v>3.3</v>
      </c>
      <c r="AE482">
        <v>2</v>
      </c>
      <c r="AF482">
        <v>2.8</v>
      </c>
      <c r="AG482">
        <v>2.2999999999999998</v>
      </c>
      <c r="AH482">
        <v>2</v>
      </c>
      <c r="AI482">
        <v>2.7</v>
      </c>
      <c r="AJ482">
        <v>0.4</v>
      </c>
      <c r="AK482">
        <v>2</v>
      </c>
      <c r="AL482">
        <v>4.9000000000000004</v>
      </c>
      <c r="AM482">
        <v>4</v>
      </c>
      <c r="AN482">
        <v>4.2</v>
      </c>
      <c r="AO482">
        <v>4</v>
      </c>
      <c r="AP482">
        <v>4.5999999999999996</v>
      </c>
      <c r="AQ482">
        <v>4</v>
      </c>
      <c r="AR482">
        <v>8.1999999999999993</v>
      </c>
      <c r="AS482">
        <v>4</v>
      </c>
      <c r="AT482">
        <v>-3.9</v>
      </c>
      <c r="AU482">
        <v>-6.1</v>
      </c>
      <c r="AV482">
        <v>-5</v>
      </c>
      <c r="AW482">
        <v>-4.5999999999999996</v>
      </c>
      <c r="AX482">
        <v>-6.4</v>
      </c>
      <c r="AY482">
        <v>-5</v>
      </c>
      <c r="AZ482">
        <v>10.8</v>
      </c>
      <c r="BA482">
        <v>10</v>
      </c>
      <c r="BB482">
        <v>10.199999999999999</v>
      </c>
      <c r="BC482">
        <v>10</v>
      </c>
      <c r="BD482">
        <v>4</v>
      </c>
      <c r="BE482">
        <v>4</v>
      </c>
      <c r="BF482">
        <v>10.7</v>
      </c>
      <c r="BG482">
        <v>10</v>
      </c>
      <c r="BH482">
        <v>10.9</v>
      </c>
      <c r="BI482">
        <v>10</v>
      </c>
      <c r="BJ482">
        <v>11.1</v>
      </c>
      <c r="BK482">
        <v>9</v>
      </c>
      <c r="BL482">
        <v>18.7</v>
      </c>
      <c r="BM482">
        <v>19</v>
      </c>
      <c r="BN482">
        <v>23.6</v>
      </c>
      <c r="BO482">
        <v>19</v>
      </c>
      <c r="BP482">
        <v>20.3</v>
      </c>
      <c r="BQ482">
        <v>20</v>
      </c>
      <c r="BR482">
        <v>21.5</v>
      </c>
      <c r="BS482">
        <v>25</v>
      </c>
      <c r="BT482">
        <v>21.9</v>
      </c>
      <c r="BU482">
        <v>25</v>
      </c>
      <c r="BV482">
        <v>23.6</v>
      </c>
      <c r="BW482">
        <v>18</v>
      </c>
      <c r="BX482">
        <v>20.100000000000001</v>
      </c>
      <c r="BY482">
        <v>20</v>
      </c>
      <c r="BZ482">
        <v>21.8</v>
      </c>
      <c r="CA482">
        <v>20</v>
      </c>
      <c r="CB482">
        <v>10.1</v>
      </c>
      <c r="CC482">
        <v>10</v>
      </c>
      <c r="CD482">
        <v>11.1</v>
      </c>
      <c r="CE482">
        <v>10</v>
      </c>
      <c r="CF482">
        <v>11.3</v>
      </c>
      <c r="CG482">
        <v>9</v>
      </c>
      <c r="CH482">
        <v>11.5</v>
      </c>
      <c r="CI482">
        <v>9</v>
      </c>
    </row>
    <row r="483" spans="1:87" x14ac:dyDescent="0.35">
      <c r="A483" s="1">
        <v>46059.792361111111</v>
      </c>
      <c r="B483">
        <v>-17.2</v>
      </c>
      <c r="C483">
        <v>3.4</v>
      </c>
      <c r="D483">
        <v>-25</v>
      </c>
      <c r="E483">
        <v>-18.3</v>
      </c>
      <c r="F483">
        <v>-20.7</v>
      </c>
      <c r="G483">
        <v>-25</v>
      </c>
      <c r="H483">
        <v>-16.899999999999999</v>
      </c>
      <c r="I483">
        <v>-15</v>
      </c>
      <c r="J483">
        <v>-25</v>
      </c>
      <c r="K483">
        <v>-16.5</v>
      </c>
      <c r="L483">
        <v>-17.2</v>
      </c>
      <c r="M483">
        <v>-25</v>
      </c>
      <c r="N483">
        <v>-19.100000000000001</v>
      </c>
      <c r="O483">
        <v>-19.100000000000001</v>
      </c>
      <c r="P483">
        <v>-25</v>
      </c>
      <c r="Q483">
        <v>-18.3</v>
      </c>
      <c r="R483">
        <v>-18.899999999999999</v>
      </c>
      <c r="S483">
        <v>-25</v>
      </c>
      <c r="T483">
        <v>2.2999999999999998</v>
      </c>
      <c r="U483">
        <v>2.6</v>
      </c>
      <c r="V483">
        <v>2</v>
      </c>
      <c r="W483">
        <v>2.6</v>
      </c>
      <c r="X483">
        <v>2.1</v>
      </c>
      <c r="Y483">
        <v>2</v>
      </c>
      <c r="Z483">
        <v>3.6</v>
      </c>
      <c r="AA483">
        <v>3.4</v>
      </c>
      <c r="AB483">
        <v>2</v>
      </c>
      <c r="AC483">
        <v>3.5</v>
      </c>
      <c r="AD483">
        <v>3.3</v>
      </c>
      <c r="AE483">
        <v>2</v>
      </c>
      <c r="AF483">
        <v>2.8</v>
      </c>
      <c r="AG483">
        <v>2.2999999999999998</v>
      </c>
      <c r="AH483">
        <v>2</v>
      </c>
      <c r="AI483">
        <v>2.6</v>
      </c>
      <c r="AJ483">
        <v>0</v>
      </c>
      <c r="AK483">
        <v>2</v>
      </c>
      <c r="AL483">
        <v>4.8</v>
      </c>
      <c r="AM483">
        <v>4</v>
      </c>
      <c r="AN483">
        <v>4</v>
      </c>
      <c r="AO483">
        <v>4</v>
      </c>
      <c r="AP483">
        <v>4.8</v>
      </c>
      <c r="AQ483">
        <v>4</v>
      </c>
      <c r="AR483">
        <v>8.1999999999999993</v>
      </c>
      <c r="AS483">
        <v>4</v>
      </c>
      <c r="AT483">
        <v>-4.2</v>
      </c>
      <c r="AU483">
        <v>-6.4</v>
      </c>
      <c r="AV483">
        <v>-5</v>
      </c>
      <c r="AW483">
        <v>-4.7</v>
      </c>
      <c r="AX483">
        <v>-5.4</v>
      </c>
      <c r="AY483">
        <v>-5</v>
      </c>
      <c r="AZ483">
        <v>10.9</v>
      </c>
      <c r="BA483">
        <v>10</v>
      </c>
      <c r="BB483">
        <v>10.6</v>
      </c>
      <c r="BC483">
        <v>10</v>
      </c>
      <c r="BD483">
        <v>4</v>
      </c>
      <c r="BE483">
        <v>4</v>
      </c>
      <c r="BF483">
        <v>11</v>
      </c>
      <c r="BG483">
        <v>10</v>
      </c>
      <c r="BH483">
        <v>10.9</v>
      </c>
      <c r="BI483">
        <v>10</v>
      </c>
      <c r="BJ483">
        <v>11.1</v>
      </c>
      <c r="BK483">
        <v>9</v>
      </c>
      <c r="BL483">
        <v>18.8</v>
      </c>
      <c r="BM483">
        <v>19</v>
      </c>
      <c r="BN483">
        <v>23.6</v>
      </c>
      <c r="BO483">
        <v>19</v>
      </c>
      <c r="BP483">
        <v>20.3</v>
      </c>
      <c r="BQ483">
        <v>20</v>
      </c>
      <c r="BR483">
        <v>21.5</v>
      </c>
      <c r="BS483">
        <v>25</v>
      </c>
      <c r="BT483">
        <v>21.9</v>
      </c>
      <c r="BU483">
        <v>25</v>
      </c>
      <c r="BV483">
        <v>23.6</v>
      </c>
      <c r="BW483">
        <v>18</v>
      </c>
      <c r="BX483">
        <v>20.2</v>
      </c>
      <c r="BY483">
        <v>20</v>
      </c>
      <c r="BZ483">
        <v>21.8</v>
      </c>
      <c r="CA483">
        <v>20</v>
      </c>
      <c r="CB483">
        <v>10</v>
      </c>
      <c r="CC483">
        <v>10</v>
      </c>
      <c r="CD483">
        <v>11.2</v>
      </c>
      <c r="CE483">
        <v>10</v>
      </c>
      <c r="CF483">
        <v>11.2</v>
      </c>
      <c r="CG483">
        <v>9</v>
      </c>
      <c r="CH483">
        <v>11.5</v>
      </c>
      <c r="CI483">
        <v>9</v>
      </c>
    </row>
    <row r="484" spans="1:87" x14ac:dyDescent="0.35">
      <c r="A484" s="1">
        <v>46059.793055555558</v>
      </c>
      <c r="B484">
        <v>-17.2</v>
      </c>
      <c r="C484">
        <v>1.2</v>
      </c>
      <c r="D484">
        <v>-25</v>
      </c>
      <c r="E484">
        <v>-18.5</v>
      </c>
      <c r="F484">
        <v>-20.9</v>
      </c>
      <c r="G484">
        <v>-25</v>
      </c>
      <c r="H484">
        <v>-16.899999999999999</v>
      </c>
      <c r="I484">
        <v>-15</v>
      </c>
      <c r="J484">
        <v>-25</v>
      </c>
      <c r="K484">
        <v>-16.5</v>
      </c>
      <c r="L484">
        <v>-17.2</v>
      </c>
      <c r="M484">
        <v>-25</v>
      </c>
      <c r="N484">
        <v>-19.100000000000001</v>
      </c>
      <c r="O484">
        <v>-19.100000000000001</v>
      </c>
      <c r="P484">
        <v>-25</v>
      </c>
      <c r="Q484">
        <v>-18.399999999999999</v>
      </c>
      <c r="R484">
        <v>-18.899999999999999</v>
      </c>
      <c r="S484">
        <v>-25</v>
      </c>
      <c r="T484">
        <v>2.2999999999999998</v>
      </c>
      <c r="U484">
        <v>2.6</v>
      </c>
      <c r="V484">
        <v>2</v>
      </c>
      <c r="W484">
        <v>2.8</v>
      </c>
      <c r="X484">
        <v>2.1</v>
      </c>
      <c r="Y484">
        <v>2</v>
      </c>
      <c r="Z484">
        <v>3.7</v>
      </c>
      <c r="AA484">
        <v>3.5</v>
      </c>
      <c r="AB484">
        <v>2</v>
      </c>
      <c r="AC484">
        <v>3.5</v>
      </c>
      <c r="AD484">
        <v>3.4</v>
      </c>
      <c r="AE484">
        <v>2</v>
      </c>
      <c r="AF484">
        <v>2.5</v>
      </c>
      <c r="AG484">
        <v>2</v>
      </c>
      <c r="AH484">
        <v>2</v>
      </c>
      <c r="AI484">
        <v>2.4</v>
      </c>
      <c r="AJ484">
        <v>-0.5</v>
      </c>
      <c r="AK484">
        <v>2</v>
      </c>
      <c r="AL484">
        <v>4.5999999999999996</v>
      </c>
      <c r="AM484">
        <v>4</v>
      </c>
      <c r="AN484">
        <v>4</v>
      </c>
      <c r="AO484">
        <v>4</v>
      </c>
      <c r="AP484">
        <v>5</v>
      </c>
      <c r="AQ484">
        <v>4</v>
      </c>
      <c r="AR484">
        <v>8.3000000000000007</v>
      </c>
      <c r="AS484">
        <v>4</v>
      </c>
      <c r="AT484">
        <v>-4.4000000000000004</v>
      </c>
      <c r="AU484">
        <v>-6.5</v>
      </c>
      <c r="AV484">
        <v>-5</v>
      </c>
      <c r="AW484">
        <v>-4.7</v>
      </c>
      <c r="AX484">
        <v>-5.0999999999999996</v>
      </c>
      <c r="AY484">
        <v>-5</v>
      </c>
      <c r="AZ484">
        <v>11.1</v>
      </c>
      <c r="BA484">
        <v>10</v>
      </c>
      <c r="BB484">
        <v>10.9</v>
      </c>
      <c r="BC484">
        <v>10</v>
      </c>
      <c r="BD484">
        <v>4.4000000000000004</v>
      </c>
      <c r="BE484">
        <v>4</v>
      </c>
      <c r="BF484">
        <v>11.2</v>
      </c>
      <c r="BG484">
        <v>10</v>
      </c>
      <c r="BH484">
        <v>10.8</v>
      </c>
      <c r="BI484">
        <v>10</v>
      </c>
      <c r="BJ484">
        <v>11.1</v>
      </c>
      <c r="BK484">
        <v>9</v>
      </c>
      <c r="BL484">
        <v>18.8</v>
      </c>
      <c r="BM484">
        <v>19</v>
      </c>
      <c r="BN484">
        <v>23.6</v>
      </c>
      <c r="BO484">
        <v>19</v>
      </c>
      <c r="BP484">
        <v>20.399999999999999</v>
      </c>
      <c r="BQ484">
        <v>20</v>
      </c>
      <c r="BR484">
        <v>21.5</v>
      </c>
      <c r="BS484">
        <v>25</v>
      </c>
      <c r="BT484">
        <v>21.9</v>
      </c>
      <c r="BU484">
        <v>25</v>
      </c>
      <c r="BV484">
        <v>23.6</v>
      </c>
      <c r="BW484">
        <v>18</v>
      </c>
      <c r="BX484">
        <v>20.3</v>
      </c>
      <c r="BY484">
        <v>20</v>
      </c>
      <c r="BZ484">
        <v>21.9</v>
      </c>
      <c r="CA484">
        <v>20</v>
      </c>
      <c r="CB484">
        <v>10.1</v>
      </c>
      <c r="CC484">
        <v>10</v>
      </c>
      <c r="CD484">
        <v>11.2</v>
      </c>
      <c r="CE484">
        <v>10</v>
      </c>
      <c r="CF484">
        <v>11</v>
      </c>
      <c r="CG484">
        <v>9</v>
      </c>
      <c r="CH484">
        <v>11.2</v>
      </c>
      <c r="CI484">
        <v>9</v>
      </c>
    </row>
    <row r="485" spans="1:87" x14ac:dyDescent="0.35">
      <c r="A485" s="1">
        <v>46059.793749999997</v>
      </c>
      <c r="B485">
        <v>-18</v>
      </c>
      <c r="C485">
        <v>-0.8</v>
      </c>
      <c r="D485">
        <v>-25</v>
      </c>
      <c r="E485">
        <v>-18.600000000000001</v>
      </c>
      <c r="F485">
        <v>-21.1</v>
      </c>
      <c r="G485">
        <v>-25</v>
      </c>
      <c r="H485">
        <v>-16.899999999999999</v>
      </c>
      <c r="I485">
        <v>-15</v>
      </c>
      <c r="J485">
        <v>-25</v>
      </c>
      <c r="K485">
        <v>-16.5</v>
      </c>
      <c r="L485">
        <v>-17.2</v>
      </c>
      <c r="M485">
        <v>-25</v>
      </c>
      <c r="N485">
        <v>-19.100000000000001</v>
      </c>
      <c r="O485">
        <v>-19.2</v>
      </c>
      <c r="P485">
        <v>-25</v>
      </c>
      <c r="Q485">
        <v>-18.5</v>
      </c>
      <c r="R485">
        <v>-19</v>
      </c>
      <c r="S485">
        <v>-25</v>
      </c>
      <c r="T485">
        <v>2.2999999999999998</v>
      </c>
      <c r="U485">
        <v>2.8</v>
      </c>
      <c r="V485">
        <v>2</v>
      </c>
      <c r="W485">
        <v>3</v>
      </c>
      <c r="X485">
        <v>2.1</v>
      </c>
      <c r="Y485">
        <v>2</v>
      </c>
      <c r="Z485">
        <v>3.8</v>
      </c>
      <c r="AA485">
        <v>3.5</v>
      </c>
      <c r="AB485">
        <v>2</v>
      </c>
      <c r="AC485">
        <v>3.6</v>
      </c>
      <c r="AD485">
        <v>3.5</v>
      </c>
      <c r="AE485">
        <v>2</v>
      </c>
      <c r="AF485">
        <v>2.5</v>
      </c>
      <c r="AG485">
        <v>2</v>
      </c>
      <c r="AH485">
        <v>2</v>
      </c>
      <c r="AI485">
        <v>2.2999999999999998</v>
      </c>
      <c r="AJ485">
        <v>0.5</v>
      </c>
      <c r="AK485">
        <v>2</v>
      </c>
      <c r="AL485">
        <v>4.5</v>
      </c>
      <c r="AM485">
        <v>4</v>
      </c>
      <c r="AN485">
        <v>3.9</v>
      </c>
      <c r="AO485">
        <v>4</v>
      </c>
      <c r="AP485">
        <v>5.2</v>
      </c>
      <c r="AQ485">
        <v>4</v>
      </c>
      <c r="AR485">
        <v>8.3000000000000007</v>
      </c>
      <c r="AS485">
        <v>4</v>
      </c>
      <c r="AT485">
        <v>-4.5</v>
      </c>
      <c r="AU485">
        <v>-6.6</v>
      </c>
      <c r="AV485">
        <v>-5</v>
      </c>
      <c r="AW485">
        <v>-4.7</v>
      </c>
      <c r="AX485">
        <v>-5.2</v>
      </c>
      <c r="AY485">
        <v>-5</v>
      </c>
      <c r="AZ485">
        <v>11.2</v>
      </c>
      <c r="BA485">
        <v>10</v>
      </c>
      <c r="BB485">
        <v>11.1</v>
      </c>
      <c r="BC485">
        <v>10</v>
      </c>
      <c r="BD485">
        <v>4.5999999999999996</v>
      </c>
      <c r="BE485">
        <v>4</v>
      </c>
      <c r="BF485">
        <v>11.6</v>
      </c>
      <c r="BG485">
        <v>10</v>
      </c>
      <c r="BH485">
        <v>10.8</v>
      </c>
      <c r="BI485">
        <v>10</v>
      </c>
      <c r="BJ485">
        <v>11.1</v>
      </c>
      <c r="BK485">
        <v>9</v>
      </c>
      <c r="BL485">
        <v>18.8</v>
      </c>
      <c r="BM485">
        <v>19</v>
      </c>
      <c r="BN485">
        <v>23.6</v>
      </c>
      <c r="BO485">
        <v>19</v>
      </c>
      <c r="BP485">
        <v>20.399999999999999</v>
      </c>
      <c r="BQ485">
        <v>20</v>
      </c>
      <c r="BR485">
        <v>21.6</v>
      </c>
      <c r="BS485">
        <v>25</v>
      </c>
      <c r="BT485">
        <v>21.9</v>
      </c>
      <c r="BU485">
        <v>25</v>
      </c>
      <c r="BV485">
        <v>23.6</v>
      </c>
      <c r="BW485">
        <v>18</v>
      </c>
      <c r="BX485">
        <v>20.399999999999999</v>
      </c>
      <c r="BY485">
        <v>20</v>
      </c>
      <c r="BZ485">
        <v>21.9</v>
      </c>
      <c r="CA485">
        <v>20</v>
      </c>
      <c r="CB485">
        <v>10.5</v>
      </c>
      <c r="CC485">
        <v>10</v>
      </c>
      <c r="CD485">
        <v>11.2</v>
      </c>
      <c r="CE485">
        <v>10</v>
      </c>
      <c r="CF485">
        <v>10.9</v>
      </c>
      <c r="CG485">
        <v>9</v>
      </c>
      <c r="CH485">
        <v>11.2</v>
      </c>
      <c r="CI485">
        <v>9</v>
      </c>
    </row>
    <row r="486" spans="1:87" x14ac:dyDescent="0.35">
      <c r="A486" s="1">
        <v>46059.794444444444</v>
      </c>
      <c r="B486">
        <v>-18.3</v>
      </c>
      <c r="C486">
        <v>-2.6</v>
      </c>
      <c r="D486">
        <v>-25</v>
      </c>
      <c r="E486">
        <v>-18.8</v>
      </c>
      <c r="F486">
        <v>-21.3</v>
      </c>
      <c r="G486">
        <v>-25</v>
      </c>
      <c r="H486">
        <v>-16.899999999999999</v>
      </c>
      <c r="I486">
        <v>-15</v>
      </c>
      <c r="J486">
        <v>-25</v>
      </c>
      <c r="K486">
        <v>-16.5</v>
      </c>
      <c r="L486">
        <v>-17.2</v>
      </c>
      <c r="M486">
        <v>-25</v>
      </c>
      <c r="N486">
        <v>-19.100000000000001</v>
      </c>
      <c r="O486">
        <v>-19.3</v>
      </c>
      <c r="P486">
        <v>-25</v>
      </c>
      <c r="Q486">
        <v>-18.600000000000001</v>
      </c>
      <c r="R486">
        <v>-19</v>
      </c>
      <c r="S486">
        <v>-25</v>
      </c>
      <c r="T486">
        <v>2.2999999999999998</v>
      </c>
      <c r="U486">
        <v>2.9</v>
      </c>
      <c r="V486">
        <v>2</v>
      </c>
      <c r="W486">
        <v>3.1</v>
      </c>
      <c r="X486">
        <v>2.1</v>
      </c>
      <c r="Y486">
        <v>2</v>
      </c>
      <c r="Z486">
        <v>3.9</v>
      </c>
      <c r="AA486">
        <v>3.6</v>
      </c>
      <c r="AB486">
        <v>2</v>
      </c>
      <c r="AC486">
        <v>3.7</v>
      </c>
      <c r="AD486">
        <v>3.6</v>
      </c>
      <c r="AE486">
        <v>2</v>
      </c>
      <c r="AF486">
        <v>2.4</v>
      </c>
      <c r="AG486">
        <v>1.9</v>
      </c>
      <c r="AH486">
        <v>2</v>
      </c>
      <c r="AI486">
        <v>2.2000000000000002</v>
      </c>
      <c r="AJ486">
        <v>-0.6</v>
      </c>
      <c r="AK486">
        <v>2</v>
      </c>
      <c r="AL486">
        <v>4.3</v>
      </c>
      <c r="AM486">
        <v>4</v>
      </c>
      <c r="AN486">
        <v>3.9</v>
      </c>
      <c r="AO486">
        <v>4</v>
      </c>
      <c r="AP486">
        <v>5.3</v>
      </c>
      <c r="AQ486">
        <v>4</v>
      </c>
      <c r="AR486">
        <v>8.3000000000000007</v>
      </c>
      <c r="AS486">
        <v>4</v>
      </c>
      <c r="AT486">
        <v>-4.7</v>
      </c>
      <c r="AU486">
        <v>-6.7</v>
      </c>
      <c r="AV486">
        <v>-5</v>
      </c>
      <c r="AW486">
        <v>-4.9000000000000004</v>
      </c>
      <c r="AX486">
        <v>-6.5</v>
      </c>
      <c r="AY486">
        <v>-5</v>
      </c>
      <c r="AZ486">
        <v>11.2</v>
      </c>
      <c r="BA486">
        <v>10</v>
      </c>
      <c r="BB486">
        <v>11.4</v>
      </c>
      <c r="BC486">
        <v>10</v>
      </c>
      <c r="BD486">
        <v>4.8</v>
      </c>
      <c r="BE486">
        <v>4</v>
      </c>
      <c r="BF486">
        <v>11.7</v>
      </c>
      <c r="BG486">
        <v>10</v>
      </c>
      <c r="BH486">
        <v>10.8</v>
      </c>
      <c r="BI486">
        <v>10</v>
      </c>
      <c r="BJ486">
        <v>11.1</v>
      </c>
      <c r="BK486">
        <v>9</v>
      </c>
      <c r="BL486">
        <v>18.899999999999999</v>
      </c>
      <c r="BM486">
        <v>19</v>
      </c>
      <c r="BN486">
        <v>23.6</v>
      </c>
      <c r="BO486">
        <v>19</v>
      </c>
      <c r="BP486">
        <v>20.399999999999999</v>
      </c>
      <c r="BQ486">
        <v>20</v>
      </c>
      <c r="BR486">
        <v>21.6</v>
      </c>
      <c r="BS486">
        <v>25</v>
      </c>
      <c r="BT486">
        <v>21.9</v>
      </c>
      <c r="BU486">
        <v>25</v>
      </c>
      <c r="BV486">
        <v>23.6</v>
      </c>
      <c r="BW486">
        <v>18</v>
      </c>
      <c r="BX486">
        <v>20.5</v>
      </c>
      <c r="BY486">
        <v>20</v>
      </c>
      <c r="BZ486">
        <v>21.9</v>
      </c>
      <c r="CA486">
        <v>20</v>
      </c>
      <c r="CB486">
        <v>10.9</v>
      </c>
      <c r="CC486">
        <v>10</v>
      </c>
      <c r="CD486">
        <v>11.2</v>
      </c>
      <c r="CE486">
        <v>10</v>
      </c>
      <c r="CF486">
        <v>11</v>
      </c>
      <c r="CG486">
        <v>9</v>
      </c>
      <c r="CH486">
        <v>11.2</v>
      </c>
      <c r="CI486">
        <v>9</v>
      </c>
    </row>
    <row r="487" spans="1:87" x14ac:dyDescent="0.35">
      <c r="A487" s="1">
        <v>46059.795138888891</v>
      </c>
      <c r="B487">
        <v>-18.5</v>
      </c>
      <c r="C487">
        <v>-4</v>
      </c>
      <c r="D487">
        <v>-25</v>
      </c>
      <c r="E487">
        <v>-18.8</v>
      </c>
      <c r="F487">
        <v>-21.3</v>
      </c>
      <c r="G487">
        <v>-25</v>
      </c>
      <c r="H487">
        <v>-16.899999999999999</v>
      </c>
      <c r="I487">
        <v>-15</v>
      </c>
      <c r="J487">
        <v>-25</v>
      </c>
      <c r="K487">
        <v>-16.5</v>
      </c>
      <c r="L487">
        <v>-17.2</v>
      </c>
      <c r="M487">
        <v>-25</v>
      </c>
      <c r="N487">
        <v>-19.2</v>
      </c>
      <c r="O487">
        <v>-19.3</v>
      </c>
      <c r="P487">
        <v>-25</v>
      </c>
      <c r="Q487">
        <v>-18.600000000000001</v>
      </c>
      <c r="R487">
        <v>-19.100000000000001</v>
      </c>
      <c r="S487">
        <v>-25</v>
      </c>
      <c r="T487">
        <v>2.2999999999999998</v>
      </c>
      <c r="U487">
        <v>2.9</v>
      </c>
      <c r="V487">
        <v>2</v>
      </c>
      <c r="W487">
        <v>3.3</v>
      </c>
      <c r="X487">
        <v>2.1</v>
      </c>
      <c r="Y487">
        <v>2</v>
      </c>
      <c r="Z487">
        <v>3.9</v>
      </c>
      <c r="AA487">
        <v>3.7</v>
      </c>
      <c r="AB487">
        <v>2</v>
      </c>
      <c r="AC487">
        <v>3.7</v>
      </c>
      <c r="AD487">
        <v>3.6</v>
      </c>
      <c r="AE487">
        <v>2</v>
      </c>
      <c r="AF487">
        <v>2.2999999999999998</v>
      </c>
      <c r="AG487">
        <v>1.8</v>
      </c>
      <c r="AH487">
        <v>2</v>
      </c>
      <c r="AI487">
        <v>2.1</v>
      </c>
      <c r="AJ487">
        <v>0.2</v>
      </c>
      <c r="AK487">
        <v>2</v>
      </c>
      <c r="AL487">
        <v>4.0999999999999996</v>
      </c>
      <c r="AM487">
        <v>4</v>
      </c>
      <c r="AN487">
        <v>3.9</v>
      </c>
      <c r="AO487">
        <v>4</v>
      </c>
      <c r="AP487">
        <v>5.5</v>
      </c>
      <c r="AQ487">
        <v>4</v>
      </c>
      <c r="AR487">
        <v>8.3000000000000007</v>
      </c>
      <c r="AS487">
        <v>4</v>
      </c>
      <c r="AT487">
        <v>-4.9000000000000004</v>
      </c>
      <c r="AU487">
        <v>-7.5</v>
      </c>
      <c r="AV487">
        <v>-5</v>
      </c>
      <c r="AW487">
        <v>-5.0999999999999996</v>
      </c>
      <c r="AX487">
        <v>-6.8</v>
      </c>
      <c r="AY487">
        <v>-5</v>
      </c>
      <c r="AZ487">
        <v>11.3</v>
      </c>
      <c r="BA487">
        <v>10</v>
      </c>
      <c r="BB487">
        <v>11.5</v>
      </c>
      <c r="BC487">
        <v>10</v>
      </c>
      <c r="BD487">
        <v>5</v>
      </c>
      <c r="BE487">
        <v>4</v>
      </c>
      <c r="BF487">
        <v>12</v>
      </c>
      <c r="BG487">
        <v>10</v>
      </c>
      <c r="BH487">
        <v>10.8</v>
      </c>
      <c r="BI487">
        <v>10</v>
      </c>
      <c r="BJ487">
        <v>11.1</v>
      </c>
      <c r="BK487">
        <v>9</v>
      </c>
      <c r="BL487">
        <v>18.899999999999999</v>
      </c>
      <c r="BM487">
        <v>19</v>
      </c>
      <c r="BN487">
        <v>23.6</v>
      </c>
      <c r="BO487">
        <v>19</v>
      </c>
      <c r="BP487">
        <v>20.399999999999999</v>
      </c>
      <c r="BQ487">
        <v>20</v>
      </c>
      <c r="BR487">
        <v>21.6</v>
      </c>
      <c r="BS487">
        <v>25</v>
      </c>
      <c r="BT487">
        <v>21.9</v>
      </c>
      <c r="BU487">
        <v>25</v>
      </c>
      <c r="BV487">
        <v>23.6</v>
      </c>
      <c r="BW487">
        <v>18</v>
      </c>
      <c r="BX487">
        <v>20.6</v>
      </c>
      <c r="BY487">
        <v>20</v>
      </c>
      <c r="BZ487">
        <v>21.9</v>
      </c>
      <c r="CA487">
        <v>20</v>
      </c>
      <c r="CB487">
        <v>11.4</v>
      </c>
      <c r="CC487">
        <v>10</v>
      </c>
      <c r="CD487">
        <v>11.2</v>
      </c>
      <c r="CE487">
        <v>10</v>
      </c>
      <c r="CF487">
        <v>10.9</v>
      </c>
      <c r="CG487">
        <v>9</v>
      </c>
      <c r="CH487">
        <v>11.1</v>
      </c>
      <c r="CI487">
        <v>9</v>
      </c>
    </row>
    <row r="488" spans="1:87" x14ac:dyDescent="0.35">
      <c r="A488" s="1">
        <v>46059.79583333333</v>
      </c>
      <c r="B488">
        <v>-18.7</v>
      </c>
      <c r="C488">
        <v>-5.5</v>
      </c>
      <c r="D488">
        <v>-25</v>
      </c>
      <c r="E488">
        <v>-18.899999999999999</v>
      </c>
      <c r="F488">
        <v>-20.2</v>
      </c>
      <c r="G488">
        <v>-25</v>
      </c>
      <c r="H488">
        <v>-16.899999999999999</v>
      </c>
      <c r="I488">
        <v>-15</v>
      </c>
      <c r="J488">
        <v>-25</v>
      </c>
      <c r="K488">
        <v>-16.5</v>
      </c>
      <c r="L488">
        <v>-17.2</v>
      </c>
      <c r="M488">
        <v>-25</v>
      </c>
      <c r="N488">
        <v>-19.2</v>
      </c>
      <c r="O488">
        <v>-19.5</v>
      </c>
      <c r="P488">
        <v>-25</v>
      </c>
      <c r="Q488">
        <v>-18.8</v>
      </c>
      <c r="R488">
        <v>-19.100000000000001</v>
      </c>
      <c r="S488">
        <v>-25</v>
      </c>
      <c r="T488">
        <v>2.2999999999999998</v>
      </c>
      <c r="U488">
        <v>3</v>
      </c>
      <c r="V488">
        <v>2</v>
      </c>
      <c r="W488">
        <v>3.4</v>
      </c>
      <c r="X488">
        <v>2.1</v>
      </c>
      <c r="Y488">
        <v>2</v>
      </c>
      <c r="Z488">
        <v>4</v>
      </c>
      <c r="AA488">
        <v>3.8</v>
      </c>
      <c r="AB488">
        <v>2</v>
      </c>
      <c r="AC488">
        <v>3.8</v>
      </c>
      <c r="AD488">
        <v>3.7</v>
      </c>
      <c r="AE488">
        <v>2</v>
      </c>
      <c r="AF488">
        <v>2.2000000000000002</v>
      </c>
      <c r="AG488">
        <v>1.8</v>
      </c>
      <c r="AH488">
        <v>2</v>
      </c>
      <c r="AI488">
        <v>2.1</v>
      </c>
      <c r="AJ488">
        <v>-0.5</v>
      </c>
      <c r="AK488">
        <v>2</v>
      </c>
      <c r="AL488">
        <v>3.9</v>
      </c>
      <c r="AM488">
        <v>4</v>
      </c>
      <c r="AN488">
        <v>4</v>
      </c>
      <c r="AO488">
        <v>4</v>
      </c>
      <c r="AP488">
        <v>5.6</v>
      </c>
      <c r="AQ488">
        <v>4</v>
      </c>
      <c r="AR488">
        <v>8.3000000000000007</v>
      </c>
      <c r="AS488">
        <v>4</v>
      </c>
      <c r="AT488">
        <v>-5.4</v>
      </c>
      <c r="AU488">
        <v>-7.5</v>
      </c>
      <c r="AV488">
        <v>-5</v>
      </c>
      <c r="AW488">
        <v>-5.2</v>
      </c>
      <c r="AX488">
        <v>-5.6</v>
      </c>
      <c r="AY488">
        <v>-5</v>
      </c>
      <c r="AZ488">
        <v>11.4</v>
      </c>
      <c r="BA488">
        <v>10</v>
      </c>
      <c r="BB488">
        <v>11.8</v>
      </c>
      <c r="BC488">
        <v>10</v>
      </c>
      <c r="BD488">
        <v>5.3</v>
      </c>
      <c r="BE488">
        <v>4</v>
      </c>
      <c r="BF488">
        <v>11.9</v>
      </c>
      <c r="BG488">
        <v>10</v>
      </c>
      <c r="BH488">
        <v>10.9</v>
      </c>
      <c r="BI488">
        <v>10</v>
      </c>
      <c r="BJ488">
        <v>11.1</v>
      </c>
      <c r="BK488">
        <v>9</v>
      </c>
      <c r="BL488">
        <v>18.899999999999999</v>
      </c>
      <c r="BM488">
        <v>19</v>
      </c>
      <c r="BN488">
        <v>23.6</v>
      </c>
      <c r="BO488">
        <v>19</v>
      </c>
      <c r="BP488">
        <v>20.399999999999999</v>
      </c>
      <c r="BQ488">
        <v>20</v>
      </c>
      <c r="BR488">
        <v>21.6</v>
      </c>
      <c r="BS488">
        <v>25</v>
      </c>
      <c r="BT488">
        <v>21.9</v>
      </c>
      <c r="BU488">
        <v>25</v>
      </c>
      <c r="BV488">
        <v>23.6</v>
      </c>
      <c r="BW488">
        <v>18</v>
      </c>
      <c r="BX488">
        <v>20.7</v>
      </c>
      <c r="BY488">
        <v>20</v>
      </c>
      <c r="BZ488">
        <v>21.9</v>
      </c>
      <c r="CA488">
        <v>20</v>
      </c>
      <c r="CB488">
        <v>11.7</v>
      </c>
      <c r="CC488">
        <v>10</v>
      </c>
      <c r="CD488">
        <v>11.2</v>
      </c>
      <c r="CE488">
        <v>10</v>
      </c>
      <c r="CF488">
        <v>10.9</v>
      </c>
      <c r="CG488">
        <v>9</v>
      </c>
      <c r="CH488">
        <v>11.1</v>
      </c>
      <c r="CI488">
        <v>9</v>
      </c>
    </row>
    <row r="489" spans="1:87" x14ac:dyDescent="0.35">
      <c r="A489" s="1">
        <v>46059.796527777777</v>
      </c>
      <c r="B489">
        <v>-18.899999999999999</v>
      </c>
      <c r="C489">
        <v>-7</v>
      </c>
      <c r="D489">
        <v>-25</v>
      </c>
      <c r="E489">
        <v>-18.899999999999999</v>
      </c>
      <c r="F489">
        <v>-20.100000000000001</v>
      </c>
      <c r="G489">
        <v>-25</v>
      </c>
      <c r="H489">
        <v>-16.899999999999999</v>
      </c>
      <c r="I489">
        <v>-15</v>
      </c>
      <c r="J489">
        <v>-25</v>
      </c>
      <c r="K489">
        <v>-16.5</v>
      </c>
      <c r="L489">
        <v>-17.2</v>
      </c>
      <c r="M489">
        <v>-25</v>
      </c>
      <c r="N489">
        <v>-19.3</v>
      </c>
      <c r="O489">
        <v>-19.7</v>
      </c>
      <c r="P489">
        <v>-25</v>
      </c>
      <c r="Q489">
        <v>-18.8</v>
      </c>
      <c r="R489">
        <v>-19.3</v>
      </c>
      <c r="S489">
        <v>-25</v>
      </c>
      <c r="T489">
        <v>2.2999999999999998</v>
      </c>
      <c r="U489">
        <v>3.1</v>
      </c>
      <c r="V489">
        <v>2</v>
      </c>
      <c r="W489">
        <v>3.6</v>
      </c>
      <c r="X489">
        <v>2.1</v>
      </c>
      <c r="Y489">
        <v>2</v>
      </c>
      <c r="Z489">
        <v>4.0999999999999996</v>
      </c>
      <c r="AA489">
        <v>3.8</v>
      </c>
      <c r="AB489">
        <v>2</v>
      </c>
      <c r="AC489">
        <v>3.8</v>
      </c>
      <c r="AD489">
        <v>3.7</v>
      </c>
      <c r="AE489">
        <v>2</v>
      </c>
      <c r="AF489">
        <v>2.1</v>
      </c>
      <c r="AG489">
        <v>1.7</v>
      </c>
      <c r="AH489">
        <v>2</v>
      </c>
      <c r="AI489">
        <v>1.9</v>
      </c>
      <c r="AJ489">
        <v>0</v>
      </c>
      <c r="AK489">
        <v>2</v>
      </c>
      <c r="AL489">
        <v>3.8</v>
      </c>
      <c r="AM489">
        <v>4</v>
      </c>
      <c r="AN489">
        <v>4.0999999999999996</v>
      </c>
      <c r="AO489">
        <v>4</v>
      </c>
      <c r="AP489">
        <v>5.8</v>
      </c>
      <c r="AQ489">
        <v>4</v>
      </c>
      <c r="AR489">
        <v>7.7</v>
      </c>
      <c r="AS489">
        <v>4</v>
      </c>
      <c r="AT489">
        <v>-5.3</v>
      </c>
      <c r="AU489">
        <v>-6.1</v>
      </c>
      <c r="AV489">
        <v>-5</v>
      </c>
      <c r="AW489">
        <v>-4.7</v>
      </c>
      <c r="AX489">
        <v>-4.5999999999999996</v>
      </c>
      <c r="AY489">
        <v>-5</v>
      </c>
      <c r="AZ489">
        <v>11.5</v>
      </c>
      <c r="BA489">
        <v>10</v>
      </c>
      <c r="BB489">
        <v>12.1</v>
      </c>
      <c r="BC489">
        <v>10</v>
      </c>
      <c r="BD489">
        <v>5.4</v>
      </c>
      <c r="BE489">
        <v>4</v>
      </c>
      <c r="BF489">
        <v>11</v>
      </c>
      <c r="BG489">
        <v>10</v>
      </c>
      <c r="BH489">
        <v>10.9</v>
      </c>
      <c r="BI489">
        <v>10</v>
      </c>
      <c r="BJ489">
        <v>11.1</v>
      </c>
      <c r="BK489">
        <v>9</v>
      </c>
      <c r="BL489">
        <v>19</v>
      </c>
      <c r="BM489">
        <v>19</v>
      </c>
      <c r="BN489">
        <v>23.6</v>
      </c>
      <c r="BO489">
        <v>19</v>
      </c>
      <c r="BP489">
        <v>20.5</v>
      </c>
      <c r="BQ489">
        <v>20</v>
      </c>
      <c r="BR489">
        <v>21.5</v>
      </c>
      <c r="BS489">
        <v>25</v>
      </c>
      <c r="BT489">
        <v>21.9</v>
      </c>
      <c r="BU489">
        <v>25</v>
      </c>
      <c r="BV489">
        <v>23.6</v>
      </c>
      <c r="BW489">
        <v>18</v>
      </c>
      <c r="BX489">
        <v>20.7</v>
      </c>
      <c r="BY489">
        <v>20</v>
      </c>
      <c r="BZ489">
        <v>21.9</v>
      </c>
      <c r="CA489">
        <v>20</v>
      </c>
      <c r="CB489">
        <v>11.9</v>
      </c>
      <c r="CC489">
        <v>10</v>
      </c>
      <c r="CD489">
        <v>11.2</v>
      </c>
      <c r="CE489">
        <v>10</v>
      </c>
      <c r="CF489">
        <v>11.2</v>
      </c>
      <c r="CG489">
        <v>9</v>
      </c>
      <c r="CH489">
        <v>11.4</v>
      </c>
      <c r="CI489">
        <v>9</v>
      </c>
    </row>
    <row r="490" spans="1:87" x14ac:dyDescent="0.35">
      <c r="A490" s="1">
        <v>46059.797222222223</v>
      </c>
      <c r="B490">
        <v>-19.100000000000001</v>
      </c>
      <c r="C490">
        <v>-8.1999999999999993</v>
      </c>
      <c r="D490">
        <v>-25</v>
      </c>
      <c r="E490">
        <v>-19</v>
      </c>
      <c r="F490">
        <v>-21.4</v>
      </c>
      <c r="G490">
        <v>-25</v>
      </c>
      <c r="H490">
        <v>-16.899999999999999</v>
      </c>
      <c r="I490">
        <v>-15</v>
      </c>
      <c r="J490">
        <v>-25</v>
      </c>
      <c r="K490">
        <v>-16.5</v>
      </c>
      <c r="L490">
        <v>-17.2</v>
      </c>
      <c r="M490">
        <v>-25</v>
      </c>
      <c r="N490">
        <v>-19.399999999999999</v>
      </c>
      <c r="O490">
        <v>-19.899999999999999</v>
      </c>
      <c r="P490">
        <v>-25</v>
      </c>
      <c r="Q490">
        <v>-18.899999999999999</v>
      </c>
      <c r="R490">
        <v>-19.3</v>
      </c>
      <c r="S490">
        <v>-25</v>
      </c>
      <c r="T490">
        <v>2.2999999999999998</v>
      </c>
      <c r="U490">
        <v>3.2</v>
      </c>
      <c r="V490">
        <v>2</v>
      </c>
      <c r="W490">
        <v>3.6</v>
      </c>
      <c r="X490">
        <v>2.1</v>
      </c>
      <c r="Y490">
        <v>2</v>
      </c>
      <c r="Z490">
        <v>4.0999999999999996</v>
      </c>
      <c r="AA490">
        <v>3.8</v>
      </c>
      <c r="AB490">
        <v>2</v>
      </c>
      <c r="AC490">
        <v>3.9</v>
      </c>
      <c r="AD490">
        <v>3.8</v>
      </c>
      <c r="AE490">
        <v>2</v>
      </c>
      <c r="AF490">
        <v>2.1</v>
      </c>
      <c r="AG490">
        <v>1.7</v>
      </c>
      <c r="AH490">
        <v>2</v>
      </c>
      <c r="AI490">
        <v>1.9</v>
      </c>
      <c r="AJ490">
        <v>1.2</v>
      </c>
      <c r="AK490">
        <v>2</v>
      </c>
      <c r="AL490">
        <v>3.8</v>
      </c>
      <c r="AM490">
        <v>4</v>
      </c>
      <c r="AN490">
        <v>4.2</v>
      </c>
      <c r="AO490">
        <v>4</v>
      </c>
      <c r="AP490">
        <v>5.9</v>
      </c>
      <c r="AQ490">
        <v>4</v>
      </c>
      <c r="AR490">
        <v>7.1</v>
      </c>
      <c r="AS490">
        <v>4</v>
      </c>
      <c r="AT490">
        <v>-4.7</v>
      </c>
      <c r="AU490">
        <v>-5.4</v>
      </c>
      <c r="AV490">
        <v>-5</v>
      </c>
      <c r="AW490">
        <v>-4.0999999999999996</v>
      </c>
      <c r="AX490">
        <v>-3.9</v>
      </c>
      <c r="AY490">
        <v>-5</v>
      </c>
      <c r="AZ490">
        <v>11.6</v>
      </c>
      <c r="BA490">
        <v>10</v>
      </c>
      <c r="BB490">
        <v>12.1</v>
      </c>
      <c r="BC490">
        <v>10</v>
      </c>
      <c r="BD490">
        <v>5.6</v>
      </c>
      <c r="BE490">
        <v>4</v>
      </c>
      <c r="BF490">
        <v>10.199999999999999</v>
      </c>
      <c r="BG490">
        <v>10</v>
      </c>
      <c r="BH490">
        <v>10.9</v>
      </c>
      <c r="BI490">
        <v>10</v>
      </c>
      <c r="BJ490">
        <v>11.1</v>
      </c>
      <c r="BK490">
        <v>9</v>
      </c>
      <c r="BL490">
        <v>19</v>
      </c>
      <c r="BM490">
        <v>19</v>
      </c>
      <c r="BN490">
        <v>23.6</v>
      </c>
      <c r="BO490">
        <v>19</v>
      </c>
      <c r="BP490">
        <v>20.5</v>
      </c>
      <c r="BQ490">
        <v>20</v>
      </c>
      <c r="BR490">
        <v>21.5</v>
      </c>
      <c r="BS490">
        <v>25</v>
      </c>
      <c r="BT490">
        <v>21.9</v>
      </c>
      <c r="BU490">
        <v>25</v>
      </c>
      <c r="BV490">
        <v>23.6</v>
      </c>
      <c r="BW490">
        <v>18</v>
      </c>
      <c r="BX490">
        <v>20.8</v>
      </c>
      <c r="BY490">
        <v>20</v>
      </c>
      <c r="BZ490">
        <v>21.9</v>
      </c>
      <c r="CA490">
        <v>20</v>
      </c>
      <c r="CB490">
        <v>12</v>
      </c>
      <c r="CC490">
        <v>10</v>
      </c>
      <c r="CD490">
        <v>11.2</v>
      </c>
      <c r="CE490">
        <v>10</v>
      </c>
      <c r="CF490">
        <v>11.2</v>
      </c>
      <c r="CG490">
        <v>9</v>
      </c>
      <c r="CH490">
        <v>11.4</v>
      </c>
      <c r="CI490">
        <v>9</v>
      </c>
    </row>
    <row r="491" spans="1:87" x14ac:dyDescent="0.35">
      <c r="A491" s="1">
        <v>46059.79791666667</v>
      </c>
      <c r="B491">
        <v>-19.3</v>
      </c>
      <c r="C491">
        <v>-9.5</v>
      </c>
      <c r="D491">
        <v>-25</v>
      </c>
      <c r="E491">
        <v>-19.2</v>
      </c>
      <c r="F491">
        <v>-21.7</v>
      </c>
      <c r="G491">
        <v>-25</v>
      </c>
      <c r="H491">
        <v>-16.899999999999999</v>
      </c>
      <c r="I491">
        <v>-15</v>
      </c>
      <c r="J491">
        <v>-25</v>
      </c>
      <c r="K491">
        <v>-16.5</v>
      </c>
      <c r="L491">
        <v>-17.2</v>
      </c>
      <c r="M491">
        <v>-25</v>
      </c>
      <c r="N491">
        <v>-19.399999999999999</v>
      </c>
      <c r="O491">
        <v>-19.899999999999999</v>
      </c>
      <c r="P491">
        <v>-25</v>
      </c>
      <c r="Q491">
        <v>-18.899999999999999</v>
      </c>
      <c r="R491">
        <v>-19.399999999999999</v>
      </c>
      <c r="S491">
        <v>-25</v>
      </c>
      <c r="T491">
        <v>2.2999999999999998</v>
      </c>
      <c r="U491">
        <v>3.2</v>
      </c>
      <c r="V491">
        <v>2</v>
      </c>
      <c r="W491">
        <v>3.8</v>
      </c>
      <c r="X491">
        <v>2.1</v>
      </c>
      <c r="Y491">
        <v>2</v>
      </c>
      <c r="Z491">
        <v>4.0999999999999996</v>
      </c>
      <c r="AA491">
        <v>3.9</v>
      </c>
      <c r="AB491">
        <v>2</v>
      </c>
      <c r="AC491">
        <v>3.9</v>
      </c>
      <c r="AD491">
        <v>3.9</v>
      </c>
      <c r="AE491">
        <v>2</v>
      </c>
      <c r="AF491">
        <v>2.2000000000000002</v>
      </c>
      <c r="AG491">
        <v>2.1</v>
      </c>
      <c r="AH491">
        <v>2</v>
      </c>
      <c r="AI491">
        <v>2.1</v>
      </c>
      <c r="AJ491">
        <v>1.8</v>
      </c>
      <c r="AK491">
        <v>2</v>
      </c>
      <c r="AL491">
        <v>3.8</v>
      </c>
      <c r="AM491">
        <v>4</v>
      </c>
      <c r="AN491">
        <v>4.3</v>
      </c>
      <c r="AO491">
        <v>4</v>
      </c>
      <c r="AP491">
        <v>6</v>
      </c>
      <c r="AQ491">
        <v>4</v>
      </c>
      <c r="AR491">
        <v>6.6</v>
      </c>
      <c r="AS491">
        <v>4</v>
      </c>
      <c r="AT491">
        <v>-4.3</v>
      </c>
      <c r="AU491">
        <v>-4.7</v>
      </c>
      <c r="AV491">
        <v>-5</v>
      </c>
      <c r="AW491">
        <v>-3.6</v>
      </c>
      <c r="AX491">
        <v>-3.4</v>
      </c>
      <c r="AY491">
        <v>-5</v>
      </c>
      <c r="AZ491">
        <v>11.7</v>
      </c>
      <c r="BA491">
        <v>10</v>
      </c>
      <c r="BB491">
        <v>12</v>
      </c>
      <c r="BC491">
        <v>10</v>
      </c>
      <c r="BD491">
        <v>5.8</v>
      </c>
      <c r="BE491">
        <v>4</v>
      </c>
      <c r="BF491">
        <v>9.6</v>
      </c>
      <c r="BG491">
        <v>10</v>
      </c>
      <c r="BH491">
        <v>10.8</v>
      </c>
      <c r="BI491">
        <v>10</v>
      </c>
      <c r="BJ491">
        <v>11.1</v>
      </c>
      <c r="BK491">
        <v>9</v>
      </c>
      <c r="BL491">
        <v>19</v>
      </c>
      <c r="BM491">
        <v>19</v>
      </c>
      <c r="BN491">
        <v>23.6</v>
      </c>
      <c r="BO491">
        <v>19</v>
      </c>
      <c r="BP491">
        <v>20.5</v>
      </c>
      <c r="BQ491">
        <v>20</v>
      </c>
      <c r="BR491">
        <v>21.4</v>
      </c>
      <c r="BS491">
        <v>25</v>
      </c>
      <c r="BT491">
        <v>21.9</v>
      </c>
      <c r="BU491">
        <v>25</v>
      </c>
      <c r="BV491">
        <v>23.6</v>
      </c>
      <c r="BW491">
        <v>18</v>
      </c>
      <c r="BX491">
        <v>20.9</v>
      </c>
      <c r="BY491">
        <v>20</v>
      </c>
      <c r="BZ491">
        <v>22</v>
      </c>
      <c r="CA491">
        <v>20</v>
      </c>
      <c r="CB491">
        <v>11.9</v>
      </c>
      <c r="CC491">
        <v>10</v>
      </c>
      <c r="CD491">
        <v>11.2</v>
      </c>
      <c r="CE491">
        <v>10</v>
      </c>
      <c r="CF491">
        <v>11.5</v>
      </c>
      <c r="CG491">
        <v>9</v>
      </c>
      <c r="CH491">
        <v>11.7</v>
      </c>
      <c r="CI491">
        <v>9</v>
      </c>
    </row>
    <row r="492" spans="1:87" x14ac:dyDescent="0.35">
      <c r="A492" s="1">
        <v>46059.798611111109</v>
      </c>
      <c r="B492">
        <v>-19.600000000000001</v>
      </c>
      <c r="C492">
        <v>-10.5</v>
      </c>
      <c r="D492">
        <v>-25</v>
      </c>
      <c r="E492">
        <v>-19.399999999999999</v>
      </c>
      <c r="F492">
        <v>-22</v>
      </c>
      <c r="G492">
        <v>-25</v>
      </c>
      <c r="H492">
        <v>-16.899999999999999</v>
      </c>
      <c r="I492">
        <v>-15</v>
      </c>
      <c r="J492">
        <v>-25</v>
      </c>
      <c r="K492">
        <v>-16.5</v>
      </c>
      <c r="L492">
        <v>-17.2</v>
      </c>
      <c r="M492">
        <v>-25</v>
      </c>
      <c r="N492">
        <v>-19.5</v>
      </c>
      <c r="O492">
        <v>-20</v>
      </c>
      <c r="P492">
        <v>-25</v>
      </c>
      <c r="Q492">
        <v>-19</v>
      </c>
      <c r="R492">
        <v>-19.399999999999999</v>
      </c>
      <c r="S492">
        <v>-25</v>
      </c>
      <c r="T492">
        <v>2.2999999999999998</v>
      </c>
      <c r="U492">
        <v>3.3</v>
      </c>
      <c r="V492">
        <v>2</v>
      </c>
      <c r="W492">
        <v>3.9</v>
      </c>
      <c r="X492">
        <v>2.1</v>
      </c>
      <c r="Y492">
        <v>2</v>
      </c>
      <c r="Z492">
        <v>4.2</v>
      </c>
      <c r="AA492">
        <v>4</v>
      </c>
      <c r="AB492">
        <v>2</v>
      </c>
      <c r="AC492">
        <v>4</v>
      </c>
      <c r="AD492">
        <v>3.4</v>
      </c>
      <c r="AE492">
        <v>2</v>
      </c>
      <c r="AF492">
        <v>2.5</v>
      </c>
      <c r="AG492">
        <v>2.2999999999999998</v>
      </c>
      <c r="AH492">
        <v>2</v>
      </c>
      <c r="AI492">
        <v>2.2999999999999998</v>
      </c>
      <c r="AJ492">
        <v>2.1</v>
      </c>
      <c r="AK492">
        <v>2</v>
      </c>
      <c r="AL492">
        <v>3.8</v>
      </c>
      <c r="AM492">
        <v>4</v>
      </c>
      <c r="AN492">
        <v>4.3</v>
      </c>
      <c r="AO492">
        <v>4</v>
      </c>
      <c r="AP492">
        <v>5.4</v>
      </c>
      <c r="AQ492">
        <v>4</v>
      </c>
      <c r="AR492">
        <v>6.2</v>
      </c>
      <c r="AS492">
        <v>4</v>
      </c>
      <c r="AT492">
        <v>-3.8</v>
      </c>
      <c r="AU492">
        <v>-4.0999999999999996</v>
      </c>
      <c r="AV492">
        <v>-5</v>
      </c>
      <c r="AW492">
        <v>-3.2</v>
      </c>
      <c r="AX492">
        <v>-3</v>
      </c>
      <c r="AY492">
        <v>-5</v>
      </c>
      <c r="AZ492">
        <v>11.8</v>
      </c>
      <c r="BA492">
        <v>10</v>
      </c>
      <c r="BB492">
        <v>11.7</v>
      </c>
      <c r="BC492">
        <v>10</v>
      </c>
      <c r="BD492">
        <v>5.9</v>
      </c>
      <c r="BE492">
        <v>4</v>
      </c>
      <c r="BF492">
        <v>9.5</v>
      </c>
      <c r="BG492">
        <v>10</v>
      </c>
      <c r="BH492">
        <v>10.8</v>
      </c>
      <c r="BI492">
        <v>10</v>
      </c>
      <c r="BJ492">
        <v>11.2</v>
      </c>
      <c r="BK492">
        <v>9</v>
      </c>
      <c r="BL492">
        <v>19</v>
      </c>
      <c r="BM492">
        <v>19</v>
      </c>
      <c r="BN492">
        <v>23.6</v>
      </c>
      <c r="BO492">
        <v>19</v>
      </c>
      <c r="BP492">
        <v>20.5</v>
      </c>
      <c r="BQ492">
        <v>20</v>
      </c>
      <c r="BR492">
        <v>21.4</v>
      </c>
      <c r="BS492">
        <v>25</v>
      </c>
      <c r="BT492">
        <v>21.9</v>
      </c>
      <c r="BU492">
        <v>25</v>
      </c>
      <c r="BV492">
        <v>23.6</v>
      </c>
      <c r="BW492">
        <v>18</v>
      </c>
      <c r="BX492">
        <v>20.9</v>
      </c>
      <c r="BY492">
        <v>20</v>
      </c>
      <c r="BZ492">
        <v>21.6</v>
      </c>
      <c r="CA492">
        <v>20</v>
      </c>
      <c r="CB492">
        <v>11.6</v>
      </c>
      <c r="CC492">
        <v>10</v>
      </c>
      <c r="CD492">
        <v>11.2</v>
      </c>
      <c r="CE492">
        <v>10</v>
      </c>
      <c r="CF492">
        <v>11.6</v>
      </c>
      <c r="CG492">
        <v>9</v>
      </c>
      <c r="CH492">
        <v>11.8</v>
      </c>
      <c r="CI492">
        <v>9</v>
      </c>
    </row>
    <row r="493" spans="1:87" x14ac:dyDescent="0.35">
      <c r="A493" s="1">
        <v>46059.799305555556</v>
      </c>
      <c r="B493">
        <v>-19.8</v>
      </c>
      <c r="C493">
        <v>-11.4</v>
      </c>
      <c r="D493">
        <v>-25</v>
      </c>
      <c r="E493">
        <v>-19.5</v>
      </c>
      <c r="F493">
        <v>-22.3</v>
      </c>
      <c r="G493">
        <v>-25</v>
      </c>
      <c r="H493">
        <v>-16.899999999999999</v>
      </c>
      <c r="I493">
        <v>-15</v>
      </c>
      <c r="J493">
        <v>-25</v>
      </c>
      <c r="K493">
        <v>-16.5</v>
      </c>
      <c r="L493">
        <v>-17.2</v>
      </c>
      <c r="M493">
        <v>-25</v>
      </c>
      <c r="N493">
        <v>-19.600000000000001</v>
      </c>
      <c r="O493">
        <v>-20.2</v>
      </c>
      <c r="P493">
        <v>-25</v>
      </c>
      <c r="Q493">
        <v>-19.2</v>
      </c>
      <c r="R493">
        <v>-19.5</v>
      </c>
      <c r="S493">
        <v>-25</v>
      </c>
      <c r="T493">
        <v>2.2999999999999998</v>
      </c>
      <c r="U493">
        <v>3.4</v>
      </c>
      <c r="V493">
        <v>2</v>
      </c>
      <c r="W493">
        <v>3.9</v>
      </c>
      <c r="X493">
        <v>2.2000000000000002</v>
      </c>
      <c r="Y493">
        <v>2</v>
      </c>
      <c r="Z493">
        <v>4.2</v>
      </c>
      <c r="AA493">
        <v>3.8</v>
      </c>
      <c r="AB493">
        <v>2</v>
      </c>
      <c r="AC493">
        <v>4</v>
      </c>
      <c r="AD493">
        <v>2.8</v>
      </c>
      <c r="AE493">
        <v>2</v>
      </c>
      <c r="AF493">
        <v>2.7</v>
      </c>
      <c r="AG493">
        <v>2.5</v>
      </c>
      <c r="AH493">
        <v>2</v>
      </c>
      <c r="AI493">
        <v>2.5</v>
      </c>
      <c r="AJ493">
        <v>2.2999999999999998</v>
      </c>
      <c r="AK493">
        <v>2</v>
      </c>
      <c r="AL493">
        <v>3.9</v>
      </c>
      <c r="AM493">
        <v>4</v>
      </c>
      <c r="AN493">
        <v>4.4000000000000004</v>
      </c>
      <c r="AO493">
        <v>4</v>
      </c>
      <c r="AP493">
        <v>4.5</v>
      </c>
      <c r="AQ493">
        <v>4</v>
      </c>
      <c r="AR493">
        <v>5.5</v>
      </c>
      <c r="AS493">
        <v>4</v>
      </c>
      <c r="AT493">
        <v>-3.3</v>
      </c>
      <c r="AU493">
        <v>-3.6</v>
      </c>
      <c r="AV493">
        <v>-5</v>
      </c>
      <c r="AW493">
        <v>-2.9</v>
      </c>
      <c r="AX493">
        <v>-2.7</v>
      </c>
      <c r="AY493">
        <v>-5</v>
      </c>
      <c r="AZ493">
        <v>11.8</v>
      </c>
      <c r="BA493">
        <v>10</v>
      </c>
      <c r="BB493">
        <v>11.6</v>
      </c>
      <c r="BC493">
        <v>10</v>
      </c>
      <c r="BD493">
        <v>6</v>
      </c>
      <c r="BE493">
        <v>4</v>
      </c>
      <c r="BF493">
        <v>9.8000000000000007</v>
      </c>
      <c r="BG493">
        <v>10</v>
      </c>
      <c r="BH493">
        <v>10.8</v>
      </c>
      <c r="BI493">
        <v>10</v>
      </c>
      <c r="BJ493">
        <v>11.2</v>
      </c>
      <c r="BK493">
        <v>9</v>
      </c>
      <c r="BL493">
        <v>19</v>
      </c>
      <c r="BM493">
        <v>19</v>
      </c>
      <c r="BN493">
        <v>23.6</v>
      </c>
      <c r="BO493">
        <v>19</v>
      </c>
      <c r="BP493">
        <v>20.5</v>
      </c>
      <c r="BQ493">
        <v>20</v>
      </c>
      <c r="BR493">
        <v>21.4</v>
      </c>
      <c r="BS493">
        <v>25</v>
      </c>
      <c r="BT493">
        <v>21.9</v>
      </c>
      <c r="BU493">
        <v>25</v>
      </c>
      <c r="BV493">
        <v>23.5</v>
      </c>
      <c r="BW493">
        <v>18</v>
      </c>
      <c r="BX493">
        <v>21</v>
      </c>
      <c r="BY493">
        <v>20</v>
      </c>
      <c r="BZ493">
        <v>20</v>
      </c>
      <c r="CA493">
        <v>20</v>
      </c>
      <c r="CB493">
        <v>11.3</v>
      </c>
      <c r="CC493">
        <v>10</v>
      </c>
      <c r="CD493">
        <v>11.2</v>
      </c>
      <c r="CE493">
        <v>10</v>
      </c>
      <c r="CF493">
        <v>11.5</v>
      </c>
      <c r="CG493">
        <v>9</v>
      </c>
      <c r="CH493">
        <v>11.7</v>
      </c>
      <c r="CI493">
        <v>9</v>
      </c>
    </row>
    <row r="494" spans="1:87" x14ac:dyDescent="0.35">
      <c r="A494" s="1">
        <v>46059.8</v>
      </c>
      <c r="B494">
        <v>-20</v>
      </c>
      <c r="C494">
        <v>-12.1</v>
      </c>
      <c r="D494">
        <v>-25</v>
      </c>
      <c r="E494">
        <v>-19.7</v>
      </c>
      <c r="F494">
        <v>-22.4</v>
      </c>
      <c r="G494">
        <v>-25</v>
      </c>
      <c r="H494">
        <v>-16.899999999999999</v>
      </c>
      <c r="I494">
        <v>-15</v>
      </c>
      <c r="J494">
        <v>-25</v>
      </c>
      <c r="K494">
        <v>-16.5</v>
      </c>
      <c r="L494">
        <v>-17.2</v>
      </c>
      <c r="M494">
        <v>-25</v>
      </c>
      <c r="N494">
        <v>-19.600000000000001</v>
      </c>
      <c r="O494">
        <v>-20.2</v>
      </c>
      <c r="P494">
        <v>-25</v>
      </c>
      <c r="Q494">
        <v>-19.2</v>
      </c>
      <c r="R494">
        <v>-19.600000000000001</v>
      </c>
      <c r="S494">
        <v>-25</v>
      </c>
      <c r="T494">
        <v>2.2999999999999998</v>
      </c>
      <c r="U494">
        <v>3.4</v>
      </c>
      <c r="V494">
        <v>2</v>
      </c>
      <c r="W494">
        <v>4</v>
      </c>
      <c r="X494">
        <v>1.1000000000000001</v>
      </c>
      <c r="Y494">
        <v>2</v>
      </c>
      <c r="Z494">
        <v>4.2</v>
      </c>
      <c r="AA494">
        <v>3.7</v>
      </c>
      <c r="AB494">
        <v>2</v>
      </c>
      <c r="AC494">
        <v>3.8</v>
      </c>
      <c r="AD494">
        <v>3</v>
      </c>
      <c r="AE494">
        <v>2</v>
      </c>
      <c r="AF494">
        <v>2.9</v>
      </c>
      <c r="AG494">
        <v>2.7</v>
      </c>
      <c r="AH494">
        <v>2</v>
      </c>
      <c r="AI494">
        <v>2.7</v>
      </c>
      <c r="AJ494">
        <v>2.5</v>
      </c>
      <c r="AK494">
        <v>2</v>
      </c>
      <c r="AL494">
        <v>4</v>
      </c>
      <c r="AM494">
        <v>4</v>
      </c>
      <c r="AN494">
        <v>4.5</v>
      </c>
      <c r="AO494">
        <v>4</v>
      </c>
      <c r="AP494">
        <v>3.6</v>
      </c>
      <c r="AQ494">
        <v>4</v>
      </c>
      <c r="AR494">
        <v>4.5</v>
      </c>
      <c r="AS494">
        <v>4</v>
      </c>
      <c r="AT494">
        <v>-3</v>
      </c>
      <c r="AU494">
        <v>-3.2</v>
      </c>
      <c r="AV494">
        <v>-5</v>
      </c>
      <c r="AW494">
        <v>-3.2</v>
      </c>
      <c r="AX494">
        <v>-4.4000000000000004</v>
      </c>
      <c r="AY494">
        <v>-5</v>
      </c>
      <c r="AZ494">
        <v>11.9</v>
      </c>
      <c r="BA494">
        <v>10</v>
      </c>
      <c r="BB494">
        <v>11.3</v>
      </c>
      <c r="BC494">
        <v>10</v>
      </c>
      <c r="BD494">
        <v>5.9</v>
      </c>
      <c r="BE494">
        <v>4</v>
      </c>
      <c r="BF494">
        <v>10.1</v>
      </c>
      <c r="BG494">
        <v>10</v>
      </c>
      <c r="BH494">
        <v>10.8</v>
      </c>
      <c r="BI494">
        <v>10</v>
      </c>
      <c r="BJ494">
        <v>11.2</v>
      </c>
      <c r="BK494">
        <v>9</v>
      </c>
      <c r="BL494">
        <v>19.100000000000001</v>
      </c>
      <c r="BM494">
        <v>19</v>
      </c>
      <c r="BN494">
        <v>23.6</v>
      </c>
      <c r="BO494">
        <v>19</v>
      </c>
      <c r="BP494">
        <v>20.6</v>
      </c>
      <c r="BQ494">
        <v>20</v>
      </c>
      <c r="BR494">
        <v>21.4</v>
      </c>
      <c r="BS494">
        <v>25</v>
      </c>
      <c r="BT494">
        <v>21.9</v>
      </c>
      <c r="BU494">
        <v>25</v>
      </c>
      <c r="BV494">
        <v>23.5</v>
      </c>
      <c r="BW494">
        <v>18</v>
      </c>
      <c r="BX494">
        <v>21</v>
      </c>
      <c r="BY494">
        <v>20</v>
      </c>
      <c r="BZ494">
        <v>18.600000000000001</v>
      </c>
      <c r="CA494">
        <v>20</v>
      </c>
      <c r="CB494">
        <v>11</v>
      </c>
      <c r="CC494">
        <v>10</v>
      </c>
      <c r="CD494">
        <v>11.2</v>
      </c>
      <c r="CE494">
        <v>10</v>
      </c>
      <c r="CF494">
        <v>11.2</v>
      </c>
      <c r="CG494">
        <v>9</v>
      </c>
      <c r="CH494">
        <v>11.4</v>
      </c>
      <c r="CI494">
        <v>9</v>
      </c>
    </row>
    <row r="495" spans="1:87" x14ac:dyDescent="0.35">
      <c r="A495" s="1">
        <v>46059.800694444442</v>
      </c>
      <c r="B495">
        <v>-20.100000000000001</v>
      </c>
      <c r="C495">
        <v>-13</v>
      </c>
      <c r="D495">
        <v>-25</v>
      </c>
      <c r="E495">
        <v>-19.8</v>
      </c>
      <c r="F495">
        <v>-22.4</v>
      </c>
      <c r="G495">
        <v>-25</v>
      </c>
      <c r="H495">
        <v>-16.899999999999999</v>
      </c>
      <c r="I495">
        <v>-14.9</v>
      </c>
      <c r="J495">
        <v>-25</v>
      </c>
      <c r="K495">
        <v>-16.5</v>
      </c>
      <c r="L495">
        <v>-17.2</v>
      </c>
      <c r="M495">
        <v>-25</v>
      </c>
      <c r="N495">
        <v>-19.7</v>
      </c>
      <c r="O495">
        <v>-20.2</v>
      </c>
      <c r="P495">
        <v>-25</v>
      </c>
      <c r="Q495">
        <v>-19.3</v>
      </c>
      <c r="R495">
        <v>-19.600000000000001</v>
      </c>
      <c r="S495">
        <v>-25</v>
      </c>
      <c r="T495">
        <v>2.2999999999999998</v>
      </c>
      <c r="U495">
        <v>3.5</v>
      </c>
      <c r="V495">
        <v>2</v>
      </c>
      <c r="W495">
        <v>4</v>
      </c>
      <c r="X495">
        <v>-3.4</v>
      </c>
      <c r="Y495">
        <v>2</v>
      </c>
      <c r="Z495">
        <v>4.0999999999999996</v>
      </c>
      <c r="AA495">
        <v>3.7</v>
      </c>
      <c r="AB495">
        <v>2</v>
      </c>
      <c r="AC495">
        <v>3.8</v>
      </c>
      <c r="AD495">
        <v>3</v>
      </c>
      <c r="AE495">
        <v>2</v>
      </c>
      <c r="AF495">
        <v>3</v>
      </c>
      <c r="AG495">
        <v>2.9</v>
      </c>
      <c r="AH495">
        <v>2</v>
      </c>
      <c r="AI495">
        <v>2.9</v>
      </c>
      <c r="AJ495">
        <v>2.8</v>
      </c>
      <c r="AK495">
        <v>2</v>
      </c>
      <c r="AL495">
        <v>4.0999999999999996</v>
      </c>
      <c r="AM495">
        <v>4</v>
      </c>
      <c r="AN495">
        <v>4.5</v>
      </c>
      <c r="AO495">
        <v>4</v>
      </c>
      <c r="AP495">
        <v>3.1</v>
      </c>
      <c r="AQ495">
        <v>4</v>
      </c>
      <c r="AR495">
        <v>3.9</v>
      </c>
      <c r="AS495">
        <v>4</v>
      </c>
      <c r="AT495">
        <v>-2.7</v>
      </c>
      <c r="AU495">
        <v>-3.1</v>
      </c>
      <c r="AV495">
        <v>-5</v>
      </c>
      <c r="AW495">
        <v>-3.6</v>
      </c>
      <c r="AX495">
        <v>-5.5</v>
      </c>
      <c r="AY495">
        <v>-5</v>
      </c>
      <c r="AZ495">
        <v>12</v>
      </c>
      <c r="BA495">
        <v>10</v>
      </c>
      <c r="BB495">
        <v>11.1</v>
      </c>
      <c r="BC495">
        <v>10</v>
      </c>
      <c r="BD495">
        <v>5.2</v>
      </c>
      <c r="BE495">
        <v>4</v>
      </c>
      <c r="BF495">
        <v>10.6</v>
      </c>
      <c r="BG495">
        <v>10</v>
      </c>
      <c r="BH495">
        <v>10.8</v>
      </c>
      <c r="BI495">
        <v>10</v>
      </c>
      <c r="BJ495">
        <v>11.2</v>
      </c>
      <c r="BK495">
        <v>9</v>
      </c>
      <c r="BL495">
        <v>19.100000000000001</v>
      </c>
      <c r="BM495">
        <v>19</v>
      </c>
      <c r="BN495">
        <v>23.6</v>
      </c>
      <c r="BO495">
        <v>19</v>
      </c>
      <c r="BP495">
        <v>20.6</v>
      </c>
      <c r="BQ495">
        <v>20</v>
      </c>
      <c r="BR495">
        <v>21.4</v>
      </c>
      <c r="BS495">
        <v>25</v>
      </c>
      <c r="BT495">
        <v>21.9</v>
      </c>
      <c r="BU495">
        <v>25</v>
      </c>
      <c r="BV495">
        <v>23.5</v>
      </c>
      <c r="BW495">
        <v>18</v>
      </c>
      <c r="BX495">
        <v>21.1</v>
      </c>
      <c r="BY495">
        <v>20</v>
      </c>
      <c r="BZ495">
        <v>18.5</v>
      </c>
      <c r="CA495">
        <v>20</v>
      </c>
      <c r="CB495">
        <v>10.8</v>
      </c>
      <c r="CC495">
        <v>10</v>
      </c>
      <c r="CD495">
        <v>11.3</v>
      </c>
      <c r="CE495">
        <v>10</v>
      </c>
      <c r="CF495">
        <v>11.1</v>
      </c>
      <c r="CG495">
        <v>9</v>
      </c>
      <c r="CH495">
        <v>11.4</v>
      </c>
      <c r="CI495">
        <v>9</v>
      </c>
    </row>
    <row r="496" spans="1:87" x14ac:dyDescent="0.35">
      <c r="A496" s="1">
        <v>46059.801388888889</v>
      </c>
      <c r="B496">
        <v>-20.3</v>
      </c>
      <c r="C496">
        <v>-13.8</v>
      </c>
      <c r="D496">
        <v>-25</v>
      </c>
      <c r="E496">
        <v>-19.8</v>
      </c>
      <c r="F496">
        <v>-22.6</v>
      </c>
      <c r="G496">
        <v>-25</v>
      </c>
      <c r="H496">
        <v>-16.899999999999999</v>
      </c>
      <c r="I496">
        <v>-14.9</v>
      </c>
      <c r="J496">
        <v>-25</v>
      </c>
      <c r="K496">
        <v>-16.5</v>
      </c>
      <c r="L496">
        <v>-17.2</v>
      </c>
      <c r="M496">
        <v>-25</v>
      </c>
      <c r="N496">
        <v>-19.7</v>
      </c>
      <c r="O496">
        <v>-20.3</v>
      </c>
      <c r="P496">
        <v>-25</v>
      </c>
      <c r="Q496">
        <v>-19.3</v>
      </c>
      <c r="R496">
        <v>-19.8</v>
      </c>
      <c r="S496">
        <v>-25</v>
      </c>
      <c r="T496">
        <v>2.2999999999999998</v>
      </c>
      <c r="U496">
        <v>3.5</v>
      </c>
      <c r="V496">
        <v>2</v>
      </c>
      <c r="W496">
        <v>4</v>
      </c>
      <c r="X496">
        <v>-10.3</v>
      </c>
      <c r="Y496">
        <v>2</v>
      </c>
      <c r="Z496">
        <v>4</v>
      </c>
      <c r="AA496">
        <v>3.4</v>
      </c>
      <c r="AB496">
        <v>2</v>
      </c>
      <c r="AC496">
        <v>3.5</v>
      </c>
      <c r="AD496">
        <v>2.9</v>
      </c>
      <c r="AE496">
        <v>2</v>
      </c>
      <c r="AF496">
        <v>3.2</v>
      </c>
      <c r="AG496">
        <v>3.1</v>
      </c>
      <c r="AH496">
        <v>2</v>
      </c>
      <c r="AI496">
        <v>3.1</v>
      </c>
      <c r="AJ496">
        <v>3</v>
      </c>
      <c r="AK496">
        <v>2</v>
      </c>
      <c r="AL496">
        <v>4.2</v>
      </c>
      <c r="AM496">
        <v>4</v>
      </c>
      <c r="AN496">
        <v>4.5999999999999996</v>
      </c>
      <c r="AO496">
        <v>4</v>
      </c>
      <c r="AP496">
        <v>3</v>
      </c>
      <c r="AQ496">
        <v>4</v>
      </c>
      <c r="AR496">
        <v>3.6</v>
      </c>
      <c r="AS496">
        <v>4</v>
      </c>
      <c r="AT496">
        <v>-2.7</v>
      </c>
      <c r="AU496">
        <v>-4.0999999999999996</v>
      </c>
      <c r="AV496">
        <v>-5</v>
      </c>
      <c r="AW496">
        <v>-3.9</v>
      </c>
      <c r="AX496">
        <v>-4.8</v>
      </c>
      <c r="AY496">
        <v>-5</v>
      </c>
      <c r="AZ496">
        <v>11.3</v>
      </c>
      <c r="BA496">
        <v>10</v>
      </c>
      <c r="BB496">
        <v>11</v>
      </c>
      <c r="BC496">
        <v>10</v>
      </c>
      <c r="BD496">
        <v>4.7</v>
      </c>
      <c r="BE496">
        <v>4</v>
      </c>
      <c r="BF496">
        <v>10.9</v>
      </c>
      <c r="BG496">
        <v>10</v>
      </c>
      <c r="BH496">
        <v>10.8</v>
      </c>
      <c r="BI496">
        <v>10</v>
      </c>
      <c r="BJ496">
        <v>11.1</v>
      </c>
      <c r="BK496">
        <v>9</v>
      </c>
      <c r="BL496">
        <v>19.100000000000001</v>
      </c>
      <c r="BM496">
        <v>19</v>
      </c>
      <c r="BN496">
        <v>23.6</v>
      </c>
      <c r="BO496">
        <v>19</v>
      </c>
      <c r="BP496">
        <v>20.6</v>
      </c>
      <c r="BQ496">
        <v>20</v>
      </c>
      <c r="BR496">
        <v>21.4</v>
      </c>
      <c r="BS496">
        <v>25</v>
      </c>
      <c r="BT496">
        <v>21.9</v>
      </c>
      <c r="BU496">
        <v>25</v>
      </c>
      <c r="BV496">
        <v>23.5</v>
      </c>
      <c r="BW496">
        <v>18</v>
      </c>
      <c r="BX496">
        <v>21.1</v>
      </c>
      <c r="BY496">
        <v>20</v>
      </c>
      <c r="BZ496">
        <v>18.8</v>
      </c>
      <c r="CA496">
        <v>20</v>
      </c>
      <c r="CB496">
        <v>10.7</v>
      </c>
      <c r="CC496">
        <v>10</v>
      </c>
      <c r="CD496">
        <v>11.3</v>
      </c>
      <c r="CE496">
        <v>10</v>
      </c>
      <c r="CF496">
        <v>11.1</v>
      </c>
      <c r="CG496">
        <v>9</v>
      </c>
      <c r="CH496">
        <v>11.4</v>
      </c>
      <c r="CI496">
        <v>9</v>
      </c>
    </row>
    <row r="497" spans="1:87" x14ac:dyDescent="0.35">
      <c r="A497" s="1">
        <v>46059.802083333336</v>
      </c>
      <c r="B497">
        <v>-20.399999999999999</v>
      </c>
      <c r="C497">
        <v>-14.4</v>
      </c>
      <c r="D497">
        <v>-25</v>
      </c>
      <c r="E497">
        <v>-19.899999999999999</v>
      </c>
      <c r="F497">
        <v>-22.7</v>
      </c>
      <c r="G497">
        <v>-25</v>
      </c>
      <c r="H497">
        <v>-16.899999999999999</v>
      </c>
      <c r="I497">
        <v>-14.9</v>
      </c>
      <c r="J497">
        <v>-25</v>
      </c>
      <c r="K497">
        <v>-16.5</v>
      </c>
      <c r="L497">
        <v>-17.2</v>
      </c>
      <c r="M497">
        <v>-25</v>
      </c>
      <c r="N497">
        <v>-19.8</v>
      </c>
      <c r="O497">
        <v>-20.399999999999999</v>
      </c>
      <c r="P497">
        <v>-25</v>
      </c>
      <c r="Q497">
        <v>-19.3</v>
      </c>
      <c r="R497">
        <v>-19.8</v>
      </c>
      <c r="S497">
        <v>-25</v>
      </c>
      <c r="T497">
        <v>2.2999999999999998</v>
      </c>
      <c r="U497">
        <v>3.6</v>
      </c>
      <c r="V497">
        <v>2</v>
      </c>
      <c r="W497">
        <v>4</v>
      </c>
      <c r="X497">
        <v>-8.3000000000000007</v>
      </c>
      <c r="Y497">
        <v>2</v>
      </c>
      <c r="Z497">
        <v>3.8</v>
      </c>
      <c r="AA497">
        <v>3.2</v>
      </c>
      <c r="AB497">
        <v>2</v>
      </c>
      <c r="AC497">
        <v>3.4</v>
      </c>
      <c r="AD497">
        <v>2.8</v>
      </c>
      <c r="AE497">
        <v>2</v>
      </c>
      <c r="AF497">
        <v>3.4</v>
      </c>
      <c r="AG497">
        <v>3.3</v>
      </c>
      <c r="AH497">
        <v>2</v>
      </c>
      <c r="AI497">
        <v>3.3</v>
      </c>
      <c r="AJ497">
        <v>3.2</v>
      </c>
      <c r="AK497">
        <v>2</v>
      </c>
      <c r="AL497">
        <v>4.3</v>
      </c>
      <c r="AM497">
        <v>4</v>
      </c>
      <c r="AN497">
        <v>4.5999999999999996</v>
      </c>
      <c r="AO497">
        <v>4</v>
      </c>
      <c r="AP497">
        <v>3.1</v>
      </c>
      <c r="AQ497">
        <v>4</v>
      </c>
      <c r="AR497">
        <v>3.6</v>
      </c>
      <c r="AS497">
        <v>4</v>
      </c>
      <c r="AT497">
        <v>-3.2</v>
      </c>
      <c r="AU497">
        <v>-5</v>
      </c>
      <c r="AV497">
        <v>-5</v>
      </c>
      <c r="AW497">
        <v>-4</v>
      </c>
      <c r="AX497">
        <v>-4.5</v>
      </c>
      <c r="AY497">
        <v>-5</v>
      </c>
      <c r="AZ497">
        <v>10.1</v>
      </c>
      <c r="BA497">
        <v>10</v>
      </c>
      <c r="BB497">
        <v>10.9</v>
      </c>
      <c r="BC497">
        <v>10</v>
      </c>
      <c r="BD497">
        <v>4.0999999999999996</v>
      </c>
      <c r="BE497">
        <v>4</v>
      </c>
      <c r="BF497">
        <v>11.2</v>
      </c>
      <c r="BG497">
        <v>10</v>
      </c>
      <c r="BH497">
        <v>10.8</v>
      </c>
      <c r="BI497">
        <v>10</v>
      </c>
      <c r="BJ497">
        <v>11.1</v>
      </c>
      <c r="BK497">
        <v>9</v>
      </c>
      <c r="BL497">
        <v>19.100000000000001</v>
      </c>
      <c r="BM497">
        <v>19</v>
      </c>
      <c r="BN497">
        <v>23.6</v>
      </c>
      <c r="BO497">
        <v>19</v>
      </c>
      <c r="BP497">
        <v>20.6</v>
      </c>
      <c r="BQ497">
        <v>20</v>
      </c>
      <c r="BR497">
        <v>21.4</v>
      </c>
      <c r="BS497">
        <v>25</v>
      </c>
      <c r="BT497">
        <v>21.9</v>
      </c>
      <c r="BU497">
        <v>25</v>
      </c>
      <c r="BV497">
        <v>23.5</v>
      </c>
      <c r="BW497">
        <v>18</v>
      </c>
      <c r="BX497">
        <v>21.2</v>
      </c>
      <c r="BY497">
        <v>20</v>
      </c>
      <c r="BZ497">
        <v>19.399999999999999</v>
      </c>
      <c r="CA497">
        <v>20</v>
      </c>
      <c r="CB497">
        <v>10.5</v>
      </c>
      <c r="CC497">
        <v>10</v>
      </c>
      <c r="CD497">
        <v>11.3</v>
      </c>
      <c r="CE497">
        <v>10</v>
      </c>
      <c r="CF497">
        <v>11.1</v>
      </c>
      <c r="CG497">
        <v>9</v>
      </c>
      <c r="CH497">
        <v>11.3</v>
      </c>
      <c r="CI497">
        <v>9</v>
      </c>
    </row>
    <row r="498" spans="1:87" x14ac:dyDescent="0.35">
      <c r="A498" s="1">
        <v>46059.802777777775</v>
      </c>
      <c r="B498">
        <v>-20.6</v>
      </c>
      <c r="C498">
        <v>-15</v>
      </c>
      <c r="D498">
        <v>-25</v>
      </c>
      <c r="E498">
        <v>-20.100000000000001</v>
      </c>
      <c r="F498">
        <v>-22.1</v>
      </c>
      <c r="G498">
        <v>-25</v>
      </c>
      <c r="H498">
        <v>-16.899999999999999</v>
      </c>
      <c r="I498">
        <v>-14.9</v>
      </c>
      <c r="J498">
        <v>-25</v>
      </c>
      <c r="K498">
        <v>-16.5</v>
      </c>
      <c r="L498">
        <v>-17.3</v>
      </c>
      <c r="M498">
        <v>-25</v>
      </c>
      <c r="N498">
        <v>-19.8</v>
      </c>
      <c r="O498">
        <v>-20.5</v>
      </c>
      <c r="P498">
        <v>-25</v>
      </c>
      <c r="Q498">
        <v>-19.399999999999999</v>
      </c>
      <c r="R498">
        <v>-19.899999999999999</v>
      </c>
      <c r="S498">
        <v>-25</v>
      </c>
      <c r="T498">
        <v>2.2999999999999998</v>
      </c>
      <c r="U498">
        <v>3.6</v>
      </c>
      <c r="V498">
        <v>2</v>
      </c>
      <c r="W498">
        <v>4</v>
      </c>
      <c r="X498">
        <v>-8.5</v>
      </c>
      <c r="Y498">
        <v>2</v>
      </c>
      <c r="Z498">
        <v>3.7</v>
      </c>
      <c r="AA498">
        <v>3.2</v>
      </c>
      <c r="AB498">
        <v>2</v>
      </c>
      <c r="AC498">
        <v>3.4</v>
      </c>
      <c r="AD498">
        <v>2.8</v>
      </c>
      <c r="AE498">
        <v>2</v>
      </c>
      <c r="AF498">
        <v>3.6</v>
      </c>
      <c r="AG498">
        <v>3.5</v>
      </c>
      <c r="AH498">
        <v>2</v>
      </c>
      <c r="AI498">
        <v>3.4</v>
      </c>
      <c r="AJ498">
        <v>3.4</v>
      </c>
      <c r="AK498">
        <v>2</v>
      </c>
      <c r="AL498">
        <v>4.3</v>
      </c>
      <c r="AM498">
        <v>4</v>
      </c>
      <c r="AN498">
        <v>4.7</v>
      </c>
      <c r="AO498">
        <v>4</v>
      </c>
      <c r="AP498">
        <v>3.3</v>
      </c>
      <c r="AQ498">
        <v>4</v>
      </c>
      <c r="AR498">
        <v>3.9</v>
      </c>
      <c r="AS498">
        <v>4</v>
      </c>
      <c r="AT498">
        <v>-3.5</v>
      </c>
      <c r="AU498">
        <v>-5.5</v>
      </c>
      <c r="AV498">
        <v>-5</v>
      </c>
      <c r="AW498">
        <v>-4.2</v>
      </c>
      <c r="AX498">
        <v>-5</v>
      </c>
      <c r="AY498">
        <v>-5</v>
      </c>
      <c r="AZ498">
        <v>9.1</v>
      </c>
      <c r="BA498">
        <v>10</v>
      </c>
      <c r="BB498">
        <v>10.7</v>
      </c>
      <c r="BC498">
        <v>10</v>
      </c>
      <c r="BD498">
        <v>3.7</v>
      </c>
      <c r="BE498">
        <v>4</v>
      </c>
      <c r="BF498">
        <v>11.4</v>
      </c>
      <c r="BG498">
        <v>10</v>
      </c>
      <c r="BH498">
        <v>10.8</v>
      </c>
      <c r="BI498">
        <v>10</v>
      </c>
      <c r="BJ498">
        <v>11.1</v>
      </c>
      <c r="BK498">
        <v>9</v>
      </c>
      <c r="BL498">
        <v>19.2</v>
      </c>
      <c r="BM498">
        <v>19</v>
      </c>
      <c r="BN498">
        <v>23.6</v>
      </c>
      <c r="BO498">
        <v>19</v>
      </c>
      <c r="BP498">
        <v>20.6</v>
      </c>
      <c r="BQ498">
        <v>20</v>
      </c>
      <c r="BR498">
        <v>21.4</v>
      </c>
      <c r="BS498">
        <v>25</v>
      </c>
      <c r="BT498">
        <v>21.9</v>
      </c>
      <c r="BU498">
        <v>25</v>
      </c>
      <c r="BV498">
        <v>23.5</v>
      </c>
      <c r="BW498">
        <v>18</v>
      </c>
      <c r="BX498">
        <v>21.2</v>
      </c>
      <c r="BY498">
        <v>20</v>
      </c>
      <c r="BZ498">
        <v>19.7</v>
      </c>
      <c r="CA498">
        <v>20</v>
      </c>
      <c r="CB498">
        <v>10.4</v>
      </c>
      <c r="CC498">
        <v>10</v>
      </c>
      <c r="CD498">
        <v>11.3</v>
      </c>
      <c r="CE498">
        <v>10</v>
      </c>
      <c r="CF498">
        <v>11.4</v>
      </c>
      <c r="CG498">
        <v>9</v>
      </c>
      <c r="CH498">
        <v>11.6</v>
      </c>
      <c r="CI498">
        <v>9</v>
      </c>
    </row>
    <row r="499" spans="1:87" x14ac:dyDescent="0.35">
      <c r="A499" s="1">
        <v>46059.803472222222</v>
      </c>
      <c r="B499">
        <v>-20.7</v>
      </c>
      <c r="C499">
        <v>-15.5</v>
      </c>
      <c r="D499">
        <v>-25</v>
      </c>
      <c r="E499">
        <v>-20.2</v>
      </c>
      <c r="F499">
        <v>-22.6</v>
      </c>
      <c r="G499">
        <v>-25</v>
      </c>
      <c r="H499">
        <v>-17</v>
      </c>
      <c r="I499">
        <v>-14.9</v>
      </c>
      <c r="J499">
        <v>-25</v>
      </c>
      <c r="K499">
        <v>-16.5</v>
      </c>
      <c r="L499">
        <v>-17.3</v>
      </c>
      <c r="M499">
        <v>-25</v>
      </c>
      <c r="N499">
        <v>-19.899999999999999</v>
      </c>
      <c r="O499">
        <v>-20.399999999999999</v>
      </c>
      <c r="P499">
        <v>-25</v>
      </c>
      <c r="Q499">
        <v>-19.5</v>
      </c>
      <c r="R499">
        <v>-19.899999999999999</v>
      </c>
      <c r="S499">
        <v>-25</v>
      </c>
      <c r="T499">
        <v>2.2999999999999998</v>
      </c>
      <c r="U499">
        <v>3.7</v>
      </c>
      <c r="V499">
        <v>2</v>
      </c>
      <c r="W499">
        <v>4</v>
      </c>
      <c r="X499">
        <v>-14</v>
      </c>
      <c r="Y499">
        <v>2</v>
      </c>
      <c r="Z499">
        <v>3.6</v>
      </c>
      <c r="AA499">
        <v>3.1</v>
      </c>
      <c r="AB499">
        <v>2</v>
      </c>
      <c r="AC499">
        <v>3.2</v>
      </c>
      <c r="AD499">
        <v>1.4</v>
      </c>
      <c r="AE499">
        <v>2</v>
      </c>
      <c r="AF499">
        <v>3.7</v>
      </c>
      <c r="AG499">
        <v>3.6</v>
      </c>
      <c r="AH499">
        <v>2</v>
      </c>
      <c r="AI499">
        <v>3.6</v>
      </c>
      <c r="AJ499">
        <v>3.5</v>
      </c>
      <c r="AK499">
        <v>2</v>
      </c>
      <c r="AL499">
        <v>4.4000000000000004</v>
      </c>
      <c r="AM499">
        <v>4</v>
      </c>
      <c r="AN499">
        <v>4.8</v>
      </c>
      <c r="AO499">
        <v>4</v>
      </c>
      <c r="AP499">
        <v>3.5</v>
      </c>
      <c r="AQ499">
        <v>4</v>
      </c>
      <c r="AR499">
        <v>4.3</v>
      </c>
      <c r="AS499">
        <v>4</v>
      </c>
      <c r="AT499">
        <v>-3.8</v>
      </c>
      <c r="AU499">
        <v>-5.8</v>
      </c>
      <c r="AV499">
        <v>-5</v>
      </c>
      <c r="AW499">
        <v>-4.4000000000000004</v>
      </c>
      <c r="AX499">
        <v>-6.1</v>
      </c>
      <c r="AY499">
        <v>-5</v>
      </c>
      <c r="AZ499">
        <v>9.1</v>
      </c>
      <c r="BA499">
        <v>10</v>
      </c>
      <c r="BB499">
        <v>10.6</v>
      </c>
      <c r="BC499">
        <v>10</v>
      </c>
      <c r="BD499">
        <v>3.7</v>
      </c>
      <c r="BE499">
        <v>4</v>
      </c>
      <c r="BF499">
        <v>11.7</v>
      </c>
      <c r="BG499">
        <v>10</v>
      </c>
      <c r="BH499">
        <v>10.9</v>
      </c>
      <c r="BI499">
        <v>10</v>
      </c>
      <c r="BJ499">
        <v>11</v>
      </c>
      <c r="BK499">
        <v>9</v>
      </c>
      <c r="BL499">
        <v>19.2</v>
      </c>
      <c r="BM499">
        <v>19</v>
      </c>
      <c r="BN499">
        <v>23.6</v>
      </c>
      <c r="BO499">
        <v>19</v>
      </c>
      <c r="BP499">
        <v>20.7</v>
      </c>
      <c r="BQ499">
        <v>20</v>
      </c>
      <c r="BR499">
        <v>21.4</v>
      </c>
      <c r="BS499">
        <v>25</v>
      </c>
      <c r="BT499">
        <v>21.9</v>
      </c>
      <c r="BU499">
        <v>25</v>
      </c>
      <c r="BV499">
        <v>23.5</v>
      </c>
      <c r="BW499">
        <v>18</v>
      </c>
      <c r="BX499">
        <v>21.3</v>
      </c>
      <c r="BY499">
        <v>20</v>
      </c>
      <c r="BZ499">
        <v>19.899999999999999</v>
      </c>
      <c r="CA499">
        <v>20</v>
      </c>
      <c r="CB499">
        <v>10.3</v>
      </c>
      <c r="CC499">
        <v>10</v>
      </c>
      <c r="CD499">
        <v>11.3</v>
      </c>
      <c r="CE499">
        <v>10</v>
      </c>
      <c r="CF499">
        <v>11.2</v>
      </c>
      <c r="CG499">
        <v>9</v>
      </c>
      <c r="CH499">
        <v>11.4</v>
      </c>
      <c r="CI499">
        <v>9</v>
      </c>
    </row>
    <row r="500" spans="1:87" x14ac:dyDescent="0.35">
      <c r="A500" s="1">
        <v>46059.804166666669</v>
      </c>
      <c r="B500">
        <v>-20.9</v>
      </c>
      <c r="C500">
        <v>-15.9</v>
      </c>
      <c r="D500">
        <v>-25</v>
      </c>
      <c r="E500">
        <v>-20.399999999999999</v>
      </c>
      <c r="F500">
        <v>-23</v>
      </c>
      <c r="G500">
        <v>-25</v>
      </c>
      <c r="H500">
        <v>-17</v>
      </c>
      <c r="I500">
        <v>-14.9</v>
      </c>
      <c r="J500">
        <v>-25</v>
      </c>
      <c r="K500">
        <v>-16.5</v>
      </c>
      <c r="L500">
        <v>-17.3</v>
      </c>
      <c r="M500">
        <v>-25</v>
      </c>
      <c r="N500">
        <v>-20</v>
      </c>
      <c r="O500">
        <v>-20.3</v>
      </c>
      <c r="P500">
        <v>-25</v>
      </c>
      <c r="Q500">
        <v>-19.5</v>
      </c>
      <c r="R500">
        <v>-20</v>
      </c>
      <c r="S500">
        <v>-25</v>
      </c>
      <c r="T500">
        <v>3.7</v>
      </c>
      <c r="U500">
        <v>3.8</v>
      </c>
      <c r="V500">
        <v>2</v>
      </c>
      <c r="W500">
        <v>4</v>
      </c>
      <c r="X500">
        <v>-9</v>
      </c>
      <c r="Y500">
        <v>2</v>
      </c>
      <c r="Z500">
        <v>3.4</v>
      </c>
      <c r="AA500">
        <v>2.8</v>
      </c>
      <c r="AB500">
        <v>2</v>
      </c>
      <c r="AC500">
        <v>3</v>
      </c>
      <c r="AD500">
        <v>1.4</v>
      </c>
      <c r="AE500">
        <v>2</v>
      </c>
      <c r="AF500">
        <v>3.9</v>
      </c>
      <c r="AG500">
        <v>3.8</v>
      </c>
      <c r="AH500">
        <v>2</v>
      </c>
      <c r="AI500">
        <v>3.8</v>
      </c>
      <c r="AJ500">
        <v>3.7</v>
      </c>
      <c r="AK500">
        <v>2</v>
      </c>
      <c r="AL500">
        <v>4.4000000000000004</v>
      </c>
      <c r="AM500">
        <v>4</v>
      </c>
      <c r="AN500">
        <v>4.8</v>
      </c>
      <c r="AO500">
        <v>4</v>
      </c>
      <c r="AP500">
        <v>3.8</v>
      </c>
      <c r="AQ500">
        <v>4</v>
      </c>
      <c r="AR500">
        <v>4.7</v>
      </c>
      <c r="AS500">
        <v>4</v>
      </c>
      <c r="AT500">
        <v>-4</v>
      </c>
      <c r="AU500">
        <v>-6.2</v>
      </c>
      <c r="AV500">
        <v>-5</v>
      </c>
      <c r="AW500">
        <v>-4.7</v>
      </c>
      <c r="AX500">
        <v>-6</v>
      </c>
      <c r="AY500">
        <v>-5</v>
      </c>
      <c r="AZ500">
        <v>9.1</v>
      </c>
      <c r="BA500">
        <v>10</v>
      </c>
      <c r="BB500">
        <v>10.5</v>
      </c>
      <c r="BC500">
        <v>10</v>
      </c>
      <c r="BD500">
        <v>3.7</v>
      </c>
      <c r="BE500">
        <v>4</v>
      </c>
      <c r="BF500">
        <v>12</v>
      </c>
      <c r="BG500">
        <v>10</v>
      </c>
      <c r="BH500">
        <v>10.9</v>
      </c>
      <c r="BI500">
        <v>10</v>
      </c>
      <c r="BJ500">
        <v>11</v>
      </c>
      <c r="BK500">
        <v>9</v>
      </c>
      <c r="BL500">
        <v>19.2</v>
      </c>
      <c r="BM500">
        <v>19</v>
      </c>
      <c r="BN500">
        <v>23.6</v>
      </c>
      <c r="BO500">
        <v>19</v>
      </c>
      <c r="BP500">
        <v>20.7</v>
      </c>
      <c r="BQ500">
        <v>20</v>
      </c>
      <c r="BR500">
        <v>21.4</v>
      </c>
      <c r="BS500">
        <v>25</v>
      </c>
      <c r="BT500">
        <v>21.9</v>
      </c>
      <c r="BU500">
        <v>25</v>
      </c>
      <c r="BV500">
        <v>23.5</v>
      </c>
      <c r="BW500">
        <v>18</v>
      </c>
      <c r="BX500">
        <v>21.3</v>
      </c>
      <c r="BY500">
        <v>20</v>
      </c>
      <c r="BZ500">
        <v>20.100000000000001</v>
      </c>
      <c r="CA500">
        <v>20</v>
      </c>
      <c r="CB500">
        <v>10.199999999999999</v>
      </c>
      <c r="CC500">
        <v>10</v>
      </c>
      <c r="CD500">
        <v>11.3</v>
      </c>
      <c r="CE500">
        <v>10</v>
      </c>
      <c r="CF500">
        <v>11.1</v>
      </c>
      <c r="CG500">
        <v>9</v>
      </c>
      <c r="CH500">
        <v>11.4</v>
      </c>
      <c r="CI500">
        <v>9</v>
      </c>
    </row>
    <row r="501" spans="1:87" x14ac:dyDescent="0.35">
      <c r="A501" s="1">
        <v>46059.804861111108</v>
      </c>
      <c r="B501">
        <v>-21.1</v>
      </c>
      <c r="C501">
        <v>-16.399999999999999</v>
      </c>
      <c r="D501">
        <v>-25</v>
      </c>
      <c r="E501">
        <v>-20.5</v>
      </c>
      <c r="F501">
        <v>-23.2</v>
      </c>
      <c r="G501">
        <v>-25</v>
      </c>
      <c r="H501">
        <v>-17</v>
      </c>
      <c r="I501">
        <v>-14.9</v>
      </c>
      <c r="J501">
        <v>-25</v>
      </c>
      <c r="K501">
        <v>-16.5</v>
      </c>
      <c r="L501">
        <v>-17.3</v>
      </c>
      <c r="M501">
        <v>-25</v>
      </c>
      <c r="N501">
        <v>-20</v>
      </c>
      <c r="O501">
        <v>-20.3</v>
      </c>
      <c r="P501">
        <v>-25</v>
      </c>
      <c r="Q501">
        <v>-19.600000000000001</v>
      </c>
      <c r="R501">
        <v>-20</v>
      </c>
      <c r="S501">
        <v>-25</v>
      </c>
      <c r="T501">
        <v>3.7</v>
      </c>
      <c r="U501">
        <v>3.8</v>
      </c>
      <c r="V501">
        <v>2</v>
      </c>
      <c r="W501">
        <v>4</v>
      </c>
      <c r="X501">
        <v>-7.6</v>
      </c>
      <c r="Y501">
        <v>2</v>
      </c>
      <c r="Z501">
        <v>3.3</v>
      </c>
      <c r="AA501">
        <v>2.7</v>
      </c>
      <c r="AB501">
        <v>2</v>
      </c>
      <c r="AC501">
        <v>2.9</v>
      </c>
      <c r="AD501">
        <v>1.7</v>
      </c>
      <c r="AE501">
        <v>2</v>
      </c>
      <c r="AF501">
        <v>4.0999999999999996</v>
      </c>
      <c r="AG501">
        <v>3.9</v>
      </c>
      <c r="AH501">
        <v>2</v>
      </c>
      <c r="AI501">
        <v>3.9</v>
      </c>
      <c r="AJ501">
        <v>3.9</v>
      </c>
      <c r="AK501">
        <v>2</v>
      </c>
      <c r="AL501">
        <v>4.5</v>
      </c>
      <c r="AM501">
        <v>4</v>
      </c>
      <c r="AN501">
        <v>4.9000000000000004</v>
      </c>
      <c r="AO501">
        <v>4</v>
      </c>
      <c r="AP501">
        <v>4</v>
      </c>
      <c r="AQ501">
        <v>4</v>
      </c>
      <c r="AR501">
        <v>5</v>
      </c>
      <c r="AS501">
        <v>4</v>
      </c>
      <c r="AT501">
        <v>-4.3</v>
      </c>
      <c r="AU501">
        <v>-6.4</v>
      </c>
      <c r="AV501">
        <v>-5</v>
      </c>
      <c r="AW501">
        <v>-4.7</v>
      </c>
      <c r="AX501">
        <v>-5.2</v>
      </c>
      <c r="AY501">
        <v>-5</v>
      </c>
      <c r="AZ501">
        <v>9.3000000000000007</v>
      </c>
      <c r="BA501">
        <v>10</v>
      </c>
      <c r="BB501">
        <v>10.4</v>
      </c>
      <c r="BC501">
        <v>10</v>
      </c>
      <c r="BD501">
        <v>4</v>
      </c>
      <c r="BE501">
        <v>4</v>
      </c>
      <c r="BF501">
        <v>11.7</v>
      </c>
      <c r="BG501">
        <v>10</v>
      </c>
      <c r="BH501">
        <v>10.9</v>
      </c>
      <c r="BI501">
        <v>10</v>
      </c>
      <c r="BJ501">
        <v>11</v>
      </c>
      <c r="BK501">
        <v>9</v>
      </c>
      <c r="BL501">
        <v>19.3</v>
      </c>
      <c r="BM501">
        <v>19</v>
      </c>
      <c r="BN501">
        <v>23.6</v>
      </c>
      <c r="BO501">
        <v>19</v>
      </c>
      <c r="BP501">
        <v>20.7</v>
      </c>
      <c r="BQ501">
        <v>20</v>
      </c>
      <c r="BR501">
        <v>21.4</v>
      </c>
      <c r="BS501">
        <v>25</v>
      </c>
      <c r="BT501">
        <v>21.9</v>
      </c>
      <c r="BU501">
        <v>25</v>
      </c>
      <c r="BV501">
        <v>23.5</v>
      </c>
      <c r="BW501">
        <v>18</v>
      </c>
      <c r="BX501">
        <v>21.4</v>
      </c>
      <c r="BY501">
        <v>20</v>
      </c>
      <c r="BZ501">
        <v>20.3</v>
      </c>
      <c r="CA501">
        <v>20</v>
      </c>
      <c r="CB501">
        <v>10.1</v>
      </c>
      <c r="CC501">
        <v>10</v>
      </c>
      <c r="CD501">
        <v>11.3</v>
      </c>
      <c r="CE501">
        <v>10</v>
      </c>
      <c r="CF501">
        <v>11.3</v>
      </c>
      <c r="CG501">
        <v>9</v>
      </c>
      <c r="CH501">
        <v>11.5</v>
      </c>
      <c r="CI501">
        <v>9</v>
      </c>
    </row>
    <row r="502" spans="1:87" x14ac:dyDescent="0.35">
      <c r="A502" s="1">
        <v>46059.805555555555</v>
      </c>
      <c r="B502">
        <v>-21.3</v>
      </c>
      <c r="C502">
        <v>-16.7</v>
      </c>
      <c r="D502">
        <v>-25</v>
      </c>
      <c r="E502">
        <v>-20.7</v>
      </c>
      <c r="F502">
        <v>-23.5</v>
      </c>
      <c r="G502">
        <v>-25</v>
      </c>
      <c r="H502">
        <v>-17</v>
      </c>
      <c r="I502">
        <v>-14.9</v>
      </c>
      <c r="J502">
        <v>-25</v>
      </c>
      <c r="K502">
        <v>-16.600000000000001</v>
      </c>
      <c r="L502">
        <v>-17.399999999999999</v>
      </c>
      <c r="M502">
        <v>-25</v>
      </c>
      <c r="N502">
        <v>-20</v>
      </c>
      <c r="O502">
        <v>-20.3</v>
      </c>
      <c r="P502">
        <v>-25</v>
      </c>
      <c r="Q502">
        <v>-19.600000000000001</v>
      </c>
      <c r="R502">
        <v>-20</v>
      </c>
      <c r="S502">
        <v>-25</v>
      </c>
      <c r="T502">
        <v>3.8</v>
      </c>
      <c r="U502">
        <v>3.8</v>
      </c>
      <c r="V502">
        <v>2</v>
      </c>
      <c r="W502">
        <v>4</v>
      </c>
      <c r="X502">
        <v>-0.5</v>
      </c>
      <c r="Y502">
        <v>2</v>
      </c>
      <c r="Z502">
        <v>3.2</v>
      </c>
      <c r="AA502">
        <v>2.6</v>
      </c>
      <c r="AB502">
        <v>2</v>
      </c>
      <c r="AC502">
        <v>2.7</v>
      </c>
      <c r="AD502">
        <v>0.6</v>
      </c>
      <c r="AE502">
        <v>2</v>
      </c>
      <c r="AF502">
        <v>4.2</v>
      </c>
      <c r="AG502">
        <v>4</v>
      </c>
      <c r="AH502">
        <v>2</v>
      </c>
      <c r="AI502">
        <v>4</v>
      </c>
      <c r="AJ502">
        <v>3</v>
      </c>
      <c r="AK502">
        <v>2</v>
      </c>
      <c r="AL502">
        <v>4.5999999999999996</v>
      </c>
      <c r="AM502">
        <v>4</v>
      </c>
      <c r="AN502">
        <v>4.9000000000000004</v>
      </c>
      <c r="AO502">
        <v>4</v>
      </c>
      <c r="AP502">
        <v>4.2</v>
      </c>
      <c r="AQ502">
        <v>4</v>
      </c>
      <c r="AR502">
        <v>5.2</v>
      </c>
      <c r="AS502">
        <v>4</v>
      </c>
      <c r="AT502">
        <v>-4.5</v>
      </c>
      <c r="AU502">
        <v>-6.6</v>
      </c>
      <c r="AV502">
        <v>-5</v>
      </c>
      <c r="AW502">
        <v>-4.8</v>
      </c>
      <c r="AX502">
        <v>-5.2</v>
      </c>
      <c r="AY502">
        <v>-5</v>
      </c>
      <c r="AZ502">
        <v>9.5</v>
      </c>
      <c r="BA502">
        <v>10</v>
      </c>
      <c r="BB502">
        <v>10.199999999999999</v>
      </c>
      <c r="BC502">
        <v>10</v>
      </c>
      <c r="BD502">
        <v>4.3</v>
      </c>
      <c r="BE502">
        <v>4</v>
      </c>
      <c r="BF502">
        <v>11.2</v>
      </c>
      <c r="BG502">
        <v>10</v>
      </c>
      <c r="BH502">
        <v>10.8</v>
      </c>
      <c r="BI502">
        <v>10</v>
      </c>
      <c r="BJ502">
        <v>11</v>
      </c>
      <c r="BK502">
        <v>9</v>
      </c>
      <c r="BL502">
        <v>19.3</v>
      </c>
      <c r="BM502">
        <v>19</v>
      </c>
      <c r="BN502">
        <v>23.6</v>
      </c>
      <c r="BO502">
        <v>19</v>
      </c>
      <c r="BP502">
        <v>20.7</v>
      </c>
      <c r="BQ502">
        <v>20</v>
      </c>
      <c r="BR502">
        <v>21.4</v>
      </c>
      <c r="BS502">
        <v>25</v>
      </c>
      <c r="BT502">
        <v>21.9</v>
      </c>
      <c r="BU502">
        <v>25</v>
      </c>
      <c r="BV502">
        <v>23.5</v>
      </c>
      <c r="BW502">
        <v>18</v>
      </c>
      <c r="BX502">
        <v>21.4</v>
      </c>
      <c r="BY502">
        <v>20</v>
      </c>
      <c r="BZ502">
        <v>20.399999999999999</v>
      </c>
      <c r="CA502">
        <v>20</v>
      </c>
      <c r="CB502">
        <v>10</v>
      </c>
      <c r="CC502">
        <v>10</v>
      </c>
      <c r="CD502">
        <v>11.3</v>
      </c>
      <c r="CE502">
        <v>10</v>
      </c>
      <c r="CF502">
        <v>11.2</v>
      </c>
      <c r="CG502">
        <v>9</v>
      </c>
      <c r="CH502">
        <v>11.4</v>
      </c>
      <c r="CI502">
        <v>9</v>
      </c>
    </row>
    <row r="503" spans="1:87" x14ac:dyDescent="0.35">
      <c r="A503" s="1">
        <v>46059.806250000001</v>
      </c>
      <c r="B503">
        <v>-21.5</v>
      </c>
      <c r="C503">
        <v>-17.100000000000001</v>
      </c>
      <c r="D503">
        <v>-25</v>
      </c>
      <c r="E503">
        <v>-20.9</v>
      </c>
      <c r="F503">
        <v>-23.6</v>
      </c>
      <c r="G503">
        <v>-25</v>
      </c>
      <c r="H503">
        <v>-17.100000000000001</v>
      </c>
      <c r="I503">
        <v>-14.9</v>
      </c>
      <c r="J503">
        <v>-25</v>
      </c>
      <c r="K503">
        <v>-16.600000000000001</v>
      </c>
      <c r="L503">
        <v>-17.399999999999999</v>
      </c>
      <c r="M503">
        <v>-25</v>
      </c>
      <c r="N503">
        <v>-20</v>
      </c>
      <c r="O503">
        <v>-20.3</v>
      </c>
      <c r="P503">
        <v>-25</v>
      </c>
      <c r="Q503">
        <v>-19.600000000000001</v>
      </c>
      <c r="R503">
        <v>-20</v>
      </c>
      <c r="S503">
        <v>-25</v>
      </c>
      <c r="T503">
        <v>3.7</v>
      </c>
      <c r="U503">
        <v>3.4</v>
      </c>
      <c r="V503">
        <v>2</v>
      </c>
      <c r="W503">
        <v>3.7</v>
      </c>
      <c r="X503">
        <v>2</v>
      </c>
      <c r="Y503">
        <v>2</v>
      </c>
      <c r="Z503">
        <v>3</v>
      </c>
      <c r="AA503">
        <v>2.2999999999999998</v>
      </c>
      <c r="AB503">
        <v>2</v>
      </c>
      <c r="AC503">
        <v>2.5</v>
      </c>
      <c r="AD503">
        <v>0.2</v>
      </c>
      <c r="AE503">
        <v>2</v>
      </c>
      <c r="AF503">
        <v>4.0999999999999996</v>
      </c>
      <c r="AG503">
        <v>3.7</v>
      </c>
      <c r="AH503">
        <v>2</v>
      </c>
      <c r="AI503">
        <v>3.9</v>
      </c>
      <c r="AJ503">
        <v>1.2</v>
      </c>
      <c r="AK503">
        <v>2</v>
      </c>
      <c r="AL503">
        <v>4.5999999999999996</v>
      </c>
      <c r="AM503">
        <v>4</v>
      </c>
      <c r="AN503">
        <v>5</v>
      </c>
      <c r="AO503">
        <v>4</v>
      </c>
      <c r="AP503">
        <v>4.4000000000000004</v>
      </c>
      <c r="AQ503">
        <v>4</v>
      </c>
      <c r="AR503">
        <v>5.5</v>
      </c>
      <c r="AS503">
        <v>4</v>
      </c>
      <c r="AT503">
        <v>-4.7</v>
      </c>
      <c r="AU503">
        <v>-6.7</v>
      </c>
      <c r="AV503">
        <v>-5</v>
      </c>
      <c r="AW503">
        <v>-4.8</v>
      </c>
      <c r="AX503">
        <v>-6.2</v>
      </c>
      <c r="AY503">
        <v>-5</v>
      </c>
      <c r="AZ503">
        <v>9.6999999999999993</v>
      </c>
      <c r="BA503">
        <v>10</v>
      </c>
      <c r="BB503">
        <v>10.1</v>
      </c>
      <c r="BC503">
        <v>10</v>
      </c>
      <c r="BD503">
        <v>4.5999999999999996</v>
      </c>
      <c r="BE503">
        <v>4</v>
      </c>
      <c r="BF503">
        <v>10.3</v>
      </c>
      <c r="BG503">
        <v>10</v>
      </c>
      <c r="BH503">
        <v>10.8</v>
      </c>
      <c r="BI503">
        <v>10</v>
      </c>
      <c r="BJ503">
        <v>11</v>
      </c>
      <c r="BK503">
        <v>9</v>
      </c>
      <c r="BL503">
        <v>19.3</v>
      </c>
      <c r="BM503">
        <v>19</v>
      </c>
      <c r="BN503">
        <v>23.6</v>
      </c>
      <c r="BO503">
        <v>19</v>
      </c>
      <c r="BP503">
        <v>20.7</v>
      </c>
      <c r="BQ503">
        <v>20</v>
      </c>
      <c r="BR503">
        <v>21.5</v>
      </c>
      <c r="BS503">
        <v>25</v>
      </c>
      <c r="BT503">
        <v>21.9</v>
      </c>
      <c r="BU503">
        <v>25</v>
      </c>
      <c r="BV503">
        <v>23.5</v>
      </c>
      <c r="BW503">
        <v>18</v>
      </c>
      <c r="BX503">
        <v>21.4</v>
      </c>
      <c r="BY503">
        <v>20</v>
      </c>
      <c r="BZ503">
        <v>20.5</v>
      </c>
      <c r="CA503">
        <v>20</v>
      </c>
      <c r="CB503">
        <v>10.1</v>
      </c>
      <c r="CC503">
        <v>10</v>
      </c>
      <c r="CD503">
        <v>11.3</v>
      </c>
      <c r="CE503">
        <v>10</v>
      </c>
      <c r="CF503">
        <v>11.2</v>
      </c>
      <c r="CG503">
        <v>9</v>
      </c>
      <c r="CH503">
        <v>11.4</v>
      </c>
      <c r="CI503">
        <v>9</v>
      </c>
    </row>
    <row r="504" spans="1:87" x14ac:dyDescent="0.35">
      <c r="A504" s="1">
        <v>46059.806944444441</v>
      </c>
      <c r="B504">
        <v>-21.6</v>
      </c>
      <c r="C504">
        <v>-17.399999999999999</v>
      </c>
      <c r="D504">
        <v>-25</v>
      </c>
      <c r="E504">
        <v>-20.9</v>
      </c>
      <c r="F504">
        <v>-23</v>
      </c>
      <c r="G504">
        <v>-25</v>
      </c>
      <c r="H504">
        <v>-17.100000000000001</v>
      </c>
      <c r="I504">
        <v>-14.9</v>
      </c>
      <c r="J504">
        <v>-25</v>
      </c>
      <c r="K504">
        <v>-16.600000000000001</v>
      </c>
      <c r="L504">
        <v>-17.399999999999999</v>
      </c>
      <c r="M504">
        <v>-25</v>
      </c>
      <c r="N504">
        <v>-20</v>
      </c>
      <c r="O504">
        <v>-20.3</v>
      </c>
      <c r="P504">
        <v>-25</v>
      </c>
      <c r="Q504">
        <v>-19.7</v>
      </c>
      <c r="R504">
        <v>-20</v>
      </c>
      <c r="S504">
        <v>-25</v>
      </c>
      <c r="T504">
        <v>3.6</v>
      </c>
      <c r="U504">
        <v>3.4</v>
      </c>
      <c r="V504">
        <v>2</v>
      </c>
      <c r="W504">
        <v>3.5</v>
      </c>
      <c r="X504">
        <v>2.2000000000000002</v>
      </c>
      <c r="Y504">
        <v>2</v>
      </c>
      <c r="Z504">
        <v>2.8</v>
      </c>
      <c r="AA504">
        <v>2.1</v>
      </c>
      <c r="AB504">
        <v>2</v>
      </c>
      <c r="AC504">
        <v>2.2999999999999998</v>
      </c>
      <c r="AD504">
        <v>0.2</v>
      </c>
      <c r="AE504">
        <v>2</v>
      </c>
      <c r="AF504">
        <v>3.7</v>
      </c>
      <c r="AG504">
        <v>3.1</v>
      </c>
      <c r="AH504">
        <v>2</v>
      </c>
      <c r="AI504">
        <v>3.5</v>
      </c>
      <c r="AJ504">
        <v>1</v>
      </c>
      <c r="AK504">
        <v>2</v>
      </c>
      <c r="AL504">
        <v>4.7</v>
      </c>
      <c r="AM504">
        <v>4</v>
      </c>
      <c r="AN504">
        <v>5.0999999999999996</v>
      </c>
      <c r="AO504">
        <v>4</v>
      </c>
      <c r="AP504">
        <v>4.7</v>
      </c>
      <c r="AQ504">
        <v>4</v>
      </c>
      <c r="AR504">
        <v>5.7</v>
      </c>
      <c r="AS504">
        <v>4</v>
      </c>
      <c r="AT504">
        <v>-4.7</v>
      </c>
      <c r="AU504">
        <v>-6.8</v>
      </c>
      <c r="AV504">
        <v>-5</v>
      </c>
      <c r="AW504">
        <v>-5</v>
      </c>
      <c r="AX504">
        <v>-6.6</v>
      </c>
      <c r="AY504">
        <v>-5</v>
      </c>
      <c r="AZ504">
        <v>9.9</v>
      </c>
      <c r="BA504">
        <v>10</v>
      </c>
      <c r="BB504">
        <v>10.1</v>
      </c>
      <c r="BC504">
        <v>10</v>
      </c>
      <c r="BD504">
        <v>4.8</v>
      </c>
      <c r="BE504">
        <v>4</v>
      </c>
      <c r="BF504">
        <v>9.6</v>
      </c>
      <c r="BG504">
        <v>10</v>
      </c>
      <c r="BH504">
        <v>10.8</v>
      </c>
      <c r="BI504">
        <v>10</v>
      </c>
      <c r="BJ504">
        <v>11</v>
      </c>
      <c r="BK504">
        <v>9</v>
      </c>
      <c r="BL504">
        <v>19.399999999999999</v>
      </c>
      <c r="BM504">
        <v>19</v>
      </c>
      <c r="BN504">
        <v>23.6</v>
      </c>
      <c r="BO504">
        <v>19</v>
      </c>
      <c r="BP504">
        <v>20.8</v>
      </c>
      <c r="BQ504">
        <v>20</v>
      </c>
      <c r="BR504">
        <v>21.5</v>
      </c>
      <c r="BS504">
        <v>25</v>
      </c>
      <c r="BT504">
        <v>21.9</v>
      </c>
      <c r="BU504">
        <v>25</v>
      </c>
      <c r="BV504">
        <v>23.5</v>
      </c>
      <c r="BW504">
        <v>18</v>
      </c>
      <c r="BX504">
        <v>21.4</v>
      </c>
      <c r="BY504">
        <v>20</v>
      </c>
      <c r="BZ504">
        <v>20.6</v>
      </c>
      <c r="CA504">
        <v>20</v>
      </c>
      <c r="CB504">
        <v>10.5</v>
      </c>
      <c r="CC504">
        <v>10</v>
      </c>
      <c r="CD504">
        <v>11.3</v>
      </c>
      <c r="CE504">
        <v>10</v>
      </c>
      <c r="CF504">
        <v>11.1</v>
      </c>
      <c r="CG504">
        <v>9</v>
      </c>
      <c r="CH504">
        <v>11.3</v>
      </c>
      <c r="CI504">
        <v>9</v>
      </c>
    </row>
    <row r="505" spans="1:87" x14ac:dyDescent="0.35">
      <c r="A505" s="1">
        <v>46059.807638888888</v>
      </c>
      <c r="B505">
        <v>-21.7</v>
      </c>
      <c r="C505">
        <v>-17.7</v>
      </c>
      <c r="D505">
        <v>-25</v>
      </c>
      <c r="E505">
        <v>-21.1</v>
      </c>
      <c r="F505">
        <v>-22.3</v>
      </c>
      <c r="G505">
        <v>-25</v>
      </c>
      <c r="H505">
        <v>-17.100000000000001</v>
      </c>
      <c r="I505">
        <v>-15</v>
      </c>
      <c r="J505">
        <v>-25</v>
      </c>
      <c r="K505">
        <v>-16.600000000000001</v>
      </c>
      <c r="L505">
        <v>-17.5</v>
      </c>
      <c r="M505">
        <v>-25</v>
      </c>
      <c r="N505">
        <v>-20.100000000000001</v>
      </c>
      <c r="O505">
        <v>-20.3</v>
      </c>
      <c r="P505">
        <v>-25</v>
      </c>
      <c r="Q505">
        <v>-19.7</v>
      </c>
      <c r="R505">
        <v>-20.100000000000001</v>
      </c>
      <c r="S505">
        <v>-25</v>
      </c>
      <c r="T505">
        <v>3.5</v>
      </c>
      <c r="U505">
        <v>3.3</v>
      </c>
      <c r="V505">
        <v>2</v>
      </c>
      <c r="W505">
        <v>3.4</v>
      </c>
      <c r="X505">
        <v>2.2000000000000002</v>
      </c>
      <c r="Y505">
        <v>2</v>
      </c>
      <c r="Z505">
        <v>2.7</v>
      </c>
      <c r="AA505">
        <v>2</v>
      </c>
      <c r="AB505">
        <v>2</v>
      </c>
      <c r="AC505">
        <v>2.2000000000000002</v>
      </c>
      <c r="AD505">
        <v>1</v>
      </c>
      <c r="AE505">
        <v>2</v>
      </c>
      <c r="AF505">
        <v>3.3</v>
      </c>
      <c r="AG505">
        <v>2.8</v>
      </c>
      <c r="AH505">
        <v>2</v>
      </c>
      <c r="AI505">
        <v>3.1</v>
      </c>
      <c r="AJ505">
        <v>1.4</v>
      </c>
      <c r="AK505">
        <v>2</v>
      </c>
      <c r="AL505">
        <v>4.7</v>
      </c>
      <c r="AM505">
        <v>4</v>
      </c>
      <c r="AN505">
        <v>5.0999999999999996</v>
      </c>
      <c r="AO505">
        <v>4</v>
      </c>
      <c r="AP505">
        <v>4.9000000000000004</v>
      </c>
      <c r="AQ505">
        <v>4</v>
      </c>
      <c r="AR505">
        <v>5.9</v>
      </c>
      <c r="AS505">
        <v>4</v>
      </c>
      <c r="AT505">
        <v>-5.0999999999999996</v>
      </c>
      <c r="AU505">
        <v>-7.9</v>
      </c>
      <c r="AV505">
        <v>-5</v>
      </c>
      <c r="AW505">
        <v>-5.0999999999999996</v>
      </c>
      <c r="AX505">
        <v>-6.3</v>
      </c>
      <c r="AY505">
        <v>-5</v>
      </c>
      <c r="AZ505">
        <v>10</v>
      </c>
      <c r="BA505">
        <v>10</v>
      </c>
      <c r="BB505">
        <v>10</v>
      </c>
      <c r="BC505">
        <v>10</v>
      </c>
      <c r="BD505">
        <v>5</v>
      </c>
      <c r="BE505">
        <v>4</v>
      </c>
      <c r="BF505">
        <v>9.5</v>
      </c>
      <c r="BG505">
        <v>10</v>
      </c>
      <c r="BH505">
        <v>10.8</v>
      </c>
      <c r="BI505">
        <v>10</v>
      </c>
      <c r="BJ505">
        <v>11</v>
      </c>
      <c r="BK505">
        <v>9</v>
      </c>
      <c r="BL505">
        <v>19.399999999999999</v>
      </c>
      <c r="BM505">
        <v>19</v>
      </c>
      <c r="BN505">
        <v>23.6</v>
      </c>
      <c r="BO505">
        <v>19</v>
      </c>
      <c r="BP505">
        <v>20.8</v>
      </c>
      <c r="BQ505">
        <v>20</v>
      </c>
      <c r="BR505">
        <v>21.5</v>
      </c>
      <c r="BS505">
        <v>25</v>
      </c>
      <c r="BT505">
        <v>21.9</v>
      </c>
      <c r="BU505">
        <v>25</v>
      </c>
      <c r="BV505">
        <v>23.5</v>
      </c>
      <c r="BW505">
        <v>18</v>
      </c>
      <c r="BX505">
        <v>21.5</v>
      </c>
      <c r="BY505">
        <v>20</v>
      </c>
      <c r="BZ505">
        <v>20.7</v>
      </c>
      <c r="CA505">
        <v>20</v>
      </c>
      <c r="CB505">
        <v>11</v>
      </c>
      <c r="CC505">
        <v>10</v>
      </c>
      <c r="CD505">
        <v>11.3</v>
      </c>
      <c r="CE505">
        <v>10</v>
      </c>
      <c r="CF505">
        <v>11.1</v>
      </c>
      <c r="CG505">
        <v>9</v>
      </c>
      <c r="CH505">
        <v>11.3</v>
      </c>
      <c r="CI505">
        <v>9</v>
      </c>
    </row>
    <row r="506" spans="1:87" x14ac:dyDescent="0.35">
      <c r="A506" s="1">
        <v>46059.808333333334</v>
      </c>
      <c r="B506">
        <v>-21.7</v>
      </c>
      <c r="C506">
        <v>-17.899999999999999</v>
      </c>
      <c r="D506">
        <v>-25</v>
      </c>
      <c r="E506">
        <v>-21.1</v>
      </c>
      <c r="F506">
        <v>-22.1</v>
      </c>
      <c r="G506">
        <v>-25</v>
      </c>
      <c r="H506">
        <v>-17.2</v>
      </c>
      <c r="I506">
        <v>-15</v>
      </c>
      <c r="J506">
        <v>-25</v>
      </c>
      <c r="K506">
        <v>-16.7</v>
      </c>
      <c r="L506">
        <v>-17.600000000000001</v>
      </c>
      <c r="M506">
        <v>-25</v>
      </c>
      <c r="N506">
        <v>-20.100000000000001</v>
      </c>
      <c r="O506">
        <v>-20.3</v>
      </c>
      <c r="P506">
        <v>-25</v>
      </c>
      <c r="Q506">
        <v>-19.8</v>
      </c>
      <c r="R506">
        <v>-20.2</v>
      </c>
      <c r="S506">
        <v>-25</v>
      </c>
      <c r="T506">
        <v>3.4</v>
      </c>
      <c r="U506">
        <v>3.1</v>
      </c>
      <c r="V506">
        <v>2</v>
      </c>
      <c r="W506">
        <v>3.2</v>
      </c>
      <c r="X506">
        <v>1.9</v>
      </c>
      <c r="Y506">
        <v>2</v>
      </c>
      <c r="Z506">
        <v>2.6</v>
      </c>
      <c r="AA506">
        <v>2</v>
      </c>
      <c r="AB506">
        <v>2</v>
      </c>
      <c r="AC506">
        <v>2.1</v>
      </c>
      <c r="AD506">
        <v>1.1000000000000001</v>
      </c>
      <c r="AE506">
        <v>2</v>
      </c>
      <c r="AF506">
        <v>3.1</v>
      </c>
      <c r="AG506">
        <v>2.6</v>
      </c>
      <c r="AH506">
        <v>2</v>
      </c>
      <c r="AI506">
        <v>2.9</v>
      </c>
      <c r="AJ506">
        <v>1.4</v>
      </c>
      <c r="AK506">
        <v>2</v>
      </c>
      <c r="AL506">
        <v>4.7</v>
      </c>
      <c r="AM506">
        <v>4</v>
      </c>
      <c r="AN506">
        <v>5.0999999999999996</v>
      </c>
      <c r="AO506">
        <v>4</v>
      </c>
      <c r="AP506">
        <v>5</v>
      </c>
      <c r="AQ506">
        <v>4</v>
      </c>
      <c r="AR506">
        <v>6.1</v>
      </c>
      <c r="AS506">
        <v>4</v>
      </c>
      <c r="AT506">
        <v>-5.5</v>
      </c>
      <c r="AU506">
        <v>-7.2</v>
      </c>
      <c r="AV506">
        <v>-5</v>
      </c>
      <c r="AW506">
        <v>-5.2</v>
      </c>
      <c r="AX506">
        <v>-5.3</v>
      </c>
      <c r="AY506">
        <v>-5</v>
      </c>
      <c r="AZ506">
        <v>10.199999999999999</v>
      </c>
      <c r="BA506">
        <v>10</v>
      </c>
      <c r="BB506">
        <v>10</v>
      </c>
      <c r="BC506">
        <v>10</v>
      </c>
      <c r="BD506">
        <v>5.3</v>
      </c>
      <c r="BE506">
        <v>4</v>
      </c>
      <c r="BF506">
        <v>9.6999999999999993</v>
      </c>
      <c r="BG506">
        <v>10</v>
      </c>
      <c r="BH506">
        <v>10.8</v>
      </c>
      <c r="BI506">
        <v>10</v>
      </c>
      <c r="BJ506">
        <v>11</v>
      </c>
      <c r="BK506">
        <v>9</v>
      </c>
      <c r="BL506">
        <v>19.399999999999999</v>
      </c>
      <c r="BM506">
        <v>19</v>
      </c>
      <c r="BN506">
        <v>23.6</v>
      </c>
      <c r="BO506">
        <v>19</v>
      </c>
      <c r="BP506">
        <v>20.8</v>
      </c>
      <c r="BQ506">
        <v>20</v>
      </c>
      <c r="BR506">
        <v>21.5</v>
      </c>
      <c r="BS506">
        <v>25</v>
      </c>
      <c r="BT506">
        <v>21.9</v>
      </c>
      <c r="BU506">
        <v>25</v>
      </c>
      <c r="BV506">
        <v>23.5</v>
      </c>
      <c r="BW506">
        <v>18</v>
      </c>
      <c r="BX506">
        <v>21.5</v>
      </c>
      <c r="BY506">
        <v>20</v>
      </c>
      <c r="BZ506">
        <v>20.8</v>
      </c>
      <c r="CA506">
        <v>20</v>
      </c>
      <c r="CB506">
        <v>11.4</v>
      </c>
      <c r="CC506">
        <v>10</v>
      </c>
      <c r="CD506">
        <v>11.3</v>
      </c>
      <c r="CE506">
        <v>10</v>
      </c>
      <c r="CF506">
        <v>11.2</v>
      </c>
      <c r="CG506">
        <v>9</v>
      </c>
      <c r="CH506">
        <v>11.4</v>
      </c>
      <c r="CI506">
        <v>9</v>
      </c>
    </row>
    <row r="507" spans="1:87" x14ac:dyDescent="0.35">
      <c r="A507" s="1">
        <v>46059.809027777781</v>
      </c>
      <c r="B507">
        <v>-21.7</v>
      </c>
      <c r="C507">
        <v>-18.2</v>
      </c>
      <c r="D507">
        <v>-25</v>
      </c>
      <c r="E507">
        <v>-21.1</v>
      </c>
      <c r="F507">
        <v>-22.1</v>
      </c>
      <c r="G507">
        <v>-25</v>
      </c>
      <c r="H507">
        <v>-17.2</v>
      </c>
      <c r="I507">
        <v>-15</v>
      </c>
      <c r="J507">
        <v>-25</v>
      </c>
      <c r="K507">
        <v>-16.7</v>
      </c>
      <c r="L507">
        <v>-17.600000000000001</v>
      </c>
      <c r="M507">
        <v>-25</v>
      </c>
      <c r="N507">
        <v>-20.2</v>
      </c>
      <c r="O507">
        <v>-20.3</v>
      </c>
      <c r="P507">
        <v>-25</v>
      </c>
      <c r="Q507">
        <v>-19.899999999999999</v>
      </c>
      <c r="R507">
        <v>-20.2</v>
      </c>
      <c r="S507">
        <v>-25</v>
      </c>
      <c r="T507">
        <v>3.2</v>
      </c>
      <c r="U507">
        <v>2.9</v>
      </c>
      <c r="V507">
        <v>2</v>
      </c>
      <c r="W507">
        <v>3</v>
      </c>
      <c r="X507">
        <v>1.7</v>
      </c>
      <c r="Y507">
        <v>2</v>
      </c>
      <c r="Z507">
        <v>2.6</v>
      </c>
      <c r="AA507">
        <v>1.9</v>
      </c>
      <c r="AB507">
        <v>2</v>
      </c>
      <c r="AC507">
        <v>2</v>
      </c>
      <c r="AD507">
        <v>0.2</v>
      </c>
      <c r="AE507">
        <v>2</v>
      </c>
      <c r="AF507">
        <v>2.9</v>
      </c>
      <c r="AG507">
        <v>2.4</v>
      </c>
      <c r="AH507">
        <v>2</v>
      </c>
      <c r="AI507">
        <v>2.7</v>
      </c>
      <c r="AJ507">
        <v>0.3</v>
      </c>
      <c r="AK507">
        <v>2</v>
      </c>
      <c r="AL507">
        <v>4.7</v>
      </c>
      <c r="AM507">
        <v>4</v>
      </c>
      <c r="AN507">
        <v>5.2</v>
      </c>
      <c r="AO507">
        <v>4</v>
      </c>
      <c r="AP507">
        <v>5.2</v>
      </c>
      <c r="AQ507">
        <v>4</v>
      </c>
      <c r="AR507">
        <v>6</v>
      </c>
      <c r="AS507">
        <v>4</v>
      </c>
      <c r="AT507">
        <v>-5.3</v>
      </c>
      <c r="AU507">
        <v>-6</v>
      </c>
      <c r="AV507">
        <v>-5</v>
      </c>
      <c r="AW507">
        <v>-4.5</v>
      </c>
      <c r="AX507">
        <v>-4.4000000000000004</v>
      </c>
      <c r="AY507">
        <v>-5</v>
      </c>
      <c r="AZ507">
        <v>10.3</v>
      </c>
      <c r="BA507">
        <v>10</v>
      </c>
      <c r="BB507">
        <v>10.199999999999999</v>
      </c>
      <c r="BC507">
        <v>10</v>
      </c>
      <c r="BD507">
        <v>5.5</v>
      </c>
      <c r="BE507">
        <v>4</v>
      </c>
      <c r="BF507">
        <v>10.1</v>
      </c>
      <c r="BG507">
        <v>10</v>
      </c>
      <c r="BH507">
        <v>10.8</v>
      </c>
      <c r="BI507">
        <v>10</v>
      </c>
      <c r="BJ507">
        <v>11</v>
      </c>
      <c r="BK507">
        <v>9</v>
      </c>
      <c r="BL507">
        <v>19.399999999999999</v>
      </c>
      <c r="BM507">
        <v>19</v>
      </c>
      <c r="BN507">
        <v>23.6</v>
      </c>
      <c r="BO507">
        <v>19</v>
      </c>
      <c r="BP507">
        <v>20.8</v>
      </c>
      <c r="BQ507">
        <v>20</v>
      </c>
      <c r="BR507">
        <v>21.6</v>
      </c>
      <c r="BS507">
        <v>25</v>
      </c>
      <c r="BT507">
        <v>21.9</v>
      </c>
      <c r="BU507">
        <v>25</v>
      </c>
      <c r="BV507">
        <v>23.5</v>
      </c>
      <c r="BW507">
        <v>18</v>
      </c>
      <c r="BX507">
        <v>21.5</v>
      </c>
      <c r="BY507">
        <v>20</v>
      </c>
      <c r="BZ507">
        <v>20.9</v>
      </c>
      <c r="CA507">
        <v>20</v>
      </c>
      <c r="CB507">
        <v>11.7</v>
      </c>
      <c r="CC507">
        <v>10</v>
      </c>
      <c r="CD507">
        <v>11.3</v>
      </c>
      <c r="CE507">
        <v>10</v>
      </c>
      <c r="CF507">
        <v>11.3</v>
      </c>
      <c r="CG507">
        <v>9</v>
      </c>
      <c r="CH507">
        <v>11.5</v>
      </c>
      <c r="CI507">
        <v>9</v>
      </c>
    </row>
    <row r="508" spans="1:87" x14ac:dyDescent="0.35">
      <c r="A508" s="1">
        <v>46059.80972222222</v>
      </c>
      <c r="B508">
        <v>-21.8</v>
      </c>
      <c r="C508">
        <v>-18.399999999999999</v>
      </c>
      <c r="D508">
        <v>-25</v>
      </c>
      <c r="E508">
        <v>-21.1</v>
      </c>
      <c r="F508">
        <v>-23.3</v>
      </c>
      <c r="G508">
        <v>-25</v>
      </c>
      <c r="H508">
        <v>-17.3</v>
      </c>
      <c r="I508">
        <v>-15</v>
      </c>
      <c r="J508">
        <v>-25</v>
      </c>
      <c r="K508">
        <v>-16.8</v>
      </c>
      <c r="L508">
        <v>-17.600000000000001</v>
      </c>
      <c r="M508">
        <v>-25</v>
      </c>
      <c r="N508">
        <v>-20.2</v>
      </c>
      <c r="O508">
        <v>-20.3</v>
      </c>
      <c r="P508">
        <v>-25</v>
      </c>
      <c r="Q508">
        <v>-20</v>
      </c>
      <c r="R508">
        <v>-20.2</v>
      </c>
      <c r="S508">
        <v>-25</v>
      </c>
      <c r="T508">
        <v>3.1</v>
      </c>
      <c r="U508">
        <v>2.7</v>
      </c>
      <c r="V508">
        <v>2</v>
      </c>
      <c r="W508">
        <v>2.8</v>
      </c>
      <c r="X508">
        <v>0.4</v>
      </c>
      <c r="Y508">
        <v>2</v>
      </c>
      <c r="Z508">
        <v>2.5</v>
      </c>
      <c r="AA508">
        <v>1.8</v>
      </c>
      <c r="AB508">
        <v>2</v>
      </c>
      <c r="AC508">
        <v>2</v>
      </c>
      <c r="AD508">
        <v>0.8</v>
      </c>
      <c r="AE508">
        <v>2</v>
      </c>
      <c r="AF508">
        <v>2.7</v>
      </c>
      <c r="AG508">
        <v>2.2000000000000002</v>
      </c>
      <c r="AH508">
        <v>2</v>
      </c>
      <c r="AI508">
        <v>2.6</v>
      </c>
      <c r="AJ508">
        <v>-0.4</v>
      </c>
      <c r="AK508">
        <v>2</v>
      </c>
      <c r="AL508">
        <v>4.7</v>
      </c>
      <c r="AM508">
        <v>4</v>
      </c>
      <c r="AN508">
        <v>5.2</v>
      </c>
      <c r="AO508">
        <v>4</v>
      </c>
      <c r="AP508">
        <v>5.3</v>
      </c>
      <c r="AQ508">
        <v>4</v>
      </c>
      <c r="AR508">
        <v>5.2</v>
      </c>
      <c r="AS508">
        <v>4</v>
      </c>
      <c r="AT508">
        <v>-4.7</v>
      </c>
      <c r="AU508">
        <v>-5.2</v>
      </c>
      <c r="AV508">
        <v>-5</v>
      </c>
      <c r="AW508">
        <v>-3.9</v>
      </c>
      <c r="AX508">
        <v>-3.7</v>
      </c>
      <c r="AY508">
        <v>-5</v>
      </c>
      <c r="AZ508">
        <v>10.4</v>
      </c>
      <c r="BA508">
        <v>10</v>
      </c>
      <c r="BB508">
        <v>10.4</v>
      </c>
      <c r="BC508">
        <v>10</v>
      </c>
      <c r="BD508">
        <v>5.6</v>
      </c>
      <c r="BE508">
        <v>4</v>
      </c>
      <c r="BF508">
        <v>10.6</v>
      </c>
      <c r="BG508">
        <v>10</v>
      </c>
      <c r="BH508">
        <v>10.8</v>
      </c>
      <c r="BI508">
        <v>10</v>
      </c>
      <c r="BJ508">
        <v>11</v>
      </c>
      <c r="BK508">
        <v>9</v>
      </c>
      <c r="BL508">
        <v>19.5</v>
      </c>
      <c r="BM508">
        <v>19</v>
      </c>
      <c r="BN508">
        <v>23.6</v>
      </c>
      <c r="BO508">
        <v>19</v>
      </c>
      <c r="BP508">
        <v>20.8</v>
      </c>
      <c r="BQ508">
        <v>20</v>
      </c>
      <c r="BR508">
        <v>21.6</v>
      </c>
      <c r="BS508">
        <v>25</v>
      </c>
      <c r="BT508">
        <v>21.9</v>
      </c>
      <c r="BU508">
        <v>25</v>
      </c>
      <c r="BV508">
        <v>23.5</v>
      </c>
      <c r="BW508">
        <v>18</v>
      </c>
      <c r="BX508">
        <v>21.6</v>
      </c>
      <c r="BY508">
        <v>20</v>
      </c>
      <c r="BZ508">
        <v>20.9</v>
      </c>
      <c r="CA508">
        <v>20</v>
      </c>
      <c r="CB508">
        <v>12</v>
      </c>
      <c r="CC508">
        <v>10</v>
      </c>
      <c r="CD508">
        <v>11.3</v>
      </c>
      <c r="CE508">
        <v>10</v>
      </c>
      <c r="CF508">
        <v>11.1</v>
      </c>
      <c r="CG508">
        <v>9</v>
      </c>
      <c r="CH508">
        <v>11.3</v>
      </c>
      <c r="CI508">
        <v>9</v>
      </c>
    </row>
    <row r="509" spans="1:87" x14ac:dyDescent="0.35">
      <c r="A509" s="1">
        <v>46059.810416666667</v>
      </c>
      <c r="B509">
        <v>-21.9</v>
      </c>
      <c r="C509">
        <v>-18.5</v>
      </c>
      <c r="D509">
        <v>-25</v>
      </c>
      <c r="E509">
        <v>-21.2</v>
      </c>
      <c r="F509">
        <v>-23.8</v>
      </c>
      <c r="G509">
        <v>-25</v>
      </c>
      <c r="H509">
        <v>-17.399999999999999</v>
      </c>
      <c r="I509">
        <v>-15</v>
      </c>
      <c r="J509">
        <v>-25</v>
      </c>
      <c r="K509">
        <v>-16.8</v>
      </c>
      <c r="L509">
        <v>-17.600000000000001</v>
      </c>
      <c r="M509">
        <v>-25</v>
      </c>
      <c r="N509">
        <v>-20.3</v>
      </c>
      <c r="O509">
        <v>-20.399999999999999</v>
      </c>
      <c r="P509">
        <v>-25</v>
      </c>
      <c r="Q509">
        <v>-20</v>
      </c>
      <c r="R509">
        <v>-20.3</v>
      </c>
      <c r="S509">
        <v>-25</v>
      </c>
      <c r="T509">
        <v>2.9</v>
      </c>
      <c r="U509">
        <v>2.4</v>
      </c>
      <c r="V509">
        <v>2</v>
      </c>
      <c r="W509">
        <v>2.5</v>
      </c>
      <c r="X509">
        <v>-0.7</v>
      </c>
      <c r="Y509">
        <v>2</v>
      </c>
      <c r="Z509">
        <v>2.5</v>
      </c>
      <c r="AA509">
        <v>1.9</v>
      </c>
      <c r="AB509">
        <v>2</v>
      </c>
      <c r="AC509">
        <v>2</v>
      </c>
      <c r="AD509">
        <v>1.4</v>
      </c>
      <c r="AE509">
        <v>2</v>
      </c>
      <c r="AF509">
        <v>2.5</v>
      </c>
      <c r="AG509">
        <v>2</v>
      </c>
      <c r="AH509">
        <v>2</v>
      </c>
      <c r="AI509">
        <v>2.2999999999999998</v>
      </c>
      <c r="AJ509">
        <v>-1</v>
      </c>
      <c r="AK509">
        <v>2</v>
      </c>
      <c r="AL509">
        <v>4.7</v>
      </c>
      <c r="AM509">
        <v>4</v>
      </c>
      <c r="AN509">
        <v>5.3</v>
      </c>
      <c r="AO509">
        <v>4</v>
      </c>
      <c r="AP509">
        <v>5.4</v>
      </c>
      <c r="AQ509">
        <v>4</v>
      </c>
      <c r="AR509">
        <v>4.2</v>
      </c>
      <c r="AS509">
        <v>4</v>
      </c>
      <c r="AT509">
        <v>-4.0999999999999996</v>
      </c>
      <c r="AU509">
        <v>-4.5</v>
      </c>
      <c r="AV509">
        <v>-5</v>
      </c>
      <c r="AW509">
        <v>-3.5</v>
      </c>
      <c r="AX509">
        <v>-3.3</v>
      </c>
      <c r="AY509">
        <v>-5</v>
      </c>
      <c r="AZ509">
        <v>10.5</v>
      </c>
      <c r="BA509">
        <v>10</v>
      </c>
      <c r="BB509">
        <v>10.7</v>
      </c>
      <c r="BC509">
        <v>10</v>
      </c>
      <c r="BD509">
        <v>5.8</v>
      </c>
      <c r="BE509">
        <v>4</v>
      </c>
      <c r="BF509">
        <v>10.7</v>
      </c>
      <c r="BG509">
        <v>10</v>
      </c>
      <c r="BH509">
        <v>11.2</v>
      </c>
      <c r="BI509">
        <v>10</v>
      </c>
      <c r="BJ509">
        <v>11</v>
      </c>
      <c r="BK509">
        <v>9</v>
      </c>
      <c r="BL509">
        <v>19.5</v>
      </c>
      <c r="BM509">
        <v>19</v>
      </c>
      <c r="BN509">
        <v>23.6</v>
      </c>
      <c r="BO509">
        <v>19</v>
      </c>
      <c r="BP509">
        <v>20.8</v>
      </c>
      <c r="BQ509">
        <v>20</v>
      </c>
      <c r="BR509">
        <v>21.6</v>
      </c>
      <c r="BS509">
        <v>25</v>
      </c>
      <c r="BT509">
        <v>21.9</v>
      </c>
      <c r="BU509">
        <v>25</v>
      </c>
      <c r="BV509">
        <v>23.5</v>
      </c>
      <c r="BW509">
        <v>18</v>
      </c>
      <c r="BX509">
        <v>21.6</v>
      </c>
      <c r="BY509">
        <v>20</v>
      </c>
      <c r="BZ509">
        <v>21</v>
      </c>
      <c r="CA509">
        <v>20</v>
      </c>
      <c r="CB509">
        <v>12</v>
      </c>
      <c r="CC509">
        <v>10</v>
      </c>
      <c r="CD509">
        <v>11.3</v>
      </c>
      <c r="CE509">
        <v>10</v>
      </c>
      <c r="CF509">
        <v>11.1</v>
      </c>
      <c r="CG509">
        <v>9</v>
      </c>
      <c r="CH509">
        <v>11.3</v>
      </c>
      <c r="CI509">
        <v>9</v>
      </c>
    </row>
    <row r="510" spans="1:87" x14ac:dyDescent="0.35">
      <c r="A510" s="1">
        <v>46059.811111111114</v>
      </c>
      <c r="B510">
        <v>-22.1</v>
      </c>
      <c r="C510">
        <v>-18.7</v>
      </c>
      <c r="D510">
        <v>-25</v>
      </c>
      <c r="E510">
        <v>-21.4</v>
      </c>
      <c r="F510">
        <v>-24</v>
      </c>
      <c r="G510">
        <v>-25</v>
      </c>
      <c r="H510">
        <v>-17.399999999999999</v>
      </c>
      <c r="I510">
        <v>-15.1</v>
      </c>
      <c r="J510">
        <v>-25</v>
      </c>
      <c r="K510">
        <v>-16.8</v>
      </c>
      <c r="L510">
        <v>-17.600000000000001</v>
      </c>
      <c r="M510">
        <v>-25</v>
      </c>
      <c r="N510">
        <v>-20.3</v>
      </c>
      <c r="O510">
        <v>-20.399999999999999</v>
      </c>
      <c r="P510">
        <v>-25</v>
      </c>
      <c r="Q510">
        <v>-20</v>
      </c>
      <c r="R510">
        <v>-20.3</v>
      </c>
      <c r="S510">
        <v>-25</v>
      </c>
      <c r="T510">
        <v>2.7</v>
      </c>
      <c r="U510">
        <v>2.2000000000000002</v>
      </c>
      <c r="V510">
        <v>2</v>
      </c>
      <c r="W510">
        <v>2.2999999999999998</v>
      </c>
      <c r="X510">
        <v>-1.2</v>
      </c>
      <c r="Y510">
        <v>2</v>
      </c>
      <c r="Z510">
        <v>2.5</v>
      </c>
      <c r="AA510">
        <v>2</v>
      </c>
      <c r="AB510">
        <v>2</v>
      </c>
      <c r="AC510">
        <v>2.1</v>
      </c>
      <c r="AD510">
        <v>1.7</v>
      </c>
      <c r="AE510">
        <v>2</v>
      </c>
      <c r="AF510">
        <v>2.2000000000000002</v>
      </c>
      <c r="AG510">
        <v>1.8</v>
      </c>
      <c r="AH510">
        <v>2</v>
      </c>
      <c r="AI510">
        <v>2</v>
      </c>
      <c r="AJ510">
        <v>-0.6</v>
      </c>
      <c r="AK510">
        <v>2</v>
      </c>
      <c r="AL510">
        <v>4.7</v>
      </c>
      <c r="AM510">
        <v>4</v>
      </c>
      <c r="AN510">
        <v>5.4</v>
      </c>
      <c r="AO510">
        <v>4</v>
      </c>
      <c r="AP510">
        <v>5.6</v>
      </c>
      <c r="AQ510">
        <v>4</v>
      </c>
      <c r="AR510">
        <v>3.1</v>
      </c>
      <c r="AS510">
        <v>4</v>
      </c>
      <c r="AT510">
        <v>-3.6</v>
      </c>
      <c r="AU510">
        <v>-3.9</v>
      </c>
      <c r="AV510">
        <v>-5</v>
      </c>
      <c r="AW510">
        <v>-3.1</v>
      </c>
      <c r="AX510">
        <v>-2.9</v>
      </c>
      <c r="AY510">
        <v>-5</v>
      </c>
      <c r="AZ510">
        <v>10.7</v>
      </c>
      <c r="BA510">
        <v>10</v>
      </c>
      <c r="BB510">
        <v>11.1</v>
      </c>
      <c r="BC510">
        <v>10</v>
      </c>
      <c r="BD510">
        <v>5.9</v>
      </c>
      <c r="BE510">
        <v>4</v>
      </c>
      <c r="BF510">
        <v>11.2</v>
      </c>
      <c r="BG510">
        <v>10</v>
      </c>
      <c r="BH510">
        <v>11.3</v>
      </c>
      <c r="BI510">
        <v>10</v>
      </c>
      <c r="BJ510">
        <v>11</v>
      </c>
      <c r="BK510">
        <v>9</v>
      </c>
      <c r="BL510">
        <v>19.5</v>
      </c>
      <c r="BM510">
        <v>19</v>
      </c>
      <c r="BN510">
        <v>23.6</v>
      </c>
      <c r="BO510">
        <v>19</v>
      </c>
      <c r="BP510">
        <v>20.9</v>
      </c>
      <c r="BQ510">
        <v>20</v>
      </c>
      <c r="BR510">
        <v>21.6</v>
      </c>
      <c r="BS510">
        <v>25</v>
      </c>
      <c r="BT510">
        <v>21.9</v>
      </c>
      <c r="BU510">
        <v>25</v>
      </c>
      <c r="BV510">
        <v>23.5</v>
      </c>
      <c r="BW510">
        <v>18</v>
      </c>
      <c r="BX510">
        <v>21.6</v>
      </c>
      <c r="BY510">
        <v>20</v>
      </c>
      <c r="BZ510">
        <v>21</v>
      </c>
      <c r="CA510">
        <v>20</v>
      </c>
      <c r="CB510">
        <v>11.8</v>
      </c>
      <c r="CC510">
        <v>10</v>
      </c>
      <c r="CD510">
        <v>11.3</v>
      </c>
      <c r="CE510">
        <v>10</v>
      </c>
      <c r="CF510">
        <v>11</v>
      </c>
      <c r="CG510">
        <v>9</v>
      </c>
      <c r="CH510">
        <v>11.2</v>
      </c>
      <c r="CI510">
        <v>9</v>
      </c>
    </row>
    <row r="511" spans="1:87" x14ac:dyDescent="0.35">
      <c r="A511" s="1">
        <v>46059.811805555553</v>
      </c>
      <c r="B511">
        <v>-22.3</v>
      </c>
      <c r="C511">
        <v>-18.899999999999999</v>
      </c>
      <c r="D511">
        <v>-25</v>
      </c>
      <c r="E511">
        <v>-21.6</v>
      </c>
      <c r="F511">
        <v>-24.2</v>
      </c>
      <c r="G511">
        <v>-25</v>
      </c>
      <c r="H511">
        <v>-17.399999999999999</v>
      </c>
      <c r="I511">
        <v>-15.1</v>
      </c>
      <c r="J511">
        <v>-25</v>
      </c>
      <c r="K511">
        <v>-16.8</v>
      </c>
      <c r="L511">
        <v>-17.600000000000001</v>
      </c>
      <c r="M511">
        <v>-25</v>
      </c>
      <c r="N511">
        <v>-20.3</v>
      </c>
      <c r="O511">
        <v>-20.399999999999999</v>
      </c>
      <c r="P511">
        <v>-25</v>
      </c>
      <c r="Q511">
        <v>-20</v>
      </c>
      <c r="R511">
        <v>-20.3</v>
      </c>
      <c r="S511">
        <v>-25</v>
      </c>
      <c r="T511">
        <v>2.5</v>
      </c>
      <c r="U511">
        <v>2</v>
      </c>
      <c r="V511">
        <v>2</v>
      </c>
      <c r="W511">
        <v>2.1</v>
      </c>
      <c r="X511">
        <v>0</v>
      </c>
      <c r="Y511">
        <v>2</v>
      </c>
      <c r="Z511">
        <v>2.5</v>
      </c>
      <c r="AA511">
        <v>2.1</v>
      </c>
      <c r="AB511">
        <v>2</v>
      </c>
      <c r="AC511">
        <v>2.2000000000000002</v>
      </c>
      <c r="AD511">
        <v>1.9</v>
      </c>
      <c r="AE511">
        <v>2</v>
      </c>
      <c r="AF511">
        <v>2.1</v>
      </c>
      <c r="AG511">
        <v>1.6</v>
      </c>
      <c r="AH511">
        <v>2</v>
      </c>
      <c r="AI511">
        <v>2</v>
      </c>
      <c r="AJ511">
        <v>0.4</v>
      </c>
      <c r="AK511">
        <v>2</v>
      </c>
      <c r="AL511">
        <v>4.7</v>
      </c>
      <c r="AM511">
        <v>4</v>
      </c>
      <c r="AN511">
        <v>5.4</v>
      </c>
      <c r="AO511">
        <v>4</v>
      </c>
      <c r="AP511">
        <v>5.7</v>
      </c>
      <c r="AQ511">
        <v>4</v>
      </c>
      <c r="AR511">
        <v>3</v>
      </c>
      <c r="AS511">
        <v>4</v>
      </c>
      <c r="AT511">
        <v>-3.2</v>
      </c>
      <c r="AU511">
        <v>-3.5</v>
      </c>
      <c r="AV511">
        <v>-5</v>
      </c>
      <c r="AW511">
        <v>-2.9</v>
      </c>
      <c r="AX511">
        <v>-2.8</v>
      </c>
      <c r="AY511">
        <v>-5</v>
      </c>
      <c r="AZ511">
        <v>10.8</v>
      </c>
      <c r="BA511">
        <v>10</v>
      </c>
      <c r="BB511">
        <v>11.3</v>
      </c>
      <c r="BC511">
        <v>10</v>
      </c>
      <c r="BD511">
        <v>6</v>
      </c>
      <c r="BE511">
        <v>4</v>
      </c>
      <c r="BF511">
        <v>11.4</v>
      </c>
      <c r="BG511">
        <v>10</v>
      </c>
      <c r="BH511">
        <v>11.2</v>
      </c>
      <c r="BI511">
        <v>10</v>
      </c>
      <c r="BJ511">
        <v>10.9</v>
      </c>
      <c r="BK511">
        <v>9</v>
      </c>
      <c r="BL511">
        <v>19.600000000000001</v>
      </c>
      <c r="BM511">
        <v>19</v>
      </c>
      <c r="BN511">
        <v>23.6</v>
      </c>
      <c r="BO511">
        <v>19</v>
      </c>
      <c r="BP511">
        <v>20.9</v>
      </c>
      <c r="BQ511">
        <v>20</v>
      </c>
      <c r="BR511">
        <v>21.7</v>
      </c>
      <c r="BS511">
        <v>25</v>
      </c>
      <c r="BT511">
        <v>21.9</v>
      </c>
      <c r="BU511">
        <v>25</v>
      </c>
      <c r="BV511">
        <v>23.5</v>
      </c>
      <c r="BW511">
        <v>18</v>
      </c>
      <c r="BX511">
        <v>21.6</v>
      </c>
      <c r="BY511">
        <v>20</v>
      </c>
      <c r="BZ511">
        <v>21.1</v>
      </c>
      <c r="CA511">
        <v>20</v>
      </c>
      <c r="CB511">
        <v>11.5</v>
      </c>
      <c r="CC511">
        <v>10</v>
      </c>
      <c r="CD511">
        <v>11.4</v>
      </c>
      <c r="CE511">
        <v>10</v>
      </c>
      <c r="CF511">
        <v>11</v>
      </c>
      <c r="CG511">
        <v>9</v>
      </c>
      <c r="CH511">
        <v>11.2</v>
      </c>
      <c r="CI511">
        <v>9</v>
      </c>
    </row>
    <row r="512" spans="1:87" x14ac:dyDescent="0.35">
      <c r="A512" s="1">
        <v>46059.8125</v>
      </c>
      <c r="B512">
        <v>-22.3</v>
      </c>
      <c r="C512">
        <v>-19.100000000000001</v>
      </c>
      <c r="D512">
        <v>-25</v>
      </c>
      <c r="E512">
        <v>-21.7</v>
      </c>
      <c r="F512">
        <v>-23.2</v>
      </c>
      <c r="G512">
        <v>-25</v>
      </c>
      <c r="H512">
        <v>-17.399999999999999</v>
      </c>
      <c r="I512">
        <v>-15.2</v>
      </c>
      <c r="J512">
        <v>-25</v>
      </c>
      <c r="K512">
        <v>-16.8</v>
      </c>
      <c r="L512">
        <v>-17.600000000000001</v>
      </c>
      <c r="M512">
        <v>-25</v>
      </c>
      <c r="N512">
        <v>-20.3</v>
      </c>
      <c r="O512">
        <v>-20.399999999999999</v>
      </c>
      <c r="P512">
        <v>-25</v>
      </c>
      <c r="Q512">
        <v>-20</v>
      </c>
      <c r="R512">
        <v>-20.399999999999999</v>
      </c>
      <c r="S512">
        <v>-25</v>
      </c>
      <c r="T512">
        <v>2.4</v>
      </c>
      <c r="U512">
        <v>1.9</v>
      </c>
      <c r="V512">
        <v>2</v>
      </c>
      <c r="W512">
        <v>2.1</v>
      </c>
      <c r="X512">
        <v>0.6</v>
      </c>
      <c r="Y512">
        <v>2</v>
      </c>
      <c r="Z512">
        <v>2.6</v>
      </c>
      <c r="AA512">
        <v>2.2999999999999998</v>
      </c>
      <c r="AB512">
        <v>2</v>
      </c>
      <c r="AC512">
        <v>2.2999999999999998</v>
      </c>
      <c r="AD512">
        <v>2</v>
      </c>
      <c r="AE512">
        <v>2</v>
      </c>
      <c r="AF512">
        <v>2.1</v>
      </c>
      <c r="AG512">
        <v>1.9</v>
      </c>
      <c r="AH512">
        <v>2</v>
      </c>
      <c r="AI512">
        <v>2</v>
      </c>
      <c r="AJ512">
        <v>1.1000000000000001</v>
      </c>
      <c r="AK512">
        <v>2</v>
      </c>
      <c r="AL512">
        <v>4.7</v>
      </c>
      <c r="AM512">
        <v>4</v>
      </c>
      <c r="AN512">
        <v>5.4</v>
      </c>
      <c r="AO512">
        <v>4</v>
      </c>
      <c r="AP512">
        <v>5.9</v>
      </c>
      <c r="AQ512">
        <v>4</v>
      </c>
      <c r="AR512">
        <v>3.1</v>
      </c>
      <c r="AS512">
        <v>4</v>
      </c>
      <c r="AT512">
        <v>-2.9</v>
      </c>
      <c r="AU512">
        <v>-3.2</v>
      </c>
      <c r="AV512">
        <v>-5</v>
      </c>
      <c r="AW512">
        <v>-3.5</v>
      </c>
      <c r="AX512">
        <v>-5</v>
      </c>
      <c r="AY512">
        <v>-5</v>
      </c>
      <c r="AZ512">
        <v>10.9</v>
      </c>
      <c r="BA512">
        <v>10</v>
      </c>
      <c r="BB512">
        <v>11.5</v>
      </c>
      <c r="BC512">
        <v>10</v>
      </c>
      <c r="BD512">
        <v>5.8</v>
      </c>
      <c r="BE512">
        <v>4</v>
      </c>
      <c r="BF512">
        <v>11.7</v>
      </c>
      <c r="BG512">
        <v>10</v>
      </c>
      <c r="BH512">
        <v>11.3</v>
      </c>
      <c r="BI512">
        <v>10</v>
      </c>
      <c r="BJ512">
        <v>10.9</v>
      </c>
      <c r="BK512">
        <v>9</v>
      </c>
      <c r="BL512">
        <v>19.600000000000001</v>
      </c>
      <c r="BM512">
        <v>19</v>
      </c>
      <c r="BN512">
        <v>23.6</v>
      </c>
      <c r="BO512">
        <v>19</v>
      </c>
      <c r="BP512">
        <v>20.9</v>
      </c>
      <c r="BQ512">
        <v>20</v>
      </c>
      <c r="BR512">
        <v>21.7</v>
      </c>
      <c r="BS512">
        <v>25</v>
      </c>
      <c r="BT512">
        <v>21.9</v>
      </c>
      <c r="BU512">
        <v>25</v>
      </c>
      <c r="BV512">
        <v>23.5</v>
      </c>
      <c r="BW512">
        <v>18</v>
      </c>
      <c r="BX512">
        <v>21.7</v>
      </c>
      <c r="BY512">
        <v>20</v>
      </c>
      <c r="BZ512">
        <v>21.1</v>
      </c>
      <c r="CA512">
        <v>20</v>
      </c>
      <c r="CB512">
        <v>11.2</v>
      </c>
      <c r="CC512">
        <v>10</v>
      </c>
      <c r="CD512">
        <v>11.4</v>
      </c>
      <c r="CE512">
        <v>10</v>
      </c>
      <c r="CF512">
        <v>11</v>
      </c>
      <c r="CG512">
        <v>9</v>
      </c>
      <c r="CH512">
        <v>11.2</v>
      </c>
      <c r="CI512">
        <v>9</v>
      </c>
    </row>
    <row r="513" spans="1:87" x14ac:dyDescent="0.35">
      <c r="A513" s="1">
        <v>46059.813194444447</v>
      </c>
      <c r="B513">
        <v>-22.3</v>
      </c>
      <c r="C513">
        <v>-19.2</v>
      </c>
      <c r="D513">
        <v>-25</v>
      </c>
      <c r="E513">
        <v>-21.7</v>
      </c>
      <c r="F513">
        <v>-22.6</v>
      </c>
      <c r="G513">
        <v>-25</v>
      </c>
      <c r="H513">
        <v>-17.399999999999999</v>
      </c>
      <c r="I513">
        <v>-15.2</v>
      </c>
      <c r="J513">
        <v>-25</v>
      </c>
      <c r="K513">
        <v>-16.8</v>
      </c>
      <c r="L513">
        <v>-17.7</v>
      </c>
      <c r="M513">
        <v>-25</v>
      </c>
      <c r="N513">
        <v>-20.399999999999999</v>
      </c>
      <c r="O513">
        <v>-20.5</v>
      </c>
      <c r="P513">
        <v>-25</v>
      </c>
      <c r="Q513">
        <v>-20.100000000000001</v>
      </c>
      <c r="R513">
        <v>-20.5</v>
      </c>
      <c r="S513">
        <v>-25</v>
      </c>
      <c r="T513">
        <v>2.2999999999999998</v>
      </c>
      <c r="U513">
        <v>1.9</v>
      </c>
      <c r="V513">
        <v>2</v>
      </c>
      <c r="W513">
        <v>2</v>
      </c>
      <c r="X513">
        <v>-1.1000000000000001</v>
      </c>
      <c r="Y513">
        <v>2</v>
      </c>
      <c r="Z513">
        <v>2.7</v>
      </c>
      <c r="AA513">
        <v>2.4</v>
      </c>
      <c r="AB513">
        <v>2</v>
      </c>
      <c r="AC513">
        <v>2.4</v>
      </c>
      <c r="AD513">
        <v>2.2000000000000002</v>
      </c>
      <c r="AE513">
        <v>2</v>
      </c>
      <c r="AF513">
        <v>2.2999999999999998</v>
      </c>
      <c r="AG513">
        <v>2.2000000000000002</v>
      </c>
      <c r="AH513">
        <v>2</v>
      </c>
      <c r="AI513">
        <v>2.2000000000000002</v>
      </c>
      <c r="AJ513">
        <v>1.7</v>
      </c>
      <c r="AK513">
        <v>2</v>
      </c>
      <c r="AL513">
        <v>4.7</v>
      </c>
      <c r="AM513">
        <v>4</v>
      </c>
      <c r="AN513">
        <v>5.5</v>
      </c>
      <c r="AO513">
        <v>4</v>
      </c>
      <c r="AP513">
        <v>6</v>
      </c>
      <c r="AQ513">
        <v>4</v>
      </c>
      <c r="AR513">
        <v>3.4</v>
      </c>
      <c r="AS513">
        <v>4</v>
      </c>
      <c r="AT513">
        <v>-2.9</v>
      </c>
      <c r="AU513">
        <v>-4</v>
      </c>
      <c r="AV513">
        <v>-5</v>
      </c>
      <c r="AW513">
        <v>-3.9</v>
      </c>
      <c r="AX513">
        <v>-5.4</v>
      </c>
      <c r="AY513">
        <v>-5</v>
      </c>
      <c r="AZ513">
        <v>11</v>
      </c>
      <c r="BA513">
        <v>10</v>
      </c>
      <c r="BB513">
        <v>11.8</v>
      </c>
      <c r="BC513">
        <v>10</v>
      </c>
      <c r="BD513">
        <v>5.5</v>
      </c>
      <c r="BE513">
        <v>4</v>
      </c>
      <c r="BF513">
        <v>11.9</v>
      </c>
      <c r="BG513">
        <v>10</v>
      </c>
      <c r="BH513">
        <v>11.2</v>
      </c>
      <c r="BI513">
        <v>10</v>
      </c>
      <c r="BJ513">
        <v>10.9</v>
      </c>
      <c r="BK513">
        <v>9</v>
      </c>
      <c r="BL513">
        <v>19.600000000000001</v>
      </c>
      <c r="BM513">
        <v>19</v>
      </c>
      <c r="BN513">
        <v>23.6</v>
      </c>
      <c r="BO513">
        <v>19</v>
      </c>
      <c r="BP513">
        <v>20.9</v>
      </c>
      <c r="BQ513">
        <v>20</v>
      </c>
      <c r="BR513">
        <v>21.7</v>
      </c>
      <c r="BS513">
        <v>25</v>
      </c>
      <c r="BT513">
        <v>21.9</v>
      </c>
      <c r="BU513">
        <v>25</v>
      </c>
      <c r="BV513">
        <v>23.5</v>
      </c>
      <c r="BW513">
        <v>18</v>
      </c>
      <c r="BX513">
        <v>21.7</v>
      </c>
      <c r="BY513">
        <v>20</v>
      </c>
      <c r="BZ513">
        <v>21.1</v>
      </c>
      <c r="CA513">
        <v>20</v>
      </c>
      <c r="CB513">
        <v>11</v>
      </c>
      <c r="CC513">
        <v>10</v>
      </c>
      <c r="CD513">
        <v>11.4</v>
      </c>
      <c r="CE513">
        <v>10</v>
      </c>
      <c r="CF513">
        <v>11.2</v>
      </c>
      <c r="CG513">
        <v>9</v>
      </c>
      <c r="CH513">
        <v>11.4</v>
      </c>
      <c r="CI513">
        <v>9</v>
      </c>
    </row>
    <row r="514" spans="1:87" x14ac:dyDescent="0.35">
      <c r="A514" s="1">
        <v>46059.813888888886</v>
      </c>
      <c r="B514">
        <v>-22.3</v>
      </c>
      <c r="C514">
        <v>-19.3</v>
      </c>
      <c r="D514">
        <v>-25</v>
      </c>
      <c r="E514">
        <v>-21.7</v>
      </c>
      <c r="F514">
        <v>-22.5</v>
      </c>
      <c r="G514">
        <v>-25</v>
      </c>
      <c r="H514">
        <v>-17.5</v>
      </c>
      <c r="I514">
        <v>-15.2</v>
      </c>
      <c r="J514">
        <v>-25</v>
      </c>
      <c r="K514">
        <v>-16.899999999999999</v>
      </c>
      <c r="L514">
        <v>-17.8</v>
      </c>
      <c r="M514">
        <v>-25</v>
      </c>
      <c r="N514">
        <v>-20.5</v>
      </c>
      <c r="O514">
        <v>-20.6</v>
      </c>
      <c r="P514">
        <v>-25</v>
      </c>
      <c r="Q514">
        <v>-20.2</v>
      </c>
      <c r="R514">
        <v>-20.5</v>
      </c>
      <c r="S514">
        <v>-25</v>
      </c>
      <c r="T514">
        <v>2.2999999999999998</v>
      </c>
      <c r="U514">
        <v>1.8</v>
      </c>
      <c r="V514">
        <v>2</v>
      </c>
      <c r="W514">
        <v>1.9</v>
      </c>
      <c r="X514">
        <v>0.2</v>
      </c>
      <c r="Y514">
        <v>2</v>
      </c>
      <c r="Z514">
        <v>2.8</v>
      </c>
      <c r="AA514">
        <v>2.4</v>
      </c>
      <c r="AB514">
        <v>2</v>
      </c>
      <c r="AC514">
        <v>2.5</v>
      </c>
      <c r="AD514">
        <v>2.2999999999999998</v>
      </c>
      <c r="AE514">
        <v>2</v>
      </c>
      <c r="AF514">
        <v>2.5</v>
      </c>
      <c r="AG514">
        <v>2.4</v>
      </c>
      <c r="AH514">
        <v>2</v>
      </c>
      <c r="AI514">
        <v>2.4</v>
      </c>
      <c r="AJ514">
        <v>2.1</v>
      </c>
      <c r="AK514">
        <v>2</v>
      </c>
      <c r="AL514">
        <v>4.7</v>
      </c>
      <c r="AM514">
        <v>4</v>
      </c>
      <c r="AN514">
        <v>5.5</v>
      </c>
      <c r="AO514">
        <v>4</v>
      </c>
      <c r="AP514">
        <v>5.3</v>
      </c>
      <c r="AQ514">
        <v>4</v>
      </c>
      <c r="AR514">
        <v>3.8</v>
      </c>
      <c r="AS514">
        <v>4</v>
      </c>
      <c r="AT514">
        <v>-3.2</v>
      </c>
      <c r="AU514">
        <v>-5.2</v>
      </c>
      <c r="AV514">
        <v>-5</v>
      </c>
      <c r="AW514">
        <v>-4.0999999999999996</v>
      </c>
      <c r="AX514">
        <v>-4.5999999999999996</v>
      </c>
      <c r="AY514">
        <v>-5</v>
      </c>
      <c r="AZ514">
        <v>11.1</v>
      </c>
      <c r="BA514">
        <v>10</v>
      </c>
      <c r="BB514">
        <v>12</v>
      </c>
      <c r="BC514">
        <v>10</v>
      </c>
      <c r="BD514">
        <v>5.0999999999999996</v>
      </c>
      <c r="BE514">
        <v>4</v>
      </c>
      <c r="BF514">
        <v>12.1</v>
      </c>
      <c r="BG514">
        <v>10</v>
      </c>
      <c r="BH514">
        <v>11</v>
      </c>
      <c r="BI514">
        <v>10</v>
      </c>
      <c r="BJ514">
        <v>10.9</v>
      </c>
      <c r="BK514">
        <v>9</v>
      </c>
      <c r="BL514">
        <v>19.7</v>
      </c>
      <c r="BM514">
        <v>19</v>
      </c>
      <c r="BN514">
        <v>23.6</v>
      </c>
      <c r="BO514">
        <v>19</v>
      </c>
      <c r="BP514">
        <v>20.9</v>
      </c>
      <c r="BQ514">
        <v>20</v>
      </c>
      <c r="BR514">
        <v>21.6</v>
      </c>
      <c r="BS514">
        <v>25</v>
      </c>
      <c r="BT514">
        <v>21.9</v>
      </c>
      <c r="BU514">
        <v>25</v>
      </c>
      <c r="BV514">
        <v>23.5</v>
      </c>
      <c r="BW514">
        <v>18</v>
      </c>
      <c r="BX514">
        <v>21.8</v>
      </c>
      <c r="BY514">
        <v>20</v>
      </c>
      <c r="BZ514">
        <v>21.2</v>
      </c>
      <c r="CA514">
        <v>20</v>
      </c>
      <c r="CB514">
        <v>10.9</v>
      </c>
      <c r="CC514">
        <v>10</v>
      </c>
      <c r="CD514">
        <v>11.4</v>
      </c>
      <c r="CE514">
        <v>10</v>
      </c>
      <c r="CF514">
        <v>11.4</v>
      </c>
      <c r="CG514">
        <v>9</v>
      </c>
      <c r="CH514">
        <v>11.6</v>
      </c>
      <c r="CI514">
        <v>9</v>
      </c>
    </row>
    <row r="515" spans="1:87" x14ac:dyDescent="0.35">
      <c r="A515" s="1">
        <v>46059.814583333333</v>
      </c>
      <c r="B515">
        <v>-22.3</v>
      </c>
      <c r="C515">
        <v>-19.399999999999999</v>
      </c>
      <c r="D515">
        <v>-25</v>
      </c>
      <c r="E515">
        <v>-21.7</v>
      </c>
      <c r="F515">
        <v>-22.5</v>
      </c>
      <c r="G515">
        <v>-25</v>
      </c>
      <c r="H515">
        <v>-17.5</v>
      </c>
      <c r="I515">
        <v>-15.2</v>
      </c>
      <c r="J515">
        <v>-25</v>
      </c>
      <c r="K515">
        <v>-16.899999999999999</v>
      </c>
      <c r="L515">
        <v>-17.8</v>
      </c>
      <c r="M515">
        <v>-25</v>
      </c>
      <c r="N515">
        <v>-20.5</v>
      </c>
      <c r="O515">
        <v>-20.8</v>
      </c>
      <c r="P515">
        <v>-25</v>
      </c>
      <c r="Q515">
        <v>-20.3</v>
      </c>
      <c r="R515">
        <v>-20.6</v>
      </c>
      <c r="S515">
        <v>-25</v>
      </c>
      <c r="T515">
        <v>2.2999999999999998</v>
      </c>
      <c r="U515">
        <v>1.9</v>
      </c>
      <c r="V515">
        <v>2</v>
      </c>
      <c r="W515">
        <v>1.9</v>
      </c>
      <c r="X515">
        <v>0.9</v>
      </c>
      <c r="Y515">
        <v>2</v>
      </c>
      <c r="Z515">
        <v>2.9</v>
      </c>
      <c r="AA515">
        <v>2.5</v>
      </c>
      <c r="AB515">
        <v>2</v>
      </c>
      <c r="AC515">
        <v>2.6</v>
      </c>
      <c r="AD515">
        <v>2.4</v>
      </c>
      <c r="AE515">
        <v>2</v>
      </c>
      <c r="AF515">
        <v>2.7</v>
      </c>
      <c r="AG515">
        <v>2.6</v>
      </c>
      <c r="AH515">
        <v>2</v>
      </c>
      <c r="AI515">
        <v>2.6</v>
      </c>
      <c r="AJ515">
        <v>2.2999999999999998</v>
      </c>
      <c r="AK515">
        <v>2</v>
      </c>
      <c r="AL515">
        <v>4.7</v>
      </c>
      <c r="AM515">
        <v>4</v>
      </c>
      <c r="AN515">
        <v>5.6</v>
      </c>
      <c r="AO515">
        <v>4</v>
      </c>
      <c r="AP515">
        <v>4.2</v>
      </c>
      <c r="AQ515">
        <v>4</v>
      </c>
      <c r="AR515">
        <v>4.0999999999999996</v>
      </c>
      <c r="AS515">
        <v>4</v>
      </c>
      <c r="AT515">
        <v>-3.5</v>
      </c>
      <c r="AU515">
        <v>-5.4</v>
      </c>
      <c r="AV515">
        <v>-5</v>
      </c>
      <c r="AW515">
        <v>-4.0999999999999996</v>
      </c>
      <c r="AX515">
        <v>-4.5</v>
      </c>
      <c r="AY515">
        <v>-5</v>
      </c>
      <c r="AZ515">
        <v>11.2</v>
      </c>
      <c r="BA515">
        <v>10</v>
      </c>
      <c r="BB515">
        <v>12</v>
      </c>
      <c r="BC515">
        <v>10</v>
      </c>
      <c r="BD515">
        <v>4.9000000000000004</v>
      </c>
      <c r="BE515">
        <v>4</v>
      </c>
      <c r="BF515">
        <v>11.5</v>
      </c>
      <c r="BG515">
        <v>10</v>
      </c>
      <c r="BH515">
        <v>11</v>
      </c>
      <c r="BI515">
        <v>10</v>
      </c>
      <c r="BJ515">
        <v>10.9</v>
      </c>
      <c r="BK515">
        <v>9</v>
      </c>
      <c r="BL515">
        <v>19.7</v>
      </c>
      <c r="BM515">
        <v>19</v>
      </c>
      <c r="BN515">
        <v>23.6</v>
      </c>
      <c r="BO515">
        <v>19</v>
      </c>
      <c r="BP515">
        <v>21</v>
      </c>
      <c r="BQ515">
        <v>20</v>
      </c>
      <c r="BR515">
        <v>21.5</v>
      </c>
      <c r="BS515">
        <v>25</v>
      </c>
      <c r="BT515">
        <v>21.9</v>
      </c>
      <c r="BU515">
        <v>25</v>
      </c>
      <c r="BV515">
        <v>23.5</v>
      </c>
      <c r="BW515">
        <v>18</v>
      </c>
      <c r="BX515">
        <v>21.8</v>
      </c>
      <c r="BY515">
        <v>20</v>
      </c>
      <c r="BZ515">
        <v>21.2</v>
      </c>
      <c r="CA515">
        <v>20</v>
      </c>
      <c r="CB515">
        <v>10.7</v>
      </c>
      <c r="CC515">
        <v>10</v>
      </c>
      <c r="CD515">
        <v>11.4</v>
      </c>
      <c r="CE515">
        <v>10</v>
      </c>
      <c r="CF515">
        <v>11.3</v>
      </c>
      <c r="CG515">
        <v>9</v>
      </c>
      <c r="CH515">
        <v>11.5</v>
      </c>
      <c r="CI515">
        <v>9</v>
      </c>
    </row>
    <row r="516" spans="1:87" x14ac:dyDescent="0.35">
      <c r="A516" s="1">
        <v>46059.81527777778</v>
      </c>
      <c r="B516">
        <v>-22.3</v>
      </c>
      <c r="C516">
        <v>-19.5</v>
      </c>
      <c r="D516">
        <v>-25</v>
      </c>
      <c r="E516">
        <v>-21.7</v>
      </c>
      <c r="F516">
        <v>-22.8</v>
      </c>
      <c r="G516">
        <v>-25</v>
      </c>
      <c r="H516">
        <v>-17.5</v>
      </c>
      <c r="I516">
        <v>-15.3</v>
      </c>
      <c r="J516">
        <v>-25</v>
      </c>
      <c r="K516">
        <v>-16.899999999999999</v>
      </c>
      <c r="L516">
        <v>-17.8</v>
      </c>
      <c r="M516">
        <v>-25</v>
      </c>
      <c r="N516">
        <v>-20.6</v>
      </c>
      <c r="O516">
        <v>-20.9</v>
      </c>
      <c r="P516">
        <v>-25</v>
      </c>
      <c r="Q516">
        <v>-20.3</v>
      </c>
      <c r="R516">
        <v>-20.6</v>
      </c>
      <c r="S516">
        <v>-25</v>
      </c>
      <c r="T516">
        <v>2.2999999999999998</v>
      </c>
      <c r="U516">
        <v>2</v>
      </c>
      <c r="V516">
        <v>2</v>
      </c>
      <c r="W516">
        <v>2</v>
      </c>
      <c r="X516">
        <v>1.3</v>
      </c>
      <c r="Y516">
        <v>2</v>
      </c>
      <c r="Z516">
        <v>2.9</v>
      </c>
      <c r="AA516">
        <v>2.6</v>
      </c>
      <c r="AB516">
        <v>2</v>
      </c>
      <c r="AC516">
        <v>2.7</v>
      </c>
      <c r="AD516">
        <v>2.5</v>
      </c>
      <c r="AE516">
        <v>2</v>
      </c>
      <c r="AF516">
        <v>2.9</v>
      </c>
      <c r="AG516">
        <v>2.8</v>
      </c>
      <c r="AH516">
        <v>2</v>
      </c>
      <c r="AI516">
        <v>2.8</v>
      </c>
      <c r="AJ516">
        <v>2.6</v>
      </c>
      <c r="AK516">
        <v>2</v>
      </c>
      <c r="AL516">
        <v>4.7</v>
      </c>
      <c r="AM516">
        <v>4</v>
      </c>
      <c r="AN516">
        <v>5.7</v>
      </c>
      <c r="AO516">
        <v>4</v>
      </c>
      <c r="AP516">
        <v>3.2</v>
      </c>
      <c r="AQ516">
        <v>4</v>
      </c>
      <c r="AR516">
        <v>4.4000000000000004</v>
      </c>
      <c r="AS516">
        <v>4</v>
      </c>
      <c r="AT516">
        <v>-3.7</v>
      </c>
      <c r="AU516">
        <v>-5.7</v>
      </c>
      <c r="AV516">
        <v>-5</v>
      </c>
      <c r="AW516">
        <v>-4.0999999999999996</v>
      </c>
      <c r="AX516">
        <v>-4.5</v>
      </c>
      <c r="AY516">
        <v>-5</v>
      </c>
      <c r="AZ516">
        <v>11.3</v>
      </c>
      <c r="BA516">
        <v>10</v>
      </c>
      <c r="BB516">
        <v>12</v>
      </c>
      <c r="BC516">
        <v>10</v>
      </c>
      <c r="BD516">
        <v>4.9000000000000004</v>
      </c>
      <c r="BE516">
        <v>4</v>
      </c>
      <c r="BF516">
        <v>10.7</v>
      </c>
      <c r="BG516">
        <v>10</v>
      </c>
      <c r="BH516">
        <v>11</v>
      </c>
      <c r="BI516">
        <v>10</v>
      </c>
      <c r="BJ516">
        <v>10.9</v>
      </c>
      <c r="BK516">
        <v>9</v>
      </c>
      <c r="BL516">
        <v>19.7</v>
      </c>
      <c r="BM516">
        <v>19</v>
      </c>
      <c r="BN516">
        <v>23.6</v>
      </c>
      <c r="BO516">
        <v>19</v>
      </c>
      <c r="BP516">
        <v>21</v>
      </c>
      <c r="BQ516">
        <v>20</v>
      </c>
      <c r="BR516">
        <v>21.5</v>
      </c>
      <c r="BS516">
        <v>25</v>
      </c>
      <c r="BT516">
        <v>21.9</v>
      </c>
      <c r="BU516">
        <v>25</v>
      </c>
      <c r="BV516">
        <v>23.5</v>
      </c>
      <c r="BW516">
        <v>18</v>
      </c>
      <c r="BX516">
        <v>21.8</v>
      </c>
      <c r="BY516">
        <v>20</v>
      </c>
      <c r="BZ516">
        <v>21.2</v>
      </c>
      <c r="CA516">
        <v>20</v>
      </c>
      <c r="CB516">
        <v>10.5</v>
      </c>
      <c r="CC516">
        <v>10</v>
      </c>
      <c r="CD516">
        <v>11.4</v>
      </c>
      <c r="CE516">
        <v>10</v>
      </c>
      <c r="CF516">
        <v>11.4</v>
      </c>
      <c r="CG516">
        <v>9</v>
      </c>
      <c r="CH516">
        <v>11.6</v>
      </c>
      <c r="CI516">
        <v>9</v>
      </c>
    </row>
    <row r="517" spans="1:87" x14ac:dyDescent="0.35">
      <c r="A517" s="1">
        <v>46059.815972222219</v>
      </c>
      <c r="B517">
        <v>-22.3</v>
      </c>
      <c r="C517">
        <v>-19.600000000000001</v>
      </c>
      <c r="D517">
        <v>-25</v>
      </c>
      <c r="E517">
        <v>-21.7</v>
      </c>
      <c r="F517">
        <v>-23.4</v>
      </c>
      <c r="G517">
        <v>-25</v>
      </c>
      <c r="H517">
        <v>-17.5</v>
      </c>
      <c r="I517">
        <v>-15.3</v>
      </c>
      <c r="J517">
        <v>-25</v>
      </c>
      <c r="K517">
        <v>-17</v>
      </c>
      <c r="L517">
        <v>-17.8</v>
      </c>
      <c r="M517">
        <v>-25</v>
      </c>
      <c r="N517">
        <v>-20.7</v>
      </c>
      <c r="O517">
        <v>-21.2</v>
      </c>
      <c r="P517">
        <v>-25</v>
      </c>
      <c r="Q517">
        <v>-20.399999999999999</v>
      </c>
      <c r="R517">
        <v>-20.7</v>
      </c>
      <c r="S517">
        <v>-25</v>
      </c>
      <c r="T517">
        <v>2.2999999999999998</v>
      </c>
      <c r="U517">
        <v>2.2000000000000002</v>
      </c>
      <c r="V517">
        <v>2</v>
      </c>
      <c r="W517">
        <v>2.1</v>
      </c>
      <c r="X517">
        <v>1.5</v>
      </c>
      <c r="Y517">
        <v>2</v>
      </c>
      <c r="Z517">
        <v>3</v>
      </c>
      <c r="AA517">
        <v>2.7</v>
      </c>
      <c r="AB517">
        <v>2</v>
      </c>
      <c r="AC517">
        <v>2.8</v>
      </c>
      <c r="AD517">
        <v>2.6</v>
      </c>
      <c r="AE517">
        <v>2</v>
      </c>
      <c r="AF517">
        <v>3.1</v>
      </c>
      <c r="AG517">
        <v>3</v>
      </c>
      <c r="AH517">
        <v>2</v>
      </c>
      <c r="AI517">
        <v>3</v>
      </c>
      <c r="AJ517">
        <v>2.8</v>
      </c>
      <c r="AK517">
        <v>2</v>
      </c>
      <c r="AL517">
        <v>4.7</v>
      </c>
      <c r="AM517">
        <v>4</v>
      </c>
      <c r="AN517">
        <v>5.7</v>
      </c>
      <c r="AO517">
        <v>4</v>
      </c>
      <c r="AP517">
        <v>3</v>
      </c>
      <c r="AQ517">
        <v>4</v>
      </c>
      <c r="AR517">
        <v>4.7</v>
      </c>
      <c r="AS517">
        <v>4</v>
      </c>
      <c r="AT517">
        <v>-4</v>
      </c>
      <c r="AU517">
        <v>-6.1</v>
      </c>
      <c r="AV517">
        <v>-5</v>
      </c>
      <c r="AW517">
        <v>-4.4000000000000004</v>
      </c>
      <c r="AX517">
        <v>-6.1</v>
      </c>
      <c r="AY517">
        <v>-5</v>
      </c>
      <c r="AZ517">
        <v>11.4</v>
      </c>
      <c r="BA517">
        <v>10</v>
      </c>
      <c r="BB517">
        <v>11.9</v>
      </c>
      <c r="BC517">
        <v>10</v>
      </c>
      <c r="BD517">
        <v>4.9000000000000004</v>
      </c>
      <c r="BE517">
        <v>4</v>
      </c>
      <c r="BF517">
        <v>9.9</v>
      </c>
      <c r="BG517">
        <v>10</v>
      </c>
      <c r="BH517">
        <v>11</v>
      </c>
      <c r="BI517">
        <v>10</v>
      </c>
      <c r="BJ517">
        <v>10.9</v>
      </c>
      <c r="BK517">
        <v>9</v>
      </c>
      <c r="BL517">
        <v>19.8</v>
      </c>
      <c r="BM517">
        <v>19</v>
      </c>
      <c r="BN517">
        <v>23.6</v>
      </c>
      <c r="BO517">
        <v>19</v>
      </c>
      <c r="BP517">
        <v>21</v>
      </c>
      <c r="BQ517">
        <v>20</v>
      </c>
      <c r="BR517">
        <v>21.5</v>
      </c>
      <c r="BS517">
        <v>25</v>
      </c>
      <c r="BT517">
        <v>21.9</v>
      </c>
      <c r="BU517">
        <v>25</v>
      </c>
      <c r="BV517">
        <v>23.5</v>
      </c>
      <c r="BW517">
        <v>18</v>
      </c>
      <c r="BX517">
        <v>21.8</v>
      </c>
      <c r="BY517">
        <v>20</v>
      </c>
      <c r="BZ517">
        <v>21.3</v>
      </c>
      <c r="CA517">
        <v>20</v>
      </c>
      <c r="CB517">
        <v>10.4</v>
      </c>
      <c r="CC517">
        <v>10</v>
      </c>
      <c r="CD517">
        <v>11.4</v>
      </c>
      <c r="CE517">
        <v>10</v>
      </c>
      <c r="CF517">
        <v>11.4</v>
      </c>
      <c r="CG517">
        <v>9</v>
      </c>
      <c r="CH517">
        <v>11.6</v>
      </c>
      <c r="CI517">
        <v>9</v>
      </c>
    </row>
    <row r="518" spans="1:87" x14ac:dyDescent="0.35">
      <c r="A518" s="1">
        <v>46059.817361111112</v>
      </c>
      <c r="B518">
        <v>-22.4</v>
      </c>
      <c r="C518">
        <v>-19.7</v>
      </c>
      <c r="D518">
        <v>-25</v>
      </c>
      <c r="E518">
        <v>-21.8</v>
      </c>
      <c r="F518">
        <v>-23.5</v>
      </c>
      <c r="G518">
        <v>-25</v>
      </c>
      <c r="H518">
        <v>-17.5</v>
      </c>
      <c r="I518">
        <v>-15.3</v>
      </c>
      <c r="J518">
        <v>-25</v>
      </c>
      <c r="K518">
        <v>-17</v>
      </c>
      <c r="L518">
        <v>-17.8</v>
      </c>
      <c r="M518">
        <v>-25</v>
      </c>
      <c r="N518">
        <v>-20.9</v>
      </c>
      <c r="O518">
        <v>-21.5</v>
      </c>
      <c r="P518">
        <v>-25</v>
      </c>
      <c r="Q518">
        <v>-20.6</v>
      </c>
      <c r="R518">
        <v>-20.9</v>
      </c>
      <c r="S518">
        <v>-25</v>
      </c>
      <c r="T518">
        <v>2.4</v>
      </c>
      <c r="U518">
        <v>2.2999999999999998</v>
      </c>
      <c r="V518">
        <v>2</v>
      </c>
      <c r="W518">
        <v>2.2999999999999998</v>
      </c>
      <c r="X518">
        <v>1.9</v>
      </c>
      <c r="Y518">
        <v>2</v>
      </c>
      <c r="Z518">
        <v>3.2</v>
      </c>
      <c r="AA518">
        <v>2.9</v>
      </c>
      <c r="AB518">
        <v>2</v>
      </c>
      <c r="AC518">
        <v>3</v>
      </c>
      <c r="AD518">
        <v>2.8</v>
      </c>
      <c r="AE518">
        <v>2</v>
      </c>
      <c r="AF518">
        <v>3.5</v>
      </c>
      <c r="AG518">
        <v>3.4</v>
      </c>
      <c r="AH518">
        <v>2</v>
      </c>
      <c r="AI518">
        <v>3.4</v>
      </c>
      <c r="AJ518">
        <v>3.3</v>
      </c>
      <c r="AK518">
        <v>2</v>
      </c>
      <c r="AL518">
        <v>4.7</v>
      </c>
      <c r="AM518">
        <v>4</v>
      </c>
      <c r="AN518">
        <v>5.8</v>
      </c>
      <c r="AO518">
        <v>4</v>
      </c>
      <c r="AP518">
        <v>3.1</v>
      </c>
      <c r="AQ518">
        <v>4</v>
      </c>
      <c r="AR518">
        <v>5.2</v>
      </c>
      <c r="AS518">
        <v>4</v>
      </c>
      <c r="AT518">
        <v>-4.5</v>
      </c>
      <c r="AU518">
        <v>-6.5</v>
      </c>
      <c r="AV518">
        <v>-5</v>
      </c>
      <c r="AW518">
        <v>-4.8</v>
      </c>
      <c r="AX518">
        <v>-5.4</v>
      </c>
      <c r="AY518">
        <v>-5</v>
      </c>
      <c r="AZ518">
        <v>11.6</v>
      </c>
      <c r="BA518">
        <v>10</v>
      </c>
      <c r="BB518">
        <v>11.5</v>
      </c>
      <c r="BC518">
        <v>10</v>
      </c>
      <c r="BD518">
        <v>4.5</v>
      </c>
      <c r="BE518">
        <v>4</v>
      </c>
      <c r="BF518">
        <v>9.6</v>
      </c>
      <c r="BG518">
        <v>10</v>
      </c>
      <c r="BH518">
        <v>10.9</v>
      </c>
      <c r="BI518">
        <v>10</v>
      </c>
      <c r="BJ518">
        <v>10.8</v>
      </c>
      <c r="BK518">
        <v>9</v>
      </c>
      <c r="BL518">
        <v>19.8</v>
      </c>
      <c r="BM518">
        <v>19</v>
      </c>
      <c r="BN518">
        <v>23.6</v>
      </c>
      <c r="BO518">
        <v>19</v>
      </c>
      <c r="BP518">
        <v>21</v>
      </c>
      <c r="BQ518">
        <v>20</v>
      </c>
      <c r="BR518">
        <v>21.5</v>
      </c>
      <c r="BS518">
        <v>25</v>
      </c>
      <c r="BT518">
        <v>21.9</v>
      </c>
      <c r="BU518">
        <v>25</v>
      </c>
      <c r="BV518">
        <v>23.5</v>
      </c>
      <c r="BW518">
        <v>18</v>
      </c>
      <c r="BX518">
        <v>21.9</v>
      </c>
      <c r="BY518">
        <v>20</v>
      </c>
      <c r="BZ518">
        <v>21.4</v>
      </c>
      <c r="CA518">
        <v>20</v>
      </c>
      <c r="CB518">
        <v>10.199999999999999</v>
      </c>
      <c r="CC518">
        <v>10</v>
      </c>
      <c r="CD518">
        <v>11.5</v>
      </c>
      <c r="CE518">
        <v>10</v>
      </c>
      <c r="CF518">
        <v>11</v>
      </c>
      <c r="CG518">
        <v>9</v>
      </c>
      <c r="CH518">
        <v>11.2</v>
      </c>
      <c r="CI518">
        <v>9</v>
      </c>
    </row>
    <row r="519" spans="1:87" x14ac:dyDescent="0.35">
      <c r="A519" s="1">
        <v>46059.818055555559</v>
      </c>
      <c r="B519">
        <v>-22.5</v>
      </c>
      <c r="C519">
        <v>-19.7</v>
      </c>
      <c r="D519">
        <v>-25</v>
      </c>
      <c r="E519">
        <v>-21.8</v>
      </c>
      <c r="F519">
        <v>-24</v>
      </c>
      <c r="G519">
        <v>-25</v>
      </c>
      <c r="H519">
        <v>-17.5</v>
      </c>
      <c r="I519">
        <v>-15.3</v>
      </c>
      <c r="J519">
        <v>-25</v>
      </c>
      <c r="K519">
        <v>-17</v>
      </c>
      <c r="L519">
        <v>-17.8</v>
      </c>
      <c r="M519">
        <v>-25</v>
      </c>
      <c r="N519">
        <v>-20.9</v>
      </c>
      <c r="O519">
        <v>-21.5</v>
      </c>
      <c r="P519">
        <v>-25</v>
      </c>
      <c r="Q519">
        <v>-20.6</v>
      </c>
      <c r="R519">
        <v>-21</v>
      </c>
      <c r="S519">
        <v>-25</v>
      </c>
      <c r="T519">
        <v>2.5</v>
      </c>
      <c r="U519">
        <v>2.4</v>
      </c>
      <c r="V519">
        <v>2</v>
      </c>
      <c r="W519">
        <v>2.4</v>
      </c>
      <c r="X519">
        <v>2</v>
      </c>
      <c r="Y519">
        <v>2</v>
      </c>
      <c r="Z519">
        <v>3.3</v>
      </c>
      <c r="AA519">
        <v>3</v>
      </c>
      <c r="AB519">
        <v>2</v>
      </c>
      <c r="AC519">
        <v>3.1</v>
      </c>
      <c r="AD519">
        <v>2.9</v>
      </c>
      <c r="AE519">
        <v>2</v>
      </c>
      <c r="AF519">
        <v>3.7</v>
      </c>
      <c r="AG519">
        <v>3.5</v>
      </c>
      <c r="AH519">
        <v>2</v>
      </c>
      <c r="AI519">
        <v>3.5</v>
      </c>
      <c r="AJ519">
        <v>3.4</v>
      </c>
      <c r="AK519">
        <v>2</v>
      </c>
      <c r="AL519">
        <v>4.7</v>
      </c>
      <c r="AM519">
        <v>4</v>
      </c>
      <c r="AN519">
        <v>5.8</v>
      </c>
      <c r="AO519">
        <v>4</v>
      </c>
      <c r="AP519">
        <v>3.4</v>
      </c>
      <c r="AQ519">
        <v>4</v>
      </c>
      <c r="AR519">
        <v>5.4</v>
      </c>
      <c r="AS519">
        <v>4</v>
      </c>
      <c r="AT519">
        <v>-4.7</v>
      </c>
      <c r="AU519">
        <v>-6.6</v>
      </c>
      <c r="AV519">
        <v>-5</v>
      </c>
      <c r="AW519">
        <v>-4.8</v>
      </c>
      <c r="AX519">
        <v>-5.2</v>
      </c>
      <c r="AY519">
        <v>-5</v>
      </c>
      <c r="AZ519">
        <v>11.7</v>
      </c>
      <c r="BA519">
        <v>10</v>
      </c>
      <c r="BB519">
        <v>11.4</v>
      </c>
      <c r="BC519">
        <v>10</v>
      </c>
      <c r="BD519">
        <v>4.0999999999999996</v>
      </c>
      <c r="BE519">
        <v>4</v>
      </c>
      <c r="BF519">
        <v>9.9</v>
      </c>
      <c r="BG519">
        <v>10</v>
      </c>
      <c r="BH519">
        <v>10.9</v>
      </c>
      <c r="BI519">
        <v>10</v>
      </c>
      <c r="BJ519">
        <v>10.8</v>
      </c>
      <c r="BK519">
        <v>9</v>
      </c>
      <c r="BL519">
        <v>19.899999999999999</v>
      </c>
      <c r="BM519">
        <v>19</v>
      </c>
      <c r="BN519">
        <v>23.6</v>
      </c>
      <c r="BO519">
        <v>19</v>
      </c>
      <c r="BP519">
        <v>21.1</v>
      </c>
      <c r="BQ519">
        <v>20</v>
      </c>
      <c r="BR519">
        <v>21.5</v>
      </c>
      <c r="BS519">
        <v>25</v>
      </c>
      <c r="BT519">
        <v>21.9</v>
      </c>
      <c r="BU519">
        <v>25</v>
      </c>
      <c r="BV519">
        <v>23.5</v>
      </c>
      <c r="BW519">
        <v>18</v>
      </c>
      <c r="BX519">
        <v>21.9</v>
      </c>
      <c r="BY519">
        <v>20</v>
      </c>
      <c r="BZ519">
        <v>21.4</v>
      </c>
      <c r="CA519">
        <v>20</v>
      </c>
      <c r="CB519">
        <v>10.1</v>
      </c>
      <c r="CC519">
        <v>10</v>
      </c>
      <c r="CD519">
        <v>11.5</v>
      </c>
      <c r="CE519">
        <v>10</v>
      </c>
      <c r="CF519">
        <v>11.1</v>
      </c>
      <c r="CG519">
        <v>9</v>
      </c>
      <c r="CH519">
        <v>11.4</v>
      </c>
      <c r="CI519">
        <v>9</v>
      </c>
    </row>
    <row r="520" spans="1:87" x14ac:dyDescent="0.35">
      <c r="A520" s="1">
        <v>46059.818749999999</v>
      </c>
      <c r="B520">
        <v>-22.6</v>
      </c>
      <c r="C520">
        <v>-19.8</v>
      </c>
      <c r="D520">
        <v>-25</v>
      </c>
      <c r="E520">
        <v>-21.9</v>
      </c>
      <c r="F520">
        <v>-24.2</v>
      </c>
      <c r="G520">
        <v>-25</v>
      </c>
      <c r="H520">
        <v>-17.600000000000001</v>
      </c>
      <c r="I520">
        <v>-15.3</v>
      </c>
      <c r="J520">
        <v>-25</v>
      </c>
      <c r="K520">
        <v>-17</v>
      </c>
      <c r="L520">
        <v>-17.8</v>
      </c>
      <c r="M520">
        <v>-25</v>
      </c>
      <c r="N520">
        <v>-20.9</v>
      </c>
      <c r="O520">
        <v>-21.6</v>
      </c>
      <c r="P520">
        <v>-25</v>
      </c>
      <c r="Q520">
        <v>-20.6</v>
      </c>
      <c r="R520">
        <v>-21</v>
      </c>
      <c r="S520">
        <v>-25</v>
      </c>
      <c r="T520">
        <v>2.6</v>
      </c>
      <c r="U520">
        <v>2.4</v>
      </c>
      <c r="V520">
        <v>2</v>
      </c>
      <c r="W520">
        <v>2.4</v>
      </c>
      <c r="X520">
        <v>2.1</v>
      </c>
      <c r="Y520">
        <v>2</v>
      </c>
      <c r="Z520">
        <v>3.4</v>
      </c>
      <c r="AA520">
        <v>3.1</v>
      </c>
      <c r="AB520">
        <v>2</v>
      </c>
      <c r="AC520">
        <v>3.1</v>
      </c>
      <c r="AD520">
        <v>3</v>
      </c>
      <c r="AE520">
        <v>2</v>
      </c>
      <c r="AF520">
        <v>3.8</v>
      </c>
      <c r="AG520">
        <v>3.7</v>
      </c>
      <c r="AH520">
        <v>2</v>
      </c>
      <c r="AI520">
        <v>3.7</v>
      </c>
      <c r="AJ520">
        <v>3.6</v>
      </c>
      <c r="AK520">
        <v>2</v>
      </c>
      <c r="AL520">
        <v>4.7</v>
      </c>
      <c r="AM520">
        <v>4</v>
      </c>
      <c r="AN520">
        <v>5.9</v>
      </c>
      <c r="AO520">
        <v>4</v>
      </c>
      <c r="AP520">
        <v>3.7</v>
      </c>
      <c r="AQ520">
        <v>4</v>
      </c>
      <c r="AR520">
        <v>5.6</v>
      </c>
      <c r="AS520">
        <v>4</v>
      </c>
      <c r="AT520">
        <v>-4.8</v>
      </c>
      <c r="AU520">
        <v>-6.7</v>
      </c>
      <c r="AV520">
        <v>-5</v>
      </c>
      <c r="AW520">
        <v>-4.8</v>
      </c>
      <c r="AX520">
        <v>-6.1</v>
      </c>
      <c r="AY520">
        <v>-5</v>
      </c>
      <c r="AZ520">
        <v>11.7</v>
      </c>
      <c r="BA520">
        <v>10</v>
      </c>
      <c r="BB520">
        <v>11.2</v>
      </c>
      <c r="BC520">
        <v>10</v>
      </c>
      <c r="BD520">
        <v>3.9</v>
      </c>
      <c r="BE520">
        <v>4</v>
      </c>
      <c r="BF520">
        <v>10.4</v>
      </c>
      <c r="BG520">
        <v>10</v>
      </c>
      <c r="BH520">
        <v>10.9</v>
      </c>
      <c r="BI520">
        <v>10</v>
      </c>
      <c r="BJ520">
        <v>10.8</v>
      </c>
      <c r="BK520">
        <v>9</v>
      </c>
      <c r="BL520">
        <v>19.899999999999999</v>
      </c>
      <c r="BM520">
        <v>19</v>
      </c>
      <c r="BN520">
        <v>23.6</v>
      </c>
      <c r="BO520">
        <v>19</v>
      </c>
      <c r="BP520">
        <v>21.1</v>
      </c>
      <c r="BQ520">
        <v>20</v>
      </c>
      <c r="BR520">
        <v>21.5</v>
      </c>
      <c r="BS520">
        <v>25</v>
      </c>
      <c r="BT520">
        <v>21.9</v>
      </c>
      <c r="BU520">
        <v>25</v>
      </c>
      <c r="BV520">
        <v>23.5</v>
      </c>
      <c r="BW520">
        <v>18</v>
      </c>
      <c r="BX520">
        <v>21.9</v>
      </c>
      <c r="BY520">
        <v>20</v>
      </c>
      <c r="BZ520">
        <v>21.4</v>
      </c>
      <c r="CA520">
        <v>20</v>
      </c>
      <c r="CB520">
        <v>10</v>
      </c>
      <c r="CC520">
        <v>10</v>
      </c>
      <c r="CD520">
        <v>11.5</v>
      </c>
      <c r="CE520">
        <v>10</v>
      </c>
      <c r="CF520">
        <v>11.4</v>
      </c>
      <c r="CG520">
        <v>9</v>
      </c>
      <c r="CH520">
        <v>11.6</v>
      </c>
      <c r="CI520">
        <v>9</v>
      </c>
    </row>
    <row r="521" spans="1:87" x14ac:dyDescent="0.35">
      <c r="A521" s="1">
        <v>46059.819444444445</v>
      </c>
      <c r="B521">
        <v>-22.7</v>
      </c>
      <c r="C521">
        <v>-19.899999999999999</v>
      </c>
      <c r="D521">
        <v>-25</v>
      </c>
      <c r="E521">
        <v>-22.1</v>
      </c>
      <c r="F521">
        <v>-24.5</v>
      </c>
      <c r="G521">
        <v>-25</v>
      </c>
      <c r="H521">
        <v>-17.600000000000001</v>
      </c>
      <c r="I521">
        <v>-15.4</v>
      </c>
      <c r="J521">
        <v>-25</v>
      </c>
      <c r="K521">
        <v>-17</v>
      </c>
      <c r="L521">
        <v>-17.8</v>
      </c>
      <c r="M521">
        <v>-25</v>
      </c>
      <c r="N521">
        <v>-21</v>
      </c>
      <c r="O521">
        <v>-21.5</v>
      </c>
      <c r="P521">
        <v>-25</v>
      </c>
      <c r="Q521">
        <v>-20.6</v>
      </c>
      <c r="R521">
        <v>-21</v>
      </c>
      <c r="S521">
        <v>-25</v>
      </c>
      <c r="T521">
        <v>2.7</v>
      </c>
      <c r="U521">
        <v>2.6</v>
      </c>
      <c r="V521">
        <v>2</v>
      </c>
      <c r="W521">
        <v>2.5</v>
      </c>
      <c r="X521">
        <v>2.2000000000000002</v>
      </c>
      <c r="Y521">
        <v>2</v>
      </c>
      <c r="Z521">
        <v>3.4</v>
      </c>
      <c r="AA521">
        <v>3.1</v>
      </c>
      <c r="AB521">
        <v>2</v>
      </c>
      <c r="AC521">
        <v>3.2</v>
      </c>
      <c r="AD521">
        <v>3.1</v>
      </c>
      <c r="AE521">
        <v>2</v>
      </c>
      <c r="AF521">
        <v>3.9</v>
      </c>
      <c r="AG521">
        <v>3.8</v>
      </c>
      <c r="AH521">
        <v>2</v>
      </c>
      <c r="AI521">
        <v>3.8</v>
      </c>
      <c r="AJ521">
        <v>3.8</v>
      </c>
      <c r="AK521">
        <v>2</v>
      </c>
      <c r="AL521">
        <v>4.7</v>
      </c>
      <c r="AM521">
        <v>4</v>
      </c>
      <c r="AN521">
        <v>5.9</v>
      </c>
      <c r="AO521">
        <v>4</v>
      </c>
      <c r="AP521">
        <v>3.9</v>
      </c>
      <c r="AQ521">
        <v>4</v>
      </c>
      <c r="AR521">
        <v>5.8</v>
      </c>
      <c r="AS521">
        <v>4</v>
      </c>
      <c r="AT521">
        <v>-4.9000000000000004</v>
      </c>
      <c r="AU521">
        <v>-7.1</v>
      </c>
      <c r="AV521">
        <v>-5</v>
      </c>
      <c r="AW521">
        <v>-5</v>
      </c>
      <c r="AX521">
        <v>-6.7</v>
      </c>
      <c r="AY521">
        <v>-5</v>
      </c>
      <c r="AZ521">
        <v>11.8</v>
      </c>
      <c r="BA521">
        <v>10</v>
      </c>
      <c r="BB521">
        <v>11</v>
      </c>
      <c r="BC521">
        <v>10</v>
      </c>
      <c r="BD521">
        <v>3.9</v>
      </c>
      <c r="BE521">
        <v>4</v>
      </c>
      <c r="BF521">
        <v>10.8</v>
      </c>
      <c r="BG521">
        <v>10</v>
      </c>
      <c r="BH521">
        <v>11.4</v>
      </c>
      <c r="BI521">
        <v>10</v>
      </c>
      <c r="BJ521">
        <v>10.7</v>
      </c>
      <c r="BK521">
        <v>9</v>
      </c>
      <c r="BL521">
        <v>19.899999999999999</v>
      </c>
      <c r="BM521">
        <v>19</v>
      </c>
      <c r="BN521">
        <v>23.6</v>
      </c>
      <c r="BO521">
        <v>19</v>
      </c>
      <c r="BP521">
        <v>21.1</v>
      </c>
      <c r="BQ521">
        <v>20</v>
      </c>
      <c r="BR521">
        <v>21.5</v>
      </c>
      <c r="BS521">
        <v>25</v>
      </c>
      <c r="BT521">
        <v>21.9</v>
      </c>
      <c r="BU521">
        <v>25</v>
      </c>
      <c r="BV521">
        <v>23.5</v>
      </c>
      <c r="BW521">
        <v>18</v>
      </c>
      <c r="BX521">
        <v>21.9</v>
      </c>
      <c r="BY521">
        <v>20</v>
      </c>
      <c r="BZ521">
        <v>21.4</v>
      </c>
      <c r="CA521">
        <v>20</v>
      </c>
      <c r="CB521">
        <v>10.1</v>
      </c>
      <c r="CC521">
        <v>10</v>
      </c>
      <c r="CD521">
        <v>11.5</v>
      </c>
      <c r="CE521">
        <v>10</v>
      </c>
      <c r="CF521">
        <v>11.5</v>
      </c>
      <c r="CG521">
        <v>9</v>
      </c>
      <c r="CH521">
        <v>11.8</v>
      </c>
      <c r="CI521">
        <v>9</v>
      </c>
    </row>
    <row r="522" spans="1:87" x14ac:dyDescent="0.35">
      <c r="A522" s="1">
        <v>46059.820138888892</v>
      </c>
      <c r="B522">
        <v>-22.7</v>
      </c>
      <c r="C522">
        <v>-20</v>
      </c>
      <c r="D522">
        <v>-25</v>
      </c>
      <c r="E522">
        <v>-22.1</v>
      </c>
      <c r="F522">
        <v>-23.2</v>
      </c>
      <c r="G522">
        <v>-25</v>
      </c>
      <c r="H522">
        <v>-17.600000000000001</v>
      </c>
      <c r="I522">
        <v>-15.4</v>
      </c>
      <c r="J522">
        <v>-25</v>
      </c>
      <c r="K522">
        <v>-17</v>
      </c>
      <c r="L522">
        <v>-17.899999999999999</v>
      </c>
      <c r="M522">
        <v>-25</v>
      </c>
      <c r="N522">
        <v>-21</v>
      </c>
      <c r="O522">
        <v>-21.4</v>
      </c>
      <c r="P522">
        <v>-25</v>
      </c>
      <c r="Q522">
        <v>-20.7</v>
      </c>
      <c r="R522">
        <v>-21.1</v>
      </c>
      <c r="S522">
        <v>-25</v>
      </c>
      <c r="T522">
        <v>2.7</v>
      </c>
      <c r="U522">
        <v>2.7</v>
      </c>
      <c r="V522">
        <v>2</v>
      </c>
      <c r="W522">
        <v>2.7</v>
      </c>
      <c r="X522">
        <v>2.4</v>
      </c>
      <c r="Y522">
        <v>2</v>
      </c>
      <c r="Z522">
        <v>3.5</v>
      </c>
      <c r="AA522">
        <v>3.2</v>
      </c>
      <c r="AB522">
        <v>2</v>
      </c>
      <c r="AC522">
        <v>3.3</v>
      </c>
      <c r="AD522">
        <v>3.1</v>
      </c>
      <c r="AE522">
        <v>2</v>
      </c>
      <c r="AF522">
        <v>4.0999999999999996</v>
      </c>
      <c r="AG522">
        <v>4</v>
      </c>
      <c r="AH522">
        <v>2</v>
      </c>
      <c r="AI522">
        <v>4</v>
      </c>
      <c r="AJ522">
        <v>3.9</v>
      </c>
      <c r="AK522">
        <v>2</v>
      </c>
      <c r="AL522">
        <v>5.6</v>
      </c>
      <c r="AM522">
        <v>4</v>
      </c>
      <c r="AN522">
        <v>6</v>
      </c>
      <c r="AO522">
        <v>4</v>
      </c>
      <c r="AP522">
        <v>4.2</v>
      </c>
      <c r="AQ522">
        <v>4</v>
      </c>
      <c r="AR522">
        <v>6</v>
      </c>
      <c r="AS522">
        <v>4</v>
      </c>
      <c r="AT522">
        <v>-5.4</v>
      </c>
      <c r="AU522">
        <v>-8.1</v>
      </c>
      <c r="AV522">
        <v>-5</v>
      </c>
      <c r="AW522">
        <v>-5.3</v>
      </c>
      <c r="AX522">
        <v>-6.3</v>
      </c>
      <c r="AY522">
        <v>-5</v>
      </c>
      <c r="AZ522">
        <v>11.9</v>
      </c>
      <c r="BA522">
        <v>10</v>
      </c>
      <c r="BB522">
        <v>10.9</v>
      </c>
      <c r="BC522">
        <v>10</v>
      </c>
      <c r="BD522">
        <v>4.0999999999999996</v>
      </c>
      <c r="BE522">
        <v>4</v>
      </c>
      <c r="BF522">
        <v>11.1</v>
      </c>
      <c r="BG522">
        <v>10</v>
      </c>
      <c r="BH522">
        <v>11.6</v>
      </c>
      <c r="BI522">
        <v>10</v>
      </c>
      <c r="BJ522">
        <v>10.7</v>
      </c>
      <c r="BK522">
        <v>9</v>
      </c>
      <c r="BL522">
        <v>19.899999999999999</v>
      </c>
      <c r="BM522">
        <v>19</v>
      </c>
      <c r="BN522">
        <v>23.6</v>
      </c>
      <c r="BO522">
        <v>19</v>
      </c>
      <c r="BP522">
        <v>21.1</v>
      </c>
      <c r="BQ522">
        <v>20</v>
      </c>
      <c r="BR522">
        <v>21.5</v>
      </c>
      <c r="BS522">
        <v>25</v>
      </c>
      <c r="BT522">
        <v>21.9</v>
      </c>
      <c r="BU522">
        <v>25</v>
      </c>
      <c r="BV522">
        <v>23.5</v>
      </c>
      <c r="BW522">
        <v>18</v>
      </c>
      <c r="BX522">
        <v>21.9</v>
      </c>
      <c r="BY522">
        <v>20</v>
      </c>
      <c r="BZ522">
        <v>21.5</v>
      </c>
      <c r="CA522">
        <v>20</v>
      </c>
      <c r="CB522">
        <v>10.7</v>
      </c>
      <c r="CC522">
        <v>10</v>
      </c>
      <c r="CD522">
        <v>11.5</v>
      </c>
      <c r="CE522">
        <v>10</v>
      </c>
      <c r="CF522">
        <v>11.6</v>
      </c>
      <c r="CG522">
        <v>9</v>
      </c>
      <c r="CH522">
        <v>11.8</v>
      </c>
      <c r="CI522">
        <v>9</v>
      </c>
    </row>
    <row r="523" spans="1:87" x14ac:dyDescent="0.35">
      <c r="A523" s="1">
        <v>46059.820833333331</v>
      </c>
      <c r="B523">
        <v>-22.7</v>
      </c>
      <c r="C523">
        <v>-20</v>
      </c>
      <c r="D523">
        <v>-25</v>
      </c>
      <c r="E523">
        <v>-22.1</v>
      </c>
      <c r="F523">
        <v>-22.8</v>
      </c>
      <c r="G523">
        <v>-25</v>
      </c>
      <c r="H523">
        <v>-17.600000000000001</v>
      </c>
      <c r="I523">
        <v>-15.5</v>
      </c>
      <c r="J523">
        <v>-25</v>
      </c>
      <c r="K523">
        <v>-17</v>
      </c>
      <c r="L523">
        <v>-18</v>
      </c>
      <c r="M523">
        <v>-25</v>
      </c>
      <c r="N523">
        <v>-21.1</v>
      </c>
      <c r="O523">
        <v>-21.4</v>
      </c>
      <c r="P523">
        <v>-25</v>
      </c>
      <c r="Q523">
        <v>-20.8</v>
      </c>
      <c r="R523">
        <v>-21.1</v>
      </c>
      <c r="S523">
        <v>-25</v>
      </c>
      <c r="T523">
        <v>2.8</v>
      </c>
      <c r="U523">
        <v>2.8</v>
      </c>
      <c r="V523">
        <v>2</v>
      </c>
      <c r="W523">
        <v>2.8</v>
      </c>
      <c r="X523">
        <v>2.4</v>
      </c>
      <c r="Y523">
        <v>2</v>
      </c>
      <c r="Z523">
        <v>3.6</v>
      </c>
      <c r="AA523">
        <v>3.3</v>
      </c>
      <c r="AB523">
        <v>2</v>
      </c>
      <c r="AC523">
        <v>3.4</v>
      </c>
      <c r="AD523">
        <v>3.3</v>
      </c>
      <c r="AE523">
        <v>2</v>
      </c>
      <c r="AF523">
        <v>4.2</v>
      </c>
      <c r="AG523">
        <v>4</v>
      </c>
      <c r="AH523">
        <v>2</v>
      </c>
      <c r="AI523">
        <v>4</v>
      </c>
      <c r="AJ523">
        <v>3.9</v>
      </c>
      <c r="AK523">
        <v>2</v>
      </c>
      <c r="AL523">
        <v>5.7</v>
      </c>
      <c r="AM523">
        <v>4</v>
      </c>
      <c r="AN523">
        <v>6</v>
      </c>
      <c r="AO523">
        <v>4</v>
      </c>
      <c r="AP523">
        <v>4.4000000000000004</v>
      </c>
      <c r="AQ523">
        <v>4</v>
      </c>
      <c r="AR523">
        <v>6</v>
      </c>
      <c r="AS523">
        <v>4</v>
      </c>
      <c r="AT523">
        <v>-5.6</v>
      </c>
      <c r="AU523">
        <v>-6.5</v>
      </c>
      <c r="AV523">
        <v>-5</v>
      </c>
      <c r="AW523">
        <v>-5.0999999999999996</v>
      </c>
      <c r="AX523">
        <v>-5.0999999999999996</v>
      </c>
      <c r="AY523">
        <v>-5</v>
      </c>
      <c r="AZ523">
        <v>12</v>
      </c>
      <c r="BA523">
        <v>10</v>
      </c>
      <c r="BB523">
        <v>10.9</v>
      </c>
      <c r="BC523">
        <v>10</v>
      </c>
      <c r="BD523">
        <v>4.4000000000000004</v>
      </c>
      <c r="BE523">
        <v>4</v>
      </c>
      <c r="BF523">
        <v>11.3</v>
      </c>
      <c r="BG523">
        <v>10</v>
      </c>
      <c r="BH523">
        <v>11.5</v>
      </c>
      <c r="BI523">
        <v>10</v>
      </c>
      <c r="BJ523">
        <v>10.6</v>
      </c>
      <c r="BK523">
        <v>9</v>
      </c>
      <c r="BL523">
        <v>19.899999999999999</v>
      </c>
      <c r="BM523">
        <v>19</v>
      </c>
      <c r="BN523">
        <v>23.6</v>
      </c>
      <c r="BO523">
        <v>19</v>
      </c>
      <c r="BP523">
        <v>21.1</v>
      </c>
      <c r="BQ523">
        <v>20</v>
      </c>
      <c r="BR523">
        <v>21.5</v>
      </c>
      <c r="BS523">
        <v>25</v>
      </c>
      <c r="BT523">
        <v>21.9</v>
      </c>
      <c r="BU523">
        <v>25</v>
      </c>
      <c r="BV523">
        <v>23.5</v>
      </c>
      <c r="BW523">
        <v>18</v>
      </c>
      <c r="BX523">
        <v>22</v>
      </c>
      <c r="BY523">
        <v>20</v>
      </c>
      <c r="BZ523">
        <v>21.5</v>
      </c>
      <c r="CA523">
        <v>20</v>
      </c>
      <c r="CB523">
        <v>11.1</v>
      </c>
      <c r="CC523">
        <v>10</v>
      </c>
      <c r="CD523">
        <v>11.5</v>
      </c>
      <c r="CE523">
        <v>10</v>
      </c>
      <c r="CF523">
        <v>11.5</v>
      </c>
      <c r="CG523">
        <v>9</v>
      </c>
      <c r="CH523">
        <v>11.8</v>
      </c>
      <c r="CI523">
        <v>9</v>
      </c>
    </row>
    <row r="524" spans="1:87" x14ac:dyDescent="0.35">
      <c r="A524" s="1">
        <v>46059.821527777778</v>
      </c>
      <c r="B524">
        <v>-22.4</v>
      </c>
      <c r="C524">
        <v>-20.100000000000001</v>
      </c>
      <c r="D524">
        <v>-25</v>
      </c>
      <c r="E524">
        <v>-22</v>
      </c>
      <c r="F524">
        <v>-22.4</v>
      </c>
      <c r="G524">
        <v>-25</v>
      </c>
      <c r="H524">
        <v>-17.8</v>
      </c>
      <c r="I524">
        <v>-15.5</v>
      </c>
      <c r="J524">
        <v>-25</v>
      </c>
      <c r="K524">
        <v>-17.100000000000001</v>
      </c>
      <c r="L524">
        <v>-18.100000000000001</v>
      </c>
      <c r="M524">
        <v>-25</v>
      </c>
      <c r="N524">
        <v>-21.1</v>
      </c>
      <c r="O524">
        <v>-21.4</v>
      </c>
      <c r="P524">
        <v>-25</v>
      </c>
      <c r="Q524">
        <v>-20.9</v>
      </c>
      <c r="R524">
        <v>-21.2</v>
      </c>
      <c r="S524">
        <v>-25</v>
      </c>
      <c r="T524">
        <v>2.9</v>
      </c>
      <c r="U524">
        <v>2.9</v>
      </c>
      <c r="V524">
        <v>2</v>
      </c>
      <c r="W524">
        <v>2.9</v>
      </c>
      <c r="X524">
        <v>2.6</v>
      </c>
      <c r="Y524">
        <v>2</v>
      </c>
      <c r="Z524">
        <v>3.6</v>
      </c>
      <c r="AA524">
        <v>3.4</v>
      </c>
      <c r="AB524">
        <v>2</v>
      </c>
      <c r="AC524">
        <v>3.4</v>
      </c>
      <c r="AD524">
        <v>3.3</v>
      </c>
      <c r="AE524">
        <v>2</v>
      </c>
      <c r="AF524">
        <v>4.2</v>
      </c>
      <c r="AG524">
        <v>3.8</v>
      </c>
      <c r="AH524">
        <v>2</v>
      </c>
      <c r="AI524">
        <v>4</v>
      </c>
      <c r="AJ524">
        <v>3.4</v>
      </c>
      <c r="AK524">
        <v>2</v>
      </c>
      <c r="AL524">
        <v>5.7</v>
      </c>
      <c r="AM524">
        <v>4</v>
      </c>
      <c r="AN524">
        <v>6</v>
      </c>
      <c r="AO524">
        <v>4</v>
      </c>
      <c r="AP524">
        <v>4.5999999999999996</v>
      </c>
      <c r="AQ524">
        <v>4</v>
      </c>
      <c r="AR524">
        <v>5.8</v>
      </c>
      <c r="AS524">
        <v>4</v>
      </c>
      <c r="AT524">
        <v>-5</v>
      </c>
      <c r="AU524">
        <v>-5.5</v>
      </c>
      <c r="AV524">
        <v>-5</v>
      </c>
      <c r="AW524">
        <v>-4.4000000000000004</v>
      </c>
      <c r="AX524">
        <v>-4.2</v>
      </c>
      <c r="AY524">
        <v>-5</v>
      </c>
      <c r="AZ524">
        <v>11.9</v>
      </c>
      <c r="BA524">
        <v>10</v>
      </c>
      <c r="BB524">
        <v>10.8</v>
      </c>
      <c r="BC524">
        <v>10</v>
      </c>
      <c r="BD524">
        <v>4.7</v>
      </c>
      <c r="BE524">
        <v>4</v>
      </c>
      <c r="BF524">
        <v>11.6</v>
      </c>
      <c r="BG524">
        <v>10</v>
      </c>
      <c r="BH524">
        <v>11.4</v>
      </c>
      <c r="BI524">
        <v>10</v>
      </c>
      <c r="BJ524">
        <v>10.6</v>
      </c>
      <c r="BK524">
        <v>9</v>
      </c>
      <c r="BL524">
        <v>20</v>
      </c>
      <c r="BM524">
        <v>19</v>
      </c>
      <c r="BN524">
        <v>23.6</v>
      </c>
      <c r="BO524">
        <v>19</v>
      </c>
      <c r="BP524">
        <v>21.1</v>
      </c>
      <c r="BQ524">
        <v>20</v>
      </c>
      <c r="BR524">
        <v>21.5</v>
      </c>
      <c r="BS524">
        <v>25</v>
      </c>
      <c r="BT524">
        <v>21.9</v>
      </c>
      <c r="BU524">
        <v>25</v>
      </c>
      <c r="BV524">
        <v>23.5</v>
      </c>
      <c r="BW524">
        <v>18</v>
      </c>
      <c r="BX524">
        <v>20.399999999999999</v>
      </c>
      <c r="BY524">
        <v>20</v>
      </c>
      <c r="BZ524">
        <v>21.5</v>
      </c>
      <c r="CA524">
        <v>20</v>
      </c>
      <c r="CB524">
        <v>11.5</v>
      </c>
      <c r="CC524">
        <v>10</v>
      </c>
      <c r="CD524">
        <v>11.5</v>
      </c>
      <c r="CE524">
        <v>10</v>
      </c>
      <c r="CF524">
        <v>11.5</v>
      </c>
      <c r="CG524">
        <v>9</v>
      </c>
      <c r="CH524">
        <v>11.7</v>
      </c>
      <c r="CI524">
        <v>9</v>
      </c>
    </row>
    <row r="525" spans="1:87" x14ac:dyDescent="0.35">
      <c r="A525" s="1">
        <v>46059.822222222225</v>
      </c>
      <c r="B525">
        <v>-22.2</v>
      </c>
      <c r="C525">
        <v>-20.100000000000001</v>
      </c>
      <c r="D525">
        <v>-25</v>
      </c>
      <c r="E525">
        <v>-21.8</v>
      </c>
      <c r="F525">
        <v>-22.2</v>
      </c>
      <c r="G525">
        <v>-25</v>
      </c>
      <c r="H525">
        <v>-17.899999999999999</v>
      </c>
      <c r="I525">
        <v>-15.5</v>
      </c>
      <c r="J525">
        <v>-25</v>
      </c>
      <c r="K525">
        <v>-17.2</v>
      </c>
      <c r="L525">
        <v>-18.2</v>
      </c>
      <c r="M525">
        <v>-25</v>
      </c>
      <c r="N525">
        <v>-21.1</v>
      </c>
      <c r="O525">
        <v>-21.4</v>
      </c>
      <c r="P525">
        <v>-25</v>
      </c>
      <c r="Q525">
        <v>-21</v>
      </c>
      <c r="R525">
        <v>-21.2</v>
      </c>
      <c r="S525">
        <v>-25</v>
      </c>
      <c r="T525">
        <v>3</v>
      </c>
      <c r="U525">
        <v>3</v>
      </c>
      <c r="V525">
        <v>2</v>
      </c>
      <c r="W525">
        <v>2.9</v>
      </c>
      <c r="X525">
        <v>2.7</v>
      </c>
      <c r="Y525">
        <v>2</v>
      </c>
      <c r="Z525">
        <v>3.7</v>
      </c>
      <c r="AA525">
        <v>3.5</v>
      </c>
      <c r="AB525">
        <v>2</v>
      </c>
      <c r="AC525">
        <v>3.5</v>
      </c>
      <c r="AD525">
        <v>3.4</v>
      </c>
      <c r="AE525">
        <v>2</v>
      </c>
      <c r="AF525">
        <v>3.9</v>
      </c>
      <c r="AG525">
        <v>3.6</v>
      </c>
      <c r="AH525">
        <v>2</v>
      </c>
      <c r="AI525">
        <v>3.8</v>
      </c>
      <c r="AJ525">
        <v>3</v>
      </c>
      <c r="AK525">
        <v>2</v>
      </c>
      <c r="AL525">
        <v>5.8</v>
      </c>
      <c r="AM525">
        <v>4</v>
      </c>
      <c r="AN525">
        <v>5.8</v>
      </c>
      <c r="AO525">
        <v>4</v>
      </c>
      <c r="AP525">
        <v>4.9000000000000004</v>
      </c>
      <c r="AQ525">
        <v>4</v>
      </c>
      <c r="AR525">
        <v>5.6</v>
      </c>
      <c r="AS525">
        <v>4</v>
      </c>
      <c r="AT525">
        <v>-4.4000000000000004</v>
      </c>
      <c r="AU525">
        <v>-4.7</v>
      </c>
      <c r="AV525">
        <v>-5</v>
      </c>
      <c r="AW525">
        <v>-3.9</v>
      </c>
      <c r="AX525">
        <v>-3.7</v>
      </c>
      <c r="AY525">
        <v>-5</v>
      </c>
      <c r="AZ525">
        <v>11.4</v>
      </c>
      <c r="BA525">
        <v>10</v>
      </c>
      <c r="BB525">
        <v>10.6</v>
      </c>
      <c r="BC525">
        <v>10</v>
      </c>
      <c r="BD525">
        <v>4.9000000000000004</v>
      </c>
      <c r="BE525">
        <v>4</v>
      </c>
      <c r="BF525">
        <v>11.7</v>
      </c>
      <c r="BG525">
        <v>10</v>
      </c>
      <c r="BH525">
        <v>11.3</v>
      </c>
      <c r="BI525">
        <v>10</v>
      </c>
      <c r="BJ525">
        <v>10.6</v>
      </c>
      <c r="BK525">
        <v>9</v>
      </c>
      <c r="BL525">
        <v>20</v>
      </c>
      <c r="BM525">
        <v>19</v>
      </c>
      <c r="BN525">
        <v>23.6</v>
      </c>
      <c r="BO525">
        <v>19</v>
      </c>
      <c r="BP525">
        <v>21.2</v>
      </c>
      <c r="BQ525">
        <v>20</v>
      </c>
      <c r="BR525">
        <v>21.5</v>
      </c>
      <c r="BS525">
        <v>25</v>
      </c>
      <c r="BT525">
        <v>21.9</v>
      </c>
      <c r="BU525">
        <v>25</v>
      </c>
      <c r="BV525">
        <v>23.5</v>
      </c>
      <c r="BW525">
        <v>18</v>
      </c>
      <c r="BX525">
        <v>19.2</v>
      </c>
      <c r="BY525">
        <v>20</v>
      </c>
      <c r="BZ525">
        <v>21.5</v>
      </c>
      <c r="CA525">
        <v>20</v>
      </c>
      <c r="CB525">
        <v>11.8</v>
      </c>
      <c r="CC525">
        <v>10</v>
      </c>
      <c r="CD525">
        <v>11.5</v>
      </c>
      <c r="CE525">
        <v>10</v>
      </c>
      <c r="CF525">
        <v>11.4</v>
      </c>
      <c r="CG525">
        <v>9</v>
      </c>
      <c r="CH525">
        <v>11.6</v>
      </c>
      <c r="CI525">
        <v>9</v>
      </c>
    </row>
    <row r="526" spans="1:87" x14ac:dyDescent="0.35">
      <c r="A526" s="1">
        <v>46059.822916666664</v>
      </c>
      <c r="B526">
        <v>-22.1</v>
      </c>
      <c r="C526">
        <v>-20.100000000000001</v>
      </c>
      <c r="D526">
        <v>-25</v>
      </c>
      <c r="E526">
        <v>-21.7</v>
      </c>
      <c r="F526">
        <v>-22.1</v>
      </c>
      <c r="G526">
        <v>-25</v>
      </c>
      <c r="H526">
        <v>-17.899999999999999</v>
      </c>
      <c r="I526">
        <v>-15.6</v>
      </c>
      <c r="J526">
        <v>-25</v>
      </c>
      <c r="K526">
        <v>-17.3</v>
      </c>
      <c r="L526">
        <v>-18.2</v>
      </c>
      <c r="M526">
        <v>-25</v>
      </c>
      <c r="N526">
        <v>-21.2</v>
      </c>
      <c r="O526">
        <v>-21.4</v>
      </c>
      <c r="P526">
        <v>-25</v>
      </c>
      <c r="Q526">
        <v>-21.1</v>
      </c>
      <c r="R526">
        <v>-21.3</v>
      </c>
      <c r="S526">
        <v>-25</v>
      </c>
      <c r="T526">
        <v>3.1</v>
      </c>
      <c r="U526">
        <v>3</v>
      </c>
      <c r="V526">
        <v>2</v>
      </c>
      <c r="W526">
        <v>3</v>
      </c>
      <c r="X526">
        <v>2.8</v>
      </c>
      <c r="Y526">
        <v>2</v>
      </c>
      <c r="Z526">
        <v>3.8</v>
      </c>
      <c r="AA526">
        <v>3.5</v>
      </c>
      <c r="AB526">
        <v>2</v>
      </c>
      <c r="AC526">
        <v>3.6</v>
      </c>
      <c r="AD526">
        <v>3.5</v>
      </c>
      <c r="AE526">
        <v>2</v>
      </c>
      <c r="AF526">
        <v>3.7</v>
      </c>
      <c r="AG526">
        <v>3.3</v>
      </c>
      <c r="AH526">
        <v>2</v>
      </c>
      <c r="AI526">
        <v>3.5</v>
      </c>
      <c r="AJ526">
        <v>0.8</v>
      </c>
      <c r="AK526">
        <v>2</v>
      </c>
      <c r="AL526">
        <v>5.8</v>
      </c>
      <c r="AM526">
        <v>4</v>
      </c>
      <c r="AN526">
        <v>5.6</v>
      </c>
      <c r="AO526">
        <v>4</v>
      </c>
      <c r="AP526">
        <v>5</v>
      </c>
      <c r="AQ526">
        <v>4</v>
      </c>
      <c r="AR526">
        <v>5.6</v>
      </c>
      <c r="AS526">
        <v>4</v>
      </c>
      <c r="AT526">
        <v>-3.9</v>
      </c>
      <c r="AU526">
        <v>-4.2</v>
      </c>
      <c r="AV526">
        <v>-5</v>
      </c>
      <c r="AW526">
        <v>-3.5</v>
      </c>
      <c r="AX526">
        <v>-3.3</v>
      </c>
      <c r="AY526">
        <v>-5</v>
      </c>
      <c r="AZ526">
        <v>10.8</v>
      </c>
      <c r="BA526">
        <v>10</v>
      </c>
      <c r="BB526">
        <v>10.6</v>
      </c>
      <c r="BC526">
        <v>10</v>
      </c>
      <c r="BD526">
        <v>5.0999999999999996</v>
      </c>
      <c r="BE526">
        <v>4</v>
      </c>
      <c r="BF526">
        <v>12</v>
      </c>
      <c r="BG526">
        <v>10</v>
      </c>
      <c r="BH526">
        <v>11.1</v>
      </c>
      <c r="BI526">
        <v>10</v>
      </c>
      <c r="BJ526">
        <v>10.6</v>
      </c>
      <c r="BK526">
        <v>9</v>
      </c>
      <c r="BL526">
        <v>20</v>
      </c>
      <c r="BM526">
        <v>19</v>
      </c>
      <c r="BN526">
        <v>23.6</v>
      </c>
      <c r="BO526">
        <v>19</v>
      </c>
      <c r="BP526">
        <v>21.2</v>
      </c>
      <c r="BQ526">
        <v>20</v>
      </c>
      <c r="BR526">
        <v>21.5</v>
      </c>
      <c r="BS526">
        <v>25</v>
      </c>
      <c r="BT526">
        <v>21.9</v>
      </c>
      <c r="BU526">
        <v>25</v>
      </c>
      <c r="BV526">
        <v>23.5</v>
      </c>
      <c r="BW526">
        <v>18</v>
      </c>
      <c r="BX526">
        <v>19</v>
      </c>
      <c r="BY526">
        <v>20</v>
      </c>
      <c r="BZ526">
        <v>21.5</v>
      </c>
      <c r="CA526">
        <v>20</v>
      </c>
      <c r="CB526">
        <v>12.1</v>
      </c>
      <c r="CC526">
        <v>10</v>
      </c>
      <c r="CD526">
        <v>11.5</v>
      </c>
      <c r="CE526">
        <v>10</v>
      </c>
      <c r="CF526">
        <v>11.4</v>
      </c>
      <c r="CG526">
        <v>9</v>
      </c>
      <c r="CH526">
        <v>11.6</v>
      </c>
      <c r="CI526">
        <v>9</v>
      </c>
    </row>
    <row r="527" spans="1:87" x14ac:dyDescent="0.35">
      <c r="A527" s="1">
        <v>46059.823611111111</v>
      </c>
      <c r="B527">
        <v>-22.1</v>
      </c>
      <c r="C527">
        <v>-20.100000000000001</v>
      </c>
      <c r="D527">
        <v>-25</v>
      </c>
      <c r="E527">
        <v>-21.7</v>
      </c>
      <c r="F527">
        <v>-22.1</v>
      </c>
      <c r="G527">
        <v>-25</v>
      </c>
      <c r="H527">
        <v>-18</v>
      </c>
      <c r="I527">
        <v>-15.6</v>
      </c>
      <c r="J527">
        <v>-25</v>
      </c>
      <c r="K527">
        <v>-17.3</v>
      </c>
      <c r="L527">
        <v>-18.3</v>
      </c>
      <c r="M527">
        <v>-25</v>
      </c>
      <c r="N527">
        <v>-21.3</v>
      </c>
      <c r="O527">
        <v>-21.4</v>
      </c>
      <c r="P527">
        <v>-25</v>
      </c>
      <c r="Q527">
        <v>-21.1</v>
      </c>
      <c r="R527">
        <v>-21.4</v>
      </c>
      <c r="S527">
        <v>-25</v>
      </c>
      <c r="T527">
        <v>3.2</v>
      </c>
      <c r="U527">
        <v>3.2</v>
      </c>
      <c r="V527">
        <v>2</v>
      </c>
      <c r="W527">
        <v>3.1</v>
      </c>
      <c r="X527">
        <v>2.9</v>
      </c>
      <c r="Y527">
        <v>2</v>
      </c>
      <c r="Z527">
        <v>3.8</v>
      </c>
      <c r="AA527">
        <v>3.6</v>
      </c>
      <c r="AB527">
        <v>2</v>
      </c>
      <c r="AC527">
        <v>3.6</v>
      </c>
      <c r="AD527">
        <v>3.6</v>
      </c>
      <c r="AE527">
        <v>2</v>
      </c>
      <c r="AF527">
        <v>3.3</v>
      </c>
      <c r="AG527">
        <v>2.7</v>
      </c>
      <c r="AH527">
        <v>2</v>
      </c>
      <c r="AI527">
        <v>3</v>
      </c>
      <c r="AJ527">
        <v>0.1</v>
      </c>
      <c r="AK527">
        <v>2</v>
      </c>
      <c r="AL527">
        <v>5.8</v>
      </c>
      <c r="AM527">
        <v>4</v>
      </c>
      <c r="AN527">
        <v>5.5</v>
      </c>
      <c r="AO527">
        <v>4</v>
      </c>
      <c r="AP527">
        <v>5.2</v>
      </c>
      <c r="AQ527">
        <v>4</v>
      </c>
      <c r="AR527">
        <v>5.8</v>
      </c>
      <c r="AS527">
        <v>4</v>
      </c>
      <c r="AT527">
        <v>-3.5</v>
      </c>
      <c r="AU527">
        <v>-3.8</v>
      </c>
      <c r="AV527">
        <v>-5</v>
      </c>
      <c r="AW527">
        <v>-3.1</v>
      </c>
      <c r="AX527">
        <v>-2.9</v>
      </c>
      <c r="AY527">
        <v>-5</v>
      </c>
      <c r="AZ527">
        <v>10</v>
      </c>
      <c r="BA527">
        <v>10</v>
      </c>
      <c r="BB527">
        <v>10.4</v>
      </c>
      <c r="BC527">
        <v>10</v>
      </c>
      <c r="BD527">
        <v>5.3</v>
      </c>
      <c r="BE527">
        <v>4</v>
      </c>
      <c r="BF527">
        <v>11.9</v>
      </c>
      <c r="BG527">
        <v>10</v>
      </c>
      <c r="BH527">
        <v>11.1</v>
      </c>
      <c r="BI527">
        <v>10</v>
      </c>
      <c r="BJ527">
        <v>10.6</v>
      </c>
      <c r="BK527">
        <v>9</v>
      </c>
      <c r="BL527">
        <v>20</v>
      </c>
      <c r="BM527">
        <v>19</v>
      </c>
      <c r="BN527">
        <v>23.6</v>
      </c>
      <c r="BO527">
        <v>19</v>
      </c>
      <c r="BP527">
        <v>21.2</v>
      </c>
      <c r="BQ527">
        <v>20</v>
      </c>
      <c r="BR527">
        <v>21.5</v>
      </c>
      <c r="BS527">
        <v>25</v>
      </c>
      <c r="BT527">
        <v>21.9</v>
      </c>
      <c r="BU527">
        <v>25</v>
      </c>
      <c r="BV527">
        <v>23.5</v>
      </c>
      <c r="BW527">
        <v>18</v>
      </c>
      <c r="BX527">
        <v>19.5</v>
      </c>
      <c r="BY527">
        <v>20</v>
      </c>
      <c r="BZ527">
        <v>21.5</v>
      </c>
      <c r="CA527">
        <v>20</v>
      </c>
      <c r="CB527">
        <v>12</v>
      </c>
      <c r="CC527">
        <v>10</v>
      </c>
      <c r="CD527">
        <v>11.5</v>
      </c>
      <c r="CE527">
        <v>10</v>
      </c>
      <c r="CF527">
        <v>11.3</v>
      </c>
      <c r="CG527">
        <v>9</v>
      </c>
      <c r="CH527">
        <v>11.5</v>
      </c>
      <c r="CI527">
        <v>9</v>
      </c>
    </row>
    <row r="528" spans="1:87" x14ac:dyDescent="0.35">
      <c r="A528" s="1">
        <v>46059.824305555558</v>
      </c>
      <c r="B528">
        <v>-22.1</v>
      </c>
      <c r="C528">
        <v>-20.100000000000001</v>
      </c>
      <c r="D528">
        <v>-25</v>
      </c>
      <c r="E528">
        <v>-21.7</v>
      </c>
      <c r="F528">
        <v>-22.5</v>
      </c>
      <c r="G528">
        <v>-25</v>
      </c>
      <c r="H528">
        <v>-18</v>
      </c>
      <c r="I528">
        <v>-15.6</v>
      </c>
      <c r="J528">
        <v>-25</v>
      </c>
      <c r="K528">
        <v>-17.399999999999999</v>
      </c>
      <c r="L528">
        <v>-18.3</v>
      </c>
      <c r="M528">
        <v>-25</v>
      </c>
      <c r="N528">
        <v>-21.3</v>
      </c>
      <c r="O528">
        <v>-21.5</v>
      </c>
      <c r="P528">
        <v>-25</v>
      </c>
      <c r="Q528">
        <v>-21.1</v>
      </c>
      <c r="R528">
        <v>-21.4</v>
      </c>
      <c r="S528">
        <v>-25</v>
      </c>
      <c r="T528">
        <v>3.3</v>
      </c>
      <c r="U528">
        <v>3.2</v>
      </c>
      <c r="V528">
        <v>2</v>
      </c>
      <c r="W528">
        <v>3.2</v>
      </c>
      <c r="X528">
        <v>3</v>
      </c>
      <c r="Y528">
        <v>2</v>
      </c>
      <c r="Z528">
        <v>3.9</v>
      </c>
      <c r="AA528">
        <v>3.7</v>
      </c>
      <c r="AB528">
        <v>2</v>
      </c>
      <c r="AC528">
        <v>3.7</v>
      </c>
      <c r="AD528">
        <v>3.6</v>
      </c>
      <c r="AE528">
        <v>2</v>
      </c>
      <c r="AF528">
        <v>3</v>
      </c>
      <c r="AG528">
        <v>2.5</v>
      </c>
      <c r="AH528">
        <v>2</v>
      </c>
      <c r="AI528">
        <v>2.9</v>
      </c>
      <c r="AJ528">
        <v>0.9</v>
      </c>
      <c r="AK528">
        <v>2</v>
      </c>
      <c r="AL528">
        <v>5.9</v>
      </c>
      <c r="AM528">
        <v>4</v>
      </c>
      <c r="AN528">
        <v>5.4</v>
      </c>
      <c r="AO528">
        <v>4</v>
      </c>
      <c r="AP528">
        <v>5.3</v>
      </c>
      <c r="AQ528">
        <v>4</v>
      </c>
      <c r="AR528">
        <v>6</v>
      </c>
      <c r="AS528">
        <v>4</v>
      </c>
      <c r="AT528">
        <v>-3.1</v>
      </c>
      <c r="AU528">
        <v>-3.4</v>
      </c>
      <c r="AV528">
        <v>-5</v>
      </c>
      <c r="AW528">
        <v>-2.9</v>
      </c>
      <c r="AX528">
        <v>-2.8</v>
      </c>
      <c r="AY528">
        <v>-5</v>
      </c>
      <c r="AZ528">
        <v>9.5</v>
      </c>
      <c r="BA528">
        <v>10</v>
      </c>
      <c r="BB528">
        <v>10.199999999999999</v>
      </c>
      <c r="BC528">
        <v>10</v>
      </c>
      <c r="BD528">
        <v>5.5</v>
      </c>
      <c r="BE528">
        <v>4</v>
      </c>
      <c r="BF528">
        <v>10.8</v>
      </c>
      <c r="BG528">
        <v>10</v>
      </c>
      <c r="BH528">
        <v>11.2</v>
      </c>
      <c r="BI528">
        <v>10</v>
      </c>
      <c r="BJ528">
        <v>10.6</v>
      </c>
      <c r="BK528">
        <v>9</v>
      </c>
      <c r="BL528">
        <v>20.100000000000001</v>
      </c>
      <c r="BM528">
        <v>19</v>
      </c>
      <c r="BN528">
        <v>23.6</v>
      </c>
      <c r="BO528">
        <v>19</v>
      </c>
      <c r="BP528">
        <v>21.2</v>
      </c>
      <c r="BQ528">
        <v>20</v>
      </c>
      <c r="BR528">
        <v>21.6</v>
      </c>
      <c r="BS528">
        <v>25</v>
      </c>
      <c r="BT528">
        <v>21.9</v>
      </c>
      <c r="BU528">
        <v>25</v>
      </c>
      <c r="BV528">
        <v>23.5</v>
      </c>
      <c r="BW528">
        <v>18</v>
      </c>
      <c r="BX528">
        <v>19.8</v>
      </c>
      <c r="BY528">
        <v>20</v>
      </c>
      <c r="BZ528">
        <v>21.6</v>
      </c>
      <c r="CA528">
        <v>20</v>
      </c>
      <c r="CB528">
        <v>11.7</v>
      </c>
      <c r="CC528">
        <v>10</v>
      </c>
      <c r="CD528">
        <v>11.5</v>
      </c>
      <c r="CE528">
        <v>10</v>
      </c>
      <c r="CF528">
        <v>11.4</v>
      </c>
      <c r="CG528">
        <v>9</v>
      </c>
      <c r="CH528">
        <v>11.6</v>
      </c>
      <c r="CI528">
        <v>9</v>
      </c>
    </row>
    <row r="529" spans="1:87" x14ac:dyDescent="0.35">
      <c r="A529" s="1">
        <v>46059.824999999997</v>
      </c>
      <c r="B529">
        <v>-22.4</v>
      </c>
      <c r="C529">
        <v>-20.100000000000001</v>
      </c>
      <c r="D529">
        <v>-25</v>
      </c>
      <c r="E529">
        <v>-21.8</v>
      </c>
      <c r="F529">
        <v>-24.1</v>
      </c>
      <c r="G529">
        <v>-25</v>
      </c>
      <c r="H529">
        <v>-18</v>
      </c>
      <c r="I529">
        <v>-15.6</v>
      </c>
      <c r="J529">
        <v>-25</v>
      </c>
      <c r="K529">
        <v>-17.399999999999999</v>
      </c>
      <c r="L529">
        <v>-18.3</v>
      </c>
      <c r="M529">
        <v>-25</v>
      </c>
      <c r="N529">
        <v>-21.3</v>
      </c>
      <c r="O529">
        <v>-21.5</v>
      </c>
      <c r="P529">
        <v>-25</v>
      </c>
      <c r="Q529">
        <v>-21.2</v>
      </c>
      <c r="R529">
        <v>-21.4</v>
      </c>
      <c r="S529">
        <v>-25</v>
      </c>
      <c r="T529">
        <v>3.3</v>
      </c>
      <c r="U529">
        <v>3.3</v>
      </c>
      <c r="V529">
        <v>2</v>
      </c>
      <c r="W529">
        <v>3.3</v>
      </c>
      <c r="X529">
        <v>3</v>
      </c>
      <c r="Y529">
        <v>2</v>
      </c>
      <c r="Z529">
        <v>3.9</v>
      </c>
      <c r="AA529">
        <v>3.7</v>
      </c>
      <c r="AB529">
        <v>2</v>
      </c>
      <c r="AC529">
        <v>3.8</v>
      </c>
      <c r="AD529">
        <v>3.7</v>
      </c>
      <c r="AE529">
        <v>2</v>
      </c>
      <c r="AF529">
        <v>2.9</v>
      </c>
      <c r="AG529">
        <v>2.5</v>
      </c>
      <c r="AH529">
        <v>2</v>
      </c>
      <c r="AI529">
        <v>2.7</v>
      </c>
      <c r="AJ529">
        <v>-0.3</v>
      </c>
      <c r="AK529">
        <v>2</v>
      </c>
      <c r="AL529">
        <v>5.9</v>
      </c>
      <c r="AM529">
        <v>4</v>
      </c>
      <c r="AN529">
        <v>5.2</v>
      </c>
      <c r="AO529">
        <v>4</v>
      </c>
      <c r="AP529">
        <v>5.5</v>
      </c>
      <c r="AQ529">
        <v>4</v>
      </c>
      <c r="AR529">
        <v>6.2</v>
      </c>
      <c r="AS529">
        <v>4</v>
      </c>
      <c r="AT529">
        <v>-2.9</v>
      </c>
      <c r="AU529">
        <v>-3.2</v>
      </c>
      <c r="AV529">
        <v>-5</v>
      </c>
      <c r="AW529">
        <v>-3.3</v>
      </c>
      <c r="AX529">
        <v>-4.7</v>
      </c>
      <c r="AY529">
        <v>-5</v>
      </c>
      <c r="AZ529">
        <v>9.4</v>
      </c>
      <c r="BA529">
        <v>10</v>
      </c>
      <c r="BB529">
        <v>10.199999999999999</v>
      </c>
      <c r="BC529">
        <v>10</v>
      </c>
      <c r="BD529">
        <v>5.6</v>
      </c>
      <c r="BE529">
        <v>4</v>
      </c>
      <c r="BF529">
        <v>10</v>
      </c>
      <c r="BG529">
        <v>10</v>
      </c>
      <c r="BH529">
        <v>11.3</v>
      </c>
      <c r="BI529">
        <v>10</v>
      </c>
      <c r="BJ529">
        <v>10.5</v>
      </c>
      <c r="BK529">
        <v>9</v>
      </c>
      <c r="BL529">
        <v>20.100000000000001</v>
      </c>
      <c r="BM529">
        <v>19</v>
      </c>
      <c r="BN529">
        <v>23.6</v>
      </c>
      <c r="BO529">
        <v>19</v>
      </c>
      <c r="BP529">
        <v>21.2</v>
      </c>
      <c r="BQ529">
        <v>20</v>
      </c>
      <c r="BR529">
        <v>21.6</v>
      </c>
      <c r="BS529">
        <v>25</v>
      </c>
      <c r="BT529">
        <v>21.9</v>
      </c>
      <c r="BU529">
        <v>25</v>
      </c>
      <c r="BV529">
        <v>23.5</v>
      </c>
      <c r="BW529">
        <v>18</v>
      </c>
      <c r="BX529">
        <v>20.2</v>
      </c>
      <c r="BY529">
        <v>20</v>
      </c>
      <c r="BZ529">
        <v>21.6</v>
      </c>
      <c r="CA529">
        <v>20</v>
      </c>
      <c r="CB529">
        <v>11.5</v>
      </c>
      <c r="CC529">
        <v>10</v>
      </c>
      <c r="CD529">
        <v>11.5</v>
      </c>
      <c r="CE529">
        <v>10</v>
      </c>
      <c r="CF529">
        <v>11.4</v>
      </c>
      <c r="CG529">
        <v>9</v>
      </c>
      <c r="CH529">
        <v>11.7</v>
      </c>
      <c r="CI529">
        <v>9</v>
      </c>
    </row>
    <row r="530" spans="1:87" x14ac:dyDescent="0.35">
      <c r="A530" s="1">
        <v>46059.825694444444</v>
      </c>
      <c r="B530">
        <v>-22.6</v>
      </c>
      <c r="C530">
        <v>-20.100000000000001</v>
      </c>
      <c r="D530">
        <v>-25</v>
      </c>
      <c r="E530">
        <v>-21.9</v>
      </c>
      <c r="F530">
        <v>-24.3</v>
      </c>
      <c r="G530">
        <v>-25</v>
      </c>
      <c r="H530">
        <v>-18</v>
      </c>
      <c r="I530">
        <v>-15.6</v>
      </c>
      <c r="J530">
        <v>-25</v>
      </c>
      <c r="K530">
        <v>-17.399999999999999</v>
      </c>
      <c r="L530">
        <v>-18.2</v>
      </c>
      <c r="M530">
        <v>-25</v>
      </c>
      <c r="N530">
        <v>-21.4</v>
      </c>
      <c r="O530">
        <v>-21.5</v>
      </c>
      <c r="P530">
        <v>-25</v>
      </c>
      <c r="Q530">
        <v>-21.2</v>
      </c>
      <c r="R530">
        <v>-21.5</v>
      </c>
      <c r="S530">
        <v>-25</v>
      </c>
      <c r="T530">
        <v>3.4</v>
      </c>
      <c r="U530">
        <v>3.4</v>
      </c>
      <c r="V530">
        <v>2</v>
      </c>
      <c r="W530">
        <v>3.4</v>
      </c>
      <c r="X530">
        <v>3.2</v>
      </c>
      <c r="Y530">
        <v>2</v>
      </c>
      <c r="Z530">
        <v>4</v>
      </c>
      <c r="AA530">
        <v>3.8</v>
      </c>
      <c r="AB530">
        <v>2</v>
      </c>
      <c r="AC530">
        <v>3.8</v>
      </c>
      <c r="AD530">
        <v>3.7</v>
      </c>
      <c r="AE530">
        <v>2</v>
      </c>
      <c r="AF530">
        <v>2.5</v>
      </c>
      <c r="AG530">
        <v>1.9</v>
      </c>
      <c r="AH530">
        <v>2</v>
      </c>
      <c r="AI530">
        <v>2.4</v>
      </c>
      <c r="AJ530">
        <v>-0.9</v>
      </c>
      <c r="AK530">
        <v>2</v>
      </c>
      <c r="AL530">
        <v>5.9</v>
      </c>
      <c r="AM530">
        <v>4</v>
      </c>
      <c r="AN530">
        <v>5</v>
      </c>
      <c r="AO530">
        <v>4</v>
      </c>
      <c r="AP530">
        <v>5.6</v>
      </c>
      <c r="AQ530">
        <v>4</v>
      </c>
      <c r="AR530">
        <v>6.4</v>
      </c>
      <c r="AS530">
        <v>4</v>
      </c>
      <c r="AT530">
        <v>-2.9</v>
      </c>
      <c r="AU530">
        <v>-4.2</v>
      </c>
      <c r="AV530">
        <v>-5</v>
      </c>
      <c r="AW530">
        <v>-3.8</v>
      </c>
      <c r="AX530">
        <v>-4.9000000000000004</v>
      </c>
      <c r="AY530">
        <v>-5</v>
      </c>
      <c r="AZ530">
        <v>9.4</v>
      </c>
      <c r="BA530">
        <v>10</v>
      </c>
      <c r="BB530">
        <v>10.1</v>
      </c>
      <c r="BC530">
        <v>10</v>
      </c>
      <c r="BD530">
        <v>5.8</v>
      </c>
      <c r="BE530">
        <v>4</v>
      </c>
      <c r="BF530">
        <v>9.5</v>
      </c>
      <c r="BG530">
        <v>10</v>
      </c>
      <c r="BH530">
        <v>11.3</v>
      </c>
      <c r="BI530">
        <v>10</v>
      </c>
      <c r="BJ530">
        <v>10.5</v>
      </c>
      <c r="BK530">
        <v>9</v>
      </c>
      <c r="BL530">
        <v>20.100000000000001</v>
      </c>
      <c r="BM530">
        <v>19</v>
      </c>
      <c r="BN530">
        <v>23.6</v>
      </c>
      <c r="BO530">
        <v>19</v>
      </c>
      <c r="BP530">
        <v>21.2</v>
      </c>
      <c r="BQ530">
        <v>20</v>
      </c>
      <c r="BR530">
        <v>21.6</v>
      </c>
      <c r="BS530">
        <v>25</v>
      </c>
      <c r="BT530">
        <v>21.9</v>
      </c>
      <c r="BU530">
        <v>25</v>
      </c>
      <c r="BV530">
        <v>23.5</v>
      </c>
      <c r="BW530">
        <v>18</v>
      </c>
      <c r="BX530">
        <v>20.399999999999999</v>
      </c>
      <c r="BY530">
        <v>20</v>
      </c>
      <c r="BZ530">
        <v>21.6</v>
      </c>
      <c r="CA530">
        <v>20</v>
      </c>
      <c r="CB530">
        <v>11.2</v>
      </c>
      <c r="CC530">
        <v>10</v>
      </c>
      <c r="CD530">
        <v>11.5</v>
      </c>
      <c r="CE530">
        <v>10</v>
      </c>
      <c r="CF530">
        <v>11.4</v>
      </c>
      <c r="CG530">
        <v>9</v>
      </c>
      <c r="CH530">
        <v>11.7</v>
      </c>
      <c r="CI530">
        <v>9</v>
      </c>
    </row>
    <row r="531" spans="1:87" x14ac:dyDescent="0.35">
      <c r="A531" s="1">
        <v>46059.826388888891</v>
      </c>
      <c r="B531">
        <v>-22.7</v>
      </c>
      <c r="C531">
        <v>-20.100000000000001</v>
      </c>
      <c r="D531">
        <v>-25</v>
      </c>
      <c r="E531">
        <v>-22.1</v>
      </c>
      <c r="F531">
        <v>-23.5</v>
      </c>
      <c r="G531">
        <v>-25</v>
      </c>
      <c r="H531">
        <v>-18</v>
      </c>
      <c r="I531">
        <v>-15.6</v>
      </c>
      <c r="J531">
        <v>-25</v>
      </c>
      <c r="K531">
        <v>-17.399999999999999</v>
      </c>
      <c r="L531">
        <v>-18.2</v>
      </c>
      <c r="M531">
        <v>-25</v>
      </c>
      <c r="N531">
        <v>-21.4</v>
      </c>
      <c r="O531">
        <v>-21.6</v>
      </c>
      <c r="P531">
        <v>-25</v>
      </c>
      <c r="Q531">
        <v>-21.2</v>
      </c>
      <c r="R531">
        <v>-21.5</v>
      </c>
      <c r="S531">
        <v>-25</v>
      </c>
      <c r="T531">
        <v>3.5</v>
      </c>
      <c r="U531">
        <v>3.5</v>
      </c>
      <c r="V531">
        <v>2</v>
      </c>
      <c r="W531">
        <v>3.4</v>
      </c>
      <c r="X531">
        <v>3.2</v>
      </c>
      <c r="Y531">
        <v>2</v>
      </c>
      <c r="Z531">
        <v>4.0999999999999996</v>
      </c>
      <c r="AA531">
        <v>3.9</v>
      </c>
      <c r="AB531">
        <v>2</v>
      </c>
      <c r="AC531">
        <v>3.9</v>
      </c>
      <c r="AD531">
        <v>3.8</v>
      </c>
      <c r="AE531">
        <v>2</v>
      </c>
      <c r="AF531">
        <v>2.4</v>
      </c>
      <c r="AG531">
        <v>1.8</v>
      </c>
      <c r="AH531">
        <v>2</v>
      </c>
      <c r="AI531">
        <v>2.2000000000000002</v>
      </c>
      <c r="AJ531">
        <v>0.2</v>
      </c>
      <c r="AK531">
        <v>2</v>
      </c>
      <c r="AL531">
        <v>6</v>
      </c>
      <c r="AM531">
        <v>4</v>
      </c>
      <c r="AN531">
        <v>4.7</v>
      </c>
      <c r="AO531">
        <v>4</v>
      </c>
      <c r="AP531">
        <v>5.8</v>
      </c>
      <c r="AQ531">
        <v>4</v>
      </c>
      <c r="AR531">
        <v>6.5</v>
      </c>
      <c r="AS531">
        <v>4</v>
      </c>
      <c r="AT531">
        <v>-3.3</v>
      </c>
      <c r="AU531">
        <v>-5.0999999999999996</v>
      </c>
      <c r="AV531">
        <v>-5</v>
      </c>
      <c r="AW531">
        <v>-4</v>
      </c>
      <c r="AX531">
        <v>-4.5999999999999996</v>
      </c>
      <c r="AY531">
        <v>-5</v>
      </c>
      <c r="AZ531">
        <v>9.5</v>
      </c>
      <c r="BA531">
        <v>10</v>
      </c>
      <c r="BB531">
        <v>10</v>
      </c>
      <c r="BC531">
        <v>10</v>
      </c>
      <c r="BD531">
        <v>5.9</v>
      </c>
      <c r="BE531">
        <v>4</v>
      </c>
      <c r="BF531">
        <v>9.5</v>
      </c>
      <c r="BG531">
        <v>10</v>
      </c>
      <c r="BH531">
        <v>11.3</v>
      </c>
      <c r="BI531">
        <v>10</v>
      </c>
      <c r="BJ531">
        <v>10.5</v>
      </c>
      <c r="BK531">
        <v>9</v>
      </c>
      <c r="BL531">
        <v>20.100000000000001</v>
      </c>
      <c r="BM531">
        <v>19</v>
      </c>
      <c r="BN531">
        <v>23.6</v>
      </c>
      <c r="BO531">
        <v>19</v>
      </c>
      <c r="BP531">
        <v>21.3</v>
      </c>
      <c r="BQ531">
        <v>20</v>
      </c>
      <c r="BR531">
        <v>21.6</v>
      </c>
      <c r="BS531">
        <v>25</v>
      </c>
      <c r="BT531">
        <v>21.9</v>
      </c>
      <c r="BU531">
        <v>25</v>
      </c>
      <c r="BV531">
        <v>23.5</v>
      </c>
      <c r="BW531">
        <v>18</v>
      </c>
      <c r="BX531">
        <v>20.5</v>
      </c>
      <c r="BY531">
        <v>20</v>
      </c>
      <c r="BZ531">
        <v>21.6</v>
      </c>
      <c r="CA531">
        <v>20</v>
      </c>
      <c r="CB531">
        <v>11</v>
      </c>
      <c r="CC531">
        <v>10</v>
      </c>
      <c r="CD531">
        <v>11.5</v>
      </c>
      <c r="CE531">
        <v>10</v>
      </c>
      <c r="CF531">
        <v>11.2</v>
      </c>
      <c r="CG531">
        <v>9</v>
      </c>
      <c r="CH531">
        <v>11.5</v>
      </c>
      <c r="CI531">
        <v>9</v>
      </c>
    </row>
    <row r="532" spans="1:87" x14ac:dyDescent="0.35">
      <c r="A532" s="1">
        <v>46059.82708333333</v>
      </c>
      <c r="B532">
        <v>-22.7</v>
      </c>
      <c r="C532">
        <v>-20.100000000000001</v>
      </c>
      <c r="D532">
        <v>-25</v>
      </c>
      <c r="E532">
        <v>-22.1</v>
      </c>
      <c r="F532">
        <v>-23.1</v>
      </c>
      <c r="G532">
        <v>-25</v>
      </c>
      <c r="H532">
        <v>-18</v>
      </c>
      <c r="I532">
        <v>-15.7</v>
      </c>
      <c r="J532">
        <v>-25</v>
      </c>
      <c r="K532">
        <v>-17.399999999999999</v>
      </c>
      <c r="L532">
        <v>-18.2</v>
      </c>
      <c r="M532">
        <v>-25</v>
      </c>
      <c r="N532">
        <v>-21.4</v>
      </c>
      <c r="O532">
        <v>-21.7</v>
      </c>
      <c r="P532">
        <v>-25</v>
      </c>
      <c r="Q532">
        <v>-21.2</v>
      </c>
      <c r="R532">
        <v>-21.5</v>
      </c>
      <c r="S532">
        <v>-25</v>
      </c>
      <c r="T532">
        <v>3.5</v>
      </c>
      <c r="U532">
        <v>3.5</v>
      </c>
      <c r="V532">
        <v>2</v>
      </c>
      <c r="W532">
        <v>3.5</v>
      </c>
      <c r="X532">
        <v>3.3</v>
      </c>
      <c r="Y532">
        <v>2</v>
      </c>
      <c r="Z532">
        <v>4.2</v>
      </c>
      <c r="AA532">
        <v>3.9</v>
      </c>
      <c r="AB532">
        <v>2</v>
      </c>
      <c r="AC532">
        <v>4</v>
      </c>
      <c r="AD532">
        <v>3.8</v>
      </c>
      <c r="AE532">
        <v>2</v>
      </c>
      <c r="AF532">
        <v>2.2999999999999998</v>
      </c>
      <c r="AG532">
        <v>1.8</v>
      </c>
      <c r="AH532">
        <v>2</v>
      </c>
      <c r="AI532">
        <v>2.2000000000000002</v>
      </c>
      <c r="AJ532">
        <v>-0.7</v>
      </c>
      <c r="AK532">
        <v>2</v>
      </c>
      <c r="AL532">
        <v>6</v>
      </c>
      <c r="AM532">
        <v>4</v>
      </c>
      <c r="AN532">
        <v>4.5999999999999996</v>
      </c>
      <c r="AO532">
        <v>4</v>
      </c>
      <c r="AP532">
        <v>5.9</v>
      </c>
      <c r="AQ532">
        <v>4</v>
      </c>
      <c r="AR532">
        <v>6.7</v>
      </c>
      <c r="AS532">
        <v>4</v>
      </c>
      <c r="AT532">
        <v>-3.6</v>
      </c>
      <c r="AU532">
        <v>-5.5</v>
      </c>
      <c r="AV532">
        <v>-5</v>
      </c>
      <c r="AW532">
        <v>-4.0999999999999996</v>
      </c>
      <c r="AX532">
        <v>-4.5999999999999996</v>
      </c>
      <c r="AY532">
        <v>-5</v>
      </c>
      <c r="AZ532">
        <v>9.6999999999999993</v>
      </c>
      <c r="BA532">
        <v>10</v>
      </c>
      <c r="BB532">
        <v>10</v>
      </c>
      <c r="BC532">
        <v>10</v>
      </c>
      <c r="BD532">
        <v>6</v>
      </c>
      <c r="BE532">
        <v>4</v>
      </c>
      <c r="BF532">
        <v>9.8000000000000007</v>
      </c>
      <c r="BG532">
        <v>10</v>
      </c>
      <c r="BH532">
        <v>11.4</v>
      </c>
      <c r="BI532">
        <v>10</v>
      </c>
      <c r="BJ532">
        <v>10.5</v>
      </c>
      <c r="BK532">
        <v>9</v>
      </c>
      <c r="BL532">
        <v>20.2</v>
      </c>
      <c r="BM532">
        <v>19</v>
      </c>
      <c r="BN532">
        <v>23.6</v>
      </c>
      <c r="BO532">
        <v>19</v>
      </c>
      <c r="BP532">
        <v>21.3</v>
      </c>
      <c r="BQ532">
        <v>20</v>
      </c>
      <c r="BR532">
        <v>21.7</v>
      </c>
      <c r="BS532">
        <v>25</v>
      </c>
      <c r="BT532">
        <v>21.9</v>
      </c>
      <c r="BU532">
        <v>25</v>
      </c>
      <c r="BV532">
        <v>23.5</v>
      </c>
      <c r="BW532">
        <v>18</v>
      </c>
      <c r="BX532">
        <v>20.6</v>
      </c>
      <c r="BY532">
        <v>20</v>
      </c>
      <c r="BZ532">
        <v>21.7</v>
      </c>
      <c r="CA532">
        <v>20</v>
      </c>
      <c r="CB532">
        <v>10.9</v>
      </c>
      <c r="CC532">
        <v>10</v>
      </c>
      <c r="CD532">
        <v>11.5</v>
      </c>
      <c r="CE532">
        <v>10</v>
      </c>
      <c r="CF532">
        <v>11.2</v>
      </c>
      <c r="CG532">
        <v>9</v>
      </c>
      <c r="CH532">
        <v>11.4</v>
      </c>
      <c r="CI532">
        <v>9</v>
      </c>
    </row>
    <row r="533" spans="1:87" x14ac:dyDescent="0.35">
      <c r="A533" s="1">
        <v>46059.827777777777</v>
      </c>
      <c r="B533">
        <v>-22.7</v>
      </c>
      <c r="C533">
        <v>-20.2</v>
      </c>
      <c r="D533">
        <v>-25</v>
      </c>
      <c r="E533">
        <v>-22.1</v>
      </c>
      <c r="F533">
        <v>-23</v>
      </c>
      <c r="G533">
        <v>-25</v>
      </c>
      <c r="H533">
        <v>-18</v>
      </c>
      <c r="I533">
        <v>-15.7</v>
      </c>
      <c r="J533">
        <v>-25</v>
      </c>
      <c r="K533">
        <v>-17.399999999999999</v>
      </c>
      <c r="L533">
        <v>-18.2</v>
      </c>
      <c r="M533">
        <v>-25</v>
      </c>
      <c r="N533">
        <v>-21.5</v>
      </c>
      <c r="O533">
        <v>-21.7</v>
      </c>
      <c r="P533">
        <v>-25</v>
      </c>
      <c r="Q533">
        <v>-21.3</v>
      </c>
      <c r="R533">
        <v>-21.6</v>
      </c>
      <c r="S533">
        <v>-25</v>
      </c>
      <c r="T533">
        <v>3.6</v>
      </c>
      <c r="U533">
        <v>3.6</v>
      </c>
      <c r="V533">
        <v>2</v>
      </c>
      <c r="W533">
        <v>3.6</v>
      </c>
      <c r="X533">
        <v>3.4</v>
      </c>
      <c r="Y533">
        <v>2</v>
      </c>
      <c r="Z533">
        <v>4.2</v>
      </c>
      <c r="AA533">
        <v>3.9</v>
      </c>
      <c r="AB533">
        <v>2</v>
      </c>
      <c r="AC533">
        <v>4</v>
      </c>
      <c r="AD533">
        <v>3.1</v>
      </c>
      <c r="AE533">
        <v>2</v>
      </c>
      <c r="AF533">
        <v>2</v>
      </c>
      <c r="AG533">
        <v>1.6</v>
      </c>
      <c r="AH533">
        <v>2</v>
      </c>
      <c r="AI533">
        <v>1.9</v>
      </c>
      <c r="AJ533">
        <v>-0.7</v>
      </c>
      <c r="AK533">
        <v>2</v>
      </c>
      <c r="AL533">
        <v>5.8</v>
      </c>
      <c r="AM533">
        <v>4</v>
      </c>
      <c r="AN533">
        <v>4.5</v>
      </c>
      <c r="AO533">
        <v>4</v>
      </c>
      <c r="AP533">
        <v>6</v>
      </c>
      <c r="AQ533">
        <v>4</v>
      </c>
      <c r="AR533">
        <v>6.8</v>
      </c>
      <c r="AS533">
        <v>4</v>
      </c>
      <c r="AT533">
        <v>-3.9</v>
      </c>
      <c r="AU533">
        <v>-5.9</v>
      </c>
      <c r="AV533">
        <v>-5</v>
      </c>
      <c r="AW533">
        <v>-4.3</v>
      </c>
      <c r="AX533">
        <v>-5.9</v>
      </c>
      <c r="AY533">
        <v>-5</v>
      </c>
      <c r="AZ533">
        <v>9.8000000000000007</v>
      </c>
      <c r="BA533">
        <v>10</v>
      </c>
      <c r="BB533">
        <v>10.3</v>
      </c>
      <c r="BC533">
        <v>10</v>
      </c>
      <c r="BD533">
        <v>5.8</v>
      </c>
      <c r="BE533">
        <v>4</v>
      </c>
      <c r="BF533">
        <v>10.3</v>
      </c>
      <c r="BG533">
        <v>10</v>
      </c>
      <c r="BH533">
        <v>11.4</v>
      </c>
      <c r="BI533">
        <v>10</v>
      </c>
      <c r="BJ533">
        <v>10.4</v>
      </c>
      <c r="BK533">
        <v>9</v>
      </c>
      <c r="BL533">
        <v>20.2</v>
      </c>
      <c r="BM533">
        <v>19</v>
      </c>
      <c r="BN533">
        <v>23.6</v>
      </c>
      <c r="BO533">
        <v>19</v>
      </c>
      <c r="BP533">
        <v>21.3</v>
      </c>
      <c r="BQ533">
        <v>20</v>
      </c>
      <c r="BR533">
        <v>21.7</v>
      </c>
      <c r="BS533">
        <v>25</v>
      </c>
      <c r="BT533">
        <v>21.9</v>
      </c>
      <c r="BU533">
        <v>25</v>
      </c>
      <c r="BV533">
        <v>23.5</v>
      </c>
      <c r="BW533">
        <v>18</v>
      </c>
      <c r="BX533">
        <v>20.7</v>
      </c>
      <c r="BY533">
        <v>20</v>
      </c>
      <c r="BZ533">
        <v>21.7</v>
      </c>
      <c r="CA533">
        <v>20</v>
      </c>
      <c r="CB533">
        <v>10.7</v>
      </c>
      <c r="CC533">
        <v>10</v>
      </c>
      <c r="CD533">
        <v>11.5</v>
      </c>
      <c r="CE533">
        <v>10</v>
      </c>
      <c r="CF533">
        <v>11.4</v>
      </c>
      <c r="CG533">
        <v>9</v>
      </c>
      <c r="CH533">
        <v>11.6</v>
      </c>
      <c r="CI533">
        <v>9</v>
      </c>
    </row>
    <row r="534" spans="1:87" x14ac:dyDescent="0.35">
      <c r="A534" s="1">
        <v>46059.828472222223</v>
      </c>
      <c r="B534">
        <v>-22.7</v>
      </c>
      <c r="C534">
        <v>-20.2</v>
      </c>
      <c r="D534">
        <v>-25</v>
      </c>
      <c r="E534">
        <v>-22.1</v>
      </c>
      <c r="F534">
        <v>-23</v>
      </c>
      <c r="G534">
        <v>-25</v>
      </c>
      <c r="H534">
        <v>-18</v>
      </c>
      <c r="I534">
        <v>-15.7</v>
      </c>
      <c r="J534">
        <v>-25</v>
      </c>
      <c r="K534">
        <v>-17.399999999999999</v>
      </c>
      <c r="L534">
        <v>-18.2</v>
      </c>
      <c r="M534">
        <v>-25</v>
      </c>
      <c r="N534">
        <v>-21.5</v>
      </c>
      <c r="O534">
        <v>-21.8</v>
      </c>
      <c r="P534">
        <v>-25</v>
      </c>
      <c r="Q534">
        <v>-21.3</v>
      </c>
      <c r="R534">
        <v>-21.7</v>
      </c>
      <c r="S534">
        <v>-25</v>
      </c>
      <c r="T534">
        <v>3.7</v>
      </c>
      <c r="U534">
        <v>3.7</v>
      </c>
      <c r="V534">
        <v>2</v>
      </c>
      <c r="W534">
        <v>3.6</v>
      </c>
      <c r="X534">
        <v>3.5</v>
      </c>
      <c r="Y534">
        <v>2</v>
      </c>
      <c r="Z534">
        <v>4.2</v>
      </c>
      <c r="AA534">
        <v>3.8</v>
      </c>
      <c r="AB534">
        <v>2</v>
      </c>
      <c r="AC534">
        <v>3.9</v>
      </c>
      <c r="AD534">
        <v>3</v>
      </c>
      <c r="AE534">
        <v>2</v>
      </c>
      <c r="AF534">
        <v>2</v>
      </c>
      <c r="AG534">
        <v>1.5</v>
      </c>
      <c r="AH534">
        <v>2</v>
      </c>
      <c r="AI534">
        <v>1.9</v>
      </c>
      <c r="AJ534">
        <v>0.6</v>
      </c>
      <c r="AK534">
        <v>2</v>
      </c>
      <c r="AL534">
        <v>5.6</v>
      </c>
      <c r="AM534">
        <v>4</v>
      </c>
      <c r="AN534">
        <v>4.5</v>
      </c>
      <c r="AO534">
        <v>4</v>
      </c>
      <c r="AP534">
        <v>5.0999999999999996</v>
      </c>
      <c r="AQ534">
        <v>4</v>
      </c>
      <c r="AR534">
        <v>7</v>
      </c>
      <c r="AS534">
        <v>4</v>
      </c>
      <c r="AT534">
        <v>-4.2</v>
      </c>
      <c r="AU534">
        <v>-6.3</v>
      </c>
      <c r="AV534">
        <v>-5</v>
      </c>
      <c r="AW534">
        <v>-4.5999999999999996</v>
      </c>
      <c r="AX534">
        <v>-6.3</v>
      </c>
      <c r="AY534">
        <v>-5</v>
      </c>
      <c r="AZ534">
        <v>10</v>
      </c>
      <c r="BA534">
        <v>10</v>
      </c>
      <c r="BB534">
        <v>10.6</v>
      </c>
      <c r="BC534">
        <v>10</v>
      </c>
      <c r="BD534">
        <v>5.4</v>
      </c>
      <c r="BE534">
        <v>4</v>
      </c>
      <c r="BF534">
        <v>10.6</v>
      </c>
      <c r="BG534">
        <v>10</v>
      </c>
      <c r="BH534">
        <v>11.3</v>
      </c>
      <c r="BI534">
        <v>10</v>
      </c>
      <c r="BJ534">
        <v>10.4</v>
      </c>
      <c r="BK534">
        <v>9</v>
      </c>
      <c r="BL534">
        <v>20.2</v>
      </c>
      <c r="BM534">
        <v>19</v>
      </c>
      <c r="BN534">
        <v>23.6</v>
      </c>
      <c r="BO534">
        <v>19</v>
      </c>
      <c r="BP534">
        <v>21.3</v>
      </c>
      <c r="BQ534">
        <v>20</v>
      </c>
      <c r="BR534">
        <v>21.7</v>
      </c>
      <c r="BS534">
        <v>25</v>
      </c>
      <c r="BT534">
        <v>21.9</v>
      </c>
      <c r="BU534">
        <v>25</v>
      </c>
      <c r="BV534">
        <v>23.5</v>
      </c>
      <c r="BW534">
        <v>18</v>
      </c>
      <c r="BX534">
        <v>20.8</v>
      </c>
      <c r="BY534">
        <v>20</v>
      </c>
      <c r="BZ534">
        <v>21.7</v>
      </c>
      <c r="CA534">
        <v>20</v>
      </c>
      <c r="CB534">
        <v>10.5</v>
      </c>
      <c r="CC534">
        <v>10</v>
      </c>
      <c r="CD534">
        <v>11.5</v>
      </c>
      <c r="CE534">
        <v>10</v>
      </c>
      <c r="CF534">
        <v>11.4</v>
      </c>
      <c r="CG534">
        <v>9</v>
      </c>
      <c r="CH534">
        <v>11.6</v>
      </c>
      <c r="CI534">
        <v>9</v>
      </c>
    </row>
    <row r="535" spans="1:87" x14ac:dyDescent="0.35">
      <c r="A535" s="1">
        <v>46059.82916666667</v>
      </c>
      <c r="B535">
        <v>-22.8</v>
      </c>
      <c r="C535">
        <v>-20.3</v>
      </c>
      <c r="D535">
        <v>-25</v>
      </c>
      <c r="E535">
        <v>-22.1</v>
      </c>
      <c r="F535">
        <v>-24.2</v>
      </c>
      <c r="G535">
        <v>-25</v>
      </c>
      <c r="H535">
        <v>-18</v>
      </c>
      <c r="I535">
        <v>-15.8</v>
      </c>
      <c r="J535">
        <v>-25</v>
      </c>
      <c r="K535">
        <v>-17.399999999999999</v>
      </c>
      <c r="L535">
        <v>-18.2</v>
      </c>
      <c r="M535">
        <v>-25</v>
      </c>
      <c r="N535">
        <v>-21.6</v>
      </c>
      <c r="O535">
        <v>-21.8</v>
      </c>
      <c r="P535">
        <v>-25</v>
      </c>
      <c r="Q535">
        <v>-21.4</v>
      </c>
      <c r="R535">
        <v>-21.7</v>
      </c>
      <c r="S535">
        <v>-25</v>
      </c>
      <c r="T535">
        <v>3.7</v>
      </c>
      <c r="U535">
        <v>3.7</v>
      </c>
      <c r="V535">
        <v>2</v>
      </c>
      <c r="W535">
        <v>3.7</v>
      </c>
      <c r="X535">
        <v>3.5</v>
      </c>
      <c r="Y535">
        <v>2</v>
      </c>
      <c r="Z535">
        <v>4.0999999999999996</v>
      </c>
      <c r="AA535">
        <v>3.6</v>
      </c>
      <c r="AB535">
        <v>2</v>
      </c>
      <c r="AC535">
        <v>3.7</v>
      </c>
      <c r="AD535">
        <v>2.5</v>
      </c>
      <c r="AE535">
        <v>2</v>
      </c>
      <c r="AF535">
        <v>2.1</v>
      </c>
      <c r="AG535">
        <v>1.9</v>
      </c>
      <c r="AH535">
        <v>2</v>
      </c>
      <c r="AI535">
        <v>2</v>
      </c>
      <c r="AJ535">
        <v>1.2</v>
      </c>
      <c r="AK535">
        <v>2</v>
      </c>
      <c r="AL535">
        <v>5.4</v>
      </c>
      <c r="AM535">
        <v>4</v>
      </c>
      <c r="AN535">
        <v>4.4000000000000004</v>
      </c>
      <c r="AO535">
        <v>4</v>
      </c>
      <c r="AP535">
        <v>4.2</v>
      </c>
      <c r="AQ535">
        <v>4</v>
      </c>
      <c r="AR535">
        <v>7.1</v>
      </c>
      <c r="AS535">
        <v>4</v>
      </c>
      <c r="AT535">
        <v>-4.4000000000000004</v>
      </c>
      <c r="AU535">
        <v>-6.5</v>
      </c>
      <c r="AV535">
        <v>-5</v>
      </c>
      <c r="AW535">
        <v>-4.8</v>
      </c>
      <c r="AX535">
        <v>-5.7</v>
      </c>
      <c r="AY535">
        <v>-5</v>
      </c>
      <c r="AZ535">
        <v>10.199999999999999</v>
      </c>
      <c r="BA535">
        <v>10</v>
      </c>
      <c r="BB535">
        <v>10.8</v>
      </c>
      <c r="BC535">
        <v>10</v>
      </c>
      <c r="BD535">
        <v>5.2</v>
      </c>
      <c r="BE535">
        <v>4</v>
      </c>
      <c r="BF535">
        <v>10.9</v>
      </c>
      <c r="BG535">
        <v>10</v>
      </c>
      <c r="BH535">
        <v>11.3</v>
      </c>
      <c r="BI535">
        <v>10</v>
      </c>
      <c r="BJ535">
        <v>10.4</v>
      </c>
      <c r="BK535">
        <v>9</v>
      </c>
      <c r="BL535">
        <v>20.2</v>
      </c>
      <c r="BM535">
        <v>19</v>
      </c>
      <c r="BN535">
        <v>23.6</v>
      </c>
      <c r="BO535">
        <v>19</v>
      </c>
      <c r="BP535">
        <v>21.3</v>
      </c>
      <c r="BQ535">
        <v>20</v>
      </c>
      <c r="BR535">
        <v>21.7</v>
      </c>
      <c r="BS535">
        <v>25</v>
      </c>
      <c r="BT535">
        <v>21.9</v>
      </c>
      <c r="BU535">
        <v>25</v>
      </c>
      <c r="BV535">
        <v>23.5</v>
      </c>
      <c r="BW535">
        <v>18</v>
      </c>
      <c r="BX535">
        <v>20.9</v>
      </c>
      <c r="BY535">
        <v>20</v>
      </c>
      <c r="BZ535">
        <v>21.7</v>
      </c>
      <c r="CA535">
        <v>20</v>
      </c>
      <c r="CB535">
        <v>10.4</v>
      </c>
      <c r="CC535">
        <v>10</v>
      </c>
      <c r="CD535">
        <v>11.5</v>
      </c>
      <c r="CE535">
        <v>10</v>
      </c>
      <c r="CF535">
        <v>11.2</v>
      </c>
      <c r="CG535">
        <v>9</v>
      </c>
      <c r="CH535">
        <v>11.4</v>
      </c>
      <c r="CI535">
        <v>9</v>
      </c>
    </row>
    <row r="536" spans="1:87" x14ac:dyDescent="0.35">
      <c r="A536" s="1">
        <v>46059.829861111109</v>
      </c>
      <c r="B536">
        <v>-22.9</v>
      </c>
      <c r="C536">
        <v>-20.3</v>
      </c>
      <c r="D536">
        <v>-25</v>
      </c>
      <c r="E536">
        <v>-22.3</v>
      </c>
      <c r="F536">
        <v>-24.6</v>
      </c>
      <c r="G536">
        <v>-25</v>
      </c>
      <c r="H536">
        <v>-18</v>
      </c>
      <c r="I536">
        <v>-15.8</v>
      </c>
      <c r="J536">
        <v>-25</v>
      </c>
      <c r="K536">
        <v>-17.399999999999999</v>
      </c>
      <c r="L536">
        <v>-18.2</v>
      </c>
      <c r="M536">
        <v>-25</v>
      </c>
      <c r="N536">
        <v>-21.6</v>
      </c>
      <c r="O536">
        <v>-21.8</v>
      </c>
      <c r="P536">
        <v>-25</v>
      </c>
      <c r="Q536">
        <v>-21.4</v>
      </c>
      <c r="R536">
        <v>-21.7</v>
      </c>
      <c r="S536">
        <v>-25</v>
      </c>
      <c r="T536">
        <v>3.8</v>
      </c>
      <c r="U536">
        <v>3.8</v>
      </c>
      <c r="V536">
        <v>2</v>
      </c>
      <c r="W536">
        <v>3.8</v>
      </c>
      <c r="X536">
        <v>3.6</v>
      </c>
      <c r="Y536">
        <v>2</v>
      </c>
      <c r="Z536">
        <v>4</v>
      </c>
      <c r="AA536">
        <v>3.4</v>
      </c>
      <c r="AB536">
        <v>2</v>
      </c>
      <c r="AC536">
        <v>3.6</v>
      </c>
      <c r="AD536">
        <v>2.4</v>
      </c>
      <c r="AE536">
        <v>2</v>
      </c>
      <c r="AF536">
        <v>2.2999999999999998</v>
      </c>
      <c r="AG536">
        <v>2.1</v>
      </c>
      <c r="AH536">
        <v>2</v>
      </c>
      <c r="AI536">
        <v>2.2000000000000002</v>
      </c>
      <c r="AJ536">
        <v>1.6</v>
      </c>
      <c r="AK536">
        <v>2</v>
      </c>
      <c r="AL536">
        <v>5.3</v>
      </c>
      <c r="AM536">
        <v>4</v>
      </c>
      <c r="AN536">
        <v>4.3</v>
      </c>
      <c r="AO536">
        <v>4</v>
      </c>
      <c r="AP536">
        <v>3.2</v>
      </c>
      <c r="AQ536">
        <v>4</v>
      </c>
      <c r="AR536">
        <v>7.2</v>
      </c>
      <c r="AS536">
        <v>4</v>
      </c>
      <c r="AT536">
        <v>-4.5999999999999996</v>
      </c>
      <c r="AU536">
        <v>-6.6</v>
      </c>
      <c r="AV536">
        <v>-5</v>
      </c>
      <c r="AW536">
        <v>-4.8</v>
      </c>
      <c r="AX536">
        <v>-5.3</v>
      </c>
      <c r="AY536">
        <v>-5</v>
      </c>
      <c r="AZ536">
        <v>10.3</v>
      </c>
      <c r="BA536">
        <v>10</v>
      </c>
      <c r="BB536">
        <v>11.1</v>
      </c>
      <c r="BC536">
        <v>10</v>
      </c>
      <c r="BD536">
        <v>4.7</v>
      </c>
      <c r="BE536">
        <v>4</v>
      </c>
      <c r="BF536">
        <v>11.2</v>
      </c>
      <c r="BG536">
        <v>10</v>
      </c>
      <c r="BH536">
        <v>11.3</v>
      </c>
      <c r="BI536">
        <v>10</v>
      </c>
      <c r="BJ536">
        <v>10.4</v>
      </c>
      <c r="BK536">
        <v>9</v>
      </c>
      <c r="BL536">
        <v>20.3</v>
      </c>
      <c r="BM536">
        <v>19</v>
      </c>
      <c r="BN536">
        <v>23.6</v>
      </c>
      <c r="BO536">
        <v>19</v>
      </c>
      <c r="BP536">
        <v>21.4</v>
      </c>
      <c r="BQ536">
        <v>20</v>
      </c>
      <c r="BR536">
        <v>21.7</v>
      </c>
      <c r="BS536">
        <v>25</v>
      </c>
      <c r="BT536">
        <v>21.9</v>
      </c>
      <c r="BU536">
        <v>25</v>
      </c>
      <c r="BV536">
        <v>23.5</v>
      </c>
      <c r="BW536">
        <v>18</v>
      </c>
      <c r="BX536">
        <v>20.9</v>
      </c>
      <c r="BY536">
        <v>20</v>
      </c>
      <c r="BZ536">
        <v>21.8</v>
      </c>
      <c r="CA536">
        <v>20</v>
      </c>
      <c r="CB536">
        <v>10.3</v>
      </c>
      <c r="CC536">
        <v>10</v>
      </c>
      <c r="CD536">
        <v>11.5</v>
      </c>
      <c r="CE536">
        <v>10</v>
      </c>
      <c r="CF536">
        <v>11.1</v>
      </c>
      <c r="CG536">
        <v>9</v>
      </c>
      <c r="CH536">
        <v>11.3</v>
      </c>
      <c r="CI536">
        <v>9</v>
      </c>
    </row>
    <row r="537" spans="1:87" x14ac:dyDescent="0.35">
      <c r="A537" s="1">
        <v>46059.830555555556</v>
      </c>
      <c r="B537">
        <v>-23.1</v>
      </c>
      <c r="C537">
        <v>-20.399999999999999</v>
      </c>
      <c r="D537">
        <v>-25</v>
      </c>
      <c r="E537">
        <v>-22.4</v>
      </c>
      <c r="F537">
        <v>-24.8</v>
      </c>
      <c r="G537">
        <v>-25</v>
      </c>
      <c r="H537">
        <v>-18</v>
      </c>
      <c r="I537">
        <v>-15.8</v>
      </c>
      <c r="J537">
        <v>-25</v>
      </c>
      <c r="K537">
        <v>-17.399999999999999</v>
      </c>
      <c r="L537">
        <v>-18.2</v>
      </c>
      <c r="M537">
        <v>-25</v>
      </c>
      <c r="N537">
        <v>-21.6</v>
      </c>
      <c r="O537">
        <v>-21.8</v>
      </c>
      <c r="P537">
        <v>-25</v>
      </c>
      <c r="Q537">
        <v>-21.4</v>
      </c>
      <c r="R537">
        <v>-21.7</v>
      </c>
      <c r="S537">
        <v>-25</v>
      </c>
      <c r="T537">
        <v>3.9</v>
      </c>
      <c r="U537">
        <v>3.9</v>
      </c>
      <c r="V537">
        <v>2</v>
      </c>
      <c r="W537">
        <v>3.9</v>
      </c>
      <c r="X537">
        <v>3.6</v>
      </c>
      <c r="Y537">
        <v>2</v>
      </c>
      <c r="Z537">
        <v>3.8</v>
      </c>
      <c r="AA537">
        <v>3.2</v>
      </c>
      <c r="AB537">
        <v>2</v>
      </c>
      <c r="AC537">
        <v>3.4</v>
      </c>
      <c r="AD537">
        <v>2.2999999999999998</v>
      </c>
      <c r="AE537">
        <v>2</v>
      </c>
      <c r="AF537">
        <v>2.5</v>
      </c>
      <c r="AG537">
        <v>2.2999999999999998</v>
      </c>
      <c r="AH537">
        <v>2</v>
      </c>
      <c r="AI537">
        <v>2.4</v>
      </c>
      <c r="AJ537">
        <v>2</v>
      </c>
      <c r="AK537">
        <v>2</v>
      </c>
      <c r="AL537">
        <v>5.0999999999999996</v>
      </c>
      <c r="AM537">
        <v>4</v>
      </c>
      <c r="AN537">
        <v>4.2</v>
      </c>
      <c r="AO537">
        <v>4</v>
      </c>
      <c r="AP537">
        <v>2.9</v>
      </c>
      <c r="AQ537">
        <v>4</v>
      </c>
      <c r="AR537">
        <v>7.3</v>
      </c>
      <c r="AS537">
        <v>4</v>
      </c>
      <c r="AT537">
        <v>-4.7</v>
      </c>
      <c r="AU537">
        <v>-6.7</v>
      </c>
      <c r="AV537">
        <v>-5</v>
      </c>
      <c r="AW537">
        <v>-4.8</v>
      </c>
      <c r="AX537">
        <v>-5.0999999999999996</v>
      </c>
      <c r="AY537">
        <v>-5</v>
      </c>
      <c r="AZ537">
        <v>10.4</v>
      </c>
      <c r="BA537">
        <v>10</v>
      </c>
      <c r="BB537">
        <v>11.4</v>
      </c>
      <c r="BC537">
        <v>10</v>
      </c>
      <c r="BD537">
        <v>4.3</v>
      </c>
      <c r="BE537">
        <v>4</v>
      </c>
      <c r="BF537">
        <v>11.4</v>
      </c>
      <c r="BG537">
        <v>10</v>
      </c>
      <c r="BH537">
        <v>11.3</v>
      </c>
      <c r="BI537">
        <v>10</v>
      </c>
      <c r="BJ537">
        <v>10.4</v>
      </c>
      <c r="BK537">
        <v>9</v>
      </c>
      <c r="BL537">
        <v>20.3</v>
      </c>
      <c r="BM537">
        <v>19</v>
      </c>
      <c r="BN537">
        <v>23.6</v>
      </c>
      <c r="BO537">
        <v>19</v>
      </c>
      <c r="BP537">
        <v>21.4</v>
      </c>
      <c r="BQ537">
        <v>20</v>
      </c>
      <c r="BR537">
        <v>21.7</v>
      </c>
      <c r="BS537">
        <v>25</v>
      </c>
      <c r="BT537">
        <v>21.9</v>
      </c>
      <c r="BU537">
        <v>25</v>
      </c>
      <c r="BV537">
        <v>23.5</v>
      </c>
      <c r="BW537">
        <v>18</v>
      </c>
      <c r="BX537">
        <v>21</v>
      </c>
      <c r="BY537">
        <v>20</v>
      </c>
      <c r="BZ537">
        <v>21.8</v>
      </c>
      <c r="CA537">
        <v>20</v>
      </c>
      <c r="CB537">
        <v>10.1</v>
      </c>
      <c r="CC537">
        <v>10</v>
      </c>
      <c r="CD537">
        <v>11.5</v>
      </c>
      <c r="CE537">
        <v>10</v>
      </c>
      <c r="CF537">
        <v>11.2</v>
      </c>
      <c r="CG537">
        <v>9</v>
      </c>
      <c r="CH537">
        <v>11.4</v>
      </c>
      <c r="CI537">
        <v>9</v>
      </c>
    </row>
    <row r="538" spans="1:87" x14ac:dyDescent="0.35">
      <c r="A538" s="1">
        <v>46059.831250000003</v>
      </c>
      <c r="B538">
        <v>-23.1</v>
      </c>
      <c r="C538">
        <v>-20.5</v>
      </c>
      <c r="D538">
        <v>-25</v>
      </c>
      <c r="E538">
        <v>-22.5</v>
      </c>
      <c r="F538">
        <v>-23.8</v>
      </c>
      <c r="G538">
        <v>-25</v>
      </c>
      <c r="H538">
        <v>-18</v>
      </c>
      <c r="I538">
        <v>-15.8</v>
      </c>
      <c r="J538">
        <v>-25</v>
      </c>
      <c r="K538">
        <v>-17.399999999999999</v>
      </c>
      <c r="L538">
        <v>-18.2</v>
      </c>
      <c r="M538">
        <v>-25</v>
      </c>
      <c r="N538">
        <v>-21.6</v>
      </c>
      <c r="O538">
        <v>-21.8</v>
      </c>
      <c r="P538">
        <v>-25</v>
      </c>
      <c r="Q538">
        <v>-21.5</v>
      </c>
      <c r="R538">
        <v>-21.7</v>
      </c>
      <c r="S538">
        <v>-25</v>
      </c>
      <c r="T538">
        <v>3.9</v>
      </c>
      <c r="U538">
        <v>3.9</v>
      </c>
      <c r="V538">
        <v>2</v>
      </c>
      <c r="W538">
        <v>3.9</v>
      </c>
      <c r="X538">
        <v>3.7</v>
      </c>
      <c r="Y538">
        <v>2</v>
      </c>
      <c r="Z538">
        <v>3.7</v>
      </c>
      <c r="AA538">
        <v>3.1</v>
      </c>
      <c r="AB538">
        <v>2</v>
      </c>
      <c r="AC538">
        <v>3.3</v>
      </c>
      <c r="AD538">
        <v>2.4</v>
      </c>
      <c r="AE538">
        <v>2</v>
      </c>
      <c r="AF538">
        <v>2.7</v>
      </c>
      <c r="AG538">
        <v>2.5</v>
      </c>
      <c r="AH538">
        <v>2</v>
      </c>
      <c r="AI538">
        <v>2.6</v>
      </c>
      <c r="AJ538">
        <v>2.2999999999999998</v>
      </c>
      <c r="AK538">
        <v>2</v>
      </c>
      <c r="AL538">
        <v>5</v>
      </c>
      <c r="AM538">
        <v>4</v>
      </c>
      <c r="AN538">
        <v>4.0999999999999996</v>
      </c>
      <c r="AO538">
        <v>4</v>
      </c>
      <c r="AP538">
        <v>2.9</v>
      </c>
      <c r="AQ538">
        <v>4</v>
      </c>
      <c r="AR538">
        <v>7.4</v>
      </c>
      <c r="AS538">
        <v>4</v>
      </c>
      <c r="AT538">
        <v>-4.9000000000000004</v>
      </c>
      <c r="AU538">
        <v>-6.8</v>
      </c>
      <c r="AV538">
        <v>-5</v>
      </c>
      <c r="AW538">
        <v>-4.8</v>
      </c>
      <c r="AX538">
        <v>-6.4</v>
      </c>
      <c r="AY538">
        <v>-5</v>
      </c>
      <c r="AZ538">
        <v>10.6</v>
      </c>
      <c r="BA538">
        <v>10</v>
      </c>
      <c r="BB538">
        <v>11.7</v>
      </c>
      <c r="BC538">
        <v>10</v>
      </c>
      <c r="BD538">
        <v>4.2</v>
      </c>
      <c r="BE538">
        <v>4</v>
      </c>
      <c r="BF538">
        <v>11.6</v>
      </c>
      <c r="BG538">
        <v>10</v>
      </c>
      <c r="BH538">
        <v>11.3</v>
      </c>
      <c r="BI538">
        <v>10</v>
      </c>
      <c r="BJ538">
        <v>10.6</v>
      </c>
      <c r="BK538">
        <v>9</v>
      </c>
      <c r="BL538">
        <v>20.3</v>
      </c>
      <c r="BM538">
        <v>19</v>
      </c>
      <c r="BN538">
        <v>23.6</v>
      </c>
      <c r="BO538">
        <v>19</v>
      </c>
      <c r="BP538">
        <v>21.4</v>
      </c>
      <c r="BQ538">
        <v>20</v>
      </c>
      <c r="BR538">
        <v>21.6</v>
      </c>
      <c r="BS538">
        <v>25</v>
      </c>
      <c r="BT538">
        <v>21.9</v>
      </c>
      <c r="BU538">
        <v>25</v>
      </c>
      <c r="BV538">
        <v>23.5</v>
      </c>
      <c r="BW538">
        <v>18</v>
      </c>
      <c r="BX538">
        <v>21.1</v>
      </c>
      <c r="BY538">
        <v>20</v>
      </c>
      <c r="BZ538">
        <v>21.8</v>
      </c>
      <c r="CA538">
        <v>20</v>
      </c>
      <c r="CB538">
        <v>10</v>
      </c>
      <c r="CC538">
        <v>10</v>
      </c>
      <c r="CD538">
        <v>11.5</v>
      </c>
      <c r="CE538">
        <v>10</v>
      </c>
      <c r="CF538">
        <v>11.1</v>
      </c>
      <c r="CG538">
        <v>9</v>
      </c>
      <c r="CH538">
        <v>11.4</v>
      </c>
      <c r="CI538">
        <v>9</v>
      </c>
    </row>
    <row r="539" spans="1:87" x14ac:dyDescent="0.35">
      <c r="A539" s="1">
        <v>46059.831944444442</v>
      </c>
      <c r="B539">
        <v>-23</v>
      </c>
      <c r="C539">
        <v>-20.6</v>
      </c>
      <c r="D539">
        <v>-25</v>
      </c>
      <c r="E539">
        <v>-22.5</v>
      </c>
      <c r="F539">
        <v>-23.1</v>
      </c>
      <c r="G539">
        <v>-25</v>
      </c>
      <c r="H539">
        <v>-18</v>
      </c>
      <c r="I539">
        <v>-15.8</v>
      </c>
      <c r="J539">
        <v>-25</v>
      </c>
      <c r="K539">
        <v>-17.399999999999999</v>
      </c>
      <c r="L539">
        <v>-18.2</v>
      </c>
      <c r="M539">
        <v>-25</v>
      </c>
      <c r="N539">
        <v>-21.7</v>
      </c>
      <c r="O539">
        <v>-21.9</v>
      </c>
      <c r="P539">
        <v>-25</v>
      </c>
      <c r="Q539">
        <v>-21.6</v>
      </c>
      <c r="R539">
        <v>-21.8</v>
      </c>
      <c r="S539">
        <v>-25</v>
      </c>
      <c r="T539">
        <v>4</v>
      </c>
      <c r="U539">
        <v>4</v>
      </c>
      <c r="V539">
        <v>2</v>
      </c>
      <c r="W539">
        <v>4</v>
      </c>
      <c r="X539">
        <v>3.8</v>
      </c>
      <c r="Y539">
        <v>2</v>
      </c>
      <c r="Z539">
        <v>3.6</v>
      </c>
      <c r="AA539">
        <v>3</v>
      </c>
      <c r="AB539">
        <v>2</v>
      </c>
      <c r="AC539">
        <v>3.2</v>
      </c>
      <c r="AD539">
        <v>2.4</v>
      </c>
      <c r="AE539">
        <v>2</v>
      </c>
      <c r="AF539">
        <v>2.9</v>
      </c>
      <c r="AG539">
        <v>2.7</v>
      </c>
      <c r="AH539">
        <v>2</v>
      </c>
      <c r="AI539">
        <v>2.8</v>
      </c>
      <c r="AJ539">
        <v>2.5</v>
      </c>
      <c r="AK539">
        <v>2</v>
      </c>
      <c r="AL539">
        <v>4.9000000000000004</v>
      </c>
      <c r="AM539">
        <v>4</v>
      </c>
      <c r="AN539">
        <v>4.0999999999999996</v>
      </c>
      <c r="AO539">
        <v>4</v>
      </c>
      <c r="AP539">
        <v>3</v>
      </c>
      <c r="AQ539">
        <v>4</v>
      </c>
      <c r="AR539">
        <v>7.5</v>
      </c>
      <c r="AS539">
        <v>4</v>
      </c>
      <c r="AT539">
        <v>-5</v>
      </c>
      <c r="AU539">
        <v>-8</v>
      </c>
      <c r="AV539">
        <v>-5</v>
      </c>
      <c r="AW539">
        <v>-5.0999999999999996</v>
      </c>
      <c r="AX539">
        <v>-7.4</v>
      </c>
      <c r="AY539">
        <v>-5</v>
      </c>
      <c r="AZ539">
        <v>10.7</v>
      </c>
      <c r="BA539">
        <v>10</v>
      </c>
      <c r="BB539">
        <v>11.9</v>
      </c>
      <c r="BC539">
        <v>10</v>
      </c>
      <c r="BD539">
        <v>3.8</v>
      </c>
      <c r="BE539">
        <v>4</v>
      </c>
      <c r="BF539">
        <v>11.9</v>
      </c>
      <c r="BG539">
        <v>10</v>
      </c>
      <c r="BH539">
        <v>11.4</v>
      </c>
      <c r="BI539">
        <v>10</v>
      </c>
      <c r="BJ539">
        <v>10.9</v>
      </c>
      <c r="BK539">
        <v>9</v>
      </c>
      <c r="BL539">
        <v>20.3</v>
      </c>
      <c r="BM539">
        <v>19</v>
      </c>
      <c r="BN539">
        <v>23.6</v>
      </c>
      <c r="BO539">
        <v>19</v>
      </c>
      <c r="BP539">
        <v>21.4</v>
      </c>
      <c r="BQ539">
        <v>20</v>
      </c>
      <c r="BR539">
        <v>21.6</v>
      </c>
      <c r="BS539">
        <v>25</v>
      </c>
      <c r="BT539">
        <v>21.9</v>
      </c>
      <c r="BU539">
        <v>25</v>
      </c>
      <c r="BV539">
        <v>23.5</v>
      </c>
      <c r="BW539">
        <v>18</v>
      </c>
      <c r="BX539">
        <v>21.1</v>
      </c>
      <c r="BY539">
        <v>20</v>
      </c>
      <c r="BZ539">
        <v>21.8</v>
      </c>
      <c r="CA539">
        <v>20</v>
      </c>
      <c r="CB539">
        <v>10.3</v>
      </c>
      <c r="CC539">
        <v>10</v>
      </c>
      <c r="CD539">
        <v>11.5</v>
      </c>
      <c r="CE539">
        <v>10</v>
      </c>
      <c r="CF539">
        <v>11.1</v>
      </c>
      <c r="CG539">
        <v>9</v>
      </c>
      <c r="CH539">
        <v>11.4</v>
      </c>
      <c r="CI539">
        <v>9</v>
      </c>
    </row>
    <row r="540" spans="1:87" x14ac:dyDescent="0.35">
      <c r="A540" s="1">
        <v>46059.833333333336</v>
      </c>
      <c r="B540">
        <v>-22.3</v>
      </c>
      <c r="C540">
        <v>-20.6</v>
      </c>
      <c r="D540">
        <v>-25</v>
      </c>
      <c r="E540">
        <v>-22.1</v>
      </c>
      <c r="F540">
        <v>-22.3</v>
      </c>
      <c r="G540">
        <v>-25</v>
      </c>
      <c r="H540">
        <v>-17.7</v>
      </c>
      <c r="I540">
        <v>-15.8</v>
      </c>
      <c r="J540">
        <v>-25</v>
      </c>
      <c r="K540">
        <v>-17.399999999999999</v>
      </c>
      <c r="L540">
        <v>-17.600000000000001</v>
      </c>
      <c r="M540">
        <v>-25</v>
      </c>
      <c r="N540">
        <v>-21.8</v>
      </c>
      <c r="O540">
        <v>-21.9</v>
      </c>
      <c r="P540">
        <v>-25</v>
      </c>
      <c r="Q540">
        <v>-21.6</v>
      </c>
      <c r="R540">
        <v>-21.8</v>
      </c>
      <c r="S540">
        <v>-25</v>
      </c>
      <c r="T540">
        <v>3.7</v>
      </c>
      <c r="U540">
        <v>1.6</v>
      </c>
      <c r="V540">
        <v>2</v>
      </c>
      <c r="W540">
        <v>3.7</v>
      </c>
      <c r="X540">
        <v>1.9</v>
      </c>
      <c r="Y540">
        <v>2</v>
      </c>
      <c r="Z540">
        <v>3.5</v>
      </c>
      <c r="AA540">
        <v>3</v>
      </c>
      <c r="AB540">
        <v>2</v>
      </c>
      <c r="AC540">
        <v>3.1</v>
      </c>
      <c r="AD540">
        <v>2.2000000000000002</v>
      </c>
      <c r="AE540">
        <v>2</v>
      </c>
      <c r="AF540">
        <v>3.3</v>
      </c>
      <c r="AG540">
        <v>3.2</v>
      </c>
      <c r="AH540">
        <v>2</v>
      </c>
      <c r="AI540">
        <v>3.1</v>
      </c>
      <c r="AJ540">
        <v>3</v>
      </c>
      <c r="AK540">
        <v>2</v>
      </c>
      <c r="AL540">
        <v>4.7</v>
      </c>
      <c r="AM540">
        <v>4</v>
      </c>
      <c r="AN540">
        <v>4</v>
      </c>
      <c r="AO540">
        <v>4</v>
      </c>
      <c r="AP540">
        <v>3.5</v>
      </c>
      <c r="AQ540">
        <v>4</v>
      </c>
      <c r="AR540">
        <v>7.7</v>
      </c>
      <c r="AS540">
        <v>4</v>
      </c>
      <c r="AT540">
        <v>-5</v>
      </c>
      <c r="AU540">
        <v>-5.6</v>
      </c>
      <c r="AV540">
        <v>-5</v>
      </c>
      <c r="AW540">
        <v>-4.9000000000000004</v>
      </c>
      <c r="AX540">
        <v>-4.8</v>
      </c>
      <c r="AY540">
        <v>-5</v>
      </c>
      <c r="AZ540">
        <v>10.9</v>
      </c>
      <c r="BA540">
        <v>10</v>
      </c>
      <c r="BB540">
        <v>12.1</v>
      </c>
      <c r="BC540">
        <v>10</v>
      </c>
      <c r="BD540">
        <v>3.9</v>
      </c>
      <c r="BE540">
        <v>4</v>
      </c>
      <c r="BF540">
        <v>12</v>
      </c>
      <c r="BG540">
        <v>10</v>
      </c>
      <c r="BH540">
        <v>11.5</v>
      </c>
      <c r="BI540">
        <v>10</v>
      </c>
      <c r="BJ540">
        <v>11.3</v>
      </c>
      <c r="BK540">
        <v>9</v>
      </c>
      <c r="BL540">
        <v>20.399999999999999</v>
      </c>
      <c r="BM540">
        <v>19</v>
      </c>
      <c r="BN540">
        <v>23.6</v>
      </c>
      <c r="BO540">
        <v>19</v>
      </c>
      <c r="BP540">
        <v>21.4</v>
      </c>
      <c r="BQ540">
        <v>20</v>
      </c>
      <c r="BR540">
        <v>21.6</v>
      </c>
      <c r="BS540">
        <v>25</v>
      </c>
      <c r="BT540">
        <v>21.9</v>
      </c>
      <c r="BU540">
        <v>25</v>
      </c>
      <c r="BV540">
        <v>23.5</v>
      </c>
      <c r="BW540">
        <v>18</v>
      </c>
      <c r="BX540">
        <v>21.2</v>
      </c>
      <c r="BY540">
        <v>20</v>
      </c>
      <c r="BZ540">
        <v>21.8</v>
      </c>
      <c r="CA540">
        <v>20</v>
      </c>
      <c r="CB540">
        <v>11.3</v>
      </c>
      <c r="CC540">
        <v>10</v>
      </c>
      <c r="CD540">
        <v>11.6</v>
      </c>
      <c r="CE540">
        <v>10</v>
      </c>
      <c r="CF540">
        <v>11.3</v>
      </c>
      <c r="CG540">
        <v>9</v>
      </c>
      <c r="CH540">
        <v>11.5</v>
      </c>
      <c r="CI540">
        <v>9</v>
      </c>
    </row>
    <row r="541" spans="1:87" x14ac:dyDescent="0.35">
      <c r="A541" s="1">
        <v>46059.834027777775</v>
      </c>
      <c r="B541">
        <v>-22.1</v>
      </c>
      <c r="C541">
        <v>-20.6</v>
      </c>
      <c r="D541">
        <v>-25</v>
      </c>
      <c r="E541">
        <v>-21.9</v>
      </c>
      <c r="F541">
        <v>-22.1</v>
      </c>
      <c r="G541">
        <v>-25</v>
      </c>
      <c r="H541">
        <v>-17.399999999999999</v>
      </c>
      <c r="I541">
        <v>-17.600000000000001</v>
      </c>
      <c r="J541">
        <v>-25</v>
      </c>
      <c r="K541">
        <v>-17.3</v>
      </c>
      <c r="L541">
        <v>-16.899999999999999</v>
      </c>
      <c r="M541">
        <v>-25</v>
      </c>
      <c r="N541">
        <v>-21.8</v>
      </c>
      <c r="O541">
        <v>-21.9</v>
      </c>
      <c r="P541">
        <v>-25</v>
      </c>
      <c r="Q541">
        <v>-21.6</v>
      </c>
      <c r="R541">
        <v>-21.8</v>
      </c>
      <c r="S541">
        <v>-25</v>
      </c>
      <c r="T541">
        <v>3.2</v>
      </c>
      <c r="U541">
        <v>0.5</v>
      </c>
      <c r="V541">
        <v>2</v>
      </c>
      <c r="W541">
        <v>3.2</v>
      </c>
      <c r="X541">
        <v>0.8</v>
      </c>
      <c r="Y541">
        <v>2</v>
      </c>
      <c r="Z541">
        <v>3.5</v>
      </c>
      <c r="AA541">
        <v>3</v>
      </c>
      <c r="AB541">
        <v>2</v>
      </c>
      <c r="AC541">
        <v>3.1</v>
      </c>
      <c r="AD541">
        <v>1.5</v>
      </c>
      <c r="AE541">
        <v>2</v>
      </c>
      <c r="AF541">
        <v>3.4</v>
      </c>
      <c r="AG541">
        <v>3.3</v>
      </c>
      <c r="AH541">
        <v>2</v>
      </c>
      <c r="AI541">
        <v>3.3</v>
      </c>
      <c r="AJ541">
        <v>3.2</v>
      </c>
      <c r="AK541">
        <v>2</v>
      </c>
      <c r="AL541">
        <v>4.5</v>
      </c>
      <c r="AM541">
        <v>4</v>
      </c>
      <c r="AN541">
        <v>4</v>
      </c>
      <c r="AO541">
        <v>4</v>
      </c>
      <c r="AP541">
        <v>3.8</v>
      </c>
      <c r="AQ541">
        <v>4</v>
      </c>
      <c r="AR541">
        <v>7.8</v>
      </c>
      <c r="AS541">
        <v>4</v>
      </c>
      <c r="AT541">
        <v>-4.4000000000000004</v>
      </c>
      <c r="AU541">
        <v>-4.7</v>
      </c>
      <c r="AV541">
        <v>-5</v>
      </c>
      <c r="AW541">
        <v>-4.3</v>
      </c>
      <c r="AX541">
        <v>-4.0999999999999996</v>
      </c>
      <c r="AY541">
        <v>-5</v>
      </c>
      <c r="AZ541">
        <v>11</v>
      </c>
      <c r="BA541">
        <v>10</v>
      </c>
      <c r="BB541">
        <v>12.1</v>
      </c>
      <c r="BC541">
        <v>10</v>
      </c>
      <c r="BD541">
        <v>4.3</v>
      </c>
      <c r="BE541">
        <v>4</v>
      </c>
      <c r="BF541">
        <v>11.3</v>
      </c>
      <c r="BG541">
        <v>10</v>
      </c>
      <c r="BH541">
        <v>11.6</v>
      </c>
      <c r="BI541">
        <v>10</v>
      </c>
      <c r="BJ541">
        <v>11.3</v>
      </c>
      <c r="BK541">
        <v>9</v>
      </c>
      <c r="BL541">
        <v>20.399999999999999</v>
      </c>
      <c r="BM541">
        <v>19</v>
      </c>
      <c r="BN541">
        <v>23.6</v>
      </c>
      <c r="BO541">
        <v>19</v>
      </c>
      <c r="BP541">
        <v>21.4</v>
      </c>
      <c r="BQ541">
        <v>20</v>
      </c>
      <c r="BR541">
        <v>21.6</v>
      </c>
      <c r="BS541">
        <v>25</v>
      </c>
      <c r="BT541">
        <v>21.9</v>
      </c>
      <c r="BU541">
        <v>25</v>
      </c>
      <c r="BV541">
        <v>23.5</v>
      </c>
      <c r="BW541">
        <v>18</v>
      </c>
      <c r="BX541">
        <v>21.2</v>
      </c>
      <c r="BY541">
        <v>20</v>
      </c>
      <c r="BZ541">
        <v>21.9</v>
      </c>
      <c r="CA541">
        <v>20</v>
      </c>
      <c r="CB541">
        <v>11.6</v>
      </c>
      <c r="CC541">
        <v>10</v>
      </c>
      <c r="CD541">
        <v>11.7</v>
      </c>
      <c r="CE541">
        <v>10</v>
      </c>
      <c r="CF541">
        <v>11.4</v>
      </c>
      <c r="CG541">
        <v>9</v>
      </c>
      <c r="CH541">
        <v>11.6</v>
      </c>
      <c r="CI541">
        <v>9</v>
      </c>
    </row>
    <row r="542" spans="1:87" x14ac:dyDescent="0.35">
      <c r="A542" s="1">
        <v>46059.834722222222</v>
      </c>
      <c r="B542">
        <v>-21.8</v>
      </c>
      <c r="C542">
        <v>-20.5</v>
      </c>
      <c r="D542">
        <v>-25</v>
      </c>
      <c r="E542">
        <v>-21.6</v>
      </c>
      <c r="F542">
        <v>-21.8</v>
      </c>
      <c r="G542">
        <v>-25</v>
      </c>
      <c r="H542">
        <v>-17.3</v>
      </c>
      <c r="I542">
        <v>-19</v>
      </c>
      <c r="J542">
        <v>-25</v>
      </c>
      <c r="K542">
        <v>-17.3</v>
      </c>
      <c r="L542">
        <v>-12.6</v>
      </c>
      <c r="M542">
        <v>-25</v>
      </c>
      <c r="N542">
        <v>-21.8</v>
      </c>
      <c r="O542">
        <v>-21.9</v>
      </c>
      <c r="P542">
        <v>-25</v>
      </c>
      <c r="Q542">
        <v>-21.6</v>
      </c>
      <c r="R542">
        <v>-21.8</v>
      </c>
      <c r="S542">
        <v>-25</v>
      </c>
      <c r="T542">
        <v>2.7</v>
      </c>
      <c r="U542">
        <v>0.4</v>
      </c>
      <c r="V542">
        <v>2</v>
      </c>
      <c r="W542">
        <v>2.7</v>
      </c>
      <c r="X542">
        <v>-0.1</v>
      </c>
      <c r="Y542">
        <v>2</v>
      </c>
      <c r="Z542">
        <v>3.4</v>
      </c>
      <c r="AA542">
        <v>2.8</v>
      </c>
      <c r="AB542">
        <v>2</v>
      </c>
      <c r="AC542">
        <v>3</v>
      </c>
      <c r="AD542">
        <v>1.1000000000000001</v>
      </c>
      <c r="AE542">
        <v>2</v>
      </c>
      <c r="AF542">
        <v>3.6</v>
      </c>
      <c r="AG542">
        <v>3.5</v>
      </c>
      <c r="AH542">
        <v>2</v>
      </c>
      <c r="AI542">
        <v>3.5</v>
      </c>
      <c r="AJ542">
        <v>3.4</v>
      </c>
      <c r="AK542">
        <v>2</v>
      </c>
      <c r="AL542">
        <v>4.2</v>
      </c>
      <c r="AM542">
        <v>4</v>
      </c>
      <c r="AN542">
        <v>4</v>
      </c>
      <c r="AO542">
        <v>4</v>
      </c>
      <c r="AP542">
        <v>4</v>
      </c>
      <c r="AQ542">
        <v>4</v>
      </c>
      <c r="AR542">
        <v>7.8</v>
      </c>
      <c r="AS542">
        <v>4</v>
      </c>
      <c r="AT542">
        <v>-3.9</v>
      </c>
      <c r="AU542">
        <v>-4.0999999999999996</v>
      </c>
      <c r="AV542">
        <v>-5</v>
      </c>
      <c r="AW542">
        <v>-3.8</v>
      </c>
      <c r="AX542">
        <v>-3.6</v>
      </c>
      <c r="AY542">
        <v>-5</v>
      </c>
      <c r="AZ542">
        <v>11.1</v>
      </c>
      <c r="BA542">
        <v>10</v>
      </c>
      <c r="BB542">
        <v>12</v>
      </c>
      <c r="BC542">
        <v>10</v>
      </c>
      <c r="BD542">
        <v>4.4000000000000004</v>
      </c>
      <c r="BE542">
        <v>4</v>
      </c>
      <c r="BF542">
        <v>10.7</v>
      </c>
      <c r="BG542">
        <v>10</v>
      </c>
      <c r="BH542">
        <v>11.8</v>
      </c>
      <c r="BI542">
        <v>10</v>
      </c>
      <c r="BJ542">
        <v>11.7</v>
      </c>
      <c r="BK542">
        <v>9</v>
      </c>
      <c r="BL542">
        <v>20.399999999999999</v>
      </c>
      <c r="BM542">
        <v>19</v>
      </c>
      <c r="BN542">
        <v>23.6</v>
      </c>
      <c r="BO542">
        <v>19</v>
      </c>
      <c r="BP542">
        <v>21.5</v>
      </c>
      <c r="BQ542">
        <v>20</v>
      </c>
      <c r="BR542">
        <v>21.6</v>
      </c>
      <c r="BS542">
        <v>25</v>
      </c>
      <c r="BT542">
        <v>21.9</v>
      </c>
      <c r="BU542">
        <v>25</v>
      </c>
      <c r="BV542">
        <v>23.5</v>
      </c>
      <c r="BW542">
        <v>18</v>
      </c>
      <c r="BX542">
        <v>21.3</v>
      </c>
      <c r="BY542">
        <v>20</v>
      </c>
      <c r="BZ542">
        <v>21.9</v>
      </c>
      <c r="CA542">
        <v>20</v>
      </c>
      <c r="CB542">
        <v>11.9</v>
      </c>
      <c r="CC542">
        <v>10</v>
      </c>
      <c r="CD542">
        <v>11.7</v>
      </c>
      <c r="CE542">
        <v>10</v>
      </c>
      <c r="CF542">
        <v>11.5</v>
      </c>
      <c r="CG542">
        <v>9</v>
      </c>
      <c r="CH542">
        <v>11.7</v>
      </c>
      <c r="CI542">
        <v>9</v>
      </c>
    </row>
    <row r="543" spans="1:87" x14ac:dyDescent="0.35">
      <c r="A543" s="1">
        <v>46059.835416666669</v>
      </c>
      <c r="B543">
        <v>-21.4</v>
      </c>
      <c r="C543">
        <v>-20.399999999999999</v>
      </c>
      <c r="D543">
        <v>-25</v>
      </c>
      <c r="E543">
        <v>-21.3</v>
      </c>
      <c r="F543">
        <v>-21.5</v>
      </c>
      <c r="G543">
        <v>-25</v>
      </c>
      <c r="H543">
        <v>-17.2</v>
      </c>
      <c r="I543">
        <v>-19.100000000000001</v>
      </c>
      <c r="J543">
        <v>-25</v>
      </c>
      <c r="K543">
        <v>-17.3</v>
      </c>
      <c r="L543">
        <v>-8.1999999999999993</v>
      </c>
      <c r="M543">
        <v>-25</v>
      </c>
      <c r="N543">
        <v>-21.7</v>
      </c>
      <c r="O543">
        <v>-21.7</v>
      </c>
      <c r="P543">
        <v>-25</v>
      </c>
      <c r="Q543">
        <v>-21.6</v>
      </c>
      <c r="R543">
        <v>-21.5</v>
      </c>
      <c r="S543">
        <v>-25</v>
      </c>
      <c r="T543">
        <v>2.2000000000000002</v>
      </c>
      <c r="U543">
        <v>0.5</v>
      </c>
      <c r="V543">
        <v>2</v>
      </c>
      <c r="W543">
        <v>2.2000000000000002</v>
      </c>
      <c r="X543">
        <v>-0.8</v>
      </c>
      <c r="Y543">
        <v>2</v>
      </c>
      <c r="Z543">
        <v>3.2</v>
      </c>
      <c r="AA543">
        <v>2.6</v>
      </c>
      <c r="AB543">
        <v>2</v>
      </c>
      <c r="AC543">
        <v>2.8</v>
      </c>
      <c r="AD543">
        <v>1.2</v>
      </c>
      <c r="AE543">
        <v>2</v>
      </c>
      <c r="AF543">
        <v>3.8</v>
      </c>
      <c r="AG543">
        <v>3.7</v>
      </c>
      <c r="AH543">
        <v>2</v>
      </c>
      <c r="AI543">
        <v>3.7</v>
      </c>
      <c r="AJ543">
        <v>3.6</v>
      </c>
      <c r="AK543">
        <v>2</v>
      </c>
      <c r="AL543">
        <v>4</v>
      </c>
      <c r="AM543">
        <v>4</v>
      </c>
      <c r="AN543">
        <v>4</v>
      </c>
      <c r="AO543">
        <v>4</v>
      </c>
      <c r="AP543">
        <v>4.3</v>
      </c>
      <c r="AQ543">
        <v>4</v>
      </c>
      <c r="AR543">
        <v>7.8</v>
      </c>
      <c r="AS543">
        <v>4</v>
      </c>
      <c r="AT543">
        <v>-3.4</v>
      </c>
      <c r="AU543">
        <v>-3.7</v>
      </c>
      <c r="AV543">
        <v>-5</v>
      </c>
      <c r="AW543">
        <v>-3.7</v>
      </c>
      <c r="AX543">
        <v>-3.2</v>
      </c>
      <c r="AY543">
        <v>-5</v>
      </c>
      <c r="AZ543">
        <v>11.2</v>
      </c>
      <c r="BA543">
        <v>10</v>
      </c>
      <c r="BB543">
        <v>11.8</v>
      </c>
      <c r="BC543">
        <v>10</v>
      </c>
      <c r="BD543">
        <v>4.5</v>
      </c>
      <c r="BE543">
        <v>4</v>
      </c>
      <c r="BF543">
        <v>10</v>
      </c>
      <c r="BG543">
        <v>10</v>
      </c>
      <c r="BH543">
        <v>12</v>
      </c>
      <c r="BI543">
        <v>10</v>
      </c>
      <c r="BJ543">
        <v>11.8</v>
      </c>
      <c r="BK543">
        <v>9</v>
      </c>
      <c r="BL543">
        <v>20.399999999999999</v>
      </c>
      <c r="BM543">
        <v>19</v>
      </c>
      <c r="BN543">
        <v>23.6</v>
      </c>
      <c r="BO543">
        <v>19</v>
      </c>
      <c r="BP543">
        <v>21.5</v>
      </c>
      <c r="BQ543">
        <v>20</v>
      </c>
      <c r="BR543">
        <v>21.6</v>
      </c>
      <c r="BS543">
        <v>25</v>
      </c>
      <c r="BT543">
        <v>21.9</v>
      </c>
      <c r="BU543">
        <v>25</v>
      </c>
      <c r="BV543">
        <v>23.5</v>
      </c>
      <c r="BW543">
        <v>18</v>
      </c>
      <c r="BX543">
        <v>21.3</v>
      </c>
      <c r="BY543">
        <v>20</v>
      </c>
      <c r="BZ543">
        <v>21.9</v>
      </c>
      <c r="CA543">
        <v>20</v>
      </c>
      <c r="CB543">
        <v>12</v>
      </c>
      <c r="CC543">
        <v>10</v>
      </c>
      <c r="CD543">
        <v>11.7</v>
      </c>
      <c r="CE543">
        <v>10</v>
      </c>
      <c r="CF543">
        <v>11.6</v>
      </c>
      <c r="CG543">
        <v>9</v>
      </c>
      <c r="CH543">
        <v>11.8</v>
      </c>
      <c r="CI543">
        <v>9</v>
      </c>
    </row>
    <row r="544" spans="1:87" x14ac:dyDescent="0.35">
      <c r="A544" s="1">
        <v>46059.836111111108</v>
      </c>
      <c r="B544">
        <v>-21</v>
      </c>
      <c r="C544">
        <v>-20.2</v>
      </c>
      <c r="D544">
        <v>-25</v>
      </c>
      <c r="E544">
        <v>-20.9</v>
      </c>
      <c r="F544">
        <v>-21.1</v>
      </c>
      <c r="G544">
        <v>-25</v>
      </c>
      <c r="H544">
        <v>-17.100000000000001</v>
      </c>
      <c r="I544">
        <v>-19.399999999999999</v>
      </c>
      <c r="J544">
        <v>-25</v>
      </c>
      <c r="K544">
        <v>-17.3</v>
      </c>
      <c r="L544">
        <v>-4.7</v>
      </c>
      <c r="M544">
        <v>-25</v>
      </c>
      <c r="N544">
        <v>-21.5</v>
      </c>
      <c r="O544">
        <v>-21.4</v>
      </c>
      <c r="P544">
        <v>-25</v>
      </c>
      <c r="Q544">
        <v>-21.4</v>
      </c>
      <c r="R544">
        <v>-21.3</v>
      </c>
      <c r="S544">
        <v>-25</v>
      </c>
      <c r="T544">
        <v>1.8</v>
      </c>
      <c r="U544">
        <v>0.4</v>
      </c>
      <c r="V544">
        <v>2</v>
      </c>
      <c r="W544">
        <v>1.9</v>
      </c>
      <c r="X544">
        <v>-1.1000000000000001</v>
      </c>
      <c r="Y544">
        <v>2</v>
      </c>
      <c r="Z544">
        <v>3.1</v>
      </c>
      <c r="AA544">
        <v>2.4</v>
      </c>
      <c r="AB544">
        <v>2</v>
      </c>
      <c r="AC544">
        <v>2.6</v>
      </c>
      <c r="AD544">
        <v>1.2</v>
      </c>
      <c r="AE544">
        <v>2</v>
      </c>
      <c r="AF544">
        <v>4</v>
      </c>
      <c r="AG544">
        <v>3.8</v>
      </c>
      <c r="AH544">
        <v>2</v>
      </c>
      <c r="AI544">
        <v>3.8</v>
      </c>
      <c r="AJ544">
        <v>3.8</v>
      </c>
      <c r="AK544">
        <v>2</v>
      </c>
      <c r="AL544">
        <v>3.8</v>
      </c>
      <c r="AM544">
        <v>4</v>
      </c>
      <c r="AN544">
        <v>4.0999999999999996</v>
      </c>
      <c r="AO544">
        <v>4</v>
      </c>
      <c r="AP544">
        <v>4.5</v>
      </c>
      <c r="AQ544">
        <v>4</v>
      </c>
      <c r="AR544">
        <v>7.8</v>
      </c>
      <c r="AS544">
        <v>4</v>
      </c>
      <c r="AT544">
        <v>-3.1</v>
      </c>
      <c r="AU544">
        <v>-3.3</v>
      </c>
      <c r="AV544">
        <v>-5</v>
      </c>
      <c r="AW544">
        <v>-3.7</v>
      </c>
      <c r="AX544">
        <v>-1.5</v>
      </c>
      <c r="AY544">
        <v>-5</v>
      </c>
      <c r="AZ544">
        <v>11.4</v>
      </c>
      <c r="BA544">
        <v>10</v>
      </c>
      <c r="BB544">
        <v>11.5</v>
      </c>
      <c r="BC544">
        <v>10</v>
      </c>
      <c r="BD544">
        <v>4.7</v>
      </c>
      <c r="BE544">
        <v>4</v>
      </c>
      <c r="BF544">
        <v>9.5</v>
      </c>
      <c r="BG544">
        <v>10</v>
      </c>
      <c r="BH544">
        <v>12.1</v>
      </c>
      <c r="BI544">
        <v>10</v>
      </c>
      <c r="BJ544">
        <v>11.9</v>
      </c>
      <c r="BK544">
        <v>9</v>
      </c>
      <c r="BL544">
        <v>20.399999999999999</v>
      </c>
      <c r="BM544">
        <v>19</v>
      </c>
      <c r="BN544">
        <v>23.6</v>
      </c>
      <c r="BO544">
        <v>19</v>
      </c>
      <c r="BP544">
        <v>21.5</v>
      </c>
      <c r="BQ544">
        <v>20</v>
      </c>
      <c r="BR544">
        <v>21.6</v>
      </c>
      <c r="BS544">
        <v>25</v>
      </c>
      <c r="BT544">
        <v>21.9</v>
      </c>
      <c r="BU544">
        <v>25</v>
      </c>
      <c r="BV544">
        <v>23.5</v>
      </c>
      <c r="BW544">
        <v>18</v>
      </c>
      <c r="BX544">
        <v>21.3</v>
      </c>
      <c r="BY544">
        <v>20</v>
      </c>
      <c r="BZ544">
        <v>21.9</v>
      </c>
      <c r="CA544">
        <v>20</v>
      </c>
      <c r="CB544">
        <v>11.8</v>
      </c>
      <c r="CC544">
        <v>10</v>
      </c>
      <c r="CD544">
        <v>11.9</v>
      </c>
      <c r="CE544">
        <v>10</v>
      </c>
      <c r="CF544">
        <v>11.3</v>
      </c>
      <c r="CG544">
        <v>9</v>
      </c>
      <c r="CH544">
        <v>11.6</v>
      </c>
      <c r="CI544">
        <v>9</v>
      </c>
    </row>
    <row r="545" spans="1:87" x14ac:dyDescent="0.35">
      <c r="A545" s="1">
        <v>46059.836805555555</v>
      </c>
      <c r="B545">
        <v>-20.6</v>
      </c>
      <c r="C545">
        <v>-20</v>
      </c>
      <c r="D545">
        <v>-25</v>
      </c>
      <c r="E545">
        <v>-20.6</v>
      </c>
      <c r="F545">
        <v>-20.8</v>
      </c>
      <c r="G545">
        <v>-25</v>
      </c>
      <c r="H545">
        <v>-17.100000000000001</v>
      </c>
      <c r="I545">
        <v>-19.600000000000001</v>
      </c>
      <c r="J545">
        <v>-25</v>
      </c>
      <c r="K545">
        <v>-17.3</v>
      </c>
      <c r="L545">
        <v>-1.2</v>
      </c>
      <c r="M545">
        <v>-25</v>
      </c>
      <c r="N545">
        <v>-21.3</v>
      </c>
      <c r="O545">
        <v>-21.2</v>
      </c>
      <c r="P545">
        <v>-25</v>
      </c>
      <c r="Q545">
        <v>-21.3</v>
      </c>
      <c r="R545">
        <v>-21</v>
      </c>
      <c r="S545">
        <v>-25</v>
      </c>
      <c r="T545">
        <v>1.8</v>
      </c>
      <c r="U545">
        <v>0.6</v>
      </c>
      <c r="V545">
        <v>2</v>
      </c>
      <c r="W545">
        <v>1.7</v>
      </c>
      <c r="X545">
        <v>0.3</v>
      </c>
      <c r="Y545">
        <v>2</v>
      </c>
      <c r="Z545">
        <v>2.9</v>
      </c>
      <c r="AA545">
        <v>2.2999999999999998</v>
      </c>
      <c r="AB545">
        <v>2</v>
      </c>
      <c r="AC545">
        <v>2.4</v>
      </c>
      <c r="AD545">
        <v>1.2</v>
      </c>
      <c r="AE545">
        <v>2</v>
      </c>
      <c r="AF545">
        <v>4.0999999999999996</v>
      </c>
      <c r="AG545">
        <v>4</v>
      </c>
      <c r="AH545">
        <v>2</v>
      </c>
      <c r="AI545">
        <v>3.9</v>
      </c>
      <c r="AJ545">
        <v>3.9</v>
      </c>
      <c r="AK545">
        <v>2</v>
      </c>
      <c r="AL545">
        <v>3.8</v>
      </c>
      <c r="AM545">
        <v>4</v>
      </c>
      <c r="AN545">
        <v>4.2</v>
      </c>
      <c r="AO545">
        <v>4</v>
      </c>
      <c r="AP545">
        <v>4.7</v>
      </c>
      <c r="AQ545">
        <v>4</v>
      </c>
      <c r="AR545">
        <v>7.2</v>
      </c>
      <c r="AS545">
        <v>4</v>
      </c>
      <c r="AT545">
        <v>-2.8</v>
      </c>
      <c r="AU545">
        <v>-3.1</v>
      </c>
      <c r="AV545">
        <v>-5</v>
      </c>
      <c r="AW545">
        <v>-3.7</v>
      </c>
      <c r="AX545">
        <v>0.7</v>
      </c>
      <c r="AY545">
        <v>-5</v>
      </c>
      <c r="AZ545">
        <v>11.4</v>
      </c>
      <c r="BA545">
        <v>10</v>
      </c>
      <c r="BB545">
        <v>11.3</v>
      </c>
      <c r="BC545">
        <v>10</v>
      </c>
      <c r="BD545">
        <v>5</v>
      </c>
      <c r="BE545">
        <v>4</v>
      </c>
      <c r="BF545">
        <v>9.6</v>
      </c>
      <c r="BG545">
        <v>10</v>
      </c>
      <c r="BH545">
        <v>12.5</v>
      </c>
      <c r="BI545">
        <v>10</v>
      </c>
      <c r="BJ545">
        <v>12.3</v>
      </c>
      <c r="BK545">
        <v>9</v>
      </c>
      <c r="BL545">
        <v>20.399999999999999</v>
      </c>
      <c r="BM545">
        <v>19</v>
      </c>
      <c r="BN545">
        <v>23.6</v>
      </c>
      <c r="BO545">
        <v>19</v>
      </c>
      <c r="BP545">
        <v>21.5</v>
      </c>
      <c r="BQ545">
        <v>20</v>
      </c>
      <c r="BR545">
        <v>21.6</v>
      </c>
      <c r="BS545">
        <v>25</v>
      </c>
      <c r="BT545">
        <v>21.9</v>
      </c>
      <c r="BU545">
        <v>25</v>
      </c>
      <c r="BV545">
        <v>23.5</v>
      </c>
      <c r="BW545">
        <v>18</v>
      </c>
      <c r="BX545">
        <v>21.4</v>
      </c>
      <c r="BY545">
        <v>20</v>
      </c>
      <c r="BZ545">
        <v>21.9</v>
      </c>
      <c r="CA545">
        <v>20</v>
      </c>
      <c r="CB545">
        <v>11.6</v>
      </c>
      <c r="CC545">
        <v>10</v>
      </c>
      <c r="CD545">
        <v>12</v>
      </c>
      <c r="CE545">
        <v>10</v>
      </c>
      <c r="CF545">
        <v>11.3</v>
      </c>
      <c r="CG545">
        <v>9</v>
      </c>
      <c r="CH545">
        <v>11.5</v>
      </c>
      <c r="CI545">
        <v>9</v>
      </c>
    </row>
    <row r="546" spans="1:87" x14ac:dyDescent="0.35">
      <c r="A546" s="1">
        <v>46059.837500000001</v>
      </c>
      <c r="B546">
        <v>-20.3</v>
      </c>
      <c r="C546">
        <v>-19.8</v>
      </c>
      <c r="D546">
        <v>-25</v>
      </c>
      <c r="E546">
        <v>-20.399999999999999</v>
      </c>
      <c r="F546">
        <v>-20.399999999999999</v>
      </c>
      <c r="G546">
        <v>-25</v>
      </c>
      <c r="H546">
        <v>-17.100000000000001</v>
      </c>
      <c r="I546">
        <v>-20.100000000000001</v>
      </c>
      <c r="J546">
        <v>-25</v>
      </c>
      <c r="K546">
        <v>-17.3</v>
      </c>
      <c r="L546">
        <v>0.9</v>
      </c>
      <c r="M546">
        <v>-25</v>
      </c>
      <c r="N546">
        <v>-21.1</v>
      </c>
      <c r="O546">
        <v>-20.9</v>
      </c>
      <c r="P546">
        <v>-25</v>
      </c>
      <c r="Q546">
        <v>-21.1</v>
      </c>
      <c r="R546">
        <v>-20.8</v>
      </c>
      <c r="S546">
        <v>-25</v>
      </c>
      <c r="T546">
        <v>1.8</v>
      </c>
      <c r="U546">
        <v>1.2</v>
      </c>
      <c r="V546">
        <v>2</v>
      </c>
      <c r="W546">
        <v>1.8</v>
      </c>
      <c r="X546">
        <v>0.8</v>
      </c>
      <c r="Y546">
        <v>2</v>
      </c>
      <c r="Z546">
        <v>2.9</v>
      </c>
      <c r="AA546">
        <v>2.2999999999999998</v>
      </c>
      <c r="AB546">
        <v>2</v>
      </c>
      <c r="AC546">
        <v>2.4</v>
      </c>
      <c r="AD546">
        <v>1.6</v>
      </c>
      <c r="AE546">
        <v>2</v>
      </c>
      <c r="AF546">
        <v>4.2</v>
      </c>
      <c r="AG546">
        <v>4.0999999999999996</v>
      </c>
      <c r="AH546">
        <v>2</v>
      </c>
      <c r="AI546">
        <v>4.0999999999999996</v>
      </c>
      <c r="AJ546">
        <v>4</v>
      </c>
      <c r="AK546">
        <v>2</v>
      </c>
      <c r="AL546">
        <v>3.8</v>
      </c>
      <c r="AM546">
        <v>4</v>
      </c>
      <c r="AN546">
        <v>4.3</v>
      </c>
      <c r="AO546">
        <v>4</v>
      </c>
      <c r="AP546">
        <v>4.9000000000000004</v>
      </c>
      <c r="AQ546">
        <v>4</v>
      </c>
      <c r="AR546">
        <v>6.7</v>
      </c>
      <c r="AS546">
        <v>4</v>
      </c>
      <c r="AT546">
        <v>-2.6</v>
      </c>
      <c r="AU546">
        <v>-2.8</v>
      </c>
      <c r="AV546">
        <v>-5</v>
      </c>
      <c r="AW546">
        <v>-3.7</v>
      </c>
      <c r="AX546">
        <v>4.5</v>
      </c>
      <c r="AY546">
        <v>-5</v>
      </c>
      <c r="AZ546">
        <v>11.5</v>
      </c>
      <c r="BA546">
        <v>10</v>
      </c>
      <c r="BB546">
        <v>11.2</v>
      </c>
      <c r="BC546">
        <v>10</v>
      </c>
      <c r="BD546">
        <v>5.2</v>
      </c>
      <c r="BE546">
        <v>4</v>
      </c>
      <c r="BF546">
        <v>9.9</v>
      </c>
      <c r="BG546">
        <v>10</v>
      </c>
      <c r="BH546">
        <v>12.6</v>
      </c>
      <c r="BI546">
        <v>10</v>
      </c>
      <c r="BJ546">
        <v>12.3</v>
      </c>
      <c r="BK546">
        <v>9</v>
      </c>
      <c r="BL546">
        <v>20.5</v>
      </c>
      <c r="BM546">
        <v>19</v>
      </c>
      <c r="BN546">
        <v>23.6</v>
      </c>
      <c r="BO546">
        <v>19</v>
      </c>
      <c r="BP546">
        <v>21.5</v>
      </c>
      <c r="BQ546">
        <v>20</v>
      </c>
      <c r="BR546">
        <v>21.6</v>
      </c>
      <c r="BS546">
        <v>25</v>
      </c>
      <c r="BT546">
        <v>21.9</v>
      </c>
      <c r="BU546">
        <v>25</v>
      </c>
      <c r="BV546">
        <v>23.5</v>
      </c>
      <c r="BW546">
        <v>18</v>
      </c>
      <c r="BX546">
        <v>21.4</v>
      </c>
      <c r="BY546">
        <v>20</v>
      </c>
      <c r="BZ546">
        <v>21.9</v>
      </c>
      <c r="CA546">
        <v>20</v>
      </c>
      <c r="CB546">
        <v>11.4</v>
      </c>
      <c r="CC546">
        <v>10</v>
      </c>
      <c r="CD546">
        <v>12</v>
      </c>
      <c r="CE546">
        <v>10</v>
      </c>
      <c r="CF546">
        <v>11.5</v>
      </c>
      <c r="CG546">
        <v>9</v>
      </c>
      <c r="CH546">
        <v>11.8</v>
      </c>
      <c r="CI546">
        <v>9</v>
      </c>
    </row>
    <row r="547" spans="1:87" x14ac:dyDescent="0.35">
      <c r="A547" s="1">
        <v>46059.838194444441</v>
      </c>
      <c r="B547">
        <v>-20</v>
      </c>
      <c r="C547">
        <v>-19.7</v>
      </c>
      <c r="D547">
        <v>-25</v>
      </c>
      <c r="E547">
        <v>-20</v>
      </c>
      <c r="F547">
        <v>-20.2</v>
      </c>
      <c r="G547">
        <v>-25</v>
      </c>
      <c r="H547">
        <v>-17.100000000000001</v>
      </c>
      <c r="I547">
        <v>-20.7</v>
      </c>
      <c r="J547">
        <v>-25</v>
      </c>
      <c r="K547">
        <v>-17.3</v>
      </c>
      <c r="L547">
        <v>2.2000000000000002</v>
      </c>
      <c r="M547">
        <v>-25</v>
      </c>
      <c r="N547">
        <v>-20.9</v>
      </c>
      <c r="O547">
        <v>-20.7</v>
      </c>
      <c r="P547">
        <v>-25</v>
      </c>
      <c r="Q547">
        <v>-20.9</v>
      </c>
      <c r="R547">
        <v>-20.6</v>
      </c>
      <c r="S547">
        <v>-25</v>
      </c>
      <c r="T547">
        <v>1.9</v>
      </c>
      <c r="U547">
        <v>1.6</v>
      </c>
      <c r="V547">
        <v>2</v>
      </c>
      <c r="W547">
        <v>1.9</v>
      </c>
      <c r="X547">
        <v>1.1000000000000001</v>
      </c>
      <c r="Y547">
        <v>2</v>
      </c>
      <c r="Z547">
        <v>2.9</v>
      </c>
      <c r="AA547">
        <v>2.2999999999999998</v>
      </c>
      <c r="AB547">
        <v>2</v>
      </c>
      <c r="AC547">
        <v>2.4</v>
      </c>
      <c r="AD547">
        <v>0.5</v>
      </c>
      <c r="AE547">
        <v>2</v>
      </c>
      <c r="AF547">
        <v>4.3</v>
      </c>
      <c r="AG547">
        <v>3.9</v>
      </c>
      <c r="AH547">
        <v>2</v>
      </c>
      <c r="AI547">
        <v>4</v>
      </c>
      <c r="AJ547">
        <v>1.7</v>
      </c>
      <c r="AK547">
        <v>2</v>
      </c>
      <c r="AL547">
        <v>3.8</v>
      </c>
      <c r="AM547">
        <v>4</v>
      </c>
      <c r="AN547">
        <v>4.3</v>
      </c>
      <c r="AO547">
        <v>4</v>
      </c>
      <c r="AP547">
        <v>5</v>
      </c>
      <c r="AQ547">
        <v>4</v>
      </c>
      <c r="AR547">
        <v>6.3</v>
      </c>
      <c r="AS547">
        <v>4</v>
      </c>
      <c r="AT547">
        <v>-2.2999999999999998</v>
      </c>
      <c r="AU547">
        <v>-2.5</v>
      </c>
      <c r="AV547">
        <v>-5</v>
      </c>
      <c r="AW547">
        <v>-3.7</v>
      </c>
      <c r="AX547">
        <v>8.6999999999999993</v>
      </c>
      <c r="AY547">
        <v>-5</v>
      </c>
      <c r="AZ547">
        <v>11.6</v>
      </c>
      <c r="BA547">
        <v>10</v>
      </c>
      <c r="BB547">
        <v>11</v>
      </c>
      <c r="BC547">
        <v>10</v>
      </c>
      <c r="BD547">
        <v>5.4</v>
      </c>
      <c r="BE547">
        <v>4</v>
      </c>
      <c r="BF547">
        <v>10.4</v>
      </c>
      <c r="BG547">
        <v>10</v>
      </c>
      <c r="BH547">
        <v>12.6</v>
      </c>
      <c r="BI547">
        <v>10</v>
      </c>
      <c r="BJ547">
        <v>12.3</v>
      </c>
      <c r="BK547">
        <v>9</v>
      </c>
      <c r="BL547">
        <v>20.5</v>
      </c>
      <c r="BM547">
        <v>19</v>
      </c>
      <c r="BN547">
        <v>23.6</v>
      </c>
      <c r="BO547">
        <v>19</v>
      </c>
      <c r="BP547">
        <v>21.5</v>
      </c>
      <c r="BQ547">
        <v>20</v>
      </c>
      <c r="BR547">
        <v>21.6</v>
      </c>
      <c r="BS547">
        <v>25</v>
      </c>
      <c r="BT547">
        <v>21.9</v>
      </c>
      <c r="BU547">
        <v>25</v>
      </c>
      <c r="BV547">
        <v>23.5</v>
      </c>
      <c r="BW547">
        <v>18</v>
      </c>
      <c r="BX547">
        <v>21.4</v>
      </c>
      <c r="BY547">
        <v>20</v>
      </c>
      <c r="BZ547">
        <v>21.9</v>
      </c>
      <c r="CA547">
        <v>20</v>
      </c>
      <c r="CB547">
        <v>11.1</v>
      </c>
      <c r="CC547">
        <v>10</v>
      </c>
      <c r="CD547">
        <v>11.6</v>
      </c>
      <c r="CE547">
        <v>10</v>
      </c>
      <c r="CF547">
        <v>11.8</v>
      </c>
      <c r="CG547">
        <v>9</v>
      </c>
      <c r="CH547">
        <v>12</v>
      </c>
      <c r="CI547">
        <v>9</v>
      </c>
    </row>
    <row r="548" spans="1:87" x14ac:dyDescent="0.35">
      <c r="A548" s="1">
        <v>46059.838888888888</v>
      </c>
      <c r="B548">
        <v>-19.8</v>
      </c>
      <c r="C548">
        <v>-19.399999999999999</v>
      </c>
      <c r="D548">
        <v>-25</v>
      </c>
      <c r="E548">
        <v>-19.8</v>
      </c>
      <c r="F548">
        <v>-19.899999999999999</v>
      </c>
      <c r="G548">
        <v>-25</v>
      </c>
      <c r="H548">
        <v>-17.100000000000001</v>
      </c>
      <c r="I548">
        <v>-21.1</v>
      </c>
      <c r="J548">
        <v>-25</v>
      </c>
      <c r="K548">
        <v>-17.3</v>
      </c>
      <c r="L548">
        <v>2.9</v>
      </c>
      <c r="M548">
        <v>-25</v>
      </c>
      <c r="N548">
        <v>-20.7</v>
      </c>
      <c r="O548">
        <v>-20.5</v>
      </c>
      <c r="P548">
        <v>-25</v>
      </c>
      <c r="Q548">
        <v>-20.8</v>
      </c>
      <c r="R548">
        <v>-20.399999999999999</v>
      </c>
      <c r="S548">
        <v>-25</v>
      </c>
      <c r="T548">
        <v>2</v>
      </c>
      <c r="U548">
        <v>1.8</v>
      </c>
      <c r="V548">
        <v>2</v>
      </c>
      <c r="W548">
        <v>2</v>
      </c>
      <c r="X548">
        <v>1.4</v>
      </c>
      <c r="Y548">
        <v>2</v>
      </c>
      <c r="Z548">
        <v>2.7</v>
      </c>
      <c r="AA548">
        <v>2</v>
      </c>
      <c r="AB548">
        <v>2</v>
      </c>
      <c r="AC548">
        <v>2.2000000000000002</v>
      </c>
      <c r="AD548">
        <v>0</v>
      </c>
      <c r="AE548">
        <v>2</v>
      </c>
      <c r="AF548">
        <v>3.9</v>
      </c>
      <c r="AG548">
        <v>3.3</v>
      </c>
      <c r="AH548">
        <v>2</v>
      </c>
      <c r="AI548">
        <v>3.6</v>
      </c>
      <c r="AJ548">
        <v>0.6</v>
      </c>
      <c r="AK548">
        <v>2</v>
      </c>
      <c r="AL548">
        <v>3.9</v>
      </c>
      <c r="AM548">
        <v>4</v>
      </c>
      <c r="AN548">
        <v>4.4000000000000004</v>
      </c>
      <c r="AO548">
        <v>4</v>
      </c>
      <c r="AP548">
        <v>5.2</v>
      </c>
      <c r="AQ548">
        <v>4</v>
      </c>
      <c r="AR548">
        <v>6</v>
      </c>
      <c r="AS548">
        <v>4</v>
      </c>
      <c r="AT548">
        <v>-2</v>
      </c>
      <c r="AU548">
        <v>-2.2000000000000002</v>
      </c>
      <c r="AV548">
        <v>-5</v>
      </c>
      <c r="AW548">
        <v>-3.7</v>
      </c>
      <c r="AX548">
        <v>12.7</v>
      </c>
      <c r="AY548">
        <v>-5</v>
      </c>
      <c r="AZ548">
        <v>11.7</v>
      </c>
      <c r="BA548">
        <v>10</v>
      </c>
      <c r="BB548">
        <v>10.9</v>
      </c>
      <c r="BC548">
        <v>10</v>
      </c>
      <c r="BD548">
        <v>5.6</v>
      </c>
      <c r="BE548">
        <v>4</v>
      </c>
      <c r="BF548">
        <v>10.8</v>
      </c>
      <c r="BG548">
        <v>10</v>
      </c>
      <c r="BH548">
        <v>12.6</v>
      </c>
      <c r="BI548">
        <v>10</v>
      </c>
      <c r="BJ548">
        <v>12.3</v>
      </c>
      <c r="BK548">
        <v>9</v>
      </c>
      <c r="BL548">
        <v>20.5</v>
      </c>
      <c r="BM548">
        <v>19</v>
      </c>
      <c r="BN548">
        <v>23.6</v>
      </c>
      <c r="BO548">
        <v>19</v>
      </c>
      <c r="BP548">
        <v>21.5</v>
      </c>
      <c r="BQ548">
        <v>20</v>
      </c>
      <c r="BR548">
        <v>21.6</v>
      </c>
      <c r="BS548">
        <v>25</v>
      </c>
      <c r="BT548">
        <v>21.9</v>
      </c>
      <c r="BU548">
        <v>25</v>
      </c>
      <c r="BV548">
        <v>23.5</v>
      </c>
      <c r="BW548">
        <v>18</v>
      </c>
      <c r="BX548">
        <v>21.4</v>
      </c>
      <c r="BY548">
        <v>20</v>
      </c>
      <c r="BZ548">
        <v>21.9</v>
      </c>
      <c r="CA548">
        <v>20</v>
      </c>
      <c r="CB548">
        <v>10.9</v>
      </c>
      <c r="CC548">
        <v>10</v>
      </c>
      <c r="CD548">
        <v>11.1</v>
      </c>
      <c r="CE548">
        <v>10</v>
      </c>
      <c r="CF548">
        <v>11.8</v>
      </c>
      <c r="CG548">
        <v>9</v>
      </c>
      <c r="CH548">
        <v>12</v>
      </c>
      <c r="CI548">
        <v>9</v>
      </c>
    </row>
    <row r="549" spans="1:87" x14ac:dyDescent="0.35">
      <c r="A549" s="1">
        <v>46059.839583333334</v>
      </c>
      <c r="B549">
        <v>-19.600000000000001</v>
      </c>
      <c r="C549">
        <v>-19.2</v>
      </c>
      <c r="D549">
        <v>-25</v>
      </c>
      <c r="E549">
        <v>-19.600000000000001</v>
      </c>
      <c r="F549">
        <v>-19.7</v>
      </c>
      <c r="G549">
        <v>-25</v>
      </c>
      <c r="H549">
        <v>-17.100000000000001</v>
      </c>
      <c r="I549">
        <v>-21.1</v>
      </c>
      <c r="J549">
        <v>-25</v>
      </c>
      <c r="K549">
        <v>-17.3</v>
      </c>
      <c r="L549">
        <v>3.8</v>
      </c>
      <c r="M549">
        <v>-25</v>
      </c>
      <c r="N549">
        <v>-20.5</v>
      </c>
      <c r="O549">
        <v>-20.399999999999999</v>
      </c>
      <c r="P549">
        <v>-25</v>
      </c>
      <c r="Q549">
        <v>-20.6</v>
      </c>
      <c r="R549">
        <v>-20.100000000000001</v>
      </c>
      <c r="S549">
        <v>-25</v>
      </c>
      <c r="T549">
        <v>2.2000000000000002</v>
      </c>
      <c r="U549">
        <v>2</v>
      </c>
      <c r="V549">
        <v>2</v>
      </c>
      <c r="W549">
        <v>2.2000000000000002</v>
      </c>
      <c r="X549">
        <v>1.6</v>
      </c>
      <c r="Y549">
        <v>2</v>
      </c>
      <c r="Z549">
        <v>2.5</v>
      </c>
      <c r="AA549">
        <v>1.8</v>
      </c>
      <c r="AB549">
        <v>2</v>
      </c>
      <c r="AC549">
        <v>1.9</v>
      </c>
      <c r="AD549">
        <v>0.1</v>
      </c>
      <c r="AE549">
        <v>2</v>
      </c>
      <c r="AF549">
        <v>3.4</v>
      </c>
      <c r="AG549">
        <v>2.9</v>
      </c>
      <c r="AH549">
        <v>2</v>
      </c>
      <c r="AI549">
        <v>3.2</v>
      </c>
      <c r="AJ549">
        <v>0.7</v>
      </c>
      <c r="AK549">
        <v>2</v>
      </c>
      <c r="AL549">
        <v>4</v>
      </c>
      <c r="AM549">
        <v>4</v>
      </c>
      <c r="AN549">
        <v>4.5</v>
      </c>
      <c r="AO549">
        <v>4</v>
      </c>
      <c r="AP549">
        <v>5.3</v>
      </c>
      <c r="AQ549">
        <v>4</v>
      </c>
      <c r="AR549">
        <v>5.3</v>
      </c>
      <c r="AS549">
        <v>4</v>
      </c>
      <c r="AT549">
        <v>-1.9</v>
      </c>
      <c r="AU549">
        <v>-3.5</v>
      </c>
      <c r="AV549">
        <v>-5</v>
      </c>
      <c r="AW549">
        <v>-3.7</v>
      </c>
      <c r="AX549">
        <v>16.100000000000001</v>
      </c>
      <c r="AY549">
        <v>-5</v>
      </c>
      <c r="AZ549">
        <v>11.8</v>
      </c>
      <c r="BA549">
        <v>10</v>
      </c>
      <c r="BB549">
        <v>10.8</v>
      </c>
      <c r="BC549">
        <v>10</v>
      </c>
      <c r="BD549">
        <v>5.8</v>
      </c>
      <c r="BE549">
        <v>4</v>
      </c>
      <c r="BF549">
        <v>10.9</v>
      </c>
      <c r="BG549">
        <v>10</v>
      </c>
      <c r="BH549">
        <v>12.4</v>
      </c>
      <c r="BI549">
        <v>10</v>
      </c>
      <c r="BJ549">
        <v>12.3</v>
      </c>
      <c r="BK549">
        <v>9</v>
      </c>
      <c r="BL549">
        <v>20.5</v>
      </c>
      <c r="BM549">
        <v>19</v>
      </c>
      <c r="BN549">
        <v>23.6</v>
      </c>
      <c r="BO549">
        <v>19</v>
      </c>
      <c r="BP549">
        <v>21.6</v>
      </c>
      <c r="BQ549">
        <v>20</v>
      </c>
      <c r="BR549">
        <v>21.6</v>
      </c>
      <c r="BS549">
        <v>25</v>
      </c>
      <c r="BT549">
        <v>21.9</v>
      </c>
      <c r="BU549">
        <v>25</v>
      </c>
      <c r="BV549">
        <v>23.5</v>
      </c>
      <c r="BW549">
        <v>18</v>
      </c>
      <c r="BX549">
        <v>21.4</v>
      </c>
      <c r="BY549">
        <v>20</v>
      </c>
      <c r="BZ549">
        <v>21.9</v>
      </c>
      <c r="CA549">
        <v>20</v>
      </c>
      <c r="CB549">
        <v>10.7</v>
      </c>
      <c r="CC549">
        <v>10</v>
      </c>
      <c r="CD549">
        <v>10.9</v>
      </c>
      <c r="CE549">
        <v>10</v>
      </c>
      <c r="CF549">
        <v>11.6</v>
      </c>
      <c r="CG549">
        <v>9</v>
      </c>
      <c r="CH549">
        <v>11.8</v>
      </c>
      <c r="CI549">
        <v>9</v>
      </c>
    </row>
    <row r="550" spans="1:87" x14ac:dyDescent="0.35">
      <c r="A550" s="1">
        <v>46059.840277777781</v>
      </c>
      <c r="B550">
        <v>-19.600000000000001</v>
      </c>
      <c r="C550">
        <v>-19</v>
      </c>
      <c r="D550">
        <v>-25</v>
      </c>
      <c r="E550">
        <v>-19.600000000000001</v>
      </c>
      <c r="F550">
        <v>-19.7</v>
      </c>
      <c r="G550">
        <v>-25</v>
      </c>
      <c r="H550">
        <v>-17.100000000000001</v>
      </c>
      <c r="I550">
        <v>-21.1</v>
      </c>
      <c r="J550">
        <v>-25</v>
      </c>
      <c r="K550">
        <v>-17.3</v>
      </c>
      <c r="L550">
        <v>4.9000000000000004</v>
      </c>
      <c r="M550">
        <v>-25</v>
      </c>
      <c r="N550">
        <v>-20.3</v>
      </c>
      <c r="O550">
        <v>-20.2</v>
      </c>
      <c r="P550">
        <v>-25</v>
      </c>
      <c r="Q550">
        <v>-20.399999999999999</v>
      </c>
      <c r="R550">
        <v>-20</v>
      </c>
      <c r="S550">
        <v>-25</v>
      </c>
      <c r="T550">
        <v>2.2999999999999998</v>
      </c>
      <c r="U550">
        <v>2.1</v>
      </c>
      <c r="V550">
        <v>2</v>
      </c>
      <c r="W550">
        <v>2.2999999999999998</v>
      </c>
      <c r="X550">
        <v>1.8</v>
      </c>
      <c r="Y550">
        <v>2</v>
      </c>
      <c r="Z550">
        <v>2.4</v>
      </c>
      <c r="AA550">
        <v>1.8</v>
      </c>
      <c r="AB550">
        <v>2</v>
      </c>
      <c r="AC550">
        <v>1.9</v>
      </c>
      <c r="AD550">
        <v>1.1000000000000001</v>
      </c>
      <c r="AE550">
        <v>2</v>
      </c>
      <c r="AF550">
        <v>3.1</v>
      </c>
      <c r="AG550">
        <v>2.7</v>
      </c>
      <c r="AH550">
        <v>2</v>
      </c>
      <c r="AI550">
        <v>3</v>
      </c>
      <c r="AJ550">
        <v>1.4</v>
      </c>
      <c r="AK550">
        <v>2</v>
      </c>
      <c r="AL550">
        <v>4</v>
      </c>
      <c r="AM550">
        <v>4</v>
      </c>
      <c r="AN550">
        <v>4.5</v>
      </c>
      <c r="AO550">
        <v>4</v>
      </c>
      <c r="AP550">
        <v>5.5</v>
      </c>
      <c r="AQ550">
        <v>4</v>
      </c>
      <c r="AR550">
        <v>4.4000000000000004</v>
      </c>
      <c r="AS550">
        <v>4</v>
      </c>
      <c r="AT550">
        <v>-2.5</v>
      </c>
      <c r="AU550">
        <v>-4.7</v>
      </c>
      <c r="AV550">
        <v>-5</v>
      </c>
      <c r="AW550">
        <v>-3.7</v>
      </c>
      <c r="AX550">
        <v>19</v>
      </c>
      <c r="AY550">
        <v>-5</v>
      </c>
      <c r="AZ550">
        <v>11.8</v>
      </c>
      <c r="BA550">
        <v>10</v>
      </c>
      <c r="BB550">
        <v>10.7</v>
      </c>
      <c r="BC550">
        <v>10</v>
      </c>
      <c r="BD550">
        <v>5.9</v>
      </c>
      <c r="BE550">
        <v>4</v>
      </c>
      <c r="BF550">
        <v>11.2</v>
      </c>
      <c r="BG550">
        <v>10</v>
      </c>
      <c r="BH550">
        <v>12.2</v>
      </c>
      <c r="BI550">
        <v>10</v>
      </c>
      <c r="BJ550">
        <v>12.1</v>
      </c>
      <c r="BK550">
        <v>9</v>
      </c>
      <c r="BL550">
        <v>20.5</v>
      </c>
      <c r="BM550">
        <v>19</v>
      </c>
      <c r="BN550">
        <v>23.6</v>
      </c>
      <c r="BO550">
        <v>19</v>
      </c>
      <c r="BP550">
        <v>21.6</v>
      </c>
      <c r="BQ550">
        <v>20</v>
      </c>
      <c r="BR550">
        <v>21.6</v>
      </c>
      <c r="BS550">
        <v>25</v>
      </c>
      <c r="BT550">
        <v>21.9</v>
      </c>
      <c r="BU550">
        <v>25</v>
      </c>
      <c r="BV550">
        <v>23.5</v>
      </c>
      <c r="BW550">
        <v>18</v>
      </c>
      <c r="BX550">
        <v>21.4</v>
      </c>
      <c r="BY550">
        <v>20</v>
      </c>
      <c r="BZ550">
        <v>21.9</v>
      </c>
      <c r="CA550">
        <v>20</v>
      </c>
      <c r="CB550">
        <v>10.5</v>
      </c>
      <c r="CC550">
        <v>10</v>
      </c>
      <c r="CD550">
        <v>10.7</v>
      </c>
      <c r="CE550">
        <v>10</v>
      </c>
      <c r="CF550">
        <v>11.6</v>
      </c>
      <c r="CG550">
        <v>9</v>
      </c>
      <c r="CH550">
        <v>11.8</v>
      </c>
      <c r="CI550">
        <v>9</v>
      </c>
    </row>
    <row r="551" spans="1:87" x14ac:dyDescent="0.35">
      <c r="A551" s="1">
        <v>46059.84097222222</v>
      </c>
      <c r="B551">
        <v>-19.600000000000001</v>
      </c>
      <c r="C551">
        <v>-18.8</v>
      </c>
      <c r="D551">
        <v>-25</v>
      </c>
      <c r="E551">
        <v>-19.5</v>
      </c>
      <c r="F551">
        <v>-19.7</v>
      </c>
      <c r="G551">
        <v>-25</v>
      </c>
      <c r="H551">
        <v>-17.100000000000001</v>
      </c>
      <c r="I551">
        <v>-21.1</v>
      </c>
      <c r="J551">
        <v>-25</v>
      </c>
      <c r="K551">
        <v>-17.3</v>
      </c>
      <c r="L551">
        <v>5.0999999999999996</v>
      </c>
      <c r="M551">
        <v>-25</v>
      </c>
      <c r="N551">
        <v>-20.2</v>
      </c>
      <c r="O551">
        <v>-20</v>
      </c>
      <c r="P551">
        <v>-25</v>
      </c>
      <c r="Q551">
        <v>-20.3</v>
      </c>
      <c r="R551">
        <v>-19.8</v>
      </c>
      <c r="S551">
        <v>-25</v>
      </c>
      <c r="T551">
        <v>2.4</v>
      </c>
      <c r="U551">
        <v>2.2999999999999998</v>
      </c>
      <c r="V551">
        <v>2</v>
      </c>
      <c r="W551">
        <v>2.4</v>
      </c>
      <c r="X551">
        <v>2</v>
      </c>
      <c r="Y551">
        <v>2</v>
      </c>
      <c r="Z551">
        <v>2.4</v>
      </c>
      <c r="AA551">
        <v>1.9</v>
      </c>
      <c r="AB551">
        <v>2</v>
      </c>
      <c r="AC551">
        <v>2</v>
      </c>
      <c r="AD551">
        <v>1.6</v>
      </c>
      <c r="AE551">
        <v>2</v>
      </c>
      <c r="AF551">
        <v>3.1</v>
      </c>
      <c r="AG551">
        <v>2.7</v>
      </c>
      <c r="AH551">
        <v>2</v>
      </c>
      <c r="AI551">
        <v>3</v>
      </c>
      <c r="AJ551">
        <v>1.5</v>
      </c>
      <c r="AK551">
        <v>2</v>
      </c>
      <c r="AL551">
        <v>4.0999999999999996</v>
      </c>
      <c r="AM551">
        <v>4</v>
      </c>
      <c r="AN551">
        <v>4.5999999999999996</v>
      </c>
      <c r="AO551">
        <v>4</v>
      </c>
      <c r="AP551">
        <v>5.6</v>
      </c>
      <c r="AQ551">
        <v>4</v>
      </c>
      <c r="AR551">
        <v>3.7</v>
      </c>
      <c r="AS551">
        <v>4</v>
      </c>
      <c r="AT551">
        <v>-3.2</v>
      </c>
      <c r="AU551">
        <v>-5.8</v>
      </c>
      <c r="AV551">
        <v>-5</v>
      </c>
      <c r="AW551">
        <v>-3.7</v>
      </c>
      <c r="AX551">
        <v>21.9</v>
      </c>
      <c r="AY551">
        <v>-5</v>
      </c>
      <c r="AZ551">
        <v>11.9</v>
      </c>
      <c r="BA551">
        <v>10</v>
      </c>
      <c r="BB551">
        <v>10.6</v>
      </c>
      <c r="BC551">
        <v>10</v>
      </c>
      <c r="BD551">
        <v>6</v>
      </c>
      <c r="BE551">
        <v>4</v>
      </c>
      <c r="BF551">
        <v>11.5</v>
      </c>
      <c r="BG551">
        <v>10</v>
      </c>
      <c r="BH551">
        <v>12.2</v>
      </c>
      <c r="BI551">
        <v>10</v>
      </c>
      <c r="BJ551">
        <v>12</v>
      </c>
      <c r="BK551">
        <v>9</v>
      </c>
      <c r="BL551">
        <v>20.6</v>
      </c>
      <c r="BM551">
        <v>19</v>
      </c>
      <c r="BN551">
        <v>23.6</v>
      </c>
      <c r="BO551">
        <v>19</v>
      </c>
      <c r="BP551">
        <v>21.6</v>
      </c>
      <c r="BQ551">
        <v>20</v>
      </c>
      <c r="BR551">
        <v>21.6</v>
      </c>
      <c r="BS551">
        <v>25</v>
      </c>
      <c r="BT551">
        <v>21.9</v>
      </c>
      <c r="BU551">
        <v>25</v>
      </c>
      <c r="BV551">
        <v>23.5</v>
      </c>
      <c r="BW551">
        <v>18</v>
      </c>
      <c r="BX551">
        <v>21.4</v>
      </c>
      <c r="BY551">
        <v>20</v>
      </c>
      <c r="BZ551">
        <v>21.9</v>
      </c>
      <c r="CA551">
        <v>20</v>
      </c>
      <c r="CB551">
        <v>10.4</v>
      </c>
      <c r="CC551">
        <v>10</v>
      </c>
      <c r="CD551">
        <v>10.5</v>
      </c>
      <c r="CE551">
        <v>10</v>
      </c>
      <c r="CF551">
        <v>11.6</v>
      </c>
      <c r="CG551">
        <v>9</v>
      </c>
      <c r="CH551">
        <v>11.9</v>
      </c>
      <c r="CI551">
        <v>9</v>
      </c>
    </row>
    <row r="552" spans="1:87" x14ac:dyDescent="0.35">
      <c r="A552" s="1">
        <v>46059.841666666667</v>
      </c>
      <c r="B552">
        <v>-19.600000000000001</v>
      </c>
      <c r="C552">
        <v>-18.600000000000001</v>
      </c>
      <c r="D552">
        <v>-25</v>
      </c>
      <c r="E552">
        <v>-19.5</v>
      </c>
      <c r="F552">
        <v>-19.7</v>
      </c>
      <c r="G552">
        <v>-25</v>
      </c>
      <c r="H552">
        <v>-17.100000000000001</v>
      </c>
      <c r="I552">
        <v>-19.7</v>
      </c>
      <c r="J552">
        <v>-25</v>
      </c>
      <c r="K552">
        <v>-17.3</v>
      </c>
      <c r="L552">
        <v>5.8</v>
      </c>
      <c r="M552">
        <v>-25</v>
      </c>
      <c r="N552">
        <v>-20</v>
      </c>
      <c r="O552">
        <v>-19.899999999999999</v>
      </c>
      <c r="P552">
        <v>-25</v>
      </c>
      <c r="Q552">
        <v>-20.100000000000001</v>
      </c>
      <c r="R552">
        <v>-19.7</v>
      </c>
      <c r="S552">
        <v>-25</v>
      </c>
      <c r="T552">
        <v>2.5</v>
      </c>
      <c r="U552">
        <v>2.4</v>
      </c>
      <c r="V552">
        <v>2</v>
      </c>
      <c r="W552">
        <v>2.5</v>
      </c>
      <c r="X552">
        <v>2.2000000000000002</v>
      </c>
      <c r="Y552">
        <v>2</v>
      </c>
      <c r="Z552">
        <v>2.5</v>
      </c>
      <c r="AA552">
        <v>2.1</v>
      </c>
      <c r="AB552">
        <v>2</v>
      </c>
      <c r="AC552">
        <v>2.2000000000000002</v>
      </c>
      <c r="AD552">
        <v>1.8</v>
      </c>
      <c r="AE552">
        <v>2</v>
      </c>
      <c r="AF552">
        <v>2.9</v>
      </c>
      <c r="AG552">
        <v>2.5</v>
      </c>
      <c r="AH552">
        <v>2</v>
      </c>
      <c r="AI552">
        <v>2.7</v>
      </c>
      <c r="AJ552">
        <v>-0.5</v>
      </c>
      <c r="AK552">
        <v>2</v>
      </c>
      <c r="AL552">
        <v>4.2</v>
      </c>
      <c r="AM552">
        <v>4</v>
      </c>
      <c r="AN552">
        <v>4.5999999999999996</v>
      </c>
      <c r="AO552">
        <v>4</v>
      </c>
      <c r="AP552">
        <v>5.7</v>
      </c>
      <c r="AQ552">
        <v>4</v>
      </c>
      <c r="AR552">
        <v>3.6</v>
      </c>
      <c r="AS552">
        <v>4</v>
      </c>
      <c r="AT552">
        <v>-3.8</v>
      </c>
      <c r="AU552">
        <v>-6.8</v>
      </c>
      <c r="AV552">
        <v>-5</v>
      </c>
      <c r="AW552">
        <v>-3.7</v>
      </c>
      <c r="AX552">
        <v>24.1</v>
      </c>
      <c r="AY552">
        <v>-5</v>
      </c>
      <c r="AZ552">
        <v>12</v>
      </c>
      <c r="BA552">
        <v>10</v>
      </c>
      <c r="BB552">
        <v>10.3</v>
      </c>
      <c r="BC552">
        <v>10</v>
      </c>
      <c r="BD552">
        <v>5.7</v>
      </c>
      <c r="BE552">
        <v>4</v>
      </c>
      <c r="BF552">
        <v>11.7</v>
      </c>
      <c r="BG552">
        <v>10</v>
      </c>
      <c r="BH552">
        <v>12</v>
      </c>
      <c r="BI552">
        <v>10</v>
      </c>
      <c r="BJ552">
        <v>12</v>
      </c>
      <c r="BK552">
        <v>9</v>
      </c>
      <c r="BL552">
        <v>20.6</v>
      </c>
      <c r="BM552">
        <v>19</v>
      </c>
      <c r="BN552">
        <v>23.6</v>
      </c>
      <c r="BO552">
        <v>19</v>
      </c>
      <c r="BP552">
        <v>21.6</v>
      </c>
      <c r="BQ552">
        <v>20</v>
      </c>
      <c r="BR552">
        <v>21.6</v>
      </c>
      <c r="BS552">
        <v>25</v>
      </c>
      <c r="BT552">
        <v>21.9</v>
      </c>
      <c r="BU552">
        <v>25</v>
      </c>
      <c r="BV552">
        <v>23.5</v>
      </c>
      <c r="BW552">
        <v>18</v>
      </c>
      <c r="BX552">
        <v>21.5</v>
      </c>
      <c r="BY552">
        <v>20</v>
      </c>
      <c r="BZ552">
        <v>22</v>
      </c>
      <c r="CA552">
        <v>20</v>
      </c>
      <c r="CB552">
        <v>10.4</v>
      </c>
      <c r="CC552">
        <v>10</v>
      </c>
      <c r="CD552">
        <v>10.5</v>
      </c>
      <c r="CE552">
        <v>10</v>
      </c>
      <c r="CF552">
        <v>11.6</v>
      </c>
      <c r="CG552">
        <v>9</v>
      </c>
      <c r="CH552">
        <v>11.8</v>
      </c>
      <c r="CI552">
        <v>9</v>
      </c>
    </row>
    <row r="553" spans="1:87" x14ac:dyDescent="0.35">
      <c r="A553" s="1">
        <v>46059.842361111114</v>
      </c>
      <c r="B553">
        <v>-19.600000000000001</v>
      </c>
      <c r="C553">
        <v>-18.5</v>
      </c>
      <c r="D553">
        <v>-25</v>
      </c>
      <c r="E553">
        <v>-19.5</v>
      </c>
      <c r="F553">
        <v>-19.7</v>
      </c>
      <c r="G553">
        <v>-25</v>
      </c>
      <c r="H553">
        <v>-17.100000000000001</v>
      </c>
      <c r="I553">
        <v>-18.899999999999999</v>
      </c>
      <c r="J553">
        <v>-25</v>
      </c>
      <c r="K553">
        <v>-17.3</v>
      </c>
      <c r="L553">
        <v>6.2</v>
      </c>
      <c r="M553">
        <v>-25</v>
      </c>
      <c r="N553">
        <v>-19.899999999999999</v>
      </c>
      <c r="O553">
        <v>-19.7</v>
      </c>
      <c r="P553">
        <v>-25</v>
      </c>
      <c r="Q553">
        <v>-20</v>
      </c>
      <c r="R553">
        <v>-19.600000000000001</v>
      </c>
      <c r="S553">
        <v>-25</v>
      </c>
      <c r="T553">
        <v>2.7</v>
      </c>
      <c r="U553">
        <v>2.6</v>
      </c>
      <c r="V553">
        <v>2</v>
      </c>
      <c r="W553">
        <v>2.7</v>
      </c>
      <c r="X553">
        <v>2.2999999999999998</v>
      </c>
      <c r="Y553">
        <v>2</v>
      </c>
      <c r="Z553">
        <v>2.6</v>
      </c>
      <c r="AA553">
        <v>2.2999999999999998</v>
      </c>
      <c r="AB553">
        <v>2</v>
      </c>
      <c r="AC553">
        <v>2.2999999999999998</v>
      </c>
      <c r="AD553">
        <v>2</v>
      </c>
      <c r="AE553">
        <v>2</v>
      </c>
      <c r="AF553">
        <v>2.6</v>
      </c>
      <c r="AG553">
        <v>2.1</v>
      </c>
      <c r="AH553">
        <v>2</v>
      </c>
      <c r="AI553">
        <v>2.4</v>
      </c>
      <c r="AJ553">
        <v>-0.3</v>
      </c>
      <c r="AK553">
        <v>2</v>
      </c>
      <c r="AL553">
        <v>4.3</v>
      </c>
      <c r="AM553">
        <v>4</v>
      </c>
      <c r="AN553">
        <v>4.7</v>
      </c>
      <c r="AO553">
        <v>4</v>
      </c>
      <c r="AP553">
        <v>5.9</v>
      </c>
      <c r="AQ553">
        <v>4</v>
      </c>
      <c r="AR553">
        <v>3.8</v>
      </c>
      <c r="AS553">
        <v>4</v>
      </c>
      <c r="AT553">
        <v>-4.5</v>
      </c>
      <c r="AU553">
        <v>-7.2</v>
      </c>
      <c r="AV553">
        <v>-5</v>
      </c>
      <c r="AW553">
        <v>-3.7</v>
      </c>
      <c r="AX553">
        <v>25.9</v>
      </c>
      <c r="AY553">
        <v>-5</v>
      </c>
      <c r="AZ553">
        <v>11.7</v>
      </c>
      <c r="BA553">
        <v>10</v>
      </c>
      <c r="BB553">
        <v>10</v>
      </c>
      <c r="BC553">
        <v>10</v>
      </c>
      <c r="BD553">
        <v>5.0999999999999996</v>
      </c>
      <c r="BE553">
        <v>4</v>
      </c>
      <c r="BF553">
        <v>11.9</v>
      </c>
      <c r="BG553">
        <v>10</v>
      </c>
      <c r="BH553">
        <v>11.9</v>
      </c>
      <c r="BI553">
        <v>10</v>
      </c>
      <c r="BJ553">
        <v>12</v>
      </c>
      <c r="BK553">
        <v>9</v>
      </c>
      <c r="BL553">
        <v>20.6</v>
      </c>
      <c r="BM553">
        <v>19</v>
      </c>
      <c r="BN553">
        <v>23.6</v>
      </c>
      <c r="BO553">
        <v>19</v>
      </c>
      <c r="BP553">
        <v>21.6</v>
      </c>
      <c r="BQ553">
        <v>20</v>
      </c>
      <c r="BR553">
        <v>21.7</v>
      </c>
      <c r="BS553">
        <v>25</v>
      </c>
      <c r="BT553">
        <v>21.9</v>
      </c>
      <c r="BU553">
        <v>25</v>
      </c>
      <c r="BV553">
        <v>23.5</v>
      </c>
      <c r="BW553">
        <v>18</v>
      </c>
      <c r="BX553">
        <v>21.5</v>
      </c>
      <c r="BY553">
        <v>20</v>
      </c>
      <c r="BZ553">
        <v>21.8</v>
      </c>
      <c r="CA553">
        <v>20</v>
      </c>
      <c r="CB553">
        <v>10.199999999999999</v>
      </c>
      <c r="CC553">
        <v>10</v>
      </c>
      <c r="CD553">
        <v>10.4</v>
      </c>
      <c r="CE553">
        <v>10</v>
      </c>
      <c r="CF553">
        <v>11.4</v>
      </c>
      <c r="CG553">
        <v>9</v>
      </c>
      <c r="CH553">
        <v>11.6</v>
      </c>
      <c r="CI553">
        <v>9</v>
      </c>
    </row>
    <row r="554" spans="1:87" x14ac:dyDescent="0.35">
      <c r="A554" s="1">
        <v>46059.843055555553</v>
      </c>
      <c r="B554">
        <v>-19.600000000000001</v>
      </c>
      <c r="C554">
        <v>-18.399999999999999</v>
      </c>
      <c r="D554">
        <v>-25</v>
      </c>
      <c r="E554">
        <v>-19.5</v>
      </c>
      <c r="F554">
        <v>-19.7</v>
      </c>
      <c r="G554">
        <v>-25</v>
      </c>
      <c r="H554">
        <v>-17.100000000000001</v>
      </c>
      <c r="I554">
        <v>-20.3</v>
      </c>
      <c r="J554">
        <v>-25</v>
      </c>
      <c r="K554">
        <v>-17.3</v>
      </c>
      <c r="L554">
        <v>6.7</v>
      </c>
      <c r="M554">
        <v>-25</v>
      </c>
      <c r="N554">
        <v>-19.7</v>
      </c>
      <c r="O554">
        <v>-19.600000000000001</v>
      </c>
      <c r="P554">
        <v>-25</v>
      </c>
      <c r="Q554">
        <v>-19.8</v>
      </c>
      <c r="R554">
        <v>-19.399999999999999</v>
      </c>
      <c r="S554">
        <v>-25</v>
      </c>
      <c r="T554">
        <v>2.8</v>
      </c>
      <c r="U554">
        <v>2.7</v>
      </c>
      <c r="V554">
        <v>2</v>
      </c>
      <c r="W554">
        <v>2.7</v>
      </c>
      <c r="X554">
        <v>2.5</v>
      </c>
      <c r="Y554">
        <v>2</v>
      </c>
      <c r="Z554">
        <v>2.6</v>
      </c>
      <c r="AA554">
        <v>2.2999999999999998</v>
      </c>
      <c r="AB554">
        <v>2</v>
      </c>
      <c r="AC554">
        <v>2.2999999999999998</v>
      </c>
      <c r="AD554">
        <v>2.1</v>
      </c>
      <c r="AE554">
        <v>2</v>
      </c>
      <c r="AF554">
        <v>2.5</v>
      </c>
      <c r="AG554">
        <v>2.1</v>
      </c>
      <c r="AH554">
        <v>2</v>
      </c>
      <c r="AI554">
        <v>2.4</v>
      </c>
      <c r="AJ554">
        <v>0.2</v>
      </c>
      <c r="AK554">
        <v>2</v>
      </c>
      <c r="AL554">
        <v>4.3</v>
      </c>
      <c r="AM554">
        <v>4</v>
      </c>
      <c r="AN554">
        <v>4.8</v>
      </c>
      <c r="AO554">
        <v>4</v>
      </c>
      <c r="AP554">
        <v>6</v>
      </c>
      <c r="AQ554">
        <v>4</v>
      </c>
      <c r="AR554">
        <v>4.0999999999999996</v>
      </c>
      <c r="AS554">
        <v>4</v>
      </c>
      <c r="AT554">
        <v>-4.5999999999999996</v>
      </c>
      <c r="AU554">
        <v>-5.6</v>
      </c>
      <c r="AV554">
        <v>-5</v>
      </c>
      <c r="AW554">
        <v>-3.7</v>
      </c>
      <c r="AX554">
        <v>26.1</v>
      </c>
      <c r="AY554">
        <v>-5</v>
      </c>
      <c r="AZ554">
        <v>10.8</v>
      </c>
      <c r="BA554">
        <v>10</v>
      </c>
      <c r="BB554">
        <v>10</v>
      </c>
      <c r="BC554">
        <v>10</v>
      </c>
      <c r="BD554">
        <v>4.5999999999999996</v>
      </c>
      <c r="BE554">
        <v>4</v>
      </c>
      <c r="BF554">
        <v>12.1</v>
      </c>
      <c r="BG554">
        <v>10</v>
      </c>
      <c r="BH554">
        <v>11.8</v>
      </c>
      <c r="BI554">
        <v>10</v>
      </c>
      <c r="BJ554">
        <v>11.9</v>
      </c>
      <c r="BK554">
        <v>9</v>
      </c>
      <c r="BL554">
        <v>20.6</v>
      </c>
      <c r="BM554">
        <v>19</v>
      </c>
      <c r="BN554">
        <v>23.6</v>
      </c>
      <c r="BO554">
        <v>19</v>
      </c>
      <c r="BP554">
        <v>21.6</v>
      </c>
      <c r="BQ554">
        <v>20</v>
      </c>
      <c r="BR554">
        <v>21.7</v>
      </c>
      <c r="BS554">
        <v>25</v>
      </c>
      <c r="BT554">
        <v>21.9</v>
      </c>
      <c r="BU554">
        <v>25</v>
      </c>
      <c r="BV554">
        <v>23.5</v>
      </c>
      <c r="BW554">
        <v>18</v>
      </c>
      <c r="BX554">
        <v>21.5</v>
      </c>
      <c r="BY554">
        <v>20</v>
      </c>
      <c r="BZ554">
        <v>20.5</v>
      </c>
      <c r="CA554">
        <v>20</v>
      </c>
      <c r="CB554">
        <v>10.199999999999999</v>
      </c>
      <c r="CC554">
        <v>10</v>
      </c>
      <c r="CD554">
        <v>10.4</v>
      </c>
      <c r="CE554">
        <v>10</v>
      </c>
      <c r="CF554">
        <v>11.3</v>
      </c>
      <c r="CG554">
        <v>9</v>
      </c>
      <c r="CH554">
        <v>11.5</v>
      </c>
      <c r="CI554">
        <v>9</v>
      </c>
    </row>
    <row r="555" spans="1:87" x14ac:dyDescent="0.35">
      <c r="A555" s="1">
        <v>46059.84375</v>
      </c>
      <c r="B555">
        <v>-19.600000000000001</v>
      </c>
      <c r="C555">
        <v>-18.3</v>
      </c>
      <c r="D555">
        <v>-25</v>
      </c>
      <c r="E555">
        <v>-19.5</v>
      </c>
      <c r="F555">
        <v>-19.7</v>
      </c>
      <c r="G555">
        <v>-25</v>
      </c>
      <c r="H555">
        <v>-17</v>
      </c>
      <c r="I555">
        <v>-20.3</v>
      </c>
      <c r="J555">
        <v>-25</v>
      </c>
      <c r="K555">
        <v>-17.3</v>
      </c>
      <c r="L555">
        <v>6.8</v>
      </c>
      <c r="M555">
        <v>-25</v>
      </c>
      <c r="N555">
        <v>-19.600000000000001</v>
      </c>
      <c r="O555">
        <v>-19.5</v>
      </c>
      <c r="P555">
        <v>-25</v>
      </c>
      <c r="Q555">
        <v>-19.7</v>
      </c>
      <c r="R555">
        <v>-19.3</v>
      </c>
      <c r="S555">
        <v>-25</v>
      </c>
      <c r="T555">
        <v>2.9</v>
      </c>
      <c r="U555">
        <v>2.9</v>
      </c>
      <c r="V555">
        <v>2</v>
      </c>
      <c r="W555">
        <v>2.9</v>
      </c>
      <c r="X555">
        <v>2.6</v>
      </c>
      <c r="Y555">
        <v>2</v>
      </c>
      <c r="Z555">
        <v>2.7</v>
      </c>
      <c r="AA555">
        <v>2.4</v>
      </c>
      <c r="AB555">
        <v>2</v>
      </c>
      <c r="AC555">
        <v>2.4</v>
      </c>
      <c r="AD555">
        <v>2.2000000000000002</v>
      </c>
      <c r="AE555">
        <v>2</v>
      </c>
      <c r="AF555">
        <v>2.5</v>
      </c>
      <c r="AG555">
        <v>2.1</v>
      </c>
      <c r="AH555">
        <v>2</v>
      </c>
      <c r="AI555">
        <v>2.4</v>
      </c>
      <c r="AJ555">
        <v>0.2</v>
      </c>
      <c r="AK555">
        <v>2</v>
      </c>
      <c r="AL555">
        <v>4.4000000000000004</v>
      </c>
      <c r="AM555">
        <v>4</v>
      </c>
      <c r="AN555">
        <v>4.8</v>
      </c>
      <c r="AO555">
        <v>4</v>
      </c>
      <c r="AP555">
        <v>5.3</v>
      </c>
      <c r="AQ555">
        <v>4</v>
      </c>
      <c r="AR555">
        <v>4.5</v>
      </c>
      <c r="AS555">
        <v>4</v>
      </c>
      <c r="AT555">
        <v>-4</v>
      </c>
      <c r="AU555">
        <v>-4.8</v>
      </c>
      <c r="AV555">
        <v>-5</v>
      </c>
      <c r="AW555">
        <v>-3.7</v>
      </c>
      <c r="AX555">
        <v>24.7</v>
      </c>
      <c r="AY555">
        <v>-5</v>
      </c>
      <c r="AZ555">
        <v>9.3000000000000007</v>
      </c>
      <c r="BA555">
        <v>10</v>
      </c>
      <c r="BB555">
        <v>10.199999999999999</v>
      </c>
      <c r="BC555">
        <v>10</v>
      </c>
      <c r="BD555">
        <v>4.5</v>
      </c>
      <c r="BE555">
        <v>4</v>
      </c>
      <c r="BF555">
        <v>12</v>
      </c>
      <c r="BG555">
        <v>10</v>
      </c>
      <c r="BH555">
        <v>11.7</v>
      </c>
      <c r="BI555">
        <v>10</v>
      </c>
      <c r="BJ555">
        <v>11.9</v>
      </c>
      <c r="BK555">
        <v>9</v>
      </c>
      <c r="BL555">
        <v>20.6</v>
      </c>
      <c r="BM555">
        <v>19</v>
      </c>
      <c r="BN555">
        <v>23.6</v>
      </c>
      <c r="BO555">
        <v>19</v>
      </c>
      <c r="BP555">
        <v>21.6</v>
      </c>
      <c r="BQ555">
        <v>20</v>
      </c>
      <c r="BR555">
        <v>21.7</v>
      </c>
      <c r="BS555">
        <v>25</v>
      </c>
      <c r="BT555">
        <v>21.9</v>
      </c>
      <c r="BU555">
        <v>25</v>
      </c>
      <c r="BV555">
        <v>23.5</v>
      </c>
      <c r="BW555">
        <v>18</v>
      </c>
      <c r="BX555">
        <v>21.5</v>
      </c>
      <c r="BY555">
        <v>20</v>
      </c>
      <c r="BZ555">
        <v>19.5</v>
      </c>
      <c r="CA555">
        <v>20</v>
      </c>
      <c r="CB555">
        <v>10</v>
      </c>
      <c r="CC555">
        <v>10</v>
      </c>
      <c r="CD555">
        <v>10.3</v>
      </c>
      <c r="CE555">
        <v>10</v>
      </c>
      <c r="CF555">
        <v>11</v>
      </c>
      <c r="CG555">
        <v>9</v>
      </c>
      <c r="CH555">
        <v>11.3</v>
      </c>
      <c r="CI555">
        <v>9</v>
      </c>
    </row>
    <row r="556" spans="1:87" x14ac:dyDescent="0.35">
      <c r="A556" s="1">
        <v>46059.844444444447</v>
      </c>
      <c r="B556">
        <v>-19.600000000000001</v>
      </c>
      <c r="C556">
        <v>-18.3</v>
      </c>
      <c r="D556">
        <v>-25</v>
      </c>
      <c r="E556">
        <v>-19.5</v>
      </c>
      <c r="F556">
        <v>-19.7</v>
      </c>
      <c r="G556">
        <v>-25</v>
      </c>
      <c r="H556">
        <v>-17</v>
      </c>
      <c r="I556">
        <v>-20.3</v>
      </c>
      <c r="J556">
        <v>-25</v>
      </c>
      <c r="K556">
        <v>-17.3</v>
      </c>
      <c r="L556">
        <v>7</v>
      </c>
      <c r="M556">
        <v>-25</v>
      </c>
      <c r="N556">
        <v>-19.5</v>
      </c>
      <c r="O556">
        <v>-19.399999999999999</v>
      </c>
      <c r="P556">
        <v>-25</v>
      </c>
      <c r="Q556">
        <v>-19.600000000000001</v>
      </c>
      <c r="R556">
        <v>-19.2</v>
      </c>
      <c r="S556">
        <v>-25</v>
      </c>
      <c r="T556">
        <v>3</v>
      </c>
      <c r="U556">
        <v>2.9</v>
      </c>
      <c r="V556">
        <v>2</v>
      </c>
      <c r="W556">
        <v>3</v>
      </c>
      <c r="X556">
        <v>2.7</v>
      </c>
      <c r="Y556">
        <v>2</v>
      </c>
      <c r="Z556">
        <v>2.8</v>
      </c>
      <c r="AA556">
        <v>2.5</v>
      </c>
      <c r="AB556">
        <v>2</v>
      </c>
      <c r="AC556">
        <v>2.5</v>
      </c>
      <c r="AD556">
        <v>2.2999999999999998</v>
      </c>
      <c r="AE556">
        <v>2</v>
      </c>
      <c r="AF556">
        <v>2.5</v>
      </c>
      <c r="AG556">
        <v>2.1</v>
      </c>
      <c r="AH556">
        <v>2</v>
      </c>
      <c r="AI556">
        <v>2.4</v>
      </c>
      <c r="AJ556">
        <v>1</v>
      </c>
      <c r="AK556">
        <v>2</v>
      </c>
      <c r="AL556">
        <v>4.4000000000000004</v>
      </c>
      <c r="AM556">
        <v>4</v>
      </c>
      <c r="AN556">
        <v>4.9000000000000004</v>
      </c>
      <c r="AO556">
        <v>4</v>
      </c>
      <c r="AP556">
        <v>4.4000000000000004</v>
      </c>
      <c r="AQ556">
        <v>4</v>
      </c>
      <c r="AR556">
        <v>4.8</v>
      </c>
      <c r="AS556">
        <v>4</v>
      </c>
      <c r="AT556">
        <v>-4</v>
      </c>
      <c r="AU556">
        <v>-5.8</v>
      </c>
      <c r="AV556">
        <v>-5</v>
      </c>
      <c r="AW556">
        <v>26.2</v>
      </c>
      <c r="AX556">
        <v>22</v>
      </c>
      <c r="AY556">
        <v>-5</v>
      </c>
      <c r="AZ556">
        <v>8.8000000000000007</v>
      </c>
      <c r="BA556">
        <v>10</v>
      </c>
      <c r="BB556">
        <v>10.5</v>
      </c>
      <c r="BC556">
        <v>10</v>
      </c>
      <c r="BD556">
        <v>4.5999999999999996</v>
      </c>
      <c r="BE556">
        <v>4</v>
      </c>
      <c r="BF556">
        <v>11.3</v>
      </c>
      <c r="BG556">
        <v>10</v>
      </c>
      <c r="BH556">
        <v>11.6</v>
      </c>
      <c r="BI556">
        <v>10</v>
      </c>
      <c r="BJ556">
        <v>11.8</v>
      </c>
      <c r="BK556">
        <v>9</v>
      </c>
      <c r="BL556">
        <v>20.7</v>
      </c>
      <c r="BM556">
        <v>19</v>
      </c>
      <c r="BN556">
        <v>23.6</v>
      </c>
      <c r="BO556">
        <v>19</v>
      </c>
      <c r="BP556">
        <v>21.7</v>
      </c>
      <c r="BQ556">
        <v>20</v>
      </c>
      <c r="BR556">
        <v>21.7</v>
      </c>
      <c r="BS556">
        <v>25</v>
      </c>
      <c r="BT556">
        <v>21.9</v>
      </c>
      <c r="BU556">
        <v>25</v>
      </c>
      <c r="BV556">
        <v>23.5</v>
      </c>
      <c r="BW556">
        <v>18</v>
      </c>
      <c r="BX556">
        <v>21.5</v>
      </c>
      <c r="BY556">
        <v>20</v>
      </c>
      <c r="BZ556">
        <v>19.2</v>
      </c>
      <c r="CA556">
        <v>20</v>
      </c>
      <c r="CB556">
        <v>10.199999999999999</v>
      </c>
      <c r="CC556">
        <v>10</v>
      </c>
      <c r="CD556">
        <v>10.199999999999999</v>
      </c>
      <c r="CE556">
        <v>10</v>
      </c>
      <c r="CF556">
        <v>11</v>
      </c>
      <c r="CG556">
        <v>9</v>
      </c>
      <c r="CH556">
        <v>11.2</v>
      </c>
      <c r="CI556">
        <v>9</v>
      </c>
    </row>
    <row r="557" spans="1:87" x14ac:dyDescent="0.35">
      <c r="A557" s="1">
        <v>46059.845138888886</v>
      </c>
      <c r="B557">
        <v>-19.600000000000001</v>
      </c>
      <c r="C557">
        <v>-18.2</v>
      </c>
      <c r="D557">
        <v>-25</v>
      </c>
      <c r="E557">
        <v>-19.5</v>
      </c>
      <c r="F557">
        <v>-19.7</v>
      </c>
      <c r="G557">
        <v>-25</v>
      </c>
      <c r="H557">
        <v>-16.899999999999999</v>
      </c>
      <c r="I557">
        <v>-20.2</v>
      </c>
      <c r="J557">
        <v>-25</v>
      </c>
      <c r="K557">
        <v>-17.3</v>
      </c>
      <c r="L557">
        <v>7.4</v>
      </c>
      <c r="M557">
        <v>-25</v>
      </c>
      <c r="N557">
        <v>-19.399999999999999</v>
      </c>
      <c r="O557">
        <v>-19.2</v>
      </c>
      <c r="P557">
        <v>-25</v>
      </c>
      <c r="Q557">
        <v>-19.5</v>
      </c>
      <c r="R557">
        <v>-19.100000000000001</v>
      </c>
      <c r="S557">
        <v>-25</v>
      </c>
      <c r="T557">
        <v>3</v>
      </c>
      <c r="U557">
        <v>3</v>
      </c>
      <c r="V557">
        <v>2</v>
      </c>
      <c r="W557">
        <v>3.1</v>
      </c>
      <c r="X557">
        <v>2.8</v>
      </c>
      <c r="Y557">
        <v>2</v>
      </c>
      <c r="Z557">
        <v>2.9</v>
      </c>
      <c r="AA557">
        <v>2.5</v>
      </c>
      <c r="AB557">
        <v>2</v>
      </c>
      <c r="AC557">
        <v>2.7</v>
      </c>
      <c r="AD557">
        <v>2.5</v>
      </c>
      <c r="AE557">
        <v>2</v>
      </c>
      <c r="AF557">
        <v>2.5</v>
      </c>
      <c r="AG557">
        <v>2.2000000000000002</v>
      </c>
      <c r="AH557">
        <v>2</v>
      </c>
      <c r="AI557">
        <v>2.4</v>
      </c>
      <c r="AJ557">
        <v>1.4</v>
      </c>
      <c r="AK557">
        <v>2</v>
      </c>
      <c r="AL557">
        <v>4.5</v>
      </c>
      <c r="AM557">
        <v>4</v>
      </c>
      <c r="AN557">
        <v>4.9000000000000004</v>
      </c>
      <c r="AO557">
        <v>4</v>
      </c>
      <c r="AP557">
        <v>3.4</v>
      </c>
      <c r="AQ557">
        <v>4</v>
      </c>
      <c r="AR557">
        <v>5.0999999999999996</v>
      </c>
      <c r="AS557">
        <v>4</v>
      </c>
      <c r="AT557">
        <v>-4.0999999999999996</v>
      </c>
      <c r="AU557">
        <v>-6.1</v>
      </c>
      <c r="AV557">
        <v>-5</v>
      </c>
      <c r="AW557">
        <v>21.2</v>
      </c>
      <c r="AX557">
        <v>16.399999999999999</v>
      </c>
      <c r="AY557">
        <v>-5</v>
      </c>
      <c r="AZ557">
        <v>8.6999999999999993</v>
      </c>
      <c r="BA557">
        <v>10</v>
      </c>
      <c r="BB557">
        <v>10.7</v>
      </c>
      <c r="BC557">
        <v>10</v>
      </c>
      <c r="BD557">
        <v>4.7</v>
      </c>
      <c r="BE557">
        <v>4</v>
      </c>
      <c r="BF557">
        <v>10.5</v>
      </c>
      <c r="BG557">
        <v>10</v>
      </c>
      <c r="BH557">
        <v>11.5</v>
      </c>
      <c r="BI557">
        <v>10</v>
      </c>
      <c r="BJ557">
        <v>11.8</v>
      </c>
      <c r="BK557">
        <v>9</v>
      </c>
      <c r="BL557">
        <v>20.7</v>
      </c>
      <c r="BM557">
        <v>19</v>
      </c>
      <c r="BN557">
        <v>23.6</v>
      </c>
      <c r="BO557">
        <v>19</v>
      </c>
      <c r="BP557">
        <v>21.7</v>
      </c>
      <c r="BQ557">
        <v>20</v>
      </c>
      <c r="BR557">
        <v>21.8</v>
      </c>
      <c r="BS557">
        <v>25</v>
      </c>
      <c r="BT557">
        <v>21.9</v>
      </c>
      <c r="BU557">
        <v>25</v>
      </c>
      <c r="BV557">
        <v>23.5</v>
      </c>
      <c r="BW557">
        <v>18</v>
      </c>
      <c r="BX557">
        <v>21.5</v>
      </c>
      <c r="BY557">
        <v>20</v>
      </c>
      <c r="BZ557">
        <v>19.2</v>
      </c>
      <c r="CA557">
        <v>20</v>
      </c>
      <c r="CB557">
        <v>10.7</v>
      </c>
      <c r="CC557">
        <v>10</v>
      </c>
      <c r="CD557">
        <v>10.1</v>
      </c>
      <c r="CE557">
        <v>10</v>
      </c>
      <c r="CF557">
        <v>11.3</v>
      </c>
      <c r="CG557">
        <v>9</v>
      </c>
      <c r="CH557">
        <v>11.5</v>
      </c>
      <c r="CI557">
        <v>9</v>
      </c>
    </row>
    <row r="558" spans="1:87" x14ac:dyDescent="0.35">
      <c r="A558" s="1">
        <v>46059.845833333333</v>
      </c>
      <c r="B558">
        <v>-19.600000000000001</v>
      </c>
      <c r="C558">
        <v>-18.2</v>
      </c>
      <c r="D558">
        <v>-25</v>
      </c>
      <c r="E558">
        <v>-19.399999999999999</v>
      </c>
      <c r="F558">
        <v>-19.7</v>
      </c>
      <c r="G558">
        <v>-25</v>
      </c>
      <c r="H558">
        <v>-16.8</v>
      </c>
      <c r="I558">
        <v>-18.7</v>
      </c>
      <c r="J558">
        <v>-25</v>
      </c>
      <c r="K558">
        <v>-17.3</v>
      </c>
      <c r="L558">
        <v>7.2</v>
      </c>
      <c r="M558">
        <v>-25</v>
      </c>
      <c r="N558">
        <v>-19.3</v>
      </c>
      <c r="O558">
        <v>-19.100000000000001</v>
      </c>
      <c r="P558">
        <v>-25</v>
      </c>
      <c r="Q558">
        <v>-19.3</v>
      </c>
      <c r="R558">
        <v>-19</v>
      </c>
      <c r="S558">
        <v>-25</v>
      </c>
      <c r="T558">
        <v>3.1</v>
      </c>
      <c r="U558">
        <v>3.1</v>
      </c>
      <c r="V558">
        <v>2</v>
      </c>
      <c r="W558">
        <v>3.2</v>
      </c>
      <c r="X558">
        <v>2.9</v>
      </c>
      <c r="Y558">
        <v>2</v>
      </c>
      <c r="Z558">
        <v>3</v>
      </c>
      <c r="AA558">
        <v>2.7</v>
      </c>
      <c r="AB558">
        <v>2</v>
      </c>
      <c r="AC558">
        <v>2.8</v>
      </c>
      <c r="AD558">
        <v>2.6</v>
      </c>
      <c r="AE558">
        <v>2</v>
      </c>
      <c r="AF558">
        <v>2.5</v>
      </c>
      <c r="AG558">
        <v>2.2000000000000002</v>
      </c>
      <c r="AH558">
        <v>2</v>
      </c>
      <c r="AI558">
        <v>2.4</v>
      </c>
      <c r="AJ558">
        <v>0.7</v>
      </c>
      <c r="AK558">
        <v>2</v>
      </c>
      <c r="AL558">
        <v>4.5999999999999996</v>
      </c>
      <c r="AM558">
        <v>4</v>
      </c>
      <c r="AN558">
        <v>5</v>
      </c>
      <c r="AO558">
        <v>4</v>
      </c>
      <c r="AP558">
        <v>3</v>
      </c>
      <c r="AQ558">
        <v>4</v>
      </c>
      <c r="AR558">
        <v>5.3</v>
      </c>
      <c r="AS558">
        <v>4</v>
      </c>
      <c r="AT558">
        <v>-4.3</v>
      </c>
      <c r="AU558">
        <v>-6.2</v>
      </c>
      <c r="AV558">
        <v>-5</v>
      </c>
      <c r="AW558">
        <v>11.7</v>
      </c>
      <c r="AX558">
        <v>4.2</v>
      </c>
      <c r="AY558">
        <v>-5</v>
      </c>
      <c r="AZ558">
        <v>8.8000000000000007</v>
      </c>
      <c r="BA558">
        <v>10</v>
      </c>
      <c r="BB558">
        <v>11.1</v>
      </c>
      <c r="BC558">
        <v>10</v>
      </c>
      <c r="BD558">
        <v>4.7</v>
      </c>
      <c r="BE558">
        <v>4</v>
      </c>
      <c r="BF558">
        <v>9.6999999999999993</v>
      </c>
      <c r="BG558">
        <v>10</v>
      </c>
      <c r="BH558">
        <v>11.5</v>
      </c>
      <c r="BI558">
        <v>10</v>
      </c>
      <c r="BJ558">
        <v>11.8</v>
      </c>
      <c r="BK558">
        <v>9</v>
      </c>
      <c r="BL558">
        <v>20.7</v>
      </c>
      <c r="BM558">
        <v>19</v>
      </c>
      <c r="BN558">
        <v>23.6</v>
      </c>
      <c r="BO558">
        <v>19</v>
      </c>
      <c r="BP558">
        <v>21.7</v>
      </c>
      <c r="BQ558">
        <v>20</v>
      </c>
      <c r="BR558">
        <v>21.8</v>
      </c>
      <c r="BS558">
        <v>25</v>
      </c>
      <c r="BT558">
        <v>21.9</v>
      </c>
      <c r="BU558">
        <v>25</v>
      </c>
      <c r="BV558">
        <v>23.5</v>
      </c>
      <c r="BW558">
        <v>18</v>
      </c>
      <c r="BX558">
        <v>21.5</v>
      </c>
      <c r="BY558">
        <v>20</v>
      </c>
      <c r="BZ558">
        <v>19.600000000000001</v>
      </c>
      <c r="CA558">
        <v>20</v>
      </c>
      <c r="CB558">
        <v>11.2</v>
      </c>
      <c r="CC558">
        <v>10</v>
      </c>
      <c r="CD558">
        <v>10.1</v>
      </c>
      <c r="CE558">
        <v>10</v>
      </c>
      <c r="CF558">
        <v>11.2</v>
      </c>
      <c r="CG558">
        <v>9</v>
      </c>
      <c r="CH558">
        <v>11.5</v>
      </c>
      <c r="CI558">
        <v>9</v>
      </c>
    </row>
    <row r="559" spans="1:87" x14ac:dyDescent="0.35">
      <c r="A559" s="1">
        <v>46059.84652777778</v>
      </c>
      <c r="B559">
        <v>-19.600000000000001</v>
      </c>
      <c r="C559">
        <v>-18.100000000000001</v>
      </c>
      <c r="D559">
        <v>-25</v>
      </c>
      <c r="E559">
        <v>-19.399999999999999</v>
      </c>
      <c r="F559">
        <v>-19.7</v>
      </c>
      <c r="G559">
        <v>-25</v>
      </c>
      <c r="H559">
        <v>-16.7</v>
      </c>
      <c r="I559">
        <v>-19.7</v>
      </c>
      <c r="J559">
        <v>-25</v>
      </c>
      <c r="K559">
        <v>-17.3</v>
      </c>
      <c r="L559">
        <v>7.5</v>
      </c>
      <c r="M559">
        <v>-25</v>
      </c>
      <c r="N559">
        <v>-19.2</v>
      </c>
      <c r="O559">
        <v>-19</v>
      </c>
      <c r="P559">
        <v>-25</v>
      </c>
      <c r="Q559">
        <v>-19.2</v>
      </c>
      <c r="R559">
        <v>-18.8</v>
      </c>
      <c r="S559">
        <v>-25</v>
      </c>
      <c r="T559">
        <v>3.2</v>
      </c>
      <c r="U559">
        <v>3.2</v>
      </c>
      <c r="V559">
        <v>2</v>
      </c>
      <c r="W559">
        <v>3.2</v>
      </c>
      <c r="X559">
        <v>3</v>
      </c>
      <c r="Y559">
        <v>2</v>
      </c>
      <c r="Z559">
        <v>3.1</v>
      </c>
      <c r="AA559">
        <v>2.8</v>
      </c>
      <c r="AB559">
        <v>2</v>
      </c>
      <c r="AC559">
        <v>2.9</v>
      </c>
      <c r="AD559">
        <v>2.7</v>
      </c>
      <c r="AE559">
        <v>2</v>
      </c>
      <c r="AF559">
        <v>2.5</v>
      </c>
      <c r="AG559">
        <v>2.2000000000000002</v>
      </c>
      <c r="AH559">
        <v>2</v>
      </c>
      <c r="AI559">
        <v>2.4</v>
      </c>
      <c r="AJ559">
        <v>1.1000000000000001</v>
      </c>
      <c r="AK559">
        <v>2</v>
      </c>
      <c r="AL559">
        <v>4.5999999999999996</v>
      </c>
      <c r="AM559">
        <v>4</v>
      </c>
      <c r="AN559">
        <v>5.0999999999999996</v>
      </c>
      <c r="AO559">
        <v>4</v>
      </c>
      <c r="AP559">
        <v>3</v>
      </c>
      <c r="AQ559">
        <v>4</v>
      </c>
      <c r="AR559">
        <v>5.5</v>
      </c>
      <c r="AS559">
        <v>4</v>
      </c>
      <c r="AT559">
        <v>-4.5</v>
      </c>
      <c r="AU559">
        <v>-6.4</v>
      </c>
      <c r="AV559">
        <v>-5</v>
      </c>
      <c r="AW559">
        <v>4.4000000000000004</v>
      </c>
      <c r="AX559">
        <v>0.3</v>
      </c>
      <c r="AY559">
        <v>-5</v>
      </c>
      <c r="AZ559">
        <v>9</v>
      </c>
      <c r="BA559">
        <v>10</v>
      </c>
      <c r="BB559">
        <v>11.3</v>
      </c>
      <c r="BC559">
        <v>10</v>
      </c>
      <c r="BD559">
        <v>4.2</v>
      </c>
      <c r="BE559">
        <v>4</v>
      </c>
      <c r="BF559">
        <v>9.4</v>
      </c>
      <c r="BG559">
        <v>10</v>
      </c>
      <c r="BH559">
        <v>11.4</v>
      </c>
      <c r="BI559">
        <v>10</v>
      </c>
      <c r="BJ559">
        <v>11.8</v>
      </c>
      <c r="BK559">
        <v>9</v>
      </c>
      <c r="BL559">
        <v>20.7</v>
      </c>
      <c r="BM559">
        <v>19</v>
      </c>
      <c r="BN559">
        <v>23.6</v>
      </c>
      <c r="BO559">
        <v>19</v>
      </c>
      <c r="BP559">
        <v>21.7</v>
      </c>
      <c r="BQ559">
        <v>20</v>
      </c>
      <c r="BR559">
        <v>21.8</v>
      </c>
      <c r="BS559">
        <v>25</v>
      </c>
      <c r="BT559">
        <v>21.9</v>
      </c>
      <c r="BU559">
        <v>25</v>
      </c>
      <c r="BV559">
        <v>23.5</v>
      </c>
      <c r="BW559">
        <v>18</v>
      </c>
      <c r="BX559">
        <v>21.5</v>
      </c>
      <c r="BY559">
        <v>20</v>
      </c>
      <c r="BZ559">
        <v>19.899999999999999</v>
      </c>
      <c r="CA559">
        <v>20</v>
      </c>
      <c r="CB559">
        <v>11.5</v>
      </c>
      <c r="CC559">
        <v>10</v>
      </c>
      <c r="CD559">
        <v>10</v>
      </c>
      <c r="CE559">
        <v>10</v>
      </c>
      <c r="CF559">
        <v>11.2</v>
      </c>
      <c r="CG559">
        <v>9</v>
      </c>
      <c r="CH559">
        <v>11.4</v>
      </c>
      <c r="CI559">
        <v>9</v>
      </c>
    </row>
    <row r="560" spans="1:87" x14ac:dyDescent="0.35">
      <c r="A560" s="1">
        <v>46059.847222222219</v>
      </c>
      <c r="B560">
        <v>-19.600000000000001</v>
      </c>
      <c r="C560">
        <v>-18.100000000000001</v>
      </c>
      <c r="D560">
        <v>-25</v>
      </c>
      <c r="E560">
        <v>-19.399999999999999</v>
      </c>
      <c r="F560">
        <v>-19.7</v>
      </c>
      <c r="G560">
        <v>-25</v>
      </c>
      <c r="H560">
        <v>-16.600000000000001</v>
      </c>
      <c r="I560">
        <v>-19.8</v>
      </c>
      <c r="J560">
        <v>-25</v>
      </c>
      <c r="K560">
        <v>-17.3</v>
      </c>
      <c r="L560">
        <v>7.7</v>
      </c>
      <c r="M560">
        <v>-25</v>
      </c>
      <c r="N560">
        <v>-19.100000000000001</v>
      </c>
      <c r="O560">
        <v>-18.899999999999999</v>
      </c>
      <c r="P560">
        <v>-25</v>
      </c>
      <c r="Q560">
        <v>-19.100000000000001</v>
      </c>
      <c r="R560">
        <v>-18.7</v>
      </c>
      <c r="S560">
        <v>-25</v>
      </c>
      <c r="T560">
        <v>3.3</v>
      </c>
      <c r="U560">
        <v>3.3</v>
      </c>
      <c r="V560">
        <v>2</v>
      </c>
      <c r="W560">
        <v>3.3</v>
      </c>
      <c r="X560">
        <v>3.1</v>
      </c>
      <c r="Y560">
        <v>2</v>
      </c>
      <c r="Z560">
        <v>3.2</v>
      </c>
      <c r="AA560">
        <v>2.9</v>
      </c>
      <c r="AB560">
        <v>2</v>
      </c>
      <c r="AC560">
        <v>2.9</v>
      </c>
      <c r="AD560">
        <v>2.8</v>
      </c>
      <c r="AE560">
        <v>2</v>
      </c>
      <c r="AF560">
        <v>2.4</v>
      </c>
      <c r="AG560">
        <v>2.1</v>
      </c>
      <c r="AH560">
        <v>2</v>
      </c>
      <c r="AI560">
        <v>2.2000000000000002</v>
      </c>
      <c r="AJ560">
        <v>1.1000000000000001</v>
      </c>
      <c r="AK560">
        <v>2</v>
      </c>
      <c r="AL560">
        <v>4.7</v>
      </c>
      <c r="AM560">
        <v>4</v>
      </c>
      <c r="AN560">
        <v>5.0999999999999996</v>
      </c>
      <c r="AO560">
        <v>4</v>
      </c>
      <c r="AP560">
        <v>3</v>
      </c>
      <c r="AQ560">
        <v>4</v>
      </c>
      <c r="AR560">
        <v>5.8</v>
      </c>
      <c r="AS560">
        <v>4</v>
      </c>
      <c r="AT560">
        <v>-4.5999999999999996</v>
      </c>
      <c r="AU560">
        <v>-6.6</v>
      </c>
      <c r="AV560">
        <v>-5</v>
      </c>
      <c r="AW560">
        <v>1.6</v>
      </c>
      <c r="AX560">
        <v>-1.1000000000000001</v>
      </c>
      <c r="AY560">
        <v>-5</v>
      </c>
      <c r="AZ560">
        <v>9.1999999999999993</v>
      </c>
      <c r="BA560">
        <v>10</v>
      </c>
      <c r="BB560">
        <v>11.5</v>
      </c>
      <c r="BC560">
        <v>10</v>
      </c>
      <c r="BD560">
        <v>4.2</v>
      </c>
      <c r="BE560">
        <v>4</v>
      </c>
      <c r="BF560">
        <v>9.4</v>
      </c>
      <c r="BG560">
        <v>10</v>
      </c>
      <c r="BH560">
        <v>11.4</v>
      </c>
      <c r="BI560">
        <v>10</v>
      </c>
      <c r="BJ560">
        <v>11.8</v>
      </c>
      <c r="BK560">
        <v>9</v>
      </c>
      <c r="BL560">
        <v>20.7</v>
      </c>
      <c r="BM560">
        <v>19</v>
      </c>
      <c r="BN560">
        <v>23.6</v>
      </c>
      <c r="BO560">
        <v>19</v>
      </c>
      <c r="BP560">
        <v>21.7</v>
      </c>
      <c r="BQ560">
        <v>20</v>
      </c>
      <c r="BR560">
        <v>21.8</v>
      </c>
      <c r="BS560">
        <v>25</v>
      </c>
      <c r="BT560">
        <v>21.9</v>
      </c>
      <c r="BU560">
        <v>25</v>
      </c>
      <c r="BV560">
        <v>23.5</v>
      </c>
      <c r="BW560">
        <v>18</v>
      </c>
      <c r="BX560">
        <v>21.6</v>
      </c>
      <c r="BY560">
        <v>20</v>
      </c>
      <c r="BZ560">
        <v>20.100000000000001</v>
      </c>
      <c r="CA560">
        <v>20</v>
      </c>
      <c r="CB560">
        <v>11.9</v>
      </c>
      <c r="CC560">
        <v>10</v>
      </c>
      <c r="CD560">
        <v>10</v>
      </c>
      <c r="CE560">
        <v>10</v>
      </c>
      <c r="CF560">
        <v>11.2</v>
      </c>
      <c r="CG560">
        <v>9</v>
      </c>
      <c r="CH560">
        <v>11.4</v>
      </c>
      <c r="CI560">
        <v>9</v>
      </c>
    </row>
    <row r="561" spans="1:87" x14ac:dyDescent="0.35">
      <c r="A561" s="1">
        <v>46059.847916666666</v>
      </c>
      <c r="B561">
        <v>-19.600000000000001</v>
      </c>
      <c r="C561">
        <v>-18.100000000000001</v>
      </c>
      <c r="D561">
        <v>-25</v>
      </c>
      <c r="E561">
        <v>-19.399999999999999</v>
      </c>
      <c r="F561">
        <v>-19.7</v>
      </c>
      <c r="G561">
        <v>-25</v>
      </c>
      <c r="H561">
        <v>-16.600000000000001</v>
      </c>
      <c r="I561">
        <v>-19.8</v>
      </c>
      <c r="J561">
        <v>-25</v>
      </c>
      <c r="K561">
        <v>-17.3</v>
      </c>
      <c r="L561">
        <v>8.3000000000000007</v>
      </c>
      <c r="M561">
        <v>-25</v>
      </c>
      <c r="N561">
        <v>-19</v>
      </c>
      <c r="O561">
        <v>-18.8</v>
      </c>
      <c r="P561">
        <v>-25</v>
      </c>
      <c r="Q561">
        <v>-19</v>
      </c>
      <c r="R561">
        <v>-18.600000000000001</v>
      </c>
      <c r="S561">
        <v>-25</v>
      </c>
      <c r="T561">
        <v>3.4</v>
      </c>
      <c r="U561">
        <v>3.4</v>
      </c>
      <c r="V561">
        <v>2</v>
      </c>
      <c r="W561">
        <v>3.4</v>
      </c>
      <c r="X561">
        <v>3.2</v>
      </c>
      <c r="Y561">
        <v>2</v>
      </c>
      <c r="Z561">
        <v>3.3</v>
      </c>
      <c r="AA561">
        <v>3</v>
      </c>
      <c r="AB561">
        <v>2</v>
      </c>
      <c r="AC561">
        <v>3</v>
      </c>
      <c r="AD561">
        <v>2.9</v>
      </c>
      <c r="AE561">
        <v>2</v>
      </c>
      <c r="AF561">
        <v>2.4</v>
      </c>
      <c r="AG561">
        <v>2</v>
      </c>
      <c r="AH561">
        <v>2</v>
      </c>
      <c r="AI561">
        <v>2.2000000000000002</v>
      </c>
      <c r="AJ561">
        <v>1.1000000000000001</v>
      </c>
      <c r="AK561">
        <v>2</v>
      </c>
      <c r="AL561">
        <v>4.7</v>
      </c>
      <c r="AM561">
        <v>4</v>
      </c>
      <c r="AN561">
        <v>5.0999999999999996</v>
      </c>
      <c r="AO561">
        <v>4</v>
      </c>
      <c r="AP561">
        <v>3.3</v>
      </c>
      <c r="AQ561">
        <v>4</v>
      </c>
      <c r="AR561">
        <v>6</v>
      </c>
      <c r="AS561">
        <v>4</v>
      </c>
      <c r="AT561">
        <v>-4.8</v>
      </c>
      <c r="AU561">
        <v>-6.8</v>
      </c>
      <c r="AV561">
        <v>-5</v>
      </c>
      <c r="AW561">
        <v>0</v>
      </c>
      <c r="AX561">
        <v>-2.5</v>
      </c>
      <c r="AY561">
        <v>-5</v>
      </c>
      <c r="AZ561">
        <v>9.4</v>
      </c>
      <c r="BA561">
        <v>10</v>
      </c>
      <c r="BB561">
        <v>11.7</v>
      </c>
      <c r="BC561">
        <v>10</v>
      </c>
      <c r="BD561">
        <v>4</v>
      </c>
      <c r="BE561">
        <v>4</v>
      </c>
      <c r="BF561">
        <v>9.9</v>
      </c>
      <c r="BG561">
        <v>10</v>
      </c>
      <c r="BH561">
        <v>11.4</v>
      </c>
      <c r="BI561">
        <v>10</v>
      </c>
      <c r="BJ561">
        <v>11.7</v>
      </c>
      <c r="BK561">
        <v>9</v>
      </c>
      <c r="BL561">
        <v>20.7</v>
      </c>
      <c r="BM561">
        <v>19</v>
      </c>
      <c r="BN561">
        <v>23.6</v>
      </c>
      <c r="BO561">
        <v>19</v>
      </c>
      <c r="BP561">
        <v>21.7</v>
      </c>
      <c r="BQ561">
        <v>20</v>
      </c>
      <c r="BR561">
        <v>21.7</v>
      </c>
      <c r="BS561">
        <v>25</v>
      </c>
      <c r="BT561">
        <v>21.9</v>
      </c>
      <c r="BU561">
        <v>25</v>
      </c>
      <c r="BV561">
        <v>23.5</v>
      </c>
      <c r="BW561">
        <v>18</v>
      </c>
      <c r="BX561">
        <v>21.6</v>
      </c>
      <c r="BY561">
        <v>20</v>
      </c>
      <c r="BZ561">
        <v>20.3</v>
      </c>
      <c r="CA561">
        <v>20</v>
      </c>
      <c r="CB561">
        <v>12</v>
      </c>
      <c r="CC561">
        <v>10</v>
      </c>
      <c r="CD561">
        <v>10</v>
      </c>
      <c r="CE561">
        <v>10</v>
      </c>
      <c r="CF561">
        <v>11.1</v>
      </c>
      <c r="CG561">
        <v>9</v>
      </c>
      <c r="CH561">
        <v>11.3</v>
      </c>
      <c r="CI561">
        <v>9</v>
      </c>
    </row>
    <row r="562" spans="1:87" x14ac:dyDescent="0.35">
      <c r="A562" s="1">
        <v>46059.848611111112</v>
      </c>
      <c r="B562">
        <v>-19.5</v>
      </c>
      <c r="C562">
        <v>-18</v>
      </c>
      <c r="D562">
        <v>-25</v>
      </c>
      <c r="E562">
        <v>-19.399999999999999</v>
      </c>
      <c r="F562">
        <v>-19.600000000000001</v>
      </c>
      <c r="G562">
        <v>-25</v>
      </c>
      <c r="H562">
        <v>-16.5</v>
      </c>
      <c r="I562">
        <v>-19.8</v>
      </c>
      <c r="J562">
        <v>-25</v>
      </c>
      <c r="K562">
        <v>-17.3</v>
      </c>
      <c r="L562">
        <v>9.1999999999999993</v>
      </c>
      <c r="M562">
        <v>-25</v>
      </c>
      <c r="N562">
        <v>-18.899999999999999</v>
      </c>
      <c r="O562">
        <v>-18.7</v>
      </c>
      <c r="P562">
        <v>-25</v>
      </c>
      <c r="Q562">
        <v>-18.899999999999999</v>
      </c>
      <c r="R562">
        <v>-18.5</v>
      </c>
      <c r="S562">
        <v>-25</v>
      </c>
      <c r="T562">
        <v>3.5</v>
      </c>
      <c r="U562">
        <v>3.5</v>
      </c>
      <c r="V562">
        <v>2</v>
      </c>
      <c r="W562">
        <v>3.5</v>
      </c>
      <c r="X562">
        <v>3.3</v>
      </c>
      <c r="Y562">
        <v>2</v>
      </c>
      <c r="Z562">
        <v>3.3</v>
      </c>
      <c r="AA562">
        <v>3</v>
      </c>
      <c r="AB562">
        <v>2</v>
      </c>
      <c r="AC562">
        <v>3.1</v>
      </c>
      <c r="AD562">
        <v>2.9</v>
      </c>
      <c r="AE562">
        <v>2</v>
      </c>
      <c r="AF562">
        <v>2.4</v>
      </c>
      <c r="AG562">
        <v>2</v>
      </c>
      <c r="AH562">
        <v>2</v>
      </c>
      <c r="AI562">
        <v>2.1</v>
      </c>
      <c r="AJ562">
        <v>0.1</v>
      </c>
      <c r="AK562">
        <v>2</v>
      </c>
      <c r="AL562">
        <v>4.8</v>
      </c>
      <c r="AM562">
        <v>4</v>
      </c>
      <c r="AN562">
        <v>5.2</v>
      </c>
      <c r="AO562">
        <v>4</v>
      </c>
      <c r="AP562">
        <v>3.7</v>
      </c>
      <c r="AQ562">
        <v>4</v>
      </c>
      <c r="AR562">
        <v>6</v>
      </c>
      <c r="AS562">
        <v>4</v>
      </c>
      <c r="AT562">
        <v>-4.9000000000000004</v>
      </c>
      <c r="AU562">
        <v>-6.8</v>
      </c>
      <c r="AV562">
        <v>-5</v>
      </c>
      <c r="AW562">
        <v>-1</v>
      </c>
      <c r="AX562">
        <v>-3.1</v>
      </c>
      <c r="AY562">
        <v>-5</v>
      </c>
      <c r="AZ562">
        <v>9.6</v>
      </c>
      <c r="BA562">
        <v>10</v>
      </c>
      <c r="BB562">
        <v>11.9</v>
      </c>
      <c r="BC562">
        <v>10</v>
      </c>
      <c r="BD562">
        <v>3.8</v>
      </c>
      <c r="BE562">
        <v>4</v>
      </c>
      <c r="BF562">
        <v>10.3</v>
      </c>
      <c r="BG562">
        <v>10</v>
      </c>
      <c r="BH562">
        <v>11.4</v>
      </c>
      <c r="BI562">
        <v>10</v>
      </c>
      <c r="BJ562">
        <v>11.7</v>
      </c>
      <c r="BK562">
        <v>9</v>
      </c>
      <c r="BL562">
        <v>20.7</v>
      </c>
      <c r="BM562">
        <v>19</v>
      </c>
      <c r="BN562">
        <v>23.6</v>
      </c>
      <c r="BO562">
        <v>19</v>
      </c>
      <c r="BP562">
        <v>21.7</v>
      </c>
      <c r="BQ562">
        <v>20</v>
      </c>
      <c r="BR562">
        <v>21.6</v>
      </c>
      <c r="BS562">
        <v>25</v>
      </c>
      <c r="BT562">
        <v>21.9</v>
      </c>
      <c r="BU562">
        <v>25</v>
      </c>
      <c r="BV562">
        <v>23.5</v>
      </c>
      <c r="BW562">
        <v>18</v>
      </c>
      <c r="BX562">
        <v>21.6</v>
      </c>
      <c r="BY562">
        <v>20</v>
      </c>
      <c r="BZ562">
        <v>20.5</v>
      </c>
      <c r="CA562">
        <v>20</v>
      </c>
      <c r="CB562">
        <v>11.9</v>
      </c>
      <c r="CC562">
        <v>10</v>
      </c>
      <c r="CD562">
        <v>10.199999999999999</v>
      </c>
      <c r="CE562">
        <v>10</v>
      </c>
      <c r="CF562">
        <v>11.2</v>
      </c>
      <c r="CG562">
        <v>9</v>
      </c>
      <c r="CH562">
        <v>11.4</v>
      </c>
      <c r="CI562">
        <v>9</v>
      </c>
    </row>
    <row r="563" spans="1:87" x14ac:dyDescent="0.35">
      <c r="A563" s="1">
        <v>46059.849305555559</v>
      </c>
      <c r="B563">
        <v>-19.5</v>
      </c>
      <c r="C563">
        <v>-18</v>
      </c>
      <c r="D563">
        <v>-25</v>
      </c>
      <c r="E563">
        <v>-19.3</v>
      </c>
      <c r="F563">
        <v>-19.5</v>
      </c>
      <c r="G563">
        <v>-25</v>
      </c>
      <c r="H563">
        <v>-16.399999999999999</v>
      </c>
      <c r="I563">
        <v>-19.7</v>
      </c>
      <c r="J563">
        <v>-25</v>
      </c>
      <c r="K563">
        <v>-17.3</v>
      </c>
      <c r="L563">
        <v>9.6</v>
      </c>
      <c r="M563">
        <v>-25</v>
      </c>
      <c r="N563">
        <v>-18.8</v>
      </c>
      <c r="O563">
        <v>-18.7</v>
      </c>
      <c r="P563">
        <v>-25</v>
      </c>
      <c r="Q563">
        <v>-18.8</v>
      </c>
      <c r="R563">
        <v>-18.5</v>
      </c>
      <c r="S563">
        <v>-25</v>
      </c>
      <c r="T563">
        <v>3.5</v>
      </c>
      <c r="U563">
        <v>3.6</v>
      </c>
      <c r="V563">
        <v>2</v>
      </c>
      <c r="W563">
        <v>3.6</v>
      </c>
      <c r="X563">
        <v>3.3</v>
      </c>
      <c r="Y563">
        <v>2</v>
      </c>
      <c r="Z563">
        <v>3.4</v>
      </c>
      <c r="AA563">
        <v>3.1</v>
      </c>
      <c r="AB563">
        <v>2</v>
      </c>
      <c r="AC563">
        <v>3.2</v>
      </c>
      <c r="AD563">
        <v>3.1</v>
      </c>
      <c r="AE563">
        <v>2</v>
      </c>
      <c r="AF563">
        <v>2.1</v>
      </c>
      <c r="AG563">
        <v>1.6</v>
      </c>
      <c r="AH563">
        <v>2</v>
      </c>
      <c r="AI563">
        <v>1.9</v>
      </c>
      <c r="AJ563">
        <v>-0.5</v>
      </c>
      <c r="AK563">
        <v>2</v>
      </c>
      <c r="AL563">
        <v>4.9000000000000004</v>
      </c>
      <c r="AM563">
        <v>4</v>
      </c>
      <c r="AN563">
        <v>5.3</v>
      </c>
      <c r="AO563">
        <v>4</v>
      </c>
      <c r="AP563">
        <v>3.9</v>
      </c>
      <c r="AQ563">
        <v>4</v>
      </c>
      <c r="AR563">
        <v>5.5</v>
      </c>
      <c r="AS563">
        <v>4</v>
      </c>
      <c r="AT563">
        <v>-5</v>
      </c>
      <c r="AU563">
        <v>-7</v>
      </c>
      <c r="AV563">
        <v>-5</v>
      </c>
      <c r="AW563">
        <v>-1.6</v>
      </c>
      <c r="AX563">
        <v>-3.8</v>
      </c>
      <c r="AY563">
        <v>-5</v>
      </c>
      <c r="AZ563">
        <v>9.8000000000000007</v>
      </c>
      <c r="BA563">
        <v>10</v>
      </c>
      <c r="BB563">
        <v>12.1</v>
      </c>
      <c r="BC563">
        <v>10</v>
      </c>
      <c r="BD563">
        <v>3.8</v>
      </c>
      <c r="BE563">
        <v>4</v>
      </c>
      <c r="BF563">
        <v>10.6</v>
      </c>
      <c r="BG563">
        <v>10</v>
      </c>
      <c r="BH563">
        <v>11.3</v>
      </c>
      <c r="BI563">
        <v>10</v>
      </c>
      <c r="BJ563">
        <v>11.7</v>
      </c>
      <c r="BK563">
        <v>9</v>
      </c>
      <c r="BL563">
        <v>20.7</v>
      </c>
      <c r="BM563">
        <v>19</v>
      </c>
      <c r="BN563">
        <v>23.6</v>
      </c>
      <c r="BO563">
        <v>19</v>
      </c>
      <c r="BP563">
        <v>21.8</v>
      </c>
      <c r="BQ563">
        <v>20</v>
      </c>
      <c r="BR563">
        <v>21.6</v>
      </c>
      <c r="BS563">
        <v>25</v>
      </c>
      <c r="BT563">
        <v>21.9</v>
      </c>
      <c r="BU563">
        <v>25</v>
      </c>
      <c r="BV563">
        <v>23.5</v>
      </c>
      <c r="BW563">
        <v>18</v>
      </c>
      <c r="BX563">
        <v>21.6</v>
      </c>
      <c r="BY563">
        <v>20</v>
      </c>
      <c r="BZ563">
        <v>20.6</v>
      </c>
      <c r="CA563">
        <v>20</v>
      </c>
      <c r="CB563">
        <v>11.7</v>
      </c>
      <c r="CC563">
        <v>10</v>
      </c>
      <c r="CD563">
        <v>10.3</v>
      </c>
      <c r="CE563">
        <v>10</v>
      </c>
      <c r="CF563">
        <v>11.1</v>
      </c>
      <c r="CG563">
        <v>9</v>
      </c>
      <c r="CH563">
        <v>11.3</v>
      </c>
      <c r="CI563">
        <v>9</v>
      </c>
    </row>
    <row r="564" spans="1:87" x14ac:dyDescent="0.35">
      <c r="A564" s="1">
        <v>46059.85</v>
      </c>
      <c r="B564">
        <v>-19.399999999999999</v>
      </c>
      <c r="C564">
        <v>-17.899999999999999</v>
      </c>
      <c r="D564">
        <v>-25</v>
      </c>
      <c r="E564">
        <v>-19.2</v>
      </c>
      <c r="F564">
        <v>-19.399999999999999</v>
      </c>
      <c r="G564">
        <v>-25</v>
      </c>
      <c r="H564">
        <v>-16.3</v>
      </c>
      <c r="I564">
        <v>-19.7</v>
      </c>
      <c r="J564">
        <v>-25</v>
      </c>
      <c r="K564">
        <v>-17.3</v>
      </c>
      <c r="L564">
        <v>10.199999999999999</v>
      </c>
      <c r="M564">
        <v>-25</v>
      </c>
      <c r="N564">
        <v>-18.7</v>
      </c>
      <c r="O564">
        <v>-18.600000000000001</v>
      </c>
      <c r="P564">
        <v>-25</v>
      </c>
      <c r="Q564">
        <v>-18.7</v>
      </c>
      <c r="R564">
        <v>-18.399999999999999</v>
      </c>
      <c r="S564">
        <v>-25</v>
      </c>
      <c r="T564">
        <v>3.6</v>
      </c>
      <c r="U564">
        <v>3.6</v>
      </c>
      <c r="V564">
        <v>2</v>
      </c>
      <c r="W564">
        <v>3.6</v>
      </c>
      <c r="X564">
        <v>3.4</v>
      </c>
      <c r="Y564">
        <v>2</v>
      </c>
      <c r="Z564">
        <v>3.5</v>
      </c>
      <c r="AA564">
        <v>3.2</v>
      </c>
      <c r="AB564">
        <v>2</v>
      </c>
      <c r="AC564">
        <v>3.3</v>
      </c>
      <c r="AD564">
        <v>3.1</v>
      </c>
      <c r="AE564">
        <v>2</v>
      </c>
      <c r="AF564">
        <v>2</v>
      </c>
      <c r="AG564">
        <v>1.5</v>
      </c>
      <c r="AH564">
        <v>2</v>
      </c>
      <c r="AI564">
        <v>1.9</v>
      </c>
      <c r="AJ564">
        <v>0.8</v>
      </c>
      <c r="AK564">
        <v>2</v>
      </c>
      <c r="AL564">
        <v>4.9000000000000004</v>
      </c>
      <c r="AM564">
        <v>4</v>
      </c>
      <c r="AN564">
        <v>5.3</v>
      </c>
      <c r="AO564">
        <v>4</v>
      </c>
      <c r="AP564">
        <v>4.2</v>
      </c>
      <c r="AQ564">
        <v>4</v>
      </c>
      <c r="AR564">
        <v>4.5999999999999996</v>
      </c>
      <c r="AS564">
        <v>4</v>
      </c>
      <c r="AT564">
        <v>-5</v>
      </c>
      <c r="AU564">
        <v>-6.2</v>
      </c>
      <c r="AV564">
        <v>-5</v>
      </c>
      <c r="AW564">
        <v>-2.2999999999999998</v>
      </c>
      <c r="AX564">
        <v>-4.8</v>
      </c>
      <c r="AY564">
        <v>-5</v>
      </c>
      <c r="AZ564">
        <v>9.9</v>
      </c>
      <c r="BA564">
        <v>10</v>
      </c>
      <c r="BB564">
        <v>12.1</v>
      </c>
      <c r="BC564">
        <v>10</v>
      </c>
      <c r="BD564">
        <v>4.0999999999999996</v>
      </c>
      <c r="BE564">
        <v>4</v>
      </c>
      <c r="BF564">
        <v>11</v>
      </c>
      <c r="BG564">
        <v>10</v>
      </c>
      <c r="BH564">
        <v>11.3</v>
      </c>
      <c r="BI564">
        <v>10</v>
      </c>
      <c r="BJ564">
        <v>11.6</v>
      </c>
      <c r="BK564">
        <v>9</v>
      </c>
      <c r="BL564">
        <v>20.8</v>
      </c>
      <c r="BM564">
        <v>19</v>
      </c>
      <c r="BN564">
        <v>23.6</v>
      </c>
      <c r="BO564">
        <v>19</v>
      </c>
      <c r="BP564">
        <v>21.8</v>
      </c>
      <c r="BQ564">
        <v>20</v>
      </c>
      <c r="BR564">
        <v>21.6</v>
      </c>
      <c r="BS564">
        <v>25</v>
      </c>
      <c r="BT564">
        <v>21.9</v>
      </c>
      <c r="BU564">
        <v>25</v>
      </c>
      <c r="BV564">
        <v>23.5</v>
      </c>
      <c r="BW564">
        <v>18</v>
      </c>
      <c r="BX564">
        <v>21.6</v>
      </c>
      <c r="BY564">
        <v>20</v>
      </c>
      <c r="BZ564">
        <v>20.7</v>
      </c>
      <c r="CA564">
        <v>20</v>
      </c>
      <c r="CB564">
        <v>11.4</v>
      </c>
      <c r="CC564">
        <v>10</v>
      </c>
      <c r="CD564">
        <v>10.3</v>
      </c>
      <c r="CE564">
        <v>10</v>
      </c>
      <c r="CF564">
        <v>11.1</v>
      </c>
      <c r="CG564">
        <v>9</v>
      </c>
      <c r="CH564">
        <v>11.3</v>
      </c>
      <c r="CI564">
        <v>9</v>
      </c>
    </row>
    <row r="565" spans="1:87" x14ac:dyDescent="0.35">
      <c r="A565" s="1">
        <v>46059.850694444445</v>
      </c>
      <c r="B565">
        <v>-19.3</v>
      </c>
      <c r="C565">
        <v>-17.899999999999999</v>
      </c>
      <c r="D565">
        <v>-25</v>
      </c>
      <c r="E565">
        <v>-19.100000000000001</v>
      </c>
      <c r="F565">
        <v>-19.3</v>
      </c>
      <c r="G565">
        <v>-25</v>
      </c>
      <c r="H565">
        <v>-16.2</v>
      </c>
      <c r="I565">
        <v>-19.600000000000001</v>
      </c>
      <c r="J565">
        <v>-25</v>
      </c>
      <c r="K565">
        <v>-17.3</v>
      </c>
      <c r="L565">
        <v>9.9</v>
      </c>
      <c r="M565">
        <v>-25</v>
      </c>
      <c r="N565">
        <v>-18.7</v>
      </c>
      <c r="O565">
        <v>-18.5</v>
      </c>
      <c r="P565">
        <v>-25</v>
      </c>
      <c r="Q565">
        <v>-18.600000000000001</v>
      </c>
      <c r="R565">
        <v>-18.3</v>
      </c>
      <c r="S565">
        <v>-25</v>
      </c>
      <c r="T565">
        <v>3.6</v>
      </c>
      <c r="U565">
        <v>3.7</v>
      </c>
      <c r="V565">
        <v>2</v>
      </c>
      <c r="W565">
        <v>3.7</v>
      </c>
      <c r="X565">
        <v>3.5</v>
      </c>
      <c r="Y565">
        <v>2</v>
      </c>
      <c r="Z565">
        <v>3.6</v>
      </c>
      <c r="AA565">
        <v>3.3</v>
      </c>
      <c r="AB565">
        <v>2</v>
      </c>
      <c r="AC565">
        <v>3.3</v>
      </c>
      <c r="AD565">
        <v>3.2</v>
      </c>
      <c r="AE565">
        <v>2</v>
      </c>
      <c r="AF565">
        <v>2.1</v>
      </c>
      <c r="AG565">
        <v>1.9</v>
      </c>
      <c r="AH565">
        <v>2</v>
      </c>
      <c r="AI565">
        <v>1.9</v>
      </c>
      <c r="AJ565">
        <v>1.5</v>
      </c>
      <c r="AK565">
        <v>2</v>
      </c>
      <c r="AL565">
        <v>4.9000000000000004</v>
      </c>
      <c r="AM565">
        <v>4</v>
      </c>
      <c r="AN565">
        <v>5.4</v>
      </c>
      <c r="AO565">
        <v>4</v>
      </c>
      <c r="AP565">
        <v>4.4000000000000004</v>
      </c>
      <c r="AQ565">
        <v>4</v>
      </c>
      <c r="AR565">
        <v>3.5</v>
      </c>
      <c r="AS565">
        <v>4</v>
      </c>
      <c r="AT565">
        <v>-4.8</v>
      </c>
      <c r="AU565">
        <v>-5.4</v>
      </c>
      <c r="AV565">
        <v>-5</v>
      </c>
      <c r="AW565">
        <v>-2.9</v>
      </c>
      <c r="AX565">
        <v>-5.2</v>
      </c>
      <c r="AY565">
        <v>-5</v>
      </c>
      <c r="AZ565">
        <v>10.1</v>
      </c>
      <c r="BA565">
        <v>10</v>
      </c>
      <c r="BB565">
        <v>11.9</v>
      </c>
      <c r="BC565">
        <v>10</v>
      </c>
      <c r="BD565">
        <v>4.4000000000000004</v>
      </c>
      <c r="BE565">
        <v>4</v>
      </c>
      <c r="BF565">
        <v>11.3</v>
      </c>
      <c r="BG565">
        <v>10</v>
      </c>
      <c r="BH565">
        <v>11.2</v>
      </c>
      <c r="BI565">
        <v>10</v>
      </c>
      <c r="BJ565">
        <v>11.6</v>
      </c>
      <c r="BK565">
        <v>9</v>
      </c>
      <c r="BL565">
        <v>20.8</v>
      </c>
      <c r="BM565">
        <v>19</v>
      </c>
      <c r="BN565">
        <v>23.6</v>
      </c>
      <c r="BO565">
        <v>19</v>
      </c>
      <c r="BP565">
        <v>21.8</v>
      </c>
      <c r="BQ565">
        <v>20</v>
      </c>
      <c r="BR565">
        <v>21.6</v>
      </c>
      <c r="BS565">
        <v>25</v>
      </c>
      <c r="BT565">
        <v>21.9</v>
      </c>
      <c r="BU565">
        <v>25</v>
      </c>
      <c r="BV565">
        <v>23.5</v>
      </c>
      <c r="BW565">
        <v>18</v>
      </c>
      <c r="BX565">
        <v>21.7</v>
      </c>
      <c r="BY565">
        <v>20</v>
      </c>
      <c r="BZ565">
        <v>20.8</v>
      </c>
      <c r="CA565">
        <v>20</v>
      </c>
      <c r="CB565">
        <v>11.2</v>
      </c>
      <c r="CC565">
        <v>10</v>
      </c>
      <c r="CD565">
        <v>10.4</v>
      </c>
      <c r="CE565">
        <v>10</v>
      </c>
      <c r="CF565">
        <v>10.9</v>
      </c>
      <c r="CG565">
        <v>9</v>
      </c>
      <c r="CH565">
        <v>11.1</v>
      </c>
      <c r="CI565">
        <v>9</v>
      </c>
    </row>
    <row r="566" spans="1:87" x14ac:dyDescent="0.35">
      <c r="A566" s="1">
        <v>46059.851388888892</v>
      </c>
      <c r="B566">
        <v>-19.2</v>
      </c>
      <c r="C566">
        <v>-17.8</v>
      </c>
      <c r="D566">
        <v>-25</v>
      </c>
      <c r="E566">
        <v>-19</v>
      </c>
      <c r="F566">
        <v>-19.3</v>
      </c>
      <c r="G566">
        <v>-25</v>
      </c>
      <c r="H566">
        <v>-16.100000000000001</v>
      </c>
      <c r="I566">
        <v>-19.5</v>
      </c>
      <c r="J566">
        <v>-25</v>
      </c>
      <c r="K566">
        <v>-17.3</v>
      </c>
      <c r="L566">
        <v>10.1</v>
      </c>
      <c r="M566">
        <v>-25</v>
      </c>
      <c r="N566">
        <v>-18.600000000000001</v>
      </c>
      <c r="O566">
        <v>-18.399999999999999</v>
      </c>
      <c r="P566">
        <v>-25</v>
      </c>
      <c r="Q566">
        <v>-18.5</v>
      </c>
      <c r="R566">
        <v>-18.2</v>
      </c>
      <c r="S566">
        <v>-25</v>
      </c>
      <c r="T566">
        <v>3.8</v>
      </c>
      <c r="U566">
        <v>3.7</v>
      </c>
      <c r="V566">
        <v>2</v>
      </c>
      <c r="W566">
        <v>3.7</v>
      </c>
      <c r="X566">
        <v>3.5</v>
      </c>
      <c r="Y566">
        <v>2</v>
      </c>
      <c r="Z566">
        <v>3.6</v>
      </c>
      <c r="AA566">
        <v>3.3</v>
      </c>
      <c r="AB566">
        <v>2</v>
      </c>
      <c r="AC566">
        <v>3.4</v>
      </c>
      <c r="AD566">
        <v>3.3</v>
      </c>
      <c r="AE566">
        <v>2</v>
      </c>
      <c r="AF566">
        <v>2.2999999999999998</v>
      </c>
      <c r="AG566">
        <v>2.1</v>
      </c>
      <c r="AH566">
        <v>2</v>
      </c>
      <c r="AI566">
        <v>2.1</v>
      </c>
      <c r="AJ566">
        <v>1.9</v>
      </c>
      <c r="AK566">
        <v>2</v>
      </c>
      <c r="AL566">
        <v>5</v>
      </c>
      <c r="AM566">
        <v>4</v>
      </c>
      <c r="AN566">
        <v>5.4</v>
      </c>
      <c r="AO566">
        <v>4</v>
      </c>
      <c r="AP566">
        <v>4.5999999999999996</v>
      </c>
      <c r="AQ566">
        <v>4</v>
      </c>
      <c r="AR566">
        <v>3</v>
      </c>
      <c r="AS566">
        <v>4</v>
      </c>
      <c r="AT566">
        <v>-4.3</v>
      </c>
      <c r="AU566">
        <v>-4.7</v>
      </c>
      <c r="AV566">
        <v>-5</v>
      </c>
      <c r="AW566">
        <v>-3.5</v>
      </c>
      <c r="AX566">
        <v>-6.1</v>
      </c>
      <c r="AY566">
        <v>-5</v>
      </c>
      <c r="AZ566">
        <v>10.199999999999999</v>
      </c>
      <c r="BA566">
        <v>10</v>
      </c>
      <c r="BB566">
        <v>11.7</v>
      </c>
      <c r="BC566">
        <v>10</v>
      </c>
      <c r="BD566">
        <v>4.5999999999999996</v>
      </c>
      <c r="BE566">
        <v>4</v>
      </c>
      <c r="BF566">
        <v>11.5</v>
      </c>
      <c r="BG566">
        <v>10</v>
      </c>
      <c r="BH566">
        <v>11.2</v>
      </c>
      <c r="BI566">
        <v>10</v>
      </c>
      <c r="BJ566">
        <v>11.6</v>
      </c>
      <c r="BK566">
        <v>9</v>
      </c>
      <c r="BL566">
        <v>20.8</v>
      </c>
      <c r="BM566">
        <v>19</v>
      </c>
      <c r="BN566">
        <v>23.6</v>
      </c>
      <c r="BO566">
        <v>19</v>
      </c>
      <c r="BP566">
        <v>21.8</v>
      </c>
      <c r="BQ566">
        <v>20</v>
      </c>
      <c r="BR566">
        <v>21.6</v>
      </c>
      <c r="BS566">
        <v>25</v>
      </c>
      <c r="BT566">
        <v>21.9</v>
      </c>
      <c r="BU566">
        <v>25</v>
      </c>
      <c r="BV566">
        <v>23.5</v>
      </c>
      <c r="BW566">
        <v>18</v>
      </c>
      <c r="BX566">
        <v>21.7</v>
      </c>
      <c r="BY566">
        <v>20</v>
      </c>
      <c r="BZ566">
        <v>20.9</v>
      </c>
      <c r="CA566">
        <v>20</v>
      </c>
      <c r="CB566">
        <v>11</v>
      </c>
      <c r="CC566">
        <v>10</v>
      </c>
      <c r="CD566">
        <v>10.5</v>
      </c>
      <c r="CE566">
        <v>10</v>
      </c>
      <c r="CF566">
        <v>10.8</v>
      </c>
      <c r="CG566">
        <v>9</v>
      </c>
      <c r="CH566">
        <v>11</v>
      </c>
      <c r="CI566">
        <v>9</v>
      </c>
    </row>
    <row r="567" spans="1:87" x14ac:dyDescent="0.35">
      <c r="A567" s="1">
        <v>46059.852083333331</v>
      </c>
      <c r="B567">
        <v>-19.100000000000001</v>
      </c>
      <c r="C567">
        <v>-17.8</v>
      </c>
      <c r="D567">
        <v>-25</v>
      </c>
      <c r="E567">
        <v>-19</v>
      </c>
      <c r="F567">
        <v>-19.2</v>
      </c>
      <c r="G567">
        <v>-25</v>
      </c>
      <c r="H567">
        <v>-16.100000000000001</v>
      </c>
      <c r="I567">
        <v>-19.399999999999999</v>
      </c>
      <c r="J567">
        <v>-25</v>
      </c>
      <c r="K567">
        <v>-17.3</v>
      </c>
      <c r="L567">
        <v>7.6</v>
      </c>
      <c r="M567">
        <v>-25</v>
      </c>
      <c r="N567">
        <v>-18.5</v>
      </c>
      <c r="O567">
        <v>-18.399999999999999</v>
      </c>
      <c r="P567">
        <v>-25</v>
      </c>
      <c r="Q567">
        <v>-18.399999999999999</v>
      </c>
      <c r="R567">
        <v>-18.2</v>
      </c>
      <c r="S567">
        <v>-25</v>
      </c>
      <c r="T567">
        <v>3.9</v>
      </c>
      <c r="U567">
        <v>3.7</v>
      </c>
      <c r="V567">
        <v>2</v>
      </c>
      <c r="W567">
        <v>3.7</v>
      </c>
      <c r="X567">
        <v>3.6</v>
      </c>
      <c r="Y567">
        <v>2</v>
      </c>
      <c r="Z567">
        <v>3.7</v>
      </c>
      <c r="AA567">
        <v>3.4</v>
      </c>
      <c r="AB567">
        <v>2</v>
      </c>
      <c r="AC567">
        <v>3.5</v>
      </c>
      <c r="AD567">
        <v>3.4</v>
      </c>
      <c r="AE567">
        <v>2</v>
      </c>
      <c r="AF567">
        <v>2.5</v>
      </c>
      <c r="AG567">
        <v>2.2999999999999998</v>
      </c>
      <c r="AH567">
        <v>2</v>
      </c>
      <c r="AI567">
        <v>2.4</v>
      </c>
      <c r="AJ567">
        <v>2.1</v>
      </c>
      <c r="AK567">
        <v>2</v>
      </c>
      <c r="AL567">
        <v>5</v>
      </c>
      <c r="AM567">
        <v>4</v>
      </c>
      <c r="AN567">
        <v>5.5</v>
      </c>
      <c r="AO567">
        <v>4</v>
      </c>
      <c r="AP567">
        <v>4.8</v>
      </c>
      <c r="AQ567">
        <v>4</v>
      </c>
      <c r="AR567">
        <v>3</v>
      </c>
      <c r="AS567">
        <v>4</v>
      </c>
      <c r="AT567">
        <v>-3.9</v>
      </c>
      <c r="AU567">
        <v>-4.2</v>
      </c>
      <c r="AV567">
        <v>-5</v>
      </c>
      <c r="AW567">
        <v>-4</v>
      </c>
      <c r="AX567">
        <v>-6.8</v>
      </c>
      <c r="AY567">
        <v>-5</v>
      </c>
      <c r="AZ567">
        <v>10.4</v>
      </c>
      <c r="BA567">
        <v>10</v>
      </c>
      <c r="BB567">
        <v>11.3</v>
      </c>
      <c r="BC567">
        <v>10</v>
      </c>
      <c r="BD567">
        <v>4.9000000000000004</v>
      </c>
      <c r="BE567">
        <v>4</v>
      </c>
      <c r="BF567">
        <v>11.8</v>
      </c>
      <c r="BG567">
        <v>10</v>
      </c>
      <c r="BH567">
        <v>11.2</v>
      </c>
      <c r="BI567">
        <v>10</v>
      </c>
      <c r="BJ567">
        <v>11.6</v>
      </c>
      <c r="BK567">
        <v>9</v>
      </c>
      <c r="BL567">
        <v>20.8</v>
      </c>
      <c r="BM567">
        <v>19</v>
      </c>
      <c r="BN567">
        <v>23.6</v>
      </c>
      <c r="BO567">
        <v>19</v>
      </c>
      <c r="BP567">
        <v>21.8</v>
      </c>
      <c r="BQ567">
        <v>20</v>
      </c>
      <c r="BR567">
        <v>21.6</v>
      </c>
      <c r="BS567">
        <v>25</v>
      </c>
      <c r="BT567">
        <v>21.9</v>
      </c>
      <c r="BU567">
        <v>25</v>
      </c>
      <c r="BV567">
        <v>23.5</v>
      </c>
      <c r="BW567">
        <v>18</v>
      </c>
      <c r="BX567">
        <v>21.7</v>
      </c>
      <c r="BY567">
        <v>20</v>
      </c>
      <c r="BZ567">
        <v>20.9</v>
      </c>
      <c r="CA567">
        <v>20</v>
      </c>
      <c r="CB567">
        <v>10.8</v>
      </c>
      <c r="CC567">
        <v>10</v>
      </c>
      <c r="CD567">
        <v>10.6</v>
      </c>
      <c r="CE567">
        <v>10</v>
      </c>
      <c r="CF567">
        <v>10.9</v>
      </c>
      <c r="CG567">
        <v>9</v>
      </c>
      <c r="CH567">
        <v>11.1</v>
      </c>
      <c r="CI567">
        <v>9</v>
      </c>
    </row>
    <row r="568" spans="1:87" x14ac:dyDescent="0.35">
      <c r="A568" s="1">
        <v>46059.852777777778</v>
      </c>
      <c r="B568">
        <v>-19</v>
      </c>
      <c r="C568">
        <v>-17.7</v>
      </c>
      <c r="D568">
        <v>-25</v>
      </c>
      <c r="E568">
        <v>-18.899999999999999</v>
      </c>
      <c r="F568">
        <v>-19.100000000000001</v>
      </c>
      <c r="G568">
        <v>-25</v>
      </c>
      <c r="H568">
        <v>-16</v>
      </c>
      <c r="I568">
        <v>-19.3</v>
      </c>
      <c r="J568">
        <v>-25</v>
      </c>
      <c r="K568">
        <v>-17.3</v>
      </c>
      <c r="L568">
        <v>3.8</v>
      </c>
      <c r="M568">
        <v>-25</v>
      </c>
      <c r="N568">
        <v>-18.5</v>
      </c>
      <c r="O568">
        <v>-18.3</v>
      </c>
      <c r="P568">
        <v>-25</v>
      </c>
      <c r="Q568">
        <v>-18.399999999999999</v>
      </c>
      <c r="R568">
        <v>-18.100000000000001</v>
      </c>
      <c r="S568">
        <v>-25</v>
      </c>
      <c r="T568">
        <v>3.9</v>
      </c>
      <c r="U568">
        <v>3.7</v>
      </c>
      <c r="V568">
        <v>2</v>
      </c>
      <c r="W568">
        <v>3.7</v>
      </c>
      <c r="X568">
        <v>3.6</v>
      </c>
      <c r="Y568">
        <v>2</v>
      </c>
      <c r="Z568">
        <v>3.7</v>
      </c>
      <c r="AA568">
        <v>3.5</v>
      </c>
      <c r="AB568">
        <v>2</v>
      </c>
      <c r="AC568">
        <v>3.6</v>
      </c>
      <c r="AD568">
        <v>3.4</v>
      </c>
      <c r="AE568">
        <v>2</v>
      </c>
      <c r="AF568">
        <v>2.7</v>
      </c>
      <c r="AG568">
        <v>2.5</v>
      </c>
      <c r="AH568">
        <v>2</v>
      </c>
      <c r="AI568">
        <v>2.5</v>
      </c>
      <c r="AJ568">
        <v>2.4</v>
      </c>
      <c r="AK568">
        <v>2</v>
      </c>
      <c r="AL568">
        <v>5.0999999999999996</v>
      </c>
      <c r="AM568">
        <v>4</v>
      </c>
      <c r="AN568">
        <v>5.5</v>
      </c>
      <c r="AO568">
        <v>4</v>
      </c>
      <c r="AP568">
        <v>4.9000000000000004</v>
      </c>
      <c r="AQ568">
        <v>4</v>
      </c>
      <c r="AR568">
        <v>3.2</v>
      </c>
      <c r="AS568">
        <v>4</v>
      </c>
      <c r="AT568">
        <v>-3.4</v>
      </c>
      <c r="AU568">
        <v>-3.7</v>
      </c>
      <c r="AV568">
        <v>-5</v>
      </c>
      <c r="AW568">
        <v>-4.5</v>
      </c>
      <c r="AX568">
        <v>-5.7</v>
      </c>
      <c r="AY568">
        <v>-5</v>
      </c>
      <c r="AZ568">
        <v>10.5</v>
      </c>
      <c r="BA568">
        <v>10</v>
      </c>
      <c r="BB568">
        <v>11.2</v>
      </c>
      <c r="BC568">
        <v>10</v>
      </c>
      <c r="BD568">
        <v>5.0999999999999996</v>
      </c>
      <c r="BE568">
        <v>4</v>
      </c>
      <c r="BF568">
        <v>12.1</v>
      </c>
      <c r="BG568">
        <v>10</v>
      </c>
      <c r="BH568">
        <v>11.1</v>
      </c>
      <c r="BI568">
        <v>10</v>
      </c>
      <c r="BJ568">
        <v>11.6</v>
      </c>
      <c r="BK568">
        <v>9</v>
      </c>
      <c r="BL568">
        <v>20.8</v>
      </c>
      <c r="BM568">
        <v>19</v>
      </c>
      <c r="BN568">
        <v>23.6</v>
      </c>
      <c r="BO568">
        <v>19</v>
      </c>
      <c r="BP568">
        <v>21.8</v>
      </c>
      <c r="BQ568">
        <v>20</v>
      </c>
      <c r="BR568">
        <v>21.6</v>
      </c>
      <c r="BS568">
        <v>25</v>
      </c>
      <c r="BT568">
        <v>21.9</v>
      </c>
      <c r="BU568">
        <v>25</v>
      </c>
      <c r="BV568">
        <v>23.5</v>
      </c>
      <c r="BW568">
        <v>18</v>
      </c>
      <c r="BX568">
        <v>21.7</v>
      </c>
      <c r="BY568">
        <v>20</v>
      </c>
      <c r="BZ568">
        <v>21</v>
      </c>
      <c r="CA568">
        <v>20</v>
      </c>
      <c r="CB568">
        <v>10.7</v>
      </c>
      <c r="CC568">
        <v>10</v>
      </c>
      <c r="CD568">
        <v>10.6</v>
      </c>
      <c r="CE568">
        <v>10</v>
      </c>
      <c r="CF568">
        <v>10.8</v>
      </c>
      <c r="CG568">
        <v>9</v>
      </c>
      <c r="CH568">
        <v>11</v>
      </c>
      <c r="CI568">
        <v>9</v>
      </c>
    </row>
    <row r="569" spans="1:87" x14ac:dyDescent="0.35">
      <c r="A569" s="1">
        <v>46059.853472222225</v>
      </c>
      <c r="B569">
        <v>-19</v>
      </c>
      <c r="C569">
        <v>-17.600000000000001</v>
      </c>
      <c r="D569">
        <v>-25</v>
      </c>
      <c r="E569">
        <v>-18.8</v>
      </c>
      <c r="F569">
        <v>-19.100000000000001</v>
      </c>
      <c r="G569">
        <v>-25</v>
      </c>
      <c r="H569">
        <v>-16</v>
      </c>
      <c r="I569">
        <v>-19.3</v>
      </c>
      <c r="J569">
        <v>-25</v>
      </c>
      <c r="K569">
        <v>-17.3</v>
      </c>
      <c r="L569">
        <v>0.6</v>
      </c>
      <c r="M569">
        <v>-25</v>
      </c>
      <c r="N569">
        <v>-18.399999999999999</v>
      </c>
      <c r="O569">
        <v>-18.3</v>
      </c>
      <c r="P569">
        <v>-25</v>
      </c>
      <c r="Q569">
        <v>-18.3</v>
      </c>
      <c r="R569">
        <v>-18.100000000000001</v>
      </c>
      <c r="S569">
        <v>-25</v>
      </c>
      <c r="T569">
        <v>4</v>
      </c>
      <c r="U569">
        <v>2.6</v>
      </c>
      <c r="V569">
        <v>2</v>
      </c>
      <c r="W569">
        <v>3.7</v>
      </c>
      <c r="X569">
        <v>3.7</v>
      </c>
      <c r="Y569">
        <v>2</v>
      </c>
      <c r="Z569">
        <v>3.8</v>
      </c>
      <c r="AA569">
        <v>3.6</v>
      </c>
      <c r="AB569">
        <v>2</v>
      </c>
      <c r="AC569">
        <v>3.6</v>
      </c>
      <c r="AD569">
        <v>3.5</v>
      </c>
      <c r="AE569">
        <v>2</v>
      </c>
      <c r="AF569">
        <v>2.9</v>
      </c>
      <c r="AG569">
        <v>2.7</v>
      </c>
      <c r="AH569">
        <v>2</v>
      </c>
      <c r="AI569">
        <v>2.7</v>
      </c>
      <c r="AJ569">
        <v>2.5</v>
      </c>
      <c r="AK569">
        <v>2</v>
      </c>
      <c r="AL569">
        <v>5.0999999999999996</v>
      </c>
      <c r="AM569">
        <v>4</v>
      </c>
      <c r="AN569">
        <v>5.5</v>
      </c>
      <c r="AO569">
        <v>4</v>
      </c>
      <c r="AP569">
        <v>5.0999999999999996</v>
      </c>
      <c r="AQ569">
        <v>4</v>
      </c>
      <c r="AR569">
        <v>3.5</v>
      </c>
      <c r="AS569">
        <v>4</v>
      </c>
      <c r="AT569">
        <v>-3</v>
      </c>
      <c r="AU569">
        <v>-3.3</v>
      </c>
      <c r="AV569">
        <v>-5</v>
      </c>
      <c r="AW569">
        <v>-4</v>
      </c>
      <c r="AX569">
        <v>-4.3</v>
      </c>
      <c r="AY569">
        <v>-5</v>
      </c>
      <c r="AZ569">
        <v>10.6</v>
      </c>
      <c r="BA569">
        <v>10</v>
      </c>
      <c r="BB569">
        <v>11</v>
      </c>
      <c r="BC569">
        <v>10</v>
      </c>
      <c r="BD569">
        <v>5.3</v>
      </c>
      <c r="BE569">
        <v>4</v>
      </c>
      <c r="BF569">
        <v>11.7</v>
      </c>
      <c r="BG569">
        <v>10</v>
      </c>
      <c r="BH569">
        <v>11.1</v>
      </c>
      <c r="BI569">
        <v>10</v>
      </c>
      <c r="BJ569">
        <v>11.6</v>
      </c>
      <c r="BK569">
        <v>9</v>
      </c>
      <c r="BL569">
        <v>20.8</v>
      </c>
      <c r="BM569">
        <v>19</v>
      </c>
      <c r="BN569">
        <v>23.6</v>
      </c>
      <c r="BO569">
        <v>19</v>
      </c>
      <c r="BP569">
        <v>21.8</v>
      </c>
      <c r="BQ569">
        <v>20</v>
      </c>
      <c r="BR569">
        <v>21.6</v>
      </c>
      <c r="BS569">
        <v>25</v>
      </c>
      <c r="BT569">
        <v>21.9</v>
      </c>
      <c r="BU569">
        <v>25</v>
      </c>
      <c r="BV569">
        <v>23.5</v>
      </c>
      <c r="BW569">
        <v>18</v>
      </c>
      <c r="BX569">
        <v>21.7</v>
      </c>
      <c r="BY569">
        <v>20</v>
      </c>
      <c r="BZ569">
        <v>21</v>
      </c>
      <c r="CA569">
        <v>20</v>
      </c>
      <c r="CB569">
        <v>10.5</v>
      </c>
      <c r="CC569">
        <v>10</v>
      </c>
      <c r="CD569">
        <v>10.6</v>
      </c>
      <c r="CE569">
        <v>10</v>
      </c>
      <c r="CF569">
        <v>10.9</v>
      </c>
      <c r="CG569">
        <v>9</v>
      </c>
      <c r="CH569">
        <v>11.2</v>
      </c>
      <c r="CI569">
        <v>9</v>
      </c>
    </row>
    <row r="570" spans="1:87" x14ac:dyDescent="0.35">
      <c r="A570" s="1">
        <v>46059.854166666664</v>
      </c>
      <c r="B570">
        <v>-18.899999999999999</v>
      </c>
      <c r="C570">
        <v>-17.600000000000001</v>
      </c>
      <c r="D570">
        <v>-25</v>
      </c>
      <c r="E570">
        <v>-18.8</v>
      </c>
      <c r="F570">
        <v>-19</v>
      </c>
      <c r="G570">
        <v>-25</v>
      </c>
      <c r="H570">
        <v>-16</v>
      </c>
      <c r="I570">
        <v>-19.3</v>
      </c>
      <c r="J570">
        <v>-25</v>
      </c>
      <c r="K570">
        <v>-17.3</v>
      </c>
      <c r="L570">
        <v>-1.8</v>
      </c>
      <c r="M570">
        <v>-25</v>
      </c>
      <c r="N570">
        <v>-18.3</v>
      </c>
      <c r="O570">
        <v>-18.2</v>
      </c>
      <c r="P570">
        <v>-25</v>
      </c>
      <c r="Q570">
        <v>-18.2</v>
      </c>
      <c r="R570">
        <v>-18</v>
      </c>
      <c r="S570">
        <v>-25</v>
      </c>
      <c r="T570">
        <v>4.0999999999999996</v>
      </c>
      <c r="U570">
        <v>-3.7</v>
      </c>
      <c r="V570">
        <v>2</v>
      </c>
      <c r="W570">
        <v>3.7</v>
      </c>
      <c r="X570">
        <v>3.7</v>
      </c>
      <c r="Y570">
        <v>2</v>
      </c>
      <c r="Z570">
        <v>3.9</v>
      </c>
      <c r="AA570">
        <v>3.7</v>
      </c>
      <c r="AB570">
        <v>2</v>
      </c>
      <c r="AC570">
        <v>3.7</v>
      </c>
      <c r="AD570">
        <v>3.6</v>
      </c>
      <c r="AE570">
        <v>2</v>
      </c>
      <c r="AF570">
        <v>3</v>
      </c>
      <c r="AG570">
        <v>2.9</v>
      </c>
      <c r="AH570">
        <v>2</v>
      </c>
      <c r="AI570">
        <v>2.9</v>
      </c>
      <c r="AJ570">
        <v>2.8</v>
      </c>
      <c r="AK570">
        <v>2</v>
      </c>
      <c r="AL570">
        <v>5.2</v>
      </c>
      <c r="AM570">
        <v>4</v>
      </c>
      <c r="AN570">
        <v>5.6</v>
      </c>
      <c r="AO570">
        <v>4</v>
      </c>
      <c r="AP570">
        <v>5.3</v>
      </c>
      <c r="AQ570">
        <v>4</v>
      </c>
      <c r="AR570">
        <v>3.9</v>
      </c>
      <c r="AS570">
        <v>4</v>
      </c>
      <c r="AT570">
        <v>-2.9</v>
      </c>
      <c r="AU570">
        <v>-3.3</v>
      </c>
      <c r="AV570">
        <v>-5</v>
      </c>
      <c r="AW570">
        <v>-3.4</v>
      </c>
      <c r="AX570">
        <v>-3.5</v>
      </c>
      <c r="AY570">
        <v>-5</v>
      </c>
      <c r="AZ570">
        <v>10.7</v>
      </c>
      <c r="BA570">
        <v>10</v>
      </c>
      <c r="BB570">
        <v>10.9</v>
      </c>
      <c r="BC570">
        <v>10</v>
      </c>
      <c r="BD570">
        <v>5.4</v>
      </c>
      <c r="BE570">
        <v>4</v>
      </c>
      <c r="BF570">
        <v>11</v>
      </c>
      <c r="BG570">
        <v>10</v>
      </c>
      <c r="BH570">
        <v>11.1</v>
      </c>
      <c r="BI570">
        <v>10</v>
      </c>
      <c r="BJ570">
        <v>11.6</v>
      </c>
      <c r="BK570">
        <v>9</v>
      </c>
      <c r="BL570">
        <v>20.8</v>
      </c>
      <c r="BM570">
        <v>19</v>
      </c>
      <c r="BN570">
        <v>23.6</v>
      </c>
      <c r="BO570">
        <v>19</v>
      </c>
      <c r="BP570">
        <v>21.8</v>
      </c>
      <c r="BQ570">
        <v>20</v>
      </c>
      <c r="BR570">
        <v>21.6</v>
      </c>
      <c r="BS570">
        <v>25</v>
      </c>
      <c r="BT570">
        <v>21.9</v>
      </c>
      <c r="BU570">
        <v>25</v>
      </c>
      <c r="BV570">
        <v>23.5</v>
      </c>
      <c r="BW570">
        <v>18</v>
      </c>
      <c r="BX570">
        <v>21.8</v>
      </c>
      <c r="BY570">
        <v>20</v>
      </c>
      <c r="BZ570">
        <v>21.1</v>
      </c>
      <c r="CA570">
        <v>20</v>
      </c>
      <c r="CB570">
        <v>10.4</v>
      </c>
      <c r="CC570">
        <v>10</v>
      </c>
      <c r="CD570">
        <v>10.7</v>
      </c>
      <c r="CE570">
        <v>10</v>
      </c>
      <c r="CF570">
        <v>11.1</v>
      </c>
      <c r="CG570">
        <v>9</v>
      </c>
      <c r="CH570">
        <v>11.3</v>
      </c>
      <c r="CI570">
        <v>9</v>
      </c>
    </row>
    <row r="571" spans="1:87" x14ac:dyDescent="0.35">
      <c r="A571" s="1">
        <v>46059.854861111111</v>
      </c>
      <c r="B571">
        <v>-18.899999999999999</v>
      </c>
      <c r="C571">
        <v>-17.5</v>
      </c>
      <c r="D571">
        <v>-25</v>
      </c>
      <c r="E571">
        <v>-18.8</v>
      </c>
      <c r="F571">
        <v>-19</v>
      </c>
      <c r="G571">
        <v>-25</v>
      </c>
      <c r="H571">
        <v>-16</v>
      </c>
      <c r="I571">
        <v>-19.3</v>
      </c>
      <c r="J571">
        <v>-25</v>
      </c>
      <c r="K571">
        <v>-16.100000000000001</v>
      </c>
      <c r="L571">
        <v>-3.3</v>
      </c>
      <c r="M571">
        <v>-25</v>
      </c>
      <c r="N571">
        <v>-18.2</v>
      </c>
      <c r="O571">
        <v>-18.100000000000001</v>
      </c>
      <c r="P571">
        <v>-25</v>
      </c>
      <c r="Q571">
        <v>-18.100000000000001</v>
      </c>
      <c r="R571">
        <v>-17.899999999999999</v>
      </c>
      <c r="S571">
        <v>-25</v>
      </c>
      <c r="T571">
        <v>4.0999999999999996</v>
      </c>
      <c r="U571">
        <v>-10.7</v>
      </c>
      <c r="V571">
        <v>2</v>
      </c>
      <c r="W571">
        <v>3.7</v>
      </c>
      <c r="X571">
        <v>3.7</v>
      </c>
      <c r="Y571">
        <v>2</v>
      </c>
      <c r="Z571">
        <v>3.9</v>
      </c>
      <c r="AA571">
        <v>3.7</v>
      </c>
      <c r="AB571">
        <v>2</v>
      </c>
      <c r="AC571">
        <v>3.8</v>
      </c>
      <c r="AD571">
        <v>3.6</v>
      </c>
      <c r="AE571">
        <v>2</v>
      </c>
      <c r="AF571">
        <v>3.2</v>
      </c>
      <c r="AG571">
        <v>3.1</v>
      </c>
      <c r="AH571">
        <v>2</v>
      </c>
      <c r="AI571">
        <v>3</v>
      </c>
      <c r="AJ571">
        <v>2.9</v>
      </c>
      <c r="AK571">
        <v>2</v>
      </c>
      <c r="AL571">
        <v>5.2</v>
      </c>
      <c r="AM571">
        <v>4</v>
      </c>
      <c r="AN571">
        <v>5.6</v>
      </c>
      <c r="AO571">
        <v>4</v>
      </c>
      <c r="AP571">
        <v>5.5</v>
      </c>
      <c r="AQ571">
        <v>4</v>
      </c>
      <c r="AR571">
        <v>4.2</v>
      </c>
      <c r="AS571">
        <v>4</v>
      </c>
      <c r="AT571">
        <v>-3</v>
      </c>
      <c r="AU571">
        <v>-4.7</v>
      </c>
      <c r="AV571">
        <v>-5</v>
      </c>
      <c r="AW571">
        <v>-3.4</v>
      </c>
      <c r="AX571">
        <v>-3.6</v>
      </c>
      <c r="AY571">
        <v>-5</v>
      </c>
      <c r="AZ571">
        <v>10.8</v>
      </c>
      <c r="BA571">
        <v>10</v>
      </c>
      <c r="BB571">
        <v>10.7</v>
      </c>
      <c r="BC571">
        <v>10</v>
      </c>
      <c r="BD571">
        <v>5.6</v>
      </c>
      <c r="BE571">
        <v>4</v>
      </c>
      <c r="BF571">
        <v>10</v>
      </c>
      <c r="BG571">
        <v>10</v>
      </c>
      <c r="BH571">
        <v>11</v>
      </c>
      <c r="BI571">
        <v>10</v>
      </c>
      <c r="BJ571">
        <v>11.6</v>
      </c>
      <c r="BK571">
        <v>9</v>
      </c>
      <c r="BL571">
        <v>20.9</v>
      </c>
      <c r="BM571">
        <v>19</v>
      </c>
      <c r="BN571">
        <v>23.6</v>
      </c>
      <c r="BO571">
        <v>19</v>
      </c>
      <c r="BP571">
        <v>21.8</v>
      </c>
      <c r="BQ571">
        <v>20</v>
      </c>
      <c r="BR571">
        <v>21.6</v>
      </c>
      <c r="BS571">
        <v>25</v>
      </c>
      <c r="BT571">
        <v>21.9</v>
      </c>
      <c r="BU571">
        <v>25</v>
      </c>
      <c r="BV571">
        <v>23.5</v>
      </c>
      <c r="BW571">
        <v>18</v>
      </c>
      <c r="BX571">
        <v>21.8</v>
      </c>
      <c r="BY571">
        <v>20</v>
      </c>
      <c r="BZ571">
        <v>21.1</v>
      </c>
      <c r="CA571">
        <v>20</v>
      </c>
      <c r="CB571">
        <v>10.199999999999999</v>
      </c>
      <c r="CC571">
        <v>10</v>
      </c>
      <c r="CD571">
        <v>10.8</v>
      </c>
      <c r="CE571">
        <v>10</v>
      </c>
      <c r="CF571">
        <v>10.9</v>
      </c>
      <c r="CG571">
        <v>9</v>
      </c>
      <c r="CH571">
        <v>11.1</v>
      </c>
      <c r="CI571">
        <v>9</v>
      </c>
    </row>
    <row r="572" spans="1:87" x14ac:dyDescent="0.35">
      <c r="A572" s="1">
        <v>46059.855555555558</v>
      </c>
      <c r="B572">
        <v>-18.899999999999999</v>
      </c>
      <c r="C572">
        <v>-17.5</v>
      </c>
      <c r="D572">
        <v>-25</v>
      </c>
      <c r="E572">
        <v>-18.8</v>
      </c>
      <c r="F572">
        <v>-19</v>
      </c>
      <c r="G572">
        <v>-25</v>
      </c>
      <c r="H572">
        <v>-16</v>
      </c>
      <c r="I572">
        <v>-19.3</v>
      </c>
      <c r="J572">
        <v>-25</v>
      </c>
      <c r="K572">
        <v>-16.100000000000001</v>
      </c>
      <c r="L572">
        <v>-4.8</v>
      </c>
      <c r="M572">
        <v>-25</v>
      </c>
      <c r="N572">
        <v>-18.100000000000001</v>
      </c>
      <c r="O572">
        <v>-17.899999999999999</v>
      </c>
      <c r="P572">
        <v>-25</v>
      </c>
      <c r="Q572">
        <v>-18</v>
      </c>
      <c r="R572">
        <v>-17.7</v>
      </c>
      <c r="S572">
        <v>-25</v>
      </c>
      <c r="T572">
        <v>4.0999999999999996</v>
      </c>
      <c r="U572">
        <v>-12.3</v>
      </c>
      <c r="V572">
        <v>2</v>
      </c>
      <c r="W572">
        <v>3.7</v>
      </c>
      <c r="X572">
        <v>3.8</v>
      </c>
      <c r="Y572">
        <v>2</v>
      </c>
      <c r="Z572">
        <v>4</v>
      </c>
      <c r="AA572">
        <v>3.8</v>
      </c>
      <c r="AB572">
        <v>2</v>
      </c>
      <c r="AC572">
        <v>3.8</v>
      </c>
      <c r="AD572">
        <v>3.7</v>
      </c>
      <c r="AE572">
        <v>2</v>
      </c>
      <c r="AF572">
        <v>3.4</v>
      </c>
      <c r="AG572">
        <v>3.2</v>
      </c>
      <c r="AH572">
        <v>2</v>
      </c>
      <c r="AI572">
        <v>3.2</v>
      </c>
      <c r="AJ572">
        <v>3.2</v>
      </c>
      <c r="AK572">
        <v>2</v>
      </c>
      <c r="AL572">
        <v>5.3</v>
      </c>
      <c r="AM572">
        <v>4</v>
      </c>
      <c r="AN572">
        <v>5.7</v>
      </c>
      <c r="AO572">
        <v>4</v>
      </c>
      <c r="AP572">
        <v>5.6</v>
      </c>
      <c r="AQ572">
        <v>4</v>
      </c>
      <c r="AR572">
        <v>4.5</v>
      </c>
      <c r="AS572">
        <v>4</v>
      </c>
      <c r="AT572">
        <v>-3.4</v>
      </c>
      <c r="AU572">
        <v>-5.3</v>
      </c>
      <c r="AV572">
        <v>-5</v>
      </c>
      <c r="AW572">
        <v>-3.5</v>
      </c>
      <c r="AX572">
        <v>-5</v>
      </c>
      <c r="AY572">
        <v>-5</v>
      </c>
      <c r="AZ572">
        <v>10.9</v>
      </c>
      <c r="BA572">
        <v>10</v>
      </c>
      <c r="BB572">
        <v>10.5</v>
      </c>
      <c r="BC572">
        <v>10</v>
      </c>
      <c r="BD572">
        <v>5.8</v>
      </c>
      <c r="BE572">
        <v>4</v>
      </c>
      <c r="BF572">
        <v>9.5</v>
      </c>
      <c r="BG572">
        <v>10</v>
      </c>
      <c r="BH572">
        <v>11</v>
      </c>
      <c r="BI572">
        <v>10</v>
      </c>
      <c r="BJ572">
        <v>11.3</v>
      </c>
      <c r="BK572">
        <v>9</v>
      </c>
      <c r="BL572">
        <v>20.9</v>
      </c>
      <c r="BM572">
        <v>19</v>
      </c>
      <c r="BN572">
        <v>23.6</v>
      </c>
      <c r="BO572">
        <v>19</v>
      </c>
      <c r="BP572">
        <v>21.9</v>
      </c>
      <c r="BQ572">
        <v>20</v>
      </c>
      <c r="BR572">
        <v>21.6</v>
      </c>
      <c r="BS572">
        <v>25</v>
      </c>
      <c r="BT572">
        <v>21.9</v>
      </c>
      <c r="BU572">
        <v>25</v>
      </c>
      <c r="BV572">
        <v>23.5</v>
      </c>
      <c r="BW572">
        <v>18</v>
      </c>
      <c r="BX572">
        <v>21.8</v>
      </c>
      <c r="BY572">
        <v>20</v>
      </c>
      <c r="BZ572">
        <v>21.2</v>
      </c>
      <c r="CA572">
        <v>20</v>
      </c>
      <c r="CB572">
        <v>10.1</v>
      </c>
      <c r="CC572">
        <v>10</v>
      </c>
      <c r="CD572">
        <v>10.8</v>
      </c>
      <c r="CE572">
        <v>10</v>
      </c>
      <c r="CF572">
        <v>11.1</v>
      </c>
      <c r="CG572">
        <v>9</v>
      </c>
      <c r="CH572">
        <v>11.3</v>
      </c>
      <c r="CI572">
        <v>9</v>
      </c>
    </row>
    <row r="573" spans="1:87" x14ac:dyDescent="0.35">
      <c r="A573" s="1">
        <v>46059.856249999997</v>
      </c>
      <c r="B573">
        <v>-18.899999999999999</v>
      </c>
      <c r="C573">
        <v>-17.399999999999999</v>
      </c>
      <c r="D573">
        <v>-25</v>
      </c>
      <c r="E573">
        <v>-18.8</v>
      </c>
      <c r="F573">
        <v>-19</v>
      </c>
      <c r="G573">
        <v>-25</v>
      </c>
      <c r="H573">
        <v>-16</v>
      </c>
      <c r="I573">
        <v>-19.3</v>
      </c>
      <c r="J573">
        <v>-25</v>
      </c>
      <c r="K573">
        <v>-16.100000000000001</v>
      </c>
      <c r="L573">
        <v>-5.9</v>
      </c>
      <c r="M573">
        <v>-25</v>
      </c>
      <c r="N573">
        <v>-18.100000000000001</v>
      </c>
      <c r="O573">
        <v>-17.5</v>
      </c>
      <c r="P573">
        <v>-25</v>
      </c>
      <c r="Q573">
        <v>-17.899999999999999</v>
      </c>
      <c r="R573">
        <v>-17.7</v>
      </c>
      <c r="S573">
        <v>-25</v>
      </c>
      <c r="T573">
        <v>4.0999999999999996</v>
      </c>
      <c r="U573">
        <v>-11.9</v>
      </c>
      <c r="V573">
        <v>2</v>
      </c>
      <c r="W573">
        <v>3.7</v>
      </c>
      <c r="X573">
        <v>3.8</v>
      </c>
      <c r="Y573">
        <v>2</v>
      </c>
      <c r="Z573">
        <v>4.0999999999999996</v>
      </c>
      <c r="AA573">
        <v>3.8</v>
      </c>
      <c r="AB573">
        <v>2</v>
      </c>
      <c r="AC573">
        <v>3.9</v>
      </c>
      <c r="AD573">
        <v>3.8</v>
      </c>
      <c r="AE573">
        <v>2</v>
      </c>
      <c r="AF573">
        <v>3.5</v>
      </c>
      <c r="AG573">
        <v>3.4</v>
      </c>
      <c r="AH573">
        <v>2</v>
      </c>
      <c r="AI573">
        <v>3.4</v>
      </c>
      <c r="AJ573">
        <v>3.4</v>
      </c>
      <c r="AK573">
        <v>2</v>
      </c>
      <c r="AL573">
        <v>5.3</v>
      </c>
      <c r="AM573">
        <v>4</v>
      </c>
      <c r="AN573">
        <v>5.7</v>
      </c>
      <c r="AO573">
        <v>4</v>
      </c>
      <c r="AP573">
        <v>5.8</v>
      </c>
      <c r="AQ573">
        <v>4</v>
      </c>
      <c r="AR573">
        <v>4.8</v>
      </c>
      <c r="AS573">
        <v>4</v>
      </c>
      <c r="AT573">
        <v>-3.7</v>
      </c>
      <c r="AU573">
        <v>-5.5</v>
      </c>
      <c r="AV573">
        <v>-5</v>
      </c>
      <c r="AW573">
        <v>-3.8</v>
      </c>
      <c r="AX573">
        <v>-5.6</v>
      </c>
      <c r="AY573">
        <v>-5</v>
      </c>
      <c r="AZ573">
        <v>11</v>
      </c>
      <c r="BA573">
        <v>10</v>
      </c>
      <c r="BB573">
        <v>10.3</v>
      </c>
      <c r="BC573">
        <v>10</v>
      </c>
      <c r="BD573">
        <v>5.9</v>
      </c>
      <c r="BE573">
        <v>4</v>
      </c>
      <c r="BF573">
        <v>9.6</v>
      </c>
      <c r="BG573">
        <v>10</v>
      </c>
      <c r="BH573">
        <v>10.9</v>
      </c>
      <c r="BI573">
        <v>10</v>
      </c>
      <c r="BJ573">
        <v>11.2</v>
      </c>
      <c r="BK573">
        <v>9</v>
      </c>
      <c r="BL573">
        <v>20.9</v>
      </c>
      <c r="BM573">
        <v>19</v>
      </c>
      <c r="BN573">
        <v>23.6</v>
      </c>
      <c r="BO573">
        <v>19</v>
      </c>
      <c r="BP573">
        <v>21.9</v>
      </c>
      <c r="BQ573">
        <v>20</v>
      </c>
      <c r="BR573">
        <v>21.6</v>
      </c>
      <c r="BS573">
        <v>25</v>
      </c>
      <c r="BT573">
        <v>21.9</v>
      </c>
      <c r="BU573">
        <v>25</v>
      </c>
      <c r="BV573">
        <v>23.5</v>
      </c>
      <c r="BW573">
        <v>18</v>
      </c>
      <c r="BX573">
        <v>21.8</v>
      </c>
      <c r="BY573">
        <v>20</v>
      </c>
      <c r="BZ573">
        <v>21.2</v>
      </c>
      <c r="CA573">
        <v>20</v>
      </c>
      <c r="CB573">
        <v>10</v>
      </c>
      <c r="CC573">
        <v>10</v>
      </c>
      <c r="CD573">
        <v>10.9</v>
      </c>
      <c r="CE573">
        <v>10</v>
      </c>
      <c r="CF573">
        <v>11.2</v>
      </c>
      <c r="CG573">
        <v>9</v>
      </c>
      <c r="CH573">
        <v>11.4</v>
      </c>
      <c r="CI573">
        <v>9</v>
      </c>
    </row>
    <row r="574" spans="1:87" x14ac:dyDescent="0.35">
      <c r="A574" s="1">
        <v>46059.856944444444</v>
      </c>
      <c r="B574">
        <v>-18.8</v>
      </c>
      <c r="C574">
        <v>-17.399999999999999</v>
      </c>
      <c r="D574">
        <v>-25</v>
      </c>
      <c r="E574">
        <v>-18.7</v>
      </c>
      <c r="F574">
        <v>-19</v>
      </c>
      <c r="G574">
        <v>-25</v>
      </c>
      <c r="H574">
        <v>-16</v>
      </c>
      <c r="I574">
        <v>-18.399999999999999</v>
      </c>
      <c r="J574">
        <v>-25</v>
      </c>
      <c r="K574">
        <v>-16.100000000000001</v>
      </c>
      <c r="L574">
        <v>-6.9</v>
      </c>
      <c r="M574">
        <v>-25</v>
      </c>
      <c r="N574">
        <v>-18.100000000000001</v>
      </c>
      <c r="O574">
        <v>-15.6</v>
      </c>
      <c r="P574">
        <v>-25</v>
      </c>
      <c r="Q574">
        <v>-18</v>
      </c>
      <c r="R574">
        <v>-17.7</v>
      </c>
      <c r="S574">
        <v>-25</v>
      </c>
      <c r="T574">
        <v>4.0999999999999996</v>
      </c>
      <c r="U574">
        <v>-11.3</v>
      </c>
      <c r="V574">
        <v>2</v>
      </c>
      <c r="W574">
        <v>3.7</v>
      </c>
      <c r="X574">
        <v>3.9</v>
      </c>
      <c r="Y574">
        <v>2</v>
      </c>
      <c r="Z574">
        <v>4.0999999999999996</v>
      </c>
      <c r="AA574">
        <v>3.9</v>
      </c>
      <c r="AB574">
        <v>2</v>
      </c>
      <c r="AC574">
        <v>3.9</v>
      </c>
      <c r="AD574">
        <v>3.8</v>
      </c>
      <c r="AE574">
        <v>2</v>
      </c>
      <c r="AF574">
        <v>3.7</v>
      </c>
      <c r="AG574">
        <v>3.6</v>
      </c>
      <c r="AH574">
        <v>2</v>
      </c>
      <c r="AI574">
        <v>3.6</v>
      </c>
      <c r="AJ574">
        <v>3.5</v>
      </c>
      <c r="AK574">
        <v>2</v>
      </c>
      <c r="AL574">
        <v>5.4</v>
      </c>
      <c r="AM574">
        <v>4</v>
      </c>
      <c r="AN574">
        <v>5.8</v>
      </c>
      <c r="AO574">
        <v>4</v>
      </c>
      <c r="AP574">
        <v>5.9</v>
      </c>
      <c r="AQ574">
        <v>4</v>
      </c>
      <c r="AR574">
        <v>5</v>
      </c>
      <c r="AS574">
        <v>4</v>
      </c>
      <c r="AT574">
        <v>-3.9</v>
      </c>
      <c r="AU574">
        <v>-6.1</v>
      </c>
      <c r="AV574">
        <v>-5</v>
      </c>
      <c r="AW574">
        <v>-4</v>
      </c>
      <c r="AX574">
        <v>-5.7</v>
      </c>
      <c r="AY574">
        <v>-5</v>
      </c>
      <c r="AZ574">
        <v>11.1</v>
      </c>
      <c r="BA574">
        <v>10</v>
      </c>
      <c r="BB574">
        <v>10.199999999999999</v>
      </c>
      <c r="BC574">
        <v>10</v>
      </c>
      <c r="BD574">
        <v>6</v>
      </c>
      <c r="BE574">
        <v>4</v>
      </c>
      <c r="BF574">
        <v>9.8000000000000007</v>
      </c>
      <c r="BG574">
        <v>10</v>
      </c>
      <c r="BH574">
        <v>10.9</v>
      </c>
      <c r="BI574">
        <v>10</v>
      </c>
      <c r="BJ574">
        <v>11.2</v>
      </c>
      <c r="BK574">
        <v>9</v>
      </c>
      <c r="BL574">
        <v>20.9</v>
      </c>
      <c r="BM574">
        <v>19</v>
      </c>
      <c r="BN574">
        <v>23.6</v>
      </c>
      <c r="BO574">
        <v>19</v>
      </c>
      <c r="BP574">
        <v>21.9</v>
      </c>
      <c r="BQ574">
        <v>20</v>
      </c>
      <c r="BR574">
        <v>21.6</v>
      </c>
      <c r="BS574">
        <v>25</v>
      </c>
      <c r="BT574">
        <v>21.9</v>
      </c>
      <c r="BU574">
        <v>25</v>
      </c>
      <c r="BV574">
        <v>23.5</v>
      </c>
      <c r="BW574">
        <v>18</v>
      </c>
      <c r="BX574">
        <v>21.8</v>
      </c>
      <c r="BY574">
        <v>20</v>
      </c>
      <c r="BZ574">
        <v>21.3</v>
      </c>
      <c r="CA574">
        <v>20</v>
      </c>
      <c r="CB574">
        <v>10.3</v>
      </c>
      <c r="CC574">
        <v>10</v>
      </c>
      <c r="CD574">
        <v>10.9</v>
      </c>
      <c r="CE574">
        <v>10</v>
      </c>
      <c r="CF574">
        <v>11</v>
      </c>
      <c r="CG574">
        <v>9</v>
      </c>
      <c r="CH574">
        <v>11.3</v>
      </c>
      <c r="CI574">
        <v>9</v>
      </c>
    </row>
    <row r="575" spans="1:87" x14ac:dyDescent="0.35">
      <c r="A575" s="1">
        <v>46059.857638888891</v>
      </c>
      <c r="B575">
        <v>-18.600000000000001</v>
      </c>
      <c r="C575">
        <v>-17.3</v>
      </c>
      <c r="D575">
        <v>-25</v>
      </c>
      <c r="E575">
        <v>-18.600000000000001</v>
      </c>
      <c r="F575">
        <v>-18.7</v>
      </c>
      <c r="G575">
        <v>-25</v>
      </c>
      <c r="H575">
        <v>-16</v>
      </c>
      <c r="I575">
        <v>-18.899999999999999</v>
      </c>
      <c r="J575">
        <v>-25</v>
      </c>
      <c r="K575">
        <v>-16.100000000000001</v>
      </c>
      <c r="L575">
        <v>-7.9</v>
      </c>
      <c r="M575">
        <v>-25</v>
      </c>
      <c r="N575">
        <v>-18.100000000000001</v>
      </c>
      <c r="O575">
        <v>-12</v>
      </c>
      <c r="P575">
        <v>-25</v>
      </c>
      <c r="Q575">
        <v>-18.100000000000001</v>
      </c>
      <c r="R575">
        <v>-17.7</v>
      </c>
      <c r="S575">
        <v>-25</v>
      </c>
      <c r="T575">
        <v>4.0999999999999996</v>
      </c>
      <c r="U575">
        <v>-8.6999999999999993</v>
      </c>
      <c r="V575">
        <v>2</v>
      </c>
      <c r="W575">
        <v>3.7</v>
      </c>
      <c r="X575">
        <v>4</v>
      </c>
      <c r="Y575">
        <v>2</v>
      </c>
      <c r="Z575">
        <v>4.2</v>
      </c>
      <c r="AA575">
        <v>3.9</v>
      </c>
      <c r="AB575">
        <v>2</v>
      </c>
      <c r="AC575">
        <v>4</v>
      </c>
      <c r="AD575">
        <v>3.9</v>
      </c>
      <c r="AE575">
        <v>2</v>
      </c>
      <c r="AF575">
        <v>3.9</v>
      </c>
      <c r="AG575">
        <v>3.7</v>
      </c>
      <c r="AH575">
        <v>2</v>
      </c>
      <c r="AI575">
        <v>3.7</v>
      </c>
      <c r="AJ575">
        <v>3.7</v>
      </c>
      <c r="AK575">
        <v>2</v>
      </c>
      <c r="AL575">
        <v>5.4</v>
      </c>
      <c r="AM575">
        <v>4</v>
      </c>
      <c r="AN575">
        <v>5.8</v>
      </c>
      <c r="AO575">
        <v>4</v>
      </c>
      <c r="AP575">
        <v>6</v>
      </c>
      <c r="AQ575">
        <v>4</v>
      </c>
      <c r="AR575">
        <v>5.3</v>
      </c>
      <c r="AS575">
        <v>4</v>
      </c>
      <c r="AT575">
        <v>-4.2</v>
      </c>
      <c r="AU575">
        <v>-6.3</v>
      </c>
      <c r="AV575">
        <v>-5</v>
      </c>
      <c r="AW575">
        <v>-4.2</v>
      </c>
      <c r="AX575">
        <v>-4.9000000000000004</v>
      </c>
      <c r="AY575">
        <v>-5</v>
      </c>
      <c r="AZ575">
        <v>11.2</v>
      </c>
      <c r="BA575">
        <v>10</v>
      </c>
      <c r="BB575">
        <v>10.199999999999999</v>
      </c>
      <c r="BC575">
        <v>10</v>
      </c>
      <c r="BD575">
        <v>5.6</v>
      </c>
      <c r="BE575">
        <v>4</v>
      </c>
      <c r="BF575">
        <v>10.4</v>
      </c>
      <c r="BG575">
        <v>10</v>
      </c>
      <c r="BH575">
        <v>10.9</v>
      </c>
      <c r="BI575">
        <v>10</v>
      </c>
      <c r="BJ575">
        <v>11.2</v>
      </c>
      <c r="BK575">
        <v>9</v>
      </c>
      <c r="BL575">
        <v>20.9</v>
      </c>
      <c r="BM575">
        <v>19</v>
      </c>
      <c r="BN575">
        <v>23.6</v>
      </c>
      <c r="BO575">
        <v>19</v>
      </c>
      <c r="BP575">
        <v>21.9</v>
      </c>
      <c r="BQ575">
        <v>20</v>
      </c>
      <c r="BR575">
        <v>21.7</v>
      </c>
      <c r="BS575">
        <v>25</v>
      </c>
      <c r="BT575">
        <v>21.9</v>
      </c>
      <c r="BU575">
        <v>25</v>
      </c>
      <c r="BV575">
        <v>23.5</v>
      </c>
      <c r="BW575">
        <v>18</v>
      </c>
      <c r="BX575">
        <v>21.9</v>
      </c>
      <c r="BY575">
        <v>20</v>
      </c>
      <c r="BZ575">
        <v>21.3</v>
      </c>
      <c r="CA575">
        <v>20</v>
      </c>
      <c r="CB575">
        <v>10.7</v>
      </c>
      <c r="CC575">
        <v>10</v>
      </c>
      <c r="CD575">
        <v>10.9</v>
      </c>
      <c r="CE575">
        <v>10</v>
      </c>
      <c r="CF575">
        <v>11</v>
      </c>
      <c r="CG575">
        <v>9</v>
      </c>
      <c r="CH575">
        <v>11.3</v>
      </c>
      <c r="CI575">
        <v>9</v>
      </c>
    </row>
    <row r="576" spans="1:87" x14ac:dyDescent="0.35">
      <c r="A576" s="1">
        <v>46059.85833333333</v>
      </c>
      <c r="B576">
        <v>-18.5</v>
      </c>
      <c r="C576">
        <v>-17.2</v>
      </c>
      <c r="D576">
        <v>-25</v>
      </c>
      <c r="E576">
        <v>-18.399999999999999</v>
      </c>
      <c r="F576">
        <v>-18.600000000000001</v>
      </c>
      <c r="G576">
        <v>-25</v>
      </c>
      <c r="H576">
        <v>-16</v>
      </c>
      <c r="I576">
        <v>-19.7</v>
      </c>
      <c r="J576">
        <v>-25</v>
      </c>
      <c r="K576">
        <v>-16.100000000000001</v>
      </c>
      <c r="L576">
        <v>-8.5</v>
      </c>
      <c r="M576">
        <v>-25</v>
      </c>
      <c r="N576">
        <v>-18.100000000000001</v>
      </c>
      <c r="O576">
        <v>-8.1999999999999993</v>
      </c>
      <c r="P576">
        <v>-25</v>
      </c>
      <c r="Q576">
        <v>-18.2</v>
      </c>
      <c r="R576">
        <v>-17.8</v>
      </c>
      <c r="S576">
        <v>-25</v>
      </c>
      <c r="T576">
        <v>4.2</v>
      </c>
      <c r="U576">
        <v>-3.8</v>
      </c>
      <c r="V576">
        <v>2</v>
      </c>
      <c r="W576">
        <v>3.7</v>
      </c>
      <c r="X576">
        <v>4</v>
      </c>
      <c r="Y576">
        <v>2</v>
      </c>
      <c r="Z576">
        <v>4.2</v>
      </c>
      <c r="AA576">
        <v>3.9</v>
      </c>
      <c r="AB576">
        <v>2</v>
      </c>
      <c r="AC576">
        <v>4</v>
      </c>
      <c r="AD576">
        <v>2.8</v>
      </c>
      <c r="AE576">
        <v>2</v>
      </c>
      <c r="AF576">
        <v>4</v>
      </c>
      <c r="AG576">
        <v>3.9</v>
      </c>
      <c r="AH576">
        <v>2</v>
      </c>
      <c r="AI576">
        <v>3.9</v>
      </c>
      <c r="AJ576">
        <v>3.9</v>
      </c>
      <c r="AK576">
        <v>2</v>
      </c>
      <c r="AL576">
        <v>5.5</v>
      </c>
      <c r="AM576">
        <v>4</v>
      </c>
      <c r="AN576">
        <v>5.9</v>
      </c>
      <c r="AO576">
        <v>4</v>
      </c>
      <c r="AP576">
        <v>5.3</v>
      </c>
      <c r="AQ576">
        <v>4</v>
      </c>
      <c r="AR576">
        <v>5.5</v>
      </c>
      <c r="AS576">
        <v>4</v>
      </c>
      <c r="AT576">
        <v>-4.5</v>
      </c>
      <c r="AU576">
        <v>-6.5</v>
      </c>
      <c r="AV576">
        <v>-5</v>
      </c>
      <c r="AW576">
        <v>-4.2</v>
      </c>
      <c r="AX576">
        <v>-4.9000000000000004</v>
      </c>
      <c r="AY576">
        <v>-5</v>
      </c>
      <c r="AZ576">
        <v>11.3</v>
      </c>
      <c r="BA576">
        <v>10</v>
      </c>
      <c r="BB576">
        <v>10.199999999999999</v>
      </c>
      <c r="BC576">
        <v>10</v>
      </c>
      <c r="BD576">
        <v>5.0999999999999996</v>
      </c>
      <c r="BE576">
        <v>4</v>
      </c>
      <c r="BF576">
        <v>10.7</v>
      </c>
      <c r="BG576">
        <v>10</v>
      </c>
      <c r="BH576">
        <v>10.9</v>
      </c>
      <c r="BI576">
        <v>10</v>
      </c>
      <c r="BJ576">
        <v>11.3</v>
      </c>
      <c r="BK576">
        <v>9</v>
      </c>
      <c r="BL576">
        <v>20.9</v>
      </c>
      <c r="BM576">
        <v>19</v>
      </c>
      <c r="BN576">
        <v>23.6</v>
      </c>
      <c r="BO576">
        <v>19</v>
      </c>
      <c r="BP576">
        <v>21.9</v>
      </c>
      <c r="BQ576">
        <v>20</v>
      </c>
      <c r="BR576">
        <v>21.7</v>
      </c>
      <c r="BS576">
        <v>25</v>
      </c>
      <c r="BT576">
        <v>21.9</v>
      </c>
      <c r="BU576">
        <v>25</v>
      </c>
      <c r="BV576">
        <v>23.5</v>
      </c>
      <c r="BW576">
        <v>18</v>
      </c>
      <c r="BX576">
        <v>21.9</v>
      </c>
      <c r="BY576">
        <v>20</v>
      </c>
      <c r="BZ576">
        <v>21.3</v>
      </c>
      <c r="CA576">
        <v>20</v>
      </c>
      <c r="CB576">
        <v>11.1</v>
      </c>
      <c r="CC576">
        <v>10</v>
      </c>
      <c r="CD576">
        <v>10.9</v>
      </c>
      <c r="CE576">
        <v>10</v>
      </c>
      <c r="CF576">
        <v>11.1</v>
      </c>
      <c r="CG576">
        <v>9</v>
      </c>
      <c r="CH576">
        <v>11.4</v>
      </c>
      <c r="CI576">
        <v>9</v>
      </c>
    </row>
    <row r="577" spans="1:87" x14ac:dyDescent="0.35">
      <c r="A577" s="1">
        <v>46059.859027777777</v>
      </c>
      <c r="B577">
        <v>-18.600000000000001</v>
      </c>
      <c r="C577">
        <v>-17.2</v>
      </c>
      <c r="D577">
        <v>-25</v>
      </c>
      <c r="E577">
        <v>-18.399999999999999</v>
      </c>
      <c r="F577">
        <v>-20.5</v>
      </c>
      <c r="G577">
        <v>-25</v>
      </c>
      <c r="H577">
        <v>-16</v>
      </c>
      <c r="I577">
        <v>-20.3</v>
      </c>
      <c r="J577">
        <v>-25</v>
      </c>
      <c r="K577">
        <v>-16.3</v>
      </c>
      <c r="L577">
        <v>-8.4</v>
      </c>
      <c r="M577">
        <v>-25</v>
      </c>
      <c r="N577">
        <v>-18.100000000000001</v>
      </c>
      <c r="O577">
        <v>-4.2</v>
      </c>
      <c r="P577">
        <v>-25</v>
      </c>
      <c r="Q577">
        <v>-18.2</v>
      </c>
      <c r="R577">
        <v>-17.8</v>
      </c>
      <c r="S577">
        <v>-25</v>
      </c>
      <c r="T577">
        <v>4.3</v>
      </c>
      <c r="U577">
        <v>-3.7</v>
      </c>
      <c r="V577">
        <v>2</v>
      </c>
      <c r="W577">
        <v>3.7</v>
      </c>
      <c r="X577">
        <v>4</v>
      </c>
      <c r="Y577">
        <v>2</v>
      </c>
      <c r="Z577">
        <v>4.2</v>
      </c>
      <c r="AA577">
        <v>3.8</v>
      </c>
      <c r="AB577">
        <v>2</v>
      </c>
      <c r="AC577">
        <v>3.9</v>
      </c>
      <c r="AD577">
        <v>2.9</v>
      </c>
      <c r="AE577">
        <v>2</v>
      </c>
      <c r="AF577">
        <v>4.0999999999999996</v>
      </c>
      <c r="AG577">
        <v>4</v>
      </c>
      <c r="AH577">
        <v>2</v>
      </c>
      <c r="AI577">
        <v>4</v>
      </c>
      <c r="AJ577">
        <v>4</v>
      </c>
      <c r="AK577">
        <v>2</v>
      </c>
      <c r="AL577">
        <v>5.5</v>
      </c>
      <c r="AM577">
        <v>4</v>
      </c>
      <c r="AN577">
        <v>5.9</v>
      </c>
      <c r="AO577">
        <v>4</v>
      </c>
      <c r="AP577">
        <v>4.3</v>
      </c>
      <c r="AQ577">
        <v>4</v>
      </c>
      <c r="AR577">
        <v>5.7</v>
      </c>
      <c r="AS577">
        <v>4</v>
      </c>
      <c r="AT577">
        <v>-4.5999999999999996</v>
      </c>
      <c r="AU577">
        <v>-6.5</v>
      </c>
      <c r="AV577">
        <v>-5</v>
      </c>
      <c r="AW577">
        <v>-4.4000000000000004</v>
      </c>
      <c r="AX577">
        <v>-6</v>
      </c>
      <c r="AY577">
        <v>-5</v>
      </c>
      <c r="AZ577">
        <v>11.4</v>
      </c>
      <c r="BA577">
        <v>10</v>
      </c>
      <c r="BB577">
        <v>10.1</v>
      </c>
      <c r="BC577">
        <v>10</v>
      </c>
      <c r="BD577">
        <v>4.8</v>
      </c>
      <c r="BE577">
        <v>4</v>
      </c>
      <c r="BF577">
        <v>11</v>
      </c>
      <c r="BG577">
        <v>10</v>
      </c>
      <c r="BH577">
        <v>10.9</v>
      </c>
      <c r="BI577">
        <v>10</v>
      </c>
      <c r="BJ577">
        <v>11.3</v>
      </c>
      <c r="BK577">
        <v>9</v>
      </c>
      <c r="BL577">
        <v>20.9</v>
      </c>
      <c r="BM577">
        <v>19</v>
      </c>
      <c r="BN577">
        <v>23.6</v>
      </c>
      <c r="BO577">
        <v>19</v>
      </c>
      <c r="BP577">
        <v>21.9</v>
      </c>
      <c r="BQ577">
        <v>20</v>
      </c>
      <c r="BR577">
        <v>21.7</v>
      </c>
      <c r="BS577">
        <v>25</v>
      </c>
      <c r="BT577">
        <v>21.9</v>
      </c>
      <c r="BU577">
        <v>25</v>
      </c>
      <c r="BV577">
        <v>23.5</v>
      </c>
      <c r="BW577">
        <v>18</v>
      </c>
      <c r="BX577">
        <v>21.9</v>
      </c>
      <c r="BY577">
        <v>20</v>
      </c>
      <c r="BZ577">
        <v>21.4</v>
      </c>
      <c r="CA577">
        <v>20</v>
      </c>
      <c r="CB577">
        <v>11.6</v>
      </c>
      <c r="CC577">
        <v>10</v>
      </c>
      <c r="CD577">
        <v>10.9</v>
      </c>
      <c r="CE577">
        <v>10</v>
      </c>
      <c r="CF577">
        <v>11.3</v>
      </c>
      <c r="CG577">
        <v>9</v>
      </c>
      <c r="CH577">
        <v>11.6</v>
      </c>
      <c r="CI577">
        <v>9</v>
      </c>
    </row>
    <row r="578" spans="1:87" x14ac:dyDescent="0.35">
      <c r="A578" s="1">
        <v>46059.859722222223</v>
      </c>
      <c r="B578">
        <v>-19.100000000000001</v>
      </c>
      <c r="C578">
        <v>-17.2</v>
      </c>
      <c r="D578">
        <v>-25</v>
      </c>
      <c r="E578">
        <v>-18.600000000000001</v>
      </c>
      <c r="F578">
        <v>-20.7</v>
      </c>
      <c r="G578">
        <v>-25</v>
      </c>
      <c r="H578">
        <v>-16</v>
      </c>
      <c r="I578">
        <v>-21.1</v>
      </c>
      <c r="J578">
        <v>-25</v>
      </c>
      <c r="K578">
        <v>-16.600000000000001</v>
      </c>
      <c r="L578">
        <v>-9.1999999999999993</v>
      </c>
      <c r="M578">
        <v>-25</v>
      </c>
      <c r="N578">
        <v>-18.100000000000001</v>
      </c>
      <c r="O578">
        <v>-1</v>
      </c>
      <c r="P578">
        <v>-25</v>
      </c>
      <c r="Q578">
        <v>-17.899999999999999</v>
      </c>
      <c r="R578">
        <v>-17.8</v>
      </c>
      <c r="S578">
        <v>-25</v>
      </c>
      <c r="T578">
        <v>4.3</v>
      </c>
      <c r="U578">
        <v>-4.3</v>
      </c>
      <c r="V578">
        <v>2</v>
      </c>
      <c r="W578">
        <v>3.7</v>
      </c>
      <c r="X578">
        <v>4.0999999999999996</v>
      </c>
      <c r="Y578">
        <v>2</v>
      </c>
      <c r="Z578">
        <v>4.2</v>
      </c>
      <c r="AA578">
        <v>3.7</v>
      </c>
      <c r="AB578">
        <v>2</v>
      </c>
      <c r="AC578">
        <v>3.9</v>
      </c>
      <c r="AD578">
        <v>3.1</v>
      </c>
      <c r="AE578">
        <v>2</v>
      </c>
      <c r="AF578">
        <v>4.2</v>
      </c>
      <c r="AG578">
        <v>4.0999999999999996</v>
      </c>
      <c r="AH578">
        <v>2</v>
      </c>
      <c r="AI578">
        <v>4</v>
      </c>
      <c r="AJ578">
        <v>3.7</v>
      </c>
      <c r="AK578">
        <v>2</v>
      </c>
      <c r="AL578">
        <v>5.6</v>
      </c>
      <c r="AM578">
        <v>4</v>
      </c>
      <c r="AN578">
        <v>6</v>
      </c>
      <c r="AO578">
        <v>4</v>
      </c>
      <c r="AP578">
        <v>3.3</v>
      </c>
      <c r="AQ578">
        <v>4</v>
      </c>
      <c r="AR578">
        <v>5.8</v>
      </c>
      <c r="AS578">
        <v>4</v>
      </c>
      <c r="AT578">
        <v>-4.7</v>
      </c>
      <c r="AU578">
        <v>-6.6</v>
      </c>
      <c r="AV578">
        <v>-5</v>
      </c>
      <c r="AW578">
        <v>-4.5</v>
      </c>
      <c r="AX578">
        <v>-6.2</v>
      </c>
      <c r="AY578">
        <v>-5</v>
      </c>
      <c r="AZ578">
        <v>11.5</v>
      </c>
      <c r="BA578">
        <v>10</v>
      </c>
      <c r="BB578">
        <v>10</v>
      </c>
      <c r="BC578">
        <v>10</v>
      </c>
      <c r="BD578">
        <v>4.5999999999999996</v>
      </c>
      <c r="BE578">
        <v>4</v>
      </c>
      <c r="BF578">
        <v>11.3</v>
      </c>
      <c r="BG578">
        <v>10</v>
      </c>
      <c r="BH578">
        <v>10.9</v>
      </c>
      <c r="BI578">
        <v>10</v>
      </c>
      <c r="BJ578">
        <v>11.4</v>
      </c>
      <c r="BK578">
        <v>9</v>
      </c>
      <c r="BL578">
        <v>20.9</v>
      </c>
      <c r="BM578">
        <v>19</v>
      </c>
      <c r="BN578">
        <v>23.6</v>
      </c>
      <c r="BO578">
        <v>19</v>
      </c>
      <c r="BP578">
        <v>21.9</v>
      </c>
      <c r="BQ578">
        <v>20</v>
      </c>
      <c r="BR578">
        <v>21.7</v>
      </c>
      <c r="BS578">
        <v>25</v>
      </c>
      <c r="BT578">
        <v>21.9</v>
      </c>
      <c r="BU578">
        <v>25</v>
      </c>
      <c r="BV578">
        <v>23.5</v>
      </c>
      <c r="BW578">
        <v>18</v>
      </c>
      <c r="BX578">
        <v>21.9</v>
      </c>
      <c r="BY578">
        <v>20</v>
      </c>
      <c r="BZ578">
        <v>21.4</v>
      </c>
      <c r="CA578">
        <v>20</v>
      </c>
      <c r="CB578">
        <v>11.9</v>
      </c>
      <c r="CC578">
        <v>10</v>
      </c>
      <c r="CD578">
        <v>10.9</v>
      </c>
      <c r="CE578">
        <v>10</v>
      </c>
      <c r="CF578">
        <v>11.3</v>
      </c>
      <c r="CG578">
        <v>9</v>
      </c>
      <c r="CH578">
        <v>11.5</v>
      </c>
      <c r="CI578">
        <v>9</v>
      </c>
    </row>
    <row r="579" spans="1:87" x14ac:dyDescent="0.35">
      <c r="A579" s="1">
        <v>46059.86041666667</v>
      </c>
      <c r="B579">
        <v>-19.5</v>
      </c>
      <c r="C579">
        <v>-17.2</v>
      </c>
      <c r="D579">
        <v>-25</v>
      </c>
      <c r="E579">
        <v>-19</v>
      </c>
      <c r="F579">
        <v>-20.2</v>
      </c>
      <c r="G579">
        <v>-25</v>
      </c>
      <c r="H579">
        <v>-16.2</v>
      </c>
      <c r="I579">
        <v>-21.5</v>
      </c>
      <c r="J579">
        <v>-25</v>
      </c>
      <c r="K579">
        <v>-16.899999999999999</v>
      </c>
      <c r="L579">
        <v>-10.199999999999999</v>
      </c>
      <c r="M579">
        <v>-25</v>
      </c>
      <c r="N579">
        <v>-18.100000000000001</v>
      </c>
      <c r="O579">
        <v>1.4</v>
      </c>
      <c r="P579">
        <v>-25</v>
      </c>
      <c r="Q579">
        <v>-17.600000000000001</v>
      </c>
      <c r="R579">
        <v>-17.5</v>
      </c>
      <c r="S579">
        <v>-25</v>
      </c>
      <c r="T579">
        <v>4.3</v>
      </c>
      <c r="U579">
        <v>-8.4</v>
      </c>
      <c r="V579">
        <v>2</v>
      </c>
      <c r="W579">
        <v>3.7</v>
      </c>
      <c r="X579">
        <v>4.0999999999999996</v>
      </c>
      <c r="Y579">
        <v>2</v>
      </c>
      <c r="Z579">
        <v>4.0999999999999996</v>
      </c>
      <c r="AA579">
        <v>3.6</v>
      </c>
      <c r="AB579">
        <v>2</v>
      </c>
      <c r="AC579">
        <v>3.7</v>
      </c>
      <c r="AD579">
        <v>3.1</v>
      </c>
      <c r="AE579">
        <v>2</v>
      </c>
      <c r="AF579">
        <v>4.0999999999999996</v>
      </c>
      <c r="AG579">
        <v>3.8</v>
      </c>
      <c r="AH579">
        <v>2</v>
      </c>
      <c r="AI579">
        <v>3.9</v>
      </c>
      <c r="AJ579">
        <v>2.9</v>
      </c>
      <c r="AK579">
        <v>2</v>
      </c>
      <c r="AL579">
        <v>5.6</v>
      </c>
      <c r="AM579">
        <v>4</v>
      </c>
      <c r="AN579">
        <v>6</v>
      </c>
      <c r="AO579">
        <v>4</v>
      </c>
      <c r="AP579">
        <v>3</v>
      </c>
      <c r="AQ579">
        <v>4</v>
      </c>
      <c r="AR579">
        <v>6</v>
      </c>
      <c r="AS579">
        <v>4</v>
      </c>
      <c r="AT579">
        <v>-4.8</v>
      </c>
      <c r="AU579">
        <v>-6.7</v>
      </c>
      <c r="AV579">
        <v>-5</v>
      </c>
      <c r="AW579">
        <v>-4.5999999999999996</v>
      </c>
      <c r="AX579">
        <v>-5.3</v>
      </c>
      <c r="AY579">
        <v>-5</v>
      </c>
      <c r="AZ579">
        <v>11.6</v>
      </c>
      <c r="BA579">
        <v>10</v>
      </c>
      <c r="BB579">
        <v>10</v>
      </c>
      <c r="BC579">
        <v>10</v>
      </c>
      <c r="BD579">
        <v>4.2</v>
      </c>
      <c r="BE579">
        <v>4</v>
      </c>
      <c r="BF579">
        <v>11.6</v>
      </c>
      <c r="BG579">
        <v>10</v>
      </c>
      <c r="BH579">
        <v>10.8</v>
      </c>
      <c r="BI579">
        <v>10</v>
      </c>
      <c r="BJ579">
        <v>11.5</v>
      </c>
      <c r="BK579">
        <v>9</v>
      </c>
      <c r="BL579">
        <v>20.9</v>
      </c>
      <c r="BM579">
        <v>19</v>
      </c>
      <c r="BN579">
        <v>23.6</v>
      </c>
      <c r="BO579">
        <v>19</v>
      </c>
      <c r="BP579">
        <v>21.9</v>
      </c>
      <c r="BQ579">
        <v>20</v>
      </c>
      <c r="BR579">
        <v>21.7</v>
      </c>
      <c r="BS579">
        <v>25</v>
      </c>
      <c r="BT579">
        <v>21.9</v>
      </c>
      <c r="BU579">
        <v>25</v>
      </c>
      <c r="BV579">
        <v>23.5</v>
      </c>
      <c r="BW579">
        <v>18</v>
      </c>
      <c r="BX579">
        <v>21.9</v>
      </c>
      <c r="BY579">
        <v>20</v>
      </c>
      <c r="BZ579">
        <v>21.4</v>
      </c>
      <c r="CA579">
        <v>20</v>
      </c>
      <c r="CB579">
        <v>12</v>
      </c>
      <c r="CC579">
        <v>10</v>
      </c>
      <c r="CD579">
        <v>11</v>
      </c>
      <c r="CE579">
        <v>10</v>
      </c>
      <c r="CF579">
        <v>11</v>
      </c>
      <c r="CG579">
        <v>9</v>
      </c>
      <c r="CH579">
        <v>11.3</v>
      </c>
      <c r="CI579">
        <v>9</v>
      </c>
    </row>
    <row r="580" spans="1:87" x14ac:dyDescent="0.35">
      <c r="A580" s="1">
        <v>46059.861111111109</v>
      </c>
      <c r="B580">
        <v>-19.8</v>
      </c>
      <c r="C580">
        <v>-17.2</v>
      </c>
      <c r="D580">
        <v>-25</v>
      </c>
      <c r="E580">
        <v>-19.2</v>
      </c>
      <c r="F580">
        <v>-20.2</v>
      </c>
      <c r="G580">
        <v>-25</v>
      </c>
      <c r="H580">
        <v>-16.399999999999999</v>
      </c>
      <c r="I580">
        <v>-21.8</v>
      </c>
      <c r="J580">
        <v>-25</v>
      </c>
      <c r="K580">
        <v>-17.100000000000001</v>
      </c>
      <c r="L580">
        <v>-11</v>
      </c>
      <c r="M580">
        <v>-25</v>
      </c>
      <c r="N580">
        <v>-18.100000000000001</v>
      </c>
      <c r="O580">
        <v>3.7</v>
      </c>
      <c r="P580">
        <v>-25</v>
      </c>
      <c r="Q580">
        <v>-17.3</v>
      </c>
      <c r="R580">
        <v>-17.3</v>
      </c>
      <c r="S580">
        <v>-25</v>
      </c>
      <c r="T580">
        <v>4.3</v>
      </c>
      <c r="U580">
        <v>-12.1</v>
      </c>
      <c r="V580">
        <v>2</v>
      </c>
      <c r="W580">
        <v>3.7</v>
      </c>
      <c r="X580">
        <v>4.0999999999999996</v>
      </c>
      <c r="Y580">
        <v>2</v>
      </c>
      <c r="Z580">
        <v>4</v>
      </c>
      <c r="AA580">
        <v>3.4</v>
      </c>
      <c r="AB580">
        <v>2</v>
      </c>
      <c r="AC580">
        <v>3.5</v>
      </c>
      <c r="AD580">
        <v>2.9</v>
      </c>
      <c r="AE580">
        <v>2</v>
      </c>
      <c r="AF580">
        <v>3.8</v>
      </c>
      <c r="AG580">
        <v>3.4</v>
      </c>
      <c r="AH580">
        <v>2</v>
      </c>
      <c r="AI580">
        <v>3.6</v>
      </c>
      <c r="AJ580">
        <v>2.6</v>
      </c>
      <c r="AK580">
        <v>2</v>
      </c>
      <c r="AL580">
        <v>5.7</v>
      </c>
      <c r="AM580">
        <v>4</v>
      </c>
      <c r="AN580">
        <v>6</v>
      </c>
      <c r="AO580">
        <v>4</v>
      </c>
      <c r="AP580">
        <v>3</v>
      </c>
      <c r="AQ580">
        <v>4</v>
      </c>
      <c r="AR580">
        <v>6</v>
      </c>
      <c r="AS580">
        <v>4</v>
      </c>
      <c r="AT580">
        <v>-4.9000000000000004</v>
      </c>
      <c r="AU580">
        <v>-6.9</v>
      </c>
      <c r="AV580">
        <v>-5</v>
      </c>
      <c r="AW580">
        <v>-4.5999999999999996</v>
      </c>
      <c r="AX580">
        <v>-5.0999999999999996</v>
      </c>
      <c r="AY580">
        <v>-5</v>
      </c>
      <c r="AZ580">
        <v>11.7</v>
      </c>
      <c r="BA580">
        <v>10</v>
      </c>
      <c r="BB580">
        <v>10</v>
      </c>
      <c r="BC580">
        <v>10</v>
      </c>
      <c r="BD580">
        <v>3.8</v>
      </c>
      <c r="BE580">
        <v>4</v>
      </c>
      <c r="BF580">
        <v>11.8</v>
      </c>
      <c r="BG580">
        <v>10</v>
      </c>
      <c r="BH580">
        <v>10.8</v>
      </c>
      <c r="BI580">
        <v>10</v>
      </c>
      <c r="BJ580">
        <v>11.5</v>
      </c>
      <c r="BK580">
        <v>9</v>
      </c>
      <c r="BL580">
        <v>20.9</v>
      </c>
      <c r="BM580">
        <v>19</v>
      </c>
      <c r="BN580">
        <v>23.6</v>
      </c>
      <c r="BO580">
        <v>19</v>
      </c>
      <c r="BP580">
        <v>21.9</v>
      </c>
      <c r="BQ580">
        <v>20</v>
      </c>
      <c r="BR580">
        <v>21.8</v>
      </c>
      <c r="BS580">
        <v>25</v>
      </c>
      <c r="BT580">
        <v>21.9</v>
      </c>
      <c r="BU580">
        <v>25</v>
      </c>
      <c r="BV580">
        <v>23.5</v>
      </c>
      <c r="BW580">
        <v>18</v>
      </c>
      <c r="BX580">
        <v>21.9</v>
      </c>
      <c r="BY580">
        <v>20</v>
      </c>
      <c r="BZ580">
        <v>21.4</v>
      </c>
      <c r="CA580">
        <v>20</v>
      </c>
      <c r="CB580">
        <v>12</v>
      </c>
      <c r="CC580">
        <v>10</v>
      </c>
      <c r="CD580">
        <v>11</v>
      </c>
      <c r="CE580">
        <v>10</v>
      </c>
      <c r="CF580">
        <v>11.3</v>
      </c>
      <c r="CG580">
        <v>9</v>
      </c>
      <c r="CH580">
        <v>11.5</v>
      </c>
      <c r="CI580">
        <v>9</v>
      </c>
    </row>
    <row r="581" spans="1:87" x14ac:dyDescent="0.35">
      <c r="A581" s="1">
        <v>46059.861805555556</v>
      </c>
      <c r="B581">
        <v>-20.100000000000001</v>
      </c>
      <c r="C581">
        <v>-17.3</v>
      </c>
      <c r="D581">
        <v>-25</v>
      </c>
      <c r="E581">
        <v>-19.399999999999999</v>
      </c>
      <c r="F581">
        <v>-20.6</v>
      </c>
      <c r="G581">
        <v>-25</v>
      </c>
      <c r="H581">
        <v>-16.600000000000001</v>
      </c>
      <c r="I581">
        <v>-21.9</v>
      </c>
      <c r="J581">
        <v>-25</v>
      </c>
      <c r="K581">
        <v>-17.3</v>
      </c>
      <c r="L581">
        <v>-11.7</v>
      </c>
      <c r="M581">
        <v>-25</v>
      </c>
      <c r="N581">
        <v>-18.100000000000001</v>
      </c>
      <c r="O581">
        <v>5.6</v>
      </c>
      <c r="P581">
        <v>-25</v>
      </c>
      <c r="Q581">
        <v>-17.100000000000001</v>
      </c>
      <c r="R581">
        <v>-17</v>
      </c>
      <c r="S581">
        <v>-25</v>
      </c>
      <c r="T581">
        <v>4.3</v>
      </c>
      <c r="U581">
        <v>-13.7</v>
      </c>
      <c r="V581">
        <v>2</v>
      </c>
      <c r="W581">
        <v>3.7</v>
      </c>
      <c r="X581">
        <v>4.2</v>
      </c>
      <c r="Y581">
        <v>2</v>
      </c>
      <c r="Z581">
        <v>3.8</v>
      </c>
      <c r="AA581">
        <v>3.2</v>
      </c>
      <c r="AB581">
        <v>2</v>
      </c>
      <c r="AC581">
        <v>3.4</v>
      </c>
      <c r="AD581">
        <v>2.9</v>
      </c>
      <c r="AE581">
        <v>2</v>
      </c>
      <c r="AF581">
        <v>3.5</v>
      </c>
      <c r="AG581">
        <v>3</v>
      </c>
      <c r="AH581">
        <v>2</v>
      </c>
      <c r="AI581">
        <v>3.3</v>
      </c>
      <c r="AJ581">
        <v>2.4</v>
      </c>
      <c r="AK581">
        <v>2</v>
      </c>
      <c r="AL581">
        <v>5.7</v>
      </c>
      <c r="AM581">
        <v>4</v>
      </c>
      <c r="AN581">
        <v>5.7</v>
      </c>
      <c r="AO581">
        <v>4</v>
      </c>
      <c r="AP581">
        <v>3.1</v>
      </c>
      <c r="AQ581">
        <v>4</v>
      </c>
      <c r="AR581">
        <v>5.5</v>
      </c>
      <c r="AS581">
        <v>4</v>
      </c>
      <c r="AT581">
        <v>-5</v>
      </c>
      <c r="AU581">
        <v>-6.8</v>
      </c>
      <c r="AV581">
        <v>-5</v>
      </c>
      <c r="AW581">
        <v>-4.7</v>
      </c>
      <c r="AX581">
        <v>-6.4</v>
      </c>
      <c r="AY581">
        <v>-5</v>
      </c>
      <c r="AZ581">
        <v>11.7</v>
      </c>
      <c r="BA581">
        <v>10</v>
      </c>
      <c r="BB581">
        <v>10.4</v>
      </c>
      <c r="BC581">
        <v>10</v>
      </c>
      <c r="BD581">
        <v>3.8</v>
      </c>
      <c r="BE581">
        <v>4</v>
      </c>
      <c r="BF581">
        <v>12.1</v>
      </c>
      <c r="BG581">
        <v>10</v>
      </c>
      <c r="BH581">
        <v>10.8</v>
      </c>
      <c r="BI581">
        <v>10</v>
      </c>
      <c r="BJ581">
        <v>11.5</v>
      </c>
      <c r="BK581">
        <v>9</v>
      </c>
      <c r="BL581">
        <v>21</v>
      </c>
      <c r="BM581">
        <v>19</v>
      </c>
      <c r="BN581">
        <v>23.6</v>
      </c>
      <c r="BO581">
        <v>19</v>
      </c>
      <c r="BP581">
        <v>21.9</v>
      </c>
      <c r="BQ581">
        <v>20</v>
      </c>
      <c r="BR581">
        <v>21.8</v>
      </c>
      <c r="BS581">
        <v>25</v>
      </c>
      <c r="BT581">
        <v>21.9</v>
      </c>
      <c r="BU581">
        <v>25</v>
      </c>
      <c r="BV581">
        <v>23.5</v>
      </c>
      <c r="BW581">
        <v>18</v>
      </c>
      <c r="BX581">
        <v>21.9</v>
      </c>
      <c r="BY581">
        <v>20</v>
      </c>
      <c r="BZ581">
        <v>21.5</v>
      </c>
      <c r="CA581">
        <v>20</v>
      </c>
      <c r="CB581">
        <v>11.6</v>
      </c>
      <c r="CC581">
        <v>10</v>
      </c>
      <c r="CD581">
        <v>11.1</v>
      </c>
      <c r="CE581">
        <v>10</v>
      </c>
      <c r="CF581">
        <v>11.3</v>
      </c>
      <c r="CG581">
        <v>9</v>
      </c>
      <c r="CH581">
        <v>11.6</v>
      </c>
      <c r="CI581">
        <v>9</v>
      </c>
    </row>
    <row r="582" spans="1:87" x14ac:dyDescent="0.35">
      <c r="A582" s="1">
        <v>46059.862500000003</v>
      </c>
      <c r="B582">
        <v>-20.5</v>
      </c>
      <c r="C582">
        <v>-17.5</v>
      </c>
      <c r="D582">
        <v>-25</v>
      </c>
      <c r="E582">
        <v>-19.7</v>
      </c>
      <c r="F582">
        <v>-22.2</v>
      </c>
      <c r="G582">
        <v>-25</v>
      </c>
      <c r="H582">
        <v>-16.7</v>
      </c>
      <c r="I582">
        <v>-22.1</v>
      </c>
      <c r="J582">
        <v>-25</v>
      </c>
      <c r="K582">
        <v>-17.5</v>
      </c>
      <c r="L582">
        <v>-12.1</v>
      </c>
      <c r="M582">
        <v>-25</v>
      </c>
      <c r="N582">
        <v>-18.100000000000001</v>
      </c>
      <c r="O582">
        <v>7.3</v>
      </c>
      <c r="P582">
        <v>-25</v>
      </c>
      <c r="Q582">
        <v>-16.899999999999999</v>
      </c>
      <c r="R582">
        <v>-16.8</v>
      </c>
      <c r="S582">
        <v>-25</v>
      </c>
      <c r="T582">
        <v>4.3</v>
      </c>
      <c r="U582">
        <v>-4.5999999999999996</v>
      </c>
      <c r="V582">
        <v>2</v>
      </c>
      <c r="W582">
        <v>3.7</v>
      </c>
      <c r="X582">
        <v>4.2</v>
      </c>
      <c r="Y582">
        <v>2</v>
      </c>
      <c r="Z582">
        <v>3.7</v>
      </c>
      <c r="AA582">
        <v>3.2</v>
      </c>
      <c r="AB582">
        <v>2</v>
      </c>
      <c r="AC582">
        <v>3.4</v>
      </c>
      <c r="AD582">
        <v>2.9</v>
      </c>
      <c r="AE582">
        <v>2</v>
      </c>
      <c r="AF582">
        <v>3.3</v>
      </c>
      <c r="AG582">
        <v>2.9</v>
      </c>
      <c r="AH582">
        <v>2</v>
      </c>
      <c r="AI582">
        <v>3.2</v>
      </c>
      <c r="AJ582">
        <v>1.8</v>
      </c>
      <c r="AK582">
        <v>2</v>
      </c>
      <c r="AL582">
        <v>5.7</v>
      </c>
      <c r="AM582">
        <v>4</v>
      </c>
      <c r="AN582">
        <v>5.5</v>
      </c>
      <c r="AO582">
        <v>4</v>
      </c>
      <c r="AP582">
        <v>3.4</v>
      </c>
      <c r="AQ582">
        <v>4</v>
      </c>
      <c r="AR582">
        <v>5.4</v>
      </c>
      <c r="AS582">
        <v>4</v>
      </c>
      <c r="AT582">
        <v>-5</v>
      </c>
      <c r="AU582">
        <v>-6</v>
      </c>
      <c r="AV582">
        <v>-5</v>
      </c>
      <c r="AW582">
        <v>-5.2</v>
      </c>
      <c r="AX582">
        <v>-7.1</v>
      </c>
      <c r="AY582">
        <v>-5</v>
      </c>
      <c r="AZ582">
        <v>11.8</v>
      </c>
      <c r="BA582">
        <v>10</v>
      </c>
      <c r="BB582">
        <v>10.7</v>
      </c>
      <c r="BC582">
        <v>10</v>
      </c>
      <c r="BD582">
        <v>3.9</v>
      </c>
      <c r="BE582">
        <v>4</v>
      </c>
      <c r="BF582">
        <v>11.2</v>
      </c>
      <c r="BG582">
        <v>10</v>
      </c>
      <c r="BH582">
        <v>10.8</v>
      </c>
      <c r="BI582">
        <v>10</v>
      </c>
      <c r="BJ582">
        <v>11.5</v>
      </c>
      <c r="BK582">
        <v>9</v>
      </c>
      <c r="BL582">
        <v>21</v>
      </c>
      <c r="BM582">
        <v>19</v>
      </c>
      <c r="BN582">
        <v>23.6</v>
      </c>
      <c r="BO582">
        <v>19</v>
      </c>
      <c r="BP582">
        <v>21.9</v>
      </c>
      <c r="BQ582">
        <v>20</v>
      </c>
      <c r="BR582">
        <v>21.8</v>
      </c>
      <c r="BS582">
        <v>25</v>
      </c>
      <c r="BT582">
        <v>21.9</v>
      </c>
      <c r="BU582">
        <v>25</v>
      </c>
      <c r="BV582">
        <v>23.5</v>
      </c>
      <c r="BW582">
        <v>18</v>
      </c>
      <c r="BX582">
        <v>22</v>
      </c>
      <c r="BY582">
        <v>20</v>
      </c>
      <c r="BZ582">
        <v>21.5</v>
      </c>
      <c r="CA582">
        <v>20</v>
      </c>
      <c r="CB582">
        <v>11.4</v>
      </c>
      <c r="CC582">
        <v>10</v>
      </c>
      <c r="CD582">
        <v>11.1</v>
      </c>
      <c r="CE582">
        <v>10</v>
      </c>
      <c r="CF582">
        <v>11.3</v>
      </c>
      <c r="CG582">
        <v>9</v>
      </c>
      <c r="CH582">
        <v>11.6</v>
      </c>
      <c r="CI582">
        <v>9</v>
      </c>
    </row>
    <row r="583" spans="1:87" x14ac:dyDescent="0.35">
      <c r="A583" s="1">
        <v>46059.863194444442</v>
      </c>
      <c r="B583">
        <v>-20.7</v>
      </c>
      <c r="C583">
        <v>-17.600000000000001</v>
      </c>
      <c r="D583">
        <v>-25</v>
      </c>
      <c r="E583">
        <v>-19.899999999999999</v>
      </c>
      <c r="F583">
        <v>-22.9</v>
      </c>
      <c r="G583">
        <v>-25</v>
      </c>
      <c r="H583">
        <v>-16.899999999999999</v>
      </c>
      <c r="I583">
        <v>-22.1</v>
      </c>
      <c r="J583">
        <v>-25</v>
      </c>
      <c r="K583">
        <v>-17.600000000000001</v>
      </c>
      <c r="L583">
        <v>-12.5</v>
      </c>
      <c r="M583">
        <v>-25</v>
      </c>
      <c r="N583">
        <v>-18.100000000000001</v>
      </c>
      <c r="O583">
        <v>8.9</v>
      </c>
      <c r="P583">
        <v>-25</v>
      </c>
      <c r="Q583">
        <v>-16.600000000000001</v>
      </c>
      <c r="R583">
        <v>-16.600000000000001</v>
      </c>
      <c r="S583">
        <v>-25</v>
      </c>
      <c r="T583">
        <v>4.4000000000000004</v>
      </c>
      <c r="U583">
        <v>-5.9</v>
      </c>
      <c r="V583">
        <v>2</v>
      </c>
      <c r="W583">
        <v>4.4000000000000004</v>
      </c>
      <c r="X583">
        <v>3.8</v>
      </c>
      <c r="Y583">
        <v>2</v>
      </c>
      <c r="Z583">
        <v>3.7</v>
      </c>
      <c r="AA583">
        <v>3.2</v>
      </c>
      <c r="AB583">
        <v>2</v>
      </c>
      <c r="AC583">
        <v>3.4</v>
      </c>
      <c r="AD583">
        <v>2.9</v>
      </c>
      <c r="AE583">
        <v>2</v>
      </c>
      <c r="AF583">
        <v>3.3</v>
      </c>
      <c r="AG583">
        <v>2.9</v>
      </c>
      <c r="AH583">
        <v>2</v>
      </c>
      <c r="AI583">
        <v>3.1</v>
      </c>
      <c r="AJ583">
        <v>1.1000000000000001</v>
      </c>
      <c r="AK583">
        <v>2</v>
      </c>
      <c r="AL583">
        <v>5.8</v>
      </c>
      <c r="AM583">
        <v>4</v>
      </c>
      <c r="AN583">
        <v>5.4</v>
      </c>
      <c r="AO583">
        <v>4</v>
      </c>
      <c r="AP583">
        <v>3.7</v>
      </c>
      <c r="AQ583">
        <v>4</v>
      </c>
      <c r="AR583">
        <v>5.4</v>
      </c>
      <c r="AS583">
        <v>4</v>
      </c>
      <c r="AT583">
        <v>-4.7</v>
      </c>
      <c r="AU583">
        <v>-5.0999999999999996</v>
      </c>
      <c r="AV583">
        <v>-5</v>
      </c>
      <c r="AW583">
        <v>-5.3</v>
      </c>
      <c r="AX583">
        <v>-5.8</v>
      </c>
      <c r="AY583">
        <v>-5</v>
      </c>
      <c r="AZ583">
        <v>11.9</v>
      </c>
      <c r="BA583">
        <v>10</v>
      </c>
      <c r="BB583">
        <v>11</v>
      </c>
      <c r="BC583">
        <v>10</v>
      </c>
      <c r="BD583">
        <v>4.2</v>
      </c>
      <c r="BE583">
        <v>4</v>
      </c>
      <c r="BF583">
        <v>10.3</v>
      </c>
      <c r="BG583">
        <v>10</v>
      </c>
      <c r="BH583">
        <v>10.8</v>
      </c>
      <c r="BI583">
        <v>10</v>
      </c>
      <c r="BJ583">
        <v>11.2</v>
      </c>
      <c r="BK583">
        <v>9</v>
      </c>
      <c r="BL583">
        <v>21</v>
      </c>
      <c r="BM583">
        <v>19</v>
      </c>
      <c r="BN583">
        <v>23.6</v>
      </c>
      <c r="BO583">
        <v>19</v>
      </c>
      <c r="BP583">
        <v>21.9</v>
      </c>
      <c r="BQ583">
        <v>20</v>
      </c>
      <c r="BR583">
        <v>21.8</v>
      </c>
      <c r="BS583">
        <v>25</v>
      </c>
      <c r="BT583">
        <v>21.9</v>
      </c>
      <c r="BU583">
        <v>25</v>
      </c>
      <c r="BV583">
        <v>23.5</v>
      </c>
      <c r="BW583">
        <v>18</v>
      </c>
      <c r="BX583">
        <v>21.1</v>
      </c>
      <c r="BY583">
        <v>20</v>
      </c>
      <c r="BZ583">
        <v>21.5</v>
      </c>
      <c r="CA583">
        <v>20</v>
      </c>
      <c r="CB583">
        <v>11.1</v>
      </c>
      <c r="CC583">
        <v>10</v>
      </c>
      <c r="CD583">
        <v>11.1</v>
      </c>
      <c r="CE583">
        <v>10</v>
      </c>
      <c r="CF583">
        <v>11.4</v>
      </c>
      <c r="CG583">
        <v>9</v>
      </c>
      <c r="CH583">
        <v>11.7</v>
      </c>
      <c r="CI583">
        <v>9</v>
      </c>
    </row>
    <row r="584" spans="1:87" x14ac:dyDescent="0.35">
      <c r="A584" s="1">
        <v>46059.863888888889</v>
      </c>
      <c r="B584">
        <v>-21.1</v>
      </c>
      <c r="C584">
        <v>-17.8</v>
      </c>
      <c r="D584">
        <v>-25</v>
      </c>
      <c r="E584">
        <v>-20.2</v>
      </c>
      <c r="F584">
        <v>-23</v>
      </c>
      <c r="G584">
        <v>-25</v>
      </c>
      <c r="H584">
        <v>-17</v>
      </c>
      <c r="I584">
        <v>-22.2</v>
      </c>
      <c r="J584">
        <v>-25</v>
      </c>
      <c r="K584">
        <v>-17.7</v>
      </c>
      <c r="L584">
        <v>-12.8</v>
      </c>
      <c r="M584">
        <v>-25</v>
      </c>
      <c r="N584">
        <v>-18.100000000000001</v>
      </c>
      <c r="O584">
        <v>10.5</v>
      </c>
      <c r="P584">
        <v>-25</v>
      </c>
      <c r="Q584">
        <v>-16.399999999999999</v>
      </c>
      <c r="R584">
        <v>-16.399999999999999</v>
      </c>
      <c r="S584">
        <v>-25</v>
      </c>
      <c r="T584">
        <v>4.4000000000000004</v>
      </c>
      <c r="U584">
        <v>-6</v>
      </c>
      <c r="V584">
        <v>2</v>
      </c>
      <c r="W584">
        <v>4.4000000000000004</v>
      </c>
      <c r="X584">
        <v>2.6</v>
      </c>
      <c r="Y584">
        <v>2</v>
      </c>
      <c r="Z584">
        <v>3.7</v>
      </c>
      <c r="AA584">
        <v>3.2</v>
      </c>
      <c r="AB584">
        <v>2</v>
      </c>
      <c r="AC584">
        <v>3.4</v>
      </c>
      <c r="AD584">
        <v>2</v>
      </c>
      <c r="AE584">
        <v>2</v>
      </c>
      <c r="AF584">
        <v>3.2</v>
      </c>
      <c r="AG584">
        <v>2.7</v>
      </c>
      <c r="AH584">
        <v>2</v>
      </c>
      <c r="AI584">
        <v>3</v>
      </c>
      <c r="AJ584">
        <v>0.6</v>
      </c>
      <c r="AK584">
        <v>2</v>
      </c>
      <c r="AL584">
        <v>5.8</v>
      </c>
      <c r="AM584">
        <v>4</v>
      </c>
      <c r="AN584">
        <v>5.4</v>
      </c>
      <c r="AO584">
        <v>4</v>
      </c>
      <c r="AP584">
        <v>3.9</v>
      </c>
      <c r="AQ584">
        <v>4</v>
      </c>
      <c r="AR584">
        <v>5.6</v>
      </c>
      <c r="AS584">
        <v>4</v>
      </c>
      <c r="AT584">
        <v>-4</v>
      </c>
      <c r="AU584">
        <v>-4.4000000000000004</v>
      </c>
      <c r="AV584">
        <v>-5</v>
      </c>
      <c r="AW584">
        <v>-4.7</v>
      </c>
      <c r="AX584">
        <v>-4.7</v>
      </c>
      <c r="AY584">
        <v>-5</v>
      </c>
      <c r="AZ584">
        <v>12</v>
      </c>
      <c r="BA584">
        <v>10</v>
      </c>
      <c r="BB584">
        <v>11.3</v>
      </c>
      <c r="BC584">
        <v>10</v>
      </c>
      <c r="BD584">
        <v>4.4000000000000004</v>
      </c>
      <c r="BE584">
        <v>4</v>
      </c>
      <c r="BF584">
        <v>9.4</v>
      </c>
      <c r="BG584">
        <v>10</v>
      </c>
      <c r="BH584">
        <v>10.8</v>
      </c>
      <c r="BI584">
        <v>10</v>
      </c>
      <c r="BJ584">
        <v>11.1</v>
      </c>
      <c r="BK584">
        <v>9</v>
      </c>
      <c r="BL584">
        <v>20.7</v>
      </c>
      <c r="BM584">
        <v>19</v>
      </c>
      <c r="BN584">
        <v>23.6</v>
      </c>
      <c r="BO584">
        <v>19</v>
      </c>
      <c r="BP584">
        <v>21.9</v>
      </c>
      <c r="BQ584">
        <v>20</v>
      </c>
      <c r="BR584">
        <v>21.8</v>
      </c>
      <c r="BS584">
        <v>25</v>
      </c>
      <c r="BT584">
        <v>21.9</v>
      </c>
      <c r="BU584">
        <v>25</v>
      </c>
      <c r="BV584">
        <v>23.5</v>
      </c>
      <c r="BW584">
        <v>18</v>
      </c>
      <c r="BX584">
        <v>18.7</v>
      </c>
      <c r="BY584">
        <v>20</v>
      </c>
      <c r="BZ584">
        <v>21.5</v>
      </c>
      <c r="CA584">
        <v>20</v>
      </c>
      <c r="CB584">
        <v>10.9</v>
      </c>
      <c r="CC584">
        <v>10</v>
      </c>
      <c r="CD584">
        <v>11.1</v>
      </c>
      <c r="CE584">
        <v>10</v>
      </c>
      <c r="CF584">
        <v>11.4</v>
      </c>
      <c r="CG584">
        <v>9</v>
      </c>
      <c r="CH584">
        <v>11.7</v>
      </c>
      <c r="CI584">
        <v>9</v>
      </c>
    </row>
    <row r="585" spans="1:87" x14ac:dyDescent="0.35">
      <c r="A585" s="1">
        <v>46059.864583333336</v>
      </c>
      <c r="B585">
        <v>-21.3</v>
      </c>
      <c r="C585">
        <v>-18</v>
      </c>
      <c r="D585">
        <v>-25</v>
      </c>
      <c r="E585">
        <v>-20.5</v>
      </c>
      <c r="F585">
        <v>-22.4</v>
      </c>
      <c r="G585">
        <v>-25</v>
      </c>
      <c r="H585">
        <v>-17.100000000000001</v>
      </c>
      <c r="I585">
        <v>-22.4</v>
      </c>
      <c r="J585">
        <v>-25</v>
      </c>
      <c r="K585">
        <v>-17.8</v>
      </c>
      <c r="L585">
        <v>-13.1</v>
      </c>
      <c r="M585">
        <v>-25</v>
      </c>
      <c r="N585">
        <v>-18.100000000000001</v>
      </c>
      <c r="O585">
        <v>12.3</v>
      </c>
      <c r="P585">
        <v>-25</v>
      </c>
      <c r="Q585">
        <v>-16.2</v>
      </c>
      <c r="R585">
        <v>-16.2</v>
      </c>
      <c r="S585">
        <v>-25</v>
      </c>
      <c r="T585">
        <v>4</v>
      </c>
      <c r="U585">
        <v>0.2</v>
      </c>
      <c r="V585">
        <v>2</v>
      </c>
      <c r="W585">
        <v>4.0999999999999996</v>
      </c>
      <c r="X585">
        <v>1.7</v>
      </c>
      <c r="Y585">
        <v>2</v>
      </c>
      <c r="Z585">
        <v>3.6</v>
      </c>
      <c r="AA585">
        <v>3.1</v>
      </c>
      <c r="AB585">
        <v>2</v>
      </c>
      <c r="AC585">
        <v>3.2</v>
      </c>
      <c r="AD585">
        <v>1.5</v>
      </c>
      <c r="AE585">
        <v>2</v>
      </c>
      <c r="AF585">
        <v>3</v>
      </c>
      <c r="AG585">
        <v>2.5</v>
      </c>
      <c r="AH585">
        <v>2</v>
      </c>
      <c r="AI585">
        <v>2.8</v>
      </c>
      <c r="AJ585">
        <v>0.3</v>
      </c>
      <c r="AK585">
        <v>2</v>
      </c>
      <c r="AL585">
        <v>5.9</v>
      </c>
      <c r="AM585">
        <v>4</v>
      </c>
      <c r="AN585">
        <v>5.4</v>
      </c>
      <c r="AO585">
        <v>4</v>
      </c>
      <c r="AP585">
        <v>4.2</v>
      </c>
      <c r="AQ585">
        <v>4</v>
      </c>
      <c r="AR585">
        <v>5.8</v>
      </c>
      <c r="AS585">
        <v>4</v>
      </c>
      <c r="AT585">
        <v>-3.6</v>
      </c>
      <c r="AU585">
        <v>-3.8</v>
      </c>
      <c r="AV585">
        <v>-5</v>
      </c>
      <c r="AW585">
        <v>-4</v>
      </c>
      <c r="AX585">
        <v>-3.9</v>
      </c>
      <c r="AY585">
        <v>-5</v>
      </c>
      <c r="AZ585">
        <v>11.9</v>
      </c>
      <c r="BA585">
        <v>10</v>
      </c>
      <c r="BB585">
        <v>11.6</v>
      </c>
      <c r="BC585">
        <v>10</v>
      </c>
      <c r="BD585">
        <v>4.5999999999999996</v>
      </c>
      <c r="BE585">
        <v>4</v>
      </c>
      <c r="BF585">
        <v>9.3000000000000007</v>
      </c>
      <c r="BG585">
        <v>10</v>
      </c>
      <c r="BH585">
        <v>10.8</v>
      </c>
      <c r="BI585">
        <v>10</v>
      </c>
      <c r="BJ585">
        <v>11.1</v>
      </c>
      <c r="BK585">
        <v>9</v>
      </c>
      <c r="BL585">
        <v>20.399999999999999</v>
      </c>
      <c r="BM585">
        <v>19</v>
      </c>
      <c r="BN585">
        <v>23.6</v>
      </c>
      <c r="BO585">
        <v>19</v>
      </c>
      <c r="BP585">
        <v>21.9</v>
      </c>
      <c r="BQ585">
        <v>20</v>
      </c>
      <c r="BR585">
        <v>21.8</v>
      </c>
      <c r="BS585">
        <v>25</v>
      </c>
      <c r="BT585">
        <v>21.9</v>
      </c>
      <c r="BU585">
        <v>25</v>
      </c>
      <c r="BV585">
        <v>23.5</v>
      </c>
      <c r="BW585">
        <v>18</v>
      </c>
      <c r="BX585">
        <v>18.3</v>
      </c>
      <c r="BY585">
        <v>20</v>
      </c>
      <c r="BZ585">
        <v>21.5</v>
      </c>
      <c r="CA585">
        <v>20</v>
      </c>
      <c r="CB585">
        <v>10.6</v>
      </c>
      <c r="CC585">
        <v>10</v>
      </c>
      <c r="CD585">
        <v>11.2</v>
      </c>
      <c r="CE585">
        <v>10</v>
      </c>
      <c r="CF585">
        <v>11.4</v>
      </c>
      <c r="CG585">
        <v>9</v>
      </c>
      <c r="CH585">
        <v>11.6</v>
      </c>
      <c r="CI585">
        <v>9</v>
      </c>
    </row>
    <row r="586" spans="1:87" x14ac:dyDescent="0.35">
      <c r="A586" s="1">
        <v>46059.865277777775</v>
      </c>
      <c r="B586">
        <v>-21.5</v>
      </c>
      <c r="C586">
        <v>-18.3</v>
      </c>
      <c r="D586">
        <v>-25</v>
      </c>
      <c r="E586">
        <v>-20.7</v>
      </c>
      <c r="F586">
        <v>-22.4</v>
      </c>
      <c r="G586">
        <v>-25</v>
      </c>
      <c r="H586">
        <v>-17.3</v>
      </c>
      <c r="I586">
        <v>-22.5</v>
      </c>
      <c r="J586">
        <v>-25</v>
      </c>
      <c r="K586">
        <v>-18</v>
      </c>
      <c r="L586">
        <v>-13.6</v>
      </c>
      <c r="M586">
        <v>-25</v>
      </c>
      <c r="N586">
        <v>-18.100000000000001</v>
      </c>
      <c r="O586">
        <v>13.8</v>
      </c>
      <c r="P586">
        <v>-25</v>
      </c>
      <c r="Q586">
        <v>-16</v>
      </c>
      <c r="R586">
        <v>-16</v>
      </c>
      <c r="S586">
        <v>-25</v>
      </c>
      <c r="T586">
        <v>3.6</v>
      </c>
      <c r="U586">
        <v>1.9</v>
      </c>
      <c r="V586">
        <v>2</v>
      </c>
      <c r="W586">
        <v>3.5</v>
      </c>
      <c r="X586">
        <v>0.8</v>
      </c>
      <c r="Y586">
        <v>2</v>
      </c>
      <c r="Z586">
        <v>3.5</v>
      </c>
      <c r="AA586">
        <v>2.9</v>
      </c>
      <c r="AB586">
        <v>2</v>
      </c>
      <c r="AC586">
        <v>3</v>
      </c>
      <c r="AD586">
        <v>1.6</v>
      </c>
      <c r="AE586">
        <v>2</v>
      </c>
      <c r="AF586">
        <v>2.8</v>
      </c>
      <c r="AG586">
        <v>2.2999999999999998</v>
      </c>
      <c r="AH586">
        <v>2</v>
      </c>
      <c r="AI586">
        <v>2.6</v>
      </c>
      <c r="AJ586">
        <v>0.7</v>
      </c>
      <c r="AK586">
        <v>2</v>
      </c>
      <c r="AL586">
        <v>5.9</v>
      </c>
      <c r="AM586">
        <v>4</v>
      </c>
      <c r="AN586">
        <v>5.4</v>
      </c>
      <c r="AO586">
        <v>4</v>
      </c>
      <c r="AP586">
        <v>4.5</v>
      </c>
      <c r="AQ586">
        <v>4</v>
      </c>
      <c r="AR586">
        <v>6</v>
      </c>
      <c r="AS586">
        <v>4</v>
      </c>
      <c r="AT586">
        <v>-3.2</v>
      </c>
      <c r="AU586">
        <v>-3.4</v>
      </c>
      <c r="AV586">
        <v>-5</v>
      </c>
      <c r="AW586">
        <v>-3.5</v>
      </c>
      <c r="AX586">
        <v>-3.3</v>
      </c>
      <c r="AY586">
        <v>-5</v>
      </c>
      <c r="AZ586">
        <v>11.5</v>
      </c>
      <c r="BA586">
        <v>10</v>
      </c>
      <c r="BB586">
        <v>11.9</v>
      </c>
      <c r="BC586">
        <v>10</v>
      </c>
      <c r="BD586">
        <v>4.9000000000000004</v>
      </c>
      <c r="BE586">
        <v>4</v>
      </c>
      <c r="BF586">
        <v>9.6999999999999993</v>
      </c>
      <c r="BG586">
        <v>10</v>
      </c>
      <c r="BH586">
        <v>10.8</v>
      </c>
      <c r="BI586">
        <v>10</v>
      </c>
      <c r="BJ586">
        <v>11.1</v>
      </c>
      <c r="BK586">
        <v>9</v>
      </c>
      <c r="BL586">
        <v>20</v>
      </c>
      <c r="BM586">
        <v>19</v>
      </c>
      <c r="BN586">
        <v>23.6</v>
      </c>
      <c r="BO586">
        <v>19</v>
      </c>
      <c r="BP586">
        <v>21.7</v>
      </c>
      <c r="BQ586">
        <v>20</v>
      </c>
      <c r="BR586">
        <v>21.8</v>
      </c>
      <c r="BS586">
        <v>25</v>
      </c>
      <c r="BT586">
        <v>21.9</v>
      </c>
      <c r="BU586">
        <v>25</v>
      </c>
      <c r="BV586">
        <v>23.5</v>
      </c>
      <c r="BW586">
        <v>18</v>
      </c>
      <c r="BX586">
        <v>18.5</v>
      </c>
      <c r="BY586">
        <v>20</v>
      </c>
      <c r="BZ586">
        <v>21.6</v>
      </c>
      <c r="CA586">
        <v>20</v>
      </c>
      <c r="CB586">
        <v>10.5</v>
      </c>
      <c r="CC586">
        <v>10</v>
      </c>
      <c r="CD586">
        <v>11.2</v>
      </c>
      <c r="CE586">
        <v>10</v>
      </c>
      <c r="CF586">
        <v>11.2</v>
      </c>
      <c r="CG586">
        <v>9</v>
      </c>
      <c r="CH586">
        <v>11.4</v>
      </c>
      <c r="CI586">
        <v>9</v>
      </c>
    </row>
    <row r="587" spans="1:87" x14ac:dyDescent="0.35">
      <c r="A587" s="1">
        <v>46059.865972222222</v>
      </c>
      <c r="B587">
        <v>-21.7</v>
      </c>
      <c r="C587">
        <v>-18.5</v>
      </c>
      <c r="D587">
        <v>-25</v>
      </c>
      <c r="E587">
        <v>-20.8</v>
      </c>
      <c r="F587">
        <v>-22.7</v>
      </c>
      <c r="G587">
        <v>-25</v>
      </c>
      <c r="H587">
        <v>-17.399999999999999</v>
      </c>
      <c r="I587">
        <v>-22.6</v>
      </c>
      <c r="J587">
        <v>-25</v>
      </c>
      <c r="K587">
        <v>-18.100000000000001</v>
      </c>
      <c r="L587">
        <v>-14</v>
      </c>
      <c r="M587">
        <v>-25</v>
      </c>
      <c r="N587">
        <v>-18.100000000000001</v>
      </c>
      <c r="O587">
        <v>15.1</v>
      </c>
      <c r="P587">
        <v>-25</v>
      </c>
      <c r="Q587">
        <v>-15.8</v>
      </c>
      <c r="R587">
        <v>-15.8</v>
      </c>
      <c r="S587">
        <v>-25</v>
      </c>
      <c r="T587">
        <v>3.2</v>
      </c>
      <c r="U587">
        <v>1.9</v>
      </c>
      <c r="V587">
        <v>2</v>
      </c>
      <c r="W587">
        <v>3.1</v>
      </c>
      <c r="X587">
        <v>0.3</v>
      </c>
      <c r="Y587">
        <v>2</v>
      </c>
      <c r="Z587">
        <v>3.3</v>
      </c>
      <c r="AA587">
        <v>2.7</v>
      </c>
      <c r="AB587">
        <v>2</v>
      </c>
      <c r="AC587">
        <v>2.9</v>
      </c>
      <c r="AD587">
        <v>1.8</v>
      </c>
      <c r="AE587">
        <v>2</v>
      </c>
      <c r="AF587">
        <v>2.7</v>
      </c>
      <c r="AG587">
        <v>2.2000000000000002</v>
      </c>
      <c r="AH587">
        <v>2</v>
      </c>
      <c r="AI587">
        <v>2.5</v>
      </c>
      <c r="AJ587">
        <v>1</v>
      </c>
      <c r="AK587">
        <v>2</v>
      </c>
      <c r="AL587">
        <v>5.9</v>
      </c>
      <c r="AM587">
        <v>4</v>
      </c>
      <c r="AN587">
        <v>5.4</v>
      </c>
      <c r="AO587">
        <v>4</v>
      </c>
      <c r="AP587">
        <v>4.7</v>
      </c>
      <c r="AQ587">
        <v>4</v>
      </c>
      <c r="AR587">
        <v>6.2</v>
      </c>
      <c r="AS587">
        <v>4</v>
      </c>
      <c r="AT587">
        <v>-2.9</v>
      </c>
      <c r="AU587">
        <v>-3.2</v>
      </c>
      <c r="AV587">
        <v>-5</v>
      </c>
      <c r="AW587">
        <v>-3.1</v>
      </c>
      <c r="AX587">
        <v>-2.9</v>
      </c>
      <c r="AY587">
        <v>-5</v>
      </c>
      <c r="AZ587">
        <v>11.4</v>
      </c>
      <c r="BA587">
        <v>10</v>
      </c>
      <c r="BB587">
        <v>12</v>
      </c>
      <c r="BC587">
        <v>10</v>
      </c>
      <c r="BD587">
        <v>5.0999999999999996</v>
      </c>
      <c r="BE587">
        <v>4</v>
      </c>
      <c r="BF587">
        <v>10</v>
      </c>
      <c r="BG587">
        <v>10</v>
      </c>
      <c r="BH587">
        <v>10.7</v>
      </c>
      <c r="BI587">
        <v>10</v>
      </c>
      <c r="BJ587">
        <v>11.2</v>
      </c>
      <c r="BK587">
        <v>9</v>
      </c>
      <c r="BL587">
        <v>19.7</v>
      </c>
      <c r="BM587">
        <v>19</v>
      </c>
      <c r="BN587">
        <v>23.6</v>
      </c>
      <c r="BO587">
        <v>19</v>
      </c>
      <c r="BP587">
        <v>21.6</v>
      </c>
      <c r="BQ587">
        <v>20</v>
      </c>
      <c r="BR587">
        <v>21.8</v>
      </c>
      <c r="BS587">
        <v>25</v>
      </c>
      <c r="BT587">
        <v>21.9</v>
      </c>
      <c r="BU587">
        <v>25</v>
      </c>
      <c r="BV587">
        <v>23.5</v>
      </c>
      <c r="BW587">
        <v>18</v>
      </c>
      <c r="BX587">
        <v>19</v>
      </c>
      <c r="BY587">
        <v>20</v>
      </c>
      <c r="BZ587">
        <v>21.6</v>
      </c>
      <c r="CA587">
        <v>20</v>
      </c>
      <c r="CB587">
        <v>10.3</v>
      </c>
      <c r="CC587">
        <v>10</v>
      </c>
      <c r="CD587">
        <v>11.2</v>
      </c>
      <c r="CE587">
        <v>10</v>
      </c>
      <c r="CF587">
        <v>11</v>
      </c>
      <c r="CG587">
        <v>9</v>
      </c>
      <c r="CH587">
        <v>11.2</v>
      </c>
      <c r="CI587">
        <v>9</v>
      </c>
    </row>
    <row r="588" spans="1:87" x14ac:dyDescent="0.35">
      <c r="A588" s="1">
        <v>46059.866666666669</v>
      </c>
      <c r="B588">
        <v>-21.8</v>
      </c>
      <c r="C588">
        <v>-18.600000000000001</v>
      </c>
      <c r="D588">
        <v>-25</v>
      </c>
      <c r="E588">
        <v>-21</v>
      </c>
      <c r="F588">
        <v>-23.7</v>
      </c>
      <c r="G588">
        <v>-25</v>
      </c>
      <c r="H588">
        <v>-17.5</v>
      </c>
      <c r="I588">
        <v>-22.8</v>
      </c>
      <c r="J588">
        <v>-25</v>
      </c>
      <c r="K588">
        <v>-18.2</v>
      </c>
      <c r="L588">
        <v>-14.3</v>
      </c>
      <c r="M588">
        <v>-25</v>
      </c>
      <c r="N588">
        <v>-18.100000000000001</v>
      </c>
      <c r="O588">
        <v>16</v>
      </c>
      <c r="P588">
        <v>-25</v>
      </c>
      <c r="Q588">
        <v>-15.6</v>
      </c>
      <c r="R588">
        <v>-15.6</v>
      </c>
      <c r="S588">
        <v>-25</v>
      </c>
      <c r="T588">
        <v>2.9</v>
      </c>
      <c r="U588">
        <v>1.9</v>
      </c>
      <c r="V588">
        <v>2</v>
      </c>
      <c r="W588">
        <v>2.9</v>
      </c>
      <c r="X588">
        <v>0</v>
      </c>
      <c r="Y588">
        <v>2</v>
      </c>
      <c r="Z588">
        <v>3.2</v>
      </c>
      <c r="AA588">
        <v>2.6</v>
      </c>
      <c r="AB588">
        <v>2</v>
      </c>
      <c r="AC588">
        <v>2.8</v>
      </c>
      <c r="AD588">
        <v>1.8</v>
      </c>
      <c r="AE588">
        <v>2</v>
      </c>
      <c r="AF588">
        <v>2.6</v>
      </c>
      <c r="AG588">
        <v>2.2000000000000002</v>
      </c>
      <c r="AH588">
        <v>2</v>
      </c>
      <c r="AI588">
        <v>2.4</v>
      </c>
      <c r="AJ588">
        <v>1</v>
      </c>
      <c r="AK588">
        <v>2</v>
      </c>
      <c r="AL588">
        <v>5.9</v>
      </c>
      <c r="AM588">
        <v>4</v>
      </c>
      <c r="AN588">
        <v>5.4</v>
      </c>
      <c r="AO588">
        <v>4</v>
      </c>
      <c r="AP588">
        <v>4.9000000000000004</v>
      </c>
      <c r="AQ588">
        <v>4</v>
      </c>
      <c r="AR588">
        <v>6.4</v>
      </c>
      <c r="AS588">
        <v>4</v>
      </c>
      <c r="AT588">
        <v>-3</v>
      </c>
      <c r="AU588">
        <v>-4.5</v>
      </c>
      <c r="AV588">
        <v>-5</v>
      </c>
      <c r="AW588">
        <v>-2.8</v>
      </c>
      <c r="AX588">
        <v>-2.7</v>
      </c>
      <c r="AY588">
        <v>-5</v>
      </c>
      <c r="AZ588">
        <v>11.4</v>
      </c>
      <c r="BA588">
        <v>10</v>
      </c>
      <c r="BB588">
        <v>12.1</v>
      </c>
      <c r="BC588">
        <v>10</v>
      </c>
      <c r="BD588">
        <v>5.3</v>
      </c>
      <c r="BE588">
        <v>4</v>
      </c>
      <c r="BF588">
        <v>10.4</v>
      </c>
      <c r="BG588">
        <v>10</v>
      </c>
      <c r="BH588">
        <v>10.7</v>
      </c>
      <c r="BI588">
        <v>10</v>
      </c>
      <c r="BJ588">
        <v>11.3</v>
      </c>
      <c r="BK588">
        <v>9</v>
      </c>
      <c r="BL588">
        <v>19.399999999999999</v>
      </c>
      <c r="BM588">
        <v>19</v>
      </c>
      <c r="BN588">
        <v>23.6</v>
      </c>
      <c r="BO588">
        <v>19</v>
      </c>
      <c r="BP588">
        <v>21.5</v>
      </c>
      <c r="BQ588">
        <v>20</v>
      </c>
      <c r="BR588">
        <v>21.7</v>
      </c>
      <c r="BS588">
        <v>25</v>
      </c>
      <c r="BT588">
        <v>21.9</v>
      </c>
      <c r="BU588">
        <v>25</v>
      </c>
      <c r="BV588">
        <v>23.5</v>
      </c>
      <c r="BW588">
        <v>18</v>
      </c>
      <c r="BX588">
        <v>19.5</v>
      </c>
      <c r="BY588">
        <v>20</v>
      </c>
      <c r="BZ588">
        <v>21.6</v>
      </c>
      <c r="CA588">
        <v>20</v>
      </c>
      <c r="CB588">
        <v>10.1</v>
      </c>
      <c r="CC588">
        <v>10</v>
      </c>
      <c r="CD588">
        <v>11.2</v>
      </c>
      <c r="CE588">
        <v>10</v>
      </c>
      <c r="CF588">
        <v>11.1</v>
      </c>
      <c r="CG588">
        <v>9</v>
      </c>
      <c r="CH588">
        <v>11.3</v>
      </c>
      <c r="CI588">
        <v>9</v>
      </c>
    </row>
    <row r="589" spans="1:87" x14ac:dyDescent="0.35">
      <c r="A589" s="1">
        <v>46059.867361111108</v>
      </c>
      <c r="B589">
        <v>-22</v>
      </c>
      <c r="C589">
        <v>-18.8</v>
      </c>
      <c r="D589">
        <v>-25</v>
      </c>
      <c r="E589">
        <v>-21.2</v>
      </c>
      <c r="F589">
        <v>-23.5</v>
      </c>
      <c r="G589">
        <v>-25</v>
      </c>
      <c r="H589">
        <v>-17.600000000000001</v>
      </c>
      <c r="I589">
        <v>-23</v>
      </c>
      <c r="J589">
        <v>-25</v>
      </c>
      <c r="K589">
        <v>-18.3</v>
      </c>
      <c r="L589">
        <v>-14.6</v>
      </c>
      <c r="M589">
        <v>-25</v>
      </c>
      <c r="N589">
        <v>-18.100000000000001</v>
      </c>
      <c r="O589">
        <v>16.8</v>
      </c>
      <c r="P589">
        <v>-25</v>
      </c>
      <c r="Q589">
        <v>-15.4</v>
      </c>
      <c r="R589">
        <v>-15.4</v>
      </c>
      <c r="S589">
        <v>-25</v>
      </c>
      <c r="T589">
        <v>2.6</v>
      </c>
      <c r="U589">
        <v>1.6</v>
      </c>
      <c r="V589">
        <v>2</v>
      </c>
      <c r="W589">
        <v>2.6</v>
      </c>
      <c r="X589">
        <v>-0.4</v>
      </c>
      <c r="Y589">
        <v>2</v>
      </c>
      <c r="Z589">
        <v>3.1</v>
      </c>
      <c r="AA589">
        <v>2.5</v>
      </c>
      <c r="AB589">
        <v>2</v>
      </c>
      <c r="AC589">
        <v>2.7</v>
      </c>
      <c r="AD589">
        <v>1</v>
      </c>
      <c r="AE589">
        <v>2</v>
      </c>
      <c r="AF589">
        <v>2.5</v>
      </c>
      <c r="AG589">
        <v>2.1</v>
      </c>
      <c r="AH589">
        <v>2</v>
      </c>
      <c r="AI589">
        <v>2.2999999999999998</v>
      </c>
      <c r="AJ589">
        <v>1</v>
      </c>
      <c r="AK589">
        <v>2</v>
      </c>
      <c r="AL589">
        <v>6</v>
      </c>
      <c r="AM589">
        <v>4</v>
      </c>
      <c r="AN589">
        <v>5.4</v>
      </c>
      <c r="AO589">
        <v>4</v>
      </c>
      <c r="AP589">
        <v>5.0999999999999996</v>
      </c>
      <c r="AQ589">
        <v>4</v>
      </c>
      <c r="AR589">
        <v>6.5</v>
      </c>
      <c r="AS589">
        <v>4</v>
      </c>
      <c r="AT589">
        <v>-3.3</v>
      </c>
      <c r="AU589">
        <v>-5.0999999999999996</v>
      </c>
      <c r="AV589">
        <v>-5</v>
      </c>
      <c r="AW589">
        <v>-2.6</v>
      </c>
      <c r="AX589">
        <v>-2.4</v>
      </c>
      <c r="AY589">
        <v>-5</v>
      </c>
      <c r="AZ589">
        <v>11.4</v>
      </c>
      <c r="BA589">
        <v>10</v>
      </c>
      <c r="BB589">
        <v>11.8</v>
      </c>
      <c r="BC589">
        <v>10</v>
      </c>
      <c r="BD589">
        <v>5.5</v>
      </c>
      <c r="BE589">
        <v>4</v>
      </c>
      <c r="BF589">
        <v>10.8</v>
      </c>
      <c r="BG589">
        <v>10</v>
      </c>
      <c r="BH589">
        <v>10.7</v>
      </c>
      <c r="BI589">
        <v>10</v>
      </c>
      <c r="BJ589">
        <v>11.3</v>
      </c>
      <c r="BK589">
        <v>9</v>
      </c>
      <c r="BL589">
        <v>19.100000000000001</v>
      </c>
      <c r="BM589">
        <v>19</v>
      </c>
      <c r="BN589">
        <v>23.6</v>
      </c>
      <c r="BO589">
        <v>19</v>
      </c>
      <c r="BP589">
        <v>21.5</v>
      </c>
      <c r="BQ589">
        <v>20</v>
      </c>
      <c r="BR589">
        <v>21.7</v>
      </c>
      <c r="BS589">
        <v>25</v>
      </c>
      <c r="BT589">
        <v>21.9</v>
      </c>
      <c r="BU589">
        <v>25</v>
      </c>
      <c r="BV589">
        <v>23.5</v>
      </c>
      <c r="BW589">
        <v>18</v>
      </c>
      <c r="BX589">
        <v>19.8</v>
      </c>
      <c r="BY589">
        <v>20</v>
      </c>
      <c r="BZ589">
        <v>21.6</v>
      </c>
      <c r="CA589">
        <v>20</v>
      </c>
      <c r="CB589">
        <v>10</v>
      </c>
      <c r="CC589">
        <v>10</v>
      </c>
      <c r="CD589">
        <v>11.2</v>
      </c>
      <c r="CE589">
        <v>10</v>
      </c>
      <c r="CF589">
        <v>11.3</v>
      </c>
      <c r="CG589">
        <v>9</v>
      </c>
      <c r="CH589">
        <v>11.5</v>
      </c>
      <c r="CI589">
        <v>9</v>
      </c>
    </row>
    <row r="590" spans="1:87" x14ac:dyDescent="0.35">
      <c r="A590" s="1">
        <v>46059.868055555555</v>
      </c>
      <c r="B590">
        <v>-22.2</v>
      </c>
      <c r="C590">
        <v>-19</v>
      </c>
      <c r="D590">
        <v>-25</v>
      </c>
      <c r="E590">
        <v>-21.4</v>
      </c>
      <c r="F590">
        <v>-24</v>
      </c>
      <c r="G590">
        <v>-25</v>
      </c>
      <c r="H590">
        <v>-17.7</v>
      </c>
      <c r="I590">
        <v>-23.3</v>
      </c>
      <c r="J590">
        <v>-25</v>
      </c>
      <c r="K590">
        <v>-18.5</v>
      </c>
      <c r="L590">
        <v>-14.8</v>
      </c>
      <c r="M590">
        <v>-25</v>
      </c>
      <c r="N590">
        <v>-18.100000000000001</v>
      </c>
      <c r="O590">
        <v>17.5</v>
      </c>
      <c r="P590">
        <v>-25</v>
      </c>
      <c r="Q590">
        <v>-15.2</v>
      </c>
      <c r="R590">
        <v>-15.2</v>
      </c>
      <c r="S590">
        <v>-25</v>
      </c>
      <c r="T590">
        <v>2.2999999999999998</v>
      </c>
      <c r="U590">
        <v>1.2</v>
      </c>
      <c r="V590">
        <v>2</v>
      </c>
      <c r="W590">
        <v>2.2999999999999998</v>
      </c>
      <c r="X590">
        <v>-0.6</v>
      </c>
      <c r="Y590">
        <v>2</v>
      </c>
      <c r="Z590">
        <v>3</v>
      </c>
      <c r="AA590">
        <v>2.4</v>
      </c>
      <c r="AB590">
        <v>2</v>
      </c>
      <c r="AC590">
        <v>2.5</v>
      </c>
      <c r="AD590">
        <v>0.8</v>
      </c>
      <c r="AE590">
        <v>2</v>
      </c>
      <c r="AF590">
        <v>2.4</v>
      </c>
      <c r="AG590">
        <v>2</v>
      </c>
      <c r="AH590">
        <v>2</v>
      </c>
      <c r="AI590">
        <v>2.2000000000000002</v>
      </c>
      <c r="AJ590">
        <v>0.2</v>
      </c>
      <c r="AK590">
        <v>2</v>
      </c>
      <c r="AL590">
        <v>6</v>
      </c>
      <c r="AM590">
        <v>4</v>
      </c>
      <c r="AN590">
        <v>5.4</v>
      </c>
      <c r="AO590">
        <v>4</v>
      </c>
      <c r="AP590">
        <v>5.2</v>
      </c>
      <c r="AQ590">
        <v>4</v>
      </c>
      <c r="AR590">
        <v>6.7</v>
      </c>
      <c r="AS590">
        <v>4</v>
      </c>
      <c r="AT590">
        <v>-3.6</v>
      </c>
      <c r="AU590">
        <v>-5.5</v>
      </c>
      <c r="AV590">
        <v>-5</v>
      </c>
      <c r="AW590">
        <v>-2.4</v>
      </c>
      <c r="AX590">
        <v>-2.2999999999999998</v>
      </c>
      <c r="AY590">
        <v>-5</v>
      </c>
      <c r="AZ590">
        <v>11.4</v>
      </c>
      <c r="BA590">
        <v>10</v>
      </c>
      <c r="BB590">
        <v>11.4</v>
      </c>
      <c r="BC590">
        <v>10</v>
      </c>
      <c r="BD590">
        <v>5.7</v>
      </c>
      <c r="BE590">
        <v>4</v>
      </c>
      <c r="BF590">
        <v>11</v>
      </c>
      <c r="BG590">
        <v>10</v>
      </c>
      <c r="BH590">
        <v>10.7</v>
      </c>
      <c r="BI590">
        <v>10</v>
      </c>
      <c r="BJ590">
        <v>11.4</v>
      </c>
      <c r="BK590">
        <v>9</v>
      </c>
      <c r="BL590">
        <v>18.899999999999999</v>
      </c>
      <c r="BM590">
        <v>19</v>
      </c>
      <c r="BN590">
        <v>23.6</v>
      </c>
      <c r="BO590">
        <v>19</v>
      </c>
      <c r="BP590">
        <v>21.4</v>
      </c>
      <c r="BQ590">
        <v>20</v>
      </c>
      <c r="BR590">
        <v>21.6</v>
      </c>
      <c r="BS590">
        <v>25</v>
      </c>
      <c r="BT590">
        <v>21.9</v>
      </c>
      <c r="BU590">
        <v>25</v>
      </c>
      <c r="BV590">
        <v>23.5</v>
      </c>
      <c r="BW590">
        <v>18</v>
      </c>
      <c r="BX590">
        <v>19.899999999999999</v>
      </c>
      <c r="BY590">
        <v>20</v>
      </c>
      <c r="BZ590">
        <v>21.7</v>
      </c>
      <c r="CA590">
        <v>20</v>
      </c>
      <c r="CB590">
        <v>10.1</v>
      </c>
      <c r="CC590">
        <v>10</v>
      </c>
      <c r="CD590">
        <v>11.2</v>
      </c>
      <c r="CE590">
        <v>10</v>
      </c>
      <c r="CF590">
        <v>11.6</v>
      </c>
      <c r="CG590">
        <v>9</v>
      </c>
      <c r="CH590">
        <v>11.8</v>
      </c>
      <c r="CI590">
        <v>9</v>
      </c>
    </row>
    <row r="591" spans="1:87" x14ac:dyDescent="0.35">
      <c r="A591" s="1">
        <v>46059.868750000001</v>
      </c>
      <c r="B591">
        <v>-22.4</v>
      </c>
      <c r="C591">
        <v>-19.2</v>
      </c>
      <c r="D591">
        <v>-25</v>
      </c>
      <c r="E591">
        <v>-21.6</v>
      </c>
      <c r="F591">
        <v>-24.3</v>
      </c>
      <c r="G591">
        <v>-25</v>
      </c>
      <c r="H591">
        <v>-17.899999999999999</v>
      </c>
      <c r="I591">
        <v>-23.4</v>
      </c>
      <c r="J591">
        <v>-25</v>
      </c>
      <c r="K591">
        <v>-18.600000000000001</v>
      </c>
      <c r="L591">
        <v>-15.1</v>
      </c>
      <c r="M591">
        <v>-25</v>
      </c>
      <c r="N591">
        <v>-18.100000000000001</v>
      </c>
      <c r="O591">
        <v>18.5</v>
      </c>
      <c r="P591">
        <v>-25</v>
      </c>
      <c r="Q591">
        <v>-15</v>
      </c>
      <c r="R591">
        <v>-15</v>
      </c>
      <c r="S591">
        <v>-25</v>
      </c>
      <c r="T591">
        <v>2</v>
      </c>
      <c r="U591">
        <v>0.6</v>
      </c>
      <c r="V591">
        <v>2</v>
      </c>
      <c r="W591">
        <v>2</v>
      </c>
      <c r="X591">
        <v>-0.9</v>
      </c>
      <c r="Y591">
        <v>2</v>
      </c>
      <c r="Z591">
        <v>2.9</v>
      </c>
      <c r="AA591">
        <v>2.2999999999999998</v>
      </c>
      <c r="AB591">
        <v>2</v>
      </c>
      <c r="AC591">
        <v>2.4</v>
      </c>
      <c r="AD591">
        <v>0.7</v>
      </c>
      <c r="AE591">
        <v>2</v>
      </c>
      <c r="AF591">
        <v>2.2999999999999998</v>
      </c>
      <c r="AG591">
        <v>1.9</v>
      </c>
      <c r="AH591">
        <v>2</v>
      </c>
      <c r="AI591">
        <v>2.1</v>
      </c>
      <c r="AJ591">
        <v>-0.3</v>
      </c>
      <c r="AK591">
        <v>2</v>
      </c>
      <c r="AL591">
        <v>6</v>
      </c>
      <c r="AM591">
        <v>4</v>
      </c>
      <c r="AN591">
        <v>5.4</v>
      </c>
      <c r="AO591">
        <v>4</v>
      </c>
      <c r="AP591">
        <v>5.4</v>
      </c>
      <c r="AQ591">
        <v>4</v>
      </c>
      <c r="AR591">
        <v>6.8</v>
      </c>
      <c r="AS591">
        <v>4</v>
      </c>
      <c r="AT591">
        <v>-3.9</v>
      </c>
      <c r="AU591">
        <v>-5.9</v>
      </c>
      <c r="AV591">
        <v>-5</v>
      </c>
      <c r="AW591">
        <v>-2.6</v>
      </c>
      <c r="AX591">
        <v>-4</v>
      </c>
      <c r="AY591">
        <v>-5</v>
      </c>
      <c r="AZ591">
        <v>11.4</v>
      </c>
      <c r="BA591">
        <v>10</v>
      </c>
      <c r="BB591">
        <v>11.2</v>
      </c>
      <c r="BC591">
        <v>10</v>
      </c>
      <c r="BD591">
        <v>5.8</v>
      </c>
      <c r="BE591">
        <v>4</v>
      </c>
      <c r="BF591">
        <v>11.2</v>
      </c>
      <c r="BG591">
        <v>10</v>
      </c>
      <c r="BH591">
        <v>10.6</v>
      </c>
      <c r="BI591">
        <v>10</v>
      </c>
      <c r="BJ591">
        <v>11.4</v>
      </c>
      <c r="BK591">
        <v>9</v>
      </c>
      <c r="BL591">
        <v>18.7</v>
      </c>
      <c r="BM591">
        <v>19</v>
      </c>
      <c r="BN591">
        <v>23.6</v>
      </c>
      <c r="BO591">
        <v>19</v>
      </c>
      <c r="BP591">
        <v>21.3</v>
      </c>
      <c r="BQ591">
        <v>20</v>
      </c>
      <c r="BR591">
        <v>21.6</v>
      </c>
      <c r="BS591">
        <v>25</v>
      </c>
      <c r="BT591">
        <v>21.9</v>
      </c>
      <c r="BU591">
        <v>25</v>
      </c>
      <c r="BV591">
        <v>23.5</v>
      </c>
      <c r="BW591">
        <v>18</v>
      </c>
      <c r="BX591">
        <v>20.100000000000001</v>
      </c>
      <c r="BY591">
        <v>20</v>
      </c>
      <c r="BZ591">
        <v>21.7</v>
      </c>
      <c r="CA591">
        <v>20</v>
      </c>
      <c r="CB591">
        <v>10.5</v>
      </c>
      <c r="CC591">
        <v>10</v>
      </c>
      <c r="CD591">
        <v>11.2</v>
      </c>
      <c r="CE591">
        <v>10</v>
      </c>
      <c r="CF591">
        <v>11.6</v>
      </c>
      <c r="CG591">
        <v>9</v>
      </c>
      <c r="CH591">
        <v>11.8</v>
      </c>
      <c r="CI591">
        <v>9</v>
      </c>
    </row>
    <row r="592" spans="1:87" x14ac:dyDescent="0.35">
      <c r="A592" s="1">
        <v>46059.869444444441</v>
      </c>
      <c r="B592">
        <v>-22.6</v>
      </c>
      <c r="C592">
        <v>-19.399999999999999</v>
      </c>
      <c r="D592">
        <v>-25</v>
      </c>
      <c r="E592">
        <v>-21.8</v>
      </c>
      <c r="F592">
        <v>-24.2</v>
      </c>
      <c r="G592">
        <v>-25</v>
      </c>
      <c r="H592">
        <v>-18</v>
      </c>
      <c r="I592">
        <v>-23.4</v>
      </c>
      <c r="J592">
        <v>-25</v>
      </c>
      <c r="K592">
        <v>-18.7</v>
      </c>
      <c r="L592">
        <v>-15.4</v>
      </c>
      <c r="M592">
        <v>-25</v>
      </c>
      <c r="N592">
        <v>-18.100000000000001</v>
      </c>
      <c r="O592">
        <v>19</v>
      </c>
      <c r="P592">
        <v>-25</v>
      </c>
      <c r="Q592">
        <v>-14.8</v>
      </c>
      <c r="R592">
        <v>-14.8</v>
      </c>
      <c r="S592">
        <v>-25</v>
      </c>
      <c r="T592">
        <v>1.8</v>
      </c>
      <c r="U592">
        <v>0.8</v>
      </c>
      <c r="V592">
        <v>2</v>
      </c>
      <c r="W592">
        <v>1.9</v>
      </c>
      <c r="X592">
        <v>0</v>
      </c>
      <c r="Y592">
        <v>2</v>
      </c>
      <c r="Z592">
        <v>2.8</v>
      </c>
      <c r="AA592">
        <v>2.1</v>
      </c>
      <c r="AB592">
        <v>2</v>
      </c>
      <c r="AC592">
        <v>2.2999999999999998</v>
      </c>
      <c r="AD592">
        <v>0.1</v>
      </c>
      <c r="AE592">
        <v>2</v>
      </c>
      <c r="AF592">
        <v>2.2000000000000002</v>
      </c>
      <c r="AG592">
        <v>1.7</v>
      </c>
      <c r="AH592">
        <v>2</v>
      </c>
      <c r="AI592">
        <v>2</v>
      </c>
      <c r="AJ592">
        <v>-0.7</v>
      </c>
      <c r="AK592">
        <v>2</v>
      </c>
      <c r="AL592">
        <v>5.8</v>
      </c>
      <c r="AM592">
        <v>4</v>
      </c>
      <c r="AN592">
        <v>5.4</v>
      </c>
      <c r="AO592">
        <v>4</v>
      </c>
      <c r="AP592">
        <v>5.5</v>
      </c>
      <c r="AQ592">
        <v>4</v>
      </c>
      <c r="AR592">
        <v>7</v>
      </c>
      <c r="AS592">
        <v>4</v>
      </c>
      <c r="AT592">
        <v>-4.0999999999999996</v>
      </c>
      <c r="AU592">
        <v>-6.3</v>
      </c>
      <c r="AV592">
        <v>-5</v>
      </c>
      <c r="AW592">
        <v>-3.2</v>
      </c>
      <c r="AX592">
        <v>-4.9000000000000004</v>
      </c>
      <c r="AY592">
        <v>-5</v>
      </c>
      <c r="AZ592">
        <v>11.4</v>
      </c>
      <c r="BA592">
        <v>10</v>
      </c>
      <c r="BB592">
        <v>10.9</v>
      </c>
      <c r="BC592">
        <v>10</v>
      </c>
      <c r="BD592">
        <v>6</v>
      </c>
      <c r="BE592">
        <v>4</v>
      </c>
      <c r="BF592">
        <v>11.4</v>
      </c>
      <c r="BG592">
        <v>10</v>
      </c>
      <c r="BH592">
        <v>10.6</v>
      </c>
      <c r="BI592">
        <v>10</v>
      </c>
      <c r="BJ592">
        <v>11.4</v>
      </c>
      <c r="BK592">
        <v>9</v>
      </c>
      <c r="BL592">
        <v>18.7</v>
      </c>
      <c r="BM592">
        <v>19</v>
      </c>
      <c r="BN592">
        <v>23.6</v>
      </c>
      <c r="BO592">
        <v>19</v>
      </c>
      <c r="BP592">
        <v>21.2</v>
      </c>
      <c r="BQ592">
        <v>20</v>
      </c>
      <c r="BR592">
        <v>21.6</v>
      </c>
      <c r="BS592">
        <v>25</v>
      </c>
      <c r="BT592">
        <v>21.9</v>
      </c>
      <c r="BU592">
        <v>25</v>
      </c>
      <c r="BV592">
        <v>23.5</v>
      </c>
      <c r="BW592">
        <v>18</v>
      </c>
      <c r="BX592">
        <v>20.3</v>
      </c>
      <c r="BY592">
        <v>20</v>
      </c>
      <c r="BZ592">
        <v>21.7</v>
      </c>
      <c r="CA592">
        <v>20</v>
      </c>
      <c r="CB592">
        <v>11</v>
      </c>
      <c r="CC592">
        <v>10</v>
      </c>
      <c r="CD592">
        <v>11.2</v>
      </c>
      <c r="CE592">
        <v>10</v>
      </c>
      <c r="CF592">
        <v>11.6</v>
      </c>
      <c r="CG592">
        <v>9</v>
      </c>
      <c r="CH592">
        <v>11.8</v>
      </c>
      <c r="CI592">
        <v>9</v>
      </c>
    </row>
    <row r="593" spans="1:87" x14ac:dyDescent="0.35">
      <c r="A593" s="1">
        <v>46059.870138888888</v>
      </c>
      <c r="B593">
        <v>-22.7</v>
      </c>
      <c r="C593">
        <v>-19.600000000000001</v>
      </c>
      <c r="D593">
        <v>-25</v>
      </c>
      <c r="E593">
        <v>-21.9</v>
      </c>
      <c r="F593">
        <v>-23.5</v>
      </c>
      <c r="G593">
        <v>-25</v>
      </c>
      <c r="H593">
        <v>-18.100000000000001</v>
      </c>
      <c r="I593">
        <v>-23.8</v>
      </c>
      <c r="J593">
        <v>-25</v>
      </c>
      <c r="K593">
        <v>-18.899999999999999</v>
      </c>
      <c r="L593">
        <v>-15.7</v>
      </c>
      <c r="M593">
        <v>-25</v>
      </c>
      <c r="N593">
        <v>-18.100000000000001</v>
      </c>
      <c r="O593">
        <v>19.5</v>
      </c>
      <c r="P593">
        <v>-25</v>
      </c>
      <c r="Q593">
        <v>-14.6</v>
      </c>
      <c r="R593">
        <v>-14.6</v>
      </c>
      <c r="S593">
        <v>-25</v>
      </c>
      <c r="T593">
        <v>1.8</v>
      </c>
      <c r="U593">
        <v>1.4</v>
      </c>
      <c r="V593">
        <v>2</v>
      </c>
      <c r="W593">
        <v>1.9</v>
      </c>
      <c r="X593">
        <v>0.6</v>
      </c>
      <c r="Y593">
        <v>2</v>
      </c>
      <c r="Z593">
        <v>2.6</v>
      </c>
      <c r="AA593">
        <v>2</v>
      </c>
      <c r="AB593">
        <v>2</v>
      </c>
      <c r="AC593">
        <v>2.1</v>
      </c>
      <c r="AD593">
        <v>0.8</v>
      </c>
      <c r="AE593">
        <v>2</v>
      </c>
      <c r="AF593">
        <v>2.1</v>
      </c>
      <c r="AG593">
        <v>1.6</v>
      </c>
      <c r="AH593">
        <v>2</v>
      </c>
      <c r="AI593">
        <v>1.9</v>
      </c>
      <c r="AJ593">
        <v>0.7</v>
      </c>
      <c r="AK593">
        <v>2</v>
      </c>
      <c r="AL593">
        <v>5.6</v>
      </c>
      <c r="AM593">
        <v>4</v>
      </c>
      <c r="AN593">
        <v>5.3</v>
      </c>
      <c r="AO593">
        <v>4</v>
      </c>
      <c r="AP593">
        <v>5.7</v>
      </c>
      <c r="AQ593">
        <v>4</v>
      </c>
      <c r="AR593">
        <v>7.1</v>
      </c>
      <c r="AS593">
        <v>4</v>
      </c>
      <c r="AT593">
        <v>-4.4000000000000004</v>
      </c>
      <c r="AU593">
        <v>-6.4</v>
      </c>
      <c r="AV593">
        <v>-5</v>
      </c>
      <c r="AW593">
        <v>-3.6</v>
      </c>
      <c r="AX593">
        <v>-5</v>
      </c>
      <c r="AY593">
        <v>-5</v>
      </c>
      <c r="AZ593">
        <v>11.4</v>
      </c>
      <c r="BA593">
        <v>10</v>
      </c>
      <c r="BB593">
        <v>10.7</v>
      </c>
      <c r="BC593">
        <v>10</v>
      </c>
      <c r="BD593">
        <v>6</v>
      </c>
      <c r="BE593">
        <v>4</v>
      </c>
      <c r="BF593">
        <v>11.8</v>
      </c>
      <c r="BG593">
        <v>10</v>
      </c>
      <c r="BH593">
        <v>10.6</v>
      </c>
      <c r="BI593">
        <v>10</v>
      </c>
      <c r="BJ593">
        <v>11.4</v>
      </c>
      <c r="BK593">
        <v>9</v>
      </c>
      <c r="BL593">
        <v>18.7</v>
      </c>
      <c r="BM593">
        <v>19</v>
      </c>
      <c r="BN593">
        <v>23.6</v>
      </c>
      <c r="BO593">
        <v>19</v>
      </c>
      <c r="BP593">
        <v>21.2</v>
      </c>
      <c r="BQ593">
        <v>20</v>
      </c>
      <c r="BR593">
        <v>21.6</v>
      </c>
      <c r="BS593">
        <v>25</v>
      </c>
      <c r="BT593">
        <v>21.9</v>
      </c>
      <c r="BU593">
        <v>25</v>
      </c>
      <c r="BV593">
        <v>23.5</v>
      </c>
      <c r="BW593">
        <v>18</v>
      </c>
      <c r="BX593">
        <v>20.399999999999999</v>
      </c>
      <c r="BY593">
        <v>20</v>
      </c>
      <c r="BZ593">
        <v>21.7</v>
      </c>
      <c r="CA593">
        <v>20</v>
      </c>
      <c r="CB593">
        <v>11.4</v>
      </c>
      <c r="CC593">
        <v>10</v>
      </c>
      <c r="CD593">
        <v>11.2</v>
      </c>
      <c r="CE593">
        <v>10</v>
      </c>
      <c r="CF593">
        <v>11.6</v>
      </c>
      <c r="CG593">
        <v>9</v>
      </c>
      <c r="CH593">
        <v>11.8</v>
      </c>
      <c r="CI593">
        <v>9</v>
      </c>
    </row>
    <row r="594" spans="1:87" x14ac:dyDescent="0.35">
      <c r="A594" s="1">
        <v>46059.870833333334</v>
      </c>
      <c r="B594">
        <v>-22.8</v>
      </c>
      <c r="C594">
        <v>-19.7</v>
      </c>
      <c r="D594">
        <v>-25</v>
      </c>
      <c r="E594">
        <v>-21.9</v>
      </c>
      <c r="F594">
        <v>-23.3</v>
      </c>
      <c r="G594">
        <v>-25</v>
      </c>
      <c r="H594">
        <v>-18.2</v>
      </c>
      <c r="I594">
        <v>-23.9</v>
      </c>
      <c r="J594">
        <v>-25</v>
      </c>
      <c r="K594">
        <v>-19.100000000000001</v>
      </c>
      <c r="L594">
        <v>-15.9</v>
      </c>
      <c r="M594">
        <v>-25</v>
      </c>
      <c r="N594">
        <v>-18.100000000000001</v>
      </c>
      <c r="O594">
        <v>20.100000000000001</v>
      </c>
      <c r="P594">
        <v>-25</v>
      </c>
      <c r="Q594">
        <v>-14.5</v>
      </c>
      <c r="R594">
        <v>-14.5</v>
      </c>
      <c r="S594">
        <v>-25</v>
      </c>
      <c r="T594">
        <v>1.9</v>
      </c>
      <c r="U594">
        <v>1.6</v>
      </c>
      <c r="V594">
        <v>2</v>
      </c>
      <c r="W594">
        <v>1.9</v>
      </c>
      <c r="X594">
        <v>0.9</v>
      </c>
      <c r="Y594">
        <v>2</v>
      </c>
      <c r="Z594">
        <v>2.6</v>
      </c>
      <c r="AA594">
        <v>2</v>
      </c>
      <c r="AB594">
        <v>2</v>
      </c>
      <c r="AC594">
        <v>2.1</v>
      </c>
      <c r="AD594">
        <v>1.1000000000000001</v>
      </c>
      <c r="AE594">
        <v>2</v>
      </c>
      <c r="AF594">
        <v>2.1</v>
      </c>
      <c r="AG594">
        <v>1.9</v>
      </c>
      <c r="AH594">
        <v>2</v>
      </c>
      <c r="AI594">
        <v>2</v>
      </c>
      <c r="AJ594">
        <v>1.5</v>
      </c>
      <c r="AK594">
        <v>2</v>
      </c>
      <c r="AL594">
        <v>5.4</v>
      </c>
      <c r="AM594">
        <v>4</v>
      </c>
      <c r="AN594">
        <v>5.0999999999999996</v>
      </c>
      <c r="AO594">
        <v>4</v>
      </c>
      <c r="AP594">
        <v>5.8</v>
      </c>
      <c r="AQ594">
        <v>4</v>
      </c>
      <c r="AR594">
        <v>7.2</v>
      </c>
      <c r="AS594">
        <v>4</v>
      </c>
      <c r="AT594">
        <v>-4.5999999999999996</v>
      </c>
      <c r="AU594">
        <v>-6.5</v>
      </c>
      <c r="AV594">
        <v>-5</v>
      </c>
      <c r="AW594">
        <v>-3.9</v>
      </c>
      <c r="AX594">
        <v>-5.3</v>
      </c>
      <c r="AY594">
        <v>-5</v>
      </c>
      <c r="AZ594">
        <v>11.4</v>
      </c>
      <c r="BA594">
        <v>10</v>
      </c>
      <c r="BB594">
        <v>10.6</v>
      </c>
      <c r="BC594">
        <v>10</v>
      </c>
      <c r="BD594">
        <v>5.6</v>
      </c>
      <c r="BE594">
        <v>4</v>
      </c>
      <c r="BF594">
        <v>11.9</v>
      </c>
      <c r="BG594">
        <v>10</v>
      </c>
      <c r="BH594">
        <v>10.6</v>
      </c>
      <c r="BI594">
        <v>10</v>
      </c>
      <c r="BJ594">
        <v>11.4</v>
      </c>
      <c r="BK594">
        <v>9</v>
      </c>
      <c r="BL594">
        <v>18.7</v>
      </c>
      <c r="BM594">
        <v>19</v>
      </c>
      <c r="BN594">
        <v>23.6</v>
      </c>
      <c r="BO594">
        <v>19</v>
      </c>
      <c r="BP594">
        <v>21.2</v>
      </c>
      <c r="BQ594">
        <v>20</v>
      </c>
      <c r="BR594">
        <v>21.6</v>
      </c>
      <c r="BS594">
        <v>25</v>
      </c>
      <c r="BT594">
        <v>21.9</v>
      </c>
      <c r="BU594">
        <v>25</v>
      </c>
      <c r="BV594">
        <v>23.5</v>
      </c>
      <c r="BW594">
        <v>18</v>
      </c>
      <c r="BX594">
        <v>20.399999999999999</v>
      </c>
      <c r="BY594">
        <v>20</v>
      </c>
      <c r="BZ594">
        <v>21.7</v>
      </c>
      <c r="CA594">
        <v>20</v>
      </c>
      <c r="CB594">
        <v>11.6</v>
      </c>
      <c r="CC594">
        <v>10</v>
      </c>
      <c r="CD594">
        <v>11.2</v>
      </c>
      <c r="CE594">
        <v>10</v>
      </c>
      <c r="CF594">
        <v>11.5</v>
      </c>
      <c r="CG594">
        <v>9</v>
      </c>
      <c r="CH594">
        <v>11.8</v>
      </c>
      <c r="CI594">
        <v>9</v>
      </c>
    </row>
    <row r="595" spans="1:87" x14ac:dyDescent="0.35">
      <c r="A595" s="1">
        <v>46059.871527777781</v>
      </c>
      <c r="B595">
        <v>-22.8</v>
      </c>
      <c r="C595">
        <v>-19.8</v>
      </c>
      <c r="D595">
        <v>-25</v>
      </c>
      <c r="E595">
        <v>-22</v>
      </c>
      <c r="F595">
        <v>-23.1</v>
      </c>
      <c r="G595">
        <v>-25</v>
      </c>
      <c r="H595">
        <v>-18.3</v>
      </c>
      <c r="I595">
        <v>-24</v>
      </c>
      <c r="J595">
        <v>-25</v>
      </c>
      <c r="K595">
        <v>-19.2</v>
      </c>
      <c r="L595">
        <v>-16.2</v>
      </c>
      <c r="M595">
        <v>-25</v>
      </c>
      <c r="N595">
        <v>-18.100000000000001</v>
      </c>
      <c r="O595">
        <v>20.8</v>
      </c>
      <c r="P595">
        <v>-25</v>
      </c>
      <c r="Q595">
        <v>-14.5</v>
      </c>
      <c r="R595">
        <v>-14.4</v>
      </c>
      <c r="S595">
        <v>-25</v>
      </c>
      <c r="T595">
        <v>2.1</v>
      </c>
      <c r="U595">
        <v>1.8</v>
      </c>
      <c r="V595">
        <v>2</v>
      </c>
      <c r="W595">
        <v>2.1</v>
      </c>
      <c r="X595">
        <v>1.2</v>
      </c>
      <c r="Y595">
        <v>2</v>
      </c>
      <c r="Z595">
        <v>2.6</v>
      </c>
      <c r="AA595">
        <v>1.9</v>
      </c>
      <c r="AB595">
        <v>2</v>
      </c>
      <c r="AC595">
        <v>2.1</v>
      </c>
      <c r="AD595">
        <v>0.5</v>
      </c>
      <c r="AE595">
        <v>2</v>
      </c>
      <c r="AF595">
        <v>2.2999999999999998</v>
      </c>
      <c r="AG595">
        <v>2.1</v>
      </c>
      <c r="AH595">
        <v>2</v>
      </c>
      <c r="AI595">
        <v>2.2000000000000002</v>
      </c>
      <c r="AJ595">
        <v>1.9</v>
      </c>
      <c r="AK595">
        <v>2</v>
      </c>
      <c r="AL595">
        <v>5.3</v>
      </c>
      <c r="AM595">
        <v>4</v>
      </c>
      <c r="AN595">
        <v>5</v>
      </c>
      <c r="AO595">
        <v>4</v>
      </c>
      <c r="AP595">
        <v>5.9</v>
      </c>
      <c r="AQ595">
        <v>4</v>
      </c>
      <c r="AR595">
        <v>7.3</v>
      </c>
      <c r="AS595">
        <v>4</v>
      </c>
      <c r="AT595">
        <v>-4.5999999999999996</v>
      </c>
      <c r="AU595">
        <v>-6.5</v>
      </c>
      <c r="AV595">
        <v>-5</v>
      </c>
      <c r="AW595">
        <v>-4.2</v>
      </c>
      <c r="AX595">
        <v>-5.8</v>
      </c>
      <c r="AY595">
        <v>-5</v>
      </c>
      <c r="AZ595">
        <v>11.4</v>
      </c>
      <c r="BA595">
        <v>10</v>
      </c>
      <c r="BB595">
        <v>10.4</v>
      </c>
      <c r="BC595">
        <v>10</v>
      </c>
      <c r="BD595">
        <v>5.0999999999999996</v>
      </c>
      <c r="BE595">
        <v>4</v>
      </c>
      <c r="BF595">
        <v>12.1</v>
      </c>
      <c r="BG595">
        <v>10</v>
      </c>
      <c r="BH595">
        <v>11</v>
      </c>
      <c r="BI595">
        <v>10</v>
      </c>
      <c r="BJ595">
        <v>11.4</v>
      </c>
      <c r="BK595">
        <v>9</v>
      </c>
      <c r="BL595">
        <v>18.7</v>
      </c>
      <c r="BM595">
        <v>19</v>
      </c>
      <c r="BN595">
        <v>23.6</v>
      </c>
      <c r="BO595">
        <v>19</v>
      </c>
      <c r="BP595">
        <v>21.2</v>
      </c>
      <c r="BQ595">
        <v>20</v>
      </c>
      <c r="BR595">
        <v>21.6</v>
      </c>
      <c r="BS595">
        <v>25</v>
      </c>
      <c r="BT595">
        <v>21.9</v>
      </c>
      <c r="BU595">
        <v>25</v>
      </c>
      <c r="BV595">
        <v>23.5</v>
      </c>
      <c r="BW595">
        <v>18</v>
      </c>
      <c r="BX595">
        <v>20.5</v>
      </c>
      <c r="BY595">
        <v>20</v>
      </c>
      <c r="BZ595">
        <v>21.7</v>
      </c>
      <c r="CA595">
        <v>20</v>
      </c>
      <c r="CB595">
        <v>12</v>
      </c>
      <c r="CC595">
        <v>10</v>
      </c>
      <c r="CD595">
        <v>11.3</v>
      </c>
      <c r="CE595">
        <v>10</v>
      </c>
      <c r="CF595">
        <v>11.4</v>
      </c>
      <c r="CG595">
        <v>9</v>
      </c>
      <c r="CH595">
        <v>11.6</v>
      </c>
      <c r="CI595">
        <v>9</v>
      </c>
    </row>
    <row r="596" spans="1:87" x14ac:dyDescent="0.35">
      <c r="A596" s="1">
        <v>46059.872916666667</v>
      </c>
      <c r="B596">
        <v>-22.8</v>
      </c>
      <c r="C596">
        <v>-20.100000000000001</v>
      </c>
      <c r="D596">
        <v>-25</v>
      </c>
      <c r="E596">
        <v>-22</v>
      </c>
      <c r="F596">
        <v>-23</v>
      </c>
      <c r="G596">
        <v>-25</v>
      </c>
      <c r="H596">
        <v>-18.600000000000001</v>
      </c>
      <c r="I596">
        <v>-24.1</v>
      </c>
      <c r="J596">
        <v>-25</v>
      </c>
      <c r="K596">
        <v>-19.3</v>
      </c>
      <c r="L596">
        <v>-16.5</v>
      </c>
      <c r="M596">
        <v>-25</v>
      </c>
      <c r="N596">
        <v>-18.100000000000001</v>
      </c>
      <c r="O596">
        <v>21.9</v>
      </c>
      <c r="P596">
        <v>-25</v>
      </c>
      <c r="Q596">
        <v>-14.4</v>
      </c>
      <c r="R596">
        <v>-14.3</v>
      </c>
      <c r="S596">
        <v>-25</v>
      </c>
      <c r="T596">
        <v>2.2999999999999998</v>
      </c>
      <c r="U596">
        <v>2.1</v>
      </c>
      <c r="V596">
        <v>2</v>
      </c>
      <c r="W596">
        <v>2.2000000000000002</v>
      </c>
      <c r="X596">
        <v>1.7</v>
      </c>
      <c r="Y596">
        <v>2</v>
      </c>
      <c r="Z596">
        <v>2.5</v>
      </c>
      <c r="AA596">
        <v>1.9</v>
      </c>
      <c r="AB596">
        <v>2</v>
      </c>
      <c r="AC596">
        <v>2</v>
      </c>
      <c r="AD596">
        <v>1.6</v>
      </c>
      <c r="AE596">
        <v>2</v>
      </c>
      <c r="AF596">
        <v>2.7</v>
      </c>
      <c r="AG596">
        <v>2.5</v>
      </c>
      <c r="AH596">
        <v>2</v>
      </c>
      <c r="AI596">
        <v>2.5</v>
      </c>
      <c r="AJ596">
        <v>2.4</v>
      </c>
      <c r="AK596">
        <v>2</v>
      </c>
      <c r="AL596">
        <v>5.0999999999999996</v>
      </c>
      <c r="AM596">
        <v>4</v>
      </c>
      <c r="AN596">
        <v>4.7</v>
      </c>
      <c r="AO596">
        <v>4</v>
      </c>
      <c r="AP596">
        <v>5.3</v>
      </c>
      <c r="AQ596">
        <v>4</v>
      </c>
      <c r="AR596">
        <v>7.5</v>
      </c>
      <c r="AS596">
        <v>4</v>
      </c>
      <c r="AT596">
        <v>-4.9000000000000004</v>
      </c>
      <c r="AU596">
        <v>-6.8</v>
      </c>
      <c r="AV596">
        <v>-5</v>
      </c>
      <c r="AW596">
        <v>-4.5</v>
      </c>
      <c r="AX596">
        <v>-5.2</v>
      </c>
      <c r="AY596">
        <v>-5</v>
      </c>
      <c r="AZ596">
        <v>11.4</v>
      </c>
      <c r="BA596">
        <v>10</v>
      </c>
      <c r="BB596">
        <v>10.1</v>
      </c>
      <c r="BC596">
        <v>10</v>
      </c>
      <c r="BD596">
        <v>4.5999999999999996</v>
      </c>
      <c r="BE596">
        <v>4</v>
      </c>
      <c r="BF596">
        <v>10.7</v>
      </c>
      <c r="BG596">
        <v>10</v>
      </c>
      <c r="BH596">
        <v>10.8</v>
      </c>
      <c r="BI596">
        <v>10</v>
      </c>
      <c r="BJ596">
        <v>11.4</v>
      </c>
      <c r="BK596">
        <v>9</v>
      </c>
      <c r="BL596">
        <v>18.7</v>
      </c>
      <c r="BM596">
        <v>19</v>
      </c>
      <c r="BN596">
        <v>23.6</v>
      </c>
      <c r="BO596">
        <v>19</v>
      </c>
      <c r="BP596">
        <v>21.2</v>
      </c>
      <c r="BQ596">
        <v>20</v>
      </c>
      <c r="BR596">
        <v>21.6</v>
      </c>
      <c r="BS596">
        <v>25</v>
      </c>
      <c r="BT596">
        <v>21.9</v>
      </c>
      <c r="BU596">
        <v>25</v>
      </c>
      <c r="BV596">
        <v>23.5</v>
      </c>
      <c r="BW596">
        <v>18</v>
      </c>
      <c r="BX596">
        <v>20.7</v>
      </c>
      <c r="BY596">
        <v>20</v>
      </c>
      <c r="BZ596">
        <v>21.8</v>
      </c>
      <c r="CA596">
        <v>20</v>
      </c>
      <c r="CB596">
        <v>11.8</v>
      </c>
      <c r="CC596">
        <v>10</v>
      </c>
      <c r="CD596">
        <v>11.4</v>
      </c>
      <c r="CE596">
        <v>10</v>
      </c>
      <c r="CF596">
        <v>11.5</v>
      </c>
      <c r="CG596">
        <v>9</v>
      </c>
      <c r="CH596">
        <v>11.8</v>
      </c>
      <c r="CI596">
        <v>9</v>
      </c>
    </row>
    <row r="597" spans="1:87" x14ac:dyDescent="0.35">
      <c r="A597" s="1">
        <v>46059.873611111114</v>
      </c>
      <c r="B597">
        <v>-22.8</v>
      </c>
      <c r="C597">
        <v>-20.100000000000001</v>
      </c>
      <c r="D597">
        <v>-25</v>
      </c>
      <c r="E597">
        <v>-22</v>
      </c>
      <c r="F597">
        <v>-23</v>
      </c>
      <c r="G597">
        <v>-25</v>
      </c>
      <c r="H597">
        <v>-18.600000000000001</v>
      </c>
      <c r="I597">
        <v>-24.1</v>
      </c>
      <c r="J597">
        <v>-25</v>
      </c>
      <c r="K597">
        <v>-19.399999999999999</v>
      </c>
      <c r="L597">
        <v>-16.7</v>
      </c>
      <c r="M597">
        <v>-25</v>
      </c>
      <c r="N597">
        <v>-18.100000000000001</v>
      </c>
      <c r="O597">
        <v>22.7</v>
      </c>
      <c r="P597">
        <v>-25</v>
      </c>
      <c r="Q597">
        <v>-14.4</v>
      </c>
      <c r="R597">
        <v>-14.3</v>
      </c>
      <c r="S597">
        <v>-25</v>
      </c>
      <c r="T597">
        <v>2.4</v>
      </c>
      <c r="U597">
        <v>2.2000000000000002</v>
      </c>
      <c r="V597">
        <v>2</v>
      </c>
      <c r="W597">
        <v>2.4</v>
      </c>
      <c r="X597">
        <v>1.9</v>
      </c>
      <c r="Y597">
        <v>2</v>
      </c>
      <c r="Z597">
        <v>2.5</v>
      </c>
      <c r="AA597">
        <v>2.1</v>
      </c>
      <c r="AB597">
        <v>2</v>
      </c>
      <c r="AC597">
        <v>2.1</v>
      </c>
      <c r="AD597">
        <v>1.9</v>
      </c>
      <c r="AE597">
        <v>2</v>
      </c>
      <c r="AF597">
        <v>2.9</v>
      </c>
      <c r="AG597">
        <v>2.7</v>
      </c>
      <c r="AH597">
        <v>2</v>
      </c>
      <c r="AI597">
        <v>2.7</v>
      </c>
      <c r="AJ597">
        <v>2.6</v>
      </c>
      <c r="AK597">
        <v>2</v>
      </c>
      <c r="AL597">
        <v>5</v>
      </c>
      <c r="AM597">
        <v>4</v>
      </c>
      <c r="AN597">
        <v>4.5</v>
      </c>
      <c r="AO597">
        <v>4</v>
      </c>
      <c r="AP597">
        <v>4.2</v>
      </c>
      <c r="AQ597">
        <v>4</v>
      </c>
      <c r="AR597">
        <v>7.6</v>
      </c>
      <c r="AS597">
        <v>4</v>
      </c>
      <c r="AT597">
        <v>-5.0999999999999996</v>
      </c>
      <c r="AU597">
        <v>-7.1</v>
      </c>
      <c r="AV597">
        <v>-5</v>
      </c>
      <c r="AW597">
        <v>-4.5999999999999996</v>
      </c>
      <c r="AX597">
        <v>-5.7</v>
      </c>
      <c r="AY597">
        <v>-5</v>
      </c>
      <c r="AZ597">
        <v>11.4</v>
      </c>
      <c r="BA597">
        <v>10</v>
      </c>
      <c r="BB597">
        <v>10.1</v>
      </c>
      <c r="BC597">
        <v>10</v>
      </c>
      <c r="BD597">
        <v>4.5999999999999996</v>
      </c>
      <c r="BE597">
        <v>4</v>
      </c>
      <c r="BF597">
        <v>10</v>
      </c>
      <c r="BG597">
        <v>10</v>
      </c>
      <c r="BH597">
        <v>10.7</v>
      </c>
      <c r="BI597">
        <v>10</v>
      </c>
      <c r="BJ597">
        <v>11.5</v>
      </c>
      <c r="BK597">
        <v>9</v>
      </c>
      <c r="BL597">
        <v>18.7</v>
      </c>
      <c r="BM597">
        <v>19</v>
      </c>
      <c r="BN597">
        <v>23.6</v>
      </c>
      <c r="BO597">
        <v>19</v>
      </c>
      <c r="BP597">
        <v>21.2</v>
      </c>
      <c r="BQ597">
        <v>20</v>
      </c>
      <c r="BR597">
        <v>21.6</v>
      </c>
      <c r="BS597">
        <v>25</v>
      </c>
      <c r="BT597">
        <v>21.9</v>
      </c>
      <c r="BU597">
        <v>25</v>
      </c>
      <c r="BV597">
        <v>23.5</v>
      </c>
      <c r="BW597">
        <v>18</v>
      </c>
      <c r="BX597">
        <v>20.8</v>
      </c>
      <c r="BY597">
        <v>20</v>
      </c>
      <c r="BZ597">
        <v>21.8</v>
      </c>
      <c r="CA597">
        <v>20</v>
      </c>
      <c r="CB597">
        <v>11.5</v>
      </c>
      <c r="CC597">
        <v>10</v>
      </c>
      <c r="CD597">
        <v>11.4</v>
      </c>
      <c r="CE597">
        <v>10</v>
      </c>
      <c r="CF597">
        <v>11.5</v>
      </c>
      <c r="CG597">
        <v>9</v>
      </c>
      <c r="CH597">
        <v>11.8</v>
      </c>
      <c r="CI597">
        <v>9</v>
      </c>
    </row>
    <row r="598" spans="1:87" x14ac:dyDescent="0.35">
      <c r="A598" s="1">
        <v>46059.874305555553</v>
      </c>
      <c r="B598">
        <v>-22.8</v>
      </c>
      <c r="C598">
        <v>-20.2</v>
      </c>
      <c r="D598">
        <v>-25</v>
      </c>
      <c r="E598">
        <v>-22.1</v>
      </c>
      <c r="F598">
        <v>-23.1</v>
      </c>
      <c r="G598">
        <v>-25</v>
      </c>
      <c r="H598">
        <v>-18.7</v>
      </c>
      <c r="I598">
        <v>-24</v>
      </c>
      <c r="J598">
        <v>-25</v>
      </c>
      <c r="K598">
        <v>-19.5</v>
      </c>
      <c r="L598">
        <v>-16.899999999999999</v>
      </c>
      <c r="M598">
        <v>-25</v>
      </c>
      <c r="N598">
        <v>-18.100000000000001</v>
      </c>
      <c r="O598">
        <v>23</v>
      </c>
      <c r="P598">
        <v>-25</v>
      </c>
      <c r="Q598">
        <v>-14.4</v>
      </c>
      <c r="R598">
        <v>-14.3</v>
      </c>
      <c r="S598">
        <v>-25</v>
      </c>
      <c r="T598">
        <v>2.5</v>
      </c>
      <c r="U598">
        <v>2.4</v>
      </c>
      <c r="V598">
        <v>2</v>
      </c>
      <c r="W598">
        <v>2.5</v>
      </c>
      <c r="X598">
        <v>2</v>
      </c>
      <c r="Y598">
        <v>2</v>
      </c>
      <c r="Z598">
        <v>2.6</v>
      </c>
      <c r="AA598">
        <v>2.2000000000000002</v>
      </c>
      <c r="AB598">
        <v>2</v>
      </c>
      <c r="AC598">
        <v>2.2999999999999998</v>
      </c>
      <c r="AD598">
        <v>2</v>
      </c>
      <c r="AE598">
        <v>2</v>
      </c>
      <c r="AF598">
        <v>3</v>
      </c>
      <c r="AG598">
        <v>2.9</v>
      </c>
      <c r="AH598">
        <v>2</v>
      </c>
      <c r="AI598">
        <v>2.9</v>
      </c>
      <c r="AJ598">
        <v>2.8</v>
      </c>
      <c r="AK598">
        <v>2</v>
      </c>
      <c r="AL598">
        <v>4.9000000000000004</v>
      </c>
      <c r="AM598">
        <v>4</v>
      </c>
      <c r="AN598">
        <v>4.4000000000000004</v>
      </c>
      <c r="AO598">
        <v>4</v>
      </c>
      <c r="AP598">
        <v>3.1</v>
      </c>
      <c r="AQ598">
        <v>4</v>
      </c>
      <c r="AR598">
        <v>7.7</v>
      </c>
      <c r="AS598">
        <v>4</v>
      </c>
      <c r="AT598">
        <v>-5.0999999999999996</v>
      </c>
      <c r="AU598">
        <v>-6.3</v>
      </c>
      <c r="AV598">
        <v>-5</v>
      </c>
      <c r="AW598">
        <v>-5.0999999999999996</v>
      </c>
      <c r="AX598">
        <v>-7.5</v>
      </c>
      <c r="AY598">
        <v>-5</v>
      </c>
      <c r="AZ598">
        <v>11.4</v>
      </c>
      <c r="BA598">
        <v>10</v>
      </c>
      <c r="BB598">
        <v>10.1</v>
      </c>
      <c r="BC598">
        <v>10</v>
      </c>
      <c r="BD598">
        <v>4.5999999999999996</v>
      </c>
      <c r="BE598">
        <v>4</v>
      </c>
      <c r="BF598">
        <v>9.6</v>
      </c>
      <c r="BG598">
        <v>10</v>
      </c>
      <c r="BH598">
        <v>10.7</v>
      </c>
      <c r="BI598">
        <v>10</v>
      </c>
      <c r="BJ598">
        <v>11.5</v>
      </c>
      <c r="BK598">
        <v>9</v>
      </c>
      <c r="BL598">
        <v>18.7</v>
      </c>
      <c r="BM598">
        <v>19</v>
      </c>
      <c r="BN598">
        <v>23.6</v>
      </c>
      <c r="BO598">
        <v>19</v>
      </c>
      <c r="BP598">
        <v>21.2</v>
      </c>
      <c r="BQ598">
        <v>20</v>
      </c>
      <c r="BR598">
        <v>21.6</v>
      </c>
      <c r="BS598">
        <v>25</v>
      </c>
      <c r="BT598">
        <v>21.9</v>
      </c>
      <c r="BU598">
        <v>25</v>
      </c>
      <c r="BV598">
        <v>23.5</v>
      </c>
      <c r="BW598">
        <v>18</v>
      </c>
      <c r="BX598">
        <v>20.9</v>
      </c>
      <c r="BY598">
        <v>20</v>
      </c>
      <c r="BZ598">
        <v>21.8</v>
      </c>
      <c r="CA598">
        <v>20</v>
      </c>
      <c r="CB598">
        <v>11.2</v>
      </c>
      <c r="CC598">
        <v>10</v>
      </c>
      <c r="CD598">
        <v>11.5</v>
      </c>
      <c r="CE598">
        <v>10</v>
      </c>
      <c r="CF598">
        <v>11.5</v>
      </c>
      <c r="CG598">
        <v>9</v>
      </c>
      <c r="CH598">
        <v>11.7</v>
      </c>
      <c r="CI598">
        <v>9</v>
      </c>
    </row>
    <row r="599" spans="1:87" x14ac:dyDescent="0.35">
      <c r="A599" s="1">
        <v>46059.875</v>
      </c>
      <c r="B599">
        <v>-22.8</v>
      </c>
      <c r="C599">
        <v>-20.3</v>
      </c>
      <c r="D599">
        <v>-25</v>
      </c>
      <c r="E599">
        <v>-22.1</v>
      </c>
      <c r="F599">
        <v>-24.2</v>
      </c>
      <c r="G599">
        <v>-25</v>
      </c>
      <c r="H599">
        <v>-18.8</v>
      </c>
      <c r="I599">
        <v>-23.9</v>
      </c>
      <c r="J599">
        <v>-25</v>
      </c>
      <c r="K599">
        <v>-19.5</v>
      </c>
      <c r="L599">
        <v>-16.899999999999999</v>
      </c>
      <c r="M599">
        <v>-25</v>
      </c>
      <c r="N599">
        <v>-18.100000000000001</v>
      </c>
      <c r="O599">
        <v>23.2</v>
      </c>
      <c r="P599">
        <v>-25</v>
      </c>
      <c r="Q599">
        <v>-14.4</v>
      </c>
      <c r="R599">
        <v>-14.3</v>
      </c>
      <c r="S599">
        <v>-25</v>
      </c>
      <c r="T599">
        <v>2.6</v>
      </c>
      <c r="U599">
        <v>2.5</v>
      </c>
      <c r="V599">
        <v>2</v>
      </c>
      <c r="W599">
        <v>2.6</v>
      </c>
      <c r="X599">
        <v>2.2000000000000002</v>
      </c>
      <c r="Y599">
        <v>2</v>
      </c>
      <c r="Z599">
        <v>2.7</v>
      </c>
      <c r="AA599">
        <v>2.2999999999999998</v>
      </c>
      <c r="AB599">
        <v>2</v>
      </c>
      <c r="AC599">
        <v>2.4</v>
      </c>
      <c r="AD599">
        <v>2.1</v>
      </c>
      <c r="AE599">
        <v>2</v>
      </c>
      <c r="AF599">
        <v>3.2</v>
      </c>
      <c r="AG599">
        <v>3.1</v>
      </c>
      <c r="AH599">
        <v>2</v>
      </c>
      <c r="AI599">
        <v>3.1</v>
      </c>
      <c r="AJ599">
        <v>3</v>
      </c>
      <c r="AK599">
        <v>2</v>
      </c>
      <c r="AL599">
        <v>4.8</v>
      </c>
      <c r="AM599">
        <v>4</v>
      </c>
      <c r="AN599">
        <v>4.3</v>
      </c>
      <c r="AO599">
        <v>4</v>
      </c>
      <c r="AP599">
        <v>2.9</v>
      </c>
      <c r="AQ599">
        <v>4</v>
      </c>
      <c r="AR599">
        <v>7.8</v>
      </c>
      <c r="AS599">
        <v>4</v>
      </c>
      <c r="AT599">
        <v>-4.9000000000000004</v>
      </c>
      <c r="AU599">
        <v>-5.5</v>
      </c>
      <c r="AV599">
        <v>-5</v>
      </c>
      <c r="AW599">
        <v>-5.4</v>
      </c>
      <c r="AX599">
        <v>-6.3</v>
      </c>
      <c r="AY599">
        <v>-5</v>
      </c>
      <c r="AZ599">
        <v>11.4</v>
      </c>
      <c r="BA599">
        <v>10</v>
      </c>
      <c r="BB599">
        <v>9.9</v>
      </c>
      <c r="BC599">
        <v>10</v>
      </c>
      <c r="BD599">
        <v>4.2</v>
      </c>
      <c r="BE599">
        <v>4</v>
      </c>
      <c r="BF599">
        <v>9.6</v>
      </c>
      <c r="BG599">
        <v>10</v>
      </c>
      <c r="BH599">
        <v>10.7</v>
      </c>
      <c r="BI599">
        <v>10</v>
      </c>
      <c r="BJ599">
        <v>11.5</v>
      </c>
      <c r="BK599">
        <v>9</v>
      </c>
      <c r="BL599">
        <v>18.7</v>
      </c>
      <c r="BM599">
        <v>19</v>
      </c>
      <c r="BN599">
        <v>23.6</v>
      </c>
      <c r="BO599">
        <v>19</v>
      </c>
      <c r="BP599">
        <v>21.2</v>
      </c>
      <c r="BQ599">
        <v>20</v>
      </c>
      <c r="BR599">
        <v>21.6</v>
      </c>
      <c r="BS599">
        <v>25</v>
      </c>
      <c r="BT599">
        <v>21.9</v>
      </c>
      <c r="BU599">
        <v>25</v>
      </c>
      <c r="BV599">
        <v>23.5</v>
      </c>
      <c r="BW599">
        <v>18</v>
      </c>
      <c r="BX599">
        <v>20.9</v>
      </c>
      <c r="BY599">
        <v>20</v>
      </c>
      <c r="BZ599">
        <v>21.8</v>
      </c>
      <c r="CA599">
        <v>20</v>
      </c>
      <c r="CB599">
        <v>10.9</v>
      </c>
      <c r="CC599">
        <v>10</v>
      </c>
      <c r="CD599">
        <v>11.5</v>
      </c>
      <c r="CE599">
        <v>10</v>
      </c>
      <c r="CF599">
        <v>11.3</v>
      </c>
      <c r="CG599">
        <v>9</v>
      </c>
      <c r="CH599">
        <v>11.5</v>
      </c>
      <c r="CI599">
        <v>9</v>
      </c>
    </row>
    <row r="600" spans="1:87" x14ac:dyDescent="0.35">
      <c r="A600" s="1">
        <v>46059.875694444447</v>
      </c>
      <c r="B600">
        <v>-22.8</v>
      </c>
      <c r="C600">
        <v>-20.399999999999999</v>
      </c>
      <c r="D600">
        <v>-25</v>
      </c>
      <c r="E600">
        <v>-22.1</v>
      </c>
      <c r="F600">
        <v>-24.4</v>
      </c>
      <c r="G600">
        <v>-25</v>
      </c>
      <c r="H600">
        <v>-18.8</v>
      </c>
      <c r="I600">
        <v>-23.8</v>
      </c>
      <c r="J600">
        <v>-25</v>
      </c>
      <c r="K600">
        <v>-19.5</v>
      </c>
      <c r="L600">
        <v>-17</v>
      </c>
      <c r="M600">
        <v>-25</v>
      </c>
      <c r="N600">
        <v>-18.100000000000001</v>
      </c>
      <c r="O600">
        <v>23.4</v>
      </c>
      <c r="P600">
        <v>-25</v>
      </c>
      <c r="Q600">
        <v>-14.4</v>
      </c>
      <c r="R600">
        <v>-14.3</v>
      </c>
      <c r="S600">
        <v>-25</v>
      </c>
      <c r="T600">
        <v>2.7</v>
      </c>
      <c r="U600">
        <v>2.7</v>
      </c>
      <c r="V600">
        <v>2</v>
      </c>
      <c r="W600">
        <v>2.7</v>
      </c>
      <c r="X600">
        <v>2.4</v>
      </c>
      <c r="Y600">
        <v>2</v>
      </c>
      <c r="Z600">
        <v>2.7</v>
      </c>
      <c r="AA600">
        <v>2.4</v>
      </c>
      <c r="AB600">
        <v>2</v>
      </c>
      <c r="AC600">
        <v>2.5</v>
      </c>
      <c r="AD600">
        <v>2.2000000000000002</v>
      </c>
      <c r="AE600">
        <v>2</v>
      </c>
      <c r="AF600">
        <v>3.4</v>
      </c>
      <c r="AG600">
        <v>3.3</v>
      </c>
      <c r="AH600">
        <v>2</v>
      </c>
      <c r="AI600">
        <v>3.3</v>
      </c>
      <c r="AJ600">
        <v>3.2</v>
      </c>
      <c r="AK600">
        <v>2</v>
      </c>
      <c r="AL600">
        <v>4.7</v>
      </c>
      <c r="AM600">
        <v>4</v>
      </c>
      <c r="AN600">
        <v>4.2</v>
      </c>
      <c r="AO600">
        <v>4</v>
      </c>
      <c r="AP600">
        <v>2.9</v>
      </c>
      <c r="AQ600">
        <v>4</v>
      </c>
      <c r="AR600">
        <v>7.8</v>
      </c>
      <c r="AS600">
        <v>4</v>
      </c>
      <c r="AT600">
        <v>-4.3</v>
      </c>
      <c r="AU600">
        <v>-4.7</v>
      </c>
      <c r="AV600">
        <v>-5</v>
      </c>
      <c r="AW600">
        <v>-5</v>
      </c>
      <c r="AX600">
        <v>-5</v>
      </c>
      <c r="AY600">
        <v>-5</v>
      </c>
      <c r="AZ600">
        <v>11.4</v>
      </c>
      <c r="BA600">
        <v>10</v>
      </c>
      <c r="BB600">
        <v>9.9</v>
      </c>
      <c r="BC600">
        <v>10</v>
      </c>
      <c r="BD600">
        <v>4</v>
      </c>
      <c r="BE600">
        <v>4</v>
      </c>
      <c r="BF600">
        <v>9.9</v>
      </c>
      <c r="BG600">
        <v>10</v>
      </c>
      <c r="BH600">
        <v>10.7</v>
      </c>
      <c r="BI600">
        <v>10</v>
      </c>
      <c r="BJ600">
        <v>11.5</v>
      </c>
      <c r="BK600">
        <v>9</v>
      </c>
      <c r="BL600">
        <v>18.8</v>
      </c>
      <c r="BM600">
        <v>19</v>
      </c>
      <c r="BN600">
        <v>23.6</v>
      </c>
      <c r="BO600">
        <v>19</v>
      </c>
      <c r="BP600">
        <v>21.2</v>
      </c>
      <c r="BQ600">
        <v>20</v>
      </c>
      <c r="BR600">
        <v>21.6</v>
      </c>
      <c r="BS600">
        <v>25</v>
      </c>
      <c r="BT600">
        <v>21.9</v>
      </c>
      <c r="BU600">
        <v>25</v>
      </c>
      <c r="BV600">
        <v>23.5</v>
      </c>
      <c r="BW600">
        <v>18</v>
      </c>
      <c r="BX600">
        <v>21</v>
      </c>
      <c r="BY600">
        <v>20</v>
      </c>
      <c r="BZ600">
        <v>21.9</v>
      </c>
      <c r="CA600">
        <v>20</v>
      </c>
      <c r="CB600">
        <v>10.7</v>
      </c>
      <c r="CC600">
        <v>10</v>
      </c>
      <c r="CD600">
        <v>11.5</v>
      </c>
      <c r="CE600">
        <v>10</v>
      </c>
      <c r="CF600">
        <v>11.2</v>
      </c>
      <c r="CG600">
        <v>9</v>
      </c>
      <c r="CH600">
        <v>11.5</v>
      </c>
      <c r="CI600">
        <v>9</v>
      </c>
    </row>
    <row r="601" spans="1:87" x14ac:dyDescent="0.35">
      <c r="A601" s="1">
        <v>46059.876388888886</v>
      </c>
      <c r="B601">
        <v>-22.8</v>
      </c>
      <c r="C601">
        <v>-20.399999999999999</v>
      </c>
      <c r="D601">
        <v>-25</v>
      </c>
      <c r="E601">
        <v>-22.2</v>
      </c>
      <c r="F601">
        <v>-23.8</v>
      </c>
      <c r="G601">
        <v>-25</v>
      </c>
      <c r="H601">
        <v>-18.8</v>
      </c>
      <c r="I601">
        <v>-23.8</v>
      </c>
      <c r="J601">
        <v>-25</v>
      </c>
      <c r="K601">
        <v>-19.5</v>
      </c>
      <c r="L601">
        <v>-17.2</v>
      </c>
      <c r="M601">
        <v>-25</v>
      </c>
      <c r="N601">
        <v>-18.100000000000001</v>
      </c>
      <c r="O601">
        <v>23.7</v>
      </c>
      <c r="P601">
        <v>-25</v>
      </c>
      <c r="Q601">
        <v>-14.4</v>
      </c>
      <c r="R601">
        <v>-14.3</v>
      </c>
      <c r="S601">
        <v>-25</v>
      </c>
      <c r="T601">
        <v>2.9</v>
      </c>
      <c r="U601">
        <v>2.8</v>
      </c>
      <c r="V601">
        <v>2</v>
      </c>
      <c r="W601">
        <v>2.9</v>
      </c>
      <c r="X601">
        <v>2.5</v>
      </c>
      <c r="Y601">
        <v>2</v>
      </c>
      <c r="Z601">
        <v>2.8</v>
      </c>
      <c r="AA601">
        <v>2.5</v>
      </c>
      <c r="AB601">
        <v>2</v>
      </c>
      <c r="AC601">
        <v>2.5</v>
      </c>
      <c r="AD601">
        <v>2.2999999999999998</v>
      </c>
      <c r="AE601">
        <v>2</v>
      </c>
      <c r="AF601">
        <v>3.6</v>
      </c>
      <c r="AG601">
        <v>3.4</v>
      </c>
      <c r="AH601">
        <v>2</v>
      </c>
      <c r="AI601">
        <v>3.4</v>
      </c>
      <c r="AJ601">
        <v>3.4</v>
      </c>
      <c r="AK601">
        <v>2</v>
      </c>
      <c r="AL601">
        <v>4.5999999999999996</v>
      </c>
      <c r="AM601">
        <v>4</v>
      </c>
      <c r="AN601">
        <v>4.0999999999999996</v>
      </c>
      <c r="AO601">
        <v>4</v>
      </c>
      <c r="AP601">
        <v>3</v>
      </c>
      <c r="AQ601">
        <v>4</v>
      </c>
      <c r="AR601">
        <v>7.9</v>
      </c>
      <c r="AS601">
        <v>4</v>
      </c>
      <c r="AT601">
        <v>-3.8</v>
      </c>
      <c r="AU601">
        <v>-4.0999999999999996</v>
      </c>
      <c r="AV601">
        <v>-5</v>
      </c>
      <c r="AW601">
        <v>-4.2</v>
      </c>
      <c r="AX601">
        <v>-4.0999999999999996</v>
      </c>
      <c r="AY601">
        <v>-5</v>
      </c>
      <c r="AZ601">
        <v>11.4</v>
      </c>
      <c r="BA601">
        <v>10</v>
      </c>
      <c r="BB601">
        <v>10.1</v>
      </c>
      <c r="BC601">
        <v>10</v>
      </c>
      <c r="BD601">
        <v>4</v>
      </c>
      <c r="BE601">
        <v>4</v>
      </c>
      <c r="BF601">
        <v>10.3</v>
      </c>
      <c r="BG601">
        <v>10</v>
      </c>
      <c r="BH601">
        <v>10.6</v>
      </c>
      <c r="BI601">
        <v>10</v>
      </c>
      <c r="BJ601">
        <v>11.1</v>
      </c>
      <c r="BK601">
        <v>9</v>
      </c>
      <c r="BL601">
        <v>18.8</v>
      </c>
      <c r="BM601">
        <v>19</v>
      </c>
      <c r="BN601">
        <v>23.6</v>
      </c>
      <c r="BO601">
        <v>19</v>
      </c>
      <c r="BP601">
        <v>21.2</v>
      </c>
      <c r="BQ601">
        <v>20</v>
      </c>
      <c r="BR601">
        <v>21.6</v>
      </c>
      <c r="BS601">
        <v>25</v>
      </c>
      <c r="BT601">
        <v>21.9</v>
      </c>
      <c r="BU601">
        <v>25</v>
      </c>
      <c r="BV601">
        <v>23.5</v>
      </c>
      <c r="BW601">
        <v>18</v>
      </c>
      <c r="BX601">
        <v>21</v>
      </c>
      <c r="BY601">
        <v>20</v>
      </c>
      <c r="BZ601">
        <v>21.9</v>
      </c>
      <c r="CA601">
        <v>20</v>
      </c>
      <c r="CB601">
        <v>10.5</v>
      </c>
      <c r="CC601">
        <v>10</v>
      </c>
      <c r="CD601">
        <v>11.5</v>
      </c>
      <c r="CE601">
        <v>10</v>
      </c>
      <c r="CF601">
        <v>11.4</v>
      </c>
      <c r="CG601">
        <v>9</v>
      </c>
      <c r="CH601">
        <v>11.6</v>
      </c>
      <c r="CI601">
        <v>9</v>
      </c>
    </row>
    <row r="602" spans="1:87" x14ac:dyDescent="0.35">
      <c r="A602" s="1">
        <v>46059.877083333333</v>
      </c>
      <c r="B602">
        <v>-22.8</v>
      </c>
      <c r="C602">
        <v>-20.5</v>
      </c>
      <c r="D602">
        <v>-25</v>
      </c>
      <c r="E602">
        <v>-22.3</v>
      </c>
      <c r="F602">
        <v>-23.2</v>
      </c>
      <c r="G602">
        <v>-25</v>
      </c>
      <c r="H602">
        <v>-18.899999999999999</v>
      </c>
      <c r="I602">
        <v>-24</v>
      </c>
      <c r="J602">
        <v>-25</v>
      </c>
      <c r="K602">
        <v>-19.600000000000001</v>
      </c>
      <c r="L602">
        <v>-17.3</v>
      </c>
      <c r="M602">
        <v>-25</v>
      </c>
      <c r="N602">
        <v>-18.100000000000001</v>
      </c>
      <c r="O602">
        <v>23.7</v>
      </c>
      <c r="P602">
        <v>-25</v>
      </c>
      <c r="Q602">
        <v>-14.4</v>
      </c>
      <c r="R602">
        <v>-14.3</v>
      </c>
      <c r="S602">
        <v>-25</v>
      </c>
      <c r="T602">
        <v>2.9</v>
      </c>
      <c r="U602">
        <v>2.9</v>
      </c>
      <c r="V602">
        <v>2</v>
      </c>
      <c r="W602">
        <v>2.9</v>
      </c>
      <c r="X602">
        <v>2.6</v>
      </c>
      <c r="Y602">
        <v>2</v>
      </c>
      <c r="Z602">
        <v>2.9</v>
      </c>
      <c r="AA602">
        <v>2.6</v>
      </c>
      <c r="AB602">
        <v>2</v>
      </c>
      <c r="AC602">
        <v>2.6</v>
      </c>
      <c r="AD602">
        <v>2.4</v>
      </c>
      <c r="AE602">
        <v>2</v>
      </c>
      <c r="AF602">
        <v>3.7</v>
      </c>
      <c r="AG602">
        <v>3.6</v>
      </c>
      <c r="AH602">
        <v>2</v>
      </c>
      <c r="AI602">
        <v>3.6</v>
      </c>
      <c r="AJ602">
        <v>3.5</v>
      </c>
      <c r="AK602">
        <v>2</v>
      </c>
      <c r="AL602">
        <v>4.5</v>
      </c>
      <c r="AM602">
        <v>4</v>
      </c>
      <c r="AN602">
        <v>4</v>
      </c>
      <c r="AO602">
        <v>4</v>
      </c>
      <c r="AP602">
        <v>3.3</v>
      </c>
      <c r="AQ602">
        <v>4</v>
      </c>
      <c r="AR602">
        <v>8</v>
      </c>
      <c r="AS602">
        <v>4</v>
      </c>
      <c r="AT602">
        <v>-3.4</v>
      </c>
      <c r="AU602">
        <v>-3.6</v>
      </c>
      <c r="AV602">
        <v>-5</v>
      </c>
      <c r="AW602">
        <v>-3.6</v>
      </c>
      <c r="AX602">
        <v>-3.5</v>
      </c>
      <c r="AY602">
        <v>-5</v>
      </c>
      <c r="AZ602">
        <v>11.4</v>
      </c>
      <c r="BA602">
        <v>10</v>
      </c>
      <c r="BB602">
        <v>10.3</v>
      </c>
      <c r="BC602">
        <v>10</v>
      </c>
      <c r="BD602">
        <v>4</v>
      </c>
      <c r="BE602">
        <v>4</v>
      </c>
      <c r="BF602">
        <v>10.7</v>
      </c>
      <c r="BG602">
        <v>10</v>
      </c>
      <c r="BH602">
        <v>10.6</v>
      </c>
      <c r="BI602">
        <v>10</v>
      </c>
      <c r="BJ602">
        <v>11</v>
      </c>
      <c r="BK602">
        <v>9</v>
      </c>
      <c r="BL602">
        <v>18.8</v>
      </c>
      <c r="BM602">
        <v>19</v>
      </c>
      <c r="BN602">
        <v>23.6</v>
      </c>
      <c r="BO602">
        <v>19</v>
      </c>
      <c r="BP602">
        <v>21.2</v>
      </c>
      <c r="BQ602">
        <v>20</v>
      </c>
      <c r="BR602">
        <v>21.7</v>
      </c>
      <c r="BS602">
        <v>25</v>
      </c>
      <c r="BT602">
        <v>21.9</v>
      </c>
      <c r="BU602">
        <v>25</v>
      </c>
      <c r="BV602">
        <v>23.5</v>
      </c>
      <c r="BW602">
        <v>18</v>
      </c>
      <c r="BX602">
        <v>21.1</v>
      </c>
      <c r="BY602">
        <v>20</v>
      </c>
      <c r="BZ602">
        <v>21.9</v>
      </c>
      <c r="CA602">
        <v>20</v>
      </c>
      <c r="CB602">
        <v>10.3</v>
      </c>
      <c r="CC602">
        <v>10</v>
      </c>
      <c r="CD602">
        <v>11.5</v>
      </c>
      <c r="CE602">
        <v>10</v>
      </c>
      <c r="CF602">
        <v>11.4</v>
      </c>
      <c r="CG602">
        <v>9</v>
      </c>
      <c r="CH602">
        <v>11.6</v>
      </c>
      <c r="CI602">
        <v>9</v>
      </c>
    </row>
    <row r="603" spans="1:87" x14ac:dyDescent="0.35">
      <c r="A603" s="1">
        <v>46059.87777777778</v>
      </c>
      <c r="B603">
        <v>-22.8</v>
      </c>
      <c r="C603">
        <v>-20.5</v>
      </c>
      <c r="D603">
        <v>-25</v>
      </c>
      <c r="E603">
        <v>-22.3</v>
      </c>
      <c r="F603">
        <v>-23</v>
      </c>
      <c r="G603">
        <v>-25</v>
      </c>
      <c r="H603">
        <v>-18.899999999999999</v>
      </c>
      <c r="I603">
        <v>-24</v>
      </c>
      <c r="J603">
        <v>-25</v>
      </c>
      <c r="K603">
        <v>-19.7</v>
      </c>
      <c r="L603">
        <v>-17.5</v>
      </c>
      <c r="M603">
        <v>-25</v>
      </c>
      <c r="N603">
        <v>-18.100000000000001</v>
      </c>
      <c r="O603">
        <v>21.2</v>
      </c>
      <c r="P603">
        <v>-25</v>
      </c>
      <c r="Q603">
        <v>-14.4</v>
      </c>
      <c r="R603">
        <v>-14.3</v>
      </c>
      <c r="S603">
        <v>-25</v>
      </c>
      <c r="T603">
        <v>3</v>
      </c>
      <c r="U603">
        <v>3</v>
      </c>
      <c r="V603">
        <v>2</v>
      </c>
      <c r="W603">
        <v>3</v>
      </c>
      <c r="X603">
        <v>2.8</v>
      </c>
      <c r="Y603">
        <v>2</v>
      </c>
      <c r="Z603">
        <v>3</v>
      </c>
      <c r="AA603">
        <v>2.7</v>
      </c>
      <c r="AB603">
        <v>2</v>
      </c>
      <c r="AC603">
        <v>2.7</v>
      </c>
      <c r="AD603">
        <v>2.6</v>
      </c>
      <c r="AE603">
        <v>2</v>
      </c>
      <c r="AF603">
        <v>3.9</v>
      </c>
      <c r="AG603">
        <v>3.8</v>
      </c>
      <c r="AH603">
        <v>2</v>
      </c>
      <c r="AI603">
        <v>3.7</v>
      </c>
      <c r="AJ603">
        <v>3.7</v>
      </c>
      <c r="AK603">
        <v>2</v>
      </c>
      <c r="AL603">
        <v>4.4000000000000004</v>
      </c>
      <c r="AM603">
        <v>4</v>
      </c>
      <c r="AN603">
        <v>3.9</v>
      </c>
      <c r="AO603">
        <v>4</v>
      </c>
      <c r="AP603">
        <v>3.6</v>
      </c>
      <c r="AQ603">
        <v>4</v>
      </c>
      <c r="AR603">
        <v>8</v>
      </c>
      <c r="AS603">
        <v>4</v>
      </c>
      <c r="AT603">
        <v>-3</v>
      </c>
      <c r="AU603">
        <v>-3.3</v>
      </c>
      <c r="AV603">
        <v>-5</v>
      </c>
      <c r="AW603">
        <v>-3.1</v>
      </c>
      <c r="AX603">
        <v>-3</v>
      </c>
      <c r="AY603">
        <v>-5</v>
      </c>
      <c r="AZ603">
        <v>11.4</v>
      </c>
      <c r="BA603">
        <v>10</v>
      </c>
      <c r="BB603">
        <v>10.7</v>
      </c>
      <c r="BC603">
        <v>10</v>
      </c>
      <c r="BD603">
        <v>4.4000000000000004</v>
      </c>
      <c r="BE603">
        <v>4</v>
      </c>
      <c r="BF603">
        <v>11</v>
      </c>
      <c r="BG603">
        <v>10</v>
      </c>
      <c r="BH603">
        <v>10.6</v>
      </c>
      <c r="BI603">
        <v>10</v>
      </c>
      <c r="BJ603">
        <v>11</v>
      </c>
      <c r="BK603">
        <v>9</v>
      </c>
      <c r="BL603">
        <v>18.899999999999999</v>
      </c>
      <c r="BM603">
        <v>19</v>
      </c>
      <c r="BN603">
        <v>23.6</v>
      </c>
      <c r="BO603">
        <v>19</v>
      </c>
      <c r="BP603">
        <v>21.2</v>
      </c>
      <c r="BQ603">
        <v>20</v>
      </c>
      <c r="BR603">
        <v>21.7</v>
      </c>
      <c r="BS603">
        <v>25</v>
      </c>
      <c r="BT603">
        <v>21.9</v>
      </c>
      <c r="BU603">
        <v>25</v>
      </c>
      <c r="BV603">
        <v>23.5</v>
      </c>
      <c r="BW603">
        <v>18</v>
      </c>
      <c r="BX603">
        <v>21.1</v>
      </c>
      <c r="BY603">
        <v>20</v>
      </c>
      <c r="BZ603">
        <v>21.9</v>
      </c>
      <c r="CA603">
        <v>20</v>
      </c>
      <c r="CB603">
        <v>10.199999999999999</v>
      </c>
      <c r="CC603">
        <v>10</v>
      </c>
      <c r="CD603">
        <v>11.5</v>
      </c>
      <c r="CE603">
        <v>10</v>
      </c>
      <c r="CF603">
        <v>11.4</v>
      </c>
      <c r="CG603">
        <v>9</v>
      </c>
      <c r="CH603">
        <v>11.6</v>
      </c>
      <c r="CI603">
        <v>9</v>
      </c>
    </row>
    <row r="604" spans="1:87" x14ac:dyDescent="0.35">
      <c r="A604" s="1">
        <v>46059.879166666666</v>
      </c>
      <c r="B604">
        <v>-22.8</v>
      </c>
      <c r="C604">
        <v>-20.6</v>
      </c>
      <c r="D604">
        <v>-25</v>
      </c>
      <c r="E604">
        <v>-22.3</v>
      </c>
      <c r="F604">
        <v>-23</v>
      </c>
      <c r="G604">
        <v>-25</v>
      </c>
      <c r="H604">
        <v>-19</v>
      </c>
      <c r="I604">
        <v>-23.9</v>
      </c>
      <c r="J604">
        <v>-25</v>
      </c>
      <c r="K604">
        <v>-19.7</v>
      </c>
      <c r="L604">
        <v>-17.600000000000001</v>
      </c>
      <c r="M604">
        <v>-25</v>
      </c>
      <c r="N604">
        <v>-18.100000000000001</v>
      </c>
      <c r="O604">
        <v>14.5</v>
      </c>
      <c r="P604">
        <v>-25</v>
      </c>
      <c r="Q604">
        <v>-14.5</v>
      </c>
      <c r="R604">
        <v>-14.4</v>
      </c>
      <c r="S604">
        <v>-25</v>
      </c>
      <c r="T604">
        <v>3.2</v>
      </c>
      <c r="U604">
        <v>3.2</v>
      </c>
      <c r="V604">
        <v>2</v>
      </c>
      <c r="W604">
        <v>3.2</v>
      </c>
      <c r="X604">
        <v>3</v>
      </c>
      <c r="Y604">
        <v>2</v>
      </c>
      <c r="Z604">
        <v>3.1</v>
      </c>
      <c r="AA604">
        <v>2.9</v>
      </c>
      <c r="AB604">
        <v>2</v>
      </c>
      <c r="AC604">
        <v>2.9</v>
      </c>
      <c r="AD604">
        <v>2.8</v>
      </c>
      <c r="AE604">
        <v>2</v>
      </c>
      <c r="AF604">
        <v>4.2</v>
      </c>
      <c r="AG604">
        <v>4</v>
      </c>
      <c r="AH604">
        <v>2</v>
      </c>
      <c r="AI604">
        <v>4</v>
      </c>
      <c r="AJ604">
        <v>4</v>
      </c>
      <c r="AK604">
        <v>2</v>
      </c>
      <c r="AL604">
        <v>4</v>
      </c>
      <c r="AM604">
        <v>4</v>
      </c>
      <c r="AN604">
        <v>3.9</v>
      </c>
      <c r="AO604">
        <v>4</v>
      </c>
      <c r="AP604">
        <v>4.2</v>
      </c>
      <c r="AQ604">
        <v>4</v>
      </c>
      <c r="AR604">
        <v>8</v>
      </c>
      <c r="AS604">
        <v>4</v>
      </c>
      <c r="AT604">
        <v>-3.2</v>
      </c>
      <c r="AU604">
        <v>-5</v>
      </c>
      <c r="AV604">
        <v>-5</v>
      </c>
      <c r="AW604">
        <v>-2.6</v>
      </c>
      <c r="AX604">
        <v>-2.5</v>
      </c>
      <c r="AY604">
        <v>-5</v>
      </c>
      <c r="AZ604">
        <v>11.4</v>
      </c>
      <c r="BA604">
        <v>10</v>
      </c>
      <c r="BB604">
        <v>11.2</v>
      </c>
      <c r="BC604">
        <v>10</v>
      </c>
      <c r="BD604">
        <v>4.9000000000000004</v>
      </c>
      <c r="BE604">
        <v>4</v>
      </c>
      <c r="BF604">
        <v>11.4</v>
      </c>
      <c r="BG604">
        <v>10</v>
      </c>
      <c r="BH604">
        <v>10.6</v>
      </c>
      <c r="BI604">
        <v>10</v>
      </c>
      <c r="BJ604">
        <v>11.1</v>
      </c>
      <c r="BK604">
        <v>9</v>
      </c>
      <c r="BL604">
        <v>18.899999999999999</v>
      </c>
      <c r="BM604">
        <v>19</v>
      </c>
      <c r="BN604">
        <v>23.6</v>
      </c>
      <c r="BO604">
        <v>19</v>
      </c>
      <c r="BP604">
        <v>21.2</v>
      </c>
      <c r="BQ604">
        <v>20</v>
      </c>
      <c r="BR604">
        <v>21.7</v>
      </c>
      <c r="BS604">
        <v>25</v>
      </c>
      <c r="BT604">
        <v>21.9</v>
      </c>
      <c r="BU604">
        <v>25</v>
      </c>
      <c r="BV604">
        <v>23.5</v>
      </c>
      <c r="BW604">
        <v>18</v>
      </c>
      <c r="BX604">
        <v>21.2</v>
      </c>
      <c r="BY604">
        <v>20</v>
      </c>
      <c r="BZ604">
        <v>21.9</v>
      </c>
      <c r="CA604">
        <v>20</v>
      </c>
      <c r="CB604">
        <v>10.1</v>
      </c>
      <c r="CC604">
        <v>10</v>
      </c>
      <c r="CD604">
        <v>11.5</v>
      </c>
      <c r="CE604">
        <v>10</v>
      </c>
      <c r="CF604">
        <v>11.5</v>
      </c>
      <c r="CG604">
        <v>9</v>
      </c>
      <c r="CH604">
        <v>11.7</v>
      </c>
      <c r="CI604">
        <v>9</v>
      </c>
    </row>
    <row r="605" spans="1:87" x14ac:dyDescent="0.35">
      <c r="A605" s="1">
        <v>46059.879861111112</v>
      </c>
      <c r="B605">
        <v>-22.8</v>
      </c>
      <c r="C605">
        <v>-20.6</v>
      </c>
      <c r="D605">
        <v>-25</v>
      </c>
      <c r="E605">
        <v>-22.3</v>
      </c>
      <c r="F605">
        <v>-23.9</v>
      </c>
      <c r="G605">
        <v>-25</v>
      </c>
      <c r="H605">
        <v>-19.100000000000001</v>
      </c>
      <c r="I605">
        <v>-23.9</v>
      </c>
      <c r="J605">
        <v>-25</v>
      </c>
      <c r="K605">
        <v>-19.7</v>
      </c>
      <c r="L605">
        <v>-17.8</v>
      </c>
      <c r="M605">
        <v>-25</v>
      </c>
      <c r="N605">
        <v>-14.6</v>
      </c>
      <c r="O605">
        <v>11.1</v>
      </c>
      <c r="P605">
        <v>-25</v>
      </c>
      <c r="Q605">
        <v>-14.6</v>
      </c>
      <c r="R605">
        <v>-14.5</v>
      </c>
      <c r="S605">
        <v>-25</v>
      </c>
      <c r="T605">
        <v>3.3</v>
      </c>
      <c r="U605">
        <v>3.3</v>
      </c>
      <c r="V605">
        <v>2</v>
      </c>
      <c r="W605">
        <v>3.3</v>
      </c>
      <c r="X605">
        <v>3</v>
      </c>
      <c r="Y605">
        <v>2</v>
      </c>
      <c r="Z605">
        <v>3.2</v>
      </c>
      <c r="AA605">
        <v>3</v>
      </c>
      <c r="AB605">
        <v>2</v>
      </c>
      <c r="AC605">
        <v>3</v>
      </c>
      <c r="AD605">
        <v>2.9</v>
      </c>
      <c r="AE605">
        <v>2</v>
      </c>
      <c r="AF605">
        <v>4.2</v>
      </c>
      <c r="AG605">
        <v>4</v>
      </c>
      <c r="AH605">
        <v>2</v>
      </c>
      <c r="AI605">
        <v>4</v>
      </c>
      <c r="AJ605">
        <v>3.8</v>
      </c>
      <c r="AK605">
        <v>2</v>
      </c>
      <c r="AL605">
        <v>3.8</v>
      </c>
      <c r="AM605">
        <v>4</v>
      </c>
      <c r="AN605">
        <v>3.9</v>
      </c>
      <c r="AO605">
        <v>4</v>
      </c>
      <c r="AP605">
        <v>4.2</v>
      </c>
      <c r="AQ605">
        <v>4</v>
      </c>
      <c r="AR605">
        <v>7.8</v>
      </c>
      <c r="AS605">
        <v>4</v>
      </c>
      <c r="AT605">
        <v>-3.6</v>
      </c>
      <c r="AU605">
        <v>-5.5</v>
      </c>
      <c r="AV605">
        <v>-5</v>
      </c>
      <c r="AW605">
        <v>-2.4</v>
      </c>
      <c r="AX605">
        <v>-2.2999999999999998</v>
      </c>
      <c r="AY605">
        <v>-5</v>
      </c>
      <c r="AZ605">
        <v>11.4</v>
      </c>
      <c r="BA605">
        <v>10</v>
      </c>
      <c r="BB605">
        <v>11.5</v>
      </c>
      <c r="BC605">
        <v>10</v>
      </c>
      <c r="BD605">
        <v>5.0999999999999996</v>
      </c>
      <c r="BE605">
        <v>4</v>
      </c>
      <c r="BF605">
        <v>11.8</v>
      </c>
      <c r="BG605">
        <v>10</v>
      </c>
      <c r="BH605">
        <v>10.6</v>
      </c>
      <c r="BI605">
        <v>10</v>
      </c>
      <c r="BJ605">
        <v>11.1</v>
      </c>
      <c r="BK605">
        <v>9</v>
      </c>
      <c r="BL605">
        <v>18.899999999999999</v>
      </c>
      <c r="BM605">
        <v>19</v>
      </c>
      <c r="BN605">
        <v>23.6</v>
      </c>
      <c r="BO605">
        <v>19</v>
      </c>
      <c r="BP605">
        <v>21.2</v>
      </c>
      <c r="BQ605">
        <v>20</v>
      </c>
      <c r="BR605">
        <v>21.8</v>
      </c>
      <c r="BS605">
        <v>25</v>
      </c>
      <c r="BT605">
        <v>21.9</v>
      </c>
      <c r="BU605">
        <v>25</v>
      </c>
      <c r="BV605">
        <v>23.5</v>
      </c>
      <c r="BW605">
        <v>18</v>
      </c>
      <c r="BX605">
        <v>21.2</v>
      </c>
      <c r="BY605">
        <v>20</v>
      </c>
      <c r="BZ605">
        <v>21.9</v>
      </c>
      <c r="CA605">
        <v>20</v>
      </c>
      <c r="CB605">
        <v>10.5</v>
      </c>
      <c r="CC605">
        <v>10</v>
      </c>
      <c r="CD605">
        <v>11.5</v>
      </c>
      <c r="CE605">
        <v>10</v>
      </c>
      <c r="CF605">
        <v>11.5</v>
      </c>
      <c r="CG605">
        <v>9</v>
      </c>
      <c r="CH605">
        <v>11.7</v>
      </c>
      <c r="CI605">
        <v>9</v>
      </c>
    </row>
    <row r="606" spans="1:87" x14ac:dyDescent="0.35">
      <c r="A606" s="1">
        <v>46059.880555555559</v>
      </c>
      <c r="B606">
        <v>-22.8</v>
      </c>
      <c r="C606">
        <v>-20.6</v>
      </c>
      <c r="D606">
        <v>-25</v>
      </c>
      <c r="E606">
        <v>-22.3</v>
      </c>
      <c r="F606">
        <v>-23.5</v>
      </c>
      <c r="G606">
        <v>-25</v>
      </c>
      <c r="H606">
        <v>-19.100000000000001</v>
      </c>
      <c r="I606">
        <v>-23.9</v>
      </c>
      <c r="J606">
        <v>-25</v>
      </c>
      <c r="K606">
        <v>-19.7</v>
      </c>
      <c r="L606">
        <v>-17.899999999999999</v>
      </c>
      <c r="M606">
        <v>-25</v>
      </c>
      <c r="N606">
        <v>-14.9</v>
      </c>
      <c r="O606">
        <v>7.9</v>
      </c>
      <c r="P606">
        <v>-25</v>
      </c>
      <c r="Q606">
        <v>-14.8</v>
      </c>
      <c r="R606">
        <v>-14.6</v>
      </c>
      <c r="S606">
        <v>-25</v>
      </c>
      <c r="T606">
        <v>3.4</v>
      </c>
      <c r="U606">
        <v>3.4</v>
      </c>
      <c r="V606">
        <v>2</v>
      </c>
      <c r="W606">
        <v>3.4</v>
      </c>
      <c r="X606">
        <v>3.1</v>
      </c>
      <c r="Y606">
        <v>2</v>
      </c>
      <c r="Z606">
        <v>3.3</v>
      </c>
      <c r="AA606">
        <v>3</v>
      </c>
      <c r="AB606">
        <v>2</v>
      </c>
      <c r="AC606">
        <v>3.1</v>
      </c>
      <c r="AD606">
        <v>3</v>
      </c>
      <c r="AE606">
        <v>2</v>
      </c>
      <c r="AF606">
        <v>4.2</v>
      </c>
      <c r="AG606">
        <v>3.8</v>
      </c>
      <c r="AH606">
        <v>2</v>
      </c>
      <c r="AI606">
        <v>4</v>
      </c>
      <c r="AJ606">
        <v>3.4</v>
      </c>
      <c r="AK606">
        <v>2</v>
      </c>
      <c r="AL606">
        <v>3.8</v>
      </c>
      <c r="AM606">
        <v>4</v>
      </c>
      <c r="AN606">
        <v>4</v>
      </c>
      <c r="AO606">
        <v>4</v>
      </c>
      <c r="AP606">
        <v>4.2</v>
      </c>
      <c r="AQ606">
        <v>4</v>
      </c>
      <c r="AR606">
        <v>7.2</v>
      </c>
      <c r="AS606">
        <v>4</v>
      </c>
      <c r="AT606">
        <v>-3.9</v>
      </c>
      <c r="AU606">
        <v>-5.9</v>
      </c>
      <c r="AV606">
        <v>-5</v>
      </c>
      <c r="AW606">
        <v>-2.5</v>
      </c>
      <c r="AX606">
        <v>-3.5</v>
      </c>
      <c r="AY606">
        <v>-5</v>
      </c>
      <c r="AZ606">
        <v>12.8</v>
      </c>
      <c r="BA606">
        <v>10</v>
      </c>
      <c r="BB606">
        <v>11.7</v>
      </c>
      <c r="BC606">
        <v>10</v>
      </c>
      <c r="BD606">
        <v>5.3</v>
      </c>
      <c r="BE606">
        <v>4</v>
      </c>
      <c r="BF606">
        <v>12</v>
      </c>
      <c r="BG606">
        <v>10</v>
      </c>
      <c r="BH606">
        <v>10.6</v>
      </c>
      <c r="BI606">
        <v>10</v>
      </c>
      <c r="BJ606">
        <v>11</v>
      </c>
      <c r="BK606">
        <v>9</v>
      </c>
      <c r="BL606">
        <v>18.899999999999999</v>
      </c>
      <c r="BM606">
        <v>19</v>
      </c>
      <c r="BN606">
        <v>23.6</v>
      </c>
      <c r="BO606">
        <v>19</v>
      </c>
      <c r="BP606">
        <v>21.2</v>
      </c>
      <c r="BQ606">
        <v>20</v>
      </c>
      <c r="BR606">
        <v>21.8</v>
      </c>
      <c r="BS606">
        <v>25</v>
      </c>
      <c r="BT606">
        <v>21.9</v>
      </c>
      <c r="BU606">
        <v>25</v>
      </c>
      <c r="BV606">
        <v>23.5</v>
      </c>
      <c r="BW606">
        <v>18</v>
      </c>
      <c r="BX606">
        <v>21.3</v>
      </c>
      <c r="BY606">
        <v>20</v>
      </c>
      <c r="BZ606">
        <v>21.9</v>
      </c>
      <c r="CA606">
        <v>20</v>
      </c>
      <c r="CB606">
        <v>10.9</v>
      </c>
      <c r="CC606">
        <v>10</v>
      </c>
      <c r="CD606">
        <v>11.5</v>
      </c>
      <c r="CE606">
        <v>10</v>
      </c>
      <c r="CF606">
        <v>11.5</v>
      </c>
      <c r="CG606">
        <v>9</v>
      </c>
      <c r="CH606">
        <v>11.7</v>
      </c>
      <c r="CI606">
        <v>9</v>
      </c>
    </row>
    <row r="607" spans="1:87" x14ac:dyDescent="0.35">
      <c r="A607" s="1">
        <v>46059.881249999999</v>
      </c>
      <c r="B607">
        <v>-22.8</v>
      </c>
      <c r="C607">
        <v>-20.6</v>
      </c>
      <c r="D607">
        <v>-25</v>
      </c>
      <c r="E607">
        <v>-22.3</v>
      </c>
      <c r="F607">
        <v>-23.1</v>
      </c>
      <c r="G607">
        <v>-25</v>
      </c>
      <c r="H607">
        <v>-19.100000000000001</v>
      </c>
      <c r="I607">
        <v>-23.9</v>
      </c>
      <c r="J607">
        <v>-25</v>
      </c>
      <c r="K607">
        <v>-19.8</v>
      </c>
      <c r="L607">
        <v>-18</v>
      </c>
      <c r="M607">
        <v>-25</v>
      </c>
      <c r="N607">
        <v>-15.2</v>
      </c>
      <c r="O607">
        <v>5</v>
      </c>
      <c r="P607">
        <v>-25</v>
      </c>
      <c r="Q607">
        <v>-15</v>
      </c>
      <c r="R607">
        <v>-14.8</v>
      </c>
      <c r="S607">
        <v>-25</v>
      </c>
      <c r="T607">
        <v>3.5</v>
      </c>
      <c r="U607">
        <v>3.4</v>
      </c>
      <c r="V607">
        <v>2</v>
      </c>
      <c r="W607">
        <v>3.5</v>
      </c>
      <c r="X607">
        <v>3.2</v>
      </c>
      <c r="Y607">
        <v>2</v>
      </c>
      <c r="Z607">
        <v>3.4</v>
      </c>
      <c r="AA607">
        <v>3.1</v>
      </c>
      <c r="AB607">
        <v>2</v>
      </c>
      <c r="AC607">
        <v>3.2</v>
      </c>
      <c r="AD607">
        <v>3</v>
      </c>
      <c r="AE607">
        <v>2</v>
      </c>
      <c r="AF607">
        <v>4</v>
      </c>
      <c r="AG607">
        <v>3.7</v>
      </c>
      <c r="AH607">
        <v>2</v>
      </c>
      <c r="AI607">
        <v>3.8</v>
      </c>
      <c r="AJ607">
        <v>2.7</v>
      </c>
      <c r="AK607">
        <v>2</v>
      </c>
      <c r="AL607">
        <v>3.8</v>
      </c>
      <c r="AM607">
        <v>4</v>
      </c>
      <c r="AN607">
        <v>4.0999999999999996</v>
      </c>
      <c r="AO607">
        <v>4</v>
      </c>
      <c r="AP607">
        <v>4.2</v>
      </c>
      <c r="AQ607">
        <v>4</v>
      </c>
      <c r="AR607">
        <v>6.9</v>
      </c>
      <c r="AS607">
        <v>4</v>
      </c>
      <c r="AT607">
        <v>-4.0999999999999996</v>
      </c>
      <c r="AU607">
        <v>-6.2</v>
      </c>
      <c r="AV607">
        <v>-5</v>
      </c>
      <c r="AW607">
        <v>-3.1</v>
      </c>
      <c r="AX607">
        <v>-4.9000000000000004</v>
      </c>
      <c r="AY607">
        <v>-5</v>
      </c>
      <c r="AZ607">
        <v>12.1</v>
      </c>
      <c r="BA607">
        <v>10</v>
      </c>
      <c r="BB607">
        <v>11.9</v>
      </c>
      <c r="BC607">
        <v>10</v>
      </c>
      <c r="BD607">
        <v>5.4</v>
      </c>
      <c r="BE607">
        <v>4</v>
      </c>
      <c r="BF607">
        <v>11.7</v>
      </c>
      <c r="BG607">
        <v>10</v>
      </c>
      <c r="BH607">
        <v>10.6</v>
      </c>
      <c r="BI607">
        <v>10</v>
      </c>
      <c r="BJ607">
        <v>11</v>
      </c>
      <c r="BK607">
        <v>9</v>
      </c>
      <c r="BL607">
        <v>19</v>
      </c>
      <c r="BM607">
        <v>19</v>
      </c>
      <c r="BN607">
        <v>23.6</v>
      </c>
      <c r="BO607">
        <v>19</v>
      </c>
      <c r="BP607">
        <v>21.2</v>
      </c>
      <c r="BQ607">
        <v>20</v>
      </c>
      <c r="BR607">
        <v>21.8</v>
      </c>
      <c r="BS607">
        <v>25</v>
      </c>
      <c r="BT607">
        <v>21.9</v>
      </c>
      <c r="BU607">
        <v>25</v>
      </c>
      <c r="BV607">
        <v>23.5</v>
      </c>
      <c r="BW607">
        <v>18</v>
      </c>
      <c r="BX607">
        <v>21.3</v>
      </c>
      <c r="BY607">
        <v>20</v>
      </c>
      <c r="BZ607">
        <v>21.9</v>
      </c>
      <c r="CA607">
        <v>20</v>
      </c>
      <c r="CB607">
        <v>11.3</v>
      </c>
      <c r="CC607">
        <v>10</v>
      </c>
      <c r="CD607">
        <v>11.5</v>
      </c>
      <c r="CE607">
        <v>10</v>
      </c>
      <c r="CF607">
        <v>11.5</v>
      </c>
      <c r="CG607">
        <v>9</v>
      </c>
      <c r="CH607">
        <v>11.7</v>
      </c>
      <c r="CI607">
        <v>9</v>
      </c>
    </row>
    <row r="608" spans="1:87" x14ac:dyDescent="0.35">
      <c r="A608" s="1">
        <v>46059.881944444445</v>
      </c>
      <c r="B608">
        <v>-22.8</v>
      </c>
      <c r="C608">
        <v>-20.6</v>
      </c>
      <c r="D608">
        <v>-25</v>
      </c>
      <c r="E608">
        <v>-22.3</v>
      </c>
      <c r="F608">
        <v>-23</v>
      </c>
      <c r="G608">
        <v>-25</v>
      </c>
      <c r="H608">
        <v>-19.2</v>
      </c>
      <c r="I608">
        <v>-23.9</v>
      </c>
      <c r="J608">
        <v>-25</v>
      </c>
      <c r="K608">
        <v>-19.8</v>
      </c>
      <c r="L608">
        <v>-18</v>
      </c>
      <c r="M608">
        <v>-25</v>
      </c>
      <c r="N608">
        <v>-15.4</v>
      </c>
      <c r="O608">
        <v>2.2999999999999998</v>
      </c>
      <c r="P608">
        <v>-25</v>
      </c>
      <c r="Q608">
        <v>-15.1</v>
      </c>
      <c r="R608">
        <v>-15</v>
      </c>
      <c r="S608">
        <v>-25</v>
      </c>
      <c r="T608">
        <v>3.5</v>
      </c>
      <c r="U608">
        <v>3.5</v>
      </c>
      <c r="V608">
        <v>2</v>
      </c>
      <c r="W608">
        <v>3.5</v>
      </c>
      <c r="X608">
        <v>3.3</v>
      </c>
      <c r="Y608">
        <v>2</v>
      </c>
      <c r="Z608">
        <v>3.5</v>
      </c>
      <c r="AA608">
        <v>3.2</v>
      </c>
      <c r="AB608">
        <v>2</v>
      </c>
      <c r="AC608">
        <v>3.3</v>
      </c>
      <c r="AD608">
        <v>3.1</v>
      </c>
      <c r="AE608">
        <v>2</v>
      </c>
      <c r="AF608">
        <v>3.8</v>
      </c>
      <c r="AG608">
        <v>3.3</v>
      </c>
      <c r="AH608">
        <v>2</v>
      </c>
      <c r="AI608">
        <v>3.5</v>
      </c>
      <c r="AJ608">
        <v>1</v>
      </c>
      <c r="AK608">
        <v>2</v>
      </c>
      <c r="AL608">
        <v>3.8</v>
      </c>
      <c r="AM608">
        <v>4</v>
      </c>
      <c r="AN608">
        <v>4.2</v>
      </c>
      <c r="AO608">
        <v>4</v>
      </c>
      <c r="AP608">
        <v>4.2</v>
      </c>
      <c r="AQ608">
        <v>4</v>
      </c>
      <c r="AR608">
        <v>6.7</v>
      </c>
      <c r="AS608">
        <v>4</v>
      </c>
      <c r="AT608">
        <v>-4.4000000000000004</v>
      </c>
      <c r="AU608">
        <v>-6.5</v>
      </c>
      <c r="AV608">
        <v>-5</v>
      </c>
      <c r="AW608">
        <v>-3.6</v>
      </c>
      <c r="AX608">
        <v>-4.7</v>
      </c>
      <c r="AY608">
        <v>-5</v>
      </c>
      <c r="AZ608">
        <v>11</v>
      </c>
      <c r="BA608">
        <v>10</v>
      </c>
      <c r="BB608">
        <v>12</v>
      </c>
      <c r="BC608">
        <v>10</v>
      </c>
      <c r="BD608">
        <v>5.6</v>
      </c>
      <c r="BE608">
        <v>4</v>
      </c>
      <c r="BF608">
        <v>10.8</v>
      </c>
      <c r="BG608">
        <v>10</v>
      </c>
      <c r="BH608">
        <v>10.6</v>
      </c>
      <c r="BI608">
        <v>10</v>
      </c>
      <c r="BJ608">
        <v>11</v>
      </c>
      <c r="BK608">
        <v>9</v>
      </c>
      <c r="BL608">
        <v>19</v>
      </c>
      <c r="BM608">
        <v>19</v>
      </c>
      <c r="BN608">
        <v>23.6</v>
      </c>
      <c r="BO608">
        <v>19</v>
      </c>
      <c r="BP608">
        <v>21.2</v>
      </c>
      <c r="BQ608">
        <v>20</v>
      </c>
      <c r="BR608">
        <v>21.8</v>
      </c>
      <c r="BS608">
        <v>25</v>
      </c>
      <c r="BT608">
        <v>21.9</v>
      </c>
      <c r="BU608">
        <v>25</v>
      </c>
      <c r="BV608">
        <v>23.5</v>
      </c>
      <c r="BW608">
        <v>18</v>
      </c>
      <c r="BX608">
        <v>21.3</v>
      </c>
      <c r="BY608">
        <v>20</v>
      </c>
      <c r="BZ608">
        <v>21.6</v>
      </c>
      <c r="CA608">
        <v>20</v>
      </c>
      <c r="CB608">
        <v>11.7</v>
      </c>
      <c r="CC608">
        <v>10</v>
      </c>
      <c r="CD608">
        <v>11.5</v>
      </c>
      <c r="CE608">
        <v>10</v>
      </c>
      <c r="CF608">
        <v>11.5</v>
      </c>
      <c r="CG608">
        <v>9</v>
      </c>
      <c r="CH608">
        <v>11.7</v>
      </c>
      <c r="CI608">
        <v>9</v>
      </c>
    </row>
    <row r="609" spans="1:87" x14ac:dyDescent="0.35">
      <c r="A609" s="1">
        <v>46059.882638888892</v>
      </c>
      <c r="B609">
        <v>-22.8</v>
      </c>
      <c r="C609">
        <v>-20.6</v>
      </c>
      <c r="D609">
        <v>-25</v>
      </c>
      <c r="E609">
        <v>-22.2</v>
      </c>
      <c r="F609">
        <v>-23.7</v>
      </c>
      <c r="G609">
        <v>-25</v>
      </c>
      <c r="H609">
        <v>-19.2</v>
      </c>
      <c r="I609">
        <v>-23.9</v>
      </c>
      <c r="J609">
        <v>-25</v>
      </c>
      <c r="K609">
        <v>-19.8</v>
      </c>
      <c r="L609">
        <v>-18.100000000000001</v>
      </c>
      <c r="M609">
        <v>-25</v>
      </c>
      <c r="N609">
        <v>-15.5</v>
      </c>
      <c r="O609">
        <v>0</v>
      </c>
      <c r="P609">
        <v>-25</v>
      </c>
      <c r="Q609">
        <v>-15.3</v>
      </c>
      <c r="R609">
        <v>-15.1</v>
      </c>
      <c r="S609">
        <v>-25</v>
      </c>
      <c r="T609">
        <v>3.6</v>
      </c>
      <c r="U609">
        <v>3.6</v>
      </c>
      <c r="V609">
        <v>2</v>
      </c>
      <c r="W609">
        <v>3.6</v>
      </c>
      <c r="X609">
        <v>3.4</v>
      </c>
      <c r="Y609">
        <v>2</v>
      </c>
      <c r="Z609">
        <v>3.6</v>
      </c>
      <c r="AA609">
        <v>3.3</v>
      </c>
      <c r="AB609">
        <v>2</v>
      </c>
      <c r="AC609">
        <v>3.4</v>
      </c>
      <c r="AD609">
        <v>3.2</v>
      </c>
      <c r="AE609">
        <v>2</v>
      </c>
      <c r="AF609">
        <v>3.5</v>
      </c>
      <c r="AG609">
        <v>3</v>
      </c>
      <c r="AH609">
        <v>2</v>
      </c>
      <c r="AI609">
        <v>3.3</v>
      </c>
      <c r="AJ609">
        <v>1.5</v>
      </c>
      <c r="AK609">
        <v>2</v>
      </c>
      <c r="AL609">
        <v>3.9</v>
      </c>
      <c r="AM609">
        <v>4</v>
      </c>
      <c r="AN609">
        <v>4.3</v>
      </c>
      <c r="AO609">
        <v>4</v>
      </c>
      <c r="AP609">
        <v>4.2</v>
      </c>
      <c r="AQ609">
        <v>4</v>
      </c>
      <c r="AR609">
        <v>6.4</v>
      </c>
      <c r="AS609">
        <v>4</v>
      </c>
      <c r="AT609">
        <v>-4.5999999999999996</v>
      </c>
      <c r="AU609">
        <v>-6.6</v>
      </c>
      <c r="AV609">
        <v>-5</v>
      </c>
      <c r="AW609">
        <v>-3.8</v>
      </c>
      <c r="AX609">
        <v>-4.5999999999999996</v>
      </c>
      <c r="AY609">
        <v>-5</v>
      </c>
      <c r="AZ609">
        <v>9.4</v>
      </c>
      <c r="BA609">
        <v>10</v>
      </c>
      <c r="BB609">
        <v>11.9</v>
      </c>
      <c r="BC609">
        <v>10</v>
      </c>
      <c r="BD609">
        <v>5.8</v>
      </c>
      <c r="BE609">
        <v>4</v>
      </c>
      <c r="BF609">
        <v>9.6999999999999993</v>
      </c>
      <c r="BG609">
        <v>10</v>
      </c>
      <c r="BH609">
        <v>10.6</v>
      </c>
      <c r="BI609">
        <v>10</v>
      </c>
      <c r="BJ609">
        <v>11</v>
      </c>
      <c r="BK609">
        <v>9</v>
      </c>
      <c r="BL609">
        <v>19</v>
      </c>
      <c r="BM609">
        <v>19</v>
      </c>
      <c r="BN609">
        <v>23.6</v>
      </c>
      <c r="BO609">
        <v>19</v>
      </c>
      <c r="BP609">
        <v>21.2</v>
      </c>
      <c r="BQ609">
        <v>20</v>
      </c>
      <c r="BR609">
        <v>21.8</v>
      </c>
      <c r="BS609">
        <v>25</v>
      </c>
      <c r="BT609">
        <v>21.9</v>
      </c>
      <c r="BU609">
        <v>25</v>
      </c>
      <c r="BV609">
        <v>23.5</v>
      </c>
      <c r="BW609">
        <v>18</v>
      </c>
      <c r="BX609">
        <v>21.4</v>
      </c>
      <c r="BY609">
        <v>20</v>
      </c>
      <c r="BZ609">
        <v>20</v>
      </c>
      <c r="CA609">
        <v>20</v>
      </c>
      <c r="CB609">
        <v>12</v>
      </c>
      <c r="CC609">
        <v>10</v>
      </c>
      <c r="CD609">
        <v>11.5</v>
      </c>
      <c r="CE609">
        <v>10</v>
      </c>
      <c r="CF609">
        <v>11.5</v>
      </c>
      <c r="CG609">
        <v>9</v>
      </c>
      <c r="CH609">
        <v>11.7</v>
      </c>
      <c r="CI609">
        <v>9</v>
      </c>
    </row>
    <row r="610" spans="1:87" x14ac:dyDescent="0.35">
      <c r="A610" s="1">
        <v>46059.884027777778</v>
      </c>
      <c r="B610">
        <v>-22.8</v>
      </c>
      <c r="C610">
        <v>-20.6</v>
      </c>
      <c r="D610">
        <v>-25</v>
      </c>
      <c r="E610">
        <v>-22.3</v>
      </c>
      <c r="F610">
        <v>-23.7</v>
      </c>
      <c r="G610">
        <v>-25</v>
      </c>
      <c r="H610">
        <v>-19.3</v>
      </c>
      <c r="I610">
        <v>-23.8</v>
      </c>
      <c r="J610">
        <v>-25</v>
      </c>
      <c r="K610">
        <v>-19.8</v>
      </c>
      <c r="L610">
        <v>-18.2</v>
      </c>
      <c r="M610">
        <v>-25</v>
      </c>
      <c r="N610">
        <v>-15.9</v>
      </c>
      <c r="O610">
        <v>-3.3</v>
      </c>
      <c r="P610">
        <v>-25</v>
      </c>
      <c r="Q610">
        <v>-15.5</v>
      </c>
      <c r="R610">
        <v>-15.3</v>
      </c>
      <c r="S610">
        <v>-25</v>
      </c>
      <c r="T610">
        <v>3.7</v>
      </c>
      <c r="U610">
        <v>3.8</v>
      </c>
      <c r="V610">
        <v>2</v>
      </c>
      <c r="W610">
        <v>3.8</v>
      </c>
      <c r="X610">
        <v>3.6</v>
      </c>
      <c r="Y610">
        <v>2</v>
      </c>
      <c r="Z610">
        <v>3.7</v>
      </c>
      <c r="AA610">
        <v>3.4</v>
      </c>
      <c r="AB610">
        <v>2</v>
      </c>
      <c r="AC610">
        <v>3.5</v>
      </c>
      <c r="AD610">
        <v>3.4</v>
      </c>
      <c r="AE610">
        <v>2</v>
      </c>
      <c r="AF610">
        <v>3.1</v>
      </c>
      <c r="AG610">
        <v>2.6</v>
      </c>
      <c r="AH610">
        <v>2</v>
      </c>
      <c r="AI610">
        <v>2.9</v>
      </c>
      <c r="AJ610">
        <v>0.8</v>
      </c>
      <c r="AK610">
        <v>2</v>
      </c>
      <c r="AL610">
        <v>4.0999999999999996</v>
      </c>
      <c r="AM610">
        <v>4</v>
      </c>
      <c r="AN610">
        <v>4.4000000000000004</v>
      </c>
      <c r="AO610">
        <v>4</v>
      </c>
      <c r="AP610">
        <v>4.2</v>
      </c>
      <c r="AQ610">
        <v>4</v>
      </c>
      <c r="AR610">
        <v>5.3</v>
      </c>
      <c r="AS610">
        <v>4</v>
      </c>
      <c r="AT610">
        <v>-4.8</v>
      </c>
      <c r="AU610">
        <v>-6.7</v>
      </c>
      <c r="AV610">
        <v>-5</v>
      </c>
      <c r="AW610">
        <v>-4.3</v>
      </c>
      <c r="AX610">
        <v>-6.1</v>
      </c>
      <c r="AY610">
        <v>-5</v>
      </c>
      <c r="AZ610">
        <v>8.8000000000000007</v>
      </c>
      <c r="BA610">
        <v>10</v>
      </c>
      <c r="BB610">
        <v>11.5</v>
      </c>
      <c r="BC610">
        <v>10</v>
      </c>
      <c r="BD610">
        <v>6</v>
      </c>
      <c r="BE610">
        <v>4</v>
      </c>
      <c r="BF610">
        <v>9.6999999999999993</v>
      </c>
      <c r="BG610">
        <v>10</v>
      </c>
      <c r="BH610">
        <v>10.6</v>
      </c>
      <c r="BI610">
        <v>10</v>
      </c>
      <c r="BJ610">
        <v>11.1</v>
      </c>
      <c r="BK610">
        <v>9</v>
      </c>
      <c r="BL610">
        <v>19.100000000000001</v>
      </c>
      <c r="BM610">
        <v>19</v>
      </c>
      <c r="BN610">
        <v>23.6</v>
      </c>
      <c r="BO610">
        <v>19</v>
      </c>
      <c r="BP610">
        <v>21.2</v>
      </c>
      <c r="BQ610">
        <v>20</v>
      </c>
      <c r="BR610">
        <v>21.8</v>
      </c>
      <c r="BS610">
        <v>25</v>
      </c>
      <c r="BT610">
        <v>21.9</v>
      </c>
      <c r="BU610">
        <v>25</v>
      </c>
      <c r="BV610">
        <v>23.5</v>
      </c>
      <c r="BW610">
        <v>18</v>
      </c>
      <c r="BX610">
        <v>21.4</v>
      </c>
      <c r="BY610">
        <v>20</v>
      </c>
      <c r="BZ610">
        <v>18.899999999999999</v>
      </c>
      <c r="CA610">
        <v>20</v>
      </c>
      <c r="CB610">
        <v>11.8</v>
      </c>
      <c r="CC610">
        <v>10</v>
      </c>
      <c r="CD610">
        <v>11.5</v>
      </c>
      <c r="CE610">
        <v>10</v>
      </c>
      <c r="CF610">
        <v>11.3</v>
      </c>
      <c r="CG610">
        <v>9</v>
      </c>
      <c r="CH610">
        <v>11.5</v>
      </c>
      <c r="CI610">
        <v>9</v>
      </c>
    </row>
    <row r="611" spans="1:87" x14ac:dyDescent="0.35">
      <c r="A611" s="1">
        <v>46059.884722222225</v>
      </c>
      <c r="B611">
        <v>-22.8</v>
      </c>
      <c r="C611">
        <v>-20.6</v>
      </c>
      <c r="D611">
        <v>-25</v>
      </c>
      <c r="E611">
        <v>-22.3</v>
      </c>
      <c r="F611">
        <v>-23.2</v>
      </c>
      <c r="G611">
        <v>-25</v>
      </c>
      <c r="H611">
        <v>-19.3</v>
      </c>
      <c r="I611">
        <v>-24</v>
      </c>
      <c r="J611">
        <v>-25</v>
      </c>
      <c r="K611">
        <v>-19.899999999999999</v>
      </c>
      <c r="L611">
        <v>-18.3</v>
      </c>
      <c r="M611">
        <v>-25</v>
      </c>
      <c r="N611">
        <v>-16.100000000000001</v>
      </c>
      <c r="O611">
        <v>-4.8</v>
      </c>
      <c r="P611">
        <v>-25</v>
      </c>
      <c r="Q611">
        <v>-15.7</v>
      </c>
      <c r="R611">
        <v>-15.5</v>
      </c>
      <c r="S611">
        <v>-25</v>
      </c>
      <c r="T611">
        <v>3.8</v>
      </c>
      <c r="U611">
        <v>3.8</v>
      </c>
      <c r="V611">
        <v>2</v>
      </c>
      <c r="W611">
        <v>3.8</v>
      </c>
      <c r="X611">
        <v>3.6</v>
      </c>
      <c r="Y611">
        <v>2</v>
      </c>
      <c r="Z611">
        <v>3.7</v>
      </c>
      <c r="AA611">
        <v>3.5</v>
      </c>
      <c r="AB611">
        <v>2</v>
      </c>
      <c r="AC611">
        <v>3.6</v>
      </c>
      <c r="AD611">
        <v>3.4</v>
      </c>
      <c r="AE611">
        <v>2</v>
      </c>
      <c r="AF611">
        <v>3</v>
      </c>
      <c r="AG611">
        <v>2.6</v>
      </c>
      <c r="AH611">
        <v>2</v>
      </c>
      <c r="AI611">
        <v>2.9</v>
      </c>
      <c r="AJ611">
        <v>0.7</v>
      </c>
      <c r="AK611">
        <v>2</v>
      </c>
      <c r="AL611">
        <v>4.0999999999999996</v>
      </c>
      <c r="AM611">
        <v>4</v>
      </c>
      <c r="AN611">
        <v>4.5</v>
      </c>
      <c r="AO611">
        <v>4</v>
      </c>
      <c r="AP611">
        <v>4.2</v>
      </c>
      <c r="AQ611">
        <v>4</v>
      </c>
      <c r="AR611">
        <v>4.8</v>
      </c>
      <c r="AS611">
        <v>4</v>
      </c>
      <c r="AT611">
        <v>-5</v>
      </c>
      <c r="AU611">
        <v>-6.9</v>
      </c>
      <c r="AV611">
        <v>-5</v>
      </c>
      <c r="AW611">
        <v>-4.5</v>
      </c>
      <c r="AX611">
        <v>-5.5</v>
      </c>
      <c r="AY611">
        <v>-5</v>
      </c>
      <c r="AZ611">
        <v>8.8000000000000007</v>
      </c>
      <c r="BA611">
        <v>10</v>
      </c>
      <c r="BB611">
        <v>11.3</v>
      </c>
      <c r="BC611">
        <v>10</v>
      </c>
      <c r="BD611">
        <v>5.8</v>
      </c>
      <c r="BE611">
        <v>4</v>
      </c>
      <c r="BF611">
        <v>10</v>
      </c>
      <c r="BG611">
        <v>10</v>
      </c>
      <c r="BH611">
        <v>10.6</v>
      </c>
      <c r="BI611">
        <v>10</v>
      </c>
      <c r="BJ611">
        <v>11.1</v>
      </c>
      <c r="BK611">
        <v>9</v>
      </c>
      <c r="BL611">
        <v>19.100000000000001</v>
      </c>
      <c r="BM611">
        <v>19</v>
      </c>
      <c r="BN611">
        <v>23.6</v>
      </c>
      <c r="BO611">
        <v>19</v>
      </c>
      <c r="BP611">
        <v>21.2</v>
      </c>
      <c r="BQ611">
        <v>20</v>
      </c>
      <c r="BR611">
        <v>21.8</v>
      </c>
      <c r="BS611">
        <v>25</v>
      </c>
      <c r="BT611">
        <v>21.9</v>
      </c>
      <c r="BU611">
        <v>25</v>
      </c>
      <c r="BV611">
        <v>23.5</v>
      </c>
      <c r="BW611">
        <v>18</v>
      </c>
      <c r="BX611">
        <v>21.4</v>
      </c>
      <c r="BY611">
        <v>20</v>
      </c>
      <c r="BZ611">
        <v>19.3</v>
      </c>
      <c r="CA611">
        <v>20</v>
      </c>
      <c r="CB611">
        <v>11.4</v>
      </c>
      <c r="CC611">
        <v>10</v>
      </c>
      <c r="CD611">
        <v>11.5</v>
      </c>
      <c r="CE611">
        <v>10</v>
      </c>
      <c r="CF611">
        <v>11.1</v>
      </c>
      <c r="CG611">
        <v>9</v>
      </c>
      <c r="CH611">
        <v>11.4</v>
      </c>
      <c r="CI611">
        <v>9</v>
      </c>
    </row>
    <row r="612" spans="1:87" x14ac:dyDescent="0.35">
      <c r="A612" s="1">
        <v>46059.885416666664</v>
      </c>
      <c r="B612">
        <v>-22.8</v>
      </c>
      <c r="C612">
        <v>-20.6</v>
      </c>
      <c r="D612">
        <v>-25</v>
      </c>
      <c r="E612">
        <v>-22.3</v>
      </c>
      <c r="F612">
        <v>-23.1</v>
      </c>
      <c r="G612">
        <v>-25</v>
      </c>
      <c r="H612">
        <v>-19.3</v>
      </c>
      <c r="I612">
        <v>-24</v>
      </c>
      <c r="J612">
        <v>-25</v>
      </c>
      <c r="K612">
        <v>-20</v>
      </c>
      <c r="L612">
        <v>-18.399999999999999</v>
      </c>
      <c r="M612">
        <v>-25</v>
      </c>
      <c r="N612">
        <v>-16.2</v>
      </c>
      <c r="O612">
        <v>-6.2</v>
      </c>
      <c r="P612">
        <v>-25</v>
      </c>
      <c r="Q612">
        <v>-15.8</v>
      </c>
      <c r="R612">
        <v>-15.6</v>
      </c>
      <c r="S612">
        <v>-25</v>
      </c>
      <c r="T612">
        <v>3.9</v>
      </c>
      <c r="U612">
        <v>3.9</v>
      </c>
      <c r="V612">
        <v>2</v>
      </c>
      <c r="W612">
        <v>3.9</v>
      </c>
      <c r="X612">
        <v>3.7</v>
      </c>
      <c r="Y612">
        <v>2</v>
      </c>
      <c r="Z612">
        <v>3.8</v>
      </c>
      <c r="AA612">
        <v>3.6</v>
      </c>
      <c r="AB612">
        <v>2</v>
      </c>
      <c r="AC612">
        <v>3.6</v>
      </c>
      <c r="AD612">
        <v>3.5</v>
      </c>
      <c r="AE612">
        <v>2</v>
      </c>
      <c r="AF612">
        <v>2.8</v>
      </c>
      <c r="AG612">
        <v>2.2999999999999998</v>
      </c>
      <c r="AH612">
        <v>2</v>
      </c>
      <c r="AI612">
        <v>2.6</v>
      </c>
      <c r="AJ612">
        <v>-0.1</v>
      </c>
      <c r="AK612">
        <v>2</v>
      </c>
      <c r="AL612">
        <v>4.2</v>
      </c>
      <c r="AM612">
        <v>4</v>
      </c>
      <c r="AN612">
        <v>4.5</v>
      </c>
      <c r="AO612">
        <v>4</v>
      </c>
      <c r="AP612">
        <v>4.2</v>
      </c>
      <c r="AQ612">
        <v>4</v>
      </c>
      <c r="AR612">
        <v>4.5</v>
      </c>
      <c r="AS612">
        <v>4</v>
      </c>
      <c r="AT612">
        <v>-5.0999999999999996</v>
      </c>
      <c r="AU612">
        <v>-6.8</v>
      </c>
      <c r="AV612">
        <v>-5</v>
      </c>
      <c r="AW612">
        <v>-4.8</v>
      </c>
      <c r="AX612">
        <v>-6.5</v>
      </c>
      <c r="AY612">
        <v>-5</v>
      </c>
      <c r="AZ612">
        <v>9.1</v>
      </c>
      <c r="BA612">
        <v>10</v>
      </c>
      <c r="BB612">
        <v>11</v>
      </c>
      <c r="BC612">
        <v>10</v>
      </c>
      <c r="BD612">
        <v>5.0999999999999996</v>
      </c>
      <c r="BE612">
        <v>4</v>
      </c>
      <c r="BF612">
        <v>10.4</v>
      </c>
      <c r="BG612">
        <v>10</v>
      </c>
      <c r="BH612">
        <v>10.6</v>
      </c>
      <c r="BI612">
        <v>10</v>
      </c>
      <c r="BJ612">
        <v>11.1</v>
      </c>
      <c r="BK612">
        <v>9</v>
      </c>
      <c r="BL612">
        <v>19.100000000000001</v>
      </c>
      <c r="BM612">
        <v>19</v>
      </c>
      <c r="BN612">
        <v>23.6</v>
      </c>
      <c r="BO612">
        <v>19</v>
      </c>
      <c r="BP612">
        <v>21.2</v>
      </c>
      <c r="BQ612">
        <v>20</v>
      </c>
      <c r="BR612">
        <v>21.7</v>
      </c>
      <c r="BS612">
        <v>25</v>
      </c>
      <c r="BT612">
        <v>21.9</v>
      </c>
      <c r="BU612">
        <v>25</v>
      </c>
      <c r="BV612">
        <v>23.5</v>
      </c>
      <c r="BW612">
        <v>18</v>
      </c>
      <c r="BX612">
        <v>21.5</v>
      </c>
      <c r="BY612">
        <v>20</v>
      </c>
      <c r="BZ612">
        <v>19.600000000000001</v>
      </c>
      <c r="CA612">
        <v>20</v>
      </c>
      <c r="CB612">
        <v>11.2</v>
      </c>
      <c r="CC612">
        <v>10</v>
      </c>
      <c r="CD612">
        <v>11.5</v>
      </c>
      <c r="CE612">
        <v>10</v>
      </c>
      <c r="CF612">
        <v>11.1</v>
      </c>
      <c r="CG612">
        <v>9</v>
      </c>
      <c r="CH612">
        <v>11.4</v>
      </c>
      <c r="CI612">
        <v>9</v>
      </c>
    </row>
    <row r="613" spans="1:87" x14ac:dyDescent="0.35">
      <c r="A613" s="1">
        <v>46059.886111111111</v>
      </c>
      <c r="B613">
        <v>-22.8</v>
      </c>
      <c r="C613">
        <v>-20.6</v>
      </c>
      <c r="D613">
        <v>-25</v>
      </c>
      <c r="E613">
        <v>-22.3</v>
      </c>
      <c r="F613">
        <v>-23.1</v>
      </c>
      <c r="G613">
        <v>-25</v>
      </c>
      <c r="H613">
        <v>-19.399999999999999</v>
      </c>
      <c r="I613">
        <v>-24</v>
      </c>
      <c r="J613">
        <v>-25</v>
      </c>
      <c r="K613">
        <v>-20</v>
      </c>
      <c r="L613">
        <v>-18.399999999999999</v>
      </c>
      <c r="M613">
        <v>-25</v>
      </c>
      <c r="N613">
        <v>-16.3</v>
      </c>
      <c r="O613">
        <v>-7.4</v>
      </c>
      <c r="P613">
        <v>-25</v>
      </c>
      <c r="Q613">
        <v>-15.9</v>
      </c>
      <c r="R613">
        <v>-15.7</v>
      </c>
      <c r="S613">
        <v>-25</v>
      </c>
      <c r="T613">
        <v>3.9</v>
      </c>
      <c r="U613">
        <v>3.9</v>
      </c>
      <c r="V613">
        <v>2</v>
      </c>
      <c r="W613">
        <v>4</v>
      </c>
      <c r="X613">
        <v>3.8</v>
      </c>
      <c r="Y613">
        <v>2</v>
      </c>
      <c r="Z613">
        <v>3.9</v>
      </c>
      <c r="AA613">
        <v>3.6</v>
      </c>
      <c r="AB613">
        <v>2</v>
      </c>
      <c r="AC613">
        <v>3.7</v>
      </c>
      <c r="AD613">
        <v>3.5</v>
      </c>
      <c r="AE613">
        <v>2</v>
      </c>
      <c r="AF613">
        <v>2.7</v>
      </c>
      <c r="AG613">
        <v>2.2000000000000002</v>
      </c>
      <c r="AH613">
        <v>2</v>
      </c>
      <c r="AI613">
        <v>2.5</v>
      </c>
      <c r="AJ613">
        <v>0.7</v>
      </c>
      <c r="AK613">
        <v>2</v>
      </c>
      <c r="AL613">
        <v>4.3</v>
      </c>
      <c r="AM613">
        <v>4</v>
      </c>
      <c r="AN613">
        <v>4.5999999999999996</v>
      </c>
      <c r="AO613">
        <v>4</v>
      </c>
      <c r="AP613">
        <v>4.2</v>
      </c>
      <c r="AQ613">
        <v>4</v>
      </c>
      <c r="AR613">
        <v>4.0999999999999996</v>
      </c>
      <c r="AS613">
        <v>4</v>
      </c>
      <c r="AT613">
        <v>-5.0999999999999996</v>
      </c>
      <c r="AU613">
        <v>-6</v>
      </c>
      <c r="AV613">
        <v>-5</v>
      </c>
      <c r="AW613">
        <v>-5.3</v>
      </c>
      <c r="AX613">
        <v>-7.9</v>
      </c>
      <c r="AY613">
        <v>-5</v>
      </c>
      <c r="AZ613">
        <v>9.3000000000000007</v>
      </c>
      <c r="BA613">
        <v>10</v>
      </c>
      <c r="BB613">
        <v>10.9</v>
      </c>
      <c r="BC613">
        <v>10</v>
      </c>
      <c r="BD613">
        <v>4.7</v>
      </c>
      <c r="BE613">
        <v>4</v>
      </c>
      <c r="BF613">
        <v>10.7</v>
      </c>
      <c r="BG613">
        <v>10</v>
      </c>
      <c r="BH613">
        <v>10.9</v>
      </c>
      <c r="BI613">
        <v>10</v>
      </c>
      <c r="BJ613">
        <v>11.1</v>
      </c>
      <c r="BK613">
        <v>9</v>
      </c>
      <c r="BL613">
        <v>19.100000000000001</v>
      </c>
      <c r="BM613">
        <v>19</v>
      </c>
      <c r="BN613">
        <v>23.6</v>
      </c>
      <c r="BO613">
        <v>19</v>
      </c>
      <c r="BP613">
        <v>21.2</v>
      </c>
      <c r="BQ613">
        <v>20</v>
      </c>
      <c r="BR613">
        <v>21.6</v>
      </c>
      <c r="BS613">
        <v>25</v>
      </c>
      <c r="BT613">
        <v>21.9</v>
      </c>
      <c r="BU613">
        <v>25</v>
      </c>
      <c r="BV613">
        <v>23.5</v>
      </c>
      <c r="BW613">
        <v>18</v>
      </c>
      <c r="BX613">
        <v>21.5</v>
      </c>
      <c r="BY613">
        <v>20</v>
      </c>
      <c r="BZ613">
        <v>19.899999999999999</v>
      </c>
      <c r="CA613">
        <v>20</v>
      </c>
      <c r="CB613">
        <v>10.9</v>
      </c>
      <c r="CC613">
        <v>10</v>
      </c>
      <c r="CD613">
        <v>11.5</v>
      </c>
      <c r="CE613">
        <v>10</v>
      </c>
      <c r="CF613">
        <v>11.1</v>
      </c>
      <c r="CG613">
        <v>9</v>
      </c>
      <c r="CH613">
        <v>11.4</v>
      </c>
      <c r="CI613">
        <v>9</v>
      </c>
    </row>
    <row r="614" spans="1:87" x14ac:dyDescent="0.35">
      <c r="A614" s="1">
        <v>46059.886805555558</v>
      </c>
      <c r="B614">
        <v>-22.8</v>
      </c>
      <c r="C614">
        <v>-20.6</v>
      </c>
      <c r="D614">
        <v>-25</v>
      </c>
      <c r="E614">
        <v>-22.3</v>
      </c>
      <c r="F614">
        <v>-24.1</v>
      </c>
      <c r="G614">
        <v>-25</v>
      </c>
      <c r="H614">
        <v>-19.399999999999999</v>
      </c>
      <c r="I614">
        <v>-24</v>
      </c>
      <c r="J614">
        <v>-25</v>
      </c>
      <c r="K614">
        <v>-20</v>
      </c>
      <c r="L614">
        <v>-18.5</v>
      </c>
      <c r="M614">
        <v>-25</v>
      </c>
      <c r="N614">
        <v>-16.399999999999999</v>
      </c>
      <c r="O614">
        <v>-8.1999999999999993</v>
      </c>
      <c r="P614">
        <v>-25</v>
      </c>
      <c r="Q614">
        <v>-16.100000000000001</v>
      </c>
      <c r="R614">
        <v>-15.8</v>
      </c>
      <c r="S614">
        <v>-25</v>
      </c>
      <c r="T614">
        <v>3.9</v>
      </c>
      <c r="U614">
        <v>4</v>
      </c>
      <c r="V614">
        <v>2</v>
      </c>
      <c r="W614">
        <v>4</v>
      </c>
      <c r="X614">
        <v>2.4</v>
      </c>
      <c r="Y614">
        <v>2</v>
      </c>
      <c r="Z614">
        <v>3.9</v>
      </c>
      <c r="AA614">
        <v>3.7</v>
      </c>
      <c r="AB614">
        <v>2</v>
      </c>
      <c r="AC614">
        <v>3.7</v>
      </c>
      <c r="AD614">
        <v>3.6</v>
      </c>
      <c r="AE614">
        <v>2</v>
      </c>
      <c r="AF614">
        <v>2.6</v>
      </c>
      <c r="AG614">
        <v>2.2000000000000002</v>
      </c>
      <c r="AH614">
        <v>2</v>
      </c>
      <c r="AI614">
        <v>2.4</v>
      </c>
      <c r="AJ614">
        <v>-0.4</v>
      </c>
      <c r="AK614">
        <v>2</v>
      </c>
      <c r="AL614">
        <v>4.4000000000000004</v>
      </c>
      <c r="AM614">
        <v>4</v>
      </c>
      <c r="AN614">
        <v>4.7</v>
      </c>
      <c r="AO614">
        <v>4</v>
      </c>
      <c r="AP614">
        <v>4.2</v>
      </c>
      <c r="AQ614">
        <v>4</v>
      </c>
      <c r="AR614">
        <v>3.3</v>
      </c>
      <c r="AS614">
        <v>4</v>
      </c>
      <c r="AT614">
        <v>-4.7</v>
      </c>
      <c r="AU614">
        <v>-5.0999999999999996</v>
      </c>
      <c r="AV614">
        <v>-5</v>
      </c>
      <c r="AW614">
        <v>-5.5</v>
      </c>
      <c r="AX614">
        <v>-6</v>
      </c>
      <c r="AY614">
        <v>-5</v>
      </c>
      <c r="AZ614">
        <v>9.5</v>
      </c>
      <c r="BA614">
        <v>10</v>
      </c>
      <c r="BB614">
        <v>10.7</v>
      </c>
      <c r="BC614">
        <v>10</v>
      </c>
      <c r="BD614">
        <v>4.3</v>
      </c>
      <c r="BE614">
        <v>4</v>
      </c>
      <c r="BF614">
        <v>11</v>
      </c>
      <c r="BG614">
        <v>10</v>
      </c>
      <c r="BH614">
        <v>11</v>
      </c>
      <c r="BI614">
        <v>10</v>
      </c>
      <c r="BJ614">
        <v>11.1</v>
      </c>
      <c r="BK614">
        <v>9</v>
      </c>
      <c r="BL614">
        <v>19.2</v>
      </c>
      <c r="BM614">
        <v>19</v>
      </c>
      <c r="BN614">
        <v>23.6</v>
      </c>
      <c r="BO614">
        <v>19</v>
      </c>
      <c r="BP614">
        <v>21.2</v>
      </c>
      <c r="BQ614">
        <v>20</v>
      </c>
      <c r="BR614">
        <v>21.6</v>
      </c>
      <c r="BS614">
        <v>25</v>
      </c>
      <c r="BT614">
        <v>21.9</v>
      </c>
      <c r="BU614">
        <v>25</v>
      </c>
      <c r="BV614">
        <v>23.5</v>
      </c>
      <c r="BW614">
        <v>18</v>
      </c>
      <c r="BX614">
        <v>21.5</v>
      </c>
      <c r="BY614">
        <v>20</v>
      </c>
      <c r="BZ614">
        <v>20.2</v>
      </c>
      <c r="CA614">
        <v>20</v>
      </c>
      <c r="CB614">
        <v>10.7</v>
      </c>
      <c r="CC614">
        <v>10</v>
      </c>
      <c r="CD614">
        <v>11.5</v>
      </c>
      <c r="CE614">
        <v>10</v>
      </c>
      <c r="CF614">
        <v>11.2</v>
      </c>
      <c r="CG614">
        <v>9</v>
      </c>
      <c r="CH614">
        <v>11.5</v>
      </c>
      <c r="CI614">
        <v>9</v>
      </c>
    </row>
    <row r="615" spans="1:87" x14ac:dyDescent="0.35">
      <c r="A615" s="1">
        <v>46059.887499999997</v>
      </c>
      <c r="B615">
        <v>-22.8</v>
      </c>
      <c r="C615">
        <v>-20.6</v>
      </c>
      <c r="D615">
        <v>-25</v>
      </c>
      <c r="E615">
        <v>-22.3</v>
      </c>
      <c r="F615">
        <v>-23.5</v>
      </c>
      <c r="G615">
        <v>-25</v>
      </c>
      <c r="H615">
        <v>-19.399999999999999</v>
      </c>
      <c r="I615">
        <v>-24</v>
      </c>
      <c r="J615">
        <v>-25</v>
      </c>
      <c r="K615">
        <v>-20.100000000000001</v>
      </c>
      <c r="L615">
        <v>-18.600000000000001</v>
      </c>
      <c r="M615">
        <v>-25</v>
      </c>
      <c r="N615">
        <v>-16.5</v>
      </c>
      <c r="O615">
        <v>-9</v>
      </c>
      <c r="P615">
        <v>-25</v>
      </c>
      <c r="Q615">
        <v>-16.2</v>
      </c>
      <c r="R615">
        <v>-16</v>
      </c>
      <c r="S615">
        <v>-25</v>
      </c>
      <c r="T615">
        <v>3.8</v>
      </c>
      <c r="U615">
        <v>3.6</v>
      </c>
      <c r="V615">
        <v>2</v>
      </c>
      <c r="W615">
        <v>3.7</v>
      </c>
      <c r="X615">
        <v>1.3</v>
      </c>
      <c r="Y615">
        <v>2</v>
      </c>
      <c r="Z615">
        <v>4</v>
      </c>
      <c r="AA615">
        <v>3.8</v>
      </c>
      <c r="AB615">
        <v>2</v>
      </c>
      <c r="AC615">
        <v>3.8</v>
      </c>
      <c r="AD615">
        <v>3.7</v>
      </c>
      <c r="AE615">
        <v>2</v>
      </c>
      <c r="AF615">
        <v>2.2999999999999998</v>
      </c>
      <c r="AG615">
        <v>1.9</v>
      </c>
      <c r="AH615">
        <v>2</v>
      </c>
      <c r="AI615">
        <v>2.1</v>
      </c>
      <c r="AJ615">
        <v>-0.9</v>
      </c>
      <c r="AK615">
        <v>2</v>
      </c>
      <c r="AL615">
        <v>4.4000000000000004</v>
      </c>
      <c r="AM615">
        <v>4</v>
      </c>
      <c r="AN615">
        <v>4.7</v>
      </c>
      <c r="AO615">
        <v>4</v>
      </c>
      <c r="AP615">
        <v>4.2</v>
      </c>
      <c r="AQ615">
        <v>4</v>
      </c>
      <c r="AR615">
        <v>3.2</v>
      </c>
      <c r="AS615">
        <v>4</v>
      </c>
      <c r="AT615">
        <v>-4.0999999999999996</v>
      </c>
      <c r="AU615">
        <v>-4.4000000000000004</v>
      </c>
      <c r="AV615">
        <v>-5</v>
      </c>
      <c r="AW615">
        <v>-4.8</v>
      </c>
      <c r="AX615">
        <v>-4.7</v>
      </c>
      <c r="AY615">
        <v>-5</v>
      </c>
      <c r="AZ615">
        <v>9.8000000000000007</v>
      </c>
      <c r="BA615">
        <v>10</v>
      </c>
      <c r="BB615">
        <v>10.6</v>
      </c>
      <c r="BC615">
        <v>10</v>
      </c>
      <c r="BD615">
        <v>4</v>
      </c>
      <c r="BE615">
        <v>4</v>
      </c>
      <c r="BF615">
        <v>11.4</v>
      </c>
      <c r="BG615">
        <v>10</v>
      </c>
      <c r="BH615">
        <v>10.9</v>
      </c>
      <c r="BI615">
        <v>10</v>
      </c>
      <c r="BJ615">
        <v>11.1</v>
      </c>
      <c r="BK615">
        <v>9</v>
      </c>
      <c r="BL615">
        <v>19.2</v>
      </c>
      <c r="BM615">
        <v>19</v>
      </c>
      <c r="BN615">
        <v>23.6</v>
      </c>
      <c r="BO615">
        <v>19</v>
      </c>
      <c r="BP615">
        <v>21.2</v>
      </c>
      <c r="BQ615">
        <v>20</v>
      </c>
      <c r="BR615">
        <v>21.6</v>
      </c>
      <c r="BS615">
        <v>25</v>
      </c>
      <c r="BT615">
        <v>21.9</v>
      </c>
      <c r="BU615">
        <v>25</v>
      </c>
      <c r="BV615">
        <v>23.5</v>
      </c>
      <c r="BW615">
        <v>18</v>
      </c>
      <c r="BX615">
        <v>21.5</v>
      </c>
      <c r="BY615">
        <v>20</v>
      </c>
      <c r="BZ615">
        <v>20.399999999999999</v>
      </c>
      <c r="CA615">
        <v>20</v>
      </c>
      <c r="CB615">
        <v>10.6</v>
      </c>
      <c r="CC615">
        <v>10</v>
      </c>
      <c r="CD615">
        <v>11.5</v>
      </c>
      <c r="CE615">
        <v>10</v>
      </c>
      <c r="CF615">
        <v>11.2</v>
      </c>
      <c r="CG615">
        <v>9</v>
      </c>
      <c r="CH615">
        <v>11.4</v>
      </c>
      <c r="CI615">
        <v>9</v>
      </c>
    </row>
    <row r="616" spans="1:87" x14ac:dyDescent="0.35">
      <c r="A616" s="1">
        <v>46059.888194444444</v>
      </c>
      <c r="B616">
        <v>-22.8</v>
      </c>
      <c r="C616">
        <v>-20.6</v>
      </c>
      <c r="D616">
        <v>-25</v>
      </c>
      <c r="E616">
        <v>-22.3</v>
      </c>
      <c r="F616">
        <v>-23.3</v>
      </c>
      <c r="G616">
        <v>-25</v>
      </c>
      <c r="H616">
        <v>-19.399999999999999</v>
      </c>
      <c r="I616">
        <v>-24</v>
      </c>
      <c r="J616">
        <v>-25</v>
      </c>
      <c r="K616">
        <v>-20.100000000000001</v>
      </c>
      <c r="L616">
        <v>-18.600000000000001</v>
      </c>
      <c r="M616">
        <v>-25</v>
      </c>
      <c r="N616">
        <v>-16.7</v>
      </c>
      <c r="O616">
        <v>-9.8000000000000007</v>
      </c>
      <c r="P616">
        <v>-25</v>
      </c>
      <c r="Q616">
        <v>-16.399999999999999</v>
      </c>
      <c r="R616">
        <v>-16.100000000000001</v>
      </c>
      <c r="S616">
        <v>-25</v>
      </c>
      <c r="T616">
        <v>3.5</v>
      </c>
      <c r="U616">
        <v>3.1</v>
      </c>
      <c r="V616">
        <v>2</v>
      </c>
      <c r="W616">
        <v>3.2</v>
      </c>
      <c r="X616">
        <v>0.2</v>
      </c>
      <c r="Y616">
        <v>2</v>
      </c>
      <c r="Z616">
        <v>4.0999999999999996</v>
      </c>
      <c r="AA616">
        <v>3.8</v>
      </c>
      <c r="AB616">
        <v>2</v>
      </c>
      <c r="AC616">
        <v>3.9</v>
      </c>
      <c r="AD616">
        <v>3.8</v>
      </c>
      <c r="AE616">
        <v>2</v>
      </c>
      <c r="AF616">
        <v>2.1</v>
      </c>
      <c r="AG616">
        <v>1.7</v>
      </c>
      <c r="AH616">
        <v>2</v>
      </c>
      <c r="AI616">
        <v>1.9</v>
      </c>
      <c r="AJ616">
        <v>-0.7</v>
      </c>
      <c r="AK616">
        <v>2</v>
      </c>
      <c r="AL616">
        <v>4.5</v>
      </c>
      <c r="AM616">
        <v>4</v>
      </c>
      <c r="AN616">
        <v>4.8</v>
      </c>
      <c r="AO616">
        <v>4</v>
      </c>
      <c r="AP616">
        <v>4.2</v>
      </c>
      <c r="AQ616">
        <v>4</v>
      </c>
      <c r="AR616">
        <v>3.3</v>
      </c>
      <c r="AS616">
        <v>4</v>
      </c>
      <c r="AT616">
        <v>-3.6</v>
      </c>
      <c r="AU616">
        <v>-3.9</v>
      </c>
      <c r="AV616">
        <v>-5</v>
      </c>
      <c r="AW616">
        <v>-4.2</v>
      </c>
      <c r="AX616">
        <v>-4</v>
      </c>
      <c r="AY616">
        <v>-5</v>
      </c>
      <c r="AZ616">
        <v>9.9</v>
      </c>
      <c r="BA616">
        <v>10</v>
      </c>
      <c r="BB616">
        <v>10.4</v>
      </c>
      <c r="BC616">
        <v>10</v>
      </c>
      <c r="BD616">
        <v>3.9</v>
      </c>
      <c r="BE616">
        <v>4</v>
      </c>
      <c r="BF616">
        <v>11.7</v>
      </c>
      <c r="BG616">
        <v>10</v>
      </c>
      <c r="BH616">
        <v>10.8</v>
      </c>
      <c r="BI616">
        <v>10</v>
      </c>
      <c r="BJ616">
        <v>11.1</v>
      </c>
      <c r="BK616">
        <v>9</v>
      </c>
      <c r="BL616">
        <v>19.2</v>
      </c>
      <c r="BM616">
        <v>19</v>
      </c>
      <c r="BN616">
        <v>23.6</v>
      </c>
      <c r="BO616">
        <v>19</v>
      </c>
      <c r="BP616">
        <v>21.2</v>
      </c>
      <c r="BQ616">
        <v>20</v>
      </c>
      <c r="BR616">
        <v>21.6</v>
      </c>
      <c r="BS616">
        <v>25</v>
      </c>
      <c r="BT616">
        <v>21.9</v>
      </c>
      <c r="BU616">
        <v>25</v>
      </c>
      <c r="BV616">
        <v>23.5</v>
      </c>
      <c r="BW616">
        <v>18</v>
      </c>
      <c r="BX616">
        <v>21.6</v>
      </c>
      <c r="BY616">
        <v>20</v>
      </c>
      <c r="BZ616">
        <v>20.5</v>
      </c>
      <c r="CA616">
        <v>20</v>
      </c>
      <c r="CB616">
        <v>10.4</v>
      </c>
      <c r="CC616">
        <v>10</v>
      </c>
      <c r="CD616">
        <v>11.5</v>
      </c>
      <c r="CE616">
        <v>10</v>
      </c>
      <c r="CF616">
        <v>11.3</v>
      </c>
      <c r="CG616">
        <v>9</v>
      </c>
      <c r="CH616">
        <v>11.5</v>
      </c>
      <c r="CI616">
        <v>9</v>
      </c>
    </row>
    <row r="617" spans="1:87" x14ac:dyDescent="0.35">
      <c r="A617" s="1">
        <v>46059.888888888891</v>
      </c>
      <c r="B617">
        <v>-22.8</v>
      </c>
      <c r="C617">
        <v>-20.6</v>
      </c>
      <c r="D617">
        <v>-25</v>
      </c>
      <c r="E617">
        <v>-22.3</v>
      </c>
      <c r="F617">
        <v>-23.1</v>
      </c>
      <c r="G617">
        <v>-25</v>
      </c>
      <c r="H617">
        <v>-19.399999999999999</v>
      </c>
      <c r="I617">
        <v>-24.2</v>
      </c>
      <c r="J617">
        <v>-25</v>
      </c>
      <c r="K617">
        <v>-20.2</v>
      </c>
      <c r="L617">
        <v>-18.7</v>
      </c>
      <c r="M617">
        <v>-25</v>
      </c>
      <c r="N617">
        <v>-16.899999999999999</v>
      </c>
      <c r="O617">
        <v>-10.5</v>
      </c>
      <c r="P617">
        <v>-25</v>
      </c>
      <c r="Q617">
        <v>-16.5</v>
      </c>
      <c r="R617">
        <v>-16.3</v>
      </c>
      <c r="S617">
        <v>-25</v>
      </c>
      <c r="T617">
        <v>3.2</v>
      </c>
      <c r="U617">
        <v>2.7</v>
      </c>
      <c r="V617">
        <v>2</v>
      </c>
      <c r="W617">
        <v>2.9</v>
      </c>
      <c r="X617">
        <v>0.6</v>
      </c>
      <c r="Y617">
        <v>2</v>
      </c>
      <c r="Z617">
        <v>4.0999999999999996</v>
      </c>
      <c r="AA617">
        <v>3.9</v>
      </c>
      <c r="AB617">
        <v>2</v>
      </c>
      <c r="AC617">
        <v>3.9</v>
      </c>
      <c r="AD617">
        <v>3.9</v>
      </c>
      <c r="AE617">
        <v>2</v>
      </c>
      <c r="AF617">
        <v>2</v>
      </c>
      <c r="AG617">
        <v>1.6</v>
      </c>
      <c r="AH617">
        <v>2</v>
      </c>
      <c r="AI617">
        <v>1.9</v>
      </c>
      <c r="AJ617">
        <v>0.7</v>
      </c>
      <c r="AK617">
        <v>2</v>
      </c>
      <c r="AL617">
        <v>4.5</v>
      </c>
      <c r="AM617">
        <v>4</v>
      </c>
      <c r="AN617">
        <v>4.9000000000000004</v>
      </c>
      <c r="AO617">
        <v>4</v>
      </c>
      <c r="AP617">
        <v>4.2</v>
      </c>
      <c r="AQ617">
        <v>4</v>
      </c>
      <c r="AR617">
        <v>3.7</v>
      </c>
      <c r="AS617">
        <v>4</v>
      </c>
      <c r="AT617">
        <v>-3.3</v>
      </c>
      <c r="AU617">
        <v>-3.5</v>
      </c>
      <c r="AV617">
        <v>-5</v>
      </c>
      <c r="AW617">
        <v>-3.6</v>
      </c>
      <c r="AX617">
        <v>-3.4</v>
      </c>
      <c r="AY617">
        <v>-5</v>
      </c>
      <c r="AZ617">
        <v>10.1</v>
      </c>
      <c r="BA617">
        <v>10</v>
      </c>
      <c r="BB617">
        <v>10.199999999999999</v>
      </c>
      <c r="BC617">
        <v>10</v>
      </c>
      <c r="BD617">
        <v>3.9</v>
      </c>
      <c r="BE617">
        <v>4</v>
      </c>
      <c r="BF617">
        <v>12</v>
      </c>
      <c r="BG617">
        <v>10</v>
      </c>
      <c r="BH617">
        <v>10.8</v>
      </c>
      <c r="BI617">
        <v>10</v>
      </c>
      <c r="BJ617">
        <v>11.1</v>
      </c>
      <c r="BK617">
        <v>9</v>
      </c>
      <c r="BL617">
        <v>19.2</v>
      </c>
      <c r="BM617">
        <v>19</v>
      </c>
      <c r="BN617">
        <v>23.6</v>
      </c>
      <c r="BO617">
        <v>19</v>
      </c>
      <c r="BP617">
        <v>21.2</v>
      </c>
      <c r="BQ617">
        <v>20</v>
      </c>
      <c r="BR617">
        <v>21.6</v>
      </c>
      <c r="BS617">
        <v>25</v>
      </c>
      <c r="BT617">
        <v>21.9</v>
      </c>
      <c r="BU617">
        <v>25</v>
      </c>
      <c r="BV617">
        <v>23.5</v>
      </c>
      <c r="BW617">
        <v>18</v>
      </c>
      <c r="BX617">
        <v>21.6</v>
      </c>
      <c r="BY617">
        <v>20</v>
      </c>
      <c r="BZ617">
        <v>20.6</v>
      </c>
      <c r="CA617">
        <v>20</v>
      </c>
      <c r="CB617">
        <v>10.3</v>
      </c>
      <c r="CC617">
        <v>10</v>
      </c>
      <c r="CD617">
        <v>11.5</v>
      </c>
      <c r="CE617">
        <v>10</v>
      </c>
      <c r="CF617">
        <v>11.2</v>
      </c>
      <c r="CG617">
        <v>9</v>
      </c>
      <c r="CH617">
        <v>11.5</v>
      </c>
      <c r="CI617">
        <v>9</v>
      </c>
    </row>
    <row r="618" spans="1:87" x14ac:dyDescent="0.35">
      <c r="A618" s="1">
        <v>46059.88958333333</v>
      </c>
      <c r="B618">
        <v>-22.8</v>
      </c>
      <c r="C618">
        <v>-20.6</v>
      </c>
      <c r="D618">
        <v>-25</v>
      </c>
      <c r="E618">
        <v>-22.3</v>
      </c>
      <c r="F618">
        <v>-23</v>
      </c>
      <c r="G618">
        <v>-25</v>
      </c>
      <c r="H618">
        <v>-19.5</v>
      </c>
      <c r="I618">
        <v>-24.2</v>
      </c>
      <c r="J618">
        <v>-25</v>
      </c>
      <c r="K618">
        <v>-20.2</v>
      </c>
      <c r="L618">
        <v>-18.7</v>
      </c>
      <c r="M618">
        <v>-25</v>
      </c>
      <c r="N618">
        <v>-17</v>
      </c>
      <c r="O618">
        <v>-11.1</v>
      </c>
      <c r="P618">
        <v>-25</v>
      </c>
      <c r="Q618">
        <v>-16.600000000000001</v>
      </c>
      <c r="R618">
        <v>-16.399999999999999</v>
      </c>
      <c r="S618">
        <v>-25</v>
      </c>
      <c r="T618">
        <v>3.1</v>
      </c>
      <c r="U618">
        <v>2.7</v>
      </c>
      <c r="V618">
        <v>2</v>
      </c>
      <c r="W618">
        <v>2.9</v>
      </c>
      <c r="X618">
        <v>1.3</v>
      </c>
      <c r="Y618">
        <v>2</v>
      </c>
      <c r="Z618">
        <v>4.2</v>
      </c>
      <c r="AA618">
        <v>3.9</v>
      </c>
      <c r="AB618">
        <v>2</v>
      </c>
      <c r="AC618">
        <v>4</v>
      </c>
      <c r="AD618">
        <v>3.9</v>
      </c>
      <c r="AE618">
        <v>2</v>
      </c>
      <c r="AF618">
        <v>2.1</v>
      </c>
      <c r="AG618">
        <v>1.9</v>
      </c>
      <c r="AH618">
        <v>2</v>
      </c>
      <c r="AI618">
        <v>2</v>
      </c>
      <c r="AJ618">
        <v>1.3</v>
      </c>
      <c r="AK618">
        <v>2</v>
      </c>
      <c r="AL618">
        <v>4.5999999999999996</v>
      </c>
      <c r="AM618">
        <v>4</v>
      </c>
      <c r="AN618">
        <v>4.9000000000000004</v>
      </c>
      <c r="AO618">
        <v>4</v>
      </c>
      <c r="AP618">
        <v>4.2</v>
      </c>
      <c r="AQ618">
        <v>4</v>
      </c>
      <c r="AR618">
        <v>4</v>
      </c>
      <c r="AS618">
        <v>4</v>
      </c>
      <c r="AT618">
        <v>-2.9</v>
      </c>
      <c r="AU618">
        <v>-3.2</v>
      </c>
      <c r="AV618">
        <v>-5</v>
      </c>
      <c r="AW618">
        <v>-3.1</v>
      </c>
      <c r="AX618">
        <v>-2.9</v>
      </c>
      <c r="AY618">
        <v>-5</v>
      </c>
      <c r="AZ618">
        <v>10.199999999999999</v>
      </c>
      <c r="BA618">
        <v>10</v>
      </c>
      <c r="BB618">
        <v>10.1</v>
      </c>
      <c r="BC618">
        <v>10</v>
      </c>
      <c r="BD618">
        <v>4.0999999999999996</v>
      </c>
      <c r="BE618">
        <v>4</v>
      </c>
      <c r="BF618">
        <v>11.5</v>
      </c>
      <c r="BG618">
        <v>10</v>
      </c>
      <c r="BH618">
        <v>10.8</v>
      </c>
      <c r="BI618">
        <v>10</v>
      </c>
      <c r="BJ618">
        <v>11.1</v>
      </c>
      <c r="BK618">
        <v>9</v>
      </c>
      <c r="BL618">
        <v>19.3</v>
      </c>
      <c r="BM618">
        <v>19</v>
      </c>
      <c r="BN618">
        <v>23.6</v>
      </c>
      <c r="BO618">
        <v>19</v>
      </c>
      <c r="BP618">
        <v>21.2</v>
      </c>
      <c r="BQ618">
        <v>20</v>
      </c>
      <c r="BR618">
        <v>21.6</v>
      </c>
      <c r="BS618">
        <v>25</v>
      </c>
      <c r="BT618">
        <v>21.9</v>
      </c>
      <c r="BU618">
        <v>25</v>
      </c>
      <c r="BV618">
        <v>23.5</v>
      </c>
      <c r="BW618">
        <v>18</v>
      </c>
      <c r="BX618">
        <v>21.6</v>
      </c>
      <c r="BY618">
        <v>20</v>
      </c>
      <c r="BZ618">
        <v>20.7</v>
      </c>
      <c r="CA618">
        <v>20</v>
      </c>
      <c r="CB618">
        <v>10.1</v>
      </c>
      <c r="CC618">
        <v>10</v>
      </c>
      <c r="CD618">
        <v>11.5</v>
      </c>
      <c r="CE618">
        <v>10</v>
      </c>
      <c r="CF618">
        <v>11.1</v>
      </c>
      <c r="CG618">
        <v>9</v>
      </c>
      <c r="CH618">
        <v>11.3</v>
      </c>
      <c r="CI618">
        <v>9</v>
      </c>
    </row>
    <row r="619" spans="1:87" x14ac:dyDescent="0.35">
      <c r="A619" s="1">
        <v>46059.890277777777</v>
      </c>
      <c r="B619">
        <v>-22.8</v>
      </c>
      <c r="C619">
        <v>-20.6</v>
      </c>
      <c r="D619">
        <v>-25</v>
      </c>
      <c r="E619">
        <v>-22.3</v>
      </c>
      <c r="F619">
        <v>-24.1</v>
      </c>
      <c r="G619">
        <v>-25</v>
      </c>
      <c r="H619">
        <v>-19.5</v>
      </c>
      <c r="I619">
        <v>-24.1</v>
      </c>
      <c r="J619">
        <v>-25</v>
      </c>
      <c r="K619">
        <v>-20.2</v>
      </c>
      <c r="L619">
        <v>-18.8</v>
      </c>
      <c r="M619">
        <v>-25</v>
      </c>
      <c r="N619">
        <v>-17.100000000000001</v>
      </c>
      <c r="O619">
        <v>-11.5</v>
      </c>
      <c r="P619">
        <v>-25</v>
      </c>
      <c r="Q619">
        <v>-16.8</v>
      </c>
      <c r="R619">
        <v>-16.5</v>
      </c>
      <c r="S619">
        <v>-25</v>
      </c>
      <c r="T619">
        <v>3</v>
      </c>
      <c r="U619">
        <v>2.7</v>
      </c>
      <c r="V619">
        <v>2</v>
      </c>
      <c r="W619">
        <v>2.8</v>
      </c>
      <c r="X619">
        <v>-0.1</v>
      </c>
      <c r="Y619">
        <v>2</v>
      </c>
      <c r="Z619">
        <v>4.2</v>
      </c>
      <c r="AA619">
        <v>3.9</v>
      </c>
      <c r="AB619">
        <v>2</v>
      </c>
      <c r="AC619">
        <v>4</v>
      </c>
      <c r="AD619">
        <v>2.9</v>
      </c>
      <c r="AE619">
        <v>2</v>
      </c>
      <c r="AF619">
        <v>2.4</v>
      </c>
      <c r="AG619">
        <v>2.2000000000000002</v>
      </c>
      <c r="AH619">
        <v>2</v>
      </c>
      <c r="AI619">
        <v>2.2999999999999998</v>
      </c>
      <c r="AJ619">
        <v>1.7</v>
      </c>
      <c r="AK619">
        <v>2</v>
      </c>
      <c r="AL619">
        <v>4.7</v>
      </c>
      <c r="AM619">
        <v>4</v>
      </c>
      <c r="AN619">
        <v>5</v>
      </c>
      <c r="AO619">
        <v>4</v>
      </c>
      <c r="AP619">
        <v>4.2</v>
      </c>
      <c r="AQ619">
        <v>4</v>
      </c>
      <c r="AR619">
        <v>4.3</v>
      </c>
      <c r="AS619">
        <v>4</v>
      </c>
      <c r="AT619">
        <v>-2.9</v>
      </c>
      <c r="AU619">
        <v>-4.5</v>
      </c>
      <c r="AV619">
        <v>-5</v>
      </c>
      <c r="AW619">
        <v>-2.8</v>
      </c>
      <c r="AX619">
        <v>-2.7</v>
      </c>
      <c r="AY619">
        <v>-5</v>
      </c>
      <c r="AZ619">
        <v>10.4</v>
      </c>
      <c r="BA619">
        <v>10</v>
      </c>
      <c r="BB619">
        <v>10</v>
      </c>
      <c r="BC619">
        <v>10</v>
      </c>
      <c r="BD619">
        <v>4.4000000000000004</v>
      </c>
      <c r="BE619">
        <v>4</v>
      </c>
      <c r="BF619">
        <v>10.6</v>
      </c>
      <c r="BG619">
        <v>10</v>
      </c>
      <c r="BH619">
        <v>10.7</v>
      </c>
      <c r="BI619">
        <v>10</v>
      </c>
      <c r="BJ619">
        <v>11</v>
      </c>
      <c r="BK619">
        <v>9</v>
      </c>
      <c r="BL619">
        <v>19.3</v>
      </c>
      <c r="BM619">
        <v>19</v>
      </c>
      <c r="BN619">
        <v>23.6</v>
      </c>
      <c r="BO619">
        <v>19</v>
      </c>
      <c r="BP619">
        <v>21.2</v>
      </c>
      <c r="BQ619">
        <v>20</v>
      </c>
      <c r="BR619">
        <v>21.6</v>
      </c>
      <c r="BS619">
        <v>25</v>
      </c>
      <c r="BT619">
        <v>21.9</v>
      </c>
      <c r="BU619">
        <v>25</v>
      </c>
      <c r="BV619">
        <v>23.5</v>
      </c>
      <c r="BW619">
        <v>18</v>
      </c>
      <c r="BX619">
        <v>21.6</v>
      </c>
      <c r="BY619">
        <v>20</v>
      </c>
      <c r="BZ619">
        <v>20.8</v>
      </c>
      <c r="CA619">
        <v>20</v>
      </c>
      <c r="CB619">
        <v>10</v>
      </c>
      <c r="CC619">
        <v>10</v>
      </c>
      <c r="CD619">
        <v>11.5</v>
      </c>
      <c r="CE619">
        <v>10</v>
      </c>
      <c r="CF619">
        <v>11</v>
      </c>
      <c r="CG619">
        <v>9</v>
      </c>
      <c r="CH619">
        <v>11.3</v>
      </c>
      <c r="CI619">
        <v>9</v>
      </c>
    </row>
    <row r="620" spans="1:87" x14ac:dyDescent="0.35">
      <c r="A620" s="1">
        <v>46059.890972222223</v>
      </c>
      <c r="B620">
        <v>-22.8</v>
      </c>
      <c r="C620">
        <v>-20.6</v>
      </c>
      <c r="D620">
        <v>-25</v>
      </c>
      <c r="E620">
        <v>-22.3</v>
      </c>
      <c r="F620">
        <v>-24.2</v>
      </c>
      <c r="G620">
        <v>-25</v>
      </c>
      <c r="H620">
        <v>-19.5</v>
      </c>
      <c r="I620">
        <v>-24</v>
      </c>
      <c r="J620">
        <v>-25</v>
      </c>
      <c r="K620">
        <v>-20.2</v>
      </c>
      <c r="L620">
        <v>-18.8</v>
      </c>
      <c r="M620">
        <v>-25</v>
      </c>
      <c r="N620">
        <v>-17.2</v>
      </c>
      <c r="O620">
        <v>-12.1</v>
      </c>
      <c r="P620">
        <v>-25</v>
      </c>
      <c r="Q620">
        <v>-16.8</v>
      </c>
      <c r="R620">
        <v>-16.600000000000001</v>
      </c>
      <c r="S620">
        <v>-25</v>
      </c>
      <c r="T620">
        <v>2.9</v>
      </c>
      <c r="U620">
        <v>2.4</v>
      </c>
      <c r="V620">
        <v>2</v>
      </c>
      <c r="W620">
        <v>2.5</v>
      </c>
      <c r="X620">
        <v>-0.8</v>
      </c>
      <c r="Y620">
        <v>2</v>
      </c>
      <c r="Z620">
        <v>4.0999999999999996</v>
      </c>
      <c r="AA620">
        <v>3.5</v>
      </c>
      <c r="AB620">
        <v>2</v>
      </c>
      <c r="AC620">
        <v>3.6</v>
      </c>
      <c r="AD620">
        <v>1.9</v>
      </c>
      <c r="AE620">
        <v>2</v>
      </c>
      <c r="AF620">
        <v>2.5</v>
      </c>
      <c r="AG620">
        <v>2.4</v>
      </c>
      <c r="AH620">
        <v>2</v>
      </c>
      <c r="AI620">
        <v>2.4</v>
      </c>
      <c r="AJ620">
        <v>2</v>
      </c>
      <c r="AK620">
        <v>2</v>
      </c>
      <c r="AL620">
        <v>4.7</v>
      </c>
      <c r="AM620">
        <v>4</v>
      </c>
      <c r="AN620">
        <v>5</v>
      </c>
      <c r="AO620">
        <v>4</v>
      </c>
      <c r="AP620">
        <v>4.2</v>
      </c>
      <c r="AQ620">
        <v>4</v>
      </c>
      <c r="AR620">
        <v>4.7</v>
      </c>
      <c r="AS620">
        <v>4</v>
      </c>
      <c r="AT620">
        <v>-3.3</v>
      </c>
      <c r="AU620">
        <v>-5.3</v>
      </c>
      <c r="AV620">
        <v>-5</v>
      </c>
      <c r="AW620">
        <v>-2.6</v>
      </c>
      <c r="AX620">
        <v>-2.4</v>
      </c>
      <c r="AY620">
        <v>-5</v>
      </c>
      <c r="AZ620">
        <v>10.5</v>
      </c>
      <c r="BA620">
        <v>10</v>
      </c>
      <c r="BB620">
        <v>10</v>
      </c>
      <c r="BC620">
        <v>10</v>
      </c>
      <c r="BD620">
        <v>4.7</v>
      </c>
      <c r="BE620">
        <v>4</v>
      </c>
      <c r="BF620">
        <v>9.6</v>
      </c>
      <c r="BG620">
        <v>10</v>
      </c>
      <c r="BH620">
        <v>10.7</v>
      </c>
      <c r="BI620">
        <v>10</v>
      </c>
      <c r="BJ620">
        <v>10.8</v>
      </c>
      <c r="BK620">
        <v>9</v>
      </c>
      <c r="BL620">
        <v>19.3</v>
      </c>
      <c r="BM620">
        <v>19</v>
      </c>
      <c r="BN620">
        <v>23.6</v>
      </c>
      <c r="BO620">
        <v>19</v>
      </c>
      <c r="BP620">
        <v>21.2</v>
      </c>
      <c r="BQ620">
        <v>20</v>
      </c>
      <c r="BR620">
        <v>21.6</v>
      </c>
      <c r="BS620">
        <v>25</v>
      </c>
      <c r="BT620">
        <v>21.9</v>
      </c>
      <c r="BU620">
        <v>25</v>
      </c>
      <c r="BV620">
        <v>23.5</v>
      </c>
      <c r="BW620">
        <v>18</v>
      </c>
      <c r="BX620">
        <v>21.7</v>
      </c>
      <c r="BY620">
        <v>20</v>
      </c>
      <c r="BZ620">
        <v>20.9</v>
      </c>
      <c r="CA620">
        <v>20</v>
      </c>
      <c r="CB620">
        <v>10.1</v>
      </c>
      <c r="CC620">
        <v>10</v>
      </c>
      <c r="CD620">
        <v>11.5</v>
      </c>
      <c r="CE620">
        <v>10</v>
      </c>
      <c r="CF620">
        <v>11</v>
      </c>
      <c r="CG620">
        <v>9</v>
      </c>
      <c r="CH620">
        <v>11.2</v>
      </c>
      <c r="CI620">
        <v>9</v>
      </c>
    </row>
    <row r="621" spans="1:87" x14ac:dyDescent="0.35">
      <c r="A621" s="1">
        <v>46059.89166666667</v>
      </c>
      <c r="B621">
        <v>-22.8</v>
      </c>
      <c r="C621">
        <v>-20.6</v>
      </c>
      <c r="D621">
        <v>-25</v>
      </c>
      <c r="E621">
        <v>-22.3</v>
      </c>
      <c r="F621">
        <v>-23.4</v>
      </c>
      <c r="G621">
        <v>-25</v>
      </c>
      <c r="H621">
        <v>-19.600000000000001</v>
      </c>
      <c r="I621">
        <v>-24.2</v>
      </c>
      <c r="J621">
        <v>-25</v>
      </c>
      <c r="K621">
        <v>-20.2</v>
      </c>
      <c r="L621">
        <v>-18.899999999999999</v>
      </c>
      <c r="M621">
        <v>-25</v>
      </c>
      <c r="N621">
        <v>-17.399999999999999</v>
      </c>
      <c r="O621">
        <v>-12.7</v>
      </c>
      <c r="P621">
        <v>-25</v>
      </c>
      <c r="Q621">
        <v>-17</v>
      </c>
      <c r="R621">
        <v>-16.7</v>
      </c>
      <c r="S621">
        <v>-25</v>
      </c>
      <c r="T621">
        <v>2.6</v>
      </c>
      <c r="U621">
        <v>2.1</v>
      </c>
      <c r="V621">
        <v>2</v>
      </c>
      <c r="W621">
        <v>2.2999999999999998</v>
      </c>
      <c r="X621">
        <v>-1.2</v>
      </c>
      <c r="Y621">
        <v>2</v>
      </c>
      <c r="Z621">
        <v>3.8</v>
      </c>
      <c r="AA621">
        <v>3.1</v>
      </c>
      <c r="AB621">
        <v>2</v>
      </c>
      <c r="AC621">
        <v>3.3</v>
      </c>
      <c r="AD621">
        <v>1.2</v>
      </c>
      <c r="AE621">
        <v>2</v>
      </c>
      <c r="AF621">
        <v>2.7</v>
      </c>
      <c r="AG621">
        <v>2.5</v>
      </c>
      <c r="AH621">
        <v>2</v>
      </c>
      <c r="AI621">
        <v>2.6</v>
      </c>
      <c r="AJ621">
        <v>2.2000000000000002</v>
      </c>
      <c r="AK621">
        <v>2</v>
      </c>
      <c r="AL621">
        <v>4.7</v>
      </c>
      <c r="AM621">
        <v>4</v>
      </c>
      <c r="AN621">
        <v>5.0999999999999996</v>
      </c>
      <c r="AO621">
        <v>4</v>
      </c>
      <c r="AP621">
        <v>4.2</v>
      </c>
      <c r="AQ621">
        <v>4</v>
      </c>
      <c r="AR621">
        <v>5</v>
      </c>
      <c r="AS621">
        <v>4</v>
      </c>
      <c r="AT621">
        <v>-3.7</v>
      </c>
      <c r="AU621">
        <v>-5.5</v>
      </c>
      <c r="AV621">
        <v>-5</v>
      </c>
      <c r="AW621">
        <v>-2.5</v>
      </c>
      <c r="AX621">
        <v>-2.2999999999999998</v>
      </c>
      <c r="AY621">
        <v>-5</v>
      </c>
      <c r="AZ621">
        <v>10.6</v>
      </c>
      <c r="BA621">
        <v>10</v>
      </c>
      <c r="BB621">
        <v>10</v>
      </c>
      <c r="BC621">
        <v>10</v>
      </c>
      <c r="BD621">
        <v>4.9000000000000004</v>
      </c>
      <c r="BE621">
        <v>4</v>
      </c>
      <c r="BF621">
        <v>9.5</v>
      </c>
      <c r="BG621">
        <v>10</v>
      </c>
      <c r="BH621">
        <v>10.7</v>
      </c>
      <c r="BI621">
        <v>10</v>
      </c>
      <c r="BJ621">
        <v>10.8</v>
      </c>
      <c r="BK621">
        <v>9</v>
      </c>
      <c r="BL621">
        <v>19.3</v>
      </c>
      <c r="BM621">
        <v>19</v>
      </c>
      <c r="BN621">
        <v>23.6</v>
      </c>
      <c r="BO621">
        <v>19</v>
      </c>
      <c r="BP621">
        <v>21.3</v>
      </c>
      <c r="BQ621">
        <v>20</v>
      </c>
      <c r="BR621">
        <v>21.6</v>
      </c>
      <c r="BS621">
        <v>25</v>
      </c>
      <c r="BT621">
        <v>21.9</v>
      </c>
      <c r="BU621">
        <v>25</v>
      </c>
      <c r="BV621">
        <v>23.5</v>
      </c>
      <c r="BW621">
        <v>18</v>
      </c>
      <c r="BX621">
        <v>21.7</v>
      </c>
      <c r="BY621">
        <v>20</v>
      </c>
      <c r="BZ621">
        <v>20.9</v>
      </c>
      <c r="CA621">
        <v>20</v>
      </c>
      <c r="CB621">
        <v>10.5</v>
      </c>
      <c r="CC621">
        <v>10</v>
      </c>
      <c r="CD621">
        <v>11.5</v>
      </c>
      <c r="CE621">
        <v>10</v>
      </c>
      <c r="CF621">
        <v>10.8</v>
      </c>
      <c r="CG621">
        <v>9</v>
      </c>
      <c r="CH621">
        <v>11</v>
      </c>
      <c r="CI621">
        <v>9</v>
      </c>
    </row>
    <row r="622" spans="1:87" x14ac:dyDescent="0.35">
      <c r="A622" s="1">
        <v>46059.892361111109</v>
      </c>
      <c r="B622">
        <v>-22.8</v>
      </c>
      <c r="C622">
        <v>-20.6</v>
      </c>
      <c r="D622">
        <v>-25</v>
      </c>
      <c r="E622">
        <v>-22.3</v>
      </c>
      <c r="F622">
        <v>-23.1</v>
      </c>
      <c r="G622">
        <v>-25</v>
      </c>
      <c r="H622">
        <v>-19.600000000000001</v>
      </c>
      <c r="I622">
        <v>-24.2</v>
      </c>
      <c r="J622">
        <v>-25</v>
      </c>
      <c r="K622">
        <v>-20.3</v>
      </c>
      <c r="L622">
        <v>-18.899999999999999</v>
      </c>
      <c r="M622">
        <v>-25</v>
      </c>
      <c r="N622">
        <v>-17.5</v>
      </c>
      <c r="O622">
        <v>-13.2</v>
      </c>
      <c r="P622">
        <v>-25</v>
      </c>
      <c r="Q622">
        <v>-17.100000000000001</v>
      </c>
      <c r="R622">
        <v>-16.8</v>
      </c>
      <c r="S622">
        <v>-25</v>
      </c>
      <c r="T622">
        <v>2.5</v>
      </c>
      <c r="U622">
        <v>1.9</v>
      </c>
      <c r="V622">
        <v>2</v>
      </c>
      <c r="W622">
        <v>2.1</v>
      </c>
      <c r="X622">
        <v>-0.2</v>
      </c>
      <c r="Y622">
        <v>2</v>
      </c>
      <c r="Z622">
        <v>3.5</v>
      </c>
      <c r="AA622">
        <v>2.9</v>
      </c>
      <c r="AB622">
        <v>2</v>
      </c>
      <c r="AC622">
        <v>3.1</v>
      </c>
      <c r="AD622">
        <v>1.7</v>
      </c>
      <c r="AE622">
        <v>2</v>
      </c>
      <c r="AF622">
        <v>2.8</v>
      </c>
      <c r="AG622">
        <v>2.7</v>
      </c>
      <c r="AH622">
        <v>2</v>
      </c>
      <c r="AI622">
        <v>2.7</v>
      </c>
      <c r="AJ622">
        <v>2.4</v>
      </c>
      <c r="AK622">
        <v>2</v>
      </c>
      <c r="AL622">
        <v>4.8</v>
      </c>
      <c r="AM622">
        <v>4</v>
      </c>
      <c r="AN622">
        <v>5.0999999999999996</v>
      </c>
      <c r="AO622">
        <v>4</v>
      </c>
      <c r="AP622">
        <v>6.6</v>
      </c>
      <c r="AQ622">
        <v>4</v>
      </c>
      <c r="AR622">
        <v>5.2</v>
      </c>
      <c r="AS622">
        <v>4</v>
      </c>
      <c r="AT622">
        <v>-3.9</v>
      </c>
      <c r="AU622">
        <v>-5.9</v>
      </c>
      <c r="AV622">
        <v>-5</v>
      </c>
      <c r="AW622">
        <v>-2.7</v>
      </c>
      <c r="AX622">
        <v>-3.8</v>
      </c>
      <c r="AY622">
        <v>-5</v>
      </c>
      <c r="AZ622">
        <v>10.7</v>
      </c>
      <c r="BA622">
        <v>10</v>
      </c>
      <c r="BB622">
        <v>10.199999999999999</v>
      </c>
      <c r="BC622">
        <v>10</v>
      </c>
      <c r="BD622">
        <v>5.0999999999999996</v>
      </c>
      <c r="BE622">
        <v>4</v>
      </c>
      <c r="BF622">
        <v>9.6</v>
      </c>
      <c r="BG622">
        <v>10</v>
      </c>
      <c r="BH622">
        <v>10.7</v>
      </c>
      <c r="BI622">
        <v>10</v>
      </c>
      <c r="BJ622">
        <v>10.8</v>
      </c>
      <c r="BK622">
        <v>9</v>
      </c>
      <c r="BL622">
        <v>19.399999999999999</v>
      </c>
      <c r="BM622">
        <v>19</v>
      </c>
      <c r="BN622">
        <v>23.6</v>
      </c>
      <c r="BO622">
        <v>19</v>
      </c>
      <c r="BP622">
        <v>21.3</v>
      </c>
      <c r="BQ622">
        <v>20</v>
      </c>
      <c r="BR622">
        <v>21.6</v>
      </c>
      <c r="BS622">
        <v>25</v>
      </c>
      <c r="BT622">
        <v>21.9</v>
      </c>
      <c r="BU622">
        <v>25</v>
      </c>
      <c r="BV622">
        <v>23.5</v>
      </c>
      <c r="BW622">
        <v>18</v>
      </c>
      <c r="BX622">
        <v>21.7</v>
      </c>
      <c r="BY622">
        <v>20</v>
      </c>
      <c r="BZ622">
        <v>21</v>
      </c>
      <c r="CA622">
        <v>20</v>
      </c>
      <c r="CB622">
        <v>11</v>
      </c>
      <c r="CC622">
        <v>10</v>
      </c>
      <c r="CD622">
        <v>11.5</v>
      </c>
      <c r="CE622">
        <v>10</v>
      </c>
      <c r="CF622">
        <v>10.8</v>
      </c>
      <c r="CG622">
        <v>9</v>
      </c>
      <c r="CH622">
        <v>11</v>
      </c>
      <c r="CI622">
        <v>9</v>
      </c>
    </row>
    <row r="623" spans="1:87" x14ac:dyDescent="0.35">
      <c r="A623" s="1">
        <v>46059.893055555556</v>
      </c>
      <c r="B623">
        <v>-22.8</v>
      </c>
      <c r="C623">
        <v>-20.6</v>
      </c>
      <c r="D623">
        <v>-25</v>
      </c>
      <c r="E623">
        <v>-22.3</v>
      </c>
      <c r="F623">
        <v>-22.9</v>
      </c>
      <c r="G623">
        <v>-25</v>
      </c>
      <c r="H623">
        <v>-19.600000000000001</v>
      </c>
      <c r="I623">
        <v>-24.4</v>
      </c>
      <c r="J623">
        <v>-25</v>
      </c>
      <c r="K623">
        <v>-20.399999999999999</v>
      </c>
      <c r="L623">
        <v>-19</v>
      </c>
      <c r="M623">
        <v>-25</v>
      </c>
      <c r="N623">
        <v>-17.600000000000001</v>
      </c>
      <c r="O623">
        <v>-13.6</v>
      </c>
      <c r="P623">
        <v>-25</v>
      </c>
      <c r="Q623">
        <v>-17.2</v>
      </c>
      <c r="R623">
        <v>-17</v>
      </c>
      <c r="S623">
        <v>-25</v>
      </c>
      <c r="T623">
        <v>2.4</v>
      </c>
      <c r="U623">
        <v>1.9</v>
      </c>
      <c r="V623">
        <v>2</v>
      </c>
      <c r="W623">
        <v>2.1</v>
      </c>
      <c r="X623">
        <v>0.6</v>
      </c>
      <c r="Y623">
        <v>2</v>
      </c>
      <c r="Z623">
        <v>3.5</v>
      </c>
      <c r="AA623">
        <v>2.9</v>
      </c>
      <c r="AB623">
        <v>2</v>
      </c>
      <c r="AC623">
        <v>3.1</v>
      </c>
      <c r="AD623">
        <v>2.1</v>
      </c>
      <c r="AE623">
        <v>2</v>
      </c>
      <c r="AF623">
        <v>2.8</v>
      </c>
      <c r="AG623">
        <v>2.7</v>
      </c>
      <c r="AH623">
        <v>2</v>
      </c>
      <c r="AI623">
        <v>2.9</v>
      </c>
      <c r="AJ623">
        <v>2.7</v>
      </c>
      <c r="AK623">
        <v>2</v>
      </c>
      <c r="AL623">
        <v>4.9000000000000004</v>
      </c>
      <c r="AM623">
        <v>4</v>
      </c>
      <c r="AN623">
        <v>5.2</v>
      </c>
      <c r="AO623">
        <v>4</v>
      </c>
      <c r="AP623">
        <v>5.5</v>
      </c>
      <c r="AQ623">
        <v>4</v>
      </c>
      <c r="AR623">
        <v>5.4</v>
      </c>
      <c r="AS623">
        <v>4</v>
      </c>
      <c r="AT623">
        <v>-4.2</v>
      </c>
      <c r="AU623">
        <v>-6.3</v>
      </c>
      <c r="AV623">
        <v>-5</v>
      </c>
      <c r="AW623">
        <v>-3.3</v>
      </c>
      <c r="AX623">
        <v>-5</v>
      </c>
      <c r="AY623">
        <v>-5</v>
      </c>
      <c r="AZ623">
        <v>10.9</v>
      </c>
      <c r="BA623">
        <v>10</v>
      </c>
      <c r="BB623">
        <v>10.5</v>
      </c>
      <c r="BC623">
        <v>10</v>
      </c>
      <c r="BD623">
        <v>5.3</v>
      </c>
      <c r="BE623">
        <v>4</v>
      </c>
      <c r="BF623">
        <v>10.1</v>
      </c>
      <c r="BG623">
        <v>10</v>
      </c>
      <c r="BH623">
        <v>10.9</v>
      </c>
      <c r="BI623">
        <v>10</v>
      </c>
      <c r="BJ623">
        <v>10.8</v>
      </c>
      <c r="BK623">
        <v>9</v>
      </c>
      <c r="BL623">
        <v>19.399999999999999</v>
      </c>
      <c r="BM623">
        <v>19</v>
      </c>
      <c r="BN623">
        <v>23.6</v>
      </c>
      <c r="BO623">
        <v>19</v>
      </c>
      <c r="BP623">
        <v>21.3</v>
      </c>
      <c r="BQ623">
        <v>20</v>
      </c>
      <c r="BR623">
        <v>21.6</v>
      </c>
      <c r="BS623">
        <v>25</v>
      </c>
      <c r="BT623">
        <v>21.9</v>
      </c>
      <c r="BU623">
        <v>25</v>
      </c>
      <c r="BV623">
        <v>23.5</v>
      </c>
      <c r="BW623">
        <v>18</v>
      </c>
      <c r="BX623">
        <v>21.7</v>
      </c>
      <c r="BY623">
        <v>20</v>
      </c>
      <c r="BZ623">
        <v>21</v>
      </c>
      <c r="CA623">
        <v>20</v>
      </c>
      <c r="CB623">
        <v>11.3</v>
      </c>
      <c r="CC623">
        <v>10</v>
      </c>
      <c r="CD623">
        <v>11.5</v>
      </c>
      <c r="CE623">
        <v>10</v>
      </c>
      <c r="CF623">
        <v>10.8</v>
      </c>
      <c r="CG623">
        <v>9</v>
      </c>
      <c r="CH623">
        <v>11</v>
      </c>
      <c r="CI623">
        <v>9</v>
      </c>
    </row>
    <row r="624" spans="1:87" x14ac:dyDescent="0.35">
      <c r="A624" s="1">
        <v>46059.893750000003</v>
      </c>
      <c r="B624">
        <v>-22.8</v>
      </c>
      <c r="C624">
        <v>-20.6</v>
      </c>
      <c r="D624">
        <v>-25</v>
      </c>
      <c r="E624">
        <v>-22.3</v>
      </c>
      <c r="F624">
        <v>-22.9</v>
      </c>
      <c r="G624">
        <v>-25</v>
      </c>
      <c r="H624">
        <v>-19.7</v>
      </c>
      <c r="I624">
        <v>-24.4</v>
      </c>
      <c r="J624">
        <v>-25</v>
      </c>
      <c r="K624">
        <v>-20.399999999999999</v>
      </c>
      <c r="L624">
        <v>-19</v>
      </c>
      <c r="M624">
        <v>-25</v>
      </c>
      <c r="N624">
        <v>-17.7</v>
      </c>
      <c r="O624">
        <v>-13.9</v>
      </c>
      <c r="P624">
        <v>-25</v>
      </c>
      <c r="Q624">
        <v>-17.399999999999999</v>
      </c>
      <c r="R624">
        <v>-17.100000000000001</v>
      </c>
      <c r="S624">
        <v>-25</v>
      </c>
      <c r="T624">
        <v>2.4</v>
      </c>
      <c r="U624">
        <v>2.1</v>
      </c>
      <c r="V624">
        <v>2</v>
      </c>
      <c r="W624">
        <v>2.1</v>
      </c>
      <c r="X624">
        <v>1</v>
      </c>
      <c r="Y624">
        <v>2</v>
      </c>
      <c r="Z624">
        <v>3.5</v>
      </c>
      <c r="AA624">
        <v>2.9</v>
      </c>
      <c r="AB624">
        <v>2</v>
      </c>
      <c r="AC624">
        <v>3.1</v>
      </c>
      <c r="AD624">
        <v>2.2000000000000002</v>
      </c>
      <c r="AE624">
        <v>2</v>
      </c>
      <c r="AF624">
        <v>2.8</v>
      </c>
      <c r="AG624">
        <v>2.7</v>
      </c>
      <c r="AH624">
        <v>2</v>
      </c>
      <c r="AI624">
        <v>3.1</v>
      </c>
      <c r="AJ624">
        <v>2.8</v>
      </c>
      <c r="AK624">
        <v>2</v>
      </c>
      <c r="AL624">
        <v>4.9000000000000004</v>
      </c>
      <c r="AM624">
        <v>4</v>
      </c>
      <c r="AN624">
        <v>5.2</v>
      </c>
      <c r="AO624">
        <v>4</v>
      </c>
      <c r="AP624">
        <v>4.5</v>
      </c>
      <c r="AQ624">
        <v>4</v>
      </c>
      <c r="AR624">
        <v>5.7</v>
      </c>
      <c r="AS624">
        <v>4</v>
      </c>
      <c r="AT624">
        <v>-4.5</v>
      </c>
      <c r="AU624">
        <v>-6.5</v>
      </c>
      <c r="AV624">
        <v>-5</v>
      </c>
      <c r="AW624">
        <v>-3.7</v>
      </c>
      <c r="AX624">
        <v>-4.5999999999999996</v>
      </c>
      <c r="AY624">
        <v>-5</v>
      </c>
      <c r="AZ624">
        <v>11</v>
      </c>
      <c r="BA624">
        <v>10</v>
      </c>
      <c r="BB624">
        <v>10.8</v>
      </c>
      <c r="BC624">
        <v>10</v>
      </c>
      <c r="BD624">
        <v>5.5</v>
      </c>
      <c r="BE624">
        <v>4</v>
      </c>
      <c r="BF624">
        <v>10.4</v>
      </c>
      <c r="BG624">
        <v>10</v>
      </c>
      <c r="BH624">
        <v>10.9</v>
      </c>
      <c r="BI624">
        <v>10</v>
      </c>
      <c r="BJ624">
        <v>10.7</v>
      </c>
      <c r="BK624">
        <v>9</v>
      </c>
      <c r="BL624">
        <v>19.399999999999999</v>
      </c>
      <c r="BM624">
        <v>19</v>
      </c>
      <c r="BN624">
        <v>23.6</v>
      </c>
      <c r="BO624">
        <v>19</v>
      </c>
      <c r="BP624">
        <v>21.3</v>
      </c>
      <c r="BQ624">
        <v>20</v>
      </c>
      <c r="BR624">
        <v>21.6</v>
      </c>
      <c r="BS624">
        <v>25</v>
      </c>
      <c r="BT624">
        <v>21.9</v>
      </c>
      <c r="BU624">
        <v>25</v>
      </c>
      <c r="BV624">
        <v>23.5</v>
      </c>
      <c r="BW624">
        <v>18</v>
      </c>
      <c r="BX624">
        <v>21.7</v>
      </c>
      <c r="BY624">
        <v>20</v>
      </c>
      <c r="BZ624">
        <v>21.1</v>
      </c>
      <c r="CA624">
        <v>20</v>
      </c>
      <c r="CB624">
        <v>11.7</v>
      </c>
      <c r="CC624">
        <v>10</v>
      </c>
      <c r="CD624">
        <v>11.5</v>
      </c>
      <c r="CE624">
        <v>10</v>
      </c>
      <c r="CF624">
        <v>10.7</v>
      </c>
      <c r="CG624">
        <v>9</v>
      </c>
      <c r="CH624">
        <v>10.9</v>
      </c>
      <c r="CI624">
        <v>9</v>
      </c>
    </row>
    <row r="625" spans="1:87" x14ac:dyDescent="0.35">
      <c r="A625" s="1">
        <v>46059.894444444442</v>
      </c>
      <c r="B625">
        <v>-22.8</v>
      </c>
      <c r="C625">
        <v>-20.6</v>
      </c>
      <c r="D625">
        <v>-25</v>
      </c>
      <c r="E625">
        <v>-22.3</v>
      </c>
      <c r="F625">
        <v>-22.9</v>
      </c>
      <c r="G625">
        <v>-25</v>
      </c>
      <c r="H625">
        <v>-19.7</v>
      </c>
      <c r="I625">
        <v>-24.3</v>
      </c>
      <c r="J625">
        <v>-25</v>
      </c>
      <c r="K625">
        <v>-20.399999999999999</v>
      </c>
      <c r="L625">
        <v>-19.100000000000001</v>
      </c>
      <c r="M625">
        <v>-25</v>
      </c>
      <c r="N625">
        <v>-17.8</v>
      </c>
      <c r="O625">
        <v>-14.3</v>
      </c>
      <c r="P625">
        <v>-25</v>
      </c>
      <c r="Q625">
        <v>-17.5</v>
      </c>
      <c r="R625">
        <v>-17.2</v>
      </c>
      <c r="S625">
        <v>-25</v>
      </c>
      <c r="T625">
        <v>2.4</v>
      </c>
      <c r="U625">
        <v>2.2000000000000002</v>
      </c>
      <c r="V625">
        <v>2</v>
      </c>
      <c r="W625">
        <v>2.2000000000000002</v>
      </c>
      <c r="X625">
        <v>1.1000000000000001</v>
      </c>
      <c r="Y625">
        <v>2</v>
      </c>
      <c r="Z625">
        <v>3.5</v>
      </c>
      <c r="AA625">
        <v>2.9</v>
      </c>
      <c r="AB625">
        <v>2</v>
      </c>
      <c r="AC625">
        <v>3.1</v>
      </c>
      <c r="AD625">
        <v>2.2999999999999998</v>
      </c>
      <c r="AE625">
        <v>2</v>
      </c>
      <c r="AF625">
        <v>2.8</v>
      </c>
      <c r="AG625">
        <v>2.7</v>
      </c>
      <c r="AH625">
        <v>2</v>
      </c>
      <c r="AI625">
        <v>3.2</v>
      </c>
      <c r="AJ625">
        <v>3</v>
      </c>
      <c r="AK625">
        <v>2</v>
      </c>
      <c r="AL625">
        <v>5</v>
      </c>
      <c r="AM625">
        <v>4</v>
      </c>
      <c r="AN625">
        <v>5.3</v>
      </c>
      <c r="AO625">
        <v>4</v>
      </c>
      <c r="AP625">
        <v>3.6</v>
      </c>
      <c r="AQ625">
        <v>4</v>
      </c>
      <c r="AR625">
        <v>5.9</v>
      </c>
      <c r="AS625">
        <v>4</v>
      </c>
      <c r="AT625">
        <v>-4.7</v>
      </c>
      <c r="AU625">
        <v>-6.7</v>
      </c>
      <c r="AV625">
        <v>-5</v>
      </c>
      <c r="AW625">
        <v>-3.9</v>
      </c>
      <c r="AX625">
        <v>-4.5999999999999996</v>
      </c>
      <c r="AY625">
        <v>-5</v>
      </c>
      <c r="AZ625">
        <v>11.1</v>
      </c>
      <c r="BA625">
        <v>10</v>
      </c>
      <c r="BB625">
        <v>11</v>
      </c>
      <c r="BC625">
        <v>10</v>
      </c>
      <c r="BD625">
        <v>5.6</v>
      </c>
      <c r="BE625">
        <v>4</v>
      </c>
      <c r="BF625">
        <v>10.8</v>
      </c>
      <c r="BG625">
        <v>10</v>
      </c>
      <c r="BH625">
        <v>10.9</v>
      </c>
      <c r="BI625">
        <v>10</v>
      </c>
      <c r="BJ625">
        <v>10.7</v>
      </c>
      <c r="BK625">
        <v>9</v>
      </c>
      <c r="BL625">
        <v>19.5</v>
      </c>
      <c r="BM625">
        <v>19</v>
      </c>
      <c r="BN625">
        <v>23.6</v>
      </c>
      <c r="BO625">
        <v>19</v>
      </c>
      <c r="BP625">
        <v>21.3</v>
      </c>
      <c r="BQ625">
        <v>20</v>
      </c>
      <c r="BR625">
        <v>21.6</v>
      </c>
      <c r="BS625">
        <v>25</v>
      </c>
      <c r="BT625">
        <v>21.9</v>
      </c>
      <c r="BU625">
        <v>25</v>
      </c>
      <c r="BV625">
        <v>23.5</v>
      </c>
      <c r="BW625">
        <v>18</v>
      </c>
      <c r="BX625">
        <v>21.8</v>
      </c>
      <c r="BY625">
        <v>20</v>
      </c>
      <c r="BZ625">
        <v>21.1</v>
      </c>
      <c r="CA625">
        <v>20</v>
      </c>
      <c r="CB625">
        <v>12</v>
      </c>
      <c r="CC625">
        <v>10</v>
      </c>
      <c r="CD625">
        <v>11.5</v>
      </c>
      <c r="CE625">
        <v>10</v>
      </c>
      <c r="CF625">
        <v>11.1</v>
      </c>
      <c r="CG625">
        <v>9</v>
      </c>
      <c r="CH625">
        <v>11.3</v>
      </c>
      <c r="CI625">
        <v>9</v>
      </c>
    </row>
    <row r="626" spans="1:87" x14ac:dyDescent="0.35">
      <c r="A626" s="1">
        <v>46059.895138888889</v>
      </c>
      <c r="B626">
        <v>-22.8</v>
      </c>
      <c r="C626">
        <v>-20.6</v>
      </c>
      <c r="D626">
        <v>-25</v>
      </c>
      <c r="E626">
        <v>-22.3</v>
      </c>
      <c r="F626">
        <v>-24</v>
      </c>
      <c r="G626">
        <v>-25</v>
      </c>
      <c r="H626">
        <v>-19.7</v>
      </c>
      <c r="I626">
        <v>-24.3</v>
      </c>
      <c r="J626">
        <v>-25</v>
      </c>
      <c r="K626">
        <v>-20.399999999999999</v>
      </c>
      <c r="L626">
        <v>-19.100000000000001</v>
      </c>
      <c r="M626">
        <v>-25</v>
      </c>
      <c r="N626">
        <v>-17.899999999999999</v>
      </c>
      <c r="O626">
        <v>-14.6</v>
      </c>
      <c r="P626">
        <v>-25</v>
      </c>
      <c r="Q626">
        <v>-17.600000000000001</v>
      </c>
      <c r="R626">
        <v>-17.3</v>
      </c>
      <c r="S626">
        <v>-25</v>
      </c>
      <c r="T626">
        <v>2.4</v>
      </c>
      <c r="U626">
        <v>2.2000000000000002</v>
      </c>
      <c r="V626">
        <v>2</v>
      </c>
      <c r="W626">
        <v>2.2000000000000002</v>
      </c>
      <c r="X626">
        <v>-0.2</v>
      </c>
      <c r="Y626">
        <v>2</v>
      </c>
      <c r="Z626">
        <v>3.5</v>
      </c>
      <c r="AA626">
        <v>2.9</v>
      </c>
      <c r="AB626">
        <v>2</v>
      </c>
      <c r="AC626">
        <v>3</v>
      </c>
      <c r="AD626">
        <v>2.2999999999999998</v>
      </c>
      <c r="AE626">
        <v>2</v>
      </c>
      <c r="AF626">
        <v>2.8</v>
      </c>
      <c r="AG626">
        <v>2.8</v>
      </c>
      <c r="AH626">
        <v>2</v>
      </c>
      <c r="AI626">
        <v>3.3</v>
      </c>
      <c r="AJ626">
        <v>3.1</v>
      </c>
      <c r="AK626">
        <v>2</v>
      </c>
      <c r="AL626">
        <v>5</v>
      </c>
      <c r="AM626">
        <v>4</v>
      </c>
      <c r="AN626">
        <v>5.3</v>
      </c>
      <c r="AO626">
        <v>4</v>
      </c>
      <c r="AP626">
        <v>3.1</v>
      </c>
      <c r="AQ626">
        <v>4</v>
      </c>
      <c r="AR626">
        <v>6</v>
      </c>
      <c r="AS626">
        <v>4</v>
      </c>
      <c r="AT626">
        <v>-4.8</v>
      </c>
      <c r="AU626">
        <v>-6.7</v>
      </c>
      <c r="AV626">
        <v>-5</v>
      </c>
      <c r="AW626">
        <v>-4</v>
      </c>
      <c r="AX626">
        <v>-5.6</v>
      </c>
      <c r="AY626">
        <v>-5</v>
      </c>
      <c r="AZ626">
        <v>11.2</v>
      </c>
      <c r="BA626">
        <v>10</v>
      </c>
      <c r="BB626">
        <v>11.3</v>
      </c>
      <c r="BC626">
        <v>10</v>
      </c>
      <c r="BD626">
        <v>5.8</v>
      </c>
      <c r="BE626">
        <v>4</v>
      </c>
      <c r="BF626">
        <v>11.1</v>
      </c>
      <c r="BG626">
        <v>10</v>
      </c>
      <c r="BH626">
        <v>10.9</v>
      </c>
      <c r="BI626">
        <v>10</v>
      </c>
      <c r="BJ626">
        <v>10.7</v>
      </c>
      <c r="BK626">
        <v>9</v>
      </c>
      <c r="BL626">
        <v>19.5</v>
      </c>
      <c r="BM626">
        <v>19</v>
      </c>
      <c r="BN626">
        <v>23.6</v>
      </c>
      <c r="BO626">
        <v>19</v>
      </c>
      <c r="BP626">
        <v>21.3</v>
      </c>
      <c r="BQ626">
        <v>20</v>
      </c>
      <c r="BR626">
        <v>21.7</v>
      </c>
      <c r="BS626">
        <v>25</v>
      </c>
      <c r="BT626">
        <v>21.9</v>
      </c>
      <c r="BU626">
        <v>25</v>
      </c>
      <c r="BV626">
        <v>23.5</v>
      </c>
      <c r="BW626">
        <v>18</v>
      </c>
      <c r="BX626">
        <v>21.8</v>
      </c>
      <c r="BY626">
        <v>20</v>
      </c>
      <c r="BZ626">
        <v>21.2</v>
      </c>
      <c r="CA626">
        <v>20</v>
      </c>
      <c r="CB626">
        <v>12</v>
      </c>
      <c r="CC626">
        <v>10</v>
      </c>
      <c r="CD626">
        <v>11.5</v>
      </c>
      <c r="CE626">
        <v>10</v>
      </c>
      <c r="CF626">
        <v>11.2</v>
      </c>
      <c r="CG626">
        <v>9</v>
      </c>
      <c r="CH626">
        <v>11.4</v>
      </c>
      <c r="CI626">
        <v>9</v>
      </c>
    </row>
    <row r="627" spans="1:87" x14ac:dyDescent="0.35">
      <c r="A627" s="1">
        <v>46059.895833333336</v>
      </c>
      <c r="B627">
        <v>-22.8</v>
      </c>
      <c r="C627">
        <v>-20.6</v>
      </c>
      <c r="D627">
        <v>-25</v>
      </c>
      <c r="E627">
        <v>-22.3</v>
      </c>
      <c r="F627">
        <v>-24.3</v>
      </c>
      <c r="G627">
        <v>-25</v>
      </c>
      <c r="H627">
        <v>-19.7</v>
      </c>
      <c r="I627">
        <v>-24.3</v>
      </c>
      <c r="J627">
        <v>-25</v>
      </c>
      <c r="K627">
        <v>-20.399999999999999</v>
      </c>
      <c r="L627">
        <v>-19.2</v>
      </c>
      <c r="M627">
        <v>-25</v>
      </c>
      <c r="N627">
        <v>-18</v>
      </c>
      <c r="O627">
        <v>-14.9</v>
      </c>
      <c r="P627">
        <v>-25</v>
      </c>
      <c r="Q627">
        <v>-17.600000000000001</v>
      </c>
      <c r="R627">
        <v>-17.399999999999999</v>
      </c>
      <c r="S627">
        <v>-25</v>
      </c>
      <c r="T627">
        <v>2.4</v>
      </c>
      <c r="U627">
        <v>2</v>
      </c>
      <c r="V627">
        <v>2</v>
      </c>
      <c r="W627">
        <v>2.2000000000000002</v>
      </c>
      <c r="X627">
        <v>0.3</v>
      </c>
      <c r="Y627">
        <v>2</v>
      </c>
      <c r="Z627">
        <v>3.4</v>
      </c>
      <c r="AA627">
        <v>2.8</v>
      </c>
      <c r="AB627">
        <v>2</v>
      </c>
      <c r="AC627">
        <v>2.9</v>
      </c>
      <c r="AD627">
        <v>2.1</v>
      </c>
      <c r="AE627">
        <v>2</v>
      </c>
      <c r="AF627">
        <v>2.8</v>
      </c>
      <c r="AG627">
        <v>2.9</v>
      </c>
      <c r="AH627">
        <v>2</v>
      </c>
      <c r="AI627">
        <v>3.5</v>
      </c>
      <c r="AJ627">
        <v>3.3</v>
      </c>
      <c r="AK627">
        <v>2</v>
      </c>
      <c r="AL627">
        <v>5.0999999999999996</v>
      </c>
      <c r="AM627">
        <v>4</v>
      </c>
      <c r="AN627">
        <v>5.4</v>
      </c>
      <c r="AO627">
        <v>4</v>
      </c>
      <c r="AP627">
        <v>3</v>
      </c>
      <c r="AQ627">
        <v>4</v>
      </c>
      <c r="AR627">
        <v>5.8</v>
      </c>
      <c r="AS627">
        <v>4</v>
      </c>
      <c r="AT627">
        <v>-4.9000000000000004</v>
      </c>
      <c r="AU627">
        <v>-6.9</v>
      </c>
      <c r="AV627">
        <v>-5</v>
      </c>
      <c r="AW627">
        <v>-4.2</v>
      </c>
      <c r="AX627">
        <v>-5.9</v>
      </c>
      <c r="AY627">
        <v>-5</v>
      </c>
      <c r="AZ627">
        <v>11.3</v>
      </c>
      <c r="BA627">
        <v>10</v>
      </c>
      <c r="BB627">
        <v>11.6</v>
      </c>
      <c r="BC627">
        <v>10</v>
      </c>
      <c r="BD627">
        <v>6</v>
      </c>
      <c r="BE627">
        <v>4</v>
      </c>
      <c r="BF627">
        <v>11.6</v>
      </c>
      <c r="BG627">
        <v>10</v>
      </c>
      <c r="BH627">
        <v>10.9</v>
      </c>
      <c r="BI627">
        <v>10</v>
      </c>
      <c r="BJ627">
        <v>10.7</v>
      </c>
      <c r="BK627">
        <v>9</v>
      </c>
      <c r="BL627">
        <v>19.5</v>
      </c>
      <c r="BM627">
        <v>19</v>
      </c>
      <c r="BN627">
        <v>23.6</v>
      </c>
      <c r="BO627">
        <v>19</v>
      </c>
      <c r="BP627">
        <v>21.3</v>
      </c>
      <c r="BQ627">
        <v>20</v>
      </c>
      <c r="BR627">
        <v>21.7</v>
      </c>
      <c r="BS627">
        <v>25</v>
      </c>
      <c r="BT627">
        <v>21.9</v>
      </c>
      <c r="BU627">
        <v>25</v>
      </c>
      <c r="BV627">
        <v>23.5</v>
      </c>
      <c r="BW627">
        <v>18</v>
      </c>
      <c r="BX627">
        <v>21.8</v>
      </c>
      <c r="BY627">
        <v>20</v>
      </c>
      <c r="BZ627">
        <v>21.2</v>
      </c>
      <c r="CA627">
        <v>20</v>
      </c>
      <c r="CB627">
        <v>11.8</v>
      </c>
      <c r="CC627">
        <v>10</v>
      </c>
      <c r="CD627">
        <v>11.5</v>
      </c>
      <c r="CE627">
        <v>10</v>
      </c>
      <c r="CF627">
        <v>11</v>
      </c>
      <c r="CG627">
        <v>9</v>
      </c>
      <c r="CH627">
        <v>11.3</v>
      </c>
      <c r="CI627">
        <v>9</v>
      </c>
    </row>
    <row r="628" spans="1:87" x14ac:dyDescent="0.35">
      <c r="A628" s="1">
        <v>46059.896527777775</v>
      </c>
      <c r="B628">
        <v>-22.8</v>
      </c>
      <c r="C628">
        <v>-20.6</v>
      </c>
      <c r="D628">
        <v>-25</v>
      </c>
      <c r="E628">
        <v>-22.3</v>
      </c>
      <c r="F628">
        <v>-23.5</v>
      </c>
      <c r="G628">
        <v>-25</v>
      </c>
      <c r="H628">
        <v>-19.7</v>
      </c>
      <c r="I628">
        <v>-24.5</v>
      </c>
      <c r="J628">
        <v>-25</v>
      </c>
      <c r="K628">
        <v>-20.399999999999999</v>
      </c>
      <c r="L628">
        <v>-19.2</v>
      </c>
      <c r="M628">
        <v>-25</v>
      </c>
      <c r="N628">
        <v>-18.100000000000001</v>
      </c>
      <c r="O628">
        <v>-15.2</v>
      </c>
      <c r="P628">
        <v>-25</v>
      </c>
      <c r="Q628">
        <v>-17.8</v>
      </c>
      <c r="R628">
        <v>-17.5</v>
      </c>
      <c r="S628">
        <v>-25</v>
      </c>
      <c r="T628">
        <v>2.2999999999999998</v>
      </c>
      <c r="U628">
        <v>1.9</v>
      </c>
      <c r="V628">
        <v>2</v>
      </c>
      <c r="W628">
        <v>2.1</v>
      </c>
      <c r="X628">
        <v>0.7</v>
      </c>
      <c r="Y628">
        <v>2</v>
      </c>
      <c r="Z628">
        <v>3.2</v>
      </c>
      <c r="AA628">
        <v>2.7</v>
      </c>
      <c r="AB628">
        <v>2</v>
      </c>
      <c r="AC628">
        <v>2.8</v>
      </c>
      <c r="AD628">
        <v>2.1</v>
      </c>
      <c r="AE628">
        <v>2</v>
      </c>
      <c r="AF628">
        <v>2.8</v>
      </c>
      <c r="AG628">
        <v>2.9</v>
      </c>
      <c r="AH628">
        <v>2</v>
      </c>
      <c r="AI628">
        <v>3.6</v>
      </c>
      <c r="AJ628">
        <v>3.5</v>
      </c>
      <c r="AK628">
        <v>2</v>
      </c>
      <c r="AL628">
        <v>5.0999999999999996</v>
      </c>
      <c r="AM628">
        <v>4</v>
      </c>
      <c r="AN628">
        <v>5.4</v>
      </c>
      <c r="AO628">
        <v>4</v>
      </c>
      <c r="AP628">
        <v>3.2</v>
      </c>
      <c r="AQ628">
        <v>4</v>
      </c>
      <c r="AR628">
        <v>4.9000000000000004</v>
      </c>
      <c r="AS628">
        <v>4</v>
      </c>
      <c r="AT628">
        <v>-5</v>
      </c>
      <c r="AU628">
        <v>-7.1</v>
      </c>
      <c r="AV628">
        <v>-5</v>
      </c>
      <c r="AW628">
        <v>-4.5</v>
      </c>
      <c r="AX628">
        <v>-5.7</v>
      </c>
      <c r="AY628">
        <v>-5</v>
      </c>
      <c r="AZ628">
        <v>11.4</v>
      </c>
      <c r="BA628">
        <v>10</v>
      </c>
      <c r="BB628">
        <v>11.7</v>
      </c>
      <c r="BC628">
        <v>10</v>
      </c>
      <c r="BD628">
        <v>6</v>
      </c>
      <c r="BE628">
        <v>4</v>
      </c>
      <c r="BF628">
        <v>11.6</v>
      </c>
      <c r="BG628">
        <v>10</v>
      </c>
      <c r="BH628">
        <v>10.9</v>
      </c>
      <c r="BI628">
        <v>10</v>
      </c>
      <c r="BJ628">
        <v>10.8</v>
      </c>
      <c r="BK628">
        <v>9</v>
      </c>
      <c r="BL628">
        <v>19.5</v>
      </c>
      <c r="BM628">
        <v>19</v>
      </c>
      <c r="BN628">
        <v>23.6</v>
      </c>
      <c r="BO628">
        <v>19</v>
      </c>
      <c r="BP628">
        <v>21.3</v>
      </c>
      <c r="BQ628">
        <v>20</v>
      </c>
      <c r="BR628">
        <v>21.7</v>
      </c>
      <c r="BS628">
        <v>25</v>
      </c>
      <c r="BT628">
        <v>21.9</v>
      </c>
      <c r="BU628">
        <v>25</v>
      </c>
      <c r="BV628">
        <v>23.5</v>
      </c>
      <c r="BW628">
        <v>18</v>
      </c>
      <c r="BX628">
        <v>21.8</v>
      </c>
      <c r="BY628">
        <v>20</v>
      </c>
      <c r="BZ628">
        <v>21.3</v>
      </c>
      <c r="CA628">
        <v>20</v>
      </c>
      <c r="CB628">
        <v>11.5</v>
      </c>
      <c r="CC628">
        <v>10</v>
      </c>
      <c r="CD628">
        <v>11.5</v>
      </c>
      <c r="CE628">
        <v>10</v>
      </c>
      <c r="CF628">
        <v>11</v>
      </c>
      <c r="CG628">
        <v>9</v>
      </c>
      <c r="CH628">
        <v>11.2</v>
      </c>
      <c r="CI628">
        <v>9</v>
      </c>
    </row>
    <row r="629" spans="1:87" x14ac:dyDescent="0.35">
      <c r="A629" s="1">
        <v>46059.897222222222</v>
      </c>
      <c r="B629">
        <v>-22.7</v>
      </c>
      <c r="C629">
        <v>-20.6</v>
      </c>
      <c r="D629">
        <v>-25</v>
      </c>
      <c r="E629">
        <v>-22.3</v>
      </c>
      <c r="F629">
        <v>-22.8</v>
      </c>
      <c r="G629">
        <v>-25</v>
      </c>
      <c r="H629">
        <v>-19.8</v>
      </c>
      <c r="I629">
        <v>-24.9</v>
      </c>
      <c r="J629">
        <v>-25</v>
      </c>
      <c r="K629">
        <v>-20.6</v>
      </c>
      <c r="L629">
        <v>-19.3</v>
      </c>
      <c r="M629">
        <v>-25</v>
      </c>
      <c r="N629">
        <v>-18.3</v>
      </c>
      <c r="O629">
        <v>-15.5</v>
      </c>
      <c r="P629">
        <v>-25</v>
      </c>
      <c r="Q629">
        <v>-17.899999999999999</v>
      </c>
      <c r="R629">
        <v>-17.600000000000001</v>
      </c>
      <c r="S629">
        <v>-25</v>
      </c>
      <c r="T629">
        <v>2.2999999999999998</v>
      </c>
      <c r="U629">
        <v>1.9</v>
      </c>
      <c r="V629">
        <v>2</v>
      </c>
      <c r="W629">
        <v>2.1</v>
      </c>
      <c r="X629">
        <v>0.7</v>
      </c>
      <c r="Y629">
        <v>2</v>
      </c>
      <c r="Z629">
        <v>3.2</v>
      </c>
      <c r="AA629">
        <v>2.7</v>
      </c>
      <c r="AB629">
        <v>2</v>
      </c>
      <c r="AC629">
        <v>2.8</v>
      </c>
      <c r="AD629">
        <v>2.2000000000000002</v>
      </c>
      <c r="AE629">
        <v>2</v>
      </c>
      <c r="AF629">
        <v>2.8</v>
      </c>
      <c r="AG629">
        <v>3</v>
      </c>
      <c r="AH629">
        <v>2</v>
      </c>
      <c r="AI629">
        <v>3.8</v>
      </c>
      <c r="AJ629">
        <v>3.7</v>
      </c>
      <c r="AK629">
        <v>2</v>
      </c>
      <c r="AL629">
        <v>5.2</v>
      </c>
      <c r="AM629">
        <v>4</v>
      </c>
      <c r="AN629">
        <v>5.5</v>
      </c>
      <c r="AO629">
        <v>4</v>
      </c>
      <c r="AP629">
        <v>3.5</v>
      </c>
      <c r="AQ629">
        <v>4</v>
      </c>
      <c r="AR629">
        <v>4</v>
      </c>
      <c r="AS629">
        <v>4</v>
      </c>
      <c r="AT629">
        <v>-5.0999999999999996</v>
      </c>
      <c r="AU629">
        <v>-6.4</v>
      </c>
      <c r="AV629">
        <v>-5</v>
      </c>
      <c r="AW629">
        <v>-4.9000000000000004</v>
      </c>
      <c r="AX629">
        <v>-6</v>
      </c>
      <c r="AY629">
        <v>-5</v>
      </c>
      <c r="AZ629">
        <v>11.4</v>
      </c>
      <c r="BA629">
        <v>10</v>
      </c>
      <c r="BB629">
        <v>11.9</v>
      </c>
      <c r="BC629">
        <v>10</v>
      </c>
      <c r="BD629">
        <v>5.7</v>
      </c>
      <c r="BE629">
        <v>4</v>
      </c>
      <c r="BF629">
        <v>11.8</v>
      </c>
      <c r="BG629">
        <v>10</v>
      </c>
      <c r="BH629">
        <v>11</v>
      </c>
      <c r="BI629">
        <v>10</v>
      </c>
      <c r="BJ629">
        <v>11</v>
      </c>
      <c r="BK629">
        <v>9</v>
      </c>
      <c r="BL629">
        <v>19.600000000000001</v>
      </c>
      <c r="BM629">
        <v>19</v>
      </c>
      <c r="BN629">
        <v>23.6</v>
      </c>
      <c r="BO629">
        <v>19</v>
      </c>
      <c r="BP629">
        <v>21.3</v>
      </c>
      <c r="BQ629">
        <v>20</v>
      </c>
      <c r="BR629">
        <v>21.7</v>
      </c>
      <c r="BS629">
        <v>25</v>
      </c>
      <c r="BT629">
        <v>21.9</v>
      </c>
      <c r="BU629">
        <v>25</v>
      </c>
      <c r="BV629">
        <v>23.5</v>
      </c>
      <c r="BW629">
        <v>18</v>
      </c>
      <c r="BX629">
        <v>21.9</v>
      </c>
      <c r="BY629">
        <v>20</v>
      </c>
      <c r="BZ629">
        <v>21.3</v>
      </c>
      <c r="CA629">
        <v>20</v>
      </c>
      <c r="CB629">
        <v>11.1</v>
      </c>
      <c r="CC629">
        <v>10</v>
      </c>
      <c r="CD629">
        <v>11.6</v>
      </c>
      <c r="CE629">
        <v>10</v>
      </c>
      <c r="CF629">
        <v>11</v>
      </c>
      <c r="CG629">
        <v>9</v>
      </c>
      <c r="CH629">
        <v>11.2</v>
      </c>
      <c r="CI629">
        <v>9</v>
      </c>
    </row>
    <row r="630" spans="1:87" x14ac:dyDescent="0.35">
      <c r="A630" s="1">
        <v>46059.897916666669</v>
      </c>
      <c r="B630">
        <v>-22.2</v>
      </c>
      <c r="C630">
        <v>-20.6</v>
      </c>
      <c r="D630">
        <v>-25</v>
      </c>
      <c r="E630">
        <v>-22</v>
      </c>
      <c r="F630">
        <v>-22.2</v>
      </c>
      <c r="G630">
        <v>-25</v>
      </c>
      <c r="H630">
        <v>-19.8</v>
      </c>
      <c r="I630">
        <v>-22.4</v>
      </c>
      <c r="J630">
        <v>-25</v>
      </c>
      <c r="K630">
        <v>-20.6</v>
      </c>
      <c r="L630">
        <v>-19.3</v>
      </c>
      <c r="M630">
        <v>-25</v>
      </c>
      <c r="N630">
        <v>-18.3</v>
      </c>
      <c r="O630">
        <v>-15.7</v>
      </c>
      <c r="P630">
        <v>-25</v>
      </c>
      <c r="Q630">
        <v>-17.899999999999999</v>
      </c>
      <c r="R630">
        <v>-17.600000000000001</v>
      </c>
      <c r="S630">
        <v>-25</v>
      </c>
      <c r="T630">
        <v>2.2000000000000002</v>
      </c>
      <c r="U630">
        <v>1.8</v>
      </c>
      <c r="V630">
        <v>2</v>
      </c>
      <c r="W630">
        <v>2</v>
      </c>
      <c r="X630">
        <v>-1</v>
      </c>
      <c r="Y630">
        <v>2</v>
      </c>
      <c r="Z630">
        <v>3.2</v>
      </c>
      <c r="AA630">
        <v>2.6</v>
      </c>
      <c r="AB630">
        <v>2</v>
      </c>
      <c r="AC630">
        <v>2.7</v>
      </c>
      <c r="AD630">
        <v>0.9</v>
      </c>
      <c r="AE630">
        <v>2</v>
      </c>
      <c r="AF630">
        <v>2.8</v>
      </c>
      <c r="AG630">
        <v>3</v>
      </c>
      <c r="AH630">
        <v>2</v>
      </c>
      <c r="AI630">
        <v>3.9</v>
      </c>
      <c r="AJ630">
        <v>3.7</v>
      </c>
      <c r="AK630">
        <v>2</v>
      </c>
      <c r="AL630">
        <v>5.2</v>
      </c>
      <c r="AM630">
        <v>4</v>
      </c>
      <c r="AN630">
        <v>5.5</v>
      </c>
      <c r="AO630">
        <v>4</v>
      </c>
      <c r="AP630">
        <v>3.7</v>
      </c>
      <c r="AQ630">
        <v>4</v>
      </c>
      <c r="AR630">
        <v>3</v>
      </c>
      <c r="AS630">
        <v>4</v>
      </c>
      <c r="AT630">
        <v>-5</v>
      </c>
      <c r="AU630">
        <v>-5.6</v>
      </c>
      <c r="AV630">
        <v>-5</v>
      </c>
      <c r="AW630">
        <v>-4.5999999999999996</v>
      </c>
      <c r="AX630">
        <v>-4.8</v>
      </c>
      <c r="AY630">
        <v>-5</v>
      </c>
      <c r="AZ630">
        <v>11.6</v>
      </c>
      <c r="BA630">
        <v>10</v>
      </c>
      <c r="BB630">
        <v>12.2</v>
      </c>
      <c r="BC630">
        <v>10</v>
      </c>
      <c r="BD630">
        <v>5.3</v>
      </c>
      <c r="BE630">
        <v>4</v>
      </c>
      <c r="BF630">
        <v>12.2</v>
      </c>
      <c r="BG630">
        <v>10</v>
      </c>
      <c r="BH630">
        <v>11.1</v>
      </c>
      <c r="BI630">
        <v>10</v>
      </c>
      <c r="BJ630">
        <v>11.1</v>
      </c>
      <c r="BK630">
        <v>9</v>
      </c>
      <c r="BL630">
        <v>19.600000000000001</v>
      </c>
      <c r="BM630">
        <v>19</v>
      </c>
      <c r="BN630">
        <v>23.6</v>
      </c>
      <c r="BO630">
        <v>19</v>
      </c>
      <c r="BP630">
        <v>21.3</v>
      </c>
      <c r="BQ630">
        <v>20</v>
      </c>
      <c r="BR630">
        <v>21.7</v>
      </c>
      <c r="BS630">
        <v>25</v>
      </c>
      <c r="BT630">
        <v>21.9</v>
      </c>
      <c r="BU630">
        <v>25</v>
      </c>
      <c r="BV630">
        <v>23.5</v>
      </c>
      <c r="BW630">
        <v>18</v>
      </c>
      <c r="BX630">
        <v>21.9</v>
      </c>
      <c r="BY630">
        <v>20</v>
      </c>
      <c r="BZ630">
        <v>21.3</v>
      </c>
      <c r="CA630">
        <v>20</v>
      </c>
      <c r="CB630">
        <v>10.9</v>
      </c>
      <c r="CC630">
        <v>10</v>
      </c>
      <c r="CD630">
        <v>11.7</v>
      </c>
      <c r="CE630">
        <v>10</v>
      </c>
      <c r="CF630">
        <v>11.5</v>
      </c>
      <c r="CG630">
        <v>9</v>
      </c>
      <c r="CH630">
        <v>11.7</v>
      </c>
      <c r="CI630">
        <v>9</v>
      </c>
    </row>
    <row r="631" spans="1:87" x14ac:dyDescent="0.35">
      <c r="A631" s="1">
        <v>46059.898611111108</v>
      </c>
      <c r="B631">
        <v>-21.6</v>
      </c>
      <c r="C631">
        <v>-21.4</v>
      </c>
      <c r="D631">
        <v>-25</v>
      </c>
      <c r="E631">
        <v>-22</v>
      </c>
      <c r="F631">
        <v>-21.7</v>
      </c>
      <c r="G631">
        <v>-25</v>
      </c>
      <c r="H631">
        <v>-19.8</v>
      </c>
      <c r="I631">
        <v>-21.2</v>
      </c>
      <c r="J631">
        <v>-25</v>
      </c>
      <c r="K631">
        <v>-20.3</v>
      </c>
      <c r="L631">
        <v>-19.3</v>
      </c>
      <c r="M631">
        <v>-25</v>
      </c>
      <c r="N631">
        <v>-18.3</v>
      </c>
      <c r="O631">
        <v>-15.9</v>
      </c>
      <c r="P631">
        <v>-25</v>
      </c>
      <c r="Q631">
        <v>-18</v>
      </c>
      <c r="R631">
        <v>-17.7</v>
      </c>
      <c r="S631">
        <v>-25</v>
      </c>
      <c r="T631">
        <v>2.2000000000000002</v>
      </c>
      <c r="U631">
        <v>1.7</v>
      </c>
      <c r="V631">
        <v>2</v>
      </c>
      <c r="W631">
        <v>1.9</v>
      </c>
      <c r="X631">
        <v>0.6</v>
      </c>
      <c r="Y631">
        <v>2</v>
      </c>
      <c r="Z631">
        <v>3</v>
      </c>
      <c r="AA631">
        <v>2.2999999999999998</v>
      </c>
      <c r="AB631">
        <v>2</v>
      </c>
      <c r="AC631">
        <v>2.5</v>
      </c>
      <c r="AD631">
        <v>0.7</v>
      </c>
      <c r="AE631">
        <v>2</v>
      </c>
      <c r="AF631">
        <v>2.8</v>
      </c>
      <c r="AG631">
        <v>3.1</v>
      </c>
      <c r="AH631">
        <v>2</v>
      </c>
      <c r="AI631">
        <v>4</v>
      </c>
      <c r="AJ631">
        <v>3.8</v>
      </c>
      <c r="AK631">
        <v>2</v>
      </c>
      <c r="AL631">
        <v>5.3</v>
      </c>
      <c r="AM631">
        <v>4</v>
      </c>
      <c r="AN631">
        <v>5.5</v>
      </c>
      <c r="AO631">
        <v>4</v>
      </c>
      <c r="AP631">
        <v>4</v>
      </c>
      <c r="AQ631">
        <v>4</v>
      </c>
      <c r="AR631">
        <v>2.9</v>
      </c>
      <c r="AS631">
        <v>4</v>
      </c>
      <c r="AT631">
        <v>-4.4000000000000004</v>
      </c>
      <c r="AU631">
        <v>-4.8</v>
      </c>
      <c r="AV631">
        <v>-5</v>
      </c>
      <c r="AW631">
        <v>-4</v>
      </c>
      <c r="AX631">
        <v>-5.0999999999999996</v>
      </c>
      <c r="AY631">
        <v>-5</v>
      </c>
      <c r="AZ631">
        <v>11.6</v>
      </c>
      <c r="BA631">
        <v>10</v>
      </c>
      <c r="BB631">
        <v>12.2</v>
      </c>
      <c r="BC631">
        <v>10</v>
      </c>
      <c r="BD631">
        <v>5.4</v>
      </c>
      <c r="BE631">
        <v>4</v>
      </c>
      <c r="BF631">
        <v>12.3</v>
      </c>
      <c r="BG631">
        <v>10</v>
      </c>
      <c r="BH631">
        <v>11.2</v>
      </c>
      <c r="BI631">
        <v>10</v>
      </c>
      <c r="BJ631">
        <v>11.2</v>
      </c>
      <c r="BK631">
        <v>9</v>
      </c>
      <c r="BL631">
        <v>19.600000000000001</v>
      </c>
      <c r="BM631">
        <v>19</v>
      </c>
      <c r="BN631">
        <v>23.6</v>
      </c>
      <c r="BO631">
        <v>19</v>
      </c>
      <c r="BP631">
        <v>21.3</v>
      </c>
      <c r="BQ631">
        <v>20</v>
      </c>
      <c r="BR631">
        <v>21.8</v>
      </c>
      <c r="BS631">
        <v>25</v>
      </c>
      <c r="BT631">
        <v>21.9</v>
      </c>
      <c r="BU631">
        <v>25</v>
      </c>
      <c r="BV631">
        <v>23.5</v>
      </c>
      <c r="BW631">
        <v>18</v>
      </c>
      <c r="BX631">
        <v>21.9</v>
      </c>
      <c r="BY631">
        <v>20</v>
      </c>
      <c r="BZ631">
        <v>21.3</v>
      </c>
      <c r="CA631">
        <v>20</v>
      </c>
      <c r="CB631">
        <v>10.7</v>
      </c>
      <c r="CC631">
        <v>10</v>
      </c>
      <c r="CD631">
        <v>11.7</v>
      </c>
      <c r="CE631">
        <v>10</v>
      </c>
      <c r="CF631">
        <v>11.1</v>
      </c>
      <c r="CG631">
        <v>9</v>
      </c>
      <c r="CH631">
        <v>11.3</v>
      </c>
      <c r="CI631">
        <v>9</v>
      </c>
    </row>
    <row r="632" spans="1:87" x14ac:dyDescent="0.35">
      <c r="A632" s="1">
        <v>46059.9</v>
      </c>
      <c r="B632">
        <v>-21.1</v>
      </c>
      <c r="C632">
        <v>-21.7</v>
      </c>
      <c r="D632">
        <v>-25</v>
      </c>
      <c r="E632">
        <v>-22</v>
      </c>
      <c r="F632">
        <v>-17.100000000000001</v>
      </c>
      <c r="G632">
        <v>-25</v>
      </c>
      <c r="H632">
        <v>-19.600000000000001</v>
      </c>
      <c r="I632">
        <v>-20.6</v>
      </c>
      <c r="J632">
        <v>-25</v>
      </c>
      <c r="K632">
        <v>-19.7</v>
      </c>
      <c r="L632">
        <v>-19.2</v>
      </c>
      <c r="M632">
        <v>-25</v>
      </c>
      <c r="N632">
        <v>-17.899999999999999</v>
      </c>
      <c r="O632">
        <v>-16.2</v>
      </c>
      <c r="P632">
        <v>-25</v>
      </c>
      <c r="Q632">
        <v>-17.8</v>
      </c>
      <c r="R632">
        <v>-17.7</v>
      </c>
      <c r="S632">
        <v>-25</v>
      </c>
      <c r="T632">
        <v>2.2000000000000002</v>
      </c>
      <c r="U632">
        <v>2</v>
      </c>
      <c r="V632">
        <v>2</v>
      </c>
      <c r="W632">
        <v>2</v>
      </c>
      <c r="X632">
        <v>1.3</v>
      </c>
      <c r="Y632">
        <v>2</v>
      </c>
      <c r="Z632">
        <v>2.9</v>
      </c>
      <c r="AA632">
        <v>2.2999999999999998</v>
      </c>
      <c r="AB632">
        <v>2</v>
      </c>
      <c r="AC632">
        <v>2.5</v>
      </c>
      <c r="AD632">
        <v>0.5</v>
      </c>
      <c r="AE632">
        <v>2</v>
      </c>
      <c r="AF632">
        <v>2.8</v>
      </c>
      <c r="AG632">
        <v>3.2</v>
      </c>
      <c r="AH632">
        <v>2</v>
      </c>
      <c r="AI632">
        <v>3.9</v>
      </c>
      <c r="AJ632">
        <v>1.5</v>
      </c>
      <c r="AK632">
        <v>2</v>
      </c>
      <c r="AL632">
        <v>5.4</v>
      </c>
      <c r="AM632">
        <v>4</v>
      </c>
      <c r="AN632">
        <v>5.7</v>
      </c>
      <c r="AO632">
        <v>4</v>
      </c>
      <c r="AP632">
        <v>4.5</v>
      </c>
      <c r="AQ632">
        <v>4</v>
      </c>
      <c r="AR632">
        <v>3.4</v>
      </c>
      <c r="AS632">
        <v>4</v>
      </c>
      <c r="AT632">
        <v>-3.4</v>
      </c>
      <c r="AU632">
        <v>-3.7</v>
      </c>
      <c r="AV632">
        <v>-5</v>
      </c>
      <c r="AW632">
        <v>-5.0999999999999996</v>
      </c>
      <c r="AX632">
        <v>-6.7</v>
      </c>
      <c r="AY632">
        <v>-5</v>
      </c>
      <c r="AZ632">
        <v>11.8</v>
      </c>
      <c r="BA632">
        <v>10</v>
      </c>
      <c r="BB632">
        <v>12.2</v>
      </c>
      <c r="BC632">
        <v>10</v>
      </c>
      <c r="BD632">
        <v>5.6</v>
      </c>
      <c r="BE632">
        <v>4</v>
      </c>
      <c r="BF632">
        <v>11.1</v>
      </c>
      <c r="BG632">
        <v>10</v>
      </c>
      <c r="BH632">
        <v>11.4</v>
      </c>
      <c r="BI632">
        <v>10</v>
      </c>
      <c r="BJ632">
        <v>11.2</v>
      </c>
      <c r="BK632">
        <v>9</v>
      </c>
      <c r="BL632">
        <v>19.7</v>
      </c>
      <c r="BM632">
        <v>19</v>
      </c>
      <c r="BN632">
        <v>23.6</v>
      </c>
      <c r="BO632">
        <v>19</v>
      </c>
      <c r="BP632">
        <v>21.3</v>
      </c>
      <c r="BQ632">
        <v>20</v>
      </c>
      <c r="BR632">
        <v>21.8</v>
      </c>
      <c r="BS632">
        <v>25</v>
      </c>
      <c r="BT632">
        <v>21.9</v>
      </c>
      <c r="BU632">
        <v>25</v>
      </c>
      <c r="BV632">
        <v>23.5</v>
      </c>
      <c r="BW632">
        <v>18</v>
      </c>
      <c r="BX632">
        <v>21.9</v>
      </c>
      <c r="BY632">
        <v>20</v>
      </c>
      <c r="BZ632">
        <v>21.4</v>
      </c>
      <c r="CA632">
        <v>20</v>
      </c>
      <c r="CB632">
        <v>10.4</v>
      </c>
      <c r="CC632">
        <v>10</v>
      </c>
      <c r="CD632">
        <v>12</v>
      </c>
      <c r="CE632">
        <v>10</v>
      </c>
      <c r="CF632">
        <v>11.4</v>
      </c>
      <c r="CG632">
        <v>9</v>
      </c>
      <c r="CH632">
        <v>11.6</v>
      </c>
      <c r="CI632">
        <v>9</v>
      </c>
    </row>
    <row r="633" spans="1:87" x14ac:dyDescent="0.35">
      <c r="A633" s="1">
        <v>46059.900694444441</v>
      </c>
      <c r="B633">
        <v>-21</v>
      </c>
      <c r="C633">
        <v>-21.9</v>
      </c>
      <c r="D633">
        <v>-25</v>
      </c>
      <c r="E633">
        <v>-22</v>
      </c>
      <c r="F633">
        <v>-13.9</v>
      </c>
      <c r="G633">
        <v>-25</v>
      </c>
      <c r="H633">
        <v>-19.5</v>
      </c>
      <c r="I633">
        <v>-22.1</v>
      </c>
      <c r="J633">
        <v>-25</v>
      </c>
      <c r="K633">
        <v>-19.7</v>
      </c>
      <c r="L633">
        <v>-19.2</v>
      </c>
      <c r="M633">
        <v>-25</v>
      </c>
      <c r="N633">
        <v>-17.7</v>
      </c>
      <c r="O633">
        <v>-16.3</v>
      </c>
      <c r="P633">
        <v>-25</v>
      </c>
      <c r="Q633">
        <v>-17.600000000000001</v>
      </c>
      <c r="R633">
        <v>-17.5</v>
      </c>
      <c r="S633">
        <v>-25</v>
      </c>
      <c r="T633">
        <v>2.2999999999999998</v>
      </c>
      <c r="U633">
        <v>2.1</v>
      </c>
      <c r="V633">
        <v>2</v>
      </c>
      <c r="W633">
        <v>2.1</v>
      </c>
      <c r="X633">
        <v>1.5</v>
      </c>
      <c r="Y633">
        <v>2</v>
      </c>
      <c r="Z633">
        <v>2.8</v>
      </c>
      <c r="AA633">
        <v>2</v>
      </c>
      <c r="AB633">
        <v>2</v>
      </c>
      <c r="AC633">
        <v>2.2000000000000002</v>
      </c>
      <c r="AD633">
        <v>0</v>
      </c>
      <c r="AE633">
        <v>2</v>
      </c>
      <c r="AF633">
        <v>2.8</v>
      </c>
      <c r="AG633">
        <v>3.2</v>
      </c>
      <c r="AH633">
        <v>2</v>
      </c>
      <c r="AI633">
        <v>3.4</v>
      </c>
      <c r="AJ633">
        <v>0.5</v>
      </c>
      <c r="AK633">
        <v>2</v>
      </c>
      <c r="AL633">
        <v>5.4</v>
      </c>
      <c r="AM633">
        <v>4</v>
      </c>
      <c r="AN633">
        <v>5.7</v>
      </c>
      <c r="AO633">
        <v>4</v>
      </c>
      <c r="AP633">
        <v>4.8</v>
      </c>
      <c r="AQ633">
        <v>4</v>
      </c>
      <c r="AR633">
        <v>3.8</v>
      </c>
      <c r="AS633">
        <v>4</v>
      </c>
      <c r="AT633">
        <v>-3.1</v>
      </c>
      <c r="AU633">
        <v>-3.2</v>
      </c>
      <c r="AV633">
        <v>-5</v>
      </c>
      <c r="AW633">
        <v>-4.9000000000000004</v>
      </c>
      <c r="AX633">
        <v>-5.0999999999999996</v>
      </c>
      <c r="AY633">
        <v>-5</v>
      </c>
      <c r="AZ633">
        <v>11.9</v>
      </c>
      <c r="BA633">
        <v>10</v>
      </c>
      <c r="BB633">
        <v>11.8</v>
      </c>
      <c r="BC633">
        <v>10</v>
      </c>
      <c r="BD633">
        <v>5.6</v>
      </c>
      <c r="BE633">
        <v>4</v>
      </c>
      <c r="BF633">
        <v>10.1</v>
      </c>
      <c r="BG633">
        <v>10</v>
      </c>
      <c r="BH633">
        <v>11.5</v>
      </c>
      <c r="BI633">
        <v>10</v>
      </c>
      <c r="BJ633">
        <v>11.3</v>
      </c>
      <c r="BK633">
        <v>9</v>
      </c>
      <c r="BL633">
        <v>19.7</v>
      </c>
      <c r="BM633">
        <v>19</v>
      </c>
      <c r="BN633">
        <v>23.6</v>
      </c>
      <c r="BO633">
        <v>19</v>
      </c>
      <c r="BP633">
        <v>21.4</v>
      </c>
      <c r="BQ633">
        <v>20</v>
      </c>
      <c r="BR633">
        <v>21.8</v>
      </c>
      <c r="BS633">
        <v>25</v>
      </c>
      <c r="BT633">
        <v>21.9</v>
      </c>
      <c r="BU633">
        <v>25</v>
      </c>
      <c r="BV633">
        <v>23.5</v>
      </c>
      <c r="BW633">
        <v>18</v>
      </c>
      <c r="BX633">
        <v>21.9</v>
      </c>
      <c r="BY633">
        <v>20</v>
      </c>
      <c r="BZ633">
        <v>21.4</v>
      </c>
      <c r="CA633">
        <v>20</v>
      </c>
      <c r="CB633">
        <v>10.199999999999999</v>
      </c>
      <c r="CC633">
        <v>10</v>
      </c>
      <c r="CD633">
        <v>11.9</v>
      </c>
      <c r="CE633">
        <v>10</v>
      </c>
      <c r="CF633">
        <v>11.4</v>
      </c>
      <c r="CG633">
        <v>9</v>
      </c>
      <c r="CH633">
        <v>11.6</v>
      </c>
      <c r="CI633">
        <v>9</v>
      </c>
    </row>
    <row r="634" spans="1:87" x14ac:dyDescent="0.35">
      <c r="A634" s="1">
        <v>46059.901388888888</v>
      </c>
      <c r="B634">
        <v>-21</v>
      </c>
      <c r="C634">
        <v>-22.4</v>
      </c>
      <c r="D634">
        <v>-25</v>
      </c>
      <c r="E634">
        <v>-22</v>
      </c>
      <c r="F634">
        <v>-10.9</v>
      </c>
      <c r="G634">
        <v>-25</v>
      </c>
      <c r="H634">
        <v>-19.5</v>
      </c>
      <c r="I634">
        <v>-22.9</v>
      </c>
      <c r="J634">
        <v>-25</v>
      </c>
      <c r="K634">
        <v>-19.7</v>
      </c>
      <c r="L634">
        <v>-19.100000000000001</v>
      </c>
      <c r="M634">
        <v>-25</v>
      </c>
      <c r="N634">
        <v>-17.5</v>
      </c>
      <c r="O634">
        <v>-16.3</v>
      </c>
      <c r="P634">
        <v>-25</v>
      </c>
      <c r="Q634">
        <v>-17.399999999999999</v>
      </c>
      <c r="R634">
        <v>-17.3</v>
      </c>
      <c r="S634">
        <v>-25</v>
      </c>
      <c r="T634">
        <v>2.4</v>
      </c>
      <c r="U634">
        <v>2.2000000000000002</v>
      </c>
      <c r="V634">
        <v>2</v>
      </c>
      <c r="W634">
        <v>2.2000000000000002</v>
      </c>
      <c r="X634">
        <v>1.6</v>
      </c>
      <c r="Y634">
        <v>2</v>
      </c>
      <c r="Z634">
        <v>2.6</v>
      </c>
      <c r="AA634">
        <v>1.8</v>
      </c>
      <c r="AB634">
        <v>2</v>
      </c>
      <c r="AC634">
        <v>2</v>
      </c>
      <c r="AD634">
        <v>-0.1</v>
      </c>
      <c r="AE634">
        <v>2</v>
      </c>
      <c r="AF634">
        <v>2.8</v>
      </c>
      <c r="AG634">
        <v>3.2</v>
      </c>
      <c r="AH634">
        <v>2</v>
      </c>
      <c r="AI634">
        <v>3</v>
      </c>
      <c r="AJ634">
        <v>0.3</v>
      </c>
      <c r="AK634">
        <v>2</v>
      </c>
      <c r="AL634">
        <v>5.4</v>
      </c>
      <c r="AM634">
        <v>4</v>
      </c>
      <c r="AN634">
        <v>5.7</v>
      </c>
      <c r="AO634">
        <v>4</v>
      </c>
      <c r="AP634">
        <v>4.9000000000000004</v>
      </c>
      <c r="AQ634">
        <v>4</v>
      </c>
      <c r="AR634">
        <v>4.0999999999999996</v>
      </c>
      <c r="AS634">
        <v>4</v>
      </c>
      <c r="AT634">
        <v>-2.9</v>
      </c>
      <c r="AU634">
        <v>-4.5999999999999996</v>
      </c>
      <c r="AV634">
        <v>-5</v>
      </c>
      <c r="AW634">
        <v>-4.2</v>
      </c>
      <c r="AX634">
        <v>-4.0999999999999996</v>
      </c>
      <c r="AY634">
        <v>-5</v>
      </c>
      <c r="AZ634">
        <v>11.9</v>
      </c>
      <c r="BA634">
        <v>10</v>
      </c>
      <c r="BB634">
        <v>11.4</v>
      </c>
      <c r="BC634">
        <v>10</v>
      </c>
      <c r="BD634">
        <v>5.6</v>
      </c>
      <c r="BE634">
        <v>4</v>
      </c>
      <c r="BF634">
        <v>9.6</v>
      </c>
      <c r="BG634">
        <v>10</v>
      </c>
      <c r="BH634">
        <v>11.6</v>
      </c>
      <c r="BI634">
        <v>10</v>
      </c>
      <c r="BJ634">
        <v>11.5</v>
      </c>
      <c r="BK634">
        <v>9</v>
      </c>
      <c r="BL634">
        <v>19.7</v>
      </c>
      <c r="BM634">
        <v>19</v>
      </c>
      <c r="BN634">
        <v>23.6</v>
      </c>
      <c r="BO634">
        <v>19</v>
      </c>
      <c r="BP634">
        <v>21.4</v>
      </c>
      <c r="BQ634">
        <v>20</v>
      </c>
      <c r="BR634">
        <v>21.8</v>
      </c>
      <c r="BS634">
        <v>25</v>
      </c>
      <c r="BT634">
        <v>21.9</v>
      </c>
      <c r="BU634">
        <v>25</v>
      </c>
      <c r="BV634">
        <v>23.5</v>
      </c>
      <c r="BW634">
        <v>18</v>
      </c>
      <c r="BX634">
        <v>21.9</v>
      </c>
      <c r="BY634">
        <v>20</v>
      </c>
      <c r="BZ634">
        <v>21.4</v>
      </c>
      <c r="CA634">
        <v>20</v>
      </c>
      <c r="CB634">
        <v>10.1</v>
      </c>
      <c r="CC634">
        <v>10</v>
      </c>
      <c r="CD634">
        <v>11.4</v>
      </c>
      <c r="CE634">
        <v>10</v>
      </c>
      <c r="CF634">
        <v>11.3</v>
      </c>
      <c r="CG634">
        <v>9</v>
      </c>
      <c r="CH634">
        <v>11.6</v>
      </c>
      <c r="CI634">
        <v>9</v>
      </c>
    </row>
    <row r="635" spans="1:87" x14ac:dyDescent="0.35">
      <c r="A635" s="1">
        <v>46059.902777777781</v>
      </c>
      <c r="B635">
        <v>-20.8</v>
      </c>
      <c r="C635">
        <v>-20.9</v>
      </c>
      <c r="D635">
        <v>-25</v>
      </c>
      <c r="E635">
        <v>-22</v>
      </c>
      <c r="F635">
        <v>-5.7</v>
      </c>
      <c r="G635">
        <v>-25</v>
      </c>
      <c r="H635">
        <v>-19.5</v>
      </c>
      <c r="I635">
        <v>-24.7</v>
      </c>
      <c r="J635">
        <v>-25</v>
      </c>
      <c r="K635">
        <v>-20.2</v>
      </c>
      <c r="L635">
        <v>-19.100000000000001</v>
      </c>
      <c r="M635">
        <v>-25</v>
      </c>
      <c r="N635">
        <v>-17.399999999999999</v>
      </c>
      <c r="O635">
        <v>-16.399999999999999</v>
      </c>
      <c r="P635">
        <v>-25</v>
      </c>
      <c r="Q635">
        <v>-17.2</v>
      </c>
      <c r="R635">
        <v>-17.100000000000001</v>
      </c>
      <c r="S635">
        <v>-25</v>
      </c>
      <c r="T635">
        <v>2.5</v>
      </c>
      <c r="U635">
        <v>2.2999999999999998</v>
      </c>
      <c r="V635">
        <v>2</v>
      </c>
      <c r="W635">
        <v>2.2999999999999998</v>
      </c>
      <c r="X635">
        <v>1.8</v>
      </c>
      <c r="Y635">
        <v>2</v>
      </c>
      <c r="Z635">
        <v>2.4</v>
      </c>
      <c r="AA635">
        <v>1.9</v>
      </c>
      <c r="AB635">
        <v>2</v>
      </c>
      <c r="AC635">
        <v>1.9</v>
      </c>
      <c r="AD635">
        <v>1.4</v>
      </c>
      <c r="AE635">
        <v>2</v>
      </c>
      <c r="AF635">
        <v>2.8</v>
      </c>
      <c r="AG635">
        <v>3.2</v>
      </c>
      <c r="AH635">
        <v>2</v>
      </c>
      <c r="AI635">
        <v>2.5</v>
      </c>
      <c r="AJ635">
        <v>0.7</v>
      </c>
      <c r="AK635">
        <v>2</v>
      </c>
      <c r="AL635">
        <v>5.5</v>
      </c>
      <c r="AM635">
        <v>4</v>
      </c>
      <c r="AN635">
        <v>5.8</v>
      </c>
      <c r="AO635">
        <v>4</v>
      </c>
      <c r="AP635">
        <v>5.3</v>
      </c>
      <c r="AQ635">
        <v>4</v>
      </c>
      <c r="AR635">
        <v>4.7</v>
      </c>
      <c r="AS635">
        <v>4</v>
      </c>
      <c r="AT635">
        <v>-4.0999999999999996</v>
      </c>
      <c r="AU635">
        <v>-6.7</v>
      </c>
      <c r="AV635">
        <v>-5</v>
      </c>
      <c r="AW635">
        <v>-3.6</v>
      </c>
      <c r="AX635">
        <v>-3.6</v>
      </c>
      <c r="AY635">
        <v>-5</v>
      </c>
      <c r="AZ635">
        <v>10.9</v>
      </c>
      <c r="BA635">
        <v>10</v>
      </c>
      <c r="BB635">
        <v>11</v>
      </c>
      <c r="BC635">
        <v>10</v>
      </c>
      <c r="BD635">
        <v>5.0999999999999996</v>
      </c>
      <c r="BE635">
        <v>4</v>
      </c>
      <c r="BF635">
        <v>9.8000000000000007</v>
      </c>
      <c r="BG635">
        <v>10</v>
      </c>
      <c r="BH635">
        <v>11.6</v>
      </c>
      <c r="BI635">
        <v>10</v>
      </c>
      <c r="BJ635">
        <v>11.6</v>
      </c>
      <c r="BK635">
        <v>9</v>
      </c>
      <c r="BL635">
        <v>19.8</v>
      </c>
      <c r="BM635">
        <v>19</v>
      </c>
      <c r="BN635">
        <v>23.6</v>
      </c>
      <c r="BO635">
        <v>19</v>
      </c>
      <c r="BP635">
        <v>21.4</v>
      </c>
      <c r="BQ635">
        <v>20</v>
      </c>
      <c r="BR635">
        <v>21.8</v>
      </c>
      <c r="BS635">
        <v>25</v>
      </c>
      <c r="BT635">
        <v>21.9</v>
      </c>
      <c r="BU635">
        <v>25</v>
      </c>
      <c r="BV635">
        <v>23.5</v>
      </c>
      <c r="BW635">
        <v>18</v>
      </c>
      <c r="BX635">
        <v>21.9</v>
      </c>
      <c r="BY635">
        <v>20</v>
      </c>
      <c r="BZ635">
        <v>21.5</v>
      </c>
      <c r="CA635">
        <v>20</v>
      </c>
      <c r="CB635">
        <v>10.3</v>
      </c>
      <c r="CC635">
        <v>10</v>
      </c>
      <c r="CD635">
        <v>10.9</v>
      </c>
      <c r="CE635">
        <v>10</v>
      </c>
      <c r="CF635">
        <v>11.3</v>
      </c>
      <c r="CG635">
        <v>9</v>
      </c>
      <c r="CH635">
        <v>11.5</v>
      </c>
      <c r="CI635">
        <v>9</v>
      </c>
    </row>
    <row r="636" spans="1:87" x14ac:dyDescent="0.35">
      <c r="A636" s="1">
        <v>46059.90347222222</v>
      </c>
      <c r="B636">
        <v>-20.399999999999999</v>
      </c>
      <c r="C636">
        <v>-20.399999999999999</v>
      </c>
      <c r="D636">
        <v>-25</v>
      </c>
      <c r="E636">
        <v>-22</v>
      </c>
      <c r="F636">
        <v>-4.2</v>
      </c>
      <c r="G636">
        <v>-25</v>
      </c>
      <c r="H636">
        <v>-19.600000000000001</v>
      </c>
      <c r="I636">
        <v>-24.7</v>
      </c>
      <c r="J636">
        <v>-25</v>
      </c>
      <c r="K636">
        <v>-20.399999999999999</v>
      </c>
      <c r="L636">
        <v>-19.2</v>
      </c>
      <c r="M636">
        <v>-25</v>
      </c>
      <c r="N636">
        <v>-17.399999999999999</v>
      </c>
      <c r="O636">
        <v>-16.399999999999999</v>
      </c>
      <c r="P636">
        <v>-25</v>
      </c>
      <c r="Q636">
        <v>-17.2</v>
      </c>
      <c r="R636">
        <v>-17.100000000000001</v>
      </c>
      <c r="S636">
        <v>-25</v>
      </c>
      <c r="T636">
        <v>2.5</v>
      </c>
      <c r="U636">
        <v>2.4</v>
      </c>
      <c r="V636">
        <v>2</v>
      </c>
      <c r="W636">
        <v>2.4</v>
      </c>
      <c r="X636">
        <v>2</v>
      </c>
      <c r="Y636">
        <v>2</v>
      </c>
      <c r="Z636">
        <v>2.4</v>
      </c>
      <c r="AA636">
        <v>2.1</v>
      </c>
      <c r="AB636">
        <v>2</v>
      </c>
      <c r="AC636">
        <v>2.1</v>
      </c>
      <c r="AD636">
        <v>1.8</v>
      </c>
      <c r="AE636">
        <v>2</v>
      </c>
      <c r="AF636">
        <v>2.8</v>
      </c>
      <c r="AG636">
        <v>3.2</v>
      </c>
      <c r="AH636">
        <v>2</v>
      </c>
      <c r="AI636">
        <v>2.4</v>
      </c>
      <c r="AJ636">
        <v>0.5</v>
      </c>
      <c r="AK636">
        <v>2</v>
      </c>
      <c r="AL636">
        <v>5.6</v>
      </c>
      <c r="AM636">
        <v>4</v>
      </c>
      <c r="AN636">
        <v>5.9</v>
      </c>
      <c r="AO636">
        <v>4</v>
      </c>
      <c r="AP636">
        <v>5.4</v>
      </c>
      <c r="AQ636">
        <v>4</v>
      </c>
      <c r="AR636">
        <v>5</v>
      </c>
      <c r="AS636">
        <v>4</v>
      </c>
      <c r="AT636">
        <v>-4.7</v>
      </c>
      <c r="AU636">
        <v>-7.2</v>
      </c>
      <c r="AV636">
        <v>-5</v>
      </c>
      <c r="AW636">
        <v>-3.2</v>
      </c>
      <c r="AX636">
        <v>-3.1</v>
      </c>
      <c r="AY636">
        <v>-5</v>
      </c>
      <c r="AZ636">
        <v>9.9</v>
      </c>
      <c r="BA636">
        <v>10</v>
      </c>
      <c r="BB636">
        <v>11</v>
      </c>
      <c r="BC636">
        <v>10</v>
      </c>
      <c r="BD636">
        <v>4.9000000000000004</v>
      </c>
      <c r="BE636">
        <v>4</v>
      </c>
      <c r="BF636">
        <v>10.199999999999999</v>
      </c>
      <c r="BG636">
        <v>10</v>
      </c>
      <c r="BH636">
        <v>11.5</v>
      </c>
      <c r="BI636">
        <v>10</v>
      </c>
      <c r="BJ636">
        <v>11.3</v>
      </c>
      <c r="BK636">
        <v>9</v>
      </c>
      <c r="BL636">
        <v>19.8</v>
      </c>
      <c r="BM636">
        <v>19</v>
      </c>
      <c r="BN636">
        <v>23.6</v>
      </c>
      <c r="BO636">
        <v>19</v>
      </c>
      <c r="BP636">
        <v>21.4</v>
      </c>
      <c r="BQ636">
        <v>20</v>
      </c>
      <c r="BR636">
        <v>21.8</v>
      </c>
      <c r="BS636">
        <v>25</v>
      </c>
      <c r="BT636">
        <v>21.9</v>
      </c>
      <c r="BU636">
        <v>25</v>
      </c>
      <c r="BV636">
        <v>23.5</v>
      </c>
      <c r="BW636">
        <v>18</v>
      </c>
      <c r="BX636">
        <v>21.9</v>
      </c>
      <c r="BY636">
        <v>20</v>
      </c>
      <c r="BZ636">
        <v>21.5</v>
      </c>
      <c r="CA636">
        <v>20</v>
      </c>
      <c r="CB636">
        <v>10.6</v>
      </c>
      <c r="CC636">
        <v>10</v>
      </c>
      <c r="CD636">
        <v>10.7</v>
      </c>
      <c r="CE636">
        <v>10</v>
      </c>
      <c r="CF636">
        <v>11.3</v>
      </c>
      <c r="CG636">
        <v>9</v>
      </c>
      <c r="CH636">
        <v>11.5</v>
      </c>
      <c r="CI636">
        <v>9</v>
      </c>
    </row>
    <row r="637" spans="1:87" x14ac:dyDescent="0.35">
      <c r="A637" s="1">
        <v>46059.904166666667</v>
      </c>
      <c r="B637">
        <v>-20</v>
      </c>
      <c r="C637">
        <v>-19.899999999999999</v>
      </c>
      <c r="D637">
        <v>-25</v>
      </c>
      <c r="E637">
        <v>-22</v>
      </c>
      <c r="F637">
        <v>-2.9</v>
      </c>
      <c r="G637">
        <v>-25</v>
      </c>
      <c r="H637">
        <v>-19.7</v>
      </c>
      <c r="I637">
        <v>-23.7</v>
      </c>
      <c r="J637">
        <v>-25</v>
      </c>
      <c r="K637">
        <v>-20.399999999999999</v>
      </c>
      <c r="L637">
        <v>-19.2</v>
      </c>
      <c r="M637">
        <v>-25</v>
      </c>
      <c r="N637">
        <v>-17.5</v>
      </c>
      <c r="O637">
        <v>-16.399999999999999</v>
      </c>
      <c r="P637">
        <v>-25</v>
      </c>
      <c r="Q637">
        <v>-17.2</v>
      </c>
      <c r="R637">
        <v>-17.100000000000001</v>
      </c>
      <c r="S637">
        <v>-25</v>
      </c>
      <c r="T637">
        <v>2.6</v>
      </c>
      <c r="U637">
        <v>2.5</v>
      </c>
      <c r="V637">
        <v>2</v>
      </c>
      <c r="W637">
        <v>2.5</v>
      </c>
      <c r="X637">
        <v>2.2000000000000002</v>
      </c>
      <c r="Y637">
        <v>2</v>
      </c>
      <c r="Z637">
        <v>2.6</v>
      </c>
      <c r="AA637">
        <v>2.2000000000000002</v>
      </c>
      <c r="AB637">
        <v>2</v>
      </c>
      <c r="AC637">
        <v>2.2000000000000002</v>
      </c>
      <c r="AD637">
        <v>1.9</v>
      </c>
      <c r="AE637">
        <v>2</v>
      </c>
      <c r="AF637">
        <v>2.8</v>
      </c>
      <c r="AG637">
        <v>3.2</v>
      </c>
      <c r="AH637">
        <v>2</v>
      </c>
      <c r="AI637">
        <v>2.2999999999999998</v>
      </c>
      <c r="AJ637">
        <v>0.3</v>
      </c>
      <c r="AK637">
        <v>2</v>
      </c>
      <c r="AL637">
        <v>5.6</v>
      </c>
      <c r="AM637">
        <v>4</v>
      </c>
      <c r="AN637">
        <v>5.9</v>
      </c>
      <c r="AO637">
        <v>4</v>
      </c>
      <c r="AP637">
        <v>5.6</v>
      </c>
      <c r="AQ637">
        <v>4</v>
      </c>
      <c r="AR637">
        <v>5.2</v>
      </c>
      <c r="AS637">
        <v>4</v>
      </c>
      <c r="AT637">
        <v>-4.8</v>
      </c>
      <c r="AU637">
        <v>-5.9</v>
      </c>
      <c r="AV637">
        <v>-5</v>
      </c>
      <c r="AW637">
        <v>-2.8</v>
      </c>
      <c r="AX637">
        <v>-2.6</v>
      </c>
      <c r="AY637">
        <v>-5</v>
      </c>
      <c r="AZ637">
        <v>9</v>
      </c>
      <c r="BA637">
        <v>10</v>
      </c>
      <c r="BB637">
        <v>10.9</v>
      </c>
      <c r="BC637">
        <v>10</v>
      </c>
      <c r="BD637">
        <v>4.7</v>
      </c>
      <c r="BE637">
        <v>4</v>
      </c>
      <c r="BF637">
        <v>10.7</v>
      </c>
      <c r="BG637">
        <v>10</v>
      </c>
      <c r="BH637">
        <v>11.4</v>
      </c>
      <c r="BI637">
        <v>10</v>
      </c>
      <c r="BJ637">
        <v>10.9</v>
      </c>
      <c r="BK637">
        <v>9</v>
      </c>
      <c r="BL637">
        <v>19.8</v>
      </c>
      <c r="BM637">
        <v>19</v>
      </c>
      <c r="BN637">
        <v>23.6</v>
      </c>
      <c r="BO637">
        <v>19</v>
      </c>
      <c r="BP637">
        <v>21.4</v>
      </c>
      <c r="BQ637">
        <v>20</v>
      </c>
      <c r="BR637">
        <v>21.8</v>
      </c>
      <c r="BS637">
        <v>25</v>
      </c>
      <c r="BT637">
        <v>21.9</v>
      </c>
      <c r="BU637">
        <v>25</v>
      </c>
      <c r="BV637">
        <v>23.5</v>
      </c>
      <c r="BW637">
        <v>18</v>
      </c>
      <c r="BX637">
        <v>21.9</v>
      </c>
      <c r="BY637">
        <v>20</v>
      </c>
      <c r="BZ637">
        <v>21.5</v>
      </c>
      <c r="CA637">
        <v>20</v>
      </c>
      <c r="CB637">
        <v>11.1</v>
      </c>
      <c r="CC637">
        <v>10</v>
      </c>
      <c r="CD637">
        <v>10.6</v>
      </c>
      <c r="CE637">
        <v>10</v>
      </c>
      <c r="CF637">
        <v>11.2</v>
      </c>
      <c r="CG637">
        <v>9</v>
      </c>
      <c r="CH637">
        <v>11.4</v>
      </c>
      <c r="CI637">
        <v>9</v>
      </c>
    </row>
    <row r="638" spans="1:87" x14ac:dyDescent="0.35">
      <c r="A638" s="1">
        <v>46059.904861111114</v>
      </c>
      <c r="B638">
        <v>-19.600000000000001</v>
      </c>
      <c r="C638">
        <v>-19.399999999999999</v>
      </c>
      <c r="D638">
        <v>-25</v>
      </c>
      <c r="E638">
        <v>-22</v>
      </c>
      <c r="F638">
        <v>-1.5</v>
      </c>
      <c r="G638">
        <v>-25</v>
      </c>
      <c r="H638">
        <v>-19.7</v>
      </c>
      <c r="I638">
        <v>-21.9</v>
      </c>
      <c r="J638">
        <v>-25</v>
      </c>
      <c r="K638">
        <v>-20.3</v>
      </c>
      <c r="L638">
        <v>-19.2</v>
      </c>
      <c r="M638">
        <v>-25</v>
      </c>
      <c r="N638">
        <v>-17.5</v>
      </c>
      <c r="O638">
        <v>-16.399999999999999</v>
      </c>
      <c r="P638">
        <v>-25</v>
      </c>
      <c r="Q638">
        <v>-17.2</v>
      </c>
      <c r="R638">
        <v>-17.100000000000001</v>
      </c>
      <c r="S638">
        <v>-25</v>
      </c>
      <c r="T638">
        <v>2.7</v>
      </c>
      <c r="U638">
        <v>2.6</v>
      </c>
      <c r="V638">
        <v>2</v>
      </c>
      <c r="W638">
        <v>2.6</v>
      </c>
      <c r="X638">
        <v>2.2999999999999998</v>
      </c>
      <c r="Y638">
        <v>2</v>
      </c>
      <c r="Z638">
        <v>2.7</v>
      </c>
      <c r="AA638">
        <v>2.2999999999999998</v>
      </c>
      <c r="AB638">
        <v>2</v>
      </c>
      <c r="AC638">
        <v>2.2999999999999998</v>
      </c>
      <c r="AD638">
        <v>2.1</v>
      </c>
      <c r="AE638">
        <v>2</v>
      </c>
      <c r="AF638">
        <v>2.8</v>
      </c>
      <c r="AG638">
        <v>3.2</v>
      </c>
      <c r="AH638">
        <v>2</v>
      </c>
      <c r="AI638">
        <v>2.1</v>
      </c>
      <c r="AJ638">
        <v>-0.5</v>
      </c>
      <c r="AK638">
        <v>2</v>
      </c>
      <c r="AL638">
        <v>5.7</v>
      </c>
      <c r="AM638">
        <v>4</v>
      </c>
      <c r="AN638">
        <v>6</v>
      </c>
      <c r="AO638">
        <v>4</v>
      </c>
      <c r="AP638">
        <v>5.8</v>
      </c>
      <c r="AQ638">
        <v>4</v>
      </c>
      <c r="AR638">
        <v>5.4</v>
      </c>
      <c r="AS638">
        <v>4</v>
      </c>
      <c r="AT638">
        <v>-4.3</v>
      </c>
      <c r="AU638">
        <v>-4.9000000000000004</v>
      </c>
      <c r="AV638">
        <v>-5</v>
      </c>
      <c r="AW638">
        <v>-2.5</v>
      </c>
      <c r="AX638">
        <v>-2.2999999999999998</v>
      </c>
      <c r="AY638">
        <v>-5</v>
      </c>
      <c r="AZ638">
        <v>9</v>
      </c>
      <c r="BA638">
        <v>10</v>
      </c>
      <c r="BB638">
        <v>10.5</v>
      </c>
      <c r="BC638">
        <v>10</v>
      </c>
      <c r="BD638">
        <v>4.3</v>
      </c>
      <c r="BE638">
        <v>4</v>
      </c>
      <c r="BF638">
        <v>11</v>
      </c>
      <c r="BG638">
        <v>10</v>
      </c>
      <c r="BH638">
        <v>11.4</v>
      </c>
      <c r="BI638">
        <v>10</v>
      </c>
      <c r="BJ638">
        <v>10.8</v>
      </c>
      <c r="BK638">
        <v>9</v>
      </c>
      <c r="BL638">
        <v>19.899999999999999</v>
      </c>
      <c r="BM638">
        <v>19</v>
      </c>
      <c r="BN638">
        <v>23.6</v>
      </c>
      <c r="BO638">
        <v>19</v>
      </c>
      <c r="BP638">
        <v>21.4</v>
      </c>
      <c r="BQ638">
        <v>20</v>
      </c>
      <c r="BR638">
        <v>21.7</v>
      </c>
      <c r="BS638">
        <v>25</v>
      </c>
      <c r="BT638">
        <v>21.9</v>
      </c>
      <c r="BU638">
        <v>25</v>
      </c>
      <c r="BV638">
        <v>23.5</v>
      </c>
      <c r="BW638">
        <v>18</v>
      </c>
      <c r="BX638">
        <v>21.9</v>
      </c>
      <c r="BY638">
        <v>20</v>
      </c>
      <c r="BZ638">
        <v>21.5</v>
      </c>
      <c r="CA638">
        <v>20</v>
      </c>
      <c r="CB638">
        <v>11.5</v>
      </c>
      <c r="CC638">
        <v>10</v>
      </c>
      <c r="CD638">
        <v>10.5</v>
      </c>
      <c r="CE638">
        <v>10</v>
      </c>
      <c r="CF638">
        <v>11.2</v>
      </c>
      <c r="CG638">
        <v>9</v>
      </c>
      <c r="CH638">
        <v>11.4</v>
      </c>
      <c r="CI638">
        <v>9</v>
      </c>
    </row>
    <row r="639" spans="1:87" x14ac:dyDescent="0.35">
      <c r="A639" s="1">
        <v>46059.905555555553</v>
      </c>
      <c r="B639">
        <v>-19.100000000000001</v>
      </c>
      <c r="C639">
        <v>-18.899999999999999</v>
      </c>
      <c r="D639">
        <v>-25</v>
      </c>
      <c r="E639">
        <v>-22</v>
      </c>
      <c r="F639">
        <v>-0.9</v>
      </c>
      <c r="G639">
        <v>-25</v>
      </c>
      <c r="H639">
        <v>-19.7</v>
      </c>
      <c r="I639">
        <v>-21.6</v>
      </c>
      <c r="J639">
        <v>-25</v>
      </c>
      <c r="K639">
        <v>-20.2</v>
      </c>
      <c r="L639">
        <v>-19.2</v>
      </c>
      <c r="M639">
        <v>-25</v>
      </c>
      <c r="N639">
        <v>-17.600000000000001</v>
      </c>
      <c r="O639">
        <v>-16.5</v>
      </c>
      <c r="P639">
        <v>-25</v>
      </c>
      <c r="Q639">
        <v>-17.3</v>
      </c>
      <c r="R639">
        <v>-17.100000000000001</v>
      </c>
      <c r="S639">
        <v>-25</v>
      </c>
      <c r="T639">
        <v>2.8</v>
      </c>
      <c r="U639">
        <v>2.7</v>
      </c>
      <c r="V639">
        <v>2</v>
      </c>
      <c r="W639">
        <v>2.7</v>
      </c>
      <c r="X639">
        <v>2.4</v>
      </c>
      <c r="Y639">
        <v>2</v>
      </c>
      <c r="Z639">
        <v>2.7</v>
      </c>
      <c r="AA639">
        <v>2.4</v>
      </c>
      <c r="AB639">
        <v>2</v>
      </c>
      <c r="AC639">
        <v>2.4</v>
      </c>
      <c r="AD639">
        <v>2.2000000000000002</v>
      </c>
      <c r="AE639">
        <v>2</v>
      </c>
      <c r="AF639">
        <v>2.7</v>
      </c>
      <c r="AG639">
        <v>3.1</v>
      </c>
      <c r="AH639">
        <v>2</v>
      </c>
      <c r="AI639">
        <v>2</v>
      </c>
      <c r="AJ639">
        <v>0</v>
      </c>
      <c r="AK639">
        <v>2</v>
      </c>
      <c r="AL639">
        <v>5.7</v>
      </c>
      <c r="AM639">
        <v>4</v>
      </c>
      <c r="AN639">
        <v>6</v>
      </c>
      <c r="AO639">
        <v>4</v>
      </c>
      <c r="AP639">
        <v>5.9</v>
      </c>
      <c r="AQ639">
        <v>4</v>
      </c>
      <c r="AR639">
        <v>5.6</v>
      </c>
      <c r="AS639">
        <v>4</v>
      </c>
      <c r="AT639">
        <v>-4</v>
      </c>
      <c r="AU639">
        <v>-5.7</v>
      </c>
      <c r="AV639">
        <v>-5</v>
      </c>
      <c r="AW639">
        <v>-2.1</v>
      </c>
      <c r="AX639">
        <v>-1.9</v>
      </c>
      <c r="AY639">
        <v>-5</v>
      </c>
      <c r="AZ639">
        <v>9</v>
      </c>
      <c r="BA639">
        <v>10</v>
      </c>
      <c r="BB639">
        <v>10.3</v>
      </c>
      <c r="BC639">
        <v>10</v>
      </c>
      <c r="BD639">
        <v>3.8</v>
      </c>
      <c r="BE639">
        <v>4</v>
      </c>
      <c r="BF639">
        <v>11.3</v>
      </c>
      <c r="BG639">
        <v>10</v>
      </c>
      <c r="BH639">
        <v>11.4</v>
      </c>
      <c r="BI639">
        <v>10</v>
      </c>
      <c r="BJ639">
        <v>10.8</v>
      </c>
      <c r="BK639">
        <v>9</v>
      </c>
      <c r="BL639">
        <v>19.899999999999999</v>
      </c>
      <c r="BM639">
        <v>19</v>
      </c>
      <c r="BN639">
        <v>23.6</v>
      </c>
      <c r="BO639">
        <v>19</v>
      </c>
      <c r="BP639">
        <v>21.4</v>
      </c>
      <c r="BQ639">
        <v>20</v>
      </c>
      <c r="BR639">
        <v>21.7</v>
      </c>
      <c r="BS639">
        <v>25</v>
      </c>
      <c r="BT639">
        <v>21.9</v>
      </c>
      <c r="BU639">
        <v>25</v>
      </c>
      <c r="BV639">
        <v>23.5</v>
      </c>
      <c r="BW639">
        <v>18</v>
      </c>
      <c r="BX639">
        <v>21.9</v>
      </c>
      <c r="BY639">
        <v>20</v>
      </c>
      <c r="BZ639">
        <v>21.6</v>
      </c>
      <c r="CA639">
        <v>20</v>
      </c>
      <c r="CB639">
        <v>11.9</v>
      </c>
      <c r="CC639">
        <v>10</v>
      </c>
      <c r="CD639">
        <v>10.4</v>
      </c>
      <c r="CE639">
        <v>10</v>
      </c>
      <c r="CF639">
        <v>11.3</v>
      </c>
      <c r="CG639">
        <v>9</v>
      </c>
      <c r="CH639">
        <v>11.5</v>
      </c>
      <c r="CI639">
        <v>9</v>
      </c>
    </row>
    <row r="640" spans="1:87" x14ac:dyDescent="0.35">
      <c r="A640" s="1">
        <v>46059.90625</v>
      </c>
      <c r="B640">
        <v>-18.600000000000001</v>
      </c>
      <c r="C640">
        <v>-18.3</v>
      </c>
      <c r="D640">
        <v>-25</v>
      </c>
      <c r="E640">
        <v>-22</v>
      </c>
      <c r="F640">
        <v>0.5</v>
      </c>
      <c r="G640">
        <v>-25</v>
      </c>
      <c r="H640">
        <v>-19.7</v>
      </c>
      <c r="I640">
        <v>-23.9</v>
      </c>
      <c r="J640">
        <v>-25</v>
      </c>
      <c r="K640">
        <v>-20.2</v>
      </c>
      <c r="L640">
        <v>-19.2</v>
      </c>
      <c r="M640">
        <v>-25</v>
      </c>
      <c r="N640">
        <v>-17.600000000000001</v>
      </c>
      <c r="O640">
        <v>-16.5</v>
      </c>
      <c r="P640">
        <v>-25</v>
      </c>
      <c r="Q640">
        <v>-17.3</v>
      </c>
      <c r="R640">
        <v>-17.100000000000001</v>
      </c>
      <c r="S640">
        <v>-25</v>
      </c>
      <c r="T640">
        <v>2.9</v>
      </c>
      <c r="U640">
        <v>2.9</v>
      </c>
      <c r="V640">
        <v>2</v>
      </c>
      <c r="W640">
        <v>2.8</v>
      </c>
      <c r="X640">
        <v>2.5</v>
      </c>
      <c r="Y640">
        <v>2</v>
      </c>
      <c r="Z640">
        <v>2.8</v>
      </c>
      <c r="AA640">
        <v>2.5</v>
      </c>
      <c r="AB640">
        <v>2</v>
      </c>
      <c r="AC640">
        <v>2.5</v>
      </c>
      <c r="AD640">
        <v>2.2999999999999998</v>
      </c>
      <c r="AE640">
        <v>2</v>
      </c>
      <c r="AF640">
        <v>2.6</v>
      </c>
      <c r="AG640">
        <v>2.4</v>
      </c>
      <c r="AH640">
        <v>2</v>
      </c>
      <c r="AI640">
        <v>2</v>
      </c>
      <c r="AJ640">
        <v>0.8</v>
      </c>
      <c r="AK640">
        <v>2</v>
      </c>
      <c r="AL640">
        <v>5.7</v>
      </c>
      <c r="AM640">
        <v>4</v>
      </c>
      <c r="AN640">
        <v>5.9</v>
      </c>
      <c r="AO640">
        <v>4</v>
      </c>
      <c r="AP640">
        <v>6</v>
      </c>
      <c r="AQ640">
        <v>4</v>
      </c>
      <c r="AR640">
        <v>5.8</v>
      </c>
      <c r="AS640">
        <v>4</v>
      </c>
      <c r="AT640">
        <v>-4.2</v>
      </c>
      <c r="AU640">
        <v>-6</v>
      </c>
      <c r="AV640">
        <v>-5</v>
      </c>
      <c r="AW640">
        <v>-2.1</v>
      </c>
      <c r="AX640">
        <v>-2.5</v>
      </c>
      <c r="AY640">
        <v>-5</v>
      </c>
      <c r="AZ640">
        <v>9.1999999999999993</v>
      </c>
      <c r="BA640">
        <v>10</v>
      </c>
      <c r="BB640">
        <v>10.3</v>
      </c>
      <c r="BC640">
        <v>10</v>
      </c>
      <c r="BD640">
        <v>3.8</v>
      </c>
      <c r="BE640">
        <v>4</v>
      </c>
      <c r="BF640">
        <v>11.5</v>
      </c>
      <c r="BG640">
        <v>10</v>
      </c>
      <c r="BH640">
        <v>11.3</v>
      </c>
      <c r="BI640">
        <v>10</v>
      </c>
      <c r="BJ640">
        <v>10.9</v>
      </c>
      <c r="BK640">
        <v>9</v>
      </c>
      <c r="BL640">
        <v>19.899999999999999</v>
      </c>
      <c r="BM640">
        <v>19</v>
      </c>
      <c r="BN640">
        <v>23.6</v>
      </c>
      <c r="BO640">
        <v>19</v>
      </c>
      <c r="BP640">
        <v>21.4</v>
      </c>
      <c r="BQ640">
        <v>20</v>
      </c>
      <c r="BR640">
        <v>21.7</v>
      </c>
      <c r="BS640">
        <v>25</v>
      </c>
      <c r="BT640">
        <v>21.9</v>
      </c>
      <c r="BU640">
        <v>25</v>
      </c>
      <c r="BV640">
        <v>23.5</v>
      </c>
      <c r="BW640">
        <v>18</v>
      </c>
      <c r="BX640">
        <v>21.9</v>
      </c>
      <c r="BY640">
        <v>20</v>
      </c>
      <c r="BZ640">
        <v>21.6</v>
      </c>
      <c r="CA640">
        <v>20</v>
      </c>
      <c r="CB640">
        <v>12</v>
      </c>
      <c r="CC640">
        <v>10</v>
      </c>
      <c r="CD640">
        <v>10.3</v>
      </c>
      <c r="CE640">
        <v>10</v>
      </c>
      <c r="CF640">
        <v>11.4</v>
      </c>
      <c r="CG640">
        <v>9</v>
      </c>
      <c r="CH640">
        <v>11.6</v>
      </c>
      <c r="CI640">
        <v>9</v>
      </c>
    </row>
    <row r="641" spans="1:87" x14ac:dyDescent="0.35">
      <c r="A641" s="1">
        <v>46059.906944444447</v>
      </c>
      <c r="B641">
        <v>-18.100000000000001</v>
      </c>
      <c r="C641">
        <v>-17.899999999999999</v>
      </c>
      <c r="D641">
        <v>-25</v>
      </c>
      <c r="E641">
        <v>-22</v>
      </c>
      <c r="F641">
        <v>1.1000000000000001</v>
      </c>
      <c r="G641">
        <v>-25</v>
      </c>
      <c r="H641">
        <v>-19.7</v>
      </c>
      <c r="I641">
        <v>-23.8</v>
      </c>
      <c r="J641">
        <v>-25</v>
      </c>
      <c r="K641">
        <v>-20.2</v>
      </c>
      <c r="L641">
        <v>-19.2</v>
      </c>
      <c r="M641">
        <v>-25</v>
      </c>
      <c r="N641">
        <v>-17.399999999999999</v>
      </c>
      <c r="O641">
        <v>-16.5</v>
      </c>
      <c r="P641">
        <v>-25</v>
      </c>
      <c r="Q641">
        <v>-17.3</v>
      </c>
      <c r="R641">
        <v>-17.100000000000001</v>
      </c>
      <c r="S641">
        <v>-25</v>
      </c>
      <c r="T641">
        <v>3</v>
      </c>
      <c r="U641">
        <v>2.9</v>
      </c>
      <c r="V641">
        <v>2</v>
      </c>
      <c r="W641">
        <v>2.9</v>
      </c>
      <c r="X641">
        <v>2.6</v>
      </c>
      <c r="Y641">
        <v>2</v>
      </c>
      <c r="Z641">
        <v>2.9</v>
      </c>
      <c r="AA641">
        <v>2.6</v>
      </c>
      <c r="AB641">
        <v>2</v>
      </c>
      <c r="AC641">
        <v>2.7</v>
      </c>
      <c r="AD641">
        <v>2.5</v>
      </c>
      <c r="AE641">
        <v>2</v>
      </c>
      <c r="AF641">
        <v>2.6</v>
      </c>
      <c r="AG641">
        <v>2.2999999999999998</v>
      </c>
      <c r="AH641">
        <v>2</v>
      </c>
      <c r="AI641">
        <v>2.1</v>
      </c>
      <c r="AJ641">
        <v>1.5</v>
      </c>
      <c r="AK641">
        <v>2</v>
      </c>
      <c r="AL641">
        <v>5.8</v>
      </c>
      <c r="AM641">
        <v>4</v>
      </c>
      <c r="AN641">
        <v>5.5</v>
      </c>
      <c r="AO641">
        <v>4</v>
      </c>
      <c r="AP641">
        <v>5.8</v>
      </c>
      <c r="AQ641">
        <v>4</v>
      </c>
      <c r="AR641">
        <v>6</v>
      </c>
      <c r="AS641">
        <v>4</v>
      </c>
      <c r="AT641">
        <v>-4.3</v>
      </c>
      <c r="AU641">
        <v>-6</v>
      </c>
      <c r="AV641">
        <v>-5</v>
      </c>
      <c r="AW641">
        <v>-2.7</v>
      </c>
      <c r="AX641">
        <v>-4.2</v>
      </c>
      <c r="AY641">
        <v>-5</v>
      </c>
      <c r="AZ641">
        <v>9.3000000000000007</v>
      </c>
      <c r="BA641">
        <v>10</v>
      </c>
      <c r="BB641">
        <v>10.1</v>
      </c>
      <c r="BC641">
        <v>10</v>
      </c>
      <c r="BD641">
        <v>3.9</v>
      </c>
      <c r="BE641">
        <v>4</v>
      </c>
      <c r="BF641">
        <v>11.8</v>
      </c>
      <c r="BG641">
        <v>10</v>
      </c>
      <c r="BH641">
        <v>11.2</v>
      </c>
      <c r="BI641">
        <v>10</v>
      </c>
      <c r="BJ641">
        <v>11</v>
      </c>
      <c r="BK641">
        <v>9</v>
      </c>
      <c r="BL641">
        <v>19.899999999999999</v>
      </c>
      <c r="BM641">
        <v>19</v>
      </c>
      <c r="BN641">
        <v>23.6</v>
      </c>
      <c r="BO641">
        <v>19</v>
      </c>
      <c r="BP641">
        <v>21.5</v>
      </c>
      <c r="BQ641">
        <v>20</v>
      </c>
      <c r="BR641">
        <v>21.7</v>
      </c>
      <c r="BS641">
        <v>25</v>
      </c>
      <c r="BT641">
        <v>21.9</v>
      </c>
      <c r="BU641">
        <v>25</v>
      </c>
      <c r="BV641">
        <v>23.5</v>
      </c>
      <c r="BW641">
        <v>18</v>
      </c>
      <c r="BX641">
        <v>21.9</v>
      </c>
      <c r="BY641">
        <v>20</v>
      </c>
      <c r="BZ641">
        <v>21.6</v>
      </c>
      <c r="CA641">
        <v>20</v>
      </c>
      <c r="CB641">
        <v>11.9</v>
      </c>
      <c r="CC641">
        <v>10</v>
      </c>
      <c r="CD641">
        <v>10.199999999999999</v>
      </c>
      <c r="CE641">
        <v>10</v>
      </c>
      <c r="CF641">
        <v>11.4</v>
      </c>
      <c r="CG641">
        <v>9</v>
      </c>
      <c r="CH641">
        <v>11.6</v>
      </c>
      <c r="CI641">
        <v>9</v>
      </c>
    </row>
    <row r="642" spans="1:87" x14ac:dyDescent="0.35">
      <c r="A642" s="1">
        <v>46059.907638888886</v>
      </c>
      <c r="B642">
        <v>-17.7</v>
      </c>
      <c r="C642">
        <v>-17.600000000000001</v>
      </c>
      <c r="D642">
        <v>-25</v>
      </c>
      <c r="E642">
        <v>-22</v>
      </c>
      <c r="F642">
        <v>1.5</v>
      </c>
      <c r="G642">
        <v>-25</v>
      </c>
      <c r="H642">
        <v>-19.7</v>
      </c>
      <c r="I642">
        <v>-23.8</v>
      </c>
      <c r="J642">
        <v>-25</v>
      </c>
      <c r="K642">
        <v>-20.2</v>
      </c>
      <c r="L642">
        <v>-19.2</v>
      </c>
      <c r="M642">
        <v>-25</v>
      </c>
      <c r="N642">
        <v>-17.100000000000001</v>
      </c>
      <c r="O642">
        <v>-16.5</v>
      </c>
      <c r="P642">
        <v>-25</v>
      </c>
      <c r="Q642">
        <v>-17.100000000000001</v>
      </c>
      <c r="R642">
        <v>-17</v>
      </c>
      <c r="S642">
        <v>-25</v>
      </c>
      <c r="T642">
        <v>3</v>
      </c>
      <c r="U642">
        <v>3</v>
      </c>
      <c r="V642">
        <v>2</v>
      </c>
      <c r="W642">
        <v>3</v>
      </c>
      <c r="X642">
        <v>2.7</v>
      </c>
      <c r="Y642">
        <v>2</v>
      </c>
      <c r="Z642">
        <v>3</v>
      </c>
      <c r="AA642">
        <v>2.7</v>
      </c>
      <c r="AB642">
        <v>2</v>
      </c>
      <c r="AC642">
        <v>2.8</v>
      </c>
      <c r="AD642">
        <v>2.6</v>
      </c>
      <c r="AE642">
        <v>2</v>
      </c>
      <c r="AF642">
        <v>2.6</v>
      </c>
      <c r="AG642">
        <v>2.4</v>
      </c>
      <c r="AH642">
        <v>2</v>
      </c>
      <c r="AI642">
        <v>2.2999999999999998</v>
      </c>
      <c r="AJ642">
        <v>1.7</v>
      </c>
      <c r="AK642">
        <v>2</v>
      </c>
      <c r="AL642">
        <v>5.8</v>
      </c>
      <c r="AM642">
        <v>4</v>
      </c>
      <c r="AN642">
        <v>5.3</v>
      </c>
      <c r="AO642">
        <v>4</v>
      </c>
      <c r="AP642">
        <v>5</v>
      </c>
      <c r="AQ642">
        <v>4</v>
      </c>
      <c r="AR642">
        <v>6</v>
      </c>
      <c r="AS642">
        <v>4</v>
      </c>
      <c r="AT642">
        <v>-4.5</v>
      </c>
      <c r="AU642">
        <v>-6.2</v>
      </c>
      <c r="AV642">
        <v>-5</v>
      </c>
      <c r="AW642">
        <v>-3.2</v>
      </c>
      <c r="AX642">
        <v>-4.3</v>
      </c>
      <c r="AY642">
        <v>-5</v>
      </c>
      <c r="AZ642">
        <v>9.5</v>
      </c>
      <c r="BA642">
        <v>10</v>
      </c>
      <c r="BB642">
        <v>10</v>
      </c>
      <c r="BC642">
        <v>10</v>
      </c>
      <c r="BD642">
        <v>4.2</v>
      </c>
      <c r="BE642">
        <v>4</v>
      </c>
      <c r="BF642">
        <v>12</v>
      </c>
      <c r="BG642">
        <v>10</v>
      </c>
      <c r="BH642">
        <v>11.2</v>
      </c>
      <c r="BI642">
        <v>10</v>
      </c>
      <c r="BJ642">
        <v>11</v>
      </c>
      <c r="BK642">
        <v>9</v>
      </c>
      <c r="BL642">
        <v>20</v>
      </c>
      <c r="BM642">
        <v>19</v>
      </c>
      <c r="BN642">
        <v>23.6</v>
      </c>
      <c r="BO642">
        <v>19</v>
      </c>
      <c r="BP642">
        <v>21.5</v>
      </c>
      <c r="BQ642">
        <v>20</v>
      </c>
      <c r="BR642">
        <v>21.7</v>
      </c>
      <c r="BS642">
        <v>25</v>
      </c>
      <c r="BT642">
        <v>21.9</v>
      </c>
      <c r="BU642">
        <v>25</v>
      </c>
      <c r="BV642">
        <v>23.5</v>
      </c>
      <c r="BW642">
        <v>18</v>
      </c>
      <c r="BX642">
        <v>21.9</v>
      </c>
      <c r="BY642">
        <v>20</v>
      </c>
      <c r="BZ642">
        <v>21.6</v>
      </c>
      <c r="CA642">
        <v>20</v>
      </c>
      <c r="CB642">
        <v>11.6</v>
      </c>
      <c r="CC642">
        <v>10</v>
      </c>
      <c r="CD642">
        <v>10.1</v>
      </c>
      <c r="CE642">
        <v>10</v>
      </c>
      <c r="CF642">
        <v>11.2</v>
      </c>
      <c r="CG642">
        <v>9</v>
      </c>
      <c r="CH642">
        <v>11.5</v>
      </c>
      <c r="CI642">
        <v>9</v>
      </c>
    </row>
    <row r="643" spans="1:87" x14ac:dyDescent="0.35">
      <c r="A643" s="1">
        <v>46059.908333333333</v>
      </c>
      <c r="B643">
        <v>-17.5</v>
      </c>
      <c r="C643">
        <v>-17.3</v>
      </c>
      <c r="D643">
        <v>-25</v>
      </c>
      <c r="E643">
        <v>-22</v>
      </c>
      <c r="F643">
        <v>2.4</v>
      </c>
      <c r="G643">
        <v>-25</v>
      </c>
      <c r="H643">
        <v>-19.7</v>
      </c>
      <c r="I643">
        <v>-23.8</v>
      </c>
      <c r="J643">
        <v>-25</v>
      </c>
      <c r="K643">
        <v>-20.2</v>
      </c>
      <c r="L643">
        <v>-19.2</v>
      </c>
      <c r="M643">
        <v>-25</v>
      </c>
      <c r="N643">
        <v>-17</v>
      </c>
      <c r="O643">
        <v>-16.5</v>
      </c>
      <c r="P643">
        <v>-25</v>
      </c>
      <c r="Q643">
        <v>-17</v>
      </c>
      <c r="R643">
        <v>-16.8</v>
      </c>
      <c r="S643">
        <v>-25</v>
      </c>
      <c r="T643">
        <v>3.1</v>
      </c>
      <c r="U643">
        <v>3.1</v>
      </c>
      <c r="V643">
        <v>2</v>
      </c>
      <c r="W643">
        <v>3.1</v>
      </c>
      <c r="X643">
        <v>2.9</v>
      </c>
      <c r="Y643">
        <v>2</v>
      </c>
      <c r="Z643">
        <v>3.1</v>
      </c>
      <c r="AA643">
        <v>2.8</v>
      </c>
      <c r="AB643">
        <v>2</v>
      </c>
      <c r="AC643">
        <v>2.8</v>
      </c>
      <c r="AD643">
        <v>2.7</v>
      </c>
      <c r="AE643">
        <v>2</v>
      </c>
      <c r="AF643">
        <v>2.8</v>
      </c>
      <c r="AG643">
        <v>2.6</v>
      </c>
      <c r="AH643">
        <v>2</v>
      </c>
      <c r="AI643">
        <v>2.5</v>
      </c>
      <c r="AJ643">
        <v>2.1</v>
      </c>
      <c r="AK643">
        <v>2</v>
      </c>
      <c r="AL643">
        <v>5.9</v>
      </c>
      <c r="AM643">
        <v>4</v>
      </c>
      <c r="AN643">
        <v>5.0999999999999996</v>
      </c>
      <c r="AO643">
        <v>4</v>
      </c>
      <c r="AP643">
        <v>4</v>
      </c>
      <c r="AQ643">
        <v>4</v>
      </c>
      <c r="AR643">
        <v>6</v>
      </c>
      <c r="AS643">
        <v>4</v>
      </c>
      <c r="AT643">
        <v>-4.7</v>
      </c>
      <c r="AU643">
        <v>-6.5</v>
      </c>
      <c r="AV643">
        <v>-5</v>
      </c>
      <c r="AW643">
        <v>-3.5</v>
      </c>
      <c r="AX643">
        <v>-4.0999999999999996</v>
      </c>
      <c r="AY643">
        <v>-5</v>
      </c>
      <c r="AZ643">
        <v>9.8000000000000007</v>
      </c>
      <c r="BA643">
        <v>10</v>
      </c>
      <c r="BB643">
        <v>10</v>
      </c>
      <c r="BC643">
        <v>10</v>
      </c>
      <c r="BD643">
        <v>4.5</v>
      </c>
      <c r="BE643">
        <v>4</v>
      </c>
      <c r="BF643">
        <v>11.8</v>
      </c>
      <c r="BG643">
        <v>10</v>
      </c>
      <c r="BH643">
        <v>11.2</v>
      </c>
      <c r="BI643">
        <v>10</v>
      </c>
      <c r="BJ643">
        <v>11.1</v>
      </c>
      <c r="BK643">
        <v>9</v>
      </c>
      <c r="BL643">
        <v>20</v>
      </c>
      <c r="BM643">
        <v>19</v>
      </c>
      <c r="BN643">
        <v>23.6</v>
      </c>
      <c r="BO643">
        <v>19</v>
      </c>
      <c r="BP643">
        <v>21.5</v>
      </c>
      <c r="BQ643">
        <v>20</v>
      </c>
      <c r="BR643">
        <v>21.7</v>
      </c>
      <c r="BS643">
        <v>25</v>
      </c>
      <c r="BT643">
        <v>21.9</v>
      </c>
      <c r="BU643">
        <v>25</v>
      </c>
      <c r="BV643">
        <v>23.4</v>
      </c>
      <c r="BW643">
        <v>18</v>
      </c>
      <c r="BX643">
        <v>21.9</v>
      </c>
      <c r="BY643">
        <v>20</v>
      </c>
      <c r="BZ643">
        <v>21.6</v>
      </c>
      <c r="CA643">
        <v>20</v>
      </c>
      <c r="CB643">
        <v>11.3</v>
      </c>
      <c r="CC643">
        <v>10</v>
      </c>
      <c r="CD643">
        <v>10.1</v>
      </c>
      <c r="CE643">
        <v>10</v>
      </c>
      <c r="CF643">
        <v>11.1</v>
      </c>
      <c r="CG643">
        <v>9</v>
      </c>
      <c r="CH643">
        <v>11.4</v>
      </c>
      <c r="CI643">
        <v>9</v>
      </c>
    </row>
    <row r="644" spans="1:87" x14ac:dyDescent="0.35">
      <c r="A644" s="1">
        <v>46059.90902777778</v>
      </c>
      <c r="B644">
        <v>-17.2</v>
      </c>
      <c r="C644">
        <v>-17.100000000000001</v>
      </c>
      <c r="D644">
        <v>-25</v>
      </c>
      <c r="E644">
        <v>-22</v>
      </c>
      <c r="F644">
        <v>3.4</v>
      </c>
      <c r="G644">
        <v>-25</v>
      </c>
      <c r="H644">
        <v>-19.7</v>
      </c>
      <c r="I644">
        <v>-23.6</v>
      </c>
      <c r="J644">
        <v>-25</v>
      </c>
      <c r="K644">
        <v>-20.2</v>
      </c>
      <c r="L644">
        <v>-19.2</v>
      </c>
      <c r="M644">
        <v>-25</v>
      </c>
      <c r="N644">
        <v>-16.8</v>
      </c>
      <c r="O644">
        <v>-16.5</v>
      </c>
      <c r="P644">
        <v>-25</v>
      </c>
      <c r="Q644">
        <v>-16.8</v>
      </c>
      <c r="R644">
        <v>-16.7</v>
      </c>
      <c r="S644">
        <v>-25</v>
      </c>
      <c r="T644">
        <v>3.2</v>
      </c>
      <c r="U644">
        <v>3.2</v>
      </c>
      <c r="V644">
        <v>2</v>
      </c>
      <c r="W644">
        <v>3.2</v>
      </c>
      <c r="X644">
        <v>2.9</v>
      </c>
      <c r="Y644">
        <v>2</v>
      </c>
      <c r="Z644">
        <v>3.1</v>
      </c>
      <c r="AA644">
        <v>2.9</v>
      </c>
      <c r="AB644">
        <v>2</v>
      </c>
      <c r="AC644">
        <v>2.9</v>
      </c>
      <c r="AD644">
        <v>2.8</v>
      </c>
      <c r="AE644">
        <v>2</v>
      </c>
      <c r="AF644">
        <v>2.9</v>
      </c>
      <c r="AG644">
        <v>2.8</v>
      </c>
      <c r="AH644">
        <v>2</v>
      </c>
      <c r="AI644">
        <v>2.7</v>
      </c>
      <c r="AJ644">
        <v>2.5</v>
      </c>
      <c r="AK644">
        <v>2</v>
      </c>
      <c r="AL644">
        <v>5.9</v>
      </c>
      <c r="AM644">
        <v>4</v>
      </c>
      <c r="AN644">
        <v>4.9000000000000004</v>
      </c>
      <c r="AO644">
        <v>4</v>
      </c>
      <c r="AP644">
        <v>3</v>
      </c>
      <c r="AQ644">
        <v>4</v>
      </c>
      <c r="AR644">
        <v>6.1</v>
      </c>
      <c r="AS644">
        <v>4</v>
      </c>
      <c r="AT644">
        <v>-4.8</v>
      </c>
      <c r="AU644">
        <v>-6.6</v>
      </c>
      <c r="AV644">
        <v>-5</v>
      </c>
      <c r="AW644">
        <v>-3.7</v>
      </c>
      <c r="AX644">
        <v>-4.9000000000000004</v>
      </c>
      <c r="AY644">
        <v>-5</v>
      </c>
      <c r="AZ644">
        <v>9.9</v>
      </c>
      <c r="BA644">
        <v>10</v>
      </c>
      <c r="BB644">
        <v>10.1</v>
      </c>
      <c r="BC644">
        <v>10</v>
      </c>
      <c r="BD644">
        <v>4.8</v>
      </c>
      <c r="BE644">
        <v>4</v>
      </c>
      <c r="BF644">
        <v>11.5</v>
      </c>
      <c r="BG644">
        <v>10</v>
      </c>
      <c r="BH644">
        <v>11.2</v>
      </c>
      <c r="BI644">
        <v>10</v>
      </c>
      <c r="BJ644">
        <v>11.1</v>
      </c>
      <c r="BK644">
        <v>9</v>
      </c>
      <c r="BL644">
        <v>20</v>
      </c>
      <c r="BM644">
        <v>19</v>
      </c>
      <c r="BN644">
        <v>23.6</v>
      </c>
      <c r="BO644">
        <v>19</v>
      </c>
      <c r="BP644">
        <v>21.5</v>
      </c>
      <c r="BQ644">
        <v>20</v>
      </c>
      <c r="BR644">
        <v>21.7</v>
      </c>
      <c r="BS644">
        <v>25</v>
      </c>
      <c r="BT644">
        <v>21.9</v>
      </c>
      <c r="BU644">
        <v>25</v>
      </c>
      <c r="BV644">
        <v>23.4</v>
      </c>
      <c r="BW644">
        <v>18</v>
      </c>
      <c r="BX644">
        <v>21.9</v>
      </c>
      <c r="BY644">
        <v>20</v>
      </c>
      <c r="BZ644">
        <v>21.6</v>
      </c>
      <c r="CA644">
        <v>20</v>
      </c>
      <c r="CB644">
        <v>11.1</v>
      </c>
      <c r="CC644">
        <v>10</v>
      </c>
      <c r="CD644">
        <v>10.1</v>
      </c>
      <c r="CE644">
        <v>10</v>
      </c>
      <c r="CF644">
        <v>11</v>
      </c>
      <c r="CG644">
        <v>9</v>
      </c>
      <c r="CH644">
        <v>11.3</v>
      </c>
      <c r="CI644">
        <v>9</v>
      </c>
    </row>
    <row r="645" spans="1:87" x14ac:dyDescent="0.35">
      <c r="A645" s="1">
        <v>46059.909722222219</v>
      </c>
      <c r="B645">
        <v>-17.100000000000001</v>
      </c>
      <c r="C645">
        <v>-17</v>
      </c>
      <c r="D645">
        <v>-25</v>
      </c>
      <c r="E645">
        <v>-22</v>
      </c>
      <c r="F645">
        <v>4</v>
      </c>
      <c r="G645">
        <v>-25</v>
      </c>
      <c r="H645">
        <v>-19.7</v>
      </c>
      <c r="I645">
        <v>-23.3</v>
      </c>
      <c r="J645">
        <v>-25</v>
      </c>
      <c r="K645">
        <v>-20.2</v>
      </c>
      <c r="L645">
        <v>-19.2</v>
      </c>
      <c r="M645">
        <v>-25</v>
      </c>
      <c r="N645">
        <v>-16.7</v>
      </c>
      <c r="O645">
        <v>-16.5</v>
      </c>
      <c r="P645">
        <v>-25</v>
      </c>
      <c r="Q645">
        <v>-16.7</v>
      </c>
      <c r="R645">
        <v>-16.600000000000001</v>
      </c>
      <c r="S645">
        <v>-25</v>
      </c>
      <c r="T645">
        <v>3.3</v>
      </c>
      <c r="U645">
        <v>3.3</v>
      </c>
      <c r="V645">
        <v>2</v>
      </c>
      <c r="W645">
        <v>3.2</v>
      </c>
      <c r="X645">
        <v>3</v>
      </c>
      <c r="Y645">
        <v>2</v>
      </c>
      <c r="Z645">
        <v>3.2</v>
      </c>
      <c r="AA645">
        <v>2.9</v>
      </c>
      <c r="AB645">
        <v>2</v>
      </c>
      <c r="AC645">
        <v>3</v>
      </c>
      <c r="AD645">
        <v>2.9</v>
      </c>
      <c r="AE645">
        <v>2</v>
      </c>
      <c r="AF645">
        <v>3.1</v>
      </c>
      <c r="AG645">
        <v>2.9</v>
      </c>
      <c r="AH645">
        <v>2</v>
      </c>
      <c r="AI645">
        <v>2.9</v>
      </c>
      <c r="AJ645">
        <v>2.7</v>
      </c>
      <c r="AK645">
        <v>2</v>
      </c>
      <c r="AL645">
        <v>5.9</v>
      </c>
      <c r="AM645">
        <v>4</v>
      </c>
      <c r="AN645">
        <v>4.5999999999999996</v>
      </c>
      <c r="AO645">
        <v>4</v>
      </c>
      <c r="AP645">
        <v>2.9</v>
      </c>
      <c r="AQ645">
        <v>4</v>
      </c>
      <c r="AR645">
        <v>6.2</v>
      </c>
      <c r="AS645">
        <v>4</v>
      </c>
      <c r="AT645">
        <v>-4.8</v>
      </c>
      <c r="AU645">
        <v>-6.5</v>
      </c>
      <c r="AV645">
        <v>-5</v>
      </c>
      <c r="AW645">
        <v>-4</v>
      </c>
      <c r="AX645">
        <v>-5.9</v>
      </c>
      <c r="AY645">
        <v>-5</v>
      </c>
      <c r="AZ645">
        <v>10</v>
      </c>
      <c r="BA645">
        <v>10</v>
      </c>
      <c r="BB645">
        <v>10.4</v>
      </c>
      <c r="BC645">
        <v>10</v>
      </c>
      <c r="BD645">
        <v>5</v>
      </c>
      <c r="BE645">
        <v>4</v>
      </c>
      <c r="BF645">
        <v>10.9</v>
      </c>
      <c r="BG645">
        <v>10</v>
      </c>
      <c r="BH645">
        <v>11.2</v>
      </c>
      <c r="BI645">
        <v>10</v>
      </c>
      <c r="BJ645">
        <v>11.1</v>
      </c>
      <c r="BK645">
        <v>9</v>
      </c>
      <c r="BL645">
        <v>20</v>
      </c>
      <c r="BM645">
        <v>19</v>
      </c>
      <c r="BN645">
        <v>23.6</v>
      </c>
      <c r="BO645">
        <v>19</v>
      </c>
      <c r="BP645">
        <v>21.5</v>
      </c>
      <c r="BQ645">
        <v>20</v>
      </c>
      <c r="BR645">
        <v>21.7</v>
      </c>
      <c r="BS645">
        <v>25</v>
      </c>
      <c r="BT645">
        <v>21.9</v>
      </c>
      <c r="BU645">
        <v>25</v>
      </c>
      <c r="BV645">
        <v>23.4</v>
      </c>
      <c r="BW645">
        <v>18</v>
      </c>
      <c r="BX645">
        <v>21.9</v>
      </c>
      <c r="BY645">
        <v>20</v>
      </c>
      <c r="BZ645">
        <v>21.7</v>
      </c>
      <c r="CA645">
        <v>20</v>
      </c>
      <c r="CB645">
        <v>10.9</v>
      </c>
      <c r="CC645">
        <v>10</v>
      </c>
      <c r="CD645">
        <v>10</v>
      </c>
      <c r="CE645">
        <v>10</v>
      </c>
      <c r="CF645">
        <v>10.9</v>
      </c>
      <c r="CG645">
        <v>9</v>
      </c>
      <c r="CH645">
        <v>11.1</v>
      </c>
      <c r="CI645">
        <v>9</v>
      </c>
    </row>
    <row r="646" spans="1:87" x14ac:dyDescent="0.35">
      <c r="A646" s="1">
        <v>46059.910416666666</v>
      </c>
      <c r="B646">
        <v>-16.899999999999999</v>
      </c>
      <c r="C646">
        <v>-16.8</v>
      </c>
      <c r="D646">
        <v>-25</v>
      </c>
      <c r="E646">
        <v>-22</v>
      </c>
      <c r="F646">
        <v>4.7</v>
      </c>
      <c r="G646">
        <v>-25</v>
      </c>
      <c r="H646">
        <v>-19.7</v>
      </c>
      <c r="I646">
        <v>-22.9</v>
      </c>
      <c r="J646">
        <v>-25</v>
      </c>
      <c r="K646">
        <v>-20.100000000000001</v>
      </c>
      <c r="L646">
        <v>-19.2</v>
      </c>
      <c r="M646">
        <v>-25</v>
      </c>
      <c r="N646">
        <v>-16.7</v>
      </c>
      <c r="O646">
        <v>-16.5</v>
      </c>
      <c r="P646">
        <v>-25</v>
      </c>
      <c r="Q646">
        <v>-16.600000000000001</v>
      </c>
      <c r="R646">
        <v>-16.5</v>
      </c>
      <c r="S646">
        <v>-25</v>
      </c>
      <c r="T646">
        <v>3.4</v>
      </c>
      <c r="U646">
        <v>3.3</v>
      </c>
      <c r="V646">
        <v>2</v>
      </c>
      <c r="W646">
        <v>3.3</v>
      </c>
      <c r="X646">
        <v>3</v>
      </c>
      <c r="Y646">
        <v>2</v>
      </c>
      <c r="Z646">
        <v>3.3</v>
      </c>
      <c r="AA646">
        <v>3</v>
      </c>
      <c r="AB646">
        <v>2</v>
      </c>
      <c r="AC646">
        <v>3.1</v>
      </c>
      <c r="AD646">
        <v>2.9</v>
      </c>
      <c r="AE646">
        <v>2</v>
      </c>
      <c r="AF646">
        <v>3.3</v>
      </c>
      <c r="AG646">
        <v>3.1</v>
      </c>
      <c r="AH646">
        <v>2</v>
      </c>
      <c r="AI646">
        <v>3.1</v>
      </c>
      <c r="AJ646">
        <v>3</v>
      </c>
      <c r="AK646">
        <v>2</v>
      </c>
      <c r="AL646">
        <v>6</v>
      </c>
      <c r="AM646">
        <v>4</v>
      </c>
      <c r="AN646">
        <v>4.3</v>
      </c>
      <c r="AO646">
        <v>4</v>
      </c>
      <c r="AP646">
        <v>2.9</v>
      </c>
      <c r="AQ646">
        <v>4</v>
      </c>
      <c r="AR646">
        <v>6.4</v>
      </c>
      <c r="AS646">
        <v>4</v>
      </c>
      <c r="AT646">
        <v>-4.9000000000000004</v>
      </c>
      <c r="AU646">
        <v>-6.8</v>
      </c>
      <c r="AV646">
        <v>-5</v>
      </c>
      <c r="AW646">
        <v>-4.3</v>
      </c>
      <c r="AX646">
        <v>-5.7</v>
      </c>
      <c r="AY646">
        <v>-5</v>
      </c>
      <c r="AZ646">
        <v>10.199999999999999</v>
      </c>
      <c r="BA646">
        <v>10</v>
      </c>
      <c r="BB646">
        <v>10.7</v>
      </c>
      <c r="BC646">
        <v>10</v>
      </c>
      <c r="BD646">
        <v>5.0999999999999996</v>
      </c>
      <c r="BE646">
        <v>4</v>
      </c>
      <c r="BF646">
        <v>10</v>
      </c>
      <c r="BG646">
        <v>10</v>
      </c>
      <c r="BH646">
        <v>11.2</v>
      </c>
      <c r="BI646">
        <v>10</v>
      </c>
      <c r="BJ646">
        <v>11.1</v>
      </c>
      <c r="BK646">
        <v>9</v>
      </c>
      <c r="BL646">
        <v>20</v>
      </c>
      <c r="BM646">
        <v>19</v>
      </c>
      <c r="BN646">
        <v>23.6</v>
      </c>
      <c r="BO646">
        <v>19</v>
      </c>
      <c r="BP646">
        <v>21.5</v>
      </c>
      <c r="BQ646">
        <v>20</v>
      </c>
      <c r="BR646">
        <v>21.7</v>
      </c>
      <c r="BS646">
        <v>25</v>
      </c>
      <c r="BT646">
        <v>21.9</v>
      </c>
      <c r="BU646">
        <v>25</v>
      </c>
      <c r="BV646">
        <v>23.4</v>
      </c>
      <c r="BW646">
        <v>18</v>
      </c>
      <c r="BX646">
        <v>21.9</v>
      </c>
      <c r="BY646">
        <v>20</v>
      </c>
      <c r="BZ646">
        <v>21.7</v>
      </c>
      <c r="CA646">
        <v>20</v>
      </c>
      <c r="CB646">
        <v>10.6</v>
      </c>
      <c r="CC646">
        <v>10</v>
      </c>
      <c r="CD646">
        <v>10</v>
      </c>
      <c r="CE646">
        <v>10</v>
      </c>
      <c r="CF646">
        <v>10.9</v>
      </c>
      <c r="CG646">
        <v>9</v>
      </c>
      <c r="CH646">
        <v>11.1</v>
      </c>
      <c r="CI646">
        <v>9</v>
      </c>
    </row>
    <row r="647" spans="1:87" x14ac:dyDescent="0.35">
      <c r="A647" s="1">
        <v>46059.911111111112</v>
      </c>
      <c r="B647">
        <v>-16.7</v>
      </c>
      <c r="C647">
        <v>-16.600000000000001</v>
      </c>
      <c r="D647">
        <v>-25</v>
      </c>
      <c r="E647">
        <v>-22</v>
      </c>
      <c r="F647">
        <v>5.5</v>
      </c>
      <c r="G647">
        <v>-25</v>
      </c>
      <c r="H647">
        <v>-19.7</v>
      </c>
      <c r="I647">
        <v>-22.7</v>
      </c>
      <c r="J647">
        <v>-25</v>
      </c>
      <c r="K647">
        <v>-20</v>
      </c>
      <c r="L647">
        <v>-19.2</v>
      </c>
      <c r="M647">
        <v>-25</v>
      </c>
      <c r="N647">
        <v>-16.7</v>
      </c>
      <c r="O647">
        <v>-16.399999999999999</v>
      </c>
      <c r="P647">
        <v>-25</v>
      </c>
      <c r="Q647">
        <v>-16.600000000000001</v>
      </c>
      <c r="R647">
        <v>-16.5</v>
      </c>
      <c r="S647">
        <v>-25</v>
      </c>
      <c r="T647">
        <v>3.4</v>
      </c>
      <c r="U647">
        <v>3.4</v>
      </c>
      <c r="V647">
        <v>2</v>
      </c>
      <c r="W647">
        <v>3.4</v>
      </c>
      <c r="X647">
        <v>3.2</v>
      </c>
      <c r="Y647">
        <v>2</v>
      </c>
      <c r="Z647">
        <v>3.4</v>
      </c>
      <c r="AA647">
        <v>3.1</v>
      </c>
      <c r="AB647">
        <v>2</v>
      </c>
      <c r="AC647">
        <v>3.2</v>
      </c>
      <c r="AD647">
        <v>3</v>
      </c>
      <c r="AE647">
        <v>2</v>
      </c>
      <c r="AF647">
        <v>3.5</v>
      </c>
      <c r="AG647">
        <v>3.4</v>
      </c>
      <c r="AH647">
        <v>2</v>
      </c>
      <c r="AI647">
        <v>3.3</v>
      </c>
      <c r="AJ647">
        <v>3.2</v>
      </c>
      <c r="AK647">
        <v>2</v>
      </c>
      <c r="AL647">
        <v>6</v>
      </c>
      <c r="AM647">
        <v>4</v>
      </c>
      <c r="AN647">
        <v>4.0999999999999996</v>
      </c>
      <c r="AO647">
        <v>4</v>
      </c>
      <c r="AP647">
        <v>3.1</v>
      </c>
      <c r="AQ647">
        <v>4</v>
      </c>
      <c r="AR647">
        <v>6.5</v>
      </c>
      <c r="AS647">
        <v>4</v>
      </c>
      <c r="AT647">
        <v>-5</v>
      </c>
      <c r="AU647">
        <v>-7.1</v>
      </c>
      <c r="AV647">
        <v>-5</v>
      </c>
      <c r="AW647">
        <v>-4.4000000000000004</v>
      </c>
      <c r="AX647">
        <v>-5.0999999999999996</v>
      </c>
      <c r="AY647">
        <v>-5</v>
      </c>
      <c r="AZ647">
        <v>10.4</v>
      </c>
      <c r="BA647">
        <v>10</v>
      </c>
      <c r="BB647">
        <v>11</v>
      </c>
      <c r="BC647">
        <v>10</v>
      </c>
      <c r="BD647">
        <v>5.4</v>
      </c>
      <c r="BE647">
        <v>4</v>
      </c>
      <c r="BF647">
        <v>9.3000000000000007</v>
      </c>
      <c r="BG647">
        <v>10</v>
      </c>
      <c r="BH647">
        <v>11.1</v>
      </c>
      <c r="BI647">
        <v>10</v>
      </c>
      <c r="BJ647">
        <v>11.1</v>
      </c>
      <c r="BK647">
        <v>9</v>
      </c>
      <c r="BL647">
        <v>20.100000000000001</v>
      </c>
      <c r="BM647">
        <v>19</v>
      </c>
      <c r="BN647">
        <v>23.6</v>
      </c>
      <c r="BO647">
        <v>19</v>
      </c>
      <c r="BP647">
        <v>21.5</v>
      </c>
      <c r="BQ647">
        <v>20</v>
      </c>
      <c r="BR647">
        <v>21.7</v>
      </c>
      <c r="BS647">
        <v>25</v>
      </c>
      <c r="BT647">
        <v>21.9</v>
      </c>
      <c r="BU647">
        <v>25</v>
      </c>
      <c r="BV647">
        <v>23.4</v>
      </c>
      <c r="BW647">
        <v>18</v>
      </c>
      <c r="BX647">
        <v>21.9</v>
      </c>
      <c r="BY647">
        <v>20</v>
      </c>
      <c r="BZ647">
        <v>21.7</v>
      </c>
      <c r="CA647">
        <v>20</v>
      </c>
      <c r="CB647">
        <v>10.5</v>
      </c>
      <c r="CC647">
        <v>10</v>
      </c>
      <c r="CD647">
        <v>10.1</v>
      </c>
      <c r="CE647">
        <v>10</v>
      </c>
      <c r="CF647">
        <v>10.9</v>
      </c>
      <c r="CG647">
        <v>9</v>
      </c>
      <c r="CH647">
        <v>11.2</v>
      </c>
      <c r="CI647">
        <v>9</v>
      </c>
    </row>
    <row r="648" spans="1:87" x14ac:dyDescent="0.35">
      <c r="A648" s="1">
        <v>46059.911805555559</v>
      </c>
      <c r="B648">
        <v>-16.5</v>
      </c>
      <c r="C648">
        <v>-16.399999999999999</v>
      </c>
      <c r="D648">
        <v>-25</v>
      </c>
      <c r="E648">
        <v>-22</v>
      </c>
      <c r="F648">
        <v>6.1</v>
      </c>
      <c r="G648">
        <v>-25</v>
      </c>
      <c r="H648">
        <v>-19.600000000000001</v>
      </c>
      <c r="I648">
        <v>-21.1</v>
      </c>
      <c r="J648">
        <v>-25</v>
      </c>
      <c r="K648">
        <v>-19.899999999999999</v>
      </c>
      <c r="L648">
        <v>-19.2</v>
      </c>
      <c r="M648">
        <v>-25</v>
      </c>
      <c r="N648">
        <v>-16.7</v>
      </c>
      <c r="O648">
        <v>-16.3</v>
      </c>
      <c r="P648">
        <v>-25</v>
      </c>
      <c r="Q648">
        <v>-16.600000000000001</v>
      </c>
      <c r="R648">
        <v>-16.399999999999999</v>
      </c>
      <c r="S648">
        <v>-25</v>
      </c>
      <c r="T648">
        <v>3.5</v>
      </c>
      <c r="U648">
        <v>3.5</v>
      </c>
      <c r="V648">
        <v>2</v>
      </c>
      <c r="W648">
        <v>3.5</v>
      </c>
      <c r="X648">
        <v>3.2</v>
      </c>
      <c r="Y648">
        <v>2</v>
      </c>
      <c r="Z648">
        <v>3.5</v>
      </c>
      <c r="AA648">
        <v>3.2</v>
      </c>
      <c r="AB648">
        <v>2</v>
      </c>
      <c r="AC648">
        <v>3.3</v>
      </c>
      <c r="AD648">
        <v>3.1</v>
      </c>
      <c r="AE648">
        <v>2</v>
      </c>
      <c r="AF648">
        <v>3.7</v>
      </c>
      <c r="AG648">
        <v>3.5</v>
      </c>
      <c r="AH648">
        <v>2</v>
      </c>
      <c r="AI648">
        <v>3.5</v>
      </c>
      <c r="AJ648">
        <v>3.4</v>
      </c>
      <c r="AK648">
        <v>2</v>
      </c>
      <c r="AL648">
        <v>6</v>
      </c>
      <c r="AM648">
        <v>4</v>
      </c>
      <c r="AN648">
        <v>4</v>
      </c>
      <c r="AO648">
        <v>4</v>
      </c>
      <c r="AP648">
        <v>3.4</v>
      </c>
      <c r="AQ648">
        <v>4</v>
      </c>
      <c r="AR648">
        <v>6.7</v>
      </c>
      <c r="AS648">
        <v>4</v>
      </c>
      <c r="AT648">
        <v>-5.0999999999999996</v>
      </c>
      <c r="AU648">
        <v>-6.4</v>
      </c>
      <c r="AV648">
        <v>-5</v>
      </c>
      <c r="AW648">
        <v>-4.5</v>
      </c>
      <c r="AX648">
        <v>-4.7</v>
      </c>
      <c r="AY648">
        <v>-5</v>
      </c>
      <c r="AZ648">
        <v>10.5</v>
      </c>
      <c r="BA648">
        <v>10</v>
      </c>
      <c r="BB648">
        <v>11.2</v>
      </c>
      <c r="BC648">
        <v>10</v>
      </c>
      <c r="BD648">
        <v>5.5</v>
      </c>
      <c r="BE648">
        <v>4</v>
      </c>
      <c r="BF648">
        <v>9.4</v>
      </c>
      <c r="BG648">
        <v>10</v>
      </c>
      <c r="BH648">
        <v>11.1</v>
      </c>
      <c r="BI648">
        <v>10</v>
      </c>
      <c r="BJ648">
        <v>11</v>
      </c>
      <c r="BK648">
        <v>9</v>
      </c>
      <c r="BL648">
        <v>20.100000000000001</v>
      </c>
      <c r="BM648">
        <v>19</v>
      </c>
      <c r="BN648">
        <v>23.6</v>
      </c>
      <c r="BO648">
        <v>19</v>
      </c>
      <c r="BP648">
        <v>21.5</v>
      </c>
      <c r="BQ648">
        <v>20</v>
      </c>
      <c r="BR648">
        <v>21.7</v>
      </c>
      <c r="BS648">
        <v>25</v>
      </c>
      <c r="BT648">
        <v>21.9</v>
      </c>
      <c r="BU648">
        <v>25</v>
      </c>
      <c r="BV648">
        <v>23.4</v>
      </c>
      <c r="BW648">
        <v>18</v>
      </c>
      <c r="BX648">
        <v>21.9</v>
      </c>
      <c r="BY648">
        <v>20</v>
      </c>
      <c r="BZ648">
        <v>21.7</v>
      </c>
      <c r="CA648">
        <v>20</v>
      </c>
      <c r="CB648">
        <v>10.3</v>
      </c>
      <c r="CC648">
        <v>10</v>
      </c>
      <c r="CD648">
        <v>10.199999999999999</v>
      </c>
      <c r="CE648">
        <v>10</v>
      </c>
      <c r="CF648">
        <v>10.7</v>
      </c>
      <c r="CG648">
        <v>9</v>
      </c>
      <c r="CH648">
        <v>10.9</v>
      </c>
      <c r="CI648">
        <v>9</v>
      </c>
    </row>
    <row r="649" spans="1:87" x14ac:dyDescent="0.35">
      <c r="A649" s="1">
        <v>46059.912499999999</v>
      </c>
      <c r="B649">
        <v>-16.399999999999999</v>
      </c>
      <c r="C649">
        <v>-16.3</v>
      </c>
      <c r="D649">
        <v>-25</v>
      </c>
      <c r="E649">
        <v>-22</v>
      </c>
      <c r="F649">
        <v>6.3</v>
      </c>
      <c r="G649">
        <v>-25</v>
      </c>
      <c r="H649">
        <v>-19.5</v>
      </c>
      <c r="I649">
        <v>-20.6</v>
      </c>
      <c r="J649">
        <v>-25</v>
      </c>
      <c r="K649">
        <v>-19.7</v>
      </c>
      <c r="L649">
        <v>-19.2</v>
      </c>
      <c r="M649">
        <v>-25</v>
      </c>
      <c r="N649">
        <v>-16.7</v>
      </c>
      <c r="O649">
        <v>-16.3</v>
      </c>
      <c r="P649">
        <v>-25</v>
      </c>
      <c r="Q649">
        <v>-16.600000000000001</v>
      </c>
      <c r="R649">
        <v>-16.399999999999999</v>
      </c>
      <c r="S649">
        <v>-25</v>
      </c>
      <c r="T649">
        <v>3.6</v>
      </c>
      <c r="U649">
        <v>3.6</v>
      </c>
      <c r="V649">
        <v>2</v>
      </c>
      <c r="W649">
        <v>3.5</v>
      </c>
      <c r="X649">
        <v>3.3</v>
      </c>
      <c r="Y649">
        <v>2</v>
      </c>
      <c r="Z649">
        <v>3.5</v>
      </c>
      <c r="AA649">
        <v>3.3</v>
      </c>
      <c r="AB649">
        <v>2</v>
      </c>
      <c r="AC649">
        <v>3.3</v>
      </c>
      <c r="AD649">
        <v>3.2</v>
      </c>
      <c r="AE649">
        <v>2</v>
      </c>
      <c r="AF649">
        <v>3.8</v>
      </c>
      <c r="AG649">
        <v>3.7</v>
      </c>
      <c r="AH649">
        <v>2</v>
      </c>
      <c r="AI649">
        <v>3.7</v>
      </c>
      <c r="AJ649">
        <v>3.6</v>
      </c>
      <c r="AK649">
        <v>2</v>
      </c>
      <c r="AL649">
        <v>5.7</v>
      </c>
      <c r="AM649">
        <v>4</v>
      </c>
      <c r="AN649">
        <v>4</v>
      </c>
      <c r="AO649">
        <v>4</v>
      </c>
      <c r="AP649">
        <v>3.7</v>
      </c>
      <c r="AQ649">
        <v>4</v>
      </c>
      <c r="AR649">
        <v>6.8</v>
      </c>
      <c r="AS649">
        <v>4</v>
      </c>
      <c r="AT649">
        <v>-5</v>
      </c>
      <c r="AU649">
        <v>-5.5</v>
      </c>
      <c r="AV649">
        <v>-5</v>
      </c>
      <c r="AW649">
        <v>-3.9</v>
      </c>
      <c r="AX649">
        <v>-3.8</v>
      </c>
      <c r="AY649">
        <v>-5</v>
      </c>
      <c r="AZ649">
        <v>10.6</v>
      </c>
      <c r="BA649">
        <v>10</v>
      </c>
      <c r="BB649">
        <v>11.4</v>
      </c>
      <c r="BC649">
        <v>10</v>
      </c>
      <c r="BD649">
        <v>5.7</v>
      </c>
      <c r="BE649">
        <v>4</v>
      </c>
      <c r="BF649">
        <v>9.6</v>
      </c>
      <c r="BG649">
        <v>10</v>
      </c>
      <c r="BH649">
        <v>11.1</v>
      </c>
      <c r="BI649">
        <v>10</v>
      </c>
      <c r="BJ649">
        <v>10.9</v>
      </c>
      <c r="BK649">
        <v>9</v>
      </c>
      <c r="BL649">
        <v>20.100000000000001</v>
      </c>
      <c r="BM649">
        <v>19</v>
      </c>
      <c r="BN649">
        <v>23.6</v>
      </c>
      <c r="BO649">
        <v>19</v>
      </c>
      <c r="BP649">
        <v>21.5</v>
      </c>
      <c r="BQ649">
        <v>20</v>
      </c>
      <c r="BR649">
        <v>21.7</v>
      </c>
      <c r="BS649">
        <v>25</v>
      </c>
      <c r="BT649">
        <v>21.9</v>
      </c>
      <c r="BU649">
        <v>25</v>
      </c>
      <c r="BV649">
        <v>23.4</v>
      </c>
      <c r="BW649">
        <v>18</v>
      </c>
      <c r="BX649">
        <v>22</v>
      </c>
      <c r="BY649">
        <v>20</v>
      </c>
      <c r="BZ649">
        <v>21.7</v>
      </c>
      <c r="CA649">
        <v>20</v>
      </c>
      <c r="CB649">
        <v>10.1</v>
      </c>
      <c r="CC649">
        <v>10</v>
      </c>
      <c r="CD649">
        <v>10.199999999999999</v>
      </c>
      <c r="CE649">
        <v>10</v>
      </c>
      <c r="CF649">
        <v>10.7</v>
      </c>
      <c r="CG649">
        <v>9</v>
      </c>
      <c r="CH649">
        <v>10.9</v>
      </c>
      <c r="CI649">
        <v>9</v>
      </c>
    </row>
    <row r="650" spans="1:87" x14ac:dyDescent="0.35">
      <c r="A650" s="1">
        <v>46059.913194444445</v>
      </c>
      <c r="B650">
        <v>-16.100000000000001</v>
      </c>
      <c r="C650">
        <v>-16.100000000000001</v>
      </c>
      <c r="D650">
        <v>-25</v>
      </c>
      <c r="E650">
        <v>-22</v>
      </c>
      <c r="F650">
        <v>6.7</v>
      </c>
      <c r="G650">
        <v>-25</v>
      </c>
      <c r="H650">
        <v>-19.399999999999999</v>
      </c>
      <c r="I650">
        <v>-21.2</v>
      </c>
      <c r="J650">
        <v>-25</v>
      </c>
      <c r="K650">
        <v>-19.600000000000001</v>
      </c>
      <c r="L650">
        <v>-19.2</v>
      </c>
      <c r="M650">
        <v>-25</v>
      </c>
      <c r="N650">
        <v>-16.7</v>
      </c>
      <c r="O650">
        <v>-16.2</v>
      </c>
      <c r="P650">
        <v>-25</v>
      </c>
      <c r="Q650">
        <v>-16.5</v>
      </c>
      <c r="R650">
        <v>-16.399999999999999</v>
      </c>
      <c r="S650">
        <v>-25</v>
      </c>
      <c r="T650">
        <v>3.6</v>
      </c>
      <c r="U650">
        <v>3.6</v>
      </c>
      <c r="V650">
        <v>2</v>
      </c>
      <c r="W650">
        <v>3.6</v>
      </c>
      <c r="X650">
        <v>3.4</v>
      </c>
      <c r="Y650">
        <v>2</v>
      </c>
      <c r="Z650">
        <v>3.6</v>
      </c>
      <c r="AA650">
        <v>3.4</v>
      </c>
      <c r="AB650">
        <v>2</v>
      </c>
      <c r="AC650">
        <v>3.4</v>
      </c>
      <c r="AD650">
        <v>3.3</v>
      </c>
      <c r="AE650">
        <v>2</v>
      </c>
      <c r="AF650">
        <v>4</v>
      </c>
      <c r="AG650">
        <v>3.9</v>
      </c>
      <c r="AH650">
        <v>2</v>
      </c>
      <c r="AI650">
        <v>3.8</v>
      </c>
      <c r="AJ650">
        <v>3.8</v>
      </c>
      <c r="AK650">
        <v>2</v>
      </c>
      <c r="AL650">
        <v>5.4</v>
      </c>
      <c r="AM650">
        <v>4</v>
      </c>
      <c r="AN650">
        <v>4</v>
      </c>
      <c r="AO650">
        <v>4</v>
      </c>
      <c r="AP650">
        <v>3.9</v>
      </c>
      <c r="AQ650">
        <v>4</v>
      </c>
      <c r="AR650">
        <v>6.9</v>
      </c>
      <c r="AS650">
        <v>4</v>
      </c>
      <c r="AT650">
        <v>-4.4000000000000004</v>
      </c>
      <c r="AU650">
        <v>-4.7</v>
      </c>
      <c r="AV650">
        <v>-5</v>
      </c>
      <c r="AW650">
        <v>-3.7</v>
      </c>
      <c r="AX650">
        <v>-5.6</v>
      </c>
      <c r="AY650">
        <v>-5</v>
      </c>
      <c r="AZ650">
        <v>10.7</v>
      </c>
      <c r="BA650">
        <v>10</v>
      </c>
      <c r="BB650">
        <v>11.7</v>
      </c>
      <c r="BC650">
        <v>10</v>
      </c>
      <c r="BD650">
        <v>5.8</v>
      </c>
      <c r="BE650">
        <v>4</v>
      </c>
      <c r="BF650">
        <v>10</v>
      </c>
      <c r="BG650">
        <v>10</v>
      </c>
      <c r="BH650">
        <v>11.1</v>
      </c>
      <c r="BI650">
        <v>10</v>
      </c>
      <c r="BJ650">
        <v>10.9</v>
      </c>
      <c r="BK650">
        <v>9</v>
      </c>
      <c r="BL650">
        <v>20.100000000000001</v>
      </c>
      <c r="BM650">
        <v>19</v>
      </c>
      <c r="BN650">
        <v>23.6</v>
      </c>
      <c r="BO650">
        <v>19</v>
      </c>
      <c r="BP650">
        <v>21.5</v>
      </c>
      <c r="BQ650">
        <v>20</v>
      </c>
      <c r="BR650">
        <v>21.7</v>
      </c>
      <c r="BS650">
        <v>25</v>
      </c>
      <c r="BT650">
        <v>21.9</v>
      </c>
      <c r="BU650">
        <v>25</v>
      </c>
      <c r="BV650">
        <v>23.4</v>
      </c>
      <c r="BW650">
        <v>18</v>
      </c>
      <c r="BX650">
        <v>21.7</v>
      </c>
      <c r="BY650">
        <v>20</v>
      </c>
      <c r="BZ650">
        <v>21.8</v>
      </c>
      <c r="CA650">
        <v>20</v>
      </c>
      <c r="CB650">
        <v>10</v>
      </c>
      <c r="CC650">
        <v>10</v>
      </c>
      <c r="CD650">
        <v>10.4</v>
      </c>
      <c r="CE650">
        <v>10</v>
      </c>
      <c r="CF650">
        <v>11</v>
      </c>
      <c r="CG650">
        <v>9</v>
      </c>
      <c r="CH650">
        <v>11.2</v>
      </c>
      <c r="CI650">
        <v>9</v>
      </c>
    </row>
    <row r="651" spans="1:87" x14ac:dyDescent="0.35">
      <c r="A651" s="1">
        <v>46059.913888888892</v>
      </c>
      <c r="B651">
        <v>-16</v>
      </c>
      <c r="C651">
        <v>-15.9</v>
      </c>
      <c r="D651">
        <v>-25</v>
      </c>
      <c r="E651">
        <v>-22</v>
      </c>
      <c r="F651">
        <v>6.9</v>
      </c>
      <c r="G651">
        <v>-25</v>
      </c>
      <c r="H651">
        <v>-19.3</v>
      </c>
      <c r="I651">
        <v>-21.7</v>
      </c>
      <c r="J651">
        <v>-25</v>
      </c>
      <c r="K651">
        <v>-19.5</v>
      </c>
      <c r="L651">
        <v>-19.100000000000001</v>
      </c>
      <c r="M651">
        <v>-25</v>
      </c>
      <c r="N651">
        <v>-16.7</v>
      </c>
      <c r="O651">
        <v>-16.2</v>
      </c>
      <c r="P651">
        <v>-25</v>
      </c>
      <c r="Q651">
        <v>-16.5</v>
      </c>
      <c r="R651">
        <v>-16.399999999999999</v>
      </c>
      <c r="S651">
        <v>-25</v>
      </c>
      <c r="T651">
        <v>3.7</v>
      </c>
      <c r="U651">
        <v>3.7</v>
      </c>
      <c r="V651">
        <v>2</v>
      </c>
      <c r="W651">
        <v>3.7</v>
      </c>
      <c r="X651">
        <v>3.5</v>
      </c>
      <c r="Y651">
        <v>2</v>
      </c>
      <c r="Z651">
        <v>3.7</v>
      </c>
      <c r="AA651">
        <v>3.4</v>
      </c>
      <c r="AB651">
        <v>2</v>
      </c>
      <c r="AC651">
        <v>3.5</v>
      </c>
      <c r="AD651">
        <v>3.4</v>
      </c>
      <c r="AE651">
        <v>2</v>
      </c>
      <c r="AF651">
        <v>4.2</v>
      </c>
      <c r="AG651">
        <v>4</v>
      </c>
      <c r="AH651">
        <v>2</v>
      </c>
      <c r="AI651">
        <v>4</v>
      </c>
      <c r="AJ651">
        <v>3.9</v>
      </c>
      <c r="AK651">
        <v>2</v>
      </c>
      <c r="AL651">
        <v>5.2</v>
      </c>
      <c r="AM651">
        <v>4</v>
      </c>
      <c r="AN651">
        <v>4</v>
      </c>
      <c r="AO651">
        <v>4</v>
      </c>
      <c r="AP651">
        <v>4.2</v>
      </c>
      <c r="AQ651">
        <v>4</v>
      </c>
      <c r="AR651">
        <v>7</v>
      </c>
      <c r="AS651">
        <v>4</v>
      </c>
      <c r="AT651">
        <v>-3.8</v>
      </c>
      <c r="AU651">
        <v>-4.0999999999999996</v>
      </c>
      <c r="AV651">
        <v>-5</v>
      </c>
      <c r="AW651">
        <v>-4.5</v>
      </c>
      <c r="AX651">
        <v>-6.5</v>
      </c>
      <c r="AY651">
        <v>-5</v>
      </c>
      <c r="AZ651">
        <v>10.8</v>
      </c>
      <c r="BA651">
        <v>10</v>
      </c>
      <c r="BB651">
        <v>11.9</v>
      </c>
      <c r="BC651">
        <v>10</v>
      </c>
      <c r="BD651">
        <v>6</v>
      </c>
      <c r="BE651">
        <v>4</v>
      </c>
      <c r="BF651">
        <v>10.4</v>
      </c>
      <c r="BG651">
        <v>10</v>
      </c>
      <c r="BH651">
        <v>11.1</v>
      </c>
      <c r="BI651">
        <v>10</v>
      </c>
      <c r="BJ651">
        <v>10.9</v>
      </c>
      <c r="BK651">
        <v>9</v>
      </c>
      <c r="BL651">
        <v>20.2</v>
      </c>
      <c r="BM651">
        <v>19</v>
      </c>
      <c r="BN651">
        <v>23.6</v>
      </c>
      <c r="BO651">
        <v>19</v>
      </c>
      <c r="BP651">
        <v>21.6</v>
      </c>
      <c r="BQ651">
        <v>20</v>
      </c>
      <c r="BR651">
        <v>21.7</v>
      </c>
      <c r="BS651">
        <v>25</v>
      </c>
      <c r="BT651">
        <v>21.9</v>
      </c>
      <c r="BU651">
        <v>25</v>
      </c>
      <c r="BV651">
        <v>23.4</v>
      </c>
      <c r="BW651">
        <v>18</v>
      </c>
      <c r="BX651">
        <v>19.8</v>
      </c>
      <c r="BY651">
        <v>20</v>
      </c>
      <c r="BZ651">
        <v>21.8</v>
      </c>
      <c r="CA651">
        <v>20</v>
      </c>
      <c r="CB651">
        <v>10.199999999999999</v>
      </c>
      <c r="CC651">
        <v>10</v>
      </c>
      <c r="CD651">
        <v>10.4</v>
      </c>
      <c r="CE651">
        <v>10</v>
      </c>
      <c r="CF651">
        <v>10.9</v>
      </c>
      <c r="CG651">
        <v>9</v>
      </c>
      <c r="CH651">
        <v>11.1</v>
      </c>
      <c r="CI651">
        <v>9</v>
      </c>
    </row>
    <row r="652" spans="1:87" x14ac:dyDescent="0.35">
      <c r="A652" s="1">
        <v>46059.914583333331</v>
      </c>
      <c r="B652">
        <v>-15.8</v>
      </c>
      <c r="C652">
        <v>-15.8</v>
      </c>
      <c r="D652">
        <v>-25</v>
      </c>
      <c r="E652">
        <v>-22</v>
      </c>
      <c r="F652">
        <v>7.1</v>
      </c>
      <c r="G652">
        <v>-25</v>
      </c>
      <c r="H652">
        <v>-19.3</v>
      </c>
      <c r="I652">
        <v>-21.8</v>
      </c>
      <c r="J652">
        <v>-25</v>
      </c>
      <c r="K652">
        <v>-19.5</v>
      </c>
      <c r="L652">
        <v>-19</v>
      </c>
      <c r="M652">
        <v>-25</v>
      </c>
      <c r="N652">
        <v>-16.600000000000001</v>
      </c>
      <c r="O652">
        <v>-16.100000000000001</v>
      </c>
      <c r="P652">
        <v>-25</v>
      </c>
      <c r="Q652">
        <v>-16.5</v>
      </c>
      <c r="R652">
        <v>-16.3</v>
      </c>
      <c r="S652">
        <v>-25</v>
      </c>
      <c r="T652">
        <v>3.8</v>
      </c>
      <c r="U652">
        <v>3.8</v>
      </c>
      <c r="V652">
        <v>2</v>
      </c>
      <c r="W652">
        <v>3.8</v>
      </c>
      <c r="X652">
        <v>3.6</v>
      </c>
      <c r="Y652">
        <v>2</v>
      </c>
      <c r="Z652">
        <v>3.7</v>
      </c>
      <c r="AA652">
        <v>3.5</v>
      </c>
      <c r="AB652">
        <v>2</v>
      </c>
      <c r="AC652">
        <v>3.5</v>
      </c>
      <c r="AD652">
        <v>3.4</v>
      </c>
      <c r="AE652">
        <v>2</v>
      </c>
      <c r="AF652">
        <v>4.2</v>
      </c>
      <c r="AG652">
        <v>4.0999999999999996</v>
      </c>
      <c r="AH652">
        <v>2</v>
      </c>
      <c r="AI652">
        <v>4</v>
      </c>
      <c r="AJ652">
        <v>4</v>
      </c>
      <c r="AK652">
        <v>2</v>
      </c>
      <c r="AL652">
        <v>4.9000000000000004</v>
      </c>
      <c r="AM652">
        <v>4</v>
      </c>
      <c r="AN652">
        <v>4</v>
      </c>
      <c r="AO652">
        <v>4</v>
      </c>
      <c r="AP652">
        <v>4.4000000000000004</v>
      </c>
      <c r="AQ652">
        <v>4</v>
      </c>
      <c r="AR652">
        <v>7.1</v>
      </c>
      <c r="AS652">
        <v>4</v>
      </c>
      <c r="AT652">
        <v>-3.4</v>
      </c>
      <c r="AU652">
        <v>-3.6</v>
      </c>
      <c r="AV652">
        <v>-5</v>
      </c>
      <c r="AW652">
        <v>-4.9000000000000004</v>
      </c>
      <c r="AX652">
        <v>-5.7</v>
      </c>
      <c r="AY652">
        <v>-5</v>
      </c>
      <c r="AZ652">
        <v>10.9</v>
      </c>
      <c r="BA652">
        <v>10</v>
      </c>
      <c r="BB652">
        <v>12</v>
      </c>
      <c r="BC652">
        <v>10</v>
      </c>
      <c r="BD652">
        <v>6</v>
      </c>
      <c r="BE652">
        <v>4</v>
      </c>
      <c r="BF652">
        <v>10.8</v>
      </c>
      <c r="BG652">
        <v>10</v>
      </c>
      <c r="BH652">
        <v>11.1</v>
      </c>
      <c r="BI652">
        <v>10</v>
      </c>
      <c r="BJ652">
        <v>10.9</v>
      </c>
      <c r="BK652">
        <v>9</v>
      </c>
      <c r="BL652">
        <v>20.2</v>
      </c>
      <c r="BM652">
        <v>19</v>
      </c>
      <c r="BN652">
        <v>23.6</v>
      </c>
      <c r="BO652">
        <v>19</v>
      </c>
      <c r="BP652">
        <v>21.6</v>
      </c>
      <c r="BQ652">
        <v>20</v>
      </c>
      <c r="BR652">
        <v>21.7</v>
      </c>
      <c r="BS652">
        <v>25</v>
      </c>
      <c r="BT652">
        <v>21.9</v>
      </c>
      <c r="BU652">
        <v>25</v>
      </c>
      <c r="BV652">
        <v>23.4</v>
      </c>
      <c r="BW652">
        <v>18</v>
      </c>
      <c r="BX652">
        <v>18.600000000000001</v>
      </c>
      <c r="BY652">
        <v>20</v>
      </c>
      <c r="BZ652">
        <v>21.8</v>
      </c>
      <c r="CA652">
        <v>20</v>
      </c>
      <c r="CB652">
        <v>10.6</v>
      </c>
      <c r="CC652">
        <v>10</v>
      </c>
      <c r="CD652">
        <v>10.6</v>
      </c>
      <c r="CE652">
        <v>10</v>
      </c>
      <c r="CF652">
        <v>10.9</v>
      </c>
      <c r="CG652">
        <v>9</v>
      </c>
      <c r="CH652">
        <v>11.1</v>
      </c>
      <c r="CI652">
        <v>9</v>
      </c>
    </row>
    <row r="653" spans="1:87" x14ac:dyDescent="0.35">
      <c r="A653" s="1">
        <v>46059.915277777778</v>
      </c>
      <c r="B653">
        <v>-15.7</v>
      </c>
      <c r="C653">
        <v>-15.7</v>
      </c>
      <c r="D653">
        <v>-25</v>
      </c>
      <c r="E653">
        <v>-22</v>
      </c>
      <c r="F653">
        <v>6.5</v>
      </c>
      <c r="G653">
        <v>-25</v>
      </c>
      <c r="H653">
        <v>-19.2</v>
      </c>
      <c r="I653">
        <v>-21.3</v>
      </c>
      <c r="J653">
        <v>-25</v>
      </c>
      <c r="K653">
        <v>-19.399999999999999</v>
      </c>
      <c r="L653">
        <v>-19</v>
      </c>
      <c r="M653">
        <v>-25</v>
      </c>
      <c r="N653">
        <v>-16.600000000000001</v>
      </c>
      <c r="O653">
        <v>-16.100000000000001</v>
      </c>
      <c r="P653">
        <v>-25</v>
      </c>
      <c r="Q653">
        <v>-16.399999999999999</v>
      </c>
      <c r="R653">
        <v>-16.3</v>
      </c>
      <c r="S653">
        <v>-25</v>
      </c>
      <c r="T653">
        <v>3.8</v>
      </c>
      <c r="U653">
        <v>3.8</v>
      </c>
      <c r="V653">
        <v>2</v>
      </c>
      <c r="W653">
        <v>3.8</v>
      </c>
      <c r="X653">
        <v>3.6</v>
      </c>
      <c r="Y653">
        <v>2</v>
      </c>
      <c r="Z653">
        <v>3.8</v>
      </c>
      <c r="AA653">
        <v>3.6</v>
      </c>
      <c r="AB653">
        <v>2</v>
      </c>
      <c r="AC653">
        <v>3.6</v>
      </c>
      <c r="AD653">
        <v>3.5</v>
      </c>
      <c r="AE653">
        <v>2</v>
      </c>
      <c r="AF653">
        <v>4.2</v>
      </c>
      <c r="AG653">
        <v>3.9</v>
      </c>
      <c r="AH653">
        <v>2</v>
      </c>
      <c r="AI653">
        <v>4</v>
      </c>
      <c r="AJ653">
        <v>3.6</v>
      </c>
      <c r="AK653">
        <v>2</v>
      </c>
      <c r="AL653">
        <v>4.5999999999999996</v>
      </c>
      <c r="AM653">
        <v>4</v>
      </c>
      <c r="AN653">
        <v>4.0999999999999996</v>
      </c>
      <c r="AO653">
        <v>4</v>
      </c>
      <c r="AP653">
        <v>4.7</v>
      </c>
      <c r="AQ653">
        <v>4</v>
      </c>
      <c r="AR653">
        <v>7.2</v>
      </c>
      <c r="AS653">
        <v>4</v>
      </c>
      <c r="AT653">
        <v>-3</v>
      </c>
      <c r="AU653">
        <v>-3.2</v>
      </c>
      <c r="AV653">
        <v>-5</v>
      </c>
      <c r="AW653">
        <v>-4.5</v>
      </c>
      <c r="AX653">
        <v>-4.5999999999999996</v>
      </c>
      <c r="AY653">
        <v>-5</v>
      </c>
      <c r="AZ653">
        <v>11</v>
      </c>
      <c r="BA653">
        <v>10</v>
      </c>
      <c r="BB653">
        <v>11.9</v>
      </c>
      <c r="BC653">
        <v>10</v>
      </c>
      <c r="BD653">
        <v>5.8</v>
      </c>
      <c r="BE653">
        <v>4</v>
      </c>
      <c r="BF653">
        <v>11</v>
      </c>
      <c r="BG653">
        <v>10</v>
      </c>
      <c r="BH653">
        <v>11.1</v>
      </c>
      <c r="BI653">
        <v>10</v>
      </c>
      <c r="BJ653">
        <v>10.9</v>
      </c>
      <c r="BK653">
        <v>9</v>
      </c>
      <c r="BL653">
        <v>20.2</v>
      </c>
      <c r="BM653">
        <v>19</v>
      </c>
      <c r="BN653">
        <v>23.6</v>
      </c>
      <c r="BO653">
        <v>19</v>
      </c>
      <c r="BP653">
        <v>21.6</v>
      </c>
      <c r="BQ653">
        <v>20</v>
      </c>
      <c r="BR653">
        <v>21.8</v>
      </c>
      <c r="BS653">
        <v>25</v>
      </c>
      <c r="BT653">
        <v>21.9</v>
      </c>
      <c r="BU653">
        <v>25</v>
      </c>
      <c r="BV653">
        <v>23.4</v>
      </c>
      <c r="BW653">
        <v>18</v>
      </c>
      <c r="BX653">
        <v>18.600000000000001</v>
      </c>
      <c r="BY653">
        <v>20</v>
      </c>
      <c r="BZ653">
        <v>21.8</v>
      </c>
      <c r="CA653">
        <v>20</v>
      </c>
      <c r="CB653">
        <v>11.1</v>
      </c>
      <c r="CC653">
        <v>10</v>
      </c>
      <c r="CD653">
        <v>10.7</v>
      </c>
      <c r="CE653">
        <v>10</v>
      </c>
      <c r="CF653">
        <v>11.2</v>
      </c>
      <c r="CG653">
        <v>9</v>
      </c>
      <c r="CH653">
        <v>11.4</v>
      </c>
      <c r="CI653">
        <v>9</v>
      </c>
    </row>
    <row r="654" spans="1:87" x14ac:dyDescent="0.35">
      <c r="A654" s="1">
        <v>46059.915972222225</v>
      </c>
      <c r="B654">
        <v>-15.7</v>
      </c>
      <c r="C654">
        <v>-17</v>
      </c>
      <c r="D654">
        <v>-25</v>
      </c>
      <c r="E654">
        <v>-22</v>
      </c>
      <c r="F654">
        <v>7.2</v>
      </c>
      <c r="G654">
        <v>-25</v>
      </c>
      <c r="H654">
        <v>-19.2</v>
      </c>
      <c r="I654">
        <v>-22.2</v>
      </c>
      <c r="J654">
        <v>-25</v>
      </c>
      <c r="K654">
        <v>-19.399999999999999</v>
      </c>
      <c r="L654">
        <v>-18.899999999999999</v>
      </c>
      <c r="M654">
        <v>-25</v>
      </c>
      <c r="N654">
        <v>-16.5</v>
      </c>
      <c r="O654">
        <v>-16.100000000000001</v>
      </c>
      <c r="P654">
        <v>-25</v>
      </c>
      <c r="Q654">
        <v>-16.399999999999999</v>
      </c>
      <c r="R654">
        <v>-16.2</v>
      </c>
      <c r="S654">
        <v>-25</v>
      </c>
      <c r="T654">
        <v>3.9</v>
      </c>
      <c r="U654">
        <v>3.9</v>
      </c>
      <c r="V654">
        <v>2</v>
      </c>
      <c r="W654">
        <v>3.9</v>
      </c>
      <c r="X654">
        <v>3.7</v>
      </c>
      <c r="Y654">
        <v>2</v>
      </c>
      <c r="Z654">
        <v>3.9</v>
      </c>
      <c r="AA654">
        <v>3.6</v>
      </c>
      <c r="AB654">
        <v>2</v>
      </c>
      <c r="AC654">
        <v>3.7</v>
      </c>
      <c r="AD654">
        <v>3.6</v>
      </c>
      <c r="AE654">
        <v>2</v>
      </c>
      <c r="AF654">
        <v>4.0999999999999996</v>
      </c>
      <c r="AG654">
        <v>3.7</v>
      </c>
      <c r="AH654">
        <v>2</v>
      </c>
      <c r="AI654">
        <v>3.9</v>
      </c>
      <c r="AJ654">
        <v>3.4</v>
      </c>
      <c r="AK654">
        <v>2</v>
      </c>
      <c r="AL654">
        <v>4.3</v>
      </c>
      <c r="AM654">
        <v>4</v>
      </c>
      <c r="AN654">
        <v>4.2</v>
      </c>
      <c r="AO654">
        <v>4</v>
      </c>
      <c r="AP654">
        <v>4.9000000000000004</v>
      </c>
      <c r="AQ654">
        <v>4</v>
      </c>
      <c r="AR654">
        <v>7.3</v>
      </c>
      <c r="AS654">
        <v>4</v>
      </c>
      <c r="AT654">
        <v>-2.9</v>
      </c>
      <c r="AU654">
        <v>-3.8</v>
      </c>
      <c r="AV654">
        <v>-5</v>
      </c>
      <c r="AW654">
        <v>-3.9</v>
      </c>
      <c r="AX654">
        <v>-3.8</v>
      </c>
      <c r="AY654">
        <v>-5</v>
      </c>
      <c r="AZ654">
        <v>11.1</v>
      </c>
      <c r="BA654">
        <v>10</v>
      </c>
      <c r="BB654">
        <v>11.5</v>
      </c>
      <c r="BC654">
        <v>10</v>
      </c>
      <c r="BD654">
        <v>5.3</v>
      </c>
      <c r="BE654">
        <v>4</v>
      </c>
      <c r="BF654">
        <v>11.5</v>
      </c>
      <c r="BG654">
        <v>10</v>
      </c>
      <c r="BH654">
        <v>11.1</v>
      </c>
      <c r="BI654">
        <v>10</v>
      </c>
      <c r="BJ654">
        <v>10.9</v>
      </c>
      <c r="BK654">
        <v>9</v>
      </c>
      <c r="BL654">
        <v>20.2</v>
      </c>
      <c r="BM654">
        <v>19</v>
      </c>
      <c r="BN654">
        <v>23.6</v>
      </c>
      <c r="BO654">
        <v>19</v>
      </c>
      <c r="BP654">
        <v>21.6</v>
      </c>
      <c r="BQ654">
        <v>20</v>
      </c>
      <c r="BR654">
        <v>21.8</v>
      </c>
      <c r="BS654">
        <v>25</v>
      </c>
      <c r="BT654">
        <v>21.9</v>
      </c>
      <c r="BU654">
        <v>25</v>
      </c>
      <c r="BV654">
        <v>23.4</v>
      </c>
      <c r="BW654">
        <v>18</v>
      </c>
      <c r="BX654">
        <v>19.100000000000001</v>
      </c>
      <c r="BY654">
        <v>20</v>
      </c>
      <c r="BZ654">
        <v>21.8</v>
      </c>
      <c r="CA654">
        <v>20</v>
      </c>
      <c r="CB654">
        <v>11.5</v>
      </c>
      <c r="CC654">
        <v>10</v>
      </c>
      <c r="CD654">
        <v>10.7</v>
      </c>
      <c r="CE654">
        <v>10</v>
      </c>
      <c r="CF654">
        <v>11.2</v>
      </c>
      <c r="CG654">
        <v>9</v>
      </c>
      <c r="CH654">
        <v>11.4</v>
      </c>
      <c r="CI654">
        <v>9</v>
      </c>
    </row>
    <row r="655" spans="1:87" x14ac:dyDescent="0.35">
      <c r="A655" s="1">
        <v>46059.916666666664</v>
      </c>
      <c r="B655">
        <v>-15.9</v>
      </c>
      <c r="C655">
        <v>-17.600000000000001</v>
      </c>
      <c r="D655">
        <v>-25</v>
      </c>
      <c r="E655">
        <v>-22</v>
      </c>
      <c r="F655">
        <v>5.8</v>
      </c>
      <c r="G655">
        <v>-25</v>
      </c>
      <c r="H655">
        <v>-19.2</v>
      </c>
      <c r="I655">
        <v>-22.7</v>
      </c>
      <c r="J655">
        <v>-25</v>
      </c>
      <c r="K655">
        <v>-19.399999999999999</v>
      </c>
      <c r="L655">
        <v>-18.899999999999999</v>
      </c>
      <c r="M655">
        <v>-25</v>
      </c>
      <c r="N655">
        <v>-16.5</v>
      </c>
      <c r="O655">
        <v>-16</v>
      </c>
      <c r="P655">
        <v>-25</v>
      </c>
      <c r="Q655">
        <v>-16.399999999999999</v>
      </c>
      <c r="R655">
        <v>-16.2</v>
      </c>
      <c r="S655">
        <v>-25</v>
      </c>
      <c r="T655">
        <v>3.9</v>
      </c>
      <c r="U655">
        <v>4</v>
      </c>
      <c r="V655">
        <v>2</v>
      </c>
      <c r="W655">
        <v>3.9</v>
      </c>
      <c r="X655">
        <v>3.8</v>
      </c>
      <c r="Y655">
        <v>2</v>
      </c>
      <c r="Z655">
        <v>3.9</v>
      </c>
      <c r="AA655">
        <v>3.7</v>
      </c>
      <c r="AB655">
        <v>2</v>
      </c>
      <c r="AC655">
        <v>3.7</v>
      </c>
      <c r="AD655">
        <v>3.6</v>
      </c>
      <c r="AE655">
        <v>2</v>
      </c>
      <c r="AF655">
        <v>4</v>
      </c>
      <c r="AG655">
        <v>3.6</v>
      </c>
      <c r="AH655">
        <v>2</v>
      </c>
      <c r="AI655">
        <v>3.7</v>
      </c>
      <c r="AJ655">
        <v>1.4</v>
      </c>
      <c r="AK655">
        <v>2</v>
      </c>
      <c r="AL655">
        <v>4.0999999999999996</v>
      </c>
      <c r="AM655">
        <v>4</v>
      </c>
      <c r="AN655">
        <v>4.3</v>
      </c>
      <c r="AO655">
        <v>4</v>
      </c>
      <c r="AP655">
        <v>5</v>
      </c>
      <c r="AQ655">
        <v>4</v>
      </c>
      <c r="AR655">
        <v>7.3</v>
      </c>
      <c r="AS655">
        <v>4</v>
      </c>
      <c r="AT655">
        <v>-3.2</v>
      </c>
      <c r="AU655">
        <v>-4.9000000000000004</v>
      </c>
      <c r="AV655">
        <v>-5</v>
      </c>
      <c r="AW655">
        <v>-3.6</v>
      </c>
      <c r="AX655">
        <v>-3.9</v>
      </c>
      <c r="AY655">
        <v>-5</v>
      </c>
      <c r="AZ655">
        <v>11.2</v>
      </c>
      <c r="BA655">
        <v>10</v>
      </c>
      <c r="BB655">
        <v>11.2</v>
      </c>
      <c r="BC655">
        <v>10</v>
      </c>
      <c r="BD655">
        <v>4.7</v>
      </c>
      <c r="BE655">
        <v>4</v>
      </c>
      <c r="BF655">
        <v>11.7</v>
      </c>
      <c r="BG655">
        <v>10</v>
      </c>
      <c r="BH655">
        <v>11.1</v>
      </c>
      <c r="BI655">
        <v>10</v>
      </c>
      <c r="BJ655">
        <v>10.9</v>
      </c>
      <c r="BK655">
        <v>9</v>
      </c>
      <c r="BL655">
        <v>20.2</v>
      </c>
      <c r="BM655">
        <v>19</v>
      </c>
      <c r="BN655">
        <v>23.6</v>
      </c>
      <c r="BO655">
        <v>19</v>
      </c>
      <c r="BP655">
        <v>21.6</v>
      </c>
      <c r="BQ655">
        <v>20</v>
      </c>
      <c r="BR655">
        <v>21.8</v>
      </c>
      <c r="BS655">
        <v>25</v>
      </c>
      <c r="BT655">
        <v>21.9</v>
      </c>
      <c r="BU655">
        <v>25</v>
      </c>
      <c r="BV655">
        <v>23.4</v>
      </c>
      <c r="BW655">
        <v>18</v>
      </c>
      <c r="BX655">
        <v>19.5</v>
      </c>
      <c r="BY655">
        <v>20</v>
      </c>
      <c r="BZ655">
        <v>21.8</v>
      </c>
      <c r="CA655">
        <v>20</v>
      </c>
      <c r="CB655">
        <v>11.9</v>
      </c>
      <c r="CC655">
        <v>10</v>
      </c>
      <c r="CD655">
        <v>10.7</v>
      </c>
      <c r="CE655">
        <v>10</v>
      </c>
      <c r="CF655">
        <v>11.2</v>
      </c>
      <c r="CG655">
        <v>9</v>
      </c>
      <c r="CH655">
        <v>11.4</v>
      </c>
      <c r="CI655">
        <v>9</v>
      </c>
    </row>
    <row r="656" spans="1:87" x14ac:dyDescent="0.35">
      <c r="A656" s="1">
        <v>46059.917361111111</v>
      </c>
      <c r="B656">
        <v>-16.100000000000001</v>
      </c>
      <c r="C656">
        <v>-17</v>
      </c>
      <c r="D656">
        <v>-25</v>
      </c>
      <c r="E656">
        <v>-22</v>
      </c>
      <c r="F656">
        <v>3.2</v>
      </c>
      <c r="G656">
        <v>-25</v>
      </c>
      <c r="H656">
        <v>-19.2</v>
      </c>
      <c r="I656">
        <v>-23</v>
      </c>
      <c r="J656">
        <v>-25</v>
      </c>
      <c r="K656">
        <v>-19.399999999999999</v>
      </c>
      <c r="L656">
        <v>-18.899999999999999</v>
      </c>
      <c r="M656">
        <v>-25</v>
      </c>
      <c r="N656">
        <v>-16.5</v>
      </c>
      <c r="O656">
        <v>-16</v>
      </c>
      <c r="P656">
        <v>-25</v>
      </c>
      <c r="Q656">
        <v>-16.3</v>
      </c>
      <c r="R656">
        <v>-16.2</v>
      </c>
      <c r="S656">
        <v>-25</v>
      </c>
      <c r="T656">
        <v>4</v>
      </c>
      <c r="U656">
        <v>3.8</v>
      </c>
      <c r="V656">
        <v>2</v>
      </c>
      <c r="W656">
        <v>4</v>
      </c>
      <c r="X656">
        <v>3.7</v>
      </c>
      <c r="Y656">
        <v>2</v>
      </c>
      <c r="Z656">
        <v>3.9</v>
      </c>
      <c r="AA656">
        <v>3.7</v>
      </c>
      <c r="AB656">
        <v>2</v>
      </c>
      <c r="AC656">
        <v>3.7</v>
      </c>
      <c r="AD656">
        <v>3.7</v>
      </c>
      <c r="AE656">
        <v>2</v>
      </c>
      <c r="AF656">
        <v>3.7</v>
      </c>
      <c r="AG656">
        <v>3.2</v>
      </c>
      <c r="AH656">
        <v>2</v>
      </c>
      <c r="AI656">
        <v>3.4</v>
      </c>
      <c r="AJ656">
        <v>1.7</v>
      </c>
      <c r="AK656">
        <v>2</v>
      </c>
      <c r="AL656">
        <v>3.9</v>
      </c>
      <c r="AM656">
        <v>4</v>
      </c>
      <c r="AN656">
        <v>4.3</v>
      </c>
      <c r="AO656">
        <v>4</v>
      </c>
      <c r="AP656">
        <v>5.2</v>
      </c>
      <c r="AQ656">
        <v>4</v>
      </c>
      <c r="AR656">
        <v>7.4</v>
      </c>
      <c r="AS656">
        <v>4</v>
      </c>
      <c r="AT656">
        <v>-3.6</v>
      </c>
      <c r="AU656">
        <v>-5.5</v>
      </c>
      <c r="AV656">
        <v>-5</v>
      </c>
      <c r="AW656">
        <v>-3.8</v>
      </c>
      <c r="AX656">
        <v>-5.3</v>
      </c>
      <c r="AY656">
        <v>-5</v>
      </c>
      <c r="AZ656">
        <v>11.3</v>
      </c>
      <c r="BA656">
        <v>10</v>
      </c>
      <c r="BB656">
        <v>11.1</v>
      </c>
      <c r="BC656">
        <v>10</v>
      </c>
      <c r="BD656">
        <v>4.3</v>
      </c>
      <c r="BE656">
        <v>4</v>
      </c>
      <c r="BF656">
        <v>11.9</v>
      </c>
      <c r="BG656">
        <v>10</v>
      </c>
      <c r="BH656">
        <v>11.1</v>
      </c>
      <c r="BI656">
        <v>10</v>
      </c>
      <c r="BJ656">
        <v>10.9</v>
      </c>
      <c r="BK656">
        <v>9</v>
      </c>
      <c r="BL656">
        <v>20.2</v>
      </c>
      <c r="BM656">
        <v>19</v>
      </c>
      <c r="BN656">
        <v>23.6</v>
      </c>
      <c r="BO656">
        <v>19</v>
      </c>
      <c r="BP656">
        <v>21.6</v>
      </c>
      <c r="BQ656">
        <v>20</v>
      </c>
      <c r="BR656">
        <v>21.8</v>
      </c>
      <c r="BS656">
        <v>25</v>
      </c>
      <c r="BT656">
        <v>21.9</v>
      </c>
      <c r="BU656">
        <v>25</v>
      </c>
      <c r="BV656">
        <v>23.4</v>
      </c>
      <c r="BW656">
        <v>18</v>
      </c>
      <c r="BX656">
        <v>19.899999999999999</v>
      </c>
      <c r="BY656">
        <v>20</v>
      </c>
      <c r="BZ656">
        <v>21.8</v>
      </c>
      <c r="CA656">
        <v>20</v>
      </c>
      <c r="CB656">
        <v>12.1</v>
      </c>
      <c r="CC656">
        <v>10</v>
      </c>
      <c r="CD656">
        <v>10.7</v>
      </c>
      <c r="CE656">
        <v>10</v>
      </c>
      <c r="CF656">
        <v>11.2</v>
      </c>
      <c r="CG656">
        <v>9</v>
      </c>
      <c r="CH656">
        <v>11.4</v>
      </c>
      <c r="CI656">
        <v>9</v>
      </c>
    </row>
    <row r="657" spans="1:87" x14ac:dyDescent="0.35">
      <c r="A657" s="1">
        <v>46059.918055555558</v>
      </c>
      <c r="B657">
        <v>-16.3</v>
      </c>
      <c r="C657">
        <v>-17</v>
      </c>
      <c r="D657">
        <v>-25</v>
      </c>
      <c r="E657">
        <v>-22</v>
      </c>
      <c r="F657">
        <v>0.5</v>
      </c>
      <c r="G657">
        <v>-25</v>
      </c>
      <c r="H657">
        <v>-19.2</v>
      </c>
      <c r="I657">
        <v>-23.3</v>
      </c>
      <c r="J657">
        <v>-25</v>
      </c>
      <c r="K657">
        <v>-19.5</v>
      </c>
      <c r="L657">
        <v>-18.899999999999999</v>
      </c>
      <c r="M657">
        <v>-25</v>
      </c>
      <c r="N657">
        <v>-16.5</v>
      </c>
      <c r="O657">
        <v>-16</v>
      </c>
      <c r="P657">
        <v>-25</v>
      </c>
      <c r="Q657">
        <v>-16.3</v>
      </c>
      <c r="R657">
        <v>-16.2</v>
      </c>
      <c r="S657">
        <v>-25</v>
      </c>
      <c r="T657">
        <v>4</v>
      </c>
      <c r="U657">
        <v>3</v>
      </c>
      <c r="V657">
        <v>2</v>
      </c>
      <c r="W657">
        <v>4</v>
      </c>
      <c r="X657">
        <v>2.7</v>
      </c>
      <c r="Y657">
        <v>2</v>
      </c>
      <c r="Z657">
        <v>4</v>
      </c>
      <c r="AA657">
        <v>3.7</v>
      </c>
      <c r="AB657">
        <v>2</v>
      </c>
      <c r="AC657">
        <v>3.7</v>
      </c>
      <c r="AD657">
        <v>3.7</v>
      </c>
      <c r="AE657">
        <v>2</v>
      </c>
      <c r="AF657">
        <v>3.6</v>
      </c>
      <c r="AG657">
        <v>3.1</v>
      </c>
      <c r="AH657">
        <v>2</v>
      </c>
      <c r="AI657">
        <v>3.4</v>
      </c>
      <c r="AJ657">
        <v>2</v>
      </c>
      <c r="AK657">
        <v>2</v>
      </c>
      <c r="AL657">
        <v>3.8</v>
      </c>
      <c r="AM657">
        <v>4</v>
      </c>
      <c r="AN657">
        <v>4.4000000000000004</v>
      </c>
      <c r="AO657">
        <v>4</v>
      </c>
      <c r="AP657">
        <v>5.3</v>
      </c>
      <c r="AQ657">
        <v>4</v>
      </c>
      <c r="AR657">
        <v>7.1</v>
      </c>
      <c r="AS657">
        <v>4</v>
      </c>
      <c r="AT657">
        <v>-3.7</v>
      </c>
      <c r="AU657">
        <v>-4.5999999999999996</v>
      </c>
      <c r="AV657">
        <v>-5</v>
      </c>
      <c r="AW657">
        <v>-4.5</v>
      </c>
      <c r="AX657">
        <v>-6.7</v>
      </c>
      <c r="AY657">
        <v>-5</v>
      </c>
      <c r="AZ657">
        <v>11.4</v>
      </c>
      <c r="BA657">
        <v>10</v>
      </c>
      <c r="BB657">
        <v>10.9</v>
      </c>
      <c r="BC657">
        <v>10</v>
      </c>
      <c r="BD657">
        <v>3.9</v>
      </c>
      <c r="BE657">
        <v>4</v>
      </c>
      <c r="BF657">
        <v>12.1</v>
      </c>
      <c r="BG657">
        <v>10</v>
      </c>
      <c r="BH657">
        <v>11.1</v>
      </c>
      <c r="BI657">
        <v>10</v>
      </c>
      <c r="BJ657">
        <v>10.9</v>
      </c>
      <c r="BK657">
        <v>9</v>
      </c>
      <c r="BL657">
        <v>20.3</v>
      </c>
      <c r="BM657">
        <v>19</v>
      </c>
      <c r="BN657">
        <v>23.6</v>
      </c>
      <c r="BO657">
        <v>19</v>
      </c>
      <c r="BP657">
        <v>21.6</v>
      </c>
      <c r="BQ657">
        <v>20</v>
      </c>
      <c r="BR657">
        <v>21.8</v>
      </c>
      <c r="BS657">
        <v>25</v>
      </c>
      <c r="BT657">
        <v>21.9</v>
      </c>
      <c r="BU657">
        <v>25</v>
      </c>
      <c r="BV657">
        <v>23.4</v>
      </c>
      <c r="BW657">
        <v>18</v>
      </c>
      <c r="BX657">
        <v>20.100000000000001</v>
      </c>
      <c r="BY657">
        <v>20</v>
      </c>
      <c r="BZ657">
        <v>21.8</v>
      </c>
      <c r="CA657">
        <v>20</v>
      </c>
      <c r="CB657">
        <v>12</v>
      </c>
      <c r="CC657">
        <v>10</v>
      </c>
      <c r="CD657">
        <v>10.8</v>
      </c>
      <c r="CE657">
        <v>10</v>
      </c>
      <c r="CF657">
        <v>11.3</v>
      </c>
      <c r="CG657">
        <v>9</v>
      </c>
      <c r="CH657">
        <v>11.5</v>
      </c>
      <c r="CI657">
        <v>9</v>
      </c>
    </row>
    <row r="658" spans="1:87" x14ac:dyDescent="0.35">
      <c r="A658" s="1">
        <v>46059.918749999997</v>
      </c>
      <c r="B658">
        <v>-16.5</v>
      </c>
      <c r="C658">
        <v>-17.3</v>
      </c>
      <c r="D658">
        <v>-25</v>
      </c>
      <c r="E658">
        <v>-22</v>
      </c>
      <c r="F658">
        <v>-1.7</v>
      </c>
      <c r="G658">
        <v>-25</v>
      </c>
      <c r="H658">
        <v>-19.2</v>
      </c>
      <c r="I658">
        <v>-23.4</v>
      </c>
      <c r="J658">
        <v>-25</v>
      </c>
      <c r="K658">
        <v>-19.600000000000001</v>
      </c>
      <c r="L658">
        <v>-18.899999999999999</v>
      </c>
      <c r="M658">
        <v>-25</v>
      </c>
      <c r="N658">
        <v>-16.5</v>
      </c>
      <c r="O658">
        <v>-15.9</v>
      </c>
      <c r="P658">
        <v>-25</v>
      </c>
      <c r="Q658">
        <v>-16.3</v>
      </c>
      <c r="R658">
        <v>-16.2</v>
      </c>
      <c r="S658">
        <v>-25</v>
      </c>
      <c r="T658">
        <v>3.5</v>
      </c>
      <c r="U658">
        <v>1</v>
      </c>
      <c r="V658">
        <v>2</v>
      </c>
      <c r="W658">
        <v>3.6</v>
      </c>
      <c r="X658">
        <v>1.6</v>
      </c>
      <c r="Y658">
        <v>2</v>
      </c>
      <c r="Z658">
        <v>4.0999999999999996</v>
      </c>
      <c r="AA658">
        <v>3.9</v>
      </c>
      <c r="AB658">
        <v>2</v>
      </c>
      <c r="AC658">
        <v>3.7</v>
      </c>
      <c r="AD658">
        <v>3.7</v>
      </c>
      <c r="AE658">
        <v>2</v>
      </c>
      <c r="AF658">
        <v>3.6</v>
      </c>
      <c r="AG658">
        <v>3.1</v>
      </c>
      <c r="AH658">
        <v>2</v>
      </c>
      <c r="AI658">
        <v>3.4</v>
      </c>
      <c r="AJ658">
        <v>1.6</v>
      </c>
      <c r="AK658">
        <v>2</v>
      </c>
      <c r="AL658">
        <v>3.8</v>
      </c>
      <c r="AM658">
        <v>4</v>
      </c>
      <c r="AN658">
        <v>4.5</v>
      </c>
      <c r="AO658">
        <v>4</v>
      </c>
      <c r="AP658">
        <v>5.5</v>
      </c>
      <c r="AQ658">
        <v>4</v>
      </c>
      <c r="AR658">
        <v>6.5</v>
      </c>
      <c r="AS658">
        <v>4</v>
      </c>
      <c r="AT658">
        <v>-3.5</v>
      </c>
      <c r="AU658">
        <v>-3.8</v>
      </c>
      <c r="AV658">
        <v>-5</v>
      </c>
      <c r="AW658">
        <v>-5</v>
      </c>
      <c r="AX658">
        <v>-6.9</v>
      </c>
      <c r="AY658">
        <v>-5</v>
      </c>
      <c r="AZ658">
        <v>11.5</v>
      </c>
      <c r="BA658">
        <v>10</v>
      </c>
      <c r="BB658">
        <v>10.6</v>
      </c>
      <c r="BC658">
        <v>10</v>
      </c>
      <c r="BD658">
        <v>3.8</v>
      </c>
      <c r="BE658">
        <v>4</v>
      </c>
      <c r="BF658">
        <v>11.4</v>
      </c>
      <c r="BG658">
        <v>10</v>
      </c>
      <c r="BH658">
        <v>11.1</v>
      </c>
      <c r="BI658">
        <v>10</v>
      </c>
      <c r="BJ658">
        <v>10.9</v>
      </c>
      <c r="BK658">
        <v>9</v>
      </c>
      <c r="BL658">
        <v>20.3</v>
      </c>
      <c r="BM658">
        <v>19</v>
      </c>
      <c r="BN658">
        <v>23.6</v>
      </c>
      <c r="BO658">
        <v>19</v>
      </c>
      <c r="BP658">
        <v>21.6</v>
      </c>
      <c r="BQ658">
        <v>20</v>
      </c>
      <c r="BR658">
        <v>21.8</v>
      </c>
      <c r="BS658">
        <v>25</v>
      </c>
      <c r="BT658">
        <v>21.9</v>
      </c>
      <c r="BU658">
        <v>25</v>
      </c>
      <c r="BV658">
        <v>23.4</v>
      </c>
      <c r="BW658">
        <v>18</v>
      </c>
      <c r="BX658">
        <v>20.2</v>
      </c>
      <c r="BY658">
        <v>20</v>
      </c>
      <c r="BZ658">
        <v>21.9</v>
      </c>
      <c r="CA658">
        <v>20</v>
      </c>
      <c r="CB658">
        <v>11.6</v>
      </c>
      <c r="CC658">
        <v>10</v>
      </c>
      <c r="CD658">
        <v>10.9</v>
      </c>
      <c r="CE658">
        <v>10</v>
      </c>
      <c r="CF658">
        <v>11.3</v>
      </c>
      <c r="CG658">
        <v>9</v>
      </c>
      <c r="CH658">
        <v>11.5</v>
      </c>
      <c r="CI658">
        <v>9</v>
      </c>
    </row>
    <row r="659" spans="1:87" x14ac:dyDescent="0.35">
      <c r="A659" s="1">
        <v>46059.919444444444</v>
      </c>
      <c r="B659">
        <v>-16.7</v>
      </c>
      <c r="C659">
        <v>-17.5</v>
      </c>
      <c r="D659">
        <v>-25</v>
      </c>
      <c r="E659">
        <v>-16.5</v>
      </c>
      <c r="F659">
        <v>-3.9</v>
      </c>
      <c r="G659">
        <v>-25</v>
      </c>
      <c r="H659">
        <v>-19.2</v>
      </c>
      <c r="I659">
        <v>-23.4</v>
      </c>
      <c r="J659">
        <v>-25</v>
      </c>
      <c r="K659">
        <v>-19.7</v>
      </c>
      <c r="L659">
        <v>-18.899999999999999</v>
      </c>
      <c r="M659">
        <v>-25</v>
      </c>
      <c r="N659">
        <v>-16.5</v>
      </c>
      <c r="O659">
        <v>-15.9</v>
      </c>
      <c r="P659">
        <v>-25</v>
      </c>
      <c r="Q659">
        <v>-16.3</v>
      </c>
      <c r="R659">
        <v>-16.2</v>
      </c>
      <c r="S659">
        <v>-25</v>
      </c>
      <c r="T659">
        <v>3</v>
      </c>
      <c r="U659">
        <v>0</v>
      </c>
      <c r="V659">
        <v>2</v>
      </c>
      <c r="W659">
        <v>3</v>
      </c>
      <c r="X659">
        <v>0.2</v>
      </c>
      <c r="Y659">
        <v>2</v>
      </c>
      <c r="Z659">
        <v>4.0999999999999996</v>
      </c>
      <c r="AA659">
        <v>4</v>
      </c>
      <c r="AB659">
        <v>2</v>
      </c>
      <c r="AC659">
        <v>3.7</v>
      </c>
      <c r="AD659">
        <v>3.7</v>
      </c>
      <c r="AE659">
        <v>2</v>
      </c>
      <c r="AF659">
        <v>3.4</v>
      </c>
      <c r="AG659">
        <v>3</v>
      </c>
      <c r="AH659">
        <v>2</v>
      </c>
      <c r="AI659">
        <v>3.2</v>
      </c>
      <c r="AJ659">
        <v>0.6</v>
      </c>
      <c r="AK659">
        <v>2</v>
      </c>
      <c r="AL659">
        <v>3.8</v>
      </c>
      <c r="AM659">
        <v>4</v>
      </c>
      <c r="AN659">
        <v>4.5</v>
      </c>
      <c r="AO659">
        <v>4</v>
      </c>
      <c r="AP659">
        <v>5.7</v>
      </c>
      <c r="AQ659">
        <v>4</v>
      </c>
      <c r="AR659">
        <v>6.1</v>
      </c>
      <c r="AS659">
        <v>4</v>
      </c>
      <c r="AT659">
        <v>-3.1</v>
      </c>
      <c r="AU659">
        <v>-3.3</v>
      </c>
      <c r="AV659">
        <v>-5</v>
      </c>
      <c r="AW659">
        <v>-5.2</v>
      </c>
      <c r="AX659">
        <v>-5.7</v>
      </c>
      <c r="AY659">
        <v>-5</v>
      </c>
      <c r="AZ659">
        <v>11.6</v>
      </c>
      <c r="BA659">
        <v>10</v>
      </c>
      <c r="BB659">
        <v>10.4</v>
      </c>
      <c r="BC659">
        <v>10</v>
      </c>
      <c r="BD659">
        <v>3.9</v>
      </c>
      <c r="BE659">
        <v>4</v>
      </c>
      <c r="BF659">
        <v>10.5</v>
      </c>
      <c r="BG659">
        <v>10</v>
      </c>
      <c r="BH659">
        <v>11.1</v>
      </c>
      <c r="BI659">
        <v>10</v>
      </c>
      <c r="BJ659">
        <v>10.9</v>
      </c>
      <c r="BK659">
        <v>9</v>
      </c>
      <c r="BL659">
        <v>20.3</v>
      </c>
      <c r="BM659">
        <v>19</v>
      </c>
      <c r="BN659">
        <v>23.6</v>
      </c>
      <c r="BO659">
        <v>19</v>
      </c>
      <c r="BP659">
        <v>21.6</v>
      </c>
      <c r="BQ659">
        <v>20</v>
      </c>
      <c r="BR659">
        <v>21.8</v>
      </c>
      <c r="BS659">
        <v>25</v>
      </c>
      <c r="BT659">
        <v>21.9</v>
      </c>
      <c r="BU659">
        <v>25</v>
      </c>
      <c r="BV659">
        <v>23.4</v>
      </c>
      <c r="BW659">
        <v>18</v>
      </c>
      <c r="BX659">
        <v>20.3</v>
      </c>
      <c r="BY659">
        <v>20</v>
      </c>
      <c r="BZ659">
        <v>21.9</v>
      </c>
      <c r="CA659">
        <v>20</v>
      </c>
      <c r="CB659">
        <v>11.4</v>
      </c>
      <c r="CC659">
        <v>10</v>
      </c>
      <c r="CD659">
        <v>10.9</v>
      </c>
      <c r="CE659">
        <v>10</v>
      </c>
      <c r="CF659">
        <v>11.2</v>
      </c>
      <c r="CG659">
        <v>9</v>
      </c>
      <c r="CH659">
        <v>11.5</v>
      </c>
      <c r="CI659">
        <v>9</v>
      </c>
    </row>
    <row r="660" spans="1:87" x14ac:dyDescent="0.35">
      <c r="A660" s="1">
        <v>46059.920138888891</v>
      </c>
      <c r="B660">
        <v>-17</v>
      </c>
      <c r="C660">
        <v>-18</v>
      </c>
      <c r="D660">
        <v>-25</v>
      </c>
      <c r="E660">
        <v>-16.899999999999999</v>
      </c>
      <c r="F660">
        <v>-6.1</v>
      </c>
      <c r="G660">
        <v>-25</v>
      </c>
      <c r="H660">
        <v>-19.2</v>
      </c>
      <c r="I660">
        <v>-23.4</v>
      </c>
      <c r="J660">
        <v>-25</v>
      </c>
      <c r="K660">
        <v>-19.7</v>
      </c>
      <c r="L660">
        <v>-18.899999999999999</v>
      </c>
      <c r="M660">
        <v>-25</v>
      </c>
      <c r="N660">
        <v>-16.5</v>
      </c>
      <c r="O660">
        <v>-15.9</v>
      </c>
      <c r="P660">
        <v>-25</v>
      </c>
      <c r="Q660">
        <v>-16.3</v>
      </c>
      <c r="R660">
        <v>-16.2</v>
      </c>
      <c r="S660">
        <v>-25</v>
      </c>
      <c r="T660">
        <v>2.4</v>
      </c>
      <c r="U660">
        <v>0</v>
      </c>
      <c r="V660">
        <v>2</v>
      </c>
      <c r="W660">
        <v>2.4</v>
      </c>
      <c r="X660">
        <v>-0.6</v>
      </c>
      <c r="Y660">
        <v>2</v>
      </c>
      <c r="Z660">
        <v>4.0999999999999996</v>
      </c>
      <c r="AA660">
        <v>4.0999999999999996</v>
      </c>
      <c r="AB660">
        <v>2</v>
      </c>
      <c r="AC660">
        <v>3.7</v>
      </c>
      <c r="AD660">
        <v>3.7</v>
      </c>
      <c r="AE660">
        <v>2</v>
      </c>
      <c r="AF660">
        <v>3.2</v>
      </c>
      <c r="AG660">
        <v>2.7</v>
      </c>
      <c r="AH660">
        <v>2</v>
      </c>
      <c r="AI660">
        <v>3</v>
      </c>
      <c r="AJ660">
        <v>1.2</v>
      </c>
      <c r="AK660">
        <v>2</v>
      </c>
      <c r="AL660">
        <v>3.8</v>
      </c>
      <c r="AM660">
        <v>4</v>
      </c>
      <c r="AN660">
        <v>4.5999999999999996</v>
      </c>
      <c r="AO660">
        <v>4</v>
      </c>
      <c r="AP660">
        <v>5.8</v>
      </c>
      <c r="AQ660">
        <v>4</v>
      </c>
      <c r="AR660">
        <v>5.7</v>
      </c>
      <c r="AS660">
        <v>4</v>
      </c>
      <c r="AT660">
        <v>-2.6</v>
      </c>
      <c r="AU660">
        <v>-2.9</v>
      </c>
      <c r="AV660">
        <v>-5</v>
      </c>
      <c r="AW660">
        <v>-4.5999999999999996</v>
      </c>
      <c r="AX660">
        <v>-4.5999999999999996</v>
      </c>
      <c r="AY660">
        <v>-5</v>
      </c>
      <c r="AZ660">
        <v>11.7</v>
      </c>
      <c r="BA660">
        <v>10</v>
      </c>
      <c r="BB660">
        <v>10.3</v>
      </c>
      <c r="BC660">
        <v>10</v>
      </c>
      <c r="BD660">
        <v>4.2</v>
      </c>
      <c r="BE660">
        <v>4</v>
      </c>
      <c r="BF660">
        <v>9.8000000000000007</v>
      </c>
      <c r="BG660">
        <v>10</v>
      </c>
      <c r="BH660">
        <v>11.1</v>
      </c>
      <c r="BI660">
        <v>10</v>
      </c>
      <c r="BJ660">
        <v>10.9</v>
      </c>
      <c r="BK660">
        <v>9</v>
      </c>
      <c r="BL660">
        <v>20.3</v>
      </c>
      <c r="BM660">
        <v>19</v>
      </c>
      <c r="BN660">
        <v>23.6</v>
      </c>
      <c r="BO660">
        <v>19</v>
      </c>
      <c r="BP660">
        <v>21.7</v>
      </c>
      <c r="BQ660">
        <v>20</v>
      </c>
      <c r="BR660">
        <v>21.8</v>
      </c>
      <c r="BS660">
        <v>25</v>
      </c>
      <c r="BT660">
        <v>21.9</v>
      </c>
      <c r="BU660">
        <v>25</v>
      </c>
      <c r="BV660">
        <v>23.4</v>
      </c>
      <c r="BW660">
        <v>18</v>
      </c>
      <c r="BX660">
        <v>20.399999999999999</v>
      </c>
      <c r="BY660">
        <v>20</v>
      </c>
      <c r="BZ660">
        <v>21.9</v>
      </c>
      <c r="CA660">
        <v>20</v>
      </c>
      <c r="CB660">
        <v>11.2</v>
      </c>
      <c r="CC660">
        <v>10</v>
      </c>
      <c r="CD660">
        <v>11</v>
      </c>
      <c r="CE660">
        <v>10</v>
      </c>
      <c r="CF660">
        <v>11.3</v>
      </c>
      <c r="CG660">
        <v>9</v>
      </c>
      <c r="CH660">
        <v>11.5</v>
      </c>
      <c r="CI660">
        <v>9</v>
      </c>
    </row>
    <row r="661" spans="1:87" x14ac:dyDescent="0.35">
      <c r="A661" s="1">
        <v>46059.92083333333</v>
      </c>
      <c r="B661">
        <v>-17.2</v>
      </c>
      <c r="C661">
        <v>-18.3</v>
      </c>
      <c r="D661">
        <v>-25</v>
      </c>
      <c r="E661">
        <v>-17.3</v>
      </c>
      <c r="F661">
        <v>-7.9</v>
      </c>
      <c r="G661">
        <v>-25</v>
      </c>
      <c r="H661">
        <v>-19.2</v>
      </c>
      <c r="I661">
        <v>-23.4</v>
      </c>
      <c r="J661">
        <v>-25</v>
      </c>
      <c r="K661">
        <v>-19.7</v>
      </c>
      <c r="L661">
        <v>-18.899999999999999</v>
      </c>
      <c r="M661">
        <v>-25</v>
      </c>
      <c r="N661">
        <v>-16.5</v>
      </c>
      <c r="O661">
        <v>-15.9</v>
      </c>
      <c r="P661">
        <v>-25</v>
      </c>
      <c r="Q661">
        <v>-16.3</v>
      </c>
      <c r="R661">
        <v>-16.2</v>
      </c>
      <c r="S661">
        <v>-25</v>
      </c>
      <c r="T661">
        <v>1.9</v>
      </c>
      <c r="U661">
        <v>0.1</v>
      </c>
      <c r="V661">
        <v>2</v>
      </c>
      <c r="W661">
        <v>2</v>
      </c>
      <c r="X661">
        <v>-1.4</v>
      </c>
      <c r="Y661">
        <v>2</v>
      </c>
      <c r="Z661">
        <v>4.2</v>
      </c>
      <c r="AA661">
        <v>4.0999999999999996</v>
      </c>
      <c r="AB661">
        <v>2</v>
      </c>
      <c r="AC661">
        <v>3.7</v>
      </c>
      <c r="AD661">
        <v>3.7</v>
      </c>
      <c r="AE661">
        <v>2</v>
      </c>
      <c r="AF661">
        <v>3</v>
      </c>
      <c r="AG661">
        <v>2.5</v>
      </c>
      <c r="AH661">
        <v>2</v>
      </c>
      <c r="AI661">
        <v>2.8</v>
      </c>
      <c r="AJ661">
        <v>1.3</v>
      </c>
      <c r="AK661">
        <v>2</v>
      </c>
      <c r="AL661">
        <v>3.9</v>
      </c>
      <c r="AM661">
        <v>4</v>
      </c>
      <c r="AN661">
        <v>4.7</v>
      </c>
      <c r="AO661">
        <v>4</v>
      </c>
      <c r="AP661">
        <v>5.9</v>
      </c>
      <c r="AQ661">
        <v>4</v>
      </c>
      <c r="AR661">
        <v>5.2</v>
      </c>
      <c r="AS661">
        <v>4</v>
      </c>
      <c r="AT661">
        <v>-2.5</v>
      </c>
      <c r="AU661">
        <v>-2.5</v>
      </c>
      <c r="AV661">
        <v>-5</v>
      </c>
      <c r="AW661">
        <v>-4.2</v>
      </c>
      <c r="AX661">
        <v>-4.0999999999999996</v>
      </c>
      <c r="AY661">
        <v>-5</v>
      </c>
      <c r="AZ661">
        <v>11.8</v>
      </c>
      <c r="BA661">
        <v>10</v>
      </c>
      <c r="BB661">
        <v>10.199999999999999</v>
      </c>
      <c r="BC661">
        <v>10</v>
      </c>
      <c r="BD661">
        <v>4.4000000000000004</v>
      </c>
      <c r="BE661">
        <v>4</v>
      </c>
      <c r="BF661">
        <v>9.5</v>
      </c>
      <c r="BG661">
        <v>10</v>
      </c>
      <c r="BH661">
        <v>11.1</v>
      </c>
      <c r="BI661">
        <v>10</v>
      </c>
      <c r="BJ661">
        <v>10.9</v>
      </c>
      <c r="BK661">
        <v>9</v>
      </c>
      <c r="BL661">
        <v>20.3</v>
      </c>
      <c r="BM661">
        <v>19</v>
      </c>
      <c r="BN661">
        <v>23.6</v>
      </c>
      <c r="BO661">
        <v>19</v>
      </c>
      <c r="BP661">
        <v>21.7</v>
      </c>
      <c r="BQ661">
        <v>20</v>
      </c>
      <c r="BR661">
        <v>21.8</v>
      </c>
      <c r="BS661">
        <v>25</v>
      </c>
      <c r="BT661">
        <v>21.9</v>
      </c>
      <c r="BU661">
        <v>25</v>
      </c>
      <c r="BV661">
        <v>23.4</v>
      </c>
      <c r="BW661">
        <v>18</v>
      </c>
      <c r="BX661">
        <v>20.5</v>
      </c>
      <c r="BY661">
        <v>20</v>
      </c>
      <c r="BZ661">
        <v>21.9</v>
      </c>
      <c r="CA661">
        <v>20</v>
      </c>
      <c r="CB661">
        <v>10.9</v>
      </c>
      <c r="CC661">
        <v>10</v>
      </c>
      <c r="CD661">
        <v>11.1</v>
      </c>
      <c r="CE661">
        <v>10</v>
      </c>
      <c r="CF661">
        <v>11.3</v>
      </c>
      <c r="CG661">
        <v>9</v>
      </c>
      <c r="CH661">
        <v>11.6</v>
      </c>
      <c r="CI661">
        <v>9</v>
      </c>
    </row>
    <row r="662" spans="1:87" x14ac:dyDescent="0.35">
      <c r="A662" s="1">
        <v>46059.921527777777</v>
      </c>
      <c r="B662">
        <v>-17.5</v>
      </c>
      <c r="C662">
        <v>-18.7</v>
      </c>
      <c r="D662">
        <v>-25</v>
      </c>
      <c r="E662">
        <v>-17.7</v>
      </c>
      <c r="F662">
        <v>-9.6</v>
      </c>
      <c r="G662">
        <v>-25</v>
      </c>
      <c r="H662">
        <v>-19.2</v>
      </c>
      <c r="I662">
        <v>-23.4</v>
      </c>
      <c r="J662">
        <v>-25</v>
      </c>
      <c r="K662">
        <v>-19.7</v>
      </c>
      <c r="L662">
        <v>-18.899999999999999</v>
      </c>
      <c r="M662">
        <v>-25</v>
      </c>
      <c r="N662">
        <v>-16.5</v>
      </c>
      <c r="O662">
        <v>-15.8</v>
      </c>
      <c r="P662">
        <v>-25</v>
      </c>
      <c r="Q662">
        <v>-16.3</v>
      </c>
      <c r="R662">
        <v>-16.100000000000001</v>
      </c>
      <c r="S662">
        <v>-25</v>
      </c>
      <c r="T662">
        <v>1.7</v>
      </c>
      <c r="U662">
        <v>0.3</v>
      </c>
      <c r="V662">
        <v>2</v>
      </c>
      <c r="W662">
        <v>1.7</v>
      </c>
      <c r="X662">
        <v>0</v>
      </c>
      <c r="Y662">
        <v>2</v>
      </c>
      <c r="Z662">
        <v>4.3</v>
      </c>
      <c r="AA662">
        <v>4.0999999999999996</v>
      </c>
      <c r="AB662">
        <v>2</v>
      </c>
      <c r="AC662">
        <v>3.7</v>
      </c>
      <c r="AD662">
        <v>3.7</v>
      </c>
      <c r="AE662">
        <v>2</v>
      </c>
      <c r="AF662">
        <v>2.8</v>
      </c>
      <c r="AG662">
        <v>2.2999999999999998</v>
      </c>
      <c r="AH662">
        <v>2</v>
      </c>
      <c r="AI662">
        <v>2.6</v>
      </c>
      <c r="AJ662">
        <v>1.1000000000000001</v>
      </c>
      <c r="AK662">
        <v>2</v>
      </c>
      <c r="AL662">
        <v>3.9</v>
      </c>
      <c r="AM662">
        <v>4</v>
      </c>
      <c r="AN662">
        <v>4.7</v>
      </c>
      <c r="AO662">
        <v>4</v>
      </c>
      <c r="AP662">
        <v>6</v>
      </c>
      <c r="AQ662">
        <v>4</v>
      </c>
      <c r="AR662">
        <v>4.4000000000000004</v>
      </c>
      <c r="AS662">
        <v>4</v>
      </c>
      <c r="AT662">
        <v>-2.5</v>
      </c>
      <c r="AU662">
        <v>-1.2</v>
      </c>
      <c r="AV662">
        <v>-5</v>
      </c>
      <c r="AW662">
        <v>-3.6</v>
      </c>
      <c r="AX662">
        <v>-3.5</v>
      </c>
      <c r="AY662">
        <v>-5</v>
      </c>
      <c r="AZ662">
        <v>11.8</v>
      </c>
      <c r="BA662">
        <v>10</v>
      </c>
      <c r="BB662">
        <v>10.199999999999999</v>
      </c>
      <c r="BC662">
        <v>10</v>
      </c>
      <c r="BD662">
        <v>4.7</v>
      </c>
      <c r="BE662">
        <v>4</v>
      </c>
      <c r="BF662">
        <v>9.9</v>
      </c>
      <c r="BG662">
        <v>10</v>
      </c>
      <c r="BH662">
        <v>11.1</v>
      </c>
      <c r="BI662">
        <v>10</v>
      </c>
      <c r="BJ662">
        <v>10.8</v>
      </c>
      <c r="BK662">
        <v>9</v>
      </c>
      <c r="BL662">
        <v>20.399999999999999</v>
      </c>
      <c r="BM662">
        <v>19</v>
      </c>
      <c r="BN662">
        <v>23.6</v>
      </c>
      <c r="BO662">
        <v>19</v>
      </c>
      <c r="BP662">
        <v>21.7</v>
      </c>
      <c r="BQ662">
        <v>20</v>
      </c>
      <c r="BR662">
        <v>21.8</v>
      </c>
      <c r="BS662">
        <v>25</v>
      </c>
      <c r="BT662">
        <v>21.9</v>
      </c>
      <c r="BU662">
        <v>25</v>
      </c>
      <c r="BV662">
        <v>23.4</v>
      </c>
      <c r="BW662">
        <v>18</v>
      </c>
      <c r="BX662">
        <v>20.6</v>
      </c>
      <c r="BY662">
        <v>20</v>
      </c>
      <c r="BZ662">
        <v>21.9</v>
      </c>
      <c r="CA662">
        <v>20</v>
      </c>
      <c r="CB662">
        <v>10.7</v>
      </c>
      <c r="CC662">
        <v>10</v>
      </c>
      <c r="CD662">
        <v>11.1</v>
      </c>
      <c r="CE662">
        <v>10</v>
      </c>
      <c r="CF662">
        <v>11.3</v>
      </c>
      <c r="CG662">
        <v>9</v>
      </c>
      <c r="CH662">
        <v>11.5</v>
      </c>
      <c r="CI662">
        <v>9</v>
      </c>
    </row>
    <row r="663" spans="1:87" x14ac:dyDescent="0.35">
      <c r="A663" s="1">
        <v>46059.922222222223</v>
      </c>
      <c r="B663">
        <v>-17.8</v>
      </c>
      <c r="C663">
        <v>-19</v>
      </c>
      <c r="D663">
        <v>-25</v>
      </c>
      <c r="E663">
        <v>-18.100000000000001</v>
      </c>
      <c r="F663">
        <v>-10.7</v>
      </c>
      <c r="G663">
        <v>-25</v>
      </c>
      <c r="H663">
        <v>-19.3</v>
      </c>
      <c r="I663">
        <v>-23.5</v>
      </c>
      <c r="J663">
        <v>-25</v>
      </c>
      <c r="K663">
        <v>-19.8</v>
      </c>
      <c r="L663">
        <v>-19</v>
      </c>
      <c r="M663">
        <v>-25</v>
      </c>
      <c r="N663">
        <v>-16.5</v>
      </c>
      <c r="O663">
        <v>-15.8</v>
      </c>
      <c r="P663">
        <v>-25</v>
      </c>
      <c r="Q663">
        <v>-16.3</v>
      </c>
      <c r="R663">
        <v>-16.100000000000001</v>
      </c>
      <c r="S663">
        <v>-25</v>
      </c>
      <c r="T663">
        <v>1.7</v>
      </c>
      <c r="U663">
        <v>1.1000000000000001</v>
      </c>
      <c r="V663">
        <v>2</v>
      </c>
      <c r="W663">
        <v>1.7</v>
      </c>
      <c r="X663">
        <v>0.8</v>
      </c>
      <c r="Y663">
        <v>2</v>
      </c>
      <c r="Z663">
        <v>4.3</v>
      </c>
      <c r="AA663">
        <v>4.0999999999999996</v>
      </c>
      <c r="AB663">
        <v>2</v>
      </c>
      <c r="AC663">
        <v>3.7</v>
      </c>
      <c r="AD663">
        <v>3.7</v>
      </c>
      <c r="AE663">
        <v>2</v>
      </c>
      <c r="AF663">
        <v>2.8</v>
      </c>
      <c r="AG663">
        <v>2.2999999999999998</v>
      </c>
      <c r="AH663">
        <v>2</v>
      </c>
      <c r="AI663">
        <v>2.6</v>
      </c>
      <c r="AJ663">
        <v>1.8</v>
      </c>
      <c r="AK663">
        <v>2</v>
      </c>
      <c r="AL663">
        <v>4.0999999999999996</v>
      </c>
      <c r="AM663">
        <v>4</v>
      </c>
      <c r="AN663">
        <v>4.8</v>
      </c>
      <c r="AO663">
        <v>4</v>
      </c>
      <c r="AP663">
        <v>5.9</v>
      </c>
      <c r="AQ663">
        <v>4</v>
      </c>
      <c r="AR663">
        <v>3.4</v>
      </c>
      <c r="AS663">
        <v>4</v>
      </c>
      <c r="AT663">
        <v>-2.5</v>
      </c>
      <c r="AU663">
        <v>0.6</v>
      </c>
      <c r="AV663">
        <v>-5</v>
      </c>
      <c r="AW663">
        <v>-3.1</v>
      </c>
      <c r="AX663">
        <v>-2.9</v>
      </c>
      <c r="AY663">
        <v>-5</v>
      </c>
      <c r="AZ663">
        <v>11.9</v>
      </c>
      <c r="BA663">
        <v>10</v>
      </c>
      <c r="BB663">
        <v>10</v>
      </c>
      <c r="BC663">
        <v>10</v>
      </c>
      <c r="BD663">
        <v>4.9000000000000004</v>
      </c>
      <c r="BE663">
        <v>4</v>
      </c>
      <c r="BF663">
        <v>10.1</v>
      </c>
      <c r="BG663">
        <v>10</v>
      </c>
      <c r="BH663">
        <v>11.1</v>
      </c>
      <c r="BI663">
        <v>10</v>
      </c>
      <c r="BJ663">
        <v>10.7</v>
      </c>
      <c r="BK663">
        <v>9</v>
      </c>
      <c r="BL663">
        <v>20.399999999999999</v>
      </c>
      <c r="BM663">
        <v>19</v>
      </c>
      <c r="BN663">
        <v>23.6</v>
      </c>
      <c r="BO663">
        <v>19</v>
      </c>
      <c r="BP663">
        <v>21.7</v>
      </c>
      <c r="BQ663">
        <v>20</v>
      </c>
      <c r="BR663">
        <v>21.7</v>
      </c>
      <c r="BS663">
        <v>25</v>
      </c>
      <c r="BT663">
        <v>21.9</v>
      </c>
      <c r="BU663">
        <v>25</v>
      </c>
      <c r="BV663">
        <v>23.4</v>
      </c>
      <c r="BW663">
        <v>18</v>
      </c>
      <c r="BX663">
        <v>20.7</v>
      </c>
      <c r="BY663">
        <v>20</v>
      </c>
      <c r="BZ663">
        <v>21.9</v>
      </c>
      <c r="CA663">
        <v>20</v>
      </c>
      <c r="CB663">
        <v>10.5</v>
      </c>
      <c r="CC663">
        <v>10</v>
      </c>
      <c r="CD663">
        <v>11.2</v>
      </c>
      <c r="CE663">
        <v>10</v>
      </c>
      <c r="CF663">
        <v>11.2</v>
      </c>
      <c r="CG663">
        <v>9</v>
      </c>
      <c r="CH663">
        <v>11.4</v>
      </c>
      <c r="CI663">
        <v>9</v>
      </c>
    </row>
    <row r="664" spans="1:87" x14ac:dyDescent="0.35">
      <c r="A664" s="1">
        <v>46059.92291666667</v>
      </c>
      <c r="B664">
        <v>-18</v>
      </c>
      <c r="C664">
        <v>-19.2</v>
      </c>
      <c r="D664">
        <v>-25</v>
      </c>
      <c r="E664">
        <v>-18.3</v>
      </c>
      <c r="F664">
        <v>-11.8</v>
      </c>
      <c r="G664">
        <v>-25</v>
      </c>
      <c r="H664">
        <v>-19.3</v>
      </c>
      <c r="I664">
        <v>-23.6</v>
      </c>
      <c r="J664">
        <v>-25</v>
      </c>
      <c r="K664">
        <v>-19.899999999999999</v>
      </c>
      <c r="L664">
        <v>-19</v>
      </c>
      <c r="M664">
        <v>-25</v>
      </c>
      <c r="N664">
        <v>-16.5</v>
      </c>
      <c r="O664">
        <v>-15.8</v>
      </c>
      <c r="P664">
        <v>-25</v>
      </c>
      <c r="Q664">
        <v>-16.3</v>
      </c>
      <c r="R664">
        <v>-16.100000000000001</v>
      </c>
      <c r="S664">
        <v>-25</v>
      </c>
      <c r="T664">
        <v>1.9</v>
      </c>
      <c r="U664">
        <v>1.2</v>
      </c>
      <c r="V664">
        <v>2</v>
      </c>
      <c r="W664">
        <v>1.9</v>
      </c>
      <c r="X664">
        <v>1</v>
      </c>
      <c r="Y664">
        <v>2</v>
      </c>
      <c r="Z664">
        <v>4.3</v>
      </c>
      <c r="AA664">
        <v>4.0999999999999996</v>
      </c>
      <c r="AB664">
        <v>2</v>
      </c>
      <c r="AC664">
        <v>3.7</v>
      </c>
      <c r="AD664">
        <v>3.7</v>
      </c>
      <c r="AE664">
        <v>2</v>
      </c>
      <c r="AF664">
        <v>2.8</v>
      </c>
      <c r="AG664">
        <v>2.5</v>
      </c>
      <c r="AH664">
        <v>2</v>
      </c>
      <c r="AI664">
        <v>2.6</v>
      </c>
      <c r="AJ664">
        <v>1.8</v>
      </c>
      <c r="AK664">
        <v>2</v>
      </c>
      <c r="AL664">
        <v>4.0999999999999996</v>
      </c>
      <c r="AM664">
        <v>4</v>
      </c>
      <c r="AN664">
        <v>4.8</v>
      </c>
      <c r="AO664">
        <v>4</v>
      </c>
      <c r="AP664">
        <v>5.2</v>
      </c>
      <c r="AQ664">
        <v>4</v>
      </c>
      <c r="AR664">
        <v>3.3</v>
      </c>
      <c r="AS664">
        <v>4</v>
      </c>
      <c r="AT664">
        <v>-2.5</v>
      </c>
      <c r="AU664">
        <v>5.0999999999999996</v>
      </c>
      <c r="AV664">
        <v>-5</v>
      </c>
      <c r="AW664">
        <v>-2.8</v>
      </c>
      <c r="AX664">
        <v>-2.6</v>
      </c>
      <c r="AY664">
        <v>-5</v>
      </c>
      <c r="AZ664">
        <v>12</v>
      </c>
      <c r="BA664">
        <v>10</v>
      </c>
      <c r="BB664">
        <v>9.8000000000000007</v>
      </c>
      <c r="BC664">
        <v>10</v>
      </c>
      <c r="BD664">
        <v>5.0999999999999996</v>
      </c>
      <c r="BE664">
        <v>4</v>
      </c>
      <c r="BF664">
        <v>10.6</v>
      </c>
      <c r="BG664">
        <v>10</v>
      </c>
      <c r="BH664">
        <v>11.1</v>
      </c>
      <c r="BI664">
        <v>10</v>
      </c>
      <c r="BJ664">
        <v>10.7</v>
      </c>
      <c r="BK664">
        <v>9</v>
      </c>
      <c r="BL664">
        <v>20.399999999999999</v>
      </c>
      <c r="BM664">
        <v>19</v>
      </c>
      <c r="BN664">
        <v>23.6</v>
      </c>
      <c r="BO664">
        <v>19</v>
      </c>
      <c r="BP664">
        <v>21.7</v>
      </c>
      <c r="BQ664">
        <v>20</v>
      </c>
      <c r="BR664">
        <v>21.7</v>
      </c>
      <c r="BS664">
        <v>25</v>
      </c>
      <c r="BT664">
        <v>21.9</v>
      </c>
      <c r="BU664">
        <v>25</v>
      </c>
      <c r="BV664">
        <v>23.4</v>
      </c>
      <c r="BW664">
        <v>18</v>
      </c>
      <c r="BX664">
        <v>20.8</v>
      </c>
      <c r="BY664">
        <v>20</v>
      </c>
      <c r="BZ664">
        <v>21.9</v>
      </c>
      <c r="CA664">
        <v>20</v>
      </c>
      <c r="CB664">
        <v>10.4</v>
      </c>
      <c r="CC664">
        <v>10</v>
      </c>
      <c r="CD664">
        <v>11.2</v>
      </c>
      <c r="CE664">
        <v>10</v>
      </c>
      <c r="CF664">
        <v>11.4</v>
      </c>
      <c r="CG664">
        <v>9</v>
      </c>
      <c r="CH664">
        <v>11.6</v>
      </c>
      <c r="CI664">
        <v>9</v>
      </c>
    </row>
    <row r="665" spans="1:87" x14ac:dyDescent="0.35">
      <c r="A665" s="1">
        <v>46059.923611111109</v>
      </c>
      <c r="B665">
        <v>-18.2</v>
      </c>
      <c r="C665">
        <v>-20</v>
      </c>
      <c r="D665">
        <v>-25</v>
      </c>
      <c r="E665">
        <v>-18.600000000000001</v>
      </c>
      <c r="F665">
        <v>-12.7</v>
      </c>
      <c r="G665">
        <v>-25</v>
      </c>
      <c r="H665">
        <v>-19.3</v>
      </c>
      <c r="I665">
        <v>-23.7</v>
      </c>
      <c r="J665">
        <v>-25</v>
      </c>
      <c r="K665">
        <v>-19.899999999999999</v>
      </c>
      <c r="L665">
        <v>-19</v>
      </c>
      <c r="M665">
        <v>-25</v>
      </c>
      <c r="N665">
        <v>-16.5</v>
      </c>
      <c r="O665">
        <v>-15.8</v>
      </c>
      <c r="P665">
        <v>-25</v>
      </c>
      <c r="Q665">
        <v>-16.3</v>
      </c>
      <c r="R665">
        <v>-16.100000000000001</v>
      </c>
      <c r="S665">
        <v>-25</v>
      </c>
      <c r="T665">
        <v>2</v>
      </c>
      <c r="U665">
        <v>1.6</v>
      </c>
      <c r="V665">
        <v>2</v>
      </c>
      <c r="W665">
        <v>2</v>
      </c>
      <c r="X665">
        <v>1.3</v>
      </c>
      <c r="Y665">
        <v>2</v>
      </c>
      <c r="Z665">
        <v>4.4000000000000004</v>
      </c>
      <c r="AA665">
        <v>4.2</v>
      </c>
      <c r="AB665">
        <v>2</v>
      </c>
      <c r="AC665">
        <v>3.7</v>
      </c>
      <c r="AD665">
        <v>3.7</v>
      </c>
      <c r="AE665">
        <v>2</v>
      </c>
      <c r="AF665">
        <v>2.8</v>
      </c>
      <c r="AG665">
        <v>2.5</v>
      </c>
      <c r="AH665">
        <v>2</v>
      </c>
      <c r="AI665">
        <v>2.6</v>
      </c>
      <c r="AJ665">
        <v>2.1</v>
      </c>
      <c r="AK665">
        <v>2</v>
      </c>
      <c r="AL665">
        <v>4.2</v>
      </c>
      <c r="AM665">
        <v>4</v>
      </c>
      <c r="AN665">
        <v>4.9000000000000004</v>
      </c>
      <c r="AO665">
        <v>4</v>
      </c>
      <c r="AP665">
        <v>4.2</v>
      </c>
      <c r="AQ665">
        <v>4</v>
      </c>
      <c r="AR665">
        <v>3.3</v>
      </c>
      <c r="AS665">
        <v>4</v>
      </c>
      <c r="AT665">
        <v>-2.5</v>
      </c>
      <c r="AU665">
        <v>8.9</v>
      </c>
      <c r="AV665">
        <v>-5</v>
      </c>
      <c r="AW665">
        <v>-2.4</v>
      </c>
      <c r="AX665">
        <v>-2.2999999999999998</v>
      </c>
      <c r="AY665">
        <v>-5</v>
      </c>
      <c r="AZ665">
        <v>11.4</v>
      </c>
      <c r="BA665">
        <v>10</v>
      </c>
      <c r="BB665">
        <v>10</v>
      </c>
      <c r="BC665">
        <v>10</v>
      </c>
      <c r="BD665">
        <v>5.4</v>
      </c>
      <c r="BE665">
        <v>4</v>
      </c>
      <c r="BF665">
        <v>10.9</v>
      </c>
      <c r="BG665">
        <v>10</v>
      </c>
      <c r="BH665">
        <v>11.1</v>
      </c>
      <c r="BI665">
        <v>10</v>
      </c>
      <c r="BJ665">
        <v>10.7</v>
      </c>
      <c r="BK665">
        <v>9</v>
      </c>
      <c r="BL665">
        <v>20.399999999999999</v>
      </c>
      <c r="BM665">
        <v>19</v>
      </c>
      <c r="BN665">
        <v>23.6</v>
      </c>
      <c r="BO665">
        <v>19</v>
      </c>
      <c r="BP665">
        <v>21.7</v>
      </c>
      <c r="BQ665">
        <v>20</v>
      </c>
      <c r="BR665">
        <v>21.7</v>
      </c>
      <c r="BS665">
        <v>25</v>
      </c>
      <c r="BT665">
        <v>21.9</v>
      </c>
      <c r="BU665">
        <v>25</v>
      </c>
      <c r="BV665">
        <v>23.4</v>
      </c>
      <c r="BW665">
        <v>18</v>
      </c>
      <c r="BX665">
        <v>20.8</v>
      </c>
      <c r="BY665">
        <v>20</v>
      </c>
      <c r="BZ665">
        <v>21.9</v>
      </c>
      <c r="CA665">
        <v>20</v>
      </c>
      <c r="CB665">
        <v>10.199999999999999</v>
      </c>
      <c r="CC665">
        <v>10</v>
      </c>
      <c r="CD665">
        <v>11.2</v>
      </c>
      <c r="CE665">
        <v>10</v>
      </c>
      <c r="CF665">
        <v>11.2</v>
      </c>
      <c r="CG665">
        <v>9</v>
      </c>
      <c r="CH665">
        <v>11.5</v>
      </c>
      <c r="CI665">
        <v>9</v>
      </c>
    </row>
    <row r="666" spans="1:87" x14ac:dyDescent="0.35">
      <c r="A666" s="1">
        <v>46059.924305555556</v>
      </c>
      <c r="B666">
        <v>-18.5</v>
      </c>
      <c r="C666">
        <v>-19.7</v>
      </c>
      <c r="D666">
        <v>-25</v>
      </c>
      <c r="E666">
        <v>-18.899999999999999</v>
      </c>
      <c r="F666">
        <v>-13.8</v>
      </c>
      <c r="G666">
        <v>-25</v>
      </c>
      <c r="H666">
        <v>-19.399999999999999</v>
      </c>
      <c r="I666">
        <v>-24.1</v>
      </c>
      <c r="J666">
        <v>-25</v>
      </c>
      <c r="K666">
        <v>-20</v>
      </c>
      <c r="L666">
        <v>-19.100000000000001</v>
      </c>
      <c r="M666">
        <v>-25</v>
      </c>
      <c r="N666">
        <v>-16.5</v>
      </c>
      <c r="O666">
        <v>-15.8</v>
      </c>
      <c r="P666">
        <v>-25</v>
      </c>
      <c r="Q666">
        <v>-16.3</v>
      </c>
      <c r="R666">
        <v>-16.100000000000001</v>
      </c>
      <c r="S666">
        <v>-25</v>
      </c>
      <c r="T666">
        <v>2.1</v>
      </c>
      <c r="U666">
        <v>1.8</v>
      </c>
      <c r="V666">
        <v>2</v>
      </c>
      <c r="W666">
        <v>2.1</v>
      </c>
      <c r="X666">
        <v>1.6</v>
      </c>
      <c r="Y666">
        <v>2</v>
      </c>
      <c r="Z666">
        <v>4.4000000000000004</v>
      </c>
      <c r="AA666">
        <v>4.2</v>
      </c>
      <c r="AB666">
        <v>2</v>
      </c>
      <c r="AC666">
        <v>3.7</v>
      </c>
      <c r="AD666">
        <v>3.7</v>
      </c>
      <c r="AE666">
        <v>2</v>
      </c>
      <c r="AF666">
        <v>2.8</v>
      </c>
      <c r="AG666">
        <v>2.6</v>
      </c>
      <c r="AH666">
        <v>2</v>
      </c>
      <c r="AI666">
        <v>2.7</v>
      </c>
      <c r="AJ666">
        <v>1.9</v>
      </c>
      <c r="AK666">
        <v>2</v>
      </c>
      <c r="AL666">
        <v>4.3</v>
      </c>
      <c r="AM666">
        <v>4</v>
      </c>
      <c r="AN666">
        <v>4.9000000000000004</v>
      </c>
      <c r="AO666">
        <v>4</v>
      </c>
      <c r="AP666">
        <v>3.3</v>
      </c>
      <c r="AQ666">
        <v>4</v>
      </c>
      <c r="AR666">
        <v>3.7</v>
      </c>
      <c r="AS666">
        <v>4</v>
      </c>
      <c r="AT666">
        <v>-2.5</v>
      </c>
      <c r="AU666">
        <v>12.6</v>
      </c>
      <c r="AV666">
        <v>-5</v>
      </c>
      <c r="AW666">
        <v>-2.6</v>
      </c>
      <c r="AX666">
        <v>-3.5</v>
      </c>
      <c r="AY666">
        <v>-5</v>
      </c>
      <c r="AZ666">
        <v>10.4</v>
      </c>
      <c r="BA666">
        <v>10</v>
      </c>
      <c r="BB666">
        <v>10.3</v>
      </c>
      <c r="BC666">
        <v>10</v>
      </c>
      <c r="BD666">
        <v>5.5</v>
      </c>
      <c r="BE666">
        <v>4</v>
      </c>
      <c r="BF666">
        <v>11.2</v>
      </c>
      <c r="BG666">
        <v>10</v>
      </c>
      <c r="BH666">
        <v>11.3</v>
      </c>
      <c r="BI666">
        <v>10</v>
      </c>
      <c r="BJ666">
        <v>10.9</v>
      </c>
      <c r="BK666">
        <v>9</v>
      </c>
      <c r="BL666">
        <v>20.399999999999999</v>
      </c>
      <c r="BM666">
        <v>19</v>
      </c>
      <c r="BN666">
        <v>23.6</v>
      </c>
      <c r="BO666">
        <v>19</v>
      </c>
      <c r="BP666">
        <v>21.7</v>
      </c>
      <c r="BQ666">
        <v>20</v>
      </c>
      <c r="BR666">
        <v>21.7</v>
      </c>
      <c r="BS666">
        <v>25</v>
      </c>
      <c r="BT666">
        <v>21.9</v>
      </c>
      <c r="BU666">
        <v>25</v>
      </c>
      <c r="BV666">
        <v>23.4</v>
      </c>
      <c r="BW666">
        <v>18</v>
      </c>
      <c r="BX666">
        <v>20.9</v>
      </c>
      <c r="BY666">
        <v>20</v>
      </c>
      <c r="BZ666">
        <v>22</v>
      </c>
      <c r="CA666">
        <v>20</v>
      </c>
      <c r="CB666">
        <v>10.199999999999999</v>
      </c>
      <c r="CC666">
        <v>10</v>
      </c>
      <c r="CD666">
        <v>11.4</v>
      </c>
      <c r="CE666">
        <v>10</v>
      </c>
      <c r="CF666">
        <v>11.3</v>
      </c>
      <c r="CG666">
        <v>9</v>
      </c>
      <c r="CH666">
        <v>11.5</v>
      </c>
      <c r="CI666">
        <v>9</v>
      </c>
    </row>
    <row r="667" spans="1:87" x14ac:dyDescent="0.35">
      <c r="A667" s="1">
        <v>46059.925000000003</v>
      </c>
      <c r="B667">
        <v>-18.600000000000001</v>
      </c>
      <c r="C667">
        <v>-19.2</v>
      </c>
      <c r="D667">
        <v>-25</v>
      </c>
      <c r="E667">
        <v>-18.899999999999999</v>
      </c>
      <c r="F667">
        <v>-14.5</v>
      </c>
      <c r="G667">
        <v>-25</v>
      </c>
      <c r="H667">
        <v>-19.5</v>
      </c>
      <c r="I667">
        <v>-24.3</v>
      </c>
      <c r="J667">
        <v>-25</v>
      </c>
      <c r="K667">
        <v>-20.2</v>
      </c>
      <c r="L667">
        <v>-19.100000000000001</v>
      </c>
      <c r="M667">
        <v>-25</v>
      </c>
      <c r="N667">
        <v>-16.5</v>
      </c>
      <c r="O667">
        <v>-15.7</v>
      </c>
      <c r="P667">
        <v>-25</v>
      </c>
      <c r="Q667">
        <v>-16.3</v>
      </c>
      <c r="R667">
        <v>-16.100000000000001</v>
      </c>
      <c r="S667">
        <v>-25</v>
      </c>
      <c r="T667">
        <v>2.2000000000000002</v>
      </c>
      <c r="U667">
        <v>2</v>
      </c>
      <c r="V667">
        <v>2</v>
      </c>
      <c r="W667">
        <v>2.2000000000000002</v>
      </c>
      <c r="X667">
        <v>1.7</v>
      </c>
      <c r="Y667">
        <v>2</v>
      </c>
      <c r="Z667">
        <v>4.5</v>
      </c>
      <c r="AA667">
        <v>4.2</v>
      </c>
      <c r="AB667">
        <v>2</v>
      </c>
      <c r="AC667">
        <v>3.7</v>
      </c>
      <c r="AD667">
        <v>3.7</v>
      </c>
      <c r="AE667">
        <v>2</v>
      </c>
      <c r="AF667">
        <v>2.8</v>
      </c>
      <c r="AG667">
        <v>2.6</v>
      </c>
      <c r="AH667">
        <v>2</v>
      </c>
      <c r="AI667">
        <v>2.7</v>
      </c>
      <c r="AJ667">
        <v>1.2</v>
      </c>
      <c r="AK667">
        <v>2</v>
      </c>
      <c r="AL667">
        <v>4.3</v>
      </c>
      <c r="AM667">
        <v>4</v>
      </c>
      <c r="AN667">
        <v>5</v>
      </c>
      <c r="AO667">
        <v>4</v>
      </c>
      <c r="AP667">
        <v>3.1</v>
      </c>
      <c r="AQ667">
        <v>4</v>
      </c>
      <c r="AR667">
        <v>4</v>
      </c>
      <c r="AS667">
        <v>4</v>
      </c>
      <c r="AT667">
        <v>-2.5</v>
      </c>
      <c r="AU667">
        <v>16.5</v>
      </c>
      <c r="AV667">
        <v>-5</v>
      </c>
      <c r="AW667">
        <v>-3.3</v>
      </c>
      <c r="AX667">
        <v>-5.3</v>
      </c>
      <c r="AY667">
        <v>-5</v>
      </c>
      <c r="AZ667">
        <v>9.5</v>
      </c>
      <c r="BA667">
        <v>10</v>
      </c>
      <c r="BB667">
        <v>10.6</v>
      </c>
      <c r="BC667">
        <v>10</v>
      </c>
      <c r="BD667">
        <v>5.7</v>
      </c>
      <c r="BE667">
        <v>4</v>
      </c>
      <c r="BF667">
        <v>11.5</v>
      </c>
      <c r="BG667">
        <v>10</v>
      </c>
      <c r="BH667">
        <v>11.4</v>
      </c>
      <c r="BI667">
        <v>10</v>
      </c>
      <c r="BJ667">
        <v>11</v>
      </c>
      <c r="BK667">
        <v>9</v>
      </c>
      <c r="BL667">
        <v>20.399999999999999</v>
      </c>
      <c r="BM667">
        <v>19</v>
      </c>
      <c r="BN667">
        <v>23.6</v>
      </c>
      <c r="BO667">
        <v>19</v>
      </c>
      <c r="BP667">
        <v>21.7</v>
      </c>
      <c r="BQ667">
        <v>20</v>
      </c>
      <c r="BR667">
        <v>21.7</v>
      </c>
      <c r="BS667">
        <v>25</v>
      </c>
      <c r="BT667">
        <v>21.9</v>
      </c>
      <c r="BU667">
        <v>25</v>
      </c>
      <c r="BV667">
        <v>23.4</v>
      </c>
      <c r="BW667">
        <v>18</v>
      </c>
      <c r="BX667">
        <v>20.9</v>
      </c>
      <c r="BY667">
        <v>20</v>
      </c>
      <c r="BZ667">
        <v>21.2</v>
      </c>
      <c r="CA667">
        <v>20</v>
      </c>
      <c r="CB667">
        <v>10.1</v>
      </c>
      <c r="CC667">
        <v>10</v>
      </c>
      <c r="CD667">
        <v>11.4</v>
      </c>
      <c r="CE667">
        <v>10</v>
      </c>
      <c r="CF667">
        <v>11.2</v>
      </c>
      <c r="CG667">
        <v>9</v>
      </c>
      <c r="CH667">
        <v>11.4</v>
      </c>
      <c r="CI667">
        <v>9</v>
      </c>
    </row>
    <row r="668" spans="1:87" x14ac:dyDescent="0.35">
      <c r="A668" s="1">
        <v>46059.925694444442</v>
      </c>
      <c r="B668">
        <v>-18.600000000000001</v>
      </c>
      <c r="C668">
        <v>-19</v>
      </c>
      <c r="D668">
        <v>-25</v>
      </c>
      <c r="E668">
        <v>-18.899999999999999</v>
      </c>
      <c r="F668">
        <v>-15</v>
      </c>
      <c r="G668">
        <v>-25</v>
      </c>
      <c r="H668">
        <v>-19.600000000000001</v>
      </c>
      <c r="I668">
        <v>-24.6</v>
      </c>
      <c r="J668">
        <v>-25</v>
      </c>
      <c r="K668">
        <v>-20.3</v>
      </c>
      <c r="L668">
        <v>-19.2</v>
      </c>
      <c r="M668">
        <v>-25</v>
      </c>
      <c r="N668">
        <v>-16.600000000000001</v>
      </c>
      <c r="O668">
        <v>-15.7</v>
      </c>
      <c r="P668">
        <v>-25</v>
      </c>
      <c r="Q668">
        <v>-16.3</v>
      </c>
      <c r="R668">
        <v>-16.100000000000001</v>
      </c>
      <c r="S668">
        <v>-25</v>
      </c>
      <c r="T668">
        <v>2.2999999999999998</v>
      </c>
      <c r="U668">
        <v>2.1</v>
      </c>
      <c r="V668">
        <v>2</v>
      </c>
      <c r="W668">
        <v>2.2999999999999998</v>
      </c>
      <c r="X668">
        <v>1.9</v>
      </c>
      <c r="Y668">
        <v>2</v>
      </c>
      <c r="Z668">
        <v>4.5</v>
      </c>
      <c r="AA668">
        <v>4.3</v>
      </c>
      <c r="AB668">
        <v>2</v>
      </c>
      <c r="AC668">
        <v>3.7</v>
      </c>
      <c r="AD668">
        <v>3.7</v>
      </c>
      <c r="AE668">
        <v>2</v>
      </c>
      <c r="AF668">
        <v>2.8</v>
      </c>
      <c r="AG668">
        <v>2.4</v>
      </c>
      <c r="AH668">
        <v>2</v>
      </c>
      <c r="AI668">
        <v>2.6</v>
      </c>
      <c r="AJ668">
        <v>1.6</v>
      </c>
      <c r="AK668">
        <v>2</v>
      </c>
      <c r="AL668">
        <v>4.4000000000000004</v>
      </c>
      <c r="AM668">
        <v>4</v>
      </c>
      <c r="AN668">
        <v>5</v>
      </c>
      <c r="AO668">
        <v>4</v>
      </c>
      <c r="AP668">
        <v>3.1</v>
      </c>
      <c r="AQ668">
        <v>4</v>
      </c>
      <c r="AR668">
        <v>4.4000000000000004</v>
      </c>
      <c r="AS668">
        <v>4</v>
      </c>
      <c r="AT668">
        <v>-2.5</v>
      </c>
      <c r="AU668">
        <v>20</v>
      </c>
      <c r="AV668">
        <v>-5</v>
      </c>
      <c r="AW668">
        <v>-3.9</v>
      </c>
      <c r="AX668">
        <v>-5.9</v>
      </c>
      <c r="AY668">
        <v>-5</v>
      </c>
      <c r="AZ668">
        <v>9.3000000000000007</v>
      </c>
      <c r="BA668">
        <v>10</v>
      </c>
      <c r="BB668">
        <v>10.8</v>
      </c>
      <c r="BC668">
        <v>10</v>
      </c>
      <c r="BD668">
        <v>5.8</v>
      </c>
      <c r="BE668">
        <v>4</v>
      </c>
      <c r="BF668">
        <v>11.6</v>
      </c>
      <c r="BG668">
        <v>10</v>
      </c>
      <c r="BH668">
        <v>11.5</v>
      </c>
      <c r="BI668">
        <v>10</v>
      </c>
      <c r="BJ668">
        <v>11.3</v>
      </c>
      <c r="BK668">
        <v>9</v>
      </c>
      <c r="BL668">
        <v>20.5</v>
      </c>
      <c r="BM668">
        <v>19</v>
      </c>
      <c r="BN668">
        <v>23.6</v>
      </c>
      <c r="BO668">
        <v>19</v>
      </c>
      <c r="BP668">
        <v>21.7</v>
      </c>
      <c r="BQ668">
        <v>20</v>
      </c>
      <c r="BR668">
        <v>21.7</v>
      </c>
      <c r="BS668">
        <v>25</v>
      </c>
      <c r="BT668">
        <v>21.9</v>
      </c>
      <c r="BU668">
        <v>25</v>
      </c>
      <c r="BV668">
        <v>23.4</v>
      </c>
      <c r="BW668">
        <v>18</v>
      </c>
      <c r="BX668">
        <v>21</v>
      </c>
      <c r="BY668">
        <v>20</v>
      </c>
      <c r="BZ668">
        <v>19.8</v>
      </c>
      <c r="CA668">
        <v>20</v>
      </c>
      <c r="CB668">
        <v>10</v>
      </c>
      <c r="CC668">
        <v>10</v>
      </c>
      <c r="CD668">
        <v>11.6</v>
      </c>
      <c r="CE668">
        <v>10</v>
      </c>
      <c r="CF668">
        <v>11.1</v>
      </c>
      <c r="CG668">
        <v>9</v>
      </c>
      <c r="CH668">
        <v>11.3</v>
      </c>
      <c r="CI668">
        <v>9</v>
      </c>
    </row>
    <row r="669" spans="1:87" x14ac:dyDescent="0.35">
      <c r="A669" s="1">
        <v>46059.926388888889</v>
      </c>
      <c r="B669">
        <v>-18.600000000000001</v>
      </c>
      <c r="C669">
        <v>-18.899999999999999</v>
      </c>
      <c r="D669">
        <v>-25</v>
      </c>
      <c r="E669">
        <v>-18.899999999999999</v>
      </c>
      <c r="F669">
        <v>-15.5</v>
      </c>
      <c r="G669">
        <v>-25</v>
      </c>
      <c r="H669">
        <v>-19.600000000000001</v>
      </c>
      <c r="I669">
        <v>-24.6</v>
      </c>
      <c r="J669">
        <v>-25</v>
      </c>
      <c r="K669">
        <v>-20.399999999999999</v>
      </c>
      <c r="L669">
        <v>-19.3</v>
      </c>
      <c r="M669">
        <v>-25</v>
      </c>
      <c r="N669">
        <v>-16.7</v>
      </c>
      <c r="O669">
        <v>-15.7</v>
      </c>
      <c r="P669">
        <v>-25</v>
      </c>
      <c r="Q669">
        <v>-16.399999999999999</v>
      </c>
      <c r="R669">
        <v>-16.2</v>
      </c>
      <c r="S669">
        <v>-25</v>
      </c>
      <c r="T669">
        <v>2.5</v>
      </c>
      <c r="U669">
        <v>2.2999999999999998</v>
      </c>
      <c r="V669">
        <v>2</v>
      </c>
      <c r="W669">
        <v>2.4</v>
      </c>
      <c r="X669">
        <v>2.1</v>
      </c>
      <c r="Y669">
        <v>2</v>
      </c>
      <c r="Z669">
        <v>4.5999999999999996</v>
      </c>
      <c r="AA669">
        <v>4.5</v>
      </c>
      <c r="AB669">
        <v>2</v>
      </c>
      <c r="AC669">
        <v>3.7</v>
      </c>
      <c r="AD669">
        <v>3.7</v>
      </c>
      <c r="AE669">
        <v>2</v>
      </c>
      <c r="AF669">
        <v>2.7</v>
      </c>
      <c r="AG669">
        <v>2.2999999999999998</v>
      </c>
      <c r="AH669">
        <v>2</v>
      </c>
      <c r="AI669">
        <v>2.5</v>
      </c>
      <c r="AJ669">
        <v>1.1000000000000001</v>
      </c>
      <c r="AK669">
        <v>2</v>
      </c>
      <c r="AL669">
        <v>4.4000000000000004</v>
      </c>
      <c r="AM669">
        <v>4</v>
      </c>
      <c r="AN669">
        <v>5.0999999999999996</v>
      </c>
      <c r="AO669">
        <v>4</v>
      </c>
      <c r="AP669">
        <v>3.2</v>
      </c>
      <c r="AQ669">
        <v>4</v>
      </c>
      <c r="AR669">
        <v>4.7</v>
      </c>
      <c r="AS669">
        <v>4</v>
      </c>
      <c r="AT669">
        <v>-2.5</v>
      </c>
      <c r="AU669">
        <v>23</v>
      </c>
      <c r="AV669">
        <v>-5</v>
      </c>
      <c r="AW669">
        <v>-4.5</v>
      </c>
      <c r="AX669">
        <v>-6.9</v>
      </c>
      <c r="AY669">
        <v>-5</v>
      </c>
      <c r="AZ669">
        <v>9.3000000000000007</v>
      </c>
      <c r="BA669">
        <v>10</v>
      </c>
      <c r="BB669">
        <v>11.2</v>
      </c>
      <c r="BC669">
        <v>10</v>
      </c>
      <c r="BD669">
        <v>6</v>
      </c>
      <c r="BE669">
        <v>4</v>
      </c>
      <c r="BF669">
        <v>11.9</v>
      </c>
      <c r="BG669">
        <v>10</v>
      </c>
      <c r="BH669">
        <v>11.7</v>
      </c>
      <c r="BI669">
        <v>10</v>
      </c>
      <c r="BJ669">
        <v>11.5</v>
      </c>
      <c r="BK669">
        <v>9</v>
      </c>
      <c r="BL669">
        <v>20.5</v>
      </c>
      <c r="BM669">
        <v>19</v>
      </c>
      <c r="BN669">
        <v>23.6</v>
      </c>
      <c r="BO669">
        <v>19</v>
      </c>
      <c r="BP669">
        <v>21.8</v>
      </c>
      <c r="BQ669">
        <v>20</v>
      </c>
      <c r="BR669">
        <v>21.7</v>
      </c>
      <c r="BS669">
        <v>25</v>
      </c>
      <c r="BT669">
        <v>21.9</v>
      </c>
      <c r="BU669">
        <v>25</v>
      </c>
      <c r="BV669">
        <v>23.4</v>
      </c>
      <c r="BW669">
        <v>18</v>
      </c>
      <c r="BX669">
        <v>21</v>
      </c>
      <c r="BY669">
        <v>20</v>
      </c>
      <c r="BZ669">
        <v>19.5</v>
      </c>
      <c r="CA669">
        <v>20</v>
      </c>
      <c r="CB669">
        <v>10.199999999999999</v>
      </c>
      <c r="CC669">
        <v>10</v>
      </c>
      <c r="CD669">
        <v>11.7</v>
      </c>
      <c r="CE669">
        <v>10</v>
      </c>
      <c r="CF669">
        <v>11.1</v>
      </c>
      <c r="CG669">
        <v>9</v>
      </c>
      <c r="CH669">
        <v>11.3</v>
      </c>
      <c r="CI669">
        <v>9</v>
      </c>
    </row>
    <row r="670" spans="1:87" x14ac:dyDescent="0.35">
      <c r="A670" s="1">
        <v>46059.927083333336</v>
      </c>
      <c r="B670">
        <v>-18.600000000000001</v>
      </c>
      <c r="C670">
        <v>-18.899999999999999</v>
      </c>
      <c r="D670">
        <v>-25</v>
      </c>
      <c r="E670">
        <v>-18.899999999999999</v>
      </c>
      <c r="F670">
        <v>-15.9</v>
      </c>
      <c r="G670">
        <v>-25</v>
      </c>
      <c r="H670">
        <v>-19.7</v>
      </c>
      <c r="I670">
        <v>-24.6</v>
      </c>
      <c r="J670">
        <v>-25</v>
      </c>
      <c r="K670">
        <v>-20.6</v>
      </c>
      <c r="L670">
        <v>-19.399999999999999</v>
      </c>
      <c r="M670">
        <v>-25</v>
      </c>
      <c r="N670">
        <v>-16.899999999999999</v>
      </c>
      <c r="O670">
        <v>-15.7</v>
      </c>
      <c r="P670">
        <v>-25</v>
      </c>
      <c r="Q670">
        <v>-16.5</v>
      </c>
      <c r="R670">
        <v>-16.3</v>
      </c>
      <c r="S670">
        <v>-25</v>
      </c>
      <c r="T670">
        <v>2.6</v>
      </c>
      <c r="U670">
        <v>2.5</v>
      </c>
      <c r="V670">
        <v>2</v>
      </c>
      <c r="W670">
        <v>2.6</v>
      </c>
      <c r="X670">
        <v>2.2999999999999998</v>
      </c>
      <c r="Y670">
        <v>2</v>
      </c>
      <c r="Z670">
        <v>4.5999999999999996</v>
      </c>
      <c r="AA670">
        <v>4.5</v>
      </c>
      <c r="AB670">
        <v>2</v>
      </c>
      <c r="AC670">
        <v>3.7</v>
      </c>
      <c r="AD670">
        <v>3.7</v>
      </c>
      <c r="AE670">
        <v>2</v>
      </c>
      <c r="AF670">
        <v>2.5</v>
      </c>
      <c r="AG670">
        <v>2.2000000000000002</v>
      </c>
      <c r="AH670">
        <v>2</v>
      </c>
      <c r="AI670">
        <v>2.4</v>
      </c>
      <c r="AJ670">
        <v>1.3</v>
      </c>
      <c r="AK670">
        <v>2</v>
      </c>
      <c r="AL670">
        <v>4.5</v>
      </c>
      <c r="AM670">
        <v>4</v>
      </c>
      <c r="AN670">
        <v>5.0999999999999996</v>
      </c>
      <c r="AO670">
        <v>4</v>
      </c>
      <c r="AP670">
        <v>3.5</v>
      </c>
      <c r="AQ670">
        <v>4</v>
      </c>
      <c r="AR670">
        <v>5</v>
      </c>
      <c r="AS670">
        <v>4</v>
      </c>
      <c r="AT670">
        <v>-2.5</v>
      </c>
      <c r="AU670">
        <v>25.1</v>
      </c>
      <c r="AV670">
        <v>-5</v>
      </c>
      <c r="AW670">
        <v>-5</v>
      </c>
      <c r="AX670">
        <v>-6.9</v>
      </c>
      <c r="AY670">
        <v>-5</v>
      </c>
      <c r="AZ670">
        <v>9.4</v>
      </c>
      <c r="BA670">
        <v>10</v>
      </c>
      <c r="BB670">
        <v>11.4</v>
      </c>
      <c r="BC670">
        <v>10</v>
      </c>
      <c r="BD670">
        <v>6</v>
      </c>
      <c r="BE670">
        <v>4</v>
      </c>
      <c r="BF670">
        <v>12</v>
      </c>
      <c r="BG670">
        <v>10</v>
      </c>
      <c r="BH670">
        <v>11.8</v>
      </c>
      <c r="BI670">
        <v>10</v>
      </c>
      <c r="BJ670">
        <v>11.8</v>
      </c>
      <c r="BK670">
        <v>9</v>
      </c>
      <c r="BL670">
        <v>20.5</v>
      </c>
      <c r="BM670">
        <v>19</v>
      </c>
      <c r="BN670">
        <v>23.6</v>
      </c>
      <c r="BO670">
        <v>19</v>
      </c>
      <c r="BP670">
        <v>21.8</v>
      </c>
      <c r="BQ670">
        <v>20</v>
      </c>
      <c r="BR670">
        <v>21.7</v>
      </c>
      <c r="BS670">
        <v>25</v>
      </c>
      <c r="BT670">
        <v>21.9</v>
      </c>
      <c r="BU670">
        <v>25</v>
      </c>
      <c r="BV670">
        <v>23.4</v>
      </c>
      <c r="BW670">
        <v>18</v>
      </c>
      <c r="BX670">
        <v>21.1</v>
      </c>
      <c r="BY670">
        <v>20</v>
      </c>
      <c r="BZ670">
        <v>19.399999999999999</v>
      </c>
      <c r="CA670">
        <v>20</v>
      </c>
      <c r="CB670">
        <v>10.6</v>
      </c>
      <c r="CC670">
        <v>10</v>
      </c>
      <c r="CD670">
        <v>11.8</v>
      </c>
      <c r="CE670">
        <v>10</v>
      </c>
      <c r="CF670">
        <v>11.3</v>
      </c>
      <c r="CG670">
        <v>9</v>
      </c>
      <c r="CH670">
        <v>11.5</v>
      </c>
      <c r="CI670">
        <v>9</v>
      </c>
    </row>
    <row r="671" spans="1:87" x14ac:dyDescent="0.35">
      <c r="A671" s="1">
        <v>46059.927777777775</v>
      </c>
      <c r="B671">
        <v>-18.600000000000001</v>
      </c>
      <c r="C671">
        <v>-18.899999999999999</v>
      </c>
      <c r="D671">
        <v>-25</v>
      </c>
      <c r="E671">
        <v>-18.899999999999999</v>
      </c>
      <c r="F671">
        <v>-16.3</v>
      </c>
      <c r="G671">
        <v>-25</v>
      </c>
      <c r="H671">
        <v>-19.8</v>
      </c>
      <c r="I671">
        <v>-24.7</v>
      </c>
      <c r="J671">
        <v>-25</v>
      </c>
      <c r="K671">
        <v>-20.6</v>
      </c>
      <c r="L671">
        <v>-19.399999999999999</v>
      </c>
      <c r="M671">
        <v>-25</v>
      </c>
      <c r="N671">
        <v>-16.899999999999999</v>
      </c>
      <c r="O671">
        <v>-15.7</v>
      </c>
      <c r="P671">
        <v>-25</v>
      </c>
      <c r="Q671">
        <v>-16.600000000000001</v>
      </c>
      <c r="R671">
        <v>-16.399999999999999</v>
      </c>
      <c r="S671">
        <v>-25</v>
      </c>
      <c r="T671">
        <v>2.7</v>
      </c>
      <c r="U671">
        <v>2.6</v>
      </c>
      <c r="V671">
        <v>2</v>
      </c>
      <c r="W671">
        <v>2.7</v>
      </c>
      <c r="X671">
        <v>2.4</v>
      </c>
      <c r="Y671">
        <v>2</v>
      </c>
      <c r="Z671">
        <v>4.5999999999999996</v>
      </c>
      <c r="AA671">
        <v>4.5</v>
      </c>
      <c r="AB671">
        <v>2</v>
      </c>
      <c r="AC671">
        <v>3.7</v>
      </c>
      <c r="AD671">
        <v>3.7</v>
      </c>
      <c r="AE671">
        <v>2</v>
      </c>
      <c r="AF671">
        <v>2.5</v>
      </c>
      <c r="AG671">
        <v>2.1</v>
      </c>
      <c r="AH671">
        <v>2</v>
      </c>
      <c r="AI671">
        <v>2.2000000000000002</v>
      </c>
      <c r="AJ671">
        <v>-0.4</v>
      </c>
      <c r="AK671">
        <v>2</v>
      </c>
      <c r="AL671">
        <v>4.5999999999999996</v>
      </c>
      <c r="AM671">
        <v>4</v>
      </c>
      <c r="AN671">
        <v>5.0999999999999996</v>
      </c>
      <c r="AO671">
        <v>4</v>
      </c>
      <c r="AP671">
        <v>3.8</v>
      </c>
      <c r="AQ671">
        <v>4</v>
      </c>
      <c r="AR671">
        <v>5.2</v>
      </c>
      <c r="AS671">
        <v>4</v>
      </c>
      <c r="AT671">
        <v>-2.5</v>
      </c>
      <c r="AU671">
        <v>26.8</v>
      </c>
      <c r="AV671">
        <v>-5</v>
      </c>
      <c r="AW671">
        <v>-4.9000000000000004</v>
      </c>
      <c r="AX671">
        <v>-5.0999999999999996</v>
      </c>
      <c r="AY671">
        <v>-5</v>
      </c>
      <c r="AZ671">
        <v>9.5</v>
      </c>
      <c r="BA671">
        <v>10</v>
      </c>
      <c r="BB671">
        <v>11.6</v>
      </c>
      <c r="BC671">
        <v>10</v>
      </c>
      <c r="BD671">
        <v>5.8</v>
      </c>
      <c r="BE671">
        <v>4</v>
      </c>
      <c r="BF671">
        <v>11.4</v>
      </c>
      <c r="BG671">
        <v>10</v>
      </c>
      <c r="BH671">
        <v>11.8</v>
      </c>
      <c r="BI671">
        <v>10</v>
      </c>
      <c r="BJ671">
        <v>11.9</v>
      </c>
      <c r="BK671">
        <v>9</v>
      </c>
      <c r="BL671">
        <v>20.5</v>
      </c>
      <c r="BM671">
        <v>19</v>
      </c>
      <c r="BN671">
        <v>23.6</v>
      </c>
      <c r="BO671">
        <v>19</v>
      </c>
      <c r="BP671">
        <v>21.8</v>
      </c>
      <c r="BQ671">
        <v>20</v>
      </c>
      <c r="BR671">
        <v>21.7</v>
      </c>
      <c r="BS671">
        <v>25</v>
      </c>
      <c r="BT671">
        <v>21.9</v>
      </c>
      <c r="BU671">
        <v>25</v>
      </c>
      <c r="BV671">
        <v>23.4</v>
      </c>
      <c r="BW671">
        <v>18</v>
      </c>
      <c r="BX671">
        <v>21.1</v>
      </c>
      <c r="BY671">
        <v>20</v>
      </c>
      <c r="BZ671">
        <v>19.7</v>
      </c>
      <c r="CA671">
        <v>20</v>
      </c>
      <c r="CB671">
        <v>11.1</v>
      </c>
      <c r="CC671">
        <v>10</v>
      </c>
      <c r="CD671">
        <v>11.8</v>
      </c>
      <c r="CE671">
        <v>10</v>
      </c>
      <c r="CF671">
        <v>11.4</v>
      </c>
      <c r="CG671">
        <v>9</v>
      </c>
      <c r="CH671">
        <v>11.6</v>
      </c>
      <c r="CI671">
        <v>9</v>
      </c>
    </row>
    <row r="672" spans="1:87" x14ac:dyDescent="0.35">
      <c r="A672" s="1">
        <v>46059.928472222222</v>
      </c>
      <c r="B672">
        <v>-18.600000000000001</v>
      </c>
      <c r="C672">
        <v>-19</v>
      </c>
      <c r="D672">
        <v>-25</v>
      </c>
      <c r="E672">
        <v>-19.100000000000001</v>
      </c>
      <c r="F672">
        <v>-16.600000000000001</v>
      </c>
      <c r="G672">
        <v>-25</v>
      </c>
      <c r="H672">
        <v>-19.8</v>
      </c>
      <c r="I672">
        <v>-24.5</v>
      </c>
      <c r="J672">
        <v>-25</v>
      </c>
      <c r="K672">
        <v>-20.6</v>
      </c>
      <c r="L672">
        <v>-19.5</v>
      </c>
      <c r="M672">
        <v>-25</v>
      </c>
      <c r="N672">
        <v>-17</v>
      </c>
      <c r="O672">
        <v>-15.7</v>
      </c>
      <c r="P672">
        <v>-25</v>
      </c>
      <c r="Q672">
        <v>-16.600000000000001</v>
      </c>
      <c r="R672">
        <v>-16.399999999999999</v>
      </c>
      <c r="S672">
        <v>-25</v>
      </c>
      <c r="T672">
        <v>2.8</v>
      </c>
      <c r="U672">
        <v>2.8</v>
      </c>
      <c r="V672">
        <v>2</v>
      </c>
      <c r="W672">
        <v>2.8</v>
      </c>
      <c r="X672">
        <v>2.6</v>
      </c>
      <c r="Y672">
        <v>2</v>
      </c>
      <c r="Z672">
        <v>4.7</v>
      </c>
      <c r="AA672">
        <v>4.5</v>
      </c>
      <c r="AB672">
        <v>2</v>
      </c>
      <c r="AC672">
        <v>3.7</v>
      </c>
      <c r="AD672">
        <v>3.8</v>
      </c>
      <c r="AE672">
        <v>2</v>
      </c>
      <c r="AF672">
        <v>2.2999999999999998</v>
      </c>
      <c r="AG672">
        <v>1.9</v>
      </c>
      <c r="AH672">
        <v>2</v>
      </c>
      <c r="AI672">
        <v>2.1</v>
      </c>
      <c r="AJ672">
        <v>0.1</v>
      </c>
      <c r="AK672">
        <v>2</v>
      </c>
      <c r="AL672">
        <v>4.5999999999999996</v>
      </c>
      <c r="AM672">
        <v>4</v>
      </c>
      <c r="AN672">
        <v>5.0999999999999996</v>
      </c>
      <c r="AO672">
        <v>4</v>
      </c>
      <c r="AP672">
        <v>4</v>
      </c>
      <c r="AQ672">
        <v>4</v>
      </c>
      <c r="AR672">
        <v>5.5</v>
      </c>
      <c r="AS672">
        <v>4</v>
      </c>
      <c r="AT672">
        <v>-2.5</v>
      </c>
      <c r="AU672">
        <v>27</v>
      </c>
      <c r="AV672">
        <v>-5</v>
      </c>
      <c r="AW672">
        <v>-4.2</v>
      </c>
      <c r="AX672">
        <v>-4.3</v>
      </c>
      <c r="AY672">
        <v>-5</v>
      </c>
      <c r="AZ672">
        <v>9.8000000000000007</v>
      </c>
      <c r="BA672">
        <v>10</v>
      </c>
      <c r="BB672">
        <v>12</v>
      </c>
      <c r="BC672">
        <v>10</v>
      </c>
      <c r="BD672">
        <v>5.6</v>
      </c>
      <c r="BE672">
        <v>4</v>
      </c>
      <c r="BF672">
        <v>10.5</v>
      </c>
      <c r="BG672">
        <v>10</v>
      </c>
      <c r="BH672">
        <v>11.8</v>
      </c>
      <c r="BI672">
        <v>10</v>
      </c>
      <c r="BJ672">
        <v>11.9</v>
      </c>
      <c r="BK672">
        <v>9</v>
      </c>
      <c r="BL672">
        <v>20.5</v>
      </c>
      <c r="BM672">
        <v>19</v>
      </c>
      <c r="BN672">
        <v>23.6</v>
      </c>
      <c r="BO672">
        <v>19</v>
      </c>
      <c r="BP672">
        <v>21.8</v>
      </c>
      <c r="BQ672">
        <v>20</v>
      </c>
      <c r="BR672">
        <v>21.7</v>
      </c>
      <c r="BS672">
        <v>25</v>
      </c>
      <c r="BT672">
        <v>21.9</v>
      </c>
      <c r="BU672">
        <v>25</v>
      </c>
      <c r="BV672">
        <v>23.4</v>
      </c>
      <c r="BW672">
        <v>18</v>
      </c>
      <c r="BX672">
        <v>21.2</v>
      </c>
      <c r="BY672">
        <v>20</v>
      </c>
      <c r="BZ672">
        <v>20</v>
      </c>
      <c r="CA672">
        <v>20</v>
      </c>
      <c r="CB672">
        <v>11.5</v>
      </c>
      <c r="CC672">
        <v>10</v>
      </c>
      <c r="CD672">
        <v>11.9</v>
      </c>
      <c r="CE672">
        <v>10</v>
      </c>
      <c r="CF672">
        <v>11.6</v>
      </c>
      <c r="CG672">
        <v>9</v>
      </c>
      <c r="CH672">
        <v>11.8</v>
      </c>
      <c r="CI672">
        <v>9</v>
      </c>
    </row>
    <row r="673" spans="1:87" x14ac:dyDescent="0.35">
      <c r="A673" s="1">
        <v>46059.929166666669</v>
      </c>
      <c r="B673">
        <v>-18.8</v>
      </c>
      <c r="C673">
        <v>-19.5</v>
      </c>
      <c r="D673">
        <v>-25</v>
      </c>
      <c r="E673">
        <v>-19.3</v>
      </c>
      <c r="F673">
        <v>-16.899999999999999</v>
      </c>
      <c r="G673">
        <v>-25</v>
      </c>
      <c r="H673">
        <v>-19.8</v>
      </c>
      <c r="I673">
        <v>-23.9</v>
      </c>
      <c r="J673">
        <v>-25</v>
      </c>
      <c r="K673">
        <v>-20.6</v>
      </c>
      <c r="L673">
        <v>-19.5</v>
      </c>
      <c r="M673">
        <v>-25</v>
      </c>
      <c r="N673">
        <v>-17.100000000000001</v>
      </c>
      <c r="O673">
        <v>-15.8</v>
      </c>
      <c r="P673">
        <v>-25</v>
      </c>
      <c r="Q673">
        <v>-16.7</v>
      </c>
      <c r="R673">
        <v>-16.5</v>
      </c>
      <c r="S673">
        <v>-25</v>
      </c>
      <c r="T673">
        <v>2.9</v>
      </c>
      <c r="U673">
        <v>2.9</v>
      </c>
      <c r="V673">
        <v>2</v>
      </c>
      <c r="W673">
        <v>2.9</v>
      </c>
      <c r="X673">
        <v>2.7</v>
      </c>
      <c r="Y673">
        <v>2</v>
      </c>
      <c r="Z673">
        <v>4.7</v>
      </c>
      <c r="AA673">
        <v>4.5</v>
      </c>
      <c r="AB673">
        <v>2</v>
      </c>
      <c r="AC673">
        <v>4.8</v>
      </c>
      <c r="AD673">
        <v>0.9</v>
      </c>
      <c r="AE673">
        <v>2</v>
      </c>
      <c r="AF673">
        <v>2.2999999999999998</v>
      </c>
      <c r="AG673">
        <v>1.9</v>
      </c>
      <c r="AH673">
        <v>2</v>
      </c>
      <c r="AI673">
        <v>2.1</v>
      </c>
      <c r="AJ673">
        <v>-0.4</v>
      </c>
      <c r="AK673">
        <v>2</v>
      </c>
      <c r="AL673">
        <v>4.7</v>
      </c>
      <c r="AM673">
        <v>4</v>
      </c>
      <c r="AN673">
        <v>5.0999999999999996</v>
      </c>
      <c r="AO673">
        <v>4</v>
      </c>
      <c r="AP673">
        <v>4.3</v>
      </c>
      <c r="AQ673">
        <v>4</v>
      </c>
      <c r="AR673">
        <v>5.7</v>
      </c>
      <c r="AS673">
        <v>4</v>
      </c>
      <c r="AT673">
        <v>26.8</v>
      </c>
      <c r="AU673">
        <v>26.3</v>
      </c>
      <c r="AV673">
        <v>-5</v>
      </c>
      <c r="AW673">
        <v>-3.9</v>
      </c>
      <c r="AX673">
        <v>-3.9</v>
      </c>
      <c r="AY673">
        <v>-5</v>
      </c>
      <c r="AZ673">
        <v>9.9</v>
      </c>
      <c r="BA673">
        <v>10</v>
      </c>
      <c r="BB673">
        <v>12.1</v>
      </c>
      <c r="BC673">
        <v>10</v>
      </c>
      <c r="BD673">
        <v>5</v>
      </c>
      <c r="BE673">
        <v>4</v>
      </c>
      <c r="BF673">
        <v>9.5</v>
      </c>
      <c r="BG673">
        <v>10</v>
      </c>
      <c r="BH673">
        <v>11.8</v>
      </c>
      <c r="BI673">
        <v>10</v>
      </c>
      <c r="BJ673">
        <v>11.8</v>
      </c>
      <c r="BK673">
        <v>9</v>
      </c>
      <c r="BL673">
        <v>20.5</v>
      </c>
      <c r="BM673">
        <v>19</v>
      </c>
      <c r="BN673">
        <v>23.6</v>
      </c>
      <c r="BO673">
        <v>19</v>
      </c>
      <c r="BP673">
        <v>21.8</v>
      </c>
      <c r="BQ673">
        <v>20</v>
      </c>
      <c r="BR673">
        <v>21.7</v>
      </c>
      <c r="BS673">
        <v>25</v>
      </c>
      <c r="BT673">
        <v>21.9</v>
      </c>
      <c r="BU673">
        <v>25</v>
      </c>
      <c r="BV673">
        <v>23.4</v>
      </c>
      <c r="BW673">
        <v>18</v>
      </c>
      <c r="BX673">
        <v>21.2</v>
      </c>
      <c r="BY673">
        <v>20</v>
      </c>
      <c r="BZ673">
        <v>20.2</v>
      </c>
      <c r="CA673">
        <v>20</v>
      </c>
      <c r="CB673">
        <v>11.8</v>
      </c>
      <c r="CC673">
        <v>10</v>
      </c>
      <c r="CD673">
        <v>11.9</v>
      </c>
      <c r="CE673">
        <v>10</v>
      </c>
      <c r="CF673">
        <v>11.4</v>
      </c>
      <c r="CG673">
        <v>9</v>
      </c>
      <c r="CH673">
        <v>11.7</v>
      </c>
      <c r="CI673">
        <v>9</v>
      </c>
    </row>
    <row r="674" spans="1:87" x14ac:dyDescent="0.35">
      <c r="A674" s="1">
        <v>46059.929861111108</v>
      </c>
      <c r="B674">
        <v>-19</v>
      </c>
      <c r="C674">
        <v>-20</v>
      </c>
      <c r="D674">
        <v>-25</v>
      </c>
      <c r="E674">
        <v>-19.5</v>
      </c>
      <c r="F674">
        <v>-17.2</v>
      </c>
      <c r="G674">
        <v>-25</v>
      </c>
      <c r="H674">
        <v>-19.8</v>
      </c>
      <c r="I674">
        <v>-22.4</v>
      </c>
      <c r="J674">
        <v>-25</v>
      </c>
      <c r="K674">
        <v>-20.6</v>
      </c>
      <c r="L674">
        <v>-19.5</v>
      </c>
      <c r="M674">
        <v>-25</v>
      </c>
      <c r="N674">
        <v>-17.100000000000001</v>
      </c>
      <c r="O674">
        <v>-15.9</v>
      </c>
      <c r="P674">
        <v>-25</v>
      </c>
      <c r="Q674">
        <v>-16.8</v>
      </c>
      <c r="R674">
        <v>-16.600000000000001</v>
      </c>
      <c r="S674">
        <v>-25</v>
      </c>
      <c r="T674">
        <v>3</v>
      </c>
      <c r="U674">
        <v>3</v>
      </c>
      <c r="V674">
        <v>2</v>
      </c>
      <c r="W674">
        <v>3</v>
      </c>
      <c r="X674">
        <v>2.8</v>
      </c>
      <c r="Y674">
        <v>2</v>
      </c>
      <c r="Z674">
        <v>4.7</v>
      </c>
      <c r="AA674">
        <v>4.5999999999999996</v>
      </c>
      <c r="AB674">
        <v>2</v>
      </c>
      <c r="AC674">
        <v>4.8</v>
      </c>
      <c r="AD674">
        <v>-6.3</v>
      </c>
      <c r="AE674">
        <v>2</v>
      </c>
      <c r="AF674">
        <v>2.1</v>
      </c>
      <c r="AG674">
        <v>1.6</v>
      </c>
      <c r="AH674">
        <v>2</v>
      </c>
      <c r="AI674">
        <v>1.9</v>
      </c>
      <c r="AJ674">
        <v>-0.1</v>
      </c>
      <c r="AK674">
        <v>2</v>
      </c>
      <c r="AL674">
        <v>4.8</v>
      </c>
      <c r="AM674">
        <v>4</v>
      </c>
      <c r="AN674">
        <v>5.0999999999999996</v>
      </c>
      <c r="AO674">
        <v>4</v>
      </c>
      <c r="AP674">
        <v>4.5</v>
      </c>
      <c r="AQ674">
        <v>4</v>
      </c>
      <c r="AR674">
        <v>5.9</v>
      </c>
      <c r="AS674">
        <v>4</v>
      </c>
      <c r="AT674">
        <v>23.5</v>
      </c>
      <c r="AU674">
        <v>17.7</v>
      </c>
      <c r="AV674">
        <v>-5</v>
      </c>
      <c r="AW674">
        <v>-3.4</v>
      </c>
      <c r="AX674">
        <v>-3.2</v>
      </c>
      <c r="AY674">
        <v>-5</v>
      </c>
      <c r="AZ674">
        <v>10.1</v>
      </c>
      <c r="BA674">
        <v>10</v>
      </c>
      <c r="BB674">
        <v>11.8</v>
      </c>
      <c r="BC674">
        <v>10</v>
      </c>
      <c r="BD674">
        <v>4.5999999999999996</v>
      </c>
      <c r="BE674">
        <v>4</v>
      </c>
      <c r="BF674">
        <v>9.5</v>
      </c>
      <c r="BG674">
        <v>10</v>
      </c>
      <c r="BH674">
        <v>11.8</v>
      </c>
      <c r="BI674">
        <v>10</v>
      </c>
      <c r="BJ674">
        <v>11.8</v>
      </c>
      <c r="BK674">
        <v>9</v>
      </c>
      <c r="BL674">
        <v>20.5</v>
      </c>
      <c r="BM674">
        <v>19</v>
      </c>
      <c r="BN674">
        <v>23.6</v>
      </c>
      <c r="BO674">
        <v>19</v>
      </c>
      <c r="BP674">
        <v>21.8</v>
      </c>
      <c r="BQ674">
        <v>20</v>
      </c>
      <c r="BR674">
        <v>21.7</v>
      </c>
      <c r="BS674">
        <v>25</v>
      </c>
      <c r="BT674">
        <v>21.9</v>
      </c>
      <c r="BU674">
        <v>25</v>
      </c>
      <c r="BV674">
        <v>23.4</v>
      </c>
      <c r="BW674">
        <v>18</v>
      </c>
      <c r="BX674">
        <v>21.2</v>
      </c>
      <c r="BY674">
        <v>20</v>
      </c>
      <c r="BZ674">
        <v>20.399999999999999</v>
      </c>
      <c r="CA674">
        <v>20</v>
      </c>
      <c r="CB674">
        <v>12</v>
      </c>
      <c r="CC674">
        <v>10</v>
      </c>
      <c r="CD674">
        <v>11.9</v>
      </c>
      <c r="CE674">
        <v>10</v>
      </c>
      <c r="CF674">
        <v>11.4</v>
      </c>
      <c r="CG674">
        <v>9</v>
      </c>
      <c r="CH674">
        <v>11.6</v>
      </c>
      <c r="CI674">
        <v>9</v>
      </c>
    </row>
    <row r="675" spans="1:87" x14ac:dyDescent="0.35">
      <c r="A675" s="1">
        <v>46059.930555555555</v>
      </c>
      <c r="B675">
        <v>-19.2</v>
      </c>
      <c r="C675">
        <v>-20.3</v>
      </c>
      <c r="D675">
        <v>-25</v>
      </c>
      <c r="E675">
        <v>-19.7</v>
      </c>
      <c r="F675">
        <v>-17.600000000000001</v>
      </c>
      <c r="G675">
        <v>-25</v>
      </c>
      <c r="H675">
        <v>-19.8</v>
      </c>
      <c r="I675">
        <v>-23.8</v>
      </c>
      <c r="J675">
        <v>-25</v>
      </c>
      <c r="K675">
        <v>-20.6</v>
      </c>
      <c r="L675">
        <v>-19.5</v>
      </c>
      <c r="M675">
        <v>-25</v>
      </c>
      <c r="N675">
        <v>-17.2</v>
      </c>
      <c r="O675">
        <v>-15.9</v>
      </c>
      <c r="P675">
        <v>-25</v>
      </c>
      <c r="Q675">
        <v>-16.899999999999999</v>
      </c>
      <c r="R675">
        <v>-16.7</v>
      </c>
      <c r="S675">
        <v>-25</v>
      </c>
      <c r="T675">
        <v>3.1</v>
      </c>
      <c r="U675">
        <v>3.1</v>
      </c>
      <c r="V675">
        <v>2</v>
      </c>
      <c r="W675">
        <v>3.1</v>
      </c>
      <c r="X675">
        <v>2.9</v>
      </c>
      <c r="Y675">
        <v>2</v>
      </c>
      <c r="Z675">
        <v>4.8</v>
      </c>
      <c r="AA675">
        <v>4.5999999999999996</v>
      </c>
      <c r="AB675">
        <v>2</v>
      </c>
      <c r="AC675">
        <v>4.7</v>
      </c>
      <c r="AD675">
        <v>1.3</v>
      </c>
      <c r="AE675">
        <v>2</v>
      </c>
      <c r="AF675">
        <v>2.1</v>
      </c>
      <c r="AG675">
        <v>1.6</v>
      </c>
      <c r="AH675">
        <v>2</v>
      </c>
      <c r="AI675">
        <v>1.9</v>
      </c>
      <c r="AJ675">
        <v>0.9</v>
      </c>
      <c r="AK675">
        <v>2</v>
      </c>
      <c r="AL675">
        <v>4.8</v>
      </c>
      <c r="AM675">
        <v>4</v>
      </c>
      <c r="AN675">
        <v>5.0999999999999996</v>
      </c>
      <c r="AO675">
        <v>4</v>
      </c>
      <c r="AP675">
        <v>4.7</v>
      </c>
      <c r="AQ675">
        <v>4</v>
      </c>
      <c r="AR675">
        <v>6</v>
      </c>
      <c r="AS675">
        <v>4</v>
      </c>
      <c r="AT675">
        <v>21.2</v>
      </c>
      <c r="AU675">
        <v>6.9</v>
      </c>
      <c r="AV675">
        <v>-5</v>
      </c>
      <c r="AW675">
        <v>-2.9</v>
      </c>
      <c r="AX675">
        <v>-2.7</v>
      </c>
      <c r="AY675">
        <v>-5</v>
      </c>
      <c r="AZ675">
        <v>10.199999999999999</v>
      </c>
      <c r="BA675">
        <v>10</v>
      </c>
      <c r="BB675">
        <v>11.5</v>
      </c>
      <c r="BC675">
        <v>10</v>
      </c>
      <c r="BD675">
        <v>4.3</v>
      </c>
      <c r="BE675">
        <v>4</v>
      </c>
      <c r="BF675">
        <v>9.8000000000000007</v>
      </c>
      <c r="BG675">
        <v>10</v>
      </c>
      <c r="BH675">
        <v>11.8</v>
      </c>
      <c r="BI675">
        <v>10</v>
      </c>
      <c r="BJ675">
        <v>11.6</v>
      </c>
      <c r="BK675">
        <v>9</v>
      </c>
      <c r="BL675">
        <v>20.6</v>
      </c>
      <c r="BM675">
        <v>19</v>
      </c>
      <c r="BN675">
        <v>23.6</v>
      </c>
      <c r="BO675">
        <v>19</v>
      </c>
      <c r="BP675">
        <v>21.8</v>
      </c>
      <c r="BQ675">
        <v>20</v>
      </c>
      <c r="BR675">
        <v>21.7</v>
      </c>
      <c r="BS675">
        <v>25</v>
      </c>
      <c r="BT675">
        <v>21.9</v>
      </c>
      <c r="BU675">
        <v>25</v>
      </c>
      <c r="BV675">
        <v>23.4</v>
      </c>
      <c r="BW675">
        <v>18</v>
      </c>
      <c r="BX675">
        <v>21.3</v>
      </c>
      <c r="BY675">
        <v>20</v>
      </c>
      <c r="BZ675">
        <v>20.6</v>
      </c>
      <c r="CA675">
        <v>20</v>
      </c>
      <c r="CB675">
        <v>11.9</v>
      </c>
      <c r="CC675">
        <v>10</v>
      </c>
      <c r="CD675">
        <v>11.9</v>
      </c>
      <c r="CE675">
        <v>10</v>
      </c>
      <c r="CF675">
        <v>11.5</v>
      </c>
      <c r="CG675">
        <v>9</v>
      </c>
      <c r="CH675">
        <v>11.7</v>
      </c>
      <c r="CI675">
        <v>9</v>
      </c>
    </row>
    <row r="676" spans="1:87" x14ac:dyDescent="0.35">
      <c r="A676" s="1">
        <v>46059.931250000001</v>
      </c>
      <c r="B676">
        <v>-19.3</v>
      </c>
      <c r="C676">
        <v>-20.100000000000001</v>
      </c>
      <c r="D676">
        <v>-25</v>
      </c>
      <c r="E676">
        <v>-19.7</v>
      </c>
      <c r="F676">
        <v>-17.8</v>
      </c>
      <c r="G676">
        <v>-25</v>
      </c>
      <c r="H676">
        <v>-19.8</v>
      </c>
      <c r="I676">
        <v>-24.8</v>
      </c>
      <c r="J676">
        <v>-25</v>
      </c>
      <c r="K676">
        <v>-20.6</v>
      </c>
      <c r="L676">
        <v>-19.5</v>
      </c>
      <c r="M676">
        <v>-25</v>
      </c>
      <c r="N676">
        <v>-17.3</v>
      </c>
      <c r="O676">
        <v>-16</v>
      </c>
      <c r="P676">
        <v>-25</v>
      </c>
      <c r="Q676">
        <v>-17</v>
      </c>
      <c r="R676">
        <v>-16.7</v>
      </c>
      <c r="S676">
        <v>-25</v>
      </c>
      <c r="T676">
        <v>3.2</v>
      </c>
      <c r="U676">
        <v>3.2</v>
      </c>
      <c r="V676">
        <v>2</v>
      </c>
      <c r="W676">
        <v>3.2</v>
      </c>
      <c r="X676">
        <v>3</v>
      </c>
      <c r="Y676">
        <v>2</v>
      </c>
      <c r="Z676">
        <v>4.8</v>
      </c>
      <c r="AA676">
        <v>4.3</v>
      </c>
      <c r="AB676">
        <v>2</v>
      </c>
      <c r="AC676">
        <v>4.5</v>
      </c>
      <c r="AD676">
        <v>2.8</v>
      </c>
      <c r="AE676">
        <v>2</v>
      </c>
      <c r="AF676">
        <v>2.1</v>
      </c>
      <c r="AG676">
        <v>1.9</v>
      </c>
      <c r="AH676">
        <v>2</v>
      </c>
      <c r="AI676">
        <v>2</v>
      </c>
      <c r="AJ676">
        <v>1.6</v>
      </c>
      <c r="AK676">
        <v>2</v>
      </c>
      <c r="AL676">
        <v>4.9000000000000004</v>
      </c>
      <c r="AM676">
        <v>4</v>
      </c>
      <c r="AN676">
        <v>5.0999999999999996</v>
      </c>
      <c r="AO676">
        <v>4</v>
      </c>
      <c r="AP676">
        <v>4.9000000000000004</v>
      </c>
      <c r="AQ676">
        <v>4</v>
      </c>
      <c r="AR676">
        <v>5.8</v>
      </c>
      <c r="AS676">
        <v>4</v>
      </c>
      <c r="AT676">
        <v>8.1</v>
      </c>
      <c r="AU676">
        <v>0.6</v>
      </c>
      <c r="AV676">
        <v>-5</v>
      </c>
      <c r="AW676">
        <v>-2.6</v>
      </c>
      <c r="AX676">
        <v>-2.5</v>
      </c>
      <c r="AY676">
        <v>-5</v>
      </c>
      <c r="AZ676">
        <v>10.4</v>
      </c>
      <c r="BA676">
        <v>10</v>
      </c>
      <c r="BB676">
        <v>11.2</v>
      </c>
      <c r="BC676">
        <v>10</v>
      </c>
      <c r="BD676">
        <v>3.9</v>
      </c>
      <c r="BE676">
        <v>4</v>
      </c>
      <c r="BF676">
        <v>10.1</v>
      </c>
      <c r="BG676">
        <v>10</v>
      </c>
      <c r="BH676">
        <v>11.8</v>
      </c>
      <c r="BI676">
        <v>10</v>
      </c>
      <c r="BJ676">
        <v>11.3</v>
      </c>
      <c r="BK676">
        <v>9</v>
      </c>
      <c r="BL676">
        <v>20.6</v>
      </c>
      <c r="BM676">
        <v>19</v>
      </c>
      <c r="BN676">
        <v>23.6</v>
      </c>
      <c r="BO676">
        <v>19</v>
      </c>
      <c r="BP676">
        <v>21.8</v>
      </c>
      <c r="BQ676">
        <v>20</v>
      </c>
      <c r="BR676">
        <v>21.8</v>
      </c>
      <c r="BS676">
        <v>25</v>
      </c>
      <c r="BT676">
        <v>21.9</v>
      </c>
      <c r="BU676">
        <v>25</v>
      </c>
      <c r="BV676">
        <v>23.4</v>
      </c>
      <c r="BW676">
        <v>18</v>
      </c>
      <c r="BX676">
        <v>21.3</v>
      </c>
      <c r="BY676">
        <v>20</v>
      </c>
      <c r="BZ676">
        <v>20.7</v>
      </c>
      <c r="CA676">
        <v>20</v>
      </c>
      <c r="CB676">
        <v>11.6</v>
      </c>
      <c r="CC676">
        <v>10</v>
      </c>
      <c r="CD676">
        <v>11.9</v>
      </c>
      <c r="CE676">
        <v>10</v>
      </c>
      <c r="CF676">
        <v>11.6</v>
      </c>
      <c r="CG676">
        <v>9</v>
      </c>
      <c r="CH676">
        <v>11.9</v>
      </c>
      <c r="CI676">
        <v>9</v>
      </c>
    </row>
    <row r="677" spans="1:87" x14ac:dyDescent="0.35">
      <c r="A677" s="1">
        <v>46059.931944444441</v>
      </c>
      <c r="B677">
        <v>-19.3</v>
      </c>
      <c r="C677">
        <v>-19.7</v>
      </c>
      <c r="D677">
        <v>-25</v>
      </c>
      <c r="E677">
        <v>-19.600000000000001</v>
      </c>
      <c r="F677">
        <v>-17.899999999999999</v>
      </c>
      <c r="G677">
        <v>-25</v>
      </c>
      <c r="H677">
        <v>-19.899999999999999</v>
      </c>
      <c r="I677">
        <v>-25.2</v>
      </c>
      <c r="J677">
        <v>-25</v>
      </c>
      <c r="K677">
        <v>-20.8</v>
      </c>
      <c r="L677">
        <v>-19.600000000000001</v>
      </c>
      <c r="M677">
        <v>-25</v>
      </c>
      <c r="N677">
        <v>-17.5</v>
      </c>
      <c r="O677">
        <v>-16.100000000000001</v>
      </c>
      <c r="P677">
        <v>-25</v>
      </c>
      <c r="Q677">
        <v>-17.100000000000001</v>
      </c>
      <c r="R677">
        <v>-16.899999999999999</v>
      </c>
      <c r="S677">
        <v>-25</v>
      </c>
      <c r="T677">
        <v>3.3</v>
      </c>
      <c r="U677">
        <v>3.3</v>
      </c>
      <c r="V677">
        <v>2</v>
      </c>
      <c r="W677">
        <v>3.3</v>
      </c>
      <c r="X677">
        <v>3.1</v>
      </c>
      <c r="Y677">
        <v>2</v>
      </c>
      <c r="Z677">
        <v>4.5999999999999996</v>
      </c>
      <c r="AA677">
        <v>4</v>
      </c>
      <c r="AB677">
        <v>2</v>
      </c>
      <c r="AC677">
        <v>4.2</v>
      </c>
      <c r="AD677">
        <v>2.4</v>
      </c>
      <c r="AE677">
        <v>2</v>
      </c>
      <c r="AF677">
        <v>2.2999999999999998</v>
      </c>
      <c r="AG677">
        <v>2.2000000000000002</v>
      </c>
      <c r="AH677">
        <v>2</v>
      </c>
      <c r="AI677">
        <v>2.2000000000000002</v>
      </c>
      <c r="AJ677">
        <v>1.9</v>
      </c>
      <c r="AK677">
        <v>2</v>
      </c>
      <c r="AL677">
        <v>4.9000000000000004</v>
      </c>
      <c r="AM677">
        <v>4</v>
      </c>
      <c r="AN677">
        <v>5.0999999999999996</v>
      </c>
      <c r="AO677">
        <v>4</v>
      </c>
      <c r="AP677">
        <v>5.0999999999999996</v>
      </c>
      <c r="AQ677">
        <v>4</v>
      </c>
      <c r="AR677">
        <v>4.8</v>
      </c>
      <c r="AS677">
        <v>4</v>
      </c>
      <c r="AT677">
        <v>3.4</v>
      </c>
      <c r="AU677">
        <v>-1</v>
      </c>
      <c r="AV677">
        <v>-5</v>
      </c>
      <c r="AW677">
        <v>-2.2999999999999998</v>
      </c>
      <c r="AX677">
        <v>-2.1</v>
      </c>
      <c r="AY677">
        <v>-5</v>
      </c>
      <c r="AZ677">
        <v>10.5</v>
      </c>
      <c r="BA677">
        <v>10</v>
      </c>
      <c r="BB677">
        <v>10.9</v>
      </c>
      <c r="BC677">
        <v>10</v>
      </c>
      <c r="BD677">
        <v>3.8</v>
      </c>
      <c r="BE677">
        <v>4</v>
      </c>
      <c r="BF677">
        <v>10.6</v>
      </c>
      <c r="BG677">
        <v>10</v>
      </c>
      <c r="BH677">
        <v>11.8</v>
      </c>
      <c r="BI677">
        <v>10</v>
      </c>
      <c r="BJ677">
        <v>11.2</v>
      </c>
      <c r="BK677">
        <v>9</v>
      </c>
      <c r="BL677">
        <v>20.6</v>
      </c>
      <c r="BM677">
        <v>19</v>
      </c>
      <c r="BN677">
        <v>23.6</v>
      </c>
      <c r="BO677">
        <v>19</v>
      </c>
      <c r="BP677">
        <v>21.8</v>
      </c>
      <c r="BQ677">
        <v>20</v>
      </c>
      <c r="BR677">
        <v>21.8</v>
      </c>
      <c r="BS677">
        <v>25</v>
      </c>
      <c r="BT677">
        <v>21.9</v>
      </c>
      <c r="BU677">
        <v>25</v>
      </c>
      <c r="BV677">
        <v>23.4</v>
      </c>
      <c r="BW677">
        <v>18</v>
      </c>
      <c r="BX677">
        <v>21.3</v>
      </c>
      <c r="BY677">
        <v>20</v>
      </c>
      <c r="BZ677">
        <v>20.8</v>
      </c>
      <c r="CA677">
        <v>20</v>
      </c>
      <c r="CB677">
        <v>11.4</v>
      </c>
      <c r="CC677">
        <v>10</v>
      </c>
      <c r="CD677">
        <v>11.9</v>
      </c>
      <c r="CE677">
        <v>10</v>
      </c>
      <c r="CF677">
        <v>11.6</v>
      </c>
      <c r="CG677">
        <v>9</v>
      </c>
      <c r="CH677">
        <v>11.8</v>
      </c>
      <c r="CI677">
        <v>9</v>
      </c>
    </row>
    <row r="678" spans="1:87" x14ac:dyDescent="0.35">
      <c r="A678" s="1">
        <v>46059.933333333334</v>
      </c>
      <c r="B678">
        <v>-19.100000000000001</v>
      </c>
      <c r="C678">
        <v>-19.2</v>
      </c>
      <c r="D678">
        <v>-25</v>
      </c>
      <c r="E678">
        <v>-19.2</v>
      </c>
      <c r="F678">
        <v>-18</v>
      </c>
      <c r="G678">
        <v>-25</v>
      </c>
      <c r="H678">
        <v>-20.100000000000001</v>
      </c>
      <c r="I678">
        <v>-25.3</v>
      </c>
      <c r="J678">
        <v>-25</v>
      </c>
      <c r="K678">
        <v>-21.1</v>
      </c>
      <c r="L678">
        <v>-19.7</v>
      </c>
      <c r="M678">
        <v>-25</v>
      </c>
      <c r="N678">
        <v>-17.7</v>
      </c>
      <c r="O678">
        <v>-16.3</v>
      </c>
      <c r="P678">
        <v>-25</v>
      </c>
      <c r="Q678">
        <v>-17.3</v>
      </c>
      <c r="R678">
        <v>-17.100000000000001</v>
      </c>
      <c r="S678">
        <v>-25</v>
      </c>
      <c r="T678">
        <v>3.4</v>
      </c>
      <c r="U678">
        <v>3.4</v>
      </c>
      <c r="V678">
        <v>2</v>
      </c>
      <c r="W678">
        <v>3.4</v>
      </c>
      <c r="X678">
        <v>3.2</v>
      </c>
      <c r="Y678">
        <v>2</v>
      </c>
      <c r="Z678">
        <v>4.3</v>
      </c>
      <c r="AA678">
        <v>3.7</v>
      </c>
      <c r="AB678">
        <v>2</v>
      </c>
      <c r="AC678">
        <v>3.8</v>
      </c>
      <c r="AD678">
        <v>2.2000000000000002</v>
      </c>
      <c r="AE678">
        <v>2</v>
      </c>
      <c r="AF678">
        <v>2.7</v>
      </c>
      <c r="AG678">
        <v>2.5</v>
      </c>
      <c r="AH678">
        <v>2</v>
      </c>
      <c r="AI678">
        <v>2.6</v>
      </c>
      <c r="AJ678">
        <v>2.4</v>
      </c>
      <c r="AK678">
        <v>2</v>
      </c>
      <c r="AL678">
        <v>5</v>
      </c>
      <c r="AM678">
        <v>4</v>
      </c>
      <c r="AN678">
        <v>5.0999999999999996</v>
      </c>
      <c r="AO678">
        <v>4</v>
      </c>
      <c r="AP678">
        <v>5.4</v>
      </c>
      <c r="AQ678">
        <v>4</v>
      </c>
      <c r="AR678">
        <v>2.9</v>
      </c>
      <c r="AS678">
        <v>4</v>
      </c>
      <c r="AT678">
        <v>0.2</v>
      </c>
      <c r="AU678">
        <v>-2.2999999999999998</v>
      </c>
      <c r="AV678">
        <v>-5</v>
      </c>
      <c r="AW678">
        <v>-3</v>
      </c>
      <c r="AX678">
        <v>-4.4000000000000004</v>
      </c>
      <c r="AY678">
        <v>-5</v>
      </c>
      <c r="AZ678">
        <v>10.7</v>
      </c>
      <c r="BA678">
        <v>10</v>
      </c>
      <c r="BB678">
        <v>10.5</v>
      </c>
      <c r="BC678">
        <v>10</v>
      </c>
      <c r="BD678">
        <v>4.0999999999999996</v>
      </c>
      <c r="BE678">
        <v>4</v>
      </c>
      <c r="BF678">
        <v>11.1</v>
      </c>
      <c r="BG678">
        <v>10</v>
      </c>
      <c r="BH678">
        <v>11.8</v>
      </c>
      <c r="BI678">
        <v>10</v>
      </c>
      <c r="BJ678">
        <v>10.9</v>
      </c>
      <c r="BK678">
        <v>9</v>
      </c>
      <c r="BL678">
        <v>20.6</v>
      </c>
      <c r="BM678">
        <v>19</v>
      </c>
      <c r="BN678">
        <v>23.6</v>
      </c>
      <c r="BO678">
        <v>19</v>
      </c>
      <c r="BP678">
        <v>21.8</v>
      </c>
      <c r="BQ678">
        <v>20</v>
      </c>
      <c r="BR678">
        <v>21.8</v>
      </c>
      <c r="BS678">
        <v>25</v>
      </c>
      <c r="BT678">
        <v>21.9</v>
      </c>
      <c r="BU678">
        <v>25</v>
      </c>
      <c r="BV678">
        <v>23.4</v>
      </c>
      <c r="BW678">
        <v>18</v>
      </c>
      <c r="BX678">
        <v>21.4</v>
      </c>
      <c r="BY678">
        <v>20</v>
      </c>
      <c r="BZ678">
        <v>20.9</v>
      </c>
      <c r="CA678">
        <v>20</v>
      </c>
      <c r="CB678">
        <v>10.9</v>
      </c>
      <c r="CC678">
        <v>10</v>
      </c>
      <c r="CD678">
        <v>11.9</v>
      </c>
      <c r="CE678">
        <v>10</v>
      </c>
      <c r="CF678">
        <v>11.7</v>
      </c>
      <c r="CG678">
        <v>9</v>
      </c>
      <c r="CH678">
        <v>12</v>
      </c>
      <c r="CI678">
        <v>9</v>
      </c>
    </row>
    <row r="679" spans="1:87" x14ac:dyDescent="0.35">
      <c r="A679" s="1">
        <v>46059.934027777781</v>
      </c>
      <c r="B679">
        <v>-18.899999999999999</v>
      </c>
      <c r="C679">
        <v>-19</v>
      </c>
      <c r="D679">
        <v>-25</v>
      </c>
      <c r="E679">
        <v>-19.100000000000001</v>
      </c>
      <c r="F679">
        <v>-18</v>
      </c>
      <c r="G679">
        <v>-25</v>
      </c>
      <c r="H679">
        <v>-20.2</v>
      </c>
      <c r="I679">
        <v>-25.4</v>
      </c>
      <c r="J679">
        <v>-25</v>
      </c>
      <c r="K679">
        <v>-21.1</v>
      </c>
      <c r="L679">
        <v>-19.8</v>
      </c>
      <c r="M679">
        <v>-25</v>
      </c>
      <c r="N679">
        <v>-17.899999999999999</v>
      </c>
      <c r="O679">
        <v>-16.399999999999999</v>
      </c>
      <c r="P679">
        <v>-25</v>
      </c>
      <c r="Q679">
        <v>-17.5</v>
      </c>
      <c r="R679">
        <v>-17.2</v>
      </c>
      <c r="S679">
        <v>-25</v>
      </c>
      <c r="T679">
        <v>3.5</v>
      </c>
      <c r="U679">
        <v>3.5</v>
      </c>
      <c r="V679">
        <v>2</v>
      </c>
      <c r="W679">
        <v>3.5</v>
      </c>
      <c r="X679">
        <v>3.3</v>
      </c>
      <c r="Y679">
        <v>2</v>
      </c>
      <c r="Z679">
        <v>4</v>
      </c>
      <c r="AA679">
        <v>3.5</v>
      </c>
      <c r="AB679">
        <v>2</v>
      </c>
      <c r="AC679">
        <v>3.6</v>
      </c>
      <c r="AD679">
        <v>2.2000000000000002</v>
      </c>
      <c r="AE679">
        <v>2</v>
      </c>
      <c r="AF679">
        <v>2.9</v>
      </c>
      <c r="AG679">
        <v>2.7</v>
      </c>
      <c r="AH679">
        <v>2</v>
      </c>
      <c r="AI679">
        <v>2.7</v>
      </c>
      <c r="AJ679">
        <v>2.6</v>
      </c>
      <c r="AK679">
        <v>2</v>
      </c>
      <c r="AL679">
        <v>5.0999999999999996</v>
      </c>
      <c r="AM679">
        <v>4</v>
      </c>
      <c r="AN679">
        <v>5.0999999999999996</v>
      </c>
      <c r="AO679">
        <v>4</v>
      </c>
      <c r="AP679">
        <v>5.6</v>
      </c>
      <c r="AQ679">
        <v>4</v>
      </c>
      <c r="AR679">
        <v>2.9</v>
      </c>
      <c r="AS679">
        <v>4</v>
      </c>
      <c r="AT679">
        <v>-0.5</v>
      </c>
      <c r="AU679">
        <v>-2.9</v>
      </c>
      <c r="AV679">
        <v>-5</v>
      </c>
      <c r="AW679">
        <v>-3.3</v>
      </c>
      <c r="AX679">
        <v>-4.5999999999999996</v>
      </c>
      <c r="AY679">
        <v>-5</v>
      </c>
      <c r="AZ679">
        <v>10.9</v>
      </c>
      <c r="BA679">
        <v>10</v>
      </c>
      <c r="BB679">
        <v>10.4</v>
      </c>
      <c r="BC679">
        <v>10</v>
      </c>
      <c r="BD679">
        <v>4.4000000000000004</v>
      </c>
      <c r="BE679">
        <v>4</v>
      </c>
      <c r="BF679">
        <v>11.4</v>
      </c>
      <c r="BG679">
        <v>10</v>
      </c>
      <c r="BH679">
        <v>11.8</v>
      </c>
      <c r="BI679">
        <v>10</v>
      </c>
      <c r="BJ679">
        <v>10.9</v>
      </c>
      <c r="BK679">
        <v>9</v>
      </c>
      <c r="BL679">
        <v>20.6</v>
      </c>
      <c r="BM679">
        <v>19</v>
      </c>
      <c r="BN679">
        <v>23.6</v>
      </c>
      <c r="BO679">
        <v>19</v>
      </c>
      <c r="BP679">
        <v>21.8</v>
      </c>
      <c r="BQ679">
        <v>20</v>
      </c>
      <c r="BR679">
        <v>21.9</v>
      </c>
      <c r="BS679">
        <v>25</v>
      </c>
      <c r="BT679">
        <v>21.9</v>
      </c>
      <c r="BU679">
        <v>25</v>
      </c>
      <c r="BV679">
        <v>23.4</v>
      </c>
      <c r="BW679">
        <v>18</v>
      </c>
      <c r="BX679">
        <v>21.4</v>
      </c>
      <c r="BY679">
        <v>20</v>
      </c>
      <c r="BZ679">
        <v>21</v>
      </c>
      <c r="CA679">
        <v>20</v>
      </c>
      <c r="CB679">
        <v>10.7</v>
      </c>
      <c r="CC679">
        <v>10</v>
      </c>
      <c r="CD679">
        <v>11.9</v>
      </c>
      <c r="CE679">
        <v>10</v>
      </c>
      <c r="CF679">
        <v>11.4</v>
      </c>
      <c r="CG679">
        <v>9</v>
      </c>
      <c r="CH679">
        <v>11.6</v>
      </c>
      <c r="CI679">
        <v>9</v>
      </c>
    </row>
    <row r="680" spans="1:87" x14ac:dyDescent="0.35">
      <c r="A680" s="1">
        <v>46059.93472222222</v>
      </c>
      <c r="B680">
        <v>-18.8</v>
      </c>
      <c r="C680">
        <v>-18.899999999999999</v>
      </c>
      <c r="D680">
        <v>-25</v>
      </c>
      <c r="E680">
        <v>-19</v>
      </c>
      <c r="F680">
        <v>-18</v>
      </c>
      <c r="G680">
        <v>-25</v>
      </c>
      <c r="H680">
        <v>-20.3</v>
      </c>
      <c r="I680">
        <v>-25.4</v>
      </c>
      <c r="J680">
        <v>-25</v>
      </c>
      <c r="K680">
        <v>-21.2</v>
      </c>
      <c r="L680">
        <v>-19.899999999999999</v>
      </c>
      <c r="M680">
        <v>-25</v>
      </c>
      <c r="N680">
        <v>-18.100000000000001</v>
      </c>
      <c r="O680">
        <v>-16.5</v>
      </c>
      <c r="P680">
        <v>-25</v>
      </c>
      <c r="Q680">
        <v>-17.600000000000001</v>
      </c>
      <c r="R680">
        <v>-17.399999999999999</v>
      </c>
      <c r="S680">
        <v>-25</v>
      </c>
      <c r="T680">
        <v>3.6</v>
      </c>
      <c r="U680">
        <v>3.6</v>
      </c>
      <c r="V680">
        <v>2</v>
      </c>
      <c r="W680">
        <v>3.6</v>
      </c>
      <c r="X680">
        <v>3.4</v>
      </c>
      <c r="Y680">
        <v>2</v>
      </c>
      <c r="Z680">
        <v>4</v>
      </c>
      <c r="AA680">
        <v>3.5</v>
      </c>
      <c r="AB680">
        <v>2</v>
      </c>
      <c r="AC680">
        <v>3.6</v>
      </c>
      <c r="AD680">
        <v>2.4</v>
      </c>
      <c r="AE680">
        <v>2</v>
      </c>
      <c r="AF680">
        <v>3.1</v>
      </c>
      <c r="AG680">
        <v>2.9</v>
      </c>
      <c r="AH680">
        <v>2</v>
      </c>
      <c r="AI680">
        <v>2.9</v>
      </c>
      <c r="AJ680">
        <v>2.8</v>
      </c>
      <c r="AK680">
        <v>2</v>
      </c>
      <c r="AL680">
        <v>5.0999999999999996</v>
      </c>
      <c r="AM680">
        <v>4</v>
      </c>
      <c r="AN680">
        <v>5.0999999999999996</v>
      </c>
      <c r="AO680">
        <v>4</v>
      </c>
      <c r="AP680">
        <v>5.7</v>
      </c>
      <c r="AQ680">
        <v>4</v>
      </c>
      <c r="AR680">
        <v>3</v>
      </c>
      <c r="AS680">
        <v>4</v>
      </c>
      <c r="AT680">
        <v>-1</v>
      </c>
      <c r="AU680">
        <v>-3.5</v>
      </c>
      <c r="AV680">
        <v>-5</v>
      </c>
      <c r="AW680">
        <v>-3.6</v>
      </c>
      <c r="AX680">
        <v>-4.3</v>
      </c>
      <c r="AY680">
        <v>-5</v>
      </c>
      <c r="AZ680">
        <v>11</v>
      </c>
      <c r="BA680">
        <v>10</v>
      </c>
      <c r="BB680">
        <v>10.3</v>
      </c>
      <c r="BC680">
        <v>10</v>
      </c>
      <c r="BD680">
        <v>4.7</v>
      </c>
      <c r="BE680">
        <v>4</v>
      </c>
      <c r="BF680">
        <v>11.7</v>
      </c>
      <c r="BG680">
        <v>10</v>
      </c>
      <c r="BH680">
        <v>11.9</v>
      </c>
      <c r="BI680">
        <v>10</v>
      </c>
      <c r="BJ680">
        <v>10.9</v>
      </c>
      <c r="BK680">
        <v>9</v>
      </c>
      <c r="BL680">
        <v>20.6</v>
      </c>
      <c r="BM680">
        <v>19</v>
      </c>
      <c r="BN680">
        <v>23.6</v>
      </c>
      <c r="BO680">
        <v>19</v>
      </c>
      <c r="BP680">
        <v>21.8</v>
      </c>
      <c r="BQ680">
        <v>20</v>
      </c>
      <c r="BR680">
        <v>21.9</v>
      </c>
      <c r="BS680">
        <v>25</v>
      </c>
      <c r="BT680">
        <v>21.9</v>
      </c>
      <c r="BU680">
        <v>25</v>
      </c>
      <c r="BV680">
        <v>23.4</v>
      </c>
      <c r="BW680">
        <v>18</v>
      </c>
      <c r="BX680">
        <v>21.5</v>
      </c>
      <c r="BY680">
        <v>20</v>
      </c>
      <c r="BZ680">
        <v>21.1</v>
      </c>
      <c r="CA680">
        <v>20</v>
      </c>
      <c r="CB680">
        <v>10.6</v>
      </c>
      <c r="CC680">
        <v>10</v>
      </c>
      <c r="CD680">
        <v>11.9</v>
      </c>
      <c r="CE680">
        <v>10</v>
      </c>
      <c r="CF680">
        <v>11.4</v>
      </c>
      <c r="CG680">
        <v>9</v>
      </c>
      <c r="CH680">
        <v>11.6</v>
      </c>
      <c r="CI680">
        <v>9</v>
      </c>
    </row>
    <row r="681" spans="1:87" x14ac:dyDescent="0.35">
      <c r="A681" s="1">
        <v>46059.935416666667</v>
      </c>
      <c r="B681">
        <v>-18.7</v>
      </c>
      <c r="C681">
        <v>-18.8</v>
      </c>
      <c r="D681">
        <v>-25</v>
      </c>
      <c r="E681">
        <v>-18.899999999999999</v>
      </c>
      <c r="F681">
        <v>-18</v>
      </c>
      <c r="G681">
        <v>-25</v>
      </c>
      <c r="H681">
        <v>-20.3</v>
      </c>
      <c r="I681">
        <v>-25.4</v>
      </c>
      <c r="J681">
        <v>-25</v>
      </c>
      <c r="K681">
        <v>-21.3</v>
      </c>
      <c r="L681">
        <v>-20</v>
      </c>
      <c r="M681">
        <v>-25</v>
      </c>
      <c r="N681">
        <v>-18.2</v>
      </c>
      <c r="O681">
        <v>-16.600000000000001</v>
      </c>
      <c r="P681">
        <v>-25</v>
      </c>
      <c r="Q681">
        <v>-17.7</v>
      </c>
      <c r="R681">
        <v>-17.5</v>
      </c>
      <c r="S681">
        <v>-25</v>
      </c>
      <c r="T681">
        <v>3.6</v>
      </c>
      <c r="U681">
        <v>3.7</v>
      </c>
      <c r="V681">
        <v>2</v>
      </c>
      <c r="W681">
        <v>3.7</v>
      </c>
      <c r="X681">
        <v>3.5</v>
      </c>
      <c r="Y681">
        <v>2</v>
      </c>
      <c r="Z681">
        <v>3.8</v>
      </c>
      <c r="AA681">
        <v>3.2</v>
      </c>
      <c r="AB681">
        <v>2</v>
      </c>
      <c r="AC681">
        <v>3.4</v>
      </c>
      <c r="AD681">
        <v>1.6</v>
      </c>
      <c r="AE681">
        <v>2</v>
      </c>
      <c r="AF681">
        <v>3.3</v>
      </c>
      <c r="AG681">
        <v>3.1</v>
      </c>
      <c r="AH681">
        <v>2</v>
      </c>
      <c r="AI681">
        <v>3.1</v>
      </c>
      <c r="AJ681">
        <v>3</v>
      </c>
      <c r="AK681">
        <v>2</v>
      </c>
      <c r="AL681">
        <v>5.2</v>
      </c>
      <c r="AM681">
        <v>4</v>
      </c>
      <c r="AN681">
        <v>5.0999999999999996</v>
      </c>
      <c r="AO681">
        <v>4</v>
      </c>
      <c r="AP681">
        <v>5.9</v>
      </c>
      <c r="AQ681">
        <v>4</v>
      </c>
      <c r="AR681">
        <v>3.3</v>
      </c>
      <c r="AS681">
        <v>4</v>
      </c>
      <c r="AT681">
        <v>-1.5</v>
      </c>
      <c r="AU681">
        <v>-3.9</v>
      </c>
      <c r="AV681">
        <v>-5</v>
      </c>
      <c r="AW681">
        <v>-3.8</v>
      </c>
      <c r="AX681">
        <v>-5.3</v>
      </c>
      <c r="AY681">
        <v>-5</v>
      </c>
      <c r="AZ681">
        <v>11.1</v>
      </c>
      <c r="BA681">
        <v>10</v>
      </c>
      <c r="BB681">
        <v>10.1</v>
      </c>
      <c r="BC681">
        <v>10</v>
      </c>
      <c r="BD681">
        <v>4.9000000000000004</v>
      </c>
      <c r="BE681">
        <v>4</v>
      </c>
      <c r="BF681">
        <v>11.9</v>
      </c>
      <c r="BG681">
        <v>10</v>
      </c>
      <c r="BH681">
        <v>11.9</v>
      </c>
      <c r="BI681">
        <v>10</v>
      </c>
      <c r="BJ681">
        <v>10.8</v>
      </c>
      <c r="BK681">
        <v>9</v>
      </c>
      <c r="BL681">
        <v>20.7</v>
      </c>
      <c r="BM681">
        <v>19</v>
      </c>
      <c r="BN681">
        <v>23.6</v>
      </c>
      <c r="BO681">
        <v>19</v>
      </c>
      <c r="BP681">
        <v>21.9</v>
      </c>
      <c r="BQ681">
        <v>20</v>
      </c>
      <c r="BR681">
        <v>21.9</v>
      </c>
      <c r="BS681">
        <v>25</v>
      </c>
      <c r="BT681">
        <v>21.9</v>
      </c>
      <c r="BU681">
        <v>25</v>
      </c>
      <c r="BV681">
        <v>23.4</v>
      </c>
      <c r="BW681">
        <v>18</v>
      </c>
      <c r="BX681">
        <v>21.5</v>
      </c>
      <c r="BY681">
        <v>20</v>
      </c>
      <c r="BZ681">
        <v>21.1</v>
      </c>
      <c r="CA681">
        <v>20</v>
      </c>
      <c r="CB681">
        <v>10.4</v>
      </c>
      <c r="CC681">
        <v>10</v>
      </c>
      <c r="CD681">
        <v>11.9</v>
      </c>
      <c r="CE681">
        <v>10</v>
      </c>
      <c r="CF681">
        <v>11.3</v>
      </c>
      <c r="CG681">
        <v>9</v>
      </c>
      <c r="CH681">
        <v>11.5</v>
      </c>
      <c r="CI681">
        <v>9</v>
      </c>
    </row>
    <row r="682" spans="1:87" x14ac:dyDescent="0.35">
      <c r="A682" s="1">
        <v>46059.936111111114</v>
      </c>
      <c r="B682">
        <v>-18.7</v>
      </c>
      <c r="C682">
        <v>-18.8</v>
      </c>
      <c r="D682">
        <v>-25</v>
      </c>
      <c r="E682">
        <v>-18.8</v>
      </c>
      <c r="F682">
        <v>-18</v>
      </c>
      <c r="G682">
        <v>-25</v>
      </c>
      <c r="H682">
        <v>-20.399999999999999</v>
      </c>
      <c r="I682">
        <v>-25.3</v>
      </c>
      <c r="J682">
        <v>-25</v>
      </c>
      <c r="K682">
        <v>-21.3</v>
      </c>
      <c r="L682">
        <v>-20.100000000000001</v>
      </c>
      <c r="M682">
        <v>-25</v>
      </c>
      <c r="N682">
        <v>-18.3</v>
      </c>
      <c r="O682">
        <v>-16.7</v>
      </c>
      <c r="P682">
        <v>-25</v>
      </c>
      <c r="Q682">
        <v>-17.899999999999999</v>
      </c>
      <c r="R682">
        <v>-17.600000000000001</v>
      </c>
      <c r="S682">
        <v>-25</v>
      </c>
      <c r="T682">
        <v>3.7</v>
      </c>
      <c r="U682">
        <v>3.7</v>
      </c>
      <c r="V682">
        <v>2</v>
      </c>
      <c r="W682">
        <v>3.7</v>
      </c>
      <c r="X682">
        <v>3.6</v>
      </c>
      <c r="Y682">
        <v>2</v>
      </c>
      <c r="Z682">
        <v>3.7</v>
      </c>
      <c r="AA682">
        <v>3.1</v>
      </c>
      <c r="AB682">
        <v>2</v>
      </c>
      <c r="AC682">
        <v>3.3</v>
      </c>
      <c r="AD682">
        <v>2.2999999999999998</v>
      </c>
      <c r="AE682">
        <v>2</v>
      </c>
      <c r="AF682">
        <v>3.4</v>
      </c>
      <c r="AG682">
        <v>3.3</v>
      </c>
      <c r="AH682">
        <v>2</v>
      </c>
      <c r="AI682">
        <v>3.3</v>
      </c>
      <c r="AJ682">
        <v>3.2</v>
      </c>
      <c r="AK682">
        <v>2</v>
      </c>
      <c r="AL682">
        <v>5.2</v>
      </c>
      <c r="AM682">
        <v>4</v>
      </c>
      <c r="AN682">
        <v>5.0999999999999996</v>
      </c>
      <c r="AO682">
        <v>4</v>
      </c>
      <c r="AP682">
        <v>6</v>
      </c>
      <c r="AQ682">
        <v>4</v>
      </c>
      <c r="AR682">
        <v>3.7</v>
      </c>
      <c r="AS682">
        <v>4</v>
      </c>
      <c r="AT682">
        <v>-1.9</v>
      </c>
      <c r="AU682">
        <v>-4.4000000000000004</v>
      </c>
      <c r="AV682">
        <v>-5</v>
      </c>
      <c r="AW682">
        <v>-4.0999999999999996</v>
      </c>
      <c r="AX682">
        <v>-5.9</v>
      </c>
      <c r="AY682">
        <v>-5</v>
      </c>
      <c r="AZ682">
        <v>11.2</v>
      </c>
      <c r="BA682">
        <v>10</v>
      </c>
      <c r="BB682">
        <v>10.1</v>
      </c>
      <c r="BC682">
        <v>10</v>
      </c>
      <c r="BD682">
        <v>5.0999999999999996</v>
      </c>
      <c r="BE682">
        <v>4</v>
      </c>
      <c r="BF682">
        <v>12.1</v>
      </c>
      <c r="BG682">
        <v>10</v>
      </c>
      <c r="BH682">
        <v>11.9</v>
      </c>
      <c r="BI682">
        <v>10</v>
      </c>
      <c r="BJ682">
        <v>10.7</v>
      </c>
      <c r="BK682">
        <v>9</v>
      </c>
      <c r="BL682">
        <v>20.7</v>
      </c>
      <c r="BM682">
        <v>19</v>
      </c>
      <c r="BN682">
        <v>23.6</v>
      </c>
      <c r="BO682">
        <v>19</v>
      </c>
      <c r="BP682">
        <v>21.9</v>
      </c>
      <c r="BQ682">
        <v>20</v>
      </c>
      <c r="BR682">
        <v>21.9</v>
      </c>
      <c r="BS682">
        <v>25</v>
      </c>
      <c r="BT682">
        <v>21.9</v>
      </c>
      <c r="BU682">
        <v>25</v>
      </c>
      <c r="BV682">
        <v>23.4</v>
      </c>
      <c r="BW682">
        <v>18</v>
      </c>
      <c r="BX682">
        <v>21.5</v>
      </c>
      <c r="BY682">
        <v>20</v>
      </c>
      <c r="BZ682">
        <v>21.1</v>
      </c>
      <c r="CA682">
        <v>20</v>
      </c>
      <c r="CB682">
        <v>10.199999999999999</v>
      </c>
      <c r="CC682">
        <v>10</v>
      </c>
      <c r="CD682">
        <v>11.9</v>
      </c>
      <c r="CE682">
        <v>10</v>
      </c>
      <c r="CF682">
        <v>11.2</v>
      </c>
      <c r="CG682">
        <v>9</v>
      </c>
      <c r="CH682">
        <v>11.4</v>
      </c>
      <c r="CI682">
        <v>9</v>
      </c>
    </row>
    <row r="683" spans="1:87" x14ac:dyDescent="0.35">
      <c r="A683" s="1">
        <v>46059.936805555553</v>
      </c>
      <c r="B683">
        <v>-18.7</v>
      </c>
      <c r="C683">
        <v>-18.8</v>
      </c>
      <c r="D683">
        <v>-25</v>
      </c>
      <c r="E683">
        <v>-18.8</v>
      </c>
      <c r="F683">
        <v>-18</v>
      </c>
      <c r="G683">
        <v>-25</v>
      </c>
      <c r="H683">
        <v>-20.5</v>
      </c>
      <c r="I683">
        <v>-25.2</v>
      </c>
      <c r="J683">
        <v>-25</v>
      </c>
      <c r="K683">
        <v>-21.3</v>
      </c>
      <c r="L683">
        <v>-20.100000000000001</v>
      </c>
      <c r="M683">
        <v>-25</v>
      </c>
      <c r="N683">
        <v>-18.399999999999999</v>
      </c>
      <c r="O683">
        <v>-16.8</v>
      </c>
      <c r="P683">
        <v>-25</v>
      </c>
      <c r="Q683">
        <v>-18</v>
      </c>
      <c r="R683">
        <v>-17.7</v>
      </c>
      <c r="S683">
        <v>-25</v>
      </c>
      <c r="T683">
        <v>3.8</v>
      </c>
      <c r="U683">
        <v>3.8</v>
      </c>
      <c r="V683">
        <v>2</v>
      </c>
      <c r="W683">
        <v>3.8</v>
      </c>
      <c r="X683">
        <v>3.6</v>
      </c>
      <c r="Y683">
        <v>2</v>
      </c>
      <c r="Z683">
        <v>3.7</v>
      </c>
      <c r="AA683">
        <v>3.1</v>
      </c>
      <c r="AB683">
        <v>2</v>
      </c>
      <c r="AC683">
        <v>3.3</v>
      </c>
      <c r="AD683">
        <v>2.5</v>
      </c>
      <c r="AE683">
        <v>2</v>
      </c>
      <c r="AF683">
        <v>3.6</v>
      </c>
      <c r="AG683">
        <v>3.4</v>
      </c>
      <c r="AH683">
        <v>2</v>
      </c>
      <c r="AI683">
        <v>3.5</v>
      </c>
      <c r="AJ683">
        <v>3.4</v>
      </c>
      <c r="AK683">
        <v>2</v>
      </c>
      <c r="AL683">
        <v>5.3</v>
      </c>
      <c r="AM683">
        <v>4</v>
      </c>
      <c r="AN683">
        <v>5.0999999999999996</v>
      </c>
      <c r="AO683">
        <v>4</v>
      </c>
      <c r="AP683">
        <v>5.5</v>
      </c>
      <c r="AQ683">
        <v>4</v>
      </c>
      <c r="AR683">
        <v>4.0999999999999996</v>
      </c>
      <c r="AS683">
        <v>4</v>
      </c>
      <c r="AT683">
        <v>-2.2999999999999998</v>
      </c>
      <c r="AU683">
        <v>-4.9000000000000004</v>
      </c>
      <c r="AV683">
        <v>-5</v>
      </c>
      <c r="AW683">
        <v>-4.3</v>
      </c>
      <c r="AX683">
        <v>-5.0999999999999996</v>
      </c>
      <c r="AY683">
        <v>-5</v>
      </c>
      <c r="AZ683">
        <v>11.3</v>
      </c>
      <c r="BA683">
        <v>10</v>
      </c>
      <c r="BB683">
        <v>10</v>
      </c>
      <c r="BC683">
        <v>10</v>
      </c>
      <c r="BD683">
        <v>5.4</v>
      </c>
      <c r="BE683">
        <v>4</v>
      </c>
      <c r="BF683">
        <v>11</v>
      </c>
      <c r="BG683">
        <v>10</v>
      </c>
      <c r="BH683">
        <v>11.9</v>
      </c>
      <c r="BI683">
        <v>10</v>
      </c>
      <c r="BJ683">
        <v>10.6</v>
      </c>
      <c r="BK683">
        <v>9</v>
      </c>
      <c r="BL683">
        <v>20.7</v>
      </c>
      <c r="BM683">
        <v>19</v>
      </c>
      <c r="BN683">
        <v>23.6</v>
      </c>
      <c r="BO683">
        <v>19</v>
      </c>
      <c r="BP683">
        <v>21.9</v>
      </c>
      <c r="BQ683">
        <v>20</v>
      </c>
      <c r="BR683">
        <v>21.9</v>
      </c>
      <c r="BS683">
        <v>25</v>
      </c>
      <c r="BT683">
        <v>21.9</v>
      </c>
      <c r="BU683">
        <v>25</v>
      </c>
      <c r="BV683">
        <v>23.4</v>
      </c>
      <c r="BW683">
        <v>18</v>
      </c>
      <c r="BX683">
        <v>21.5</v>
      </c>
      <c r="BY683">
        <v>20</v>
      </c>
      <c r="BZ683">
        <v>21.2</v>
      </c>
      <c r="CA683">
        <v>20</v>
      </c>
      <c r="CB683">
        <v>10.1</v>
      </c>
      <c r="CC683">
        <v>10</v>
      </c>
      <c r="CD683">
        <v>11.9</v>
      </c>
      <c r="CE683">
        <v>10</v>
      </c>
      <c r="CF683">
        <v>11.3</v>
      </c>
      <c r="CG683">
        <v>9</v>
      </c>
      <c r="CH683">
        <v>11.6</v>
      </c>
      <c r="CI683">
        <v>9</v>
      </c>
    </row>
    <row r="684" spans="1:87" x14ac:dyDescent="0.35">
      <c r="A684" s="1">
        <v>46059.9375</v>
      </c>
      <c r="B684">
        <v>-18.7</v>
      </c>
      <c r="C684">
        <v>-18.8</v>
      </c>
      <c r="D684">
        <v>-25</v>
      </c>
      <c r="E684">
        <v>-18.899999999999999</v>
      </c>
      <c r="F684">
        <v>-18.100000000000001</v>
      </c>
      <c r="G684">
        <v>-25</v>
      </c>
      <c r="H684">
        <v>-20.5</v>
      </c>
      <c r="I684">
        <v>-23.3</v>
      </c>
      <c r="J684">
        <v>-25</v>
      </c>
      <c r="K684">
        <v>-21.3</v>
      </c>
      <c r="L684">
        <v>-20.100000000000001</v>
      </c>
      <c r="M684">
        <v>-25</v>
      </c>
      <c r="N684">
        <v>-18.5</v>
      </c>
      <c r="O684">
        <v>-16.899999999999999</v>
      </c>
      <c r="P684">
        <v>-25</v>
      </c>
      <c r="Q684">
        <v>-18.100000000000001</v>
      </c>
      <c r="R684">
        <v>-17.8</v>
      </c>
      <c r="S684">
        <v>-25</v>
      </c>
      <c r="T684">
        <v>3.8</v>
      </c>
      <c r="U684">
        <v>3.9</v>
      </c>
      <c r="V684">
        <v>2</v>
      </c>
      <c r="W684">
        <v>3.9</v>
      </c>
      <c r="X684">
        <v>3.7</v>
      </c>
      <c r="Y684">
        <v>2</v>
      </c>
      <c r="Z684">
        <v>3.7</v>
      </c>
      <c r="AA684">
        <v>3.1</v>
      </c>
      <c r="AB684">
        <v>2</v>
      </c>
      <c r="AC684">
        <v>3.3</v>
      </c>
      <c r="AD684">
        <v>2.6</v>
      </c>
      <c r="AE684">
        <v>2</v>
      </c>
      <c r="AF684">
        <v>3.7</v>
      </c>
      <c r="AG684">
        <v>3.6</v>
      </c>
      <c r="AH684">
        <v>2</v>
      </c>
      <c r="AI684">
        <v>3.6</v>
      </c>
      <c r="AJ684">
        <v>3.6</v>
      </c>
      <c r="AK684">
        <v>2</v>
      </c>
      <c r="AL684">
        <v>5.3</v>
      </c>
      <c r="AM684">
        <v>4</v>
      </c>
      <c r="AN684">
        <v>5.0999999999999996</v>
      </c>
      <c r="AO684">
        <v>4</v>
      </c>
      <c r="AP684">
        <v>4.5</v>
      </c>
      <c r="AQ684">
        <v>4</v>
      </c>
      <c r="AR684">
        <v>4.4000000000000004</v>
      </c>
      <c r="AS684">
        <v>4</v>
      </c>
      <c r="AT684">
        <v>-2.7</v>
      </c>
      <c r="AU684">
        <v>-5.0999999999999996</v>
      </c>
      <c r="AV684">
        <v>-5</v>
      </c>
      <c r="AW684">
        <v>-4.3</v>
      </c>
      <c r="AX684">
        <v>-4.8</v>
      </c>
      <c r="AY684">
        <v>-5</v>
      </c>
      <c r="AZ684">
        <v>11.4</v>
      </c>
      <c r="BA684">
        <v>10</v>
      </c>
      <c r="BB684">
        <v>9.9</v>
      </c>
      <c r="BC684">
        <v>10</v>
      </c>
      <c r="BD684">
        <v>5.5</v>
      </c>
      <c r="BE684">
        <v>4</v>
      </c>
      <c r="BF684">
        <v>10.1</v>
      </c>
      <c r="BG684">
        <v>10</v>
      </c>
      <c r="BH684">
        <v>11.8</v>
      </c>
      <c r="BI684">
        <v>10</v>
      </c>
      <c r="BJ684">
        <v>10.6</v>
      </c>
      <c r="BK684">
        <v>9</v>
      </c>
      <c r="BL684">
        <v>20.7</v>
      </c>
      <c r="BM684">
        <v>19</v>
      </c>
      <c r="BN684">
        <v>23.6</v>
      </c>
      <c r="BO684">
        <v>19</v>
      </c>
      <c r="BP684">
        <v>21.9</v>
      </c>
      <c r="BQ684">
        <v>20</v>
      </c>
      <c r="BR684">
        <v>21.9</v>
      </c>
      <c r="BS684">
        <v>25</v>
      </c>
      <c r="BT684">
        <v>21.9</v>
      </c>
      <c r="BU684">
        <v>25</v>
      </c>
      <c r="BV684">
        <v>23.4</v>
      </c>
      <c r="BW684">
        <v>18</v>
      </c>
      <c r="BX684">
        <v>21.6</v>
      </c>
      <c r="BY684">
        <v>20</v>
      </c>
      <c r="BZ684">
        <v>21.2</v>
      </c>
      <c r="CA684">
        <v>20</v>
      </c>
      <c r="CB684">
        <v>10</v>
      </c>
      <c r="CC684">
        <v>10</v>
      </c>
      <c r="CD684">
        <v>11.9</v>
      </c>
      <c r="CE684">
        <v>10</v>
      </c>
      <c r="CF684">
        <v>11.7</v>
      </c>
      <c r="CG684">
        <v>9</v>
      </c>
      <c r="CH684">
        <v>11.9</v>
      </c>
      <c r="CI684">
        <v>9</v>
      </c>
    </row>
    <row r="685" spans="1:87" x14ac:dyDescent="0.35">
      <c r="A685" s="1">
        <v>46059.938194444447</v>
      </c>
      <c r="B685">
        <v>-18.8</v>
      </c>
      <c r="C685">
        <v>-20.8</v>
      </c>
      <c r="D685">
        <v>-25</v>
      </c>
      <c r="E685">
        <v>-19.399999999999999</v>
      </c>
      <c r="F685">
        <v>-18.2</v>
      </c>
      <c r="G685">
        <v>-25</v>
      </c>
      <c r="H685">
        <v>-20.5</v>
      </c>
      <c r="I685">
        <v>-21.4</v>
      </c>
      <c r="J685">
        <v>-25</v>
      </c>
      <c r="K685">
        <v>-20.9</v>
      </c>
      <c r="L685">
        <v>-20.100000000000001</v>
      </c>
      <c r="M685">
        <v>-25</v>
      </c>
      <c r="N685">
        <v>-18.600000000000001</v>
      </c>
      <c r="O685">
        <v>-17</v>
      </c>
      <c r="P685">
        <v>-25</v>
      </c>
      <c r="Q685">
        <v>-18.2</v>
      </c>
      <c r="R685">
        <v>-17.899999999999999</v>
      </c>
      <c r="S685">
        <v>-25</v>
      </c>
      <c r="T685">
        <v>3.9</v>
      </c>
      <c r="U685">
        <v>3.9</v>
      </c>
      <c r="V685">
        <v>2</v>
      </c>
      <c r="W685">
        <v>3.9</v>
      </c>
      <c r="X685">
        <v>3.8</v>
      </c>
      <c r="Y685">
        <v>2</v>
      </c>
      <c r="Z685">
        <v>3.7</v>
      </c>
      <c r="AA685">
        <v>3.1</v>
      </c>
      <c r="AB685">
        <v>2</v>
      </c>
      <c r="AC685">
        <v>3.3</v>
      </c>
      <c r="AD685">
        <v>2.7</v>
      </c>
      <c r="AE685">
        <v>2</v>
      </c>
      <c r="AF685">
        <v>3.9</v>
      </c>
      <c r="AG685">
        <v>3.7</v>
      </c>
      <c r="AH685">
        <v>2</v>
      </c>
      <c r="AI685">
        <v>3.7</v>
      </c>
      <c r="AJ685">
        <v>3.7</v>
      </c>
      <c r="AK685">
        <v>2</v>
      </c>
      <c r="AL685">
        <v>5.4</v>
      </c>
      <c r="AM685">
        <v>4</v>
      </c>
      <c r="AN685">
        <v>5.0999999999999996</v>
      </c>
      <c r="AO685">
        <v>4</v>
      </c>
      <c r="AP685">
        <v>3.3</v>
      </c>
      <c r="AQ685">
        <v>4</v>
      </c>
      <c r="AR685">
        <v>4.5999999999999996</v>
      </c>
      <c r="AS685">
        <v>4</v>
      </c>
      <c r="AT685">
        <v>-2.9</v>
      </c>
      <c r="AU685">
        <v>-5.3</v>
      </c>
      <c r="AV685">
        <v>-5</v>
      </c>
      <c r="AW685">
        <v>-4.3</v>
      </c>
      <c r="AX685">
        <v>-5</v>
      </c>
      <c r="AY685">
        <v>-5</v>
      </c>
      <c r="AZ685">
        <v>11.4</v>
      </c>
      <c r="BA685">
        <v>10</v>
      </c>
      <c r="BB685">
        <v>10.1</v>
      </c>
      <c r="BC685">
        <v>10</v>
      </c>
      <c r="BD685">
        <v>5.6</v>
      </c>
      <c r="BE685">
        <v>4</v>
      </c>
      <c r="BF685">
        <v>9.6</v>
      </c>
      <c r="BG685">
        <v>10</v>
      </c>
      <c r="BH685">
        <v>11.8</v>
      </c>
      <c r="BI685">
        <v>10</v>
      </c>
      <c r="BJ685">
        <v>10.5</v>
      </c>
      <c r="BK685">
        <v>9</v>
      </c>
      <c r="BL685">
        <v>20.7</v>
      </c>
      <c r="BM685">
        <v>19</v>
      </c>
      <c r="BN685">
        <v>23.6</v>
      </c>
      <c r="BO685">
        <v>19</v>
      </c>
      <c r="BP685">
        <v>21.9</v>
      </c>
      <c r="BQ685">
        <v>20</v>
      </c>
      <c r="BR685">
        <v>21.9</v>
      </c>
      <c r="BS685">
        <v>25</v>
      </c>
      <c r="BT685">
        <v>21.9</v>
      </c>
      <c r="BU685">
        <v>25</v>
      </c>
      <c r="BV685">
        <v>23.4</v>
      </c>
      <c r="BW685">
        <v>18</v>
      </c>
      <c r="BX685">
        <v>21.6</v>
      </c>
      <c r="BY685">
        <v>20</v>
      </c>
      <c r="BZ685">
        <v>21.3</v>
      </c>
      <c r="CA685">
        <v>20</v>
      </c>
      <c r="CB685">
        <v>10.3</v>
      </c>
      <c r="CC685">
        <v>10</v>
      </c>
      <c r="CD685">
        <v>11.9</v>
      </c>
      <c r="CE685">
        <v>10</v>
      </c>
      <c r="CF685">
        <v>11.9</v>
      </c>
      <c r="CG685">
        <v>9</v>
      </c>
      <c r="CH685">
        <v>12.2</v>
      </c>
      <c r="CI685">
        <v>9</v>
      </c>
    </row>
    <row r="686" spans="1:87" x14ac:dyDescent="0.35">
      <c r="A686" s="1">
        <v>46059.938888888886</v>
      </c>
      <c r="B686">
        <v>-19.2</v>
      </c>
      <c r="C686">
        <v>-21.8</v>
      </c>
      <c r="D686">
        <v>-25</v>
      </c>
      <c r="E686">
        <v>-20</v>
      </c>
      <c r="F686">
        <v>-18.5</v>
      </c>
      <c r="G686">
        <v>-25</v>
      </c>
      <c r="H686">
        <v>-20.3</v>
      </c>
      <c r="I686">
        <v>-20.5</v>
      </c>
      <c r="J686">
        <v>-25</v>
      </c>
      <c r="K686">
        <v>-20.2</v>
      </c>
      <c r="L686">
        <v>-20</v>
      </c>
      <c r="M686">
        <v>-25</v>
      </c>
      <c r="N686">
        <v>-18.7</v>
      </c>
      <c r="O686">
        <v>-17.100000000000001</v>
      </c>
      <c r="P686">
        <v>-25</v>
      </c>
      <c r="Q686">
        <v>-18.3</v>
      </c>
      <c r="R686">
        <v>-18</v>
      </c>
      <c r="S686">
        <v>-25</v>
      </c>
      <c r="T686">
        <v>4</v>
      </c>
      <c r="U686">
        <v>4</v>
      </c>
      <c r="V686">
        <v>2</v>
      </c>
      <c r="W686">
        <v>4</v>
      </c>
      <c r="X686">
        <v>3.8</v>
      </c>
      <c r="Y686">
        <v>2</v>
      </c>
      <c r="Z686">
        <v>3.6</v>
      </c>
      <c r="AA686">
        <v>3.1</v>
      </c>
      <c r="AB686">
        <v>2</v>
      </c>
      <c r="AC686">
        <v>3.2</v>
      </c>
      <c r="AD686">
        <v>2.6</v>
      </c>
      <c r="AE686">
        <v>2</v>
      </c>
      <c r="AF686">
        <v>4</v>
      </c>
      <c r="AG686">
        <v>3.9</v>
      </c>
      <c r="AH686">
        <v>2</v>
      </c>
      <c r="AI686">
        <v>3.9</v>
      </c>
      <c r="AJ686">
        <v>3.9</v>
      </c>
      <c r="AK686">
        <v>2</v>
      </c>
      <c r="AL686">
        <v>5.4</v>
      </c>
      <c r="AM686">
        <v>4</v>
      </c>
      <c r="AN686">
        <v>5.0999999999999996</v>
      </c>
      <c r="AO686">
        <v>4</v>
      </c>
      <c r="AP686">
        <v>2.9</v>
      </c>
      <c r="AQ686">
        <v>4</v>
      </c>
      <c r="AR686">
        <v>4.9000000000000004</v>
      </c>
      <c r="AS686">
        <v>4</v>
      </c>
      <c r="AT686">
        <v>-3.2</v>
      </c>
      <c r="AU686">
        <v>-5.7</v>
      </c>
      <c r="AV686">
        <v>-5</v>
      </c>
      <c r="AW686">
        <v>-4.5</v>
      </c>
      <c r="AX686">
        <v>-6.1</v>
      </c>
      <c r="AY686">
        <v>-5</v>
      </c>
      <c r="AZ686">
        <v>11.6</v>
      </c>
      <c r="BA686">
        <v>10</v>
      </c>
      <c r="BB686">
        <v>10.4</v>
      </c>
      <c r="BC686">
        <v>10</v>
      </c>
      <c r="BD686">
        <v>5.8</v>
      </c>
      <c r="BE686">
        <v>4</v>
      </c>
      <c r="BF686">
        <v>9.6</v>
      </c>
      <c r="BG686">
        <v>10</v>
      </c>
      <c r="BH686">
        <v>11.8</v>
      </c>
      <c r="BI686">
        <v>10</v>
      </c>
      <c r="BJ686">
        <v>10.5</v>
      </c>
      <c r="BK686">
        <v>9</v>
      </c>
      <c r="BL686">
        <v>20.7</v>
      </c>
      <c r="BM686">
        <v>19</v>
      </c>
      <c r="BN686">
        <v>23.6</v>
      </c>
      <c r="BO686">
        <v>19</v>
      </c>
      <c r="BP686">
        <v>21.9</v>
      </c>
      <c r="BQ686">
        <v>20</v>
      </c>
      <c r="BR686">
        <v>21.7</v>
      </c>
      <c r="BS686">
        <v>25</v>
      </c>
      <c r="BT686">
        <v>21.9</v>
      </c>
      <c r="BU686">
        <v>25</v>
      </c>
      <c r="BV686">
        <v>23.4</v>
      </c>
      <c r="BW686">
        <v>18</v>
      </c>
      <c r="BX686">
        <v>21.6</v>
      </c>
      <c r="BY686">
        <v>20</v>
      </c>
      <c r="BZ686">
        <v>21.3</v>
      </c>
      <c r="CA686">
        <v>20</v>
      </c>
      <c r="CB686">
        <v>10.8</v>
      </c>
      <c r="CC686">
        <v>10</v>
      </c>
      <c r="CD686">
        <v>12</v>
      </c>
      <c r="CE686">
        <v>10</v>
      </c>
      <c r="CF686">
        <v>11.9</v>
      </c>
      <c r="CG686">
        <v>9</v>
      </c>
      <c r="CH686">
        <v>12.1</v>
      </c>
      <c r="CI686">
        <v>9</v>
      </c>
    </row>
    <row r="687" spans="1:87" x14ac:dyDescent="0.35">
      <c r="A687" s="1">
        <v>46059.939583333333</v>
      </c>
      <c r="B687">
        <v>-19.600000000000001</v>
      </c>
      <c r="C687">
        <v>-20.7</v>
      </c>
      <c r="D687">
        <v>-25</v>
      </c>
      <c r="E687">
        <v>-20.2</v>
      </c>
      <c r="F687">
        <v>-18.600000000000001</v>
      </c>
      <c r="G687">
        <v>-25</v>
      </c>
      <c r="H687">
        <v>-20.2</v>
      </c>
      <c r="I687">
        <v>-19.8</v>
      </c>
      <c r="J687">
        <v>-25</v>
      </c>
      <c r="K687">
        <v>-19.8</v>
      </c>
      <c r="L687">
        <v>-19.8</v>
      </c>
      <c r="M687">
        <v>-25</v>
      </c>
      <c r="N687">
        <v>-18.8</v>
      </c>
      <c r="O687">
        <v>-17.2</v>
      </c>
      <c r="P687">
        <v>-25</v>
      </c>
      <c r="Q687">
        <v>-18.399999999999999</v>
      </c>
      <c r="R687">
        <v>-18.100000000000001</v>
      </c>
      <c r="S687">
        <v>-25</v>
      </c>
      <c r="T687">
        <v>4</v>
      </c>
      <c r="U687">
        <v>3.2</v>
      </c>
      <c r="V687">
        <v>2</v>
      </c>
      <c r="W687">
        <v>4</v>
      </c>
      <c r="X687">
        <v>2.9</v>
      </c>
      <c r="Y687">
        <v>2</v>
      </c>
      <c r="Z687">
        <v>3.6</v>
      </c>
      <c r="AA687">
        <v>3.1</v>
      </c>
      <c r="AB687">
        <v>2</v>
      </c>
      <c r="AC687">
        <v>3.2</v>
      </c>
      <c r="AD687">
        <v>2.6</v>
      </c>
      <c r="AE687">
        <v>2</v>
      </c>
      <c r="AF687">
        <v>4.0999999999999996</v>
      </c>
      <c r="AG687">
        <v>4</v>
      </c>
      <c r="AH687">
        <v>2</v>
      </c>
      <c r="AI687">
        <v>4</v>
      </c>
      <c r="AJ687">
        <v>4</v>
      </c>
      <c r="AK687">
        <v>2</v>
      </c>
      <c r="AL687">
        <v>5.5</v>
      </c>
      <c r="AM687">
        <v>4</v>
      </c>
      <c r="AN687">
        <v>6</v>
      </c>
      <c r="AO687">
        <v>4</v>
      </c>
      <c r="AP687">
        <v>2.9</v>
      </c>
      <c r="AQ687">
        <v>4</v>
      </c>
      <c r="AR687">
        <v>5.0999999999999996</v>
      </c>
      <c r="AS687">
        <v>4</v>
      </c>
      <c r="AT687">
        <v>-3.4</v>
      </c>
      <c r="AU687">
        <v>-5.9</v>
      </c>
      <c r="AV687">
        <v>-5</v>
      </c>
      <c r="AW687">
        <v>-4.5999999999999996</v>
      </c>
      <c r="AX687">
        <v>-6.3</v>
      </c>
      <c r="AY687">
        <v>-5</v>
      </c>
      <c r="AZ687">
        <v>11.6</v>
      </c>
      <c r="BA687">
        <v>10</v>
      </c>
      <c r="BB687">
        <v>10.7</v>
      </c>
      <c r="BC687">
        <v>10</v>
      </c>
      <c r="BD687">
        <v>6</v>
      </c>
      <c r="BE687">
        <v>4</v>
      </c>
      <c r="BF687">
        <v>10</v>
      </c>
      <c r="BG687">
        <v>10</v>
      </c>
      <c r="BH687">
        <v>11.9</v>
      </c>
      <c r="BI687">
        <v>10</v>
      </c>
      <c r="BJ687">
        <v>10.8</v>
      </c>
      <c r="BK687">
        <v>9</v>
      </c>
      <c r="BL687">
        <v>20.7</v>
      </c>
      <c r="BM687">
        <v>19</v>
      </c>
      <c r="BN687">
        <v>23.6</v>
      </c>
      <c r="BO687">
        <v>19</v>
      </c>
      <c r="BP687">
        <v>21.9</v>
      </c>
      <c r="BQ687">
        <v>20</v>
      </c>
      <c r="BR687">
        <v>21.7</v>
      </c>
      <c r="BS687">
        <v>25</v>
      </c>
      <c r="BT687">
        <v>21.9</v>
      </c>
      <c r="BU687">
        <v>25</v>
      </c>
      <c r="BV687">
        <v>23.4</v>
      </c>
      <c r="BW687">
        <v>18</v>
      </c>
      <c r="BX687">
        <v>21.6</v>
      </c>
      <c r="BY687">
        <v>20</v>
      </c>
      <c r="BZ687">
        <v>21.4</v>
      </c>
      <c r="CA687">
        <v>20</v>
      </c>
      <c r="CB687">
        <v>11.2</v>
      </c>
      <c r="CC687">
        <v>10</v>
      </c>
      <c r="CD687">
        <v>11.8</v>
      </c>
      <c r="CE687">
        <v>10</v>
      </c>
      <c r="CF687">
        <v>11.6</v>
      </c>
      <c r="CG687">
        <v>9</v>
      </c>
      <c r="CH687">
        <v>11.8</v>
      </c>
      <c r="CI687">
        <v>9</v>
      </c>
    </row>
    <row r="688" spans="1:87" x14ac:dyDescent="0.35">
      <c r="A688" s="1">
        <v>46059.94027777778</v>
      </c>
      <c r="B688">
        <v>-19.600000000000001</v>
      </c>
      <c r="C688">
        <v>-20</v>
      </c>
      <c r="D688">
        <v>-25</v>
      </c>
      <c r="E688">
        <v>-19.8</v>
      </c>
      <c r="F688">
        <v>-18.7</v>
      </c>
      <c r="G688">
        <v>-25</v>
      </c>
      <c r="H688">
        <v>-20.2</v>
      </c>
      <c r="I688">
        <v>-16</v>
      </c>
      <c r="J688">
        <v>-25</v>
      </c>
      <c r="K688">
        <v>-19.600000000000001</v>
      </c>
      <c r="L688">
        <v>-19.8</v>
      </c>
      <c r="M688">
        <v>-25</v>
      </c>
      <c r="N688">
        <v>-18.7</v>
      </c>
      <c r="O688">
        <v>-17.3</v>
      </c>
      <c r="P688">
        <v>-25</v>
      </c>
      <c r="Q688">
        <v>-18.399999999999999</v>
      </c>
      <c r="R688">
        <v>-18.100000000000001</v>
      </c>
      <c r="S688">
        <v>-25</v>
      </c>
      <c r="T688">
        <v>3.6</v>
      </c>
      <c r="U688">
        <v>1.8</v>
      </c>
      <c r="V688">
        <v>2</v>
      </c>
      <c r="W688">
        <v>3.8</v>
      </c>
      <c r="X688">
        <v>2</v>
      </c>
      <c r="Y688">
        <v>2</v>
      </c>
      <c r="Z688">
        <v>3.6</v>
      </c>
      <c r="AA688">
        <v>3.1</v>
      </c>
      <c r="AB688">
        <v>2</v>
      </c>
      <c r="AC688">
        <v>3.2</v>
      </c>
      <c r="AD688">
        <v>2.7</v>
      </c>
      <c r="AE688">
        <v>2</v>
      </c>
      <c r="AF688">
        <v>4.2</v>
      </c>
      <c r="AG688">
        <v>4</v>
      </c>
      <c r="AH688">
        <v>2</v>
      </c>
      <c r="AI688">
        <v>4</v>
      </c>
      <c r="AJ688">
        <v>2.8</v>
      </c>
      <c r="AK688">
        <v>2</v>
      </c>
      <c r="AL688">
        <v>5.5</v>
      </c>
      <c r="AM688">
        <v>4</v>
      </c>
      <c r="AN688">
        <v>6</v>
      </c>
      <c r="AO688">
        <v>4</v>
      </c>
      <c r="AP688">
        <v>3.1</v>
      </c>
      <c r="AQ688">
        <v>4</v>
      </c>
      <c r="AR688">
        <v>5.3</v>
      </c>
      <c r="AS688">
        <v>4</v>
      </c>
      <c r="AT688">
        <v>-3.6</v>
      </c>
      <c r="AU688">
        <v>-6.1</v>
      </c>
      <c r="AV688">
        <v>-5</v>
      </c>
      <c r="AW688">
        <v>-4.7</v>
      </c>
      <c r="AX688">
        <v>-5.2</v>
      </c>
      <c r="AY688">
        <v>-5</v>
      </c>
      <c r="AZ688">
        <v>11.7</v>
      </c>
      <c r="BA688">
        <v>10</v>
      </c>
      <c r="BB688">
        <v>11</v>
      </c>
      <c r="BC688">
        <v>10</v>
      </c>
      <c r="BD688">
        <v>6</v>
      </c>
      <c r="BE688">
        <v>4</v>
      </c>
      <c r="BF688">
        <v>10.4</v>
      </c>
      <c r="BG688">
        <v>10</v>
      </c>
      <c r="BH688">
        <v>12</v>
      </c>
      <c r="BI688">
        <v>10</v>
      </c>
      <c r="BJ688">
        <v>10.8</v>
      </c>
      <c r="BK688">
        <v>9</v>
      </c>
      <c r="BL688">
        <v>20.7</v>
      </c>
      <c r="BM688">
        <v>19</v>
      </c>
      <c r="BN688">
        <v>23.6</v>
      </c>
      <c r="BO688">
        <v>19</v>
      </c>
      <c r="BP688">
        <v>21.9</v>
      </c>
      <c r="BQ688">
        <v>20</v>
      </c>
      <c r="BR688">
        <v>21.7</v>
      </c>
      <c r="BS688">
        <v>25</v>
      </c>
      <c r="BT688">
        <v>21.9</v>
      </c>
      <c r="BU688">
        <v>25</v>
      </c>
      <c r="BV688">
        <v>23.4</v>
      </c>
      <c r="BW688">
        <v>18</v>
      </c>
      <c r="BX688">
        <v>21.6</v>
      </c>
      <c r="BY688">
        <v>20</v>
      </c>
      <c r="BZ688">
        <v>21.4</v>
      </c>
      <c r="CA688">
        <v>20</v>
      </c>
      <c r="CB688">
        <v>11.5</v>
      </c>
      <c r="CC688">
        <v>10</v>
      </c>
      <c r="CD688">
        <v>11.5</v>
      </c>
      <c r="CE688">
        <v>10</v>
      </c>
      <c r="CF688">
        <v>11.5</v>
      </c>
      <c r="CG688">
        <v>9</v>
      </c>
      <c r="CH688">
        <v>11.7</v>
      </c>
      <c r="CI688">
        <v>9</v>
      </c>
    </row>
    <row r="689" spans="1:87" x14ac:dyDescent="0.35">
      <c r="A689" s="1">
        <v>46059.940972222219</v>
      </c>
      <c r="B689">
        <v>-19.3</v>
      </c>
      <c r="C689">
        <v>-19.5</v>
      </c>
      <c r="D689">
        <v>-25</v>
      </c>
      <c r="E689">
        <v>-19.3</v>
      </c>
      <c r="F689">
        <v>-18.7</v>
      </c>
      <c r="G689">
        <v>-25</v>
      </c>
      <c r="H689">
        <v>-20.2</v>
      </c>
      <c r="I689">
        <v>-10.9</v>
      </c>
      <c r="J689">
        <v>-25</v>
      </c>
      <c r="K689">
        <v>-19.399999999999999</v>
      </c>
      <c r="L689">
        <v>-19.8</v>
      </c>
      <c r="M689">
        <v>-25</v>
      </c>
      <c r="N689">
        <v>-18.5</v>
      </c>
      <c r="O689">
        <v>-17.399999999999999</v>
      </c>
      <c r="P689">
        <v>-25</v>
      </c>
      <c r="Q689">
        <v>-18.3</v>
      </c>
      <c r="R689">
        <v>-18.100000000000001</v>
      </c>
      <c r="S689">
        <v>-25</v>
      </c>
      <c r="T689">
        <v>3.3</v>
      </c>
      <c r="U689">
        <v>1</v>
      </c>
      <c r="V689">
        <v>2</v>
      </c>
      <c r="W689">
        <v>3.3</v>
      </c>
      <c r="X689">
        <v>1</v>
      </c>
      <c r="Y689">
        <v>2</v>
      </c>
      <c r="Z689">
        <v>3.6</v>
      </c>
      <c r="AA689">
        <v>3.1</v>
      </c>
      <c r="AB689">
        <v>2</v>
      </c>
      <c r="AC689">
        <v>3.2</v>
      </c>
      <c r="AD689">
        <v>2.4</v>
      </c>
      <c r="AE689">
        <v>2</v>
      </c>
      <c r="AF689">
        <v>4.2</v>
      </c>
      <c r="AG689">
        <v>3.8</v>
      </c>
      <c r="AH689">
        <v>2</v>
      </c>
      <c r="AI689">
        <v>3.9</v>
      </c>
      <c r="AJ689">
        <v>1.9</v>
      </c>
      <c r="AK689">
        <v>2</v>
      </c>
      <c r="AL689">
        <v>5.6</v>
      </c>
      <c r="AM689">
        <v>4</v>
      </c>
      <c r="AN689">
        <v>5.6</v>
      </c>
      <c r="AO689">
        <v>4</v>
      </c>
      <c r="AP689">
        <v>3.4</v>
      </c>
      <c r="AQ689">
        <v>4</v>
      </c>
      <c r="AR689">
        <v>5.5</v>
      </c>
      <c r="AS689">
        <v>4</v>
      </c>
      <c r="AT689">
        <v>-3.8</v>
      </c>
      <c r="AU689">
        <v>-6.2</v>
      </c>
      <c r="AV689">
        <v>-5</v>
      </c>
      <c r="AW689">
        <v>-4.7</v>
      </c>
      <c r="AX689">
        <v>-4.9000000000000004</v>
      </c>
      <c r="AY689">
        <v>-5</v>
      </c>
      <c r="AZ689">
        <v>11.8</v>
      </c>
      <c r="BA689">
        <v>10</v>
      </c>
      <c r="BB689">
        <v>11.2</v>
      </c>
      <c r="BC689">
        <v>10</v>
      </c>
      <c r="BD689">
        <v>5.5</v>
      </c>
      <c r="BE689">
        <v>4</v>
      </c>
      <c r="BF689">
        <v>10.7</v>
      </c>
      <c r="BG689">
        <v>10</v>
      </c>
      <c r="BH689">
        <v>12</v>
      </c>
      <c r="BI689">
        <v>10</v>
      </c>
      <c r="BJ689">
        <v>10.8</v>
      </c>
      <c r="BK689">
        <v>9</v>
      </c>
      <c r="BL689">
        <v>20.8</v>
      </c>
      <c r="BM689">
        <v>19</v>
      </c>
      <c r="BN689">
        <v>23.6</v>
      </c>
      <c r="BO689">
        <v>19</v>
      </c>
      <c r="BP689">
        <v>21.9</v>
      </c>
      <c r="BQ689">
        <v>20</v>
      </c>
      <c r="BR689">
        <v>21.7</v>
      </c>
      <c r="BS689">
        <v>25</v>
      </c>
      <c r="BT689">
        <v>21.9</v>
      </c>
      <c r="BU689">
        <v>25</v>
      </c>
      <c r="BV689">
        <v>23.4</v>
      </c>
      <c r="BW689">
        <v>18</v>
      </c>
      <c r="BX689">
        <v>21.6</v>
      </c>
      <c r="BY689">
        <v>20</v>
      </c>
      <c r="BZ689">
        <v>21.4</v>
      </c>
      <c r="CA689">
        <v>20</v>
      </c>
      <c r="CB689">
        <v>12</v>
      </c>
      <c r="CC689">
        <v>10</v>
      </c>
      <c r="CD689">
        <v>11.2</v>
      </c>
      <c r="CE689">
        <v>10</v>
      </c>
      <c r="CF689">
        <v>11.6</v>
      </c>
      <c r="CG689">
        <v>9</v>
      </c>
      <c r="CH689">
        <v>11.8</v>
      </c>
      <c r="CI689">
        <v>9</v>
      </c>
    </row>
    <row r="690" spans="1:87" x14ac:dyDescent="0.35">
      <c r="A690" s="1">
        <v>46059.941666666666</v>
      </c>
      <c r="B690">
        <v>-19</v>
      </c>
      <c r="C690">
        <v>-19.100000000000001</v>
      </c>
      <c r="D690">
        <v>-25</v>
      </c>
      <c r="E690">
        <v>-18.899999999999999</v>
      </c>
      <c r="F690">
        <v>-18.7</v>
      </c>
      <c r="G690">
        <v>-25</v>
      </c>
      <c r="H690">
        <v>-20.2</v>
      </c>
      <c r="I690">
        <v>-5.6</v>
      </c>
      <c r="J690">
        <v>-25</v>
      </c>
      <c r="K690">
        <v>-19.3</v>
      </c>
      <c r="L690">
        <v>-20.100000000000001</v>
      </c>
      <c r="M690">
        <v>-25</v>
      </c>
      <c r="N690">
        <v>-18.2</v>
      </c>
      <c r="O690">
        <v>-17.399999999999999</v>
      </c>
      <c r="P690">
        <v>-25</v>
      </c>
      <c r="Q690">
        <v>-18.100000000000001</v>
      </c>
      <c r="R690">
        <v>-18</v>
      </c>
      <c r="S690">
        <v>-25</v>
      </c>
      <c r="T690">
        <v>2.8</v>
      </c>
      <c r="U690">
        <v>1</v>
      </c>
      <c r="V690">
        <v>2</v>
      </c>
      <c r="W690">
        <v>2.9</v>
      </c>
      <c r="X690">
        <v>0.3</v>
      </c>
      <c r="Y690">
        <v>2</v>
      </c>
      <c r="Z690">
        <v>3.5</v>
      </c>
      <c r="AA690">
        <v>3</v>
      </c>
      <c r="AB690">
        <v>2</v>
      </c>
      <c r="AC690">
        <v>3.1</v>
      </c>
      <c r="AD690">
        <v>2</v>
      </c>
      <c r="AE690">
        <v>2</v>
      </c>
      <c r="AF690">
        <v>3.9</v>
      </c>
      <c r="AG690">
        <v>3.5</v>
      </c>
      <c r="AH690">
        <v>2</v>
      </c>
      <c r="AI690">
        <v>3.7</v>
      </c>
      <c r="AJ690">
        <v>2.2000000000000002</v>
      </c>
      <c r="AK690">
        <v>2</v>
      </c>
      <c r="AL690">
        <v>5.6</v>
      </c>
      <c r="AM690">
        <v>4</v>
      </c>
      <c r="AN690">
        <v>5.3</v>
      </c>
      <c r="AO690">
        <v>4</v>
      </c>
      <c r="AP690">
        <v>3.7</v>
      </c>
      <c r="AQ690">
        <v>4</v>
      </c>
      <c r="AR690">
        <v>5.7</v>
      </c>
      <c r="AS690">
        <v>4</v>
      </c>
      <c r="AT690">
        <v>-4</v>
      </c>
      <c r="AU690">
        <v>-6.4</v>
      </c>
      <c r="AV690">
        <v>-5</v>
      </c>
      <c r="AW690">
        <v>-4.7</v>
      </c>
      <c r="AX690">
        <v>-4.8</v>
      </c>
      <c r="AY690">
        <v>-5</v>
      </c>
      <c r="AZ690">
        <v>11.9</v>
      </c>
      <c r="BA690">
        <v>10</v>
      </c>
      <c r="BB690">
        <v>11.5</v>
      </c>
      <c r="BC690">
        <v>10</v>
      </c>
      <c r="BD690">
        <v>5.0999999999999996</v>
      </c>
      <c r="BE690">
        <v>4</v>
      </c>
      <c r="BF690">
        <v>11.1</v>
      </c>
      <c r="BG690">
        <v>10</v>
      </c>
      <c r="BH690">
        <v>12</v>
      </c>
      <c r="BI690">
        <v>10</v>
      </c>
      <c r="BJ690">
        <v>10.9</v>
      </c>
      <c r="BK690">
        <v>9</v>
      </c>
      <c r="BL690">
        <v>20.8</v>
      </c>
      <c r="BM690">
        <v>19</v>
      </c>
      <c r="BN690">
        <v>23.6</v>
      </c>
      <c r="BO690">
        <v>19</v>
      </c>
      <c r="BP690">
        <v>21.9</v>
      </c>
      <c r="BQ690">
        <v>20</v>
      </c>
      <c r="BR690">
        <v>21.7</v>
      </c>
      <c r="BS690">
        <v>25</v>
      </c>
      <c r="BT690">
        <v>21.9</v>
      </c>
      <c r="BU690">
        <v>25</v>
      </c>
      <c r="BV690">
        <v>23.4</v>
      </c>
      <c r="BW690">
        <v>18</v>
      </c>
      <c r="BX690">
        <v>21.6</v>
      </c>
      <c r="BY690">
        <v>20</v>
      </c>
      <c r="BZ690">
        <v>21.4</v>
      </c>
      <c r="CA690">
        <v>20</v>
      </c>
      <c r="CB690">
        <v>12</v>
      </c>
      <c r="CC690">
        <v>10</v>
      </c>
      <c r="CD690">
        <v>11</v>
      </c>
      <c r="CE690">
        <v>10</v>
      </c>
      <c r="CF690">
        <v>11.6</v>
      </c>
      <c r="CG690">
        <v>9</v>
      </c>
      <c r="CH690">
        <v>11.8</v>
      </c>
      <c r="CI690">
        <v>9</v>
      </c>
    </row>
    <row r="691" spans="1:87" x14ac:dyDescent="0.35">
      <c r="A691" s="1">
        <v>46059.942361111112</v>
      </c>
      <c r="B691">
        <v>-18.7</v>
      </c>
      <c r="C691">
        <v>-18.7</v>
      </c>
      <c r="D691">
        <v>-25</v>
      </c>
      <c r="E691">
        <v>-18.600000000000001</v>
      </c>
      <c r="F691">
        <v>-18.600000000000001</v>
      </c>
      <c r="G691">
        <v>-25</v>
      </c>
      <c r="H691">
        <v>-20.2</v>
      </c>
      <c r="I691">
        <v>-1</v>
      </c>
      <c r="J691">
        <v>-25</v>
      </c>
      <c r="K691">
        <v>-19.2</v>
      </c>
      <c r="L691">
        <v>-20.399999999999999</v>
      </c>
      <c r="M691">
        <v>-25</v>
      </c>
      <c r="N691">
        <v>-18</v>
      </c>
      <c r="O691">
        <v>-17.5</v>
      </c>
      <c r="P691">
        <v>-25</v>
      </c>
      <c r="Q691">
        <v>-17.899999999999999</v>
      </c>
      <c r="R691">
        <v>-17.8</v>
      </c>
      <c r="S691">
        <v>-25</v>
      </c>
      <c r="T691">
        <v>2.5</v>
      </c>
      <c r="U691">
        <v>1.1000000000000001</v>
      </c>
      <c r="V691">
        <v>2</v>
      </c>
      <c r="W691">
        <v>2.5</v>
      </c>
      <c r="X691">
        <v>-0.3</v>
      </c>
      <c r="Y691">
        <v>2</v>
      </c>
      <c r="Z691">
        <v>3.4</v>
      </c>
      <c r="AA691">
        <v>2.8</v>
      </c>
      <c r="AB691">
        <v>2</v>
      </c>
      <c r="AC691">
        <v>2.9</v>
      </c>
      <c r="AD691">
        <v>1.6</v>
      </c>
      <c r="AE691">
        <v>2</v>
      </c>
      <c r="AF691">
        <v>3.7</v>
      </c>
      <c r="AG691">
        <v>3.3</v>
      </c>
      <c r="AH691">
        <v>2</v>
      </c>
      <c r="AI691">
        <v>3.5</v>
      </c>
      <c r="AJ691">
        <v>2.2999999999999998</v>
      </c>
      <c r="AK691">
        <v>2</v>
      </c>
      <c r="AL691">
        <v>5.7</v>
      </c>
      <c r="AM691">
        <v>4</v>
      </c>
      <c r="AN691">
        <v>5.0999999999999996</v>
      </c>
      <c r="AO691">
        <v>4</v>
      </c>
      <c r="AP691">
        <v>3.9</v>
      </c>
      <c r="AQ691">
        <v>4</v>
      </c>
      <c r="AR691">
        <v>5.9</v>
      </c>
      <c r="AS691">
        <v>4</v>
      </c>
      <c r="AT691">
        <v>-4.2</v>
      </c>
      <c r="AU691">
        <v>-6.5</v>
      </c>
      <c r="AV691">
        <v>-5</v>
      </c>
      <c r="AW691">
        <v>-4.7</v>
      </c>
      <c r="AX691">
        <v>-6.3</v>
      </c>
      <c r="AY691">
        <v>-5</v>
      </c>
      <c r="AZ691">
        <v>12</v>
      </c>
      <c r="BA691">
        <v>10</v>
      </c>
      <c r="BB691">
        <v>11.6</v>
      </c>
      <c r="BC691">
        <v>10</v>
      </c>
      <c r="BD691">
        <v>4.9000000000000004</v>
      </c>
      <c r="BE691">
        <v>4</v>
      </c>
      <c r="BF691">
        <v>11.4</v>
      </c>
      <c r="BG691">
        <v>10</v>
      </c>
      <c r="BH691">
        <v>12</v>
      </c>
      <c r="BI691">
        <v>10</v>
      </c>
      <c r="BJ691">
        <v>11</v>
      </c>
      <c r="BK691">
        <v>9</v>
      </c>
      <c r="BL691">
        <v>20.8</v>
      </c>
      <c r="BM691">
        <v>19</v>
      </c>
      <c r="BN691">
        <v>23.6</v>
      </c>
      <c r="BO691">
        <v>19</v>
      </c>
      <c r="BP691">
        <v>21.9</v>
      </c>
      <c r="BQ691">
        <v>20</v>
      </c>
      <c r="BR691">
        <v>21.7</v>
      </c>
      <c r="BS691">
        <v>25</v>
      </c>
      <c r="BT691">
        <v>21.9</v>
      </c>
      <c r="BU691">
        <v>25</v>
      </c>
      <c r="BV691">
        <v>23.4</v>
      </c>
      <c r="BW691">
        <v>18</v>
      </c>
      <c r="BX691">
        <v>21.6</v>
      </c>
      <c r="BY691">
        <v>20</v>
      </c>
      <c r="BZ691">
        <v>21.4</v>
      </c>
      <c r="CA691">
        <v>20</v>
      </c>
      <c r="CB691">
        <v>11.8</v>
      </c>
      <c r="CC691">
        <v>10</v>
      </c>
      <c r="CD691">
        <v>10.9</v>
      </c>
      <c r="CE691">
        <v>10</v>
      </c>
      <c r="CF691">
        <v>11.6</v>
      </c>
      <c r="CG691">
        <v>9</v>
      </c>
      <c r="CH691">
        <v>11.8</v>
      </c>
      <c r="CI691">
        <v>9</v>
      </c>
    </row>
    <row r="692" spans="1:87" x14ac:dyDescent="0.35">
      <c r="A692" s="1">
        <v>46059.943055555559</v>
      </c>
      <c r="B692">
        <v>-18.399999999999999</v>
      </c>
      <c r="C692">
        <v>-18.399999999999999</v>
      </c>
      <c r="D692">
        <v>-25</v>
      </c>
      <c r="E692">
        <v>-18.2</v>
      </c>
      <c r="F692">
        <v>-18.3</v>
      </c>
      <c r="G692">
        <v>-25</v>
      </c>
      <c r="H692">
        <v>-20.2</v>
      </c>
      <c r="I692">
        <v>-0.2</v>
      </c>
      <c r="J692">
        <v>-25</v>
      </c>
      <c r="K692">
        <v>-19.2</v>
      </c>
      <c r="L692">
        <v>-19.899999999999999</v>
      </c>
      <c r="M692">
        <v>-25</v>
      </c>
      <c r="N692">
        <v>-17.8</v>
      </c>
      <c r="O692">
        <v>-17.5</v>
      </c>
      <c r="P692">
        <v>-25</v>
      </c>
      <c r="Q692">
        <v>-17.8</v>
      </c>
      <c r="R692">
        <v>-17.600000000000001</v>
      </c>
      <c r="S692">
        <v>-25</v>
      </c>
      <c r="T692">
        <v>2.1</v>
      </c>
      <c r="U692">
        <v>1</v>
      </c>
      <c r="V692">
        <v>2</v>
      </c>
      <c r="W692">
        <v>2.2000000000000002</v>
      </c>
      <c r="X692">
        <v>-0.7</v>
      </c>
      <c r="Y692">
        <v>2</v>
      </c>
      <c r="Z692">
        <v>3.3</v>
      </c>
      <c r="AA692">
        <v>2.7</v>
      </c>
      <c r="AB692">
        <v>2</v>
      </c>
      <c r="AC692">
        <v>2.8</v>
      </c>
      <c r="AD692">
        <v>1.6</v>
      </c>
      <c r="AE692">
        <v>2</v>
      </c>
      <c r="AF692">
        <v>3.6</v>
      </c>
      <c r="AG692">
        <v>3.1</v>
      </c>
      <c r="AH692">
        <v>2</v>
      </c>
      <c r="AI692">
        <v>3.3</v>
      </c>
      <c r="AJ692">
        <v>2.2999999999999998</v>
      </c>
      <c r="AK692">
        <v>2</v>
      </c>
      <c r="AL692">
        <v>5.7</v>
      </c>
      <c r="AM692">
        <v>4</v>
      </c>
      <c r="AN692">
        <v>5</v>
      </c>
      <c r="AO692">
        <v>4</v>
      </c>
      <c r="AP692">
        <v>4.0999999999999996</v>
      </c>
      <c r="AQ692">
        <v>4</v>
      </c>
      <c r="AR692">
        <v>6</v>
      </c>
      <c r="AS692">
        <v>4</v>
      </c>
      <c r="AT692">
        <v>-4.3</v>
      </c>
      <c r="AU692">
        <v>-6.6</v>
      </c>
      <c r="AV692">
        <v>-5</v>
      </c>
      <c r="AW692">
        <v>-4.9000000000000004</v>
      </c>
      <c r="AX692">
        <v>-6.5</v>
      </c>
      <c r="AY692">
        <v>-5</v>
      </c>
      <c r="AZ692">
        <v>12</v>
      </c>
      <c r="BA692">
        <v>10</v>
      </c>
      <c r="BB692">
        <v>11.8</v>
      </c>
      <c r="BC692">
        <v>10</v>
      </c>
      <c r="BD692">
        <v>4.5</v>
      </c>
      <c r="BE692">
        <v>4</v>
      </c>
      <c r="BF692">
        <v>11.6</v>
      </c>
      <c r="BG692">
        <v>10</v>
      </c>
      <c r="BH692">
        <v>12</v>
      </c>
      <c r="BI692">
        <v>10</v>
      </c>
      <c r="BJ692">
        <v>11.1</v>
      </c>
      <c r="BK692">
        <v>9</v>
      </c>
      <c r="BL692">
        <v>20.8</v>
      </c>
      <c r="BM692">
        <v>19</v>
      </c>
      <c r="BN692">
        <v>23.6</v>
      </c>
      <c r="BO692">
        <v>19</v>
      </c>
      <c r="BP692">
        <v>21.9</v>
      </c>
      <c r="BQ692">
        <v>20</v>
      </c>
      <c r="BR692">
        <v>21.7</v>
      </c>
      <c r="BS692">
        <v>25</v>
      </c>
      <c r="BT692">
        <v>21.9</v>
      </c>
      <c r="BU692">
        <v>25</v>
      </c>
      <c r="BV692">
        <v>23.4</v>
      </c>
      <c r="BW692">
        <v>18</v>
      </c>
      <c r="BX692">
        <v>21.7</v>
      </c>
      <c r="BY692">
        <v>20</v>
      </c>
      <c r="BZ692">
        <v>21.4</v>
      </c>
      <c r="CA692">
        <v>20</v>
      </c>
      <c r="CB692">
        <v>11.6</v>
      </c>
      <c r="CC692">
        <v>10</v>
      </c>
      <c r="CD692">
        <v>10.7</v>
      </c>
      <c r="CE692">
        <v>10</v>
      </c>
      <c r="CF692">
        <v>11.6</v>
      </c>
      <c r="CG692">
        <v>9</v>
      </c>
      <c r="CH692">
        <v>11.8</v>
      </c>
      <c r="CI692">
        <v>9</v>
      </c>
    </row>
    <row r="693" spans="1:87" x14ac:dyDescent="0.35">
      <c r="A693" s="1">
        <v>46059.943749999999</v>
      </c>
      <c r="B693">
        <v>-18.100000000000001</v>
      </c>
      <c r="C693">
        <v>-18.100000000000001</v>
      </c>
      <c r="D693">
        <v>-25</v>
      </c>
      <c r="E693">
        <v>-18</v>
      </c>
      <c r="F693">
        <v>-18.2</v>
      </c>
      <c r="G693">
        <v>-25</v>
      </c>
      <c r="H693">
        <v>-20.2</v>
      </c>
      <c r="I693">
        <v>0.3</v>
      </c>
      <c r="J693">
        <v>-25</v>
      </c>
      <c r="K693">
        <v>-19.2</v>
      </c>
      <c r="L693">
        <v>-19.7</v>
      </c>
      <c r="M693">
        <v>-25</v>
      </c>
      <c r="N693">
        <v>-17.7</v>
      </c>
      <c r="O693">
        <v>-17.5</v>
      </c>
      <c r="P693">
        <v>-25</v>
      </c>
      <c r="Q693">
        <v>-17.600000000000001</v>
      </c>
      <c r="R693">
        <v>-17.5</v>
      </c>
      <c r="S693">
        <v>-25</v>
      </c>
      <c r="T693">
        <v>1.9</v>
      </c>
      <c r="U693">
        <v>0.9</v>
      </c>
      <c r="V693">
        <v>2</v>
      </c>
      <c r="W693">
        <v>1.9</v>
      </c>
      <c r="X693">
        <v>-0.6</v>
      </c>
      <c r="Y693">
        <v>2</v>
      </c>
      <c r="Z693">
        <v>3.2</v>
      </c>
      <c r="AA693">
        <v>2.6</v>
      </c>
      <c r="AB693">
        <v>2</v>
      </c>
      <c r="AC693">
        <v>2.7</v>
      </c>
      <c r="AD693">
        <v>1</v>
      </c>
      <c r="AE693">
        <v>2</v>
      </c>
      <c r="AF693">
        <v>3.4</v>
      </c>
      <c r="AG693">
        <v>3</v>
      </c>
      <c r="AH693">
        <v>2</v>
      </c>
      <c r="AI693">
        <v>3.2</v>
      </c>
      <c r="AJ693">
        <v>2.1</v>
      </c>
      <c r="AK693">
        <v>2</v>
      </c>
      <c r="AL693">
        <v>5.7</v>
      </c>
      <c r="AM693">
        <v>4</v>
      </c>
      <c r="AN693">
        <v>4.9000000000000004</v>
      </c>
      <c r="AO693">
        <v>4</v>
      </c>
      <c r="AP693">
        <v>4.4000000000000004</v>
      </c>
      <c r="AQ693">
        <v>4</v>
      </c>
      <c r="AR693">
        <v>6</v>
      </c>
      <c r="AS693">
        <v>4</v>
      </c>
      <c r="AT693">
        <v>-4.4000000000000004</v>
      </c>
      <c r="AU693">
        <v>-6.7</v>
      </c>
      <c r="AV693">
        <v>-5</v>
      </c>
      <c r="AW693">
        <v>-5</v>
      </c>
      <c r="AX693">
        <v>-5.6</v>
      </c>
      <c r="AY693">
        <v>-5</v>
      </c>
      <c r="AZ693">
        <v>11</v>
      </c>
      <c r="BA693">
        <v>10</v>
      </c>
      <c r="BB693">
        <v>12</v>
      </c>
      <c r="BC693">
        <v>10</v>
      </c>
      <c r="BD693">
        <v>4.3</v>
      </c>
      <c r="BE693">
        <v>4</v>
      </c>
      <c r="BF693">
        <v>11.8</v>
      </c>
      <c r="BG693">
        <v>10</v>
      </c>
      <c r="BH693">
        <v>12</v>
      </c>
      <c r="BI693">
        <v>10</v>
      </c>
      <c r="BJ693">
        <v>11.1</v>
      </c>
      <c r="BK693">
        <v>9</v>
      </c>
      <c r="BL693">
        <v>20.8</v>
      </c>
      <c r="BM693">
        <v>19</v>
      </c>
      <c r="BN693">
        <v>23.6</v>
      </c>
      <c r="BO693">
        <v>19</v>
      </c>
      <c r="BP693">
        <v>21.9</v>
      </c>
      <c r="BQ693">
        <v>20</v>
      </c>
      <c r="BR693">
        <v>21.7</v>
      </c>
      <c r="BS693">
        <v>25</v>
      </c>
      <c r="BT693">
        <v>21.9</v>
      </c>
      <c r="BU693">
        <v>25</v>
      </c>
      <c r="BV693">
        <v>23.4</v>
      </c>
      <c r="BW693">
        <v>18</v>
      </c>
      <c r="BX693">
        <v>21.7</v>
      </c>
      <c r="BY693">
        <v>20</v>
      </c>
      <c r="BZ693">
        <v>21.5</v>
      </c>
      <c r="CA693">
        <v>20</v>
      </c>
      <c r="CB693">
        <v>11.3</v>
      </c>
      <c r="CC693">
        <v>10</v>
      </c>
      <c r="CD693">
        <v>10.6</v>
      </c>
      <c r="CE693">
        <v>10</v>
      </c>
      <c r="CF693">
        <v>11.5</v>
      </c>
      <c r="CG693">
        <v>9</v>
      </c>
      <c r="CH693">
        <v>11.7</v>
      </c>
      <c r="CI693">
        <v>9</v>
      </c>
    </row>
    <row r="694" spans="1:87" x14ac:dyDescent="0.35">
      <c r="A694" s="1">
        <v>46059.944444444445</v>
      </c>
      <c r="B694">
        <v>-17.899999999999999</v>
      </c>
      <c r="C694">
        <v>-17.8</v>
      </c>
      <c r="D694">
        <v>-25</v>
      </c>
      <c r="E694">
        <v>-17.7</v>
      </c>
      <c r="F694">
        <v>-18</v>
      </c>
      <c r="G694">
        <v>-25</v>
      </c>
      <c r="H694">
        <v>-20.2</v>
      </c>
      <c r="I694">
        <v>0.7</v>
      </c>
      <c r="J694">
        <v>-25</v>
      </c>
      <c r="K694">
        <v>-19.2</v>
      </c>
      <c r="L694">
        <v>-19.600000000000001</v>
      </c>
      <c r="M694">
        <v>-25</v>
      </c>
      <c r="N694">
        <v>-17.600000000000001</v>
      </c>
      <c r="O694">
        <v>-17.5</v>
      </c>
      <c r="P694">
        <v>-25</v>
      </c>
      <c r="Q694">
        <v>-17.5</v>
      </c>
      <c r="R694">
        <v>-17.399999999999999</v>
      </c>
      <c r="S694">
        <v>-25</v>
      </c>
      <c r="T694">
        <v>1.9</v>
      </c>
      <c r="U694">
        <v>1.1000000000000001</v>
      </c>
      <c r="V694">
        <v>2</v>
      </c>
      <c r="W694">
        <v>1.8</v>
      </c>
      <c r="X694">
        <v>0.5</v>
      </c>
      <c r="Y694">
        <v>2</v>
      </c>
      <c r="Z694">
        <v>3</v>
      </c>
      <c r="AA694">
        <v>2.2999999999999998</v>
      </c>
      <c r="AB694">
        <v>2</v>
      </c>
      <c r="AC694">
        <v>2.5</v>
      </c>
      <c r="AD694">
        <v>0.8</v>
      </c>
      <c r="AE694">
        <v>2</v>
      </c>
      <c r="AF694">
        <v>3.2</v>
      </c>
      <c r="AG694">
        <v>2.7</v>
      </c>
      <c r="AH694">
        <v>2</v>
      </c>
      <c r="AI694">
        <v>3</v>
      </c>
      <c r="AJ694">
        <v>1.8</v>
      </c>
      <c r="AK694">
        <v>2</v>
      </c>
      <c r="AL694">
        <v>5.8</v>
      </c>
      <c r="AM694">
        <v>4</v>
      </c>
      <c r="AN694">
        <v>4.8</v>
      </c>
      <c r="AO694">
        <v>4</v>
      </c>
      <c r="AP694">
        <v>4.5999999999999996</v>
      </c>
      <c r="AQ694">
        <v>4</v>
      </c>
      <c r="AR694">
        <v>6</v>
      </c>
      <c r="AS694">
        <v>4</v>
      </c>
      <c r="AT694">
        <v>-4.8</v>
      </c>
      <c r="AU694">
        <v>-7.5</v>
      </c>
      <c r="AV694">
        <v>-5</v>
      </c>
      <c r="AW694">
        <v>-4.9000000000000004</v>
      </c>
      <c r="AX694">
        <v>-5.0999999999999996</v>
      </c>
      <c r="AY694">
        <v>-5</v>
      </c>
      <c r="AZ694">
        <v>10.199999999999999</v>
      </c>
      <c r="BA694">
        <v>10</v>
      </c>
      <c r="BB694">
        <v>12</v>
      </c>
      <c r="BC694">
        <v>10</v>
      </c>
      <c r="BD694">
        <v>4.3</v>
      </c>
      <c r="BE694">
        <v>4</v>
      </c>
      <c r="BF694">
        <v>12.2</v>
      </c>
      <c r="BG694">
        <v>10</v>
      </c>
      <c r="BH694">
        <v>12</v>
      </c>
      <c r="BI694">
        <v>10</v>
      </c>
      <c r="BJ694">
        <v>11.1</v>
      </c>
      <c r="BK694">
        <v>9</v>
      </c>
      <c r="BL694">
        <v>20.8</v>
      </c>
      <c r="BM694">
        <v>19</v>
      </c>
      <c r="BN694">
        <v>23.6</v>
      </c>
      <c r="BO694">
        <v>19</v>
      </c>
      <c r="BP694">
        <v>22</v>
      </c>
      <c r="BQ694">
        <v>20</v>
      </c>
      <c r="BR694">
        <v>21.7</v>
      </c>
      <c r="BS694">
        <v>25</v>
      </c>
      <c r="BT694">
        <v>21.9</v>
      </c>
      <c r="BU694">
        <v>25</v>
      </c>
      <c r="BV694">
        <v>23.4</v>
      </c>
      <c r="BW694">
        <v>18</v>
      </c>
      <c r="BX694">
        <v>21.7</v>
      </c>
      <c r="BY694">
        <v>20</v>
      </c>
      <c r="BZ694">
        <v>21.5</v>
      </c>
      <c r="CA694">
        <v>20</v>
      </c>
      <c r="CB694">
        <v>11</v>
      </c>
      <c r="CC694">
        <v>10</v>
      </c>
      <c r="CD694">
        <v>10.5</v>
      </c>
      <c r="CE694">
        <v>10</v>
      </c>
      <c r="CF694">
        <v>11.3</v>
      </c>
      <c r="CG694">
        <v>9</v>
      </c>
      <c r="CH694">
        <v>11.5</v>
      </c>
      <c r="CI694">
        <v>9</v>
      </c>
    </row>
    <row r="695" spans="1:87" x14ac:dyDescent="0.35">
      <c r="A695" s="1">
        <v>46059.945138888892</v>
      </c>
      <c r="B695">
        <v>-17.600000000000001</v>
      </c>
      <c r="C695">
        <v>-17.600000000000001</v>
      </c>
      <c r="D695">
        <v>-25</v>
      </c>
      <c r="E695">
        <v>-17.5</v>
      </c>
      <c r="F695">
        <v>-17.7</v>
      </c>
      <c r="G695">
        <v>-25</v>
      </c>
      <c r="H695">
        <v>-20.2</v>
      </c>
      <c r="I695">
        <v>1.8</v>
      </c>
      <c r="J695">
        <v>-25</v>
      </c>
      <c r="K695">
        <v>-19.2</v>
      </c>
      <c r="L695">
        <v>-19.5</v>
      </c>
      <c r="M695">
        <v>-25</v>
      </c>
      <c r="N695">
        <v>-17.600000000000001</v>
      </c>
      <c r="O695">
        <v>-17.5</v>
      </c>
      <c r="P695">
        <v>-25</v>
      </c>
      <c r="Q695">
        <v>-17.399999999999999</v>
      </c>
      <c r="R695">
        <v>-17.3</v>
      </c>
      <c r="S695">
        <v>-25</v>
      </c>
      <c r="T695">
        <v>1.9</v>
      </c>
      <c r="U695">
        <v>1.5</v>
      </c>
      <c r="V695">
        <v>2</v>
      </c>
      <c r="W695">
        <v>1.8</v>
      </c>
      <c r="X695">
        <v>0.9</v>
      </c>
      <c r="Y695">
        <v>2</v>
      </c>
      <c r="Z695">
        <v>2.8</v>
      </c>
      <c r="AA695">
        <v>2.1</v>
      </c>
      <c r="AB695">
        <v>2</v>
      </c>
      <c r="AC695">
        <v>2.2999999999999998</v>
      </c>
      <c r="AD695">
        <v>1.3</v>
      </c>
      <c r="AE695">
        <v>2</v>
      </c>
      <c r="AF695">
        <v>2.9</v>
      </c>
      <c r="AG695">
        <v>2.4</v>
      </c>
      <c r="AH695">
        <v>2</v>
      </c>
      <c r="AI695">
        <v>2.8</v>
      </c>
      <c r="AJ695">
        <v>1.6</v>
      </c>
      <c r="AK695">
        <v>2</v>
      </c>
      <c r="AL695">
        <v>5.8</v>
      </c>
      <c r="AM695">
        <v>4</v>
      </c>
      <c r="AN695">
        <v>4.5999999999999996</v>
      </c>
      <c r="AO695">
        <v>4</v>
      </c>
      <c r="AP695">
        <v>4.8</v>
      </c>
      <c r="AQ695">
        <v>4</v>
      </c>
      <c r="AR695">
        <v>6.2</v>
      </c>
      <c r="AS695">
        <v>4</v>
      </c>
      <c r="AT695">
        <v>-4.9000000000000004</v>
      </c>
      <c r="AU695">
        <v>-6</v>
      </c>
      <c r="AV695">
        <v>-5</v>
      </c>
      <c r="AW695">
        <v>-4.3</v>
      </c>
      <c r="AX695">
        <v>-4.2</v>
      </c>
      <c r="AY695">
        <v>-5</v>
      </c>
      <c r="AZ695">
        <v>9.6</v>
      </c>
      <c r="BA695">
        <v>10</v>
      </c>
      <c r="BB695">
        <v>11.9</v>
      </c>
      <c r="BC695">
        <v>10</v>
      </c>
      <c r="BD695">
        <v>4.4000000000000004</v>
      </c>
      <c r="BE695">
        <v>4</v>
      </c>
      <c r="BF695">
        <v>11.7</v>
      </c>
      <c r="BG695">
        <v>10</v>
      </c>
      <c r="BH695">
        <v>12</v>
      </c>
      <c r="BI695">
        <v>10</v>
      </c>
      <c r="BJ695">
        <v>11</v>
      </c>
      <c r="BK695">
        <v>9</v>
      </c>
      <c r="BL695">
        <v>20.8</v>
      </c>
      <c r="BM695">
        <v>19</v>
      </c>
      <c r="BN695">
        <v>23.6</v>
      </c>
      <c r="BO695">
        <v>19</v>
      </c>
      <c r="BP695">
        <v>22</v>
      </c>
      <c r="BQ695">
        <v>20</v>
      </c>
      <c r="BR695">
        <v>21.7</v>
      </c>
      <c r="BS695">
        <v>25</v>
      </c>
      <c r="BT695">
        <v>21.9</v>
      </c>
      <c r="BU695">
        <v>25</v>
      </c>
      <c r="BV695">
        <v>23.4</v>
      </c>
      <c r="BW695">
        <v>18</v>
      </c>
      <c r="BX695">
        <v>21.7</v>
      </c>
      <c r="BY695">
        <v>20</v>
      </c>
      <c r="BZ695">
        <v>21.5</v>
      </c>
      <c r="CA695">
        <v>20</v>
      </c>
      <c r="CB695">
        <v>10.9</v>
      </c>
      <c r="CC695">
        <v>10</v>
      </c>
      <c r="CD695">
        <v>10.4</v>
      </c>
      <c r="CE695">
        <v>10</v>
      </c>
      <c r="CF695">
        <v>11.2</v>
      </c>
      <c r="CG695">
        <v>9</v>
      </c>
      <c r="CH695">
        <v>11.4</v>
      </c>
      <c r="CI695">
        <v>9</v>
      </c>
    </row>
    <row r="696" spans="1:87" x14ac:dyDescent="0.35">
      <c r="A696" s="1">
        <v>46059.945833333331</v>
      </c>
      <c r="B696">
        <v>-17.399999999999999</v>
      </c>
      <c r="C696">
        <v>-17.399999999999999</v>
      </c>
      <c r="D696">
        <v>-25</v>
      </c>
      <c r="E696">
        <v>-17.2</v>
      </c>
      <c r="F696">
        <v>-17.5</v>
      </c>
      <c r="G696">
        <v>-25</v>
      </c>
      <c r="H696">
        <v>-20.2</v>
      </c>
      <c r="I696">
        <v>4.8</v>
      </c>
      <c r="J696">
        <v>-25</v>
      </c>
      <c r="K696">
        <v>-19.100000000000001</v>
      </c>
      <c r="L696">
        <v>-19.399999999999999</v>
      </c>
      <c r="M696">
        <v>-25</v>
      </c>
      <c r="N696">
        <v>-17.600000000000001</v>
      </c>
      <c r="O696">
        <v>-17.399999999999999</v>
      </c>
      <c r="P696">
        <v>-25</v>
      </c>
      <c r="Q696">
        <v>-17.399999999999999</v>
      </c>
      <c r="R696">
        <v>-17.2</v>
      </c>
      <c r="S696">
        <v>-25</v>
      </c>
      <c r="T696">
        <v>2</v>
      </c>
      <c r="U696">
        <v>1.7</v>
      </c>
      <c r="V696">
        <v>2</v>
      </c>
      <c r="W696">
        <v>2</v>
      </c>
      <c r="X696">
        <v>1.2</v>
      </c>
      <c r="Y696">
        <v>2</v>
      </c>
      <c r="Z696">
        <v>2.7</v>
      </c>
      <c r="AA696">
        <v>2.1</v>
      </c>
      <c r="AB696">
        <v>2</v>
      </c>
      <c r="AC696">
        <v>2.2999999999999998</v>
      </c>
      <c r="AD696">
        <v>1.7</v>
      </c>
      <c r="AE696">
        <v>2</v>
      </c>
      <c r="AF696">
        <v>2.9</v>
      </c>
      <c r="AG696">
        <v>2.4</v>
      </c>
      <c r="AH696">
        <v>2</v>
      </c>
      <c r="AI696">
        <v>2.7</v>
      </c>
      <c r="AJ696">
        <v>1.6</v>
      </c>
      <c r="AK696">
        <v>2</v>
      </c>
      <c r="AL696">
        <v>5.9</v>
      </c>
      <c r="AM696">
        <v>4</v>
      </c>
      <c r="AN696">
        <v>4.5</v>
      </c>
      <c r="AO696">
        <v>4</v>
      </c>
      <c r="AP696">
        <v>5</v>
      </c>
      <c r="AQ696">
        <v>4</v>
      </c>
      <c r="AR696">
        <v>6.3</v>
      </c>
      <c r="AS696">
        <v>4</v>
      </c>
      <c r="AT696">
        <v>-4.3</v>
      </c>
      <c r="AU696">
        <v>-5</v>
      </c>
      <c r="AV696">
        <v>-5</v>
      </c>
      <c r="AW696">
        <v>-3.7</v>
      </c>
      <c r="AX696">
        <v>-3.5</v>
      </c>
      <c r="AY696">
        <v>-5</v>
      </c>
      <c r="AZ696">
        <v>9.3000000000000007</v>
      </c>
      <c r="BA696">
        <v>10</v>
      </c>
      <c r="BB696">
        <v>11.7</v>
      </c>
      <c r="BC696">
        <v>10</v>
      </c>
      <c r="BD696">
        <v>4.5</v>
      </c>
      <c r="BE696">
        <v>4</v>
      </c>
      <c r="BF696">
        <v>11</v>
      </c>
      <c r="BG696">
        <v>10</v>
      </c>
      <c r="BH696">
        <v>12</v>
      </c>
      <c r="BI696">
        <v>10</v>
      </c>
      <c r="BJ696">
        <v>10.7</v>
      </c>
      <c r="BK696">
        <v>9</v>
      </c>
      <c r="BL696">
        <v>20.8</v>
      </c>
      <c r="BM696">
        <v>19</v>
      </c>
      <c r="BN696">
        <v>23.6</v>
      </c>
      <c r="BO696">
        <v>19</v>
      </c>
      <c r="BP696">
        <v>21.6</v>
      </c>
      <c r="BQ696">
        <v>20</v>
      </c>
      <c r="BR696">
        <v>21.7</v>
      </c>
      <c r="BS696">
        <v>25</v>
      </c>
      <c r="BT696">
        <v>21.9</v>
      </c>
      <c r="BU696">
        <v>25</v>
      </c>
      <c r="BV696">
        <v>23.4</v>
      </c>
      <c r="BW696">
        <v>18</v>
      </c>
      <c r="BX696">
        <v>21.7</v>
      </c>
      <c r="BY696">
        <v>20</v>
      </c>
      <c r="BZ696">
        <v>21.5</v>
      </c>
      <c r="CA696">
        <v>20</v>
      </c>
      <c r="CB696">
        <v>10.7</v>
      </c>
      <c r="CC696">
        <v>10</v>
      </c>
      <c r="CD696">
        <v>10.3</v>
      </c>
      <c r="CE696">
        <v>10</v>
      </c>
      <c r="CF696">
        <v>11.2</v>
      </c>
      <c r="CG696">
        <v>9</v>
      </c>
      <c r="CH696">
        <v>11.4</v>
      </c>
      <c r="CI696">
        <v>9</v>
      </c>
    </row>
    <row r="697" spans="1:87" x14ac:dyDescent="0.35">
      <c r="A697" s="1">
        <v>46059.946527777778</v>
      </c>
      <c r="B697">
        <v>-17.2</v>
      </c>
      <c r="C697">
        <v>-17.2</v>
      </c>
      <c r="D697">
        <v>-25</v>
      </c>
      <c r="E697">
        <v>-17.100000000000001</v>
      </c>
      <c r="F697">
        <v>-17.3</v>
      </c>
      <c r="G697">
        <v>-25</v>
      </c>
      <c r="H697">
        <v>-20.2</v>
      </c>
      <c r="I697">
        <v>7.6</v>
      </c>
      <c r="J697">
        <v>-25</v>
      </c>
      <c r="K697">
        <v>-19</v>
      </c>
      <c r="L697">
        <v>-19.3</v>
      </c>
      <c r="M697">
        <v>-25</v>
      </c>
      <c r="N697">
        <v>-17.600000000000001</v>
      </c>
      <c r="O697">
        <v>-17.3</v>
      </c>
      <c r="P697">
        <v>-25</v>
      </c>
      <c r="Q697">
        <v>-17.399999999999999</v>
      </c>
      <c r="R697">
        <v>-17.2</v>
      </c>
      <c r="S697">
        <v>-25</v>
      </c>
      <c r="T697">
        <v>2.1</v>
      </c>
      <c r="U697">
        <v>1.9</v>
      </c>
      <c r="V697">
        <v>2</v>
      </c>
      <c r="W697">
        <v>2.1</v>
      </c>
      <c r="X697">
        <v>1.5</v>
      </c>
      <c r="Y697">
        <v>2</v>
      </c>
      <c r="Z697">
        <v>2.7</v>
      </c>
      <c r="AA697">
        <v>2.2000000000000002</v>
      </c>
      <c r="AB697">
        <v>2</v>
      </c>
      <c r="AC697">
        <v>2.2999999999999998</v>
      </c>
      <c r="AD697">
        <v>1.4</v>
      </c>
      <c r="AE697">
        <v>2</v>
      </c>
      <c r="AF697">
        <v>2.9</v>
      </c>
      <c r="AG697">
        <v>2.4</v>
      </c>
      <c r="AH697">
        <v>2</v>
      </c>
      <c r="AI697">
        <v>2.7</v>
      </c>
      <c r="AJ697">
        <v>0.3</v>
      </c>
      <c r="AK697">
        <v>2</v>
      </c>
      <c r="AL697">
        <v>5.9</v>
      </c>
      <c r="AM697">
        <v>4</v>
      </c>
      <c r="AN697">
        <v>4.2</v>
      </c>
      <c r="AO697">
        <v>4</v>
      </c>
      <c r="AP697">
        <v>5.2</v>
      </c>
      <c r="AQ697">
        <v>4</v>
      </c>
      <c r="AR697">
        <v>6.5</v>
      </c>
      <c r="AS697">
        <v>4</v>
      </c>
      <c r="AT697">
        <v>-4.0999999999999996</v>
      </c>
      <c r="AU697">
        <v>-6.5</v>
      </c>
      <c r="AV697">
        <v>-5</v>
      </c>
      <c r="AW697">
        <v>-3.2</v>
      </c>
      <c r="AX697">
        <v>-2.9</v>
      </c>
      <c r="AY697">
        <v>-5</v>
      </c>
      <c r="AZ697">
        <v>9.3000000000000007</v>
      </c>
      <c r="BA697">
        <v>10</v>
      </c>
      <c r="BB697">
        <v>11.4</v>
      </c>
      <c r="BC697">
        <v>10</v>
      </c>
      <c r="BD697">
        <v>4.5999999999999996</v>
      </c>
      <c r="BE697">
        <v>4</v>
      </c>
      <c r="BF697">
        <v>10.199999999999999</v>
      </c>
      <c r="BG697">
        <v>10</v>
      </c>
      <c r="BH697">
        <v>12</v>
      </c>
      <c r="BI697">
        <v>10</v>
      </c>
      <c r="BJ697">
        <v>10.6</v>
      </c>
      <c r="BK697">
        <v>9</v>
      </c>
      <c r="BL697">
        <v>20.9</v>
      </c>
      <c r="BM697">
        <v>19</v>
      </c>
      <c r="BN697">
        <v>23.6</v>
      </c>
      <c r="BO697">
        <v>19</v>
      </c>
      <c r="BP697">
        <v>21</v>
      </c>
      <c r="BQ697">
        <v>20</v>
      </c>
      <c r="BR697">
        <v>21.7</v>
      </c>
      <c r="BS697">
        <v>25</v>
      </c>
      <c r="BT697">
        <v>21.9</v>
      </c>
      <c r="BU697">
        <v>25</v>
      </c>
      <c r="BV697">
        <v>23.4</v>
      </c>
      <c r="BW697">
        <v>18</v>
      </c>
      <c r="BX697">
        <v>21.7</v>
      </c>
      <c r="BY697">
        <v>20</v>
      </c>
      <c r="BZ697">
        <v>21.6</v>
      </c>
      <c r="CA697">
        <v>20</v>
      </c>
      <c r="CB697">
        <v>10.5</v>
      </c>
      <c r="CC697">
        <v>10</v>
      </c>
      <c r="CD697">
        <v>10.3</v>
      </c>
      <c r="CE697">
        <v>10</v>
      </c>
      <c r="CF697">
        <v>11.4</v>
      </c>
      <c r="CG697">
        <v>9</v>
      </c>
      <c r="CH697">
        <v>11.6</v>
      </c>
      <c r="CI697">
        <v>9</v>
      </c>
    </row>
    <row r="698" spans="1:87" x14ac:dyDescent="0.35">
      <c r="A698" s="1">
        <v>46059.947222222225</v>
      </c>
      <c r="B698">
        <v>-17.100000000000001</v>
      </c>
      <c r="C698">
        <v>-17</v>
      </c>
      <c r="D698">
        <v>-25</v>
      </c>
      <c r="E698">
        <v>-16.899999999999999</v>
      </c>
      <c r="F698">
        <v>-17.100000000000001</v>
      </c>
      <c r="G698">
        <v>-25</v>
      </c>
      <c r="H698">
        <v>-20.2</v>
      </c>
      <c r="I698">
        <v>9.4</v>
      </c>
      <c r="J698">
        <v>-25</v>
      </c>
      <c r="K698">
        <v>-18.8</v>
      </c>
      <c r="L698">
        <v>-19.100000000000001</v>
      </c>
      <c r="M698">
        <v>-25</v>
      </c>
      <c r="N698">
        <v>-17.600000000000001</v>
      </c>
      <c r="O698">
        <v>-17.2</v>
      </c>
      <c r="P698">
        <v>-25</v>
      </c>
      <c r="Q698">
        <v>-17.399999999999999</v>
      </c>
      <c r="R698">
        <v>-17.2</v>
      </c>
      <c r="S698">
        <v>-25</v>
      </c>
      <c r="T698">
        <v>2.2000000000000002</v>
      </c>
      <c r="U698">
        <v>2</v>
      </c>
      <c r="V698">
        <v>2</v>
      </c>
      <c r="W698">
        <v>2.2000000000000002</v>
      </c>
      <c r="X698">
        <v>1.7</v>
      </c>
      <c r="Y698">
        <v>2</v>
      </c>
      <c r="Z698">
        <v>2.7</v>
      </c>
      <c r="AA698">
        <v>2.2000000000000002</v>
      </c>
      <c r="AB698">
        <v>2</v>
      </c>
      <c r="AC698">
        <v>2.2999999999999998</v>
      </c>
      <c r="AD698">
        <v>0.3</v>
      </c>
      <c r="AE698">
        <v>2</v>
      </c>
      <c r="AF698">
        <v>2.7</v>
      </c>
      <c r="AG698">
        <v>2.2000000000000002</v>
      </c>
      <c r="AH698">
        <v>2</v>
      </c>
      <c r="AI698">
        <v>2.4</v>
      </c>
      <c r="AJ698">
        <v>-0.5</v>
      </c>
      <c r="AK698">
        <v>2</v>
      </c>
      <c r="AL698">
        <v>5.9</v>
      </c>
      <c r="AM698">
        <v>4</v>
      </c>
      <c r="AN698">
        <v>4</v>
      </c>
      <c r="AO698">
        <v>4</v>
      </c>
      <c r="AP698">
        <v>5.4</v>
      </c>
      <c r="AQ698">
        <v>4</v>
      </c>
      <c r="AR698">
        <v>6.6</v>
      </c>
      <c r="AS698">
        <v>4</v>
      </c>
      <c r="AT698">
        <v>-4.5999999999999996</v>
      </c>
      <c r="AU698">
        <v>-6.7</v>
      </c>
      <c r="AV698">
        <v>-5</v>
      </c>
      <c r="AW698">
        <v>-2.8</v>
      </c>
      <c r="AX698">
        <v>-2.6</v>
      </c>
      <c r="AY698">
        <v>-5</v>
      </c>
      <c r="AZ698">
        <v>9.3000000000000007</v>
      </c>
      <c r="BA698">
        <v>10</v>
      </c>
      <c r="BB698">
        <v>11.2</v>
      </c>
      <c r="BC698">
        <v>10</v>
      </c>
      <c r="BD698">
        <v>4.5999999999999996</v>
      </c>
      <c r="BE698">
        <v>4</v>
      </c>
      <c r="BF698">
        <v>9.6999999999999993</v>
      </c>
      <c r="BG698">
        <v>10</v>
      </c>
      <c r="BH698">
        <v>12</v>
      </c>
      <c r="BI698">
        <v>10</v>
      </c>
      <c r="BJ698">
        <v>10.4</v>
      </c>
      <c r="BK698">
        <v>9</v>
      </c>
      <c r="BL698">
        <v>20.9</v>
      </c>
      <c r="BM698">
        <v>19</v>
      </c>
      <c r="BN698">
        <v>23.6</v>
      </c>
      <c r="BO698">
        <v>19</v>
      </c>
      <c r="BP698">
        <v>20.6</v>
      </c>
      <c r="BQ698">
        <v>20</v>
      </c>
      <c r="BR698">
        <v>21.7</v>
      </c>
      <c r="BS698">
        <v>25</v>
      </c>
      <c r="BT698">
        <v>21.9</v>
      </c>
      <c r="BU698">
        <v>25</v>
      </c>
      <c r="BV698">
        <v>23.4</v>
      </c>
      <c r="BW698">
        <v>18</v>
      </c>
      <c r="BX698">
        <v>21.7</v>
      </c>
      <c r="BY698">
        <v>20</v>
      </c>
      <c r="BZ698">
        <v>21.6</v>
      </c>
      <c r="CA698">
        <v>20</v>
      </c>
      <c r="CB698">
        <v>10.3</v>
      </c>
      <c r="CC698">
        <v>10</v>
      </c>
      <c r="CD698">
        <v>10.199999999999999</v>
      </c>
      <c r="CE698">
        <v>10</v>
      </c>
      <c r="CF698">
        <v>11.4</v>
      </c>
      <c r="CG698">
        <v>9</v>
      </c>
      <c r="CH698">
        <v>11.6</v>
      </c>
      <c r="CI698">
        <v>9</v>
      </c>
    </row>
    <row r="699" spans="1:87" x14ac:dyDescent="0.35">
      <c r="A699" s="1">
        <v>46059.947916666664</v>
      </c>
      <c r="B699">
        <v>-16.899999999999999</v>
      </c>
      <c r="C699">
        <v>-16.899999999999999</v>
      </c>
      <c r="D699">
        <v>-25</v>
      </c>
      <c r="E699">
        <v>-16.899999999999999</v>
      </c>
      <c r="F699">
        <v>-17</v>
      </c>
      <c r="G699">
        <v>-25</v>
      </c>
      <c r="H699">
        <v>-20.2</v>
      </c>
      <c r="I699">
        <v>10.9</v>
      </c>
      <c r="J699">
        <v>-25</v>
      </c>
      <c r="K699">
        <v>-18.7</v>
      </c>
      <c r="L699">
        <v>-18.899999999999999</v>
      </c>
      <c r="M699">
        <v>-25</v>
      </c>
      <c r="N699">
        <v>-17.600000000000001</v>
      </c>
      <c r="O699">
        <v>-17.2</v>
      </c>
      <c r="P699">
        <v>-25</v>
      </c>
      <c r="Q699">
        <v>-17.399999999999999</v>
      </c>
      <c r="R699">
        <v>-17.2</v>
      </c>
      <c r="S699">
        <v>-25</v>
      </c>
      <c r="T699">
        <v>2.2999999999999998</v>
      </c>
      <c r="U699">
        <v>2.2000000000000002</v>
      </c>
      <c r="V699">
        <v>2</v>
      </c>
      <c r="W699">
        <v>2.2999999999999998</v>
      </c>
      <c r="X699">
        <v>1.8</v>
      </c>
      <c r="Y699">
        <v>2</v>
      </c>
      <c r="Z699">
        <v>2.6</v>
      </c>
      <c r="AA699">
        <v>1.8</v>
      </c>
      <c r="AB699">
        <v>2</v>
      </c>
      <c r="AC699">
        <v>2</v>
      </c>
      <c r="AD699">
        <v>-0.3</v>
      </c>
      <c r="AE699">
        <v>2</v>
      </c>
      <c r="AF699">
        <v>2.4</v>
      </c>
      <c r="AG699">
        <v>1.9</v>
      </c>
      <c r="AH699">
        <v>2</v>
      </c>
      <c r="AI699">
        <v>2.1</v>
      </c>
      <c r="AJ699">
        <v>-1</v>
      </c>
      <c r="AK699">
        <v>2</v>
      </c>
      <c r="AL699">
        <v>5.9</v>
      </c>
      <c r="AM699">
        <v>4</v>
      </c>
      <c r="AN699">
        <v>3.8</v>
      </c>
      <c r="AO699">
        <v>4</v>
      </c>
      <c r="AP699">
        <v>5.5</v>
      </c>
      <c r="AQ699">
        <v>4</v>
      </c>
      <c r="AR699">
        <v>6.6</v>
      </c>
      <c r="AS699">
        <v>4</v>
      </c>
      <c r="AT699">
        <v>-4.5999999999999996</v>
      </c>
      <c r="AU699">
        <v>-6.5</v>
      </c>
      <c r="AV699">
        <v>-5</v>
      </c>
      <c r="AW699">
        <v>-2.9</v>
      </c>
      <c r="AX699">
        <v>-3.5</v>
      </c>
      <c r="AY699">
        <v>-5</v>
      </c>
      <c r="AZ699">
        <v>9.5</v>
      </c>
      <c r="BA699">
        <v>10</v>
      </c>
      <c r="BB699">
        <v>11</v>
      </c>
      <c r="BC699">
        <v>10</v>
      </c>
      <c r="BD699">
        <v>4.5</v>
      </c>
      <c r="BE699">
        <v>4</v>
      </c>
      <c r="BF699">
        <v>9.8000000000000007</v>
      </c>
      <c r="BG699">
        <v>10</v>
      </c>
      <c r="BH699">
        <v>12</v>
      </c>
      <c r="BI699">
        <v>10</v>
      </c>
      <c r="BJ699">
        <v>10.3</v>
      </c>
      <c r="BK699">
        <v>9</v>
      </c>
      <c r="BL699">
        <v>20.9</v>
      </c>
      <c r="BM699">
        <v>19</v>
      </c>
      <c r="BN699">
        <v>23.6</v>
      </c>
      <c r="BO699">
        <v>19</v>
      </c>
      <c r="BP699">
        <v>20.3</v>
      </c>
      <c r="BQ699">
        <v>20</v>
      </c>
      <c r="BR699">
        <v>21.7</v>
      </c>
      <c r="BS699">
        <v>25</v>
      </c>
      <c r="BT699">
        <v>21.9</v>
      </c>
      <c r="BU699">
        <v>25</v>
      </c>
      <c r="BV699">
        <v>23.4</v>
      </c>
      <c r="BW699">
        <v>18</v>
      </c>
      <c r="BX699">
        <v>21.7</v>
      </c>
      <c r="BY699">
        <v>20</v>
      </c>
      <c r="BZ699">
        <v>21.6</v>
      </c>
      <c r="CA699">
        <v>20</v>
      </c>
      <c r="CB699">
        <v>10.1</v>
      </c>
      <c r="CC699">
        <v>10</v>
      </c>
      <c r="CD699">
        <v>10.199999999999999</v>
      </c>
      <c r="CE699">
        <v>10</v>
      </c>
      <c r="CF699">
        <v>11.3</v>
      </c>
      <c r="CG699">
        <v>9</v>
      </c>
      <c r="CH699">
        <v>11.5</v>
      </c>
      <c r="CI699">
        <v>9</v>
      </c>
    </row>
    <row r="700" spans="1:87" x14ac:dyDescent="0.35">
      <c r="A700" s="1">
        <v>46059.948611111111</v>
      </c>
      <c r="B700">
        <v>-16.8</v>
      </c>
      <c r="C700">
        <v>-16.8</v>
      </c>
      <c r="D700">
        <v>-25</v>
      </c>
      <c r="E700">
        <v>-16.8</v>
      </c>
      <c r="F700">
        <v>-16.899999999999999</v>
      </c>
      <c r="G700">
        <v>-25</v>
      </c>
      <c r="H700">
        <v>-20.2</v>
      </c>
      <c r="I700">
        <v>12.6</v>
      </c>
      <c r="J700">
        <v>-25</v>
      </c>
      <c r="K700">
        <v>-18.5</v>
      </c>
      <c r="L700">
        <v>-18.7</v>
      </c>
      <c r="M700">
        <v>-25</v>
      </c>
      <c r="N700">
        <v>-17.600000000000001</v>
      </c>
      <c r="O700">
        <v>-17.2</v>
      </c>
      <c r="P700">
        <v>-25</v>
      </c>
      <c r="Q700">
        <v>-17.399999999999999</v>
      </c>
      <c r="R700">
        <v>-17.2</v>
      </c>
      <c r="S700">
        <v>-25</v>
      </c>
      <c r="T700">
        <v>2.4</v>
      </c>
      <c r="U700">
        <v>2.2999999999999998</v>
      </c>
      <c r="V700">
        <v>2</v>
      </c>
      <c r="W700">
        <v>2.4</v>
      </c>
      <c r="X700">
        <v>2</v>
      </c>
      <c r="Y700">
        <v>2</v>
      </c>
      <c r="Z700">
        <v>2.4</v>
      </c>
      <c r="AA700">
        <v>1.6</v>
      </c>
      <c r="AB700">
        <v>2</v>
      </c>
      <c r="AC700">
        <v>1.9</v>
      </c>
      <c r="AD700">
        <v>0.7</v>
      </c>
      <c r="AE700">
        <v>2</v>
      </c>
      <c r="AF700">
        <v>2.1</v>
      </c>
      <c r="AG700">
        <v>1.6</v>
      </c>
      <c r="AH700">
        <v>2</v>
      </c>
      <c r="AI700">
        <v>1.9</v>
      </c>
      <c r="AJ700">
        <v>-0.6</v>
      </c>
      <c r="AK700">
        <v>2</v>
      </c>
      <c r="AL700">
        <v>6</v>
      </c>
      <c r="AM700">
        <v>4</v>
      </c>
      <c r="AN700">
        <v>3.8</v>
      </c>
      <c r="AO700">
        <v>4</v>
      </c>
      <c r="AP700">
        <v>5.6</v>
      </c>
      <c r="AQ700">
        <v>4</v>
      </c>
      <c r="AR700">
        <v>6.2</v>
      </c>
      <c r="AS700">
        <v>4</v>
      </c>
      <c r="AT700">
        <v>-4.5999999999999996</v>
      </c>
      <c r="AU700">
        <v>-5.9</v>
      </c>
      <c r="AV700">
        <v>-5</v>
      </c>
      <c r="AW700">
        <v>-3.3</v>
      </c>
      <c r="AX700">
        <v>-4.8</v>
      </c>
      <c r="AY700">
        <v>-5</v>
      </c>
      <c r="AZ700">
        <v>9.6999999999999993</v>
      </c>
      <c r="BA700">
        <v>10</v>
      </c>
      <c r="BB700">
        <v>10.9</v>
      </c>
      <c r="BC700">
        <v>10</v>
      </c>
      <c r="BD700">
        <v>4.3</v>
      </c>
      <c r="BE700">
        <v>4</v>
      </c>
      <c r="BF700">
        <v>10.1</v>
      </c>
      <c r="BG700">
        <v>10</v>
      </c>
      <c r="BH700">
        <v>12</v>
      </c>
      <c r="BI700">
        <v>10</v>
      </c>
      <c r="BJ700">
        <v>10.3</v>
      </c>
      <c r="BK700">
        <v>9</v>
      </c>
      <c r="BL700">
        <v>20.9</v>
      </c>
      <c r="BM700">
        <v>19</v>
      </c>
      <c r="BN700">
        <v>23.6</v>
      </c>
      <c r="BO700">
        <v>19</v>
      </c>
      <c r="BP700">
        <v>19.899999999999999</v>
      </c>
      <c r="BQ700">
        <v>20</v>
      </c>
      <c r="BR700">
        <v>21.7</v>
      </c>
      <c r="BS700">
        <v>25</v>
      </c>
      <c r="BT700">
        <v>21.9</v>
      </c>
      <c r="BU700">
        <v>25</v>
      </c>
      <c r="BV700">
        <v>23.4</v>
      </c>
      <c r="BW700">
        <v>18</v>
      </c>
      <c r="BX700">
        <v>21.7</v>
      </c>
      <c r="BY700">
        <v>20</v>
      </c>
      <c r="BZ700">
        <v>21.6</v>
      </c>
      <c r="CA700">
        <v>20</v>
      </c>
      <c r="CB700">
        <v>10</v>
      </c>
      <c r="CC700">
        <v>10</v>
      </c>
      <c r="CD700">
        <v>10.1</v>
      </c>
      <c r="CE700">
        <v>10</v>
      </c>
      <c r="CF700">
        <v>11</v>
      </c>
      <c r="CG700">
        <v>9</v>
      </c>
      <c r="CH700">
        <v>11.2</v>
      </c>
      <c r="CI700">
        <v>9</v>
      </c>
    </row>
    <row r="701" spans="1:87" x14ac:dyDescent="0.35">
      <c r="A701" s="1">
        <v>46059.949305555558</v>
      </c>
      <c r="B701">
        <v>-16.8</v>
      </c>
      <c r="C701">
        <v>-16.8</v>
      </c>
      <c r="D701">
        <v>-25</v>
      </c>
      <c r="E701">
        <v>-16.8</v>
      </c>
      <c r="F701">
        <v>-16.7</v>
      </c>
      <c r="G701">
        <v>-25</v>
      </c>
      <c r="H701">
        <v>-20.2</v>
      </c>
      <c r="I701">
        <v>13.4</v>
      </c>
      <c r="J701">
        <v>-25</v>
      </c>
      <c r="K701">
        <v>-18.3</v>
      </c>
      <c r="L701">
        <v>-18.5</v>
      </c>
      <c r="M701">
        <v>-25</v>
      </c>
      <c r="N701">
        <v>-17.600000000000001</v>
      </c>
      <c r="O701">
        <v>-17.100000000000001</v>
      </c>
      <c r="P701">
        <v>-25</v>
      </c>
      <c r="Q701">
        <v>-17.399999999999999</v>
      </c>
      <c r="R701">
        <v>-17.2</v>
      </c>
      <c r="S701">
        <v>-25</v>
      </c>
      <c r="T701">
        <v>2.6</v>
      </c>
      <c r="U701">
        <v>2.5</v>
      </c>
      <c r="V701">
        <v>2</v>
      </c>
      <c r="W701">
        <v>2.6</v>
      </c>
      <c r="X701">
        <v>2.2000000000000002</v>
      </c>
      <c r="Y701">
        <v>2</v>
      </c>
      <c r="Z701">
        <v>2.4</v>
      </c>
      <c r="AA701">
        <v>1.8</v>
      </c>
      <c r="AB701">
        <v>2</v>
      </c>
      <c r="AC701">
        <v>1.9</v>
      </c>
      <c r="AD701">
        <v>1.3</v>
      </c>
      <c r="AE701">
        <v>2</v>
      </c>
      <c r="AF701">
        <v>2.1</v>
      </c>
      <c r="AG701">
        <v>1.6</v>
      </c>
      <c r="AH701">
        <v>2</v>
      </c>
      <c r="AI701">
        <v>1.9</v>
      </c>
      <c r="AJ701">
        <v>0.7</v>
      </c>
      <c r="AK701">
        <v>2</v>
      </c>
      <c r="AL701">
        <v>6</v>
      </c>
      <c r="AM701">
        <v>4</v>
      </c>
      <c r="AN701">
        <v>3.8</v>
      </c>
      <c r="AO701">
        <v>4</v>
      </c>
      <c r="AP701">
        <v>5.8</v>
      </c>
      <c r="AQ701">
        <v>4</v>
      </c>
      <c r="AR701">
        <v>6</v>
      </c>
      <c r="AS701">
        <v>4</v>
      </c>
      <c r="AT701">
        <v>-4.5999999999999996</v>
      </c>
      <c r="AU701">
        <v>-5.8</v>
      </c>
      <c r="AV701">
        <v>-5</v>
      </c>
      <c r="AW701">
        <v>-3.7</v>
      </c>
      <c r="AX701">
        <v>-5.2</v>
      </c>
      <c r="AY701">
        <v>-5</v>
      </c>
      <c r="AZ701">
        <v>9.9</v>
      </c>
      <c r="BA701">
        <v>10</v>
      </c>
      <c r="BB701">
        <v>10.7</v>
      </c>
      <c r="BC701">
        <v>10</v>
      </c>
      <c r="BD701">
        <v>4.0999999999999996</v>
      </c>
      <c r="BE701">
        <v>4</v>
      </c>
      <c r="BF701">
        <v>10.4</v>
      </c>
      <c r="BG701">
        <v>10</v>
      </c>
      <c r="BH701">
        <v>12</v>
      </c>
      <c r="BI701">
        <v>10</v>
      </c>
      <c r="BJ701">
        <v>10.3</v>
      </c>
      <c r="BK701">
        <v>9</v>
      </c>
      <c r="BL701">
        <v>20.9</v>
      </c>
      <c r="BM701">
        <v>19</v>
      </c>
      <c r="BN701">
        <v>23.6</v>
      </c>
      <c r="BO701">
        <v>19</v>
      </c>
      <c r="BP701">
        <v>19.7</v>
      </c>
      <c r="BQ701">
        <v>20</v>
      </c>
      <c r="BR701">
        <v>21.7</v>
      </c>
      <c r="BS701">
        <v>25</v>
      </c>
      <c r="BT701">
        <v>21.9</v>
      </c>
      <c r="BU701">
        <v>25</v>
      </c>
      <c r="BV701">
        <v>23.4</v>
      </c>
      <c r="BW701">
        <v>18</v>
      </c>
      <c r="BX701">
        <v>21.7</v>
      </c>
      <c r="BY701">
        <v>20</v>
      </c>
      <c r="BZ701">
        <v>21.6</v>
      </c>
      <c r="CA701">
        <v>20</v>
      </c>
      <c r="CB701">
        <v>10.1</v>
      </c>
      <c r="CC701">
        <v>10</v>
      </c>
      <c r="CD701">
        <v>10.1</v>
      </c>
      <c r="CE701">
        <v>10</v>
      </c>
      <c r="CF701">
        <v>10.8</v>
      </c>
      <c r="CG701">
        <v>9</v>
      </c>
      <c r="CH701">
        <v>11</v>
      </c>
      <c r="CI701">
        <v>9</v>
      </c>
    </row>
    <row r="702" spans="1:87" x14ac:dyDescent="0.35">
      <c r="A702" s="1">
        <v>46059.95</v>
      </c>
      <c r="B702">
        <v>-16.8</v>
      </c>
      <c r="C702">
        <v>-16.8</v>
      </c>
      <c r="D702">
        <v>-25</v>
      </c>
      <c r="E702">
        <v>-16.8</v>
      </c>
      <c r="F702">
        <v>-16.7</v>
      </c>
      <c r="G702">
        <v>-25</v>
      </c>
      <c r="H702">
        <v>-20.2</v>
      </c>
      <c r="I702">
        <v>14.3</v>
      </c>
      <c r="J702">
        <v>-25</v>
      </c>
      <c r="K702">
        <v>-18.100000000000001</v>
      </c>
      <c r="L702">
        <v>-18.100000000000001</v>
      </c>
      <c r="M702">
        <v>-25</v>
      </c>
      <c r="N702">
        <v>-17.600000000000001</v>
      </c>
      <c r="O702">
        <v>-17.100000000000001</v>
      </c>
      <c r="P702">
        <v>-25</v>
      </c>
      <c r="Q702">
        <v>-17.399999999999999</v>
      </c>
      <c r="R702">
        <v>-17.2</v>
      </c>
      <c r="S702">
        <v>-25</v>
      </c>
      <c r="T702">
        <v>2.7</v>
      </c>
      <c r="U702">
        <v>2.6</v>
      </c>
      <c r="V702">
        <v>2</v>
      </c>
      <c r="W702">
        <v>2.7</v>
      </c>
      <c r="X702">
        <v>2.4</v>
      </c>
      <c r="Y702">
        <v>2</v>
      </c>
      <c r="Z702">
        <v>2.4</v>
      </c>
      <c r="AA702">
        <v>2</v>
      </c>
      <c r="AB702">
        <v>2</v>
      </c>
      <c r="AC702">
        <v>2</v>
      </c>
      <c r="AD702">
        <v>1.8</v>
      </c>
      <c r="AE702">
        <v>2</v>
      </c>
      <c r="AF702">
        <v>2.1</v>
      </c>
      <c r="AG702">
        <v>1.9</v>
      </c>
      <c r="AH702">
        <v>2</v>
      </c>
      <c r="AI702">
        <v>2</v>
      </c>
      <c r="AJ702">
        <v>1.4</v>
      </c>
      <c r="AK702">
        <v>2</v>
      </c>
      <c r="AL702">
        <v>5.7</v>
      </c>
      <c r="AM702">
        <v>4</v>
      </c>
      <c r="AN702">
        <v>3.8</v>
      </c>
      <c r="AO702">
        <v>4</v>
      </c>
      <c r="AP702">
        <v>5.9</v>
      </c>
      <c r="AQ702">
        <v>4</v>
      </c>
      <c r="AR702">
        <v>6</v>
      </c>
      <c r="AS702">
        <v>4</v>
      </c>
      <c r="AT702">
        <v>-4.5999999999999996</v>
      </c>
      <c r="AU702">
        <v>-6.3</v>
      </c>
      <c r="AV702">
        <v>-5</v>
      </c>
      <c r="AW702">
        <v>-3.8</v>
      </c>
      <c r="AX702">
        <v>-4.4000000000000004</v>
      </c>
      <c r="AY702">
        <v>-5</v>
      </c>
      <c r="AZ702">
        <v>10</v>
      </c>
      <c r="BA702">
        <v>10</v>
      </c>
      <c r="BB702">
        <v>10.5</v>
      </c>
      <c r="BC702">
        <v>10</v>
      </c>
      <c r="BD702">
        <v>3.8</v>
      </c>
      <c r="BE702">
        <v>4</v>
      </c>
      <c r="BF702">
        <v>10.8</v>
      </c>
      <c r="BG702">
        <v>10</v>
      </c>
      <c r="BH702">
        <v>12</v>
      </c>
      <c r="BI702">
        <v>10</v>
      </c>
      <c r="BJ702">
        <v>10.4</v>
      </c>
      <c r="BK702">
        <v>9</v>
      </c>
      <c r="BL702">
        <v>20.9</v>
      </c>
      <c r="BM702">
        <v>19</v>
      </c>
      <c r="BN702">
        <v>23.6</v>
      </c>
      <c r="BO702">
        <v>19</v>
      </c>
      <c r="BP702">
        <v>19.7</v>
      </c>
      <c r="BQ702">
        <v>20</v>
      </c>
      <c r="BR702">
        <v>21.7</v>
      </c>
      <c r="BS702">
        <v>25</v>
      </c>
      <c r="BT702">
        <v>21.9</v>
      </c>
      <c r="BU702">
        <v>25</v>
      </c>
      <c r="BV702">
        <v>23.4</v>
      </c>
      <c r="BW702">
        <v>18</v>
      </c>
      <c r="BX702">
        <v>21.7</v>
      </c>
      <c r="BY702">
        <v>20</v>
      </c>
      <c r="BZ702">
        <v>21.6</v>
      </c>
      <c r="CA702">
        <v>20</v>
      </c>
      <c r="CB702">
        <v>10.5</v>
      </c>
      <c r="CC702">
        <v>10</v>
      </c>
      <c r="CD702">
        <v>10.1</v>
      </c>
      <c r="CE702">
        <v>10</v>
      </c>
      <c r="CF702">
        <v>10.9</v>
      </c>
      <c r="CG702">
        <v>9</v>
      </c>
      <c r="CH702">
        <v>11.1</v>
      </c>
      <c r="CI702">
        <v>9</v>
      </c>
    </row>
    <row r="703" spans="1:87" x14ac:dyDescent="0.35">
      <c r="A703" s="1">
        <v>46059.950694444444</v>
      </c>
      <c r="B703">
        <v>-16.8</v>
      </c>
      <c r="C703">
        <v>-16.899999999999999</v>
      </c>
      <c r="D703">
        <v>-25</v>
      </c>
      <c r="E703">
        <v>-17.2</v>
      </c>
      <c r="F703">
        <v>-16.7</v>
      </c>
      <c r="G703">
        <v>-25</v>
      </c>
      <c r="H703">
        <v>-20.2</v>
      </c>
      <c r="I703">
        <v>15</v>
      </c>
      <c r="J703">
        <v>-25</v>
      </c>
      <c r="K703">
        <v>-17.8</v>
      </c>
      <c r="L703">
        <v>-17.8</v>
      </c>
      <c r="M703">
        <v>-25</v>
      </c>
      <c r="N703">
        <v>-17.600000000000001</v>
      </c>
      <c r="O703">
        <v>-17.100000000000001</v>
      </c>
      <c r="P703">
        <v>-25</v>
      </c>
      <c r="Q703">
        <v>-17.399999999999999</v>
      </c>
      <c r="R703">
        <v>-17.2</v>
      </c>
      <c r="S703">
        <v>-25</v>
      </c>
      <c r="T703">
        <v>2.8</v>
      </c>
      <c r="U703">
        <v>2.7</v>
      </c>
      <c r="V703">
        <v>2</v>
      </c>
      <c r="W703">
        <v>2.8</v>
      </c>
      <c r="X703">
        <v>2.5</v>
      </c>
      <c r="Y703">
        <v>2</v>
      </c>
      <c r="Z703">
        <v>2.5</v>
      </c>
      <c r="AA703">
        <v>2.1</v>
      </c>
      <c r="AB703">
        <v>2</v>
      </c>
      <c r="AC703">
        <v>2.2000000000000002</v>
      </c>
      <c r="AD703">
        <v>2</v>
      </c>
      <c r="AE703">
        <v>2</v>
      </c>
      <c r="AF703">
        <v>2.4</v>
      </c>
      <c r="AG703">
        <v>2.2000000000000002</v>
      </c>
      <c r="AH703">
        <v>2</v>
      </c>
      <c r="AI703">
        <v>2.2999999999999998</v>
      </c>
      <c r="AJ703">
        <v>1.9</v>
      </c>
      <c r="AK703">
        <v>2</v>
      </c>
      <c r="AL703">
        <v>5.3</v>
      </c>
      <c r="AM703">
        <v>4</v>
      </c>
      <c r="AN703">
        <v>3.9</v>
      </c>
      <c r="AO703">
        <v>4</v>
      </c>
      <c r="AP703">
        <v>6</v>
      </c>
      <c r="AQ703">
        <v>4</v>
      </c>
      <c r="AR703">
        <v>6</v>
      </c>
      <c r="AS703">
        <v>4</v>
      </c>
      <c r="AT703">
        <v>-4.5999999999999996</v>
      </c>
      <c r="AU703">
        <v>-6.5</v>
      </c>
      <c r="AV703">
        <v>-5</v>
      </c>
      <c r="AW703">
        <v>-3.9</v>
      </c>
      <c r="AX703">
        <v>-4.4000000000000004</v>
      </c>
      <c r="AY703">
        <v>-5</v>
      </c>
      <c r="AZ703">
        <v>10.199999999999999</v>
      </c>
      <c r="BA703">
        <v>10</v>
      </c>
      <c r="BB703">
        <v>10.4</v>
      </c>
      <c r="BC703">
        <v>10</v>
      </c>
      <c r="BD703">
        <v>3.7</v>
      </c>
      <c r="BE703">
        <v>4</v>
      </c>
      <c r="BF703">
        <v>11.2</v>
      </c>
      <c r="BG703">
        <v>10</v>
      </c>
      <c r="BH703">
        <v>12</v>
      </c>
      <c r="BI703">
        <v>10</v>
      </c>
      <c r="BJ703">
        <v>10.5</v>
      </c>
      <c r="BK703">
        <v>9</v>
      </c>
      <c r="BL703">
        <v>20.9</v>
      </c>
      <c r="BM703">
        <v>19</v>
      </c>
      <c r="BN703">
        <v>23.6</v>
      </c>
      <c r="BO703">
        <v>19</v>
      </c>
      <c r="BP703">
        <v>19.7</v>
      </c>
      <c r="BQ703">
        <v>20</v>
      </c>
      <c r="BR703">
        <v>21.8</v>
      </c>
      <c r="BS703">
        <v>25</v>
      </c>
      <c r="BT703">
        <v>21.9</v>
      </c>
      <c r="BU703">
        <v>25</v>
      </c>
      <c r="BV703">
        <v>23.4</v>
      </c>
      <c r="BW703">
        <v>18</v>
      </c>
      <c r="BX703">
        <v>21.7</v>
      </c>
      <c r="BY703">
        <v>20</v>
      </c>
      <c r="BZ703">
        <v>21.7</v>
      </c>
      <c r="CA703">
        <v>20</v>
      </c>
      <c r="CB703">
        <v>10.9</v>
      </c>
      <c r="CC703">
        <v>10</v>
      </c>
      <c r="CD703">
        <v>10.1</v>
      </c>
      <c r="CE703">
        <v>10</v>
      </c>
      <c r="CF703">
        <v>10.9</v>
      </c>
      <c r="CG703">
        <v>9</v>
      </c>
      <c r="CH703">
        <v>11.1</v>
      </c>
      <c r="CI703">
        <v>9</v>
      </c>
    </row>
    <row r="704" spans="1:87" x14ac:dyDescent="0.35">
      <c r="A704" s="1">
        <v>46059.951388888891</v>
      </c>
      <c r="B704">
        <v>-17</v>
      </c>
      <c r="C704">
        <v>-17.2</v>
      </c>
      <c r="D704">
        <v>-25</v>
      </c>
      <c r="E704">
        <v>-17.399999999999999</v>
      </c>
      <c r="F704">
        <v>-16.7</v>
      </c>
      <c r="G704">
        <v>-25</v>
      </c>
      <c r="H704">
        <v>-20.2</v>
      </c>
      <c r="I704">
        <v>15.6</v>
      </c>
      <c r="J704">
        <v>-25</v>
      </c>
      <c r="K704">
        <v>-17.5</v>
      </c>
      <c r="L704">
        <v>-17.5</v>
      </c>
      <c r="M704">
        <v>-25</v>
      </c>
      <c r="N704">
        <v>-17.600000000000001</v>
      </c>
      <c r="O704">
        <v>-17.100000000000001</v>
      </c>
      <c r="P704">
        <v>-25</v>
      </c>
      <c r="Q704">
        <v>-17.399999999999999</v>
      </c>
      <c r="R704">
        <v>-17.2</v>
      </c>
      <c r="S704">
        <v>-25</v>
      </c>
      <c r="T704">
        <v>2.9</v>
      </c>
      <c r="U704">
        <v>2.9</v>
      </c>
      <c r="V704">
        <v>2</v>
      </c>
      <c r="W704">
        <v>2.9</v>
      </c>
      <c r="X704">
        <v>2.6</v>
      </c>
      <c r="Y704">
        <v>2</v>
      </c>
      <c r="Z704">
        <v>2.6</v>
      </c>
      <c r="AA704">
        <v>2.2000000000000002</v>
      </c>
      <c r="AB704">
        <v>2</v>
      </c>
      <c r="AC704">
        <v>2.2999999999999998</v>
      </c>
      <c r="AD704">
        <v>2.1</v>
      </c>
      <c r="AE704">
        <v>2</v>
      </c>
      <c r="AF704">
        <v>2.6</v>
      </c>
      <c r="AG704">
        <v>2.4</v>
      </c>
      <c r="AH704">
        <v>2</v>
      </c>
      <c r="AI704">
        <v>2.4</v>
      </c>
      <c r="AJ704">
        <v>2.1</v>
      </c>
      <c r="AK704">
        <v>2</v>
      </c>
      <c r="AL704">
        <v>4.9000000000000004</v>
      </c>
      <c r="AM704">
        <v>4</v>
      </c>
      <c r="AN704">
        <v>4</v>
      </c>
      <c r="AO704">
        <v>4</v>
      </c>
      <c r="AP704">
        <v>5.3</v>
      </c>
      <c r="AQ704">
        <v>4</v>
      </c>
      <c r="AR704">
        <v>6</v>
      </c>
      <c r="AS704">
        <v>4</v>
      </c>
      <c r="AT704">
        <v>-4.7</v>
      </c>
      <c r="AU704">
        <v>-6.5</v>
      </c>
      <c r="AV704">
        <v>-5</v>
      </c>
      <c r="AW704">
        <v>-4.0999999999999996</v>
      </c>
      <c r="AX704">
        <v>-5.8</v>
      </c>
      <c r="AY704">
        <v>-5</v>
      </c>
      <c r="AZ704">
        <v>10.3</v>
      </c>
      <c r="BA704">
        <v>10</v>
      </c>
      <c r="BB704">
        <v>10.3</v>
      </c>
      <c r="BC704">
        <v>10</v>
      </c>
      <c r="BD704">
        <v>3.8</v>
      </c>
      <c r="BE704">
        <v>4</v>
      </c>
      <c r="BF704">
        <v>11.3</v>
      </c>
      <c r="BG704">
        <v>10</v>
      </c>
      <c r="BH704">
        <v>12</v>
      </c>
      <c r="BI704">
        <v>10</v>
      </c>
      <c r="BJ704">
        <v>10.7</v>
      </c>
      <c r="BK704">
        <v>9</v>
      </c>
      <c r="BL704">
        <v>20.9</v>
      </c>
      <c r="BM704">
        <v>19</v>
      </c>
      <c r="BN704">
        <v>23.6</v>
      </c>
      <c r="BO704">
        <v>19</v>
      </c>
      <c r="BP704">
        <v>19.7</v>
      </c>
      <c r="BQ704">
        <v>20</v>
      </c>
      <c r="BR704">
        <v>21.8</v>
      </c>
      <c r="BS704">
        <v>25</v>
      </c>
      <c r="BT704">
        <v>21.9</v>
      </c>
      <c r="BU704">
        <v>25</v>
      </c>
      <c r="BV704">
        <v>23.4</v>
      </c>
      <c r="BW704">
        <v>18</v>
      </c>
      <c r="BX704">
        <v>21.7</v>
      </c>
      <c r="BY704">
        <v>20</v>
      </c>
      <c r="BZ704">
        <v>21.7</v>
      </c>
      <c r="CA704">
        <v>20</v>
      </c>
      <c r="CB704">
        <v>11.4</v>
      </c>
      <c r="CC704">
        <v>10</v>
      </c>
      <c r="CD704">
        <v>10</v>
      </c>
      <c r="CE704">
        <v>10</v>
      </c>
      <c r="CF704">
        <v>10.8</v>
      </c>
      <c r="CG704">
        <v>9</v>
      </c>
      <c r="CH704">
        <v>11</v>
      </c>
      <c r="CI704">
        <v>9</v>
      </c>
    </row>
    <row r="705" spans="1:87" x14ac:dyDescent="0.35">
      <c r="A705" s="1">
        <v>46059.95208333333</v>
      </c>
      <c r="B705">
        <v>-17.2</v>
      </c>
      <c r="C705">
        <v>-17.5</v>
      </c>
      <c r="D705">
        <v>-25</v>
      </c>
      <c r="E705">
        <v>-17.600000000000001</v>
      </c>
      <c r="F705">
        <v>-16.7</v>
      </c>
      <c r="G705">
        <v>-25</v>
      </c>
      <c r="H705">
        <v>-20.2</v>
      </c>
      <c r="I705">
        <v>16.600000000000001</v>
      </c>
      <c r="J705">
        <v>-25</v>
      </c>
      <c r="K705">
        <v>-17.3</v>
      </c>
      <c r="L705">
        <v>-17.3</v>
      </c>
      <c r="M705">
        <v>-25</v>
      </c>
      <c r="N705">
        <v>-17.5</v>
      </c>
      <c r="O705">
        <v>-17.100000000000001</v>
      </c>
      <c r="P705">
        <v>-25</v>
      </c>
      <c r="Q705">
        <v>-17.399999999999999</v>
      </c>
      <c r="R705">
        <v>-17.2</v>
      </c>
      <c r="S705">
        <v>-25</v>
      </c>
      <c r="T705">
        <v>3</v>
      </c>
      <c r="U705">
        <v>3</v>
      </c>
      <c r="V705">
        <v>2</v>
      </c>
      <c r="W705">
        <v>3</v>
      </c>
      <c r="X705">
        <v>2.7</v>
      </c>
      <c r="Y705">
        <v>2</v>
      </c>
      <c r="Z705">
        <v>2.7</v>
      </c>
      <c r="AA705">
        <v>2.2999999999999998</v>
      </c>
      <c r="AB705">
        <v>2</v>
      </c>
      <c r="AC705">
        <v>2.4</v>
      </c>
      <c r="AD705">
        <v>2.2000000000000002</v>
      </c>
      <c r="AE705">
        <v>2</v>
      </c>
      <c r="AF705">
        <v>2.7</v>
      </c>
      <c r="AG705">
        <v>2.6</v>
      </c>
      <c r="AH705">
        <v>2</v>
      </c>
      <c r="AI705">
        <v>2.6</v>
      </c>
      <c r="AJ705">
        <v>2.4</v>
      </c>
      <c r="AK705">
        <v>2</v>
      </c>
      <c r="AL705">
        <v>4.7</v>
      </c>
      <c r="AM705">
        <v>4</v>
      </c>
      <c r="AN705">
        <v>4.0999999999999996</v>
      </c>
      <c r="AO705">
        <v>4</v>
      </c>
      <c r="AP705">
        <v>4.2</v>
      </c>
      <c r="AQ705">
        <v>4</v>
      </c>
      <c r="AR705">
        <v>6.1</v>
      </c>
      <c r="AS705">
        <v>4</v>
      </c>
      <c r="AT705">
        <v>-4.7</v>
      </c>
      <c r="AU705">
        <v>-5.9</v>
      </c>
      <c r="AV705">
        <v>-5</v>
      </c>
      <c r="AW705">
        <v>-4.4000000000000004</v>
      </c>
      <c r="AX705">
        <v>-6.1</v>
      </c>
      <c r="AY705">
        <v>-5</v>
      </c>
      <c r="AZ705">
        <v>10.4</v>
      </c>
      <c r="BA705">
        <v>10</v>
      </c>
      <c r="BB705">
        <v>10.199999999999999</v>
      </c>
      <c r="BC705">
        <v>10</v>
      </c>
      <c r="BD705">
        <v>4.0999999999999996</v>
      </c>
      <c r="BE705">
        <v>4</v>
      </c>
      <c r="BF705">
        <v>11.7</v>
      </c>
      <c r="BG705">
        <v>10</v>
      </c>
      <c r="BH705">
        <v>12</v>
      </c>
      <c r="BI705">
        <v>10</v>
      </c>
      <c r="BJ705">
        <v>10.9</v>
      </c>
      <c r="BK705">
        <v>9</v>
      </c>
      <c r="BL705">
        <v>20.9</v>
      </c>
      <c r="BM705">
        <v>19</v>
      </c>
      <c r="BN705">
        <v>23.6</v>
      </c>
      <c r="BO705">
        <v>19</v>
      </c>
      <c r="BP705">
        <v>19.8</v>
      </c>
      <c r="BQ705">
        <v>20</v>
      </c>
      <c r="BR705">
        <v>21.8</v>
      </c>
      <c r="BS705">
        <v>25</v>
      </c>
      <c r="BT705">
        <v>21.9</v>
      </c>
      <c r="BU705">
        <v>25</v>
      </c>
      <c r="BV705">
        <v>23.4</v>
      </c>
      <c r="BW705">
        <v>18</v>
      </c>
      <c r="BX705">
        <v>21.7</v>
      </c>
      <c r="BY705">
        <v>20</v>
      </c>
      <c r="BZ705">
        <v>21.7</v>
      </c>
      <c r="CA705">
        <v>20</v>
      </c>
      <c r="CB705">
        <v>11.8</v>
      </c>
      <c r="CC705">
        <v>10</v>
      </c>
      <c r="CD705">
        <v>10</v>
      </c>
      <c r="CE705">
        <v>10</v>
      </c>
      <c r="CF705">
        <v>10.8</v>
      </c>
      <c r="CG705">
        <v>9</v>
      </c>
      <c r="CH705">
        <v>11</v>
      </c>
      <c r="CI705">
        <v>9</v>
      </c>
    </row>
    <row r="706" spans="1:87" x14ac:dyDescent="0.35">
      <c r="A706" s="1">
        <v>46059.952777777777</v>
      </c>
      <c r="B706">
        <v>-17.399999999999999</v>
      </c>
      <c r="C706">
        <v>-17.899999999999999</v>
      </c>
      <c r="D706">
        <v>-25</v>
      </c>
      <c r="E706">
        <v>-17.8</v>
      </c>
      <c r="F706">
        <v>-16.8</v>
      </c>
      <c r="G706">
        <v>-25</v>
      </c>
      <c r="H706">
        <v>-20.2</v>
      </c>
      <c r="I706">
        <v>17.2</v>
      </c>
      <c r="J706">
        <v>-25</v>
      </c>
      <c r="K706">
        <v>-17.100000000000001</v>
      </c>
      <c r="L706">
        <v>-17.2</v>
      </c>
      <c r="M706">
        <v>-25</v>
      </c>
      <c r="N706">
        <v>-17.399999999999999</v>
      </c>
      <c r="O706">
        <v>-17</v>
      </c>
      <c r="P706">
        <v>-25</v>
      </c>
      <c r="Q706">
        <v>-17.3</v>
      </c>
      <c r="R706">
        <v>-17.100000000000001</v>
      </c>
      <c r="S706">
        <v>-25</v>
      </c>
      <c r="T706">
        <v>3.1</v>
      </c>
      <c r="U706">
        <v>3</v>
      </c>
      <c r="V706">
        <v>2</v>
      </c>
      <c r="W706">
        <v>3.1</v>
      </c>
      <c r="X706">
        <v>2.9</v>
      </c>
      <c r="Y706">
        <v>2</v>
      </c>
      <c r="Z706">
        <v>2.8</v>
      </c>
      <c r="AA706">
        <v>2.4</v>
      </c>
      <c r="AB706">
        <v>2</v>
      </c>
      <c r="AC706">
        <v>2.5</v>
      </c>
      <c r="AD706">
        <v>2.2999999999999998</v>
      </c>
      <c r="AE706">
        <v>2</v>
      </c>
      <c r="AF706">
        <v>2.9</v>
      </c>
      <c r="AG706">
        <v>2.7</v>
      </c>
      <c r="AH706">
        <v>2</v>
      </c>
      <c r="AI706">
        <v>2.7</v>
      </c>
      <c r="AJ706">
        <v>2.6</v>
      </c>
      <c r="AK706">
        <v>2</v>
      </c>
      <c r="AL706">
        <v>4.4000000000000004</v>
      </c>
      <c r="AM706">
        <v>4</v>
      </c>
      <c r="AN706">
        <v>4.2</v>
      </c>
      <c r="AO706">
        <v>4</v>
      </c>
      <c r="AP706">
        <v>3.1</v>
      </c>
      <c r="AQ706">
        <v>4</v>
      </c>
      <c r="AR706">
        <v>6.2</v>
      </c>
      <c r="AS706">
        <v>4</v>
      </c>
      <c r="AT706">
        <v>-4.7</v>
      </c>
      <c r="AU706">
        <v>-6.3</v>
      </c>
      <c r="AV706">
        <v>-5</v>
      </c>
      <c r="AW706">
        <v>-4.5999999999999996</v>
      </c>
      <c r="AX706">
        <v>-5.3</v>
      </c>
      <c r="AY706">
        <v>-5</v>
      </c>
      <c r="AZ706">
        <v>10.6</v>
      </c>
      <c r="BA706">
        <v>10</v>
      </c>
      <c r="BB706">
        <v>10</v>
      </c>
      <c r="BC706">
        <v>10</v>
      </c>
      <c r="BD706">
        <v>4.4000000000000004</v>
      </c>
      <c r="BE706">
        <v>4</v>
      </c>
      <c r="BF706">
        <v>11.9</v>
      </c>
      <c r="BG706">
        <v>10</v>
      </c>
      <c r="BH706">
        <v>12</v>
      </c>
      <c r="BI706">
        <v>10</v>
      </c>
      <c r="BJ706">
        <v>11</v>
      </c>
      <c r="BK706">
        <v>9</v>
      </c>
      <c r="BL706">
        <v>20.9</v>
      </c>
      <c r="BM706">
        <v>19</v>
      </c>
      <c r="BN706">
        <v>23.6</v>
      </c>
      <c r="BO706">
        <v>19</v>
      </c>
      <c r="BP706">
        <v>19.8</v>
      </c>
      <c r="BQ706">
        <v>20</v>
      </c>
      <c r="BR706">
        <v>21.8</v>
      </c>
      <c r="BS706">
        <v>25</v>
      </c>
      <c r="BT706">
        <v>21.9</v>
      </c>
      <c r="BU706">
        <v>25</v>
      </c>
      <c r="BV706">
        <v>23.3</v>
      </c>
      <c r="BW706">
        <v>18</v>
      </c>
      <c r="BX706">
        <v>21.8</v>
      </c>
      <c r="BY706">
        <v>20</v>
      </c>
      <c r="BZ706">
        <v>21.7</v>
      </c>
      <c r="CA706">
        <v>20</v>
      </c>
      <c r="CB706">
        <v>12</v>
      </c>
      <c r="CC706">
        <v>10</v>
      </c>
      <c r="CD706">
        <v>10</v>
      </c>
      <c r="CE706">
        <v>10</v>
      </c>
      <c r="CF706">
        <v>10.8</v>
      </c>
      <c r="CG706">
        <v>9</v>
      </c>
      <c r="CH706">
        <v>11</v>
      </c>
      <c r="CI706">
        <v>9</v>
      </c>
    </row>
    <row r="707" spans="1:87" x14ac:dyDescent="0.35">
      <c r="A707" s="1">
        <v>46059.953472222223</v>
      </c>
      <c r="B707">
        <v>-17.5</v>
      </c>
      <c r="C707">
        <v>-18.2</v>
      </c>
      <c r="D707">
        <v>-25</v>
      </c>
      <c r="E707">
        <v>-18</v>
      </c>
      <c r="F707">
        <v>-17</v>
      </c>
      <c r="G707">
        <v>-25</v>
      </c>
      <c r="H707">
        <v>-20.2</v>
      </c>
      <c r="I707">
        <v>17.899999999999999</v>
      </c>
      <c r="J707">
        <v>-25</v>
      </c>
      <c r="K707">
        <v>-16.899999999999999</v>
      </c>
      <c r="L707">
        <v>-16.899999999999999</v>
      </c>
      <c r="M707">
        <v>-25</v>
      </c>
      <c r="N707">
        <v>-17.2</v>
      </c>
      <c r="O707">
        <v>-17</v>
      </c>
      <c r="P707">
        <v>-25</v>
      </c>
      <c r="Q707">
        <v>-17.2</v>
      </c>
      <c r="R707">
        <v>-17</v>
      </c>
      <c r="S707">
        <v>-25</v>
      </c>
      <c r="T707">
        <v>3.2</v>
      </c>
      <c r="U707">
        <v>3.1</v>
      </c>
      <c r="V707">
        <v>2</v>
      </c>
      <c r="W707">
        <v>3.2</v>
      </c>
      <c r="X707">
        <v>2.9</v>
      </c>
      <c r="Y707">
        <v>2</v>
      </c>
      <c r="Z707">
        <v>2.8</v>
      </c>
      <c r="AA707">
        <v>2.5</v>
      </c>
      <c r="AB707">
        <v>2</v>
      </c>
      <c r="AC707">
        <v>2.6</v>
      </c>
      <c r="AD707">
        <v>2.4</v>
      </c>
      <c r="AE707">
        <v>2</v>
      </c>
      <c r="AF707">
        <v>3</v>
      </c>
      <c r="AG707">
        <v>2.9</v>
      </c>
      <c r="AH707">
        <v>2</v>
      </c>
      <c r="AI707">
        <v>2.9</v>
      </c>
      <c r="AJ707">
        <v>2.8</v>
      </c>
      <c r="AK707">
        <v>2</v>
      </c>
      <c r="AL707">
        <v>4.2</v>
      </c>
      <c r="AM707">
        <v>4</v>
      </c>
      <c r="AN707">
        <v>4.3</v>
      </c>
      <c r="AO707">
        <v>4</v>
      </c>
      <c r="AP707">
        <v>2.8</v>
      </c>
      <c r="AQ707">
        <v>4</v>
      </c>
      <c r="AR707">
        <v>6.3</v>
      </c>
      <c r="AS707">
        <v>4</v>
      </c>
      <c r="AT707">
        <v>-4.7</v>
      </c>
      <c r="AU707">
        <v>-6.5</v>
      </c>
      <c r="AV707">
        <v>-5</v>
      </c>
      <c r="AW707">
        <v>-4.5999999999999996</v>
      </c>
      <c r="AX707">
        <v>-5</v>
      </c>
      <c r="AY707">
        <v>-5</v>
      </c>
      <c r="AZ707">
        <v>10.7</v>
      </c>
      <c r="BA707">
        <v>10</v>
      </c>
      <c r="BB707">
        <v>9.9</v>
      </c>
      <c r="BC707">
        <v>10</v>
      </c>
      <c r="BD707">
        <v>4.5999999999999996</v>
      </c>
      <c r="BE707">
        <v>4</v>
      </c>
      <c r="BF707">
        <v>12</v>
      </c>
      <c r="BG707">
        <v>10</v>
      </c>
      <c r="BH707">
        <v>12</v>
      </c>
      <c r="BI707">
        <v>10</v>
      </c>
      <c r="BJ707">
        <v>11</v>
      </c>
      <c r="BK707">
        <v>9</v>
      </c>
      <c r="BL707">
        <v>20.9</v>
      </c>
      <c r="BM707">
        <v>19</v>
      </c>
      <c r="BN707">
        <v>23.6</v>
      </c>
      <c r="BO707">
        <v>19</v>
      </c>
      <c r="BP707">
        <v>19.899999999999999</v>
      </c>
      <c r="BQ707">
        <v>20</v>
      </c>
      <c r="BR707">
        <v>21.9</v>
      </c>
      <c r="BS707">
        <v>25</v>
      </c>
      <c r="BT707">
        <v>21.9</v>
      </c>
      <c r="BU707">
        <v>25</v>
      </c>
      <c r="BV707">
        <v>23.3</v>
      </c>
      <c r="BW707">
        <v>18</v>
      </c>
      <c r="BX707">
        <v>21.8</v>
      </c>
      <c r="BY707">
        <v>20</v>
      </c>
      <c r="BZ707">
        <v>21.7</v>
      </c>
      <c r="CA707">
        <v>20</v>
      </c>
      <c r="CB707">
        <v>12</v>
      </c>
      <c r="CC707">
        <v>10</v>
      </c>
      <c r="CD707">
        <v>10.1</v>
      </c>
      <c r="CE707">
        <v>10</v>
      </c>
      <c r="CF707">
        <v>10.8</v>
      </c>
      <c r="CG707">
        <v>9</v>
      </c>
      <c r="CH707">
        <v>11</v>
      </c>
      <c r="CI707">
        <v>9</v>
      </c>
    </row>
    <row r="708" spans="1:87" x14ac:dyDescent="0.35">
      <c r="A708" s="1">
        <v>46059.95416666667</v>
      </c>
      <c r="B708">
        <v>-17.8</v>
      </c>
      <c r="C708">
        <v>-18.5</v>
      </c>
      <c r="D708">
        <v>-25</v>
      </c>
      <c r="E708">
        <v>-18.2</v>
      </c>
      <c r="F708">
        <v>-17.100000000000001</v>
      </c>
      <c r="G708">
        <v>-25</v>
      </c>
      <c r="H708">
        <v>-20.2</v>
      </c>
      <c r="I708">
        <v>18.399999999999999</v>
      </c>
      <c r="J708">
        <v>-25</v>
      </c>
      <c r="K708">
        <v>-16.7</v>
      </c>
      <c r="L708">
        <v>-16.600000000000001</v>
      </c>
      <c r="M708">
        <v>-25</v>
      </c>
      <c r="N708">
        <v>-17.100000000000001</v>
      </c>
      <c r="O708">
        <v>-16.899999999999999</v>
      </c>
      <c r="P708">
        <v>-25</v>
      </c>
      <c r="Q708">
        <v>-17.100000000000001</v>
      </c>
      <c r="R708">
        <v>-16.899999999999999</v>
      </c>
      <c r="S708">
        <v>-25</v>
      </c>
      <c r="T708">
        <v>3.3</v>
      </c>
      <c r="U708">
        <v>3.3</v>
      </c>
      <c r="V708">
        <v>2</v>
      </c>
      <c r="W708">
        <v>3.3</v>
      </c>
      <c r="X708">
        <v>3</v>
      </c>
      <c r="Y708">
        <v>2</v>
      </c>
      <c r="Z708">
        <v>2.9</v>
      </c>
      <c r="AA708">
        <v>2.6</v>
      </c>
      <c r="AB708">
        <v>2</v>
      </c>
      <c r="AC708">
        <v>2.7</v>
      </c>
      <c r="AD708">
        <v>2.5</v>
      </c>
      <c r="AE708">
        <v>2</v>
      </c>
      <c r="AF708">
        <v>3.3</v>
      </c>
      <c r="AG708">
        <v>3.1</v>
      </c>
      <c r="AH708">
        <v>2</v>
      </c>
      <c r="AI708">
        <v>3.1</v>
      </c>
      <c r="AJ708">
        <v>3</v>
      </c>
      <c r="AK708">
        <v>2</v>
      </c>
      <c r="AL708">
        <v>4</v>
      </c>
      <c r="AM708">
        <v>4</v>
      </c>
      <c r="AN708">
        <v>4.3</v>
      </c>
      <c r="AO708">
        <v>4</v>
      </c>
      <c r="AP708">
        <v>2.8</v>
      </c>
      <c r="AQ708">
        <v>4</v>
      </c>
      <c r="AR708">
        <v>6.3</v>
      </c>
      <c r="AS708">
        <v>4</v>
      </c>
      <c r="AT708">
        <v>-4.8</v>
      </c>
      <c r="AU708">
        <v>-6.6</v>
      </c>
      <c r="AV708">
        <v>-5</v>
      </c>
      <c r="AW708">
        <v>-4.5999999999999996</v>
      </c>
      <c r="AX708">
        <v>-5.2</v>
      </c>
      <c r="AY708">
        <v>-5</v>
      </c>
      <c r="AZ708">
        <v>10.8</v>
      </c>
      <c r="BA708">
        <v>10</v>
      </c>
      <c r="BB708">
        <v>10.1</v>
      </c>
      <c r="BC708">
        <v>10</v>
      </c>
      <c r="BD708">
        <v>4.9000000000000004</v>
      </c>
      <c r="BE708">
        <v>4</v>
      </c>
      <c r="BF708">
        <v>12</v>
      </c>
      <c r="BG708">
        <v>10</v>
      </c>
      <c r="BH708">
        <v>12</v>
      </c>
      <c r="BI708">
        <v>10</v>
      </c>
      <c r="BJ708">
        <v>11</v>
      </c>
      <c r="BK708">
        <v>9</v>
      </c>
      <c r="BL708">
        <v>20.9</v>
      </c>
      <c r="BM708">
        <v>19</v>
      </c>
      <c r="BN708">
        <v>23.6</v>
      </c>
      <c r="BO708">
        <v>19</v>
      </c>
      <c r="BP708">
        <v>19.899999999999999</v>
      </c>
      <c r="BQ708">
        <v>20</v>
      </c>
      <c r="BR708">
        <v>21.9</v>
      </c>
      <c r="BS708">
        <v>25</v>
      </c>
      <c r="BT708">
        <v>21.9</v>
      </c>
      <c r="BU708">
        <v>25</v>
      </c>
      <c r="BV708">
        <v>23.3</v>
      </c>
      <c r="BW708">
        <v>18</v>
      </c>
      <c r="BX708">
        <v>21.8</v>
      </c>
      <c r="BY708">
        <v>20</v>
      </c>
      <c r="BZ708">
        <v>21.7</v>
      </c>
      <c r="CA708">
        <v>20</v>
      </c>
      <c r="CB708">
        <v>11.7</v>
      </c>
      <c r="CC708">
        <v>10</v>
      </c>
      <c r="CD708">
        <v>10.199999999999999</v>
      </c>
      <c r="CE708">
        <v>10</v>
      </c>
      <c r="CF708">
        <v>10.8</v>
      </c>
      <c r="CG708">
        <v>9</v>
      </c>
      <c r="CH708">
        <v>11</v>
      </c>
      <c r="CI708">
        <v>9</v>
      </c>
    </row>
    <row r="709" spans="1:87" x14ac:dyDescent="0.35">
      <c r="A709" s="1">
        <v>46059.954861111109</v>
      </c>
      <c r="B709">
        <v>-17.899999999999999</v>
      </c>
      <c r="C709">
        <v>-18.600000000000001</v>
      </c>
      <c r="D709">
        <v>-25</v>
      </c>
      <c r="E709">
        <v>-18.399999999999999</v>
      </c>
      <c r="F709">
        <v>-17.3</v>
      </c>
      <c r="G709">
        <v>-25</v>
      </c>
      <c r="H709">
        <v>-20.2</v>
      </c>
      <c r="I709">
        <v>19.3</v>
      </c>
      <c r="J709">
        <v>-25</v>
      </c>
      <c r="K709">
        <v>-16.399999999999999</v>
      </c>
      <c r="L709">
        <v>-16.399999999999999</v>
      </c>
      <c r="M709">
        <v>-25</v>
      </c>
      <c r="N709">
        <v>-17</v>
      </c>
      <c r="O709">
        <v>-16.899999999999999</v>
      </c>
      <c r="P709">
        <v>-25</v>
      </c>
      <c r="Q709">
        <v>-16.899999999999999</v>
      </c>
      <c r="R709">
        <v>-16.8</v>
      </c>
      <c r="S709">
        <v>-25</v>
      </c>
      <c r="T709">
        <v>3.3</v>
      </c>
      <c r="U709">
        <v>3.3</v>
      </c>
      <c r="V709">
        <v>2</v>
      </c>
      <c r="W709">
        <v>3.3</v>
      </c>
      <c r="X709">
        <v>3.1</v>
      </c>
      <c r="Y709">
        <v>2</v>
      </c>
      <c r="Z709">
        <v>3</v>
      </c>
      <c r="AA709">
        <v>2.7</v>
      </c>
      <c r="AB709">
        <v>2</v>
      </c>
      <c r="AC709">
        <v>2.8</v>
      </c>
      <c r="AD709">
        <v>2.6</v>
      </c>
      <c r="AE709">
        <v>2</v>
      </c>
      <c r="AF709">
        <v>3.4</v>
      </c>
      <c r="AG709">
        <v>3.3</v>
      </c>
      <c r="AH709">
        <v>2</v>
      </c>
      <c r="AI709">
        <v>3.3</v>
      </c>
      <c r="AJ709">
        <v>3.2</v>
      </c>
      <c r="AK709">
        <v>2</v>
      </c>
      <c r="AL709">
        <v>3.8</v>
      </c>
      <c r="AM709">
        <v>4</v>
      </c>
      <c r="AN709">
        <v>4.4000000000000004</v>
      </c>
      <c r="AO709">
        <v>4</v>
      </c>
      <c r="AP709">
        <v>3</v>
      </c>
      <c r="AQ709">
        <v>4</v>
      </c>
      <c r="AR709">
        <v>6.3</v>
      </c>
      <c r="AS709">
        <v>4</v>
      </c>
      <c r="AT709">
        <v>-4.8</v>
      </c>
      <c r="AU709">
        <v>-6.2</v>
      </c>
      <c r="AV709">
        <v>-5</v>
      </c>
      <c r="AW709">
        <v>-4.7</v>
      </c>
      <c r="AX709">
        <v>-6.3</v>
      </c>
      <c r="AY709">
        <v>-5</v>
      </c>
      <c r="AZ709">
        <v>10.9</v>
      </c>
      <c r="BA709">
        <v>10</v>
      </c>
      <c r="BB709">
        <v>10.4</v>
      </c>
      <c r="BC709">
        <v>10</v>
      </c>
      <c r="BD709">
        <v>5.0999999999999996</v>
      </c>
      <c r="BE709">
        <v>4</v>
      </c>
      <c r="BF709">
        <v>10.9</v>
      </c>
      <c r="BG709">
        <v>10</v>
      </c>
      <c r="BH709">
        <v>12</v>
      </c>
      <c r="BI709">
        <v>10</v>
      </c>
      <c r="BJ709">
        <v>11</v>
      </c>
      <c r="BK709">
        <v>9</v>
      </c>
      <c r="BL709">
        <v>20.9</v>
      </c>
      <c r="BM709">
        <v>19</v>
      </c>
      <c r="BN709">
        <v>23.6</v>
      </c>
      <c r="BO709">
        <v>19</v>
      </c>
      <c r="BP709">
        <v>19.899999999999999</v>
      </c>
      <c r="BQ709">
        <v>20</v>
      </c>
      <c r="BR709">
        <v>21.9</v>
      </c>
      <c r="BS709">
        <v>25</v>
      </c>
      <c r="BT709">
        <v>21.9</v>
      </c>
      <c r="BU709">
        <v>25</v>
      </c>
      <c r="BV709">
        <v>23.3</v>
      </c>
      <c r="BW709">
        <v>18</v>
      </c>
      <c r="BX709">
        <v>21.8</v>
      </c>
      <c r="BY709">
        <v>20</v>
      </c>
      <c r="BZ709">
        <v>21.7</v>
      </c>
      <c r="CA709">
        <v>20</v>
      </c>
      <c r="CB709">
        <v>11.4</v>
      </c>
      <c r="CC709">
        <v>10</v>
      </c>
      <c r="CD709">
        <v>10.4</v>
      </c>
      <c r="CE709">
        <v>10</v>
      </c>
      <c r="CF709">
        <v>10.7</v>
      </c>
      <c r="CG709">
        <v>9</v>
      </c>
      <c r="CH709">
        <v>10.9</v>
      </c>
      <c r="CI709">
        <v>9</v>
      </c>
    </row>
    <row r="710" spans="1:87" x14ac:dyDescent="0.35">
      <c r="A710" s="1">
        <v>46059.955555555556</v>
      </c>
      <c r="B710">
        <v>-18</v>
      </c>
      <c r="C710">
        <v>-18.600000000000001</v>
      </c>
      <c r="D710">
        <v>-25</v>
      </c>
      <c r="E710">
        <v>-18.5</v>
      </c>
      <c r="F710">
        <v>-17.5</v>
      </c>
      <c r="G710">
        <v>-25</v>
      </c>
      <c r="H710">
        <v>-20.2</v>
      </c>
      <c r="I710">
        <v>19.600000000000001</v>
      </c>
      <c r="J710">
        <v>-25</v>
      </c>
      <c r="K710">
        <v>-16.2</v>
      </c>
      <c r="L710">
        <v>-16.2</v>
      </c>
      <c r="M710">
        <v>-25</v>
      </c>
      <c r="N710">
        <v>-16.899999999999999</v>
      </c>
      <c r="O710">
        <v>-16.8</v>
      </c>
      <c r="P710">
        <v>-25</v>
      </c>
      <c r="Q710">
        <v>-16.8</v>
      </c>
      <c r="R710">
        <v>-16.7</v>
      </c>
      <c r="S710">
        <v>-25</v>
      </c>
      <c r="T710">
        <v>3.4</v>
      </c>
      <c r="U710">
        <v>3.4</v>
      </c>
      <c r="V710">
        <v>2</v>
      </c>
      <c r="W710">
        <v>3.4</v>
      </c>
      <c r="X710">
        <v>3.2</v>
      </c>
      <c r="Y710">
        <v>2</v>
      </c>
      <c r="Z710">
        <v>3.1</v>
      </c>
      <c r="AA710">
        <v>2.8</v>
      </c>
      <c r="AB710">
        <v>2</v>
      </c>
      <c r="AC710">
        <v>2.9</v>
      </c>
      <c r="AD710">
        <v>2.7</v>
      </c>
      <c r="AE710">
        <v>2</v>
      </c>
      <c r="AF710">
        <v>3.6</v>
      </c>
      <c r="AG710">
        <v>3.5</v>
      </c>
      <c r="AH710">
        <v>2</v>
      </c>
      <c r="AI710">
        <v>3.5</v>
      </c>
      <c r="AJ710">
        <v>3.4</v>
      </c>
      <c r="AK710">
        <v>2</v>
      </c>
      <c r="AL710">
        <v>3.8</v>
      </c>
      <c r="AM710">
        <v>4</v>
      </c>
      <c r="AN710">
        <v>4.5</v>
      </c>
      <c r="AO710">
        <v>4</v>
      </c>
      <c r="AP710">
        <v>3.4</v>
      </c>
      <c r="AQ710">
        <v>4</v>
      </c>
      <c r="AR710">
        <v>5.8</v>
      </c>
      <c r="AS710">
        <v>4</v>
      </c>
      <c r="AT710">
        <v>-4.9000000000000004</v>
      </c>
      <c r="AU710">
        <v>-6.7</v>
      </c>
      <c r="AV710">
        <v>-5</v>
      </c>
      <c r="AW710">
        <v>-4.9000000000000004</v>
      </c>
      <c r="AX710">
        <v>-6.3</v>
      </c>
      <c r="AY710">
        <v>-5</v>
      </c>
      <c r="AZ710">
        <v>11</v>
      </c>
      <c r="BA710">
        <v>10</v>
      </c>
      <c r="BB710">
        <v>10.6</v>
      </c>
      <c r="BC710">
        <v>10</v>
      </c>
      <c r="BD710">
        <v>5.3</v>
      </c>
      <c r="BE710">
        <v>4</v>
      </c>
      <c r="BF710">
        <v>10</v>
      </c>
      <c r="BG710">
        <v>10</v>
      </c>
      <c r="BH710">
        <v>12</v>
      </c>
      <c r="BI710">
        <v>10</v>
      </c>
      <c r="BJ710">
        <v>11</v>
      </c>
      <c r="BK710">
        <v>9</v>
      </c>
      <c r="BL710">
        <v>20.9</v>
      </c>
      <c r="BM710">
        <v>19</v>
      </c>
      <c r="BN710">
        <v>23.6</v>
      </c>
      <c r="BO710">
        <v>19</v>
      </c>
      <c r="BP710">
        <v>20</v>
      </c>
      <c r="BQ710">
        <v>20</v>
      </c>
      <c r="BR710">
        <v>21.9</v>
      </c>
      <c r="BS710">
        <v>25</v>
      </c>
      <c r="BT710">
        <v>21.9</v>
      </c>
      <c r="BU710">
        <v>25</v>
      </c>
      <c r="BV710">
        <v>23.3</v>
      </c>
      <c r="BW710">
        <v>18</v>
      </c>
      <c r="BX710">
        <v>21.9</v>
      </c>
      <c r="BY710">
        <v>20</v>
      </c>
      <c r="BZ710">
        <v>21.8</v>
      </c>
      <c r="CA710">
        <v>20</v>
      </c>
      <c r="CB710">
        <v>11.2</v>
      </c>
      <c r="CC710">
        <v>10</v>
      </c>
      <c r="CD710">
        <v>10.5</v>
      </c>
      <c r="CE710">
        <v>10</v>
      </c>
      <c r="CF710">
        <v>10.9</v>
      </c>
      <c r="CG710">
        <v>9</v>
      </c>
      <c r="CH710">
        <v>11.1</v>
      </c>
      <c r="CI710">
        <v>9</v>
      </c>
    </row>
    <row r="711" spans="1:87" x14ac:dyDescent="0.35">
      <c r="A711" s="1">
        <v>46059.956250000003</v>
      </c>
      <c r="B711">
        <v>-18.100000000000001</v>
      </c>
      <c r="C711">
        <v>-18.7</v>
      </c>
      <c r="D711">
        <v>-25</v>
      </c>
      <c r="E711">
        <v>-18.600000000000001</v>
      </c>
      <c r="F711">
        <v>-17.600000000000001</v>
      </c>
      <c r="G711">
        <v>-25</v>
      </c>
      <c r="H711">
        <v>-20.2</v>
      </c>
      <c r="I711">
        <v>20.399999999999999</v>
      </c>
      <c r="J711">
        <v>-25</v>
      </c>
      <c r="K711">
        <v>-16</v>
      </c>
      <c r="L711">
        <v>-16</v>
      </c>
      <c r="M711">
        <v>-25</v>
      </c>
      <c r="N711">
        <v>-16.8</v>
      </c>
      <c r="O711">
        <v>-16.7</v>
      </c>
      <c r="P711">
        <v>-25</v>
      </c>
      <c r="Q711">
        <v>-16.8</v>
      </c>
      <c r="R711">
        <v>-16.600000000000001</v>
      </c>
      <c r="S711">
        <v>-25</v>
      </c>
      <c r="T711">
        <v>3.5</v>
      </c>
      <c r="U711">
        <v>3.5</v>
      </c>
      <c r="V711">
        <v>2</v>
      </c>
      <c r="W711">
        <v>3.5</v>
      </c>
      <c r="X711">
        <v>3.3</v>
      </c>
      <c r="Y711">
        <v>2</v>
      </c>
      <c r="Z711">
        <v>3.2</v>
      </c>
      <c r="AA711">
        <v>2.9</v>
      </c>
      <c r="AB711">
        <v>2</v>
      </c>
      <c r="AC711">
        <v>2.9</v>
      </c>
      <c r="AD711">
        <v>2.8</v>
      </c>
      <c r="AE711">
        <v>2</v>
      </c>
      <c r="AF711">
        <v>3.8</v>
      </c>
      <c r="AG711">
        <v>3.6</v>
      </c>
      <c r="AH711">
        <v>2</v>
      </c>
      <c r="AI711">
        <v>3.6</v>
      </c>
      <c r="AJ711">
        <v>3.6</v>
      </c>
      <c r="AK711">
        <v>2</v>
      </c>
      <c r="AL711">
        <v>3.8</v>
      </c>
      <c r="AM711">
        <v>4</v>
      </c>
      <c r="AN711">
        <v>4.5</v>
      </c>
      <c r="AO711">
        <v>4</v>
      </c>
      <c r="AP711">
        <v>3.7</v>
      </c>
      <c r="AQ711">
        <v>4</v>
      </c>
      <c r="AR711">
        <v>5.3</v>
      </c>
      <c r="AS711">
        <v>4</v>
      </c>
      <c r="AT711">
        <v>-5</v>
      </c>
      <c r="AU711">
        <v>-7.5</v>
      </c>
      <c r="AV711">
        <v>-5</v>
      </c>
      <c r="AW711">
        <v>-5</v>
      </c>
      <c r="AX711">
        <v>-5.5</v>
      </c>
      <c r="AY711">
        <v>-5</v>
      </c>
      <c r="AZ711">
        <v>11.1</v>
      </c>
      <c r="BA711">
        <v>10</v>
      </c>
      <c r="BB711">
        <v>10.9</v>
      </c>
      <c r="BC711">
        <v>10</v>
      </c>
      <c r="BD711">
        <v>5.4</v>
      </c>
      <c r="BE711">
        <v>4</v>
      </c>
      <c r="BF711">
        <v>9.4</v>
      </c>
      <c r="BG711">
        <v>10</v>
      </c>
      <c r="BH711">
        <v>12</v>
      </c>
      <c r="BI711">
        <v>10</v>
      </c>
      <c r="BJ711">
        <v>10.8</v>
      </c>
      <c r="BK711">
        <v>9</v>
      </c>
      <c r="BL711">
        <v>20.9</v>
      </c>
      <c r="BM711">
        <v>19</v>
      </c>
      <c r="BN711">
        <v>23.6</v>
      </c>
      <c r="BO711">
        <v>19</v>
      </c>
      <c r="BP711">
        <v>20</v>
      </c>
      <c r="BQ711">
        <v>20</v>
      </c>
      <c r="BR711">
        <v>21.9</v>
      </c>
      <c r="BS711">
        <v>25</v>
      </c>
      <c r="BT711">
        <v>21.9</v>
      </c>
      <c r="BU711">
        <v>25</v>
      </c>
      <c r="BV711">
        <v>23.3</v>
      </c>
      <c r="BW711">
        <v>18</v>
      </c>
      <c r="BX711">
        <v>21.9</v>
      </c>
      <c r="BY711">
        <v>20</v>
      </c>
      <c r="BZ711">
        <v>21.8</v>
      </c>
      <c r="CA711">
        <v>20</v>
      </c>
      <c r="CB711">
        <v>11</v>
      </c>
      <c r="CC711">
        <v>10</v>
      </c>
      <c r="CD711">
        <v>10.7</v>
      </c>
      <c r="CE711">
        <v>10</v>
      </c>
      <c r="CF711">
        <v>11.1</v>
      </c>
      <c r="CG711">
        <v>9</v>
      </c>
      <c r="CH711">
        <v>11.3</v>
      </c>
      <c r="CI711">
        <v>9</v>
      </c>
    </row>
    <row r="712" spans="1:87" x14ac:dyDescent="0.35">
      <c r="A712" s="1">
        <v>46059.956944444442</v>
      </c>
      <c r="B712">
        <v>-18.2</v>
      </c>
      <c r="C712">
        <v>-18.7</v>
      </c>
      <c r="D712">
        <v>-25</v>
      </c>
      <c r="E712">
        <v>-18.600000000000001</v>
      </c>
      <c r="F712">
        <v>-17.7</v>
      </c>
      <c r="G712">
        <v>-25</v>
      </c>
      <c r="H712">
        <v>-20.2</v>
      </c>
      <c r="I712">
        <v>20.399999999999999</v>
      </c>
      <c r="J712">
        <v>-25</v>
      </c>
      <c r="K712">
        <v>-15.7</v>
      </c>
      <c r="L712">
        <v>-15.8</v>
      </c>
      <c r="M712">
        <v>-25</v>
      </c>
      <c r="N712">
        <v>-16.7</v>
      </c>
      <c r="O712">
        <v>-16.7</v>
      </c>
      <c r="P712">
        <v>-25</v>
      </c>
      <c r="Q712">
        <v>-16.7</v>
      </c>
      <c r="R712">
        <v>-16.600000000000001</v>
      </c>
      <c r="S712">
        <v>-25</v>
      </c>
      <c r="T712">
        <v>3.5</v>
      </c>
      <c r="U712">
        <v>3.5</v>
      </c>
      <c r="V712">
        <v>2</v>
      </c>
      <c r="W712">
        <v>3.6</v>
      </c>
      <c r="X712">
        <v>3.4</v>
      </c>
      <c r="Y712">
        <v>2</v>
      </c>
      <c r="Z712">
        <v>3.3</v>
      </c>
      <c r="AA712">
        <v>3</v>
      </c>
      <c r="AB712">
        <v>2</v>
      </c>
      <c r="AC712">
        <v>3</v>
      </c>
      <c r="AD712">
        <v>2.9</v>
      </c>
      <c r="AE712">
        <v>2</v>
      </c>
      <c r="AF712">
        <v>3.9</v>
      </c>
      <c r="AG712">
        <v>3.8</v>
      </c>
      <c r="AH712">
        <v>2</v>
      </c>
      <c r="AI712">
        <v>3.8</v>
      </c>
      <c r="AJ712">
        <v>3.8</v>
      </c>
      <c r="AK712">
        <v>2</v>
      </c>
      <c r="AL712">
        <v>3.8</v>
      </c>
      <c r="AM712">
        <v>4</v>
      </c>
      <c r="AN712">
        <v>4.5999999999999996</v>
      </c>
      <c r="AO712">
        <v>4</v>
      </c>
      <c r="AP712">
        <v>3.9</v>
      </c>
      <c r="AQ712">
        <v>4</v>
      </c>
      <c r="AR712">
        <v>5</v>
      </c>
      <c r="AS712">
        <v>4</v>
      </c>
      <c r="AT712">
        <v>-5.4</v>
      </c>
      <c r="AU712">
        <v>-7.3</v>
      </c>
      <c r="AV712">
        <v>-5</v>
      </c>
      <c r="AW712">
        <v>-4.9000000000000004</v>
      </c>
      <c r="AX712">
        <v>-5</v>
      </c>
      <c r="AY712">
        <v>-5</v>
      </c>
      <c r="AZ712">
        <v>11.2</v>
      </c>
      <c r="BA712">
        <v>10</v>
      </c>
      <c r="BB712">
        <v>11.3</v>
      </c>
      <c r="BC712">
        <v>10</v>
      </c>
      <c r="BD712">
        <v>5.6</v>
      </c>
      <c r="BE712">
        <v>4</v>
      </c>
      <c r="BF712">
        <v>9.4</v>
      </c>
      <c r="BG712">
        <v>10</v>
      </c>
      <c r="BH712">
        <v>12</v>
      </c>
      <c r="BI712">
        <v>10</v>
      </c>
      <c r="BJ712">
        <v>10.7</v>
      </c>
      <c r="BK712">
        <v>9</v>
      </c>
      <c r="BL712">
        <v>20.9</v>
      </c>
      <c r="BM712">
        <v>19</v>
      </c>
      <c r="BN712">
        <v>23.6</v>
      </c>
      <c r="BO712">
        <v>19</v>
      </c>
      <c r="BP712">
        <v>20.100000000000001</v>
      </c>
      <c r="BQ712">
        <v>20</v>
      </c>
      <c r="BR712">
        <v>21.9</v>
      </c>
      <c r="BS712">
        <v>25</v>
      </c>
      <c r="BT712">
        <v>21.9</v>
      </c>
      <c r="BU712">
        <v>25</v>
      </c>
      <c r="BV712">
        <v>23.3</v>
      </c>
      <c r="BW712">
        <v>18</v>
      </c>
      <c r="BX712">
        <v>21.9</v>
      </c>
      <c r="BY712">
        <v>20</v>
      </c>
      <c r="BZ712">
        <v>21.8</v>
      </c>
      <c r="CA712">
        <v>20</v>
      </c>
      <c r="CB712">
        <v>10.8</v>
      </c>
      <c r="CC712">
        <v>10</v>
      </c>
      <c r="CD712">
        <v>10.7</v>
      </c>
      <c r="CE712">
        <v>10</v>
      </c>
      <c r="CF712">
        <v>11.1</v>
      </c>
      <c r="CG712">
        <v>9</v>
      </c>
      <c r="CH712">
        <v>11.3</v>
      </c>
      <c r="CI712">
        <v>9</v>
      </c>
    </row>
    <row r="713" spans="1:87" x14ac:dyDescent="0.35">
      <c r="A713" s="1">
        <v>46059.957638888889</v>
      </c>
      <c r="B713">
        <v>-18.2</v>
      </c>
      <c r="C713">
        <v>-18.7</v>
      </c>
      <c r="D713">
        <v>-25</v>
      </c>
      <c r="E713">
        <v>-18.600000000000001</v>
      </c>
      <c r="F713">
        <v>-17.8</v>
      </c>
      <c r="G713">
        <v>-25</v>
      </c>
      <c r="H713">
        <v>-20.2</v>
      </c>
      <c r="I713">
        <v>18.5</v>
      </c>
      <c r="J713">
        <v>-25</v>
      </c>
      <c r="K713">
        <v>-15.6</v>
      </c>
      <c r="L713">
        <v>-15.6</v>
      </c>
      <c r="M713">
        <v>-25</v>
      </c>
      <c r="N713">
        <v>-16.600000000000001</v>
      </c>
      <c r="O713">
        <v>-16.600000000000001</v>
      </c>
      <c r="P713">
        <v>-25</v>
      </c>
      <c r="Q713">
        <v>-16.600000000000001</v>
      </c>
      <c r="R713">
        <v>-16.5</v>
      </c>
      <c r="S713">
        <v>-25</v>
      </c>
      <c r="T713">
        <v>3.6</v>
      </c>
      <c r="U713">
        <v>3.6</v>
      </c>
      <c r="V713">
        <v>2</v>
      </c>
      <c r="W713">
        <v>3.7</v>
      </c>
      <c r="X713">
        <v>3.4</v>
      </c>
      <c r="Y713">
        <v>2</v>
      </c>
      <c r="Z713">
        <v>3.4</v>
      </c>
      <c r="AA713">
        <v>3.1</v>
      </c>
      <c r="AB713">
        <v>2</v>
      </c>
      <c r="AC713">
        <v>3.1</v>
      </c>
      <c r="AD713">
        <v>3</v>
      </c>
      <c r="AE713">
        <v>2</v>
      </c>
      <c r="AF713">
        <v>4.0999999999999996</v>
      </c>
      <c r="AG713">
        <v>3.9</v>
      </c>
      <c r="AH713">
        <v>2</v>
      </c>
      <c r="AI713">
        <v>3.9</v>
      </c>
      <c r="AJ713">
        <v>3.9</v>
      </c>
      <c r="AK713">
        <v>2</v>
      </c>
      <c r="AL713">
        <v>3.9</v>
      </c>
      <c r="AM713">
        <v>4</v>
      </c>
      <c r="AN713">
        <v>4.5999999999999996</v>
      </c>
      <c r="AO713">
        <v>4</v>
      </c>
      <c r="AP713">
        <v>4.2</v>
      </c>
      <c r="AQ713">
        <v>4</v>
      </c>
      <c r="AR713">
        <v>4.5</v>
      </c>
      <c r="AS713">
        <v>4</v>
      </c>
      <c r="AT713">
        <v>-5.4</v>
      </c>
      <c r="AU713">
        <v>-6.1</v>
      </c>
      <c r="AV713">
        <v>-5</v>
      </c>
      <c r="AW713">
        <v>-4.2</v>
      </c>
      <c r="AX713">
        <v>-4.0999999999999996</v>
      </c>
      <c r="AY713">
        <v>-5</v>
      </c>
      <c r="AZ713">
        <v>11.3</v>
      </c>
      <c r="BA713">
        <v>10</v>
      </c>
      <c r="BB713">
        <v>11.5</v>
      </c>
      <c r="BC713">
        <v>10</v>
      </c>
      <c r="BD713">
        <v>5.8</v>
      </c>
      <c r="BE713">
        <v>4</v>
      </c>
      <c r="BF713">
        <v>9.9</v>
      </c>
      <c r="BG713">
        <v>10</v>
      </c>
      <c r="BH713">
        <v>12</v>
      </c>
      <c r="BI713">
        <v>10</v>
      </c>
      <c r="BJ713">
        <v>10.7</v>
      </c>
      <c r="BK713">
        <v>9</v>
      </c>
      <c r="BL713">
        <v>20.9</v>
      </c>
      <c r="BM713">
        <v>19</v>
      </c>
      <c r="BN713">
        <v>23.6</v>
      </c>
      <c r="BO713">
        <v>19</v>
      </c>
      <c r="BP713">
        <v>20.100000000000001</v>
      </c>
      <c r="BQ713">
        <v>20</v>
      </c>
      <c r="BR713">
        <v>21.9</v>
      </c>
      <c r="BS713">
        <v>25</v>
      </c>
      <c r="BT713">
        <v>21.9</v>
      </c>
      <c r="BU713">
        <v>25</v>
      </c>
      <c r="BV713">
        <v>23.3</v>
      </c>
      <c r="BW713">
        <v>18</v>
      </c>
      <c r="BX713">
        <v>21.9</v>
      </c>
      <c r="BY713">
        <v>20</v>
      </c>
      <c r="BZ713">
        <v>21.8</v>
      </c>
      <c r="CA713">
        <v>20</v>
      </c>
      <c r="CB713">
        <v>10.6</v>
      </c>
      <c r="CC713">
        <v>10</v>
      </c>
      <c r="CD713">
        <v>10.8</v>
      </c>
      <c r="CE713">
        <v>10</v>
      </c>
      <c r="CF713">
        <v>11.4</v>
      </c>
      <c r="CG713">
        <v>9</v>
      </c>
      <c r="CH713">
        <v>11.6</v>
      </c>
      <c r="CI713">
        <v>9</v>
      </c>
    </row>
    <row r="714" spans="1:87" x14ac:dyDescent="0.35">
      <c r="A714" s="1">
        <v>46059.958333333336</v>
      </c>
      <c r="B714">
        <v>-18.2</v>
      </c>
      <c r="C714">
        <v>-18.7</v>
      </c>
      <c r="D714">
        <v>-25</v>
      </c>
      <c r="E714">
        <v>-18.600000000000001</v>
      </c>
      <c r="F714">
        <v>-17.899999999999999</v>
      </c>
      <c r="G714">
        <v>-25</v>
      </c>
      <c r="H714">
        <v>-20.2</v>
      </c>
      <c r="I714">
        <v>14.5</v>
      </c>
      <c r="J714">
        <v>-25</v>
      </c>
      <c r="K714">
        <v>-15.5</v>
      </c>
      <c r="L714">
        <v>-15.6</v>
      </c>
      <c r="M714">
        <v>-25</v>
      </c>
      <c r="N714">
        <v>-16.5</v>
      </c>
      <c r="O714">
        <v>-16.5</v>
      </c>
      <c r="P714">
        <v>-25</v>
      </c>
      <c r="Q714">
        <v>-16.5</v>
      </c>
      <c r="R714">
        <v>-16.399999999999999</v>
      </c>
      <c r="S714">
        <v>-25</v>
      </c>
      <c r="T714">
        <v>3.7</v>
      </c>
      <c r="U714">
        <v>3.7</v>
      </c>
      <c r="V714">
        <v>2</v>
      </c>
      <c r="W714">
        <v>3.7</v>
      </c>
      <c r="X714">
        <v>3.5</v>
      </c>
      <c r="Y714">
        <v>2</v>
      </c>
      <c r="Z714">
        <v>3.4</v>
      </c>
      <c r="AA714">
        <v>3.1</v>
      </c>
      <c r="AB714">
        <v>2</v>
      </c>
      <c r="AC714">
        <v>3.2</v>
      </c>
      <c r="AD714">
        <v>3.1</v>
      </c>
      <c r="AE714">
        <v>2</v>
      </c>
      <c r="AF714">
        <v>4.2</v>
      </c>
      <c r="AG714">
        <v>4</v>
      </c>
      <c r="AH714">
        <v>2</v>
      </c>
      <c r="AI714">
        <v>4</v>
      </c>
      <c r="AJ714">
        <v>4</v>
      </c>
      <c r="AK714">
        <v>2</v>
      </c>
      <c r="AL714">
        <v>4</v>
      </c>
      <c r="AM714">
        <v>4</v>
      </c>
      <c r="AN714">
        <v>4.7</v>
      </c>
      <c r="AO714">
        <v>4</v>
      </c>
      <c r="AP714">
        <v>4.4000000000000004</v>
      </c>
      <c r="AQ714">
        <v>4</v>
      </c>
      <c r="AR714">
        <v>3.8</v>
      </c>
      <c r="AS714">
        <v>4</v>
      </c>
      <c r="AT714">
        <v>-4.7</v>
      </c>
      <c r="AU714">
        <v>-5.2</v>
      </c>
      <c r="AV714">
        <v>-5</v>
      </c>
      <c r="AW714">
        <v>-3.6</v>
      </c>
      <c r="AX714">
        <v>-3.4</v>
      </c>
      <c r="AY714">
        <v>-5</v>
      </c>
      <c r="AZ714">
        <v>11.4</v>
      </c>
      <c r="BA714">
        <v>10</v>
      </c>
      <c r="BB714">
        <v>11.7</v>
      </c>
      <c r="BC714">
        <v>10</v>
      </c>
      <c r="BD714">
        <v>5.9</v>
      </c>
      <c r="BE714">
        <v>4</v>
      </c>
      <c r="BF714">
        <v>10.3</v>
      </c>
      <c r="BG714">
        <v>10</v>
      </c>
      <c r="BH714">
        <v>12</v>
      </c>
      <c r="BI714">
        <v>10</v>
      </c>
      <c r="BJ714">
        <v>10.6</v>
      </c>
      <c r="BK714">
        <v>9</v>
      </c>
      <c r="BL714">
        <v>20.9</v>
      </c>
      <c r="BM714">
        <v>19</v>
      </c>
      <c r="BN714">
        <v>23.6</v>
      </c>
      <c r="BO714">
        <v>19</v>
      </c>
      <c r="BP714">
        <v>20.100000000000001</v>
      </c>
      <c r="BQ714">
        <v>20</v>
      </c>
      <c r="BR714">
        <v>21.8</v>
      </c>
      <c r="BS714">
        <v>25</v>
      </c>
      <c r="BT714">
        <v>21.9</v>
      </c>
      <c r="BU714">
        <v>25</v>
      </c>
      <c r="BV714">
        <v>23.3</v>
      </c>
      <c r="BW714">
        <v>18</v>
      </c>
      <c r="BX714">
        <v>21.9</v>
      </c>
      <c r="BY714">
        <v>20</v>
      </c>
      <c r="BZ714">
        <v>21.8</v>
      </c>
      <c r="CA714">
        <v>20</v>
      </c>
      <c r="CB714">
        <v>10.4</v>
      </c>
      <c r="CC714">
        <v>10</v>
      </c>
      <c r="CD714">
        <v>10.9</v>
      </c>
      <c r="CE714">
        <v>10</v>
      </c>
      <c r="CF714">
        <v>11.3</v>
      </c>
      <c r="CG714">
        <v>9</v>
      </c>
      <c r="CH714">
        <v>11.5</v>
      </c>
      <c r="CI714">
        <v>9</v>
      </c>
    </row>
    <row r="715" spans="1:87" x14ac:dyDescent="0.35">
      <c r="A715" s="1">
        <v>46059.959027777775</v>
      </c>
      <c r="B715">
        <v>-18.3</v>
      </c>
      <c r="C715">
        <v>-18.7</v>
      </c>
      <c r="D715">
        <v>-25</v>
      </c>
      <c r="E715">
        <v>-18.7</v>
      </c>
      <c r="F715">
        <v>-17.899999999999999</v>
      </c>
      <c r="G715">
        <v>-25</v>
      </c>
      <c r="H715">
        <v>-20.2</v>
      </c>
      <c r="I715">
        <v>11</v>
      </c>
      <c r="J715">
        <v>-25</v>
      </c>
      <c r="K715">
        <v>-15.4</v>
      </c>
      <c r="L715">
        <v>-15.5</v>
      </c>
      <c r="M715">
        <v>-25</v>
      </c>
      <c r="N715">
        <v>-16.399999999999999</v>
      </c>
      <c r="O715">
        <v>-16.399999999999999</v>
      </c>
      <c r="P715">
        <v>-25</v>
      </c>
      <c r="Q715">
        <v>-16.399999999999999</v>
      </c>
      <c r="R715">
        <v>-16.3</v>
      </c>
      <c r="S715">
        <v>-25</v>
      </c>
      <c r="T715">
        <v>3.8</v>
      </c>
      <c r="U715">
        <v>3.8</v>
      </c>
      <c r="V715">
        <v>2</v>
      </c>
      <c r="W715">
        <v>3.8</v>
      </c>
      <c r="X715">
        <v>3.6</v>
      </c>
      <c r="Y715">
        <v>2</v>
      </c>
      <c r="Z715">
        <v>3.5</v>
      </c>
      <c r="AA715">
        <v>3.2</v>
      </c>
      <c r="AB715">
        <v>2</v>
      </c>
      <c r="AC715">
        <v>3.3</v>
      </c>
      <c r="AD715">
        <v>3.2</v>
      </c>
      <c r="AE715">
        <v>2</v>
      </c>
      <c r="AF715">
        <v>4.2</v>
      </c>
      <c r="AG715">
        <v>3.9</v>
      </c>
      <c r="AH715">
        <v>2</v>
      </c>
      <c r="AI715">
        <v>4</v>
      </c>
      <c r="AJ715">
        <v>3.5</v>
      </c>
      <c r="AK715">
        <v>2</v>
      </c>
      <c r="AL715">
        <v>4</v>
      </c>
      <c r="AM715">
        <v>4</v>
      </c>
      <c r="AN715">
        <v>4.8</v>
      </c>
      <c r="AO715">
        <v>4</v>
      </c>
      <c r="AP715">
        <v>4.5999999999999996</v>
      </c>
      <c r="AQ715">
        <v>4</v>
      </c>
      <c r="AR715">
        <v>3.2</v>
      </c>
      <c r="AS715">
        <v>4</v>
      </c>
      <c r="AT715">
        <v>-4.0999999999999996</v>
      </c>
      <c r="AU715">
        <v>-4.4000000000000004</v>
      </c>
      <c r="AV715">
        <v>-5</v>
      </c>
      <c r="AW715">
        <v>-3.1</v>
      </c>
      <c r="AX715">
        <v>-2.9</v>
      </c>
      <c r="AY715">
        <v>-5</v>
      </c>
      <c r="AZ715">
        <v>11.5</v>
      </c>
      <c r="BA715">
        <v>10</v>
      </c>
      <c r="BB715">
        <v>12</v>
      </c>
      <c r="BC715">
        <v>10</v>
      </c>
      <c r="BD715">
        <v>6</v>
      </c>
      <c r="BE715">
        <v>4</v>
      </c>
      <c r="BF715">
        <v>10.6</v>
      </c>
      <c r="BG715">
        <v>10</v>
      </c>
      <c r="BH715">
        <v>12</v>
      </c>
      <c r="BI715">
        <v>10</v>
      </c>
      <c r="BJ715">
        <v>10.5</v>
      </c>
      <c r="BK715">
        <v>9</v>
      </c>
      <c r="BL715">
        <v>20.9</v>
      </c>
      <c r="BM715">
        <v>19</v>
      </c>
      <c r="BN715">
        <v>23.6</v>
      </c>
      <c r="BO715">
        <v>19</v>
      </c>
      <c r="BP715">
        <v>20.100000000000001</v>
      </c>
      <c r="BQ715">
        <v>20</v>
      </c>
      <c r="BR715">
        <v>21.7</v>
      </c>
      <c r="BS715">
        <v>25</v>
      </c>
      <c r="BT715">
        <v>21.9</v>
      </c>
      <c r="BU715">
        <v>25</v>
      </c>
      <c r="BV715">
        <v>23.3</v>
      </c>
      <c r="BW715">
        <v>18</v>
      </c>
      <c r="BX715">
        <v>21.9</v>
      </c>
      <c r="BY715">
        <v>20</v>
      </c>
      <c r="BZ715">
        <v>21.8</v>
      </c>
      <c r="CA715">
        <v>20</v>
      </c>
      <c r="CB715">
        <v>10.3</v>
      </c>
      <c r="CC715">
        <v>10</v>
      </c>
      <c r="CD715">
        <v>10.9</v>
      </c>
      <c r="CE715">
        <v>10</v>
      </c>
      <c r="CF715">
        <v>11.2</v>
      </c>
      <c r="CG715">
        <v>9</v>
      </c>
      <c r="CH715">
        <v>11.5</v>
      </c>
      <c r="CI715">
        <v>9</v>
      </c>
    </row>
    <row r="716" spans="1:87" x14ac:dyDescent="0.35">
      <c r="A716" s="1">
        <v>46059.959722222222</v>
      </c>
      <c r="B716">
        <v>-18.399999999999999</v>
      </c>
      <c r="C716">
        <v>-18.7</v>
      </c>
      <c r="D716">
        <v>-25</v>
      </c>
      <c r="E716">
        <v>-18.8</v>
      </c>
      <c r="F716">
        <v>-18</v>
      </c>
      <c r="G716">
        <v>-25</v>
      </c>
      <c r="H716">
        <v>-20.2</v>
      </c>
      <c r="I716">
        <v>8.3000000000000007</v>
      </c>
      <c r="J716">
        <v>-25</v>
      </c>
      <c r="K716">
        <v>-15.3</v>
      </c>
      <c r="L716">
        <v>-15.5</v>
      </c>
      <c r="M716">
        <v>-25</v>
      </c>
      <c r="N716">
        <v>-16.3</v>
      </c>
      <c r="O716">
        <v>-16.3</v>
      </c>
      <c r="P716">
        <v>-25</v>
      </c>
      <c r="Q716">
        <v>-16.3</v>
      </c>
      <c r="R716">
        <v>-16.100000000000001</v>
      </c>
      <c r="S716">
        <v>-25</v>
      </c>
      <c r="T716">
        <v>3.8</v>
      </c>
      <c r="U716">
        <v>3.9</v>
      </c>
      <c r="V716">
        <v>2</v>
      </c>
      <c r="W716">
        <v>3.9</v>
      </c>
      <c r="X716">
        <v>3.7</v>
      </c>
      <c r="Y716">
        <v>2</v>
      </c>
      <c r="Z716">
        <v>3.5</v>
      </c>
      <c r="AA716">
        <v>3.3</v>
      </c>
      <c r="AB716">
        <v>2</v>
      </c>
      <c r="AC716">
        <v>3.4</v>
      </c>
      <c r="AD716">
        <v>3.3</v>
      </c>
      <c r="AE716">
        <v>2</v>
      </c>
      <c r="AF716">
        <v>4</v>
      </c>
      <c r="AG716">
        <v>3.7</v>
      </c>
      <c r="AH716">
        <v>2</v>
      </c>
      <c r="AI716">
        <v>3.9</v>
      </c>
      <c r="AJ716">
        <v>3.3</v>
      </c>
      <c r="AK716">
        <v>2</v>
      </c>
      <c r="AL716">
        <v>4.0999999999999996</v>
      </c>
      <c r="AM716">
        <v>4</v>
      </c>
      <c r="AN716">
        <v>4.8</v>
      </c>
      <c r="AO716">
        <v>4</v>
      </c>
      <c r="AP716">
        <v>4.8</v>
      </c>
      <c r="AQ716">
        <v>4</v>
      </c>
      <c r="AR716">
        <v>3.2</v>
      </c>
      <c r="AS716">
        <v>4</v>
      </c>
      <c r="AT716">
        <v>-3.6</v>
      </c>
      <c r="AU716">
        <v>-3.9</v>
      </c>
      <c r="AV716">
        <v>-5</v>
      </c>
      <c r="AW716">
        <v>-2.9</v>
      </c>
      <c r="AX716">
        <v>-2.7</v>
      </c>
      <c r="AY716">
        <v>-5</v>
      </c>
      <c r="AZ716">
        <v>11.6</v>
      </c>
      <c r="BA716">
        <v>10</v>
      </c>
      <c r="BB716">
        <v>12.1</v>
      </c>
      <c r="BC716">
        <v>10</v>
      </c>
      <c r="BD716">
        <v>5.9</v>
      </c>
      <c r="BE716">
        <v>4</v>
      </c>
      <c r="BF716">
        <v>11</v>
      </c>
      <c r="BG716">
        <v>10</v>
      </c>
      <c r="BH716">
        <v>12</v>
      </c>
      <c r="BI716">
        <v>10</v>
      </c>
      <c r="BJ716">
        <v>10.4</v>
      </c>
      <c r="BK716">
        <v>9</v>
      </c>
      <c r="BL716">
        <v>20.9</v>
      </c>
      <c r="BM716">
        <v>19</v>
      </c>
      <c r="BN716">
        <v>23.6</v>
      </c>
      <c r="BO716">
        <v>19</v>
      </c>
      <c r="BP716">
        <v>20.100000000000001</v>
      </c>
      <c r="BQ716">
        <v>20</v>
      </c>
      <c r="BR716">
        <v>21.7</v>
      </c>
      <c r="BS716">
        <v>25</v>
      </c>
      <c r="BT716">
        <v>21.9</v>
      </c>
      <c r="BU716">
        <v>25</v>
      </c>
      <c r="BV716">
        <v>23.3</v>
      </c>
      <c r="BW716">
        <v>18</v>
      </c>
      <c r="BX716">
        <v>21.9</v>
      </c>
      <c r="BY716">
        <v>20</v>
      </c>
      <c r="BZ716">
        <v>21.9</v>
      </c>
      <c r="CA716">
        <v>20</v>
      </c>
      <c r="CB716">
        <v>10.199999999999999</v>
      </c>
      <c r="CC716">
        <v>10</v>
      </c>
      <c r="CD716">
        <v>10.9</v>
      </c>
      <c r="CE716">
        <v>10</v>
      </c>
      <c r="CF716">
        <v>11.4</v>
      </c>
      <c r="CG716">
        <v>9</v>
      </c>
      <c r="CH716">
        <v>11.6</v>
      </c>
      <c r="CI716">
        <v>9</v>
      </c>
    </row>
    <row r="717" spans="1:87" x14ac:dyDescent="0.35">
      <c r="A717" s="1">
        <v>46059.960416666669</v>
      </c>
      <c r="B717">
        <v>-18.5</v>
      </c>
      <c r="C717">
        <v>-18.8</v>
      </c>
      <c r="D717">
        <v>-25</v>
      </c>
      <c r="E717">
        <v>-18.899999999999999</v>
      </c>
      <c r="F717">
        <v>-18.100000000000001</v>
      </c>
      <c r="G717">
        <v>-25</v>
      </c>
      <c r="H717">
        <v>-11</v>
      </c>
      <c r="I717">
        <v>5.9</v>
      </c>
      <c r="J717">
        <v>-25</v>
      </c>
      <c r="K717">
        <v>-15.2</v>
      </c>
      <c r="L717">
        <v>-15.5</v>
      </c>
      <c r="M717">
        <v>-25</v>
      </c>
      <c r="N717">
        <v>-16.2</v>
      </c>
      <c r="O717">
        <v>-16.2</v>
      </c>
      <c r="P717">
        <v>-25</v>
      </c>
      <c r="Q717">
        <v>-16.100000000000001</v>
      </c>
      <c r="R717">
        <v>-16</v>
      </c>
      <c r="S717">
        <v>-25</v>
      </c>
      <c r="T717">
        <v>3.9</v>
      </c>
      <c r="U717">
        <v>3.9</v>
      </c>
      <c r="V717">
        <v>2</v>
      </c>
      <c r="W717">
        <v>3.9</v>
      </c>
      <c r="X717">
        <v>3.7</v>
      </c>
      <c r="Y717">
        <v>2</v>
      </c>
      <c r="Z717">
        <v>3.6</v>
      </c>
      <c r="AA717">
        <v>3.4</v>
      </c>
      <c r="AB717">
        <v>2</v>
      </c>
      <c r="AC717">
        <v>3.4</v>
      </c>
      <c r="AD717">
        <v>3.3</v>
      </c>
      <c r="AE717">
        <v>2</v>
      </c>
      <c r="AF717">
        <v>3.9</v>
      </c>
      <c r="AG717">
        <v>3.5</v>
      </c>
      <c r="AH717">
        <v>2</v>
      </c>
      <c r="AI717">
        <v>3.7</v>
      </c>
      <c r="AJ717">
        <v>1.9</v>
      </c>
      <c r="AK717">
        <v>2</v>
      </c>
      <c r="AL717">
        <v>4.2</v>
      </c>
      <c r="AM717">
        <v>4</v>
      </c>
      <c r="AN717">
        <v>4.9000000000000004</v>
      </c>
      <c r="AO717">
        <v>4</v>
      </c>
      <c r="AP717">
        <v>5</v>
      </c>
      <c r="AQ717">
        <v>4</v>
      </c>
      <c r="AR717">
        <v>3.3</v>
      </c>
      <c r="AS717">
        <v>4</v>
      </c>
      <c r="AT717">
        <v>-3.2</v>
      </c>
      <c r="AU717">
        <v>-3.4</v>
      </c>
      <c r="AV717">
        <v>-5</v>
      </c>
      <c r="AW717">
        <v>-3.3</v>
      </c>
      <c r="AX717">
        <v>-5.2</v>
      </c>
      <c r="AY717">
        <v>-5</v>
      </c>
      <c r="AZ717">
        <v>11.7</v>
      </c>
      <c r="BA717">
        <v>10</v>
      </c>
      <c r="BB717">
        <v>12</v>
      </c>
      <c r="BC717">
        <v>10</v>
      </c>
      <c r="BD717">
        <v>5.6</v>
      </c>
      <c r="BE717">
        <v>4</v>
      </c>
      <c r="BF717">
        <v>11.3</v>
      </c>
      <c r="BG717">
        <v>10</v>
      </c>
      <c r="BH717">
        <v>12</v>
      </c>
      <c r="BI717">
        <v>10</v>
      </c>
      <c r="BJ717">
        <v>10.3</v>
      </c>
      <c r="BK717">
        <v>9</v>
      </c>
      <c r="BL717">
        <v>20.9</v>
      </c>
      <c r="BM717">
        <v>19</v>
      </c>
      <c r="BN717">
        <v>23.6</v>
      </c>
      <c r="BO717">
        <v>19</v>
      </c>
      <c r="BP717">
        <v>20.2</v>
      </c>
      <c r="BQ717">
        <v>20</v>
      </c>
      <c r="BR717">
        <v>21.7</v>
      </c>
      <c r="BS717">
        <v>25</v>
      </c>
      <c r="BT717">
        <v>21.9</v>
      </c>
      <c r="BU717">
        <v>25</v>
      </c>
      <c r="BV717">
        <v>23.3</v>
      </c>
      <c r="BW717">
        <v>18</v>
      </c>
      <c r="BX717">
        <v>21.9</v>
      </c>
      <c r="BY717">
        <v>20</v>
      </c>
      <c r="BZ717">
        <v>21.9</v>
      </c>
      <c r="CA717">
        <v>20</v>
      </c>
      <c r="CB717">
        <v>10</v>
      </c>
      <c r="CC717">
        <v>10</v>
      </c>
      <c r="CD717">
        <v>10.9</v>
      </c>
      <c r="CE717">
        <v>10</v>
      </c>
      <c r="CF717">
        <v>11.4</v>
      </c>
      <c r="CG717">
        <v>9</v>
      </c>
      <c r="CH717">
        <v>11.6</v>
      </c>
      <c r="CI717">
        <v>9</v>
      </c>
    </row>
    <row r="718" spans="1:87" x14ac:dyDescent="0.35">
      <c r="A718" s="1">
        <v>46059.961111111108</v>
      </c>
      <c r="B718">
        <v>-18.5</v>
      </c>
      <c r="C718">
        <v>-19</v>
      </c>
      <c r="D718">
        <v>-25</v>
      </c>
      <c r="E718">
        <v>-18.899999999999999</v>
      </c>
      <c r="F718">
        <v>-18.100000000000001</v>
      </c>
      <c r="G718">
        <v>-25</v>
      </c>
      <c r="H718">
        <v>-11.5</v>
      </c>
      <c r="I718">
        <v>4</v>
      </c>
      <c r="J718">
        <v>-25</v>
      </c>
      <c r="K718">
        <v>-15.2</v>
      </c>
      <c r="L718">
        <v>-15.4</v>
      </c>
      <c r="M718">
        <v>-25</v>
      </c>
      <c r="N718">
        <v>-16.100000000000001</v>
      </c>
      <c r="O718">
        <v>-16.100000000000001</v>
      </c>
      <c r="P718">
        <v>-25</v>
      </c>
      <c r="Q718">
        <v>-16.100000000000001</v>
      </c>
      <c r="R718">
        <v>-16</v>
      </c>
      <c r="S718">
        <v>-25</v>
      </c>
      <c r="T718">
        <v>3.9</v>
      </c>
      <c r="U718">
        <v>4</v>
      </c>
      <c r="V718">
        <v>2</v>
      </c>
      <c r="W718">
        <v>4</v>
      </c>
      <c r="X718">
        <v>3.8</v>
      </c>
      <c r="Y718">
        <v>2</v>
      </c>
      <c r="Z718">
        <v>3.7</v>
      </c>
      <c r="AA718">
        <v>3.4</v>
      </c>
      <c r="AB718">
        <v>2</v>
      </c>
      <c r="AC718">
        <v>3.5</v>
      </c>
      <c r="AD718">
        <v>3.4</v>
      </c>
      <c r="AE718">
        <v>2</v>
      </c>
      <c r="AF718">
        <v>3.6</v>
      </c>
      <c r="AG718">
        <v>3.1</v>
      </c>
      <c r="AH718">
        <v>2</v>
      </c>
      <c r="AI718">
        <v>3.3</v>
      </c>
      <c r="AJ718">
        <v>0.4</v>
      </c>
      <c r="AK718">
        <v>2</v>
      </c>
      <c r="AL718">
        <v>4.2</v>
      </c>
      <c r="AM718">
        <v>4</v>
      </c>
      <c r="AN718">
        <v>4.9000000000000004</v>
      </c>
      <c r="AO718">
        <v>4</v>
      </c>
      <c r="AP718">
        <v>5.0999999999999996</v>
      </c>
      <c r="AQ718">
        <v>4</v>
      </c>
      <c r="AR718">
        <v>3.7</v>
      </c>
      <c r="AS718">
        <v>4</v>
      </c>
      <c r="AT718">
        <v>-2.8</v>
      </c>
      <c r="AU718">
        <v>-3.2</v>
      </c>
      <c r="AV718">
        <v>-5</v>
      </c>
      <c r="AW718">
        <v>-3.9</v>
      </c>
      <c r="AX718">
        <v>-5.0999999999999996</v>
      </c>
      <c r="AY718">
        <v>-5</v>
      </c>
      <c r="AZ718">
        <v>11.7</v>
      </c>
      <c r="BA718">
        <v>10</v>
      </c>
      <c r="BB718">
        <v>11.7</v>
      </c>
      <c r="BC718">
        <v>10</v>
      </c>
      <c r="BD718">
        <v>5.0999999999999996</v>
      </c>
      <c r="BE718">
        <v>4</v>
      </c>
      <c r="BF718">
        <v>11.5</v>
      </c>
      <c r="BG718">
        <v>10</v>
      </c>
      <c r="BH718">
        <v>12</v>
      </c>
      <c r="BI718">
        <v>10</v>
      </c>
      <c r="BJ718">
        <v>10.3</v>
      </c>
      <c r="BK718">
        <v>9</v>
      </c>
      <c r="BL718">
        <v>20.9</v>
      </c>
      <c r="BM718">
        <v>19</v>
      </c>
      <c r="BN718">
        <v>23.6</v>
      </c>
      <c r="BO718">
        <v>19</v>
      </c>
      <c r="BP718">
        <v>20.2</v>
      </c>
      <c r="BQ718">
        <v>20</v>
      </c>
      <c r="BR718">
        <v>21.7</v>
      </c>
      <c r="BS718">
        <v>25</v>
      </c>
      <c r="BT718">
        <v>21.9</v>
      </c>
      <c r="BU718">
        <v>25</v>
      </c>
      <c r="BV718">
        <v>23.3</v>
      </c>
      <c r="BW718">
        <v>18</v>
      </c>
      <c r="BX718">
        <v>21.9</v>
      </c>
      <c r="BY718">
        <v>20</v>
      </c>
      <c r="BZ718">
        <v>21.9</v>
      </c>
      <c r="CA718">
        <v>20</v>
      </c>
      <c r="CB718">
        <v>10.1</v>
      </c>
      <c r="CC718">
        <v>10</v>
      </c>
      <c r="CD718">
        <v>11</v>
      </c>
      <c r="CE718">
        <v>10</v>
      </c>
      <c r="CF718">
        <v>11.4</v>
      </c>
      <c r="CG718">
        <v>9</v>
      </c>
      <c r="CH718">
        <v>11.6</v>
      </c>
      <c r="CI718">
        <v>9</v>
      </c>
    </row>
    <row r="719" spans="1:87" x14ac:dyDescent="0.35">
      <c r="A719" s="1">
        <v>46059.961805555555</v>
      </c>
      <c r="B719">
        <v>-18.600000000000001</v>
      </c>
      <c r="C719">
        <v>-19.100000000000001</v>
      </c>
      <c r="D719">
        <v>-25</v>
      </c>
      <c r="E719">
        <v>-19</v>
      </c>
      <c r="F719">
        <v>-18.2</v>
      </c>
      <c r="G719">
        <v>-25</v>
      </c>
      <c r="H719">
        <v>-11.6</v>
      </c>
      <c r="I719">
        <v>2.4</v>
      </c>
      <c r="J719">
        <v>-25</v>
      </c>
      <c r="K719">
        <v>-15.2</v>
      </c>
      <c r="L719">
        <v>-15.4</v>
      </c>
      <c r="M719">
        <v>-25</v>
      </c>
      <c r="N719">
        <v>-16</v>
      </c>
      <c r="O719">
        <v>-16</v>
      </c>
      <c r="P719">
        <v>-25</v>
      </c>
      <c r="Q719">
        <v>-16</v>
      </c>
      <c r="R719">
        <v>-15.9</v>
      </c>
      <c r="S719">
        <v>-25</v>
      </c>
      <c r="T719">
        <v>3.9</v>
      </c>
      <c r="U719">
        <v>4</v>
      </c>
      <c r="V719">
        <v>2</v>
      </c>
      <c r="W719">
        <v>4</v>
      </c>
      <c r="X719">
        <v>3.1</v>
      </c>
      <c r="Y719">
        <v>2</v>
      </c>
      <c r="Z719">
        <v>3.7</v>
      </c>
      <c r="AA719">
        <v>3.5</v>
      </c>
      <c r="AB719">
        <v>2</v>
      </c>
      <c r="AC719">
        <v>3.5</v>
      </c>
      <c r="AD719">
        <v>3.4</v>
      </c>
      <c r="AE719">
        <v>2</v>
      </c>
      <c r="AF719">
        <v>3.2</v>
      </c>
      <c r="AG719">
        <v>2.7</v>
      </c>
      <c r="AH719">
        <v>2</v>
      </c>
      <c r="AI719">
        <v>3</v>
      </c>
      <c r="AJ719">
        <v>1.1000000000000001</v>
      </c>
      <c r="AK719">
        <v>2</v>
      </c>
      <c r="AL719">
        <v>4.3</v>
      </c>
      <c r="AM719">
        <v>4</v>
      </c>
      <c r="AN719">
        <v>5</v>
      </c>
      <c r="AO719">
        <v>4</v>
      </c>
      <c r="AP719">
        <v>5.3</v>
      </c>
      <c r="AQ719">
        <v>4</v>
      </c>
      <c r="AR719">
        <v>4.0999999999999996</v>
      </c>
      <c r="AS719">
        <v>4</v>
      </c>
      <c r="AT719">
        <v>-2.6</v>
      </c>
      <c r="AU719">
        <v>-3</v>
      </c>
      <c r="AV719">
        <v>-5</v>
      </c>
      <c r="AW719">
        <v>-4</v>
      </c>
      <c r="AX719">
        <v>-4.5</v>
      </c>
      <c r="AY719">
        <v>-5</v>
      </c>
      <c r="AZ719">
        <v>11.8</v>
      </c>
      <c r="BA719">
        <v>10</v>
      </c>
      <c r="BB719">
        <v>11.2</v>
      </c>
      <c r="BC719">
        <v>10</v>
      </c>
      <c r="BD719">
        <v>4.7</v>
      </c>
      <c r="BE719">
        <v>4</v>
      </c>
      <c r="BF719">
        <v>11.6</v>
      </c>
      <c r="BG719">
        <v>10</v>
      </c>
      <c r="BH719">
        <v>12</v>
      </c>
      <c r="BI719">
        <v>10</v>
      </c>
      <c r="BJ719">
        <v>10.3</v>
      </c>
      <c r="BK719">
        <v>9</v>
      </c>
      <c r="BL719">
        <v>20.9</v>
      </c>
      <c r="BM719">
        <v>19</v>
      </c>
      <c r="BN719">
        <v>23.6</v>
      </c>
      <c r="BO719">
        <v>19</v>
      </c>
      <c r="BP719">
        <v>20.2</v>
      </c>
      <c r="BQ719">
        <v>20</v>
      </c>
      <c r="BR719">
        <v>21.7</v>
      </c>
      <c r="BS719">
        <v>25</v>
      </c>
      <c r="BT719">
        <v>21.9</v>
      </c>
      <c r="BU719">
        <v>25</v>
      </c>
      <c r="BV719">
        <v>23.3</v>
      </c>
      <c r="BW719">
        <v>18</v>
      </c>
      <c r="BX719">
        <v>21.6</v>
      </c>
      <c r="BY719">
        <v>20</v>
      </c>
      <c r="BZ719">
        <v>21.9</v>
      </c>
      <c r="CA719">
        <v>20</v>
      </c>
      <c r="CB719">
        <v>10.5</v>
      </c>
      <c r="CC719">
        <v>10</v>
      </c>
      <c r="CD719">
        <v>11.1</v>
      </c>
      <c r="CE719">
        <v>10</v>
      </c>
      <c r="CF719">
        <v>11.5</v>
      </c>
      <c r="CG719">
        <v>9</v>
      </c>
      <c r="CH719">
        <v>11.7</v>
      </c>
      <c r="CI719">
        <v>9</v>
      </c>
    </row>
    <row r="720" spans="1:87" x14ac:dyDescent="0.35">
      <c r="A720" s="1">
        <v>46059.962500000001</v>
      </c>
      <c r="B720">
        <v>-18.7</v>
      </c>
      <c r="C720">
        <v>-19.2</v>
      </c>
      <c r="D720">
        <v>-25</v>
      </c>
      <c r="E720">
        <v>-19.100000000000001</v>
      </c>
      <c r="F720">
        <v>-18.3</v>
      </c>
      <c r="G720">
        <v>-25</v>
      </c>
      <c r="H720">
        <v>-11.8</v>
      </c>
      <c r="I720">
        <v>1.1000000000000001</v>
      </c>
      <c r="J720">
        <v>-25</v>
      </c>
      <c r="K720">
        <v>-15.1</v>
      </c>
      <c r="L720">
        <v>-15.4</v>
      </c>
      <c r="M720">
        <v>-25</v>
      </c>
      <c r="N720">
        <v>-15.9</v>
      </c>
      <c r="O720">
        <v>-15.9</v>
      </c>
      <c r="P720">
        <v>-25</v>
      </c>
      <c r="Q720">
        <v>-15.9</v>
      </c>
      <c r="R720">
        <v>-15.8</v>
      </c>
      <c r="S720">
        <v>-25</v>
      </c>
      <c r="T720">
        <v>3.9</v>
      </c>
      <c r="U720">
        <v>3.9</v>
      </c>
      <c r="V720">
        <v>2</v>
      </c>
      <c r="W720">
        <v>4</v>
      </c>
      <c r="X720">
        <v>2.4</v>
      </c>
      <c r="Y720">
        <v>2</v>
      </c>
      <c r="Z720">
        <v>3.7</v>
      </c>
      <c r="AA720">
        <v>3.6</v>
      </c>
      <c r="AB720">
        <v>2</v>
      </c>
      <c r="AC720">
        <v>3.6</v>
      </c>
      <c r="AD720">
        <v>3.5</v>
      </c>
      <c r="AE720">
        <v>2</v>
      </c>
      <c r="AF720">
        <v>3.2</v>
      </c>
      <c r="AG720">
        <v>2.7</v>
      </c>
      <c r="AH720">
        <v>2</v>
      </c>
      <c r="AI720">
        <v>3</v>
      </c>
      <c r="AJ720">
        <v>1.5</v>
      </c>
      <c r="AK720">
        <v>2</v>
      </c>
      <c r="AL720">
        <v>4.4000000000000004</v>
      </c>
      <c r="AM720">
        <v>4</v>
      </c>
      <c r="AN720">
        <v>5</v>
      </c>
      <c r="AO720">
        <v>4</v>
      </c>
      <c r="AP720">
        <v>5.5</v>
      </c>
      <c r="AQ720">
        <v>4</v>
      </c>
      <c r="AR720">
        <v>4.4000000000000004</v>
      </c>
      <c r="AS720">
        <v>4</v>
      </c>
      <c r="AT720">
        <v>-2.7</v>
      </c>
      <c r="AU720">
        <v>-4.3</v>
      </c>
      <c r="AV720">
        <v>-5</v>
      </c>
      <c r="AW720">
        <v>-4</v>
      </c>
      <c r="AX720">
        <v>-4.4000000000000004</v>
      </c>
      <c r="AY720">
        <v>-5</v>
      </c>
      <c r="AZ720">
        <v>11.9</v>
      </c>
      <c r="BA720">
        <v>10</v>
      </c>
      <c r="BB720">
        <v>10.9</v>
      </c>
      <c r="BC720">
        <v>10</v>
      </c>
      <c r="BD720">
        <v>4.0999999999999996</v>
      </c>
      <c r="BE720">
        <v>4</v>
      </c>
      <c r="BF720">
        <v>12</v>
      </c>
      <c r="BG720">
        <v>10</v>
      </c>
      <c r="BH720">
        <v>12</v>
      </c>
      <c r="BI720">
        <v>10</v>
      </c>
      <c r="BJ720">
        <v>10.4</v>
      </c>
      <c r="BK720">
        <v>9</v>
      </c>
      <c r="BL720">
        <v>20.9</v>
      </c>
      <c r="BM720">
        <v>19</v>
      </c>
      <c r="BN720">
        <v>23.6</v>
      </c>
      <c r="BO720">
        <v>19</v>
      </c>
      <c r="BP720">
        <v>20.3</v>
      </c>
      <c r="BQ720">
        <v>20</v>
      </c>
      <c r="BR720">
        <v>21.7</v>
      </c>
      <c r="BS720">
        <v>25</v>
      </c>
      <c r="BT720">
        <v>21.9</v>
      </c>
      <c r="BU720">
        <v>25</v>
      </c>
      <c r="BV720">
        <v>23.3</v>
      </c>
      <c r="BW720">
        <v>18</v>
      </c>
      <c r="BX720">
        <v>19.600000000000001</v>
      </c>
      <c r="BY720">
        <v>20</v>
      </c>
      <c r="BZ720">
        <v>21.9</v>
      </c>
      <c r="CA720">
        <v>20</v>
      </c>
      <c r="CB720">
        <v>10.9</v>
      </c>
      <c r="CC720">
        <v>10</v>
      </c>
      <c r="CD720">
        <v>11.2</v>
      </c>
      <c r="CE720">
        <v>10</v>
      </c>
      <c r="CF720">
        <v>11.4</v>
      </c>
      <c r="CG720">
        <v>9</v>
      </c>
      <c r="CH720">
        <v>11.7</v>
      </c>
      <c r="CI720">
        <v>9</v>
      </c>
    </row>
    <row r="721" spans="1:87" x14ac:dyDescent="0.35">
      <c r="A721" s="1">
        <v>46059.963194444441</v>
      </c>
      <c r="B721">
        <v>-18.7</v>
      </c>
      <c r="C721">
        <v>-19.2</v>
      </c>
      <c r="D721">
        <v>-25</v>
      </c>
      <c r="E721">
        <v>-19.100000000000001</v>
      </c>
      <c r="F721">
        <v>-18.399999999999999</v>
      </c>
      <c r="G721">
        <v>-25</v>
      </c>
      <c r="H721">
        <v>-12</v>
      </c>
      <c r="I721">
        <v>0.1</v>
      </c>
      <c r="J721">
        <v>-25</v>
      </c>
      <c r="K721">
        <v>-15.1</v>
      </c>
      <c r="L721">
        <v>-15.4</v>
      </c>
      <c r="M721">
        <v>-25</v>
      </c>
      <c r="N721">
        <v>-15.8</v>
      </c>
      <c r="O721">
        <v>-15.8</v>
      </c>
      <c r="P721">
        <v>-25</v>
      </c>
      <c r="Q721">
        <v>-15.8</v>
      </c>
      <c r="R721">
        <v>-15.7</v>
      </c>
      <c r="S721">
        <v>-25</v>
      </c>
      <c r="T721">
        <v>3.8</v>
      </c>
      <c r="U721">
        <v>3.6</v>
      </c>
      <c r="V721">
        <v>2</v>
      </c>
      <c r="W721">
        <v>3.7</v>
      </c>
      <c r="X721">
        <v>1.1000000000000001</v>
      </c>
      <c r="Y721">
        <v>2</v>
      </c>
      <c r="Z721">
        <v>3.7</v>
      </c>
      <c r="AA721">
        <v>3.6</v>
      </c>
      <c r="AB721">
        <v>2</v>
      </c>
      <c r="AC721">
        <v>3.6</v>
      </c>
      <c r="AD721">
        <v>3.6</v>
      </c>
      <c r="AE721">
        <v>2</v>
      </c>
      <c r="AF721">
        <v>3.1</v>
      </c>
      <c r="AG721">
        <v>2.7</v>
      </c>
      <c r="AH721">
        <v>2</v>
      </c>
      <c r="AI721">
        <v>2.9</v>
      </c>
      <c r="AJ721">
        <v>0.3</v>
      </c>
      <c r="AK721">
        <v>2</v>
      </c>
      <c r="AL721">
        <v>4.4000000000000004</v>
      </c>
      <c r="AM721">
        <v>4</v>
      </c>
      <c r="AN721">
        <v>5.0999999999999996</v>
      </c>
      <c r="AO721">
        <v>4</v>
      </c>
      <c r="AP721">
        <v>5.6</v>
      </c>
      <c r="AQ721">
        <v>4</v>
      </c>
      <c r="AR721">
        <v>4.7</v>
      </c>
      <c r="AS721">
        <v>4</v>
      </c>
      <c r="AT721">
        <v>-3.1</v>
      </c>
      <c r="AU721">
        <v>-5.2</v>
      </c>
      <c r="AV721">
        <v>-5</v>
      </c>
      <c r="AW721">
        <v>-4</v>
      </c>
      <c r="AX721">
        <v>-5.4</v>
      </c>
      <c r="AY721">
        <v>-5</v>
      </c>
      <c r="AZ721">
        <v>11.9</v>
      </c>
      <c r="BA721">
        <v>10</v>
      </c>
      <c r="BB721">
        <v>10.7</v>
      </c>
      <c r="BC721">
        <v>10</v>
      </c>
      <c r="BD721">
        <v>3.9</v>
      </c>
      <c r="BE721">
        <v>4</v>
      </c>
      <c r="BF721">
        <v>12</v>
      </c>
      <c r="BG721">
        <v>10</v>
      </c>
      <c r="BH721">
        <v>12</v>
      </c>
      <c r="BI721">
        <v>10</v>
      </c>
      <c r="BJ721">
        <v>10.4</v>
      </c>
      <c r="BK721">
        <v>9</v>
      </c>
      <c r="BL721">
        <v>20.9</v>
      </c>
      <c r="BM721">
        <v>19</v>
      </c>
      <c r="BN721">
        <v>23.6</v>
      </c>
      <c r="BO721">
        <v>19</v>
      </c>
      <c r="BP721">
        <v>20.3</v>
      </c>
      <c r="BQ721">
        <v>20</v>
      </c>
      <c r="BR721">
        <v>21.7</v>
      </c>
      <c r="BS721">
        <v>25</v>
      </c>
      <c r="BT721">
        <v>21.9</v>
      </c>
      <c r="BU721">
        <v>25</v>
      </c>
      <c r="BV721">
        <v>23.3</v>
      </c>
      <c r="BW721">
        <v>18</v>
      </c>
      <c r="BX721">
        <v>18.600000000000001</v>
      </c>
      <c r="BY721">
        <v>20</v>
      </c>
      <c r="BZ721">
        <v>21.9</v>
      </c>
      <c r="CA721">
        <v>20</v>
      </c>
      <c r="CB721">
        <v>11.3</v>
      </c>
      <c r="CC721">
        <v>10</v>
      </c>
      <c r="CD721">
        <v>11.3</v>
      </c>
      <c r="CE721">
        <v>10</v>
      </c>
      <c r="CF721">
        <v>11.4</v>
      </c>
      <c r="CG721">
        <v>9</v>
      </c>
      <c r="CH721">
        <v>11.6</v>
      </c>
      <c r="CI721">
        <v>9</v>
      </c>
    </row>
    <row r="722" spans="1:87" x14ac:dyDescent="0.35">
      <c r="A722" s="1">
        <v>46059.963888888888</v>
      </c>
      <c r="B722">
        <v>-18.8</v>
      </c>
      <c r="C722">
        <v>-19.3</v>
      </c>
      <c r="D722">
        <v>-25</v>
      </c>
      <c r="E722">
        <v>-19.2</v>
      </c>
      <c r="F722">
        <v>-18.399999999999999</v>
      </c>
      <c r="G722">
        <v>-25</v>
      </c>
      <c r="H722">
        <v>-12.4</v>
      </c>
      <c r="I722">
        <v>-0.7</v>
      </c>
      <c r="J722">
        <v>-25</v>
      </c>
      <c r="K722">
        <v>-15.1</v>
      </c>
      <c r="L722">
        <v>-15.4</v>
      </c>
      <c r="M722">
        <v>-25</v>
      </c>
      <c r="N722">
        <v>-15.8</v>
      </c>
      <c r="O722">
        <v>-15.7</v>
      </c>
      <c r="P722">
        <v>-25</v>
      </c>
      <c r="Q722">
        <v>-15.7</v>
      </c>
      <c r="R722">
        <v>-15.6</v>
      </c>
      <c r="S722">
        <v>-25</v>
      </c>
      <c r="T722">
        <v>3.5</v>
      </c>
      <c r="U722">
        <v>3.1</v>
      </c>
      <c r="V722">
        <v>2</v>
      </c>
      <c r="W722">
        <v>3.3</v>
      </c>
      <c r="X722">
        <v>0.4</v>
      </c>
      <c r="Y722">
        <v>2</v>
      </c>
      <c r="Z722">
        <v>3.7</v>
      </c>
      <c r="AA722">
        <v>3.6</v>
      </c>
      <c r="AB722">
        <v>2</v>
      </c>
      <c r="AC722">
        <v>3.6</v>
      </c>
      <c r="AD722">
        <v>3.6</v>
      </c>
      <c r="AE722">
        <v>2</v>
      </c>
      <c r="AF722">
        <v>2.9</v>
      </c>
      <c r="AG722">
        <v>2.4</v>
      </c>
      <c r="AH722">
        <v>2</v>
      </c>
      <c r="AI722">
        <v>2.6</v>
      </c>
      <c r="AJ722">
        <v>-0.4</v>
      </c>
      <c r="AK722">
        <v>2</v>
      </c>
      <c r="AL722">
        <v>4.5</v>
      </c>
      <c r="AM722">
        <v>4</v>
      </c>
      <c r="AN722">
        <v>5.2</v>
      </c>
      <c r="AO722">
        <v>4</v>
      </c>
      <c r="AP722">
        <v>5.7</v>
      </c>
      <c r="AQ722">
        <v>4</v>
      </c>
      <c r="AR722">
        <v>5</v>
      </c>
      <c r="AS722">
        <v>4</v>
      </c>
      <c r="AT722">
        <v>-3.5</v>
      </c>
      <c r="AU722">
        <v>-5.6</v>
      </c>
      <c r="AV722">
        <v>-5</v>
      </c>
      <c r="AW722">
        <v>-4.2</v>
      </c>
      <c r="AX722">
        <v>-5.9</v>
      </c>
      <c r="AY722">
        <v>-5</v>
      </c>
      <c r="AZ722">
        <v>12</v>
      </c>
      <c r="BA722">
        <v>10</v>
      </c>
      <c r="BB722">
        <v>10.6</v>
      </c>
      <c r="BC722">
        <v>10</v>
      </c>
      <c r="BD722">
        <v>3.9</v>
      </c>
      <c r="BE722">
        <v>4</v>
      </c>
      <c r="BF722">
        <v>11.2</v>
      </c>
      <c r="BG722">
        <v>10</v>
      </c>
      <c r="BH722">
        <v>12.1</v>
      </c>
      <c r="BI722">
        <v>10</v>
      </c>
      <c r="BJ722">
        <v>10.7</v>
      </c>
      <c r="BK722">
        <v>9</v>
      </c>
      <c r="BL722">
        <v>20.9</v>
      </c>
      <c r="BM722">
        <v>19</v>
      </c>
      <c r="BN722">
        <v>23.6</v>
      </c>
      <c r="BO722">
        <v>19</v>
      </c>
      <c r="BP722">
        <v>20.3</v>
      </c>
      <c r="BQ722">
        <v>20</v>
      </c>
      <c r="BR722">
        <v>21.7</v>
      </c>
      <c r="BS722">
        <v>25</v>
      </c>
      <c r="BT722">
        <v>21.9</v>
      </c>
      <c r="BU722">
        <v>25</v>
      </c>
      <c r="BV722">
        <v>23.3</v>
      </c>
      <c r="BW722">
        <v>18</v>
      </c>
      <c r="BX722">
        <v>18.600000000000001</v>
      </c>
      <c r="BY722">
        <v>20</v>
      </c>
      <c r="BZ722">
        <v>21.9</v>
      </c>
      <c r="CA722">
        <v>20</v>
      </c>
      <c r="CB722">
        <v>11.7</v>
      </c>
      <c r="CC722">
        <v>10</v>
      </c>
      <c r="CD722">
        <v>11.3</v>
      </c>
      <c r="CE722">
        <v>10</v>
      </c>
      <c r="CF722">
        <v>11.6</v>
      </c>
      <c r="CG722">
        <v>9</v>
      </c>
      <c r="CH722">
        <v>11.8</v>
      </c>
      <c r="CI722">
        <v>9</v>
      </c>
    </row>
    <row r="723" spans="1:87" x14ac:dyDescent="0.35">
      <c r="A723" s="1">
        <v>46059.964583333334</v>
      </c>
      <c r="B723">
        <v>-18.8</v>
      </c>
      <c r="C723">
        <v>-19.3</v>
      </c>
      <c r="D723">
        <v>-25</v>
      </c>
      <c r="E723">
        <v>-19.2</v>
      </c>
      <c r="F723">
        <v>-18.5</v>
      </c>
      <c r="G723">
        <v>-25</v>
      </c>
      <c r="H723">
        <v>-12.7</v>
      </c>
      <c r="I723">
        <v>-1.9</v>
      </c>
      <c r="J723">
        <v>-25</v>
      </c>
      <c r="K723">
        <v>-15.1</v>
      </c>
      <c r="L723">
        <v>-15.4</v>
      </c>
      <c r="M723">
        <v>-25</v>
      </c>
      <c r="N723">
        <v>-15.7</v>
      </c>
      <c r="O723">
        <v>-15.6</v>
      </c>
      <c r="P723">
        <v>-25</v>
      </c>
      <c r="Q723">
        <v>-15.7</v>
      </c>
      <c r="R723">
        <v>-15.6</v>
      </c>
      <c r="S723">
        <v>-25</v>
      </c>
      <c r="T723">
        <v>3.2</v>
      </c>
      <c r="U723">
        <v>2.8</v>
      </c>
      <c r="V723">
        <v>2</v>
      </c>
      <c r="W723">
        <v>3</v>
      </c>
      <c r="X723">
        <v>-0.5</v>
      </c>
      <c r="Y723">
        <v>2</v>
      </c>
      <c r="Z723">
        <v>3.7</v>
      </c>
      <c r="AA723">
        <v>3.6</v>
      </c>
      <c r="AB723">
        <v>2</v>
      </c>
      <c r="AC723">
        <v>3.6</v>
      </c>
      <c r="AD723">
        <v>3.6</v>
      </c>
      <c r="AE723">
        <v>2</v>
      </c>
      <c r="AF723">
        <v>2.5</v>
      </c>
      <c r="AG723">
        <v>2</v>
      </c>
      <c r="AH723">
        <v>2</v>
      </c>
      <c r="AI723">
        <v>2.4</v>
      </c>
      <c r="AJ723">
        <v>0.4</v>
      </c>
      <c r="AK723">
        <v>2</v>
      </c>
      <c r="AL723">
        <v>4.5999999999999996</v>
      </c>
      <c r="AM723">
        <v>4</v>
      </c>
      <c r="AN723">
        <v>5.2</v>
      </c>
      <c r="AO723">
        <v>4</v>
      </c>
      <c r="AP723">
        <v>5.9</v>
      </c>
      <c r="AQ723">
        <v>4</v>
      </c>
      <c r="AR723">
        <v>5.2</v>
      </c>
      <c r="AS723">
        <v>4</v>
      </c>
      <c r="AT723">
        <v>-3.7</v>
      </c>
      <c r="AU723">
        <v>-5.8</v>
      </c>
      <c r="AV723">
        <v>-5</v>
      </c>
      <c r="AW723">
        <v>-4.5</v>
      </c>
      <c r="AX723">
        <v>-6.2</v>
      </c>
      <c r="AY723">
        <v>-5</v>
      </c>
      <c r="AZ723">
        <v>10.8</v>
      </c>
      <c r="BA723">
        <v>10</v>
      </c>
      <c r="BB723">
        <v>10.6</v>
      </c>
      <c r="BC723">
        <v>10</v>
      </c>
      <c r="BD723">
        <v>4.0999999999999996</v>
      </c>
      <c r="BE723">
        <v>4</v>
      </c>
      <c r="BF723">
        <v>10</v>
      </c>
      <c r="BG723">
        <v>10</v>
      </c>
      <c r="BH723">
        <v>12.1</v>
      </c>
      <c r="BI723">
        <v>10</v>
      </c>
      <c r="BJ723">
        <v>10.8</v>
      </c>
      <c r="BK723">
        <v>9</v>
      </c>
      <c r="BL723">
        <v>20.9</v>
      </c>
      <c r="BM723">
        <v>19</v>
      </c>
      <c r="BN723">
        <v>23.6</v>
      </c>
      <c r="BO723">
        <v>19</v>
      </c>
      <c r="BP723">
        <v>20.3</v>
      </c>
      <c r="BQ723">
        <v>20</v>
      </c>
      <c r="BR723">
        <v>21.7</v>
      </c>
      <c r="BS723">
        <v>25</v>
      </c>
      <c r="BT723">
        <v>21.9</v>
      </c>
      <c r="BU723">
        <v>25</v>
      </c>
      <c r="BV723">
        <v>23.3</v>
      </c>
      <c r="BW723">
        <v>18</v>
      </c>
      <c r="BX723">
        <v>19.100000000000001</v>
      </c>
      <c r="BY723">
        <v>20</v>
      </c>
      <c r="BZ723">
        <v>21.9</v>
      </c>
      <c r="CA723">
        <v>20</v>
      </c>
      <c r="CB723">
        <v>12</v>
      </c>
      <c r="CC723">
        <v>10</v>
      </c>
      <c r="CD723">
        <v>11.3</v>
      </c>
      <c r="CE723">
        <v>10</v>
      </c>
      <c r="CF723">
        <v>11.6</v>
      </c>
      <c r="CG723">
        <v>9</v>
      </c>
      <c r="CH723">
        <v>11.8</v>
      </c>
      <c r="CI723">
        <v>9</v>
      </c>
    </row>
    <row r="724" spans="1:87" x14ac:dyDescent="0.35">
      <c r="A724" s="1">
        <v>46059.965277777781</v>
      </c>
      <c r="B724">
        <v>-18.8</v>
      </c>
      <c r="C724">
        <v>-19.3</v>
      </c>
      <c r="D724">
        <v>-25</v>
      </c>
      <c r="E724">
        <v>-19.2</v>
      </c>
      <c r="F724">
        <v>-18.600000000000001</v>
      </c>
      <c r="G724">
        <v>-25</v>
      </c>
      <c r="H724">
        <v>-13</v>
      </c>
      <c r="I724">
        <v>-2.9</v>
      </c>
      <c r="J724">
        <v>-25</v>
      </c>
      <c r="K724">
        <v>-15</v>
      </c>
      <c r="L724">
        <v>-15.4</v>
      </c>
      <c r="M724">
        <v>-25</v>
      </c>
      <c r="N724">
        <v>-15.7</v>
      </c>
      <c r="O724">
        <v>-15.6</v>
      </c>
      <c r="P724">
        <v>-25</v>
      </c>
      <c r="Q724">
        <v>-15.6</v>
      </c>
      <c r="R724">
        <v>-15.5</v>
      </c>
      <c r="S724">
        <v>-25</v>
      </c>
      <c r="T724">
        <v>2.9</v>
      </c>
      <c r="U724">
        <v>2.4</v>
      </c>
      <c r="V724">
        <v>2</v>
      </c>
      <c r="W724">
        <v>2.6</v>
      </c>
      <c r="X724">
        <v>-0.8</v>
      </c>
      <c r="Y724">
        <v>2</v>
      </c>
      <c r="Z724">
        <v>3.7</v>
      </c>
      <c r="AA724">
        <v>3.6</v>
      </c>
      <c r="AB724">
        <v>2</v>
      </c>
      <c r="AC724">
        <v>3.7</v>
      </c>
      <c r="AD724">
        <v>3.7</v>
      </c>
      <c r="AE724">
        <v>2</v>
      </c>
      <c r="AF724">
        <v>2.4</v>
      </c>
      <c r="AG724">
        <v>1.9</v>
      </c>
      <c r="AH724">
        <v>2</v>
      </c>
      <c r="AI724">
        <v>2.2000000000000002</v>
      </c>
      <c r="AJ724">
        <v>0.1</v>
      </c>
      <c r="AK724">
        <v>2</v>
      </c>
      <c r="AL724">
        <v>4.5999999999999996</v>
      </c>
      <c r="AM724">
        <v>4</v>
      </c>
      <c r="AN724">
        <v>5.3</v>
      </c>
      <c r="AO724">
        <v>4</v>
      </c>
      <c r="AP724">
        <v>5.9</v>
      </c>
      <c r="AQ724">
        <v>4</v>
      </c>
      <c r="AR724">
        <v>5.4</v>
      </c>
      <c r="AS724">
        <v>4</v>
      </c>
      <c r="AT724">
        <v>-4</v>
      </c>
      <c r="AU724">
        <v>-6.3</v>
      </c>
      <c r="AV724">
        <v>-5</v>
      </c>
      <c r="AW724">
        <v>-4.5999999999999996</v>
      </c>
      <c r="AX724">
        <v>-5.4</v>
      </c>
      <c r="AY724">
        <v>-5</v>
      </c>
      <c r="AZ724">
        <v>9.6</v>
      </c>
      <c r="BA724">
        <v>10</v>
      </c>
      <c r="BB724">
        <v>10.3</v>
      </c>
      <c r="BC724">
        <v>10</v>
      </c>
      <c r="BD724">
        <v>4.3</v>
      </c>
      <c r="BE724">
        <v>4</v>
      </c>
      <c r="BF724">
        <v>9.5</v>
      </c>
      <c r="BG724">
        <v>10</v>
      </c>
      <c r="BH724">
        <v>12.1</v>
      </c>
      <c r="BI724">
        <v>10</v>
      </c>
      <c r="BJ724">
        <v>10.8</v>
      </c>
      <c r="BK724">
        <v>9</v>
      </c>
      <c r="BL724">
        <v>20.9</v>
      </c>
      <c r="BM724">
        <v>19</v>
      </c>
      <c r="BN724">
        <v>23.6</v>
      </c>
      <c r="BO724">
        <v>19</v>
      </c>
      <c r="BP724">
        <v>20.399999999999999</v>
      </c>
      <c r="BQ724">
        <v>20</v>
      </c>
      <c r="BR724">
        <v>21.7</v>
      </c>
      <c r="BS724">
        <v>25</v>
      </c>
      <c r="BT724">
        <v>21.9</v>
      </c>
      <c r="BU724">
        <v>25</v>
      </c>
      <c r="BV724">
        <v>23.3</v>
      </c>
      <c r="BW724">
        <v>18</v>
      </c>
      <c r="BX724">
        <v>19.5</v>
      </c>
      <c r="BY724">
        <v>20</v>
      </c>
      <c r="BZ724">
        <v>22</v>
      </c>
      <c r="CA724">
        <v>20</v>
      </c>
      <c r="CB724">
        <v>12</v>
      </c>
      <c r="CC724">
        <v>10</v>
      </c>
      <c r="CD724">
        <v>11.3</v>
      </c>
      <c r="CE724">
        <v>10</v>
      </c>
      <c r="CF724">
        <v>11.4</v>
      </c>
      <c r="CG724">
        <v>9</v>
      </c>
      <c r="CH724">
        <v>11.6</v>
      </c>
      <c r="CI724">
        <v>9</v>
      </c>
    </row>
    <row r="725" spans="1:87" x14ac:dyDescent="0.35">
      <c r="A725" s="1">
        <v>46059.96597222222</v>
      </c>
      <c r="B725">
        <v>-18.899999999999999</v>
      </c>
      <c r="C725">
        <v>-19.3</v>
      </c>
      <c r="D725">
        <v>-25</v>
      </c>
      <c r="E725">
        <v>-19.2</v>
      </c>
      <c r="F725">
        <v>-18.600000000000001</v>
      </c>
      <c r="G725">
        <v>-25</v>
      </c>
      <c r="H725">
        <v>-13</v>
      </c>
      <c r="I725">
        <v>-3.8</v>
      </c>
      <c r="J725">
        <v>-25</v>
      </c>
      <c r="K725">
        <v>-15</v>
      </c>
      <c r="L725">
        <v>-15.4</v>
      </c>
      <c r="M725">
        <v>-25</v>
      </c>
      <c r="N725">
        <v>-15.6</v>
      </c>
      <c r="O725">
        <v>-15.5</v>
      </c>
      <c r="P725">
        <v>-25</v>
      </c>
      <c r="Q725">
        <v>-15.6</v>
      </c>
      <c r="R725">
        <v>-15.5</v>
      </c>
      <c r="S725">
        <v>-25</v>
      </c>
      <c r="T725">
        <v>2.7</v>
      </c>
      <c r="U725">
        <v>2.2000000000000002</v>
      </c>
      <c r="V725">
        <v>2</v>
      </c>
      <c r="W725">
        <v>2.4</v>
      </c>
      <c r="X725">
        <v>-0.3</v>
      </c>
      <c r="Y725">
        <v>2</v>
      </c>
      <c r="Z725">
        <v>3.7</v>
      </c>
      <c r="AA725">
        <v>3.7</v>
      </c>
      <c r="AB725">
        <v>2</v>
      </c>
      <c r="AC725">
        <v>3.7</v>
      </c>
      <c r="AD725">
        <v>3.7</v>
      </c>
      <c r="AE725">
        <v>2</v>
      </c>
      <c r="AF725">
        <v>2.2000000000000002</v>
      </c>
      <c r="AG725">
        <v>1.7</v>
      </c>
      <c r="AH725">
        <v>2</v>
      </c>
      <c r="AI725">
        <v>2</v>
      </c>
      <c r="AJ725">
        <v>-0.3</v>
      </c>
      <c r="AK725">
        <v>2</v>
      </c>
      <c r="AL725">
        <v>4.7</v>
      </c>
      <c r="AM725">
        <v>4</v>
      </c>
      <c r="AN725">
        <v>5.3</v>
      </c>
      <c r="AO725">
        <v>4</v>
      </c>
      <c r="AP725">
        <v>6</v>
      </c>
      <c r="AQ725">
        <v>4</v>
      </c>
      <c r="AR725">
        <v>5.6</v>
      </c>
      <c r="AS725">
        <v>4</v>
      </c>
      <c r="AT725">
        <v>-4.3</v>
      </c>
      <c r="AU725">
        <v>-6.4</v>
      </c>
      <c r="AV725">
        <v>-5</v>
      </c>
      <c r="AW725">
        <v>-4.5999999999999996</v>
      </c>
      <c r="AX725">
        <v>-5.0999999999999996</v>
      </c>
      <c r="AY725">
        <v>-5</v>
      </c>
      <c r="AZ725">
        <v>8.9</v>
      </c>
      <c r="BA725">
        <v>10</v>
      </c>
      <c r="BB725">
        <v>10.3</v>
      </c>
      <c r="BC725">
        <v>10</v>
      </c>
      <c r="BD725">
        <v>4.5999999999999996</v>
      </c>
      <c r="BE725">
        <v>4</v>
      </c>
      <c r="BF725">
        <v>9.5</v>
      </c>
      <c r="BG725">
        <v>10</v>
      </c>
      <c r="BH725">
        <v>12.1</v>
      </c>
      <c r="BI725">
        <v>10</v>
      </c>
      <c r="BJ725">
        <v>10.8</v>
      </c>
      <c r="BK725">
        <v>9</v>
      </c>
      <c r="BL725">
        <v>20.9</v>
      </c>
      <c r="BM725">
        <v>19</v>
      </c>
      <c r="BN725">
        <v>23.6</v>
      </c>
      <c r="BO725">
        <v>19</v>
      </c>
      <c r="BP725">
        <v>20.399999999999999</v>
      </c>
      <c r="BQ725">
        <v>20</v>
      </c>
      <c r="BR725">
        <v>21.7</v>
      </c>
      <c r="BS725">
        <v>25</v>
      </c>
      <c r="BT725">
        <v>21.9</v>
      </c>
      <c r="BU725">
        <v>25</v>
      </c>
      <c r="BV725">
        <v>23.3</v>
      </c>
      <c r="BW725">
        <v>18</v>
      </c>
      <c r="BX725">
        <v>19.899999999999999</v>
      </c>
      <c r="BY725">
        <v>20</v>
      </c>
      <c r="BZ725">
        <v>21.5</v>
      </c>
      <c r="CA725">
        <v>20</v>
      </c>
      <c r="CB725">
        <v>11.8</v>
      </c>
      <c r="CC725">
        <v>10</v>
      </c>
      <c r="CD725">
        <v>11.4</v>
      </c>
      <c r="CE725">
        <v>10</v>
      </c>
      <c r="CF725">
        <v>11.3</v>
      </c>
      <c r="CG725">
        <v>9</v>
      </c>
      <c r="CH725">
        <v>11.5</v>
      </c>
      <c r="CI725">
        <v>9</v>
      </c>
    </row>
    <row r="726" spans="1:87" x14ac:dyDescent="0.35">
      <c r="A726" s="1">
        <v>46059.966666666667</v>
      </c>
      <c r="B726">
        <v>-18.899999999999999</v>
      </c>
      <c r="C726">
        <v>-19.3</v>
      </c>
      <c r="D726">
        <v>-25</v>
      </c>
      <c r="E726">
        <v>-19.2</v>
      </c>
      <c r="F726">
        <v>-18.600000000000001</v>
      </c>
      <c r="G726">
        <v>-25</v>
      </c>
      <c r="H726">
        <v>-13.4</v>
      </c>
      <c r="I726">
        <v>-4.5999999999999996</v>
      </c>
      <c r="J726">
        <v>-25</v>
      </c>
      <c r="K726">
        <v>-15</v>
      </c>
      <c r="L726">
        <v>-15.4</v>
      </c>
      <c r="M726">
        <v>-25</v>
      </c>
      <c r="N726">
        <v>-15.6</v>
      </c>
      <c r="O726">
        <v>-15.4</v>
      </c>
      <c r="P726">
        <v>-25</v>
      </c>
      <c r="Q726">
        <v>-15.5</v>
      </c>
      <c r="R726">
        <v>-15.4</v>
      </c>
      <c r="S726">
        <v>-25</v>
      </c>
      <c r="T726">
        <v>2.7</v>
      </c>
      <c r="U726">
        <v>2.2000000000000002</v>
      </c>
      <c r="V726">
        <v>2</v>
      </c>
      <c r="W726">
        <v>2.4</v>
      </c>
      <c r="X726">
        <v>0.7</v>
      </c>
      <c r="Y726">
        <v>2</v>
      </c>
      <c r="Z726">
        <v>3.7</v>
      </c>
      <c r="AA726">
        <v>3.7</v>
      </c>
      <c r="AB726">
        <v>2</v>
      </c>
      <c r="AC726">
        <v>3.8</v>
      </c>
      <c r="AD726">
        <v>3.7</v>
      </c>
      <c r="AE726">
        <v>2</v>
      </c>
      <c r="AF726">
        <v>2.2000000000000002</v>
      </c>
      <c r="AG726">
        <v>1.7</v>
      </c>
      <c r="AH726">
        <v>2</v>
      </c>
      <c r="AI726">
        <v>2</v>
      </c>
      <c r="AJ726">
        <v>0.6</v>
      </c>
      <c r="AK726">
        <v>2</v>
      </c>
      <c r="AL726">
        <v>4.7</v>
      </c>
      <c r="AM726">
        <v>4</v>
      </c>
      <c r="AN726">
        <v>5.4</v>
      </c>
      <c r="AO726">
        <v>4</v>
      </c>
      <c r="AP726">
        <v>5.0999999999999996</v>
      </c>
      <c r="AQ726">
        <v>4</v>
      </c>
      <c r="AR726">
        <v>5.8</v>
      </c>
      <c r="AS726">
        <v>4</v>
      </c>
      <c r="AT726">
        <v>-4.5</v>
      </c>
      <c r="AU726">
        <v>-6.6</v>
      </c>
      <c r="AV726">
        <v>-5</v>
      </c>
      <c r="AW726">
        <v>-4.5999999999999996</v>
      </c>
      <c r="AX726">
        <v>-5</v>
      </c>
      <c r="AY726">
        <v>-5</v>
      </c>
      <c r="AZ726">
        <v>8.8000000000000007</v>
      </c>
      <c r="BA726">
        <v>10</v>
      </c>
      <c r="BB726">
        <v>10.199999999999999</v>
      </c>
      <c r="BC726">
        <v>10</v>
      </c>
      <c r="BD726">
        <v>4.8</v>
      </c>
      <c r="BE726">
        <v>4</v>
      </c>
      <c r="BF726">
        <v>9.9</v>
      </c>
      <c r="BG726">
        <v>10</v>
      </c>
      <c r="BH726">
        <v>12.1</v>
      </c>
      <c r="BI726">
        <v>10</v>
      </c>
      <c r="BJ726">
        <v>10.8</v>
      </c>
      <c r="BK726">
        <v>9</v>
      </c>
      <c r="BL726">
        <v>20.9</v>
      </c>
      <c r="BM726">
        <v>19</v>
      </c>
      <c r="BN726">
        <v>23.6</v>
      </c>
      <c r="BO726">
        <v>19</v>
      </c>
      <c r="BP726">
        <v>20.399999999999999</v>
      </c>
      <c r="BQ726">
        <v>20</v>
      </c>
      <c r="BR726">
        <v>21.7</v>
      </c>
      <c r="BS726">
        <v>25</v>
      </c>
      <c r="BT726">
        <v>21.9</v>
      </c>
      <c r="BU726">
        <v>25</v>
      </c>
      <c r="BV726">
        <v>23.3</v>
      </c>
      <c r="BW726">
        <v>18</v>
      </c>
      <c r="BX726">
        <v>20.100000000000001</v>
      </c>
      <c r="BY726">
        <v>20</v>
      </c>
      <c r="BZ726">
        <v>19.2</v>
      </c>
      <c r="CA726">
        <v>20</v>
      </c>
      <c r="CB726">
        <v>11.4</v>
      </c>
      <c r="CC726">
        <v>10</v>
      </c>
      <c r="CD726">
        <v>11.4</v>
      </c>
      <c r="CE726">
        <v>10</v>
      </c>
      <c r="CF726">
        <v>11.5</v>
      </c>
      <c r="CG726">
        <v>9</v>
      </c>
      <c r="CH726">
        <v>11.7</v>
      </c>
      <c r="CI726">
        <v>9</v>
      </c>
    </row>
    <row r="727" spans="1:87" x14ac:dyDescent="0.35">
      <c r="A727" s="1">
        <v>46059.967361111114</v>
      </c>
      <c r="B727">
        <v>-18.899999999999999</v>
      </c>
      <c r="C727">
        <v>-19.3</v>
      </c>
      <c r="D727">
        <v>-25</v>
      </c>
      <c r="E727">
        <v>-19.2</v>
      </c>
      <c r="F727">
        <v>-18.600000000000001</v>
      </c>
      <c r="G727">
        <v>-25</v>
      </c>
      <c r="H727">
        <v>-13.7</v>
      </c>
      <c r="I727">
        <v>-5.4</v>
      </c>
      <c r="J727">
        <v>-25</v>
      </c>
      <c r="K727">
        <v>-15</v>
      </c>
      <c r="L727">
        <v>-15.5</v>
      </c>
      <c r="M727">
        <v>-25</v>
      </c>
      <c r="N727">
        <v>-15.5</v>
      </c>
      <c r="O727">
        <v>-15.3</v>
      </c>
      <c r="P727">
        <v>-25</v>
      </c>
      <c r="Q727">
        <v>-15.5</v>
      </c>
      <c r="R727">
        <v>-15.3</v>
      </c>
      <c r="S727">
        <v>-25</v>
      </c>
      <c r="T727">
        <v>2.7</v>
      </c>
      <c r="U727">
        <v>2.2999999999999998</v>
      </c>
      <c r="V727">
        <v>2</v>
      </c>
      <c r="W727">
        <v>2.4</v>
      </c>
      <c r="X727">
        <v>1.1000000000000001</v>
      </c>
      <c r="Y727">
        <v>2</v>
      </c>
      <c r="Z727">
        <v>3.7</v>
      </c>
      <c r="AA727">
        <v>3.8</v>
      </c>
      <c r="AB727">
        <v>2</v>
      </c>
      <c r="AC727">
        <v>3.8</v>
      </c>
      <c r="AD727">
        <v>3.8</v>
      </c>
      <c r="AE727">
        <v>2</v>
      </c>
      <c r="AF727">
        <v>2.2000000000000002</v>
      </c>
      <c r="AG727">
        <v>1.9</v>
      </c>
      <c r="AH727">
        <v>2</v>
      </c>
      <c r="AI727">
        <v>2</v>
      </c>
      <c r="AJ727">
        <v>1.2</v>
      </c>
      <c r="AK727">
        <v>2</v>
      </c>
      <c r="AL727">
        <v>4.8</v>
      </c>
      <c r="AM727">
        <v>4</v>
      </c>
      <c r="AN727">
        <v>5.4</v>
      </c>
      <c r="AO727">
        <v>4</v>
      </c>
      <c r="AP727">
        <v>3.9</v>
      </c>
      <c r="AQ727">
        <v>4</v>
      </c>
      <c r="AR727">
        <v>5.9</v>
      </c>
      <c r="AS727">
        <v>4</v>
      </c>
      <c r="AT727">
        <v>-4.5999999999999996</v>
      </c>
      <c r="AU727">
        <v>-6.6</v>
      </c>
      <c r="AV727">
        <v>-5</v>
      </c>
      <c r="AW727">
        <v>-4.7</v>
      </c>
      <c r="AX727">
        <v>-6.2</v>
      </c>
      <c r="AY727">
        <v>-5</v>
      </c>
      <c r="AZ727">
        <v>8.9</v>
      </c>
      <c r="BA727">
        <v>10</v>
      </c>
      <c r="BB727">
        <v>10</v>
      </c>
      <c r="BC727">
        <v>10</v>
      </c>
      <c r="BD727">
        <v>5.0999999999999996</v>
      </c>
      <c r="BE727">
        <v>4</v>
      </c>
      <c r="BF727">
        <v>10.5</v>
      </c>
      <c r="BG727">
        <v>10</v>
      </c>
      <c r="BH727">
        <v>12.4</v>
      </c>
      <c r="BI727">
        <v>10</v>
      </c>
      <c r="BJ727">
        <v>10.8</v>
      </c>
      <c r="BK727">
        <v>9</v>
      </c>
      <c r="BL727">
        <v>20.9</v>
      </c>
      <c r="BM727">
        <v>19</v>
      </c>
      <c r="BN727">
        <v>23.6</v>
      </c>
      <c r="BO727">
        <v>19</v>
      </c>
      <c r="BP727">
        <v>20.399999999999999</v>
      </c>
      <c r="BQ727">
        <v>20</v>
      </c>
      <c r="BR727">
        <v>21.7</v>
      </c>
      <c r="BS727">
        <v>25</v>
      </c>
      <c r="BT727">
        <v>21.9</v>
      </c>
      <c r="BU727">
        <v>25</v>
      </c>
      <c r="BV727">
        <v>23.3</v>
      </c>
      <c r="BW727">
        <v>18</v>
      </c>
      <c r="BX727">
        <v>20.2</v>
      </c>
      <c r="BY727">
        <v>20</v>
      </c>
      <c r="BZ727">
        <v>18.399999999999999</v>
      </c>
      <c r="CA727">
        <v>20</v>
      </c>
      <c r="CB727">
        <v>11.2</v>
      </c>
      <c r="CC727">
        <v>10</v>
      </c>
      <c r="CD727">
        <v>11.5</v>
      </c>
      <c r="CE727">
        <v>10</v>
      </c>
      <c r="CF727">
        <v>11.4</v>
      </c>
      <c r="CG727">
        <v>9</v>
      </c>
      <c r="CH727">
        <v>11.6</v>
      </c>
      <c r="CI727">
        <v>9</v>
      </c>
    </row>
    <row r="728" spans="1:87" x14ac:dyDescent="0.35">
      <c r="A728" s="1">
        <v>46059.968055555553</v>
      </c>
      <c r="B728">
        <v>-18.899999999999999</v>
      </c>
      <c r="C728">
        <v>-19.2</v>
      </c>
      <c r="D728">
        <v>-25</v>
      </c>
      <c r="E728">
        <v>-19.2</v>
      </c>
      <c r="F728">
        <v>-18.600000000000001</v>
      </c>
      <c r="G728">
        <v>-25</v>
      </c>
      <c r="H728">
        <v>-13.9</v>
      </c>
      <c r="I728">
        <v>-6.2</v>
      </c>
      <c r="J728">
        <v>-25</v>
      </c>
      <c r="K728">
        <v>-15</v>
      </c>
      <c r="L728">
        <v>-15.5</v>
      </c>
      <c r="M728">
        <v>-25</v>
      </c>
      <c r="N728">
        <v>-15.5</v>
      </c>
      <c r="O728">
        <v>-15.2</v>
      </c>
      <c r="P728">
        <v>-25</v>
      </c>
      <c r="Q728">
        <v>-15.4</v>
      </c>
      <c r="R728">
        <v>-15.3</v>
      </c>
      <c r="S728">
        <v>-25</v>
      </c>
      <c r="T728">
        <v>2.7</v>
      </c>
      <c r="U728">
        <v>2.2999999999999998</v>
      </c>
      <c r="V728">
        <v>2</v>
      </c>
      <c r="W728">
        <v>2.4</v>
      </c>
      <c r="X728">
        <v>0.5</v>
      </c>
      <c r="Y728">
        <v>2</v>
      </c>
      <c r="Z728">
        <v>3.7</v>
      </c>
      <c r="AA728">
        <v>3.8</v>
      </c>
      <c r="AB728">
        <v>2</v>
      </c>
      <c r="AC728">
        <v>3.8</v>
      </c>
      <c r="AD728">
        <v>3.9</v>
      </c>
      <c r="AE728">
        <v>2</v>
      </c>
      <c r="AF728">
        <v>2.2999999999999998</v>
      </c>
      <c r="AG728">
        <v>2.1</v>
      </c>
      <c r="AH728">
        <v>2</v>
      </c>
      <c r="AI728">
        <v>2.2000000000000002</v>
      </c>
      <c r="AJ728">
        <v>1.7</v>
      </c>
      <c r="AK728">
        <v>2</v>
      </c>
      <c r="AL728">
        <v>4.9000000000000004</v>
      </c>
      <c r="AM728">
        <v>4</v>
      </c>
      <c r="AN728">
        <v>5.5</v>
      </c>
      <c r="AO728">
        <v>4</v>
      </c>
      <c r="AP728">
        <v>2.9</v>
      </c>
      <c r="AQ728">
        <v>4</v>
      </c>
      <c r="AR728">
        <v>6</v>
      </c>
      <c r="AS728">
        <v>4</v>
      </c>
      <c r="AT728">
        <v>-4.7</v>
      </c>
      <c r="AU728">
        <v>-6.7</v>
      </c>
      <c r="AV728">
        <v>-5</v>
      </c>
      <c r="AW728">
        <v>-4.8</v>
      </c>
      <c r="AX728">
        <v>-6.3</v>
      </c>
      <c r="AY728">
        <v>-5</v>
      </c>
      <c r="AZ728">
        <v>9</v>
      </c>
      <c r="BA728">
        <v>10</v>
      </c>
      <c r="BB728">
        <v>10</v>
      </c>
      <c r="BC728">
        <v>10</v>
      </c>
      <c r="BD728">
        <v>5.3</v>
      </c>
      <c r="BE728">
        <v>4</v>
      </c>
      <c r="BF728">
        <v>10.7</v>
      </c>
      <c r="BG728">
        <v>10</v>
      </c>
      <c r="BH728">
        <v>12.3</v>
      </c>
      <c r="BI728">
        <v>10</v>
      </c>
      <c r="BJ728">
        <v>10.8</v>
      </c>
      <c r="BK728">
        <v>9</v>
      </c>
      <c r="BL728">
        <v>20.9</v>
      </c>
      <c r="BM728">
        <v>19</v>
      </c>
      <c r="BN728">
        <v>23.6</v>
      </c>
      <c r="BO728">
        <v>19</v>
      </c>
      <c r="BP728">
        <v>20.5</v>
      </c>
      <c r="BQ728">
        <v>20</v>
      </c>
      <c r="BR728">
        <v>21.7</v>
      </c>
      <c r="BS728">
        <v>25</v>
      </c>
      <c r="BT728">
        <v>21.9</v>
      </c>
      <c r="BU728">
        <v>25</v>
      </c>
      <c r="BV728">
        <v>23.3</v>
      </c>
      <c r="BW728">
        <v>18</v>
      </c>
      <c r="BX728">
        <v>20.3</v>
      </c>
      <c r="BY728">
        <v>20</v>
      </c>
      <c r="BZ728">
        <v>18.3</v>
      </c>
      <c r="CA728">
        <v>20</v>
      </c>
      <c r="CB728">
        <v>11</v>
      </c>
      <c r="CC728">
        <v>10</v>
      </c>
      <c r="CD728">
        <v>11.5</v>
      </c>
      <c r="CE728">
        <v>10</v>
      </c>
      <c r="CF728">
        <v>11.3</v>
      </c>
      <c r="CG728">
        <v>9</v>
      </c>
      <c r="CH728">
        <v>11.6</v>
      </c>
      <c r="CI728">
        <v>9</v>
      </c>
    </row>
    <row r="729" spans="1:87" x14ac:dyDescent="0.35">
      <c r="A729" s="1">
        <v>46059.96875</v>
      </c>
      <c r="B729">
        <v>-18.899999999999999</v>
      </c>
      <c r="C729">
        <v>-19.2</v>
      </c>
      <c r="D729">
        <v>-25</v>
      </c>
      <c r="E729">
        <v>-19.2</v>
      </c>
      <c r="F729">
        <v>-18.600000000000001</v>
      </c>
      <c r="G729">
        <v>-25</v>
      </c>
      <c r="H729">
        <v>-14.1</v>
      </c>
      <c r="I729">
        <v>-6.7</v>
      </c>
      <c r="J729">
        <v>-25</v>
      </c>
      <c r="K729">
        <v>-15</v>
      </c>
      <c r="L729">
        <v>-15.5</v>
      </c>
      <c r="M729">
        <v>-25</v>
      </c>
      <c r="N729">
        <v>-15.5</v>
      </c>
      <c r="O729">
        <v>-15.2</v>
      </c>
      <c r="P729">
        <v>-25</v>
      </c>
      <c r="Q729">
        <v>-15.4</v>
      </c>
      <c r="R729">
        <v>-15.3</v>
      </c>
      <c r="S729">
        <v>-25</v>
      </c>
      <c r="T729">
        <v>2.6</v>
      </c>
      <c r="U729">
        <v>2.2999999999999998</v>
      </c>
      <c r="V729">
        <v>2</v>
      </c>
      <c r="W729">
        <v>2.4</v>
      </c>
      <c r="X729">
        <v>0.9</v>
      </c>
      <c r="Y729">
        <v>2</v>
      </c>
      <c r="Z729">
        <v>3.7</v>
      </c>
      <c r="AA729">
        <v>3.8</v>
      </c>
      <c r="AB729">
        <v>2</v>
      </c>
      <c r="AC729">
        <v>3.9</v>
      </c>
      <c r="AD729">
        <v>3.9</v>
      </c>
      <c r="AE729">
        <v>2</v>
      </c>
      <c r="AF729">
        <v>2.5</v>
      </c>
      <c r="AG729">
        <v>2.2999999999999998</v>
      </c>
      <c r="AH729">
        <v>2</v>
      </c>
      <c r="AI729">
        <v>2.4</v>
      </c>
      <c r="AJ729">
        <v>2</v>
      </c>
      <c r="AK729">
        <v>2</v>
      </c>
      <c r="AL729">
        <v>4.9000000000000004</v>
      </c>
      <c r="AM729">
        <v>4</v>
      </c>
      <c r="AN729">
        <v>5.5</v>
      </c>
      <c r="AO729">
        <v>4</v>
      </c>
      <c r="AP729">
        <v>2.9</v>
      </c>
      <c r="AQ729">
        <v>4</v>
      </c>
      <c r="AR729">
        <v>5.5</v>
      </c>
      <c r="AS729">
        <v>4</v>
      </c>
      <c r="AT729">
        <v>-4.9000000000000004</v>
      </c>
      <c r="AU729">
        <v>-6.8</v>
      </c>
      <c r="AV729">
        <v>-5</v>
      </c>
      <c r="AW729">
        <v>-4.8</v>
      </c>
      <c r="AX729">
        <v>-5.4</v>
      </c>
      <c r="AY729">
        <v>-5</v>
      </c>
      <c r="AZ729">
        <v>9.1999999999999993</v>
      </c>
      <c r="BA729">
        <v>10</v>
      </c>
      <c r="BB729">
        <v>10</v>
      </c>
      <c r="BC729">
        <v>10</v>
      </c>
      <c r="BD729">
        <v>5.4</v>
      </c>
      <c r="BE729">
        <v>4</v>
      </c>
      <c r="BF729">
        <v>10.9</v>
      </c>
      <c r="BG729">
        <v>10</v>
      </c>
      <c r="BH729">
        <v>12.3</v>
      </c>
      <c r="BI729">
        <v>10</v>
      </c>
      <c r="BJ729">
        <v>10.8</v>
      </c>
      <c r="BK729">
        <v>9</v>
      </c>
      <c r="BL729">
        <v>20.9</v>
      </c>
      <c r="BM729">
        <v>19</v>
      </c>
      <c r="BN729">
        <v>23.6</v>
      </c>
      <c r="BO729">
        <v>19</v>
      </c>
      <c r="BP729">
        <v>20.5</v>
      </c>
      <c r="BQ729">
        <v>20</v>
      </c>
      <c r="BR729">
        <v>21.7</v>
      </c>
      <c r="BS729">
        <v>25</v>
      </c>
      <c r="BT729">
        <v>21.9</v>
      </c>
      <c r="BU729">
        <v>25</v>
      </c>
      <c r="BV729">
        <v>23.3</v>
      </c>
      <c r="BW729">
        <v>18</v>
      </c>
      <c r="BX729">
        <v>20.5</v>
      </c>
      <c r="BY729">
        <v>20</v>
      </c>
      <c r="BZ729">
        <v>18.600000000000001</v>
      </c>
      <c r="CA729">
        <v>20</v>
      </c>
      <c r="CB729">
        <v>10.8</v>
      </c>
      <c r="CC729">
        <v>10</v>
      </c>
      <c r="CD729">
        <v>11.5</v>
      </c>
      <c r="CE729">
        <v>10</v>
      </c>
      <c r="CF729">
        <v>11.4</v>
      </c>
      <c r="CG729">
        <v>9</v>
      </c>
      <c r="CH729">
        <v>11.6</v>
      </c>
      <c r="CI729">
        <v>9</v>
      </c>
    </row>
    <row r="730" spans="1:87" x14ac:dyDescent="0.35">
      <c r="A730" s="1">
        <v>46059.969444444447</v>
      </c>
      <c r="B730">
        <v>-18.899999999999999</v>
      </c>
      <c r="C730">
        <v>-19.2</v>
      </c>
      <c r="D730">
        <v>-25</v>
      </c>
      <c r="E730">
        <v>-19.2</v>
      </c>
      <c r="F730">
        <v>-18.600000000000001</v>
      </c>
      <c r="G730">
        <v>-25</v>
      </c>
      <c r="H730">
        <v>-14.1</v>
      </c>
      <c r="I730">
        <v>-7.2</v>
      </c>
      <c r="J730">
        <v>-25</v>
      </c>
      <c r="K730">
        <v>-15</v>
      </c>
      <c r="L730">
        <v>-15.5</v>
      </c>
      <c r="M730">
        <v>-25</v>
      </c>
      <c r="N730">
        <v>-15.5</v>
      </c>
      <c r="O730">
        <v>-15.1</v>
      </c>
      <c r="P730">
        <v>-25</v>
      </c>
      <c r="Q730">
        <v>-15.4</v>
      </c>
      <c r="R730">
        <v>-15.3</v>
      </c>
      <c r="S730">
        <v>-25</v>
      </c>
      <c r="T730">
        <v>2.6</v>
      </c>
      <c r="U730">
        <v>2.2999999999999998</v>
      </c>
      <c r="V730">
        <v>2</v>
      </c>
      <c r="W730">
        <v>2.4</v>
      </c>
      <c r="X730">
        <v>0.3</v>
      </c>
      <c r="Y730">
        <v>2</v>
      </c>
      <c r="Z730">
        <v>3.7</v>
      </c>
      <c r="AA730">
        <v>3.8</v>
      </c>
      <c r="AB730">
        <v>2</v>
      </c>
      <c r="AC730">
        <v>3.9</v>
      </c>
      <c r="AD730">
        <v>3.9</v>
      </c>
      <c r="AE730">
        <v>2</v>
      </c>
      <c r="AF730">
        <v>2.7</v>
      </c>
      <c r="AG730">
        <v>2.5</v>
      </c>
      <c r="AH730">
        <v>2</v>
      </c>
      <c r="AI730">
        <v>2.5</v>
      </c>
      <c r="AJ730">
        <v>2.2000000000000002</v>
      </c>
      <c r="AK730">
        <v>2</v>
      </c>
      <c r="AL730">
        <v>5</v>
      </c>
      <c r="AM730">
        <v>4</v>
      </c>
      <c r="AN730">
        <v>5.5</v>
      </c>
      <c r="AO730">
        <v>4</v>
      </c>
      <c r="AP730">
        <v>2.9</v>
      </c>
      <c r="AQ730">
        <v>4</v>
      </c>
      <c r="AR730">
        <v>4.4000000000000004</v>
      </c>
      <c r="AS730">
        <v>4</v>
      </c>
      <c r="AT730">
        <v>-5</v>
      </c>
      <c r="AU730">
        <v>-7.1</v>
      </c>
      <c r="AV730">
        <v>-5</v>
      </c>
      <c r="AW730">
        <v>-4.8</v>
      </c>
      <c r="AX730">
        <v>-5.0999999999999996</v>
      </c>
      <c r="AY730">
        <v>-5</v>
      </c>
      <c r="AZ730">
        <v>9.4</v>
      </c>
      <c r="BA730">
        <v>10</v>
      </c>
      <c r="BB730">
        <v>10.4</v>
      </c>
      <c r="BC730">
        <v>10</v>
      </c>
      <c r="BD730">
        <v>5.6</v>
      </c>
      <c r="BE730">
        <v>4</v>
      </c>
      <c r="BF730">
        <v>11.3</v>
      </c>
      <c r="BG730">
        <v>10</v>
      </c>
      <c r="BH730">
        <v>12.3</v>
      </c>
      <c r="BI730">
        <v>10</v>
      </c>
      <c r="BJ730">
        <v>10.7</v>
      </c>
      <c r="BK730">
        <v>9</v>
      </c>
      <c r="BL730">
        <v>20.9</v>
      </c>
      <c r="BM730">
        <v>19</v>
      </c>
      <c r="BN730">
        <v>23.6</v>
      </c>
      <c r="BO730">
        <v>19</v>
      </c>
      <c r="BP730">
        <v>20.5</v>
      </c>
      <c r="BQ730">
        <v>20</v>
      </c>
      <c r="BR730">
        <v>21.7</v>
      </c>
      <c r="BS730">
        <v>25</v>
      </c>
      <c r="BT730">
        <v>21.9</v>
      </c>
      <c r="BU730">
        <v>25</v>
      </c>
      <c r="BV730">
        <v>23.3</v>
      </c>
      <c r="BW730">
        <v>18</v>
      </c>
      <c r="BX730">
        <v>20.5</v>
      </c>
      <c r="BY730">
        <v>20</v>
      </c>
      <c r="BZ730">
        <v>19.100000000000001</v>
      </c>
      <c r="CA730">
        <v>20</v>
      </c>
      <c r="CB730">
        <v>10.6</v>
      </c>
      <c r="CC730">
        <v>10</v>
      </c>
      <c r="CD730">
        <v>11.5</v>
      </c>
      <c r="CE730">
        <v>10</v>
      </c>
      <c r="CF730">
        <v>11.6</v>
      </c>
      <c r="CG730">
        <v>9</v>
      </c>
      <c r="CH730">
        <v>11.8</v>
      </c>
      <c r="CI730">
        <v>9</v>
      </c>
    </row>
    <row r="731" spans="1:87" x14ac:dyDescent="0.35">
      <c r="A731" s="1">
        <v>46059.970138888886</v>
      </c>
      <c r="B731">
        <v>-18.899999999999999</v>
      </c>
      <c r="C731">
        <v>-19.3</v>
      </c>
      <c r="D731">
        <v>-25</v>
      </c>
      <c r="E731">
        <v>-19.2</v>
      </c>
      <c r="F731">
        <v>-18.600000000000001</v>
      </c>
      <c r="G731">
        <v>-25</v>
      </c>
      <c r="H731">
        <v>-14.1</v>
      </c>
      <c r="I731">
        <v>-7.7</v>
      </c>
      <c r="J731">
        <v>-25</v>
      </c>
      <c r="K731">
        <v>-15</v>
      </c>
      <c r="L731">
        <v>-15.5</v>
      </c>
      <c r="M731">
        <v>-25</v>
      </c>
      <c r="N731">
        <v>-15.5</v>
      </c>
      <c r="O731">
        <v>-15.1</v>
      </c>
      <c r="P731">
        <v>-25</v>
      </c>
      <c r="Q731">
        <v>-15.4</v>
      </c>
      <c r="R731">
        <v>-15.3</v>
      </c>
      <c r="S731">
        <v>-25</v>
      </c>
      <c r="T731">
        <v>2.5</v>
      </c>
      <c r="U731">
        <v>2</v>
      </c>
      <c r="V731">
        <v>2</v>
      </c>
      <c r="W731">
        <v>2.1</v>
      </c>
      <c r="X731">
        <v>-1.6</v>
      </c>
      <c r="Y731">
        <v>2</v>
      </c>
      <c r="Z731">
        <v>3.7</v>
      </c>
      <c r="AA731">
        <v>3.8</v>
      </c>
      <c r="AB731">
        <v>2</v>
      </c>
      <c r="AC731">
        <v>3.9</v>
      </c>
      <c r="AD731">
        <v>4</v>
      </c>
      <c r="AE731">
        <v>2</v>
      </c>
      <c r="AF731">
        <v>2.8</v>
      </c>
      <c r="AG731">
        <v>2.6</v>
      </c>
      <c r="AH731">
        <v>2</v>
      </c>
      <c r="AI731">
        <v>2.7</v>
      </c>
      <c r="AJ731">
        <v>2.5</v>
      </c>
      <c r="AK731">
        <v>2</v>
      </c>
      <c r="AL731">
        <v>5</v>
      </c>
      <c r="AM731">
        <v>4</v>
      </c>
      <c r="AN731">
        <v>5.6</v>
      </c>
      <c r="AO731">
        <v>4</v>
      </c>
      <c r="AP731">
        <v>3.2</v>
      </c>
      <c r="AQ731">
        <v>4</v>
      </c>
      <c r="AR731">
        <v>3.4</v>
      </c>
      <c r="AS731">
        <v>4</v>
      </c>
      <c r="AT731">
        <v>-5.0999999999999996</v>
      </c>
      <c r="AU731">
        <v>-6.4</v>
      </c>
      <c r="AV731">
        <v>-5</v>
      </c>
      <c r="AW731">
        <v>-5.0999999999999996</v>
      </c>
      <c r="AX731">
        <v>-7</v>
      </c>
      <c r="AY731">
        <v>-5</v>
      </c>
      <c r="AZ731">
        <v>9.6</v>
      </c>
      <c r="BA731">
        <v>10</v>
      </c>
      <c r="BB731">
        <v>10.8</v>
      </c>
      <c r="BC731">
        <v>10</v>
      </c>
      <c r="BD731">
        <v>5.8</v>
      </c>
      <c r="BE731">
        <v>4</v>
      </c>
      <c r="BF731">
        <v>11.6</v>
      </c>
      <c r="BG731">
        <v>10</v>
      </c>
      <c r="BH731">
        <v>12.3</v>
      </c>
      <c r="BI731">
        <v>10</v>
      </c>
      <c r="BJ731">
        <v>10.8</v>
      </c>
      <c r="BK731">
        <v>9</v>
      </c>
      <c r="BL731">
        <v>20.9</v>
      </c>
      <c r="BM731">
        <v>19</v>
      </c>
      <c r="BN731">
        <v>23.6</v>
      </c>
      <c r="BO731">
        <v>19</v>
      </c>
      <c r="BP731">
        <v>20.6</v>
      </c>
      <c r="BQ731">
        <v>20</v>
      </c>
      <c r="BR731">
        <v>21.7</v>
      </c>
      <c r="BS731">
        <v>25</v>
      </c>
      <c r="BT731">
        <v>21.9</v>
      </c>
      <c r="BU731">
        <v>25</v>
      </c>
      <c r="BV731">
        <v>23.3</v>
      </c>
      <c r="BW731">
        <v>18</v>
      </c>
      <c r="BX731">
        <v>20.6</v>
      </c>
      <c r="BY731">
        <v>20</v>
      </c>
      <c r="BZ731">
        <v>19.399999999999999</v>
      </c>
      <c r="CA731">
        <v>20</v>
      </c>
      <c r="CB731">
        <v>10.4</v>
      </c>
      <c r="CC731">
        <v>10</v>
      </c>
      <c r="CD731">
        <v>11.6</v>
      </c>
      <c r="CE731">
        <v>10</v>
      </c>
      <c r="CF731">
        <v>11.6</v>
      </c>
      <c r="CG731">
        <v>9</v>
      </c>
      <c r="CH731">
        <v>11.8</v>
      </c>
      <c r="CI731">
        <v>9</v>
      </c>
    </row>
    <row r="732" spans="1:87" x14ac:dyDescent="0.35">
      <c r="A732" s="1">
        <v>46059.970833333333</v>
      </c>
      <c r="B732">
        <v>-18.899999999999999</v>
      </c>
      <c r="C732">
        <v>-19.3</v>
      </c>
      <c r="D732">
        <v>-25</v>
      </c>
      <c r="E732">
        <v>-19.2</v>
      </c>
      <c r="F732">
        <v>-18.600000000000001</v>
      </c>
      <c r="G732">
        <v>-25</v>
      </c>
      <c r="H732">
        <v>-14.2</v>
      </c>
      <c r="I732">
        <v>-8.1</v>
      </c>
      <c r="J732">
        <v>-25</v>
      </c>
      <c r="K732">
        <v>-15</v>
      </c>
      <c r="L732">
        <v>-15.4</v>
      </c>
      <c r="M732">
        <v>-25</v>
      </c>
      <c r="N732">
        <v>-15.5</v>
      </c>
      <c r="O732">
        <v>-15.1</v>
      </c>
      <c r="P732">
        <v>-25</v>
      </c>
      <c r="Q732">
        <v>-15.4</v>
      </c>
      <c r="R732">
        <v>-15.3</v>
      </c>
      <c r="S732">
        <v>-25</v>
      </c>
      <c r="T732">
        <v>2.2000000000000002</v>
      </c>
      <c r="U732">
        <v>1.8</v>
      </c>
      <c r="V732">
        <v>2</v>
      </c>
      <c r="W732">
        <v>1.9</v>
      </c>
      <c r="X732">
        <v>0.1</v>
      </c>
      <c r="Y732">
        <v>2</v>
      </c>
      <c r="Z732">
        <v>3.7</v>
      </c>
      <c r="AA732">
        <v>3.9</v>
      </c>
      <c r="AB732">
        <v>2</v>
      </c>
      <c r="AC732">
        <v>4</v>
      </c>
      <c r="AD732">
        <v>4</v>
      </c>
      <c r="AE732">
        <v>2</v>
      </c>
      <c r="AF732">
        <v>3</v>
      </c>
      <c r="AG732">
        <v>2.9</v>
      </c>
      <c r="AH732">
        <v>2</v>
      </c>
      <c r="AI732">
        <v>2.9</v>
      </c>
      <c r="AJ732">
        <v>2.7</v>
      </c>
      <c r="AK732">
        <v>2</v>
      </c>
      <c r="AL732">
        <v>5.0999999999999996</v>
      </c>
      <c r="AM732">
        <v>4</v>
      </c>
      <c r="AN732">
        <v>5.6</v>
      </c>
      <c r="AO732">
        <v>4</v>
      </c>
      <c r="AP732">
        <v>3.4</v>
      </c>
      <c r="AQ732">
        <v>4</v>
      </c>
      <c r="AR732">
        <v>2.9</v>
      </c>
      <c r="AS732">
        <v>4</v>
      </c>
      <c r="AT732">
        <v>-5</v>
      </c>
      <c r="AU732">
        <v>-5.7</v>
      </c>
      <c r="AV732">
        <v>-5</v>
      </c>
      <c r="AW732">
        <v>-5.5</v>
      </c>
      <c r="AX732">
        <v>-7</v>
      </c>
      <c r="AY732">
        <v>-5</v>
      </c>
      <c r="AZ732">
        <v>9.6999999999999993</v>
      </c>
      <c r="BA732">
        <v>10</v>
      </c>
      <c r="BB732">
        <v>11</v>
      </c>
      <c r="BC732">
        <v>10</v>
      </c>
      <c r="BD732">
        <v>5.9</v>
      </c>
      <c r="BE732">
        <v>4</v>
      </c>
      <c r="BF732">
        <v>11.9</v>
      </c>
      <c r="BG732">
        <v>10</v>
      </c>
      <c r="BH732">
        <v>12.3</v>
      </c>
      <c r="BI732">
        <v>10</v>
      </c>
      <c r="BJ732">
        <v>10.8</v>
      </c>
      <c r="BK732">
        <v>9</v>
      </c>
      <c r="BL732">
        <v>20.9</v>
      </c>
      <c r="BM732">
        <v>19</v>
      </c>
      <c r="BN732">
        <v>23.6</v>
      </c>
      <c r="BO732">
        <v>19</v>
      </c>
      <c r="BP732">
        <v>20.6</v>
      </c>
      <c r="BQ732">
        <v>20</v>
      </c>
      <c r="BR732">
        <v>21.8</v>
      </c>
      <c r="BS732">
        <v>25</v>
      </c>
      <c r="BT732">
        <v>21.9</v>
      </c>
      <c r="BU732">
        <v>25</v>
      </c>
      <c r="BV732">
        <v>23.3</v>
      </c>
      <c r="BW732">
        <v>18</v>
      </c>
      <c r="BX732">
        <v>20.7</v>
      </c>
      <c r="BY732">
        <v>20</v>
      </c>
      <c r="BZ732">
        <v>19.7</v>
      </c>
      <c r="CA732">
        <v>20</v>
      </c>
      <c r="CB732">
        <v>10.3</v>
      </c>
      <c r="CC732">
        <v>10</v>
      </c>
      <c r="CD732">
        <v>11.6</v>
      </c>
      <c r="CE732">
        <v>10</v>
      </c>
      <c r="CF732">
        <v>11.5</v>
      </c>
      <c r="CG732">
        <v>9</v>
      </c>
      <c r="CH732">
        <v>11.7</v>
      </c>
      <c r="CI732">
        <v>9</v>
      </c>
    </row>
    <row r="733" spans="1:87" x14ac:dyDescent="0.35">
      <c r="A733" s="1">
        <v>46059.97152777778</v>
      </c>
      <c r="B733">
        <v>-18.899999999999999</v>
      </c>
      <c r="C733">
        <v>-19.399999999999999</v>
      </c>
      <c r="D733">
        <v>-25</v>
      </c>
      <c r="E733">
        <v>-19.2</v>
      </c>
      <c r="F733">
        <v>-18.600000000000001</v>
      </c>
      <c r="G733">
        <v>-25</v>
      </c>
      <c r="H733">
        <v>-14.3</v>
      </c>
      <c r="I733">
        <v>-8.5</v>
      </c>
      <c r="J733">
        <v>-25</v>
      </c>
      <c r="K733">
        <v>-15</v>
      </c>
      <c r="L733">
        <v>-15.4</v>
      </c>
      <c r="M733">
        <v>-25</v>
      </c>
      <c r="N733">
        <v>-15.5</v>
      </c>
      <c r="O733">
        <v>-15</v>
      </c>
      <c r="P733">
        <v>-25</v>
      </c>
      <c r="Q733">
        <v>-15.4</v>
      </c>
      <c r="R733">
        <v>-15.3</v>
      </c>
      <c r="S733">
        <v>-25</v>
      </c>
      <c r="T733">
        <v>2.2000000000000002</v>
      </c>
      <c r="U733">
        <v>1.8</v>
      </c>
      <c r="V733">
        <v>2</v>
      </c>
      <c r="W733">
        <v>1.9</v>
      </c>
      <c r="X733">
        <v>0.8</v>
      </c>
      <c r="Y733">
        <v>2</v>
      </c>
      <c r="Z733">
        <v>3.7</v>
      </c>
      <c r="AA733">
        <v>4</v>
      </c>
      <c r="AB733">
        <v>2</v>
      </c>
      <c r="AC733">
        <v>4</v>
      </c>
      <c r="AD733">
        <v>3</v>
      </c>
      <c r="AE733">
        <v>2</v>
      </c>
      <c r="AF733">
        <v>3.2</v>
      </c>
      <c r="AG733">
        <v>3</v>
      </c>
      <c r="AH733">
        <v>2</v>
      </c>
      <c r="AI733">
        <v>3.1</v>
      </c>
      <c r="AJ733">
        <v>2.9</v>
      </c>
      <c r="AK733">
        <v>2</v>
      </c>
      <c r="AL733">
        <v>5.0999999999999996</v>
      </c>
      <c r="AM733">
        <v>4</v>
      </c>
      <c r="AN733">
        <v>5.7</v>
      </c>
      <c r="AO733">
        <v>4</v>
      </c>
      <c r="AP733">
        <v>3.7</v>
      </c>
      <c r="AQ733">
        <v>4</v>
      </c>
      <c r="AR733">
        <v>2.9</v>
      </c>
      <c r="AS733">
        <v>4</v>
      </c>
      <c r="AT733">
        <v>-4.3</v>
      </c>
      <c r="AU733">
        <v>-4.7</v>
      </c>
      <c r="AV733">
        <v>-5</v>
      </c>
      <c r="AW733">
        <v>-5.4</v>
      </c>
      <c r="AX733">
        <v>-5.6</v>
      </c>
      <c r="AY733">
        <v>-5</v>
      </c>
      <c r="AZ733">
        <v>9.9</v>
      </c>
      <c r="BA733">
        <v>10</v>
      </c>
      <c r="BB733">
        <v>11.3</v>
      </c>
      <c r="BC733">
        <v>10</v>
      </c>
      <c r="BD733">
        <v>6</v>
      </c>
      <c r="BE733">
        <v>4</v>
      </c>
      <c r="BF733">
        <v>12</v>
      </c>
      <c r="BG733">
        <v>10</v>
      </c>
      <c r="BH733">
        <v>12.3</v>
      </c>
      <c r="BI733">
        <v>10</v>
      </c>
      <c r="BJ733">
        <v>11.2</v>
      </c>
      <c r="BK733">
        <v>9</v>
      </c>
      <c r="BL733">
        <v>20.9</v>
      </c>
      <c r="BM733">
        <v>19</v>
      </c>
      <c r="BN733">
        <v>23.6</v>
      </c>
      <c r="BO733">
        <v>19</v>
      </c>
      <c r="BP733">
        <v>20.7</v>
      </c>
      <c r="BQ733">
        <v>20</v>
      </c>
      <c r="BR733">
        <v>21.8</v>
      </c>
      <c r="BS733">
        <v>25</v>
      </c>
      <c r="BT733">
        <v>21.9</v>
      </c>
      <c r="BU733">
        <v>25</v>
      </c>
      <c r="BV733">
        <v>23.3</v>
      </c>
      <c r="BW733">
        <v>18</v>
      </c>
      <c r="BX733">
        <v>20.8</v>
      </c>
      <c r="BY733">
        <v>20</v>
      </c>
      <c r="BZ733">
        <v>20</v>
      </c>
      <c r="CA733">
        <v>20</v>
      </c>
      <c r="CB733">
        <v>10.1</v>
      </c>
      <c r="CC733">
        <v>10</v>
      </c>
      <c r="CD733">
        <v>11.7</v>
      </c>
      <c r="CE733">
        <v>10</v>
      </c>
      <c r="CF733">
        <v>11.5</v>
      </c>
      <c r="CG733">
        <v>9</v>
      </c>
      <c r="CH733">
        <v>11.7</v>
      </c>
      <c r="CI733">
        <v>9</v>
      </c>
    </row>
    <row r="734" spans="1:87" x14ac:dyDescent="0.35">
      <c r="A734" s="1">
        <v>46059.972222222219</v>
      </c>
      <c r="B734">
        <v>-18.899999999999999</v>
      </c>
      <c r="C734">
        <v>-19.399999999999999</v>
      </c>
      <c r="D734">
        <v>-25</v>
      </c>
      <c r="E734">
        <v>-19.2</v>
      </c>
      <c r="F734">
        <v>-18.7</v>
      </c>
      <c r="G734">
        <v>-25</v>
      </c>
      <c r="H734">
        <v>-14.3</v>
      </c>
      <c r="I734">
        <v>-8.9</v>
      </c>
      <c r="J734">
        <v>-25</v>
      </c>
      <c r="K734">
        <v>-15</v>
      </c>
      <c r="L734">
        <v>-15.4</v>
      </c>
      <c r="M734">
        <v>-25</v>
      </c>
      <c r="N734">
        <v>-15.5</v>
      </c>
      <c r="O734">
        <v>-15</v>
      </c>
      <c r="P734">
        <v>-25</v>
      </c>
      <c r="Q734">
        <v>-15.4</v>
      </c>
      <c r="R734">
        <v>-15.3</v>
      </c>
      <c r="S734">
        <v>-25</v>
      </c>
      <c r="T734">
        <v>2.2000000000000002</v>
      </c>
      <c r="U734">
        <v>2</v>
      </c>
      <c r="V734">
        <v>2</v>
      </c>
      <c r="W734">
        <v>2</v>
      </c>
      <c r="X734">
        <v>1.1000000000000001</v>
      </c>
      <c r="Y734">
        <v>2</v>
      </c>
      <c r="Z734">
        <v>3.7</v>
      </c>
      <c r="AA734">
        <v>4</v>
      </c>
      <c r="AB734">
        <v>2</v>
      </c>
      <c r="AC734">
        <v>3.5</v>
      </c>
      <c r="AD734">
        <v>1.8</v>
      </c>
      <c r="AE734">
        <v>2</v>
      </c>
      <c r="AF734">
        <v>3.4</v>
      </c>
      <c r="AG734">
        <v>3.2</v>
      </c>
      <c r="AH734">
        <v>2</v>
      </c>
      <c r="AI734">
        <v>3.2</v>
      </c>
      <c r="AJ734">
        <v>3.1</v>
      </c>
      <c r="AK734">
        <v>2</v>
      </c>
      <c r="AL734">
        <v>5.2</v>
      </c>
      <c r="AM734">
        <v>4</v>
      </c>
      <c r="AN734">
        <v>5.7</v>
      </c>
      <c r="AO734">
        <v>4</v>
      </c>
      <c r="AP734">
        <v>3.9</v>
      </c>
      <c r="AQ734">
        <v>4</v>
      </c>
      <c r="AR734">
        <v>3.2</v>
      </c>
      <c r="AS734">
        <v>4</v>
      </c>
      <c r="AT734">
        <v>-3.9</v>
      </c>
      <c r="AU734">
        <v>-4.2</v>
      </c>
      <c r="AV734">
        <v>-5</v>
      </c>
      <c r="AW734">
        <v>-4.7</v>
      </c>
      <c r="AX734">
        <v>-4.5999999999999996</v>
      </c>
      <c r="AY734">
        <v>-5</v>
      </c>
      <c r="AZ734">
        <v>10</v>
      </c>
      <c r="BA734">
        <v>10</v>
      </c>
      <c r="BB734">
        <v>11.5</v>
      </c>
      <c r="BC734">
        <v>10</v>
      </c>
      <c r="BD734">
        <v>5.9</v>
      </c>
      <c r="BE734">
        <v>4</v>
      </c>
      <c r="BF734">
        <v>10.9</v>
      </c>
      <c r="BG734">
        <v>10</v>
      </c>
      <c r="BH734">
        <v>12.4</v>
      </c>
      <c r="BI734">
        <v>10</v>
      </c>
      <c r="BJ734">
        <v>11.2</v>
      </c>
      <c r="BK734">
        <v>9</v>
      </c>
      <c r="BL734">
        <v>20.9</v>
      </c>
      <c r="BM734">
        <v>19</v>
      </c>
      <c r="BN734">
        <v>23.6</v>
      </c>
      <c r="BO734">
        <v>19</v>
      </c>
      <c r="BP734">
        <v>20.7</v>
      </c>
      <c r="BQ734">
        <v>20</v>
      </c>
      <c r="BR734">
        <v>21.8</v>
      </c>
      <c r="BS734">
        <v>25</v>
      </c>
      <c r="BT734">
        <v>21.9</v>
      </c>
      <c r="BU734">
        <v>25</v>
      </c>
      <c r="BV734">
        <v>23.3</v>
      </c>
      <c r="BW734">
        <v>18</v>
      </c>
      <c r="BX734">
        <v>20.8</v>
      </c>
      <c r="BY734">
        <v>20</v>
      </c>
      <c r="BZ734">
        <v>20.100000000000001</v>
      </c>
      <c r="CA734">
        <v>20</v>
      </c>
      <c r="CB734">
        <v>10</v>
      </c>
      <c r="CC734">
        <v>10</v>
      </c>
      <c r="CD734">
        <v>11.8</v>
      </c>
      <c r="CE734">
        <v>10</v>
      </c>
      <c r="CF734">
        <v>11.5</v>
      </c>
      <c r="CG734">
        <v>9</v>
      </c>
      <c r="CH734">
        <v>11.7</v>
      </c>
      <c r="CI734">
        <v>9</v>
      </c>
    </row>
    <row r="735" spans="1:87" x14ac:dyDescent="0.35">
      <c r="A735" s="1">
        <v>46059.972916666666</v>
      </c>
      <c r="B735">
        <v>-18.899999999999999</v>
      </c>
      <c r="C735">
        <v>-19.399999999999999</v>
      </c>
      <c r="D735">
        <v>-25</v>
      </c>
      <c r="E735">
        <v>-19.2</v>
      </c>
      <c r="F735">
        <v>-18.7</v>
      </c>
      <c r="G735">
        <v>-25</v>
      </c>
      <c r="H735">
        <v>-14.4</v>
      </c>
      <c r="I735">
        <v>-9.1999999999999993</v>
      </c>
      <c r="J735">
        <v>-25</v>
      </c>
      <c r="K735">
        <v>-15</v>
      </c>
      <c r="L735">
        <v>-15.4</v>
      </c>
      <c r="M735">
        <v>-25</v>
      </c>
      <c r="N735">
        <v>-15.5</v>
      </c>
      <c r="O735">
        <v>-15</v>
      </c>
      <c r="P735">
        <v>-25</v>
      </c>
      <c r="Q735">
        <v>-15.4</v>
      </c>
      <c r="R735">
        <v>-15.3</v>
      </c>
      <c r="S735">
        <v>-25</v>
      </c>
      <c r="T735">
        <v>2.2999999999999998</v>
      </c>
      <c r="U735">
        <v>2.1</v>
      </c>
      <c r="V735">
        <v>2</v>
      </c>
      <c r="W735">
        <v>2.1</v>
      </c>
      <c r="X735">
        <v>1.4</v>
      </c>
      <c r="Y735">
        <v>2</v>
      </c>
      <c r="Z735">
        <v>3.7</v>
      </c>
      <c r="AA735">
        <v>4</v>
      </c>
      <c r="AB735">
        <v>2</v>
      </c>
      <c r="AC735">
        <v>3.1</v>
      </c>
      <c r="AD735">
        <v>1.7</v>
      </c>
      <c r="AE735">
        <v>2</v>
      </c>
      <c r="AF735">
        <v>3.5</v>
      </c>
      <c r="AG735">
        <v>3.4</v>
      </c>
      <c r="AH735">
        <v>2</v>
      </c>
      <c r="AI735">
        <v>3.4</v>
      </c>
      <c r="AJ735">
        <v>3.3</v>
      </c>
      <c r="AK735">
        <v>2</v>
      </c>
      <c r="AL735">
        <v>5.2</v>
      </c>
      <c r="AM735">
        <v>4</v>
      </c>
      <c r="AN735">
        <v>5.8</v>
      </c>
      <c r="AO735">
        <v>4</v>
      </c>
      <c r="AP735">
        <v>4.2</v>
      </c>
      <c r="AQ735">
        <v>4</v>
      </c>
      <c r="AR735">
        <v>3.5</v>
      </c>
      <c r="AS735">
        <v>4</v>
      </c>
      <c r="AT735">
        <v>-3.4</v>
      </c>
      <c r="AU735">
        <v>-3.7</v>
      </c>
      <c r="AV735">
        <v>-5</v>
      </c>
      <c r="AW735">
        <v>-4</v>
      </c>
      <c r="AX735">
        <v>-3.8</v>
      </c>
      <c r="AY735">
        <v>-5</v>
      </c>
      <c r="AZ735">
        <v>10.199999999999999</v>
      </c>
      <c r="BA735">
        <v>10</v>
      </c>
      <c r="BB735">
        <v>11.9</v>
      </c>
      <c r="BC735">
        <v>10</v>
      </c>
      <c r="BD735">
        <v>5.5</v>
      </c>
      <c r="BE735">
        <v>4</v>
      </c>
      <c r="BF735">
        <v>10</v>
      </c>
      <c r="BG735">
        <v>10</v>
      </c>
      <c r="BH735">
        <v>12.5</v>
      </c>
      <c r="BI735">
        <v>10</v>
      </c>
      <c r="BJ735">
        <v>11.4</v>
      </c>
      <c r="BK735">
        <v>9</v>
      </c>
      <c r="BL735">
        <v>20.9</v>
      </c>
      <c r="BM735">
        <v>19</v>
      </c>
      <c r="BN735">
        <v>23.6</v>
      </c>
      <c r="BO735">
        <v>19</v>
      </c>
      <c r="BP735">
        <v>20.7</v>
      </c>
      <c r="BQ735">
        <v>20</v>
      </c>
      <c r="BR735">
        <v>21.8</v>
      </c>
      <c r="BS735">
        <v>25</v>
      </c>
      <c r="BT735">
        <v>21.9</v>
      </c>
      <c r="BU735">
        <v>25</v>
      </c>
      <c r="BV735">
        <v>23.3</v>
      </c>
      <c r="BW735">
        <v>18</v>
      </c>
      <c r="BX735">
        <v>20.9</v>
      </c>
      <c r="BY735">
        <v>20</v>
      </c>
      <c r="BZ735">
        <v>20.2</v>
      </c>
      <c r="CA735">
        <v>20</v>
      </c>
      <c r="CB735">
        <v>10.199999999999999</v>
      </c>
      <c r="CC735">
        <v>10</v>
      </c>
      <c r="CD735">
        <v>11.8</v>
      </c>
      <c r="CE735">
        <v>10</v>
      </c>
      <c r="CF735">
        <v>11.5</v>
      </c>
      <c r="CG735">
        <v>9</v>
      </c>
      <c r="CH735">
        <v>11.7</v>
      </c>
      <c r="CI735">
        <v>9</v>
      </c>
    </row>
    <row r="736" spans="1:87" x14ac:dyDescent="0.35">
      <c r="A736" s="1">
        <v>46059.973611111112</v>
      </c>
      <c r="B736">
        <v>-18.899999999999999</v>
      </c>
      <c r="C736">
        <v>-19.3</v>
      </c>
      <c r="D736">
        <v>-25</v>
      </c>
      <c r="E736">
        <v>-19.2</v>
      </c>
      <c r="F736">
        <v>-18.7</v>
      </c>
      <c r="G736">
        <v>-25</v>
      </c>
      <c r="H736">
        <v>-14.4</v>
      </c>
      <c r="I736">
        <v>-9.6</v>
      </c>
      <c r="J736">
        <v>-25</v>
      </c>
      <c r="K736">
        <v>-15</v>
      </c>
      <c r="L736">
        <v>-15.4</v>
      </c>
      <c r="M736">
        <v>-25</v>
      </c>
      <c r="N736">
        <v>-15.5</v>
      </c>
      <c r="O736">
        <v>-15</v>
      </c>
      <c r="P736">
        <v>-25</v>
      </c>
      <c r="Q736">
        <v>-15.4</v>
      </c>
      <c r="R736">
        <v>-15.3</v>
      </c>
      <c r="S736">
        <v>-25</v>
      </c>
      <c r="T736">
        <v>2.2999999999999998</v>
      </c>
      <c r="U736">
        <v>2.2000000000000002</v>
      </c>
      <c r="V736">
        <v>2</v>
      </c>
      <c r="W736">
        <v>2.2000000000000002</v>
      </c>
      <c r="X736">
        <v>1.6</v>
      </c>
      <c r="Y736">
        <v>2</v>
      </c>
      <c r="Z736">
        <v>3.7</v>
      </c>
      <c r="AA736">
        <v>4</v>
      </c>
      <c r="AB736">
        <v>2</v>
      </c>
      <c r="AC736">
        <v>3</v>
      </c>
      <c r="AD736">
        <v>1.4</v>
      </c>
      <c r="AE736">
        <v>2</v>
      </c>
      <c r="AF736">
        <v>3.7</v>
      </c>
      <c r="AG736">
        <v>3.5</v>
      </c>
      <c r="AH736">
        <v>2</v>
      </c>
      <c r="AI736">
        <v>3.5</v>
      </c>
      <c r="AJ736">
        <v>3.5</v>
      </c>
      <c r="AK736">
        <v>2</v>
      </c>
      <c r="AL736">
        <v>5.3</v>
      </c>
      <c r="AM736">
        <v>4</v>
      </c>
      <c r="AN736">
        <v>5.8</v>
      </c>
      <c r="AO736">
        <v>4</v>
      </c>
      <c r="AP736">
        <v>4.4000000000000004</v>
      </c>
      <c r="AQ736">
        <v>4</v>
      </c>
      <c r="AR736">
        <v>3.7</v>
      </c>
      <c r="AS736">
        <v>4</v>
      </c>
      <c r="AT736">
        <v>-3</v>
      </c>
      <c r="AU736">
        <v>-3.3</v>
      </c>
      <c r="AV736">
        <v>-5</v>
      </c>
      <c r="AW736">
        <v>-3.5</v>
      </c>
      <c r="AX736">
        <v>-3.2</v>
      </c>
      <c r="AY736">
        <v>-5</v>
      </c>
      <c r="AZ736">
        <v>10.3</v>
      </c>
      <c r="BA736">
        <v>10</v>
      </c>
      <c r="BB736">
        <v>11.9</v>
      </c>
      <c r="BC736">
        <v>10</v>
      </c>
      <c r="BD736">
        <v>5.0999999999999996</v>
      </c>
      <c r="BE736">
        <v>4</v>
      </c>
      <c r="BF736">
        <v>9.5</v>
      </c>
      <c r="BG736">
        <v>10</v>
      </c>
      <c r="BH736">
        <v>12.6</v>
      </c>
      <c r="BI736">
        <v>10</v>
      </c>
      <c r="BJ736">
        <v>11.7</v>
      </c>
      <c r="BK736">
        <v>9</v>
      </c>
      <c r="BL736">
        <v>20.9</v>
      </c>
      <c r="BM736">
        <v>19</v>
      </c>
      <c r="BN736">
        <v>23.6</v>
      </c>
      <c r="BO736">
        <v>19</v>
      </c>
      <c r="BP736">
        <v>20.8</v>
      </c>
      <c r="BQ736">
        <v>20</v>
      </c>
      <c r="BR736">
        <v>21.8</v>
      </c>
      <c r="BS736">
        <v>25</v>
      </c>
      <c r="BT736">
        <v>21.9</v>
      </c>
      <c r="BU736">
        <v>25</v>
      </c>
      <c r="BV736">
        <v>23.3</v>
      </c>
      <c r="BW736">
        <v>18</v>
      </c>
      <c r="BX736">
        <v>20.9</v>
      </c>
      <c r="BY736">
        <v>20</v>
      </c>
      <c r="BZ736">
        <v>20.399999999999999</v>
      </c>
      <c r="CA736">
        <v>20</v>
      </c>
      <c r="CB736">
        <v>10.7</v>
      </c>
      <c r="CC736">
        <v>10</v>
      </c>
      <c r="CD736">
        <v>11.9</v>
      </c>
      <c r="CE736">
        <v>10</v>
      </c>
      <c r="CF736">
        <v>11.5</v>
      </c>
      <c r="CG736">
        <v>9</v>
      </c>
      <c r="CH736">
        <v>11.7</v>
      </c>
      <c r="CI736">
        <v>9</v>
      </c>
    </row>
    <row r="737" spans="1:87" x14ac:dyDescent="0.35">
      <c r="A737" s="1">
        <v>46059.974305555559</v>
      </c>
      <c r="B737">
        <v>-18.899999999999999</v>
      </c>
      <c r="C737">
        <v>-19.100000000000001</v>
      </c>
      <c r="D737">
        <v>-25</v>
      </c>
      <c r="E737">
        <v>-19.2</v>
      </c>
      <c r="F737">
        <v>-18.7</v>
      </c>
      <c r="G737">
        <v>-25</v>
      </c>
      <c r="H737">
        <v>-14.5</v>
      </c>
      <c r="I737">
        <v>-9.8000000000000007</v>
      </c>
      <c r="J737">
        <v>-25</v>
      </c>
      <c r="K737">
        <v>-15</v>
      </c>
      <c r="L737">
        <v>-15.4</v>
      </c>
      <c r="M737">
        <v>-25</v>
      </c>
      <c r="N737">
        <v>-15.5</v>
      </c>
      <c r="O737">
        <v>-15</v>
      </c>
      <c r="P737">
        <v>-25</v>
      </c>
      <c r="Q737">
        <v>-15.4</v>
      </c>
      <c r="R737">
        <v>-15.3</v>
      </c>
      <c r="S737">
        <v>-25</v>
      </c>
      <c r="T737">
        <v>2.4</v>
      </c>
      <c r="U737">
        <v>2.2000000000000002</v>
      </c>
      <c r="V737">
        <v>2</v>
      </c>
      <c r="W737">
        <v>2.2000000000000002</v>
      </c>
      <c r="X737">
        <v>1.7</v>
      </c>
      <c r="Y737">
        <v>2</v>
      </c>
      <c r="Z737">
        <v>4.5999999999999996</v>
      </c>
      <c r="AA737">
        <v>4</v>
      </c>
      <c r="AB737">
        <v>2</v>
      </c>
      <c r="AC737">
        <v>2.6</v>
      </c>
      <c r="AD737">
        <v>0.5</v>
      </c>
      <c r="AE737">
        <v>2</v>
      </c>
      <c r="AF737">
        <v>3.8</v>
      </c>
      <c r="AG737">
        <v>3.7</v>
      </c>
      <c r="AH737">
        <v>2</v>
      </c>
      <c r="AI737">
        <v>3.7</v>
      </c>
      <c r="AJ737">
        <v>3.6</v>
      </c>
      <c r="AK737">
        <v>2</v>
      </c>
      <c r="AL737">
        <v>5.3</v>
      </c>
      <c r="AM737">
        <v>4</v>
      </c>
      <c r="AN737">
        <v>5.9</v>
      </c>
      <c r="AO737">
        <v>4</v>
      </c>
      <c r="AP737">
        <v>4.5999999999999996</v>
      </c>
      <c r="AQ737">
        <v>4</v>
      </c>
      <c r="AR737">
        <v>3.7</v>
      </c>
      <c r="AS737">
        <v>4</v>
      </c>
      <c r="AT737">
        <v>-2.9</v>
      </c>
      <c r="AU737">
        <v>-4.5999999999999996</v>
      </c>
      <c r="AV737">
        <v>-5</v>
      </c>
      <c r="AW737">
        <v>-3</v>
      </c>
      <c r="AX737">
        <v>-2.8</v>
      </c>
      <c r="AY737">
        <v>-5</v>
      </c>
      <c r="AZ737">
        <v>10.4</v>
      </c>
      <c r="BA737">
        <v>10</v>
      </c>
      <c r="BB737">
        <v>12.1</v>
      </c>
      <c r="BC737">
        <v>10</v>
      </c>
      <c r="BD737">
        <v>4.8</v>
      </c>
      <c r="BE737">
        <v>4</v>
      </c>
      <c r="BF737">
        <v>9.5</v>
      </c>
      <c r="BG737">
        <v>10</v>
      </c>
      <c r="BH737">
        <v>12.8</v>
      </c>
      <c r="BI737">
        <v>10</v>
      </c>
      <c r="BJ737">
        <v>11.8</v>
      </c>
      <c r="BK737">
        <v>9</v>
      </c>
      <c r="BL737">
        <v>20.9</v>
      </c>
      <c r="BM737">
        <v>19</v>
      </c>
      <c r="BN737">
        <v>23.6</v>
      </c>
      <c r="BO737">
        <v>19</v>
      </c>
      <c r="BP737">
        <v>20.8</v>
      </c>
      <c r="BQ737">
        <v>20</v>
      </c>
      <c r="BR737">
        <v>21.8</v>
      </c>
      <c r="BS737">
        <v>25</v>
      </c>
      <c r="BT737">
        <v>21.9</v>
      </c>
      <c r="BU737">
        <v>25</v>
      </c>
      <c r="BV737">
        <v>23.3</v>
      </c>
      <c r="BW737">
        <v>18</v>
      </c>
      <c r="BX737">
        <v>21</v>
      </c>
      <c r="BY737">
        <v>20</v>
      </c>
      <c r="BZ737">
        <v>20.5</v>
      </c>
      <c r="CA737">
        <v>20</v>
      </c>
      <c r="CB737">
        <v>11.2</v>
      </c>
      <c r="CC737">
        <v>10</v>
      </c>
      <c r="CD737">
        <v>12</v>
      </c>
      <c r="CE737">
        <v>10</v>
      </c>
      <c r="CF737">
        <v>11.6</v>
      </c>
      <c r="CG737">
        <v>9</v>
      </c>
      <c r="CH737">
        <v>11.9</v>
      </c>
      <c r="CI737">
        <v>9</v>
      </c>
    </row>
    <row r="738" spans="1:87" x14ac:dyDescent="0.35">
      <c r="A738" s="1">
        <v>46059.974999999999</v>
      </c>
      <c r="B738">
        <v>-18.899999999999999</v>
      </c>
      <c r="C738">
        <v>-19.100000000000001</v>
      </c>
      <c r="D738">
        <v>-25</v>
      </c>
      <c r="E738">
        <v>-19.2</v>
      </c>
      <c r="F738">
        <v>-18.7</v>
      </c>
      <c r="G738">
        <v>-25</v>
      </c>
      <c r="H738">
        <v>-14.7</v>
      </c>
      <c r="I738">
        <v>-10.1</v>
      </c>
      <c r="J738">
        <v>-25</v>
      </c>
      <c r="K738">
        <v>-15</v>
      </c>
      <c r="L738">
        <v>-15.4</v>
      </c>
      <c r="M738">
        <v>-25</v>
      </c>
      <c r="N738">
        <v>-15.5</v>
      </c>
      <c r="O738">
        <v>-15</v>
      </c>
      <c r="P738">
        <v>-25</v>
      </c>
      <c r="Q738">
        <v>-15.4</v>
      </c>
      <c r="R738">
        <v>-15.3</v>
      </c>
      <c r="S738">
        <v>-25</v>
      </c>
      <c r="T738">
        <v>2.4</v>
      </c>
      <c r="U738">
        <v>2.2999999999999998</v>
      </c>
      <c r="V738">
        <v>2</v>
      </c>
      <c r="W738">
        <v>2.2999999999999998</v>
      </c>
      <c r="X738">
        <v>1.9</v>
      </c>
      <c r="Y738">
        <v>2</v>
      </c>
      <c r="Z738">
        <v>4.3</v>
      </c>
      <c r="AA738">
        <v>4</v>
      </c>
      <c r="AB738">
        <v>2</v>
      </c>
      <c r="AC738">
        <v>2.4</v>
      </c>
      <c r="AD738">
        <v>0.8</v>
      </c>
      <c r="AE738">
        <v>2</v>
      </c>
      <c r="AF738">
        <v>3.9</v>
      </c>
      <c r="AG738">
        <v>3.8</v>
      </c>
      <c r="AH738">
        <v>2</v>
      </c>
      <c r="AI738">
        <v>3.8</v>
      </c>
      <c r="AJ738">
        <v>3.8</v>
      </c>
      <c r="AK738">
        <v>2</v>
      </c>
      <c r="AL738">
        <v>5.4</v>
      </c>
      <c r="AM738">
        <v>4</v>
      </c>
      <c r="AN738">
        <v>5.9</v>
      </c>
      <c r="AO738">
        <v>4</v>
      </c>
      <c r="AP738">
        <v>4.8</v>
      </c>
      <c r="AQ738">
        <v>4</v>
      </c>
      <c r="AR738">
        <v>3.7</v>
      </c>
      <c r="AS738">
        <v>4</v>
      </c>
      <c r="AT738">
        <v>-3.3</v>
      </c>
      <c r="AU738">
        <v>-5.3</v>
      </c>
      <c r="AV738">
        <v>-5</v>
      </c>
      <c r="AW738">
        <v>-2.8</v>
      </c>
      <c r="AX738">
        <v>-2.7</v>
      </c>
      <c r="AY738">
        <v>-5</v>
      </c>
      <c r="AZ738">
        <v>10.5</v>
      </c>
      <c r="BA738">
        <v>10</v>
      </c>
      <c r="BB738">
        <v>12.1</v>
      </c>
      <c r="BC738">
        <v>10</v>
      </c>
      <c r="BD738">
        <v>4.9000000000000004</v>
      </c>
      <c r="BE738">
        <v>4</v>
      </c>
      <c r="BF738">
        <v>9.9</v>
      </c>
      <c r="BG738">
        <v>10</v>
      </c>
      <c r="BH738">
        <v>12.9</v>
      </c>
      <c r="BI738">
        <v>10</v>
      </c>
      <c r="BJ738">
        <v>11.9</v>
      </c>
      <c r="BK738">
        <v>9</v>
      </c>
      <c r="BL738">
        <v>20.9</v>
      </c>
      <c r="BM738">
        <v>19</v>
      </c>
      <c r="BN738">
        <v>23.6</v>
      </c>
      <c r="BO738">
        <v>19</v>
      </c>
      <c r="BP738">
        <v>20.8</v>
      </c>
      <c r="BQ738">
        <v>20</v>
      </c>
      <c r="BR738">
        <v>21.9</v>
      </c>
      <c r="BS738">
        <v>25</v>
      </c>
      <c r="BT738">
        <v>21.9</v>
      </c>
      <c r="BU738">
        <v>25</v>
      </c>
      <c r="BV738">
        <v>23.3</v>
      </c>
      <c r="BW738">
        <v>18</v>
      </c>
      <c r="BX738">
        <v>21</v>
      </c>
      <c r="BY738">
        <v>20</v>
      </c>
      <c r="BZ738">
        <v>20.6</v>
      </c>
      <c r="CA738">
        <v>20</v>
      </c>
      <c r="CB738">
        <v>11.5</v>
      </c>
      <c r="CC738">
        <v>10</v>
      </c>
      <c r="CD738">
        <v>12</v>
      </c>
      <c r="CE738">
        <v>10</v>
      </c>
      <c r="CF738">
        <v>11.4</v>
      </c>
      <c r="CG738">
        <v>9</v>
      </c>
      <c r="CH738">
        <v>11.7</v>
      </c>
      <c r="CI738">
        <v>9</v>
      </c>
    </row>
    <row r="739" spans="1:87" x14ac:dyDescent="0.35">
      <c r="A739" s="1">
        <v>46059.975694444445</v>
      </c>
      <c r="B739">
        <v>-18.899999999999999</v>
      </c>
      <c r="C739">
        <v>-19.100000000000001</v>
      </c>
      <c r="D739">
        <v>-25</v>
      </c>
      <c r="E739">
        <v>-19.100000000000001</v>
      </c>
      <c r="F739">
        <v>-18.7</v>
      </c>
      <c r="G739">
        <v>-25</v>
      </c>
      <c r="H739">
        <v>-14.7</v>
      </c>
      <c r="I739">
        <v>-10.199999999999999</v>
      </c>
      <c r="J739">
        <v>-25</v>
      </c>
      <c r="K739">
        <v>-15</v>
      </c>
      <c r="L739">
        <v>-15.4</v>
      </c>
      <c r="M739">
        <v>-25</v>
      </c>
      <c r="N739">
        <v>-15.5</v>
      </c>
      <c r="O739">
        <v>-15</v>
      </c>
      <c r="P739">
        <v>-25</v>
      </c>
      <c r="Q739">
        <v>-15.4</v>
      </c>
      <c r="R739">
        <v>-15.3</v>
      </c>
      <c r="S739">
        <v>-25</v>
      </c>
      <c r="T739">
        <v>2.5</v>
      </c>
      <c r="U739">
        <v>2.4</v>
      </c>
      <c r="V739">
        <v>2</v>
      </c>
      <c r="W739">
        <v>2.4</v>
      </c>
      <c r="X739">
        <v>2</v>
      </c>
      <c r="Y739">
        <v>2</v>
      </c>
      <c r="Z739">
        <v>4.0999999999999996</v>
      </c>
      <c r="AA739">
        <v>3.8</v>
      </c>
      <c r="AB739">
        <v>2</v>
      </c>
      <c r="AC739">
        <v>2.2999999999999998</v>
      </c>
      <c r="AD739">
        <v>0.5</v>
      </c>
      <c r="AE739">
        <v>2</v>
      </c>
      <c r="AF739">
        <v>4.0999999999999996</v>
      </c>
      <c r="AG739">
        <v>3.9</v>
      </c>
      <c r="AH739">
        <v>2</v>
      </c>
      <c r="AI739">
        <v>3.9</v>
      </c>
      <c r="AJ739">
        <v>3.9</v>
      </c>
      <c r="AK739">
        <v>2</v>
      </c>
      <c r="AL739">
        <v>5.4</v>
      </c>
      <c r="AM739">
        <v>4</v>
      </c>
      <c r="AN739">
        <v>6</v>
      </c>
      <c r="AO739">
        <v>4</v>
      </c>
      <c r="AP739">
        <v>4.9000000000000004</v>
      </c>
      <c r="AQ739">
        <v>4</v>
      </c>
      <c r="AR739">
        <v>3.7</v>
      </c>
      <c r="AS739">
        <v>4</v>
      </c>
      <c r="AT739">
        <v>-3.6</v>
      </c>
      <c r="AU739">
        <v>-5.5</v>
      </c>
      <c r="AV739">
        <v>-5</v>
      </c>
      <c r="AW739">
        <v>-2.6</v>
      </c>
      <c r="AX739">
        <v>-2.5</v>
      </c>
      <c r="AY739">
        <v>-5</v>
      </c>
      <c r="AZ739">
        <v>10.6</v>
      </c>
      <c r="BA739">
        <v>10</v>
      </c>
      <c r="BB739">
        <v>11.9</v>
      </c>
      <c r="BC739">
        <v>10</v>
      </c>
      <c r="BD739">
        <v>4.9000000000000004</v>
      </c>
      <c r="BE739">
        <v>4</v>
      </c>
      <c r="BF739">
        <v>10.3</v>
      </c>
      <c r="BG739">
        <v>10</v>
      </c>
      <c r="BH739">
        <v>12.9</v>
      </c>
      <c r="BI739">
        <v>10</v>
      </c>
      <c r="BJ739">
        <v>12.1</v>
      </c>
      <c r="BK739">
        <v>9</v>
      </c>
      <c r="BL739">
        <v>20.9</v>
      </c>
      <c r="BM739">
        <v>19</v>
      </c>
      <c r="BN739">
        <v>23.6</v>
      </c>
      <c r="BO739">
        <v>19</v>
      </c>
      <c r="BP739">
        <v>20.9</v>
      </c>
      <c r="BQ739">
        <v>20</v>
      </c>
      <c r="BR739">
        <v>21.9</v>
      </c>
      <c r="BS739">
        <v>25</v>
      </c>
      <c r="BT739">
        <v>21.9</v>
      </c>
      <c r="BU739">
        <v>25</v>
      </c>
      <c r="BV739">
        <v>23.3</v>
      </c>
      <c r="BW739">
        <v>18</v>
      </c>
      <c r="BX739">
        <v>21</v>
      </c>
      <c r="BY739">
        <v>20</v>
      </c>
      <c r="BZ739">
        <v>20.6</v>
      </c>
      <c r="CA739">
        <v>20</v>
      </c>
      <c r="CB739">
        <v>11.9</v>
      </c>
      <c r="CC739">
        <v>10</v>
      </c>
      <c r="CD739">
        <v>11.6</v>
      </c>
      <c r="CE739">
        <v>10</v>
      </c>
      <c r="CF739">
        <v>11.7</v>
      </c>
      <c r="CG739">
        <v>9</v>
      </c>
      <c r="CH739">
        <v>11.9</v>
      </c>
      <c r="CI739">
        <v>9</v>
      </c>
    </row>
    <row r="740" spans="1:87" x14ac:dyDescent="0.35">
      <c r="A740" s="1">
        <v>46059.976388888892</v>
      </c>
      <c r="B740">
        <v>-18.8</v>
      </c>
      <c r="C740">
        <v>-19</v>
      </c>
      <c r="D740">
        <v>-25</v>
      </c>
      <c r="E740">
        <v>-19.100000000000001</v>
      </c>
      <c r="F740">
        <v>-18.7</v>
      </c>
      <c r="G740">
        <v>-25</v>
      </c>
      <c r="H740">
        <v>-14.8</v>
      </c>
      <c r="I740">
        <v>-10.4</v>
      </c>
      <c r="J740">
        <v>-25</v>
      </c>
      <c r="K740">
        <v>-15</v>
      </c>
      <c r="L740">
        <v>-15.5</v>
      </c>
      <c r="M740">
        <v>-25</v>
      </c>
      <c r="N740">
        <v>-15.5</v>
      </c>
      <c r="O740">
        <v>-15</v>
      </c>
      <c r="P740">
        <v>-25</v>
      </c>
      <c r="Q740">
        <v>-15.4</v>
      </c>
      <c r="R740">
        <v>-15.3</v>
      </c>
      <c r="S740">
        <v>-25</v>
      </c>
      <c r="T740">
        <v>2.6</v>
      </c>
      <c r="U740">
        <v>2.5</v>
      </c>
      <c r="V740">
        <v>2</v>
      </c>
      <c r="W740">
        <v>2.5</v>
      </c>
      <c r="X740">
        <v>2.1</v>
      </c>
      <c r="Y740">
        <v>2</v>
      </c>
      <c r="Z740">
        <v>3.4</v>
      </c>
      <c r="AA740">
        <v>2.2000000000000002</v>
      </c>
      <c r="AB740">
        <v>2</v>
      </c>
      <c r="AC740">
        <v>2.1</v>
      </c>
      <c r="AD740">
        <v>-0.1</v>
      </c>
      <c r="AE740">
        <v>2</v>
      </c>
      <c r="AF740">
        <v>4.2</v>
      </c>
      <c r="AG740">
        <v>4</v>
      </c>
      <c r="AH740">
        <v>2</v>
      </c>
      <c r="AI740">
        <v>4</v>
      </c>
      <c r="AJ740">
        <v>3.2</v>
      </c>
      <c r="AK740">
        <v>2</v>
      </c>
      <c r="AL740">
        <v>5.5</v>
      </c>
      <c r="AM740">
        <v>4</v>
      </c>
      <c r="AN740">
        <v>6</v>
      </c>
      <c r="AO740">
        <v>4</v>
      </c>
      <c r="AP740">
        <v>5.0999999999999996</v>
      </c>
      <c r="AQ740">
        <v>4</v>
      </c>
      <c r="AR740">
        <v>3.7</v>
      </c>
      <c r="AS740">
        <v>4</v>
      </c>
      <c r="AT740">
        <v>-3.8</v>
      </c>
      <c r="AU740">
        <v>-5.8</v>
      </c>
      <c r="AV740">
        <v>-5</v>
      </c>
      <c r="AW740">
        <v>-2.7</v>
      </c>
      <c r="AX740">
        <v>-3.2</v>
      </c>
      <c r="AY740">
        <v>-5</v>
      </c>
      <c r="AZ740">
        <v>10.7</v>
      </c>
      <c r="BA740">
        <v>10</v>
      </c>
      <c r="BB740">
        <v>11.5</v>
      </c>
      <c r="BC740">
        <v>10</v>
      </c>
      <c r="BD740">
        <v>4.9000000000000004</v>
      </c>
      <c r="BE740">
        <v>4</v>
      </c>
      <c r="BF740">
        <v>10.6</v>
      </c>
      <c r="BG740">
        <v>10</v>
      </c>
      <c r="BH740">
        <v>13</v>
      </c>
      <c r="BI740">
        <v>10</v>
      </c>
      <c r="BJ740">
        <v>12.4</v>
      </c>
      <c r="BK740">
        <v>9</v>
      </c>
      <c r="BL740">
        <v>20.9</v>
      </c>
      <c r="BM740">
        <v>19</v>
      </c>
      <c r="BN740">
        <v>23.6</v>
      </c>
      <c r="BO740">
        <v>19</v>
      </c>
      <c r="BP740">
        <v>20.9</v>
      </c>
      <c r="BQ740">
        <v>20</v>
      </c>
      <c r="BR740">
        <v>21.9</v>
      </c>
      <c r="BS740">
        <v>25</v>
      </c>
      <c r="BT740">
        <v>21.9</v>
      </c>
      <c r="BU740">
        <v>25</v>
      </c>
      <c r="BV740">
        <v>23.3</v>
      </c>
      <c r="BW740">
        <v>18</v>
      </c>
      <c r="BX740">
        <v>21.1</v>
      </c>
      <c r="BY740">
        <v>20</v>
      </c>
      <c r="BZ740">
        <v>20.7</v>
      </c>
      <c r="CA740">
        <v>20</v>
      </c>
      <c r="CB740">
        <v>12</v>
      </c>
      <c r="CC740">
        <v>10</v>
      </c>
      <c r="CD740">
        <v>11.4</v>
      </c>
      <c r="CE740">
        <v>10</v>
      </c>
      <c r="CF740">
        <v>11.7</v>
      </c>
      <c r="CG740">
        <v>9</v>
      </c>
      <c r="CH740">
        <v>11.9</v>
      </c>
      <c r="CI740">
        <v>9</v>
      </c>
    </row>
    <row r="741" spans="1:87" x14ac:dyDescent="0.35">
      <c r="A741" s="1">
        <v>46059.977083333331</v>
      </c>
      <c r="B741">
        <v>-18.8</v>
      </c>
      <c r="C741">
        <v>-18.899999999999999</v>
      </c>
      <c r="D741">
        <v>-25</v>
      </c>
      <c r="E741">
        <v>-19</v>
      </c>
      <c r="F741">
        <v>-18.7</v>
      </c>
      <c r="G741">
        <v>-25</v>
      </c>
      <c r="H741">
        <v>-14.9</v>
      </c>
      <c r="I741">
        <v>-10.6</v>
      </c>
      <c r="J741">
        <v>-25</v>
      </c>
      <c r="K741">
        <v>-15</v>
      </c>
      <c r="L741">
        <v>-15.5</v>
      </c>
      <c r="M741">
        <v>-25</v>
      </c>
      <c r="N741">
        <v>-15.5</v>
      </c>
      <c r="O741">
        <v>-15</v>
      </c>
      <c r="P741">
        <v>-25</v>
      </c>
      <c r="Q741">
        <v>-15.4</v>
      </c>
      <c r="R741">
        <v>-15.3</v>
      </c>
      <c r="S741">
        <v>-25</v>
      </c>
      <c r="T741">
        <v>2.7</v>
      </c>
      <c r="U741">
        <v>2.6</v>
      </c>
      <c r="V741">
        <v>2</v>
      </c>
      <c r="W741">
        <v>2.6</v>
      </c>
      <c r="X741">
        <v>2.2000000000000002</v>
      </c>
      <c r="Y741">
        <v>2</v>
      </c>
      <c r="Z741">
        <v>3</v>
      </c>
      <c r="AA741">
        <v>2</v>
      </c>
      <c r="AB741">
        <v>2</v>
      </c>
      <c r="AC741">
        <v>2.1</v>
      </c>
      <c r="AD741">
        <v>-0.3</v>
      </c>
      <c r="AE741">
        <v>2</v>
      </c>
      <c r="AF741">
        <v>4.2</v>
      </c>
      <c r="AG741">
        <v>3.7</v>
      </c>
      <c r="AH741">
        <v>2</v>
      </c>
      <c r="AI741">
        <v>3.9</v>
      </c>
      <c r="AJ741">
        <v>1.5</v>
      </c>
      <c r="AK741">
        <v>2</v>
      </c>
      <c r="AL741">
        <v>5.5</v>
      </c>
      <c r="AM741">
        <v>4</v>
      </c>
      <c r="AN741">
        <v>5.8</v>
      </c>
      <c r="AO741">
        <v>4</v>
      </c>
      <c r="AP741">
        <v>5.3</v>
      </c>
      <c r="AQ741">
        <v>4</v>
      </c>
      <c r="AR741">
        <v>3.7</v>
      </c>
      <c r="AS741">
        <v>4</v>
      </c>
      <c r="AT741">
        <v>-4.0999999999999996</v>
      </c>
      <c r="AU741">
        <v>-6.2</v>
      </c>
      <c r="AV741">
        <v>-5</v>
      </c>
      <c r="AW741">
        <v>-3.2</v>
      </c>
      <c r="AX741">
        <v>-5</v>
      </c>
      <c r="AY741">
        <v>-5</v>
      </c>
      <c r="AZ741">
        <v>10.8</v>
      </c>
      <c r="BA741">
        <v>10</v>
      </c>
      <c r="BB741">
        <v>11.4</v>
      </c>
      <c r="BC741">
        <v>10</v>
      </c>
      <c r="BD741">
        <v>4.7</v>
      </c>
      <c r="BE741">
        <v>4</v>
      </c>
      <c r="BF741">
        <v>11</v>
      </c>
      <c r="BG741">
        <v>10</v>
      </c>
      <c r="BH741">
        <v>13</v>
      </c>
      <c r="BI741">
        <v>10</v>
      </c>
      <c r="BJ741">
        <v>12.4</v>
      </c>
      <c r="BK741">
        <v>9</v>
      </c>
      <c r="BL741">
        <v>21</v>
      </c>
      <c r="BM741">
        <v>19</v>
      </c>
      <c r="BN741">
        <v>23.6</v>
      </c>
      <c r="BO741">
        <v>19</v>
      </c>
      <c r="BP741">
        <v>20.9</v>
      </c>
      <c r="BQ741">
        <v>20</v>
      </c>
      <c r="BR741">
        <v>21.8</v>
      </c>
      <c r="BS741">
        <v>25</v>
      </c>
      <c r="BT741">
        <v>21.9</v>
      </c>
      <c r="BU741">
        <v>25</v>
      </c>
      <c r="BV741">
        <v>23.3</v>
      </c>
      <c r="BW741">
        <v>18</v>
      </c>
      <c r="BX741">
        <v>21.1</v>
      </c>
      <c r="BY741">
        <v>20</v>
      </c>
      <c r="BZ741">
        <v>20.7</v>
      </c>
      <c r="CA741">
        <v>20</v>
      </c>
      <c r="CB741">
        <v>11.9</v>
      </c>
      <c r="CC741">
        <v>10</v>
      </c>
      <c r="CD741">
        <v>11.2</v>
      </c>
      <c r="CE741">
        <v>10</v>
      </c>
      <c r="CF741">
        <v>11.7</v>
      </c>
      <c r="CG741">
        <v>9</v>
      </c>
      <c r="CH741">
        <v>11.9</v>
      </c>
      <c r="CI741">
        <v>9</v>
      </c>
    </row>
    <row r="742" spans="1:87" x14ac:dyDescent="0.35">
      <c r="A742" s="1">
        <v>46059.977777777778</v>
      </c>
      <c r="B742">
        <v>-18.8</v>
      </c>
      <c r="C742">
        <v>-18.899999999999999</v>
      </c>
      <c r="D742">
        <v>-25</v>
      </c>
      <c r="E742">
        <v>-19</v>
      </c>
      <c r="F742">
        <v>-18.7</v>
      </c>
      <c r="G742">
        <v>-25</v>
      </c>
      <c r="H742">
        <v>-14.9</v>
      </c>
      <c r="I742">
        <v>-10.8</v>
      </c>
      <c r="J742">
        <v>-25</v>
      </c>
      <c r="K742">
        <v>-15</v>
      </c>
      <c r="L742">
        <v>-15.5</v>
      </c>
      <c r="M742">
        <v>-25</v>
      </c>
      <c r="N742">
        <v>-15.5</v>
      </c>
      <c r="O742">
        <v>-15</v>
      </c>
      <c r="P742">
        <v>-25</v>
      </c>
      <c r="Q742">
        <v>-15.4</v>
      </c>
      <c r="R742">
        <v>-15.3</v>
      </c>
      <c r="S742">
        <v>-25</v>
      </c>
      <c r="T742">
        <v>2.7</v>
      </c>
      <c r="U742">
        <v>2.7</v>
      </c>
      <c r="V742">
        <v>2</v>
      </c>
      <c r="W742">
        <v>2.7</v>
      </c>
      <c r="X742">
        <v>2.4</v>
      </c>
      <c r="Y742">
        <v>2</v>
      </c>
      <c r="Z742">
        <v>2.7</v>
      </c>
      <c r="AA742">
        <v>1.9</v>
      </c>
      <c r="AB742">
        <v>2</v>
      </c>
      <c r="AC742">
        <v>2</v>
      </c>
      <c r="AD742">
        <v>0.4</v>
      </c>
      <c r="AE742">
        <v>2</v>
      </c>
      <c r="AF742">
        <v>3.7</v>
      </c>
      <c r="AG742">
        <v>3.2</v>
      </c>
      <c r="AH742">
        <v>2</v>
      </c>
      <c r="AI742">
        <v>3.4</v>
      </c>
      <c r="AJ742">
        <v>0.7</v>
      </c>
      <c r="AK742">
        <v>2</v>
      </c>
      <c r="AL742">
        <v>5.6</v>
      </c>
      <c r="AM742">
        <v>4</v>
      </c>
      <c r="AN742">
        <v>5.4</v>
      </c>
      <c r="AO742">
        <v>4</v>
      </c>
      <c r="AP742">
        <v>5.4</v>
      </c>
      <c r="AQ742">
        <v>4</v>
      </c>
      <c r="AR742">
        <v>3.7</v>
      </c>
      <c r="AS742">
        <v>4</v>
      </c>
      <c r="AT742">
        <v>-4.3</v>
      </c>
      <c r="AU742">
        <v>-6.4</v>
      </c>
      <c r="AV742">
        <v>-5</v>
      </c>
      <c r="AW742">
        <v>-3.7</v>
      </c>
      <c r="AX742">
        <v>-4.9000000000000004</v>
      </c>
      <c r="AY742">
        <v>-5</v>
      </c>
      <c r="AZ742">
        <v>10.9</v>
      </c>
      <c r="BA742">
        <v>10</v>
      </c>
      <c r="BB742">
        <v>11.2</v>
      </c>
      <c r="BC742">
        <v>10</v>
      </c>
      <c r="BD742">
        <v>4.3</v>
      </c>
      <c r="BE742">
        <v>4</v>
      </c>
      <c r="BF742">
        <v>11.3</v>
      </c>
      <c r="BG742">
        <v>10</v>
      </c>
      <c r="BH742">
        <v>13</v>
      </c>
      <c r="BI742">
        <v>10</v>
      </c>
      <c r="BJ742">
        <v>12.4</v>
      </c>
      <c r="BK742">
        <v>9</v>
      </c>
      <c r="BL742">
        <v>21</v>
      </c>
      <c r="BM742">
        <v>19</v>
      </c>
      <c r="BN742">
        <v>23.6</v>
      </c>
      <c r="BO742">
        <v>19</v>
      </c>
      <c r="BP742">
        <v>21</v>
      </c>
      <c r="BQ742">
        <v>20</v>
      </c>
      <c r="BR742">
        <v>21.8</v>
      </c>
      <c r="BS742">
        <v>25</v>
      </c>
      <c r="BT742">
        <v>21.9</v>
      </c>
      <c r="BU742">
        <v>25</v>
      </c>
      <c r="BV742">
        <v>23.3</v>
      </c>
      <c r="BW742">
        <v>18</v>
      </c>
      <c r="BX742">
        <v>21.1</v>
      </c>
      <c r="BY742">
        <v>20</v>
      </c>
      <c r="BZ742">
        <v>20.8</v>
      </c>
      <c r="CA742">
        <v>20</v>
      </c>
      <c r="CB742">
        <v>11.7</v>
      </c>
      <c r="CC742">
        <v>10</v>
      </c>
      <c r="CD742">
        <v>11</v>
      </c>
      <c r="CE742">
        <v>10</v>
      </c>
      <c r="CF742">
        <v>11.7</v>
      </c>
      <c r="CG742">
        <v>9</v>
      </c>
      <c r="CH742">
        <v>12</v>
      </c>
      <c r="CI742">
        <v>9</v>
      </c>
    </row>
    <row r="743" spans="1:87" x14ac:dyDescent="0.35">
      <c r="A743" s="1">
        <v>46059.978472222225</v>
      </c>
      <c r="B743">
        <v>-18.7</v>
      </c>
      <c r="C743">
        <v>-18.899999999999999</v>
      </c>
      <c r="D743">
        <v>-25</v>
      </c>
      <c r="E743">
        <v>-19</v>
      </c>
      <c r="F743">
        <v>-18.7</v>
      </c>
      <c r="G743">
        <v>-25</v>
      </c>
      <c r="H743">
        <v>-15</v>
      </c>
      <c r="I743">
        <v>-10.9</v>
      </c>
      <c r="J743">
        <v>-25</v>
      </c>
      <c r="K743">
        <v>-15.1</v>
      </c>
      <c r="L743">
        <v>-15.6</v>
      </c>
      <c r="M743">
        <v>-25</v>
      </c>
      <c r="N743">
        <v>-15.5</v>
      </c>
      <c r="O743">
        <v>-15</v>
      </c>
      <c r="P743">
        <v>-25</v>
      </c>
      <c r="Q743">
        <v>-15.4</v>
      </c>
      <c r="R743">
        <v>-15.3</v>
      </c>
      <c r="S743">
        <v>-25</v>
      </c>
      <c r="T743">
        <v>2.8</v>
      </c>
      <c r="U743">
        <v>2.8</v>
      </c>
      <c r="V743">
        <v>2</v>
      </c>
      <c r="W743">
        <v>2.8</v>
      </c>
      <c r="X743">
        <v>2.5</v>
      </c>
      <c r="Y743">
        <v>2</v>
      </c>
      <c r="Z743">
        <v>2.7</v>
      </c>
      <c r="AA743">
        <v>2</v>
      </c>
      <c r="AB743">
        <v>2</v>
      </c>
      <c r="AC743">
        <v>2</v>
      </c>
      <c r="AD743">
        <v>1.1000000000000001</v>
      </c>
      <c r="AE743">
        <v>2</v>
      </c>
      <c r="AF743">
        <v>3.5</v>
      </c>
      <c r="AG743">
        <v>2.9</v>
      </c>
      <c r="AH743">
        <v>2</v>
      </c>
      <c r="AI743">
        <v>3.2</v>
      </c>
      <c r="AJ743">
        <v>1.7</v>
      </c>
      <c r="AK743">
        <v>2</v>
      </c>
      <c r="AL743">
        <v>5.6</v>
      </c>
      <c r="AM743">
        <v>4</v>
      </c>
      <c r="AN743">
        <v>5.3</v>
      </c>
      <c r="AO743">
        <v>4</v>
      </c>
      <c r="AP743">
        <v>5.5</v>
      </c>
      <c r="AQ743">
        <v>4</v>
      </c>
      <c r="AR743">
        <v>3.7</v>
      </c>
      <c r="AS743">
        <v>4</v>
      </c>
      <c r="AT743">
        <v>-4.5</v>
      </c>
      <c r="AU743">
        <v>-6.4</v>
      </c>
      <c r="AV743">
        <v>-5</v>
      </c>
      <c r="AW743">
        <v>-3.8</v>
      </c>
      <c r="AX743">
        <v>-5</v>
      </c>
      <c r="AY743">
        <v>-5</v>
      </c>
      <c r="AZ743">
        <v>11</v>
      </c>
      <c r="BA743">
        <v>10</v>
      </c>
      <c r="BB743">
        <v>11</v>
      </c>
      <c r="BC743">
        <v>10</v>
      </c>
      <c r="BD743">
        <v>4</v>
      </c>
      <c r="BE743">
        <v>4</v>
      </c>
      <c r="BF743">
        <v>11.5</v>
      </c>
      <c r="BG743">
        <v>10</v>
      </c>
      <c r="BH743">
        <v>13</v>
      </c>
      <c r="BI743">
        <v>10</v>
      </c>
      <c r="BJ743">
        <v>12.2</v>
      </c>
      <c r="BK743">
        <v>9</v>
      </c>
      <c r="BL743">
        <v>21</v>
      </c>
      <c r="BM743">
        <v>19</v>
      </c>
      <c r="BN743">
        <v>23.6</v>
      </c>
      <c r="BO743">
        <v>19</v>
      </c>
      <c r="BP743">
        <v>21</v>
      </c>
      <c r="BQ743">
        <v>20</v>
      </c>
      <c r="BR743">
        <v>21.7</v>
      </c>
      <c r="BS743">
        <v>25</v>
      </c>
      <c r="BT743">
        <v>21.9</v>
      </c>
      <c r="BU743">
        <v>25</v>
      </c>
      <c r="BV743">
        <v>23.3</v>
      </c>
      <c r="BW743">
        <v>18</v>
      </c>
      <c r="BX743">
        <v>21.1</v>
      </c>
      <c r="BY743">
        <v>20</v>
      </c>
      <c r="BZ743">
        <v>20.8</v>
      </c>
      <c r="CA743">
        <v>20</v>
      </c>
      <c r="CB743">
        <v>11.5</v>
      </c>
      <c r="CC743">
        <v>10</v>
      </c>
      <c r="CD743">
        <v>10.9</v>
      </c>
      <c r="CE743">
        <v>10</v>
      </c>
      <c r="CF743">
        <v>11.8</v>
      </c>
      <c r="CG743">
        <v>9</v>
      </c>
      <c r="CH743">
        <v>12</v>
      </c>
      <c r="CI743">
        <v>9</v>
      </c>
    </row>
    <row r="744" spans="1:87" x14ac:dyDescent="0.35">
      <c r="A744" s="1">
        <v>46059.979166666664</v>
      </c>
      <c r="B744">
        <v>-18.7</v>
      </c>
      <c r="C744">
        <v>-18.899999999999999</v>
      </c>
      <c r="D744">
        <v>-25</v>
      </c>
      <c r="E744">
        <v>-19</v>
      </c>
      <c r="F744">
        <v>-18.7</v>
      </c>
      <c r="G744">
        <v>-25</v>
      </c>
      <c r="H744">
        <v>-15</v>
      </c>
      <c r="I744">
        <v>-11.1</v>
      </c>
      <c r="J744">
        <v>-25</v>
      </c>
      <c r="K744">
        <v>-15.1</v>
      </c>
      <c r="L744">
        <v>-15.6</v>
      </c>
      <c r="M744">
        <v>-25</v>
      </c>
      <c r="N744">
        <v>-15.5</v>
      </c>
      <c r="O744">
        <v>-15</v>
      </c>
      <c r="P744">
        <v>-25</v>
      </c>
      <c r="Q744">
        <v>-15.4</v>
      </c>
      <c r="R744">
        <v>-15.3</v>
      </c>
      <c r="S744">
        <v>-25</v>
      </c>
      <c r="T744">
        <v>2.9</v>
      </c>
      <c r="U744">
        <v>2.9</v>
      </c>
      <c r="V744">
        <v>2</v>
      </c>
      <c r="W744">
        <v>2.9</v>
      </c>
      <c r="X744">
        <v>2.6</v>
      </c>
      <c r="Y744">
        <v>2</v>
      </c>
      <c r="Z744">
        <v>2.7</v>
      </c>
      <c r="AA744">
        <v>2.1</v>
      </c>
      <c r="AB744">
        <v>2</v>
      </c>
      <c r="AC744">
        <v>2.2000000000000002</v>
      </c>
      <c r="AD744">
        <v>1.5</v>
      </c>
      <c r="AE744">
        <v>2</v>
      </c>
      <c r="AF744">
        <v>3.3</v>
      </c>
      <c r="AG744">
        <v>2.9</v>
      </c>
      <c r="AH744">
        <v>2</v>
      </c>
      <c r="AI744">
        <v>3.1</v>
      </c>
      <c r="AJ744">
        <v>0.5</v>
      </c>
      <c r="AK744">
        <v>2</v>
      </c>
      <c r="AL744">
        <v>5.6</v>
      </c>
      <c r="AM744">
        <v>4</v>
      </c>
      <c r="AN744">
        <v>5.3</v>
      </c>
      <c r="AO744">
        <v>4</v>
      </c>
      <c r="AP744">
        <v>5.7</v>
      </c>
      <c r="AQ744">
        <v>4</v>
      </c>
      <c r="AR744">
        <v>3.7</v>
      </c>
      <c r="AS744">
        <v>4</v>
      </c>
      <c r="AT744">
        <v>-4.5999999999999996</v>
      </c>
      <c r="AU744">
        <v>-6.6</v>
      </c>
      <c r="AV744">
        <v>-5</v>
      </c>
      <c r="AW744">
        <v>-4</v>
      </c>
      <c r="AX744">
        <v>-5.5</v>
      </c>
      <c r="AY744">
        <v>-5</v>
      </c>
      <c r="AZ744">
        <v>11.1</v>
      </c>
      <c r="BA744">
        <v>10</v>
      </c>
      <c r="BB744">
        <v>10.8</v>
      </c>
      <c r="BC744">
        <v>10</v>
      </c>
      <c r="BD744">
        <v>3.8</v>
      </c>
      <c r="BE744">
        <v>4</v>
      </c>
      <c r="BF744">
        <v>11.7</v>
      </c>
      <c r="BG744">
        <v>10</v>
      </c>
      <c r="BH744">
        <v>12.9</v>
      </c>
      <c r="BI744">
        <v>10</v>
      </c>
      <c r="BJ744">
        <v>11.8</v>
      </c>
      <c r="BK744">
        <v>9</v>
      </c>
      <c r="BL744">
        <v>20.7</v>
      </c>
      <c r="BM744">
        <v>19</v>
      </c>
      <c r="BN744">
        <v>23.6</v>
      </c>
      <c r="BO744">
        <v>19</v>
      </c>
      <c r="BP744">
        <v>21</v>
      </c>
      <c r="BQ744">
        <v>20</v>
      </c>
      <c r="BR744">
        <v>21.7</v>
      </c>
      <c r="BS744">
        <v>25</v>
      </c>
      <c r="BT744">
        <v>21.9</v>
      </c>
      <c r="BU744">
        <v>25</v>
      </c>
      <c r="BV744">
        <v>23.3</v>
      </c>
      <c r="BW744">
        <v>18</v>
      </c>
      <c r="BX744">
        <v>21.2</v>
      </c>
      <c r="BY744">
        <v>20</v>
      </c>
      <c r="BZ744">
        <v>20.9</v>
      </c>
      <c r="CA744">
        <v>20</v>
      </c>
      <c r="CB744">
        <v>11</v>
      </c>
      <c r="CC744">
        <v>10</v>
      </c>
      <c r="CD744">
        <v>10.8</v>
      </c>
      <c r="CE744">
        <v>10</v>
      </c>
      <c r="CF744">
        <v>11.8</v>
      </c>
      <c r="CG744">
        <v>9</v>
      </c>
      <c r="CH744">
        <v>12</v>
      </c>
      <c r="CI744">
        <v>9</v>
      </c>
    </row>
    <row r="745" spans="1:87" x14ac:dyDescent="0.35">
      <c r="A745" s="1">
        <v>46059.979861111111</v>
      </c>
      <c r="B745">
        <v>-18.7</v>
      </c>
      <c r="C745">
        <v>-18.899999999999999</v>
      </c>
      <c r="D745">
        <v>-25</v>
      </c>
      <c r="E745">
        <v>-19</v>
      </c>
      <c r="F745">
        <v>-18.7</v>
      </c>
      <c r="G745">
        <v>-25</v>
      </c>
      <c r="H745">
        <v>-15</v>
      </c>
      <c r="I745">
        <v>-11.2</v>
      </c>
      <c r="J745">
        <v>-25</v>
      </c>
      <c r="K745">
        <v>-15.1</v>
      </c>
      <c r="L745">
        <v>-15.7</v>
      </c>
      <c r="M745">
        <v>-25</v>
      </c>
      <c r="N745">
        <v>-15.5</v>
      </c>
      <c r="O745">
        <v>-15</v>
      </c>
      <c r="P745">
        <v>-25</v>
      </c>
      <c r="Q745">
        <v>-15.4</v>
      </c>
      <c r="R745">
        <v>-15.3</v>
      </c>
      <c r="S745">
        <v>-25</v>
      </c>
      <c r="T745">
        <v>3</v>
      </c>
      <c r="U745">
        <v>3</v>
      </c>
      <c r="V745">
        <v>2</v>
      </c>
      <c r="W745">
        <v>2.9</v>
      </c>
      <c r="X745">
        <v>2.7</v>
      </c>
      <c r="Y745">
        <v>2</v>
      </c>
      <c r="Z745">
        <v>2.7</v>
      </c>
      <c r="AA745">
        <v>2.2000000000000002</v>
      </c>
      <c r="AB745">
        <v>2</v>
      </c>
      <c r="AC745">
        <v>2.2999999999999998</v>
      </c>
      <c r="AD745">
        <v>1.8</v>
      </c>
      <c r="AE745">
        <v>2</v>
      </c>
      <c r="AF745">
        <v>3</v>
      </c>
      <c r="AG745">
        <v>2.4</v>
      </c>
      <c r="AH745">
        <v>2</v>
      </c>
      <c r="AI745">
        <v>2.7</v>
      </c>
      <c r="AJ745">
        <v>0.2</v>
      </c>
      <c r="AK745">
        <v>2</v>
      </c>
      <c r="AL745">
        <v>5.7</v>
      </c>
      <c r="AM745">
        <v>4</v>
      </c>
      <c r="AN745">
        <v>5.3</v>
      </c>
      <c r="AO745">
        <v>4</v>
      </c>
      <c r="AP745">
        <v>5.8</v>
      </c>
      <c r="AQ745">
        <v>4</v>
      </c>
      <c r="AR745">
        <v>3.7</v>
      </c>
      <c r="AS745">
        <v>4</v>
      </c>
      <c r="AT745">
        <v>-4.7</v>
      </c>
      <c r="AU745">
        <v>-6.7</v>
      </c>
      <c r="AV745">
        <v>-5</v>
      </c>
      <c r="AW745">
        <v>-4.3</v>
      </c>
      <c r="AX745">
        <v>-6</v>
      </c>
      <c r="AY745">
        <v>-5</v>
      </c>
      <c r="AZ745">
        <v>11.2</v>
      </c>
      <c r="BA745">
        <v>10</v>
      </c>
      <c r="BB745">
        <v>10.5</v>
      </c>
      <c r="BC745">
        <v>10</v>
      </c>
      <c r="BD745">
        <v>3.8</v>
      </c>
      <c r="BE745">
        <v>4</v>
      </c>
      <c r="BF745">
        <v>12.1</v>
      </c>
      <c r="BG745">
        <v>10</v>
      </c>
      <c r="BH745">
        <v>12.9</v>
      </c>
      <c r="BI745">
        <v>10</v>
      </c>
      <c r="BJ745">
        <v>11.7</v>
      </c>
      <c r="BK745">
        <v>9</v>
      </c>
      <c r="BL745">
        <v>20.3</v>
      </c>
      <c r="BM745">
        <v>19</v>
      </c>
      <c r="BN745">
        <v>23.6</v>
      </c>
      <c r="BO745">
        <v>19</v>
      </c>
      <c r="BP745">
        <v>21</v>
      </c>
      <c r="BQ745">
        <v>20</v>
      </c>
      <c r="BR745">
        <v>21.7</v>
      </c>
      <c r="BS745">
        <v>25</v>
      </c>
      <c r="BT745">
        <v>21.9</v>
      </c>
      <c r="BU745">
        <v>25</v>
      </c>
      <c r="BV745">
        <v>23.3</v>
      </c>
      <c r="BW745">
        <v>18</v>
      </c>
      <c r="BX745">
        <v>21.2</v>
      </c>
      <c r="BY745">
        <v>20</v>
      </c>
      <c r="BZ745">
        <v>20.9</v>
      </c>
      <c r="CA745">
        <v>20</v>
      </c>
      <c r="CB745">
        <v>10.8</v>
      </c>
      <c r="CC745">
        <v>10</v>
      </c>
      <c r="CD745">
        <v>10.7</v>
      </c>
      <c r="CE745">
        <v>10</v>
      </c>
      <c r="CF745">
        <v>11.4</v>
      </c>
      <c r="CG745">
        <v>9</v>
      </c>
      <c r="CH745">
        <v>11.7</v>
      </c>
      <c r="CI745">
        <v>9</v>
      </c>
    </row>
    <row r="746" spans="1:87" x14ac:dyDescent="0.35">
      <c r="A746" s="1">
        <v>46059.980555555558</v>
      </c>
      <c r="B746">
        <v>-18.7</v>
      </c>
      <c r="C746">
        <v>-19</v>
      </c>
      <c r="D746">
        <v>-25</v>
      </c>
      <c r="E746">
        <v>-19</v>
      </c>
      <c r="F746">
        <v>-18.7</v>
      </c>
      <c r="G746">
        <v>-25</v>
      </c>
      <c r="H746">
        <v>-15.2</v>
      </c>
      <c r="I746">
        <v>-11.3</v>
      </c>
      <c r="J746">
        <v>-25</v>
      </c>
      <c r="K746">
        <v>-15.2</v>
      </c>
      <c r="L746">
        <v>-15.7</v>
      </c>
      <c r="M746">
        <v>-25</v>
      </c>
      <c r="N746">
        <v>-15.5</v>
      </c>
      <c r="O746">
        <v>-15</v>
      </c>
      <c r="P746">
        <v>-25</v>
      </c>
      <c r="Q746">
        <v>-15.4</v>
      </c>
      <c r="R746">
        <v>-15.3</v>
      </c>
      <c r="S746">
        <v>-25</v>
      </c>
      <c r="T746">
        <v>3.1</v>
      </c>
      <c r="U746">
        <v>3</v>
      </c>
      <c r="V746">
        <v>2</v>
      </c>
      <c r="W746">
        <v>3</v>
      </c>
      <c r="X746">
        <v>2.8</v>
      </c>
      <c r="Y746">
        <v>2</v>
      </c>
      <c r="Z746">
        <v>2.8</v>
      </c>
      <c r="AA746">
        <v>2.2999999999999998</v>
      </c>
      <c r="AB746">
        <v>2</v>
      </c>
      <c r="AC746">
        <v>2.4</v>
      </c>
      <c r="AD746">
        <v>1.9</v>
      </c>
      <c r="AE746">
        <v>2</v>
      </c>
      <c r="AF746">
        <v>2.8</v>
      </c>
      <c r="AG746">
        <v>2.2999999999999998</v>
      </c>
      <c r="AH746">
        <v>2</v>
      </c>
      <c r="AI746">
        <v>2.6</v>
      </c>
      <c r="AJ746">
        <v>1</v>
      </c>
      <c r="AK746">
        <v>2</v>
      </c>
      <c r="AL746">
        <v>5.7</v>
      </c>
      <c r="AM746">
        <v>4</v>
      </c>
      <c r="AN746">
        <v>5.3</v>
      </c>
      <c r="AO746">
        <v>4</v>
      </c>
      <c r="AP746">
        <v>5.9</v>
      </c>
      <c r="AQ746">
        <v>4</v>
      </c>
      <c r="AR746">
        <v>3.7</v>
      </c>
      <c r="AS746">
        <v>4</v>
      </c>
      <c r="AT746">
        <v>-4.8</v>
      </c>
      <c r="AU746">
        <v>-6.8</v>
      </c>
      <c r="AV746">
        <v>-5</v>
      </c>
      <c r="AW746">
        <v>-4.5</v>
      </c>
      <c r="AX746">
        <v>-5.4</v>
      </c>
      <c r="AY746">
        <v>-5</v>
      </c>
      <c r="AZ746">
        <v>11.2</v>
      </c>
      <c r="BA746">
        <v>10</v>
      </c>
      <c r="BB746">
        <v>10.3</v>
      </c>
      <c r="BC746">
        <v>10</v>
      </c>
      <c r="BD746">
        <v>4</v>
      </c>
      <c r="BE746">
        <v>4</v>
      </c>
      <c r="BF746">
        <v>11.5</v>
      </c>
      <c r="BG746">
        <v>10</v>
      </c>
      <c r="BH746">
        <v>12.7</v>
      </c>
      <c r="BI746">
        <v>10</v>
      </c>
      <c r="BJ746">
        <v>11.6</v>
      </c>
      <c r="BK746">
        <v>9</v>
      </c>
      <c r="BL746">
        <v>19.8</v>
      </c>
      <c r="BM746">
        <v>19</v>
      </c>
      <c r="BN746">
        <v>23.6</v>
      </c>
      <c r="BO746">
        <v>19</v>
      </c>
      <c r="BP746">
        <v>21</v>
      </c>
      <c r="BQ746">
        <v>20</v>
      </c>
      <c r="BR746">
        <v>21.7</v>
      </c>
      <c r="BS746">
        <v>25</v>
      </c>
      <c r="BT746">
        <v>21.9</v>
      </c>
      <c r="BU746">
        <v>25</v>
      </c>
      <c r="BV746">
        <v>23.3</v>
      </c>
      <c r="BW746">
        <v>18</v>
      </c>
      <c r="BX746">
        <v>21.2</v>
      </c>
      <c r="BY746">
        <v>20</v>
      </c>
      <c r="BZ746">
        <v>21</v>
      </c>
      <c r="CA746">
        <v>20</v>
      </c>
      <c r="CB746">
        <v>10.6</v>
      </c>
      <c r="CC746">
        <v>10</v>
      </c>
      <c r="CD746">
        <v>10.6</v>
      </c>
      <c r="CE746">
        <v>10</v>
      </c>
      <c r="CF746">
        <v>11.4</v>
      </c>
      <c r="CG746">
        <v>9</v>
      </c>
      <c r="CH746">
        <v>11.6</v>
      </c>
      <c r="CI746">
        <v>9</v>
      </c>
    </row>
    <row r="747" spans="1:87" x14ac:dyDescent="0.35">
      <c r="A747" s="1">
        <v>46059.981944444444</v>
      </c>
      <c r="B747">
        <v>-18.8</v>
      </c>
      <c r="C747">
        <v>-19.7</v>
      </c>
      <c r="D747">
        <v>-25</v>
      </c>
      <c r="E747">
        <v>-19.2</v>
      </c>
      <c r="F747">
        <v>-18.7</v>
      </c>
      <c r="G747">
        <v>-25</v>
      </c>
      <c r="H747">
        <v>-15.2</v>
      </c>
      <c r="I747">
        <v>-11.6</v>
      </c>
      <c r="J747">
        <v>-25</v>
      </c>
      <c r="K747">
        <v>-15.2</v>
      </c>
      <c r="L747">
        <v>-15.7</v>
      </c>
      <c r="M747">
        <v>-25</v>
      </c>
      <c r="N747">
        <v>-15.2</v>
      </c>
      <c r="O747">
        <v>-15.4</v>
      </c>
      <c r="P747">
        <v>-25</v>
      </c>
      <c r="Q747">
        <v>-15.3</v>
      </c>
      <c r="R747">
        <v>-15.1</v>
      </c>
      <c r="S747">
        <v>-25</v>
      </c>
      <c r="T747">
        <v>3.2</v>
      </c>
      <c r="U747">
        <v>3.2</v>
      </c>
      <c r="V747">
        <v>2</v>
      </c>
      <c r="W747">
        <v>3.2</v>
      </c>
      <c r="X747">
        <v>3</v>
      </c>
      <c r="Y747">
        <v>2</v>
      </c>
      <c r="Z747">
        <v>2.9</v>
      </c>
      <c r="AA747">
        <v>2.5</v>
      </c>
      <c r="AB747">
        <v>2</v>
      </c>
      <c r="AC747">
        <v>2.6</v>
      </c>
      <c r="AD747">
        <v>2.2999999999999998</v>
      </c>
      <c r="AE747">
        <v>2</v>
      </c>
      <c r="AF747">
        <v>2.4</v>
      </c>
      <c r="AG747">
        <v>2</v>
      </c>
      <c r="AH747">
        <v>2</v>
      </c>
      <c r="AI747">
        <v>2.2000000000000002</v>
      </c>
      <c r="AJ747">
        <v>-0.2</v>
      </c>
      <c r="AK747">
        <v>2</v>
      </c>
      <c r="AL747">
        <v>5.8</v>
      </c>
      <c r="AM747">
        <v>4</v>
      </c>
      <c r="AN747">
        <v>5.3</v>
      </c>
      <c r="AO747">
        <v>4</v>
      </c>
      <c r="AP747">
        <v>5.6</v>
      </c>
      <c r="AQ747">
        <v>4</v>
      </c>
      <c r="AR747">
        <v>3.7</v>
      </c>
      <c r="AS747">
        <v>4</v>
      </c>
      <c r="AT747">
        <v>-5</v>
      </c>
      <c r="AU747">
        <v>-6.5</v>
      </c>
      <c r="AV747">
        <v>-5</v>
      </c>
      <c r="AW747">
        <v>-4.8</v>
      </c>
      <c r="AX747">
        <v>-6.6</v>
      </c>
      <c r="AY747">
        <v>-5</v>
      </c>
      <c r="AZ747">
        <v>11.4</v>
      </c>
      <c r="BA747">
        <v>10</v>
      </c>
      <c r="BB747">
        <v>10.3</v>
      </c>
      <c r="BC747">
        <v>10</v>
      </c>
      <c r="BD747">
        <v>4.5</v>
      </c>
      <c r="BE747">
        <v>4</v>
      </c>
      <c r="BF747">
        <v>9.8000000000000007</v>
      </c>
      <c r="BG747">
        <v>10</v>
      </c>
      <c r="BH747">
        <v>12.6</v>
      </c>
      <c r="BI747">
        <v>10</v>
      </c>
      <c r="BJ747">
        <v>11.6</v>
      </c>
      <c r="BK747">
        <v>9</v>
      </c>
      <c r="BL747">
        <v>19.3</v>
      </c>
      <c r="BM747">
        <v>19</v>
      </c>
      <c r="BN747">
        <v>23.6</v>
      </c>
      <c r="BO747">
        <v>19</v>
      </c>
      <c r="BP747">
        <v>20.7</v>
      </c>
      <c r="BQ747">
        <v>20</v>
      </c>
      <c r="BR747">
        <v>21.7</v>
      </c>
      <c r="BS747">
        <v>25</v>
      </c>
      <c r="BT747">
        <v>21.9</v>
      </c>
      <c r="BU747">
        <v>25</v>
      </c>
      <c r="BV747">
        <v>23.3</v>
      </c>
      <c r="BW747">
        <v>18</v>
      </c>
      <c r="BX747">
        <v>21.3</v>
      </c>
      <c r="BY747">
        <v>20</v>
      </c>
      <c r="BZ747">
        <v>21</v>
      </c>
      <c r="CA747">
        <v>20</v>
      </c>
      <c r="CB747">
        <v>10.3</v>
      </c>
      <c r="CC747">
        <v>10</v>
      </c>
      <c r="CD747">
        <v>10.5</v>
      </c>
      <c r="CE747">
        <v>10</v>
      </c>
      <c r="CF747">
        <v>11.3</v>
      </c>
      <c r="CG747">
        <v>9</v>
      </c>
      <c r="CH747">
        <v>11.5</v>
      </c>
      <c r="CI747">
        <v>9</v>
      </c>
    </row>
    <row r="748" spans="1:87" x14ac:dyDescent="0.35">
      <c r="A748" s="1">
        <v>46059.982638888891</v>
      </c>
      <c r="B748">
        <v>-18.899999999999999</v>
      </c>
      <c r="C748">
        <v>-19.5</v>
      </c>
      <c r="D748">
        <v>-25</v>
      </c>
      <c r="E748">
        <v>-19.2</v>
      </c>
      <c r="F748">
        <v>-18.7</v>
      </c>
      <c r="G748">
        <v>-25</v>
      </c>
      <c r="H748">
        <v>-15.2</v>
      </c>
      <c r="I748">
        <v>-11.7</v>
      </c>
      <c r="J748">
        <v>-25</v>
      </c>
      <c r="K748">
        <v>-15.2</v>
      </c>
      <c r="L748">
        <v>-15.7</v>
      </c>
      <c r="M748">
        <v>-25</v>
      </c>
      <c r="N748">
        <v>-15.3</v>
      </c>
      <c r="O748">
        <v>-16</v>
      </c>
      <c r="P748">
        <v>-25</v>
      </c>
      <c r="Q748">
        <v>-15.3</v>
      </c>
      <c r="R748">
        <v>-15.2</v>
      </c>
      <c r="S748">
        <v>-25</v>
      </c>
      <c r="T748">
        <v>3.3</v>
      </c>
      <c r="U748">
        <v>3.3</v>
      </c>
      <c r="V748">
        <v>2</v>
      </c>
      <c r="W748">
        <v>3.3</v>
      </c>
      <c r="X748">
        <v>3</v>
      </c>
      <c r="Y748">
        <v>2</v>
      </c>
      <c r="Z748">
        <v>3</v>
      </c>
      <c r="AA748">
        <v>2.6</v>
      </c>
      <c r="AB748">
        <v>2</v>
      </c>
      <c r="AC748">
        <v>2.7</v>
      </c>
      <c r="AD748">
        <v>2.4</v>
      </c>
      <c r="AE748">
        <v>2</v>
      </c>
      <c r="AF748">
        <v>2.4</v>
      </c>
      <c r="AG748">
        <v>1.9</v>
      </c>
      <c r="AH748">
        <v>2</v>
      </c>
      <c r="AI748">
        <v>2.2000000000000002</v>
      </c>
      <c r="AJ748">
        <v>0.3</v>
      </c>
      <c r="AK748">
        <v>2</v>
      </c>
      <c r="AL748">
        <v>5.8</v>
      </c>
      <c r="AM748">
        <v>4</v>
      </c>
      <c r="AN748">
        <v>5.3</v>
      </c>
      <c r="AO748">
        <v>4</v>
      </c>
      <c r="AP748">
        <v>4.5999999999999996</v>
      </c>
      <c r="AQ748">
        <v>4</v>
      </c>
      <c r="AR748">
        <v>3.7</v>
      </c>
      <c r="AS748">
        <v>4</v>
      </c>
      <c r="AT748">
        <v>-5</v>
      </c>
      <c r="AU748">
        <v>-5.8</v>
      </c>
      <c r="AV748">
        <v>-5</v>
      </c>
      <c r="AW748">
        <v>-5.3</v>
      </c>
      <c r="AX748">
        <v>-7.2</v>
      </c>
      <c r="AY748">
        <v>-5</v>
      </c>
      <c r="AZ748">
        <v>11.5</v>
      </c>
      <c r="BA748">
        <v>10</v>
      </c>
      <c r="BB748">
        <v>10.1</v>
      </c>
      <c r="BC748">
        <v>10</v>
      </c>
      <c r="BD748">
        <v>4.8</v>
      </c>
      <c r="BE748">
        <v>4</v>
      </c>
      <c r="BF748">
        <v>9.6</v>
      </c>
      <c r="BG748">
        <v>10</v>
      </c>
      <c r="BH748">
        <v>12.4</v>
      </c>
      <c r="BI748">
        <v>10</v>
      </c>
      <c r="BJ748">
        <v>11.6</v>
      </c>
      <c r="BK748">
        <v>9</v>
      </c>
      <c r="BL748">
        <v>19</v>
      </c>
      <c r="BM748">
        <v>19</v>
      </c>
      <c r="BN748">
        <v>23.6</v>
      </c>
      <c r="BO748">
        <v>19</v>
      </c>
      <c r="BP748">
        <v>20.7</v>
      </c>
      <c r="BQ748">
        <v>20</v>
      </c>
      <c r="BR748">
        <v>21.7</v>
      </c>
      <c r="BS748">
        <v>25</v>
      </c>
      <c r="BT748">
        <v>21.9</v>
      </c>
      <c r="BU748">
        <v>25</v>
      </c>
      <c r="BV748">
        <v>23.3</v>
      </c>
      <c r="BW748">
        <v>18</v>
      </c>
      <c r="BX748">
        <v>21.3</v>
      </c>
      <c r="BY748">
        <v>20</v>
      </c>
      <c r="BZ748">
        <v>21.1</v>
      </c>
      <c r="CA748">
        <v>20</v>
      </c>
      <c r="CB748">
        <v>10.1</v>
      </c>
      <c r="CC748">
        <v>10</v>
      </c>
      <c r="CD748">
        <v>10.4</v>
      </c>
      <c r="CE748">
        <v>10</v>
      </c>
      <c r="CF748">
        <v>11.4</v>
      </c>
      <c r="CG748">
        <v>9</v>
      </c>
      <c r="CH748">
        <v>11.6</v>
      </c>
      <c r="CI748">
        <v>9</v>
      </c>
    </row>
    <row r="749" spans="1:87" x14ac:dyDescent="0.35">
      <c r="A749" s="1">
        <v>46059.98333333333</v>
      </c>
      <c r="B749">
        <v>-18.899999999999999</v>
      </c>
      <c r="C749">
        <v>-19.100000000000001</v>
      </c>
      <c r="D749">
        <v>-25</v>
      </c>
      <c r="E749">
        <v>-19</v>
      </c>
      <c r="F749">
        <v>-18.7</v>
      </c>
      <c r="G749">
        <v>-25</v>
      </c>
      <c r="H749">
        <v>-15.2</v>
      </c>
      <c r="I749">
        <v>-11.7</v>
      </c>
      <c r="J749">
        <v>-25</v>
      </c>
      <c r="K749">
        <v>-15.2</v>
      </c>
      <c r="L749">
        <v>-15.7</v>
      </c>
      <c r="M749">
        <v>-25</v>
      </c>
      <c r="N749">
        <v>-15.6</v>
      </c>
      <c r="O749">
        <v>-16.5</v>
      </c>
      <c r="P749">
        <v>-25</v>
      </c>
      <c r="Q749">
        <v>-15.3</v>
      </c>
      <c r="R749">
        <v>-15.5</v>
      </c>
      <c r="S749">
        <v>-25</v>
      </c>
      <c r="T749">
        <v>3.4</v>
      </c>
      <c r="U749">
        <v>3.4</v>
      </c>
      <c r="V749">
        <v>2</v>
      </c>
      <c r="W749">
        <v>3.3</v>
      </c>
      <c r="X749">
        <v>3.1</v>
      </c>
      <c r="Y749">
        <v>2</v>
      </c>
      <c r="Z749">
        <v>3.1</v>
      </c>
      <c r="AA749">
        <v>2.8</v>
      </c>
      <c r="AB749">
        <v>2</v>
      </c>
      <c r="AC749">
        <v>2.8</v>
      </c>
      <c r="AD749">
        <v>2.5</v>
      </c>
      <c r="AE749">
        <v>2</v>
      </c>
      <c r="AF749">
        <v>2.4</v>
      </c>
      <c r="AG749">
        <v>1.9</v>
      </c>
      <c r="AH749">
        <v>2</v>
      </c>
      <c r="AI749">
        <v>2.2000000000000002</v>
      </c>
      <c r="AJ749">
        <v>1.1000000000000001</v>
      </c>
      <c r="AK749">
        <v>2</v>
      </c>
      <c r="AL749">
        <v>5.9</v>
      </c>
      <c r="AM749">
        <v>4</v>
      </c>
      <c r="AN749">
        <v>5.2</v>
      </c>
      <c r="AO749">
        <v>4</v>
      </c>
      <c r="AP749">
        <v>3.5</v>
      </c>
      <c r="AQ749">
        <v>4</v>
      </c>
      <c r="AR749">
        <v>3.7</v>
      </c>
      <c r="AS749">
        <v>4</v>
      </c>
      <c r="AT749">
        <v>-4.5</v>
      </c>
      <c r="AU749">
        <v>-4.9000000000000004</v>
      </c>
      <c r="AV749">
        <v>-5</v>
      </c>
      <c r="AW749">
        <v>-5.4</v>
      </c>
      <c r="AX749">
        <v>-5.9</v>
      </c>
      <c r="AY749">
        <v>-5</v>
      </c>
      <c r="AZ749">
        <v>11.5</v>
      </c>
      <c r="BA749">
        <v>10</v>
      </c>
      <c r="BB749">
        <v>10</v>
      </c>
      <c r="BC749">
        <v>10</v>
      </c>
      <c r="BD749">
        <v>5</v>
      </c>
      <c r="BE749">
        <v>4</v>
      </c>
      <c r="BF749">
        <v>9.9</v>
      </c>
      <c r="BG749">
        <v>10</v>
      </c>
      <c r="BH749">
        <v>12.3</v>
      </c>
      <c r="BI749">
        <v>10</v>
      </c>
      <c r="BJ749">
        <v>11.5</v>
      </c>
      <c r="BK749">
        <v>9</v>
      </c>
      <c r="BL749">
        <v>18.8</v>
      </c>
      <c r="BM749">
        <v>19</v>
      </c>
      <c r="BN749">
        <v>23.6</v>
      </c>
      <c r="BO749">
        <v>19</v>
      </c>
      <c r="BP749">
        <v>20.7</v>
      </c>
      <c r="BQ749">
        <v>20</v>
      </c>
      <c r="BR749">
        <v>21.7</v>
      </c>
      <c r="BS749">
        <v>25</v>
      </c>
      <c r="BT749">
        <v>21.9</v>
      </c>
      <c r="BU749">
        <v>25</v>
      </c>
      <c r="BV749">
        <v>23.3</v>
      </c>
      <c r="BW749">
        <v>18</v>
      </c>
      <c r="BX749">
        <v>21.3</v>
      </c>
      <c r="BY749">
        <v>20</v>
      </c>
      <c r="BZ749">
        <v>21.1</v>
      </c>
      <c r="CA749">
        <v>20</v>
      </c>
      <c r="CB749">
        <v>10</v>
      </c>
      <c r="CC749">
        <v>10</v>
      </c>
      <c r="CD749">
        <v>10.3</v>
      </c>
      <c r="CE749">
        <v>10</v>
      </c>
      <c r="CF749">
        <v>11.4</v>
      </c>
      <c r="CG749">
        <v>9</v>
      </c>
      <c r="CH749">
        <v>11.7</v>
      </c>
      <c r="CI749">
        <v>9</v>
      </c>
    </row>
    <row r="750" spans="1:87" x14ac:dyDescent="0.35">
      <c r="A750" s="1">
        <v>46059.984027777777</v>
      </c>
      <c r="B750">
        <v>-18.600000000000001</v>
      </c>
      <c r="C750">
        <v>-18.7</v>
      </c>
      <c r="D750">
        <v>-25</v>
      </c>
      <c r="E750">
        <v>-18.7</v>
      </c>
      <c r="F750">
        <v>-18.600000000000001</v>
      </c>
      <c r="G750">
        <v>-25</v>
      </c>
      <c r="H750">
        <v>-15.2</v>
      </c>
      <c r="I750">
        <v>-11.8</v>
      </c>
      <c r="J750">
        <v>-25</v>
      </c>
      <c r="K750">
        <v>-15.2</v>
      </c>
      <c r="L750">
        <v>-15.7</v>
      </c>
      <c r="M750">
        <v>-25</v>
      </c>
      <c r="N750">
        <v>-15.9</v>
      </c>
      <c r="O750">
        <v>-16.8</v>
      </c>
      <c r="P750">
        <v>-25</v>
      </c>
      <c r="Q750">
        <v>-15.3</v>
      </c>
      <c r="R750">
        <v>-15.6</v>
      </c>
      <c r="S750">
        <v>-25</v>
      </c>
      <c r="T750">
        <v>3.4</v>
      </c>
      <c r="U750">
        <v>3.4</v>
      </c>
      <c r="V750">
        <v>2</v>
      </c>
      <c r="W750">
        <v>3.4</v>
      </c>
      <c r="X750">
        <v>3.2</v>
      </c>
      <c r="Y750">
        <v>2</v>
      </c>
      <c r="Z750">
        <v>3.1</v>
      </c>
      <c r="AA750">
        <v>2.8</v>
      </c>
      <c r="AB750">
        <v>2</v>
      </c>
      <c r="AC750">
        <v>2.9</v>
      </c>
      <c r="AD750">
        <v>2.6</v>
      </c>
      <c r="AE750">
        <v>2</v>
      </c>
      <c r="AF750">
        <v>2.4</v>
      </c>
      <c r="AG750">
        <v>2</v>
      </c>
      <c r="AH750">
        <v>2</v>
      </c>
      <c r="AI750">
        <v>2.2000000000000002</v>
      </c>
      <c r="AJ750">
        <v>1.1000000000000001</v>
      </c>
      <c r="AK750">
        <v>2</v>
      </c>
      <c r="AL750">
        <v>5.9</v>
      </c>
      <c r="AM750">
        <v>4</v>
      </c>
      <c r="AN750">
        <v>5.0999999999999996</v>
      </c>
      <c r="AO750">
        <v>4</v>
      </c>
      <c r="AP750">
        <v>2.9</v>
      </c>
      <c r="AQ750">
        <v>4</v>
      </c>
      <c r="AR750">
        <v>3.7</v>
      </c>
      <c r="AS750">
        <v>4</v>
      </c>
      <c r="AT750">
        <v>-3.9</v>
      </c>
      <c r="AU750">
        <v>-4.2</v>
      </c>
      <c r="AV750">
        <v>-5</v>
      </c>
      <c r="AW750">
        <v>-4.8</v>
      </c>
      <c r="AX750">
        <v>-4.8</v>
      </c>
      <c r="AY750">
        <v>-5</v>
      </c>
      <c r="AZ750">
        <v>11.6</v>
      </c>
      <c r="BA750">
        <v>10</v>
      </c>
      <c r="BB750">
        <v>10</v>
      </c>
      <c r="BC750">
        <v>10</v>
      </c>
      <c r="BD750">
        <v>5.2</v>
      </c>
      <c r="BE750">
        <v>4</v>
      </c>
      <c r="BF750">
        <v>10.5</v>
      </c>
      <c r="BG750">
        <v>10</v>
      </c>
      <c r="BH750">
        <v>12.3</v>
      </c>
      <c r="BI750">
        <v>10</v>
      </c>
      <c r="BJ750">
        <v>11.3</v>
      </c>
      <c r="BK750">
        <v>9</v>
      </c>
      <c r="BL750">
        <v>18.7</v>
      </c>
      <c r="BM750">
        <v>19</v>
      </c>
      <c r="BN750">
        <v>23.6</v>
      </c>
      <c r="BO750">
        <v>19</v>
      </c>
      <c r="BP750">
        <v>20.7</v>
      </c>
      <c r="BQ750">
        <v>20</v>
      </c>
      <c r="BR750">
        <v>21.7</v>
      </c>
      <c r="BS750">
        <v>25</v>
      </c>
      <c r="BT750">
        <v>21.9</v>
      </c>
      <c r="BU750">
        <v>25</v>
      </c>
      <c r="BV750">
        <v>23.3</v>
      </c>
      <c r="BW750">
        <v>18</v>
      </c>
      <c r="BX750">
        <v>21.3</v>
      </c>
      <c r="BY750">
        <v>20</v>
      </c>
      <c r="BZ750">
        <v>21.1</v>
      </c>
      <c r="CA750">
        <v>20</v>
      </c>
      <c r="CB750">
        <v>10.3</v>
      </c>
      <c r="CC750">
        <v>10</v>
      </c>
      <c r="CD750">
        <v>10.3</v>
      </c>
      <c r="CE750">
        <v>10</v>
      </c>
      <c r="CF750">
        <v>11.3</v>
      </c>
      <c r="CG750">
        <v>9</v>
      </c>
      <c r="CH750">
        <v>11.6</v>
      </c>
      <c r="CI750">
        <v>9</v>
      </c>
    </row>
    <row r="751" spans="1:87" x14ac:dyDescent="0.35">
      <c r="A751" s="1">
        <v>46059.984722222223</v>
      </c>
      <c r="B751">
        <v>-18.399999999999999</v>
      </c>
      <c r="C751">
        <v>-18.5</v>
      </c>
      <c r="D751">
        <v>-25</v>
      </c>
      <c r="E751">
        <v>-18.5</v>
      </c>
      <c r="F751">
        <v>-18.5</v>
      </c>
      <c r="G751">
        <v>-25</v>
      </c>
      <c r="H751">
        <v>-15.2</v>
      </c>
      <c r="I751">
        <v>-11.9</v>
      </c>
      <c r="J751">
        <v>-25</v>
      </c>
      <c r="K751">
        <v>-15.2</v>
      </c>
      <c r="L751">
        <v>-15.8</v>
      </c>
      <c r="M751">
        <v>-25</v>
      </c>
      <c r="N751">
        <v>-16.2</v>
      </c>
      <c r="O751">
        <v>-16.8</v>
      </c>
      <c r="P751">
        <v>-25</v>
      </c>
      <c r="Q751">
        <v>-15.3</v>
      </c>
      <c r="R751">
        <v>-15.7</v>
      </c>
      <c r="S751">
        <v>-25</v>
      </c>
      <c r="T751">
        <v>3.5</v>
      </c>
      <c r="U751">
        <v>3.5</v>
      </c>
      <c r="V751">
        <v>2</v>
      </c>
      <c r="W751">
        <v>3.4</v>
      </c>
      <c r="X751">
        <v>3.3</v>
      </c>
      <c r="Y751">
        <v>2</v>
      </c>
      <c r="Z751">
        <v>3.2</v>
      </c>
      <c r="AA751">
        <v>2.9</v>
      </c>
      <c r="AB751">
        <v>2</v>
      </c>
      <c r="AC751">
        <v>3</v>
      </c>
      <c r="AD751">
        <v>2.8</v>
      </c>
      <c r="AE751">
        <v>2</v>
      </c>
      <c r="AF751">
        <v>2.4</v>
      </c>
      <c r="AG751">
        <v>2</v>
      </c>
      <c r="AH751">
        <v>2</v>
      </c>
      <c r="AI751">
        <v>2.2000000000000002</v>
      </c>
      <c r="AJ751">
        <v>0.9</v>
      </c>
      <c r="AK751">
        <v>2</v>
      </c>
      <c r="AL751">
        <v>5.9</v>
      </c>
      <c r="AM751">
        <v>4</v>
      </c>
      <c r="AN751">
        <v>4.9000000000000004</v>
      </c>
      <c r="AO751">
        <v>4</v>
      </c>
      <c r="AP751">
        <v>2.9</v>
      </c>
      <c r="AQ751">
        <v>4</v>
      </c>
      <c r="AR751">
        <v>3.7</v>
      </c>
      <c r="AS751">
        <v>4</v>
      </c>
      <c r="AT751">
        <v>-3.5</v>
      </c>
      <c r="AU751">
        <v>-3.7</v>
      </c>
      <c r="AV751">
        <v>-5</v>
      </c>
      <c r="AW751">
        <v>-4.0999999999999996</v>
      </c>
      <c r="AX751">
        <v>-4</v>
      </c>
      <c r="AY751">
        <v>-5</v>
      </c>
      <c r="AZ751">
        <v>11.7</v>
      </c>
      <c r="BA751">
        <v>10</v>
      </c>
      <c r="BB751">
        <v>10.3</v>
      </c>
      <c r="BC751">
        <v>10</v>
      </c>
      <c r="BD751">
        <v>5.4</v>
      </c>
      <c r="BE751">
        <v>4</v>
      </c>
      <c r="BF751">
        <v>10.6</v>
      </c>
      <c r="BG751">
        <v>10</v>
      </c>
      <c r="BH751">
        <v>12.1</v>
      </c>
      <c r="BI751">
        <v>10</v>
      </c>
      <c r="BJ751">
        <v>11.3</v>
      </c>
      <c r="BK751">
        <v>9</v>
      </c>
      <c r="BL751">
        <v>18.7</v>
      </c>
      <c r="BM751">
        <v>19</v>
      </c>
      <c r="BN751">
        <v>23.6</v>
      </c>
      <c r="BO751">
        <v>19</v>
      </c>
      <c r="BP751">
        <v>20.7</v>
      </c>
      <c r="BQ751">
        <v>20</v>
      </c>
      <c r="BR751">
        <v>21.7</v>
      </c>
      <c r="BS751">
        <v>25</v>
      </c>
      <c r="BT751">
        <v>21.9</v>
      </c>
      <c r="BU751">
        <v>25</v>
      </c>
      <c r="BV751">
        <v>23.3</v>
      </c>
      <c r="BW751">
        <v>18</v>
      </c>
      <c r="BX751">
        <v>21.4</v>
      </c>
      <c r="BY751">
        <v>20</v>
      </c>
      <c r="BZ751">
        <v>21.2</v>
      </c>
      <c r="CA751">
        <v>20</v>
      </c>
      <c r="CB751">
        <v>10.7</v>
      </c>
      <c r="CC751">
        <v>10</v>
      </c>
      <c r="CD751">
        <v>10.199999999999999</v>
      </c>
      <c r="CE751">
        <v>10</v>
      </c>
      <c r="CF751">
        <v>11.1</v>
      </c>
      <c r="CG751">
        <v>9</v>
      </c>
      <c r="CH751">
        <v>11.4</v>
      </c>
      <c r="CI751">
        <v>9</v>
      </c>
    </row>
    <row r="752" spans="1:87" x14ac:dyDescent="0.35">
      <c r="A752" s="1">
        <v>46059.98541666667</v>
      </c>
      <c r="B752">
        <v>-18.3</v>
      </c>
      <c r="C752">
        <v>-18.399999999999999</v>
      </c>
      <c r="D752">
        <v>-25</v>
      </c>
      <c r="E752">
        <v>-18.399999999999999</v>
      </c>
      <c r="F752">
        <v>-18.399999999999999</v>
      </c>
      <c r="G752">
        <v>-25</v>
      </c>
      <c r="H752">
        <v>-15.3</v>
      </c>
      <c r="I752">
        <v>-12</v>
      </c>
      <c r="J752">
        <v>-25</v>
      </c>
      <c r="K752">
        <v>-15.3</v>
      </c>
      <c r="L752">
        <v>-15.9</v>
      </c>
      <c r="M752">
        <v>-25</v>
      </c>
      <c r="N752">
        <v>-16.5</v>
      </c>
      <c r="O752">
        <v>-17</v>
      </c>
      <c r="P752">
        <v>-25</v>
      </c>
      <c r="Q752">
        <v>-15.3</v>
      </c>
      <c r="R752">
        <v>-14.9</v>
      </c>
      <c r="S752">
        <v>-25</v>
      </c>
      <c r="T752">
        <v>3.5</v>
      </c>
      <c r="U752">
        <v>3.5</v>
      </c>
      <c r="V752">
        <v>2</v>
      </c>
      <c r="W752">
        <v>3.5</v>
      </c>
      <c r="X752">
        <v>3.3</v>
      </c>
      <c r="Y752">
        <v>2</v>
      </c>
      <c r="Z752">
        <v>3.3</v>
      </c>
      <c r="AA752">
        <v>2.9</v>
      </c>
      <c r="AB752">
        <v>2</v>
      </c>
      <c r="AC752">
        <v>3</v>
      </c>
      <c r="AD752">
        <v>2.9</v>
      </c>
      <c r="AE752">
        <v>2</v>
      </c>
      <c r="AF752">
        <v>2.2999999999999998</v>
      </c>
      <c r="AG752">
        <v>1.9</v>
      </c>
      <c r="AH752">
        <v>2</v>
      </c>
      <c r="AI752">
        <v>2</v>
      </c>
      <c r="AJ752">
        <v>0.3</v>
      </c>
      <c r="AK752">
        <v>2</v>
      </c>
      <c r="AL752">
        <v>5.9</v>
      </c>
      <c r="AM752">
        <v>4</v>
      </c>
      <c r="AN752">
        <v>4.7</v>
      </c>
      <c r="AO752">
        <v>4</v>
      </c>
      <c r="AP752">
        <v>2.9</v>
      </c>
      <c r="AQ752">
        <v>4</v>
      </c>
      <c r="AR752">
        <v>3.7</v>
      </c>
      <c r="AS752">
        <v>4</v>
      </c>
      <c r="AT752">
        <v>-3.1</v>
      </c>
      <c r="AU752">
        <v>-3.3</v>
      </c>
      <c r="AV752">
        <v>-5</v>
      </c>
      <c r="AW752">
        <v>-3.6</v>
      </c>
      <c r="AX752">
        <v>-3.4</v>
      </c>
      <c r="AY752">
        <v>-5</v>
      </c>
      <c r="AZ752">
        <v>11.7</v>
      </c>
      <c r="BA752">
        <v>10</v>
      </c>
      <c r="BB752">
        <v>10.7</v>
      </c>
      <c r="BC752">
        <v>10</v>
      </c>
      <c r="BD752">
        <v>5.6</v>
      </c>
      <c r="BE752">
        <v>4</v>
      </c>
      <c r="BF752">
        <v>10.9</v>
      </c>
      <c r="BG752">
        <v>10</v>
      </c>
      <c r="BH752">
        <v>12.1</v>
      </c>
      <c r="BI752">
        <v>10</v>
      </c>
      <c r="BJ752">
        <v>11.4</v>
      </c>
      <c r="BK752">
        <v>9</v>
      </c>
      <c r="BL752">
        <v>18.7</v>
      </c>
      <c r="BM752">
        <v>19</v>
      </c>
      <c r="BN752">
        <v>23.6</v>
      </c>
      <c r="BO752">
        <v>19</v>
      </c>
      <c r="BP752">
        <v>20.7</v>
      </c>
      <c r="BQ752">
        <v>20</v>
      </c>
      <c r="BR752">
        <v>21.7</v>
      </c>
      <c r="BS752">
        <v>25</v>
      </c>
      <c r="BT752">
        <v>21.9</v>
      </c>
      <c r="BU752">
        <v>25</v>
      </c>
      <c r="BV752">
        <v>23.3</v>
      </c>
      <c r="BW752">
        <v>18</v>
      </c>
      <c r="BX752">
        <v>21.4</v>
      </c>
      <c r="BY752">
        <v>20</v>
      </c>
      <c r="BZ752">
        <v>21.2</v>
      </c>
      <c r="CA752">
        <v>20</v>
      </c>
      <c r="CB752">
        <v>11.1</v>
      </c>
      <c r="CC752">
        <v>10</v>
      </c>
      <c r="CD752">
        <v>10.199999999999999</v>
      </c>
      <c r="CE752">
        <v>10</v>
      </c>
      <c r="CF752">
        <v>11</v>
      </c>
      <c r="CG752">
        <v>9</v>
      </c>
      <c r="CH752">
        <v>11.2</v>
      </c>
      <c r="CI752">
        <v>9</v>
      </c>
    </row>
    <row r="753" spans="1:87" x14ac:dyDescent="0.35">
      <c r="A753" s="1">
        <v>46059.986805555556</v>
      </c>
      <c r="B753">
        <v>-18.3</v>
      </c>
      <c r="C753">
        <v>-18.399999999999999</v>
      </c>
      <c r="D753">
        <v>-25</v>
      </c>
      <c r="E753">
        <v>-18.399999999999999</v>
      </c>
      <c r="F753">
        <v>-18.3</v>
      </c>
      <c r="G753">
        <v>-25</v>
      </c>
      <c r="H753">
        <v>-15.6</v>
      </c>
      <c r="I753">
        <v>-12.2</v>
      </c>
      <c r="J753">
        <v>-25</v>
      </c>
      <c r="K753">
        <v>-15.5</v>
      </c>
      <c r="L753">
        <v>-16.2</v>
      </c>
      <c r="M753">
        <v>-25</v>
      </c>
      <c r="N753">
        <v>-16.8</v>
      </c>
      <c r="O753">
        <v>-17.600000000000001</v>
      </c>
      <c r="P753">
        <v>-25</v>
      </c>
      <c r="Q753">
        <v>-15.3</v>
      </c>
      <c r="R753">
        <v>-14</v>
      </c>
      <c r="S753">
        <v>-25</v>
      </c>
      <c r="T753">
        <v>3.6</v>
      </c>
      <c r="U753">
        <v>3.6</v>
      </c>
      <c r="V753">
        <v>2</v>
      </c>
      <c r="W753">
        <v>3.6</v>
      </c>
      <c r="X753">
        <v>3.4</v>
      </c>
      <c r="Y753">
        <v>2</v>
      </c>
      <c r="Z753">
        <v>3.4</v>
      </c>
      <c r="AA753">
        <v>3.1</v>
      </c>
      <c r="AB753">
        <v>2</v>
      </c>
      <c r="AC753">
        <v>3.2</v>
      </c>
      <c r="AD753">
        <v>3</v>
      </c>
      <c r="AE753">
        <v>2</v>
      </c>
      <c r="AF753">
        <v>2.1</v>
      </c>
      <c r="AG753">
        <v>1.8</v>
      </c>
      <c r="AH753">
        <v>2</v>
      </c>
      <c r="AI753">
        <v>1.9</v>
      </c>
      <c r="AJ753">
        <v>1.4</v>
      </c>
      <c r="AK753">
        <v>2</v>
      </c>
      <c r="AL753">
        <v>6</v>
      </c>
      <c r="AM753">
        <v>4</v>
      </c>
      <c r="AN753">
        <v>4.5</v>
      </c>
      <c r="AO753">
        <v>4</v>
      </c>
      <c r="AP753">
        <v>3.5</v>
      </c>
      <c r="AQ753">
        <v>4</v>
      </c>
      <c r="AR753">
        <v>7</v>
      </c>
      <c r="AS753">
        <v>4</v>
      </c>
      <c r="AT753">
        <v>-3.3</v>
      </c>
      <c r="AU753">
        <v>-5</v>
      </c>
      <c r="AV753">
        <v>-5</v>
      </c>
      <c r="AW753">
        <v>-2.9</v>
      </c>
      <c r="AX753">
        <v>-2.7</v>
      </c>
      <c r="AY753">
        <v>-5</v>
      </c>
      <c r="AZ753">
        <v>11.9</v>
      </c>
      <c r="BA753">
        <v>10</v>
      </c>
      <c r="BB753">
        <v>11.3</v>
      </c>
      <c r="BC753">
        <v>10</v>
      </c>
      <c r="BD753">
        <v>5.9</v>
      </c>
      <c r="BE753">
        <v>4</v>
      </c>
      <c r="BF753">
        <v>11.5</v>
      </c>
      <c r="BG753">
        <v>10</v>
      </c>
      <c r="BH753">
        <v>12</v>
      </c>
      <c r="BI753">
        <v>10</v>
      </c>
      <c r="BJ753">
        <v>11.4</v>
      </c>
      <c r="BK753">
        <v>9</v>
      </c>
      <c r="BL753">
        <v>18.7</v>
      </c>
      <c r="BM753">
        <v>19</v>
      </c>
      <c r="BN753">
        <v>23.6</v>
      </c>
      <c r="BO753">
        <v>19</v>
      </c>
      <c r="BP753">
        <v>20.7</v>
      </c>
      <c r="BQ753">
        <v>20</v>
      </c>
      <c r="BR753">
        <v>21.7</v>
      </c>
      <c r="BS753">
        <v>25</v>
      </c>
      <c r="BT753">
        <v>21.9</v>
      </c>
      <c r="BU753">
        <v>25</v>
      </c>
      <c r="BV753">
        <v>23.3</v>
      </c>
      <c r="BW753">
        <v>18</v>
      </c>
      <c r="BX753">
        <v>21.4</v>
      </c>
      <c r="BY753">
        <v>20</v>
      </c>
      <c r="BZ753">
        <v>21.3</v>
      </c>
      <c r="CA753">
        <v>20</v>
      </c>
      <c r="CB753">
        <v>11.8</v>
      </c>
      <c r="CC753">
        <v>10</v>
      </c>
      <c r="CD753">
        <v>10</v>
      </c>
      <c r="CE753">
        <v>10</v>
      </c>
      <c r="CF753">
        <v>11</v>
      </c>
      <c r="CG753">
        <v>9</v>
      </c>
      <c r="CH753">
        <v>11.2</v>
      </c>
      <c r="CI753">
        <v>9</v>
      </c>
    </row>
    <row r="754" spans="1:87" x14ac:dyDescent="0.35">
      <c r="A754" s="1">
        <v>46059.987500000003</v>
      </c>
      <c r="B754">
        <v>-18.3</v>
      </c>
      <c r="C754">
        <v>-18.399999999999999</v>
      </c>
      <c r="D754">
        <v>-25</v>
      </c>
      <c r="E754">
        <v>-18.399999999999999</v>
      </c>
      <c r="F754">
        <v>-18.2</v>
      </c>
      <c r="G754">
        <v>-25</v>
      </c>
      <c r="H754">
        <v>-15.6</v>
      </c>
      <c r="I754">
        <v>-12.4</v>
      </c>
      <c r="J754">
        <v>-25</v>
      </c>
      <c r="K754">
        <v>-15.5</v>
      </c>
      <c r="L754">
        <v>-16.2</v>
      </c>
      <c r="M754">
        <v>-25</v>
      </c>
      <c r="N754">
        <v>-17</v>
      </c>
      <c r="O754">
        <v>-17.8</v>
      </c>
      <c r="P754">
        <v>-25</v>
      </c>
      <c r="Q754">
        <v>-15.3</v>
      </c>
      <c r="R754">
        <v>-11.8</v>
      </c>
      <c r="S754">
        <v>-25</v>
      </c>
      <c r="T754">
        <v>3.7</v>
      </c>
      <c r="U754">
        <v>3.7</v>
      </c>
      <c r="V754">
        <v>2</v>
      </c>
      <c r="W754">
        <v>3.7</v>
      </c>
      <c r="X754">
        <v>3.5</v>
      </c>
      <c r="Y754">
        <v>2</v>
      </c>
      <c r="Z754">
        <v>3.5</v>
      </c>
      <c r="AA754">
        <v>3.2</v>
      </c>
      <c r="AB754">
        <v>2</v>
      </c>
      <c r="AC754">
        <v>3.3</v>
      </c>
      <c r="AD754">
        <v>3.1</v>
      </c>
      <c r="AE754">
        <v>2</v>
      </c>
      <c r="AF754">
        <v>2.2000000000000002</v>
      </c>
      <c r="AG754">
        <v>2</v>
      </c>
      <c r="AH754">
        <v>2</v>
      </c>
      <c r="AI754">
        <v>2.1</v>
      </c>
      <c r="AJ754">
        <v>1.7</v>
      </c>
      <c r="AK754">
        <v>2</v>
      </c>
      <c r="AL754">
        <v>5.8</v>
      </c>
      <c r="AM754">
        <v>4</v>
      </c>
      <c r="AN754">
        <v>4.4000000000000004</v>
      </c>
      <c r="AO754">
        <v>4</v>
      </c>
      <c r="AP754">
        <v>3.7</v>
      </c>
      <c r="AQ754">
        <v>4</v>
      </c>
      <c r="AR754">
        <v>7</v>
      </c>
      <c r="AS754">
        <v>4</v>
      </c>
      <c r="AT754">
        <v>-3.6</v>
      </c>
      <c r="AU754">
        <v>-5.4</v>
      </c>
      <c r="AV754">
        <v>-5</v>
      </c>
      <c r="AW754">
        <v>-2.7</v>
      </c>
      <c r="AX754">
        <v>-2.6</v>
      </c>
      <c r="AY754">
        <v>-5</v>
      </c>
      <c r="AZ754">
        <v>11.9</v>
      </c>
      <c r="BA754">
        <v>10</v>
      </c>
      <c r="BB754">
        <v>11.5</v>
      </c>
      <c r="BC754">
        <v>10</v>
      </c>
      <c r="BD754">
        <v>6</v>
      </c>
      <c r="BE754">
        <v>4</v>
      </c>
      <c r="BF754">
        <v>11.7</v>
      </c>
      <c r="BG754">
        <v>10</v>
      </c>
      <c r="BH754">
        <v>12</v>
      </c>
      <c r="BI754">
        <v>10</v>
      </c>
      <c r="BJ754">
        <v>11.4</v>
      </c>
      <c r="BK754">
        <v>9</v>
      </c>
      <c r="BL754">
        <v>18.7</v>
      </c>
      <c r="BM754">
        <v>19</v>
      </c>
      <c r="BN754">
        <v>23.6</v>
      </c>
      <c r="BO754">
        <v>19</v>
      </c>
      <c r="BP754">
        <v>20.7</v>
      </c>
      <c r="BQ754">
        <v>20</v>
      </c>
      <c r="BR754">
        <v>21.7</v>
      </c>
      <c r="BS754">
        <v>25</v>
      </c>
      <c r="BT754">
        <v>21.9</v>
      </c>
      <c r="BU754">
        <v>25</v>
      </c>
      <c r="BV754">
        <v>23.3</v>
      </c>
      <c r="BW754">
        <v>18</v>
      </c>
      <c r="BX754">
        <v>21.4</v>
      </c>
      <c r="BY754">
        <v>20</v>
      </c>
      <c r="BZ754">
        <v>21.3</v>
      </c>
      <c r="CA754">
        <v>20</v>
      </c>
      <c r="CB754">
        <v>12</v>
      </c>
      <c r="CC754">
        <v>10</v>
      </c>
      <c r="CD754">
        <v>10</v>
      </c>
      <c r="CE754">
        <v>10</v>
      </c>
      <c r="CF754">
        <v>11.1</v>
      </c>
      <c r="CG754">
        <v>9</v>
      </c>
      <c r="CH754">
        <v>11.3</v>
      </c>
      <c r="CI754">
        <v>9</v>
      </c>
    </row>
    <row r="755" spans="1:87" x14ac:dyDescent="0.35">
      <c r="A755" s="1">
        <v>46059.988194444442</v>
      </c>
      <c r="B755">
        <v>-18.3</v>
      </c>
      <c r="C755">
        <v>-18.600000000000001</v>
      </c>
      <c r="D755">
        <v>-25</v>
      </c>
      <c r="E755">
        <v>-18.7</v>
      </c>
      <c r="F755">
        <v>-18.2</v>
      </c>
      <c r="G755">
        <v>-25</v>
      </c>
      <c r="H755">
        <v>-15.8</v>
      </c>
      <c r="I755">
        <v>-12.4</v>
      </c>
      <c r="J755">
        <v>-25</v>
      </c>
      <c r="K755">
        <v>-15.6</v>
      </c>
      <c r="L755">
        <v>-16.2</v>
      </c>
      <c r="M755">
        <v>-25</v>
      </c>
      <c r="N755">
        <v>-17.100000000000001</v>
      </c>
      <c r="O755">
        <v>-18</v>
      </c>
      <c r="P755">
        <v>-25</v>
      </c>
      <c r="Q755">
        <v>-15.3</v>
      </c>
      <c r="R755">
        <v>-10.9</v>
      </c>
      <c r="S755">
        <v>-25</v>
      </c>
      <c r="T755">
        <v>3.8</v>
      </c>
      <c r="U755">
        <v>3.8</v>
      </c>
      <c r="V755">
        <v>2</v>
      </c>
      <c r="W755">
        <v>3.8</v>
      </c>
      <c r="X755">
        <v>3.6</v>
      </c>
      <c r="Y755">
        <v>2</v>
      </c>
      <c r="Z755">
        <v>3.5</v>
      </c>
      <c r="AA755">
        <v>3.2</v>
      </c>
      <c r="AB755">
        <v>2</v>
      </c>
      <c r="AC755">
        <v>3.4</v>
      </c>
      <c r="AD755">
        <v>3.2</v>
      </c>
      <c r="AE755">
        <v>2</v>
      </c>
      <c r="AF755">
        <v>2.4</v>
      </c>
      <c r="AG755">
        <v>2.2000000000000002</v>
      </c>
      <c r="AH755">
        <v>2</v>
      </c>
      <c r="AI755">
        <v>2.2999999999999998</v>
      </c>
      <c r="AJ755">
        <v>2</v>
      </c>
      <c r="AK755">
        <v>2</v>
      </c>
      <c r="AL755">
        <v>5.6</v>
      </c>
      <c r="AM755">
        <v>4</v>
      </c>
      <c r="AN755">
        <v>4.4000000000000004</v>
      </c>
      <c r="AO755">
        <v>4</v>
      </c>
      <c r="AP755">
        <v>4</v>
      </c>
      <c r="AQ755">
        <v>4</v>
      </c>
      <c r="AR755">
        <v>7</v>
      </c>
      <c r="AS755">
        <v>4</v>
      </c>
      <c r="AT755">
        <v>-3.8</v>
      </c>
      <c r="AU755">
        <v>-5.4</v>
      </c>
      <c r="AV755">
        <v>-5</v>
      </c>
      <c r="AW755">
        <v>-2.6</v>
      </c>
      <c r="AX755">
        <v>-2.6</v>
      </c>
      <c r="AY755">
        <v>-5</v>
      </c>
      <c r="AZ755">
        <v>12</v>
      </c>
      <c r="BA755">
        <v>10</v>
      </c>
      <c r="BB755">
        <v>11.7</v>
      </c>
      <c r="BC755">
        <v>10</v>
      </c>
      <c r="BD755">
        <v>5.9</v>
      </c>
      <c r="BE755">
        <v>4</v>
      </c>
      <c r="BF755">
        <v>12</v>
      </c>
      <c r="BG755">
        <v>10</v>
      </c>
      <c r="BH755">
        <v>12</v>
      </c>
      <c r="BI755">
        <v>10</v>
      </c>
      <c r="BJ755">
        <v>11.3</v>
      </c>
      <c r="BK755">
        <v>9</v>
      </c>
      <c r="BL755">
        <v>18.7</v>
      </c>
      <c r="BM755">
        <v>19</v>
      </c>
      <c r="BN755">
        <v>23.6</v>
      </c>
      <c r="BO755">
        <v>19</v>
      </c>
      <c r="BP755">
        <v>20.7</v>
      </c>
      <c r="BQ755">
        <v>20</v>
      </c>
      <c r="BR755">
        <v>21.7</v>
      </c>
      <c r="BS755">
        <v>25</v>
      </c>
      <c r="BT755">
        <v>21.9</v>
      </c>
      <c r="BU755">
        <v>25</v>
      </c>
      <c r="BV755">
        <v>23.2</v>
      </c>
      <c r="BW755">
        <v>18</v>
      </c>
      <c r="BX755">
        <v>21.4</v>
      </c>
      <c r="BY755">
        <v>20</v>
      </c>
      <c r="BZ755">
        <v>21.3</v>
      </c>
      <c r="CA755">
        <v>20</v>
      </c>
      <c r="CB755">
        <v>12</v>
      </c>
      <c r="CC755">
        <v>10</v>
      </c>
      <c r="CD755">
        <v>10</v>
      </c>
      <c r="CE755">
        <v>10</v>
      </c>
      <c r="CF755">
        <v>10.9</v>
      </c>
      <c r="CG755">
        <v>9</v>
      </c>
      <c r="CH755">
        <v>11.2</v>
      </c>
      <c r="CI755">
        <v>9</v>
      </c>
    </row>
    <row r="756" spans="1:87" x14ac:dyDescent="0.35">
      <c r="A756" s="1">
        <v>46059.988888888889</v>
      </c>
      <c r="B756">
        <v>-18.5</v>
      </c>
      <c r="C756">
        <v>-19.2</v>
      </c>
      <c r="D756">
        <v>-25</v>
      </c>
      <c r="E756">
        <v>-19</v>
      </c>
      <c r="F756">
        <v>-18.2</v>
      </c>
      <c r="G756">
        <v>-25</v>
      </c>
      <c r="H756">
        <v>-15.8</v>
      </c>
      <c r="I756">
        <v>-12.5</v>
      </c>
      <c r="J756">
        <v>-25</v>
      </c>
      <c r="K756">
        <v>-15.6</v>
      </c>
      <c r="L756">
        <v>-16.2</v>
      </c>
      <c r="M756">
        <v>-25</v>
      </c>
      <c r="N756">
        <v>-17.2</v>
      </c>
      <c r="O756">
        <v>-17.8</v>
      </c>
      <c r="P756">
        <v>-25</v>
      </c>
      <c r="Q756">
        <v>-15.3</v>
      </c>
      <c r="R756">
        <v>-7.1</v>
      </c>
      <c r="S756">
        <v>-25</v>
      </c>
      <c r="T756">
        <v>3.8</v>
      </c>
      <c r="U756">
        <v>3.8</v>
      </c>
      <c r="V756">
        <v>2</v>
      </c>
      <c r="W756">
        <v>3.8</v>
      </c>
      <c r="X756">
        <v>3.6</v>
      </c>
      <c r="Y756">
        <v>2</v>
      </c>
      <c r="Z756">
        <v>3.6</v>
      </c>
      <c r="AA756">
        <v>3.3</v>
      </c>
      <c r="AB756">
        <v>2</v>
      </c>
      <c r="AC756">
        <v>3.4</v>
      </c>
      <c r="AD756">
        <v>3.3</v>
      </c>
      <c r="AE756">
        <v>2</v>
      </c>
      <c r="AF756">
        <v>2.6</v>
      </c>
      <c r="AG756">
        <v>2.4</v>
      </c>
      <c r="AH756">
        <v>2</v>
      </c>
      <c r="AI756">
        <v>2.4</v>
      </c>
      <c r="AJ756">
        <v>2.2000000000000002</v>
      </c>
      <c r="AK756">
        <v>2</v>
      </c>
      <c r="AL756">
        <v>5.4</v>
      </c>
      <c r="AM756">
        <v>4</v>
      </c>
      <c r="AN756">
        <v>4.3</v>
      </c>
      <c r="AO756">
        <v>4</v>
      </c>
      <c r="AP756">
        <v>4.2</v>
      </c>
      <c r="AQ756">
        <v>4</v>
      </c>
      <c r="AR756">
        <v>7.1</v>
      </c>
      <c r="AS756">
        <v>4</v>
      </c>
      <c r="AT756">
        <v>-4</v>
      </c>
      <c r="AU756">
        <v>-6</v>
      </c>
      <c r="AV756">
        <v>-5</v>
      </c>
      <c r="AW756">
        <v>-3.1</v>
      </c>
      <c r="AX756">
        <v>-4.4000000000000004</v>
      </c>
      <c r="AY756">
        <v>-5</v>
      </c>
      <c r="AZ756">
        <v>11.9</v>
      </c>
      <c r="BA756">
        <v>10</v>
      </c>
      <c r="BB756">
        <v>11.9</v>
      </c>
      <c r="BC756">
        <v>10</v>
      </c>
      <c r="BD756">
        <v>5.4</v>
      </c>
      <c r="BE756">
        <v>4</v>
      </c>
      <c r="BF756">
        <v>12.1</v>
      </c>
      <c r="BG756">
        <v>10</v>
      </c>
      <c r="BH756">
        <v>11.9</v>
      </c>
      <c r="BI756">
        <v>10</v>
      </c>
      <c r="BJ756">
        <v>11.1</v>
      </c>
      <c r="BK756">
        <v>9</v>
      </c>
      <c r="BL756">
        <v>18.7</v>
      </c>
      <c r="BM756">
        <v>19</v>
      </c>
      <c r="BN756">
        <v>23.6</v>
      </c>
      <c r="BO756">
        <v>19</v>
      </c>
      <c r="BP756">
        <v>20.7</v>
      </c>
      <c r="BQ756">
        <v>20</v>
      </c>
      <c r="BR756">
        <v>21.8</v>
      </c>
      <c r="BS756">
        <v>25</v>
      </c>
      <c r="BT756">
        <v>21.9</v>
      </c>
      <c r="BU756">
        <v>25</v>
      </c>
      <c r="BV756">
        <v>23.2</v>
      </c>
      <c r="BW756">
        <v>18</v>
      </c>
      <c r="BX756">
        <v>21.4</v>
      </c>
      <c r="BY756">
        <v>20</v>
      </c>
      <c r="BZ756">
        <v>21.3</v>
      </c>
      <c r="CA756">
        <v>20</v>
      </c>
      <c r="CB756">
        <v>11.7</v>
      </c>
      <c r="CC756">
        <v>10</v>
      </c>
      <c r="CD756">
        <v>10</v>
      </c>
      <c r="CE756">
        <v>10</v>
      </c>
      <c r="CF756">
        <v>10.9</v>
      </c>
      <c r="CG756">
        <v>9</v>
      </c>
      <c r="CH756">
        <v>11.1</v>
      </c>
      <c r="CI756">
        <v>9</v>
      </c>
    </row>
    <row r="757" spans="1:87" x14ac:dyDescent="0.35">
      <c r="A757" s="1">
        <v>46059.989583333336</v>
      </c>
      <c r="B757">
        <v>-18.7</v>
      </c>
      <c r="C757">
        <v>-19.600000000000001</v>
      </c>
      <c r="D757">
        <v>-25</v>
      </c>
      <c r="E757">
        <v>-19.3</v>
      </c>
      <c r="F757">
        <v>-18.3</v>
      </c>
      <c r="G757">
        <v>-25</v>
      </c>
      <c r="H757">
        <v>-15.8</v>
      </c>
      <c r="I757">
        <v>-12.6</v>
      </c>
      <c r="J757">
        <v>-25</v>
      </c>
      <c r="K757">
        <v>-15.6</v>
      </c>
      <c r="L757">
        <v>-16.3</v>
      </c>
      <c r="M757">
        <v>-25</v>
      </c>
      <c r="N757">
        <v>-17.2</v>
      </c>
      <c r="O757">
        <v>-17.5</v>
      </c>
      <c r="P757">
        <v>-25</v>
      </c>
      <c r="Q757">
        <v>-15.3</v>
      </c>
      <c r="R757">
        <v>-6.9</v>
      </c>
      <c r="S757">
        <v>-25</v>
      </c>
      <c r="T757">
        <v>3.9</v>
      </c>
      <c r="U757">
        <v>3.9</v>
      </c>
      <c r="V757">
        <v>2</v>
      </c>
      <c r="W757">
        <v>3.9</v>
      </c>
      <c r="X757">
        <v>3.7</v>
      </c>
      <c r="Y757">
        <v>2</v>
      </c>
      <c r="Z757">
        <v>3.7</v>
      </c>
      <c r="AA757">
        <v>3.4</v>
      </c>
      <c r="AB757">
        <v>2</v>
      </c>
      <c r="AC757">
        <v>3.5</v>
      </c>
      <c r="AD757">
        <v>3.3</v>
      </c>
      <c r="AE757">
        <v>2</v>
      </c>
      <c r="AF757">
        <v>2.8</v>
      </c>
      <c r="AG757">
        <v>2.6</v>
      </c>
      <c r="AH757">
        <v>2</v>
      </c>
      <c r="AI757">
        <v>2.6</v>
      </c>
      <c r="AJ757">
        <v>2.4</v>
      </c>
      <c r="AK757">
        <v>2</v>
      </c>
      <c r="AL757">
        <v>5.4</v>
      </c>
      <c r="AM757">
        <v>4</v>
      </c>
      <c r="AN757">
        <v>4.2</v>
      </c>
      <c r="AO757">
        <v>4</v>
      </c>
      <c r="AP757">
        <v>4.4000000000000004</v>
      </c>
      <c r="AQ757">
        <v>4</v>
      </c>
      <c r="AR757">
        <v>7.2</v>
      </c>
      <c r="AS757">
        <v>4</v>
      </c>
      <c r="AT757">
        <v>-4.3</v>
      </c>
      <c r="AU757">
        <v>-6.3</v>
      </c>
      <c r="AV757">
        <v>-5</v>
      </c>
      <c r="AW757">
        <v>-3.6</v>
      </c>
      <c r="AX757">
        <v>-5.2</v>
      </c>
      <c r="AY757">
        <v>-5</v>
      </c>
      <c r="AZ757">
        <v>11.3</v>
      </c>
      <c r="BA757">
        <v>10</v>
      </c>
      <c r="BB757">
        <v>12.1</v>
      </c>
      <c r="BC757">
        <v>10</v>
      </c>
      <c r="BD757">
        <v>5</v>
      </c>
      <c r="BE757">
        <v>4</v>
      </c>
      <c r="BF757">
        <v>11.1</v>
      </c>
      <c r="BG757">
        <v>10</v>
      </c>
      <c r="BH757">
        <v>11.8</v>
      </c>
      <c r="BI757">
        <v>10</v>
      </c>
      <c r="BJ757">
        <v>11.1</v>
      </c>
      <c r="BK757">
        <v>9</v>
      </c>
      <c r="BL757">
        <v>18.7</v>
      </c>
      <c r="BM757">
        <v>19</v>
      </c>
      <c r="BN757">
        <v>23.6</v>
      </c>
      <c r="BO757">
        <v>19</v>
      </c>
      <c r="BP757">
        <v>20.7</v>
      </c>
      <c r="BQ757">
        <v>20</v>
      </c>
      <c r="BR757">
        <v>21.8</v>
      </c>
      <c r="BS757">
        <v>25</v>
      </c>
      <c r="BT757">
        <v>21.9</v>
      </c>
      <c r="BU757">
        <v>25</v>
      </c>
      <c r="BV757">
        <v>23.2</v>
      </c>
      <c r="BW757">
        <v>18</v>
      </c>
      <c r="BX757">
        <v>21.5</v>
      </c>
      <c r="BY757">
        <v>20</v>
      </c>
      <c r="BZ757">
        <v>21.4</v>
      </c>
      <c r="CA757">
        <v>20</v>
      </c>
      <c r="CB757">
        <v>11.3</v>
      </c>
      <c r="CC757">
        <v>10</v>
      </c>
      <c r="CD757">
        <v>10.199999999999999</v>
      </c>
      <c r="CE757">
        <v>10</v>
      </c>
      <c r="CF757">
        <v>10.9</v>
      </c>
      <c r="CG757">
        <v>9</v>
      </c>
      <c r="CH757">
        <v>11.1</v>
      </c>
      <c r="CI757">
        <v>9</v>
      </c>
    </row>
    <row r="758" spans="1:87" x14ac:dyDescent="0.35">
      <c r="A758" s="1">
        <v>46059.990277777775</v>
      </c>
      <c r="B758">
        <v>-19</v>
      </c>
      <c r="C758">
        <v>-19.8</v>
      </c>
      <c r="D758">
        <v>-25</v>
      </c>
      <c r="E758">
        <v>-19.5</v>
      </c>
      <c r="F758">
        <v>-18.5</v>
      </c>
      <c r="G758">
        <v>-25</v>
      </c>
      <c r="H758">
        <v>-15.8</v>
      </c>
      <c r="I758">
        <v>-12.7</v>
      </c>
      <c r="J758">
        <v>-25</v>
      </c>
      <c r="K758">
        <v>-15.6</v>
      </c>
      <c r="L758">
        <v>-16.3</v>
      </c>
      <c r="M758">
        <v>-25</v>
      </c>
      <c r="N758">
        <v>-17.2</v>
      </c>
      <c r="O758">
        <v>-17.3</v>
      </c>
      <c r="P758">
        <v>-25</v>
      </c>
      <c r="Q758">
        <v>-15.3</v>
      </c>
      <c r="R758">
        <v>-6.3</v>
      </c>
      <c r="S758">
        <v>-25</v>
      </c>
      <c r="T758">
        <v>3.9</v>
      </c>
      <c r="U758">
        <v>3.9</v>
      </c>
      <c r="V758">
        <v>2</v>
      </c>
      <c r="W758">
        <v>3.9</v>
      </c>
      <c r="X758">
        <v>3.8</v>
      </c>
      <c r="Y758">
        <v>2</v>
      </c>
      <c r="Z758">
        <v>3.7</v>
      </c>
      <c r="AA758">
        <v>3.5</v>
      </c>
      <c r="AB758">
        <v>2</v>
      </c>
      <c r="AC758">
        <v>3.5</v>
      </c>
      <c r="AD758">
        <v>3.4</v>
      </c>
      <c r="AE758">
        <v>2</v>
      </c>
      <c r="AF758">
        <v>2.9</v>
      </c>
      <c r="AG758">
        <v>2.7</v>
      </c>
      <c r="AH758">
        <v>2</v>
      </c>
      <c r="AI758">
        <v>2.7</v>
      </c>
      <c r="AJ758">
        <v>2.6</v>
      </c>
      <c r="AK758">
        <v>2</v>
      </c>
      <c r="AL758">
        <v>5.4</v>
      </c>
      <c r="AM758">
        <v>4</v>
      </c>
      <c r="AN758">
        <v>4.0999999999999996</v>
      </c>
      <c r="AO758">
        <v>4</v>
      </c>
      <c r="AP758">
        <v>4.5999999999999996</v>
      </c>
      <c r="AQ758">
        <v>4</v>
      </c>
      <c r="AR758">
        <v>7.3</v>
      </c>
      <c r="AS758">
        <v>4</v>
      </c>
      <c r="AT758">
        <v>-4.5</v>
      </c>
      <c r="AU758">
        <v>-6.4</v>
      </c>
      <c r="AV758">
        <v>-5</v>
      </c>
      <c r="AW758">
        <v>-4</v>
      </c>
      <c r="AX758">
        <v>-5.3</v>
      </c>
      <c r="AY758">
        <v>-5</v>
      </c>
      <c r="AZ758">
        <v>10.3</v>
      </c>
      <c r="BA758">
        <v>10</v>
      </c>
      <c r="BB758">
        <v>12</v>
      </c>
      <c r="BC758">
        <v>10</v>
      </c>
      <c r="BD758">
        <v>4.8</v>
      </c>
      <c r="BE758">
        <v>4</v>
      </c>
      <c r="BF758">
        <v>10</v>
      </c>
      <c r="BG758">
        <v>10</v>
      </c>
      <c r="BH758">
        <v>11.8</v>
      </c>
      <c r="BI758">
        <v>10</v>
      </c>
      <c r="BJ758">
        <v>11.1</v>
      </c>
      <c r="BK758">
        <v>9</v>
      </c>
      <c r="BL758">
        <v>18.7</v>
      </c>
      <c r="BM758">
        <v>19</v>
      </c>
      <c r="BN758">
        <v>23.6</v>
      </c>
      <c r="BO758">
        <v>19</v>
      </c>
      <c r="BP758">
        <v>20.7</v>
      </c>
      <c r="BQ758">
        <v>20</v>
      </c>
      <c r="BR758">
        <v>21.8</v>
      </c>
      <c r="BS758">
        <v>25</v>
      </c>
      <c r="BT758">
        <v>21.9</v>
      </c>
      <c r="BU758">
        <v>25</v>
      </c>
      <c r="BV758">
        <v>23.2</v>
      </c>
      <c r="BW758">
        <v>18</v>
      </c>
      <c r="BX758">
        <v>21.5</v>
      </c>
      <c r="BY758">
        <v>20</v>
      </c>
      <c r="BZ758">
        <v>21.4</v>
      </c>
      <c r="CA758">
        <v>20</v>
      </c>
      <c r="CB758">
        <v>11</v>
      </c>
      <c r="CC758">
        <v>10</v>
      </c>
      <c r="CD758">
        <v>10.3</v>
      </c>
      <c r="CE758">
        <v>10</v>
      </c>
      <c r="CF758">
        <v>10.8</v>
      </c>
      <c r="CG758">
        <v>9</v>
      </c>
      <c r="CH758">
        <v>11</v>
      </c>
      <c r="CI758">
        <v>9</v>
      </c>
    </row>
    <row r="759" spans="1:87" x14ac:dyDescent="0.35">
      <c r="A759" s="1">
        <v>46059.990972222222</v>
      </c>
      <c r="B759">
        <v>-19.2</v>
      </c>
      <c r="C759">
        <v>-20.2</v>
      </c>
      <c r="D759">
        <v>-25</v>
      </c>
      <c r="E759">
        <v>-19.7</v>
      </c>
      <c r="F759">
        <v>-18.7</v>
      </c>
      <c r="G759">
        <v>-25</v>
      </c>
      <c r="H759">
        <v>-15.9</v>
      </c>
      <c r="I759">
        <v>-12.8</v>
      </c>
      <c r="J759">
        <v>-25</v>
      </c>
      <c r="K759">
        <v>-15.7</v>
      </c>
      <c r="L759">
        <v>-16.399999999999999</v>
      </c>
      <c r="M759">
        <v>-25</v>
      </c>
      <c r="N759">
        <v>-17.2</v>
      </c>
      <c r="O759">
        <v>-17.2</v>
      </c>
      <c r="P759">
        <v>-25</v>
      </c>
      <c r="Q759">
        <v>-15.3</v>
      </c>
      <c r="R759">
        <v>-3.8</v>
      </c>
      <c r="S759">
        <v>-25</v>
      </c>
      <c r="T759">
        <v>4</v>
      </c>
      <c r="U759">
        <v>4</v>
      </c>
      <c r="V759">
        <v>2</v>
      </c>
      <c r="W759">
        <v>4</v>
      </c>
      <c r="X759">
        <v>3.8</v>
      </c>
      <c r="Y759">
        <v>2</v>
      </c>
      <c r="Z759">
        <v>3.8</v>
      </c>
      <c r="AA759">
        <v>3.5</v>
      </c>
      <c r="AB759">
        <v>2</v>
      </c>
      <c r="AC759">
        <v>3.6</v>
      </c>
      <c r="AD759">
        <v>3.4</v>
      </c>
      <c r="AE759">
        <v>2</v>
      </c>
      <c r="AF759">
        <v>3.1</v>
      </c>
      <c r="AG759">
        <v>2.9</v>
      </c>
      <c r="AH759">
        <v>2</v>
      </c>
      <c r="AI759">
        <v>2.9</v>
      </c>
      <c r="AJ759">
        <v>2.8</v>
      </c>
      <c r="AK759">
        <v>2</v>
      </c>
      <c r="AL759">
        <v>5.4</v>
      </c>
      <c r="AM759">
        <v>4</v>
      </c>
      <c r="AN759">
        <v>4.0999999999999996</v>
      </c>
      <c r="AO759">
        <v>4</v>
      </c>
      <c r="AP759">
        <v>4.8</v>
      </c>
      <c r="AQ759">
        <v>4</v>
      </c>
      <c r="AR759">
        <v>7.4</v>
      </c>
      <c r="AS759">
        <v>4</v>
      </c>
      <c r="AT759">
        <v>-4.5999999999999996</v>
      </c>
      <c r="AU759">
        <v>-6.5</v>
      </c>
      <c r="AV759">
        <v>-5</v>
      </c>
      <c r="AW759">
        <v>-4.2</v>
      </c>
      <c r="AX759">
        <v>-5.6</v>
      </c>
      <c r="AY759">
        <v>-5</v>
      </c>
      <c r="AZ759">
        <v>9.5</v>
      </c>
      <c r="BA759">
        <v>10</v>
      </c>
      <c r="BB759">
        <v>11.7</v>
      </c>
      <c r="BC759">
        <v>10</v>
      </c>
      <c r="BD759">
        <v>4.8</v>
      </c>
      <c r="BE759">
        <v>4</v>
      </c>
      <c r="BF759">
        <v>9.6</v>
      </c>
      <c r="BG759">
        <v>10</v>
      </c>
      <c r="BH759">
        <v>11.8</v>
      </c>
      <c r="BI759">
        <v>10</v>
      </c>
      <c r="BJ759">
        <v>11.1</v>
      </c>
      <c r="BK759">
        <v>9</v>
      </c>
      <c r="BL759">
        <v>18.8</v>
      </c>
      <c r="BM759">
        <v>19</v>
      </c>
      <c r="BN759">
        <v>23.6</v>
      </c>
      <c r="BO759">
        <v>19</v>
      </c>
      <c r="BP759">
        <v>20.7</v>
      </c>
      <c r="BQ759">
        <v>20</v>
      </c>
      <c r="BR759">
        <v>21.8</v>
      </c>
      <c r="BS759">
        <v>25</v>
      </c>
      <c r="BT759">
        <v>21.9</v>
      </c>
      <c r="BU759">
        <v>25</v>
      </c>
      <c r="BV759">
        <v>23.2</v>
      </c>
      <c r="BW759">
        <v>18</v>
      </c>
      <c r="BX759">
        <v>21.5</v>
      </c>
      <c r="BY759">
        <v>20</v>
      </c>
      <c r="BZ759">
        <v>21.4</v>
      </c>
      <c r="CA759">
        <v>20</v>
      </c>
      <c r="CB759">
        <v>10.8</v>
      </c>
      <c r="CC759">
        <v>10</v>
      </c>
      <c r="CD759">
        <v>10.4</v>
      </c>
      <c r="CE759">
        <v>10</v>
      </c>
      <c r="CF759">
        <v>10.8</v>
      </c>
      <c r="CG759">
        <v>9</v>
      </c>
      <c r="CH759">
        <v>11</v>
      </c>
      <c r="CI759">
        <v>9</v>
      </c>
    </row>
    <row r="760" spans="1:87" x14ac:dyDescent="0.35">
      <c r="A760" s="1">
        <v>46059.991666666669</v>
      </c>
      <c r="B760">
        <v>-19.2</v>
      </c>
      <c r="C760">
        <v>-19.899999999999999</v>
      </c>
      <c r="D760">
        <v>-25</v>
      </c>
      <c r="E760">
        <v>-19.7</v>
      </c>
      <c r="F760">
        <v>-18.8</v>
      </c>
      <c r="G760">
        <v>-25</v>
      </c>
      <c r="H760">
        <v>-15.9</v>
      </c>
      <c r="I760">
        <v>-13</v>
      </c>
      <c r="J760">
        <v>-25</v>
      </c>
      <c r="K760">
        <v>-15.8</v>
      </c>
      <c r="L760">
        <v>-16.5</v>
      </c>
      <c r="M760">
        <v>-25</v>
      </c>
      <c r="N760">
        <v>-17.2</v>
      </c>
      <c r="O760">
        <v>-17.2</v>
      </c>
      <c r="P760">
        <v>-25</v>
      </c>
      <c r="Q760">
        <v>-15.3</v>
      </c>
      <c r="R760">
        <v>-2.2000000000000002</v>
      </c>
      <c r="S760">
        <v>-25</v>
      </c>
      <c r="T760">
        <v>3.8</v>
      </c>
      <c r="U760">
        <v>1.8</v>
      </c>
      <c r="V760">
        <v>2</v>
      </c>
      <c r="W760">
        <v>3.8</v>
      </c>
      <c r="X760">
        <v>1.9</v>
      </c>
      <c r="Y760">
        <v>2</v>
      </c>
      <c r="Z760">
        <v>3.8</v>
      </c>
      <c r="AA760">
        <v>3.6</v>
      </c>
      <c r="AB760">
        <v>2</v>
      </c>
      <c r="AC760">
        <v>3.6</v>
      </c>
      <c r="AD760">
        <v>3.5</v>
      </c>
      <c r="AE760">
        <v>2</v>
      </c>
      <c r="AF760">
        <v>3.2</v>
      </c>
      <c r="AG760">
        <v>3.1</v>
      </c>
      <c r="AH760">
        <v>2</v>
      </c>
      <c r="AI760">
        <v>3.1</v>
      </c>
      <c r="AJ760">
        <v>3</v>
      </c>
      <c r="AK760">
        <v>2</v>
      </c>
      <c r="AL760">
        <v>5.3</v>
      </c>
      <c r="AM760">
        <v>4</v>
      </c>
      <c r="AN760">
        <v>4</v>
      </c>
      <c r="AO760">
        <v>4</v>
      </c>
      <c r="AP760">
        <v>5</v>
      </c>
      <c r="AQ760">
        <v>4</v>
      </c>
      <c r="AR760">
        <v>7.5</v>
      </c>
      <c r="AS760">
        <v>4</v>
      </c>
      <c r="AT760">
        <v>-4.7</v>
      </c>
      <c r="AU760">
        <v>-6.7</v>
      </c>
      <c r="AV760">
        <v>-5</v>
      </c>
      <c r="AW760">
        <v>-4.5</v>
      </c>
      <c r="AX760">
        <v>-5.9</v>
      </c>
      <c r="AY760">
        <v>-5</v>
      </c>
      <c r="AZ760">
        <v>9.3000000000000007</v>
      </c>
      <c r="BA760">
        <v>10</v>
      </c>
      <c r="BB760">
        <v>11.3</v>
      </c>
      <c r="BC760">
        <v>10</v>
      </c>
      <c r="BD760">
        <v>4.5</v>
      </c>
      <c r="BE760">
        <v>4</v>
      </c>
      <c r="BF760">
        <v>9.6</v>
      </c>
      <c r="BG760">
        <v>10</v>
      </c>
      <c r="BH760">
        <v>11.7</v>
      </c>
      <c r="BI760">
        <v>10</v>
      </c>
      <c r="BJ760">
        <v>11.1</v>
      </c>
      <c r="BK760">
        <v>9</v>
      </c>
      <c r="BL760">
        <v>18.8</v>
      </c>
      <c r="BM760">
        <v>19</v>
      </c>
      <c r="BN760">
        <v>23.6</v>
      </c>
      <c r="BO760">
        <v>19</v>
      </c>
      <c r="BP760">
        <v>20.7</v>
      </c>
      <c r="BQ760">
        <v>20</v>
      </c>
      <c r="BR760">
        <v>21.8</v>
      </c>
      <c r="BS760">
        <v>25</v>
      </c>
      <c r="BT760">
        <v>21.9</v>
      </c>
      <c r="BU760">
        <v>25</v>
      </c>
      <c r="BV760">
        <v>23.2</v>
      </c>
      <c r="BW760">
        <v>18</v>
      </c>
      <c r="BX760">
        <v>21.5</v>
      </c>
      <c r="BY760">
        <v>20</v>
      </c>
      <c r="BZ760">
        <v>21.4</v>
      </c>
      <c r="CA760">
        <v>20</v>
      </c>
      <c r="CB760">
        <v>10.6</v>
      </c>
      <c r="CC760">
        <v>10</v>
      </c>
      <c r="CD760">
        <v>10.5</v>
      </c>
      <c r="CE760">
        <v>10</v>
      </c>
      <c r="CF760">
        <v>10.9</v>
      </c>
      <c r="CG760">
        <v>9</v>
      </c>
      <c r="CH760">
        <v>11.1</v>
      </c>
      <c r="CI760">
        <v>9</v>
      </c>
    </row>
    <row r="761" spans="1:87" x14ac:dyDescent="0.35">
      <c r="A761" s="1">
        <v>46059.992361111108</v>
      </c>
      <c r="B761">
        <v>-19.2</v>
      </c>
      <c r="C761">
        <v>-19.5</v>
      </c>
      <c r="D761">
        <v>-25</v>
      </c>
      <c r="E761">
        <v>-19.399999999999999</v>
      </c>
      <c r="F761">
        <v>-18.8</v>
      </c>
      <c r="G761">
        <v>-25</v>
      </c>
      <c r="H761">
        <v>-16.100000000000001</v>
      </c>
      <c r="I761">
        <v>-13</v>
      </c>
      <c r="J761">
        <v>-25</v>
      </c>
      <c r="K761">
        <v>-15.8</v>
      </c>
      <c r="L761">
        <v>-16.600000000000001</v>
      </c>
      <c r="M761">
        <v>-25</v>
      </c>
      <c r="N761">
        <v>-17.2</v>
      </c>
      <c r="O761">
        <v>-17.8</v>
      </c>
      <c r="P761">
        <v>-25</v>
      </c>
      <c r="Q761">
        <v>-15.3</v>
      </c>
      <c r="R761">
        <v>-2.2000000000000002</v>
      </c>
      <c r="S761">
        <v>-25</v>
      </c>
      <c r="T761">
        <v>3.1</v>
      </c>
      <c r="U761">
        <v>0</v>
      </c>
      <c r="V761">
        <v>2</v>
      </c>
      <c r="W761">
        <v>3.3</v>
      </c>
      <c r="X761">
        <v>0.7</v>
      </c>
      <c r="Y761">
        <v>2</v>
      </c>
      <c r="Z761">
        <v>3.9</v>
      </c>
      <c r="AA761">
        <v>3.6</v>
      </c>
      <c r="AB761">
        <v>2</v>
      </c>
      <c r="AC761">
        <v>3.7</v>
      </c>
      <c r="AD761">
        <v>3.6</v>
      </c>
      <c r="AE761">
        <v>2</v>
      </c>
      <c r="AF761">
        <v>3.4</v>
      </c>
      <c r="AG761">
        <v>3.2</v>
      </c>
      <c r="AH761">
        <v>2</v>
      </c>
      <c r="AI761">
        <v>3.2</v>
      </c>
      <c r="AJ761">
        <v>3.1</v>
      </c>
      <c r="AK761">
        <v>2</v>
      </c>
      <c r="AL761">
        <v>5.2</v>
      </c>
      <c r="AM761">
        <v>4</v>
      </c>
      <c r="AN761">
        <v>3.9</v>
      </c>
      <c r="AO761">
        <v>4</v>
      </c>
      <c r="AP761">
        <v>5.0999999999999996</v>
      </c>
      <c r="AQ761">
        <v>4</v>
      </c>
      <c r="AR761">
        <v>7.6</v>
      </c>
      <c r="AS761">
        <v>4</v>
      </c>
      <c r="AT761">
        <v>-4.8</v>
      </c>
      <c r="AU761">
        <v>-6.7</v>
      </c>
      <c r="AV761">
        <v>-5</v>
      </c>
      <c r="AW761">
        <v>-4.5999999999999996</v>
      </c>
      <c r="AX761">
        <v>-5.7</v>
      </c>
      <c r="AY761">
        <v>-5</v>
      </c>
      <c r="AZ761">
        <v>9.3000000000000007</v>
      </c>
      <c r="BA761">
        <v>10</v>
      </c>
      <c r="BB761">
        <v>11.1</v>
      </c>
      <c r="BC761">
        <v>10</v>
      </c>
      <c r="BD761">
        <v>4.2</v>
      </c>
      <c r="BE761">
        <v>4</v>
      </c>
      <c r="BF761">
        <v>10</v>
      </c>
      <c r="BG761">
        <v>10</v>
      </c>
      <c r="BH761">
        <v>11.7</v>
      </c>
      <c r="BI761">
        <v>10</v>
      </c>
      <c r="BJ761">
        <v>11.1</v>
      </c>
      <c r="BK761">
        <v>9</v>
      </c>
      <c r="BL761">
        <v>18.8</v>
      </c>
      <c r="BM761">
        <v>19</v>
      </c>
      <c r="BN761">
        <v>23.6</v>
      </c>
      <c r="BO761">
        <v>19</v>
      </c>
      <c r="BP761">
        <v>20.7</v>
      </c>
      <c r="BQ761">
        <v>20</v>
      </c>
      <c r="BR761">
        <v>21.9</v>
      </c>
      <c r="BS761">
        <v>25</v>
      </c>
      <c r="BT761">
        <v>21.9</v>
      </c>
      <c r="BU761">
        <v>25</v>
      </c>
      <c r="BV761">
        <v>23.2</v>
      </c>
      <c r="BW761">
        <v>18</v>
      </c>
      <c r="BX761">
        <v>21.5</v>
      </c>
      <c r="BY761">
        <v>20</v>
      </c>
      <c r="BZ761">
        <v>21.5</v>
      </c>
      <c r="CA761">
        <v>20</v>
      </c>
      <c r="CB761">
        <v>10.4</v>
      </c>
      <c r="CC761">
        <v>10</v>
      </c>
      <c r="CD761">
        <v>10.7</v>
      </c>
      <c r="CE761">
        <v>10</v>
      </c>
      <c r="CF761">
        <v>11.1</v>
      </c>
      <c r="CG761">
        <v>9</v>
      </c>
      <c r="CH761">
        <v>11.3</v>
      </c>
      <c r="CI761">
        <v>9</v>
      </c>
    </row>
    <row r="762" spans="1:87" x14ac:dyDescent="0.35">
      <c r="A762" s="1">
        <v>46059.993055555555</v>
      </c>
      <c r="B762">
        <v>-19</v>
      </c>
      <c r="C762">
        <v>-19</v>
      </c>
      <c r="D762">
        <v>-25</v>
      </c>
      <c r="E762">
        <v>-19</v>
      </c>
      <c r="F762">
        <v>-18.8</v>
      </c>
      <c r="G762">
        <v>-25</v>
      </c>
      <c r="H762">
        <v>-16.3</v>
      </c>
      <c r="I762">
        <v>-13.1</v>
      </c>
      <c r="J762">
        <v>-25</v>
      </c>
      <c r="K762">
        <v>-16</v>
      </c>
      <c r="L762">
        <v>-16.7</v>
      </c>
      <c r="M762">
        <v>-25</v>
      </c>
      <c r="N762">
        <v>-17.3</v>
      </c>
      <c r="O762">
        <v>-18.2</v>
      </c>
      <c r="P762">
        <v>-25</v>
      </c>
      <c r="Q762">
        <v>-15.3</v>
      </c>
      <c r="R762">
        <v>-2.2999999999999998</v>
      </c>
      <c r="S762">
        <v>-25</v>
      </c>
      <c r="T762">
        <v>2.5</v>
      </c>
      <c r="U762">
        <v>-1.2</v>
      </c>
      <c r="V762">
        <v>2</v>
      </c>
      <c r="W762">
        <v>2.5</v>
      </c>
      <c r="X762">
        <v>-0.7</v>
      </c>
      <c r="Y762">
        <v>2</v>
      </c>
      <c r="Z762">
        <v>3.9</v>
      </c>
      <c r="AA762">
        <v>3.7</v>
      </c>
      <c r="AB762">
        <v>2</v>
      </c>
      <c r="AC762">
        <v>3.8</v>
      </c>
      <c r="AD762">
        <v>3.6</v>
      </c>
      <c r="AE762">
        <v>2</v>
      </c>
      <c r="AF762">
        <v>3.5</v>
      </c>
      <c r="AG762">
        <v>3.4</v>
      </c>
      <c r="AH762">
        <v>2</v>
      </c>
      <c r="AI762">
        <v>3.4</v>
      </c>
      <c r="AJ762">
        <v>3.3</v>
      </c>
      <c r="AK762">
        <v>2</v>
      </c>
      <c r="AL762">
        <v>4.9000000000000004</v>
      </c>
      <c r="AM762">
        <v>4</v>
      </c>
      <c r="AN762">
        <v>3.9</v>
      </c>
      <c r="AO762">
        <v>4</v>
      </c>
      <c r="AP762">
        <v>5.3</v>
      </c>
      <c r="AQ762">
        <v>4</v>
      </c>
      <c r="AR762">
        <v>7.6</v>
      </c>
      <c r="AS762">
        <v>4</v>
      </c>
      <c r="AT762">
        <v>-5</v>
      </c>
      <c r="AU762">
        <v>-7</v>
      </c>
      <c r="AV762">
        <v>-5</v>
      </c>
      <c r="AW762">
        <v>-4.8</v>
      </c>
      <c r="AX762">
        <v>-5.7</v>
      </c>
      <c r="AY762">
        <v>-5</v>
      </c>
      <c r="AZ762">
        <v>9.3000000000000007</v>
      </c>
      <c r="BA762">
        <v>10</v>
      </c>
      <c r="BB762">
        <v>11</v>
      </c>
      <c r="BC762">
        <v>10</v>
      </c>
      <c r="BD762">
        <v>3.8</v>
      </c>
      <c r="BE762">
        <v>4</v>
      </c>
      <c r="BF762">
        <v>10.5</v>
      </c>
      <c r="BG762">
        <v>10</v>
      </c>
      <c r="BH762">
        <v>11.7</v>
      </c>
      <c r="BI762">
        <v>10</v>
      </c>
      <c r="BJ762">
        <v>11.1</v>
      </c>
      <c r="BK762">
        <v>9</v>
      </c>
      <c r="BL762">
        <v>18.8</v>
      </c>
      <c r="BM762">
        <v>19</v>
      </c>
      <c r="BN762">
        <v>23.6</v>
      </c>
      <c r="BO762">
        <v>19</v>
      </c>
      <c r="BP762">
        <v>20.7</v>
      </c>
      <c r="BQ762">
        <v>20</v>
      </c>
      <c r="BR762">
        <v>21.9</v>
      </c>
      <c r="BS762">
        <v>25</v>
      </c>
      <c r="BT762">
        <v>21.9</v>
      </c>
      <c r="BU762">
        <v>25</v>
      </c>
      <c r="BV762">
        <v>23.2</v>
      </c>
      <c r="BW762">
        <v>18</v>
      </c>
      <c r="BX762">
        <v>21.6</v>
      </c>
      <c r="BY762">
        <v>20</v>
      </c>
      <c r="BZ762">
        <v>21.5</v>
      </c>
      <c r="CA762">
        <v>20</v>
      </c>
      <c r="CB762">
        <v>10.199999999999999</v>
      </c>
      <c r="CC762">
        <v>10</v>
      </c>
      <c r="CD762">
        <v>10.7</v>
      </c>
      <c r="CE762">
        <v>10</v>
      </c>
      <c r="CF762">
        <v>11</v>
      </c>
      <c r="CG762">
        <v>9</v>
      </c>
      <c r="CH762">
        <v>11.2</v>
      </c>
      <c r="CI762">
        <v>9</v>
      </c>
    </row>
    <row r="763" spans="1:87" x14ac:dyDescent="0.35">
      <c r="A763" s="1">
        <v>46059.993750000001</v>
      </c>
      <c r="B763">
        <v>-18.7</v>
      </c>
      <c r="C763">
        <v>-18.7</v>
      </c>
      <c r="D763">
        <v>-25</v>
      </c>
      <c r="E763">
        <v>-18.600000000000001</v>
      </c>
      <c r="F763">
        <v>-18.7</v>
      </c>
      <c r="G763">
        <v>-25</v>
      </c>
      <c r="H763">
        <v>-16.3</v>
      </c>
      <c r="I763">
        <v>-13.2</v>
      </c>
      <c r="J763">
        <v>-25</v>
      </c>
      <c r="K763">
        <v>-16</v>
      </c>
      <c r="L763">
        <v>-16.8</v>
      </c>
      <c r="M763">
        <v>-25</v>
      </c>
      <c r="N763">
        <v>-17.5</v>
      </c>
      <c r="O763">
        <v>-18.3</v>
      </c>
      <c r="P763">
        <v>-25</v>
      </c>
      <c r="Q763">
        <v>-15.3</v>
      </c>
      <c r="R763">
        <v>-0.1</v>
      </c>
      <c r="S763">
        <v>-25</v>
      </c>
      <c r="T763">
        <v>1.8</v>
      </c>
      <c r="U763">
        <v>-2.1</v>
      </c>
      <c r="V763">
        <v>2</v>
      </c>
      <c r="W763">
        <v>1.8</v>
      </c>
      <c r="X763">
        <v>-1.7</v>
      </c>
      <c r="Y763">
        <v>2</v>
      </c>
      <c r="Z763">
        <v>4</v>
      </c>
      <c r="AA763">
        <v>3.7</v>
      </c>
      <c r="AB763">
        <v>2</v>
      </c>
      <c r="AC763">
        <v>3.8</v>
      </c>
      <c r="AD763">
        <v>3.7</v>
      </c>
      <c r="AE763">
        <v>2</v>
      </c>
      <c r="AF763">
        <v>3.7</v>
      </c>
      <c r="AG763">
        <v>3.5</v>
      </c>
      <c r="AH763">
        <v>2</v>
      </c>
      <c r="AI763">
        <v>3.5</v>
      </c>
      <c r="AJ763">
        <v>3.5</v>
      </c>
      <c r="AK763">
        <v>2</v>
      </c>
      <c r="AL763">
        <v>4.5999999999999996</v>
      </c>
      <c r="AM763">
        <v>4</v>
      </c>
      <c r="AN763">
        <v>3.9</v>
      </c>
      <c r="AO763">
        <v>4</v>
      </c>
      <c r="AP763">
        <v>5.4</v>
      </c>
      <c r="AQ763">
        <v>4</v>
      </c>
      <c r="AR763">
        <v>7.6</v>
      </c>
      <c r="AS763">
        <v>4</v>
      </c>
      <c r="AT763">
        <v>-5.0999999999999996</v>
      </c>
      <c r="AU763">
        <v>-6.5</v>
      </c>
      <c r="AV763">
        <v>-5</v>
      </c>
      <c r="AW763">
        <v>-5</v>
      </c>
      <c r="AX763">
        <v>-7.1</v>
      </c>
      <c r="AY763">
        <v>-5</v>
      </c>
      <c r="AZ763">
        <v>9.4</v>
      </c>
      <c r="BA763">
        <v>10</v>
      </c>
      <c r="BB763">
        <v>10.9</v>
      </c>
      <c r="BC763">
        <v>10</v>
      </c>
      <c r="BD763">
        <v>3.7</v>
      </c>
      <c r="BE763">
        <v>4</v>
      </c>
      <c r="BF763">
        <v>10.9</v>
      </c>
      <c r="BG763">
        <v>10</v>
      </c>
      <c r="BH763">
        <v>11.7</v>
      </c>
      <c r="BI763">
        <v>10</v>
      </c>
      <c r="BJ763">
        <v>11.1</v>
      </c>
      <c r="BK763">
        <v>9</v>
      </c>
      <c r="BL763">
        <v>18.899999999999999</v>
      </c>
      <c r="BM763">
        <v>19</v>
      </c>
      <c r="BN763">
        <v>23.6</v>
      </c>
      <c r="BO763">
        <v>19</v>
      </c>
      <c r="BP763">
        <v>20.7</v>
      </c>
      <c r="BQ763">
        <v>20</v>
      </c>
      <c r="BR763">
        <v>21.9</v>
      </c>
      <c r="BS763">
        <v>25</v>
      </c>
      <c r="BT763">
        <v>21.9</v>
      </c>
      <c r="BU763">
        <v>25</v>
      </c>
      <c r="BV763">
        <v>23.2</v>
      </c>
      <c r="BW763">
        <v>18</v>
      </c>
      <c r="BX763">
        <v>21.6</v>
      </c>
      <c r="BY763">
        <v>20</v>
      </c>
      <c r="BZ763">
        <v>21.5</v>
      </c>
      <c r="CA763">
        <v>20</v>
      </c>
      <c r="CB763">
        <v>10</v>
      </c>
      <c r="CC763">
        <v>10</v>
      </c>
      <c r="CD763">
        <v>10.8</v>
      </c>
      <c r="CE763">
        <v>10</v>
      </c>
      <c r="CF763">
        <v>10.8</v>
      </c>
      <c r="CG763">
        <v>9</v>
      </c>
      <c r="CH763">
        <v>11</v>
      </c>
      <c r="CI763">
        <v>9</v>
      </c>
    </row>
    <row r="764" spans="1:87" x14ac:dyDescent="0.35">
      <c r="A764" s="1">
        <v>46059.994444444441</v>
      </c>
      <c r="B764">
        <v>-18.399999999999999</v>
      </c>
      <c r="C764">
        <v>-18.399999999999999</v>
      </c>
      <c r="D764">
        <v>-25</v>
      </c>
      <c r="E764">
        <v>-18.3</v>
      </c>
      <c r="F764">
        <v>-18.600000000000001</v>
      </c>
      <c r="G764">
        <v>-25</v>
      </c>
      <c r="H764">
        <v>-16.5</v>
      </c>
      <c r="I764">
        <v>-13.3</v>
      </c>
      <c r="J764">
        <v>-25</v>
      </c>
      <c r="K764">
        <v>-16.100000000000001</v>
      </c>
      <c r="L764">
        <v>-16.899999999999999</v>
      </c>
      <c r="M764">
        <v>-25</v>
      </c>
      <c r="N764">
        <v>-17.600000000000001</v>
      </c>
      <c r="O764">
        <v>-18.3</v>
      </c>
      <c r="P764">
        <v>-25</v>
      </c>
      <c r="Q764">
        <v>-15.3</v>
      </c>
      <c r="R764">
        <v>2.2999999999999998</v>
      </c>
      <c r="S764">
        <v>-25</v>
      </c>
      <c r="T764">
        <v>1.5</v>
      </c>
      <c r="U764">
        <v>-0.4</v>
      </c>
      <c r="V764">
        <v>2</v>
      </c>
      <c r="W764">
        <v>1.5</v>
      </c>
      <c r="X764">
        <v>-0.4</v>
      </c>
      <c r="Y764">
        <v>2</v>
      </c>
      <c r="Z764">
        <v>4</v>
      </c>
      <c r="AA764">
        <v>3.8</v>
      </c>
      <c r="AB764">
        <v>2</v>
      </c>
      <c r="AC764">
        <v>3.9</v>
      </c>
      <c r="AD764">
        <v>3.7</v>
      </c>
      <c r="AE764">
        <v>2</v>
      </c>
      <c r="AF764">
        <v>3.8</v>
      </c>
      <c r="AG764">
        <v>3.7</v>
      </c>
      <c r="AH764">
        <v>2</v>
      </c>
      <c r="AI764">
        <v>3.7</v>
      </c>
      <c r="AJ764">
        <v>3.6</v>
      </c>
      <c r="AK764">
        <v>2</v>
      </c>
      <c r="AL764">
        <v>4.4000000000000004</v>
      </c>
      <c r="AM764">
        <v>4</v>
      </c>
      <c r="AN764">
        <v>3.9</v>
      </c>
      <c r="AO764">
        <v>4</v>
      </c>
      <c r="AP764">
        <v>5.5</v>
      </c>
      <c r="AQ764">
        <v>4</v>
      </c>
      <c r="AR764">
        <v>7.7</v>
      </c>
      <c r="AS764">
        <v>4</v>
      </c>
      <c r="AT764">
        <v>-5.0999999999999996</v>
      </c>
      <c r="AU764">
        <v>-5.9</v>
      </c>
      <c r="AV764">
        <v>-5</v>
      </c>
      <c r="AW764">
        <v>-5.6</v>
      </c>
      <c r="AX764">
        <v>-6.9</v>
      </c>
      <c r="AY764">
        <v>-5</v>
      </c>
      <c r="AZ764">
        <v>9.6</v>
      </c>
      <c r="BA764">
        <v>10</v>
      </c>
      <c r="BB764">
        <v>10.6</v>
      </c>
      <c r="BC764">
        <v>10</v>
      </c>
      <c r="BD764">
        <v>3.8</v>
      </c>
      <c r="BE764">
        <v>4</v>
      </c>
      <c r="BF764">
        <v>11</v>
      </c>
      <c r="BG764">
        <v>10</v>
      </c>
      <c r="BH764">
        <v>11.7</v>
      </c>
      <c r="BI764">
        <v>10</v>
      </c>
      <c r="BJ764">
        <v>11.1</v>
      </c>
      <c r="BK764">
        <v>9</v>
      </c>
      <c r="BL764">
        <v>18.899999999999999</v>
      </c>
      <c r="BM764">
        <v>19</v>
      </c>
      <c r="BN764">
        <v>23.6</v>
      </c>
      <c r="BO764">
        <v>19</v>
      </c>
      <c r="BP764">
        <v>20.7</v>
      </c>
      <c r="BQ764">
        <v>20</v>
      </c>
      <c r="BR764">
        <v>21.9</v>
      </c>
      <c r="BS764">
        <v>25</v>
      </c>
      <c r="BT764">
        <v>21.9</v>
      </c>
      <c r="BU764">
        <v>25</v>
      </c>
      <c r="BV764">
        <v>23.2</v>
      </c>
      <c r="BW764">
        <v>18</v>
      </c>
      <c r="BX764">
        <v>21.6</v>
      </c>
      <c r="BY764">
        <v>20</v>
      </c>
      <c r="BZ764">
        <v>21.5</v>
      </c>
      <c r="CA764">
        <v>20</v>
      </c>
      <c r="CB764">
        <v>10</v>
      </c>
      <c r="CC764">
        <v>10</v>
      </c>
      <c r="CD764">
        <v>10.8</v>
      </c>
      <c r="CE764">
        <v>10</v>
      </c>
      <c r="CF764">
        <v>11.2</v>
      </c>
      <c r="CG764">
        <v>9</v>
      </c>
      <c r="CH764">
        <v>11.5</v>
      </c>
      <c r="CI764">
        <v>9</v>
      </c>
    </row>
    <row r="765" spans="1:87" x14ac:dyDescent="0.35">
      <c r="A765" s="1">
        <v>46059.995138888888</v>
      </c>
      <c r="B765">
        <v>-18.100000000000001</v>
      </c>
      <c r="C765">
        <v>-18.100000000000001</v>
      </c>
      <c r="D765">
        <v>-25</v>
      </c>
      <c r="E765">
        <v>-18</v>
      </c>
      <c r="F765">
        <v>-18.3</v>
      </c>
      <c r="G765">
        <v>-25</v>
      </c>
      <c r="H765">
        <v>-16.600000000000001</v>
      </c>
      <c r="I765">
        <v>-13.4</v>
      </c>
      <c r="J765">
        <v>-25</v>
      </c>
      <c r="K765">
        <v>-16.2</v>
      </c>
      <c r="L765">
        <v>-17.100000000000001</v>
      </c>
      <c r="M765">
        <v>-25</v>
      </c>
      <c r="N765">
        <v>-17.7</v>
      </c>
      <c r="O765">
        <v>-18.3</v>
      </c>
      <c r="P765">
        <v>-25</v>
      </c>
      <c r="Q765">
        <v>-15.3</v>
      </c>
      <c r="R765">
        <v>2.4</v>
      </c>
      <c r="S765">
        <v>-25</v>
      </c>
      <c r="T765">
        <v>1.5</v>
      </c>
      <c r="U765">
        <v>0.4</v>
      </c>
      <c r="V765">
        <v>2</v>
      </c>
      <c r="W765">
        <v>1.5</v>
      </c>
      <c r="X765">
        <v>0.4</v>
      </c>
      <c r="Y765">
        <v>2</v>
      </c>
      <c r="Z765">
        <v>4.0999999999999996</v>
      </c>
      <c r="AA765">
        <v>3.9</v>
      </c>
      <c r="AB765">
        <v>2</v>
      </c>
      <c r="AC765">
        <v>3.9</v>
      </c>
      <c r="AD765">
        <v>3.8</v>
      </c>
      <c r="AE765">
        <v>2</v>
      </c>
      <c r="AF765">
        <v>3.9</v>
      </c>
      <c r="AG765">
        <v>3.8</v>
      </c>
      <c r="AH765">
        <v>2</v>
      </c>
      <c r="AI765">
        <v>3.8</v>
      </c>
      <c r="AJ765">
        <v>3.8</v>
      </c>
      <c r="AK765">
        <v>2</v>
      </c>
      <c r="AL765">
        <v>4.0999999999999996</v>
      </c>
      <c r="AM765">
        <v>4</v>
      </c>
      <c r="AN765">
        <v>4</v>
      </c>
      <c r="AO765">
        <v>4</v>
      </c>
      <c r="AP765">
        <v>5.6</v>
      </c>
      <c r="AQ765">
        <v>4</v>
      </c>
      <c r="AR765">
        <v>7.7</v>
      </c>
      <c r="AS765">
        <v>4</v>
      </c>
      <c r="AT765">
        <v>-4.5999999999999996</v>
      </c>
      <c r="AU765">
        <v>-5</v>
      </c>
      <c r="AV765">
        <v>-5</v>
      </c>
      <c r="AW765">
        <v>-5.4</v>
      </c>
      <c r="AX765">
        <v>-5.6</v>
      </c>
      <c r="AY765">
        <v>-5</v>
      </c>
      <c r="AZ765">
        <v>9.8000000000000007</v>
      </c>
      <c r="BA765">
        <v>10</v>
      </c>
      <c r="BB765">
        <v>10.3</v>
      </c>
      <c r="BC765">
        <v>10</v>
      </c>
      <c r="BD765">
        <v>4.2</v>
      </c>
      <c r="BE765">
        <v>4</v>
      </c>
      <c r="BF765">
        <v>11.4</v>
      </c>
      <c r="BG765">
        <v>10</v>
      </c>
      <c r="BH765">
        <v>11.7</v>
      </c>
      <c r="BI765">
        <v>10</v>
      </c>
      <c r="BJ765">
        <v>11.1</v>
      </c>
      <c r="BK765">
        <v>9</v>
      </c>
      <c r="BL765">
        <v>18.899999999999999</v>
      </c>
      <c r="BM765">
        <v>19</v>
      </c>
      <c r="BN765">
        <v>23.6</v>
      </c>
      <c r="BO765">
        <v>19</v>
      </c>
      <c r="BP765">
        <v>20.7</v>
      </c>
      <c r="BQ765">
        <v>20</v>
      </c>
      <c r="BR765">
        <v>21.9</v>
      </c>
      <c r="BS765">
        <v>25</v>
      </c>
      <c r="BT765">
        <v>21.9</v>
      </c>
      <c r="BU765">
        <v>25</v>
      </c>
      <c r="BV765">
        <v>23.2</v>
      </c>
      <c r="BW765">
        <v>18</v>
      </c>
      <c r="BX765">
        <v>21.6</v>
      </c>
      <c r="BY765">
        <v>20</v>
      </c>
      <c r="BZ765">
        <v>21.5</v>
      </c>
      <c r="CA765">
        <v>20</v>
      </c>
      <c r="CB765">
        <v>10.5</v>
      </c>
      <c r="CC765">
        <v>10</v>
      </c>
      <c r="CD765">
        <v>10.9</v>
      </c>
      <c r="CE765">
        <v>10</v>
      </c>
      <c r="CF765">
        <v>11.4</v>
      </c>
      <c r="CG765">
        <v>9</v>
      </c>
      <c r="CH765">
        <v>11.6</v>
      </c>
      <c r="CI765">
        <v>9</v>
      </c>
    </row>
    <row r="766" spans="1:87" x14ac:dyDescent="0.35">
      <c r="A766" s="1">
        <v>46059.995833333334</v>
      </c>
      <c r="B766">
        <v>-17.899999999999999</v>
      </c>
      <c r="C766">
        <v>-17.8</v>
      </c>
      <c r="D766">
        <v>-25</v>
      </c>
      <c r="E766">
        <v>-17.8</v>
      </c>
      <c r="F766">
        <v>-18.100000000000001</v>
      </c>
      <c r="G766">
        <v>-25</v>
      </c>
      <c r="H766">
        <v>-16.600000000000001</v>
      </c>
      <c r="I766">
        <v>-13.5</v>
      </c>
      <c r="J766">
        <v>-25</v>
      </c>
      <c r="K766">
        <v>-16.3</v>
      </c>
      <c r="L766">
        <v>-17.2</v>
      </c>
      <c r="M766">
        <v>-25</v>
      </c>
      <c r="N766">
        <v>-17.8</v>
      </c>
      <c r="O766">
        <v>-18.3</v>
      </c>
      <c r="P766">
        <v>-25</v>
      </c>
      <c r="Q766">
        <v>-15.3</v>
      </c>
      <c r="R766">
        <v>1.6</v>
      </c>
      <c r="S766">
        <v>-25</v>
      </c>
      <c r="T766">
        <v>1.6</v>
      </c>
      <c r="U766">
        <v>0.8</v>
      </c>
      <c r="V766">
        <v>2</v>
      </c>
      <c r="W766">
        <v>1.6</v>
      </c>
      <c r="X766">
        <v>0.9</v>
      </c>
      <c r="Y766">
        <v>2</v>
      </c>
      <c r="Z766">
        <v>4.2</v>
      </c>
      <c r="AA766">
        <v>3.9</v>
      </c>
      <c r="AB766">
        <v>2</v>
      </c>
      <c r="AC766">
        <v>4</v>
      </c>
      <c r="AD766">
        <v>3.9</v>
      </c>
      <c r="AE766">
        <v>2</v>
      </c>
      <c r="AF766">
        <v>4.0999999999999996</v>
      </c>
      <c r="AG766">
        <v>3.9</v>
      </c>
      <c r="AH766">
        <v>2</v>
      </c>
      <c r="AI766">
        <v>3.9</v>
      </c>
      <c r="AJ766">
        <v>3.9</v>
      </c>
      <c r="AK766">
        <v>2</v>
      </c>
      <c r="AL766">
        <v>3.8</v>
      </c>
      <c r="AM766">
        <v>4</v>
      </c>
      <c r="AN766">
        <v>4.0999999999999996</v>
      </c>
      <c r="AO766">
        <v>4</v>
      </c>
      <c r="AP766">
        <v>5.7</v>
      </c>
      <c r="AQ766">
        <v>4</v>
      </c>
      <c r="AR766">
        <v>7.7</v>
      </c>
      <c r="AS766">
        <v>4</v>
      </c>
      <c r="AT766">
        <v>-4</v>
      </c>
      <c r="AU766">
        <v>-4.3</v>
      </c>
      <c r="AV766">
        <v>-5</v>
      </c>
      <c r="AW766">
        <v>-4.7</v>
      </c>
      <c r="AX766">
        <v>-4.7</v>
      </c>
      <c r="AY766">
        <v>-5</v>
      </c>
      <c r="AZ766">
        <v>9.9</v>
      </c>
      <c r="BA766">
        <v>10</v>
      </c>
      <c r="BB766">
        <v>10.1</v>
      </c>
      <c r="BC766">
        <v>10</v>
      </c>
      <c r="BD766">
        <v>4.4000000000000004</v>
      </c>
      <c r="BE766">
        <v>4</v>
      </c>
      <c r="BF766">
        <v>11.7</v>
      </c>
      <c r="BG766">
        <v>10</v>
      </c>
      <c r="BH766">
        <v>11.8</v>
      </c>
      <c r="BI766">
        <v>10</v>
      </c>
      <c r="BJ766">
        <v>11.3</v>
      </c>
      <c r="BK766">
        <v>9</v>
      </c>
      <c r="BL766">
        <v>18.899999999999999</v>
      </c>
      <c r="BM766">
        <v>19</v>
      </c>
      <c r="BN766">
        <v>23.6</v>
      </c>
      <c r="BO766">
        <v>19</v>
      </c>
      <c r="BP766">
        <v>20.7</v>
      </c>
      <c r="BQ766">
        <v>20</v>
      </c>
      <c r="BR766">
        <v>21.8</v>
      </c>
      <c r="BS766">
        <v>25</v>
      </c>
      <c r="BT766">
        <v>21.9</v>
      </c>
      <c r="BU766">
        <v>25</v>
      </c>
      <c r="BV766">
        <v>23.2</v>
      </c>
      <c r="BW766">
        <v>18</v>
      </c>
      <c r="BX766">
        <v>21.7</v>
      </c>
      <c r="BY766">
        <v>20</v>
      </c>
      <c r="BZ766">
        <v>21.5</v>
      </c>
      <c r="CA766">
        <v>20</v>
      </c>
      <c r="CB766">
        <v>10.8</v>
      </c>
      <c r="CC766">
        <v>10</v>
      </c>
      <c r="CD766">
        <v>11</v>
      </c>
      <c r="CE766">
        <v>10</v>
      </c>
      <c r="CF766">
        <v>11</v>
      </c>
      <c r="CG766">
        <v>9</v>
      </c>
      <c r="CH766">
        <v>11.2</v>
      </c>
      <c r="CI766">
        <v>9</v>
      </c>
    </row>
    <row r="767" spans="1:87" x14ac:dyDescent="0.35">
      <c r="A767" s="1">
        <v>46059.996527777781</v>
      </c>
      <c r="B767">
        <v>-17.7</v>
      </c>
      <c r="C767">
        <v>-17.600000000000001</v>
      </c>
      <c r="D767">
        <v>-25</v>
      </c>
      <c r="E767">
        <v>-17.5</v>
      </c>
      <c r="F767">
        <v>-17.899999999999999</v>
      </c>
      <c r="G767">
        <v>-25</v>
      </c>
      <c r="H767">
        <v>-16.7</v>
      </c>
      <c r="I767">
        <v>-13.6</v>
      </c>
      <c r="J767">
        <v>-25</v>
      </c>
      <c r="K767">
        <v>-16.399999999999999</v>
      </c>
      <c r="L767">
        <v>-17.2</v>
      </c>
      <c r="M767">
        <v>-25</v>
      </c>
      <c r="N767">
        <v>-17.899999999999999</v>
      </c>
      <c r="O767">
        <v>-18.3</v>
      </c>
      <c r="P767">
        <v>-25</v>
      </c>
      <c r="Q767">
        <v>-15.3</v>
      </c>
      <c r="R767">
        <v>4.5</v>
      </c>
      <c r="S767">
        <v>-25</v>
      </c>
      <c r="T767">
        <v>1.8</v>
      </c>
      <c r="U767">
        <v>1.2</v>
      </c>
      <c r="V767">
        <v>2</v>
      </c>
      <c r="W767">
        <v>1.8</v>
      </c>
      <c r="X767">
        <v>1.1000000000000001</v>
      </c>
      <c r="Y767">
        <v>2</v>
      </c>
      <c r="Z767">
        <v>4.2</v>
      </c>
      <c r="AA767">
        <v>3.9</v>
      </c>
      <c r="AB767">
        <v>2</v>
      </c>
      <c r="AC767">
        <v>4</v>
      </c>
      <c r="AD767">
        <v>3.9</v>
      </c>
      <c r="AE767">
        <v>2</v>
      </c>
      <c r="AF767">
        <v>4.2</v>
      </c>
      <c r="AG767">
        <v>4</v>
      </c>
      <c r="AH767">
        <v>2</v>
      </c>
      <c r="AI767">
        <v>4</v>
      </c>
      <c r="AJ767">
        <v>4</v>
      </c>
      <c r="AK767">
        <v>2</v>
      </c>
      <c r="AL767">
        <v>3.7</v>
      </c>
      <c r="AM767">
        <v>4</v>
      </c>
      <c r="AN767">
        <v>4.2</v>
      </c>
      <c r="AO767">
        <v>4</v>
      </c>
      <c r="AP767">
        <v>5.9</v>
      </c>
      <c r="AQ767">
        <v>4</v>
      </c>
      <c r="AR767">
        <v>7.4</v>
      </c>
      <c r="AS767">
        <v>4</v>
      </c>
      <c r="AT767">
        <v>-3.5</v>
      </c>
      <c r="AU767">
        <v>-3.8</v>
      </c>
      <c r="AV767">
        <v>-5</v>
      </c>
      <c r="AW767">
        <v>-4.0999999999999996</v>
      </c>
      <c r="AX767">
        <v>-3.9</v>
      </c>
      <c r="AY767">
        <v>-5</v>
      </c>
      <c r="AZ767">
        <v>10</v>
      </c>
      <c r="BA767">
        <v>10</v>
      </c>
      <c r="BB767">
        <v>10</v>
      </c>
      <c r="BC767">
        <v>10</v>
      </c>
      <c r="BD767">
        <v>4.7</v>
      </c>
      <c r="BE767">
        <v>4</v>
      </c>
      <c r="BF767">
        <v>11.9</v>
      </c>
      <c r="BG767">
        <v>10</v>
      </c>
      <c r="BH767">
        <v>11.9</v>
      </c>
      <c r="BI767">
        <v>10</v>
      </c>
      <c r="BJ767">
        <v>11.6</v>
      </c>
      <c r="BK767">
        <v>9</v>
      </c>
      <c r="BL767">
        <v>18.899999999999999</v>
      </c>
      <c r="BM767">
        <v>19</v>
      </c>
      <c r="BN767">
        <v>23.6</v>
      </c>
      <c r="BO767">
        <v>19</v>
      </c>
      <c r="BP767">
        <v>20.7</v>
      </c>
      <c r="BQ767">
        <v>20</v>
      </c>
      <c r="BR767">
        <v>21.8</v>
      </c>
      <c r="BS767">
        <v>25</v>
      </c>
      <c r="BT767">
        <v>21.9</v>
      </c>
      <c r="BU767">
        <v>25</v>
      </c>
      <c r="BV767">
        <v>23.2</v>
      </c>
      <c r="BW767">
        <v>18</v>
      </c>
      <c r="BX767">
        <v>21.7</v>
      </c>
      <c r="BY767">
        <v>20</v>
      </c>
      <c r="BZ767">
        <v>21.6</v>
      </c>
      <c r="CA767">
        <v>20</v>
      </c>
      <c r="CB767">
        <v>11.2</v>
      </c>
      <c r="CC767">
        <v>10</v>
      </c>
      <c r="CD767">
        <v>11.1</v>
      </c>
      <c r="CE767">
        <v>10</v>
      </c>
      <c r="CF767">
        <v>11</v>
      </c>
      <c r="CG767">
        <v>9</v>
      </c>
      <c r="CH767">
        <v>11.2</v>
      </c>
      <c r="CI767">
        <v>9</v>
      </c>
    </row>
    <row r="768" spans="1:87" x14ac:dyDescent="0.35">
      <c r="A768" s="1">
        <v>46059.99722222222</v>
      </c>
      <c r="B768">
        <v>-17.5</v>
      </c>
      <c r="C768">
        <v>-17.399999999999999</v>
      </c>
      <c r="D768">
        <v>-25</v>
      </c>
      <c r="E768">
        <v>-17.3</v>
      </c>
      <c r="F768">
        <v>-17.7</v>
      </c>
      <c r="G768">
        <v>-25</v>
      </c>
      <c r="H768">
        <v>-16.8</v>
      </c>
      <c r="I768">
        <v>-13</v>
      </c>
      <c r="J768">
        <v>-25</v>
      </c>
      <c r="K768">
        <v>-16.5</v>
      </c>
      <c r="L768">
        <v>-17.399999999999999</v>
      </c>
      <c r="M768">
        <v>-25</v>
      </c>
      <c r="N768">
        <v>-18</v>
      </c>
      <c r="O768">
        <v>-18.399999999999999</v>
      </c>
      <c r="P768">
        <v>-25</v>
      </c>
      <c r="Q768">
        <v>-15.3</v>
      </c>
      <c r="R768">
        <v>7</v>
      </c>
      <c r="S768">
        <v>-25</v>
      </c>
      <c r="T768">
        <v>1.9</v>
      </c>
      <c r="U768">
        <v>1.4</v>
      </c>
      <c r="V768">
        <v>2</v>
      </c>
      <c r="W768">
        <v>1.9</v>
      </c>
      <c r="X768">
        <v>1.3</v>
      </c>
      <c r="Y768">
        <v>2</v>
      </c>
      <c r="Z768">
        <v>4.2</v>
      </c>
      <c r="AA768">
        <v>3.8</v>
      </c>
      <c r="AB768">
        <v>2</v>
      </c>
      <c r="AC768">
        <v>3.9</v>
      </c>
      <c r="AD768">
        <v>3.1</v>
      </c>
      <c r="AE768">
        <v>2</v>
      </c>
      <c r="AF768">
        <v>4.2</v>
      </c>
      <c r="AG768">
        <v>3.9</v>
      </c>
      <c r="AH768">
        <v>2</v>
      </c>
      <c r="AI768">
        <v>4</v>
      </c>
      <c r="AJ768">
        <v>2.4</v>
      </c>
      <c r="AK768">
        <v>2</v>
      </c>
      <c r="AL768">
        <v>3.7</v>
      </c>
      <c r="AM768">
        <v>4</v>
      </c>
      <c r="AN768">
        <v>4.3</v>
      </c>
      <c r="AO768">
        <v>4</v>
      </c>
      <c r="AP768">
        <v>6</v>
      </c>
      <c r="AQ768">
        <v>4</v>
      </c>
      <c r="AR768">
        <v>6.8</v>
      </c>
      <c r="AS768">
        <v>4</v>
      </c>
      <c r="AT768">
        <v>-3.1</v>
      </c>
      <c r="AU768">
        <v>-3.3</v>
      </c>
      <c r="AV768">
        <v>-5</v>
      </c>
      <c r="AW768">
        <v>-3.6</v>
      </c>
      <c r="AX768">
        <v>-3.4</v>
      </c>
      <c r="AY768">
        <v>-5</v>
      </c>
      <c r="AZ768">
        <v>10.199999999999999</v>
      </c>
      <c r="BA768">
        <v>10</v>
      </c>
      <c r="BB768">
        <v>9.9</v>
      </c>
      <c r="BC768">
        <v>10</v>
      </c>
      <c r="BD768">
        <v>4.9000000000000004</v>
      </c>
      <c r="BE768">
        <v>4</v>
      </c>
      <c r="BF768">
        <v>12.1</v>
      </c>
      <c r="BG768">
        <v>10</v>
      </c>
      <c r="BH768">
        <v>12</v>
      </c>
      <c r="BI768">
        <v>10</v>
      </c>
      <c r="BJ768">
        <v>11.7</v>
      </c>
      <c r="BK768">
        <v>9</v>
      </c>
      <c r="BL768">
        <v>19</v>
      </c>
      <c r="BM768">
        <v>19</v>
      </c>
      <c r="BN768">
        <v>23.6</v>
      </c>
      <c r="BO768">
        <v>19</v>
      </c>
      <c r="BP768">
        <v>20.7</v>
      </c>
      <c r="BQ768">
        <v>20</v>
      </c>
      <c r="BR768">
        <v>21.8</v>
      </c>
      <c r="BS768">
        <v>25</v>
      </c>
      <c r="BT768">
        <v>21.9</v>
      </c>
      <c r="BU768">
        <v>25</v>
      </c>
      <c r="BV768">
        <v>23.2</v>
      </c>
      <c r="BW768">
        <v>18</v>
      </c>
      <c r="BX768">
        <v>21.7</v>
      </c>
      <c r="BY768">
        <v>20</v>
      </c>
      <c r="BZ768">
        <v>21.6</v>
      </c>
      <c r="CA768">
        <v>20</v>
      </c>
      <c r="CB768">
        <v>11.6</v>
      </c>
      <c r="CC768">
        <v>10</v>
      </c>
      <c r="CD768">
        <v>11.2</v>
      </c>
      <c r="CE768">
        <v>10</v>
      </c>
      <c r="CF768">
        <v>11.1</v>
      </c>
      <c r="CG768">
        <v>9</v>
      </c>
      <c r="CH768">
        <v>11.3</v>
      </c>
      <c r="CI768">
        <v>9</v>
      </c>
    </row>
    <row r="769" spans="1:87" x14ac:dyDescent="0.35">
      <c r="A769" s="1">
        <v>46059.997916666667</v>
      </c>
      <c r="B769">
        <v>-17.3</v>
      </c>
      <c r="C769">
        <v>-17.2</v>
      </c>
      <c r="D769">
        <v>-25</v>
      </c>
      <c r="E769">
        <v>-17.100000000000001</v>
      </c>
      <c r="F769">
        <v>-17.5</v>
      </c>
      <c r="G769">
        <v>-25</v>
      </c>
      <c r="H769">
        <v>-17</v>
      </c>
      <c r="I769">
        <v>-13.5</v>
      </c>
      <c r="J769">
        <v>-25</v>
      </c>
      <c r="K769">
        <v>-16.5</v>
      </c>
      <c r="L769">
        <v>-17.5</v>
      </c>
      <c r="M769">
        <v>-25</v>
      </c>
      <c r="N769">
        <v>-18.100000000000001</v>
      </c>
      <c r="O769">
        <v>-18.5</v>
      </c>
      <c r="P769">
        <v>-25</v>
      </c>
      <c r="Q769">
        <v>-15.3</v>
      </c>
      <c r="R769">
        <v>6.2</v>
      </c>
      <c r="S769">
        <v>-25</v>
      </c>
      <c r="T769">
        <v>2</v>
      </c>
      <c r="U769">
        <v>1.6</v>
      </c>
      <c r="V769">
        <v>2</v>
      </c>
      <c r="W769">
        <v>2</v>
      </c>
      <c r="X769">
        <v>1.5</v>
      </c>
      <c r="Y769">
        <v>2</v>
      </c>
      <c r="Z769">
        <v>4.0999999999999996</v>
      </c>
      <c r="AA769">
        <v>3.6</v>
      </c>
      <c r="AB769">
        <v>2</v>
      </c>
      <c r="AC769">
        <v>3.7</v>
      </c>
      <c r="AD769">
        <v>2.4</v>
      </c>
      <c r="AE769">
        <v>2</v>
      </c>
      <c r="AF769">
        <v>4</v>
      </c>
      <c r="AG769">
        <v>3.6</v>
      </c>
      <c r="AH769">
        <v>2</v>
      </c>
      <c r="AI769">
        <v>3.8</v>
      </c>
      <c r="AJ769">
        <v>1.9</v>
      </c>
      <c r="AK769">
        <v>2</v>
      </c>
      <c r="AL769">
        <v>3.7</v>
      </c>
      <c r="AM769">
        <v>4</v>
      </c>
      <c r="AN769">
        <v>4.3</v>
      </c>
      <c r="AO769">
        <v>4</v>
      </c>
      <c r="AP769">
        <v>5.5</v>
      </c>
      <c r="AQ769">
        <v>4</v>
      </c>
      <c r="AR769">
        <v>6.3</v>
      </c>
      <c r="AS769">
        <v>4</v>
      </c>
      <c r="AT769">
        <v>-2.9</v>
      </c>
      <c r="AU769">
        <v>-4</v>
      </c>
      <c r="AV769">
        <v>-5</v>
      </c>
      <c r="AW769">
        <v>-3.2</v>
      </c>
      <c r="AX769">
        <v>-3</v>
      </c>
      <c r="AY769">
        <v>-5</v>
      </c>
      <c r="AZ769">
        <v>10.3</v>
      </c>
      <c r="BA769">
        <v>10</v>
      </c>
      <c r="BB769">
        <v>10</v>
      </c>
      <c r="BC769">
        <v>10</v>
      </c>
      <c r="BD769">
        <v>5.3</v>
      </c>
      <c r="BE769">
        <v>4</v>
      </c>
      <c r="BF769">
        <v>11.8</v>
      </c>
      <c r="BG769">
        <v>10</v>
      </c>
      <c r="BH769">
        <v>12.2</v>
      </c>
      <c r="BI769">
        <v>10</v>
      </c>
      <c r="BJ769">
        <v>11.8</v>
      </c>
      <c r="BK769">
        <v>9</v>
      </c>
      <c r="BL769">
        <v>19</v>
      </c>
      <c r="BM769">
        <v>19</v>
      </c>
      <c r="BN769">
        <v>23.6</v>
      </c>
      <c r="BO769">
        <v>19</v>
      </c>
      <c r="BP769">
        <v>20.7</v>
      </c>
      <c r="BQ769">
        <v>20</v>
      </c>
      <c r="BR769">
        <v>21.8</v>
      </c>
      <c r="BS769">
        <v>25</v>
      </c>
      <c r="BT769">
        <v>21.9</v>
      </c>
      <c r="BU769">
        <v>25</v>
      </c>
      <c r="BV769">
        <v>23.2</v>
      </c>
      <c r="BW769">
        <v>18</v>
      </c>
      <c r="BX769">
        <v>21.7</v>
      </c>
      <c r="BY769">
        <v>20</v>
      </c>
      <c r="BZ769">
        <v>21.6</v>
      </c>
      <c r="CA769">
        <v>20</v>
      </c>
      <c r="CB769">
        <v>11.9</v>
      </c>
      <c r="CC769">
        <v>10</v>
      </c>
      <c r="CD769">
        <v>11.3</v>
      </c>
      <c r="CE769">
        <v>10</v>
      </c>
      <c r="CF769">
        <v>11.1</v>
      </c>
      <c r="CG769">
        <v>9</v>
      </c>
      <c r="CH769">
        <v>11.3</v>
      </c>
      <c r="CI769">
        <v>9</v>
      </c>
    </row>
    <row r="770" spans="1:87" x14ac:dyDescent="0.35">
      <c r="A770" s="1">
        <v>46059.998611111114</v>
      </c>
      <c r="B770">
        <v>-17.100000000000001</v>
      </c>
      <c r="C770">
        <v>-17</v>
      </c>
      <c r="D770">
        <v>-25</v>
      </c>
      <c r="E770">
        <v>-16.899999999999999</v>
      </c>
      <c r="F770">
        <v>-17.3</v>
      </c>
      <c r="G770">
        <v>-25</v>
      </c>
      <c r="H770">
        <v>-17</v>
      </c>
      <c r="I770">
        <v>-13.8</v>
      </c>
      <c r="J770">
        <v>-25</v>
      </c>
      <c r="K770">
        <v>-16.600000000000001</v>
      </c>
      <c r="L770">
        <v>-17.5</v>
      </c>
      <c r="M770">
        <v>-25</v>
      </c>
      <c r="N770">
        <v>-18.100000000000001</v>
      </c>
      <c r="O770">
        <v>-18.8</v>
      </c>
      <c r="P770">
        <v>-25</v>
      </c>
      <c r="Q770">
        <v>-15.3</v>
      </c>
      <c r="R770">
        <v>11.7</v>
      </c>
      <c r="S770">
        <v>-25</v>
      </c>
      <c r="T770">
        <v>2.1</v>
      </c>
      <c r="U770">
        <v>1.8</v>
      </c>
      <c r="V770">
        <v>2</v>
      </c>
      <c r="W770">
        <v>2.1</v>
      </c>
      <c r="X770">
        <v>1.7</v>
      </c>
      <c r="Y770">
        <v>2</v>
      </c>
      <c r="Z770">
        <v>3.9</v>
      </c>
      <c r="AA770">
        <v>3.4</v>
      </c>
      <c r="AB770">
        <v>2</v>
      </c>
      <c r="AC770">
        <v>3.5</v>
      </c>
      <c r="AD770">
        <v>2.2999999999999998</v>
      </c>
      <c r="AE770">
        <v>2</v>
      </c>
      <c r="AF770">
        <v>3.7</v>
      </c>
      <c r="AG770">
        <v>3.3</v>
      </c>
      <c r="AH770">
        <v>2</v>
      </c>
      <c r="AI770">
        <v>3.5</v>
      </c>
      <c r="AJ770">
        <v>1.7</v>
      </c>
      <c r="AK770">
        <v>2</v>
      </c>
      <c r="AL770">
        <v>3.8</v>
      </c>
      <c r="AM770">
        <v>4</v>
      </c>
      <c r="AN770">
        <v>4.4000000000000004</v>
      </c>
      <c r="AO770">
        <v>4</v>
      </c>
      <c r="AP770">
        <v>4.5</v>
      </c>
      <c r="AQ770">
        <v>4</v>
      </c>
      <c r="AR770">
        <v>5.9</v>
      </c>
      <c r="AS770">
        <v>4</v>
      </c>
      <c r="AT770">
        <v>-3.3</v>
      </c>
      <c r="AU770">
        <v>-5</v>
      </c>
      <c r="AV770">
        <v>-5</v>
      </c>
      <c r="AW770">
        <v>-2.9</v>
      </c>
      <c r="AX770">
        <v>-2.7</v>
      </c>
      <c r="AY770">
        <v>-5</v>
      </c>
      <c r="AZ770">
        <v>10.4</v>
      </c>
      <c r="BA770">
        <v>10</v>
      </c>
      <c r="BB770">
        <v>10.3</v>
      </c>
      <c r="BC770">
        <v>10</v>
      </c>
      <c r="BD770">
        <v>5.4</v>
      </c>
      <c r="BE770">
        <v>4</v>
      </c>
      <c r="BF770">
        <v>11.1</v>
      </c>
      <c r="BG770">
        <v>10</v>
      </c>
      <c r="BH770">
        <v>12.3</v>
      </c>
      <c r="BI770">
        <v>10</v>
      </c>
      <c r="BJ770">
        <v>11.9</v>
      </c>
      <c r="BK770">
        <v>9</v>
      </c>
      <c r="BL770">
        <v>19</v>
      </c>
      <c r="BM770">
        <v>19</v>
      </c>
      <c r="BN770">
        <v>23.6</v>
      </c>
      <c r="BO770">
        <v>19</v>
      </c>
      <c r="BP770">
        <v>20.7</v>
      </c>
      <c r="BQ770">
        <v>20</v>
      </c>
      <c r="BR770">
        <v>21.8</v>
      </c>
      <c r="BS770">
        <v>25</v>
      </c>
      <c r="BT770">
        <v>21.9</v>
      </c>
      <c r="BU770">
        <v>25</v>
      </c>
      <c r="BV770">
        <v>23.2</v>
      </c>
      <c r="BW770">
        <v>18</v>
      </c>
      <c r="BX770">
        <v>21.7</v>
      </c>
      <c r="BY770">
        <v>20</v>
      </c>
      <c r="BZ770">
        <v>21.6</v>
      </c>
      <c r="CA770">
        <v>20</v>
      </c>
      <c r="CB770">
        <v>12</v>
      </c>
      <c r="CC770">
        <v>10</v>
      </c>
      <c r="CD770">
        <v>11.4</v>
      </c>
      <c r="CE770">
        <v>10</v>
      </c>
      <c r="CF770">
        <v>11.1</v>
      </c>
      <c r="CG770">
        <v>9</v>
      </c>
      <c r="CH770">
        <v>11.3</v>
      </c>
      <c r="CI770">
        <v>9</v>
      </c>
    </row>
    <row r="771" spans="1:87" x14ac:dyDescent="0.35">
      <c r="A771" s="1">
        <v>46059.999305555553</v>
      </c>
      <c r="B771">
        <v>-16.899999999999999</v>
      </c>
      <c r="C771">
        <v>-16.8</v>
      </c>
      <c r="D771">
        <v>-25</v>
      </c>
      <c r="E771">
        <v>-16.7</v>
      </c>
      <c r="F771">
        <v>-17</v>
      </c>
      <c r="G771">
        <v>-25</v>
      </c>
      <c r="H771">
        <v>-17.100000000000001</v>
      </c>
      <c r="I771">
        <v>-14</v>
      </c>
      <c r="J771">
        <v>-25</v>
      </c>
      <c r="K771">
        <v>-16.600000000000001</v>
      </c>
      <c r="L771">
        <v>-17.5</v>
      </c>
      <c r="M771">
        <v>-25</v>
      </c>
      <c r="N771">
        <v>-18.2</v>
      </c>
      <c r="O771">
        <v>-19</v>
      </c>
      <c r="P771">
        <v>-25</v>
      </c>
      <c r="Q771">
        <v>-15.3</v>
      </c>
      <c r="R771">
        <v>12.2</v>
      </c>
      <c r="S771">
        <v>-25</v>
      </c>
      <c r="T771">
        <v>2.2000000000000002</v>
      </c>
      <c r="U771">
        <v>2</v>
      </c>
      <c r="V771">
        <v>2</v>
      </c>
      <c r="W771">
        <v>2.2000000000000002</v>
      </c>
      <c r="X771">
        <v>1.9</v>
      </c>
      <c r="Y771">
        <v>2</v>
      </c>
      <c r="Z771">
        <v>3.8</v>
      </c>
      <c r="AA771">
        <v>3.3</v>
      </c>
      <c r="AB771">
        <v>2</v>
      </c>
      <c r="AC771">
        <v>3.4</v>
      </c>
      <c r="AD771">
        <v>2.5</v>
      </c>
      <c r="AE771">
        <v>2</v>
      </c>
      <c r="AF771">
        <v>3.5</v>
      </c>
      <c r="AG771">
        <v>3.1</v>
      </c>
      <c r="AH771">
        <v>2</v>
      </c>
      <c r="AI771">
        <v>3.3</v>
      </c>
      <c r="AJ771">
        <v>2</v>
      </c>
      <c r="AK771">
        <v>2</v>
      </c>
      <c r="AL771">
        <v>3.9</v>
      </c>
      <c r="AM771">
        <v>4</v>
      </c>
      <c r="AN771">
        <v>4.5</v>
      </c>
      <c r="AO771">
        <v>4</v>
      </c>
      <c r="AP771">
        <v>3.3</v>
      </c>
      <c r="AQ771">
        <v>4</v>
      </c>
      <c r="AR771">
        <v>5.3</v>
      </c>
      <c r="AS771">
        <v>4</v>
      </c>
      <c r="AT771">
        <v>-3.6</v>
      </c>
      <c r="AU771">
        <v>-5.3</v>
      </c>
      <c r="AV771">
        <v>-5</v>
      </c>
      <c r="AW771">
        <v>-2.7</v>
      </c>
      <c r="AX771">
        <v>-2.6</v>
      </c>
      <c r="AY771">
        <v>-5</v>
      </c>
      <c r="AZ771">
        <v>10.5</v>
      </c>
      <c r="BA771">
        <v>10</v>
      </c>
      <c r="BB771">
        <v>10.6</v>
      </c>
      <c r="BC771">
        <v>10</v>
      </c>
      <c r="BD771">
        <v>5.5</v>
      </c>
      <c r="BE771">
        <v>4</v>
      </c>
      <c r="BF771">
        <v>10.3</v>
      </c>
      <c r="BG771">
        <v>10</v>
      </c>
      <c r="BH771">
        <v>12.3</v>
      </c>
      <c r="BI771">
        <v>10</v>
      </c>
      <c r="BJ771">
        <v>11.9</v>
      </c>
      <c r="BK771">
        <v>9</v>
      </c>
      <c r="BL771">
        <v>19</v>
      </c>
      <c r="BM771">
        <v>19</v>
      </c>
      <c r="BN771">
        <v>23.6</v>
      </c>
      <c r="BO771">
        <v>19</v>
      </c>
      <c r="BP771">
        <v>20.7</v>
      </c>
      <c r="BQ771">
        <v>20</v>
      </c>
      <c r="BR771">
        <v>21.8</v>
      </c>
      <c r="BS771">
        <v>25</v>
      </c>
      <c r="BT771">
        <v>21.9</v>
      </c>
      <c r="BU771">
        <v>25</v>
      </c>
      <c r="BV771">
        <v>23.2</v>
      </c>
      <c r="BW771">
        <v>18</v>
      </c>
      <c r="BX771">
        <v>21.8</v>
      </c>
      <c r="BY771">
        <v>20</v>
      </c>
      <c r="BZ771">
        <v>21.6</v>
      </c>
      <c r="CA771">
        <v>20</v>
      </c>
      <c r="CB771">
        <v>11.9</v>
      </c>
      <c r="CC771">
        <v>10</v>
      </c>
      <c r="CD771">
        <v>11.5</v>
      </c>
      <c r="CE771">
        <v>10</v>
      </c>
      <c r="CF771">
        <v>11.3</v>
      </c>
      <c r="CG771">
        <v>9</v>
      </c>
      <c r="CH771">
        <v>11.5</v>
      </c>
      <c r="CI771">
        <v>9</v>
      </c>
    </row>
    <row r="772" spans="1:87" x14ac:dyDescent="0.35">
      <c r="A772" s="2"/>
    </row>
    <row r="773" spans="1:87" x14ac:dyDescent="0.35">
      <c r="A773" s="2"/>
    </row>
    <row r="774" spans="1:87" x14ac:dyDescent="0.35">
      <c r="A774" s="2"/>
    </row>
    <row r="775" spans="1:87" x14ac:dyDescent="0.35">
      <c r="A775" s="2"/>
    </row>
    <row r="776" spans="1:87" x14ac:dyDescent="0.35">
      <c r="A776" s="2"/>
    </row>
    <row r="777" spans="1:87" x14ac:dyDescent="0.35">
      <c r="A777" s="2"/>
    </row>
    <row r="778" spans="1:87" x14ac:dyDescent="0.35">
      <c r="A778" s="2"/>
    </row>
    <row r="779" spans="1:87" x14ac:dyDescent="0.35">
      <c r="A779" s="2"/>
    </row>
    <row r="780" spans="1:87" x14ac:dyDescent="0.35">
      <c r="A780" s="2"/>
    </row>
    <row r="781" spans="1:87" x14ac:dyDescent="0.35">
      <c r="A781" s="2"/>
    </row>
    <row r="782" spans="1:87" x14ac:dyDescent="0.35">
      <c r="A782" s="2"/>
    </row>
    <row r="783" spans="1:87" x14ac:dyDescent="0.35">
      <c r="A783" s="2"/>
    </row>
    <row r="784" spans="1:87" x14ac:dyDescent="0.35">
      <c r="A784" s="2"/>
    </row>
    <row r="785" spans="1:1" x14ac:dyDescent="0.35">
      <c r="A785" s="2"/>
    </row>
    <row r="786" spans="1:1" x14ac:dyDescent="0.35">
      <c r="A786" s="2"/>
    </row>
    <row r="787" spans="1:1" x14ac:dyDescent="0.35">
      <c r="A787" s="2"/>
    </row>
    <row r="788" spans="1:1" x14ac:dyDescent="0.35">
      <c r="A788" s="2"/>
    </row>
    <row r="789" spans="1:1" x14ac:dyDescent="0.35">
      <c r="A789" s="2"/>
    </row>
    <row r="790" spans="1:1" x14ac:dyDescent="0.35">
      <c r="A790" s="2"/>
    </row>
    <row r="791" spans="1:1" x14ac:dyDescent="0.35">
      <c r="A791" s="2"/>
    </row>
    <row r="792" spans="1:1" x14ac:dyDescent="0.35">
      <c r="A792" s="2"/>
    </row>
    <row r="793" spans="1:1" x14ac:dyDescent="0.35">
      <c r="A793" s="2"/>
    </row>
    <row r="794" spans="1:1" x14ac:dyDescent="0.35">
      <c r="A794" s="2"/>
    </row>
    <row r="795" spans="1:1" x14ac:dyDescent="0.35">
      <c r="A795" s="2"/>
    </row>
    <row r="796" spans="1:1" x14ac:dyDescent="0.35">
      <c r="A796" s="2"/>
    </row>
    <row r="797" spans="1:1" x14ac:dyDescent="0.35">
      <c r="A797" s="2"/>
    </row>
    <row r="798" spans="1:1" x14ac:dyDescent="0.35">
      <c r="A798" s="2"/>
    </row>
    <row r="799" spans="1:1" x14ac:dyDescent="0.35">
      <c r="A799" s="2"/>
    </row>
    <row r="800" spans="1:1" x14ac:dyDescent="0.35">
      <c r="A800" s="2"/>
    </row>
    <row r="801" spans="1:1" x14ac:dyDescent="0.35">
      <c r="A801" s="2"/>
    </row>
    <row r="802" spans="1:1" x14ac:dyDescent="0.35">
      <c r="A802" s="2"/>
    </row>
    <row r="803" spans="1:1" x14ac:dyDescent="0.35">
      <c r="A803" s="2"/>
    </row>
    <row r="804" spans="1:1" x14ac:dyDescent="0.35">
      <c r="A804" s="2"/>
    </row>
    <row r="805" spans="1:1" x14ac:dyDescent="0.35">
      <c r="A805" s="2"/>
    </row>
    <row r="806" spans="1:1" x14ac:dyDescent="0.35">
      <c r="A806" s="2"/>
    </row>
    <row r="807" spans="1:1" x14ac:dyDescent="0.35">
      <c r="A807" s="2"/>
    </row>
    <row r="808" spans="1:1" x14ac:dyDescent="0.35">
      <c r="A808" s="2"/>
    </row>
    <row r="809" spans="1:1" x14ac:dyDescent="0.35">
      <c r="A809" s="2"/>
    </row>
    <row r="810" spans="1:1" x14ac:dyDescent="0.35">
      <c r="A810" s="2"/>
    </row>
    <row r="811" spans="1:1" x14ac:dyDescent="0.35">
      <c r="A811" s="2"/>
    </row>
    <row r="812" spans="1:1" x14ac:dyDescent="0.35">
      <c r="A812" s="2"/>
    </row>
    <row r="813" spans="1:1" x14ac:dyDescent="0.35">
      <c r="A813" s="2"/>
    </row>
    <row r="814" spans="1:1" x14ac:dyDescent="0.35">
      <c r="A814" s="2"/>
    </row>
    <row r="815" spans="1:1" x14ac:dyDescent="0.35">
      <c r="A815" s="2"/>
    </row>
    <row r="816" spans="1:1" x14ac:dyDescent="0.35">
      <c r="A816" s="2"/>
    </row>
    <row r="817" spans="1:1" x14ac:dyDescent="0.35">
      <c r="A817" s="2"/>
    </row>
    <row r="818" spans="1:1" x14ac:dyDescent="0.35">
      <c r="A818" s="2"/>
    </row>
    <row r="819" spans="1:1" x14ac:dyDescent="0.35">
      <c r="A819" s="2"/>
    </row>
    <row r="820" spans="1:1" x14ac:dyDescent="0.35">
      <c r="A820" s="2"/>
    </row>
    <row r="821" spans="1:1" x14ac:dyDescent="0.35">
      <c r="A821" s="2"/>
    </row>
    <row r="822" spans="1:1" x14ac:dyDescent="0.35">
      <c r="A822" s="2"/>
    </row>
    <row r="823" spans="1:1" x14ac:dyDescent="0.35">
      <c r="A823" s="2"/>
    </row>
    <row r="824" spans="1:1" x14ac:dyDescent="0.35">
      <c r="A824" s="2"/>
    </row>
    <row r="825" spans="1:1" x14ac:dyDescent="0.35">
      <c r="A825" s="2"/>
    </row>
    <row r="826" spans="1:1" x14ac:dyDescent="0.35">
      <c r="A826" s="2"/>
    </row>
    <row r="827" spans="1:1" x14ac:dyDescent="0.35">
      <c r="A827" s="2"/>
    </row>
    <row r="828" spans="1:1" x14ac:dyDescent="0.35">
      <c r="A828" s="2"/>
    </row>
    <row r="829" spans="1:1" x14ac:dyDescent="0.35">
      <c r="A829" s="2"/>
    </row>
    <row r="830" spans="1:1" x14ac:dyDescent="0.35">
      <c r="A830" s="2"/>
    </row>
    <row r="831" spans="1:1" x14ac:dyDescent="0.35">
      <c r="A831" s="2"/>
    </row>
    <row r="832" spans="1:1" x14ac:dyDescent="0.35">
      <c r="A832" s="2"/>
    </row>
    <row r="833" spans="1:1" x14ac:dyDescent="0.35">
      <c r="A833" s="2"/>
    </row>
    <row r="834" spans="1:1" x14ac:dyDescent="0.35">
      <c r="A834" s="2"/>
    </row>
    <row r="835" spans="1:1" x14ac:dyDescent="0.35">
      <c r="A835" s="2"/>
    </row>
    <row r="836" spans="1:1" x14ac:dyDescent="0.35">
      <c r="A836" s="2"/>
    </row>
    <row r="837" spans="1:1" x14ac:dyDescent="0.35">
      <c r="A837" s="2"/>
    </row>
    <row r="838" spans="1:1" x14ac:dyDescent="0.35">
      <c r="A838" s="2"/>
    </row>
    <row r="839" spans="1:1" x14ac:dyDescent="0.35">
      <c r="A839" s="2"/>
    </row>
    <row r="840" spans="1:1" x14ac:dyDescent="0.35">
      <c r="A840" s="2"/>
    </row>
    <row r="841" spans="1:1" x14ac:dyDescent="0.35">
      <c r="A841" s="2"/>
    </row>
    <row r="842" spans="1:1" x14ac:dyDescent="0.35">
      <c r="A842" s="2"/>
    </row>
    <row r="843" spans="1:1" x14ac:dyDescent="0.35">
      <c r="A843" s="2"/>
    </row>
    <row r="844" spans="1:1" x14ac:dyDescent="0.35">
      <c r="A844" s="2"/>
    </row>
    <row r="845" spans="1:1" x14ac:dyDescent="0.35">
      <c r="A845" s="2"/>
    </row>
    <row r="846" spans="1:1" x14ac:dyDescent="0.35">
      <c r="A846" s="2"/>
    </row>
    <row r="847" spans="1:1" x14ac:dyDescent="0.35">
      <c r="A847" s="2"/>
    </row>
    <row r="848" spans="1:1" x14ac:dyDescent="0.35">
      <c r="A848" s="2"/>
    </row>
    <row r="849" spans="1:1" x14ac:dyDescent="0.35">
      <c r="A849" s="2"/>
    </row>
    <row r="850" spans="1:1" x14ac:dyDescent="0.35">
      <c r="A850" s="2"/>
    </row>
    <row r="851" spans="1:1" x14ac:dyDescent="0.35">
      <c r="A851" s="2"/>
    </row>
    <row r="852" spans="1:1" x14ac:dyDescent="0.35">
      <c r="A852" s="2"/>
    </row>
    <row r="853" spans="1:1" x14ac:dyDescent="0.35">
      <c r="A853" s="2"/>
    </row>
    <row r="854" spans="1:1" x14ac:dyDescent="0.35">
      <c r="A854" s="2"/>
    </row>
    <row r="855" spans="1:1" x14ac:dyDescent="0.35">
      <c r="A855" s="2"/>
    </row>
    <row r="856" spans="1:1" x14ac:dyDescent="0.35">
      <c r="A856" s="2"/>
    </row>
    <row r="857" spans="1:1" x14ac:dyDescent="0.35">
      <c r="A857" s="2"/>
    </row>
    <row r="858" spans="1:1" x14ac:dyDescent="0.35">
      <c r="A858" s="2"/>
    </row>
    <row r="859" spans="1:1" x14ac:dyDescent="0.35">
      <c r="A859" s="2"/>
    </row>
    <row r="860" spans="1:1" x14ac:dyDescent="0.35">
      <c r="A860" s="2"/>
    </row>
    <row r="861" spans="1:1" x14ac:dyDescent="0.35">
      <c r="A861" s="2"/>
    </row>
    <row r="862" spans="1:1" x14ac:dyDescent="0.35">
      <c r="A862" s="2"/>
    </row>
    <row r="863" spans="1:1" x14ac:dyDescent="0.35">
      <c r="A863" s="2"/>
    </row>
    <row r="864" spans="1:1" x14ac:dyDescent="0.35">
      <c r="A864" s="2"/>
    </row>
    <row r="865" spans="1:1" x14ac:dyDescent="0.35">
      <c r="A865" s="2"/>
    </row>
    <row r="866" spans="1:1" x14ac:dyDescent="0.35">
      <c r="A866" s="2"/>
    </row>
    <row r="867" spans="1:1" x14ac:dyDescent="0.35">
      <c r="A867" s="2"/>
    </row>
    <row r="868" spans="1:1" x14ac:dyDescent="0.35">
      <c r="A868" s="2"/>
    </row>
    <row r="869" spans="1:1" x14ac:dyDescent="0.35">
      <c r="A869" s="2"/>
    </row>
    <row r="870" spans="1:1" x14ac:dyDescent="0.35">
      <c r="A870" s="2"/>
    </row>
    <row r="871" spans="1:1" x14ac:dyDescent="0.35">
      <c r="A871" s="2"/>
    </row>
    <row r="872" spans="1:1" x14ac:dyDescent="0.35">
      <c r="A872" s="2"/>
    </row>
    <row r="873" spans="1:1" x14ac:dyDescent="0.35">
      <c r="A873" s="2"/>
    </row>
    <row r="874" spans="1:1" x14ac:dyDescent="0.35">
      <c r="A874" s="2"/>
    </row>
    <row r="875" spans="1:1" x14ac:dyDescent="0.35">
      <c r="A875" s="2"/>
    </row>
    <row r="876" spans="1:1" x14ac:dyDescent="0.35">
      <c r="A876" s="2"/>
    </row>
    <row r="877" spans="1:1" x14ac:dyDescent="0.35">
      <c r="A877" s="2"/>
    </row>
    <row r="878" spans="1:1" x14ac:dyDescent="0.35">
      <c r="A878" s="2"/>
    </row>
    <row r="879" spans="1:1" x14ac:dyDescent="0.35">
      <c r="A879" s="2"/>
    </row>
    <row r="880" spans="1:1" x14ac:dyDescent="0.35">
      <c r="A880" s="2"/>
    </row>
    <row r="881" spans="1:1" x14ac:dyDescent="0.35">
      <c r="A881" s="2"/>
    </row>
    <row r="882" spans="1:1" x14ac:dyDescent="0.35">
      <c r="A882" s="2"/>
    </row>
    <row r="883" spans="1:1" x14ac:dyDescent="0.35">
      <c r="A883" s="2"/>
    </row>
    <row r="884" spans="1:1" x14ac:dyDescent="0.35">
      <c r="A884" s="2"/>
    </row>
    <row r="885" spans="1:1" x14ac:dyDescent="0.35">
      <c r="A885" s="2"/>
    </row>
    <row r="886" spans="1:1" x14ac:dyDescent="0.35">
      <c r="A886" s="2"/>
    </row>
    <row r="887" spans="1:1" x14ac:dyDescent="0.35">
      <c r="A887" s="2"/>
    </row>
    <row r="888" spans="1:1" x14ac:dyDescent="0.35">
      <c r="A888" s="2"/>
    </row>
    <row r="889" spans="1:1" x14ac:dyDescent="0.35">
      <c r="A889" s="2"/>
    </row>
    <row r="890" spans="1:1" x14ac:dyDescent="0.35">
      <c r="A890" s="2"/>
    </row>
    <row r="891" spans="1:1" x14ac:dyDescent="0.35">
      <c r="A891" s="2"/>
    </row>
    <row r="892" spans="1:1" x14ac:dyDescent="0.35">
      <c r="A892" s="2"/>
    </row>
    <row r="893" spans="1:1" x14ac:dyDescent="0.35">
      <c r="A893" s="2"/>
    </row>
    <row r="894" spans="1:1" x14ac:dyDescent="0.35">
      <c r="A894" s="2"/>
    </row>
    <row r="895" spans="1:1" x14ac:dyDescent="0.35">
      <c r="A895" s="2"/>
    </row>
    <row r="896" spans="1:1" x14ac:dyDescent="0.35">
      <c r="A896" s="2"/>
    </row>
    <row r="897" spans="1:1" x14ac:dyDescent="0.35">
      <c r="A897" s="2"/>
    </row>
    <row r="898" spans="1:1" x14ac:dyDescent="0.35">
      <c r="A898" s="2"/>
    </row>
    <row r="899" spans="1:1" x14ac:dyDescent="0.35">
      <c r="A899" s="2"/>
    </row>
    <row r="900" spans="1:1" x14ac:dyDescent="0.35">
      <c r="A900" s="2"/>
    </row>
    <row r="901" spans="1:1" x14ac:dyDescent="0.35">
      <c r="A901" s="2"/>
    </row>
    <row r="902" spans="1:1" x14ac:dyDescent="0.35">
      <c r="A902" s="2"/>
    </row>
    <row r="903" spans="1:1" x14ac:dyDescent="0.35">
      <c r="A903" s="2"/>
    </row>
    <row r="904" spans="1:1" x14ac:dyDescent="0.35">
      <c r="A904" s="2"/>
    </row>
    <row r="905" spans="1:1" x14ac:dyDescent="0.35">
      <c r="A905" s="2"/>
    </row>
    <row r="906" spans="1:1" x14ac:dyDescent="0.35">
      <c r="A906" s="2"/>
    </row>
    <row r="907" spans="1:1" x14ac:dyDescent="0.35">
      <c r="A907" s="2"/>
    </row>
    <row r="908" spans="1:1" x14ac:dyDescent="0.35">
      <c r="A908" s="2"/>
    </row>
    <row r="909" spans="1:1" x14ac:dyDescent="0.35">
      <c r="A909" s="2"/>
    </row>
    <row r="910" spans="1:1" x14ac:dyDescent="0.35">
      <c r="A910" s="2"/>
    </row>
    <row r="911" spans="1:1" x14ac:dyDescent="0.35">
      <c r="A911" s="2"/>
    </row>
    <row r="912" spans="1:1" x14ac:dyDescent="0.35">
      <c r="A912" s="2"/>
    </row>
    <row r="913" spans="1:1" x14ac:dyDescent="0.35">
      <c r="A913" s="2"/>
    </row>
    <row r="914" spans="1:1" x14ac:dyDescent="0.35">
      <c r="A914" s="2"/>
    </row>
    <row r="915" spans="1:1" x14ac:dyDescent="0.35">
      <c r="A915" s="2"/>
    </row>
    <row r="916" spans="1:1" x14ac:dyDescent="0.35">
      <c r="A916" s="2"/>
    </row>
    <row r="917" spans="1:1" x14ac:dyDescent="0.35">
      <c r="A917" s="2"/>
    </row>
    <row r="918" spans="1:1" x14ac:dyDescent="0.35">
      <c r="A918" s="2"/>
    </row>
    <row r="919" spans="1:1" x14ac:dyDescent="0.35">
      <c r="A919" s="2"/>
    </row>
    <row r="920" spans="1:1" x14ac:dyDescent="0.35">
      <c r="A920" s="2"/>
    </row>
    <row r="921" spans="1:1" x14ac:dyDescent="0.35">
      <c r="A921" s="2"/>
    </row>
    <row r="922" spans="1:1" x14ac:dyDescent="0.35">
      <c r="A922" s="2"/>
    </row>
    <row r="923" spans="1:1" x14ac:dyDescent="0.35">
      <c r="A923" s="2"/>
    </row>
    <row r="924" spans="1:1" x14ac:dyDescent="0.35">
      <c r="A924" s="2"/>
    </row>
    <row r="925" spans="1:1" x14ac:dyDescent="0.35">
      <c r="A925" s="2"/>
    </row>
    <row r="926" spans="1:1" x14ac:dyDescent="0.35">
      <c r="A926" s="2"/>
    </row>
    <row r="927" spans="1:1" x14ac:dyDescent="0.35">
      <c r="A927" s="2"/>
    </row>
    <row r="928" spans="1:1" x14ac:dyDescent="0.35">
      <c r="A928" s="2"/>
    </row>
    <row r="929" spans="1:1" x14ac:dyDescent="0.35">
      <c r="A929" s="2"/>
    </row>
    <row r="930" spans="1:1" x14ac:dyDescent="0.35">
      <c r="A930" s="2"/>
    </row>
    <row r="931" spans="1:1" x14ac:dyDescent="0.35">
      <c r="A931" s="2"/>
    </row>
    <row r="932" spans="1:1" x14ac:dyDescent="0.35">
      <c r="A932" s="2"/>
    </row>
    <row r="933" spans="1:1" x14ac:dyDescent="0.35">
      <c r="A933" s="2"/>
    </row>
    <row r="934" spans="1:1" x14ac:dyDescent="0.35">
      <c r="A934" s="2"/>
    </row>
    <row r="935" spans="1:1" x14ac:dyDescent="0.35">
      <c r="A935" s="2"/>
    </row>
    <row r="936" spans="1:1" x14ac:dyDescent="0.35">
      <c r="A936" s="2"/>
    </row>
    <row r="937" spans="1:1" x14ac:dyDescent="0.35">
      <c r="A937" s="2"/>
    </row>
    <row r="938" spans="1:1" x14ac:dyDescent="0.35">
      <c r="A938" s="2"/>
    </row>
    <row r="939" spans="1:1" x14ac:dyDescent="0.35">
      <c r="A939" s="2"/>
    </row>
    <row r="940" spans="1:1" x14ac:dyDescent="0.35">
      <c r="A940" s="2"/>
    </row>
    <row r="941" spans="1:1" x14ac:dyDescent="0.35">
      <c r="A941" s="2"/>
    </row>
    <row r="942" spans="1:1" x14ac:dyDescent="0.35">
      <c r="A942" s="2"/>
    </row>
    <row r="943" spans="1:1" x14ac:dyDescent="0.35">
      <c r="A943" s="2"/>
    </row>
    <row r="944" spans="1:1" x14ac:dyDescent="0.35">
      <c r="A944" s="2"/>
    </row>
    <row r="945" spans="1:1" x14ac:dyDescent="0.35">
      <c r="A945" s="2"/>
    </row>
    <row r="946" spans="1:1" x14ac:dyDescent="0.35">
      <c r="A946" s="2"/>
    </row>
    <row r="947" spans="1:1" x14ac:dyDescent="0.35">
      <c r="A947" s="2"/>
    </row>
    <row r="948" spans="1:1" x14ac:dyDescent="0.35">
      <c r="A948" s="2"/>
    </row>
    <row r="949" spans="1:1" x14ac:dyDescent="0.35">
      <c r="A949" s="2"/>
    </row>
    <row r="950" spans="1:1" x14ac:dyDescent="0.35">
      <c r="A950" s="2"/>
    </row>
    <row r="951" spans="1:1" x14ac:dyDescent="0.35">
      <c r="A951" s="2"/>
    </row>
    <row r="952" spans="1:1" x14ac:dyDescent="0.35">
      <c r="A952" s="2"/>
    </row>
    <row r="953" spans="1:1" x14ac:dyDescent="0.35">
      <c r="A953" s="2"/>
    </row>
    <row r="954" spans="1:1" x14ac:dyDescent="0.35">
      <c r="A954" s="2"/>
    </row>
    <row r="955" spans="1:1" x14ac:dyDescent="0.35">
      <c r="A955" s="2"/>
    </row>
    <row r="956" spans="1:1" x14ac:dyDescent="0.35">
      <c r="A956" s="2"/>
    </row>
    <row r="957" spans="1:1" x14ac:dyDescent="0.35">
      <c r="A957" s="2"/>
    </row>
    <row r="958" spans="1:1" x14ac:dyDescent="0.35">
      <c r="A958" s="2"/>
    </row>
    <row r="959" spans="1:1" x14ac:dyDescent="0.35">
      <c r="A959" s="2"/>
    </row>
    <row r="960" spans="1:1" x14ac:dyDescent="0.35">
      <c r="A960" s="2"/>
    </row>
    <row r="961" spans="1:1" x14ac:dyDescent="0.35">
      <c r="A961" s="2"/>
    </row>
    <row r="962" spans="1:1" x14ac:dyDescent="0.35">
      <c r="A962" s="2"/>
    </row>
    <row r="963" spans="1:1" x14ac:dyDescent="0.35">
      <c r="A963" s="2"/>
    </row>
    <row r="964" spans="1:1" x14ac:dyDescent="0.35">
      <c r="A964" s="2"/>
    </row>
    <row r="965" spans="1:1" x14ac:dyDescent="0.35">
      <c r="A965" s="2"/>
    </row>
    <row r="966" spans="1:1" x14ac:dyDescent="0.35">
      <c r="A966" s="2"/>
    </row>
    <row r="967" spans="1:1" x14ac:dyDescent="0.35">
      <c r="A967" s="2"/>
    </row>
    <row r="968" spans="1:1" x14ac:dyDescent="0.35">
      <c r="A968" s="2"/>
    </row>
    <row r="969" spans="1:1" x14ac:dyDescent="0.35">
      <c r="A969" s="2"/>
    </row>
    <row r="970" spans="1:1" x14ac:dyDescent="0.35">
      <c r="A970" s="2"/>
    </row>
    <row r="971" spans="1:1" x14ac:dyDescent="0.35">
      <c r="A971" s="2"/>
    </row>
    <row r="972" spans="1:1" x14ac:dyDescent="0.35">
      <c r="A972" s="2"/>
    </row>
    <row r="973" spans="1:1" x14ac:dyDescent="0.35">
      <c r="A973" s="2"/>
    </row>
    <row r="974" spans="1:1" x14ac:dyDescent="0.35">
      <c r="A974" s="2"/>
    </row>
    <row r="975" spans="1:1" x14ac:dyDescent="0.35">
      <c r="A975" s="2"/>
    </row>
    <row r="976" spans="1:1" x14ac:dyDescent="0.35">
      <c r="A976" s="2"/>
    </row>
    <row r="977" spans="1:1" x14ac:dyDescent="0.35">
      <c r="A977" s="2"/>
    </row>
    <row r="978" spans="1:1" x14ac:dyDescent="0.35">
      <c r="A978" s="2"/>
    </row>
    <row r="979" spans="1:1" x14ac:dyDescent="0.35">
      <c r="A979" s="2"/>
    </row>
    <row r="980" spans="1:1" x14ac:dyDescent="0.35">
      <c r="A980" s="2"/>
    </row>
    <row r="981" spans="1:1" x14ac:dyDescent="0.35">
      <c r="A981" s="2"/>
    </row>
    <row r="982" spans="1:1" x14ac:dyDescent="0.35">
      <c r="A982" s="2"/>
    </row>
    <row r="983" spans="1:1" x14ac:dyDescent="0.35">
      <c r="A983" s="2"/>
    </row>
    <row r="984" spans="1:1" x14ac:dyDescent="0.35">
      <c r="A984" s="2"/>
    </row>
    <row r="985" spans="1:1" x14ac:dyDescent="0.35">
      <c r="A985" s="2"/>
    </row>
    <row r="986" spans="1:1" x14ac:dyDescent="0.35">
      <c r="A986" s="2"/>
    </row>
    <row r="987" spans="1:1" x14ac:dyDescent="0.35">
      <c r="A987" s="2"/>
    </row>
    <row r="988" spans="1:1" x14ac:dyDescent="0.35">
      <c r="A988" s="2"/>
    </row>
    <row r="989" spans="1:1" x14ac:dyDescent="0.35">
      <c r="A989" s="2"/>
    </row>
    <row r="990" spans="1:1" x14ac:dyDescent="0.35">
      <c r="A990" s="2"/>
    </row>
    <row r="991" spans="1:1" x14ac:dyDescent="0.35">
      <c r="A991" s="2"/>
    </row>
    <row r="992" spans="1:1" x14ac:dyDescent="0.35">
      <c r="A992" s="2"/>
    </row>
    <row r="993" spans="1:1" x14ac:dyDescent="0.35">
      <c r="A993" s="2"/>
    </row>
    <row r="994" spans="1:1" x14ac:dyDescent="0.35">
      <c r="A994" s="2"/>
    </row>
    <row r="995" spans="1:1" x14ac:dyDescent="0.35">
      <c r="A995" s="2"/>
    </row>
    <row r="996" spans="1:1" x14ac:dyDescent="0.35">
      <c r="A996" s="2"/>
    </row>
    <row r="997" spans="1:1" x14ac:dyDescent="0.35">
      <c r="A997" s="2"/>
    </row>
    <row r="998" spans="1:1" x14ac:dyDescent="0.35">
      <c r="A998" s="2"/>
    </row>
    <row r="999" spans="1:1" x14ac:dyDescent="0.35">
      <c r="A999" s="2"/>
    </row>
    <row r="1000" spans="1:1" x14ac:dyDescent="0.35">
      <c r="A1000" s="2"/>
    </row>
    <row r="1001" spans="1:1" x14ac:dyDescent="0.35">
      <c r="A1001" s="2"/>
    </row>
    <row r="1002" spans="1:1" x14ac:dyDescent="0.35">
      <c r="A1002" s="2"/>
    </row>
    <row r="1003" spans="1:1" x14ac:dyDescent="0.35">
      <c r="A1003" s="2"/>
    </row>
    <row r="1004" spans="1:1" x14ac:dyDescent="0.35">
      <c r="A1004" s="2"/>
    </row>
    <row r="1005" spans="1:1" x14ac:dyDescent="0.35">
      <c r="A1005" s="2"/>
    </row>
    <row r="1006" spans="1:1" x14ac:dyDescent="0.35">
      <c r="A1006" s="2"/>
    </row>
    <row r="1007" spans="1:1" x14ac:dyDescent="0.35">
      <c r="A1007" s="2"/>
    </row>
    <row r="1008" spans="1:1" x14ac:dyDescent="0.35">
      <c r="A1008" s="2"/>
    </row>
    <row r="1009" spans="1:1" x14ac:dyDescent="0.35">
      <c r="A1009" s="2"/>
    </row>
    <row r="1010" spans="1:1" x14ac:dyDescent="0.35">
      <c r="A1010" s="2"/>
    </row>
    <row r="1011" spans="1:1" x14ac:dyDescent="0.35">
      <c r="A1011" s="2"/>
    </row>
    <row r="1012" spans="1:1" x14ac:dyDescent="0.35">
      <c r="A1012" s="2"/>
    </row>
    <row r="1013" spans="1:1" x14ac:dyDescent="0.35">
      <c r="A1013" s="2"/>
    </row>
    <row r="1014" spans="1:1" x14ac:dyDescent="0.35">
      <c r="A1014" s="2"/>
    </row>
    <row r="1015" spans="1:1" x14ac:dyDescent="0.35">
      <c r="A1015" s="2"/>
    </row>
    <row r="1016" spans="1:1" x14ac:dyDescent="0.35">
      <c r="A1016" s="2"/>
    </row>
    <row r="1017" spans="1:1" x14ac:dyDescent="0.35">
      <c r="A1017" s="2"/>
    </row>
    <row r="1018" spans="1:1" x14ac:dyDescent="0.35">
      <c r="A1018" s="2"/>
    </row>
    <row r="1019" spans="1:1" x14ac:dyDescent="0.35">
      <c r="A1019" s="2"/>
    </row>
    <row r="1020" spans="1:1" x14ac:dyDescent="0.35">
      <c r="A1020" s="2"/>
    </row>
    <row r="1021" spans="1:1" x14ac:dyDescent="0.35">
      <c r="A1021" s="2"/>
    </row>
    <row r="1022" spans="1:1" x14ac:dyDescent="0.35">
      <c r="A1022" s="2"/>
    </row>
    <row r="1023" spans="1:1" x14ac:dyDescent="0.35">
      <c r="A1023" s="2"/>
    </row>
    <row r="1024" spans="1:1" x14ac:dyDescent="0.35">
      <c r="A1024" s="2"/>
    </row>
    <row r="1025" spans="1:1" x14ac:dyDescent="0.35">
      <c r="A1025" s="2"/>
    </row>
    <row r="1026" spans="1:1" x14ac:dyDescent="0.35">
      <c r="A1026" s="2"/>
    </row>
    <row r="1027" spans="1:1" x14ac:dyDescent="0.35">
      <c r="A1027" s="2"/>
    </row>
    <row r="1028" spans="1:1" x14ac:dyDescent="0.35">
      <c r="A1028" s="2"/>
    </row>
    <row r="1029" spans="1:1" x14ac:dyDescent="0.35">
      <c r="A1029" s="2"/>
    </row>
    <row r="1030" spans="1:1" x14ac:dyDescent="0.35">
      <c r="A1030" s="2"/>
    </row>
    <row r="1031" spans="1:1" x14ac:dyDescent="0.35">
      <c r="A1031" s="2"/>
    </row>
    <row r="1032" spans="1:1" x14ac:dyDescent="0.35">
      <c r="A1032" s="2"/>
    </row>
    <row r="1033" spans="1:1" x14ac:dyDescent="0.35">
      <c r="A1033" s="2"/>
    </row>
    <row r="1034" spans="1:1" x14ac:dyDescent="0.35">
      <c r="A1034" s="2"/>
    </row>
    <row r="1035" spans="1:1" x14ac:dyDescent="0.35">
      <c r="A1035" s="2"/>
    </row>
    <row r="1036" spans="1:1" x14ac:dyDescent="0.35">
      <c r="A1036" s="2"/>
    </row>
    <row r="1037" spans="1:1" x14ac:dyDescent="0.35">
      <c r="A1037" s="2"/>
    </row>
    <row r="1038" spans="1:1" x14ac:dyDescent="0.35">
      <c r="A1038" s="2"/>
    </row>
    <row r="1039" spans="1:1" x14ac:dyDescent="0.35">
      <c r="A1039" s="2"/>
    </row>
    <row r="1040" spans="1:1" x14ac:dyDescent="0.35">
      <c r="A1040" s="2"/>
    </row>
    <row r="1041" spans="1:1" x14ac:dyDescent="0.35">
      <c r="A1041" s="2"/>
    </row>
    <row r="1042" spans="1:1" x14ac:dyDescent="0.35">
      <c r="A1042" s="2"/>
    </row>
    <row r="1043" spans="1:1" x14ac:dyDescent="0.35">
      <c r="A1043" s="2"/>
    </row>
    <row r="1044" spans="1:1" x14ac:dyDescent="0.35">
      <c r="A1044" s="2"/>
    </row>
    <row r="1045" spans="1:1" x14ac:dyDescent="0.35">
      <c r="A1045" s="2"/>
    </row>
    <row r="1046" spans="1:1" x14ac:dyDescent="0.35">
      <c r="A1046" s="2"/>
    </row>
    <row r="1047" spans="1:1" x14ac:dyDescent="0.35">
      <c r="A1047" s="2"/>
    </row>
    <row r="1048" spans="1:1" x14ac:dyDescent="0.35">
      <c r="A1048" s="2"/>
    </row>
    <row r="1049" spans="1:1" x14ac:dyDescent="0.35">
      <c r="A1049" s="2"/>
    </row>
    <row r="1050" spans="1:1" x14ac:dyDescent="0.35">
      <c r="A1050" s="2"/>
    </row>
    <row r="1051" spans="1:1" x14ac:dyDescent="0.35">
      <c r="A1051" s="2"/>
    </row>
    <row r="1052" spans="1:1" x14ac:dyDescent="0.35">
      <c r="A1052" s="2"/>
    </row>
    <row r="1053" spans="1:1" x14ac:dyDescent="0.35">
      <c r="A1053" s="2"/>
    </row>
    <row r="1054" spans="1:1" x14ac:dyDescent="0.35">
      <c r="A1054" s="2"/>
    </row>
    <row r="1055" spans="1:1" x14ac:dyDescent="0.35">
      <c r="A1055" s="2"/>
    </row>
    <row r="1056" spans="1:1" x14ac:dyDescent="0.35">
      <c r="A1056" s="2"/>
    </row>
    <row r="1057" spans="1:1" x14ac:dyDescent="0.35">
      <c r="A1057" s="2"/>
    </row>
    <row r="1058" spans="1:1" x14ac:dyDescent="0.35">
      <c r="A1058" s="2"/>
    </row>
    <row r="1059" spans="1:1" x14ac:dyDescent="0.35">
      <c r="A1059" s="2"/>
    </row>
    <row r="1060" spans="1:1" x14ac:dyDescent="0.35">
      <c r="A1060" s="2"/>
    </row>
    <row r="1061" spans="1:1" x14ac:dyDescent="0.35">
      <c r="A1061" s="2"/>
    </row>
    <row r="1062" spans="1:1" x14ac:dyDescent="0.35">
      <c r="A1062" s="2"/>
    </row>
    <row r="1063" spans="1:1" x14ac:dyDescent="0.35">
      <c r="A1063" s="2"/>
    </row>
    <row r="1064" spans="1:1" x14ac:dyDescent="0.35">
      <c r="A1064" s="2"/>
    </row>
    <row r="1065" spans="1:1" x14ac:dyDescent="0.35">
      <c r="A1065" s="2"/>
    </row>
    <row r="1066" spans="1:1" x14ac:dyDescent="0.35">
      <c r="A1066" s="2"/>
    </row>
    <row r="1067" spans="1:1" x14ac:dyDescent="0.35">
      <c r="A1067" s="2"/>
    </row>
    <row r="1068" spans="1:1" x14ac:dyDescent="0.35">
      <c r="A1068" s="2"/>
    </row>
    <row r="1069" spans="1:1" x14ac:dyDescent="0.35">
      <c r="A1069" s="2"/>
    </row>
    <row r="1070" spans="1:1" x14ac:dyDescent="0.35">
      <c r="A1070" s="2"/>
    </row>
    <row r="1071" spans="1:1" x14ac:dyDescent="0.35">
      <c r="A1071" s="2"/>
    </row>
    <row r="1072" spans="1:1" x14ac:dyDescent="0.35">
      <c r="A1072" s="2"/>
    </row>
    <row r="1073" spans="1:1" x14ac:dyDescent="0.35">
      <c r="A1073" s="2"/>
    </row>
    <row r="1074" spans="1:1" x14ac:dyDescent="0.35">
      <c r="A1074" s="2"/>
    </row>
    <row r="1075" spans="1:1" x14ac:dyDescent="0.35">
      <c r="A1075" s="2"/>
    </row>
    <row r="1076" spans="1:1" x14ac:dyDescent="0.35">
      <c r="A1076" s="2"/>
    </row>
    <row r="1077" spans="1:1" x14ac:dyDescent="0.35">
      <c r="A1077" s="2"/>
    </row>
    <row r="1078" spans="1:1" x14ac:dyDescent="0.35">
      <c r="A1078" s="2"/>
    </row>
    <row r="1079" spans="1:1" x14ac:dyDescent="0.35">
      <c r="A1079" s="2"/>
    </row>
    <row r="1080" spans="1:1" x14ac:dyDescent="0.35">
      <c r="A1080" s="2"/>
    </row>
    <row r="1081" spans="1:1" x14ac:dyDescent="0.35">
      <c r="A1081" s="2"/>
    </row>
    <row r="1082" spans="1:1" x14ac:dyDescent="0.35">
      <c r="A1082" s="2"/>
    </row>
    <row r="1083" spans="1:1" x14ac:dyDescent="0.35">
      <c r="A1083" s="2"/>
    </row>
    <row r="1084" spans="1:1" x14ac:dyDescent="0.35">
      <c r="A1084" s="2"/>
    </row>
    <row r="1085" spans="1:1" x14ac:dyDescent="0.35">
      <c r="A1085" s="2"/>
    </row>
    <row r="1086" spans="1:1" x14ac:dyDescent="0.35">
      <c r="A1086" s="2"/>
    </row>
  </sheetData>
  <phoneticPr fontId="6" type="noConversion"/>
  <conditionalFormatting sqref="E2:F558 I2:I558 K2:K558">
    <cfRule type="expression" dxfId="6" priority="6">
      <formula>ABS(#REF!-#REF!)&gt;2</formula>
    </cfRule>
  </conditionalFormatting>
  <conditionalFormatting sqref="C2:C558">
    <cfRule type="expression" dxfId="5" priority="13">
      <formula>ABS(#REF!-#REF!)&gt;2</formula>
    </cfRule>
  </conditionalFormatting>
  <conditionalFormatting sqref="B2:CI1086">
    <cfRule type="expression" dxfId="4" priority="17">
      <formula>ABS(B2 - INDEX($1:$998, ROW(), MATCH(B$1 &amp; " SP*", $1:$1, 0))) &gt; 2</formula>
    </cfRule>
    <cfRule type="expression" dxfId="3" priority="18">
      <formula>ABS(#REF!-#REF!)&gt;2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3725-43CD-46D8-867F-F2744C95AD84}">
  <dimension ref="A1:CI2"/>
  <sheetViews>
    <sheetView topLeftCell="BL1" workbookViewId="0">
      <selection activeCell="BR1" sqref="BR1"/>
    </sheetView>
  </sheetViews>
  <sheetFormatPr defaultRowHeight="14.5" x14ac:dyDescent="0.35"/>
  <cols>
    <col min="1" max="87" width="9.6328125" customWidth="1"/>
  </cols>
  <sheetData>
    <row r="1" spans="1:87" x14ac:dyDescent="0.35">
      <c r="A1" t="s">
        <v>0</v>
      </c>
      <c r="B1" t="s">
        <v>1</v>
      </c>
      <c r="C1" t="s">
        <v>2</v>
      </c>
      <c r="D1" s="19" t="s">
        <v>3</v>
      </c>
      <c r="E1" t="s">
        <v>4</v>
      </c>
      <c r="F1" t="s">
        <v>5</v>
      </c>
      <c r="G1" s="19" t="s">
        <v>6</v>
      </c>
      <c r="H1" t="s">
        <v>7</v>
      </c>
      <c r="I1" t="s">
        <v>8</v>
      </c>
      <c r="J1" s="19" t="s">
        <v>9</v>
      </c>
      <c r="K1" t="s">
        <v>10</v>
      </c>
      <c r="L1" t="s">
        <v>11</v>
      </c>
      <c r="M1" s="19" t="s">
        <v>297</v>
      </c>
      <c r="N1" t="s">
        <v>13</v>
      </c>
      <c r="O1" t="s">
        <v>14</v>
      </c>
      <c r="P1" s="19" t="s">
        <v>15</v>
      </c>
      <c r="Q1" t="s">
        <v>16</v>
      </c>
      <c r="R1" t="s">
        <v>17</v>
      </c>
      <c r="S1" s="19" t="s">
        <v>18</v>
      </c>
      <c r="T1" t="s">
        <v>19</v>
      </c>
      <c r="U1" t="s">
        <v>20</v>
      </c>
      <c r="V1" s="19" t="s">
        <v>21</v>
      </c>
      <c r="W1" t="s">
        <v>22</v>
      </c>
      <c r="X1" t="s">
        <v>23</v>
      </c>
      <c r="Y1" s="19" t="s">
        <v>24</v>
      </c>
      <c r="Z1" t="s">
        <v>25</v>
      </c>
      <c r="AA1" t="s">
        <v>26</v>
      </c>
      <c r="AB1" s="19" t="s">
        <v>27</v>
      </c>
      <c r="AC1" t="s">
        <v>28</v>
      </c>
      <c r="AD1" t="s">
        <v>29</v>
      </c>
      <c r="AE1" s="19" t="s">
        <v>30</v>
      </c>
      <c r="AF1" t="s">
        <v>31</v>
      </c>
      <c r="AG1" t="s">
        <v>32</v>
      </c>
      <c r="AH1" s="19" t="s">
        <v>33</v>
      </c>
      <c r="AI1" t="s">
        <v>34</v>
      </c>
      <c r="AJ1" t="s">
        <v>35</v>
      </c>
      <c r="AK1" s="19" t="s">
        <v>36</v>
      </c>
      <c r="AL1" t="s">
        <v>37</v>
      </c>
      <c r="AM1" s="19" t="s">
        <v>38</v>
      </c>
      <c r="AN1" t="s">
        <v>39</v>
      </c>
      <c r="AO1" s="19" t="s">
        <v>40</v>
      </c>
      <c r="AP1" t="s">
        <v>41</v>
      </c>
      <c r="AQ1" s="19" t="s">
        <v>42</v>
      </c>
      <c r="AR1" t="s">
        <v>43</v>
      </c>
      <c r="AS1" s="19" t="s">
        <v>44</v>
      </c>
      <c r="AT1" t="s">
        <v>45</v>
      </c>
      <c r="AU1" t="s">
        <v>46</v>
      </c>
      <c r="AV1" s="19" t="s">
        <v>47</v>
      </c>
      <c r="AW1" t="s">
        <v>48</v>
      </c>
      <c r="AX1" t="s">
        <v>49</v>
      </c>
      <c r="AY1" s="19" t="s">
        <v>50</v>
      </c>
      <c r="AZ1" t="s">
        <v>51</v>
      </c>
      <c r="BA1" s="19" t="s">
        <v>52</v>
      </c>
      <c r="BB1" t="s">
        <v>53</v>
      </c>
      <c r="BC1" s="19" t="s">
        <v>54</v>
      </c>
      <c r="BD1" t="s">
        <v>55</v>
      </c>
      <c r="BE1" s="19" t="s">
        <v>56</v>
      </c>
      <c r="BF1" t="s">
        <v>57</v>
      </c>
      <c r="BG1" s="19" t="s">
        <v>58</v>
      </c>
      <c r="BH1" t="s">
        <v>59</v>
      </c>
      <c r="BI1" s="19" t="s">
        <v>60</v>
      </c>
      <c r="BJ1" t="s">
        <v>61</v>
      </c>
      <c r="BK1" s="19" t="s">
        <v>62</v>
      </c>
      <c r="BL1" t="s">
        <v>63</v>
      </c>
      <c r="BM1" s="19" t="s">
        <v>64</v>
      </c>
      <c r="BN1" t="s">
        <v>65</v>
      </c>
      <c r="BO1" s="19" t="s">
        <v>66</v>
      </c>
      <c r="BP1" t="s">
        <v>67</v>
      </c>
      <c r="BQ1" s="19" t="s">
        <v>68</v>
      </c>
      <c r="BR1" t="s">
        <v>341</v>
      </c>
      <c r="BS1" s="19" t="s">
        <v>343</v>
      </c>
      <c r="BT1" t="s">
        <v>69</v>
      </c>
      <c r="BU1" s="19" t="s">
        <v>70</v>
      </c>
      <c r="BV1" t="s">
        <v>71</v>
      </c>
      <c r="BW1" s="19" t="s">
        <v>72</v>
      </c>
      <c r="BX1" t="s">
        <v>73</v>
      </c>
      <c r="BY1" s="19" t="s">
        <v>74</v>
      </c>
      <c r="BZ1" t="s">
        <v>75</v>
      </c>
      <c r="CA1" s="19" t="s">
        <v>76</v>
      </c>
      <c r="CB1" t="s">
        <v>77</v>
      </c>
      <c r="CC1" s="19" t="s">
        <v>78</v>
      </c>
      <c r="CD1" t="s">
        <v>79</v>
      </c>
      <c r="CE1" s="19" t="s">
        <v>80</v>
      </c>
      <c r="CF1" t="s">
        <v>81</v>
      </c>
      <c r="CG1" s="19" t="s">
        <v>82</v>
      </c>
      <c r="CH1" t="s">
        <v>83</v>
      </c>
      <c r="CI1" s="19" t="s">
        <v>84</v>
      </c>
    </row>
    <row r="2" spans="1:87" s="20" customFormat="1" x14ac:dyDescent="0.35">
      <c r="A2" s="20" t="s">
        <v>301</v>
      </c>
      <c r="B2" s="20">
        <v>-20</v>
      </c>
      <c r="C2" s="20">
        <v>-20</v>
      </c>
      <c r="D2" s="20">
        <v>-20</v>
      </c>
      <c r="E2" s="20">
        <v>-20</v>
      </c>
      <c r="F2" s="20">
        <v>-20</v>
      </c>
      <c r="G2" s="20">
        <v>-20</v>
      </c>
      <c r="H2" s="20">
        <v>-20</v>
      </c>
      <c r="I2" s="20">
        <v>-20</v>
      </c>
      <c r="J2" s="20">
        <v>-20</v>
      </c>
      <c r="K2" s="20">
        <v>-20</v>
      </c>
      <c r="L2" s="20">
        <v>-20</v>
      </c>
      <c r="M2" s="20">
        <v>-20</v>
      </c>
      <c r="N2" s="20">
        <v>-20</v>
      </c>
      <c r="O2" s="20">
        <v>-20</v>
      </c>
      <c r="P2" s="20">
        <v>-20</v>
      </c>
      <c r="Q2" s="20">
        <v>-20</v>
      </c>
      <c r="R2" s="20">
        <v>-20</v>
      </c>
      <c r="S2" s="20">
        <v>-20</v>
      </c>
      <c r="T2" s="20">
        <v>3</v>
      </c>
      <c r="U2" s="20">
        <v>3</v>
      </c>
      <c r="V2" s="20">
        <v>3</v>
      </c>
      <c r="W2" s="20">
        <v>3</v>
      </c>
      <c r="X2" s="20">
        <v>3</v>
      </c>
      <c r="Y2" s="20">
        <v>3</v>
      </c>
      <c r="Z2" s="20">
        <v>3</v>
      </c>
      <c r="AA2" s="20">
        <v>3</v>
      </c>
      <c r="AB2" s="20">
        <v>3</v>
      </c>
      <c r="AC2" s="20">
        <v>3</v>
      </c>
      <c r="AD2" s="20">
        <v>3</v>
      </c>
      <c r="AE2" s="20">
        <v>3</v>
      </c>
      <c r="AF2" s="20">
        <v>3</v>
      </c>
      <c r="AG2" s="20">
        <v>3</v>
      </c>
      <c r="AH2" s="20">
        <v>3</v>
      </c>
      <c r="AI2" s="20">
        <v>3</v>
      </c>
      <c r="AJ2" s="20">
        <v>3</v>
      </c>
      <c r="AK2" s="20">
        <v>3</v>
      </c>
      <c r="AL2" s="20">
        <v>4</v>
      </c>
      <c r="AM2" s="20">
        <v>4</v>
      </c>
      <c r="AN2" s="20">
        <v>4</v>
      </c>
      <c r="AO2" s="20">
        <v>4</v>
      </c>
      <c r="AP2" s="20">
        <v>4</v>
      </c>
      <c r="AQ2" s="20">
        <v>4</v>
      </c>
      <c r="AR2" s="20">
        <v>4</v>
      </c>
      <c r="AS2" s="20">
        <v>4</v>
      </c>
      <c r="AT2" s="21">
        <v>4</v>
      </c>
      <c r="AU2" s="21">
        <v>4</v>
      </c>
      <c r="AV2" s="21">
        <v>4</v>
      </c>
      <c r="AW2" s="21">
        <v>4</v>
      </c>
      <c r="AX2" s="21">
        <v>4</v>
      </c>
      <c r="AY2" s="21">
        <v>4</v>
      </c>
      <c r="AZ2" s="21">
        <v>4</v>
      </c>
      <c r="BA2" s="20">
        <v>4</v>
      </c>
      <c r="BB2" s="20">
        <v>10</v>
      </c>
      <c r="BC2" s="20">
        <v>10</v>
      </c>
      <c r="BD2" s="20">
        <v>10</v>
      </c>
      <c r="BE2" s="20">
        <v>10</v>
      </c>
      <c r="BF2" s="20">
        <v>10</v>
      </c>
      <c r="BG2" s="20">
        <v>10</v>
      </c>
      <c r="BH2" s="20">
        <v>10</v>
      </c>
      <c r="BI2" s="20">
        <v>10</v>
      </c>
      <c r="BJ2" s="20">
        <v>10</v>
      </c>
      <c r="BK2" s="20">
        <v>10</v>
      </c>
      <c r="BL2" s="20">
        <v>25</v>
      </c>
      <c r="BM2" s="20">
        <v>25</v>
      </c>
      <c r="BN2" s="20">
        <v>25</v>
      </c>
      <c r="BO2" s="20">
        <v>25</v>
      </c>
      <c r="BP2" s="20">
        <v>20</v>
      </c>
      <c r="BQ2" s="20">
        <v>20</v>
      </c>
      <c r="BR2" s="20">
        <v>25</v>
      </c>
      <c r="BS2" s="20">
        <v>25</v>
      </c>
      <c r="BT2" s="20">
        <v>25</v>
      </c>
      <c r="BU2" s="20">
        <v>25</v>
      </c>
      <c r="CB2" s="20">
        <v>10</v>
      </c>
      <c r="CC2" s="20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FA3B-CD9F-4966-9A47-7993BBE56D2A}">
  <dimension ref="A1:CI1093"/>
  <sheetViews>
    <sheetView zoomScale="55" zoomScaleNormal="55" workbookViewId="0">
      <selection activeCell="A2" sqref="A2:BG771"/>
    </sheetView>
  </sheetViews>
  <sheetFormatPr defaultRowHeight="14.5" x14ac:dyDescent="0.35"/>
  <cols>
    <col min="2" max="59" width="8.6328125" customWidth="1"/>
  </cols>
  <sheetData>
    <row r="1" spans="1:87" x14ac:dyDescent="0.35">
      <c r="A1" t="s">
        <v>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  <c r="AC1" t="s">
        <v>112</v>
      </c>
      <c r="AD1" t="s">
        <v>340</v>
      </c>
      <c r="AE1" t="s">
        <v>344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118</v>
      </c>
      <c r="AL1" t="s">
        <v>119</v>
      </c>
      <c r="AM1" t="s">
        <v>120</v>
      </c>
      <c r="AN1" t="s">
        <v>121</v>
      </c>
      <c r="AO1" t="s">
        <v>122</v>
      </c>
      <c r="AP1" t="s">
        <v>123</v>
      </c>
      <c r="AQ1" t="s">
        <v>124</v>
      </c>
      <c r="AR1" t="s">
        <v>125</v>
      </c>
      <c r="AS1" t="s">
        <v>126</v>
      </c>
      <c r="AT1" t="s">
        <v>127</v>
      </c>
      <c r="AU1" t="s">
        <v>128</v>
      </c>
      <c r="AV1" t="s">
        <v>129</v>
      </c>
      <c r="AW1" t="s">
        <v>130</v>
      </c>
      <c r="AX1" t="s">
        <v>131</v>
      </c>
      <c r="AY1" t="s">
        <v>132</v>
      </c>
      <c r="AZ1" t="s">
        <v>133</v>
      </c>
      <c r="BA1" t="s">
        <v>134</v>
      </c>
      <c r="BB1" t="s">
        <v>135</v>
      </c>
      <c r="BC1" t="s">
        <v>136</v>
      </c>
      <c r="BD1" t="s">
        <v>137</v>
      </c>
      <c r="BE1" t="s">
        <v>138</v>
      </c>
      <c r="BF1" t="s">
        <v>139</v>
      </c>
      <c r="BG1" t="s">
        <v>140</v>
      </c>
      <c r="BH1" t="s">
        <v>268</v>
      </c>
      <c r="BI1" t="s">
        <v>269</v>
      </c>
      <c r="BJ1" t="s">
        <v>270</v>
      </c>
      <c r="BK1" t="s">
        <v>271</v>
      </c>
      <c r="BL1" t="s">
        <v>272</v>
      </c>
      <c r="BM1" t="s">
        <v>273</v>
      </c>
      <c r="BN1" t="s">
        <v>274</v>
      </c>
      <c r="BO1" t="s">
        <v>275</v>
      </c>
      <c r="BP1" t="s">
        <v>276</v>
      </c>
      <c r="BQ1" t="s">
        <v>277</v>
      </c>
      <c r="BR1" t="s">
        <v>278</v>
      </c>
      <c r="BS1" t="s">
        <v>279</v>
      </c>
      <c r="BT1" t="s">
        <v>280</v>
      </c>
      <c r="BU1" t="s">
        <v>281</v>
      </c>
      <c r="BV1" t="s">
        <v>282</v>
      </c>
      <c r="BW1" t="s">
        <v>283</v>
      </c>
      <c r="BX1" t="s">
        <v>284</v>
      </c>
      <c r="BY1" t="s">
        <v>285</v>
      </c>
      <c r="BZ1" t="s">
        <v>286</v>
      </c>
      <c r="CA1" t="s">
        <v>287</v>
      </c>
      <c r="CB1" t="s">
        <v>288</v>
      </c>
      <c r="CC1" t="s">
        <v>289</v>
      </c>
      <c r="CD1" t="s">
        <v>290</v>
      </c>
      <c r="CE1" t="s">
        <v>291</v>
      </c>
      <c r="CF1" t="s">
        <v>292</v>
      </c>
      <c r="CG1" t="s">
        <v>293</v>
      </c>
      <c r="CH1" t="s">
        <v>294</v>
      </c>
      <c r="CI1" t="s">
        <v>295</v>
      </c>
    </row>
    <row r="2" spans="1:87" x14ac:dyDescent="0.35">
      <c r="A2" s="36">
        <v>46059.011111111111</v>
      </c>
      <c r="B2" s="35">
        <v>3.6</v>
      </c>
      <c r="C2" s="35">
        <v>2</v>
      </c>
      <c r="D2" s="35">
        <v>3.4</v>
      </c>
      <c r="E2" s="35">
        <v>2.2000000000000002</v>
      </c>
      <c r="F2" s="35">
        <v>2.8</v>
      </c>
      <c r="G2" s="35">
        <v>2</v>
      </c>
      <c r="H2" s="35">
        <v>3.3</v>
      </c>
      <c r="I2" s="35">
        <v>2</v>
      </c>
      <c r="J2" s="35">
        <v>3.2</v>
      </c>
      <c r="K2" s="35">
        <v>2</v>
      </c>
      <c r="L2" s="35">
        <v>3</v>
      </c>
      <c r="M2" s="35">
        <v>2</v>
      </c>
      <c r="N2" s="35">
        <v>2.5</v>
      </c>
      <c r="O2" s="35">
        <v>3</v>
      </c>
      <c r="P2" s="35">
        <v>3.4</v>
      </c>
      <c r="Q2" s="35">
        <v>2</v>
      </c>
      <c r="R2" s="35">
        <v>3.6</v>
      </c>
      <c r="S2" s="35">
        <v>2</v>
      </c>
      <c r="T2" s="35">
        <v>3.3</v>
      </c>
      <c r="U2" s="35">
        <v>2</v>
      </c>
      <c r="V2" s="35">
        <v>9.9</v>
      </c>
      <c r="W2" s="35">
        <v>9</v>
      </c>
      <c r="X2" s="35">
        <v>10.199999999999999</v>
      </c>
      <c r="Y2" s="35">
        <v>9</v>
      </c>
      <c r="Z2" s="35">
        <v>9.8000000000000007</v>
      </c>
      <c r="AA2" s="35">
        <v>9</v>
      </c>
      <c r="AB2" s="35">
        <v>10.199999999999999</v>
      </c>
      <c r="AC2" s="35">
        <v>9</v>
      </c>
      <c r="AD2" s="35">
        <v>20.7</v>
      </c>
      <c r="AE2" s="35">
        <v>19</v>
      </c>
      <c r="AF2" s="35">
        <v>20.9</v>
      </c>
      <c r="AG2" s="35">
        <v>19</v>
      </c>
      <c r="AH2" s="35">
        <v>20.5</v>
      </c>
      <c r="AI2" s="35">
        <v>19</v>
      </c>
      <c r="AJ2" s="35">
        <v>19.3</v>
      </c>
      <c r="AK2" s="35">
        <v>19</v>
      </c>
      <c r="AL2" s="35">
        <v>19</v>
      </c>
      <c r="AM2" s="35">
        <v>19</v>
      </c>
      <c r="AN2" s="35">
        <v>19.600000000000001</v>
      </c>
      <c r="AO2" s="35">
        <v>19</v>
      </c>
      <c r="AP2" s="35">
        <v>19.899999999999999</v>
      </c>
      <c r="AQ2" s="35">
        <v>19</v>
      </c>
      <c r="AR2" s="35">
        <v>20.9</v>
      </c>
      <c r="AS2" s="35">
        <v>19</v>
      </c>
      <c r="AT2" s="35">
        <v>21</v>
      </c>
      <c r="AU2" s="35">
        <v>19</v>
      </c>
      <c r="AV2" s="35">
        <v>20.100000000000001</v>
      </c>
      <c r="AW2" s="35">
        <v>19</v>
      </c>
      <c r="AX2" s="35">
        <v>20.399999999999999</v>
      </c>
      <c r="AY2" s="35">
        <v>20</v>
      </c>
      <c r="AZ2" s="35">
        <v>20.7</v>
      </c>
      <c r="BA2" s="35">
        <v>20</v>
      </c>
      <c r="BB2" s="35">
        <v>28.4</v>
      </c>
      <c r="BC2" s="35">
        <v>40</v>
      </c>
      <c r="BD2" s="35">
        <v>29</v>
      </c>
      <c r="BE2" s="35">
        <v>40</v>
      </c>
      <c r="BF2" s="35">
        <v>20.5</v>
      </c>
      <c r="BG2" s="35">
        <v>20</v>
      </c>
    </row>
    <row r="3" spans="1:87" x14ac:dyDescent="0.35">
      <c r="A3" s="36">
        <v>46059.011805555558</v>
      </c>
      <c r="B3" s="35">
        <v>3.3</v>
      </c>
      <c r="C3" s="35">
        <v>2</v>
      </c>
      <c r="D3" s="35">
        <v>3.4</v>
      </c>
      <c r="E3" s="35">
        <v>2.2000000000000002</v>
      </c>
      <c r="F3" s="35">
        <v>3</v>
      </c>
      <c r="G3" s="35">
        <v>2</v>
      </c>
      <c r="H3" s="35">
        <v>3.6</v>
      </c>
      <c r="I3" s="35">
        <v>2</v>
      </c>
      <c r="J3" s="35">
        <v>3.4</v>
      </c>
      <c r="K3" s="35">
        <v>2</v>
      </c>
      <c r="L3" s="35">
        <v>3.3</v>
      </c>
      <c r="M3" s="35">
        <v>2</v>
      </c>
      <c r="N3" s="35">
        <v>2.8</v>
      </c>
      <c r="O3" s="35">
        <v>3</v>
      </c>
      <c r="P3" s="35">
        <v>3.7</v>
      </c>
      <c r="Q3" s="35">
        <v>2</v>
      </c>
      <c r="R3" s="35">
        <v>3.7</v>
      </c>
      <c r="S3" s="35">
        <v>2</v>
      </c>
      <c r="T3" s="35">
        <v>3.4</v>
      </c>
      <c r="U3" s="35">
        <v>2</v>
      </c>
      <c r="V3" s="35">
        <v>7.7</v>
      </c>
      <c r="W3" s="35">
        <v>9</v>
      </c>
      <c r="X3" s="35">
        <v>10.199999999999999</v>
      </c>
      <c r="Y3" s="35">
        <v>9</v>
      </c>
      <c r="Z3" s="35">
        <v>9.9</v>
      </c>
      <c r="AA3" s="35">
        <v>9</v>
      </c>
      <c r="AB3" s="35">
        <v>10.4</v>
      </c>
      <c r="AC3" s="35">
        <v>9</v>
      </c>
      <c r="AD3" s="35">
        <v>20.8</v>
      </c>
      <c r="AE3" s="35">
        <v>19</v>
      </c>
      <c r="AF3" s="35">
        <v>20.9</v>
      </c>
      <c r="AG3" s="35">
        <v>19</v>
      </c>
      <c r="AH3" s="35">
        <v>20.6</v>
      </c>
      <c r="AI3" s="35">
        <v>19</v>
      </c>
      <c r="AJ3" s="35">
        <v>19.399999999999999</v>
      </c>
      <c r="AK3" s="35">
        <v>19</v>
      </c>
      <c r="AL3" s="35">
        <v>19.100000000000001</v>
      </c>
      <c r="AM3" s="35">
        <v>19</v>
      </c>
      <c r="AN3" s="35">
        <v>19.8</v>
      </c>
      <c r="AO3" s="35">
        <v>19</v>
      </c>
      <c r="AP3" s="35">
        <v>19.899999999999999</v>
      </c>
      <c r="AQ3" s="35">
        <v>19</v>
      </c>
      <c r="AR3" s="35">
        <v>20.9</v>
      </c>
      <c r="AS3" s="35">
        <v>19</v>
      </c>
      <c r="AT3" s="35">
        <v>20.5</v>
      </c>
      <c r="AU3" s="35">
        <v>19</v>
      </c>
      <c r="AV3" s="35">
        <v>20.2</v>
      </c>
      <c r="AW3" s="35">
        <v>19</v>
      </c>
      <c r="AX3" s="35">
        <v>20.399999999999999</v>
      </c>
      <c r="AY3" s="35">
        <v>20</v>
      </c>
      <c r="AZ3" s="35">
        <v>20.7</v>
      </c>
      <c r="BA3" s="35">
        <v>20</v>
      </c>
      <c r="BB3" s="35">
        <v>28.4</v>
      </c>
      <c r="BC3" s="35">
        <v>40</v>
      </c>
      <c r="BD3" s="35">
        <v>29</v>
      </c>
      <c r="BE3" s="35">
        <v>40</v>
      </c>
      <c r="BF3" s="35">
        <v>20.9</v>
      </c>
      <c r="BG3" s="35">
        <v>20</v>
      </c>
    </row>
    <row r="4" spans="1:87" x14ac:dyDescent="0.35">
      <c r="A4" s="36">
        <v>46059.438888888886</v>
      </c>
      <c r="B4" s="35">
        <v>4</v>
      </c>
      <c r="C4" s="35">
        <v>2</v>
      </c>
      <c r="D4" s="35">
        <v>4.0999999999999996</v>
      </c>
      <c r="E4" s="35">
        <v>2.2000000000000002</v>
      </c>
      <c r="F4" s="35">
        <v>3.5</v>
      </c>
      <c r="G4" s="35">
        <v>2</v>
      </c>
      <c r="H4" s="35">
        <v>4</v>
      </c>
      <c r="I4" s="35">
        <v>2</v>
      </c>
      <c r="J4" s="35">
        <v>3.4</v>
      </c>
      <c r="K4" s="35">
        <v>2</v>
      </c>
      <c r="L4" s="35">
        <v>3.3</v>
      </c>
      <c r="M4" s="35">
        <v>2</v>
      </c>
      <c r="N4" s="35">
        <v>3.7</v>
      </c>
      <c r="O4" s="35">
        <v>3</v>
      </c>
      <c r="P4" s="35">
        <v>3.8</v>
      </c>
      <c r="Q4" s="35">
        <v>2</v>
      </c>
      <c r="R4" s="35">
        <v>3.1</v>
      </c>
      <c r="S4" s="35">
        <v>2</v>
      </c>
      <c r="T4" s="35">
        <v>2.8</v>
      </c>
      <c r="U4" s="35">
        <v>2</v>
      </c>
      <c r="V4" s="35">
        <v>11</v>
      </c>
      <c r="W4" s="35">
        <v>9</v>
      </c>
      <c r="X4" s="35">
        <v>10.8</v>
      </c>
      <c r="Y4" s="35">
        <v>9</v>
      </c>
      <c r="Z4" s="35">
        <v>9.9</v>
      </c>
      <c r="AA4" s="35">
        <v>9</v>
      </c>
      <c r="AB4" s="35">
        <v>8.5</v>
      </c>
      <c r="AC4" s="35">
        <v>9</v>
      </c>
      <c r="AD4" s="35">
        <v>20.8</v>
      </c>
      <c r="AE4" s="35">
        <v>19</v>
      </c>
      <c r="AF4" s="35">
        <v>19.899999999999999</v>
      </c>
      <c r="AG4" s="35">
        <v>19</v>
      </c>
      <c r="AH4" s="35">
        <v>20.5</v>
      </c>
      <c r="AI4" s="35">
        <v>19</v>
      </c>
      <c r="AJ4" s="35">
        <v>20.8</v>
      </c>
      <c r="AK4" s="35">
        <v>19</v>
      </c>
      <c r="AL4" s="35">
        <v>21</v>
      </c>
      <c r="AM4" s="35">
        <v>19</v>
      </c>
      <c r="AN4" s="35">
        <v>20.3</v>
      </c>
      <c r="AO4" s="35">
        <v>19</v>
      </c>
      <c r="AP4" s="35">
        <v>20.5</v>
      </c>
      <c r="AQ4" s="35">
        <v>19</v>
      </c>
      <c r="AR4" s="35">
        <v>20.399999999999999</v>
      </c>
      <c r="AS4" s="35">
        <v>19</v>
      </c>
      <c r="AT4" s="35">
        <v>19.3</v>
      </c>
      <c r="AU4" s="35">
        <v>19</v>
      </c>
      <c r="AV4" s="35">
        <v>20.2</v>
      </c>
      <c r="AW4" s="35">
        <v>19</v>
      </c>
      <c r="AX4" s="35">
        <v>20.399999999999999</v>
      </c>
      <c r="AY4" s="35">
        <v>20</v>
      </c>
      <c r="AZ4" s="35">
        <v>20.7</v>
      </c>
      <c r="BA4" s="35">
        <v>20</v>
      </c>
      <c r="BB4" s="35">
        <v>29.4</v>
      </c>
      <c r="BC4" s="35">
        <v>40</v>
      </c>
      <c r="BD4" s="35">
        <v>28.7</v>
      </c>
      <c r="BE4" s="35">
        <v>40</v>
      </c>
      <c r="BF4" s="35">
        <v>21.8</v>
      </c>
      <c r="BG4" s="35">
        <v>20</v>
      </c>
    </row>
    <row r="5" spans="1:87" x14ac:dyDescent="0.35">
      <c r="A5" s="36">
        <v>46059.439583333333</v>
      </c>
      <c r="B5" s="35">
        <v>3</v>
      </c>
      <c r="C5" s="35">
        <v>2</v>
      </c>
      <c r="D5" s="35">
        <v>3.1</v>
      </c>
      <c r="E5" s="35">
        <v>2.2000000000000002</v>
      </c>
      <c r="F5" s="35">
        <v>3.3</v>
      </c>
      <c r="G5" s="35">
        <v>2</v>
      </c>
      <c r="H5" s="35">
        <v>3.1</v>
      </c>
      <c r="I5" s="35">
        <v>2</v>
      </c>
      <c r="J5" s="35">
        <v>3.6</v>
      </c>
      <c r="K5" s="35">
        <v>2</v>
      </c>
      <c r="L5" s="35">
        <v>3.6</v>
      </c>
      <c r="M5" s="35">
        <v>2</v>
      </c>
      <c r="N5" s="35">
        <v>3.9</v>
      </c>
      <c r="O5" s="35">
        <v>3</v>
      </c>
      <c r="P5" s="35">
        <v>4</v>
      </c>
      <c r="Q5" s="35">
        <v>2</v>
      </c>
      <c r="R5" s="35">
        <v>3.2</v>
      </c>
      <c r="S5" s="35">
        <v>2</v>
      </c>
      <c r="T5" s="35">
        <v>3</v>
      </c>
      <c r="U5" s="35">
        <v>2</v>
      </c>
      <c r="V5" s="35">
        <v>10</v>
      </c>
      <c r="W5" s="35">
        <v>9</v>
      </c>
      <c r="X5" s="35">
        <v>10.9</v>
      </c>
      <c r="Y5" s="35">
        <v>9</v>
      </c>
      <c r="Z5" s="35">
        <v>10.199999999999999</v>
      </c>
      <c r="AA5" s="35">
        <v>9</v>
      </c>
      <c r="AB5" s="35">
        <v>8.4</v>
      </c>
      <c r="AC5" s="35">
        <v>9</v>
      </c>
      <c r="AD5" s="35">
        <v>20.9</v>
      </c>
      <c r="AE5" s="35">
        <v>19</v>
      </c>
      <c r="AF5" s="35">
        <v>20</v>
      </c>
      <c r="AG5" s="35">
        <v>19</v>
      </c>
      <c r="AH5" s="35">
        <v>20.6</v>
      </c>
      <c r="AI5" s="35">
        <v>19</v>
      </c>
      <c r="AJ5" s="35">
        <v>20.9</v>
      </c>
      <c r="AK5" s="35">
        <v>19</v>
      </c>
      <c r="AL5" s="35">
        <v>20.9</v>
      </c>
      <c r="AM5" s="35">
        <v>19</v>
      </c>
      <c r="AN5" s="35">
        <v>19.899999999999999</v>
      </c>
      <c r="AO5" s="35">
        <v>19</v>
      </c>
      <c r="AP5" s="35">
        <v>20.5</v>
      </c>
      <c r="AQ5" s="35">
        <v>19</v>
      </c>
      <c r="AR5" s="35">
        <v>20.399999999999999</v>
      </c>
      <c r="AS5" s="35">
        <v>19</v>
      </c>
      <c r="AT5" s="35">
        <v>19.399999999999999</v>
      </c>
      <c r="AU5" s="35">
        <v>19</v>
      </c>
      <c r="AV5" s="35">
        <v>21</v>
      </c>
      <c r="AW5" s="35">
        <v>19</v>
      </c>
      <c r="AX5" s="35">
        <v>21.6</v>
      </c>
      <c r="AY5" s="35">
        <v>20</v>
      </c>
      <c r="AZ5" s="35">
        <v>22.3</v>
      </c>
      <c r="BA5" s="35">
        <v>20</v>
      </c>
      <c r="BB5" s="35">
        <v>29.4</v>
      </c>
      <c r="BC5" s="35">
        <v>40</v>
      </c>
      <c r="BD5" s="35">
        <v>28.7</v>
      </c>
      <c r="BE5" s="35">
        <v>40</v>
      </c>
      <c r="BF5" s="35">
        <v>21.8</v>
      </c>
      <c r="BG5" s="35">
        <v>20</v>
      </c>
    </row>
    <row r="6" spans="1:87" x14ac:dyDescent="0.35">
      <c r="A6" s="36">
        <v>46059.44027777778</v>
      </c>
      <c r="B6" s="35">
        <v>1.6</v>
      </c>
      <c r="C6" s="35">
        <v>2</v>
      </c>
      <c r="D6" s="35">
        <v>1.9</v>
      </c>
      <c r="E6" s="35">
        <v>2.2000000000000002</v>
      </c>
      <c r="F6" s="35">
        <v>3.3</v>
      </c>
      <c r="G6" s="35">
        <v>2</v>
      </c>
      <c r="H6" s="35">
        <v>2.6</v>
      </c>
      <c r="I6" s="35">
        <v>2</v>
      </c>
      <c r="J6" s="35">
        <v>3.8</v>
      </c>
      <c r="K6" s="35">
        <v>2</v>
      </c>
      <c r="L6" s="35">
        <v>3.9</v>
      </c>
      <c r="M6" s="35">
        <v>2</v>
      </c>
      <c r="N6" s="35">
        <v>2.8</v>
      </c>
      <c r="O6" s="35">
        <v>3</v>
      </c>
      <c r="P6" s="35">
        <v>3.3</v>
      </c>
      <c r="Q6" s="35">
        <v>2</v>
      </c>
      <c r="R6" s="35">
        <v>3.4</v>
      </c>
      <c r="S6" s="35">
        <v>2</v>
      </c>
      <c r="T6" s="35">
        <v>3.1</v>
      </c>
      <c r="U6" s="35">
        <v>2</v>
      </c>
      <c r="V6" s="35">
        <v>8.3000000000000007</v>
      </c>
      <c r="W6" s="35">
        <v>9</v>
      </c>
      <c r="X6" s="35">
        <v>10.9</v>
      </c>
      <c r="Y6" s="35">
        <v>9</v>
      </c>
      <c r="Z6" s="35">
        <v>10.3</v>
      </c>
      <c r="AA6" s="35">
        <v>9</v>
      </c>
      <c r="AB6" s="35">
        <v>8.9</v>
      </c>
      <c r="AC6" s="35">
        <v>9</v>
      </c>
      <c r="AD6" s="35">
        <v>20.9</v>
      </c>
      <c r="AE6" s="35">
        <v>19</v>
      </c>
      <c r="AF6" s="35">
        <v>20</v>
      </c>
      <c r="AG6" s="35">
        <v>19</v>
      </c>
      <c r="AH6" s="35">
        <v>20.6</v>
      </c>
      <c r="AI6" s="35">
        <v>19</v>
      </c>
      <c r="AJ6" s="35">
        <v>20.9</v>
      </c>
      <c r="AK6" s="35">
        <v>19</v>
      </c>
      <c r="AL6" s="35">
        <v>20.7</v>
      </c>
      <c r="AM6" s="35">
        <v>19</v>
      </c>
      <c r="AN6" s="35">
        <v>19.8</v>
      </c>
      <c r="AO6" s="35">
        <v>19</v>
      </c>
      <c r="AP6" s="35">
        <v>20.5</v>
      </c>
      <c r="AQ6" s="35">
        <v>19</v>
      </c>
      <c r="AR6" s="35">
        <v>20.399999999999999</v>
      </c>
      <c r="AS6" s="35">
        <v>19</v>
      </c>
      <c r="AT6" s="35">
        <v>19.5</v>
      </c>
      <c r="AU6" s="35">
        <v>19</v>
      </c>
      <c r="AV6" s="35">
        <v>20.399999999999999</v>
      </c>
      <c r="AW6" s="35">
        <v>19</v>
      </c>
      <c r="AX6" s="35">
        <v>21.6</v>
      </c>
      <c r="AY6" s="35">
        <v>20</v>
      </c>
      <c r="AZ6" s="35">
        <v>22.3</v>
      </c>
      <c r="BA6" s="35">
        <v>20</v>
      </c>
      <c r="BB6" s="35">
        <v>29.5</v>
      </c>
      <c r="BC6" s="35">
        <v>40</v>
      </c>
      <c r="BD6" s="35">
        <v>28.7</v>
      </c>
      <c r="BE6" s="35">
        <v>40</v>
      </c>
      <c r="BF6" s="35">
        <v>21.9</v>
      </c>
      <c r="BG6" s="35">
        <v>20</v>
      </c>
    </row>
    <row r="7" spans="1:87" x14ac:dyDescent="0.35">
      <c r="A7" s="36">
        <v>46059.440972222219</v>
      </c>
      <c r="B7" s="35">
        <v>1.5</v>
      </c>
      <c r="C7" s="35">
        <v>2</v>
      </c>
      <c r="D7" s="35">
        <v>1.9</v>
      </c>
      <c r="E7" s="35">
        <v>2.2000000000000002</v>
      </c>
      <c r="F7" s="35">
        <v>3.3</v>
      </c>
      <c r="G7" s="35">
        <v>2</v>
      </c>
      <c r="H7" s="35">
        <v>2.6</v>
      </c>
      <c r="I7" s="35">
        <v>2</v>
      </c>
      <c r="J7" s="35">
        <v>3.9</v>
      </c>
      <c r="K7" s="35">
        <v>2</v>
      </c>
      <c r="L7" s="35">
        <v>3.6</v>
      </c>
      <c r="M7" s="35">
        <v>2</v>
      </c>
      <c r="N7" s="35">
        <v>1.5</v>
      </c>
      <c r="O7" s="35">
        <v>3</v>
      </c>
      <c r="P7" s="35">
        <v>2.1</v>
      </c>
      <c r="Q7" s="35">
        <v>2</v>
      </c>
      <c r="R7" s="35">
        <v>3.5</v>
      </c>
      <c r="S7" s="35">
        <v>2</v>
      </c>
      <c r="T7" s="35">
        <v>3.1</v>
      </c>
      <c r="U7" s="35">
        <v>2</v>
      </c>
      <c r="V7" s="35">
        <v>8</v>
      </c>
      <c r="W7" s="35">
        <v>9</v>
      </c>
      <c r="X7" s="35">
        <v>11</v>
      </c>
      <c r="Y7" s="35">
        <v>9</v>
      </c>
      <c r="Z7" s="35">
        <v>10.5</v>
      </c>
      <c r="AA7" s="35">
        <v>9</v>
      </c>
      <c r="AB7" s="35">
        <v>9.4</v>
      </c>
      <c r="AC7" s="35">
        <v>9</v>
      </c>
      <c r="AD7" s="35">
        <v>20.9</v>
      </c>
      <c r="AE7" s="35">
        <v>19</v>
      </c>
      <c r="AF7" s="35">
        <v>20.100000000000001</v>
      </c>
      <c r="AG7" s="35">
        <v>19</v>
      </c>
      <c r="AH7" s="35">
        <v>20.7</v>
      </c>
      <c r="AI7" s="35">
        <v>19</v>
      </c>
      <c r="AJ7" s="35">
        <v>21</v>
      </c>
      <c r="AK7" s="35">
        <v>19</v>
      </c>
      <c r="AL7" s="35">
        <v>20.6</v>
      </c>
      <c r="AM7" s="35">
        <v>19</v>
      </c>
      <c r="AN7" s="35">
        <v>19.600000000000001</v>
      </c>
      <c r="AO7" s="35">
        <v>19</v>
      </c>
      <c r="AP7" s="35">
        <v>20.6</v>
      </c>
      <c r="AQ7" s="35">
        <v>19</v>
      </c>
      <c r="AR7" s="35">
        <v>20.399999999999999</v>
      </c>
      <c r="AS7" s="35">
        <v>19</v>
      </c>
      <c r="AT7" s="35">
        <v>19.600000000000001</v>
      </c>
      <c r="AU7" s="35">
        <v>19</v>
      </c>
      <c r="AV7" s="35">
        <v>19.3</v>
      </c>
      <c r="AW7" s="35">
        <v>19</v>
      </c>
      <c r="AX7" s="35">
        <v>21.6</v>
      </c>
      <c r="AY7" s="35">
        <v>20</v>
      </c>
      <c r="AZ7" s="35">
        <v>22.3</v>
      </c>
      <c r="BA7" s="35">
        <v>20</v>
      </c>
      <c r="BB7" s="35">
        <v>29.5</v>
      </c>
      <c r="BC7" s="35">
        <v>40</v>
      </c>
      <c r="BD7" s="35">
        <v>28.8</v>
      </c>
      <c r="BE7" s="35">
        <v>40</v>
      </c>
      <c r="BF7" s="35">
        <v>21.9</v>
      </c>
      <c r="BG7" s="35">
        <v>20</v>
      </c>
    </row>
    <row r="8" spans="1:87" x14ac:dyDescent="0.35">
      <c r="A8" s="36">
        <v>46059.441666666666</v>
      </c>
      <c r="B8" s="35">
        <v>1.9</v>
      </c>
      <c r="C8" s="35">
        <v>2</v>
      </c>
      <c r="D8" s="35">
        <v>2.2999999999999998</v>
      </c>
      <c r="E8" s="35">
        <v>2.2000000000000002</v>
      </c>
      <c r="F8" s="35">
        <v>3.5</v>
      </c>
      <c r="G8" s="35">
        <v>2</v>
      </c>
      <c r="H8" s="35">
        <v>3</v>
      </c>
      <c r="I8" s="35">
        <v>2</v>
      </c>
      <c r="J8" s="35">
        <v>3.4</v>
      </c>
      <c r="K8" s="35">
        <v>2</v>
      </c>
      <c r="L8" s="35">
        <v>2.8</v>
      </c>
      <c r="M8" s="35">
        <v>2</v>
      </c>
      <c r="N8" s="35">
        <v>1.4</v>
      </c>
      <c r="O8" s="35">
        <v>3</v>
      </c>
      <c r="P8" s="35">
        <v>1.9</v>
      </c>
      <c r="Q8" s="35">
        <v>2</v>
      </c>
      <c r="R8" s="35">
        <v>3.6</v>
      </c>
      <c r="S8" s="35">
        <v>2</v>
      </c>
      <c r="T8" s="35">
        <v>3.1</v>
      </c>
      <c r="U8" s="35">
        <v>2</v>
      </c>
      <c r="V8" s="35">
        <v>8.8000000000000007</v>
      </c>
      <c r="W8" s="35">
        <v>9</v>
      </c>
      <c r="X8" s="35">
        <v>10.7</v>
      </c>
      <c r="Y8" s="35">
        <v>9</v>
      </c>
      <c r="Z8" s="35">
        <v>10.6</v>
      </c>
      <c r="AA8" s="35">
        <v>9</v>
      </c>
      <c r="AB8" s="35">
        <v>9.9</v>
      </c>
      <c r="AC8" s="35">
        <v>9</v>
      </c>
      <c r="AD8" s="35">
        <v>20.9</v>
      </c>
      <c r="AE8" s="35">
        <v>19</v>
      </c>
      <c r="AF8" s="35">
        <v>20.100000000000001</v>
      </c>
      <c r="AG8" s="35">
        <v>19</v>
      </c>
      <c r="AH8" s="35">
        <v>20.7</v>
      </c>
      <c r="AI8" s="35">
        <v>19</v>
      </c>
      <c r="AJ8" s="35">
        <v>19.600000000000001</v>
      </c>
      <c r="AK8" s="35">
        <v>19</v>
      </c>
      <c r="AL8" s="35">
        <v>20.399999999999999</v>
      </c>
      <c r="AM8" s="35">
        <v>19</v>
      </c>
      <c r="AN8" s="35">
        <v>19.100000000000001</v>
      </c>
      <c r="AO8" s="35">
        <v>19</v>
      </c>
      <c r="AP8" s="35">
        <v>20.6</v>
      </c>
      <c r="AQ8" s="35">
        <v>19</v>
      </c>
      <c r="AR8" s="35">
        <v>20.399999999999999</v>
      </c>
      <c r="AS8" s="35">
        <v>19</v>
      </c>
      <c r="AT8" s="35">
        <v>19.7</v>
      </c>
      <c r="AU8" s="35">
        <v>19</v>
      </c>
      <c r="AV8" s="35">
        <v>18</v>
      </c>
      <c r="AW8" s="35">
        <v>19</v>
      </c>
      <c r="AX8" s="35">
        <v>21.6</v>
      </c>
      <c r="AY8" s="35">
        <v>20</v>
      </c>
      <c r="AZ8" s="35">
        <v>22.3</v>
      </c>
      <c r="BA8" s="35">
        <v>20</v>
      </c>
      <c r="BB8" s="35">
        <v>29.5</v>
      </c>
      <c r="BC8" s="35">
        <v>40</v>
      </c>
      <c r="BD8" s="35">
        <v>28.8</v>
      </c>
      <c r="BE8" s="35">
        <v>40</v>
      </c>
      <c r="BF8" s="35">
        <v>19.3</v>
      </c>
      <c r="BG8" s="35">
        <v>20</v>
      </c>
    </row>
    <row r="9" spans="1:87" x14ac:dyDescent="0.35">
      <c r="A9" s="36">
        <v>46059.442361111112</v>
      </c>
      <c r="B9" s="35">
        <v>2.2999999999999998</v>
      </c>
      <c r="C9" s="35">
        <v>2</v>
      </c>
      <c r="D9" s="35">
        <v>2.6</v>
      </c>
      <c r="E9" s="35">
        <v>2.2000000000000002</v>
      </c>
      <c r="F9" s="35">
        <v>3.7</v>
      </c>
      <c r="G9" s="35">
        <v>2</v>
      </c>
      <c r="H9" s="35">
        <v>3.4</v>
      </c>
      <c r="I9" s="35">
        <v>2</v>
      </c>
      <c r="J9" s="35">
        <v>3.2</v>
      </c>
      <c r="K9" s="35">
        <v>2</v>
      </c>
      <c r="L9" s="35">
        <v>2.7</v>
      </c>
      <c r="M9" s="35">
        <v>2</v>
      </c>
      <c r="N9" s="35">
        <v>1.5</v>
      </c>
      <c r="O9" s="35">
        <v>3</v>
      </c>
      <c r="P9" s="35">
        <v>2.2000000000000002</v>
      </c>
      <c r="Q9" s="35">
        <v>2</v>
      </c>
      <c r="R9" s="35">
        <v>3.8</v>
      </c>
      <c r="S9" s="35">
        <v>2</v>
      </c>
      <c r="T9" s="35">
        <v>3.1</v>
      </c>
      <c r="U9" s="35">
        <v>2</v>
      </c>
      <c r="V9" s="35">
        <v>9.5</v>
      </c>
      <c r="W9" s="35">
        <v>9</v>
      </c>
      <c r="X9" s="35">
        <v>9.5</v>
      </c>
      <c r="Y9" s="35">
        <v>9</v>
      </c>
      <c r="Z9" s="35">
        <v>10.8</v>
      </c>
      <c r="AA9" s="35">
        <v>9</v>
      </c>
      <c r="AB9" s="35">
        <v>10.3</v>
      </c>
      <c r="AC9" s="35">
        <v>9</v>
      </c>
      <c r="AD9" s="35">
        <v>20.9</v>
      </c>
      <c r="AE9" s="35">
        <v>19</v>
      </c>
      <c r="AF9" s="35">
        <v>20.2</v>
      </c>
      <c r="AG9" s="35">
        <v>19</v>
      </c>
      <c r="AH9" s="35">
        <v>20.7</v>
      </c>
      <c r="AI9" s="35">
        <v>19</v>
      </c>
      <c r="AJ9" s="35">
        <v>18</v>
      </c>
      <c r="AK9" s="35">
        <v>19</v>
      </c>
      <c r="AL9" s="35">
        <v>20.2</v>
      </c>
      <c r="AM9" s="35">
        <v>19</v>
      </c>
      <c r="AN9" s="35">
        <v>18.7</v>
      </c>
      <c r="AO9" s="35">
        <v>19</v>
      </c>
      <c r="AP9" s="35">
        <v>20.6</v>
      </c>
      <c r="AQ9" s="35">
        <v>19</v>
      </c>
      <c r="AR9" s="35">
        <v>20.5</v>
      </c>
      <c r="AS9" s="35">
        <v>19</v>
      </c>
      <c r="AT9" s="35">
        <v>19.8</v>
      </c>
      <c r="AU9" s="35">
        <v>19</v>
      </c>
      <c r="AV9" s="35">
        <v>17.8</v>
      </c>
      <c r="AW9" s="35">
        <v>19</v>
      </c>
      <c r="AX9" s="35">
        <v>21.7</v>
      </c>
      <c r="AY9" s="35">
        <v>20</v>
      </c>
      <c r="AZ9" s="35">
        <v>22.4</v>
      </c>
      <c r="BA9" s="35">
        <v>20</v>
      </c>
      <c r="BB9" s="35">
        <v>29.6</v>
      </c>
      <c r="BC9" s="35">
        <v>40</v>
      </c>
      <c r="BD9" s="35">
        <v>28.8</v>
      </c>
      <c r="BE9" s="35">
        <v>40</v>
      </c>
      <c r="BF9" s="35">
        <v>17.899999999999999</v>
      </c>
      <c r="BG9" s="35">
        <v>20</v>
      </c>
    </row>
    <row r="10" spans="1:87" x14ac:dyDescent="0.35">
      <c r="A10" s="36">
        <v>46059.443055555559</v>
      </c>
      <c r="B10" s="35">
        <v>2.7</v>
      </c>
      <c r="C10" s="35">
        <v>2</v>
      </c>
      <c r="D10" s="35">
        <v>3.1</v>
      </c>
      <c r="E10" s="35">
        <v>2.2000000000000002</v>
      </c>
      <c r="F10" s="35">
        <v>3.9</v>
      </c>
      <c r="G10" s="35">
        <v>2</v>
      </c>
      <c r="H10" s="35">
        <v>3.5</v>
      </c>
      <c r="I10" s="35">
        <v>2</v>
      </c>
      <c r="J10" s="35">
        <v>3.1</v>
      </c>
      <c r="K10" s="35">
        <v>2</v>
      </c>
      <c r="L10" s="35">
        <v>2.5</v>
      </c>
      <c r="M10" s="35">
        <v>2</v>
      </c>
      <c r="N10" s="35">
        <v>1.9</v>
      </c>
      <c r="O10" s="35">
        <v>3</v>
      </c>
      <c r="P10" s="35">
        <v>2.5</v>
      </c>
      <c r="Q10" s="35">
        <v>2</v>
      </c>
      <c r="R10" s="35">
        <v>3.9</v>
      </c>
      <c r="S10" s="35">
        <v>2</v>
      </c>
      <c r="T10" s="35">
        <v>3.1</v>
      </c>
      <c r="U10" s="35">
        <v>2</v>
      </c>
      <c r="V10" s="35">
        <v>10</v>
      </c>
      <c r="W10" s="35">
        <v>9</v>
      </c>
      <c r="X10" s="35">
        <v>8.6</v>
      </c>
      <c r="Y10" s="35">
        <v>9</v>
      </c>
      <c r="Z10" s="35">
        <v>10.9</v>
      </c>
      <c r="AA10" s="35">
        <v>9</v>
      </c>
      <c r="AB10" s="35">
        <v>10.7</v>
      </c>
      <c r="AC10" s="35">
        <v>9</v>
      </c>
      <c r="AD10" s="35">
        <v>20.9</v>
      </c>
      <c r="AE10" s="35">
        <v>19</v>
      </c>
      <c r="AF10" s="35">
        <v>20.2</v>
      </c>
      <c r="AG10" s="35">
        <v>19</v>
      </c>
      <c r="AH10" s="35">
        <v>20.7</v>
      </c>
      <c r="AI10" s="35">
        <v>19</v>
      </c>
      <c r="AJ10" s="35">
        <v>17.8</v>
      </c>
      <c r="AK10" s="35">
        <v>19</v>
      </c>
      <c r="AL10" s="35">
        <v>20.100000000000001</v>
      </c>
      <c r="AM10" s="35">
        <v>19</v>
      </c>
      <c r="AN10" s="35">
        <v>18.7</v>
      </c>
      <c r="AO10" s="35">
        <v>19</v>
      </c>
      <c r="AP10" s="35">
        <v>20.6</v>
      </c>
      <c r="AQ10" s="35">
        <v>19</v>
      </c>
      <c r="AR10" s="35">
        <v>20.5</v>
      </c>
      <c r="AS10" s="35">
        <v>19</v>
      </c>
      <c r="AT10" s="35">
        <v>19.899999999999999</v>
      </c>
      <c r="AU10" s="35">
        <v>19</v>
      </c>
      <c r="AV10" s="35">
        <v>17.8</v>
      </c>
      <c r="AW10" s="35">
        <v>19</v>
      </c>
      <c r="AX10" s="35">
        <v>21.9</v>
      </c>
      <c r="AY10" s="35">
        <v>20</v>
      </c>
      <c r="AZ10" s="35">
        <v>22.4</v>
      </c>
      <c r="BA10" s="35">
        <v>20</v>
      </c>
      <c r="BB10" s="35">
        <v>29.6</v>
      </c>
      <c r="BC10" s="35">
        <v>40</v>
      </c>
      <c r="BD10" s="35">
        <v>28.8</v>
      </c>
      <c r="BE10" s="35">
        <v>40</v>
      </c>
      <c r="BF10" s="35">
        <v>18.600000000000001</v>
      </c>
      <c r="BG10" s="35">
        <v>20</v>
      </c>
    </row>
    <row r="11" spans="1:87" x14ac:dyDescent="0.35">
      <c r="A11" s="36">
        <v>46059.443749999999</v>
      </c>
      <c r="B11" s="35">
        <v>3</v>
      </c>
      <c r="C11" s="35">
        <v>2</v>
      </c>
      <c r="D11" s="35">
        <v>3.4</v>
      </c>
      <c r="E11" s="35">
        <v>2.2000000000000002</v>
      </c>
      <c r="F11" s="35">
        <v>3.9</v>
      </c>
      <c r="G11" s="35">
        <v>2</v>
      </c>
      <c r="H11" s="35">
        <v>3.3</v>
      </c>
      <c r="I11" s="35">
        <v>2</v>
      </c>
      <c r="J11" s="35">
        <v>2.7</v>
      </c>
      <c r="K11" s="35">
        <v>2</v>
      </c>
      <c r="L11" s="35">
        <v>1.8</v>
      </c>
      <c r="M11" s="35">
        <v>2</v>
      </c>
      <c r="N11" s="35">
        <v>2.2999999999999998</v>
      </c>
      <c r="O11" s="35">
        <v>3</v>
      </c>
      <c r="P11" s="35">
        <v>2.9</v>
      </c>
      <c r="Q11" s="35">
        <v>2</v>
      </c>
      <c r="R11" s="35">
        <v>3.6</v>
      </c>
      <c r="S11" s="35">
        <v>2</v>
      </c>
      <c r="T11" s="35">
        <v>3.1</v>
      </c>
      <c r="U11" s="35">
        <v>2</v>
      </c>
      <c r="V11" s="35">
        <v>10.4</v>
      </c>
      <c r="W11" s="35">
        <v>9</v>
      </c>
      <c r="X11" s="35">
        <v>8.4</v>
      </c>
      <c r="Y11" s="35">
        <v>9</v>
      </c>
      <c r="Z11" s="35">
        <v>10.9</v>
      </c>
      <c r="AA11" s="35">
        <v>9</v>
      </c>
      <c r="AB11" s="35">
        <v>11</v>
      </c>
      <c r="AC11" s="35">
        <v>9</v>
      </c>
      <c r="AD11" s="35">
        <v>21</v>
      </c>
      <c r="AE11" s="35">
        <v>19</v>
      </c>
      <c r="AF11" s="35">
        <v>20.2</v>
      </c>
      <c r="AG11" s="35">
        <v>19</v>
      </c>
      <c r="AH11" s="35">
        <v>20.7</v>
      </c>
      <c r="AI11" s="35">
        <v>19</v>
      </c>
      <c r="AJ11" s="35">
        <v>17.899999999999999</v>
      </c>
      <c r="AK11" s="35">
        <v>19</v>
      </c>
      <c r="AL11" s="35">
        <v>20.100000000000001</v>
      </c>
      <c r="AM11" s="35">
        <v>19</v>
      </c>
      <c r="AN11" s="35">
        <v>19</v>
      </c>
      <c r="AO11" s="35">
        <v>19</v>
      </c>
      <c r="AP11" s="35">
        <v>20.6</v>
      </c>
      <c r="AQ11" s="35">
        <v>19</v>
      </c>
      <c r="AR11" s="35">
        <v>20.5</v>
      </c>
      <c r="AS11" s="35">
        <v>19</v>
      </c>
      <c r="AT11" s="35">
        <v>20</v>
      </c>
      <c r="AU11" s="35">
        <v>19</v>
      </c>
      <c r="AV11" s="35">
        <v>17.899999999999999</v>
      </c>
      <c r="AW11" s="35">
        <v>19</v>
      </c>
      <c r="AX11" s="35">
        <v>21.9</v>
      </c>
      <c r="AY11" s="35">
        <v>20</v>
      </c>
      <c r="AZ11" s="35">
        <v>22.4</v>
      </c>
      <c r="BA11" s="35">
        <v>20</v>
      </c>
      <c r="BB11" s="35">
        <v>29.6</v>
      </c>
      <c r="BC11" s="35">
        <v>40</v>
      </c>
      <c r="BD11" s="35">
        <v>28.8</v>
      </c>
      <c r="BE11" s="35">
        <v>40</v>
      </c>
      <c r="BF11" s="35">
        <v>19.2</v>
      </c>
      <c r="BG11" s="35">
        <v>20</v>
      </c>
    </row>
    <row r="12" spans="1:87" x14ac:dyDescent="0.35">
      <c r="A12" s="36">
        <v>46059.444444444445</v>
      </c>
      <c r="B12" s="35">
        <v>3.2</v>
      </c>
      <c r="C12" s="35">
        <v>2</v>
      </c>
      <c r="D12" s="35">
        <v>3.7</v>
      </c>
      <c r="E12" s="35">
        <v>2.2000000000000002</v>
      </c>
      <c r="F12" s="35">
        <v>3.9</v>
      </c>
      <c r="G12" s="35">
        <v>2</v>
      </c>
      <c r="H12" s="35">
        <v>3.4</v>
      </c>
      <c r="I12" s="35">
        <v>2</v>
      </c>
      <c r="J12" s="35">
        <v>2.7</v>
      </c>
      <c r="K12" s="35">
        <v>2</v>
      </c>
      <c r="L12" s="35">
        <v>1.9</v>
      </c>
      <c r="M12" s="35">
        <v>2</v>
      </c>
      <c r="N12" s="35">
        <v>2.7</v>
      </c>
      <c r="O12" s="35">
        <v>3</v>
      </c>
      <c r="P12" s="35">
        <v>3.1</v>
      </c>
      <c r="Q12" s="35">
        <v>2</v>
      </c>
      <c r="R12" s="35">
        <v>2.9</v>
      </c>
      <c r="S12" s="35">
        <v>2</v>
      </c>
      <c r="T12" s="35">
        <v>3.1</v>
      </c>
      <c r="U12" s="35">
        <v>2</v>
      </c>
      <c r="V12" s="35">
        <v>10.8</v>
      </c>
      <c r="W12" s="35">
        <v>9</v>
      </c>
      <c r="X12" s="35">
        <v>8.4</v>
      </c>
      <c r="Y12" s="35">
        <v>9</v>
      </c>
      <c r="Z12" s="35">
        <v>10.7</v>
      </c>
      <c r="AA12" s="35">
        <v>9</v>
      </c>
      <c r="AB12" s="35">
        <v>11</v>
      </c>
      <c r="AC12" s="35">
        <v>9</v>
      </c>
      <c r="AD12" s="35">
        <v>20.8</v>
      </c>
      <c r="AE12" s="35">
        <v>19</v>
      </c>
      <c r="AF12" s="35">
        <v>20.3</v>
      </c>
      <c r="AG12" s="35">
        <v>19</v>
      </c>
      <c r="AH12" s="35">
        <v>20.8</v>
      </c>
      <c r="AI12" s="35">
        <v>19</v>
      </c>
      <c r="AJ12" s="35">
        <v>18.2</v>
      </c>
      <c r="AK12" s="35">
        <v>19</v>
      </c>
      <c r="AL12" s="35">
        <v>20.100000000000001</v>
      </c>
      <c r="AM12" s="35">
        <v>19</v>
      </c>
      <c r="AN12" s="35">
        <v>19.2</v>
      </c>
      <c r="AO12" s="35">
        <v>19</v>
      </c>
      <c r="AP12" s="35">
        <v>20.6</v>
      </c>
      <c r="AQ12" s="35">
        <v>19</v>
      </c>
      <c r="AR12" s="35">
        <v>20.5</v>
      </c>
      <c r="AS12" s="35">
        <v>19</v>
      </c>
      <c r="AT12" s="35">
        <v>20</v>
      </c>
      <c r="AU12" s="35">
        <v>19</v>
      </c>
      <c r="AV12" s="35">
        <v>18.100000000000001</v>
      </c>
      <c r="AW12" s="35">
        <v>19</v>
      </c>
      <c r="AX12" s="35">
        <v>21.9</v>
      </c>
      <c r="AY12" s="35">
        <v>20</v>
      </c>
      <c r="AZ12" s="35">
        <v>22.5</v>
      </c>
      <c r="BA12" s="35">
        <v>20</v>
      </c>
      <c r="BB12" s="35">
        <v>29.6</v>
      </c>
      <c r="BC12" s="35">
        <v>40</v>
      </c>
      <c r="BD12" s="35">
        <v>28.9</v>
      </c>
      <c r="BE12" s="35">
        <v>40</v>
      </c>
      <c r="BF12" s="35">
        <v>19.5</v>
      </c>
      <c r="BG12" s="35">
        <v>20</v>
      </c>
    </row>
    <row r="13" spans="1:87" x14ac:dyDescent="0.35">
      <c r="A13" s="36">
        <v>46059.445138888892</v>
      </c>
      <c r="B13" s="35">
        <v>3.5</v>
      </c>
      <c r="C13" s="35">
        <v>2</v>
      </c>
      <c r="D13" s="35">
        <v>4</v>
      </c>
      <c r="E13" s="35">
        <v>2.2000000000000002</v>
      </c>
      <c r="F13" s="35">
        <v>3.7</v>
      </c>
      <c r="G13" s="35">
        <v>2</v>
      </c>
      <c r="H13" s="35">
        <v>3.3</v>
      </c>
      <c r="I13" s="35">
        <v>2</v>
      </c>
      <c r="J13" s="35">
        <v>2.9</v>
      </c>
      <c r="K13" s="35">
        <v>2</v>
      </c>
      <c r="L13" s="35">
        <v>2.2999999999999998</v>
      </c>
      <c r="M13" s="35">
        <v>2</v>
      </c>
      <c r="N13" s="35">
        <v>2.9</v>
      </c>
      <c r="O13" s="35">
        <v>3</v>
      </c>
      <c r="P13" s="35">
        <v>3.3</v>
      </c>
      <c r="Q13" s="35">
        <v>2</v>
      </c>
      <c r="R13" s="35">
        <v>2.7</v>
      </c>
      <c r="S13" s="35">
        <v>2</v>
      </c>
      <c r="T13" s="35">
        <v>3.1</v>
      </c>
      <c r="U13" s="35">
        <v>2</v>
      </c>
      <c r="V13" s="35">
        <v>11.1</v>
      </c>
      <c r="W13" s="35">
        <v>9</v>
      </c>
      <c r="X13" s="35">
        <v>8.5</v>
      </c>
      <c r="Y13" s="35">
        <v>9</v>
      </c>
      <c r="Z13" s="35">
        <v>10.199999999999999</v>
      </c>
      <c r="AA13" s="35">
        <v>9</v>
      </c>
      <c r="AB13" s="35">
        <v>10.1</v>
      </c>
      <c r="AC13" s="35">
        <v>9</v>
      </c>
      <c r="AD13" s="35">
        <v>20.399999999999999</v>
      </c>
      <c r="AE13" s="35">
        <v>19</v>
      </c>
      <c r="AF13" s="35">
        <v>20.3</v>
      </c>
      <c r="AG13" s="35">
        <v>19</v>
      </c>
      <c r="AH13" s="35">
        <v>20.8</v>
      </c>
      <c r="AI13" s="35">
        <v>19</v>
      </c>
      <c r="AJ13" s="35">
        <v>18.5</v>
      </c>
      <c r="AK13" s="35">
        <v>19</v>
      </c>
      <c r="AL13" s="35">
        <v>20</v>
      </c>
      <c r="AM13" s="35">
        <v>19</v>
      </c>
      <c r="AN13" s="35">
        <v>19.5</v>
      </c>
      <c r="AO13" s="35">
        <v>19</v>
      </c>
      <c r="AP13" s="35">
        <v>20.6</v>
      </c>
      <c r="AQ13" s="35">
        <v>19</v>
      </c>
      <c r="AR13" s="35">
        <v>20.5</v>
      </c>
      <c r="AS13" s="35">
        <v>19</v>
      </c>
      <c r="AT13" s="35">
        <v>20.100000000000001</v>
      </c>
      <c r="AU13" s="35">
        <v>19</v>
      </c>
      <c r="AV13" s="35">
        <v>18.3</v>
      </c>
      <c r="AW13" s="35">
        <v>19</v>
      </c>
      <c r="AX13" s="35">
        <v>22</v>
      </c>
      <c r="AY13" s="35">
        <v>20</v>
      </c>
      <c r="AZ13" s="35">
        <v>22.5</v>
      </c>
      <c r="BA13" s="35">
        <v>20</v>
      </c>
      <c r="BB13" s="35">
        <v>29.6</v>
      </c>
      <c r="BC13" s="35">
        <v>40</v>
      </c>
      <c r="BD13" s="35">
        <v>28.9</v>
      </c>
      <c r="BE13" s="35">
        <v>40</v>
      </c>
      <c r="BF13" s="35">
        <v>19.8</v>
      </c>
      <c r="BG13" s="35">
        <v>20</v>
      </c>
    </row>
    <row r="14" spans="1:87" x14ac:dyDescent="0.35">
      <c r="A14" s="36">
        <v>46059.445833333331</v>
      </c>
      <c r="B14" s="35">
        <v>3.7</v>
      </c>
      <c r="C14" s="35">
        <v>2</v>
      </c>
      <c r="D14" s="35">
        <v>4.2</v>
      </c>
      <c r="E14" s="35">
        <v>2.2000000000000002</v>
      </c>
      <c r="F14" s="35">
        <v>3.3</v>
      </c>
      <c r="G14" s="35">
        <v>2</v>
      </c>
      <c r="H14" s="35">
        <v>3</v>
      </c>
      <c r="I14" s="35">
        <v>2</v>
      </c>
      <c r="J14" s="35">
        <v>3.1</v>
      </c>
      <c r="K14" s="35">
        <v>2</v>
      </c>
      <c r="L14" s="35">
        <v>2.7</v>
      </c>
      <c r="M14" s="35">
        <v>2</v>
      </c>
      <c r="N14" s="35">
        <v>3.2</v>
      </c>
      <c r="O14" s="35">
        <v>3</v>
      </c>
      <c r="P14" s="35">
        <v>3.5</v>
      </c>
      <c r="Q14" s="35">
        <v>2</v>
      </c>
      <c r="R14" s="35">
        <v>2.8</v>
      </c>
      <c r="S14" s="35">
        <v>2</v>
      </c>
      <c r="T14" s="35">
        <v>3.1</v>
      </c>
      <c r="U14" s="35">
        <v>2</v>
      </c>
      <c r="V14" s="35">
        <v>9.6999999999999993</v>
      </c>
      <c r="W14" s="35">
        <v>9</v>
      </c>
      <c r="X14" s="35">
        <v>8.8000000000000007</v>
      </c>
      <c r="Y14" s="35">
        <v>9</v>
      </c>
      <c r="Z14" s="35">
        <v>9.8000000000000007</v>
      </c>
      <c r="AA14" s="35">
        <v>9</v>
      </c>
      <c r="AB14" s="35">
        <v>8.9</v>
      </c>
      <c r="AC14" s="35">
        <v>9</v>
      </c>
      <c r="AD14" s="35">
        <v>20.3</v>
      </c>
      <c r="AE14" s="35">
        <v>19</v>
      </c>
      <c r="AF14" s="35">
        <v>20.399999999999999</v>
      </c>
      <c r="AG14" s="35">
        <v>19</v>
      </c>
      <c r="AH14" s="35">
        <v>20.9</v>
      </c>
      <c r="AI14" s="35">
        <v>19</v>
      </c>
      <c r="AJ14" s="35">
        <v>18.7</v>
      </c>
      <c r="AK14" s="35">
        <v>19</v>
      </c>
      <c r="AL14" s="35">
        <v>20</v>
      </c>
      <c r="AM14" s="35">
        <v>19</v>
      </c>
      <c r="AN14" s="35">
        <v>19.7</v>
      </c>
      <c r="AO14" s="35">
        <v>19</v>
      </c>
      <c r="AP14" s="35">
        <v>20.7</v>
      </c>
      <c r="AQ14" s="35">
        <v>19</v>
      </c>
      <c r="AR14" s="35">
        <v>20.5</v>
      </c>
      <c r="AS14" s="35">
        <v>19</v>
      </c>
      <c r="AT14" s="35">
        <v>20.2</v>
      </c>
      <c r="AU14" s="35">
        <v>19</v>
      </c>
      <c r="AV14" s="35">
        <v>18.399999999999999</v>
      </c>
      <c r="AW14" s="35">
        <v>19</v>
      </c>
      <c r="AX14" s="35">
        <v>22</v>
      </c>
      <c r="AY14" s="35">
        <v>20</v>
      </c>
      <c r="AZ14" s="35">
        <v>22.5</v>
      </c>
      <c r="BA14" s="35">
        <v>20</v>
      </c>
      <c r="BB14" s="35">
        <v>29.7</v>
      </c>
      <c r="BC14" s="35">
        <v>40</v>
      </c>
      <c r="BD14" s="35">
        <v>28.9</v>
      </c>
      <c r="BE14" s="35">
        <v>40</v>
      </c>
      <c r="BF14" s="35">
        <v>20</v>
      </c>
      <c r="BG14" s="35">
        <v>20</v>
      </c>
    </row>
    <row r="15" spans="1:87" x14ac:dyDescent="0.35">
      <c r="A15" s="36">
        <v>46059.446527777778</v>
      </c>
      <c r="B15" s="35">
        <v>3.7</v>
      </c>
      <c r="C15" s="35">
        <v>2</v>
      </c>
      <c r="D15" s="35">
        <v>4</v>
      </c>
      <c r="E15" s="35">
        <v>2.2000000000000002</v>
      </c>
      <c r="F15" s="35">
        <v>2.2000000000000002</v>
      </c>
      <c r="G15" s="35">
        <v>2</v>
      </c>
      <c r="H15" s="35">
        <v>1.8</v>
      </c>
      <c r="I15" s="35">
        <v>2</v>
      </c>
      <c r="J15" s="35">
        <v>3.4</v>
      </c>
      <c r="K15" s="35">
        <v>2</v>
      </c>
      <c r="L15" s="35">
        <v>3.1</v>
      </c>
      <c r="M15" s="35">
        <v>2</v>
      </c>
      <c r="N15" s="35">
        <v>3.4</v>
      </c>
      <c r="O15" s="35">
        <v>3</v>
      </c>
      <c r="P15" s="35">
        <v>3.6</v>
      </c>
      <c r="Q15" s="35">
        <v>2</v>
      </c>
      <c r="R15" s="35">
        <v>2.8</v>
      </c>
      <c r="S15" s="35">
        <v>2</v>
      </c>
      <c r="T15" s="35">
        <v>3.1</v>
      </c>
      <c r="U15" s="35">
        <v>2</v>
      </c>
      <c r="V15" s="35">
        <v>7.6</v>
      </c>
      <c r="W15" s="35">
        <v>9</v>
      </c>
      <c r="X15" s="35">
        <v>9</v>
      </c>
      <c r="Y15" s="35">
        <v>9</v>
      </c>
      <c r="Z15" s="35">
        <v>9.3000000000000007</v>
      </c>
      <c r="AA15" s="35">
        <v>9</v>
      </c>
      <c r="AB15" s="35">
        <v>8.6999999999999993</v>
      </c>
      <c r="AC15" s="35">
        <v>9</v>
      </c>
      <c r="AD15" s="35">
        <v>20</v>
      </c>
      <c r="AE15" s="35">
        <v>19</v>
      </c>
      <c r="AF15" s="35">
        <v>20.399999999999999</v>
      </c>
      <c r="AG15" s="35">
        <v>19</v>
      </c>
      <c r="AH15" s="35">
        <v>20.9</v>
      </c>
      <c r="AI15" s="35">
        <v>19</v>
      </c>
      <c r="AJ15" s="35">
        <v>18.899999999999999</v>
      </c>
      <c r="AK15" s="35">
        <v>19</v>
      </c>
      <c r="AL15" s="35">
        <v>19.899999999999999</v>
      </c>
      <c r="AM15" s="35">
        <v>19</v>
      </c>
      <c r="AN15" s="35">
        <v>19.8</v>
      </c>
      <c r="AO15" s="35">
        <v>19</v>
      </c>
      <c r="AP15" s="35">
        <v>20.7</v>
      </c>
      <c r="AQ15" s="35">
        <v>19</v>
      </c>
      <c r="AR15" s="35">
        <v>20.5</v>
      </c>
      <c r="AS15" s="35">
        <v>19</v>
      </c>
      <c r="AT15" s="35">
        <v>20.3</v>
      </c>
      <c r="AU15" s="35">
        <v>19</v>
      </c>
      <c r="AV15" s="35">
        <v>18.600000000000001</v>
      </c>
      <c r="AW15" s="35">
        <v>19</v>
      </c>
      <c r="AX15" s="35">
        <v>21.9</v>
      </c>
      <c r="AY15" s="35">
        <v>20</v>
      </c>
      <c r="AZ15" s="35">
        <v>22.1</v>
      </c>
      <c r="BA15" s="35">
        <v>20</v>
      </c>
      <c r="BB15" s="35">
        <v>29.7</v>
      </c>
      <c r="BC15" s="35">
        <v>40</v>
      </c>
      <c r="BD15" s="35">
        <v>28.9</v>
      </c>
      <c r="BE15" s="35">
        <v>40</v>
      </c>
      <c r="BF15" s="35">
        <v>20.2</v>
      </c>
      <c r="BG15" s="35">
        <v>20</v>
      </c>
    </row>
    <row r="16" spans="1:87" x14ac:dyDescent="0.35">
      <c r="A16" s="36">
        <v>46059.447222222225</v>
      </c>
      <c r="B16" s="35">
        <v>3.7</v>
      </c>
      <c r="C16" s="35">
        <v>2</v>
      </c>
      <c r="D16" s="35">
        <v>4</v>
      </c>
      <c r="E16" s="35">
        <v>2.2000000000000002</v>
      </c>
      <c r="F16" s="35">
        <v>1.4</v>
      </c>
      <c r="G16" s="35">
        <v>2</v>
      </c>
      <c r="H16" s="35">
        <v>1.6</v>
      </c>
      <c r="I16" s="35">
        <v>2</v>
      </c>
      <c r="J16" s="35">
        <v>3.6</v>
      </c>
      <c r="K16" s="35">
        <v>2</v>
      </c>
      <c r="L16" s="35">
        <v>3.5</v>
      </c>
      <c r="M16" s="35">
        <v>2</v>
      </c>
      <c r="N16" s="35">
        <v>3.7</v>
      </c>
      <c r="O16" s="35">
        <v>3</v>
      </c>
      <c r="P16" s="35">
        <v>3.8</v>
      </c>
      <c r="Q16" s="35">
        <v>2</v>
      </c>
      <c r="R16" s="35">
        <v>2.6</v>
      </c>
      <c r="S16" s="35">
        <v>2</v>
      </c>
      <c r="T16" s="35">
        <v>3.1</v>
      </c>
      <c r="U16" s="35">
        <v>2</v>
      </c>
      <c r="V16" s="35">
        <v>7.4</v>
      </c>
      <c r="W16" s="35">
        <v>9</v>
      </c>
      <c r="X16" s="35">
        <v>9.1999999999999993</v>
      </c>
      <c r="Y16" s="35">
        <v>9</v>
      </c>
      <c r="Z16" s="35">
        <v>8.9</v>
      </c>
      <c r="AA16" s="35">
        <v>9</v>
      </c>
      <c r="AB16" s="35">
        <v>9.1</v>
      </c>
      <c r="AC16" s="35">
        <v>9</v>
      </c>
      <c r="AD16" s="35">
        <v>19.899999999999999</v>
      </c>
      <c r="AE16" s="35">
        <v>19</v>
      </c>
      <c r="AF16" s="35">
        <v>20.399999999999999</v>
      </c>
      <c r="AG16" s="35">
        <v>19</v>
      </c>
      <c r="AH16" s="35">
        <v>20.9</v>
      </c>
      <c r="AI16" s="35">
        <v>19</v>
      </c>
      <c r="AJ16" s="35">
        <v>19.100000000000001</v>
      </c>
      <c r="AK16" s="35">
        <v>19</v>
      </c>
      <c r="AL16" s="35">
        <v>19.8</v>
      </c>
      <c r="AM16" s="35">
        <v>19</v>
      </c>
      <c r="AN16" s="35">
        <v>19.899999999999999</v>
      </c>
      <c r="AO16" s="35">
        <v>19</v>
      </c>
      <c r="AP16" s="35">
        <v>20.7</v>
      </c>
      <c r="AQ16" s="35">
        <v>19</v>
      </c>
      <c r="AR16" s="35">
        <v>20.5</v>
      </c>
      <c r="AS16" s="35">
        <v>19</v>
      </c>
      <c r="AT16" s="35">
        <v>20.399999999999999</v>
      </c>
      <c r="AU16" s="35">
        <v>19</v>
      </c>
      <c r="AV16" s="35">
        <v>18.8</v>
      </c>
      <c r="AW16" s="35">
        <v>19</v>
      </c>
      <c r="AX16" s="35">
        <v>21.5</v>
      </c>
      <c r="AY16" s="35">
        <v>20</v>
      </c>
      <c r="AZ16" s="35">
        <v>21.7</v>
      </c>
      <c r="BA16" s="35">
        <v>20</v>
      </c>
      <c r="BB16" s="35">
        <v>29.8</v>
      </c>
      <c r="BC16" s="35">
        <v>40</v>
      </c>
      <c r="BD16" s="35">
        <v>29</v>
      </c>
      <c r="BE16" s="35">
        <v>40</v>
      </c>
      <c r="BF16" s="35">
        <v>20.5</v>
      </c>
      <c r="BG16" s="35">
        <v>20</v>
      </c>
    </row>
    <row r="17" spans="1:59" x14ac:dyDescent="0.35">
      <c r="A17" s="36">
        <v>46059.447916666664</v>
      </c>
      <c r="B17" s="35">
        <v>3.9</v>
      </c>
      <c r="C17" s="35">
        <v>2</v>
      </c>
      <c r="D17" s="35">
        <v>4.2</v>
      </c>
      <c r="E17" s="35">
        <v>2.2000000000000002</v>
      </c>
      <c r="F17" s="35">
        <v>1.4</v>
      </c>
      <c r="G17" s="35">
        <v>2</v>
      </c>
      <c r="H17" s="35">
        <v>1.8</v>
      </c>
      <c r="I17" s="35">
        <v>2</v>
      </c>
      <c r="J17" s="35">
        <v>3.9</v>
      </c>
      <c r="K17" s="35">
        <v>2</v>
      </c>
      <c r="L17" s="35">
        <v>3.8</v>
      </c>
      <c r="M17" s="35">
        <v>2</v>
      </c>
      <c r="N17" s="35">
        <v>3.8</v>
      </c>
      <c r="O17" s="35">
        <v>3</v>
      </c>
      <c r="P17" s="35">
        <v>3.9</v>
      </c>
      <c r="Q17" s="35">
        <v>2</v>
      </c>
      <c r="R17" s="35">
        <v>2.2999999999999998</v>
      </c>
      <c r="S17" s="35">
        <v>2</v>
      </c>
      <c r="T17" s="35">
        <v>3.1</v>
      </c>
      <c r="U17" s="35">
        <v>2</v>
      </c>
      <c r="V17" s="35">
        <v>8</v>
      </c>
      <c r="W17" s="35">
        <v>9</v>
      </c>
      <c r="X17" s="35">
        <v>9.4</v>
      </c>
      <c r="Y17" s="35">
        <v>9</v>
      </c>
      <c r="Z17" s="35">
        <v>8.8000000000000007</v>
      </c>
      <c r="AA17" s="35">
        <v>9</v>
      </c>
      <c r="AB17" s="35">
        <v>9.6999999999999993</v>
      </c>
      <c r="AC17" s="35">
        <v>9</v>
      </c>
      <c r="AD17" s="35">
        <v>19.7</v>
      </c>
      <c r="AE17" s="35">
        <v>19</v>
      </c>
      <c r="AF17" s="35">
        <v>20.399999999999999</v>
      </c>
      <c r="AG17" s="35">
        <v>19</v>
      </c>
      <c r="AH17" s="35">
        <v>21</v>
      </c>
      <c r="AI17" s="35">
        <v>19</v>
      </c>
      <c r="AJ17" s="35">
        <v>19.2</v>
      </c>
      <c r="AK17" s="35">
        <v>19</v>
      </c>
      <c r="AL17" s="35">
        <v>19.8</v>
      </c>
      <c r="AM17" s="35">
        <v>19</v>
      </c>
      <c r="AN17" s="35">
        <v>20</v>
      </c>
      <c r="AO17" s="35">
        <v>19</v>
      </c>
      <c r="AP17" s="35">
        <v>20.7</v>
      </c>
      <c r="AQ17" s="35">
        <v>19</v>
      </c>
      <c r="AR17" s="35">
        <v>20.5</v>
      </c>
      <c r="AS17" s="35">
        <v>19</v>
      </c>
      <c r="AT17" s="35">
        <v>20.5</v>
      </c>
      <c r="AU17" s="35">
        <v>19</v>
      </c>
      <c r="AV17" s="35">
        <v>18.899999999999999</v>
      </c>
      <c r="AW17" s="35">
        <v>19</v>
      </c>
      <c r="AX17" s="35">
        <v>21.4</v>
      </c>
      <c r="AY17" s="35">
        <v>20</v>
      </c>
      <c r="AZ17" s="35">
        <v>21.3</v>
      </c>
      <c r="BA17" s="35">
        <v>20</v>
      </c>
      <c r="BB17" s="35">
        <v>29.8</v>
      </c>
      <c r="BC17" s="35">
        <v>40</v>
      </c>
      <c r="BD17" s="35">
        <v>29</v>
      </c>
      <c r="BE17" s="35">
        <v>40</v>
      </c>
      <c r="BF17" s="35">
        <v>20.7</v>
      </c>
      <c r="BG17" s="35">
        <v>20</v>
      </c>
    </row>
    <row r="18" spans="1:59" x14ac:dyDescent="0.35">
      <c r="A18" s="36">
        <v>46059.448611111111</v>
      </c>
      <c r="B18" s="35">
        <v>4.0999999999999996</v>
      </c>
      <c r="C18" s="35">
        <v>2</v>
      </c>
      <c r="D18" s="35">
        <v>4.4000000000000004</v>
      </c>
      <c r="E18" s="35">
        <v>2.2000000000000002</v>
      </c>
      <c r="F18" s="35">
        <v>1.9</v>
      </c>
      <c r="G18" s="35">
        <v>2</v>
      </c>
      <c r="H18" s="35">
        <v>2.2999999999999998</v>
      </c>
      <c r="I18" s="35">
        <v>2</v>
      </c>
      <c r="J18" s="35">
        <v>4</v>
      </c>
      <c r="K18" s="35">
        <v>2</v>
      </c>
      <c r="L18" s="35">
        <v>3.9</v>
      </c>
      <c r="M18" s="35">
        <v>2</v>
      </c>
      <c r="N18" s="35">
        <v>3.7</v>
      </c>
      <c r="O18" s="35">
        <v>3</v>
      </c>
      <c r="P18" s="35">
        <v>3.8</v>
      </c>
      <c r="Q18" s="35">
        <v>2</v>
      </c>
      <c r="R18" s="35">
        <v>2.4</v>
      </c>
      <c r="S18" s="35">
        <v>2</v>
      </c>
      <c r="T18" s="35">
        <v>3.1</v>
      </c>
      <c r="U18" s="35">
        <v>2</v>
      </c>
      <c r="V18" s="35">
        <v>8.8000000000000007</v>
      </c>
      <c r="W18" s="35">
        <v>9</v>
      </c>
      <c r="X18" s="35">
        <v>9.6</v>
      </c>
      <c r="Y18" s="35">
        <v>9</v>
      </c>
      <c r="Z18" s="35">
        <v>9.1</v>
      </c>
      <c r="AA18" s="35">
        <v>9</v>
      </c>
      <c r="AB18" s="35">
        <v>10.199999999999999</v>
      </c>
      <c r="AC18" s="35">
        <v>9</v>
      </c>
      <c r="AD18" s="35">
        <v>19.600000000000001</v>
      </c>
      <c r="AE18" s="35">
        <v>19</v>
      </c>
      <c r="AF18" s="35">
        <v>20.5</v>
      </c>
      <c r="AG18" s="35">
        <v>19</v>
      </c>
      <c r="AH18" s="35">
        <v>20.2</v>
      </c>
      <c r="AI18" s="35">
        <v>19</v>
      </c>
      <c r="AJ18" s="35">
        <v>19.3</v>
      </c>
      <c r="AK18" s="35">
        <v>19</v>
      </c>
      <c r="AL18" s="35">
        <v>19.7</v>
      </c>
      <c r="AM18" s="35">
        <v>19</v>
      </c>
      <c r="AN18" s="35">
        <v>20.100000000000001</v>
      </c>
      <c r="AO18" s="35">
        <v>19</v>
      </c>
      <c r="AP18" s="35">
        <v>20.7</v>
      </c>
      <c r="AQ18" s="35">
        <v>19</v>
      </c>
      <c r="AR18" s="35">
        <v>20.5</v>
      </c>
      <c r="AS18" s="35">
        <v>19</v>
      </c>
      <c r="AT18" s="35">
        <v>20.5</v>
      </c>
      <c r="AU18" s="35">
        <v>19</v>
      </c>
      <c r="AV18" s="35">
        <v>19</v>
      </c>
      <c r="AW18" s="35">
        <v>19</v>
      </c>
      <c r="AX18" s="35">
        <v>21.3</v>
      </c>
      <c r="AY18" s="35">
        <v>20</v>
      </c>
      <c r="AZ18" s="35">
        <v>21.1</v>
      </c>
      <c r="BA18" s="35">
        <v>20</v>
      </c>
      <c r="BB18" s="35">
        <v>29.9</v>
      </c>
      <c r="BC18" s="35">
        <v>40</v>
      </c>
      <c r="BD18" s="35">
        <v>29</v>
      </c>
      <c r="BE18" s="35">
        <v>40</v>
      </c>
      <c r="BF18" s="35">
        <v>21</v>
      </c>
      <c r="BG18" s="35">
        <v>20</v>
      </c>
    </row>
    <row r="19" spans="1:59" x14ac:dyDescent="0.35">
      <c r="A19" s="36">
        <v>46059.449305555558</v>
      </c>
      <c r="B19" s="35">
        <v>3.8</v>
      </c>
      <c r="C19" s="35">
        <v>2</v>
      </c>
      <c r="D19" s="35">
        <v>3.9</v>
      </c>
      <c r="E19" s="35">
        <v>2.2000000000000002</v>
      </c>
      <c r="F19" s="35">
        <v>2.2999999999999998</v>
      </c>
      <c r="G19" s="35">
        <v>2</v>
      </c>
      <c r="H19" s="35">
        <v>2.8</v>
      </c>
      <c r="I19" s="35">
        <v>2</v>
      </c>
      <c r="J19" s="35">
        <v>2.8</v>
      </c>
      <c r="K19" s="35">
        <v>2</v>
      </c>
      <c r="L19" s="35">
        <v>2.7</v>
      </c>
      <c r="M19" s="35">
        <v>2</v>
      </c>
      <c r="N19" s="35">
        <v>2.4</v>
      </c>
      <c r="O19" s="35">
        <v>3</v>
      </c>
      <c r="P19" s="35">
        <v>2.9</v>
      </c>
      <c r="Q19" s="35">
        <v>2</v>
      </c>
      <c r="R19" s="35">
        <v>2.5</v>
      </c>
      <c r="S19" s="35">
        <v>2</v>
      </c>
      <c r="T19" s="35">
        <v>3.1</v>
      </c>
      <c r="U19" s="35">
        <v>2</v>
      </c>
      <c r="V19" s="35">
        <v>9.6</v>
      </c>
      <c r="W19" s="35">
        <v>9</v>
      </c>
      <c r="X19" s="35">
        <v>9.6999999999999993</v>
      </c>
      <c r="Y19" s="35">
        <v>9</v>
      </c>
      <c r="Z19" s="35">
        <v>9.4</v>
      </c>
      <c r="AA19" s="35">
        <v>9</v>
      </c>
      <c r="AB19" s="35">
        <v>10.6</v>
      </c>
      <c r="AC19" s="35">
        <v>9</v>
      </c>
      <c r="AD19" s="35">
        <v>19.3</v>
      </c>
      <c r="AE19" s="35">
        <v>19</v>
      </c>
      <c r="AF19" s="35">
        <v>20.5</v>
      </c>
      <c r="AG19" s="35">
        <v>19</v>
      </c>
      <c r="AH19" s="35">
        <v>19</v>
      </c>
      <c r="AI19" s="35">
        <v>19</v>
      </c>
      <c r="AJ19" s="35">
        <v>19.399999999999999</v>
      </c>
      <c r="AK19" s="35">
        <v>19</v>
      </c>
      <c r="AL19" s="35">
        <v>19.600000000000001</v>
      </c>
      <c r="AM19" s="35">
        <v>19</v>
      </c>
      <c r="AN19" s="35">
        <v>20.2</v>
      </c>
      <c r="AO19" s="35">
        <v>19</v>
      </c>
      <c r="AP19" s="35">
        <v>20.7</v>
      </c>
      <c r="AQ19" s="35">
        <v>19</v>
      </c>
      <c r="AR19" s="35">
        <v>20.5</v>
      </c>
      <c r="AS19" s="35">
        <v>19</v>
      </c>
      <c r="AT19" s="35">
        <v>20.6</v>
      </c>
      <c r="AU19" s="35">
        <v>19</v>
      </c>
      <c r="AV19" s="35">
        <v>19.2</v>
      </c>
      <c r="AW19" s="35">
        <v>19</v>
      </c>
      <c r="AX19" s="35">
        <v>21.2</v>
      </c>
      <c r="AY19" s="35">
        <v>20</v>
      </c>
      <c r="AZ19" s="35">
        <v>20.9</v>
      </c>
      <c r="BA19" s="35">
        <v>20</v>
      </c>
      <c r="BB19" s="35">
        <v>29.9</v>
      </c>
      <c r="BC19" s="35">
        <v>40</v>
      </c>
      <c r="BD19" s="35">
        <v>29</v>
      </c>
      <c r="BE19" s="35">
        <v>40</v>
      </c>
      <c r="BF19" s="35">
        <v>21.3</v>
      </c>
      <c r="BG19" s="35">
        <v>20</v>
      </c>
    </row>
    <row r="20" spans="1:59" x14ac:dyDescent="0.35">
      <c r="A20" s="36">
        <v>46059.45</v>
      </c>
      <c r="B20" s="35">
        <v>3</v>
      </c>
      <c r="C20" s="35">
        <v>2</v>
      </c>
      <c r="D20" s="35">
        <v>3.2</v>
      </c>
      <c r="E20" s="35">
        <v>2.2000000000000002</v>
      </c>
      <c r="F20" s="35">
        <v>2.7</v>
      </c>
      <c r="G20" s="35">
        <v>2</v>
      </c>
      <c r="H20" s="35">
        <v>3.2</v>
      </c>
      <c r="I20" s="35">
        <v>2</v>
      </c>
      <c r="J20" s="35">
        <v>1.9</v>
      </c>
      <c r="K20" s="35">
        <v>2</v>
      </c>
      <c r="L20" s="35">
        <v>1.8</v>
      </c>
      <c r="M20" s="35">
        <v>2</v>
      </c>
      <c r="N20" s="35">
        <v>1.4</v>
      </c>
      <c r="O20" s="35">
        <v>3</v>
      </c>
      <c r="P20" s="35">
        <v>2.1</v>
      </c>
      <c r="Q20" s="35">
        <v>2</v>
      </c>
      <c r="R20" s="35">
        <v>2.5</v>
      </c>
      <c r="S20" s="35">
        <v>2</v>
      </c>
      <c r="T20" s="35">
        <v>3.1</v>
      </c>
      <c r="U20" s="35">
        <v>2</v>
      </c>
      <c r="V20" s="35">
        <v>10.1</v>
      </c>
      <c r="W20" s="35">
        <v>9</v>
      </c>
      <c r="X20" s="35">
        <v>9.9</v>
      </c>
      <c r="Y20" s="35">
        <v>9</v>
      </c>
      <c r="Z20" s="35">
        <v>9.9</v>
      </c>
      <c r="AA20" s="35">
        <v>9</v>
      </c>
      <c r="AB20" s="35">
        <v>10.9</v>
      </c>
      <c r="AC20" s="35">
        <v>9</v>
      </c>
      <c r="AD20" s="35">
        <v>19.3</v>
      </c>
      <c r="AE20" s="35">
        <v>19</v>
      </c>
      <c r="AF20" s="35">
        <v>20.5</v>
      </c>
      <c r="AG20" s="35">
        <v>19</v>
      </c>
      <c r="AH20" s="35">
        <v>18.8</v>
      </c>
      <c r="AI20" s="35">
        <v>19</v>
      </c>
      <c r="AJ20" s="35">
        <v>19.600000000000001</v>
      </c>
      <c r="AK20" s="35">
        <v>19</v>
      </c>
      <c r="AL20" s="35">
        <v>19.600000000000001</v>
      </c>
      <c r="AM20" s="35">
        <v>19</v>
      </c>
      <c r="AN20" s="35">
        <v>20.3</v>
      </c>
      <c r="AO20" s="35">
        <v>19</v>
      </c>
      <c r="AP20" s="35">
        <v>20.7</v>
      </c>
      <c r="AQ20" s="35">
        <v>19</v>
      </c>
      <c r="AR20" s="35">
        <v>20.5</v>
      </c>
      <c r="AS20" s="35">
        <v>19</v>
      </c>
      <c r="AT20" s="35">
        <v>20.7</v>
      </c>
      <c r="AU20" s="35">
        <v>19</v>
      </c>
      <c r="AV20" s="35">
        <v>19.3</v>
      </c>
      <c r="AW20" s="35">
        <v>19</v>
      </c>
      <c r="AX20" s="35">
        <v>21.1</v>
      </c>
      <c r="AY20" s="35">
        <v>20</v>
      </c>
      <c r="AZ20" s="35">
        <v>20.8</v>
      </c>
      <c r="BA20" s="35">
        <v>20</v>
      </c>
      <c r="BB20" s="35">
        <v>29.9</v>
      </c>
      <c r="BC20" s="35">
        <v>40</v>
      </c>
      <c r="BD20" s="35">
        <v>29</v>
      </c>
      <c r="BE20" s="35">
        <v>40</v>
      </c>
      <c r="BF20" s="35">
        <v>21.4</v>
      </c>
      <c r="BG20" s="35">
        <v>20</v>
      </c>
    </row>
    <row r="21" spans="1:59" x14ac:dyDescent="0.35">
      <c r="A21" s="36">
        <v>46059.450694444444</v>
      </c>
      <c r="B21" s="35">
        <v>2.5</v>
      </c>
      <c r="C21" s="35">
        <v>2</v>
      </c>
      <c r="D21" s="35">
        <v>2.6</v>
      </c>
      <c r="E21" s="35">
        <v>2.2000000000000002</v>
      </c>
      <c r="F21" s="35">
        <v>3.1</v>
      </c>
      <c r="G21" s="35">
        <v>2</v>
      </c>
      <c r="H21" s="35">
        <v>3.5</v>
      </c>
      <c r="I21" s="35">
        <v>2</v>
      </c>
      <c r="J21" s="35">
        <v>1.8</v>
      </c>
      <c r="K21" s="35">
        <v>2</v>
      </c>
      <c r="L21" s="35">
        <v>1.9</v>
      </c>
      <c r="M21" s="35">
        <v>2</v>
      </c>
      <c r="N21" s="35">
        <v>1.2</v>
      </c>
      <c r="O21" s="35">
        <v>3</v>
      </c>
      <c r="P21" s="35">
        <v>1.9</v>
      </c>
      <c r="Q21" s="35">
        <v>2</v>
      </c>
      <c r="R21" s="35">
        <v>2.1</v>
      </c>
      <c r="S21" s="35">
        <v>2</v>
      </c>
      <c r="T21" s="35">
        <v>3.1</v>
      </c>
      <c r="U21" s="35">
        <v>2</v>
      </c>
      <c r="V21" s="35">
        <v>10.5</v>
      </c>
      <c r="W21" s="35">
        <v>9</v>
      </c>
      <c r="X21" s="35">
        <v>10.1</v>
      </c>
      <c r="Y21" s="35">
        <v>9</v>
      </c>
      <c r="Z21" s="35">
        <v>10.1</v>
      </c>
      <c r="AA21" s="35">
        <v>9</v>
      </c>
      <c r="AB21" s="35">
        <v>10.8</v>
      </c>
      <c r="AC21" s="35">
        <v>9</v>
      </c>
      <c r="AD21" s="35">
        <v>19.2</v>
      </c>
      <c r="AE21" s="35">
        <v>19</v>
      </c>
      <c r="AF21" s="35">
        <v>20.6</v>
      </c>
      <c r="AG21" s="35">
        <v>19</v>
      </c>
      <c r="AH21" s="35">
        <v>18.8</v>
      </c>
      <c r="AI21" s="35">
        <v>19</v>
      </c>
      <c r="AJ21" s="35">
        <v>19.7</v>
      </c>
      <c r="AK21" s="35">
        <v>19</v>
      </c>
      <c r="AL21" s="35">
        <v>19.600000000000001</v>
      </c>
      <c r="AM21" s="35">
        <v>19</v>
      </c>
      <c r="AN21" s="35">
        <v>20.399999999999999</v>
      </c>
      <c r="AO21" s="35">
        <v>19</v>
      </c>
      <c r="AP21" s="35">
        <v>20.7</v>
      </c>
      <c r="AQ21" s="35">
        <v>19</v>
      </c>
      <c r="AR21" s="35">
        <v>20.5</v>
      </c>
      <c r="AS21" s="35">
        <v>19</v>
      </c>
      <c r="AT21" s="35">
        <v>20.7</v>
      </c>
      <c r="AU21" s="35">
        <v>19</v>
      </c>
      <c r="AV21" s="35">
        <v>19.399999999999999</v>
      </c>
      <c r="AW21" s="35">
        <v>19</v>
      </c>
      <c r="AX21" s="35">
        <v>21</v>
      </c>
      <c r="AY21" s="35">
        <v>20</v>
      </c>
      <c r="AZ21" s="35">
        <v>20.7</v>
      </c>
      <c r="BA21" s="35">
        <v>20</v>
      </c>
      <c r="BB21" s="35">
        <v>29.9</v>
      </c>
      <c r="BC21" s="35">
        <v>40</v>
      </c>
      <c r="BD21" s="35">
        <v>29.1</v>
      </c>
      <c r="BE21" s="35">
        <v>40</v>
      </c>
      <c r="BF21" s="35">
        <v>21.5</v>
      </c>
      <c r="BG21" s="35">
        <v>20</v>
      </c>
    </row>
    <row r="22" spans="1:59" x14ac:dyDescent="0.35">
      <c r="A22" s="36">
        <v>46059.451388888891</v>
      </c>
      <c r="B22" s="35">
        <v>2.1</v>
      </c>
      <c r="C22" s="35">
        <v>2</v>
      </c>
      <c r="D22" s="35">
        <v>2.2999999999999998</v>
      </c>
      <c r="E22" s="35">
        <v>2.2000000000000002</v>
      </c>
      <c r="F22" s="35">
        <v>3.4</v>
      </c>
      <c r="G22" s="35">
        <v>2</v>
      </c>
      <c r="H22" s="35">
        <v>3.9</v>
      </c>
      <c r="I22" s="35">
        <v>2</v>
      </c>
      <c r="J22" s="35">
        <v>1.8</v>
      </c>
      <c r="K22" s="35">
        <v>2</v>
      </c>
      <c r="L22" s="35">
        <v>2.2999999999999998</v>
      </c>
      <c r="M22" s="35">
        <v>2</v>
      </c>
      <c r="N22" s="35">
        <v>1.3</v>
      </c>
      <c r="O22" s="35">
        <v>3</v>
      </c>
      <c r="P22" s="35">
        <v>2.1</v>
      </c>
      <c r="Q22" s="35">
        <v>2</v>
      </c>
      <c r="R22" s="35">
        <v>2</v>
      </c>
      <c r="S22" s="35">
        <v>2</v>
      </c>
      <c r="T22" s="35">
        <v>3.1</v>
      </c>
      <c r="U22" s="35">
        <v>2</v>
      </c>
      <c r="V22" s="35">
        <v>10.9</v>
      </c>
      <c r="W22" s="35">
        <v>9</v>
      </c>
      <c r="X22" s="35">
        <v>10.199999999999999</v>
      </c>
      <c r="Y22" s="35">
        <v>9</v>
      </c>
      <c r="Z22" s="35">
        <v>10.4</v>
      </c>
      <c r="AA22" s="35">
        <v>9</v>
      </c>
      <c r="AB22" s="35">
        <v>9.4</v>
      </c>
      <c r="AC22" s="35">
        <v>9</v>
      </c>
      <c r="AD22" s="35">
        <v>19.100000000000001</v>
      </c>
      <c r="AE22" s="35">
        <v>19</v>
      </c>
      <c r="AF22" s="35">
        <v>20.6</v>
      </c>
      <c r="AG22" s="35">
        <v>19</v>
      </c>
      <c r="AH22" s="35">
        <v>19</v>
      </c>
      <c r="AI22" s="35">
        <v>19</v>
      </c>
      <c r="AJ22" s="35">
        <v>19.8</v>
      </c>
      <c r="AK22" s="35">
        <v>19</v>
      </c>
      <c r="AL22" s="35">
        <v>19.600000000000001</v>
      </c>
      <c r="AM22" s="35">
        <v>19</v>
      </c>
      <c r="AN22" s="35">
        <v>20.399999999999999</v>
      </c>
      <c r="AO22" s="35">
        <v>19</v>
      </c>
      <c r="AP22" s="35">
        <v>20.7</v>
      </c>
      <c r="AQ22" s="35">
        <v>19</v>
      </c>
      <c r="AR22" s="35">
        <v>20.5</v>
      </c>
      <c r="AS22" s="35">
        <v>19</v>
      </c>
      <c r="AT22" s="35">
        <v>20.8</v>
      </c>
      <c r="AU22" s="35">
        <v>19</v>
      </c>
      <c r="AV22" s="35">
        <v>19.5</v>
      </c>
      <c r="AW22" s="35">
        <v>19</v>
      </c>
      <c r="AX22" s="35">
        <v>20.9</v>
      </c>
      <c r="AY22" s="35">
        <v>20</v>
      </c>
      <c r="AZ22" s="35">
        <v>20.6</v>
      </c>
      <c r="BA22" s="35">
        <v>20</v>
      </c>
      <c r="BB22" s="35">
        <v>29.9</v>
      </c>
      <c r="BC22" s="35">
        <v>40</v>
      </c>
      <c r="BD22" s="35">
        <v>29.1</v>
      </c>
      <c r="BE22" s="35">
        <v>40</v>
      </c>
      <c r="BF22" s="35">
        <v>21.6</v>
      </c>
      <c r="BG22" s="35">
        <v>20</v>
      </c>
    </row>
    <row r="23" spans="1:59" x14ac:dyDescent="0.35">
      <c r="A23" s="36">
        <v>46059.45208333333</v>
      </c>
      <c r="B23" s="35">
        <v>2</v>
      </c>
      <c r="C23" s="35">
        <v>2</v>
      </c>
      <c r="D23" s="35">
        <v>2.1</v>
      </c>
      <c r="E23" s="35">
        <v>2.2000000000000002</v>
      </c>
      <c r="F23" s="35">
        <v>3.5</v>
      </c>
      <c r="G23" s="35">
        <v>2</v>
      </c>
      <c r="H23" s="35">
        <v>3.6</v>
      </c>
      <c r="I23" s="35">
        <v>2</v>
      </c>
      <c r="J23" s="35">
        <v>2.1</v>
      </c>
      <c r="K23" s="35">
        <v>2</v>
      </c>
      <c r="L23" s="35">
        <v>2.7</v>
      </c>
      <c r="M23" s="35">
        <v>2</v>
      </c>
      <c r="N23" s="35">
        <v>1.7</v>
      </c>
      <c r="O23" s="35">
        <v>3</v>
      </c>
      <c r="P23" s="35">
        <v>2.4</v>
      </c>
      <c r="Q23" s="35">
        <v>2</v>
      </c>
      <c r="R23" s="35">
        <v>2.9</v>
      </c>
      <c r="S23" s="35">
        <v>2</v>
      </c>
      <c r="T23" s="35">
        <v>3.1</v>
      </c>
      <c r="U23" s="35">
        <v>2</v>
      </c>
      <c r="V23" s="35">
        <v>10.3</v>
      </c>
      <c r="W23" s="35">
        <v>9</v>
      </c>
      <c r="X23" s="35">
        <v>10.3</v>
      </c>
      <c r="Y23" s="35">
        <v>9</v>
      </c>
      <c r="Z23" s="35">
        <v>10.6</v>
      </c>
      <c r="AA23" s="35">
        <v>9</v>
      </c>
      <c r="AB23" s="35">
        <v>8.3000000000000007</v>
      </c>
      <c r="AC23" s="35">
        <v>9</v>
      </c>
      <c r="AD23" s="35">
        <v>19</v>
      </c>
      <c r="AE23" s="35">
        <v>19</v>
      </c>
      <c r="AF23" s="35">
        <v>20.6</v>
      </c>
      <c r="AG23" s="35">
        <v>19</v>
      </c>
      <c r="AH23" s="35">
        <v>19.3</v>
      </c>
      <c r="AI23" s="35">
        <v>19</v>
      </c>
      <c r="AJ23" s="35">
        <v>19.899999999999999</v>
      </c>
      <c r="AK23" s="35">
        <v>19</v>
      </c>
      <c r="AL23" s="35">
        <v>19.5</v>
      </c>
      <c r="AM23" s="35">
        <v>19</v>
      </c>
      <c r="AN23" s="35">
        <v>20.5</v>
      </c>
      <c r="AO23" s="35">
        <v>19</v>
      </c>
      <c r="AP23" s="35">
        <v>20.7</v>
      </c>
      <c r="AQ23" s="35">
        <v>19</v>
      </c>
      <c r="AR23" s="35">
        <v>20.5</v>
      </c>
      <c r="AS23" s="35">
        <v>19</v>
      </c>
      <c r="AT23" s="35">
        <v>20.9</v>
      </c>
      <c r="AU23" s="35">
        <v>19</v>
      </c>
      <c r="AV23" s="35">
        <v>19.600000000000001</v>
      </c>
      <c r="AW23" s="35">
        <v>19</v>
      </c>
      <c r="AX23" s="35">
        <v>20.9</v>
      </c>
      <c r="AY23" s="35">
        <v>20</v>
      </c>
      <c r="AZ23" s="35">
        <v>20.5</v>
      </c>
      <c r="BA23" s="35">
        <v>20</v>
      </c>
      <c r="BB23" s="35">
        <v>30</v>
      </c>
      <c r="BC23" s="35">
        <v>40</v>
      </c>
      <c r="BD23" s="35">
        <v>29.1</v>
      </c>
      <c r="BE23" s="35">
        <v>40</v>
      </c>
      <c r="BF23" s="35">
        <v>21.7</v>
      </c>
      <c r="BG23" s="35">
        <v>20</v>
      </c>
    </row>
    <row r="24" spans="1:59" x14ac:dyDescent="0.35">
      <c r="A24" s="36">
        <v>46059.452777777777</v>
      </c>
      <c r="B24" s="35">
        <v>2</v>
      </c>
      <c r="C24" s="35">
        <v>2</v>
      </c>
      <c r="D24" s="35">
        <v>2.2999999999999998</v>
      </c>
      <c r="E24" s="35">
        <v>2.2000000000000002</v>
      </c>
      <c r="F24" s="35">
        <v>3</v>
      </c>
      <c r="G24" s="35">
        <v>2</v>
      </c>
      <c r="H24" s="35">
        <v>2.2000000000000002</v>
      </c>
      <c r="I24" s="35">
        <v>2</v>
      </c>
      <c r="J24" s="35">
        <v>2.2000000000000002</v>
      </c>
      <c r="K24" s="35">
        <v>2</v>
      </c>
      <c r="L24" s="35">
        <v>3</v>
      </c>
      <c r="M24" s="35">
        <v>2</v>
      </c>
      <c r="N24" s="35">
        <v>2.1</v>
      </c>
      <c r="O24" s="35">
        <v>3</v>
      </c>
      <c r="P24" s="35">
        <v>2.7</v>
      </c>
      <c r="Q24" s="35">
        <v>2</v>
      </c>
      <c r="R24" s="35">
        <v>3.8</v>
      </c>
      <c r="S24" s="35">
        <v>2</v>
      </c>
      <c r="T24" s="35">
        <v>18.5</v>
      </c>
      <c r="U24" s="35">
        <v>2</v>
      </c>
      <c r="V24" s="35">
        <v>8.1999999999999993</v>
      </c>
      <c r="W24" s="35">
        <v>9</v>
      </c>
      <c r="X24" s="35">
        <v>10.4</v>
      </c>
      <c r="Y24" s="35">
        <v>9</v>
      </c>
      <c r="Z24" s="35">
        <v>10.8</v>
      </c>
      <c r="AA24" s="35">
        <v>9</v>
      </c>
      <c r="AB24" s="35">
        <v>8.4</v>
      </c>
      <c r="AC24" s="35">
        <v>9</v>
      </c>
      <c r="AD24" s="35">
        <v>19</v>
      </c>
      <c r="AE24" s="35">
        <v>19</v>
      </c>
      <c r="AF24" s="35">
        <v>20.7</v>
      </c>
      <c r="AG24" s="35">
        <v>19</v>
      </c>
      <c r="AH24" s="35">
        <v>19.5</v>
      </c>
      <c r="AI24" s="35">
        <v>19</v>
      </c>
      <c r="AJ24" s="35">
        <v>20</v>
      </c>
      <c r="AK24" s="35">
        <v>19</v>
      </c>
      <c r="AL24" s="35">
        <v>19.399999999999999</v>
      </c>
      <c r="AM24" s="35">
        <v>19</v>
      </c>
      <c r="AN24" s="35">
        <v>20.6</v>
      </c>
      <c r="AO24" s="35">
        <v>19</v>
      </c>
      <c r="AP24" s="35">
        <v>20.7</v>
      </c>
      <c r="AQ24" s="35">
        <v>19</v>
      </c>
      <c r="AR24" s="35">
        <v>20.5</v>
      </c>
      <c r="AS24" s="35">
        <v>19</v>
      </c>
      <c r="AT24" s="35">
        <v>20.9</v>
      </c>
      <c r="AU24" s="35">
        <v>19</v>
      </c>
      <c r="AV24" s="35">
        <v>19.7</v>
      </c>
      <c r="AW24" s="35">
        <v>19</v>
      </c>
      <c r="AX24" s="35">
        <v>20.7</v>
      </c>
      <c r="AY24" s="35">
        <v>20</v>
      </c>
      <c r="AZ24" s="35">
        <v>20.5</v>
      </c>
      <c r="BA24" s="35">
        <v>20</v>
      </c>
      <c r="BB24" s="35">
        <v>30</v>
      </c>
      <c r="BC24" s="35">
        <v>40</v>
      </c>
      <c r="BD24" s="35">
        <v>29.1</v>
      </c>
      <c r="BE24" s="35">
        <v>40</v>
      </c>
      <c r="BF24" s="35">
        <v>21.8</v>
      </c>
      <c r="BG24" s="35">
        <v>20</v>
      </c>
    </row>
    <row r="25" spans="1:59" x14ac:dyDescent="0.35">
      <c r="A25" s="36">
        <v>46059.453472222223</v>
      </c>
      <c r="B25" s="35">
        <v>2.4</v>
      </c>
      <c r="C25" s="35">
        <v>2</v>
      </c>
      <c r="D25" s="35">
        <v>2.7</v>
      </c>
      <c r="E25" s="35">
        <v>2.2000000000000002</v>
      </c>
      <c r="F25" s="35">
        <v>2.8</v>
      </c>
      <c r="G25" s="35">
        <v>2</v>
      </c>
      <c r="H25" s="35">
        <v>2</v>
      </c>
      <c r="I25" s="35">
        <v>2</v>
      </c>
      <c r="J25" s="35">
        <v>2.4</v>
      </c>
      <c r="K25" s="35">
        <v>2</v>
      </c>
      <c r="L25" s="35">
        <v>3.4</v>
      </c>
      <c r="M25" s="35">
        <v>2</v>
      </c>
      <c r="N25" s="35">
        <v>2.4</v>
      </c>
      <c r="O25" s="35">
        <v>3</v>
      </c>
      <c r="P25" s="35">
        <v>2.9</v>
      </c>
      <c r="Q25" s="35">
        <v>2</v>
      </c>
      <c r="R25" s="35">
        <v>3.6</v>
      </c>
      <c r="S25" s="35">
        <v>2</v>
      </c>
      <c r="T25" s="35">
        <v>11.2</v>
      </c>
      <c r="U25" s="35">
        <v>2</v>
      </c>
      <c r="V25" s="35">
        <v>7.9</v>
      </c>
      <c r="W25" s="35">
        <v>9</v>
      </c>
      <c r="X25" s="35">
        <v>10.5</v>
      </c>
      <c r="Y25" s="35">
        <v>9</v>
      </c>
      <c r="Z25" s="35">
        <v>10.9</v>
      </c>
      <c r="AA25" s="35">
        <v>9</v>
      </c>
      <c r="AB25" s="35">
        <v>9.1</v>
      </c>
      <c r="AC25" s="35">
        <v>9</v>
      </c>
      <c r="AD25" s="35">
        <v>19</v>
      </c>
      <c r="AE25" s="35">
        <v>19</v>
      </c>
      <c r="AF25" s="35">
        <v>20.7</v>
      </c>
      <c r="AG25" s="35">
        <v>19</v>
      </c>
      <c r="AH25" s="35">
        <v>19.600000000000001</v>
      </c>
      <c r="AI25" s="35">
        <v>19</v>
      </c>
      <c r="AJ25" s="35">
        <v>20</v>
      </c>
      <c r="AK25" s="35">
        <v>19</v>
      </c>
      <c r="AL25" s="35">
        <v>19.3</v>
      </c>
      <c r="AM25" s="35">
        <v>19</v>
      </c>
      <c r="AN25" s="35">
        <v>20.6</v>
      </c>
      <c r="AO25" s="35">
        <v>19</v>
      </c>
      <c r="AP25" s="35">
        <v>20.7</v>
      </c>
      <c r="AQ25" s="35">
        <v>19</v>
      </c>
      <c r="AR25" s="35">
        <v>20.5</v>
      </c>
      <c r="AS25" s="35">
        <v>19</v>
      </c>
      <c r="AT25" s="35">
        <v>21</v>
      </c>
      <c r="AU25" s="35">
        <v>19</v>
      </c>
      <c r="AV25" s="35">
        <v>19.7</v>
      </c>
      <c r="AW25" s="35">
        <v>19</v>
      </c>
      <c r="AX25" s="35">
        <v>20.7</v>
      </c>
      <c r="AY25" s="35">
        <v>20</v>
      </c>
      <c r="AZ25" s="35">
        <v>20.399999999999999</v>
      </c>
      <c r="BA25" s="35">
        <v>20</v>
      </c>
      <c r="BB25" s="35">
        <v>30</v>
      </c>
      <c r="BC25" s="35">
        <v>40</v>
      </c>
      <c r="BD25" s="35">
        <v>29.1</v>
      </c>
      <c r="BE25" s="35">
        <v>40</v>
      </c>
      <c r="BF25" s="35">
        <v>21.8</v>
      </c>
      <c r="BG25" s="35">
        <v>20</v>
      </c>
    </row>
    <row r="26" spans="1:59" x14ac:dyDescent="0.35">
      <c r="A26" s="36">
        <v>46059.45416666667</v>
      </c>
      <c r="B26" s="35">
        <v>2.7</v>
      </c>
      <c r="C26" s="35">
        <v>2</v>
      </c>
      <c r="D26" s="35">
        <v>3.1</v>
      </c>
      <c r="E26" s="35">
        <v>2.2000000000000002</v>
      </c>
      <c r="F26" s="35">
        <v>2.8</v>
      </c>
      <c r="G26" s="35">
        <v>2</v>
      </c>
      <c r="H26" s="35">
        <v>2.4</v>
      </c>
      <c r="I26" s="35">
        <v>2</v>
      </c>
      <c r="J26" s="35">
        <v>2.7</v>
      </c>
      <c r="K26" s="35">
        <v>2</v>
      </c>
      <c r="L26" s="35">
        <v>3.6</v>
      </c>
      <c r="M26" s="35">
        <v>2</v>
      </c>
      <c r="N26" s="35">
        <v>2.7</v>
      </c>
      <c r="O26" s="35">
        <v>3</v>
      </c>
      <c r="P26" s="35">
        <v>3.2</v>
      </c>
      <c r="Q26" s="35">
        <v>2</v>
      </c>
      <c r="R26" s="35">
        <v>3.1</v>
      </c>
      <c r="S26" s="35">
        <v>2</v>
      </c>
      <c r="T26" s="35">
        <v>6.1</v>
      </c>
      <c r="U26" s="35">
        <v>2</v>
      </c>
      <c r="V26" s="35">
        <v>8.3000000000000007</v>
      </c>
      <c r="W26" s="35">
        <v>9</v>
      </c>
      <c r="X26" s="35">
        <v>10.5</v>
      </c>
      <c r="Y26" s="35">
        <v>9</v>
      </c>
      <c r="Z26" s="35">
        <v>11</v>
      </c>
      <c r="AA26" s="35">
        <v>9</v>
      </c>
      <c r="AB26" s="35">
        <v>9.6</v>
      </c>
      <c r="AC26" s="35">
        <v>9</v>
      </c>
      <c r="AD26" s="35">
        <v>19.2</v>
      </c>
      <c r="AE26" s="35">
        <v>19</v>
      </c>
      <c r="AF26" s="35">
        <v>20.7</v>
      </c>
      <c r="AG26" s="35">
        <v>19</v>
      </c>
      <c r="AH26" s="35">
        <v>19.7</v>
      </c>
      <c r="AI26" s="35">
        <v>19</v>
      </c>
      <c r="AJ26" s="35">
        <v>20.100000000000001</v>
      </c>
      <c r="AK26" s="35">
        <v>19</v>
      </c>
      <c r="AL26" s="35">
        <v>19.3</v>
      </c>
      <c r="AM26" s="35">
        <v>19</v>
      </c>
      <c r="AN26" s="35">
        <v>20.7</v>
      </c>
      <c r="AO26" s="35">
        <v>19</v>
      </c>
      <c r="AP26" s="35">
        <v>20.7</v>
      </c>
      <c r="AQ26" s="35">
        <v>19</v>
      </c>
      <c r="AR26" s="35">
        <v>20.5</v>
      </c>
      <c r="AS26" s="35">
        <v>19</v>
      </c>
      <c r="AT26" s="35">
        <v>19.600000000000001</v>
      </c>
      <c r="AU26" s="35">
        <v>19</v>
      </c>
      <c r="AV26" s="35">
        <v>19.8</v>
      </c>
      <c r="AW26" s="35">
        <v>19</v>
      </c>
      <c r="AX26" s="35">
        <v>20.6</v>
      </c>
      <c r="AY26" s="35">
        <v>20</v>
      </c>
      <c r="AZ26" s="35">
        <v>20.399999999999999</v>
      </c>
      <c r="BA26" s="35">
        <v>20</v>
      </c>
      <c r="BB26" s="35">
        <v>30</v>
      </c>
      <c r="BC26" s="35">
        <v>40</v>
      </c>
      <c r="BD26" s="35">
        <v>29.2</v>
      </c>
      <c r="BE26" s="35">
        <v>40</v>
      </c>
      <c r="BF26" s="35">
        <v>21.9</v>
      </c>
      <c r="BG26" s="35">
        <v>20</v>
      </c>
    </row>
    <row r="27" spans="1:59" x14ac:dyDescent="0.35">
      <c r="A27" s="36">
        <v>46059.463888888888</v>
      </c>
      <c r="B27" s="35">
        <v>3.1</v>
      </c>
      <c r="C27" s="35">
        <v>2</v>
      </c>
      <c r="D27" s="35">
        <v>3.4</v>
      </c>
      <c r="E27" s="35">
        <v>2.2000000000000002</v>
      </c>
      <c r="F27" s="35">
        <v>3</v>
      </c>
      <c r="G27" s="35">
        <v>2</v>
      </c>
      <c r="H27" s="35">
        <v>2.8</v>
      </c>
      <c r="I27" s="35">
        <v>2</v>
      </c>
      <c r="J27" s="35">
        <v>3</v>
      </c>
      <c r="K27" s="35">
        <v>2</v>
      </c>
      <c r="L27" s="35">
        <v>3.8</v>
      </c>
      <c r="M27" s="35">
        <v>2</v>
      </c>
      <c r="N27" s="35">
        <v>3</v>
      </c>
      <c r="O27" s="35">
        <v>3</v>
      </c>
      <c r="P27" s="35">
        <v>3.3</v>
      </c>
      <c r="Q27" s="35">
        <v>2</v>
      </c>
      <c r="R27" s="35">
        <v>2.9</v>
      </c>
      <c r="S27" s="35">
        <v>2</v>
      </c>
      <c r="T27" s="35">
        <v>4.4000000000000004</v>
      </c>
      <c r="U27" s="35">
        <v>2</v>
      </c>
      <c r="V27" s="35">
        <v>9.1</v>
      </c>
      <c r="W27" s="35">
        <v>9</v>
      </c>
      <c r="X27" s="35">
        <v>10.6</v>
      </c>
      <c r="Y27" s="35">
        <v>9</v>
      </c>
      <c r="Z27" s="35">
        <v>10.5</v>
      </c>
      <c r="AA27" s="35">
        <v>9</v>
      </c>
      <c r="AB27" s="35">
        <v>10</v>
      </c>
      <c r="AC27" s="35">
        <v>9</v>
      </c>
      <c r="AD27" s="35">
        <v>19.3</v>
      </c>
      <c r="AE27" s="35">
        <v>19</v>
      </c>
      <c r="AF27" s="35">
        <v>20.7</v>
      </c>
      <c r="AG27" s="35">
        <v>19</v>
      </c>
      <c r="AH27" s="35">
        <v>19.8</v>
      </c>
      <c r="AI27" s="35">
        <v>19</v>
      </c>
      <c r="AJ27" s="35">
        <v>20.2</v>
      </c>
      <c r="AK27" s="35">
        <v>19</v>
      </c>
      <c r="AL27" s="35">
        <v>19.3</v>
      </c>
      <c r="AM27" s="35">
        <v>19</v>
      </c>
      <c r="AN27" s="35">
        <v>20.7</v>
      </c>
      <c r="AO27" s="35">
        <v>19</v>
      </c>
      <c r="AP27" s="35">
        <v>20.8</v>
      </c>
      <c r="AQ27" s="35">
        <v>19</v>
      </c>
      <c r="AR27" s="35">
        <v>20.5</v>
      </c>
      <c r="AS27" s="35">
        <v>19</v>
      </c>
      <c r="AT27" s="35">
        <v>19.3</v>
      </c>
      <c r="AU27" s="35">
        <v>19</v>
      </c>
      <c r="AV27" s="35">
        <v>19.899999999999999</v>
      </c>
      <c r="AW27" s="35">
        <v>19</v>
      </c>
      <c r="AX27" s="35">
        <v>20.6</v>
      </c>
      <c r="AY27" s="35">
        <v>20</v>
      </c>
      <c r="AZ27" s="35">
        <v>20.3</v>
      </c>
      <c r="BA27" s="35">
        <v>20</v>
      </c>
      <c r="BB27" s="35">
        <v>30.1</v>
      </c>
      <c r="BC27" s="35">
        <v>40</v>
      </c>
      <c r="BD27" s="35">
        <v>29.2</v>
      </c>
      <c r="BE27" s="35">
        <v>40</v>
      </c>
      <c r="BF27" s="35">
        <v>21.9</v>
      </c>
      <c r="BG27" s="35">
        <v>20</v>
      </c>
    </row>
    <row r="28" spans="1:59" x14ac:dyDescent="0.35">
      <c r="A28" s="36">
        <v>46059.464583333334</v>
      </c>
      <c r="B28" s="35">
        <v>3.8</v>
      </c>
      <c r="C28" s="35">
        <v>2</v>
      </c>
      <c r="D28" s="35">
        <v>4.2</v>
      </c>
      <c r="E28" s="35">
        <v>2.2000000000000002</v>
      </c>
      <c r="F28" s="35">
        <v>3.1</v>
      </c>
      <c r="G28" s="35">
        <v>2</v>
      </c>
      <c r="H28" s="35">
        <v>2.7</v>
      </c>
      <c r="I28" s="35">
        <v>2</v>
      </c>
      <c r="J28" s="35">
        <v>2.2000000000000002</v>
      </c>
      <c r="K28" s="35">
        <v>2</v>
      </c>
      <c r="L28" s="35">
        <v>1.7</v>
      </c>
      <c r="M28" s="35">
        <v>2</v>
      </c>
      <c r="N28" s="35">
        <v>3.1</v>
      </c>
      <c r="O28" s="35">
        <v>3</v>
      </c>
      <c r="P28" s="35">
        <v>3.4</v>
      </c>
      <c r="Q28" s="35">
        <v>2</v>
      </c>
      <c r="R28" s="35">
        <v>3</v>
      </c>
      <c r="S28" s="35">
        <v>2</v>
      </c>
      <c r="T28" s="35">
        <v>3.3</v>
      </c>
      <c r="U28" s="35">
        <v>2</v>
      </c>
      <c r="V28" s="35">
        <v>10.7</v>
      </c>
      <c r="W28" s="35">
        <v>9</v>
      </c>
      <c r="X28" s="35">
        <v>9</v>
      </c>
      <c r="Y28" s="35">
        <v>9</v>
      </c>
      <c r="Z28" s="35">
        <v>10.8</v>
      </c>
      <c r="AA28" s="35">
        <v>9</v>
      </c>
      <c r="AB28" s="35">
        <v>10.6</v>
      </c>
      <c r="AC28" s="35">
        <v>9</v>
      </c>
      <c r="AD28" s="35">
        <v>19.899999999999999</v>
      </c>
      <c r="AE28" s="35">
        <v>19</v>
      </c>
      <c r="AF28" s="35">
        <v>18.7</v>
      </c>
      <c r="AG28" s="35">
        <v>19</v>
      </c>
      <c r="AH28" s="35">
        <v>20.6</v>
      </c>
      <c r="AI28" s="35">
        <v>19</v>
      </c>
      <c r="AJ28" s="35">
        <v>19.3</v>
      </c>
      <c r="AK28" s="35">
        <v>19</v>
      </c>
      <c r="AL28" s="35">
        <v>20.7</v>
      </c>
      <c r="AM28" s="35">
        <v>19</v>
      </c>
      <c r="AN28" s="35">
        <v>18.8</v>
      </c>
      <c r="AO28" s="35">
        <v>19</v>
      </c>
      <c r="AP28" s="35">
        <v>20.9</v>
      </c>
      <c r="AQ28" s="35">
        <v>19</v>
      </c>
      <c r="AR28" s="35">
        <v>20.6</v>
      </c>
      <c r="AS28" s="35">
        <v>19</v>
      </c>
      <c r="AT28" s="35">
        <v>19.899999999999999</v>
      </c>
      <c r="AU28" s="35">
        <v>19</v>
      </c>
      <c r="AV28" s="35">
        <v>20.7</v>
      </c>
      <c r="AW28" s="35">
        <v>19</v>
      </c>
      <c r="AX28" s="35">
        <v>20.3</v>
      </c>
      <c r="AY28" s="35">
        <v>20</v>
      </c>
      <c r="AZ28" s="35">
        <v>19.8</v>
      </c>
      <c r="BA28" s="35">
        <v>20</v>
      </c>
      <c r="BB28" s="35">
        <v>30.3</v>
      </c>
      <c r="BC28" s="35">
        <v>40</v>
      </c>
      <c r="BD28" s="35">
        <v>29.5</v>
      </c>
      <c r="BE28" s="35">
        <v>40</v>
      </c>
      <c r="BF28" s="35">
        <v>21.5</v>
      </c>
      <c r="BG28" s="35">
        <v>20</v>
      </c>
    </row>
    <row r="29" spans="1:59" x14ac:dyDescent="0.35">
      <c r="A29" s="36">
        <v>46059.465277777781</v>
      </c>
      <c r="B29" s="35">
        <v>3.8</v>
      </c>
      <c r="C29" s="35">
        <v>2</v>
      </c>
      <c r="D29" s="35">
        <v>4.0999999999999996</v>
      </c>
      <c r="E29" s="35">
        <v>2.2000000000000002</v>
      </c>
      <c r="F29" s="35">
        <v>2.9</v>
      </c>
      <c r="G29" s="35">
        <v>2</v>
      </c>
      <c r="H29" s="35">
        <v>2.4</v>
      </c>
      <c r="I29" s="35">
        <v>2</v>
      </c>
      <c r="J29" s="35">
        <v>2.4</v>
      </c>
      <c r="K29" s="35">
        <v>2</v>
      </c>
      <c r="L29" s="35">
        <v>2</v>
      </c>
      <c r="M29" s="35">
        <v>2</v>
      </c>
      <c r="N29" s="35">
        <v>3.3</v>
      </c>
      <c r="O29" s="35">
        <v>3</v>
      </c>
      <c r="P29" s="35">
        <v>3.5</v>
      </c>
      <c r="Q29" s="35">
        <v>2</v>
      </c>
      <c r="R29" s="35">
        <v>1.9</v>
      </c>
      <c r="S29" s="35">
        <v>2</v>
      </c>
      <c r="T29" s="35">
        <v>2.4</v>
      </c>
      <c r="U29" s="35">
        <v>2</v>
      </c>
      <c r="V29" s="35">
        <v>8.6999999999999993</v>
      </c>
      <c r="W29" s="35">
        <v>9</v>
      </c>
      <c r="X29" s="35">
        <v>9.1999999999999993</v>
      </c>
      <c r="Y29" s="35">
        <v>9</v>
      </c>
      <c r="Z29" s="35">
        <v>10.9</v>
      </c>
      <c r="AA29" s="35">
        <v>9</v>
      </c>
      <c r="AB29" s="35">
        <v>10.9</v>
      </c>
      <c r="AC29" s="35">
        <v>9</v>
      </c>
      <c r="AD29" s="35">
        <v>20</v>
      </c>
      <c r="AE29" s="35">
        <v>19</v>
      </c>
      <c r="AF29" s="35">
        <v>18.3</v>
      </c>
      <c r="AG29" s="35">
        <v>19</v>
      </c>
      <c r="AH29" s="35">
        <v>20.6</v>
      </c>
      <c r="AI29" s="35">
        <v>19</v>
      </c>
      <c r="AJ29" s="35">
        <v>18.7</v>
      </c>
      <c r="AK29" s="35">
        <v>19</v>
      </c>
      <c r="AL29" s="35">
        <v>20.8</v>
      </c>
      <c r="AM29" s="35">
        <v>19</v>
      </c>
      <c r="AN29" s="35">
        <v>19</v>
      </c>
      <c r="AO29" s="35">
        <v>19</v>
      </c>
      <c r="AP29" s="35">
        <v>20.9</v>
      </c>
      <c r="AQ29" s="35">
        <v>19</v>
      </c>
      <c r="AR29" s="35">
        <v>20.6</v>
      </c>
      <c r="AS29" s="35">
        <v>19</v>
      </c>
      <c r="AT29" s="35">
        <v>20</v>
      </c>
      <c r="AU29" s="35">
        <v>19</v>
      </c>
      <c r="AV29" s="35">
        <v>20.7</v>
      </c>
      <c r="AW29" s="35">
        <v>19</v>
      </c>
      <c r="AX29" s="35">
        <v>20.3</v>
      </c>
      <c r="AY29" s="35">
        <v>20</v>
      </c>
      <c r="AZ29" s="35">
        <v>19.8</v>
      </c>
      <c r="BA29" s="35">
        <v>20</v>
      </c>
      <c r="BB29" s="35">
        <v>30.3</v>
      </c>
      <c r="BC29" s="35">
        <v>40</v>
      </c>
      <c r="BD29" s="35">
        <v>29.5</v>
      </c>
      <c r="BE29" s="35">
        <v>40</v>
      </c>
      <c r="BF29" s="35">
        <v>21.6</v>
      </c>
      <c r="BG29" s="35">
        <v>20</v>
      </c>
    </row>
    <row r="30" spans="1:59" x14ac:dyDescent="0.35">
      <c r="A30" s="36">
        <v>46059.46597222222</v>
      </c>
      <c r="B30" s="35">
        <v>3.8</v>
      </c>
      <c r="C30" s="35">
        <v>2</v>
      </c>
      <c r="D30" s="35">
        <v>4.0999999999999996</v>
      </c>
      <c r="E30" s="35">
        <v>2.2000000000000002</v>
      </c>
      <c r="F30" s="35">
        <v>2.9</v>
      </c>
      <c r="G30" s="35">
        <v>2</v>
      </c>
      <c r="H30" s="35">
        <v>2.1</v>
      </c>
      <c r="I30" s="35">
        <v>2</v>
      </c>
      <c r="J30" s="35">
        <v>2.7</v>
      </c>
      <c r="K30" s="35">
        <v>2</v>
      </c>
      <c r="L30" s="35">
        <v>2.4</v>
      </c>
      <c r="M30" s="35">
        <v>2</v>
      </c>
      <c r="N30" s="35">
        <v>3.6</v>
      </c>
      <c r="O30" s="35">
        <v>3</v>
      </c>
      <c r="P30" s="35">
        <v>3.7</v>
      </c>
      <c r="Q30" s="35">
        <v>2</v>
      </c>
      <c r="R30" s="35">
        <v>1.1000000000000001</v>
      </c>
      <c r="S30" s="35">
        <v>2</v>
      </c>
      <c r="T30" s="35">
        <v>1.5</v>
      </c>
      <c r="U30" s="35">
        <v>2</v>
      </c>
      <c r="V30" s="35">
        <v>8.4</v>
      </c>
      <c r="W30" s="35">
        <v>9</v>
      </c>
      <c r="X30" s="35">
        <v>9.4</v>
      </c>
      <c r="Y30" s="35">
        <v>9</v>
      </c>
      <c r="Z30" s="35">
        <v>10.9</v>
      </c>
      <c r="AA30" s="35">
        <v>9</v>
      </c>
      <c r="AB30" s="35">
        <v>11</v>
      </c>
      <c r="AC30" s="35">
        <v>9</v>
      </c>
      <c r="AD30" s="35">
        <v>20</v>
      </c>
      <c r="AE30" s="35">
        <v>19</v>
      </c>
      <c r="AF30" s="35">
        <v>18.3</v>
      </c>
      <c r="AG30" s="35">
        <v>19</v>
      </c>
      <c r="AH30" s="35">
        <v>20.7</v>
      </c>
      <c r="AI30" s="35">
        <v>19</v>
      </c>
      <c r="AJ30" s="35">
        <v>18.7</v>
      </c>
      <c r="AK30" s="35">
        <v>19</v>
      </c>
      <c r="AL30" s="35">
        <v>20.9</v>
      </c>
      <c r="AM30" s="35">
        <v>19</v>
      </c>
      <c r="AN30" s="35">
        <v>19.3</v>
      </c>
      <c r="AO30" s="35">
        <v>19</v>
      </c>
      <c r="AP30" s="35">
        <v>20.9</v>
      </c>
      <c r="AQ30" s="35">
        <v>19</v>
      </c>
      <c r="AR30" s="35">
        <v>20.6</v>
      </c>
      <c r="AS30" s="35">
        <v>19</v>
      </c>
      <c r="AT30" s="35">
        <v>20.100000000000001</v>
      </c>
      <c r="AU30" s="35">
        <v>19</v>
      </c>
      <c r="AV30" s="35">
        <v>20.7</v>
      </c>
      <c r="AW30" s="35">
        <v>19</v>
      </c>
      <c r="AX30" s="35">
        <v>20.3</v>
      </c>
      <c r="AY30" s="35">
        <v>20</v>
      </c>
      <c r="AZ30" s="35">
        <v>19.8</v>
      </c>
      <c r="BA30" s="35">
        <v>20</v>
      </c>
      <c r="BB30" s="35">
        <v>30.4</v>
      </c>
      <c r="BC30" s="35">
        <v>40</v>
      </c>
      <c r="BD30" s="35">
        <v>29.5</v>
      </c>
      <c r="BE30" s="35">
        <v>40</v>
      </c>
      <c r="BF30" s="35">
        <v>21.7</v>
      </c>
      <c r="BG30" s="35">
        <v>20</v>
      </c>
    </row>
    <row r="31" spans="1:59" x14ac:dyDescent="0.35">
      <c r="A31" s="36">
        <v>46059.466666666667</v>
      </c>
      <c r="B31" s="35">
        <v>3.9</v>
      </c>
      <c r="C31" s="35">
        <v>2</v>
      </c>
      <c r="D31" s="35">
        <v>4.2</v>
      </c>
      <c r="E31" s="35">
        <v>2.2000000000000002</v>
      </c>
      <c r="F31" s="35">
        <v>2.9</v>
      </c>
      <c r="G31" s="35">
        <v>2</v>
      </c>
      <c r="H31" s="35">
        <v>2.1</v>
      </c>
      <c r="I31" s="35">
        <v>2</v>
      </c>
      <c r="J31" s="35">
        <v>2.9</v>
      </c>
      <c r="K31" s="35">
        <v>2</v>
      </c>
      <c r="L31" s="35">
        <v>2.8</v>
      </c>
      <c r="M31" s="35">
        <v>2</v>
      </c>
      <c r="N31" s="35">
        <v>3.8</v>
      </c>
      <c r="O31" s="35">
        <v>3</v>
      </c>
      <c r="P31" s="35">
        <v>3.8</v>
      </c>
      <c r="Q31" s="35">
        <v>2</v>
      </c>
      <c r="R31" s="35">
        <v>1.1000000000000001</v>
      </c>
      <c r="S31" s="35">
        <v>2</v>
      </c>
      <c r="T31" s="35">
        <v>1.5</v>
      </c>
      <c r="U31" s="35">
        <v>2</v>
      </c>
      <c r="V31" s="35">
        <v>9</v>
      </c>
      <c r="W31" s="35">
        <v>9</v>
      </c>
      <c r="X31" s="35">
        <v>9.5</v>
      </c>
      <c r="Y31" s="35">
        <v>9</v>
      </c>
      <c r="Z31" s="35">
        <v>11</v>
      </c>
      <c r="AA31" s="35">
        <v>9</v>
      </c>
      <c r="AB31" s="35">
        <v>10.4</v>
      </c>
      <c r="AC31" s="35">
        <v>9</v>
      </c>
      <c r="AD31" s="35">
        <v>20</v>
      </c>
      <c r="AE31" s="35">
        <v>19</v>
      </c>
      <c r="AF31" s="35">
        <v>18.399999999999999</v>
      </c>
      <c r="AG31" s="35">
        <v>19</v>
      </c>
      <c r="AH31" s="35">
        <v>20.7</v>
      </c>
      <c r="AI31" s="35">
        <v>19</v>
      </c>
      <c r="AJ31" s="35">
        <v>18.8</v>
      </c>
      <c r="AK31" s="35">
        <v>19</v>
      </c>
      <c r="AL31" s="35">
        <v>20.9</v>
      </c>
      <c r="AM31" s="35">
        <v>19</v>
      </c>
      <c r="AN31" s="35">
        <v>19.5</v>
      </c>
      <c r="AO31" s="35">
        <v>19</v>
      </c>
      <c r="AP31" s="35">
        <v>20.9</v>
      </c>
      <c r="AQ31" s="35">
        <v>19</v>
      </c>
      <c r="AR31" s="35">
        <v>20.6</v>
      </c>
      <c r="AS31" s="35">
        <v>19</v>
      </c>
      <c r="AT31" s="35">
        <v>20.2</v>
      </c>
      <c r="AU31" s="35">
        <v>19</v>
      </c>
      <c r="AV31" s="35">
        <v>20.8</v>
      </c>
      <c r="AW31" s="35">
        <v>19</v>
      </c>
      <c r="AX31" s="35">
        <v>20.3</v>
      </c>
      <c r="AY31" s="35">
        <v>20</v>
      </c>
      <c r="AZ31" s="35">
        <v>19.8</v>
      </c>
      <c r="BA31" s="35">
        <v>20</v>
      </c>
      <c r="BB31" s="35">
        <v>30.4</v>
      </c>
      <c r="BC31" s="35">
        <v>40</v>
      </c>
      <c r="BD31" s="35">
        <v>29.5</v>
      </c>
      <c r="BE31" s="35">
        <v>40</v>
      </c>
      <c r="BF31" s="35">
        <v>21.7</v>
      </c>
      <c r="BG31" s="35">
        <v>20</v>
      </c>
    </row>
    <row r="32" spans="1:59" x14ac:dyDescent="0.35">
      <c r="A32" s="36">
        <v>46059.467361111114</v>
      </c>
      <c r="B32" s="35">
        <v>3.7</v>
      </c>
      <c r="C32" s="35">
        <v>2</v>
      </c>
      <c r="D32" s="35">
        <v>3.9</v>
      </c>
      <c r="E32" s="35">
        <v>2.2000000000000002</v>
      </c>
      <c r="F32" s="35">
        <v>2.9</v>
      </c>
      <c r="G32" s="35">
        <v>2</v>
      </c>
      <c r="H32" s="35">
        <v>2.5</v>
      </c>
      <c r="I32" s="35">
        <v>2</v>
      </c>
      <c r="J32" s="35">
        <v>3.2</v>
      </c>
      <c r="K32" s="35">
        <v>2</v>
      </c>
      <c r="L32" s="35">
        <v>3.2</v>
      </c>
      <c r="M32" s="35">
        <v>2</v>
      </c>
      <c r="N32" s="35">
        <v>3.9</v>
      </c>
      <c r="O32" s="35">
        <v>3</v>
      </c>
      <c r="P32" s="35">
        <v>3.9</v>
      </c>
      <c r="Q32" s="35">
        <v>2</v>
      </c>
      <c r="R32" s="35">
        <v>1.4</v>
      </c>
      <c r="S32" s="35">
        <v>2</v>
      </c>
      <c r="T32" s="35">
        <v>1.5</v>
      </c>
      <c r="U32" s="35">
        <v>2</v>
      </c>
      <c r="V32" s="35">
        <v>9.6</v>
      </c>
      <c r="W32" s="35">
        <v>9</v>
      </c>
      <c r="X32" s="35">
        <v>9.6999999999999993</v>
      </c>
      <c r="Y32" s="35">
        <v>9</v>
      </c>
      <c r="Z32" s="35">
        <v>10.7</v>
      </c>
      <c r="AA32" s="35">
        <v>9</v>
      </c>
      <c r="AB32" s="35">
        <v>9.6</v>
      </c>
      <c r="AC32" s="35">
        <v>9</v>
      </c>
      <c r="AD32" s="35">
        <v>20.100000000000001</v>
      </c>
      <c r="AE32" s="35">
        <v>19</v>
      </c>
      <c r="AF32" s="35">
        <v>18.5</v>
      </c>
      <c r="AG32" s="35">
        <v>19</v>
      </c>
      <c r="AH32" s="35">
        <v>20.8</v>
      </c>
      <c r="AI32" s="35">
        <v>19</v>
      </c>
      <c r="AJ32" s="35">
        <v>19.100000000000001</v>
      </c>
      <c r="AK32" s="35">
        <v>19</v>
      </c>
      <c r="AL32" s="35">
        <v>21</v>
      </c>
      <c r="AM32" s="35">
        <v>19</v>
      </c>
      <c r="AN32" s="35">
        <v>19.7</v>
      </c>
      <c r="AO32" s="35">
        <v>19</v>
      </c>
      <c r="AP32" s="35">
        <v>20.9</v>
      </c>
      <c r="AQ32" s="35">
        <v>19</v>
      </c>
      <c r="AR32" s="35">
        <v>20.6</v>
      </c>
      <c r="AS32" s="35">
        <v>19</v>
      </c>
      <c r="AT32" s="35">
        <v>20.3</v>
      </c>
      <c r="AU32" s="35">
        <v>19</v>
      </c>
      <c r="AV32" s="35">
        <v>20.8</v>
      </c>
      <c r="AW32" s="35">
        <v>19</v>
      </c>
      <c r="AX32" s="35">
        <v>20.3</v>
      </c>
      <c r="AY32" s="35">
        <v>20</v>
      </c>
      <c r="AZ32" s="35">
        <v>19.8</v>
      </c>
      <c r="BA32" s="35">
        <v>20</v>
      </c>
      <c r="BB32" s="35">
        <v>30.4</v>
      </c>
      <c r="BC32" s="35">
        <v>40</v>
      </c>
      <c r="BD32" s="35">
        <v>29.5</v>
      </c>
      <c r="BE32" s="35">
        <v>40</v>
      </c>
      <c r="BF32" s="35">
        <v>21.8</v>
      </c>
      <c r="BG32" s="35">
        <v>20</v>
      </c>
    </row>
    <row r="33" spans="1:59" x14ac:dyDescent="0.35">
      <c r="A33" s="36">
        <v>46059.468055555553</v>
      </c>
      <c r="B33" s="35">
        <v>2.6</v>
      </c>
      <c r="C33" s="35">
        <v>2</v>
      </c>
      <c r="D33" s="35">
        <v>2.9</v>
      </c>
      <c r="E33" s="35">
        <v>2.2000000000000002</v>
      </c>
      <c r="F33" s="35">
        <v>3.1</v>
      </c>
      <c r="G33" s="35">
        <v>2</v>
      </c>
      <c r="H33" s="35">
        <v>2.8</v>
      </c>
      <c r="I33" s="35">
        <v>2</v>
      </c>
      <c r="J33" s="35">
        <v>3.4</v>
      </c>
      <c r="K33" s="35">
        <v>2</v>
      </c>
      <c r="L33" s="35">
        <v>3.5</v>
      </c>
      <c r="M33" s="35">
        <v>2</v>
      </c>
      <c r="N33" s="35">
        <v>3.7</v>
      </c>
      <c r="O33" s="35">
        <v>3</v>
      </c>
      <c r="P33" s="35">
        <v>3.8</v>
      </c>
      <c r="Q33" s="35">
        <v>2</v>
      </c>
      <c r="R33" s="35">
        <v>1.7</v>
      </c>
      <c r="S33" s="35">
        <v>2</v>
      </c>
      <c r="T33" s="35">
        <v>1.7</v>
      </c>
      <c r="U33" s="35">
        <v>2</v>
      </c>
      <c r="V33" s="35">
        <v>10.1</v>
      </c>
      <c r="W33" s="35">
        <v>9</v>
      </c>
      <c r="X33" s="35">
        <v>9.9</v>
      </c>
      <c r="Y33" s="35">
        <v>9</v>
      </c>
      <c r="Z33" s="35">
        <v>10.1</v>
      </c>
      <c r="AA33" s="35">
        <v>9</v>
      </c>
      <c r="AB33" s="35">
        <v>8.5</v>
      </c>
      <c r="AC33" s="35">
        <v>9</v>
      </c>
      <c r="AD33" s="35">
        <v>20.100000000000001</v>
      </c>
      <c r="AE33" s="35">
        <v>19</v>
      </c>
      <c r="AF33" s="35">
        <v>18.600000000000001</v>
      </c>
      <c r="AG33" s="35">
        <v>19</v>
      </c>
      <c r="AH33" s="35">
        <v>20.8</v>
      </c>
      <c r="AI33" s="35">
        <v>19</v>
      </c>
      <c r="AJ33" s="35">
        <v>19.3</v>
      </c>
      <c r="AK33" s="35">
        <v>19</v>
      </c>
      <c r="AL33" s="35">
        <v>20.8</v>
      </c>
      <c r="AM33" s="35">
        <v>19</v>
      </c>
      <c r="AN33" s="35">
        <v>19.8</v>
      </c>
      <c r="AO33" s="35">
        <v>19</v>
      </c>
      <c r="AP33" s="35">
        <v>20.9</v>
      </c>
      <c r="AQ33" s="35">
        <v>19</v>
      </c>
      <c r="AR33" s="35">
        <v>20.6</v>
      </c>
      <c r="AS33" s="35">
        <v>19</v>
      </c>
      <c r="AT33" s="35">
        <v>20.3</v>
      </c>
      <c r="AU33" s="35">
        <v>19</v>
      </c>
      <c r="AV33" s="35">
        <v>20.9</v>
      </c>
      <c r="AW33" s="35">
        <v>19</v>
      </c>
      <c r="AX33" s="35">
        <v>20.3</v>
      </c>
      <c r="AY33" s="35">
        <v>20</v>
      </c>
      <c r="AZ33" s="35">
        <v>19.8</v>
      </c>
      <c r="BA33" s="35">
        <v>20</v>
      </c>
      <c r="BB33" s="35">
        <v>30.4</v>
      </c>
      <c r="BC33" s="35">
        <v>40</v>
      </c>
      <c r="BD33" s="35">
        <v>29.5</v>
      </c>
      <c r="BE33" s="35">
        <v>40</v>
      </c>
      <c r="BF33" s="35">
        <v>21.8</v>
      </c>
      <c r="BG33" s="35">
        <v>20</v>
      </c>
    </row>
    <row r="34" spans="1:59" x14ac:dyDescent="0.35">
      <c r="A34" s="36">
        <v>46059.46875</v>
      </c>
      <c r="B34" s="35">
        <v>2.2000000000000002</v>
      </c>
      <c r="C34" s="35">
        <v>2</v>
      </c>
      <c r="D34" s="35">
        <v>2.5</v>
      </c>
      <c r="E34" s="35">
        <v>2.2000000000000002</v>
      </c>
      <c r="F34" s="35">
        <v>3.4</v>
      </c>
      <c r="G34" s="35">
        <v>2</v>
      </c>
      <c r="H34" s="35">
        <v>3.2</v>
      </c>
      <c r="I34" s="35">
        <v>2</v>
      </c>
      <c r="J34" s="35">
        <v>3.6</v>
      </c>
      <c r="K34" s="35">
        <v>2</v>
      </c>
      <c r="L34" s="35">
        <v>3.7</v>
      </c>
      <c r="M34" s="35">
        <v>2</v>
      </c>
      <c r="N34" s="35">
        <v>2.7</v>
      </c>
      <c r="O34" s="35">
        <v>3</v>
      </c>
      <c r="P34" s="35">
        <v>3</v>
      </c>
      <c r="Q34" s="35">
        <v>2</v>
      </c>
      <c r="R34" s="35">
        <v>2</v>
      </c>
      <c r="S34" s="35">
        <v>2</v>
      </c>
      <c r="T34" s="35">
        <v>2</v>
      </c>
      <c r="U34" s="35">
        <v>2</v>
      </c>
      <c r="V34" s="35">
        <v>10.5</v>
      </c>
      <c r="W34" s="35">
        <v>9</v>
      </c>
      <c r="X34" s="35">
        <v>10</v>
      </c>
      <c r="Y34" s="35">
        <v>9</v>
      </c>
      <c r="Z34" s="35">
        <v>9.5</v>
      </c>
      <c r="AA34" s="35">
        <v>9</v>
      </c>
      <c r="AB34" s="35">
        <v>8.4</v>
      </c>
      <c r="AC34" s="35">
        <v>9</v>
      </c>
      <c r="AD34" s="35">
        <v>20.100000000000001</v>
      </c>
      <c r="AE34" s="35">
        <v>19</v>
      </c>
      <c r="AF34" s="35">
        <v>18.7</v>
      </c>
      <c r="AG34" s="35">
        <v>19</v>
      </c>
      <c r="AH34" s="35">
        <v>20.8</v>
      </c>
      <c r="AI34" s="35">
        <v>19</v>
      </c>
      <c r="AJ34" s="35">
        <v>19.399999999999999</v>
      </c>
      <c r="AK34" s="35">
        <v>19</v>
      </c>
      <c r="AL34" s="35">
        <v>20.5</v>
      </c>
      <c r="AM34" s="35">
        <v>19</v>
      </c>
      <c r="AN34" s="35">
        <v>20</v>
      </c>
      <c r="AO34" s="35">
        <v>19</v>
      </c>
      <c r="AP34" s="35">
        <v>20.9</v>
      </c>
      <c r="AQ34" s="35">
        <v>19</v>
      </c>
      <c r="AR34" s="35">
        <v>20.6</v>
      </c>
      <c r="AS34" s="35">
        <v>19</v>
      </c>
      <c r="AT34" s="35">
        <v>20.399999999999999</v>
      </c>
      <c r="AU34" s="35">
        <v>19</v>
      </c>
      <c r="AV34" s="35">
        <v>20.9</v>
      </c>
      <c r="AW34" s="35">
        <v>19</v>
      </c>
      <c r="AX34" s="35">
        <v>20.3</v>
      </c>
      <c r="AY34" s="35">
        <v>20</v>
      </c>
      <c r="AZ34" s="35">
        <v>19.8</v>
      </c>
      <c r="BA34" s="35">
        <v>20</v>
      </c>
      <c r="BB34" s="35">
        <v>30.4</v>
      </c>
      <c r="BC34" s="35">
        <v>40</v>
      </c>
      <c r="BD34" s="35">
        <v>29.5</v>
      </c>
      <c r="BE34" s="35">
        <v>40</v>
      </c>
      <c r="BF34" s="35">
        <v>21.9</v>
      </c>
      <c r="BG34" s="35">
        <v>20</v>
      </c>
    </row>
    <row r="35" spans="1:59" x14ac:dyDescent="0.35">
      <c r="A35" s="36">
        <v>46059.469444444447</v>
      </c>
      <c r="B35" s="35">
        <v>1.8</v>
      </c>
      <c r="C35" s="35">
        <v>2</v>
      </c>
      <c r="D35" s="35">
        <v>2.1</v>
      </c>
      <c r="E35" s="35">
        <v>2.2000000000000002</v>
      </c>
      <c r="F35" s="35">
        <v>3.6</v>
      </c>
      <c r="G35" s="35">
        <v>2</v>
      </c>
      <c r="H35" s="35">
        <v>3.5</v>
      </c>
      <c r="I35" s="35">
        <v>2</v>
      </c>
      <c r="J35" s="35">
        <v>3.8</v>
      </c>
      <c r="K35" s="35">
        <v>2</v>
      </c>
      <c r="L35" s="35">
        <v>4</v>
      </c>
      <c r="M35" s="35">
        <v>2</v>
      </c>
      <c r="N35" s="35">
        <v>1.4</v>
      </c>
      <c r="O35" s="35">
        <v>3</v>
      </c>
      <c r="P35" s="35">
        <v>2.1</v>
      </c>
      <c r="Q35" s="35">
        <v>2</v>
      </c>
      <c r="R35" s="35">
        <v>2.2999999999999998</v>
      </c>
      <c r="S35" s="35">
        <v>2</v>
      </c>
      <c r="T35" s="35">
        <v>2.2000000000000002</v>
      </c>
      <c r="U35" s="35">
        <v>2</v>
      </c>
      <c r="V35" s="35">
        <v>11</v>
      </c>
      <c r="W35" s="35">
        <v>9</v>
      </c>
      <c r="X35" s="35">
        <v>10.1</v>
      </c>
      <c r="Y35" s="35">
        <v>9</v>
      </c>
      <c r="Z35" s="35">
        <v>9.4</v>
      </c>
      <c r="AA35" s="35">
        <v>9</v>
      </c>
      <c r="AB35" s="35">
        <v>8.9</v>
      </c>
      <c r="AC35" s="35">
        <v>9</v>
      </c>
      <c r="AD35" s="35">
        <v>20.100000000000001</v>
      </c>
      <c r="AE35" s="35">
        <v>19</v>
      </c>
      <c r="AF35" s="35">
        <v>18.7</v>
      </c>
      <c r="AG35" s="35">
        <v>19</v>
      </c>
      <c r="AH35" s="35">
        <v>20.9</v>
      </c>
      <c r="AI35" s="35">
        <v>19</v>
      </c>
      <c r="AJ35" s="35">
        <v>19.600000000000001</v>
      </c>
      <c r="AK35" s="35">
        <v>19</v>
      </c>
      <c r="AL35" s="35">
        <v>20.2</v>
      </c>
      <c r="AM35" s="35">
        <v>19</v>
      </c>
      <c r="AN35" s="35">
        <v>20.100000000000001</v>
      </c>
      <c r="AO35" s="35">
        <v>19</v>
      </c>
      <c r="AP35" s="35">
        <v>20.9</v>
      </c>
      <c r="AQ35" s="35">
        <v>19</v>
      </c>
      <c r="AR35" s="35">
        <v>20.6</v>
      </c>
      <c r="AS35" s="35">
        <v>19</v>
      </c>
      <c r="AT35" s="35">
        <v>20.5</v>
      </c>
      <c r="AU35" s="35">
        <v>19</v>
      </c>
      <c r="AV35" s="35">
        <v>20.9</v>
      </c>
      <c r="AW35" s="35">
        <v>19</v>
      </c>
      <c r="AX35" s="35">
        <v>20.3</v>
      </c>
      <c r="AY35" s="35">
        <v>20</v>
      </c>
      <c r="AZ35" s="35">
        <v>19.8</v>
      </c>
      <c r="BA35" s="35">
        <v>20</v>
      </c>
      <c r="BB35" s="35">
        <v>30.4</v>
      </c>
      <c r="BC35" s="35">
        <v>40</v>
      </c>
      <c r="BD35" s="35">
        <v>29.6</v>
      </c>
      <c r="BE35" s="35">
        <v>40</v>
      </c>
      <c r="BF35" s="35">
        <v>21.9</v>
      </c>
      <c r="BG35" s="35">
        <v>20</v>
      </c>
    </row>
    <row r="36" spans="1:59" x14ac:dyDescent="0.35">
      <c r="A36" s="36">
        <v>46059.470138888886</v>
      </c>
      <c r="B36" s="35">
        <v>1.9</v>
      </c>
      <c r="C36" s="35">
        <v>2</v>
      </c>
      <c r="D36" s="35">
        <v>2.2999999999999998</v>
      </c>
      <c r="E36" s="35">
        <v>2.2000000000000002</v>
      </c>
      <c r="F36" s="35">
        <v>3.8</v>
      </c>
      <c r="G36" s="35">
        <v>2</v>
      </c>
      <c r="H36" s="35">
        <v>3.7</v>
      </c>
      <c r="I36" s="35">
        <v>2</v>
      </c>
      <c r="J36" s="35">
        <v>3.6</v>
      </c>
      <c r="K36" s="35">
        <v>2</v>
      </c>
      <c r="L36" s="35">
        <v>3.1</v>
      </c>
      <c r="M36" s="35">
        <v>2</v>
      </c>
      <c r="N36" s="35">
        <v>0.9</v>
      </c>
      <c r="O36" s="35">
        <v>3</v>
      </c>
      <c r="P36" s="35">
        <v>1.7</v>
      </c>
      <c r="Q36" s="35">
        <v>2</v>
      </c>
      <c r="R36" s="35">
        <v>2.6</v>
      </c>
      <c r="S36" s="35">
        <v>2</v>
      </c>
      <c r="T36" s="35">
        <v>2.4</v>
      </c>
      <c r="U36" s="35">
        <v>2</v>
      </c>
      <c r="V36" s="35">
        <v>10.9</v>
      </c>
      <c r="W36" s="35">
        <v>9</v>
      </c>
      <c r="X36" s="35">
        <v>10.199999999999999</v>
      </c>
      <c r="Y36" s="35">
        <v>9</v>
      </c>
      <c r="Z36" s="35">
        <v>9.4</v>
      </c>
      <c r="AA36" s="35">
        <v>9</v>
      </c>
      <c r="AB36" s="35">
        <v>9.5</v>
      </c>
      <c r="AC36" s="35">
        <v>9</v>
      </c>
      <c r="AD36" s="35">
        <v>20.2</v>
      </c>
      <c r="AE36" s="35">
        <v>19</v>
      </c>
      <c r="AF36" s="35">
        <v>18.8</v>
      </c>
      <c r="AG36" s="35">
        <v>19</v>
      </c>
      <c r="AH36" s="35">
        <v>20.9</v>
      </c>
      <c r="AI36" s="35">
        <v>19</v>
      </c>
      <c r="AJ36" s="35">
        <v>19.7</v>
      </c>
      <c r="AK36" s="35">
        <v>19</v>
      </c>
      <c r="AL36" s="35">
        <v>20.100000000000001</v>
      </c>
      <c r="AM36" s="35">
        <v>19</v>
      </c>
      <c r="AN36" s="35">
        <v>20.2</v>
      </c>
      <c r="AO36" s="35">
        <v>19</v>
      </c>
      <c r="AP36" s="35">
        <v>20.9</v>
      </c>
      <c r="AQ36" s="35">
        <v>19</v>
      </c>
      <c r="AR36" s="35">
        <v>20.6</v>
      </c>
      <c r="AS36" s="35">
        <v>19</v>
      </c>
      <c r="AT36" s="35">
        <v>20.6</v>
      </c>
      <c r="AU36" s="35">
        <v>19</v>
      </c>
      <c r="AV36" s="35">
        <v>20.9</v>
      </c>
      <c r="AW36" s="35">
        <v>19</v>
      </c>
      <c r="AX36" s="35">
        <v>20.3</v>
      </c>
      <c r="AY36" s="35">
        <v>20</v>
      </c>
      <c r="AZ36" s="35">
        <v>19.8</v>
      </c>
      <c r="BA36" s="35">
        <v>20</v>
      </c>
      <c r="BB36" s="35">
        <v>30.4</v>
      </c>
      <c r="BC36" s="35">
        <v>40</v>
      </c>
      <c r="BD36" s="35">
        <v>29.6</v>
      </c>
      <c r="BE36" s="35">
        <v>40</v>
      </c>
      <c r="BF36" s="35">
        <v>21.9</v>
      </c>
      <c r="BG36" s="35">
        <v>20</v>
      </c>
    </row>
    <row r="37" spans="1:59" x14ac:dyDescent="0.35">
      <c r="A37" s="36">
        <v>46059.470833333333</v>
      </c>
      <c r="B37" s="35">
        <v>2.4</v>
      </c>
      <c r="C37" s="35">
        <v>2</v>
      </c>
      <c r="D37" s="35">
        <v>2.8</v>
      </c>
      <c r="E37" s="35">
        <v>2.2000000000000002</v>
      </c>
      <c r="F37" s="35">
        <v>4</v>
      </c>
      <c r="G37" s="35">
        <v>2</v>
      </c>
      <c r="H37" s="35">
        <v>3.9</v>
      </c>
      <c r="I37" s="35">
        <v>2</v>
      </c>
      <c r="J37" s="35">
        <v>3.1</v>
      </c>
      <c r="K37" s="35">
        <v>2</v>
      </c>
      <c r="L37" s="35">
        <v>2.2000000000000002</v>
      </c>
      <c r="M37" s="35">
        <v>2</v>
      </c>
      <c r="N37" s="35">
        <v>1.1000000000000001</v>
      </c>
      <c r="O37" s="35">
        <v>3</v>
      </c>
      <c r="P37" s="35">
        <v>1.9</v>
      </c>
      <c r="Q37" s="35">
        <v>2</v>
      </c>
      <c r="R37" s="35">
        <v>2.8</v>
      </c>
      <c r="S37" s="35">
        <v>2</v>
      </c>
      <c r="T37" s="35">
        <v>2.6</v>
      </c>
      <c r="U37" s="35">
        <v>2</v>
      </c>
      <c r="V37" s="35">
        <v>8.6999999999999993</v>
      </c>
      <c r="W37" s="35">
        <v>9</v>
      </c>
      <c r="X37" s="35">
        <v>10.3</v>
      </c>
      <c r="Y37" s="35">
        <v>9</v>
      </c>
      <c r="Z37" s="35">
        <v>8.9</v>
      </c>
      <c r="AA37" s="35">
        <v>9</v>
      </c>
      <c r="AB37" s="35">
        <v>9.9</v>
      </c>
      <c r="AC37" s="35">
        <v>9</v>
      </c>
      <c r="AD37" s="35">
        <v>20.2</v>
      </c>
      <c r="AE37" s="35">
        <v>19</v>
      </c>
      <c r="AF37" s="35">
        <v>18.899999999999999</v>
      </c>
      <c r="AG37" s="35">
        <v>19</v>
      </c>
      <c r="AH37" s="35">
        <v>21</v>
      </c>
      <c r="AI37" s="35">
        <v>19</v>
      </c>
      <c r="AJ37" s="35">
        <v>19.8</v>
      </c>
      <c r="AK37" s="35">
        <v>19</v>
      </c>
      <c r="AL37" s="35">
        <v>20</v>
      </c>
      <c r="AM37" s="35">
        <v>19</v>
      </c>
      <c r="AN37" s="35">
        <v>20.2</v>
      </c>
      <c r="AO37" s="35">
        <v>19</v>
      </c>
      <c r="AP37" s="35">
        <v>20.9</v>
      </c>
      <c r="AQ37" s="35">
        <v>19</v>
      </c>
      <c r="AR37" s="35">
        <v>20.6</v>
      </c>
      <c r="AS37" s="35">
        <v>19</v>
      </c>
      <c r="AT37" s="35">
        <v>20.6</v>
      </c>
      <c r="AU37" s="35">
        <v>19</v>
      </c>
      <c r="AV37" s="35">
        <v>21</v>
      </c>
      <c r="AW37" s="35">
        <v>19</v>
      </c>
      <c r="AX37" s="35">
        <v>20.3</v>
      </c>
      <c r="AY37" s="35">
        <v>20</v>
      </c>
      <c r="AZ37" s="35">
        <v>19.8</v>
      </c>
      <c r="BA37" s="35">
        <v>20</v>
      </c>
      <c r="BB37" s="35">
        <v>30.4</v>
      </c>
      <c r="BC37" s="35">
        <v>40</v>
      </c>
      <c r="BD37" s="35">
        <v>29.6</v>
      </c>
      <c r="BE37" s="35">
        <v>40</v>
      </c>
      <c r="BF37" s="35">
        <v>22</v>
      </c>
      <c r="BG37" s="35">
        <v>20</v>
      </c>
    </row>
    <row r="38" spans="1:59" x14ac:dyDescent="0.35">
      <c r="A38" s="36">
        <v>46059.47152777778</v>
      </c>
      <c r="B38" s="35">
        <v>2.8</v>
      </c>
      <c r="C38" s="35">
        <v>2</v>
      </c>
      <c r="D38" s="35">
        <v>3.1</v>
      </c>
      <c r="E38" s="35">
        <v>2.2000000000000002</v>
      </c>
      <c r="F38" s="35">
        <v>2.4</v>
      </c>
      <c r="G38" s="35">
        <v>2</v>
      </c>
      <c r="H38" s="35">
        <v>3.3</v>
      </c>
      <c r="I38" s="35">
        <v>2</v>
      </c>
      <c r="J38" s="35">
        <v>2.8</v>
      </c>
      <c r="K38" s="35">
        <v>2</v>
      </c>
      <c r="L38" s="35">
        <v>1.9</v>
      </c>
      <c r="M38" s="35">
        <v>2</v>
      </c>
      <c r="N38" s="35">
        <v>1.4</v>
      </c>
      <c r="O38" s="35">
        <v>3</v>
      </c>
      <c r="P38" s="35">
        <v>2.2000000000000002</v>
      </c>
      <c r="Q38" s="35">
        <v>2</v>
      </c>
      <c r="R38" s="35">
        <v>3</v>
      </c>
      <c r="S38" s="35">
        <v>2</v>
      </c>
      <c r="T38" s="35">
        <v>2.8</v>
      </c>
      <c r="U38" s="35">
        <v>2</v>
      </c>
      <c r="V38" s="35">
        <v>7.6</v>
      </c>
      <c r="W38" s="35">
        <v>9</v>
      </c>
      <c r="X38" s="35">
        <v>10.4</v>
      </c>
      <c r="Y38" s="35">
        <v>9</v>
      </c>
      <c r="Z38" s="35">
        <v>8.6</v>
      </c>
      <c r="AA38" s="35">
        <v>9</v>
      </c>
      <c r="AB38" s="35">
        <v>10.3</v>
      </c>
      <c r="AC38" s="35">
        <v>9</v>
      </c>
      <c r="AD38" s="35">
        <v>20.2</v>
      </c>
      <c r="AE38" s="35">
        <v>19</v>
      </c>
      <c r="AF38" s="35">
        <v>19</v>
      </c>
      <c r="AG38" s="35">
        <v>19</v>
      </c>
      <c r="AH38" s="35">
        <v>20.5</v>
      </c>
      <c r="AI38" s="35">
        <v>19</v>
      </c>
      <c r="AJ38" s="35">
        <v>19.899999999999999</v>
      </c>
      <c r="AK38" s="35">
        <v>19</v>
      </c>
      <c r="AL38" s="35">
        <v>19.899999999999999</v>
      </c>
      <c r="AM38" s="35">
        <v>19</v>
      </c>
      <c r="AN38" s="35">
        <v>20.3</v>
      </c>
      <c r="AO38" s="35">
        <v>19</v>
      </c>
      <c r="AP38" s="35">
        <v>20.9</v>
      </c>
      <c r="AQ38" s="35">
        <v>19</v>
      </c>
      <c r="AR38" s="35">
        <v>20.6</v>
      </c>
      <c r="AS38" s="35">
        <v>19</v>
      </c>
      <c r="AT38" s="35">
        <v>20.7</v>
      </c>
      <c r="AU38" s="35">
        <v>19</v>
      </c>
      <c r="AV38" s="35">
        <v>20.2</v>
      </c>
      <c r="AW38" s="35">
        <v>19</v>
      </c>
      <c r="AX38" s="35">
        <v>20.3</v>
      </c>
      <c r="AY38" s="35">
        <v>20</v>
      </c>
      <c r="AZ38" s="35">
        <v>19.8</v>
      </c>
      <c r="BA38" s="35">
        <v>20</v>
      </c>
      <c r="BB38" s="35">
        <v>30.5</v>
      </c>
      <c r="BC38" s="35">
        <v>40</v>
      </c>
      <c r="BD38" s="35">
        <v>29.6</v>
      </c>
      <c r="BE38" s="35">
        <v>40</v>
      </c>
      <c r="BF38" s="35">
        <v>17.600000000000001</v>
      </c>
      <c r="BG38" s="35">
        <v>20</v>
      </c>
    </row>
    <row r="39" spans="1:59" x14ac:dyDescent="0.35">
      <c r="A39" s="36">
        <v>46059.472222222219</v>
      </c>
      <c r="B39" s="35">
        <v>3.1</v>
      </c>
      <c r="C39" s="35">
        <v>2</v>
      </c>
      <c r="D39" s="35">
        <v>3.4</v>
      </c>
      <c r="E39" s="35">
        <v>2.2000000000000002</v>
      </c>
      <c r="F39" s="35">
        <v>1.8</v>
      </c>
      <c r="G39" s="35">
        <v>2</v>
      </c>
      <c r="H39" s="35">
        <v>3</v>
      </c>
      <c r="I39" s="35">
        <v>2</v>
      </c>
      <c r="J39" s="35">
        <v>2.8</v>
      </c>
      <c r="K39" s="35">
        <v>2</v>
      </c>
      <c r="L39" s="35">
        <v>2.1</v>
      </c>
      <c r="M39" s="35">
        <v>2</v>
      </c>
      <c r="N39" s="35">
        <v>1.8</v>
      </c>
      <c r="O39" s="35">
        <v>3</v>
      </c>
      <c r="P39" s="35">
        <v>2.4</v>
      </c>
      <c r="Q39" s="35">
        <v>2</v>
      </c>
      <c r="R39" s="35">
        <v>3.2</v>
      </c>
      <c r="S39" s="35">
        <v>2</v>
      </c>
      <c r="T39" s="35">
        <v>3</v>
      </c>
      <c r="U39" s="35">
        <v>2</v>
      </c>
      <c r="V39" s="35">
        <v>8.1999999999999993</v>
      </c>
      <c r="W39" s="35">
        <v>9</v>
      </c>
      <c r="X39" s="35">
        <v>10.5</v>
      </c>
      <c r="Y39" s="35">
        <v>9</v>
      </c>
      <c r="Z39" s="35">
        <v>8.8000000000000007</v>
      </c>
      <c r="AA39" s="35">
        <v>9</v>
      </c>
      <c r="AB39" s="35">
        <v>10.7</v>
      </c>
      <c r="AC39" s="35">
        <v>9</v>
      </c>
      <c r="AD39" s="35">
        <v>20.2</v>
      </c>
      <c r="AE39" s="35">
        <v>19</v>
      </c>
      <c r="AF39" s="35">
        <v>19</v>
      </c>
      <c r="AG39" s="35">
        <v>19</v>
      </c>
      <c r="AH39" s="35">
        <v>19.600000000000001</v>
      </c>
      <c r="AI39" s="35">
        <v>19</v>
      </c>
      <c r="AJ39" s="35">
        <v>20</v>
      </c>
      <c r="AK39" s="35">
        <v>19</v>
      </c>
      <c r="AL39" s="35">
        <v>19.899999999999999</v>
      </c>
      <c r="AM39" s="35">
        <v>19</v>
      </c>
      <c r="AN39" s="35">
        <v>20.399999999999999</v>
      </c>
      <c r="AO39" s="35">
        <v>19</v>
      </c>
      <c r="AP39" s="35">
        <v>20.9</v>
      </c>
      <c r="AQ39" s="35">
        <v>19</v>
      </c>
      <c r="AR39" s="35">
        <v>20.6</v>
      </c>
      <c r="AS39" s="35">
        <v>19</v>
      </c>
      <c r="AT39" s="35">
        <v>20.8</v>
      </c>
      <c r="AU39" s="35">
        <v>19</v>
      </c>
      <c r="AV39" s="35">
        <v>19.3</v>
      </c>
      <c r="AW39" s="35">
        <v>19</v>
      </c>
      <c r="AX39" s="35">
        <v>20.399999999999999</v>
      </c>
      <c r="AY39" s="35">
        <v>20</v>
      </c>
      <c r="AZ39" s="35">
        <v>19.8</v>
      </c>
      <c r="BA39" s="35">
        <v>20</v>
      </c>
      <c r="BB39" s="35">
        <v>30.5</v>
      </c>
      <c r="BC39" s="35">
        <v>40</v>
      </c>
      <c r="BD39" s="35">
        <v>29.6</v>
      </c>
      <c r="BE39" s="35">
        <v>40</v>
      </c>
      <c r="BF39" s="35">
        <v>18.2</v>
      </c>
      <c r="BG39" s="35">
        <v>20</v>
      </c>
    </row>
    <row r="40" spans="1:59" x14ac:dyDescent="0.35">
      <c r="A40" s="36">
        <v>46059.472916666666</v>
      </c>
      <c r="B40" s="35">
        <v>3.4</v>
      </c>
      <c r="C40" s="35">
        <v>2</v>
      </c>
      <c r="D40" s="35">
        <v>3.8</v>
      </c>
      <c r="E40" s="35">
        <v>2.2000000000000002</v>
      </c>
      <c r="F40" s="35">
        <v>2.2000000000000002</v>
      </c>
      <c r="G40" s="35">
        <v>2</v>
      </c>
      <c r="H40" s="35">
        <v>3</v>
      </c>
      <c r="I40" s="35">
        <v>2</v>
      </c>
      <c r="J40" s="35">
        <v>3</v>
      </c>
      <c r="K40" s="35">
        <v>2</v>
      </c>
      <c r="L40" s="35">
        <v>2.5</v>
      </c>
      <c r="M40" s="35">
        <v>2</v>
      </c>
      <c r="N40" s="35">
        <v>2.1</v>
      </c>
      <c r="O40" s="35">
        <v>3</v>
      </c>
      <c r="P40" s="35">
        <v>2.7</v>
      </c>
      <c r="Q40" s="35">
        <v>2</v>
      </c>
      <c r="R40" s="35">
        <v>3.4</v>
      </c>
      <c r="S40" s="35">
        <v>2</v>
      </c>
      <c r="T40" s="35">
        <v>3.1</v>
      </c>
      <c r="U40" s="35">
        <v>2</v>
      </c>
      <c r="V40" s="35">
        <v>8.9</v>
      </c>
      <c r="W40" s="35">
        <v>9</v>
      </c>
      <c r="X40" s="35">
        <v>10.6</v>
      </c>
      <c r="Y40" s="35">
        <v>9</v>
      </c>
      <c r="Z40" s="35">
        <v>9.1999999999999993</v>
      </c>
      <c r="AA40" s="35">
        <v>9</v>
      </c>
      <c r="AB40" s="35">
        <v>11</v>
      </c>
      <c r="AC40" s="35">
        <v>9</v>
      </c>
      <c r="AD40" s="35">
        <v>20.3</v>
      </c>
      <c r="AE40" s="35">
        <v>19</v>
      </c>
      <c r="AF40" s="35">
        <v>19.100000000000001</v>
      </c>
      <c r="AG40" s="35">
        <v>19</v>
      </c>
      <c r="AH40" s="35">
        <v>19</v>
      </c>
      <c r="AI40" s="35">
        <v>19</v>
      </c>
      <c r="AJ40" s="35">
        <v>20.100000000000001</v>
      </c>
      <c r="AK40" s="35">
        <v>19</v>
      </c>
      <c r="AL40" s="35">
        <v>19.899999999999999</v>
      </c>
      <c r="AM40" s="35">
        <v>19</v>
      </c>
      <c r="AN40" s="35">
        <v>20.5</v>
      </c>
      <c r="AO40" s="35">
        <v>19</v>
      </c>
      <c r="AP40" s="35">
        <v>20.9</v>
      </c>
      <c r="AQ40" s="35">
        <v>19</v>
      </c>
      <c r="AR40" s="35">
        <v>20.6</v>
      </c>
      <c r="AS40" s="35">
        <v>19</v>
      </c>
      <c r="AT40" s="35">
        <v>20.8</v>
      </c>
      <c r="AU40" s="35">
        <v>19</v>
      </c>
      <c r="AV40" s="35">
        <v>18.5</v>
      </c>
      <c r="AW40" s="35">
        <v>19</v>
      </c>
      <c r="AX40" s="35">
        <v>20.399999999999999</v>
      </c>
      <c r="AY40" s="35">
        <v>20</v>
      </c>
      <c r="AZ40" s="35">
        <v>19.8</v>
      </c>
      <c r="BA40" s="35">
        <v>20</v>
      </c>
      <c r="BB40" s="35">
        <v>30.5</v>
      </c>
      <c r="BC40" s="35">
        <v>40</v>
      </c>
      <c r="BD40" s="35">
        <v>29.6</v>
      </c>
      <c r="BE40" s="35">
        <v>40</v>
      </c>
      <c r="BF40" s="35">
        <v>18.8</v>
      </c>
      <c r="BG40" s="35">
        <v>20</v>
      </c>
    </row>
    <row r="41" spans="1:59" x14ac:dyDescent="0.35">
      <c r="A41" s="36">
        <v>46059.473611111112</v>
      </c>
      <c r="B41" s="35">
        <v>3.7</v>
      </c>
      <c r="C41" s="35">
        <v>2</v>
      </c>
      <c r="D41" s="35">
        <v>4.0999999999999996</v>
      </c>
      <c r="E41" s="35">
        <v>2.2000000000000002</v>
      </c>
      <c r="F41" s="35">
        <v>2.5</v>
      </c>
      <c r="G41" s="35">
        <v>2</v>
      </c>
      <c r="H41" s="35">
        <v>3.3</v>
      </c>
      <c r="I41" s="35">
        <v>2</v>
      </c>
      <c r="J41" s="35">
        <v>3.2</v>
      </c>
      <c r="K41" s="35">
        <v>2</v>
      </c>
      <c r="L41" s="35">
        <v>2.9</v>
      </c>
      <c r="M41" s="35">
        <v>2</v>
      </c>
      <c r="N41" s="35">
        <v>2.4</v>
      </c>
      <c r="O41" s="35">
        <v>3</v>
      </c>
      <c r="P41" s="35">
        <v>2.9</v>
      </c>
      <c r="Q41" s="35">
        <v>2</v>
      </c>
      <c r="R41" s="35">
        <v>3.5</v>
      </c>
      <c r="S41" s="35">
        <v>2</v>
      </c>
      <c r="T41" s="35">
        <v>3.2</v>
      </c>
      <c r="U41" s="35">
        <v>2</v>
      </c>
      <c r="V41" s="35">
        <v>9.5</v>
      </c>
      <c r="W41" s="35">
        <v>9</v>
      </c>
      <c r="X41" s="35">
        <v>10.7</v>
      </c>
      <c r="Y41" s="35">
        <v>9</v>
      </c>
      <c r="Z41" s="35">
        <v>9.5</v>
      </c>
      <c r="AA41" s="35">
        <v>9</v>
      </c>
      <c r="AB41" s="35">
        <v>10.8</v>
      </c>
      <c r="AC41" s="35">
        <v>9</v>
      </c>
      <c r="AD41" s="35">
        <v>20.3</v>
      </c>
      <c r="AE41" s="35">
        <v>19</v>
      </c>
      <c r="AF41" s="35">
        <v>19.2</v>
      </c>
      <c r="AG41" s="35">
        <v>19</v>
      </c>
      <c r="AH41" s="35">
        <v>18.3</v>
      </c>
      <c r="AI41" s="35">
        <v>19</v>
      </c>
      <c r="AJ41" s="35">
        <v>20.2</v>
      </c>
      <c r="AK41" s="35">
        <v>19</v>
      </c>
      <c r="AL41" s="35">
        <v>19.899999999999999</v>
      </c>
      <c r="AM41" s="35">
        <v>19</v>
      </c>
      <c r="AN41" s="35">
        <v>20.5</v>
      </c>
      <c r="AO41" s="35">
        <v>19</v>
      </c>
      <c r="AP41" s="35">
        <v>20.9</v>
      </c>
      <c r="AQ41" s="35">
        <v>19</v>
      </c>
      <c r="AR41" s="35">
        <v>20.6</v>
      </c>
      <c r="AS41" s="35">
        <v>19</v>
      </c>
      <c r="AT41" s="35">
        <v>20.9</v>
      </c>
      <c r="AU41" s="35">
        <v>19</v>
      </c>
      <c r="AV41" s="35">
        <v>18.2</v>
      </c>
      <c r="AW41" s="35">
        <v>19</v>
      </c>
      <c r="AX41" s="35">
        <v>20.5</v>
      </c>
      <c r="AY41" s="35">
        <v>20</v>
      </c>
      <c r="AZ41" s="35">
        <v>19.8</v>
      </c>
      <c r="BA41" s="35">
        <v>20</v>
      </c>
      <c r="BB41" s="35">
        <v>30.6</v>
      </c>
      <c r="BC41" s="35">
        <v>40</v>
      </c>
      <c r="BD41" s="35">
        <v>29.7</v>
      </c>
      <c r="BE41" s="35">
        <v>40</v>
      </c>
      <c r="BF41" s="35">
        <v>19.3</v>
      </c>
      <c r="BG41" s="35">
        <v>20</v>
      </c>
    </row>
    <row r="42" spans="1:59" x14ac:dyDescent="0.35">
      <c r="A42" s="36">
        <v>46059.474305555559</v>
      </c>
      <c r="B42" s="35">
        <v>3.8</v>
      </c>
      <c r="C42" s="35">
        <v>2</v>
      </c>
      <c r="D42" s="35">
        <v>4.0999999999999996</v>
      </c>
      <c r="E42" s="35">
        <v>2.2000000000000002</v>
      </c>
      <c r="F42" s="35">
        <v>2.9</v>
      </c>
      <c r="G42" s="35">
        <v>2</v>
      </c>
      <c r="H42" s="35">
        <v>3.5</v>
      </c>
      <c r="I42" s="35">
        <v>2</v>
      </c>
      <c r="J42" s="35">
        <v>3.5</v>
      </c>
      <c r="K42" s="35">
        <v>2</v>
      </c>
      <c r="L42" s="35">
        <v>3.3</v>
      </c>
      <c r="M42" s="35">
        <v>2</v>
      </c>
      <c r="N42" s="35">
        <v>2.7</v>
      </c>
      <c r="O42" s="35">
        <v>3</v>
      </c>
      <c r="P42" s="35">
        <v>3.1</v>
      </c>
      <c r="Q42" s="35">
        <v>2</v>
      </c>
      <c r="R42" s="35">
        <v>3.6</v>
      </c>
      <c r="S42" s="35">
        <v>2</v>
      </c>
      <c r="T42" s="35">
        <v>3.4</v>
      </c>
      <c r="U42" s="35">
        <v>2</v>
      </c>
      <c r="V42" s="35">
        <v>10</v>
      </c>
      <c r="W42" s="35">
        <v>9</v>
      </c>
      <c r="X42" s="35">
        <v>10.7</v>
      </c>
      <c r="Y42" s="35">
        <v>9</v>
      </c>
      <c r="Z42" s="35">
        <v>9.8000000000000007</v>
      </c>
      <c r="AA42" s="35">
        <v>9</v>
      </c>
      <c r="AB42" s="35">
        <v>9.5</v>
      </c>
      <c r="AC42" s="35">
        <v>9</v>
      </c>
      <c r="AD42" s="35">
        <v>20.3</v>
      </c>
      <c r="AE42" s="35">
        <v>19</v>
      </c>
      <c r="AF42" s="35">
        <v>19.3</v>
      </c>
      <c r="AG42" s="35">
        <v>19</v>
      </c>
      <c r="AH42" s="35">
        <v>18.3</v>
      </c>
      <c r="AI42" s="35">
        <v>19</v>
      </c>
      <c r="AJ42" s="35">
        <v>20.3</v>
      </c>
      <c r="AK42" s="35">
        <v>19</v>
      </c>
      <c r="AL42" s="35">
        <v>19.8</v>
      </c>
      <c r="AM42" s="35">
        <v>19</v>
      </c>
      <c r="AN42" s="35">
        <v>20.6</v>
      </c>
      <c r="AO42" s="35">
        <v>19</v>
      </c>
      <c r="AP42" s="35">
        <v>20.9</v>
      </c>
      <c r="AQ42" s="35">
        <v>19</v>
      </c>
      <c r="AR42" s="35">
        <v>20.6</v>
      </c>
      <c r="AS42" s="35">
        <v>19</v>
      </c>
      <c r="AT42" s="35">
        <v>20.9</v>
      </c>
      <c r="AU42" s="35">
        <v>19</v>
      </c>
      <c r="AV42" s="35">
        <v>18.2</v>
      </c>
      <c r="AW42" s="35">
        <v>19</v>
      </c>
      <c r="AX42" s="35">
        <v>20.5</v>
      </c>
      <c r="AY42" s="35">
        <v>20</v>
      </c>
      <c r="AZ42" s="35">
        <v>19.899999999999999</v>
      </c>
      <c r="BA42" s="35">
        <v>20</v>
      </c>
      <c r="BB42" s="35">
        <v>30.6</v>
      </c>
      <c r="BC42" s="35">
        <v>40</v>
      </c>
      <c r="BD42" s="35">
        <v>29.7</v>
      </c>
      <c r="BE42" s="35">
        <v>40</v>
      </c>
      <c r="BF42" s="35">
        <v>19.600000000000001</v>
      </c>
      <c r="BG42" s="35">
        <v>20</v>
      </c>
    </row>
    <row r="43" spans="1:59" x14ac:dyDescent="0.35">
      <c r="A43" s="36">
        <v>46059.474999999999</v>
      </c>
      <c r="B43" s="35">
        <v>3.8</v>
      </c>
      <c r="C43" s="35">
        <v>2</v>
      </c>
      <c r="D43" s="35">
        <v>4.0999999999999996</v>
      </c>
      <c r="E43" s="35">
        <v>2.2000000000000002</v>
      </c>
      <c r="F43" s="35">
        <v>3.3</v>
      </c>
      <c r="G43" s="35">
        <v>2</v>
      </c>
      <c r="H43" s="35">
        <v>3.8</v>
      </c>
      <c r="I43" s="35">
        <v>2</v>
      </c>
      <c r="J43" s="35">
        <v>3.7</v>
      </c>
      <c r="K43" s="35">
        <v>2</v>
      </c>
      <c r="L43" s="35">
        <v>3.7</v>
      </c>
      <c r="M43" s="35">
        <v>2</v>
      </c>
      <c r="N43" s="35">
        <v>3</v>
      </c>
      <c r="O43" s="35">
        <v>3</v>
      </c>
      <c r="P43" s="35">
        <v>3.3</v>
      </c>
      <c r="Q43" s="35">
        <v>2</v>
      </c>
      <c r="R43" s="35">
        <v>3.8</v>
      </c>
      <c r="S43" s="35">
        <v>2</v>
      </c>
      <c r="T43" s="35">
        <v>3.5</v>
      </c>
      <c r="U43" s="35">
        <v>2</v>
      </c>
      <c r="V43" s="35">
        <v>10.4</v>
      </c>
      <c r="W43" s="35">
        <v>9</v>
      </c>
      <c r="X43" s="35">
        <v>10.8</v>
      </c>
      <c r="Y43" s="35">
        <v>9</v>
      </c>
      <c r="Z43" s="35">
        <v>10</v>
      </c>
      <c r="AA43" s="35">
        <v>9</v>
      </c>
      <c r="AB43" s="35">
        <v>8.5</v>
      </c>
      <c r="AC43" s="35">
        <v>9</v>
      </c>
      <c r="AD43" s="35">
        <v>20.399999999999999</v>
      </c>
      <c r="AE43" s="35">
        <v>19</v>
      </c>
      <c r="AF43" s="35">
        <v>19.3</v>
      </c>
      <c r="AG43" s="35">
        <v>19</v>
      </c>
      <c r="AH43" s="35">
        <v>18.5</v>
      </c>
      <c r="AI43" s="35">
        <v>19</v>
      </c>
      <c r="AJ43" s="35">
        <v>20.399999999999999</v>
      </c>
      <c r="AK43" s="35">
        <v>19</v>
      </c>
      <c r="AL43" s="35">
        <v>19.7</v>
      </c>
      <c r="AM43" s="35">
        <v>19</v>
      </c>
      <c r="AN43" s="35">
        <v>20.7</v>
      </c>
      <c r="AO43" s="35">
        <v>19</v>
      </c>
      <c r="AP43" s="35">
        <v>20.9</v>
      </c>
      <c r="AQ43" s="35">
        <v>19</v>
      </c>
      <c r="AR43" s="35">
        <v>20.6</v>
      </c>
      <c r="AS43" s="35">
        <v>19</v>
      </c>
      <c r="AT43" s="35">
        <v>20.9</v>
      </c>
      <c r="AU43" s="35">
        <v>19</v>
      </c>
      <c r="AV43" s="35">
        <v>18.3</v>
      </c>
      <c r="AW43" s="35">
        <v>19</v>
      </c>
      <c r="AX43" s="35">
        <v>20.5</v>
      </c>
      <c r="AY43" s="35">
        <v>20</v>
      </c>
      <c r="AZ43" s="35">
        <v>19.899999999999999</v>
      </c>
      <c r="BA43" s="35">
        <v>20</v>
      </c>
      <c r="BB43" s="35">
        <v>30.6</v>
      </c>
      <c r="BC43" s="35">
        <v>40</v>
      </c>
      <c r="BD43" s="35">
        <v>29.7</v>
      </c>
      <c r="BE43" s="35">
        <v>40</v>
      </c>
      <c r="BF43" s="35">
        <v>19.899999999999999</v>
      </c>
      <c r="BG43" s="35">
        <v>20</v>
      </c>
    </row>
    <row r="44" spans="1:59" x14ac:dyDescent="0.35">
      <c r="A44" s="36">
        <v>46059.475694444445</v>
      </c>
      <c r="B44" s="35">
        <v>3.9</v>
      </c>
      <c r="C44" s="35">
        <v>2</v>
      </c>
      <c r="D44" s="35">
        <v>4.2</v>
      </c>
      <c r="E44" s="35">
        <v>2.2000000000000002</v>
      </c>
      <c r="F44" s="35">
        <v>3.6</v>
      </c>
      <c r="G44" s="35">
        <v>2</v>
      </c>
      <c r="H44" s="35">
        <v>4</v>
      </c>
      <c r="I44" s="35">
        <v>2</v>
      </c>
      <c r="J44" s="35">
        <v>3.9</v>
      </c>
      <c r="K44" s="35">
        <v>2</v>
      </c>
      <c r="L44" s="35">
        <v>4</v>
      </c>
      <c r="M44" s="35">
        <v>2</v>
      </c>
      <c r="N44" s="35">
        <v>3.2</v>
      </c>
      <c r="O44" s="35">
        <v>3</v>
      </c>
      <c r="P44" s="35">
        <v>3.4</v>
      </c>
      <c r="Q44" s="35">
        <v>2</v>
      </c>
      <c r="R44" s="35">
        <v>3.9</v>
      </c>
      <c r="S44" s="35">
        <v>2</v>
      </c>
      <c r="T44" s="35">
        <v>3.6</v>
      </c>
      <c r="U44" s="35">
        <v>2</v>
      </c>
      <c r="V44" s="35">
        <v>10.8</v>
      </c>
      <c r="W44" s="35">
        <v>9</v>
      </c>
      <c r="X44" s="35">
        <v>10.9</v>
      </c>
      <c r="Y44" s="35">
        <v>9</v>
      </c>
      <c r="Z44" s="35">
        <v>10.3</v>
      </c>
      <c r="AA44" s="35">
        <v>9</v>
      </c>
      <c r="AB44" s="35">
        <v>8.5</v>
      </c>
      <c r="AC44" s="35">
        <v>9</v>
      </c>
      <c r="AD44" s="35">
        <v>20.399999999999999</v>
      </c>
      <c r="AE44" s="35">
        <v>19</v>
      </c>
      <c r="AF44" s="35">
        <v>19.399999999999999</v>
      </c>
      <c r="AG44" s="35">
        <v>19</v>
      </c>
      <c r="AH44" s="35">
        <v>18.8</v>
      </c>
      <c r="AI44" s="35">
        <v>19</v>
      </c>
      <c r="AJ44" s="35">
        <v>20.399999999999999</v>
      </c>
      <c r="AK44" s="35">
        <v>19</v>
      </c>
      <c r="AL44" s="35">
        <v>19.600000000000001</v>
      </c>
      <c r="AM44" s="35">
        <v>19</v>
      </c>
      <c r="AN44" s="35">
        <v>20.7</v>
      </c>
      <c r="AO44" s="35">
        <v>19</v>
      </c>
      <c r="AP44" s="35">
        <v>20.9</v>
      </c>
      <c r="AQ44" s="35">
        <v>19</v>
      </c>
      <c r="AR44" s="35">
        <v>20.6</v>
      </c>
      <c r="AS44" s="35">
        <v>19</v>
      </c>
      <c r="AT44" s="35">
        <v>19.5</v>
      </c>
      <c r="AU44" s="35">
        <v>19</v>
      </c>
      <c r="AV44" s="35">
        <v>18.5</v>
      </c>
      <c r="AW44" s="35">
        <v>19</v>
      </c>
      <c r="AX44" s="35">
        <v>20.5</v>
      </c>
      <c r="AY44" s="35">
        <v>20</v>
      </c>
      <c r="AZ44" s="35">
        <v>19.899999999999999</v>
      </c>
      <c r="BA44" s="35">
        <v>20</v>
      </c>
      <c r="BB44" s="35">
        <v>30.6</v>
      </c>
      <c r="BC44" s="35">
        <v>40</v>
      </c>
      <c r="BD44" s="35">
        <v>29.7</v>
      </c>
      <c r="BE44" s="35">
        <v>40</v>
      </c>
      <c r="BF44" s="35">
        <v>20.100000000000001</v>
      </c>
      <c r="BG44" s="35">
        <v>20</v>
      </c>
    </row>
    <row r="45" spans="1:59" x14ac:dyDescent="0.35">
      <c r="A45" s="36">
        <v>46059.476388888892</v>
      </c>
      <c r="B45" s="35">
        <v>4.0999999999999996</v>
      </c>
      <c r="C45" s="35">
        <v>2</v>
      </c>
      <c r="D45" s="35">
        <v>4.4000000000000004</v>
      </c>
      <c r="E45" s="35">
        <v>2.2000000000000002</v>
      </c>
      <c r="F45" s="35">
        <v>3.3</v>
      </c>
      <c r="G45" s="35">
        <v>2</v>
      </c>
      <c r="H45" s="35">
        <v>3.1</v>
      </c>
      <c r="I45" s="35">
        <v>2</v>
      </c>
      <c r="J45" s="35">
        <v>3.6</v>
      </c>
      <c r="K45" s="35">
        <v>2</v>
      </c>
      <c r="L45" s="35">
        <v>3.6</v>
      </c>
      <c r="M45" s="35">
        <v>2</v>
      </c>
      <c r="N45" s="35">
        <v>3.4</v>
      </c>
      <c r="O45" s="35">
        <v>3</v>
      </c>
      <c r="P45" s="35">
        <v>3.6</v>
      </c>
      <c r="Q45" s="35">
        <v>2</v>
      </c>
      <c r="R45" s="35">
        <v>4</v>
      </c>
      <c r="S45" s="35">
        <v>2</v>
      </c>
      <c r="T45" s="35">
        <v>3.7</v>
      </c>
      <c r="U45" s="35">
        <v>2</v>
      </c>
      <c r="V45" s="35">
        <v>11</v>
      </c>
      <c r="W45" s="35">
        <v>9</v>
      </c>
      <c r="X45" s="35">
        <v>10.9</v>
      </c>
      <c r="Y45" s="35">
        <v>9</v>
      </c>
      <c r="Z45" s="35">
        <v>10.4</v>
      </c>
      <c r="AA45" s="35">
        <v>9</v>
      </c>
      <c r="AB45" s="35">
        <v>9.1</v>
      </c>
      <c r="AC45" s="35">
        <v>9</v>
      </c>
      <c r="AD45" s="35">
        <v>20.399999999999999</v>
      </c>
      <c r="AE45" s="35">
        <v>19</v>
      </c>
      <c r="AF45" s="35">
        <v>19.399999999999999</v>
      </c>
      <c r="AG45" s="35">
        <v>19</v>
      </c>
      <c r="AH45" s="35">
        <v>19</v>
      </c>
      <c r="AI45" s="35">
        <v>19</v>
      </c>
      <c r="AJ45" s="35">
        <v>20.5</v>
      </c>
      <c r="AK45" s="35">
        <v>19</v>
      </c>
      <c r="AL45" s="35">
        <v>19.5</v>
      </c>
      <c r="AM45" s="35">
        <v>19</v>
      </c>
      <c r="AN45" s="35">
        <v>20.8</v>
      </c>
      <c r="AO45" s="35">
        <v>19</v>
      </c>
      <c r="AP45" s="35">
        <v>20.9</v>
      </c>
      <c r="AQ45" s="35">
        <v>19</v>
      </c>
      <c r="AR45" s="35">
        <v>20.6</v>
      </c>
      <c r="AS45" s="35">
        <v>19</v>
      </c>
      <c r="AT45" s="35">
        <v>18.899999999999999</v>
      </c>
      <c r="AU45" s="35">
        <v>19</v>
      </c>
      <c r="AV45" s="35">
        <v>18.7</v>
      </c>
      <c r="AW45" s="35">
        <v>19</v>
      </c>
      <c r="AX45" s="35">
        <v>20.5</v>
      </c>
      <c r="AY45" s="35">
        <v>20</v>
      </c>
      <c r="AZ45" s="35">
        <v>19.899999999999999</v>
      </c>
      <c r="BA45" s="35">
        <v>20</v>
      </c>
      <c r="BB45" s="35">
        <v>30.6</v>
      </c>
      <c r="BC45" s="35">
        <v>40</v>
      </c>
      <c r="BD45" s="35">
        <v>29.7</v>
      </c>
      <c r="BE45" s="35">
        <v>40</v>
      </c>
      <c r="BF45" s="35">
        <v>20.399999999999999</v>
      </c>
      <c r="BG45" s="35">
        <v>20</v>
      </c>
    </row>
    <row r="46" spans="1:59" x14ac:dyDescent="0.35">
      <c r="A46" s="36">
        <v>46059.477083333331</v>
      </c>
      <c r="B46" s="35">
        <v>3.6</v>
      </c>
      <c r="C46" s="35">
        <v>2</v>
      </c>
      <c r="D46" s="35">
        <v>3.8</v>
      </c>
      <c r="E46" s="35">
        <v>2.2000000000000002</v>
      </c>
      <c r="F46" s="35">
        <v>3.1</v>
      </c>
      <c r="G46" s="35">
        <v>2</v>
      </c>
      <c r="H46" s="35">
        <v>2.8</v>
      </c>
      <c r="I46" s="35">
        <v>2</v>
      </c>
      <c r="J46" s="35">
        <v>2.5</v>
      </c>
      <c r="K46" s="35">
        <v>2</v>
      </c>
      <c r="L46" s="35">
        <v>2.4</v>
      </c>
      <c r="M46" s="35">
        <v>2</v>
      </c>
      <c r="N46" s="35">
        <v>3.6</v>
      </c>
      <c r="O46" s="35">
        <v>3</v>
      </c>
      <c r="P46" s="35">
        <v>3.7</v>
      </c>
      <c r="Q46" s="35">
        <v>2</v>
      </c>
      <c r="R46" s="35">
        <v>3.2</v>
      </c>
      <c r="S46" s="35">
        <v>2</v>
      </c>
      <c r="T46" s="35">
        <v>2.7</v>
      </c>
      <c r="U46" s="35">
        <v>2</v>
      </c>
      <c r="V46" s="35">
        <v>9.1</v>
      </c>
      <c r="W46" s="35">
        <v>9</v>
      </c>
      <c r="X46" s="35">
        <v>10.9</v>
      </c>
      <c r="Y46" s="35">
        <v>9</v>
      </c>
      <c r="Z46" s="35">
        <v>10.6</v>
      </c>
      <c r="AA46" s="35">
        <v>9</v>
      </c>
      <c r="AB46" s="35">
        <v>9.6999999999999993</v>
      </c>
      <c r="AC46" s="35">
        <v>9</v>
      </c>
      <c r="AD46" s="35">
        <v>20.399999999999999</v>
      </c>
      <c r="AE46" s="35">
        <v>19</v>
      </c>
      <c r="AF46" s="35">
        <v>19.5</v>
      </c>
      <c r="AG46" s="35">
        <v>19</v>
      </c>
      <c r="AH46" s="35">
        <v>19.100000000000001</v>
      </c>
      <c r="AI46" s="35">
        <v>19</v>
      </c>
      <c r="AJ46" s="35">
        <v>20.5</v>
      </c>
      <c r="AK46" s="35">
        <v>19</v>
      </c>
      <c r="AL46" s="35">
        <v>19.5</v>
      </c>
      <c r="AM46" s="35">
        <v>19</v>
      </c>
      <c r="AN46" s="35">
        <v>20.8</v>
      </c>
      <c r="AO46" s="35">
        <v>19</v>
      </c>
      <c r="AP46" s="35">
        <v>20.9</v>
      </c>
      <c r="AQ46" s="35">
        <v>19</v>
      </c>
      <c r="AR46" s="35">
        <v>20.6</v>
      </c>
      <c r="AS46" s="35">
        <v>19</v>
      </c>
      <c r="AT46" s="35">
        <v>18.8</v>
      </c>
      <c r="AU46" s="35">
        <v>19</v>
      </c>
      <c r="AV46" s="35">
        <v>18.8</v>
      </c>
      <c r="AW46" s="35">
        <v>19</v>
      </c>
      <c r="AX46" s="35">
        <v>20.5</v>
      </c>
      <c r="AY46" s="35">
        <v>20</v>
      </c>
      <c r="AZ46" s="35">
        <v>19.899999999999999</v>
      </c>
      <c r="BA46" s="35">
        <v>20</v>
      </c>
      <c r="BB46" s="35">
        <v>30.7</v>
      </c>
      <c r="BC46" s="35">
        <v>40</v>
      </c>
      <c r="BD46" s="35">
        <v>29.7</v>
      </c>
      <c r="BE46" s="35">
        <v>40</v>
      </c>
      <c r="BF46" s="35">
        <v>20.7</v>
      </c>
      <c r="BG46" s="35">
        <v>20</v>
      </c>
    </row>
    <row r="47" spans="1:59" x14ac:dyDescent="0.35">
      <c r="A47" s="36">
        <v>46059.477777777778</v>
      </c>
      <c r="B47" s="35">
        <v>2.8</v>
      </c>
      <c r="C47" s="35">
        <v>2</v>
      </c>
      <c r="D47" s="35">
        <v>3</v>
      </c>
      <c r="E47" s="35">
        <v>2.2000000000000002</v>
      </c>
      <c r="F47" s="35">
        <v>3.1</v>
      </c>
      <c r="G47" s="35">
        <v>2</v>
      </c>
      <c r="H47" s="35">
        <v>2.7</v>
      </c>
      <c r="I47" s="35">
        <v>2</v>
      </c>
      <c r="J47" s="35">
        <v>1.8</v>
      </c>
      <c r="K47" s="35">
        <v>2</v>
      </c>
      <c r="L47" s="35">
        <v>1.7</v>
      </c>
      <c r="M47" s="35">
        <v>2</v>
      </c>
      <c r="N47" s="35">
        <v>3.8</v>
      </c>
      <c r="O47" s="35">
        <v>3</v>
      </c>
      <c r="P47" s="35">
        <v>3.9</v>
      </c>
      <c r="Q47" s="35">
        <v>2</v>
      </c>
      <c r="R47" s="35">
        <v>2.4</v>
      </c>
      <c r="S47" s="35">
        <v>2</v>
      </c>
      <c r="T47" s="35">
        <v>1.6</v>
      </c>
      <c r="U47" s="35">
        <v>2</v>
      </c>
      <c r="V47" s="35">
        <v>7.6</v>
      </c>
      <c r="W47" s="35">
        <v>9</v>
      </c>
      <c r="X47" s="35">
        <v>10.199999999999999</v>
      </c>
      <c r="Y47" s="35">
        <v>9</v>
      </c>
      <c r="Z47" s="35">
        <v>10.8</v>
      </c>
      <c r="AA47" s="35">
        <v>9</v>
      </c>
      <c r="AB47" s="35">
        <v>10.199999999999999</v>
      </c>
      <c r="AC47" s="35">
        <v>9</v>
      </c>
      <c r="AD47" s="35">
        <v>20.399999999999999</v>
      </c>
      <c r="AE47" s="35">
        <v>19</v>
      </c>
      <c r="AF47" s="35">
        <v>19.600000000000001</v>
      </c>
      <c r="AG47" s="35">
        <v>19</v>
      </c>
      <c r="AH47" s="35">
        <v>19.3</v>
      </c>
      <c r="AI47" s="35">
        <v>19</v>
      </c>
      <c r="AJ47" s="35">
        <v>20.6</v>
      </c>
      <c r="AK47" s="35">
        <v>19</v>
      </c>
      <c r="AL47" s="35">
        <v>19.5</v>
      </c>
      <c r="AM47" s="35">
        <v>19</v>
      </c>
      <c r="AN47" s="35">
        <v>20.9</v>
      </c>
      <c r="AO47" s="35">
        <v>19</v>
      </c>
      <c r="AP47" s="35">
        <v>20.9</v>
      </c>
      <c r="AQ47" s="35">
        <v>19</v>
      </c>
      <c r="AR47" s="35">
        <v>20.6</v>
      </c>
      <c r="AS47" s="35">
        <v>19</v>
      </c>
      <c r="AT47" s="35">
        <v>18.8</v>
      </c>
      <c r="AU47" s="35">
        <v>19</v>
      </c>
      <c r="AV47" s="35">
        <v>19</v>
      </c>
      <c r="AW47" s="35">
        <v>19</v>
      </c>
      <c r="AX47" s="35">
        <v>20.5</v>
      </c>
      <c r="AY47" s="35">
        <v>20</v>
      </c>
      <c r="AZ47" s="35">
        <v>19.899999999999999</v>
      </c>
      <c r="BA47" s="35">
        <v>20</v>
      </c>
      <c r="BB47" s="35">
        <v>30.7</v>
      </c>
      <c r="BC47" s="35">
        <v>40</v>
      </c>
      <c r="BD47" s="35">
        <v>29.7</v>
      </c>
      <c r="BE47" s="35">
        <v>40</v>
      </c>
      <c r="BF47" s="35">
        <v>21</v>
      </c>
      <c r="BG47" s="35">
        <v>20</v>
      </c>
    </row>
    <row r="48" spans="1:59" x14ac:dyDescent="0.35">
      <c r="A48" s="36">
        <v>46059.478472222225</v>
      </c>
      <c r="B48" s="35">
        <v>2.4</v>
      </c>
      <c r="C48" s="35">
        <v>2</v>
      </c>
      <c r="D48" s="35">
        <v>2.6</v>
      </c>
      <c r="E48" s="35">
        <v>2.2000000000000002</v>
      </c>
      <c r="F48" s="35">
        <v>3.1</v>
      </c>
      <c r="G48" s="35">
        <v>2</v>
      </c>
      <c r="H48" s="35">
        <v>2.5</v>
      </c>
      <c r="I48" s="35">
        <v>2</v>
      </c>
      <c r="J48" s="35">
        <v>1.8</v>
      </c>
      <c r="K48" s="35">
        <v>2</v>
      </c>
      <c r="L48" s="35">
        <v>1.9</v>
      </c>
      <c r="M48" s="35">
        <v>2</v>
      </c>
      <c r="N48" s="35">
        <v>4</v>
      </c>
      <c r="O48" s="35">
        <v>3</v>
      </c>
      <c r="P48" s="35">
        <v>4</v>
      </c>
      <c r="Q48" s="35">
        <v>2</v>
      </c>
      <c r="R48" s="35">
        <v>1.6</v>
      </c>
      <c r="S48" s="35">
        <v>2</v>
      </c>
      <c r="T48" s="35">
        <v>1.1000000000000001</v>
      </c>
      <c r="U48" s="35">
        <v>2</v>
      </c>
      <c r="V48" s="35">
        <v>8</v>
      </c>
      <c r="W48" s="35">
        <v>9</v>
      </c>
      <c r="X48" s="35">
        <v>8.9</v>
      </c>
      <c r="Y48" s="35">
        <v>9</v>
      </c>
      <c r="Z48" s="35">
        <v>10.9</v>
      </c>
      <c r="AA48" s="35">
        <v>9</v>
      </c>
      <c r="AB48" s="35">
        <v>10.5</v>
      </c>
      <c r="AC48" s="35">
        <v>9</v>
      </c>
      <c r="AD48" s="35">
        <v>20.5</v>
      </c>
      <c r="AE48" s="35">
        <v>19</v>
      </c>
      <c r="AF48" s="35">
        <v>19.600000000000001</v>
      </c>
      <c r="AG48" s="35">
        <v>19</v>
      </c>
      <c r="AH48" s="35">
        <v>19.399999999999999</v>
      </c>
      <c r="AI48" s="35">
        <v>19</v>
      </c>
      <c r="AJ48" s="35">
        <v>20.7</v>
      </c>
      <c r="AK48" s="35">
        <v>19</v>
      </c>
      <c r="AL48" s="35">
        <v>19.399999999999999</v>
      </c>
      <c r="AM48" s="35">
        <v>19</v>
      </c>
      <c r="AN48" s="35">
        <v>20.9</v>
      </c>
      <c r="AO48" s="35">
        <v>19</v>
      </c>
      <c r="AP48" s="35">
        <v>20.9</v>
      </c>
      <c r="AQ48" s="35">
        <v>19</v>
      </c>
      <c r="AR48" s="35">
        <v>20.6</v>
      </c>
      <c r="AS48" s="35">
        <v>19</v>
      </c>
      <c r="AT48" s="35">
        <v>19</v>
      </c>
      <c r="AU48" s="35">
        <v>19</v>
      </c>
      <c r="AV48" s="35">
        <v>19.100000000000001</v>
      </c>
      <c r="AW48" s="35">
        <v>19</v>
      </c>
      <c r="AX48" s="35">
        <v>20.5</v>
      </c>
      <c r="AY48" s="35">
        <v>20</v>
      </c>
      <c r="AZ48" s="35">
        <v>19.899999999999999</v>
      </c>
      <c r="BA48" s="35">
        <v>20</v>
      </c>
      <c r="BB48" s="35">
        <v>30.7</v>
      </c>
      <c r="BC48" s="35">
        <v>40</v>
      </c>
      <c r="BD48" s="35">
        <v>29.8</v>
      </c>
      <c r="BE48" s="35">
        <v>40</v>
      </c>
      <c r="BF48" s="35">
        <v>21.2</v>
      </c>
      <c r="BG48" s="35">
        <v>20</v>
      </c>
    </row>
    <row r="49" spans="1:59" x14ac:dyDescent="0.35">
      <c r="A49" s="36">
        <v>46059.479166666664</v>
      </c>
      <c r="B49" s="35">
        <v>2.1</v>
      </c>
      <c r="C49" s="35">
        <v>2</v>
      </c>
      <c r="D49" s="35">
        <v>2.4</v>
      </c>
      <c r="E49" s="35">
        <v>2.2000000000000002</v>
      </c>
      <c r="F49" s="35">
        <v>3.1</v>
      </c>
      <c r="G49" s="35">
        <v>2</v>
      </c>
      <c r="H49" s="35">
        <v>2.7</v>
      </c>
      <c r="I49" s="35">
        <v>2</v>
      </c>
      <c r="J49" s="35">
        <v>1.9</v>
      </c>
      <c r="K49" s="35">
        <v>2</v>
      </c>
      <c r="L49" s="35">
        <v>2.2999999999999998</v>
      </c>
      <c r="M49" s="35">
        <v>2</v>
      </c>
      <c r="N49" s="35">
        <v>3.1</v>
      </c>
      <c r="O49" s="35">
        <v>3</v>
      </c>
      <c r="P49" s="35">
        <v>3.3</v>
      </c>
      <c r="Q49" s="35">
        <v>2</v>
      </c>
      <c r="R49" s="35">
        <v>1.6</v>
      </c>
      <c r="S49" s="35">
        <v>2</v>
      </c>
      <c r="T49" s="35">
        <v>1.1000000000000001</v>
      </c>
      <c r="U49" s="35">
        <v>2</v>
      </c>
      <c r="V49" s="35">
        <v>8.8000000000000007</v>
      </c>
      <c r="W49" s="35">
        <v>9</v>
      </c>
      <c r="X49" s="35">
        <v>8.1999999999999993</v>
      </c>
      <c r="Y49" s="35">
        <v>9</v>
      </c>
      <c r="Z49" s="35">
        <v>11</v>
      </c>
      <c r="AA49" s="35">
        <v>9</v>
      </c>
      <c r="AB49" s="35">
        <v>11</v>
      </c>
      <c r="AC49" s="35">
        <v>9</v>
      </c>
      <c r="AD49" s="35">
        <v>20.5</v>
      </c>
      <c r="AE49" s="35">
        <v>19</v>
      </c>
      <c r="AF49" s="35">
        <v>19.7</v>
      </c>
      <c r="AG49" s="35">
        <v>19</v>
      </c>
      <c r="AH49" s="35">
        <v>19.5</v>
      </c>
      <c r="AI49" s="35">
        <v>19</v>
      </c>
      <c r="AJ49" s="35">
        <v>20.7</v>
      </c>
      <c r="AK49" s="35">
        <v>19</v>
      </c>
      <c r="AL49" s="35">
        <v>19.3</v>
      </c>
      <c r="AM49" s="35">
        <v>19</v>
      </c>
      <c r="AN49" s="35">
        <v>20.9</v>
      </c>
      <c r="AO49" s="35">
        <v>19</v>
      </c>
      <c r="AP49" s="35">
        <v>20.9</v>
      </c>
      <c r="AQ49" s="35">
        <v>19</v>
      </c>
      <c r="AR49" s="35">
        <v>20.6</v>
      </c>
      <c r="AS49" s="35">
        <v>19</v>
      </c>
      <c r="AT49" s="35">
        <v>19.2</v>
      </c>
      <c r="AU49" s="35">
        <v>19</v>
      </c>
      <c r="AV49" s="35">
        <v>19.2</v>
      </c>
      <c r="AW49" s="35">
        <v>19</v>
      </c>
      <c r="AX49" s="35">
        <v>20.5</v>
      </c>
      <c r="AY49" s="35">
        <v>20</v>
      </c>
      <c r="AZ49" s="35">
        <v>19.899999999999999</v>
      </c>
      <c r="BA49" s="35">
        <v>20</v>
      </c>
      <c r="BB49" s="35">
        <v>30.7</v>
      </c>
      <c r="BC49" s="35">
        <v>40</v>
      </c>
      <c r="BD49" s="35">
        <v>29.8</v>
      </c>
      <c r="BE49" s="35">
        <v>40</v>
      </c>
      <c r="BF49" s="35">
        <v>21.4</v>
      </c>
      <c r="BG49" s="35">
        <v>20</v>
      </c>
    </row>
    <row r="50" spans="1:59" x14ac:dyDescent="0.35">
      <c r="A50" s="36">
        <v>46059.479861111111</v>
      </c>
      <c r="B50" s="35">
        <v>2</v>
      </c>
      <c r="C50" s="35">
        <v>2</v>
      </c>
      <c r="D50" s="35">
        <v>2.2999999999999998</v>
      </c>
      <c r="E50" s="35">
        <v>2.2000000000000002</v>
      </c>
      <c r="F50" s="35">
        <v>3.3</v>
      </c>
      <c r="G50" s="35">
        <v>2</v>
      </c>
      <c r="H50" s="35">
        <v>2.8</v>
      </c>
      <c r="I50" s="35">
        <v>2</v>
      </c>
      <c r="J50" s="35">
        <v>2</v>
      </c>
      <c r="K50" s="35">
        <v>2</v>
      </c>
      <c r="L50" s="35">
        <v>2.6</v>
      </c>
      <c r="M50" s="35">
        <v>2</v>
      </c>
      <c r="N50" s="35">
        <v>1.9</v>
      </c>
      <c r="O50" s="35">
        <v>3</v>
      </c>
      <c r="P50" s="35">
        <v>2.5</v>
      </c>
      <c r="Q50" s="35">
        <v>2</v>
      </c>
      <c r="R50" s="35">
        <v>1.7</v>
      </c>
      <c r="S50" s="35">
        <v>2</v>
      </c>
      <c r="T50" s="35">
        <v>1.4</v>
      </c>
      <c r="U50" s="35">
        <v>2</v>
      </c>
      <c r="V50" s="35">
        <v>9.5</v>
      </c>
      <c r="W50" s="35">
        <v>9</v>
      </c>
      <c r="X50" s="35">
        <v>8.1</v>
      </c>
      <c r="Y50" s="35">
        <v>9</v>
      </c>
      <c r="Z50" s="35">
        <v>10.8</v>
      </c>
      <c r="AA50" s="35">
        <v>9</v>
      </c>
      <c r="AB50" s="35">
        <v>11.1</v>
      </c>
      <c r="AC50" s="35">
        <v>9</v>
      </c>
      <c r="AD50" s="35">
        <v>20.5</v>
      </c>
      <c r="AE50" s="35">
        <v>19</v>
      </c>
      <c r="AF50" s="35">
        <v>19.7</v>
      </c>
      <c r="AG50" s="35">
        <v>19</v>
      </c>
      <c r="AH50" s="35">
        <v>19.600000000000001</v>
      </c>
      <c r="AI50" s="35">
        <v>19</v>
      </c>
      <c r="AJ50" s="35">
        <v>20.8</v>
      </c>
      <c r="AK50" s="35">
        <v>19</v>
      </c>
      <c r="AL50" s="35">
        <v>19.2</v>
      </c>
      <c r="AM50" s="35">
        <v>19</v>
      </c>
      <c r="AN50" s="35">
        <v>20.9</v>
      </c>
      <c r="AO50" s="35">
        <v>19</v>
      </c>
      <c r="AP50" s="35">
        <v>20.9</v>
      </c>
      <c r="AQ50" s="35">
        <v>19</v>
      </c>
      <c r="AR50" s="35">
        <v>20.6</v>
      </c>
      <c r="AS50" s="35">
        <v>19</v>
      </c>
      <c r="AT50" s="35">
        <v>19.3</v>
      </c>
      <c r="AU50" s="35">
        <v>19</v>
      </c>
      <c r="AV50" s="35">
        <v>19.3</v>
      </c>
      <c r="AW50" s="35">
        <v>19</v>
      </c>
      <c r="AX50" s="35">
        <v>20.5</v>
      </c>
      <c r="AY50" s="35">
        <v>20</v>
      </c>
      <c r="AZ50" s="35">
        <v>19.899999999999999</v>
      </c>
      <c r="BA50" s="35">
        <v>20</v>
      </c>
      <c r="BB50" s="35">
        <v>30.7</v>
      </c>
      <c r="BC50" s="35">
        <v>40</v>
      </c>
      <c r="BD50" s="35">
        <v>29.8</v>
      </c>
      <c r="BE50" s="35">
        <v>40</v>
      </c>
      <c r="BF50" s="35">
        <v>21.5</v>
      </c>
      <c r="BG50" s="35">
        <v>20</v>
      </c>
    </row>
    <row r="51" spans="1:59" x14ac:dyDescent="0.35">
      <c r="A51" s="36">
        <v>46059.480555555558</v>
      </c>
      <c r="B51" s="35">
        <v>2.2999999999999998</v>
      </c>
      <c r="C51" s="35">
        <v>2</v>
      </c>
      <c r="D51" s="35">
        <v>2.6</v>
      </c>
      <c r="E51" s="35">
        <v>2.2000000000000002</v>
      </c>
      <c r="F51" s="35">
        <v>3.3</v>
      </c>
      <c r="G51" s="35">
        <v>2</v>
      </c>
      <c r="H51" s="35">
        <v>2.7</v>
      </c>
      <c r="I51" s="35">
        <v>2</v>
      </c>
      <c r="J51" s="35">
        <v>2.2000000000000002</v>
      </c>
      <c r="K51" s="35">
        <v>2</v>
      </c>
      <c r="L51" s="35">
        <v>3</v>
      </c>
      <c r="M51" s="35">
        <v>2</v>
      </c>
      <c r="N51" s="35">
        <v>0.9</v>
      </c>
      <c r="O51" s="35">
        <v>3</v>
      </c>
      <c r="P51" s="35">
        <v>1.8</v>
      </c>
      <c r="Q51" s="35">
        <v>2</v>
      </c>
      <c r="R51" s="35">
        <v>2</v>
      </c>
      <c r="S51" s="35">
        <v>2</v>
      </c>
      <c r="T51" s="35">
        <v>1.6</v>
      </c>
      <c r="U51" s="35">
        <v>2</v>
      </c>
      <c r="V51" s="35">
        <v>10.1</v>
      </c>
      <c r="W51" s="35">
        <v>9</v>
      </c>
      <c r="X51" s="35">
        <v>8.1</v>
      </c>
      <c r="Y51" s="35">
        <v>9</v>
      </c>
      <c r="Z51" s="35">
        <v>10.5</v>
      </c>
      <c r="AA51" s="35">
        <v>9</v>
      </c>
      <c r="AB51" s="35">
        <v>10.7</v>
      </c>
      <c r="AC51" s="35">
        <v>9</v>
      </c>
      <c r="AD51" s="35">
        <v>20.5</v>
      </c>
      <c r="AE51" s="35">
        <v>19</v>
      </c>
      <c r="AF51" s="35">
        <v>19.8</v>
      </c>
      <c r="AG51" s="35">
        <v>19</v>
      </c>
      <c r="AH51" s="35">
        <v>19.7</v>
      </c>
      <c r="AI51" s="35">
        <v>19</v>
      </c>
      <c r="AJ51" s="35">
        <v>20.9</v>
      </c>
      <c r="AK51" s="35">
        <v>19</v>
      </c>
      <c r="AL51" s="35">
        <v>19</v>
      </c>
      <c r="AM51" s="35">
        <v>19</v>
      </c>
      <c r="AN51" s="35">
        <v>21</v>
      </c>
      <c r="AO51" s="35">
        <v>19</v>
      </c>
      <c r="AP51" s="35">
        <v>20.9</v>
      </c>
      <c r="AQ51" s="35">
        <v>19</v>
      </c>
      <c r="AR51" s="35">
        <v>20.6</v>
      </c>
      <c r="AS51" s="35">
        <v>19</v>
      </c>
      <c r="AT51" s="35">
        <v>19.5</v>
      </c>
      <c r="AU51" s="35">
        <v>19</v>
      </c>
      <c r="AV51" s="35">
        <v>19.399999999999999</v>
      </c>
      <c r="AW51" s="35">
        <v>19</v>
      </c>
      <c r="AX51" s="35">
        <v>20.5</v>
      </c>
      <c r="AY51" s="35">
        <v>20</v>
      </c>
      <c r="AZ51" s="35">
        <v>19.899999999999999</v>
      </c>
      <c r="BA51" s="35">
        <v>20</v>
      </c>
      <c r="BB51" s="35">
        <v>30.7</v>
      </c>
      <c r="BC51" s="35">
        <v>40</v>
      </c>
      <c r="BD51" s="35">
        <v>29.8</v>
      </c>
      <c r="BE51" s="35">
        <v>40</v>
      </c>
      <c r="BF51" s="35">
        <v>21.5</v>
      </c>
      <c r="BG51" s="35">
        <v>20</v>
      </c>
    </row>
    <row r="52" spans="1:59" x14ac:dyDescent="0.35">
      <c r="A52" s="36">
        <v>46059.481249999997</v>
      </c>
      <c r="B52" s="35">
        <v>2.9</v>
      </c>
      <c r="C52" s="35">
        <v>2</v>
      </c>
      <c r="D52" s="35">
        <v>3.2</v>
      </c>
      <c r="E52" s="35">
        <v>2.2000000000000002</v>
      </c>
      <c r="F52" s="35">
        <v>3.3</v>
      </c>
      <c r="G52" s="35">
        <v>2</v>
      </c>
      <c r="H52" s="35">
        <v>2.7</v>
      </c>
      <c r="I52" s="35">
        <v>2</v>
      </c>
      <c r="J52" s="35">
        <v>2.4</v>
      </c>
      <c r="K52" s="35">
        <v>2</v>
      </c>
      <c r="L52" s="35">
        <v>3.2</v>
      </c>
      <c r="M52" s="35">
        <v>2</v>
      </c>
      <c r="N52" s="35">
        <v>1</v>
      </c>
      <c r="O52" s="35">
        <v>3</v>
      </c>
      <c r="P52" s="35">
        <v>1.8</v>
      </c>
      <c r="Q52" s="35">
        <v>2</v>
      </c>
      <c r="R52" s="35">
        <v>2.2999999999999998</v>
      </c>
      <c r="S52" s="35">
        <v>2</v>
      </c>
      <c r="T52" s="35">
        <v>2</v>
      </c>
      <c r="U52" s="35">
        <v>2</v>
      </c>
      <c r="V52" s="35">
        <v>10.6</v>
      </c>
      <c r="W52" s="35">
        <v>9</v>
      </c>
      <c r="X52" s="35">
        <v>8.4</v>
      </c>
      <c r="Y52" s="35">
        <v>9</v>
      </c>
      <c r="Z52" s="35">
        <v>9.9</v>
      </c>
      <c r="AA52" s="35">
        <v>9</v>
      </c>
      <c r="AB52" s="35">
        <v>9.5</v>
      </c>
      <c r="AC52" s="35">
        <v>9</v>
      </c>
      <c r="AD52" s="35">
        <v>20.6</v>
      </c>
      <c r="AE52" s="35">
        <v>19</v>
      </c>
      <c r="AF52" s="35">
        <v>19.899999999999999</v>
      </c>
      <c r="AG52" s="35">
        <v>19</v>
      </c>
      <c r="AH52" s="35">
        <v>19.7</v>
      </c>
      <c r="AI52" s="35">
        <v>19</v>
      </c>
      <c r="AJ52" s="35">
        <v>20.9</v>
      </c>
      <c r="AK52" s="35">
        <v>19</v>
      </c>
      <c r="AL52" s="35">
        <v>19.100000000000001</v>
      </c>
      <c r="AM52" s="35">
        <v>19</v>
      </c>
      <c r="AN52" s="35">
        <v>20.399999999999999</v>
      </c>
      <c r="AO52" s="35">
        <v>19</v>
      </c>
      <c r="AP52" s="35">
        <v>20.9</v>
      </c>
      <c r="AQ52" s="35">
        <v>19</v>
      </c>
      <c r="AR52" s="35">
        <v>20.6</v>
      </c>
      <c r="AS52" s="35">
        <v>19</v>
      </c>
      <c r="AT52" s="35">
        <v>19.600000000000001</v>
      </c>
      <c r="AU52" s="35">
        <v>19</v>
      </c>
      <c r="AV52" s="35">
        <v>19.5</v>
      </c>
      <c r="AW52" s="35">
        <v>19</v>
      </c>
      <c r="AX52" s="35">
        <v>20.5</v>
      </c>
      <c r="AY52" s="35">
        <v>20</v>
      </c>
      <c r="AZ52" s="35">
        <v>19.899999999999999</v>
      </c>
      <c r="BA52" s="35">
        <v>20</v>
      </c>
      <c r="BB52" s="35">
        <v>30.7</v>
      </c>
      <c r="BC52" s="35">
        <v>40</v>
      </c>
      <c r="BD52" s="35">
        <v>29.8</v>
      </c>
      <c r="BE52" s="35">
        <v>40</v>
      </c>
      <c r="BF52" s="35">
        <v>21.6</v>
      </c>
      <c r="BG52" s="35">
        <v>20</v>
      </c>
    </row>
    <row r="53" spans="1:59" x14ac:dyDescent="0.35">
      <c r="A53" s="36">
        <v>46059.481944444444</v>
      </c>
      <c r="B53" s="35">
        <v>3.4</v>
      </c>
      <c r="C53" s="35">
        <v>2</v>
      </c>
      <c r="D53" s="35">
        <v>3.6</v>
      </c>
      <c r="E53" s="35">
        <v>2.2000000000000002</v>
      </c>
      <c r="F53" s="35">
        <v>3.4</v>
      </c>
      <c r="G53" s="35">
        <v>2</v>
      </c>
      <c r="H53" s="35">
        <v>2.7</v>
      </c>
      <c r="I53" s="35">
        <v>2</v>
      </c>
      <c r="J53" s="35">
        <v>2.7</v>
      </c>
      <c r="K53" s="35">
        <v>2</v>
      </c>
      <c r="L53" s="35">
        <v>3.5</v>
      </c>
      <c r="M53" s="35">
        <v>2</v>
      </c>
      <c r="N53" s="35">
        <v>1.3</v>
      </c>
      <c r="O53" s="35">
        <v>3</v>
      </c>
      <c r="P53" s="35">
        <v>2</v>
      </c>
      <c r="Q53" s="35">
        <v>2</v>
      </c>
      <c r="R53" s="35">
        <v>2.5</v>
      </c>
      <c r="S53" s="35">
        <v>2</v>
      </c>
      <c r="T53" s="35">
        <v>2.2999999999999998</v>
      </c>
      <c r="U53" s="35">
        <v>2</v>
      </c>
      <c r="V53" s="35">
        <v>11</v>
      </c>
      <c r="W53" s="35">
        <v>9</v>
      </c>
      <c r="X53" s="35">
        <v>8.6</v>
      </c>
      <c r="Y53" s="35">
        <v>9</v>
      </c>
      <c r="Z53" s="35">
        <v>9.1999999999999993</v>
      </c>
      <c r="AA53" s="35">
        <v>9</v>
      </c>
      <c r="AB53" s="35">
        <v>8.5</v>
      </c>
      <c r="AC53" s="35">
        <v>9</v>
      </c>
      <c r="AD53" s="35">
        <v>20.6</v>
      </c>
      <c r="AE53" s="35">
        <v>19</v>
      </c>
      <c r="AF53" s="35">
        <v>19.899999999999999</v>
      </c>
      <c r="AG53" s="35">
        <v>19</v>
      </c>
      <c r="AH53" s="35">
        <v>19.8</v>
      </c>
      <c r="AI53" s="35">
        <v>19</v>
      </c>
      <c r="AJ53" s="35">
        <v>21</v>
      </c>
      <c r="AK53" s="35">
        <v>19</v>
      </c>
      <c r="AL53" s="35">
        <v>19.399999999999999</v>
      </c>
      <c r="AM53" s="35">
        <v>19</v>
      </c>
      <c r="AN53" s="35">
        <v>20.2</v>
      </c>
      <c r="AO53" s="35">
        <v>19</v>
      </c>
      <c r="AP53" s="35">
        <v>21</v>
      </c>
      <c r="AQ53" s="35">
        <v>19</v>
      </c>
      <c r="AR53" s="35">
        <v>20.6</v>
      </c>
      <c r="AS53" s="35">
        <v>19</v>
      </c>
      <c r="AT53" s="35">
        <v>19.7</v>
      </c>
      <c r="AU53" s="35">
        <v>19</v>
      </c>
      <c r="AV53" s="35">
        <v>19.600000000000001</v>
      </c>
      <c r="AW53" s="35">
        <v>19</v>
      </c>
      <c r="AX53" s="35">
        <v>20.399999999999999</v>
      </c>
      <c r="AY53" s="35">
        <v>20</v>
      </c>
      <c r="AZ53" s="35">
        <v>19.899999999999999</v>
      </c>
      <c r="BA53" s="35">
        <v>20</v>
      </c>
      <c r="BB53" s="35">
        <v>30.8</v>
      </c>
      <c r="BC53" s="35">
        <v>40</v>
      </c>
      <c r="BD53" s="35">
        <v>29.8</v>
      </c>
      <c r="BE53" s="35">
        <v>40</v>
      </c>
      <c r="BF53" s="35">
        <v>21.6</v>
      </c>
      <c r="BG53" s="35">
        <v>20</v>
      </c>
    </row>
    <row r="54" spans="1:59" x14ac:dyDescent="0.35">
      <c r="A54" s="36">
        <v>46059.482638888891</v>
      </c>
      <c r="B54" s="35">
        <v>3.7</v>
      </c>
      <c r="C54" s="35">
        <v>2</v>
      </c>
      <c r="D54" s="35">
        <v>4</v>
      </c>
      <c r="E54" s="35">
        <v>2.2000000000000002</v>
      </c>
      <c r="F54" s="35">
        <v>3.5</v>
      </c>
      <c r="G54" s="35">
        <v>2</v>
      </c>
      <c r="H54" s="35">
        <v>2.9</v>
      </c>
      <c r="I54" s="35">
        <v>2</v>
      </c>
      <c r="J54" s="35">
        <v>2.9</v>
      </c>
      <c r="K54" s="35">
        <v>2</v>
      </c>
      <c r="L54" s="35">
        <v>3.7</v>
      </c>
      <c r="M54" s="35">
        <v>2</v>
      </c>
      <c r="N54" s="35">
        <v>1.6</v>
      </c>
      <c r="O54" s="35">
        <v>3</v>
      </c>
      <c r="P54" s="35">
        <v>2.2999999999999998</v>
      </c>
      <c r="Q54" s="35">
        <v>2</v>
      </c>
      <c r="R54" s="35">
        <v>2.7</v>
      </c>
      <c r="S54" s="35">
        <v>2</v>
      </c>
      <c r="T54" s="35">
        <v>2.5</v>
      </c>
      <c r="U54" s="35">
        <v>2</v>
      </c>
      <c r="V54" s="35">
        <v>9.8000000000000007</v>
      </c>
      <c r="W54" s="35">
        <v>9</v>
      </c>
      <c r="X54" s="35">
        <v>8.9</v>
      </c>
      <c r="Y54" s="35">
        <v>9</v>
      </c>
      <c r="Z54" s="35">
        <v>9</v>
      </c>
      <c r="AA54" s="35">
        <v>9</v>
      </c>
      <c r="AB54" s="35">
        <v>8.5</v>
      </c>
      <c r="AC54" s="35">
        <v>9</v>
      </c>
      <c r="AD54" s="35">
        <v>20.6</v>
      </c>
      <c r="AE54" s="35">
        <v>19</v>
      </c>
      <c r="AF54" s="35">
        <v>19.899999999999999</v>
      </c>
      <c r="AG54" s="35">
        <v>19</v>
      </c>
      <c r="AH54" s="35">
        <v>19.899999999999999</v>
      </c>
      <c r="AI54" s="35">
        <v>19</v>
      </c>
      <c r="AJ54" s="35">
        <v>20.2</v>
      </c>
      <c r="AK54" s="35">
        <v>19</v>
      </c>
      <c r="AL54" s="35">
        <v>19.600000000000001</v>
      </c>
      <c r="AM54" s="35">
        <v>19</v>
      </c>
      <c r="AN54" s="35">
        <v>19.7</v>
      </c>
      <c r="AO54" s="35">
        <v>19</v>
      </c>
      <c r="AP54" s="35">
        <v>20.3</v>
      </c>
      <c r="AQ54" s="35">
        <v>19</v>
      </c>
      <c r="AR54" s="35">
        <v>20.6</v>
      </c>
      <c r="AS54" s="35">
        <v>19</v>
      </c>
      <c r="AT54" s="35">
        <v>19.8</v>
      </c>
      <c r="AU54" s="35">
        <v>19</v>
      </c>
      <c r="AV54" s="35">
        <v>19.7</v>
      </c>
      <c r="AW54" s="35">
        <v>19</v>
      </c>
      <c r="AX54" s="35">
        <v>20.399999999999999</v>
      </c>
      <c r="AY54" s="35">
        <v>20</v>
      </c>
      <c r="AZ54" s="35">
        <v>19.899999999999999</v>
      </c>
      <c r="BA54" s="35">
        <v>20</v>
      </c>
      <c r="BB54" s="35">
        <v>30.8</v>
      </c>
      <c r="BC54" s="35">
        <v>40</v>
      </c>
      <c r="BD54" s="35">
        <v>29.9</v>
      </c>
      <c r="BE54" s="35">
        <v>40</v>
      </c>
      <c r="BF54" s="35">
        <v>21.6</v>
      </c>
      <c r="BG54" s="35">
        <v>20</v>
      </c>
    </row>
    <row r="55" spans="1:59" x14ac:dyDescent="0.35">
      <c r="A55" s="36">
        <v>46059.48333333333</v>
      </c>
      <c r="B55" s="35">
        <v>4.0999999999999996</v>
      </c>
      <c r="C55" s="35">
        <v>2</v>
      </c>
      <c r="D55" s="35">
        <v>4.3</v>
      </c>
      <c r="E55" s="35">
        <v>2.2000000000000002</v>
      </c>
      <c r="F55" s="35">
        <v>3.6</v>
      </c>
      <c r="G55" s="35">
        <v>2</v>
      </c>
      <c r="H55" s="35">
        <v>3.1</v>
      </c>
      <c r="I55" s="35">
        <v>2</v>
      </c>
      <c r="J55" s="35">
        <v>3</v>
      </c>
      <c r="K55" s="35">
        <v>2</v>
      </c>
      <c r="L55" s="35">
        <v>3.8</v>
      </c>
      <c r="M55" s="35">
        <v>2</v>
      </c>
      <c r="N55" s="35">
        <v>2</v>
      </c>
      <c r="O55" s="35">
        <v>3</v>
      </c>
      <c r="P55" s="35">
        <v>2.5</v>
      </c>
      <c r="Q55" s="35">
        <v>2</v>
      </c>
      <c r="R55" s="35">
        <v>2.8</v>
      </c>
      <c r="S55" s="35">
        <v>2</v>
      </c>
      <c r="T55" s="35">
        <v>2.7</v>
      </c>
      <c r="U55" s="35">
        <v>2</v>
      </c>
      <c r="V55" s="35">
        <v>8.1999999999999993</v>
      </c>
      <c r="W55" s="35">
        <v>9</v>
      </c>
      <c r="X55" s="35">
        <v>9.1</v>
      </c>
      <c r="Y55" s="35">
        <v>9</v>
      </c>
      <c r="Z55" s="35">
        <v>9</v>
      </c>
      <c r="AA55" s="35">
        <v>9</v>
      </c>
      <c r="AB55" s="35">
        <v>9.1999999999999993</v>
      </c>
      <c r="AC55" s="35">
        <v>9</v>
      </c>
      <c r="AD55" s="35">
        <v>20.6</v>
      </c>
      <c r="AE55" s="35">
        <v>19</v>
      </c>
      <c r="AF55" s="35">
        <v>20</v>
      </c>
      <c r="AG55" s="35">
        <v>19</v>
      </c>
      <c r="AH55" s="35">
        <v>19.899999999999999</v>
      </c>
      <c r="AI55" s="35">
        <v>19</v>
      </c>
      <c r="AJ55" s="35">
        <v>18.399999999999999</v>
      </c>
      <c r="AK55" s="35">
        <v>19</v>
      </c>
      <c r="AL55" s="35">
        <v>19.899999999999999</v>
      </c>
      <c r="AM55" s="35">
        <v>19</v>
      </c>
      <c r="AN55" s="35">
        <v>19.100000000000001</v>
      </c>
      <c r="AO55" s="35">
        <v>19</v>
      </c>
      <c r="AP55" s="35">
        <v>19.2</v>
      </c>
      <c r="AQ55" s="35">
        <v>19</v>
      </c>
      <c r="AR55" s="35">
        <v>20.6</v>
      </c>
      <c r="AS55" s="35">
        <v>19</v>
      </c>
      <c r="AT55" s="35">
        <v>19.899999999999999</v>
      </c>
      <c r="AU55" s="35">
        <v>19</v>
      </c>
      <c r="AV55" s="35">
        <v>19.8</v>
      </c>
      <c r="AW55" s="35">
        <v>19</v>
      </c>
      <c r="AX55" s="35">
        <v>20.399999999999999</v>
      </c>
      <c r="AY55" s="35">
        <v>20</v>
      </c>
      <c r="AZ55" s="35">
        <v>19.899999999999999</v>
      </c>
      <c r="BA55" s="35">
        <v>20</v>
      </c>
      <c r="BB55" s="35">
        <v>30.8</v>
      </c>
      <c r="BC55" s="35">
        <v>40</v>
      </c>
      <c r="BD55" s="35">
        <v>29.9</v>
      </c>
      <c r="BE55" s="35">
        <v>40</v>
      </c>
      <c r="BF55" s="35">
        <v>21.6</v>
      </c>
      <c r="BG55" s="35">
        <v>20</v>
      </c>
    </row>
    <row r="56" spans="1:59" x14ac:dyDescent="0.35">
      <c r="A56" s="36">
        <v>46059.484027777777</v>
      </c>
      <c r="B56" s="35">
        <v>3.7</v>
      </c>
      <c r="C56" s="35">
        <v>2</v>
      </c>
      <c r="D56" s="35">
        <v>3.8</v>
      </c>
      <c r="E56" s="35">
        <v>2.2000000000000002</v>
      </c>
      <c r="F56" s="35">
        <v>3.8</v>
      </c>
      <c r="G56" s="35">
        <v>2</v>
      </c>
      <c r="H56" s="35">
        <v>3.4</v>
      </c>
      <c r="I56" s="35">
        <v>2</v>
      </c>
      <c r="J56" s="35">
        <v>3.2</v>
      </c>
      <c r="K56" s="35">
        <v>2</v>
      </c>
      <c r="L56" s="35">
        <v>4</v>
      </c>
      <c r="M56" s="35">
        <v>2</v>
      </c>
      <c r="N56" s="35">
        <v>2.2999999999999998</v>
      </c>
      <c r="O56" s="35">
        <v>3</v>
      </c>
      <c r="P56" s="35">
        <v>2.6</v>
      </c>
      <c r="Q56" s="35">
        <v>2</v>
      </c>
      <c r="R56" s="35">
        <v>3</v>
      </c>
      <c r="S56" s="35">
        <v>2</v>
      </c>
      <c r="T56" s="35">
        <v>2.8</v>
      </c>
      <c r="U56" s="35">
        <v>2</v>
      </c>
      <c r="V56" s="35">
        <v>8.1</v>
      </c>
      <c r="W56" s="35">
        <v>9</v>
      </c>
      <c r="X56" s="35">
        <v>9.3000000000000007</v>
      </c>
      <c r="Y56" s="35">
        <v>9</v>
      </c>
      <c r="Z56" s="35">
        <v>9.4</v>
      </c>
      <c r="AA56" s="35">
        <v>9</v>
      </c>
      <c r="AB56" s="35">
        <v>9.8000000000000007</v>
      </c>
      <c r="AC56" s="35">
        <v>9</v>
      </c>
      <c r="AD56" s="35">
        <v>20.6</v>
      </c>
      <c r="AE56" s="35">
        <v>19</v>
      </c>
      <c r="AF56" s="35">
        <v>20</v>
      </c>
      <c r="AG56" s="35">
        <v>19</v>
      </c>
      <c r="AH56" s="35">
        <v>20</v>
      </c>
      <c r="AI56" s="35">
        <v>19</v>
      </c>
      <c r="AJ56" s="35">
        <v>18</v>
      </c>
      <c r="AK56" s="35">
        <v>19</v>
      </c>
      <c r="AL56" s="35">
        <v>20.100000000000001</v>
      </c>
      <c r="AM56" s="35">
        <v>19</v>
      </c>
      <c r="AN56" s="35">
        <v>18.7</v>
      </c>
      <c r="AO56" s="35">
        <v>19</v>
      </c>
      <c r="AP56" s="35">
        <v>18.399999999999999</v>
      </c>
      <c r="AQ56" s="35">
        <v>19</v>
      </c>
      <c r="AR56" s="35">
        <v>20.6</v>
      </c>
      <c r="AS56" s="35">
        <v>19</v>
      </c>
      <c r="AT56" s="35">
        <v>20</v>
      </c>
      <c r="AU56" s="35">
        <v>19</v>
      </c>
      <c r="AV56" s="35">
        <v>19.899999999999999</v>
      </c>
      <c r="AW56" s="35">
        <v>19</v>
      </c>
      <c r="AX56" s="35">
        <v>20.399999999999999</v>
      </c>
      <c r="AY56" s="35">
        <v>20</v>
      </c>
      <c r="AZ56" s="35">
        <v>19.899999999999999</v>
      </c>
      <c r="BA56" s="35">
        <v>20</v>
      </c>
      <c r="BB56" s="35">
        <v>30.9</v>
      </c>
      <c r="BC56" s="35">
        <v>40</v>
      </c>
      <c r="BD56" s="35">
        <v>29.9</v>
      </c>
      <c r="BE56" s="35">
        <v>40</v>
      </c>
      <c r="BF56" s="35">
        <v>21.6</v>
      </c>
      <c r="BG56" s="35">
        <v>20</v>
      </c>
    </row>
    <row r="57" spans="1:59" x14ac:dyDescent="0.35">
      <c r="A57" s="36">
        <v>46059.484722222223</v>
      </c>
      <c r="B57" s="35">
        <v>2.2999999999999998</v>
      </c>
      <c r="C57" s="35">
        <v>2</v>
      </c>
      <c r="D57" s="35">
        <v>2.6</v>
      </c>
      <c r="E57" s="35">
        <v>2.2000000000000002</v>
      </c>
      <c r="F57" s="35">
        <v>3.9</v>
      </c>
      <c r="G57" s="35">
        <v>2</v>
      </c>
      <c r="H57" s="35">
        <v>3.4</v>
      </c>
      <c r="I57" s="35">
        <v>2</v>
      </c>
      <c r="J57" s="35">
        <v>3.2</v>
      </c>
      <c r="K57" s="35">
        <v>2</v>
      </c>
      <c r="L57" s="35">
        <v>3</v>
      </c>
      <c r="M57" s="35">
        <v>2</v>
      </c>
      <c r="N57" s="35">
        <v>2.6</v>
      </c>
      <c r="O57" s="35">
        <v>3</v>
      </c>
      <c r="P57" s="35">
        <v>2.6</v>
      </c>
      <c r="Q57" s="35">
        <v>2</v>
      </c>
      <c r="R57" s="35">
        <v>3.2</v>
      </c>
      <c r="S57" s="35">
        <v>2</v>
      </c>
      <c r="T57" s="35">
        <v>3</v>
      </c>
      <c r="U57" s="35">
        <v>2</v>
      </c>
      <c r="V57" s="35">
        <v>8.9</v>
      </c>
      <c r="W57" s="35">
        <v>9</v>
      </c>
      <c r="X57" s="35">
        <v>9.5</v>
      </c>
      <c r="Y57" s="35">
        <v>9</v>
      </c>
      <c r="Z57" s="35">
        <v>9.8000000000000007</v>
      </c>
      <c r="AA57" s="35">
        <v>9</v>
      </c>
      <c r="AB57" s="35">
        <v>10.3</v>
      </c>
      <c r="AC57" s="35">
        <v>9</v>
      </c>
      <c r="AD57" s="35">
        <v>20.7</v>
      </c>
      <c r="AE57" s="35">
        <v>19</v>
      </c>
      <c r="AF57" s="35">
        <v>20.100000000000001</v>
      </c>
      <c r="AG57" s="35">
        <v>19</v>
      </c>
      <c r="AH57" s="35">
        <v>20</v>
      </c>
      <c r="AI57" s="35">
        <v>19</v>
      </c>
      <c r="AJ57" s="35">
        <v>18</v>
      </c>
      <c r="AK57" s="35">
        <v>19</v>
      </c>
      <c r="AL57" s="35">
        <v>20.3</v>
      </c>
      <c r="AM57" s="35">
        <v>19</v>
      </c>
      <c r="AN57" s="35">
        <v>18.7</v>
      </c>
      <c r="AO57" s="35">
        <v>19</v>
      </c>
      <c r="AP57" s="35">
        <v>18.3</v>
      </c>
      <c r="AQ57" s="35">
        <v>19</v>
      </c>
      <c r="AR57" s="35">
        <v>20.6</v>
      </c>
      <c r="AS57" s="35">
        <v>19</v>
      </c>
      <c r="AT57" s="35">
        <v>20.100000000000001</v>
      </c>
      <c r="AU57" s="35">
        <v>19</v>
      </c>
      <c r="AV57" s="35">
        <v>20</v>
      </c>
      <c r="AW57" s="35">
        <v>19</v>
      </c>
      <c r="AX57" s="35">
        <v>20.399999999999999</v>
      </c>
      <c r="AY57" s="35">
        <v>20</v>
      </c>
      <c r="AZ57" s="35">
        <v>19.899999999999999</v>
      </c>
      <c r="BA57" s="35">
        <v>20</v>
      </c>
      <c r="BB57" s="35">
        <v>30.9</v>
      </c>
      <c r="BC57" s="35">
        <v>40</v>
      </c>
      <c r="BD57" s="35">
        <v>29.9</v>
      </c>
      <c r="BE57" s="35">
        <v>40</v>
      </c>
      <c r="BF57" s="35">
        <v>21.6</v>
      </c>
      <c r="BG57" s="35">
        <v>20</v>
      </c>
    </row>
    <row r="58" spans="1:59" x14ac:dyDescent="0.35">
      <c r="A58" s="36">
        <v>46059.48541666667</v>
      </c>
      <c r="B58" s="35">
        <v>1.6</v>
      </c>
      <c r="C58" s="35">
        <v>2</v>
      </c>
      <c r="D58" s="35">
        <v>2</v>
      </c>
      <c r="E58" s="35">
        <v>2.2000000000000002</v>
      </c>
      <c r="F58" s="35">
        <v>3.9</v>
      </c>
      <c r="G58" s="35">
        <v>2</v>
      </c>
      <c r="H58" s="35">
        <v>3.4</v>
      </c>
      <c r="I58" s="35">
        <v>2</v>
      </c>
      <c r="J58" s="35">
        <v>2.5</v>
      </c>
      <c r="K58" s="35">
        <v>2</v>
      </c>
      <c r="L58" s="35">
        <v>1.9</v>
      </c>
      <c r="M58" s="35">
        <v>2</v>
      </c>
      <c r="N58" s="35">
        <v>2.9</v>
      </c>
      <c r="O58" s="35">
        <v>3</v>
      </c>
      <c r="P58" s="35">
        <v>2.6</v>
      </c>
      <c r="Q58" s="35">
        <v>2</v>
      </c>
      <c r="R58" s="35">
        <v>3.4</v>
      </c>
      <c r="S58" s="35">
        <v>2</v>
      </c>
      <c r="T58" s="35">
        <v>3.1</v>
      </c>
      <c r="U58" s="35">
        <v>2</v>
      </c>
      <c r="V58" s="35">
        <v>9.8000000000000007</v>
      </c>
      <c r="W58" s="35">
        <v>9</v>
      </c>
      <c r="X58" s="35">
        <v>9.6999999999999993</v>
      </c>
      <c r="Y58" s="35">
        <v>9</v>
      </c>
      <c r="Z58" s="35">
        <v>10.1</v>
      </c>
      <c r="AA58" s="35">
        <v>9</v>
      </c>
      <c r="AB58" s="35">
        <v>10.9</v>
      </c>
      <c r="AC58" s="35">
        <v>9</v>
      </c>
      <c r="AD58" s="35">
        <v>20.7</v>
      </c>
      <c r="AE58" s="35">
        <v>19</v>
      </c>
      <c r="AF58" s="35">
        <v>20.100000000000001</v>
      </c>
      <c r="AG58" s="35">
        <v>19</v>
      </c>
      <c r="AH58" s="35">
        <v>20.100000000000001</v>
      </c>
      <c r="AI58" s="35">
        <v>19</v>
      </c>
      <c r="AJ58" s="35">
        <v>18.2</v>
      </c>
      <c r="AK58" s="35">
        <v>19</v>
      </c>
      <c r="AL58" s="35">
        <v>20.399999999999999</v>
      </c>
      <c r="AM58" s="35">
        <v>19</v>
      </c>
      <c r="AN58" s="35">
        <v>19</v>
      </c>
      <c r="AO58" s="35">
        <v>19</v>
      </c>
      <c r="AP58" s="35">
        <v>18.3</v>
      </c>
      <c r="AQ58" s="35">
        <v>19</v>
      </c>
      <c r="AR58" s="35">
        <v>20.6</v>
      </c>
      <c r="AS58" s="35">
        <v>19</v>
      </c>
      <c r="AT58" s="35">
        <v>20.2</v>
      </c>
      <c r="AU58" s="35">
        <v>19</v>
      </c>
      <c r="AV58" s="35">
        <v>20</v>
      </c>
      <c r="AW58" s="35">
        <v>19</v>
      </c>
      <c r="AX58" s="35">
        <v>20.399999999999999</v>
      </c>
      <c r="AY58" s="35">
        <v>20</v>
      </c>
      <c r="AZ58" s="35">
        <v>19.899999999999999</v>
      </c>
      <c r="BA58" s="35">
        <v>20</v>
      </c>
      <c r="BB58" s="35">
        <v>30.9</v>
      </c>
      <c r="BC58" s="35">
        <v>40</v>
      </c>
      <c r="BD58" s="35">
        <v>29.9</v>
      </c>
      <c r="BE58" s="35">
        <v>40</v>
      </c>
      <c r="BF58" s="35">
        <v>21.6</v>
      </c>
      <c r="BG58" s="35">
        <v>20</v>
      </c>
    </row>
    <row r="59" spans="1:59" x14ac:dyDescent="0.35">
      <c r="A59" s="36">
        <v>46059.486111111109</v>
      </c>
      <c r="B59" s="35">
        <v>1.6</v>
      </c>
      <c r="C59" s="35">
        <v>2</v>
      </c>
      <c r="D59" s="35">
        <v>2.1</v>
      </c>
      <c r="E59" s="35">
        <v>2.2000000000000002</v>
      </c>
      <c r="F59" s="35">
        <v>4</v>
      </c>
      <c r="G59" s="35">
        <v>2</v>
      </c>
      <c r="H59" s="35">
        <v>3.4</v>
      </c>
      <c r="I59" s="35">
        <v>2</v>
      </c>
      <c r="J59" s="35">
        <v>2.4</v>
      </c>
      <c r="K59" s="35">
        <v>2</v>
      </c>
      <c r="L59" s="35">
        <v>1.7</v>
      </c>
      <c r="M59" s="35">
        <v>2</v>
      </c>
      <c r="N59" s="35">
        <v>3.1</v>
      </c>
      <c r="O59" s="35">
        <v>3</v>
      </c>
      <c r="P59" s="35">
        <v>2.6</v>
      </c>
      <c r="Q59" s="35">
        <v>2</v>
      </c>
      <c r="R59" s="35">
        <v>3.5</v>
      </c>
      <c r="S59" s="35">
        <v>2</v>
      </c>
      <c r="T59" s="35">
        <v>3.2</v>
      </c>
      <c r="U59" s="35">
        <v>2</v>
      </c>
      <c r="V59" s="35">
        <v>10.3</v>
      </c>
      <c r="W59" s="35">
        <v>9</v>
      </c>
      <c r="X59" s="35">
        <v>9.8000000000000007</v>
      </c>
      <c r="Y59" s="35">
        <v>9</v>
      </c>
      <c r="Z59" s="35">
        <v>10.4</v>
      </c>
      <c r="AA59" s="35">
        <v>9</v>
      </c>
      <c r="AB59" s="35">
        <v>11.1</v>
      </c>
      <c r="AC59" s="35">
        <v>9</v>
      </c>
      <c r="AD59" s="35">
        <v>20.7</v>
      </c>
      <c r="AE59" s="35">
        <v>19</v>
      </c>
      <c r="AF59" s="35">
        <v>20.2</v>
      </c>
      <c r="AG59" s="35">
        <v>19</v>
      </c>
      <c r="AH59" s="35">
        <v>20.100000000000001</v>
      </c>
      <c r="AI59" s="35">
        <v>19</v>
      </c>
      <c r="AJ59" s="35">
        <v>18.399999999999999</v>
      </c>
      <c r="AK59" s="35">
        <v>19</v>
      </c>
      <c r="AL59" s="35">
        <v>20.6</v>
      </c>
      <c r="AM59" s="35">
        <v>19</v>
      </c>
      <c r="AN59" s="35">
        <v>19.3</v>
      </c>
      <c r="AO59" s="35">
        <v>19</v>
      </c>
      <c r="AP59" s="35">
        <v>18.3</v>
      </c>
      <c r="AQ59" s="35">
        <v>19</v>
      </c>
      <c r="AR59" s="35">
        <v>20.6</v>
      </c>
      <c r="AS59" s="35">
        <v>19</v>
      </c>
      <c r="AT59" s="35">
        <v>20.3</v>
      </c>
      <c r="AU59" s="35">
        <v>19</v>
      </c>
      <c r="AV59" s="35">
        <v>20.100000000000001</v>
      </c>
      <c r="AW59" s="35">
        <v>19</v>
      </c>
      <c r="AX59" s="35">
        <v>20.399999999999999</v>
      </c>
      <c r="AY59" s="35">
        <v>20</v>
      </c>
      <c r="AZ59" s="35">
        <v>19.899999999999999</v>
      </c>
      <c r="BA59" s="35">
        <v>20</v>
      </c>
      <c r="BB59" s="35">
        <v>30.9</v>
      </c>
      <c r="BC59" s="35">
        <v>40</v>
      </c>
      <c r="BD59" s="35">
        <v>29.9</v>
      </c>
      <c r="BE59" s="35">
        <v>40</v>
      </c>
      <c r="BF59" s="35">
        <v>21.6</v>
      </c>
      <c r="BG59" s="35">
        <v>20</v>
      </c>
    </row>
    <row r="60" spans="1:59" x14ac:dyDescent="0.35">
      <c r="A60" s="36">
        <v>46059.486805555556</v>
      </c>
      <c r="B60" s="35">
        <v>2</v>
      </c>
      <c r="C60" s="35">
        <v>2</v>
      </c>
      <c r="D60" s="35">
        <v>2.6</v>
      </c>
      <c r="E60" s="35">
        <v>2.2000000000000002</v>
      </c>
      <c r="F60" s="35">
        <v>3.1</v>
      </c>
      <c r="G60" s="35">
        <v>2</v>
      </c>
      <c r="H60" s="35">
        <v>2.5</v>
      </c>
      <c r="I60" s="35">
        <v>2</v>
      </c>
      <c r="J60" s="35">
        <v>2.4</v>
      </c>
      <c r="K60" s="35">
        <v>2</v>
      </c>
      <c r="L60" s="35">
        <v>2</v>
      </c>
      <c r="M60" s="35">
        <v>2</v>
      </c>
      <c r="N60" s="35">
        <v>3.4</v>
      </c>
      <c r="O60" s="35">
        <v>3</v>
      </c>
      <c r="P60" s="35">
        <v>2.6</v>
      </c>
      <c r="Q60" s="35">
        <v>2</v>
      </c>
      <c r="R60" s="35">
        <v>3.6</v>
      </c>
      <c r="S60" s="35">
        <v>2</v>
      </c>
      <c r="T60" s="35">
        <v>3.4</v>
      </c>
      <c r="U60" s="35">
        <v>2</v>
      </c>
      <c r="V60" s="35">
        <v>10.8</v>
      </c>
      <c r="W60" s="35">
        <v>9</v>
      </c>
      <c r="X60" s="35">
        <v>9.9</v>
      </c>
      <c r="Y60" s="35">
        <v>9</v>
      </c>
      <c r="Z60" s="35">
        <v>10.6</v>
      </c>
      <c r="AA60" s="35">
        <v>9</v>
      </c>
      <c r="AB60" s="35">
        <v>10.4</v>
      </c>
      <c r="AC60" s="35">
        <v>9</v>
      </c>
      <c r="AD60" s="35">
        <v>20.7</v>
      </c>
      <c r="AE60" s="35">
        <v>19</v>
      </c>
      <c r="AF60" s="35">
        <v>20.2</v>
      </c>
      <c r="AG60" s="35">
        <v>19</v>
      </c>
      <c r="AH60" s="35">
        <v>20.2</v>
      </c>
      <c r="AI60" s="35">
        <v>19</v>
      </c>
      <c r="AJ60" s="35">
        <v>18.7</v>
      </c>
      <c r="AK60" s="35">
        <v>19</v>
      </c>
      <c r="AL60" s="35">
        <v>20.7</v>
      </c>
      <c r="AM60" s="35">
        <v>19</v>
      </c>
      <c r="AN60" s="35">
        <v>19.5</v>
      </c>
      <c r="AO60" s="35">
        <v>19</v>
      </c>
      <c r="AP60" s="35">
        <v>18.5</v>
      </c>
      <c r="AQ60" s="35">
        <v>19</v>
      </c>
      <c r="AR60" s="35">
        <v>20.6</v>
      </c>
      <c r="AS60" s="35">
        <v>19</v>
      </c>
      <c r="AT60" s="35">
        <v>20.3</v>
      </c>
      <c r="AU60" s="35">
        <v>19</v>
      </c>
      <c r="AV60" s="35">
        <v>20.2</v>
      </c>
      <c r="AW60" s="35">
        <v>19</v>
      </c>
      <c r="AX60" s="35">
        <v>20.399999999999999</v>
      </c>
      <c r="AY60" s="35">
        <v>20</v>
      </c>
      <c r="AZ60" s="35">
        <v>19.899999999999999</v>
      </c>
      <c r="BA60" s="35">
        <v>20</v>
      </c>
      <c r="BB60" s="35">
        <v>30.9</v>
      </c>
      <c r="BC60" s="35">
        <v>40</v>
      </c>
      <c r="BD60" s="35">
        <v>29.9</v>
      </c>
      <c r="BE60" s="35">
        <v>40</v>
      </c>
      <c r="BF60" s="35">
        <v>21.6</v>
      </c>
      <c r="BG60" s="35">
        <v>20</v>
      </c>
    </row>
    <row r="61" spans="1:59" x14ac:dyDescent="0.35">
      <c r="A61" s="36">
        <v>46059.487500000003</v>
      </c>
      <c r="B61" s="35">
        <v>2.2999999999999998</v>
      </c>
      <c r="C61" s="35">
        <v>2</v>
      </c>
      <c r="D61" s="35">
        <v>2.9</v>
      </c>
      <c r="E61" s="35">
        <v>2.2000000000000002</v>
      </c>
      <c r="F61" s="35">
        <v>1.3</v>
      </c>
      <c r="G61" s="35">
        <v>2</v>
      </c>
      <c r="H61" s="35">
        <v>1.5</v>
      </c>
      <c r="I61" s="35">
        <v>2</v>
      </c>
      <c r="J61" s="35">
        <v>2.6</v>
      </c>
      <c r="K61" s="35">
        <v>2</v>
      </c>
      <c r="L61" s="35">
        <v>2.4</v>
      </c>
      <c r="M61" s="35">
        <v>2</v>
      </c>
      <c r="N61" s="35">
        <v>3.6</v>
      </c>
      <c r="O61" s="35">
        <v>3</v>
      </c>
      <c r="P61" s="35">
        <v>2.6</v>
      </c>
      <c r="Q61" s="35">
        <v>2</v>
      </c>
      <c r="R61" s="35">
        <v>3.7</v>
      </c>
      <c r="S61" s="35">
        <v>2</v>
      </c>
      <c r="T61" s="35">
        <v>3.5</v>
      </c>
      <c r="U61" s="35">
        <v>2</v>
      </c>
      <c r="V61" s="35">
        <v>11</v>
      </c>
      <c r="W61" s="35">
        <v>9</v>
      </c>
      <c r="X61" s="35">
        <v>10.1</v>
      </c>
      <c r="Y61" s="35">
        <v>9</v>
      </c>
      <c r="Z61" s="35">
        <v>10.8</v>
      </c>
      <c r="AA61" s="35">
        <v>9</v>
      </c>
      <c r="AB61" s="35">
        <v>9.6</v>
      </c>
      <c r="AC61" s="35">
        <v>9</v>
      </c>
      <c r="AD61" s="35">
        <v>20.7</v>
      </c>
      <c r="AE61" s="35">
        <v>19</v>
      </c>
      <c r="AF61" s="35">
        <v>20.3</v>
      </c>
      <c r="AG61" s="35">
        <v>19</v>
      </c>
      <c r="AH61" s="35">
        <v>20.3</v>
      </c>
      <c r="AI61" s="35">
        <v>19</v>
      </c>
      <c r="AJ61" s="35">
        <v>18.899999999999999</v>
      </c>
      <c r="AK61" s="35">
        <v>19</v>
      </c>
      <c r="AL61" s="35">
        <v>20.9</v>
      </c>
      <c r="AM61" s="35">
        <v>19</v>
      </c>
      <c r="AN61" s="35">
        <v>19.8</v>
      </c>
      <c r="AO61" s="35">
        <v>19</v>
      </c>
      <c r="AP61" s="35">
        <v>18.600000000000001</v>
      </c>
      <c r="AQ61" s="35">
        <v>19</v>
      </c>
      <c r="AR61" s="35">
        <v>20.6</v>
      </c>
      <c r="AS61" s="35">
        <v>19</v>
      </c>
      <c r="AT61" s="35">
        <v>20.399999999999999</v>
      </c>
      <c r="AU61" s="35">
        <v>19</v>
      </c>
      <c r="AV61" s="35">
        <v>20.2</v>
      </c>
      <c r="AW61" s="35">
        <v>19</v>
      </c>
      <c r="AX61" s="35">
        <v>20.399999999999999</v>
      </c>
      <c r="AY61" s="35">
        <v>20</v>
      </c>
      <c r="AZ61" s="35">
        <v>19.899999999999999</v>
      </c>
      <c r="BA61" s="35">
        <v>20</v>
      </c>
      <c r="BB61" s="35">
        <v>30.9</v>
      </c>
      <c r="BC61" s="35">
        <v>40</v>
      </c>
      <c r="BD61" s="35">
        <v>30</v>
      </c>
      <c r="BE61" s="35">
        <v>40</v>
      </c>
      <c r="BF61" s="35">
        <v>21.7</v>
      </c>
      <c r="BG61" s="35">
        <v>20</v>
      </c>
    </row>
    <row r="62" spans="1:59" x14ac:dyDescent="0.35">
      <c r="A62" s="36">
        <v>46059.488194444442</v>
      </c>
      <c r="B62" s="35">
        <v>2.7</v>
      </c>
      <c r="C62" s="35">
        <v>2</v>
      </c>
      <c r="D62" s="35">
        <v>3.3</v>
      </c>
      <c r="E62" s="35">
        <v>2.2000000000000002</v>
      </c>
      <c r="F62" s="35">
        <v>1.3</v>
      </c>
      <c r="G62" s="35">
        <v>2</v>
      </c>
      <c r="H62" s="35">
        <v>1.5</v>
      </c>
      <c r="I62" s="35">
        <v>2</v>
      </c>
      <c r="J62" s="35">
        <v>2.8</v>
      </c>
      <c r="K62" s="35">
        <v>2</v>
      </c>
      <c r="L62" s="35">
        <v>2.8</v>
      </c>
      <c r="M62" s="35">
        <v>2</v>
      </c>
      <c r="N62" s="35">
        <v>3.8</v>
      </c>
      <c r="O62" s="35">
        <v>3</v>
      </c>
      <c r="P62" s="35">
        <v>2.6</v>
      </c>
      <c r="Q62" s="35">
        <v>2</v>
      </c>
      <c r="R62" s="35">
        <v>3.8</v>
      </c>
      <c r="S62" s="35">
        <v>2</v>
      </c>
      <c r="T62" s="35">
        <v>3.6</v>
      </c>
      <c r="U62" s="35">
        <v>2</v>
      </c>
      <c r="V62" s="35">
        <v>10.4</v>
      </c>
      <c r="W62" s="35">
        <v>9</v>
      </c>
      <c r="X62" s="35">
        <v>10.199999999999999</v>
      </c>
      <c r="Y62" s="35">
        <v>9</v>
      </c>
      <c r="Z62" s="35">
        <v>10.9</v>
      </c>
      <c r="AA62" s="35">
        <v>9</v>
      </c>
      <c r="AB62" s="35">
        <v>9.5</v>
      </c>
      <c r="AC62" s="35">
        <v>9</v>
      </c>
      <c r="AD62" s="35">
        <v>20.8</v>
      </c>
      <c r="AE62" s="35">
        <v>19</v>
      </c>
      <c r="AF62" s="35">
        <v>20.3</v>
      </c>
      <c r="AG62" s="35">
        <v>19</v>
      </c>
      <c r="AH62" s="35">
        <v>20.3</v>
      </c>
      <c r="AI62" s="35">
        <v>19</v>
      </c>
      <c r="AJ62" s="35">
        <v>19.100000000000001</v>
      </c>
      <c r="AK62" s="35">
        <v>19</v>
      </c>
      <c r="AL62" s="35">
        <v>21</v>
      </c>
      <c r="AM62" s="35">
        <v>19</v>
      </c>
      <c r="AN62" s="35">
        <v>19.899999999999999</v>
      </c>
      <c r="AO62" s="35">
        <v>19</v>
      </c>
      <c r="AP62" s="35">
        <v>18.8</v>
      </c>
      <c r="AQ62" s="35">
        <v>19</v>
      </c>
      <c r="AR62" s="35">
        <v>20.6</v>
      </c>
      <c r="AS62" s="35">
        <v>19</v>
      </c>
      <c r="AT62" s="35">
        <v>20.5</v>
      </c>
      <c r="AU62" s="35">
        <v>19</v>
      </c>
      <c r="AV62" s="35">
        <v>20.3</v>
      </c>
      <c r="AW62" s="35">
        <v>19</v>
      </c>
      <c r="AX62" s="35">
        <v>20.5</v>
      </c>
      <c r="AY62" s="35">
        <v>20</v>
      </c>
      <c r="AZ62" s="35">
        <v>19.899999999999999</v>
      </c>
      <c r="BA62" s="35">
        <v>20</v>
      </c>
      <c r="BB62" s="35">
        <v>30.9</v>
      </c>
      <c r="BC62" s="35">
        <v>40</v>
      </c>
      <c r="BD62" s="35">
        <v>30</v>
      </c>
      <c r="BE62" s="35">
        <v>40</v>
      </c>
      <c r="BF62" s="35">
        <v>21.7</v>
      </c>
      <c r="BG62" s="35">
        <v>20</v>
      </c>
    </row>
    <row r="63" spans="1:59" x14ac:dyDescent="0.35">
      <c r="A63" s="36">
        <v>46059.488888888889</v>
      </c>
      <c r="B63" s="35">
        <v>3</v>
      </c>
      <c r="C63" s="35">
        <v>2</v>
      </c>
      <c r="D63" s="35">
        <v>3.6</v>
      </c>
      <c r="E63" s="35">
        <v>2.2000000000000002</v>
      </c>
      <c r="F63" s="35">
        <v>1.7</v>
      </c>
      <c r="G63" s="35">
        <v>2</v>
      </c>
      <c r="H63" s="35">
        <v>1.9</v>
      </c>
      <c r="I63" s="35">
        <v>2</v>
      </c>
      <c r="J63" s="35">
        <v>3</v>
      </c>
      <c r="K63" s="35">
        <v>2</v>
      </c>
      <c r="L63" s="35">
        <v>3.2</v>
      </c>
      <c r="M63" s="35">
        <v>2</v>
      </c>
      <c r="N63" s="35">
        <v>4</v>
      </c>
      <c r="O63" s="35">
        <v>3</v>
      </c>
      <c r="P63" s="35">
        <v>2.6</v>
      </c>
      <c r="Q63" s="35">
        <v>2</v>
      </c>
      <c r="R63" s="35">
        <v>3.9</v>
      </c>
      <c r="S63" s="35">
        <v>2</v>
      </c>
      <c r="T63" s="35">
        <v>3.7</v>
      </c>
      <c r="U63" s="35">
        <v>2</v>
      </c>
      <c r="V63" s="35">
        <v>9.9</v>
      </c>
      <c r="W63" s="35">
        <v>9</v>
      </c>
      <c r="X63" s="35">
        <v>10.3</v>
      </c>
      <c r="Y63" s="35">
        <v>9</v>
      </c>
      <c r="Z63" s="35">
        <v>11</v>
      </c>
      <c r="AA63" s="35">
        <v>9</v>
      </c>
      <c r="AB63" s="35">
        <v>9.1999999999999993</v>
      </c>
      <c r="AC63" s="35">
        <v>9</v>
      </c>
      <c r="AD63" s="35">
        <v>20.8</v>
      </c>
      <c r="AE63" s="35">
        <v>19</v>
      </c>
      <c r="AF63" s="35">
        <v>20.3</v>
      </c>
      <c r="AG63" s="35">
        <v>19</v>
      </c>
      <c r="AH63" s="35">
        <v>20.399999999999999</v>
      </c>
      <c r="AI63" s="35">
        <v>19</v>
      </c>
      <c r="AJ63" s="35">
        <v>19.3</v>
      </c>
      <c r="AK63" s="35">
        <v>19</v>
      </c>
      <c r="AL63" s="35">
        <v>21</v>
      </c>
      <c r="AM63" s="35">
        <v>19</v>
      </c>
      <c r="AN63" s="35">
        <v>20</v>
      </c>
      <c r="AO63" s="35">
        <v>19</v>
      </c>
      <c r="AP63" s="35">
        <v>18.899999999999999</v>
      </c>
      <c r="AQ63" s="35">
        <v>19</v>
      </c>
      <c r="AR63" s="35">
        <v>20.6</v>
      </c>
      <c r="AS63" s="35">
        <v>19</v>
      </c>
      <c r="AT63" s="35">
        <v>20.6</v>
      </c>
      <c r="AU63" s="35">
        <v>19</v>
      </c>
      <c r="AV63" s="35">
        <v>20.399999999999999</v>
      </c>
      <c r="AW63" s="35">
        <v>19</v>
      </c>
      <c r="AX63" s="35">
        <v>20.5</v>
      </c>
      <c r="AY63" s="35">
        <v>20</v>
      </c>
      <c r="AZ63" s="35">
        <v>19.899999999999999</v>
      </c>
      <c r="BA63" s="35">
        <v>20</v>
      </c>
      <c r="BB63" s="35">
        <v>30.9</v>
      </c>
      <c r="BC63" s="35">
        <v>40</v>
      </c>
      <c r="BD63" s="35">
        <v>30</v>
      </c>
      <c r="BE63" s="35">
        <v>40</v>
      </c>
      <c r="BF63" s="35">
        <v>21.8</v>
      </c>
      <c r="BG63" s="35">
        <v>20</v>
      </c>
    </row>
    <row r="64" spans="1:59" x14ac:dyDescent="0.35">
      <c r="A64" s="36">
        <v>46059.489583333336</v>
      </c>
      <c r="B64" s="35">
        <v>3.3</v>
      </c>
      <c r="C64" s="35">
        <v>2</v>
      </c>
      <c r="D64" s="35">
        <v>3.9</v>
      </c>
      <c r="E64" s="35">
        <v>2.2000000000000002</v>
      </c>
      <c r="F64" s="35">
        <v>2</v>
      </c>
      <c r="G64" s="35">
        <v>2</v>
      </c>
      <c r="H64" s="35">
        <v>2.4</v>
      </c>
      <c r="I64" s="35">
        <v>2</v>
      </c>
      <c r="J64" s="35">
        <v>3.3</v>
      </c>
      <c r="K64" s="35">
        <v>2</v>
      </c>
      <c r="L64" s="35">
        <v>3.5</v>
      </c>
      <c r="M64" s="35">
        <v>2</v>
      </c>
      <c r="N64" s="35">
        <v>4.2</v>
      </c>
      <c r="O64" s="35">
        <v>3</v>
      </c>
      <c r="P64" s="35">
        <v>2.6</v>
      </c>
      <c r="Q64" s="35">
        <v>2</v>
      </c>
      <c r="R64" s="35">
        <v>3.8</v>
      </c>
      <c r="S64" s="35">
        <v>2</v>
      </c>
      <c r="T64" s="35">
        <v>3.2</v>
      </c>
      <c r="U64" s="35">
        <v>2</v>
      </c>
      <c r="V64" s="35">
        <v>8.6999999999999993</v>
      </c>
      <c r="W64" s="35">
        <v>9</v>
      </c>
      <c r="X64" s="35">
        <v>10.4</v>
      </c>
      <c r="Y64" s="35">
        <v>9</v>
      </c>
      <c r="Z64" s="35">
        <v>10.4</v>
      </c>
      <c r="AA64" s="35">
        <v>9</v>
      </c>
      <c r="AB64" s="35">
        <v>8.5</v>
      </c>
      <c r="AC64" s="35">
        <v>9</v>
      </c>
      <c r="AD64" s="35">
        <v>20.8</v>
      </c>
      <c r="AE64" s="35">
        <v>19</v>
      </c>
      <c r="AF64" s="35">
        <v>20.399999999999999</v>
      </c>
      <c r="AG64" s="35">
        <v>19</v>
      </c>
      <c r="AH64" s="35">
        <v>20.399999999999999</v>
      </c>
      <c r="AI64" s="35">
        <v>19</v>
      </c>
      <c r="AJ64" s="35">
        <v>19.399999999999999</v>
      </c>
      <c r="AK64" s="35">
        <v>19</v>
      </c>
      <c r="AL64" s="35">
        <v>20.7</v>
      </c>
      <c r="AM64" s="35">
        <v>19</v>
      </c>
      <c r="AN64" s="35">
        <v>20.100000000000001</v>
      </c>
      <c r="AO64" s="35">
        <v>19</v>
      </c>
      <c r="AP64" s="35">
        <v>19</v>
      </c>
      <c r="AQ64" s="35">
        <v>19</v>
      </c>
      <c r="AR64" s="35">
        <v>20.6</v>
      </c>
      <c r="AS64" s="35">
        <v>19</v>
      </c>
      <c r="AT64" s="35">
        <v>20.6</v>
      </c>
      <c r="AU64" s="35">
        <v>19</v>
      </c>
      <c r="AV64" s="35">
        <v>20.399999999999999</v>
      </c>
      <c r="AW64" s="35">
        <v>19</v>
      </c>
      <c r="AX64" s="35">
        <v>20.5</v>
      </c>
      <c r="AY64" s="35">
        <v>20</v>
      </c>
      <c r="AZ64" s="35">
        <v>19.899999999999999</v>
      </c>
      <c r="BA64" s="35">
        <v>20</v>
      </c>
      <c r="BB64" s="35">
        <v>31</v>
      </c>
      <c r="BC64" s="35">
        <v>40</v>
      </c>
      <c r="BD64" s="35">
        <v>30</v>
      </c>
      <c r="BE64" s="35">
        <v>40</v>
      </c>
      <c r="BF64" s="35">
        <v>21.8</v>
      </c>
      <c r="BG64" s="35">
        <v>20</v>
      </c>
    </row>
    <row r="65" spans="1:59" x14ac:dyDescent="0.35">
      <c r="A65" s="36">
        <v>46059.490277777775</v>
      </c>
      <c r="B65" s="35">
        <v>3.6</v>
      </c>
      <c r="C65" s="35">
        <v>2</v>
      </c>
      <c r="D65" s="35">
        <v>4.0999999999999996</v>
      </c>
      <c r="E65" s="35">
        <v>2.2000000000000002</v>
      </c>
      <c r="F65" s="35">
        <v>2.5</v>
      </c>
      <c r="G65" s="35">
        <v>2</v>
      </c>
      <c r="H65" s="35">
        <v>2.7</v>
      </c>
      <c r="I65" s="35">
        <v>2</v>
      </c>
      <c r="J65" s="35">
        <v>3.5</v>
      </c>
      <c r="K65" s="35">
        <v>2</v>
      </c>
      <c r="L65" s="35">
        <v>3.8</v>
      </c>
      <c r="M65" s="35">
        <v>2</v>
      </c>
      <c r="N65" s="35">
        <v>4.4000000000000004</v>
      </c>
      <c r="O65" s="35">
        <v>3</v>
      </c>
      <c r="P65" s="35">
        <v>2.6</v>
      </c>
      <c r="Q65" s="35">
        <v>2</v>
      </c>
      <c r="R65" s="35">
        <v>2.6</v>
      </c>
      <c r="S65" s="35">
        <v>2</v>
      </c>
      <c r="T65" s="35">
        <v>2</v>
      </c>
      <c r="U65" s="35">
        <v>2</v>
      </c>
      <c r="V65" s="35">
        <v>8.1999999999999993</v>
      </c>
      <c r="W65" s="35">
        <v>9</v>
      </c>
      <c r="X65" s="35">
        <v>10.4</v>
      </c>
      <c r="Y65" s="35">
        <v>9</v>
      </c>
      <c r="Z65" s="35">
        <v>9.8000000000000007</v>
      </c>
      <c r="AA65" s="35">
        <v>9</v>
      </c>
      <c r="AB65" s="35">
        <v>8.5</v>
      </c>
      <c r="AC65" s="35">
        <v>9</v>
      </c>
      <c r="AD65" s="35">
        <v>20.8</v>
      </c>
      <c r="AE65" s="35">
        <v>19</v>
      </c>
      <c r="AF65" s="35">
        <v>20.399999999999999</v>
      </c>
      <c r="AG65" s="35">
        <v>19</v>
      </c>
      <c r="AH65" s="35">
        <v>20.5</v>
      </c>
      <c r="AI65" s="35">
        <v>19</v>
      </c>
      <c r="AJ65" s="35">
        <v>19.5</v>
      </c>
      <c r="AK65" s="35">
        <v>19</v>
      </c>
      <c r="AL65" s="35">
        <v>20.5</v>
      </c>
      <c r="AM65" s="35">
        <v>19</v>
      </c>
      <c r="AN65" s="35">
        <v>20.2</v>
      </c>
      <c r="AO65" s="35">
        <v>19</v>
      </c>
      <c r="AP65" s="35">
        <v>19.100000000000001</v>
      </c>
      <c r="AQ65" s="35">
        <v>19</v>
      </c>
      <c r="AR65" s="35">
        <v>20.6</v>
      </c>
      <c r="AS65" s="35">
        <v>19</v>
      </c>
      <c r="AT65" s="35">
        <v>20.7</v>
      </c>
      <c r="AU65" s="35">
        <v>19</v>
      </c>
      <c r="AV65" s="35">
        <v>20.5</v>
      </c>
      <c r="AW65" s="35">
        <v>19</v>
      </c>
      <c r="AX65" s="35">
        <v>20.5</v>
      </c>
      <c r="AY65" s="35">
        <v>20</v>
      </c>
      <c r="AZ65" s="35">
        <v>19.899999999999999</v>
      </c>
      <c r="BA65" s="35">
        <v>20</v>
      </c>
      <c r="BB65" s="35">
        <v>31</v>
      </c>
      <c r="BC65" s="35">
        <v>40</v>
      </c>
      <c r="BD65" s="35">
        <v>30</v>
      </c>
      <c r="BE65" s="35">
        <v>40</v>
      </c>
      <c r="BF65" s="35">
        <v>21.8</v>
      </c>
      <c r="BG65" s="35">
        <v>20</v>
      </c>
    </row>
    <row r="66" spans="1:59" x14ac:dyDescent="0.35">
      <c r="A66" s="36">
        <v>46059.490972222222</v>
      </c>
      <c r="B66" s="35">
        <v>3.7</v>
      </c>
      <c r="C66" s="35">
        <v>2</v>
      </c>
      <c r="D66" s="35">
        <v>4</v>
      </c>
      <c r="E66" s="35">
        <v>2.2000000000000002</v>
      </c>
      <c r="F66" s="35">
        <v>2.9</v>
      </c>
      <c r="G66" s="35">
        <v>2</v>
      </c>
      <c r="H66" s="35">
        <v>3.1</v>
      </c>
      <c r="I66" s="35">
        <v>2</v>
      </c>
      <c r="J66" s="35">
        <v>3.7</v>
      </c>
      <c r="K66" s="35">
        <v>2</v>
      </c>
      <c r="L66" s="35">
        <v>4</v>
      </c>
      <c r="M66" s="35">
        <v>2</v>
      </c>
      <c r="N66" s="35">
        <v>4.5999999999999996</v>
      </c>
      <c r="O66" s="35">
        <v>3</v>
      </c>
      <c r="P66" s="35">
        <v>2.6</v>
      </c>
      <c r="Q66" s="35">
        <v>2</v>
      </c>
      <c r="R66" s="35">
        <v>2</v>
      </c>
      <c r="S66" s="35">
        <v>2</v>
      </c>
      <c r="T66" s="35">
        <v>1.4</v>
      </c>
      <c r="U66" s="35">
        <v>2</v>
      </c>
      <c r="V66" s="35">
        <v>9</v>
      </c>
      <c r="W66" s="35">
        <v>9</v>
      </c>
      <c r="X66" s="35">
        <v>10.5</v>
      </c>
      <c r="Y66" s="35">
        <v>9</v>
      </c>
      <c r="Z66" s="35">
        <v>9.4</v>
      </c>
      <c r="AA66" s="35">
        <v>9</v>
      </c>
      <c r="AB66" s="35">
        <v>8.9</v>
      </c>
      <c r="AC66" s="35">
        <v>9</v>
      </c>
      <c r="AD66" s="35">
        <v>20.8</v>
      </c>
      <c r="AE66" s="35">
        <v>19</v>
      </c>
      <c r="AF66" s="35">
        <v>20.399999999999999</v>
      </c>
      <c r="AG66" s="35">
        <v>19</v>
      </c>
      <c r="AH66" s="35">
        <v>20.5</v>
      </c>
      <c r="AI66" s="35">
        <v>19</v>
      </c>
      <c r="AJ66" s="35">
        <v>19.600000000000001</v>
      </c>
      <c r="AK66" s="35">
        <v>19</v>
      </c>
      <c r="AL66" s="35">
        <v>20.2</v>
      </c>
      <c r="AM66" s="35">
        <v>19</v>
      </c>
      <c r="AN66" s="35">
        <v>20.3</v>
      </c>
      <c r="AO66" s="35">
        <v>19</v>
      </c>
      <c r="AP66" s="35">
        <v>19.2</v>
      </c>
      <c r="AQ66" s="35">
        <v>19</v>
      </c>
      <c r="AR66" s="35">
        <v>20.6</v>
      </c>
      <c r="AS66" s="35">
        <v>19</v>
      </c>
      <c r="AT66" s="35">
        <v>20.8</v>
      </c>
      <c r="AU66" s="35">
        <v>19</v>
      </c>
      <c r="AV66" s="35">
        <v>20.5</v>
      </c>
      <c r="AW66" s="35">
        <v>19</v>
      </c>
      <c r="AX66" s="35">
        <v>20.6</v>
      </c>
      <c r="AY66" s="35">
        <v>20</v>
      </c>
      <c r="AZ66" s="35">
        <v>19.899999999999999</v>
      </c>
      <c r="BA66" s="35">
        <v>20</v>
      </c>
      <c r="BB66" s="35">
        <v>31.1</v>
      </c>
      <c r="BC66" s="35">
        <v>40</v>
      </c>
      <c r="BD66" s="35">
        <v>30.1</v>
      </c>
      <c r="BE66" s="35">
        <v>40</v>
      </c>
      <c r="BF66" s="35">
        <v>21.9</v>
      </c>
      <c r="BG66" s="35">
        <v>20</v>
      </c>
    </row>
    <row r="67" spans="1:59" x14ac:dyDescent="0.35">
      <c r="A67" s="36">
        <v>46059.491666666669</v>
      </c>
      <c r="B67" s="35">
        <v>3.7</v>
      </c>
      <c r="C67" s="35">
        <v>2</v>
      </c>
      <c r="D67" s="35">
        <v>4</v>
      </c>
      <c r="E67" s="35">
        <v>2.2000000000000002</v>
      </c>
      <c r="F67" s="35">
        <v>3.2</v>
      </c>
      <c r="G67" s="35">
        <v>2</v>
      </c>
      <c r="H67" s="35">
        <v>3.4</v>
      </c>
      <c r="I67" s="35">
        <v>2</v>
      </c>
      <c r="J67" s="35">
        <v>3.5</v>
      </c>
      <c r="K67" s="35">
        <v>2</v>
      </c>
      <c r="L67" s="35">
        <v>2.9</v>
      </c>
      <c r="M67" s="35">
        <v>2</v>
      </c>
      <c r="N67" s="35">
        <v>4.8</v>
      </c>
      <c r="O67" s="35">
        <v>3</v>
      </c>
      <c r="P67" s="35">
        <v>2.6</v>
      </c>
      <c r="Q67" s="35">
        <v>2</v>
      </c>
      <c r="R67" s="35">
        <v>1.9</v>
      </c>
      <c r="S67" s="35">
        <v>2</v>
      </c>
      <c r="T67" s="35">
        <v>1.4</v>
      </c>
      <c r="U67" s="35">
        <v>2</v>
      </c>
      <c r="V67" s="35">
        <v>9.6999999999999993</v>
      </c>
      <c r="W67" s="35">
        <v>9</v>
      </c>
      <c r="X67" s="35">
        <v>10.6</v>
      </c>
      <c r="Y67" s="35">
        <v>9</v>
      </c>
      <c r="Z67" s="35">
        <v>9.3000000000000007</v>
      </c>
      <c r="AA67" s="35">
        <v>9</v>
      </c>
      <c r="AB67" s="35">
        <v>9.4</v>
      </c>
      <c r="AC67" s="35">
        <v>9</v>
      </c>
      <c r="AD67" s="35">
        <v>20.9</v>
      </c>
      <c r="AE67" s="35">
        <v>19</v>
      </c>
      <c r="AF67" s="35">
        <v>20.5</v>
      </c>
      <c r="AG67" s="35">
        <v>19</v>
      </c>
      <c r="AH67" s="35">
        <v>20.6</v>
      </c>
      <c r="AI67" s="35">
        <v>19</v>
      </c>
      <c r="AJ67" s="35">
        <v>19.7</v>
      </c>
      <c r="AK67" s="35">
        <v>19</v>
      </c>
      <c r="AL67" s="35">
        <v>20</v>
      </c>
      <c r="AM67" s="35">
        <v>19</v>
      </c>
      <c r="AN67" s="35">
        <v>20.399999999999999</v>
      </c>
      <c r="AO67" s="35">
        <v>19</v>
      </c>
      <c r="AP67" s="35">
        <v>19.3</v>
      </c>
      <c r="AQ67" s="35">
        <v>19</v>
      </c>
      <c r="AR67" s="35">
        <v>20.6</v>
      </c>
      <c r="AS67" s="35">
        <v>19</v>
      </c>
      <c r="AT67" s="35">
        <v>20.9</v>
      </c>
      <c r="AU67" s="35">
        <v>19</v>
      </c>
      <c r="AV67" s="35">
        <v>20.6</v>
      </c>
      <c r="AW67" s="35">
        <v>19</v>
      </c>
      <c r="AX67" s="35">
        <v>20.6</v>
      </c>
      <c r="AY67" s="35">
        <v>20</v>
      </c>
      <c r="AZ67" s="35">
        <v>19.899999999999999</v>
      </c>
      <c r="BA67" s="35">
        <v>20</v>
      </c>
      <c r="BB67" s="35">
        <v>31.1</v>
      </c>
      <c r="BC67" s="35">
        <v>40</v>
      </c>
      <c r="BD67" s="35">
        <v>30.1</v>
      </c>
      <c r="BE67" s="35">
        <v>40</v>
      </c>
      <c r="BF67" s="35">
        <v>21.9</v>
      </c>
      <c r="BG67" s="35">
        <v>20</v>
      </c>
    </row>
    <row r="68" spans="1:59" x14ac:dyDescent="0.35">
      <c r="A68" s="36">
        <v>46059.492361111108</v>
      </c>
      <c r="B68" s="35">
        <v>3.8</v>
      </c>
      <c r="C68" s="35">
        <v>2</v>
      </c>
      <c r="D68" s="35">
        <v>4.0999999999999996</v>
      </c>
      <c r="E68" s="35">
        <v>2.2000000000000002</v>
      </c>
      <c r="F68" s="35">
        <v>3.4</v>
      </c>
      <c r="G68" s="35">
        <v>2</v>
      </c>
      <c r="H68" s="35">
        <v>3.7</v>
      </c>
      <c r="I68" s="35">
        <v>2</v>
      </c>
      <c r="J68" s="35">
        <v>2.6</v>
      </c>
      <c r="K68" s="35">
        <v>2</v>
      </c>
      <c r="L68" s="35">
        <v>1.6</v>
      </c>
      <c r="M68" s="35">
        <v>2</v>
      </c>
      <c r="N68" s="35">
        <v>5</v>
      </c>
      <c r="O68" s="35">
        <v>3</v>
      </c>
      <c r="P68" s="35">
        <v>2.6</v>
      </c>
      <c r="Q68" s="35">
        <v>2</v>
      </c>
      <c r="R68" s="35">
        <v>1.9</v>
      </c>
      <c r="S68" s="35">
        <v>2</v>
      </c>
      <c r="T68" s="35">
        <v>1.6</v>
      </c>
      <c r="U68" s="35">
        <v>2</v>
      </c>
      <c r="V68" s="35">
        <v>10.3</v>
      </c>
      <c r="W68" s="35">
        <v>9</v>
      </c>
      <c r="X68" s="35">
        <v>10.7</v>
      </c>
      <c r="Y68" s="35">
        <v>9</v>
      </c>
      <c r="Z68" s="35">
        <v>9</v>
      </c>
      <c r="AA68" s="35">
        <v>9</v>
      </c>
      <c r="AB68" s="35">
        <v>9.9</v>
      </c>
      <c r="AC68" s="35">
        <v>9</v>
      </c>
      <c r="AD68" s="35">
        <v>20.9</v>
      </c>
      <c r="AE68" s="35">
        <v>19</v>
      </c>
      <c r="AF68" s="35">
        <v>20.5</v>
      </c>
      <c r="AG68" s="35">
        <v>19</v>
      </c>
      <c r="AH68" s="35">
        <v>20.6</v>
      </c>
      <c r="AI68" s="35">
        <v>19</v>
      </c>
      <c r="AJ68" s="35">
        <v>19.8</v>
      </c>
      <c r="AK68" s="35">
        <v>19</v>
      </c>
      <c r="AL68" s="35">
        <v>19.899999999999999</v>
      </c>
      <c r="AM68" s="35">
        <v>19</v>
      </c>
      <c r="AN68" s="35">
        <v>20.5</v>
      </c>
      <c r="AO68" s="35">
        <v>19</v>
      </c>
      <c r="AP68" s="35">
        <v>19.399999999999999</v>
      </c>
      <c r="AQ68" s="35">
        <v>19</v>
      </c>
      <c r="AR68" s="35">
        <v>20.6</v>
      </c>
      <c r="AS68" s="35">
        <v>19</v>
      </c>
      <c r="AT68" s="35">
        <v>20.9</v>
      </c>
      <c r="AU68" s="35">
        <v>19</v>
      </c>
      <c r="AV68" s="35">
        <v>20.6</v>
      </c>
      <c r="AW68" s="35">
        <v>19</v>
      </c>
      <c r="AX68" s="35">
        <v>20.6</v>
      </c>
      <c r="AY68" s="35">
        <v>20</v>
      </c>
      <c r="AZ68" s="35">
        <v>19.899999999999999</v>
      </c>
      <c r="BA68" s="35">
        <v>20</v>
      </c>
      <c r="BB68" s="35">
        <v>31.2</v>
      </c>
      <c r="BC68" s="35">
        <v>40</v>
      </c>
      <c r="BD68" s="35">
        <v>30.1</v>
      </c>
      <c r="BE68" s="35">
        <v>40</v>
      </c>
      <c r="BF68" s="35">
        <v>21.9</v>
      </c>
      <c r="BG68" s="35">
        <v>20</v>
      </c>
    </row>
    <row r="69" spans="1:59" x14ac:dyDescent="0.35">
      <c r="A69" s="36">
        <v>46059.493055555555</v>
      </c>
      <c r="B69" s="35">
        <v>4</v>
      </c>
      <c r="C69" s="35">
        <v>2</v>
      </c>
      <c r="D69" s="35">
        <v>4.3</v>
      </c>
      <c r="E69" s="35">
        <v>2.2000000000000002</v>
      </c>
      <c r="F69" s="35">
        <v>3.6</v>
      </c>
      <c r="G69" s="35">
        <v>2</v>
      </c>
      <c r="H69" s="35">
        <v>3.9</v>
      </c>
      <c r="I69" s="35">
        <v>2</v>
      </c>
      <c r="J69" s="35">
        <v>2.5</v>
      </c>
      <c r="K69" s="35">
        <v>2</v>
      </c>
      <c r="L69" s="35">
        <v>1.6</v>
      </c>
      <c r="M69" s="35">
        <v>2</v>
      </c>
      <c r="N69" s="35">
        <v>4.5</v>
      </c>
      <c r="O69" s="35">
        <v>3</v>
      </c>
      <c r="P69" s="35">
        <v>2.6</v>
      </c>
      <c r="Q69" s="35">
        <v>2</v>
      </c>
      <c r="R69" s="35">
        <v>2.2000000000000002</v>
      </c>
      <c r="S69" s="35">
        <v>2</v>
      </c>
      <c r="T69" s="35">
        <v>1.9</v>
      </c>
      <c r="U69" s="35">
        <v>2</v>
      </c>
      <c r="V69" s="35">
        <v>10.8</v>
      </c>
      <c r="W69" s="35">
        <v>9</v>
      </c>
      <c r="X69" s="35">
        <v>10.8</v>
      </c>
      <c r="Y69" s="35">
        <v>9</v>
      </c>
      <c r="Z69" s="35">
        <v>8.6</v>
      </c>
      <c r="AA69" s="35">
        <v>9</v>
      </c>
      <c r="AB69" s="35">
        <v>10.3</v>
      </c>
      <c r="AC69" s="35">
        <v>9</v>
      </c>
      <c r="AD69" s="35">
        <v>20.9</v>
      </c>
      <c r="AE69" s="35">
        <v>19</v>
      </c>
      <c r="AF69" s="35">
        <v>20.5</v>
      </c>
      <c r="AG69" s="35">
        <v>19</v>
      </c>
      <c r="AH69" s="35">
        <v>20.7</v>
      </c>
      <c r="AI69" s="35">
        <v>19</v>
      </c>
      <c r="AJ69" s="35">
        <v>19.899999999999999</v>
      </c>
      <c r="AK69" s="35">
        <v>19</v>
      </c>
      <c r="AL69" s="35">
        <v>19.7</v>
      </c>
      <c r="AM69" s="35">
        <v>19</v>
      </c>
      <c r="AN69" s="35">
        <v>20.5</v>
      </c>
      <c r="AO69" s="35">
        <v>19</v>
      </c>
      <c r="AP69" s="35">
        <v>19.399999999999999</v>
      </c>
      <c r="AQ69" s="35">
        <v>19</v>
      </c>
      <c r="AR69" s="35">
        <v>20.6</v>
      </c>
      <c r="AS69" s="35">
        <v>19</v>
      </c>
      <c r="AT69" s="35">
        <v>21</v>
      </c>
      <c r="AU69" s="35">
        <v>19</v>
      </c>
      <c r="AV69" s="35">
        <v>20.7</v>
      </c>
      <c r="AW69" s="35">
        <v>19</v>
      </c>
      <c r="AX69" s="35">
        <v>20.6</v>
      </c>
      <c r="AY69" s="35">
        <v>20</v>
      </c>
      <c r="AZ69" s="35">
        <v>19.899999999999999</v>
      </c>
      <c r="BA69" s="35">
        <v>20</v>
      </c>
      <c r="BB69" s="35">
        <v>31.2</v>
      </c>
      <c r="BC69" s="35">
        <v>40</v>
      </c>
      <c r="BD69" s="35">
        <v>30.1</v>
      </c>
      <c r="BE69" s="35">
        <v>40</v>
      </c>
      <c r="BF69" s="35">
        <v>21.9</v>
      </c>
      <c r="BG69" s="35">
        <v>20</v>
      </c>
    </row>
    <row r="70" spans="1:59" x14ac:dyDescent="0.35">
      <c r="A70" s="36">
        <v>46059.493750000001</v>
      </c>
      <c r="B70" s="35">
        <v>3.7</v>
      </c>
      <c r="C70" s="35">
        <v>2</v>
      </c>
      <c r="D70" s="35">
        <v>3.9</v>
      </c>
      <c r="E70" s="35">
        <v>2.2000000000000002</v>
      </c>
      <c r="F70" s="35">
        <v>3.4</v>
      </c>
      <c r="G70" s="35">
        <v>2</v>
      </c>
      <c r="H70" s="35">
        <v>3.1</v>
      </c>
      <c r="I70" s="35">
        <v>2</v>
      </c>
      <c r="J70" s="35">
        <v>2.5</v>
      </c>
      <c r="K70" s="35">
        <v>2</v>
      </c>
      <c r="L70" s="35">
        <v>1.9</v>
      </c>
      <c r="M70" s="35">
        <v>2</v>
      </c>
      <c r="N70" s="35">
        <v>3.6</v>
      </c>
      <c r="O70" s="35">
        <v>3</v>
      </c>
      <c r="P70" s="35">
        <v>2.6</v>
      </c>
      <c r="Q70" s="35">
        <v>2</v>
      </c>
      <c r="R70" s="35">
        <v>2.5</v>
      </c>
      <c r="S70" s="35">
        <v>2</v>
      </c>
      <c r="T70" s="35">
        <v>2.2000000000000002</v>
      </c>
      <c r="U70" s="35">
        <v>2</v>
      </c>
      <c r="V70" s="35">
        <v>11.1</v>
      </c>
      <c r="W70" s="35">
        <v>9</v>
      </c>
      <c r="X70" s="35">
        <v>10.8</v>
      </c>
      <c r="Y70" s="35">
        <v>9</v>
      </c>
      <c r="Z70" s="35">
        <v>8.6</v>
      </c>
      <c r="AA70" s="35">
        <v>9</v>
      </c>
      <c r="AB70" s="35">
        <v>10.7</v>
      </c>
      <c r="AC70" s="35">
        <v>9</v>
      </c>
      <c r="AD70" s="35">
        <v>20.9</v>
      </c>
      <c r="AE70" s="35">
        <v>19</v>
      </c>
      <c r="AF70" s="35">
        <v>20.6</v>
      </c>
      <c r="AG70" s="35">
        <v>19</v>
      </c>
      <c r="AH70" s="35">
        <v>20.7</v>
      </c>
      <c r="AI70" s="35">
        <v>19</v>
      </c>
      <c r="AJ70" s="35">
        <v>20</v>
      </c>
      <c r="AK70" s="35">
        <v>19</v>
      </c>
      <c r="AL70" s="35">
        <v>19.600000000000001</v>
      </c>
      <c r="AM70" s="35">
        <v>19</v>
      </c>
      <c r="AN70" s="35">
        <v>20.6</v>
      </c>
      <c r="AO70" s="35">
        <v>19</v>
      </c>
      <c r="AP70" s="35">
        <v>19.5</v>
      </c>
      <c r="AQ70" s="35">
        <v>19</v>
      </c>
      <c r="AR70" s="35">
        <v>20.6</v>
      </c>
      <c r="AS70" s="35">
        <v>19</v>
      </c>
      <c r="AT70" s="35">
        <v>20.399999999999999</v>
      </c>
      <c r="AU70" s="35">
        <v>19</v>
      </c>
      <c r="AV70" s="35">
        <v>20.7</v>
      </c>
      <c r="AW70" s="35">
        <v>19</v>
      </c>
      <c r="AX70" s="35">
        <v>20.6</v>
      </c>
      <c r="AY70" s="35">
        <v>20</v>
      </c>
      <c r="AZ70" s="35">
        <v>19.899999999999999</v>
      </c>
      <c r="BA70" s="35">
        <v>20</v>
      </c>
      <c r="BB70" s="35">
        <v>31.2</v>
      </c>
      <c r="BC70" s="35">
        <v>40</v>
      </c>
      <c r="BD70" s="35">
        <v>30.2</v>
      </c>
      <c r="BE70" s="35">
        <v>40</v>
      </c>
      <c r="BF70" s="35">
        <v>21.9</v>
      </c>
      <c r="BG70" s="35">
        <v>20</v>
      </c>
    </row>
    <row r="71" spans="1:59" x14ac:dyDescent="0.35">
      <c r="A71" s="36">
        <v>46059.494444444441</v>
      </c>
      <c r="B71" s="35">
        <v>2.5</v>
      </c>
      <c r="C71" s="35">
        <v>2</v>
      </c>
      <c r="D71" s="35">
        <v>2.7</v>
      </c>
      <c r="E71" s="35">
        <v>2.2000000000000002</v>
      </c>
      <c r="F71" s="35">
        <v>3.1</v>
      </c>
      <c r="G71" s="35">
        <v>2</v>
      </c>
      <c r="H71" s="35">
        <v>2.4</v>
      </c>
      <c r="I71" s="35">
        <v>2</v>
      </c>
      <c r="J71" s="35">
        <v>2.8</v>
      </c>
      <c r="K71" s="35">
        <v>2</v>
      </c>
      <c r="L71" s="35">
        <v>2.2999999999999998</v>
      </c>
      <c r="M71" s="35">
        <v>2</v>
      </c>
      <c r="N71" s="35">
        <v>2.8</v>
      </c>
      <c r="O71" s="35">
        <v>3</v>
      </c>
      <c r="P71" s="35">
        <v>2.6</v>
      </c>
      <c r="Q71" s="35">
        <v>2</v>
      </c>
      <c r="R71" s="35">
        <v>2.8</v>
      </c>
      <c r="S71" s="35">
        <v>2</v>
      </c>
      <c r="T71" s="35">
        <v>2.5</v>
      </c>
      <c r="U71" s="35">
        <v>2</v>
      </c>
      <c r="V71" s="35">
        <v>9.1</v>
      </c>
      <c r="W71" s="35">
        <v>9</v>
      </c>
      <c r="X71" s="35">
        <v>10.9</v>
      </c>
      <c r="Y71" s="35">
        <v>9</v>
      </c>
      <c r="Z71" s="35">
        <v>9</v>
      </c>
      <c r="AA71" s="35">
        <v>9</v>
      </c>
      <c r="AB71" s="35">
        <v>11</v>
      </c>
      <c r="AC71" s="35">
        <v>9</v>
      </c>
      <c r="AD71" s="35">
        <v>20.9</v>
      </c>
      <c r="AE71" s="35">
        <v>19</v>
      </c>
      <c r="AF71" s="35">
        <v>20.6</v>
      </c>
      <c r="AG71" s="35">
        <v>19</v>
      </c>
      <c r="AH71" s="35">
        <v>20.8</v>
      </c>
      <c r="AI71" s="35">
        <v>19</v>
      </c>
      <c r="AJ71" s="35">
        <v>20.100000000000001</v>
      </c>
      <c r="AK71" s="35">
        <v>19</v>
      </c>
      <c r="AL71" s="35">
        <v>19.600000000000001</v>
      </c>
      <c r="AM71" s="35">
        <v>19</v>
      </c>
      <c r="AN71" s="35">
        <v>20.7</v>
      </c>
      <c r="AO71" s="35">
        <v>19</v>
      </c>
      <c r="AP71" s="35">
        <v>19.7</v>
      </c>
      <c r="AQ71" s="35">
        <v>19</v>
      </c>
      <c r="AR71" s="35">
        <v>20.6</v>
      </c>
      <c r="AS71" s="35">
        <v>19</v>
      </c>
      <c r="AT71" s="35">
        <v>19.899999999999999</v>
      </c>
      <c r="AU71" s="35">
        <v>19</v>
      </c>
      <c r="AV71" s="35">
        <v>20.8</v>
      </c>
      <c r="AW71" s="35">
        <v>19</v>
      </c>
      <c r="AX71" s="35">
        <v>20.6</v>
      </c>
      <c r="AY71" s="35">
        <v>20</v>
      </c>
      <c r="AZ71" s="35">
        <v>19.899999999999999</v>
      </c>
      <c r="BA71" s="35">
        <v>20</v>
      </c>
      <c r="BB71" s="35">
        <v>31.2</v>
      </c>
      <c r="BC71" s="35">
        <v>40</v>
      </c>
      <c r="BD71" s="35">
        <v>30.2</v>
      </c>
      <c r="BE71" s="35">
        <v>40</v>
      </c>
      <c r="BF71" s="35">
        <v>17.899999999999999</v>
      </c>
      <c r="BG71" s="35">
        <v>20</v>
      </c>
    </row>
    <row r="72" spans="1:59" x14ac:dyDescent="0.35">
      <c r="A72" s="36">
        <v>46059.495138888888</v>
      </c>
      <c r="B72" s="35">
        <v>1.8</v>
      </c>
      <c r="C72" s="35">
        <v>2</v>
      </c>
      <c r="D72" s="35">
        <v>2.1</v>
      </c>
      <c r="E72" s="35">
        <v>2.2000000000000002</v>
      </c>
      <c r="F72" s="35">
        <v>3.1</v>
      </c>
      <c r="G72" s="35">
        <v>2</v>
      </c>
      <c r="H72" s="35">
        <v>2.2999999999999998</v>
      </c>
      <c r="I72" s="35">
        <v>2</v>
      </c>
      <c r="J72" s="35">
        <v>3</v>
      </c>
      <c r="K72" s="35">
        <v>2</v>
      </c>
      <c r="L72" s="35">
        <v>2.7</v>
      </c>
      <c r="M72" s="35">
        <v>2</v>
      </c>
      <c r="N72" s="35">
        <v>2.6</v>
      </c>
      <c r="O72" s="35">
        <v>3</v>
      </c>
      <c r="P72" s="35">
        <v>2.6</v>
      </c>
      <c r="Q72" s="35">
        <v>2</v>
      </c>
      <c r="R72" s="35">
        <v>2.9</v>
      </c>
      <c r="S72" s="35">
        <v>2</v>
      </c>
      <c r="T72" s="35">
        <v>2.7</v>
      </c>
      <c r="U72" s="35">
        <v>2</v>
      </c>
      <c r="V72" s="35">
        <v>7.8</v>
      </c>
      <c r="W72" s="35">
        <v>9</v>
      </c>
      <c r="X72" s="35">
        <v>10.9</v>
      </c>
      <c r="Y72" s="35">
        <v>9</v>
      </c>
      <c r="Z72" s="35">
        <v>9.4</v>
      </c>
      <c r="AA72" s="35">
        <v>9</v>
      </c>
      <c r="AB72" s="35">
        <v>10.8</v>
      </c>
      <c r="AC72" s="35">
        <v>9</v>
      </c>
      <c r="AD72" s="35">
        <v>21</v>
      </c>
      <c r="AE72" s="35">
        <v>19</v>
      </c>
      <c r="AF72" s="35">
        <v>20.6</v>
      </c>
      <c r="AG72" s="35">
        <v>19</v>
      </c>
      <c r="AH72" s="35">
        <v>20.8</v>
      </c>
      <c r="AI72" s="35">
        <v>19</v>
      </c>
      <c r="AJ72" s="35">
        <v>20.2</v>
      </c>
      <c r="AK72" s="35">
        <v>19</v>
      </c>
      <c r="AL72" s="35">
        <v>19.600000000000001</v>
      </c>
      <c r="AM72" s="35">
        <v>19</v>
      </c>
      <c r="AN72" s="35">
        <v>20.7</v>
      </c>
      <c r="AO72" s="35">
        <v>19</v>
      </c>
      <c r="AP72" s="35">
        <v>19.7</v>
      </c>
      <c r="AQ72" s="35">
        <v>19</v>
      </c>
      <c r="AR72" s="35">
        <v>20.6</v>
      </c>
      <c r="AS72" s="35">
        <v>19</v>
      </c>
      <c r="AT72" s="35">
        <v>18.7</v>
      </c>
      <c r="AU72" s="35">
        <v>19</v>
      </c>
      <c r="AV72" s="35">
        <v>20.8</v>
      </c>
      <c r="AW72" s="35">
        <v>19</v>
      </c>
      <c r="AX72" s="35">
        <v>20.7</v>
      </c>
      <c r="AY72" s="35">
        <v>20</v>
      </c>
      <c r="AZ72" s="35">
        <v>19.899999999999999</v>
      </c>
      <c r="BA72" s="35">
        <v>20</v>
      </c>
      <c r="BB72" s="35">
        <v>31.2</v>
      </c>
      <c r="BC72" s="35">
        <v>40</v>
      </c>
      <c r="BD72" s="35">
        <v>30.2</v>
      </c>
      <c r="BE72" s="35">
        <v>40</v>
      </c>
      <c r="BF72" s="35">
        <v>18.100000000000001</v>
      </c>
      <c r="BG72" s="35">
        <v>20</v>
      </c>
    </row>
    <row r="73" spans="1:59" x14ac:dyDescent="0.35">
      <c r="A73" s="36">
        <v>46059.495833333334</v>
      </c>
      <c r="B73" s="35">
        <v>1.9</v>
      </c>
      <c r="C73" s="35">
        <v>2</v>
      </c>
      <c r="D73" s="35">
        <v>2.4</v>
      </c>
      <c r="E73" s="35">
        <v>2.2000000000000002</v>
      </c>
      <c r="F73" s="35">
        <v>3.1</v>
      </c>
      <c r="G73" s="35">
        <v>2</v>
      </c>
      <c r="H73" s="35">
        <v>2.4</v>
      </c>
      <c r="I73" s="35">
        <v>2</v>
      </c>
      <c r="J73" s="35">
        <v>3.3</v>
      </c>
      <c r="K73" s="35">
        <v>2</v>
      </c>
      <c r="L73" s="35">
        <v>3</v>
      </c>
      <c r="M73" s="35">
        <v>2</v>
      </c>
      <c r="N73" s="35">
        <v>3</v>
      </c>
      <c r="O73" s="35">
        <v>3</v>
      </c>
      <c r="P73" s="35">
        <v>2.6</v>
      </c>
      <c r="Q73" s="35">
        <v>2</v>
      </c>
      <c r="R73" s="35">
        <v>3.2</v>
      </c>
      <c r="S73" s="35">
        <v>2</v>
      </c>
      <c r="T73" s="35">
        <v>2.9</v>
      </c>
      <c r="U73" s="35">
        <v>2</v>
      </c>
      <c r="V73" s="35">
        <v>8</v>
      </c>
      <c r="W73" s="35">
        <v>9</v>
      </c>
      <c r="X73" s="35">
        <v>11</v>
      </c>
      <c r="Y73" s="35">
        <v>9</v>
      </c>
      <c r="Z73" s="35">
        <v>9.6999999999999993</v>
      </c>
      <c r="AA73" s="35">
        <v>9</v>
      </c>
      <c r="AB73" s="35">
        <v>10.3</v>
      </c>
      <c r="AC73" s="35">
        <v>9</v>
      </c>
      <c r="AD73" s="35">
        <v>21</v>
      </c>
      <c r="AE73" s="35">
        <v>19</v>
      </c>
      <c r="AF73" s="35">
        <v>20.7</v>
      </c>
      <c r="AG73" s="35">
        <v>19</v>
      </c>
      <c r="AH73" s="35">
        <v>20.8</v>
      </c>
      <c r="AI73" s="35">
        <v>19</v>
      </c>
      <c r="AJ73" s="35">
        <v>20.3</v>
      </c>
      <c r="AK73" s="35">
        <v>19</v>
      </c>
      <c r="AL73" s="35">
        <v>19.600000000000001</v>
      </c>
      <c r="AM73" s="35">
        <v>19</v>
      </c>
      <c r="AN73" s="35">
        <v>20.8</v>
      </c>
      <c r="AO73" s="35">
        <v>19</v>
      </c>
      <c r="AP73" s="35">
        <v>19.8</v>
      </c>
      <c r="AQ73" s="35">
        <v>19</v>
      </c>
      <c r="AR73" s="35">
        <v>20.6</v>
      </c>
      <c r="AS73" s="35">
        <v>19</v>
      </c>
      <c r="AT73" s="35">
        <v>18.7</v>
      </c>
      <c r="AU73" s="35">
        <v>19</v>
      </c>
      <c r="AV73" s="35">
        <v>20.8</v>
      </c>
      <c r="AW73" s="35">
        <v>19</v>
      </c>
      <c r="AX73" s="35">
        <v>20.7</v>
      </c>
      <c r="AY73" s="35">
        <v>20</v>
      </c>
      <c r="AZ73" s="35">
        <v>19.899999999999999</v>
      </c>
      <c r="BA73" s="35">
        <v>20</v>
      </c>
      <c r="BB73" s="35">
        <v>31.2</v>
      </c>
      <c r="BC73" s="35">
        <v>40</v>
      </c>
      <c r="BD73" s="35">
        <v>30.2</v>
      </c>
      <c r="BE73" s="35">
        <v>40</v>
      </c>
      <c r="BF73" s="35">
        <v>18.8</v>
      </c>
      <c r="BG73" s="35">
        <v>20</v>
      </c>
    </row>
    <row r="74" spans="1:59" x14ac:dyDescent="0.35">
      <c r="A74" s="36">
        <v>46059.496527777781</v>
      </c>
      <c r="B74" s="35">
        <v>2.4</v>
      </c>
      <c r="C74" s="35">
        <v>2</v>
      </c>
      <c r="D74" s="35">
        <v>2.8</v>
      </c>
      <c r="E74" s="35">
        <v>2.2000000000000002</v>
      </c>
      <c r="F74" s="35">
        <v>3.2</v>
      </c>
      <c r="G74" s="35">
        <v>2</v>
      </c>
      <c r="H74" s="35">
        <v>2.7</v>
      </c>
      <c r="I74" s="35">
        <v>2</v>
      </c>
      <c r="J74" s="35">
        <v>3.5</v>
      </c>
      <c r="K74" s="35">
        <v>2</v>
      </c>
      <c r="L74" s="35">
        <v>3.3</v>
      </c>
      <c r="M74" s="35">
        <v>2</v>
      </c>
      <c r="N74" s="35">
        <v>3.7</v>
      </c>
      <c r="O74" s="35">
        <v>3</v>
      </c>
      <c r="P74" s="35">
        <v>22</v>
      </c>
      <c r="Q74" s="35">
        <v>2</v>
      </c>
      <c r="R74" s="35">
        <v>3.3</v>
      </c>
      <c r="S74" s="35">
        <v>2</v>
      </c>
      <c r="T74" s="35">
        <v>3.1</v>
      </c>
      <c r="U74" s="35">
        <v>2</v>
      </c>
      <c r="V74" s="35">
        <v>8.9</v>
      </c>
      <c r="W74" s="35">
        <v>9</v>
      </c>
      <c r="X74" s="35">
        <v>10.9</v>
      </c>
      <c r="Y74" s="35">
        <v>9</v>
      </c>
      <c r="Z74" s="35">
        <v>10</v>
      </c>
      <c r="AA74" s="35">
        <v>9</v>
      </c>
      <c r="AB74" s="35">
        <v>10.3</v>
      </c>
      <c r="AC74" s="35">
        <v>9</v>
      </c>
      <c r="AD74" s="35">
        <v>20.5</v>
      </c>
      <c r="AE74" s="35">
        <v>19</v>
      </c>
      <c r="AF74" s="35">
        <v>20.7</v>
      </c>
      <c r="AG74" s="35">
        <v>19</v>
      </c>
      <c r="AH74" s="35">
        <v>20.8</v>
      </c>
      <c r="AI74" s="35">
        <v>19</v>
      </c>
      <c r="AJ74" s="35">
        <v>20.3</v>
      </c>
      <c r="AK74" s="35">
        <v>19</v>
      </c>
      <c r="AL74" s="35">
        <v>19.600000000000001</v>
      </c>
      <c r="AM74" s="35">
        <v>19</v>
      </c>
      <c r="AN74" s="35">
        <v>20.9</v>
      </c>
      <c r="AO74" s="35">
        <v>19</v>
      </c>
      <c r="AP74" s="35">
        <v>19.8</v>
      </c>
      <c r="AQ74" s="35">
        <v>19</v>
      </c>
      <c r="AR74" s="35">
        <v>20.6</v>
      </c>
      <c r="AS74" s="35">
        <v>19</v>
      </c>
      <c r="AT74" s="35">
        <v>18.7</v>
      </c>
      <c r="AU74" s="35">
        <v>19</v>
      </c>
      <c r="AV74" s="35">
        <v>20.8</v>
      </c>
      <c r="AW74" s="35">
        <v>19</v>
      </c>
      <c r="AX74" s="35">
        <v>20.8</v>
      </c>
      <c r="AY74" s="35">
        <v>20</v>
      </c>
      <c r="AZ74" s="35">
        <v>20</v>
      </c>
      <c r="BA74" s="35">
        <v>20</v>
      </c>
      <c r="BB74" s="35">
        <v>31.3</v>
      </c>
      <c r="BC74" s="35">
        <v>40</v>
      </c>
      <c r="BD74" s="35">
        <v>30.2</v>
      </c>
      <c r="BE74" s="35">
        <v>40</v>
      </c>
      <c r="BF74" s="35">
        <v>19.3</v>
      </c>
      <c r="BG74" s="35">
        <v>20</v>
      </c>
    </row>
    <row r="75" spans="1:59" x14ac:dyDescent="0.35">
      <c r="A75" s="36">
        <v>46059.49722222222</v>
      </c>
      <c r="B75" s="35">
        <v>2.8</v>
      </c>
      <c r="C75" s="35">
        <v>2</v>
      </c>
      <c r="D75" s="35">
        <v>3.2</v>
      </c>
      <c r="E75" s="35">
        <v>2.2000000000000002</v>
      </c>
      <c r="F75" s="35">
        <v>3.4</v>
      </c>
      <c r="G75" s="35">
        <v>2</v>
      </c>
      <c r="H75" s="35">
        <v>2.9</v>
      </c>
      <c r="I75" s="35">
        <v>2</v>
      </c>
      <c r="J75" s="35">
        <v>3.7</v>
      </c>
      <c r="K75" s="35">
        <v>2</v>
      </c>
      <c r="L75" s="35">
        <v>3.6</v>
      </c>
      <c r="M75" s="35">
        <v>2</v>
      </c>
      <c r="N75" s="35">
        <v>4.2</v>
      </c>
      <c r="O75" s="35">
        <v>3</v>
      </c>
      <c r="P75" s="35">
        <v>15.9</v>
      </c>
      <c r="Q75" s="35">
        <v>2</v>
      </c>
      <c r="R75" s="35">
        <v>3.5</v>
      </c>
      <c r="S75" s="35">
        <v>2</v>
      </c>
      <c r="T75" s="35">
        <v>3.2</v>
      </c>
      <c r="U75" s="35">
        <v>2</v>
      </c>
      <c r="V75" s="35">
        <v>9.4</v>
      </c>
      <c r="W75" s="35">
        <v>9</v>
      </c>
      <c r="X75" s="35">
        <v>10.4</v>
      </c>
      <c r="Y75" s="35">
        <v>9</v>
      </c>
      <c r="Z75" s="35">
        <v>10.3</v>
      </c>
      <c r="AA75" s="35">
        <v>9</v>
      </c>
      <c r="AB75" s="35">
        <v>10</v>
      </c>
      <c r="AC75" s="35">
        <v>9</v>
      </c>
      <c r="AD75" s="35">
        <v>20.3</v>
      </c>
      <c r="AE75" s="35">
        <v>19</v>
      </c>
      <c r="AF75" s="35">
        <v>20.7</v>
      </c>
      <c r="AG75" s="35">
        <v>19</v>
      </c>
      <c r="AH75" s="35">
        <v>20.9</v>
      </c>
      <c r="AI75" s="35">
        <v>19</v>
      </c>
      <c r="AJ75" s="35">
        <v>20.399999999999999</v>
      </c>
      <c r="AK75" s="35">
        <v>19</v>
      </c>
      <c r="AL75" s="35">
        <v>19.600000000000001</v>
      </c>
      <c r="AM75" s="35">
        <v>19</v>
      </c>
      <c r="AN75" s="35">
        <v>20.9</v>
      </c>
      <c r="AO75" s="35">
        <v>19</v>
      </c>
      <c r="AP75" s="35">
        <v>19.899999999999999</v>
      </c>
      <c r="AQ75" s="35">
        <v>19</v>
      </c>
      <c r="AR75" s="35">
        <v>20.6</v>
      </c>
      <c r="AS75" s="35">
        <v>19</v>
      </c>
      <c r="AT75" s="35">
        <v>18.899999999999999</v>
      </c>
      <c r="AU75" s="35">
        <v>19</v>
      </c>
      <c r="AV75" s="35">
        <v>20.9</v>
      </c>
      <c r="AW75" s="35">
        <v>19</v>
      </c>
      <c r="AX75" s="35">
        <v>20.8</v>
      </c>
      <c r="AY75" s="35">
        <v>20</v>
      </c>
      <c r="AZ75" s="35">
        <v>20</v>
      </c>
      <c r="BA75" s="35">
        <v>20</v>
      </c>
      <c r="BB75" s="35">
        <v>31.3</v>
      </c>
      <c r="BC75" s="35">
        <v>40</v>
      </c>
      <c r="BD75" s="35">
        <v>30.3</v>
      </c>
      <c r="BE75" s="35">
        <v>40</v>
      </c>
      <c r="BF75" s="35">
        <v>19.600000000000001</v>
      </c>
      <c r="BG75" s="35">
        <v>20</v>
      </c>
    </row>
    <row r="76" spans="1:59" x14ac:dyDescent="0.35">
      <c r="A76" s="36">
        <v>46059.497916666667</v>
      </c>
      <c r="B76" s="35">
        <v>3.2</v>
      </c>
      <c r="C76" s="35">
        <v>2</v>
      </c>
      <c r="D76" s="35">
        <v>3.5</v>
      </c>
      <c r="E76" s="35">
        <v>2.2000000000000002</v>
      </c>
      <c r="F76" s="35">
        <v>3.5</v>
      </c>
      <c r="G76" s="35">
        <v>2</v>
      </c>
      <c r="H76" s="35">
        <v>2.9</v>
      </c>
      <c r="I76" s="35">
        <v>2</v>
      </c>
      <c r="J76" s="35">
        <v>3.8</v>
      </c>
      <c r="K76" s="35">
        <v>2</v>
      </c>
      <c r="L76" s="35">
        <v>3.9</v>
      </c>
      <c r="M76" s="35">
        <v>2</v>
      </c>
      <c r="N76" s="35">
        <v>3.8</v>
      </c>
      <c r="O76" s="35">
        <v>3</v>
      </c>
      <c r="P76" s="35">
        <v>8.5</v>
      </c>
      <c r="Q76" s="35">
        <v>2</v>
      </c>
      <c r="R76" s="35">
        <v>3.6</v>
      </c>
      <c r="S76" s="35">
        <v>2</v>
      </c>
      <c r="T76" s="35">
        <v>3.4</v>
      </c>
      <c r="U76" s="35">
        <v>2</v>
      </c>
      <c r="V76" s="35">
        <v>10.199999999999999</v>
      </c>
      <c r="W76" s="35">
        <v>9</v>
      </c>
      <c r="X76" s="35">
        <v>9.6999999999999993</v>
      </c>
      <c r="Y76" s="35">
        <v>9</v>
      </c>
      <c r="Z76" s="35">
        <v>10.5</v>
      </c>
      <c r="AA76" s="35">
        <v>9</v>
      </c>
      <c r="AB76" s="35">
        <v>9.4</v>
      </c>
      <c r="AC76" s="35">
        <v>9</v>
      </c>
      <c r="AD76" s="35">
        <v>20</v>
      </c>
      <c r="AE76" s="35">
        <v>19</v>
      </c>
      <c r="AF76" s="35">
        <v>20.7</v>
      </c>
      <c r="AG76" s="35">
        <v>19</v>
      </c>
      <c r="AH76" s="35">
        <v>20.9</v>
      </c>
      <c r="AI76" s="35">
        <v>19</v>
      </c>
      <c r="AJ76" s="35">
        <v>20.5</v>
      </c>
      <c r="AK76" s="35">
        <v>19</v>
      </c>
      <c r="AL76" s="35">
        <v>19.600000000000001</v>
      </c>
      <c r="AM76" s="35">
        <v>19</v>
      </c>
      <c r="AN76" s="35">
        <v>21</v>
      </c>
      <c r="AO76" s="35">
        <v>19</v>
      </c>
      <c r="AP76" s="35">
        <v>19.899999999999999</v>
      </c>
      <c r="AQ76" s="35">
        <v>19</v>
      </c>
      <c r="AR76" s="35">
        <v>20.6</v>
      </c>
      <c r="AS76" s="35">
        <v>19</v>
      </c>
      <c r="AT76" s="35">
        <v>19.100000000000001</v>
      </c>
      <c r="AU76" s="35">
        <v>19</v>
      </c>
      <c r="AV76" s="35">
        <v>20.9</v>
      </c>
      <c r="AW76" s="35">
        <v>19</v>
      </c>
      <c r="AX76" s="35">
        <v>20.8</v>
      </c>
      <c r="AY76" s="35">
        <v>20</v>
      </c>
      <c r="AZ76" s="35">
        <v>20</v>
      </c>
      <c r="BA76" s="35">
        <v>20</v>
      </c>
      <c r="BB76" s="35">
        <v>31.3</v>
      </c>
      <c r="BC76" s="35">
        <v>40</v>
      </c>
      <c r="BD76" s="35">
        <v>30.3</v>
      </c>
      <c r="BE76" s="35">
        <v>40</v>
      </c>
      <c r="BF76" s="35">
        <v>20</v>
      </c>
      <c r="BG76" s="35">
        <v>20</v>
      </c>
    </row>
    <row r="77" spans="1:59" x14ac:dyDescent="0.35">
      <c r="A77" s="36">
        <v>46059.498611111114</v>
      </c>
      <c r="B77" s="35">
        <v>3.5</v>
      </c>
      <c r="C77" s="35">
        <v>2</v>
      </c>
      <c r="D77" s="35">
        <v>3.9</v>
      </c>
      <c r="E77" s="35">
        <v>2.2000000000000002</v>
      </c>
      <c r="F77" s="35">
        <v>3.5</v>
      </c>
      <c r="G77" s="35">
        <v>2</v>
      </c>
      <c r="H77" s="35">
        <v>2.8</v>
      </c>
      <c r="I77" s="35">
        <v>2</v>
      </c>
      <c r="J77" s="35">
        <v>4</v>
      </c>
      <c r="K77" s="35">
        <v>2</v>
      </c>
      <c r="L77" s="35">
        <v>3.8</v>
      </c>
      <c r="M77" s="35">
        <v>2</v>
      </c>
      <c r="N77" s="35">
        <v>2.5</v>
      </c>
      <c r="O77" s="35">
        <v>3</v>
      </c>
      <c r="P77" s="35">
        <v>3.9</v>
      </c>
      <c r="Q77" s="35">
        <v>2</v>
      </c>
      <c r="R77" s="35">
        <v>3.8</v>
      </c>
      <c r="S77" s="35">
        <v>2</v>
      </c>
      <c r="T77" s="35">
        <v>3.5</v>
      </c>
      <c r="U77" s="35">
        <v>2</v>
      </c>
      <c r="V77" s="35">
        <v>10.6</v>
      </c>
      <c r="W77" s="35">
        <v>9</v>
      </c>
      <c r="X77" s="35">
        <v>8.5</v>
      </c>
      <c r="Y77" s="35">
        <v>9</v>
      </c>
      <c r="Z77" s="35">
        <v>10.7</v>
      </c>
      <c r="AA77" s="35">
        <v>9</v>
      </c>
      <c r="AB77" s="35">
        <v>9.1</v>
      </c>
      <c r="AC77" s="35">
        <v>9</v>
      </c>
      <c r="AD77" s="35">
        <v>19.899999999999999</v>
      </c>
      <c r="AE77" s="35">
        <v>19</v>
      </c>
      <c r="AF77" s="35">
        <v>20.8</v>
      </c>
      <c r="AG77" s="35">
        <v>19</v>
      </c>
      <c r="AH77" s="35">
        <v>20.9</v>
      </c>
      <c r="AI77" s="35">
        <v>19</v>
      </c>
      <c r="AJ77" s="35">
        <v>20.5</v>
      </c>
      <c r="AK77" s="35">
        <v>19</v>
      </c>
      <c r="AL77" s="35">
        <v>19.600000000000001</v>
      </c>
      <c r="AM77" s="35">
        <v>19</v>
      </c>
      <c r="AN77" s="35">
        <v>20.9</v>
      </c>
      <c r="AO77" s="35">
        <v>19</v>
      </c>
      <c r="AP77" s="35">
        <v>20</v>
      </c>
      <c r="AQ77" s="35">
        <v>19</v>
      </c>
      <c r="AR77" s="35">
        <v>20.6</v>
      </c>
      <c r="AS77" s="35">
        <v>19</v>
      </c>
      <c r="AT77" s="35">
        <v>19.3</v>
      </c>
      <c r="AU77" s="35">
        <v>19</v>
      </c>
      <c r="AV77" s="35">
        <v>20.9</v>
      </c>
      <c r="AW77" s="35">
        <v>19</v>
      </c>
      <c r="AX77" s="35">
        <v>20.8</v>
      </c>
      <c r="AY77" s="35">
        <v>20</v>
      </c>
      <c r="AZ77" s="35">
        <v>20.100000000000001</v>
      </c>
      <c r="BA77" s="35">
        <v>20</v>
      </c>
      <c r="BB77" s="35">
        <v>31.3</v>
      </c>
      <c r="BC77" s="35">
        <v>40</v>
      </c>
      <c r="BD77" s="35">
        <v>30.3</v>
      </c>
      <c r="BE77" s="35">
        <v>40</v>
      </c>
      <c r="BF77" s="35">
        <v>20.3</v>
      </c>
      <c r="BG77" s="35">
        <v>20</v>
      </c>
    </row>
    <row r="78" spans="1:59" x14ac:dyDescent="0.35">
      <c r="A78" s="36">
        <v>46059.499305555553</v>
      </c>
      <c r="B78" s="35">
        <v>3.8</v>
      </c>
      <c r="C78" s="35">
        <v>2</v>
      </c>
      <c r="D78" s="35">
        <v>4.2</v>
      </c>
      <c r="E78" s="35">
        <v>2.2000000000000002</v>
      </c>
      <c r="F78" s="35">
        <v>3.7</v>
      </c>
      <c r="G78" s="35">
        <v>2</v>
      </c>
      <c r="H78" s="35">
        <v>3.1</v>
      </c>
      <c r="I78" s="35">
        <v>2</v>
      </c>
      <c r="J78" s="35">
        <v>3</v>
      </c>
      <c r="K78" s="35">
        <v>2</v>
      </c>
      <c r="L78" s="35">
        <v>2.7</v>
      </c>
      <c r="M78" s="35">
        <v>2</v>
      </c>
      <c r="N78" s="35">
        <v>2.2999999999999998</v>
      </c>
      <c r="O78" s="35">
        <v>3</v>
      </c>
      <c r="P78" s="35">
        <v>2.8</v>
      </c>
      <c r="Q78" s="35">
        <v>2</v>
      </c>
      <c r="R78" s="35">
        <v>3.9</v>
      </c>
      <c r="S78" s="35">
        <v>2</v>
      </c>
      <c r="T78" s="35">
        <v>3.6</v>
      </c>
      <c r="U78" s="35">
        <v>2</v>
      </c>
      <c r="V78" s="35">
        <v>11</v>
      </c>
      <c r="W78" s="35">
        <v>9</v>
      </c>
      <c r="X78" s="35">
        <v>8.3000000000000007</v>
      </c>
      <c r="Y78" s="35">
        <v>9</v>
      </c>
      <c r="Z78" s="35">
        <v>10.8</v>
      </c>
      <c r="AA78" s="35">
        <v>9</v>
      </c>
      <c r="AB78" s="35">
        <v>9</v>
      </c>
      <c r="AC78" s="35">
        <v>9</v>
      </c>
      <c r="AD78" s="35">
        <v>19.2</v>
      </c>
      <c r="AE78" s="35">
        <v>19</v>
      </c>
      <c r="AF78" s="35">
        <v>20.8</v>
      </c>
      <c r="AG78" s="35">
        <v>19</v>
      </c>
      <c r="AH78" s="35">
        <v>20.9</v>
      </c>
      <c r="AI78" s="35">
        <v>19</v>
      </c>
      <c r="AJ78" s="35">
        <v>20.6</v>
      </c>
      <c r="AK78" s="35">
        <v>19</v>
      </c>
      <c r="AL78" s="35">
        <v>19.5</v>
      </c>
      <c r="AM78" s="35">
        <v>19</v>
      </c>
      <c r="AN78" s="35">
        <v>20.100000000000001</v>
      </c>
      <c r="AO78" s="35">
        <v>19</v>
      </c>
      <c r="AP78" s="35">
        <v>20</v>
      </c>
      <c r="AQ78" s="35">
        <v>19</v>
      </c>
      <c r="AR78" s="35">
        <v>20.6</v>
      </c>
      <c r="AS78" s="35">
        <v>19</v>
      </c>
      <c r="AT78" s="35">
        <v>19.399999999999999</v>
      </c>
      <c r="AU78" s="35">
        <v>19</v>
      </c>
      <c r="AV78" s="35">
        <v>20.9</v>
      </c>
      <c r="AW78" s="35">
        <v>19</v>
      </c>
      <c r="AX78" s="35">
        <v>20.8</v>
      </c>
      <c r="AY78" s="35">
        <v>20</v>
      </c>
      <c r="AZ78" s="35">
        <v>20.100000000000001</v>
      </c>
      <c r="BA78" s="35">
        <v>20</v>
      </c>
      <c r="BB78" s="35">
        <v>31.4</v>
      </c>
      <c r="BC78" s="35">
        <v>40</v>
      </c>
      <c r="BD78" s="35">
        <v>30.3</v>
      </c>
      <c r="BE78" s="35">
        <v>40</v>
      </c>
      <c r="BF78" s="35">
        <v>20.6</v>
      </c>
      <c r="BG78" s="35">
        <v>20</v>
      </c>
    </row>
    <row r="79" spans="1:59" x14ac:dyDescent="0.35">
      <c r="A79" s="36">
        <v>46059.5</v>
      </c>
      <c r="B79" s="35">
        <v>3.8</v>
      </c>
      <c r="C79" s="35">
        <v>2</v>
      </c>
      <c r="D79" s="35">
        <v>4.0999999999999996</v>
      </c>
      <c r="E79" s="35">
        <v>2.2000000000000002</v>
      </c>
      <c r="F79" s="35">
        <v>3.8</v>
      </c>
      <c r="G79" s="35">
        <v>2</v>
      </c>
      <c r="H79" s="35">
        <v>3.1</v>
      </c>
      <c r="I79" s="35">
        <v>2</v>
      </c>
      <c r="J79" s="35">
        <v>1.8</v>
      </c>
      <c r="K79" s="35">
        <v>2</v>
      </c>
      <c r="L79" s="35">
        <v>1.7</v>
      </c>
      <c r="M79" s="35">
        <v>2</v>
      </c>
      <c r="N79" s="35">
        <v>1.4</v>
      </c>
      <c r="O79" s="35">
        <v>3</v>
      </c>
      <c r="P79" s="35">
        <v>2</v>
      </c>
      <c r="Q79" s="35">
        <v>2</v>
      </c>
      <c r="R79" s="35">
        <v>4</v>
      </c>
      <c r="S79" s="35">
        <v>2</v>
      </c>
      <c r="T79" s="35">
        <v>3.7</v>
      </c>
      <c r="U79" s="35">
        <v>2</v>
      </c>
      <c r="V79" s="35">
        <v>9.9</v>
      </c>
      <c r="W79" s="35">
        <v>9</v>
      </c>
      <c r="X79" s="35">
        <v>8.3000000000000007</v>
      </c>
      <c r="Y79" s="35">
        <v>9</v>
      </c>
      <c r="Z79" s="35">
        <v>11</v>
      </c>
      <c r="AA79" s="35">
        <v>9</v>
      </c>
      <c r="AB79" s="35">
        <v>9.4</v>
      </c>
      <c r="AC79" s="35">
        <v>9</v>
      </c>
      <c r="AD79" s="35">
        <v>19.2</v>
      </c>
      <c r="AE79" s="35">
        <v>19</v>
      </c>
      <c r="AF79" s="35">
        <v>20.8</v>
      </c>
      <c r="AG79" s="35">
        <v>19</v>
      </c>
      <c r="AH79" s="35">
        <v>21</v>
      </c>
      <c r="AI79" s="35">
        <v>19</v>
      </c>
      <c r="AJ79" s="35">
        <v>20.7</v>
      </c>
      <c r="AK79" s="35">
        <v>19</v>
      </c>
      <c r="AL79" s="35">
        <v>19.5</v>
      </c>
      <c r="AM79" s="35">
        <v>19</v>
      </c>
      <c r="AN79" s="35">
        <v>19.899999999999999</v>
      </c>
      <c r="AO79" s="35">
        <v>19</v>
      </c>
      <c r="AP79" s="35">
        <v>20.100000000000001</v>
      </c>
      <c r="AQ79" s="35">
        <v>19</v>
      </c>
      <c r="AR79" s="35">
        <v>20.6</v>
      </c>
      <c r="AS79" s="35">
        <v>19</v>
      </c>
      <c r="AT79" s="35">
        <v>19.5</v>
      </c>
      <c r="AU79" s="35">
        <v>19</v>
      </c>
      <c r="AV79" s="35">
        <v>21</v>
      </c>
      <c r="AW79" s="35">
        <v>19</v>
      </c>
      <c r="AX79" s="35">
        <v>20.8</v>
      </c>
      <c r="AY79" s="35">
        <v>20</v>
      </c>
      <c r="AZ79" s="35">
        <v>20.100000000000001</v>
      </c>
      <c r="BA79" s="35">
        <v>20</v>
      </c>
      <c r="BB79" s="35">
        <v>31.4</v>
      </c>
      <c r="BC79" s="35">
        <v>40</v>
      </c>
      <c r="BD79" s="35">
        <v>30.3</v>
      </c>
      <c r="BE79" s="35">
        <v>40</v>
      </c>
      <c r="BF79" s="35">
        <v>20.9</v>
      </c>
      <c r="BG79" s="35">
        <v>20</v>
      </c>
    </row>
    <row r="80" spans="1:59" x14ac:dyDescent="0.35">
      <c r="A80" s="36">
        <v>46059.500694444447</v>
      </c>
      <c r="B80" s="35">
        <v>3.8</v>
      </c>
      <c r="C80" s="35">
        <v>2</v>
      </c>
      <c r="D80" s="35">
        <v>4.0999999999999996</v>
      </c>
      <c r="E80" s="35">
        <v>2.2000000000000002</v>
      </c>
      <c r="F80" s="35">
        <v>3.8</v>
      </c>
      <c r="G80" s="35">
        <v>2</v>
      </c>
      <c r="H80" s="35">
        <v>3.1</v>
      </c>
      <c r="I80" s="35">
        <v>2</v>
      </c>
      <c r="J80" s="35">
        <v>1.8</v>
      </c>
      <c r="K80" s="35">
        <v>2</v>
      </c>
      <c r="L80" s="35">
        <v>1.7</v>
      </c>
      <c r="M80" s="35">
        <v>2</v>
      </c>
      <c r="N80" s="35">
        <v>1.2</v>
      </c>
      <c r="O80" s="35">
        <v>3</v>
      </c>
      <c r="P80" s="35">
        <v>1.8</v>
      </c>
      <c r="Q80" s="35">
        <v>2</v>
      </c>
      <c r="R80" s="35">
        <v>3</v>
      </c>
      <c r="S80" s="35">
        <v>2</v>
      </c>
      <c r="T80" s="35">
        <v>2.5</v>
      </c>
      <c r="U80" s="35">
        <v>2</v>
      </c>
      <c r="V80" s="35">
        <v>8.4</v>
      </c>
      <c r="W80" s="35">
        <v>9</v>
      </c>
      <c r="X80" s="35">
        <v>8.6</v>
      </c>
      <c r="Y80" s="35">
        <v>9</v>
      </c>
      <c r="Z80" s="35">
        <v>10.8</v>
      </c>
      <c r="AA80" s="35">
        <v>9</v>
      </c>
      <c r="AB80" s="35">
        <v>10</v>
      </c>
      <c r="AC80" s="35">
        <v>9</v>
      </c>
      <c r="AD80" s="35">
        <v>19.2</v>
      </c>
      <c r="AE80" s="35">
        <v>19</v>
      </c>
      <c r="AF80" s="35">
        <v>20.9</v>
      </c>
      <c r="AG80" s="35">
        <v>19</v>
      </c>
      <c r="AH80" s="35">
        <v>19.899999999999999</v>
      </c>
      <c r="AI80" s="35">
        <v>19</v>
      </c>
      <c r="AJ80" s="35">
        <v>20.7</v>
      </c>
      <c r="AK80" s="35">
        <v>19</v>
      </c>
      <c r="AL80" s="35">
        <v>19.5</v>
      </c>
      <c r="AM80" s="35">
        <v>19</v>
      </c>
      <c r="AN80" s="35">
        <v>19.899999999999999</v>
      </c>
      <c r="AO80" s="35">
        <v>19</v>
      </c>
      <c r="AP80" s="35">
        <v>20.100000000000001</v>
      </c>
      <c r="AQ80" s="35">
        <v>19</v>
      </c>
      <c r="AR80" s="35">
        <v>20.6</v>
      </c>
      <c r="AS80" s="35">
        <v>19</v>
      </c>
      <c r="AT80" s="35">
        <v>19.600000000000001</v>
      </c>
      <c r="AU80" s="35">
        <v>19</v>
      </c>
      <c r="AV80" s="35">
        <v>20</v>
      </c>
      <c r="AW80" s="35">
        <v>19</v>
      </c>
      <c r="AX80" s="35">
        <v>20.8</v>
      </c>
      <c r="AY80" s="35">
        <v>20</v>
      </c>
      <c r="AZ80" s="35">
        <v>20</v>
      </c>
      <c r="BA80" s="35">
        <v>20</v>
      </c>
      <c r="BB80" s="35">
        <v>31.4</v>
      </c>
      <c r="BC80" s="35">
        <v>40</v>
      </c>
      <c r="BD80" s="35">
        <v>30.3</v>
      </c>
      <c r="BE80" s="35">
        <v>40</v>
      </c>
      <c r="BF80" s="35">
        <v>21.1</v>
      </c>
      <c r="BG80" s="35">
        <v>20</v>
      </c>
    </row>
    <row r="81" spans="1:59" x14ac:dyDescent="0.35">
      <c r="A81" s="36">
        <v>46059.501388888886</v>
      </c>
      <c r="B81" s="35">
        <v>4</v>
      </c>
      <c r="C81" s="35">
        <v>2</v>
      </c>
      <c r="D81" s="35">
        <v>4.3</v>
      </c>
      <c r="E81" s="35">
        <v>2.2000000000000002</v>
      </c>
      <c r="F81" s="35">
        <v>3.9</v>
      </c>
      <c r="G81" s="35">
        <v>2</v>
      </c>
      <c r="H81" s="35">
        <v>3.4</v>
      </c>
      <c r="I81" s="35">
        <v>2</v>
      </c>
      <c r="J81" s="35">
        <v>1.8</v>
      </c>
      <c r="K81" s="35">
        <v>2</v>
      </c>
      <c r="L81" s="35">
        <v>2</v>
      </c>
      <c r="M81" s="35">
        <v>2</v>
      </c>
      <c r="N81" s="35">
        <v>1.3</v>
      </c>
      <c r="O81" s="35">
        <v>3</v>
      </c>
      <c r="P81" s="35">
        <v>2.1</v>
      </c>
      <c r="Q81" s="35">
        <v>2</v>
      </c>
      <c r="R81" s="35">
        <v>2</v>
      </c>
      <c r="S81" s="35">
        <v>2</v>
      </c>
      <c r="T81" s="35">
        <v>1.4</v>
      </c>
      <c r="U81" s="35">
        <v>2</v>
      </c>
      <c r="V81" s="35">
        <v>8.4</v>
      </c>
      <c r="W81" s="35">
        <v>9</v>
      </c>
      <c r="X81" s="35">
        <v>8.9</v>
      </c>
      <c r="Y81" s="35">
        <v>9</v>
      </c>
      <c r="Z81" s="35">
        <v>10</v>
      </c>
      <c r="AA81" s="35">
        <v>9</v>
      </c>
      <c r="AB81" s="35">
        <v>10.4</v>
      </c>
      <c r="AC81" s="35">
        <v>9</v>
      </c>
      <c r="AD81" s="35">
        <v>19</v>
      </c>
      <c r="AE81" s="35">
        <v>19</v>
      </c>
      <c r="AF81" s="35">
        <v>20.9</v>
      </c>
      <c r="AG81" s="35">
        <v>19</v>
      </c>
      <c r="AH81" s="35">
        <v>18.7</v>
      </c>
      <c r="AI81" s="35">
        <v>19</v>
      </c>
      <c r="AJ81" s="35">
        <v>20.8</v>
      </c>
      <c r="AK81" s="35">
        <v>19</v>
      </c>
      <c r="AL81" s="35">
        <v>19.5</v>
      </c>
      <c r="AM81" s="35">
        <v>19</v>
      </c>
      <c r="AN81" s="35">
        <v>19.5</v>
      </c>
      <c r="AO81" s="35">
        <v>19</v>
      </c>
      <c r="AP81" s="35">
        <v>20.100000000000001</v>
      </c>
      <c r="AQ81" s="35">
        <v>19</v>
      </c>
      <c r="AR81" s="35">
        <v>20.6</v>
      </c>
      <c r="AS81" s="35">
        <v>19</v>
      </c>
      <c r="AT81" s="35">
        <v>19.8</v>
      </c>
      <c r="AU81" s="35">
        <v>19</v>
      </c>
      <c r="AV81" s="35">
        <v>18.600000000000001</v>
      </c>
      <c r="AW81" s="35">
        <v>19</v>
      </c>
      <c r="AX81" s="35">
        <v>20.8</v>
      </c>
      <c r="AY81" s="35">
        <v>20</v>
      </c>
      <c r="AZ81" s="35">
        <v>19.899999999999999</v>
      </c>
      <c r="BA81" s="35">
        <v>20</v>
      </c>
      <c r="BB81" s="35">
        <v>31.4</v>
      </c>
      <c r="BC81" s="35">
        <v>40</v>
      </c>
      <c r="BD81" s="35">
        <v>30.4</v>
      </c>
      <c r="BE81" s="35">
        <v>40</v>
      </c>
      <c r="BF81" s="35">
        <v>21.3</v>
      </c>
      <c r="BG81" s="35">
        <v>20</v>
      </c>
    </row>
    <row r="82" spans="1:59" x14ac:dyDescent="0.35">
      <c r="A82" s="36">
        <v>46059.502083333333</v>
      </c>
      <c r="B82" s="35">
        <v>4</v>
      </c>
      <c r="C82" s="35">
        <v>2</v>
      </c>
      <c r="D82" s="35">
        <v>4.2</v>
      </c>
      <c r="E82" s="35">
        <v>2.2000000000000002</v>
      </c>
      <c r="F82" s="35">
        <v>3.7</v>
      </c>
      <c r="G82" s="35">
        <v>2</v>
      </c>
      <c r="H82" s="35">
        <v>3.2</v>
      </c>
      <c r="I82" s="35">
        <v>2</v>
      </c>
      <c r="J82" s="35">
        <v>2</v>
      </c>
      <c r="K82" s="35">
        <v>2</v>
      </c>
      <c r="L82" s="35">
        <v>2.4</v>
      </c>
      <c r="M82" s="35">
        <v>2</v>
      </c>
      <c r="N82" s="35">
        <v>1.7</v>
      </c>
      <c r="O82" s="35">
        <v>3</v>
      </c>
      <c r="P82" s="35">
        <v>2.4</v>
      </c>
      <c r="Q82" s="35">
        <v>2</v>
      </c>
      <c r="R82" s="35">
        <v>1.9</v>
      </c>
      <c r="S82" s="35">
        <v>2</v>
      </c>
      <c r="T82" s="35">
        <v>1.2</v>
      </c>
      <c r="U82" s="35">
        <v>2</v>
      </c>
      <c r="V82" s="35">
        <v>9.1</v>
      </c>
      <c r="W82" s="35">
        <v>9</v>
      </c>
      <c r="X82" s="35">
        <v>9.1</v>
      </c>
      <c r="Y82" s="35">
        <v>9</v>
      </c>
      <c r="Z82" s="35">
        <v>9.1999999999999993</v>
      </c>
      <c r="AA82" s="35">
        <v>9</v>
      </c>
      <c r="AB82" s="35">
        <v>10.8</v>
      </c>
      <c r="AC82" s="35">
        <v>9</v>
      </c>
      <c r="AD82" s="35">
        <v>18.8</v>
      </c>
      <c r="AE82" s="35">
        <v>19</v>
      </c>
      <c r="AF82" s="35">
        <v>20.9</v>
      </c>
      <c r="AG82" s="35">
        <v>19</v>
      </c>
      <c r="AH82" s="35">
        <v>18.399999999999999</v>
      </c>
      <c r="AI82" s="35">
        <v>19</v>
      </c>
      <c r="AJ82" s="35">
        <v>20.9</v>
      </c>
      <c r="AK82" s="35">
        <v>19</v>
      </c>
      <c r="AL82" s="35">
        <v>19.5</v>
      </c>
      <c r="AM82" s="35">
        <v>19</v>
      </c>
      <c r="AN82" s="35">
        <v>19</v>
      </c>
      <c r="AO82" s="35">
        <v>19</v>
      </c>
      <c r="AP82" s="35">
        <v>20.2</v>
      </c>
      <c r="AQ82" s="35">
        <v>19</v>
      </c>
      <c r="AR82" s="35">
        <v>20.6</v>
      </c>
      <c r="AS82" s="35">
        <v>19</v>
      </c>
      <c r="AT82" s="35">
        <v>19.899999999999999</v>
      </c>
      <c r="AU82" s="35">
        <v>19</v>
      </c>
      <c r="AV82" s="35">
        <v>18</v>
      </c>
      <c r="AW82" s="35">
        <v>19</v>
      </c>
      <c r="AX82" s="35">
        <v>20.8</v>
      </c>
      <c r="AY82" s="35">
        <v>20</v>
      </c>
      <c r="AZ82" s="35">
        <v>19.899999999999999</v>
      </c>
      <c r="BA82" s="35">
        <v>20</v>
      </c>
      <c r="BB82" s="35">
        <v>31.4</v>
      </c>
      <c r="BC82" s="35">
        <v>40</v>
      </c>
      <c r="BD82" s="35">
        <v>30.4</v>
      </c>
      <c r="BE82" s="35">
        <v>40</v>
      </c>
      <c r="BF82" s="35">
        <v>21.4</v>
      </c>
      <c r="BG82" s="35">
        <v>20</v>
      </c>
    </row>
    <row r="83" spans="1:59" x14ac:dyDescent="0.35">
      <c r="A83" s="36">
        <v>46059.50277777778</v>
      </c>
      <c r="B83" s="35">
        <v>3.2</v>
      </c>
      <c r="C83" s="35">
        <v>2</v>
      </c>
      <c r="D83" s="35">
        <v>3.4</v>
      </c>
      <c r="E83" s="35">
        <v>2.2000000000000002</v>
      </c>
      <c r="F83" s="35">
        <v>1.5</v>
      </c>
      <c r="G83" s="35">
        <v>2</v>
      </c>
      <c r="H83" s="35">
        <v>1.5</v>
      </c>
      <c r="I83" s="35">
        <v>2</v>
      </c>
      <c r="J83" s="35">
        <v>2.1</v>
      </c>
      <c r="K83" s="35">
        <v>2</v>
      </c>
      <c r="L83" s="35">
        <v>2.8</v>
      </c>
      <c r="M83" s="35">
        <v>2</v>
      </c>
      <c r="N83" s="35">
        <v>2</v>
      </c>
      <c r="O83" s="35">
        <v>3</v>
      </c>
      <c r="P83" s="35">
        <v>2.8</v>
      </c>
      <c r="Q83" s="35">
        <v>2</v>
      </c>
      <c r="R83" s="35">
        <v>1.9</v>
      </c>
      <c r="S83" s="35">
        <v>2</v>
      </c>
      <c r="T83" s="35">
        <v>1.4</v>
      </c>
      <c r="U83" s="35">
        <v>2</v>
      </c>
      <c r="V83" s="35">
        <v>9.8000000000000007</v>
      </c>
      <c r="W83" s="35">
        <v>9</v>
      </c>
      <c r="X83" s="35">
        <v>9.3000000000000007</v>
      </c>
      <c r="Y83" s="35">
        <v>9</v>
      </c>
      <c r="Z83" s="35">
        <v>8.9</v>
      </c>
      <c r="AA83" s="35">
        <v>9</v>
      </c>
      <c r="AB83" s="35">
        <v>11.1</v>
      </c>
      <c r="AC83" s="35">
        <v>9</v>
      </c>
      <c r="AD83" s="35">
        <v>18.8</v>
      </c>
      <c r="AE83" s="35">
        <v>19</v>
      </c>
      <c r="AF83" s="35">
        <v>20.9</v>
      </c>
      <c r="AG83" s="35">
        <v>19</v>
      </c>
      <c r="AH83" s="35">
        <v>18.399999999999999</v>
      </c>
      <c r="AI83" s="35">
        <v>19</v>
      </c>
      <c r="AJ83" s="35">
        <v>20.9</v>
      </c>
      <c r="AK83" s="35">
        <v>19</v>
      </c>
      <c r="AL83" s="35">
        <v>19.5</v>
      </c>
      <c r="AM83" s="35">
        <v>19</v>
      </c>
      <c r="AN83" s="35">
        <v>19</v>
      </c>
      <c r="AO83" s="35">
        <v>19</v>
      </c>
      <c r="AP83" s="35">
        <v>20.2</v>
      </c>
      <c r="AQ83" s="35">
        <v>19</v>
      </c>
      <c r="AR83" s="35">
        <v>20.6</v>
      </c>
      <c r="AS83" s="35">
        <v>19</v>
      </c>
      <c r="AT83" s="35">
        <v>20</v>
      </c>
      <c r="AU83" s="35">
        <v>19</v>
      </c>
      <c r="AV83" s="35">
        <v>18</v>
      </c>
      <c r="AW83" s="35">
        <v>19</v>
      </c>
      <c r="AX83" s="35">
        <v>20.8</v>
      </c>
      <c r="AY83" s="35">
        <v>20</v>
      </c>
      <c r="AZ83" s="35">
        <v>19.899999999999999</v>
      </c>
      <c r="BA83" s="35">
        <v>20</v>
      </c>
      <c r="BB83" s="35">
        <v>31.4</v>
      </c>
      <c r="BC83" s="35">
        <v>40</v>
      </c>
      <c r="BD83" s="35">
        <v>30.4</v>
      </c>
      <c r="BE83" s="35">
        <v>40</v>
      </c>
      <c r="BF83" s="35">
        <v>21.6</v>
      </c>
      <c r="BG83" s="35">
        <v>20</v>
      </c>
    </row>
    <row r="84" spans="1:59" x14ac:dyDescent="0.35">
      <c r="A84" s="36">
        <v>46059.503472222219</v>
      </c>
      <c r="B84" s="35">
        <v>1.8</v>
      </c>
      <c r="C84" s="35">
        <v>2</v>
      </c>
      <c r="D84" s="35">
        <v>1.7</v>
      </c>
      <c r="E84" s="35">
        <v>2.2000000000000002</v>
      </c>
      <c r="F84" s="35">
        <v>1.4</v>
      </c>
      <c r="G84" s="35">
        <v>2</v>
      </c>
      <c r="H84" s="35">
        <v>1.4</v>
      </c>
      <c r="I84" s="35">
        <v>2</v>
      </c>
      <c r="J84" s="35">
        <v>2.4</v>
      </c>
      <c r="K84" s="35">
        <v>2</v>
      </c>
      <c r="L84" s="35">
        <v>3.1</v>
      </c>
      <c r="M84" s="35">
        <v>2</v>
      </c>
      <c r="N84" s="35">
        <v>2.4</v>
      </c>
      <c r="O84" s="35">
        <v>3</v>
      </c>
      <c r="P84" s="35">
        <v>3</v>
      </c>
      <c r="Q84" s="35">
        <v>2</v>
      </c>
      <c r="R84" s="35">
        <v>2.1</v>
      </c>
      <c r="S84" s="35">
        <v>2</v>
      </c>
      <c r="T84" s="35">
        <v>1.7</v>
      </c>
      <c r="U84" s="35">
        <v>2</v>
      </c>
      <c r="V84" s="35">
        <v>10.4</v>
      </c>
      <c r="W84" s="35">
        <v>9</v>
      </c>
      <c r="X84" s="35">
        <v>9.5</v>
      </c>
      <c r="Y84" s="35">
        <v>9</v>
      </c>
      <c r="Z84" s="35">
        <v>8.9</v>
      </c>
      <c r="AA84" s="35">
        <v>9</v>
      </c>
      <c r="AB84" s="35">
        <v>10.9</v>
      </c>
      <c r="AC84" s="35">
        <v>9</v>
      </c>
      <c r="AD84" s="35">
        <v>18.899999999999999</v>
      </c>
      <c r="AE84" s="35">
        <v>19</v>
      </c>
      <c r="AF84" s="35">
        <v>20.9</v>
      </c>
      <c r="AG84" s="35">
        <v>19</v>
      </c>
      <c r="AH84" s="35">
        <v>18.600000000000001</v>
      </c>
      <c r="AI84" s="35">
        <v>19</v>
      </c>
      <c r="AJ84" s="35">
        <v>21</v>
      </c>
      <c r="AK84" s="35">
        <v>19</v>
      </c>
      <c r="AL84" s="35">
        <v>19.5</v>
      </c>
      <c r="AM84" s="35">
        <v>19</v>
      </c>
      <c r="AN84" s="35">
        <v>19.2</v>
      </c>
      <c r="AO84" s="35">
        <v>19</v>
      </c>
      <c r="AP84" s="35">
        <v>20.2</v>
      </c>
      <c r="AQ84" s="35">
        <v>19</v>
      </c>
      <c r="AR84" s="35">
        <v>20.7</v>
      </c>
      <c r="AS84" s="35">
        <v>19</v>
      </c>
      <c r="AT84" s="35">
        <v>20.100000000000001</v>
      </c>
      <c r="AU84" s="35">
        <v>19</v>
      </c>
      <c r="AV84" s="35">
        <v>18.100000000000001</v>
      </c>
      <c r="AW84" s="35">
        <v>19</v>
      </c>
      <c r="AX84" s="35">
        <v>20.8</v>
      </c>
      <c r="AY84" s="35">
        <v>20</v>
      </c>
      <c r="AZ84" s="35">
        <v>20.100000000000001</v>
      </c>
      <c r="BA84" s="35">
        <v>20</v>
      </c>
      <c r="BB84" s="35">
        <v>31.4</v>
      </c>
      <c r="BC84" s="35">
        <v>40</v>
      </c>
      <c r="BD84" s="35">
        <v>30.4</v>
      </c>
      <c r="BE84" s="35">
        <v>40</v>
      </c>
      <c r="BF84" s="35">
        <v>21.7</v>
      </c>
      <c r="BG84" s="35">
        <v>20</v>
      </c>
    </row>
    <row r="85" spans="1:59" x14ac:dyDescent="0.35">
      <c r="A85" s="36">
        <v>46059.504166666666</v>
      </c>
      <c r="B85" s="35">
        <v>1.7</v>
      </c>
      <c r="C85" s="35">
        <v>2</v>
      </c>
      <c r="D85" s="35">
        <v>1.7</v>
      </c>
      <c r="E85" s="35">
        <v>2.2000000000000002</v>
      </c>
      <c r="F85" s="35">
        <v>1.5</v>
      </c>
      <c r="G85" s="35">
        <v>2</v>
      </c>
      <c r="H85" s="35">
        <v>1.7</v>
      </c>
      <c r="I85" s="35">
        <v>2</v>
      </c>
      <c r="J85" s="35">
        <v>2.5</v>
      </c>
      <c r="K85" s="35">
        <v>2</v>
      </c>
      <c r="L85" s="35">
        <v>3.4</v>
      </c>
      <c r="M85" s="35">
        <v>2</v>
      </c>
      <c r="N85" s="35">
        <v>2.7</v>
      </c>
      <c r="O85" s="35">
        <v>3</v>
      </c>
      <c r="P85" s="35">
        <v>3.3</v>
      </c>
      <c r="Q85" s="35">
        <v>2</v>
      </c>
      <c r="R85" s="35">
        <v>2.4</v>
      </c>
      <c r="S85" s="35">
        <v>2</v>
      </c>
      <c r="T85" s="35">
        <v>2</v>
      </c>
      <c r="U85" s="35">
        <v>2</v>
      </c>
      <c r="V85" s="35">
        <v>10.9</v>
      </c>
      <c r="W85" s="35">
        <v>9</v>
      </c>
      <c r="X85" s="35">
        <v>9.6999999999999993</v>
      </c>
      <c r="Y85" s="35">
        <v>9</v>
      </c>
      <c r="Z85" s="35">
        <v>9.3000000000000007</v>
      </c>
      <c r="AA85" s="35">
        <v>9</v>
      </c>
      <c r="AB85" s="35">
        <v>10.4</v>
      </c>
      <c r="AC85" s="35">
        <v>9</v>
      </c>
      <c r="AD85" s="35">
        <v>19</v>
      </c>
      <c r="AE85" s="35">
        <v>19</v>
      </c>
      <c r="AF85" s="35">
        <v>21</v>
      </c>
      <c r="AG85" s="35">
        <v>19</v>
      </c>
      <c r="AH85" s="35">
        <v>18.899999999999999</v>
      </c>
      <c r="AI85" s="35">
        <v>19</v>
      </c>
      <c r="AJ85" s="35">
        <v>20.7</v>
      </c>
      <c r="AK85" s="35">
        <v>19</v>
      </c>
      <c r="AL85" s="35">
        <v>19.5</v>
      </c>
      <c r="AM85" s="35">
        <v>19</v>
      </c>
      <c r="AN85" s="35">
        <v>19.5</v>
      </c>
      <c r="AO85" s="35">
        <v>19</v>
      </c>
      <c r="AP85" s="35">
        <v>20.3</v>
      </c>
      <c r="AQ85" s="35">
        <v>19</v>
      </c>
      <c r="AR85" s="35">
        <v>20.7</v>
      </c>
      <c r="AS85" s="35">
        <v>19</v>
      </c>
      <c r="AT85" s="35">
        <v>20.2</v>
      </c>
      <c r="AU85" s="35">
        <v>19</v>
      </c>
      <c r="AV85" s="35">
        <v>18.3</v>
      </c>
      <c r="AW85" s="35">
        <v>19</v>
      </c>
      <c r="AX85" s="35">
        <v>20.8</v>
      </c>
      <c r="AY85" s="35">
        <v>20</v>
      </c>
      <c r="AZ85" s="35">
        <v>20.100000000000001</v>
      </c>
      <c r="BA85" s="35">
        <v>20</v>
      </c>
      <c r="BB85" s="35">
        <v>31.5</v>
      </c>
      <c r="BC85" s="35">
        <v>40</v>
      </c>
      <c r="BD85" s="35">
        <v>30.4</v>
      </c>
      <c r="BE85" s="35">
        <v>40</v>
      </c>
      <c r="BF85" s="35">
        <v>21.7</v>
      </c>
      <c r="BG85" s="35">
        <v>20</v>
      </c>
    </row>
    <row r="86" spans="1:59" x14ac:dyDescent="0.35">
      <c r="A86" s="36">
        <v>46059.504861111112</v>
      </c>
      <c r="B86" s="35">
        <v>1.9</v>
      </c>
      <c r="C86" s="35">
        <v>2</v>
      </c>
      <c r="D86" s="35">
        <v>2.1</v>
      </c>
      <c r="E86" s="35">
        <v>2.2000000000000002</v>
      </c>
      <c r="F86" s="35">
        <v>1.9</v>
      </c>
      <c r="G86" s="35">
        <v>2</v>
      </c>
      <c r="H86" s="35">
        <v>2.2000000000000002</v>
      </c>
      <c r="I86" s="35">
        <v>2</v>
      </c>
      <c r="J86" s="35">
        <v>2.7</v>
      </c>
      <c r="K86" s="35">
        <v>2</v>
      </c>
      <c r="L86" s="35">
        <v>3.6</v>
      </c>
      <c r="M86" s="35">
        <v>2</v>
      </c>
      <c r="N86" s="35">
        <v>3</v>
      </c>
      <c r="O86" s="35">
        <v>3</v>
      </c>
      <c r="P86" s="35">
        <v>3.5</v>
      </c>
      <c r="Q86" s="35">
        <v>2</v>
      </c>
      <c r="R86" s="35">
        <v>2.7</v>
      </c>
      <c r="S86" s="35">
        <v>2</v>
      </c>
      <c r="T86" s="35">
        <v>2.2999999999999998</v>
      </c>
      <c r="U86" s="35">
        <v>2</v>
      </c>
      <c r="V86" s="35">
        <v>10.1</v>
      </c>
      <c r="W86" s="35">
        <v>9</v>
      </c>
      <c r="X86" s="35">
        <v>9.8000000000000007</v>
      </c>
      <c r="Y86" s="35">
        <v>9</v>
      </c>
      <c r="Z86" s="35">
        <v>9.6999999999999993</v>
      </c>
      <c r="AA86" s="35">
        <v>9</v>
      </c>
      <c r="AB86" s="35">
        <v>9.5</v>
      </c>
      <c r="AC86" s="35">
        <v>9</v>
      </c>
      <c r="AD86" s="35">
        <v>19.100000000000001</v>
      </c>
      <c r="AE86" s="35">
        <v>19</v>
      </c>
      <c r="AF86" s="35">
        <v>20.3</v>
      </c>
      <c r="AG86" s="35">
        <v>19</v>
      </c>
      <c r="AH86" s="35">
        <v>19.100000000000001</v>
      </c>
      <c r="AI86" s="35">
        <v>19</v>
      </c>
      <c r="AJ86" s="35">
        <v>19.399999999999999</v>
      </c>
      <c r="AK86" s="35">
        <v>19</v>
      </c>
      <c r="AL86" s="35">
        <v>19.5</v>
      </c>
      <c r="AM86" s="35">
        <v>19</v>
      </c>
      <c r="AN86" s="35">
        <v>19.7</v>
      </c>
      <c r="AO86" s="35">
        <v>19</v>
      </c>
      <c r="AP86" s="35">
        <v>20.3</v>
      </c>
      <c r="AQ86" s="35">
        <v>19</v>
      </c>
      <c r="AR86" s="35">
        <v>20.7</v>
      </c>
      <c r="AS86" s="35">
        <v>19</v>
      </c>
      <c r="AT86" s="35">
        <v>20.2</v>
      </c>
      <c r="AU86" s="35">
        <v>19</v>
      </c>
      <c r="AV86" s="35">
        <v>18.399999999999999</v>
      </c>
      <c r="AW86" s="35">
        <v>19</v>
      </c>
      <c r="AX86" s="35">
        <v>20.8</v>
      </c>
      <c r="AY86" s="35">
        <v>20</v>
      </c>
      <c r="AZ86" s="35">
        <v>20.100000000000001</v>
      </c>
      <c r="BA86" s="35">
        <v>20</v>
      </c>
      <c r="BB86" s="35">
        <v>31.5</v>
      </c>
      <c r="BC86" s="35">
        <v>40</v>
      </c>
      <c r="BD86" s="35">
        <v>30.4</v>
      </c>
      <c r="BE86" s="35">
        <v>40</v>
      </c>
      <c r="BF86" s="35">
        <v>21.8</v>
      </c>
      <c r="BG86" s="35">
        <v>20</v>
      </c>
    </row>
    <row r="87" spans="1:59" x14ac:dyDescent="0.35">
      <c r="A87" s="36">
        <v>46059.505555555559</v>
      </c>
      <c r="B87" s="35">
        <v>2.4</v>
      </c>
      <c r="C87" s="35">
        <v>2</v>
      </c>
      <c r="D87" s="35">
        <v>2.6</v>
      </c>
      <c r="E87" s="35">
        <v>2.2000000000000002</v>
      </c>
      <c r="F87" s="35">
        <v>2.2000000000000002</v>
      </c>
      <c r="G87" s="35">
        <v>2</v>
      </c>
      <c r="H87" s="35">
        <v>2.6</v>
      </c>
      <c r="I87" s="35">
        <v>2</v>
      </c>
      <c r="J87" s="35">
        <v>2.9</v>
      </c>
      <c r="K87" s="35">
        <v>2</v>
      </c>
      <c r="L87" s="35">
        <v>3.8</v>
      </c>
      <c r="M87" s="35">
        <v>2</v>
      </c>
      <c r="N87" s="35">
        <v>3.3</v>
      </c>
      <c r="O87" s="35">
        <v>3</v>
      </c>
      <c r="P87" s="35">
        <v>3.7</v>
      </c>
      <c r="Q87" s="35">
        <v>2</v>
      </c>
      <c r="R87" s="35">
        <v>2.9</v>
      </c>
      <c r="S87" s="35">
        <v>2</v>
      </c>
      <c r="T87" s="35">
        <v>2.6</v>
      </c>
      <c r="U87" s="35">
        <v>2</v>
      </c>
      <c r="V87" s="35">
        <v>7.7</v>
      </c>
      <c r="W87" s="35">
        <v>9</v>
      </c>
      <c r="X87" s="35">
        <v>10</v>
      </c>
      <c r="Y87" s="35">
        <v>9</v>
      </c>
      <c r="Z87" s="35">
        <v>10.1</v>
      </c>
      <c r="AA87" s="35">
        <v>9</v>
      </c>
      <c r="AB87" s="35">
        <v>8.6</v>
      </c>
      <c r="AC87" s="35">
        <v>9</v>
      </c>
      <c r="AD87" s="35">
        <v>19.2</v>
      </c>
      <c r="AE87" s="35">
        <v>19</v>
      </c>
      <c r="AF87" s="35">
        <v>19.5</v>
      </c>
      <c r="AG87" s="35">
        <v>19</v>
      </c>
      <c r="AH87" s="35">
        <v>19.3</v>
      </c>
      <c r="AI87" s="35">
        <v>19</v>
      </c>
      <c r="AJ87" s="35">
        <v>18.100000000000001</v>
      </c>
      <c r="AK87" s="35">
        <v>19</v>
      </c>
      <c r="AL87" s="35">
        <v>19.5</v>
      </c>
      <c r="AM87" s="35">
        <v>19</v>
      </c>
      <c r="AN87" s="35">
        <v>19.899999999999999</v>
      </c>
      <c r="AO87" s="35">
        <v>19</v>
      </c>
      <c r="AP87" s="35">
        <v>20.3</v>
      </c>
      <c r="AQ87" s="35">
        <v>19</v>
      </c>
      <c r="AR87" s="35">
        <v>20.7</v>
      </c>
      <c r="AS87" s="35">
        <v>19</v>
      </c>
      <c r="AT87" s="35">
        <v>20.3</v>
      </c>
      <c r="AU87" s="35">
        <v>19</v>
      </c>
      <c r="AV87" s="35">
        <v>18.600000000000001</v>
      </c>
      <c r="AW87" s="35">
        <v>19</v>
      </c>
      <c r="AX87" s="35">
        <v>20.8</v>
      </c>
      <c r="AY87" s="35">
        <v>20</v>
      </c>
      <c r="AZ87" s="35">
        <v>20.100000000000001</v>
      </c>
      <c r="BA87" s="35">
        <v>20</v>
      </c>
      <c r="BB87" s="35">
        <v>31.5</v>
      </c>
      <c r="BC87" s="35">
        <v>40</v>
      </c>
      <c r="BD87" s="35">
        <v>30.5</v>
      </c>
      <c r="BE87" s="35">
        <v>40</v>
      </c>
      <c r="BF87" s="35">
        <v>21.9</v>
      </c>
      <c r="BG87" s="35">
        <v>20</v>
      </c>
    </row>
    <row r="88" spans="1:59" x14ac:dyDescent="0.35">
      <c r="A88" s="36">
        <v>46059.506249999999</v>
      </c>
      <c r="B88" s="35">
        <v>2.8</v>
      </c>
      <c r="C88" s="35">
        <v>2</v>
      </c>
      <c r="D88" s="35">
        <v>2.7</v>
      </c>
      <c r="E88" s="35">
        <v>2.2000000000000002</v>
      </c>
      <c r="F88" s="35">
        <v>2.6</v>
      </c>
      <c r="G88" s="35">
        <v>2</v>
      </c>
      <c r="H88" s="35">
        <v>3</v>
      </c>
      <c r="I88" s="35">
        <v>2</v>
      </c>
      <c r="J88" s="35">
        <v>3.1</v>
      </c>
      <c r="K88" s="35">
        <v>2</v>
      </c>
      <c r="L88" s="35">
        <v>4</v>
      </c>
      <c r="M88" s="35">
        <v>2</v>
      </c>
      <c r="N88" s="35">
        <v>3.6</v>
      </c>
      <c r="O88" s="35">
        <v>3</v>
      </c>
      <c r="P88" s="35">
        <v>3.9</v>
      </c>
      <c r="Q88" s="35">
        <v>2</v>
      </c>
      <c r="R88" s="35">
        <v>3.1</v>
      </c>
      <c r="S88" s="35">
        <v>2</v>
      </c>
      <c r="T88" s="35">
        <v>2.8</v>
      </c>
      <c r="U88" s="35">
        <v>2</v>
      </c>
      <c r="V88" s="35">
        <v>7.4</v>
      </c>
      <c r="W88" s="35">
        <v>9</v>
      </c>
      <c r="X88" s="35">
        <v>10.199999999999999</v>
      </c>
      <c r="Y88" s="35">
        <v>9</v>
      </c>
      <c r="Z88" s="35">
        <v>10.4</v>
      </c>
      <c r="AA88" s="35">
        <v>9</v>
      </c>
      <c r="AB88" s="35">
        <v>8.9</v>
      </c>
      <c r="AC88" s="35">
        <v>9</v>
      </c>
      <c r="AD88" s="35">
        <v>19.3</v>
      </c>
      <c r="AE88" s="35">
        <v>19</v>
      </c>
      <c r="AF88" s="35">
        <v>18.600000000000001</v>
      </c>
      <c r="AG88" s="35">
        <v>19</v>
      </c>
      <c r="AH88" s="35">
        <v>19.399999999999999</v>
      </c>
      <c r="AI88" s="35">
        <v>19</v>
      </c>
      <c r="AJ88" s="35">
        <v>18</v>
      </c>
      <c r="AK88" s="35">
        <v>19</v>
      </c>
      <c r="AL88" s="35">
        <v>19.3</v>
      </c>
      <c r="AM88" s="35">
        <v>19</v>
      </c>
      <c r="AN88" s="35">
        <v>20</v>
      </c>
      <c r="AO88" s="35">
        <v>19</v>
      </c>
      <c r="AP88" s="35">
        <v>20.3</v>
      </c>
      <c r="AQ88" s="35">
        <v>19</v>
      </c>
      <c r="AR88" s="35">
        <v>20.7</v>
      </c>
      <c r="AS88" s="35">
        <v>19</v>
      </c>
      <c r="AT88" s="35">
        <v>20.399999999999999</v>
      </c>
      <c r="AU88" s="35">
        <v>19</v>
      </c>
      <c r="AV88" s="35">
        <v>18.8</v>
      </c>
      <c r="AW88" s="35">
        <v>19</v>
      </c>
      <c r="AX88" s="35">
        <v>20.8</v>
      </c>
      <c r="AY88" s="35">
        <v>20</v>
      </c>
      <c r="AZ88" s="35">
        <v>20.100000000000001</v>
      </c>
      <c r="BA88" s="35">
        <v>20</v>
      </c>
      <c r="BB88" s="35">
        <v>31.5</v>
      </c>
      <c r="BC88" s="35">
        <v>40</v>
      </c>
      <c r="BD88" s="35">
        <v>30.5</v>
      </c>
      <c r="BE88" s="35">
        <v>40</v>
      </c>
      <c r="BF88" s="35">
        <v>21.9</v>
      </c>
      <c r="BG88" s="35">
        <v>20</v>
      </c>
    </row>
    <row r="89" spans="1:59" x14ac:dyDescent="0.35">
      <c r="A89" s="36">
        <v>46059.506944444445</v>
      </c>
      <c r="B89" s="35">
        <v>3.1</v>
      </c>
      <c r="C89" s="35">
        <v>2</v>
      </c>
      <c r="D89" s="35">
        <v>2.7</v>
      </c>
      <c r="E89" s="35">
        <v>2.2000000000000002</v>
      </c>
      <c r="F89" s="35">
        <v>3</v>
      </c>
      <c r="G89" s="35">
        <v>2</v>
      </c>
      <c r="H89" s="35">
        <v>3.4</v>
      </c>
      <c r="I89" s="35">
        <v>2</v>
      </c>
      <c r="J89" s="35">
        <v>3.1</v>
      </c>
      <c r="K89" s="35">
        <v>2</v>
      </c>
      <c r="L89" s="35">
        <v>3.2</v>
      </c>
      <c r="M89" s="35">
        <v>2</v>
      </c>
      <c r="N89" s="35">
        <v>3.5</v>
      </c>
      <c r="O89" s="35">
        <v>3</v>
      </c>
      <c r="P89" s="35">
        <v>3.8</v>
      </c>
      <c r="Q89" s="35">
        <v>2</v>
      </c>
      <c r="R89" s="35">
        <v>3.3</v>
      </c>
      <c r="S89" s="35">
        <v>2</v>
      </c>
      <c r="T89" s="35">
        <v>3</v>
      </c>
      <c r="U89" s="35">
        <v>2</v>
      </c>
      <c r="V89" s="35">
        <v>8.1</v>
      </c>
      <c r="W89" s="35">
        <v>9</v>
      </c>
      <c r="X89" s="35">
        <v>10.3</v>
      </c>
      <c r="Y89" s="35">
        <v>9</v>
      </c>
      <c r="Z89" s="35">
        <v>10.6</v>
      </c>
      <c r="AA89" s="35">
        <v>9</v>
      </c>
      <c r="AB89" s="35">
        <v>9.5</v>
      </c>
      <c r="AC89" s="35">
        <v>9</v>
      </c>
      <c r="AD89" s="35">
        <v>19.399999999999999</v>
      </c>
      <c r="AE89" s="35">
        <v>19</v>
      </c>
      <c r="AF89" s="35">
        <v>18.399999999999999</v>
      </c>
      <c r="AG89" s="35">
        <v>19</v>
      </c>
      <c r="AH89" s="35">
        <v>19.5</v>
      </c>
      <c r="AI89" s="35">
        <v>19</v>
      </c>
      <c r="AJ89" s="35">
        <v>18.100000000000001</v>
      </c>
      <c r="AK89" s="35">
        <v>19</v>
      </c>
      <c r="AL89" s="35">
        <v>19.3</v>
      </c>
      <c r="AM89" s="35">
        <v>19</v>
      </c>
      <c r="AN89" s="35">
        <v>20.100000000000001</v>
      </c>
      <c r="AO89" s="35">
        <v>19</v>
      </c>
      <c r="AP89" s="35">
        <v>20.399999999999999</v>
      </c>
      <c r="AQ89" s="35">
        <v>19</v>
      </c>
      <c r="AR89" s="35">
        <v>20.7</v>
      </c>
      <c r="AS89" s="35">
        <v>19</v>
      </c>
      <c r="AT89" s="35">
        <v>20.5</v>
      </c>
      <c r="AU89" s="35">
        <v>19</v>
      </c>
      <c r="AV89" s="35">
        <v>18.899999999999999</v>
      </c>
      <c r="AW89" s="35">
        <v>19</v>
      </c>
      <c r="AX89" s="35">
        <v>20.8</v>
      </c>
      <c r="AY89" s="35">
        <v>20</v>
      </c>
      <c r="AZ89" s="35">
        <v>20.100000000000001</v>
      </c>
      <c r="BA89" s="35">
        <v>20</v>
      </c>
      <c r="BB89" s="35">
        <v>31.5</v>
      </c>
      <c r="BC89" s="35">
        <v>40</v>
      </c>
      <c r="BD89" s="35">
        <v>30.5</v>
      </c>
      <c r="BE89" s="35">
        <v>40</v>
      </c>
      <c r="BF89" s="35">
        <v>21.9</v>
      </c>
      <c r="BG89" s="35">
        <v>20</v>
      </c>
    </row>
    <row r="90" spans="1:59" x14ac:dyDescent="0.35">
      <c r="A90" s="36">
        <v>46059.507638888892</v>
      </c>
      <c r="B90" s="35">
        <v>3.4</v>
      </c>
      <c r="C90" s="35">
        <v>2</v>
      </c>
      <c r="D90" s="35">
        <v>2.7</v>
      </c>
      <c r="E90" s="35">
        <v>2.2000000000000002</v>
      </c>
      <c r="F90" s="35">
        <v>3.5</v>
      </c>
      <c r="G90" s="35">
        <v>2</v>
      </c>
      <c r="H90" s="35">
        <v>3.6</v>
      </c>
      <c r="I90" s="35">
        <v>2</v>
      </c>
      <c r="J90" s="35">
        <v>2.4</v>
      </c>
      <c r="K90" s="35">
        <v>2</v>
      </c>
      <c r="L90" s="35">
        <v>2</v>
      </c>
      <c r="M90" s="35">
        <v>2</v>
      </c>
      <c r="N90" s="35">
        <v>1.9</v>
      </c>
      <c r="O90" s="35">
        <v>3</v>
      </c>
      <c r="P90" s="35">
        <v>2.6</v>
      </c>
      <c r="Q90" s="35">
        <v>2</v>
      </c>
      <c r="R90" s="35">
        <v>3.4</v>
      </c>
      <c r="S90" s="35">
        <v>2</v>
      </c>
      <c r="T90" s="35">
        <v>3.1</v>
      </c>
      <c r="U90" s="35">
        <v>2</v>
      </c>
      <c r="V90" s="35">
        <v>9</v>
      </c>
      <c r="W90" s="35">
        <v>9</v>
      </c>
      <c r="X90" s="35">
        <v>10.4</v>
      </c>
      <c r="Y90" s="35">
        <v>9</v>
      </c>
      <c r="Z90" s="35">
        <v>10.8</v>
      </c>
      <c r="AA90" s="35">
        <v>9</v>
      </c>
      <c r="AB90" s="35">
        <v>10.1</v>
      </c>
      <c r="AC90" s="35">
        <v>9</v>
      </c>
      <c r="AD90" s="35">
        <v>19.399999999999999</v>
      </c>
      <c r="AE90" s="35">
        <v>19</v>
      </c>
      <c r="AF90" s="35">
        <v>18.399999999999999</v>
      </c>
      <c r="AG90" s="35">
        <v>19</v>
      </c>
      <c r="AH90" s="35">
        <v>19.600000000000001</v>
      </c>
      <c r="AI90" s="35">
        <v>19</v>
      </c>
      <c r="AJ90" s="35">
        <v>18.399999999999999</v>
      </c>
      <c r="AK90" s="35">
        <v>19</v>
      </c>
      <c r="AL90" s="35">
        <v>19.3</v>
      </c>
      <c r="AM90" s="35">
        <v>19</v>
      </c>
      <c r="AN90" s="35">
        <v>20.2</v>
      </c>
      <c r="AO90" s="35">
        <v>19</v>
      </c>
      <c r="AP90" s="35">
        <v>20.399999999999999</v>
      </c>
      <c r="AQ90" s="35">
        <v>19</v>
      </c>
      <c r="AR90" s="35">
        <v>20.7</v>
      </c>
      <c r="AS90" s="35">
        <v>19</v>
      </c>
      <c r="AT90" s="35">
        <v>20.5</v>
      </c>
      <c r="AU90" s="35">
        <v>19</v>
      </c>
      <c r="AV90" s="35">
        <v>19</v>
      </c>
      <c r="AW90" s="35">
        <v>19</v>
      </c>
      <c r="AX90" s="35">
        <v>20.8</v>
      </c>
      <c r="AY90" s="35">
        <v>20</v>
      </c>
      <c r="AZ90" s="35">
        <v>20.100000000000001</v>
      </c>
      <c r="BA90" s="35">
        <v>20</v>
      </c>
      <c r="BB90" s="35">
        <v>31.5</v>
      </c>
      <c r="BC90" s="35">
        <v>40</v>
      </c>
      <c r="BD90" s="35">
        <v>30.5</v>
      </c>
      <c r="BE90" s="35">
        <v>40</v>
      </c>
      <c r="BF90" s="35">
        <v>21.9</v>
      </c>
      <c r="BG90" s="35">
        <v>20</v>
      </c>
    </row>
    <row r="91" spans="1:59" x14ac:dyDescent="0.35">
      <c r="A91" s="36">
        <v>46059.509027777778</v>
      </c>
      <c r="B91" s="35">
        <v>4</v>
      </c>
      <c r="C91" s="35">
        <v>2</v>
      </c>
      <c r="D91" s="35">
        <v>2.7</v>
      </c>
      <c r="E91" s="35">
        <v>2.2000000000000002</v>
      </c>
      <c r="F91" s="35">
        <v>3.9</v>
      </c>
      <c r="G91" s="35">
        <v>2</v>
      </c>
      <c r="H91" s="35">
        <v>3.8</v>
      </c>
      <c r="I91" s="35">
        <v>2</v>
      </c>
      <c r="J91" s="35">
        <v>2.1</v>
      </c>
      <c r="K91" s="35">
        <v>2</v>
      </c>
      <c r="L91" s="35">
        <v>2</v>
      </c>
      <c r="M91" s="35">
        <v>2</v>
      </c>
      <c r="N91" s="35">
        <v>1.2</v>
      </c>
      <c r="O91" s="35">
        <v>3</v>
      </c>
      <c r="P91" s="35">
        <v>1.9</v>
      </c>
      <c r="Q91" s="35">
        <v>2</v>
      </c>
      <c r="R91" s="35">
        <v>3.7</v>
      </c>
      <c r="S91" s="35">
        <v>2</v>
      </c>
      <c r="T91" s="35">
        <v>3.4</v>
      </c>
      <c r="U91" s="35">
        <v>2</v>
      </c>
      <c r="V91" s="35">
        <v>10.199999999999999</v>
      </c>
      <c r="W91" s="35">
        <v>9</v>
      </c>
      <c r="X91" s="35">
        <v>10.6</v>
      </c>
      <c r="Y91" s="35">
        <v>9</v>
      </c>
      <c r="Z91" s="35">
        <v>10.9</v>
      </c>
      <c r="AA91" s="35">
        <v>9</v>
      </c>
      <c r="AB91" s="35">
        <v>11</v>
      </c>
      <c r="AC91" s="35">
        <v>9</v>
      </c>
      <c r="AD91" s="35">
        <v>19.5</v>
      </c>
      <c r="AE91" s="35">
        <v>19</v>
      </c>
      <c r="AF91" s="35">
        <v>18.399999999999999</v>
      </c>
      <c r="AG91" s="35">
        <v>19</v>
      </c>
      <c r="AH91" s="35">
        <v>19.8</v>
      </c>
      <c r="AI91" s="35">
        <v>19</v>
      </c>
      <c r="AJ91" s="35">
        <v>18.899999999999999</v>
      </c>
      <c r="AK91" s="35">
        <v>19</v>
      </c>
      <c r="AL91" s="35">
        <v>19.2</v>
      </c>
      <c r="AM91" s="35">
        <v>19</v>
      </c>
      <c r="AN91" s="35">
        <v>20.399999999999999</v>
      </c>
      <c r="AO91" s="35">
        <v>19</v>
      </c>
      <c r="AP91" s="35">
        <v>20.399999999999999</v>
      </c>
      <c r="AQ91" s="35">
        <v>19</v>
      </c>
      <c r="AR91" s="35">
        <v>20.7</v>
      </c>
      <c r="AS91" s="35">
        <v>19</v>
      </c>
      <c r="AT91" s="35">
        <v>20.7</v>
      </c>
      <c r="AU91" s="35">
        <v>19</v>
      </c>
      <c r="AV91" s="35">
        <v>19.3</v>
      </c>
      <c r="AW91" s="35">
        <v>19</v>
      </c>
      <c r="AX91" s="35">
        <v>20.7</v>
      </c>
      <c r="AY91" s="35">
        <v>20</v>
      </c>
      <c r="AZ91" s="35">
        <v>20.100000000000001</v>
      </c>
      <c r="BA91" s="35">
        <v>20</v>
      </c>
      <c r="BB91" s="35">
        <v>31.6</v>
      </c>
      <c r="BC91" s="35">
        <v>40</v>
      </c>
      <c r="BD91" s="35">
        <v>30.5</v>
      </c>
      <c r="BE91" s="35">
        <v>40</v>
      </c>
      <c r="BF91" s="35">
        <v>21.9</v>
      </c>
      <c r="BG91" s="35">
        <v>20</v>
      </c>
    </row>
    <row r="92" spans="1:59" x14ac:dyDescent="0.35">
      <c r="A92" s="36">
        <v>46059.509722222225</v>
      </c>
      <c r="B92" s="35">
        <v>3.7</v>
      </c>
      <c r="C92" s="35">
        <v>2</v>
      </c>
      <c r="D92" s="35">
        <v>2.7</v>
      </c>
      <c r="E92" s="35">
        <v>2.2000000000000002</v>
      </c>
      <c r="F92" s="35">
        <v>3.3</v>
      </c>
      <c r="G92" s="35">
        <v>2</v>
      </c>
      <c r="H92" s="35">
        <v>2.9</v>
      </c>
      <c r="I92" s="35">
        <v>2</v>
      </c>
      <c r="J92" s="35">
        <v>2.4</v>
      </c>
      <c r="K92" s="35">
        <v>2</v>
      </c>
      <c r="L92" s="35">
        <v>2.2999999999999998</v>
      </c>
      <c r="M92" s="35">
        <v>2</v>
      </c>
      <c r="N92" s="35">
        <v>1.5</v>
      </c>
      <c r="O92" s="35">
        <v>3</v>
      </c>
      <c r="P92" s="35">
        <v>2.2999999999999998</v>
      </c>
      <c r="Q92" s="35">
        <v>2</v>
      </c>
      <c r="R92" s="35">
        <v>3.8</v>
      </c>
      <c r="S92" s="35">
        <v>2</v>
      </c>
      <c r="T92" s="35">
        <v>3.6</v>
      </c>
      <c r="U92" s="35">
        <v>2</v>
      </c>
      <c r="V92" s="35">
        <v>10.7</v>
      </c>
      <c r="W92" s="35">
        <v>9</v>
      </c>
      <c r="X92" s="35">
        <v>10.7</v>
      </c>
      <c r="Y92" s="35">
        <v>9</v>
      </c>
      <c r="Z92" s="35">
        <v>10.199999999999999</v>
      </c>
      <c r="AA92" s="35">
        <v>9</v>
      </c>
      <c r="AB92" s="35">
        <v>10.199999999999999</v>
      </c>
      <c r="AC92" s="35">
        <v>9</v>
      </c>
      <c r="AD92" s="35">
        <v>19.600000000000001</v>
      </c>
      <c r="AE92" s="35">
        <v>19</v>
      </c>
      <c r="AF92" s="35">
        <v>18.5</v>
      </c>
      <c r="AG92" s="35">
        <v>19</v>
      </c>
      <c r="AH92" s="35">
        <v>19.899999999999999</v>
      </c>
      <c r="AI92" s="35">
        <v>19</v>
      </c>
      <c r="AJ92" s="35">
        <v>19</v>
      </c>
      <c r="AK92" s="35">
        <v>19</v>
      </c>
      <c r="AL92" s="35">
        <v>19.100000000000001</v>
      </c>
      <c r="AM92" s="35">
        <v>19</v>
      </c>
      <c r="AN92" s="35">
        <v>20.5</v>
      </c>
      <c r="AO92" s="35">
        <v>19</v>
      </c>
      <c r="AP92" s="35">
        <v>20.5</v>
      </c>
      <c r="AQ92" s="35">
        <v>19</v>
      </c>
      <c r="AR92" s="35">
        <v>20.7</v>
      </c>
      <c r="AS92" s="35">
        <v>19</v>
      </c>
      <c r="AT92" s="35">
        <v>20.8</v>
      </c>
      <c r="AU92" s="35">
        <v>19</v>
      </c>
      <c r="AV92" s="35">
        <v>19.399999999999999</v>
      </c>
      <c r="AW92" s="35">
        <v>19</v>
      </c>
      <c r="AX92" s="35">
        <v>20.7</v>
      </c>
      <c r="AY92" s="35">
        <v>20</v>
      </c>
      <c r="AZ92" s="35">
        <v>20.100000000000001</v>
      </c>
      <c r="BA92" s="35">
        <v>20</v>
      </c>
      <c r="BB92" s="35">
        <v>31.6</v>
      </c>
      <c r="BC92" s="35">
        <v>40</v>
      </c>
      <c r="BD92" s="35">
        <v>30.5</v>
      </c>
      <c r="BE92" s="35">
        <v>40</v>
      </c>
      <c r="BF92" s="35">
        <v>21.9</v>
      </c>
      <c r="BG92" s="35">
        <v>20</v>
      </c>
    </row>
    <row r="93" spans="1:59" x14ac:dyDescent="0.35">
      <c r="A93" s="36">
        <v>46059.510416666664</v>
      </c>
      <c r="B93" s="35">
        <v>2.6</v>
      </c>
      <c r="C93" s="35">
        <v>2</v>
      </c>
      <c r="D93" s="35">
        <v>2.7</v>
      </c>
      <c r="E93" s="35">
        <v>2.2000000000000002</v>
      </c>
      <c r="F93" s="35">
        <v>3.1</v>
      </c>
      <c r="G93" s="35">
        <v>2</v>
      </c>
      <c r="H93" s="35">
        <v>2.5</v>
      </c>
      <c r="I93" s="35">
        <v>2</v>
      </c>
      <c r="J93" s="35">
        <v>2.6</v>
      </c>
      <c r="K93" s="35">
        <v>2</v>
      </c>
      <c r="L93" s="35">
        <v>2.7</v>
      </c>
      <c r="M93" s="35">
        <v>2</v>
      </c>
      <c r="N93" s="35">
        <v>1.9</v>
      </c>
      <c r="O93" s="35">
        <v>3</v>
      </c>
      <c r="P93" s="35">
        <v>2.6</v>
      </c>
      <c r="Q93" s="35">
        <v>2</v>
      </c>
      <c r="R93" s="35">
        <v>3.9</v>
      </c>
      <c r="S93" s="35">
        <v>2</v>
      </c>
      <c r="T93" s="35">
        <v>3.7</v>
      </c>
      <c r="U93" s="35">
        <v>2</v>
      </c>
      <c r="V93" s="35">
        <v>11</v>
      </c>
      <c r="W93" s="35">
        <v>9</v>
      </c>
      <c r="X93" s="35">
        <v>10.8</v>
      </c>
      <c r="Y93" s="35">
        <v>9</v>
      </c>
      <c r="Z93" s="35">
        <v>9.6</v>
      </c>
      <c r="AA93" s="35">
        <v>9</v>
      </c>
      <c r="AB93" s="35">
        <v>8.9</v>
      </c>
      <c r="AC93" s="35">
        <v>9</v>
      </c>
      <c r="AD93" s="35">
        <v>19.600000000000001</v>
      </c>
      <c r="AE93" s="35">
        <v>19</v>
      </c>
      <c r="AF93" s="35">
        <v>18.5</v>
      </c>
      <c r="AG93" s="35">
        <v>19</v>
      </c>
      <c r="AH93" s="35">
        <v>19.899999999999999</v>
      </c>
      <c r="AI93" s="35">
        <v>19</v>
      </c>
      <c r="AJ93" s="35">
        <v>19.2</v>
      </c>
      <c r="AK93" s="35">
        <v>19</v>
      </c>
      <c r="AL93" s="35">
        <v>19.100000000000001</v>
      </c>
      <c r="AM93" s="35">
        <v>19</v>
      </c>
      <c r="AN93" s="35">
        <v>20.5</v>
      </c>
      <c r="AO93" s="35">
        <v>19</v>
      </c>
      <c r="AP93" s="35">
        <v>20.5</v>
      </c>
      <c r="AQ93" s="35">
        <v>19</v>
      </c>
      <c r="AR93" s="35">
        <v>20.7</v>
      </c>
      <c r="AS93" s="35">
        <v>19</v>
      </c>
      <c r="AT93" s="35">
        <v>20.8</v>
      </c>
      <c r="AU93" s="35">
        <v>19</v>
      </c>
      <c r="AV93" s="35">
        <v>19.5</v>
      </c>
      <c r="AW93" s="35">
        <v>19</v>
      </c>
      <c r="AX93" s="35">
        <v>20.7</v>
      </c>
      <c r="AY93" s="35">
        <v>20</v>
      </c>
      <c r="AZ93" s="35">
        <v>20.100000000000001</v>
      </c>
      <c r="BA93" s="35">
        <v>20</v>
      </c>
      <c r="BB93" s="35">
        <v>31.6</v>
      </c>
      <c r="BC93" s="35">
        <v>40</v>
      </c>
      <c r="BD93" s="35">
        <v>30.5</v>
      </c>
      <c r="BE93" s="35">
        <v>40</v>
      </c>
      <c r="BF93" s="35">
        <v>21.9</v>
      </c>
      <c r="BG93" s="35">
        <v>20</v>
      </c>
    </row>
    <row r="94" spans="1:59" x14ac:dyDescent="0.35">
      <c r="A94" s="36">
        <v>46059.511111111111</v>
      </c>
      <c r="B94" s="35">
        <v>1.7</v>
      </c>
      <c r="C94" s="35">
        <v>2</v>
      </c>
      <c r="D94" s="35">
        <v>2.7</v>
      </c>
      <c r="E94" s="35">
        <v>2.2000000000000002</v>
      </c>
      <c r="F94" s="35">
        <v>3.1</v>
      </c>
      <c r="G94" s="35">
        <v>2</v>
      </c>
      <c r="H94" s="35">
        <v>2.5</v>
      </c>
      <c r="I94" s="35">
        <v>2</v>
      </c>
      <c r="J94" s="35">
        <v>2.8</v>
      </c>
      <c r="K94" s="35">
        <v>2</v>
      </c>
      <c r="L94" s="35">
        <v>3.1</v>
      </c>
      <c r="M94" s="35">
        <v>2</v>
      </c>
      <c r="N94" s="35">
        <v>2.2000000000000002</v>
      </c>
      <c r="O94" s="35">
        <v>3</v>
      </c>
      <c r="P94" s="35">
        <v>2.9</v>
      </c>
      <c r="Q94" s="35">
        <v>2</v>
      </c>
      <c r="R94" s="35">
        <v>3.9</v>
      </c>
      <c r="S94" s="35">
        <v>2</v>
      </c>
      <c r="T94" s="35">
        <v>3.4</v>
      </c>
      <c r="U94" s="35">
        <v>2</v>
      </c>
      <c r="V94" s="35">
        <v>9.1</v>
      </c>
      <c r="W94" s="35">
        <v>9</v>
      </c>
      <c r="X94" s="35">
        <v>10.8</v>
      </c>
      <c r="Y94" s="35">
        <v>9</v>
      </c>
      <c r="Z94" s="35">
        <v>9.3000000000000007</v>
      </c>
      <c r="AA94" s="35">
        <v>9</v>
      </c>
      <c r="AB94" s="35">
        <v>8.6</v>
      </c>
      <c r="AC94" s="35">
        <v>9</v>
      </c>
      <c r="AD94" s="35">
        <v>19.7</v>
      </c>
      <c r="AE94" s="35">
        <v>19</v>
      </c>
      <c r="AF94" s="35">
        <v>18.600000000000001</v>
      </c>
      <c r="AG94" s="35">
        <v>19</v>
      </c>
      <c r="AH94" s="35">
        <v>20</v>
      </c>
      <c r="AI94" s="35">
        <v>19</v>
      </c>
      <c r="AJ94" s="35">
        <v>19.399999999999999</v>
      </c>
      <c r="AK94" s="35">
        <v>19</v>
      </c>
      <c r="AL94" s="35">
        <v>19</v>
      </c>
      <c r="AM94" s="35">
        <v>19</v>
      </c>
      <c r="AN94" s="35">
        <v>20.6</v>
      </c>
      <c r="AO94" s="35">
        <v>19</v>
      </c>
      <c r="AP94" s="35">
        <v>20.5</v>
      </c>
      <c r="AQ94" s="35">
        <v>19</v>
      </c>
      <c r="AR94" s="35">
        <v>20.7</v>
      </c>
      <c r="AS94" s="35">
        <v>19</v>
      </c>
      <c r="AT94" s="35">
        <v>20.9</v>
      </c>
      <c r="AU94" s="35">
        <v>19</v>
      </c>
      <c r="AV94" s="35">
        <v>19.600000000000001</v>
      </c>
      <c r="AW94" s="35">
        <v>19</v>
      </c>
      <c r="AX94" s="35">
        <v>20.7</v>
      </c>
      <c r="AY94" s="35">
        <v>20</v>
      </c>
      <c r="AZ94" s="35">
        <v>20.100000000000001</v>
      </c>
      <c r="BA94" s="35">
        <v>20</v>
      </c>
      <c r="BB94" s="35">
        <v>31.6</v>
      </c>
      <c r="BC94" s="35">
        <v>40</v>
      </c>
      <c r="BD94" s="35">
        <v>30.6</v>
      </c>
      <c r="BE94" s="35">
        <v>40</v>
      </c>
      <c r="BF94" s="35">
        <v>21.9</v>
      </c>
      <c r="BG94" s="35">
        <v>20</v>
      </c>
    </row>
    <row r="95" spans="1:59" x14ac:dyDescent="0.35">
      <c r="A95" s="36">
        <v>46059.511805555558</v>
      </c>
      <c r="B95" s="35">
        <v>2.2999999999999998</v>
      </c>
      <c r="C95" s="35">
        <v>2</v>
      </c>
      <c r="D95" s="35">
        <v>2.7</v>
      </c>
      <c r="E95" s="35">
        <v>2.2000000000000002</v>
      </c>
      <c r="F95" s="35">
        <v>3.2</v>
      </c>
      <c r="G95" s="35">
        <v>2</v>
      </c>
      <c r="H95" s="35">
        <v>2.8</v>
      </c>
      <c r="I95" s="35">
        <v>2</v>
      </c>
      <c r="J95" s="35">
        <v>3.1</v>
      </c>
      <c r="K95" s="35">
        <v>2</v>
      </c>
      <c r="L95" s="35">
        <v>3.4</v>
      </c>
      <c r="M95" s="35">
        <v>2</v>
      </c>
      <c r="N95" s="35">
        <v>2.6</v>
      </c>
      <c r="O95" s="35">
        <v>3</v>
      </c>
      <c r="P95" s="35">
        <v>3.2</v>
      </c>
      <c r="Q95" s="35">
        <v>2</v>
      </c>
      <c r="R95" s="35">
        <v>2.8</v>
      </c>
      <c r="S95" s="35">
        <v>2</v>
      </c>
      <c r="T95" s="35">
        <v>2.2999999999999998</v>
      </c>
      <c r="U95" s="35">
        <v>2</v>
      </c>
      <c r="V95" s="35">
        <v>7.4</v>
      </c>
      <c r="W95" s="35">
        <v>9</v>
      </c>
      <c r="X95" s="35">
        <v>10.9</v>
      </c>
      <c r="Y95" s="35">
        <v>9</v>
      </c>
      <c r="Z95" s="35">
        <v>9</v>
      </c>
      <c r="AA95" s="35">
        <v>9</v>
      </c>
      <c r="AB95" s="35">
        <v>9.1</v>
      </c>
      <c r="AC95" s="35">
        <v>9</v>
      </c>
      <c r="AD95" s="35">
        <v>19.7</v>
      </c>
      <c r="AE95" s="35">
        <v>19</v>
      </c>
      <c r="AF95" s="35">
        <v>18.7</v>
      </c>
      <c r="AG95" s="35">
        <v>19</v>
      </c>
      <c r="AH95" s="35">
        <v>20</v>
      </c>
      <c r="AI95" s="35">
        <v>19</v>
      </c>
      <c r="AJ95" s="35">
        <v>19.5</v>
      </c>
      <c r="AK95" s="35">
        <v>19</v>
      </c>
      <c r="AL95" s="35">
        <v>19.2</v>
      </c>
      <c r="AM95" s="35">
        <v>19</v>
      </c>
      <c r="AN95" s="35">
        <v>20.6</v>
      </c>
      <c r="AO95" s="35">
        <v>19</v>
      </c>
      <c r="AP95" s="35">
        <v>20.5</v>
      </c>
      <c r="AQ95" s="35">
        <v>19</v>
      </c>
      <c r="AR95" s="35">
        <v>20.7</v>
      </c>
      <c r="AS95" s="35">
        <v>19</v>
      </c>
      <c r="AT95" s="35">
        <v>20.9</v>
      </c>
      <c r="AU95" s="35">
        <v>19</v>
      </c>
      <c r="AV95" s="35">
        <v>19.7</v>
      </c>
      <c r="AW95" s="35">
        <v>19</v>
      </c>
      <c r="AX95" s="35">
        <v>20.7</v>
      </c>
      <c r="AY95" s="35">
        <v>20</v>
      </c>
      <c r="AZ95" s="35">
        <v>20.100000000000001</v>
      </c>
      <c r="BA95" s="35">
        <v>20</v>
      </c>
      <c r="BB95" s="35">
        <v>31.6</v>
      </c>
      <c r="BC95" s="35">
        <v>40</v>
      </c>
      <c r="BD95" s="35">
        <v>30.6</v>
      </c>
      <c r="BE95" s="35">
        <v>40</v>
      </c>
      <c r="BF95" s="35">
        <v>21.9</v>
      </c>
      <c r="BG95" s="35">
        <v>20</v>
      </c>
    </row>
    <row r="96" spans="1:59" x14ac:dyDescent="0.35">
      <c r="A96" s="36">
        <v>46059.512499999997</v>
      </c>
      <c r="B96" s="35">
        <v>3.6</v>
      </c>
      <c r="C96" s="35">
        <v>2</v>
      </c>
      <c r="D96" s="35">
        <v>2.7</v>
      </c>
      <c r="E96" s="35">
        <v>2.2000000000000002</v>
      </c>
      <c r="F96" s="35">
        <v>3.4</v>
      </c>
      <c r="G96" s="35">
        <v>2</v>
      </c>
      <c r="H96" s="35">
        <v>2.9</v>
      </c>
      <c r="I96" s="35">
        <v>2</v>
      </c>
      <c r="J96" s="35">
        <v>3.3</v>
      </c>
      <c r="K96" s="35">
        <v>2</v>
      </c>
      <c r="L96" s="35">
        <v>3.6</v>
      </c>
      <c r="M96" s="35">
        <v>2</v>
      </c>
      <c r="N96" s="35">
        <v>3</v>
      </c>
      <c r="O96" s="35">
        <v>3</v>
      </c>
      <c r="P96" s="35">
        <v>3.4</v>
      </c>
      <c r="Q96" s="35">
        <v>2</v>
      </c>
      <c r="R96" s="35">
        <v>2</v>
      </c>
      <c r="S96" s="35">
        <v>2</v>
      </c>
      <c r="T96" s="35">
        <v>1.3</v>
      </c>
      <c r="U96" s="35">
        <v>2</v>
      </c>
      <c r="V96" s="35">
        <v>7.9</v>
      </c>
      <c r="W96" s="35">
        <v>9</v>
      </c>
      <c r="X96" s="35">
        <v>11</v>
      </c>
      <c r="Y96" s="35">
        <v>9</v>
      </c>
      <c r="Z96" s="35">
        <v>8.9</v>
      </c>
      <c r="AA96" s="35">
        <v>9</v>
      </c>
      <c r="AB96" s="35">
        <v>9.8000000000000007</v>
      </c>
      <c r="AC96" s="35">
        <v>9</v>
      </c>
      <c r="AD96" s="35">
        <v>19.7</v>
      </c>
      <c r="AE96" s="35">
        <v>19</v>
      </c>
      <c r="AF96" s="35">
        <v>18.8</v>
      </c>
      <c r="AG96" s="35">
        <v>19</v>
      </c>
      <c r="AH96" s="35">
        <v>20.100000000000001</v>
      </c>
      <c r="AI96" s="35">
        <v>19</v>
      </c>
      <c r="AJ96" s="35">
        <v>19.600000000000001</v>
      </c>
      <c r="AK96" s="35">
        <v>19</v>
      </c>
      <c r="AL96" s="35">
        <v>19.399999999999999</v>
      </c>
      <c r="AM96" s="35">
        <v>19</v>
      </c>
      <c r="AN96" s="35">
        <v>20.7</v>
      </c>
      <c r="AO96" s="35">
        <v>19</v>
      </c>
      <c r="AP96" s="35">
        <v>20.5</v>
      </c>
      <c r="AQ96" s="35">
        <v>19</v>
      </c>
      <c r="AR96" s="35">
        <v>20.7</v>
      </c>
      <c r="AS96" s="35">
        <v>19</v>
      </c>
      <c r="AT96" s="35">
        <v>21</v>
      </c>
      <c r="AU96" s="35">
        <v>19</v>
      </c>
      <c r="AV96" s="35">
        <v>19.8</v>
      </c>
      <c r="AW96" s="35">
        <v>19</v>
      </c>
      <c r="AX96" s="35">
        <v>20.7</v>
      </c>
      <c r="AY96" s="35">
        <v>20</v>
      </c>
      <c r="AZ96" s="35">
        <v>20.100000000000001</v>
      </c>
      <c r="BA96" s="35">
        <v>20</v>
      </c>
      <c r="BB96" s="35">
        <v>31.6</v>
      </c>
      <c r="BC96" s="35">
        <v>40</v>
      </c>
      <c r="BD96" s="35">
        <v>30.6</v>
      </c>
      <c r="BE96" s="35">
        <v>40</v>
      </c>
      <c r="BF96" s="35">
        <v>20.7</v>
      </c>
      <c r="BG96" s="35">
        <v>20</v>
      </c>
    </row>
    <row r="97" spans="1:59" x14ac:dyDescent="0.35">
      <c r="A97" s="36">
        <v>46059.513194444444</v>
      </c>
      <c r="B97" s="35">
        <v>3.9</v>
      </c>
      <c r="C97" s="35">
        <v>2</v>
      </c>
      <c r="D97" s="35">
        <v>2.7</v>
      </c>
      <c r="E97" s="35">
        <v>2.2000000000000002</v>
      </c>
      <c r="F97" s="35">
        <v>3.5</v>
      </c>
      <c r="G97" s="35">
        <v>2</v>
      </c>
      <c r="H97" s="35">
        <v>2.8</v>
      </c>
      <c r="I97" s="35">
        <v>2</v>
      </c>
      <c r="J97" s="35">
        <v>3.5</v>
      </c>
      <c r="K97" s="35">
        <v>2</v>
      </c>
      <c r="L97" s="35">
        <v>3.8</v>
      </c>
      <c r="M97" s="35">
        <v>2</v>
      </c>
      <c r="N97" s="35">
        <v>3.2</v>
      </c>
      <c r="O97" s="35">
        <v>3</v>
      </c>
      <c r="P97" s="35">
        <v>3.6</v>
      </c>
      <c r="Q97" s="35">
        <v>2</v>
      </c>
      <c r="R97" s="35">
        <v>1.7</v>
      </c>
      <c r="S97" s="35">
        <v>2</v>
      </c>
      <c r="T97" s="35">
        <v>1.1000000000000001</v>
      </c>
      <c r="U97" s="35">
        <v>2</v>
      </c>
      <c r="V97" s="35">
        <v>8.8000000000000007</v>
      </c>
      <c r="W97" s="35">
        <v>9</v>
      </c>
      <c r="X97" s="35">
        <v>10.5</v>
      </c>
      <c r="Y97" s="35">
        <v>9</v>
      </c>
      <c r="Z97" s="35">
        <v>9.3000000000000007</v>
      </c>
      <c r="AA97" s="35">
        <v>9</v>
      </c>
      <c r="AB97" s="35">
        <v>10.5</v>
      </c>
      <c r="AC97" s="35">
        <v>9</v>
      </c>
      <c r="AD97" s="35">
        <v>19.8</v>
      </c>
      <c r="AE97" s="35">
        <v>19</v>
      </c>
      <c r="AF97" s="35">
        <v>18.899999999999999</v>
      </c>
      <c r="AG97" s="35">
        <v>19</v>
      </c>
      <c r="AH97" s="35">
        <v>20.2</v>
      </c>
      <c r="AI97" s="35">
        <v>19</v>
      </c>
      <c r="AJ97" s="35">
        <v>19.7</v>
      </c>
      <c r="AK97" s="35">
        <v>19</v>
      </c>
      <c r="AL97" s="35">
        <v>19.7</v>
      </c>
      <c r="AM97" s="35">
        <v>19</v>
      </c>
      <c r="AN97" s="35">
        <v>20.7</v>
      </c>
      <c r="AO97" s="35">
        <v>19</v>
      </c>
      <c r="AP97" s="35">
        <v>20.5</v>
      </c>
      <c r="AQ97" s="35">
        <v>19</v>
      </c>
      <c r="AR97" s="35">
        <v>20.7</v>
      </c>
      <c r="AS97" s="35">
        <v>19</v>
      </c>
      <c r="AT97" s="35">
        <v>20</v>
      </c>
      <c r="AU97" s="35">
        <v>19</v>
      </c>
      <c r="AV97" s="35">
        <v>19.899999999999999</v>
      </c>
      <c r="AW97" s="35">
        <v>19</v>
      </c>
      <c r="AX97" s="35">
        <v>20.7</v>
      </c>
      <c r="AY97" s="35">
        <v>20</v>
      </c>
      <c r="AZ97" s="35">
        <v>20.2</v>
      </c>
      <c r="BA97" s="35">
        <v>20</v>
      </c>
      <c r="BB97" s="35">
        <v>31.6</v>
      </c>
      <c r="BC97" s="35">
        <v>40</v>
      </c>
      <c r="BD97" s="35">
        <v>30.6</v>
      </c>
      <c r="BE97" s="35">
        <v>40</v>
      </c>
      <c r="BF97" s="35">
        <v>17.5</v>
      </c>
      <c r="BG97" s="35">
        <v>20</v>
      </c>
    </row>
    <row r="98" spans="1:59" x14ac:dyDescent="0.35">
      <c r="A98" s="36">
        <v>46059.513888888891</v>
      </c>
      <c r="B98" s="35">
        <v>2.7</v>
      </c>
      <c r="C98" s="35">
        <v>2</v>
      </c>
      <c r="D98" s="35">
        <v>2.7</v>
      </c>
      <c r="E98" s="35">
        <v>2.2000000000000002</v>
      </c>
      <c r="F98" s="35">
        <v>3.5</v>
      </c>
      <c r="G98" s="35">
        <v>2</v>
      </c>
      <c r="H98" s="35">
        <v>2.7</v>
      </c>
      <c r="I98" s="35">
        <v>2</v>
      </c>
      <c r="J98" s="35">
        <v>3.7</v>
      </c>
      <c r="K98" s="35">
        <v>2</v>
      </c>
      <c r="L98" s="35">
        <v>4</v>
      </c>
      <c r="M98" s="35">
        <v>2</v>
      </c>
      <c r="N98" s="35">
        <v>3.5</v>
      </c>
      <c r="O98" s="35">
        <v>3</v>
      </c>
      <c r="P98" s="35">
        <v>3.7</v>
      </c>
      <c r="Q98" s="35">
        <v>2</v>
      </c>
      <c r="R98" s="35">
        <v>1.7</v>
      </c>
      <c r="S98" s="35">
        <v>2</v>
      </c>
      <c r="T98" s="35">
        <v>1.1000000000000001</v>
      </c>
      <c r="U98" s="35">
        <v>2</v>
      </c>
      <c r="V98" s="35">
        <v>9.4</v>
      </c>
      <c r="W98" s="35">
        <v>9</v>
      </c>
      <c r="X98" s="35">
        <v>9.8000000000000007</v>
      </c>
      <c r="Y98" s="35">
        <v>9</v>
      </c>
      <c r="Z98" s="35">
        <v>9.6</v>
      </c>
      <c r="AA98" s="35">
        <v>9</v>
      </c>
      <c r="AB98" s="35">
        <v>10.8</v>
      </c>
      <c r="AC98" s="35">
        <v>9</v>
      </c>
      <c r="AD98" s="35">
        <v>19.8</v>
      </c>
      <c r="AE98" s="35">
        <v>19</v>
      </c>
      <c r="AF98" s="35">
        <v>19</v>
      </c>
      <c r="AG98" s="35">
        <v>19</v>
      </c>
      <c r="AH98" s="35">
        <v>20.2</v>
      </c>
      <c r="AI98" s="35">
        <v>19</v>
      </c>
      <c r="AJ98" s="35">
        <v>19.8</v>
      </c>
      <c r="AK98" s="35">
        <v>19</v>
      </c>
      <c r="AL98" s="35">
        <v>20</v>
      </c>
      <c r="AM98" s="35">
        <v>19</v>
      </c>
      <c r="AN98" s="35">
        <v>20.8</v>
      </c>
      <c r="AO98" s="35">
        <v>19</v>
      </c>
      <c r="AP98" s="35">
        <v>20.6</v>
      </c>
      <c r="AQ98" s="35">
        <v>19</v>
      </c>
      <c r="AR98" s="35">
        <v>20.7</v>
      </c>
      <c r="AS98" s="35">
        <v>19</v>
      </c>
      <c r="AT98" s="35">
        <v>19.100000000000001</v>
      </c>
      <c r="AU98" s="35">
        <v>19</v>
      </c>
      <c r="AV98" s="35">
        <v>20</v>
      </c>
      <c r="AW98" s="35">
        <v>19</v>
      </c>
      <c r="AX98" s="35">
        <v>20.7</v>
      </c>
      <c r="AY98" s="35">
        <v>20</v>
      </c>
      <c r="AZ98" s="35">
        <v>20.2</v>
      </c>
      <c r="BA98" s="35">
        <v>20</v>
      </c>
      <c r="BB98" s="35">
        <v>31.7</v>
      </c>
      <c r="BC98" s="35">
        <v>40</v>
      </c>
      <c r="BD98" s="35">
        <v>30.6</v>
      </c>
      <c r="BE98" s="35">
        <v>40</v>
      </c>
      <c r="BF98" s="35">
        <v>18.3</v>
      </c>
      <c r="BG98" s="35">
        <v>20</v>
      </c>
    </row>
    <row r="99" spans="1:59" x14ac:dyDescent="0.35">
      <c r="A99" s="36">
        <v>46059.51458333333</v>
      </c>
      <c r="B99" s="35">
        <v>2.5</v>
      </c>
      <c r="C99" s="35">
        <v>2</v>
      </c>
      <c r="D99" s="35">
        <v>2.7</v>
      </c>
      <c r="E99" s="35">
        <v>2.2000000000000002</v>
      </c>
      <c r="F99" s="35">
        <v>3.7</v>
      </c>
      <c r="G99" s="35">
        <v>2</v>
      </c>
      <c r="H99" s="35">
        <v>3.1</v>
      </c>
      <c r="I99" s="35">
        <v>2</v>
      </c>
      <c r="J99" s="35">
        <v>3.5</v>
      </c>
      <c r="K99" s="35">
        <v>2</v>
      </c>
      <c r="L99" s="35">
        <v>3.1</v>
      </c>
      <c r="M99" s="35">
        <v>2</v>
      </c>
      <c r="N99" s="35">
        <v>3.6</v>
      </c>
      <c r="O99" s="35">
        <v>3</v>
      </c>
      <c r="P99" s="35">
        <v>3.9</v>
      </c>
      <c r="Q99" s="35">
        <v>2</v>
      </c>
      <c r="R99" s="35">
        <v>1.8</v>
      </c>
      <c r="S99" s="35">
        <v>2</v>
      </c>
      <c r="T99" s="35">
        <v>1.4</v>
      </c>
      <c r="U99" s="35">
        <v>2</v>
      </c>
      <c r="V99" s="35">
        <v>10</v>
      </c>
      <c r="W99" s="35">
        <v>9</v>
      </c>
      <c r="X99" s="35">
        <v>8.9</v>
      </c>
      <c r="Y99" s="35">
        <v>9</v>
      </c>
      <c r="Z99" s="35">
        <v>9.9</v>
      </c>
      <c r="AA99" s="35">
        <v>9</v>
      </c>
      <c r="AB99" s="35">
        <v>11</v>
      </c>
      <c r="AC99" s="35">
        <v>9</v>
      </c>
      <c r="AD99" s="35">
        <v>19.899999999999999</v>
      </c>
      <c r="AE99" s="35">
        <v>19</v>
      </c>
      <c r="AF99" s="35">
        <v>19.100000000000001</v>
      </c>
      <c r="AG99" s="35">
        <v>19</v>
      </c>
      <c r="AH99" s="35">
        <v>20.3</v>
      </c>
      <c r="AI99" s="35">
        <v>19</v>
      </c>
      <c r="AJ99" s="35">
        <v>19.899999999999999</v>
      </c>
      <c r="AK99" s="35">
        <v>19</v>
      </c>
      <c r="AL99" s="35">
        <v>20.2</v>
      </c>
      <c r="AM99" s="35">
        <v>19</v>
      </c>
      <c r="AN99" s="35">
        <v>20.8</v>
      </c>
      <c r="AO99" s="35">
        <v>19</v>
      </c>
      <c r="AP99" s="35">
        <v>20.6</v>
      </c>
      <c r="AQ99" s="35">
        <v>19</v>
      </c>
      <c r="AR99" s="35">
        <v>20.7</v>
      </c>
      <c r="AS99" s="35">
        <v>19</v>
      </c>
      <c r="AT99" s="35">
        <v>18.600000000000001</v>
      </c>
      <c r="AU99" s="35">
        <v>19</v>
      </c>
      <c r="AV99" s="35">
        <v>20.100000000000001</v>
      </c>
      <c r="AW99" s="35">
        <v>19</v>
      </c>
      <c r="AX99" s="35">
        <v>20.7</v>
      </c>
      <c r="AY99" s="35">
        <v>20</v>
      </c>
      <c r="AZ99" s="35">
        <v>20.2</v>
      </c>
      <c r="BA99" s="35">
        <v>20</v>
      </c>
      <c r="BB99" s="35">
        <v>31.7</v>
      </c>
      <c r="BC99" s="35">
        <v>40</v>
      </c>
      <c r="BD99" s="35">
        <v>30.6</v>
      </c>
      <c r="BE99" s="35">
        <v>40</v>
      </c>
      <c r="BF99" s="35">
        <v>18.8</v>
      </c>
      <c r="BG99" s="35">
        <v>20</v>
      </c>
    </row>
    <row r="100" spans="1:59" x14ac:dyDescent="0.35">
      <c r="A100" s="36">
        <v>46059.515277777777</v>
      </c>
      <c r="B100" s="35">
        <v>2.7</v>
      </c>
      <c r="C100" s="35">
        <v>2</v>
      </c>
      <c r="D100" s="35">
        <v>2.7</v>
      </c>
      <c r="E100" s="35">
        <v>2.2000000000000002</v>
      </c>
      <c r="F100" s="35">
        <v>3.8</v>
      </c>
      <c r="G100" s="35">
        <v>2</v>
      </c>
      <c r="H100" s="35">
        <v>3.1</v>
      </c>
      <c r="I100" s="35">
        <v>2</v>
      </c>
      <c r="J100" s="35">
        <v>3</v>
      </c>
      <c r="K100" s="35">
        <v>2</v>
      </c>
      <c r="L100" s="35">
        <v>2.2000000000000002</v>
      </c>
      <c r="M100" s="35">
        <v>2</v>
      </c>
      <c r="N100" s="35">
        <v>3.8</v>
      </c>
      <c r="O100" s="35">
        <v>3</v>
      </c>
      <c r="P100" s="35">
        <v>4</v>
      </c>
      <c r="Q100" s="35">
        <v>2</v>
      </c>
      <c r="R100" s="35">
        <v>2.1</v>
      </c>
      <c r="S100" s="35">
        <v>2</v>
      </c>
      <c r="T100" s="35">
        <v>1.7</v>
      </c>
      <c r="U100" s="35">
        <v>2</v>
      </c>
      <c r="V100" s="35">
        <v>10.4</v>
      </c>
      <c r="W100" s="35">
        <v>9</v>
      </c>
      <c r="X100" s="35">
        <v>8.4</v>
      </c>
      <c r="Y100" s="35">
        <v>9</v>
      </c>
      <c r="Z100" s="35">
        <v>10.1</v>
      </c>
      <c r="AA100" s="35">
        <v>9</v>
      </c>
      <c r="AB100" s="35">
        <v>10.1</v>
      </c>
      <c r="AC100" s="35">
        <v>9</v>
      </c>
      <c r="AD100" s="35">
        <v>19.899999999999999</v>
      </c>
      <c r="AE100" s="35">
        <v>19</v>
      </c>
      <c r="AF100" s="35">
        <v>19.100000000000001</v>
      </c>
      <c r="AG100" s="35">
        <v>19</v>
      </c>
      <c r="AH100" s="35">
        <v>20.3</v>
      </c>
      <c r="AI100" s="35">
        <v>19</v>
      </c>
      <c r="AJ100" s="35">
        <v>20</v>
      </c>
      <c r="AK100" s="35">
        <v>19</v>
      </c>
      <c r="AL100" s="35">
        <v>20.399999999999999</v>
      </c>
      <c r="AM100" s="35">
        <v>19</v>
      </c>
      <c r="AN100" s="35">
        <v>20.9</v>
      </c>
      <c r="AO100" s="35">
        <v>19</v>
      </c>
      <c r="AP100" s="35">
        <v>20.6</v>
      </c>
      <c r="AQ100" s="35">
        <v>19</v>
      </c>
      <c r="AR100" s="35">
        <v>20.7</v>
      </c>
      <c r="AS100" s="35">
        <v>19</v>
      </c>
      <c r="AT100" s="35">
        <v>18.600000000000001</v>
      </c>
      <c r="AU100" s="35">
        <v>19</v>
      </c>
      <c r="AV100" s="35">
        <v>20.100000000000001</v>
      </c>
      <c r="AW100" s="35">
        <v>19</v>
      </c>
      <c r="AX100" s="35">
        <v>20.7</v>
      </c>
      <c r="AY100" s="35">
        <v>20</v>
      </c>
      <c r="AZ100" s="35">
        <v>20.2</v>
      </c>
      <c r="BA100" s="35">
        <v>20</v>
      </c>
      <c r="BB100" s="35">
        <v>31.7</v>
      </c>
      <c r="BC100" s="35">
        <v>40</v>
      </c>
      <c r="BD100" s="35">
        <v>30.7</v>
      </c>
      <c r="BE100" s="35">
        <v>40</v>
      </c>
      <c r="BF100" s="35">
        <v>19.3</v>
      </c>
      <c r="BG100" s="35">
        <v>20</v>
      </c>
    </row>
    <row r="101" spans="1:59" x14ac:dyDescent="0.35">
      <c r="A101" s="36">
        <v>46059.515972222223</v>
      </c>
      <c r="B101" s="35">
        <v>2.5</v>
      </c>
      <c r="C101" s="35">
        <v>2</v>
      </c>
      <c r="D101" s="35">
        <v>2.7</v>
      </c>
      <c r="E101" s="35">
        <v>2.2000000000000002</v>
      </c>
      <c r="F101" s="35">
        <v>3.8</v>
      </c>
      <c r="G101" s="35">
        <v>2</v>
      </c>
      <c r="H101" s="35">
        <v>3.1</v>
      </c>
      <c r="I101" s="35">
        <v>2</v>
      </c>
      <c r="J101" s="35">
        <v>2.5</v>
      </c>
      <c r="K101" s="35">
        <v>2</v>
      </c>
      <c r="L101" s="35">
        <v>1.8</v>
      </c>
      <c r="M101" s="35">
        <v>2</v>
      </c>
      <c r="N101" s="35">
        <v>2.2999999999999998</v>
      </c>
      <c r="O101" s="35">
        <v>3</v>
      </c>
      <c r="P101" s="35">
        <v>3</v>
      </c>
      <c r="Q101" s="35">
        <v>2</v>
      </c>
      <c r="R101" s="35">
        <v>2.2999999999999998</v>
      </c>
      <c r="S101" s="35">
        <v>2</v>
      </c>
      <c r="T101" s="35">
        <v>2.1</v>
      </c>
      <c r="U101" s="35">
        <v>2</v>
      </c>
      <c r="V101" s="35">
        <v>10.8</v>
      </c>
      <c r="W101" s="35">
        <v>9</v>
      </c>
      <c r="X101" s="35">
        <v>8.3000000000000007</v>
      </c>
      <c r="Y101" s="35">
        <v>9</v>
      </c>
      <c r="Z101" s="35">
        <v>10.3</v>
      </c>
      <c r="AA101" s="35">
        <v>9</v>
      </c>
      <c r="AB101" s="35">
        <v>9.1999999999999993</v>
      </c>
      <c r="AC101" s="35">
        <v>9</v>
      </c>
      <c r="AD101" s="35">
        <v>19.899999999999999</v>
      </c>
      <c r="AE101" s="35">
        <v>19</v>
      </c>
      <c r="AF101" s="35">
        <v>19.2</v>
      </c>
      <c r="AG101" s="35">
        <v>19</v>
      </c>
      <c r="AH101" s="35">
        <v>20.399999999999999</v>
      </c>
      <c r="AI101" s="35">
        <v>19</v>
      </c>
      <c r="AJ101" s="35">
        <v>20.100000000000001</v>
      </c>
      <c r="AK101" s="35">
        <v>19</v>
      </c>
      <c r="AL101" s="35">
        <v>20.5</v>
      </c>
      <c r="AM101" s="35">
        <v>19</v>
      </c>
      <c r="AN101" s="35">
        <v>20.9</v>
      </c>
      <c r="AO101" s="35">
        <v>19</v>
      </c>
      <c r="AP101" s="35">
        <v>20.6</v>
      </c>
      <c r="AQ101" s="35">
        <v>19</v>
      </c>
      <c r="AR101" s="35">
        <v>20.7</v>
      </c>
      <c r="AS101" s="35">
        <v>19</v>
      </c>
      <c r="AT101" s="35">
        <v>18.8</v>
      </c>
      <c r="AU101" s="35">
        <v>19</v>
      </c>
      <c r="AV101" s="35">
        <v>20.2</v>
      </c>
      <c r="AW101" s="35">
        <v>19</v>
      </c>
      <c r="AX101" s="35">
        <v>20.7</v>
      </c>
      <c r="AY101" s="35">
        <v>20</v>
      </c>
      <c r="AZ101" s="35">
        <v>20.2</v>
      </c>
      <c r="BA101" s="35">
        <v>20</v>
      </c>
      <c r="BB101" s="35">
        <v>31.7</v>
      </c>
      <c r="BC101" s="35">
        <v>40</v>
      </c>
      <c r="BD101" s="35">
        <v>30.7</v>
      </c>
      <c r="BE101" s="35">
        <v>40</v>
      </c>
      <c r="BF101" s="35">
        <v>19.600000000000001</v>
      </c>
      <c r="BG101" s="35">
        <v>20</v>
      </c>
    </row>
    <row r="102" spans="1:59" x14ac:dyDescent="0.35">
      <c r="A102" s="36">
        <v>46059.51666666667</v>
      </c>
      <c r="B102" s="35">
        <v>1.9</v>
      </c>
      <c r="C102" s="35">
        <v>2</v>
      </c>
      <c r="D102" s="35">
        <v>2.7</v>
      </c>
      <c r="E102" s="35">
        <v>2.2000000000000002</v>
      </c>
      <c r="F102" s="35">
        <v>3.9</v>
      </c>
      <c r="G102" s="35">
        <v>2</v>
      </c>
      <c r="H102" s="35">
        <v>3.2</v>
      </c>
      <c r="I102" s="35">
        <v>2</v>
      </c>
      <c r="J102" s="35">
        <v>2.5</v>
      </c>
      <c r="K102" s="35">
        <v>2</v>
      </c>
      <c r="L102" s="35">
        <v>2</v>
      </c>
      <c r="M102" s="35">
        <v>2</v>
      </c>
      <c r="N102" s="35">
        <v>1.1000000000000001</v>
      </c>
      <c r="O102" s="35">
        <v>3</v>
      </c>
      <c r="P102" s="35">
        <v>1.9</v>
      </c>
      <c r="Q102" s="35">
        <v>2</v>
      </c>
      <c r="R102" s="35">
        <v>2.5</v>
      </c>
      <c r="S102" s="35">
        <v>2</v>
      </c>
      <c r="T102" s="35">
        <v>2.4</v>
      </c>
      <c r="U102" s="35">
        <v>2</v>
      </c>
      <c r="V102" s="35">
        <v>11</v>
      </c>
      <c r="W102" s="35">
        <v>9</v>
      </c>
      <c r="X102" s="35">
        <v>8.4</v>
      </c>
      <c r="Y102" s="35">
        <v>9</v>
      </c>
      <c r="Z102" s="35">
        <v>10.4</v>
      </c>
      <c r="AA102" s="35">
        <v>9</v>
      </c>
      <c r="AB102" s="35">
        <v>8.6999999999999993</v>
      </c>
      <c r="AC102" s="35">
        <v>9</v>
      </c>
      <c r="AD102" s="35">
        <v>19.899999999999999</v>
      </c>
      <c r="AE102" s="35">
        <v>19</v>
      </c>
      <c r="AF102" s="35">
        <v>19.3</v>
      </c>
      <c r="AG102" s="35">
        <v>19</v>
      </c>
      <c r="AH102" s="35">
        <v>20.399999999999999</v>
      </c>
      <c r="AI102" s="35">
        <v>19</v>
      </c>
      <c r="AJ102" s="35">
        <v>20.100000000000001</v>
      </c>
      <c r="AK102" s="35">
        <v>19</v>
      </c>
      <c r="AL102" s="35">
        <v>20.7</v>
      </c>
      <c r="AM102" s="35">
        <v>19</v>
      </c>
      <c r="AN102" s="35">
        <v>21</v>
      </c>
      <c r="AO102" s="35">
        <v>19</v>
      </c>
      <c r="AP102" s="35">
        <v>20.6</v>
      </c>
      <c r="AQ102" s="35">
        <v>19</v>
      </c>
      <c r="AR102" s="35">
        <v>20.7</v>
      </c>
      <c r="AS102" s="35">
        <v>19</v>
      </c>
      <c r="AT102" s="35">
        <v>19</v>
      </c>
      <c r="AU102" s="35">
        <v>19</v>
      </c>
      <c r="AV102" s="35">
        <v>20.3</v>
      </c>
      <c r="AW102" s="35">
        <v>19</v>
      </c>
      <c r="AX102" s="35">
        <v>20.6</v>
      </c>
      <c r="AY102" s="35">
        <v>20</v>
      </c>
      <c r="AZ102" s="35">
        <v>20.2</v>
      </c>
      <c r="BA102" s="35">
        <v>20</v>
      </c>
      <c r="BB102" s="35">
        <v>31.7</v>
      </c>
      <c r="BC102" s="35">
        <v>40</v>
      </c>
      <c r="BD102" s="35">
        <v>30.7</v>
      </c>
      <c r="BE102" s="35">
        <v>40</v>
      </c>
      <c r="BF102" s="35">
        <v>19.899999999999999</v>
      </c>
      <c r="BG102" s="35">
        <v>20</v>
      </c>
    </row>
    <row r="103" spans="1:59" x14ac:dyDescent="0.35">
      <c r="A103" s="36">
        <v>46059.517361111109</v>
      </c>
      <c r="B103" s="35">
        <v>2.8</v>
      </c>
      <c r="C103" s="35">
        <v>2</v>
      </c>
      <c r="D103" s="35">
        <v>2.7</v>
      </c>
      <c r="E103" s="35">
        <v>2.2000000000000002</v>
      </c>
      <c r="F103" s="35">
        <v>3.9</v>
      </c>
      <c r="G103" s="35">
        <v>2</v>
      </c>
      <c r="H103" s="35">
        <v>3.4</v>
      </c>
      <c r="I103" s="35">
        <v>2</v>
      </c>
      <c r="J103" s="35">
        <v>2.7</v>
      </c>
      <c r="K103" s="35">
        <v>2</v>
      </c>
      <c r="L103" s="35">
        <v>2.4</v>
      </c>
      <c r="M103" s="35">
        <v>2</v>
      </c>
      <c r="N103" s="35">
        <v>1.1000000000000001</v>
      </c>
      <c r="O103" s="35">
        <v>3</v>
      </c>
      <c r="P103" s="35">
        <v>1.9</v>
      </c>
      <c r="Q103" s="35">
        <v>2</v>
      </c>
      <c r="R103" s="35">
        <v>2.8</v>
      </c>
      <c r="S103" s="35">
        <v>2</v>
      </c>
      <c r="T103" s="35">
        <v>2.6</v>
      </c>
      <c r="U103" s="35">
        <v>2</v>
      </c>
      <c r="V103" s="35">
        <v>9.5</v>
      </c>
      <c r="W103" s="35">
        <v>9</v>
      </c>
      <c r="X103" s="35">
        <v>8.6</v>
      </c>
      <c r="Y103" s="35">
        <v>9</v>
      </c>
      <c r="Z103" s="35">
        <v>10.5</v>
      </c>
      <c r="AA103" s="35">
        <v>9</v>
      </c>
      <c r="AB103" s="35">
        <v>8.8000000000000007</v>
      </c>
      <c r="AC103" s="35">
        <v>9</v>
      </c>
      <c r="AD103" s="35">
        <v>20</v>
      </c>
      <c r="AE103" s="35">
        <v>19</v>
      </c>
      <c r="AF103" s="35">
        <v>19.3</v>
      </c>
      <c r="AG103" s="35">
        <v>19</v>
      </c>
      <c r="AH103" s="35">
        <v>20.5</v>
      </c>
      <c r="AI103" s="35">
        <v>19</v>
      </c>
      <c r="AJ103" s="35">
        <v>20.2</v>
      </c>
      <c r="AK103" s="35">
        <v>19</v>
      </c>
      <c r="AL103" s="35">
        <v>20.8</v>
      </c>
      <c r="AM103" s="35">
        <v>19</v>
      </c>
      <c r="AN103" s="35">
        <v>21</v>
      </c>
      <c r="AO103" s="35">
        <v>19</v>
      </c>
      <c r="AP103" s="35">
        <v>20.6</v>
      </c>
      <c r="AQ103" s="35">
        <v>19</v>
      </c>
      <c r="AR103" s="35">
        <v>20.7</v>
      </c>
      <c r="AS103" s="35">
        <v>19</v>
      </c>
      <c r="AT103" s="35">
        <v>19.2</v>
      </c>
      <c r="AU103" s="35">
        <v>19</v>
      </c>
      <c r="AV103" s="35">
        <v>20.3</v>
      </c>
      <c r="AW103" s="35">
        <v>19</v>
      </c>
      <c r="AX103" s="35">
        <v>20.6</v>
      </c>
      <c r="AY103" s="35">
        <v>20</v>
      </c>
      <c r="AZ103" s="35">
        <v>20.2</v>
      </c>
      <c r="BA103" s="35">
        <v>20</v>
      </c>
      <c r="BB103" s="35">
        <v>31.7</v>
      </c>
      <c r="BC103" s="35">
        <v>40</v>
      </c>
      <c r="BD103" s="35">
        <v>30.7</v>
      </c>
      <c r="BE103" s="35">
        <v>40</v>
      </c>
      <c r="BF103" s="35">
        <v>20.3</v>
      </c>
      <c r="BG103" s="35">
        <v>20</v>
      </c>
    </row>
    <row r="104" spans="1:59" x14ac:dyDescent="0.35">
      <c r="A104" s="36">
        <v>46059.518055555556</v>
      </c>
      <c r="B104" s="35">
        <v>4.3</v>
      </c>
      <c r="C104" s="35">
        <v>2</v>
      </c>
      <c r="D104" s="35">
        <v>2.7</v>
      </c>
      <c r="E104" s="35">
        <v>2.2000000000000002</v>
      </c>
      <c r="F104" s="35">
        <v>2.5</v>
      </c>
      <c r="G104" s="35">
        <v>2</v>
      </c>
      <c r="H104" s="35">
        <v>1.7</v>
      </c>
      <c r="I104" s="35">
        <v>2</v>
      </c>
      <c r="J104" s="35">
        <v>3</v>
      </c>
      <c r="K104" s="35">
        <v>2</v>
      </c>
      <c r="L104" s="35">
        <v>2.7</v>
      </c>
      <c r="M104" s="35">
        <v>2</v>
      </c>
      <c r="N104" s="35">
        <v>1.4</v>
      </c>
      <c r="O104" s="35">
        <v>3</v>
      </c>
      <c r="P104" s="35">
        <v>2.2999999999999998</v>
      </c>
      <c r="Q104" s="35">
        <v>2</v>
      </c>
      <c r="R104" s="35">
        <v>3</v>
      </c>
      <c r="S104" s="35">
        <v>2</v>
      </c>
      <c r="T104" s="35">
        <v>2.8</v>
      </c>
      <c r="U104" s="35">
        <v>2</v>
      </c>
      <c r="V104" s="35">
        <v>8</v>
      </c>
      <c r="W104" s="35">
        <v>9</v>
      </c>
      <c r="X104" s="35">
        <v>8.8000000000000007</v>
      </c>
      <c r="Y104" s="35">
        <v>9</v>
      </c>
      <c r="Z104" s="35">
        <v>10.6</v>
      </c>
      <c r="AA104" s="35">
        <v>9</v>
      </c>
      <c r="AB104" s="35">
        <v>9.1999999999999993</v>
      </c>
      <c r="AC104" s="35">
        <v>9</v>
      </c>
      <c r="AD104" s="35">
        <v>20</v>
      </c>
      <c r="AE104" s="35">
        <v>19</v>
      </c>
      <c r="AF104" s="35">
        <v>19.399999999999999</v>
      </c>
      <c r="AG104" s="35">
        <v>19</v>
      </c>
      <c r="AH104" s="35">
        <v>20.5</v>
      </c>
      <c r="AI104" s="35">
        <v>19</v>
      </c>
      <c r="AJ104" s="35">
        <v>20.3</v>
      </c>
      <c r="AK104" s="35">
        <v>19</v>
      </c>
      <c r="AL104" s="35">
        <v>20.9</v>
      </c>
      <c r="AM104" s="35">
        <v>19</v>
      </c>
      <c r="AN104" s="35">
        <v>20.5</v>
      </c>
      <c r="AO104" s="35">
        <v>19</v>
      </c>
      <c r="AP104" s="35">
        <v>20.6</v>
      </c>
      <c r="AQ104" s="35">
        <v>19</v>
      </c>
      <c r="AR104" s="35">
        <v>20.7</v>
      </c>
      <c r="AS104" s="35">
        <v>19</v>
      </c>
      <c r="AT104" s="35">
        <v>19.3</v>
      </c>
      <c r="AU104" s="35">
        <v>19</v>
      </c>
      <c r="AV104" s="35">
        <v>20.399999999999999</v>
      </c>
      <c r="AW104" s="35">
        <v>19</v>
      </c>
      <c r="AX104" s="35">
        <v>20.6</v>
      </c>
      <c r="AY104" s="35">
        <v>20</v>
      </c>
      <c r="AZ104" s="35">
        <v>20.100000000000001</v>
      </c>
      <c r="BA104" s="35">
        <v>20</v>
      </c>
      <c r="BB104" s="35">
        <v>31.7</v>
      </c>
      <c r="BC104" s="35">
        <v>40</v>
      </c>
      <c r="BD104" s="35">
        <v>30.7</v>
      </c>
      <c r="BE104" s="35">
        <v>40</v>
      </c>
      <c r="BF104" s="35">
        <v>20.8</v>
      </c>
      <c r="BG104" s="35">
        <v>20</v>
      </c>
    </row>
    <row r="105" spans="1:59" x14ac:dyDescent="0.35">
      <c r="A105" s="36">
        <v>46059.518750000003</v>
      </c>
      <c r="B105" s="35">
        <v>2.8</v>
      </c>
      <c r="C105" s="35">
        <v>2</v>
      </c>
      <c r="D105" s="35">
        <v>23.6</v>
      </c>
      <c r="E105" s="35">
        <v>2.2000000000000002</v>
      </c>
      <c r="F105" s="35">
        <v>1.2</v>
      </c>
      <c r="G105" s="35">
        <v>2</v>
      </c>
      <c r="H105" s="35">
        <v>1.3</v>
      </c>
      <c r="I105" s="35">
        <v>2</v>
      </c>
      <c r="J105" s="35">
        <v>3.3</v>
      </c>
      <c r="K105" s="35">
        <v>2</v>
      </c>
      <c r="L105" s="35">
        <v>3.1</v>
      </c>
      <c r="M105" s="35">
        <v>2</v>
      </c>
      <c r="N105" s="35">
        <v>1.8</v>
      </c>
      <c r="O105" s="35">
        <v>3</v>
      </c>
      <c r="P105" s="35">
        <v>2.6</v>
      </c>
      <c r="Q105" s="35">
        <v>2</v>
      </c>
      <c r="R105" s="35">
        <v>3.2</v>
      </c>
      <c r="S105" s="35">
        <v>2</v>
      </c>
      <c r="T105" s="35">
        <v>2.9</v>
      </c>
      <c r="U105" s="35">
        <v>2</v>
      </c>
      <c r="V105" s="35">
        <v>8.1999999999999993</v>
      </c>
      <c r="W105" s="35">
        <v>9</v>
      </c>
      <c r="X105" s="35">
        <v>9</v>
      </c>
      <c r="Y105" s="35">
        <v>9</v>
      </c>
      <c r="Z105" s="35">
        <v>10.8</v>
      </c>
      <c r="AA105" s="35">
        <v>9</v>
      </c>
      <c r="AB105" s="35">
        <v>9.6999999999999993</v>
      </c>
      <c r="AC105" s="35">
        <v>9</v>
      </c>
      <c r="AD105" s="35">
        <v>20.100000000000001</v>
      </c>
      <c r="AE105" s="35">
        <v>19</v>
      </c>
      <c r="AF105" s="35">
        <v>19.5</v>
      </c>
      <c r="AG105" s="35">
        <v>19</v>
      </c>
      <c r="AH105" s="35">
        <v>20.6</v>
      </c>
      <c r="AI105" s="35">
        <v>19</v>
      </c>
      <c r="AJ105" s="35">
        <v>20.3</v>
      </c>
      <c r="AK105" s="35">
        <v>19</v>
      </c>
      <c r="AL105" s="35">
        <v>21</v>
      </c>
      <c r="AM105" s="35">
        <v>19</v>
      </c>
      <c r="AN105" s="35">
        <v>20.2</v>
      </c>
      <c r="AO105" s="35">
        <v>19</v>
      </c>
      <c r="AP105" s="35">
        <v>20.7</v>
      </c>
      <c r="AQ105" s="35">
        <v>19</v>
      </c>
      <c r="AR105" s="35">
        <v>20.7</v>
      </c>
      <c r="AS105" s="35">
        <v>19</v>
      </c>
      <c r="AT105" s="35">
        <v>19.399999999999999</v>
      </c>
      <c r="AU105" s="35">
        <v>19</v>
      </c>
      <c r="AV105" s="35">
        <v>20.5</v>
      </c>
      <c r="AW105" s="35">
        <v>19</v>
      </c>
      <c r="AX105" s="35">
        <v>20.6</v>
      </c>
      <c r="AY105" s="35">
        <v>20</v>
      </c>
      <c r="AZ105" s="35">
        <v>20.100000000000001</v>
      </c>
      <c r="BA105" s="35">
        <v>20</v>
      </c>
      <c r="BB105" s="35">
        <v>31.7</v>
      </c>
      <c r="BC105" s="35">
        <v>40</v>
      </c>
      <c r="BD105" s="35">
        <v>30.7</v>
      </c>
      <c r="BE105" s="35">
        <v>40</v>
      </c>
      <c r="BF105" s="35">
        <v>21</v>
      </c>
      <c r="BG105" s="35">
        <v>20</v>
      </c>
    </row>
    <row r="106" spans="1:59" x14ac:dyDescent="0.35">
      <c r="A106" s="36">
        <v>46059.519444444442</v>
      </c>
      <c r="B106" s="35">
        <v>2</v>
      </c>
      <c r="C106" s="35">
        <v>2</v>
      </c>
      <c r="D106" s="35">
        <v>17.2</v>
      </c>
      <c r="E106" s="35">
        <v>2.2000000000000002</v>
      </c>
      <c r="F106" s="35">
        <v>1.3</v>
      </c>
      <c r="G106" s="35">
        <v>2</v>
      </c>
      <c r="H106" s="35">
        <v>1.5</v>
      </c>
      <c r="I106" s="35">
        <v>2</v>
      </c>
      <c r="J106" s="35">
        <v>3.5</v>
      </c>
      <c r="K106" s="35">
        <v>2</v>
      </c>
      <c r="L106" s="35">
        <v>3.4</v>
      </c>
      <c r="M106" s="35">
        <v>2</v>
      </c>
      <c r="N106" s="35">
        <v>2.2000000000000002</v>
      </c>
      <c r="O106" s="35">
        <v>3</v>
      </c>
      <c r="P106" s="35">
        <v>2.9</v>
      </c>
      <c r="Q106" s="35">
        <v>2</v>
      </c>
      <c r="R106" s="35">
        <v>3.3</v>
      </c>
      <c r="S106" s="35">
        <v>2</v>
      </c>
      <c r="T106" s="35">
        <v>3</v>
      </c>
      <c r="U106" s="35">
        <v>2</v>
      </c>
      <c r="V106" s="35">
        <v>9</v>
      </c>
      <c r="W106" s="35">
        <v>9</v>
      </c>
      <c r="X106" s="35">
        <v>9.3000000000000007</v>
      </c>
      <c r="Y106" s="35">
        <v>9</v>
      </c>
      <c r="Z106" s="35">
        <v>11</v>
      </c>
      <c r="AA106" s="35">
        <v>9</v>
      </c>
      <c r="AB106" s="35">
        <v>10.199999999999999</v>
      </c>
      <c r="AC106" s="35">
        <v>9</v>
      </c>
      <c r="AD106" s="35">
        <v>20.100000000000001</v>
      </c>
      <c r="AE106" s="35">
        <v>19</v>
      </c>
      <c r="AF106" s="35">
        <v>19.5</v>
      </c>
      <c r="AG106" s="35">
        <v>19</v>
      </c>
      <c r="AH106" s="35">
        <v>20.6</v>
      </c>
      <c r="AI106" s="35">
        <v>19</v>
      </c>
      <c r="AJ106" s="35">
        <v>20.399999999999999</v>
      </c>
      <c r="AK106" s="35">
        <v>19</v>
      </c>
      <c r="AL106" s="35">
        <v>21</v>
      </c>
      <c r="AM106" s="35">
        <v>19</v>
      </c>
      <c r="AN106" s="35">
        <v>19.8</v>
      </c>
      <c r="AO106" s="35">
        <v>19</v>
      </c>
      <c r="AP106" s="35">
        <v>20.7</v>
      </c>
      <c r="AQ106" s="35">
        <v>19</v>
      </c>
      <c r="AR106" s="35">
        <v>20.7</v>
      </c>
      <c r="AS106" s="35">
        <v>19</v>
      </c>
      <c r="AT106" s="35">
        <v>19.5</v>
      </c>
      <c r="AU106" s="35">
        <v>19</v>
      </c>
      <c r="AV106" s="35">
        <v>20.5</v>
      </c>
      <c r="AW106" s="35">
        <v>19</v>
      </c>
      <c r="AX106" s="35">
        <v>20.5</v>
      </c>
      <c r="AY106" s="35">
        <v>20</v>
      </c>
      <c r="AZ106" s="35">
        <v>20.100000000000001</v>
      </c>
      <c r="BA106" s="35">
        <v>20</v>
      </c>
      <c r="BB106" s="35">
        <v>31.7</v>
      </c>
      <c r="BC106" s="35">
        <v>40</v>
      </c>
      <c r="BD106" s="35">
        <v>30.7</v>
      </c>
      <c r="BE106" s="35">
        <v>40</v>
      </c>
      <c r="BF106" s="35">
        <v>21.2</v>
      </c>
      <c r="BG106" s="35">
        <v>20</v>
      </c>
    </row>
    <row r="107" spans="1:59" x14ac:dyDescent="0.35">
      <c r="A107" s="36">
        <v>46059.520138888889</v>
      </c>
      <c r="B107" s="35">
        <v>2.9</v>
      </c>
      <c r="C107" s="35">
        <v>2</v>
      </c>
      <c r="D107" s="35">
        <v>15.3</v>
      </c>
      <c r="E107" s="35">
        <v>2.2000000000000002</v>
      </c>
      <c r="F107" s="35">
        <v>1.7</v>
      </c>
      <c r="G107" s="35">
        <v>2</v>
      </c>
      <c r="H107" s="35">
        <v>2</v>
      </c>
      <c r="I107" s="35">
        <v>2</v>
      </c>
      <c r="J107" s="35">
        <v>3.7</v>
      </c>
      <c r="K107" s="35">
        <v>2</v>
      </c>
      <c r="L107" s="35">
        <v>3.7</v>
      </c>
      <c r="M107" s="35">
        <v>2</v>
      </c>
      <c r="N107" s="35">
        <v>2.6</v>
      </c>
      <c r="O107" s="35">
        <v>3</v>
      </c>
      <c r="P107" s="35">
        <v>3.1</v>
      </c>
      <c r="Q107" s="35">
        <v>2</v>
      </c>
      <c r="R107" s="35">
        <v>3.4</v>
      </c>
      <c r="S107" s="35">
        <v>2</v>
      </c>
      <c r="T107" s="35">
        <v>3.2</v>
      </c>
      <c r="U107" s="35">
        <v>2</v>
      </c>
      <c r="V107" s="35">
        <v>9.6999999999999993</v>
      </c>
      <c r="W107" s="35">
        <v>9</v>
      </c>
      <c r="X107" s="35">
        <v>9.5</v>
      </c>
      <c r="Y107" s="35">
        <v>9</v>
      </c>
      <c r="Z107" s="35">
        <v>10.9</v>
      </c>
      <c r="AA107" s="35">
        <v>9</v>
      </c>
      <c r="AB107" s="35">
        <v>10.7</v>
      </c>
      <c r="AC107" s="35">
        <v>9</v>
      </c>
      <c r="AD107" s="35">
        <v>20.100000000000001</v>
      </c>
      <c r="AE107" s="35">
        <v>19</v>
      </c>
      <c r="AF107" s="35">
        <v>19.600000000000001</v>
      </c>
      <c r="AG107" s="35">
        <v>19</v>
      </c>
      <c r="AH107" s="35">
        <v>20.7</v>
      </c>
      <c r="AI107" s="35">
        <v>19</v>
      </c>
      <c r="AJ107" s="35">
        <v>20.5</v>
      </c>
      <c r="AK107" s="35">
        <v>19</v>
      </c>
      <c r="AL107" s="35">
        <v>20.8</v>
      </c>
      <c r="AM107" s="35">
        <v>19</v>
      </c>
      <c r="AN107" s="35">
        <v>19.7</v>
      </c>
      <c r="AO107" s="35">
        <v>19</v>
      </c>
      <c r="AP107" s="35">
        <v>20.7</v>
      </c>
      <c r="AQ107" s="35">
        <v>19</v>
      </c>
      <c r="AR107" s="35">
        <v>20.7</v>
      </c>
      <c r="AS107" s="35">
        <v>19</v>
      </c>
      <c r="AT107" s="35">
        <v>19.7</v>
      </c>
      <c r="AU107" s="35">
        <v>19</v>
      </c>
      <c r="AV107" s="35">
        <v>20.6</v>
      </c>
      <c r="AW107" s="35">
        <v>19</v>
      </c>
      <c r="AX107" s="35">
        <v>20.5</v>
      </c>
      <c r="AY107" s="35">
        <v>20</v>
      </c>
      <c r="AZ107" s="35">
        <v>20.100000000000001</v>
      </c>
      <c r="BA107" s="35">
        <v>20</v>
      </c>
      <c r="BB107" s="35">
        <v>31.8</v>
      </c>
      <c r="BC107" s="35">
        <v>40</v>
      </c>
      <c r="BD107" s="35">
        <v>30.7</v>
      </c>
      <c r="BE107" s="35">
        <v>40</v>
      </c>
      <c r="BF107" s="35">
        <v>21.3</v>
      </c>
      <c r="BG107" s="35">
        <v>20</v>
      </c>
    </row>
    <row r="108" spans="1:59" x14ac:dyDescent="0.35">
      <c r="A108" s="36">
        <v>46059.520833333336</v>
      </c>
      <c r="B108" s="35">
        <v>5.0999999999999996</v>
      </c>
      <c r="C108" s="35">
        <v>2</v>
      </c>
      <c r="D108" s="35">
        <v>10.8</v>
      </c>
      <c r="E108" s="35">
        <v>2.2000000000000002</v>
      </c>
      <c r="F108" s="35">
        <v>2.2000000000000002</v>
      </c>
      <c r="G108" s="35">
        <v>2</v>
      </c>
      <c r="H108" s="35">
        <v>2.4</v>
      </c>
      <c r="I108" s="35">
        <v>2</v>
      </c>
      <c r="J108" s="35">
        <v>3.9</v>
      </c>
      <c r="K108" s="35">
        <v>2</v>
      </c>
      <c r="L108" s="35">
        <v>4</v>
      </c>
      <c r="M108" s="35">
        <v>2</v>
      </c>
      <c r="N108" s="35">
        <v>2.9</v>
      </c>
      <c r="O108" s="35">
        <v>3</v>
      </c>
      <c r="P108" s="35">
        <v>3.4</v>
      </c>
      <c r="Q108" s="35">
        <v>2</v>
      </c>
      <c r="R108" s="35">
        <v>3.6</v>
      </c>
      <c r="S108" s="35">
        <v>2</v>
      </c>
      <c r="T108" s="35">
        <v>3.3</v>
      </c>
      <c r="U108" s="35">
        <v>2</v>
      </c>
      <c r="V108" s="35">
        <v>10.199999999999999</v>
      </c>
      <c r="W108" s="35">
        <v>9</v>
      </c>
      <c r="X108" s="35">
        <v>9.6</v>
      </c>
      <c r="Y108" s="35">
        <v>9</v>
      </c>
      <c r="Z108" s="35">
        <v>10.199999999999999</v>
      </c>
      <c r="AA108" s="35">
        <v>9</v>
      </c>
      <c r="AB108" s="35">
        <v>10.9</v>
      </c>
      <c r="AC108" s="35">
        <v>9</v>
      </c>
      <c r="AD108" s="35">
        <v>20.2</v>
      </c>
      <c r="AE108" s="35">
        <v>19</v>
      </c>
      <c r="AF108" s="35">
        <v>19.600000000000001</v>
      </c>
      <c r="AG108" s="35">
        <v>19</v>
      </c>
      <c r="AH108" s="35">
        <v>20.7</v>
      </c>
      <c r="AI108" s="35">
        <v>19</v>
      </c>
      <c r="AJ108" s="35">
        <v>20.5</v>
      </c>
      <c r="AK108" s="35">
        <v>19</v>
      </c>
      <c r="AL108" s="35">
        <v>20.6</v>
      </c>
      <c r="AM108" s="35">
        <v>19</v>
      </c>
      <c r="AN108" s="35">
        <v>19.5</v>
      </c>
      <c r="AO108" s="35">
        <v>19</v>
      </c>
      <c r="AP108" s="35">
        <v>20.7</v>
      </c>
      <c r="AQ108" s="35">
        <v>19</v>
      </c>
      <c r="AR108" s="35">
        <v>20.7</v>
      </c>
      <c r="AS108" s="35">
        <v>19</v>
      </c>
      <c r="AT108" s="35">
        <v>19.8</v>
      </c>
      <c r="AU108" s="35">
        <v>19</v>
      </c>
      <c r="AV108" s="35">
        <v>20.6</v>
      </c>
      <c r="AW108" s="35">
        <v>19</v>
      </c>
      <c r="AX108" s="35">
        <v>20.5</v>
      </c>
      <c r="AY108" s="35">
        <v>20</v>
      </c>
      <c r="AZ108" s="35">
        <v>20.100000000000001</v>
      </c>
      <c r="BA108" s="35">
        <v>20</v>
      </c>
      <c r="BB108" s="35">
        <v>31.8</v>
      </c>
      <c r="BC108" s="35">
        <v>40</v>
      </c>
      <c r="BD108" s="35">
        <v>30.7</v>
      </c>
      <c r="BE108" s="35">
        <v>40</v>
      </c>
      <c r="BF108" s="35">
        <v>21.4</v>
      </c>
      <c r="BG108" s="35">
        <v>20</v>
      </c>
    </row>
    <row r="109" spans="1:59" x14ac:dyDescent="0.35">
      <c r="A109" s="36">
        <v>46059.521527777775</v>
      </c>
      <c r="B109" s="35">
        <v>5.2</v>
      </c>
      <c r="C109" s="35">
        <v>2</v>
      </c>
      <c r="D109" s="35">
        <v>7.9</v>
      </c>
      <c r="E109" s="35">
        <v>2.2000000000000002</v>
      </c>
      <c r="F109" s="35">
        <v>2.6</v>
      </c>
      <c r="G109" s="35">
        <v>2</v>
      </c>
      <c r="H109" s="35">
        <v>2.9</v>
      </c>
      <c r="I109" s="35">
        <v>2</v>
      </c>
      <c r="J109" s="35">
        <v>3.4</v>
      </c>
      <c r="K109" s="35">
        <v>2</v>
      </c>
      <c r="L109" s="35">
        <v>3.2</v>
      </c>
      <c r="M109" s="35">
        <v>2</v>
      </c>
      <c r="N109" s="35">
        <v>3.2</v>
      </c>
      <c r="O109" s="35">
        <v>3</v>
      </c>
      <c r="P109" s="35">
        <v>3.5</v>
      </c>
      <c r="Q109" s="35">
        <v>2</v>
      </c>
      <c r="R109" s="35">
        <v>3.7</v>
      </c>
      <c r="S109" s="35">
        <v>2</v>
      </c>
      <c r="T109" s="35">
        <v>3.5</v>
      </c>
      <c r="U109" s="35">
        <v>2</v>
      </c>
      <c r="V109" s="35">
        <v>10.7</v>
      </c>
      <c r="W109" s="35">
        <v>9</v>
      </c>
      <c r="X109" s="35">
        <v>9.8000000000000007</v>
      </c>
      <c r="Y109" s="35">
        <v>9</v>
      </c>
      <c r="Z109" s="35">
        <v>9.1999999999999993</v>
      </c>
      <c r="AA109" s="35">
        <v>9</v>
      </c>
      <c r="AB109" s="35">
        <v>10.5</v>
      </c>
      <c r="AC109" s="35">
        <v>9</v>
      </c>
      <c r="AD109" s="35">
        <v>20.2</v>
      </c>
      <c r="AE109" s="35">
        <v>19</v>
      </c>
      <c r="AF109" s="35">
        <v>19.7</v>
      </c>
      <c r="AG109" s="35">
        <v>19</v>
      </c>
      <c r="AH109" s="35">
        <v>20.7</v>
      </c>
      <c r="AI109" s="35">
        <v>19</v>
      </c>
      <c r="AJ109" s="35">
        <v>20.6</v>
      </c>
      <c r="AK109" s="35">
        <v>19</v>
      </c>
      <c r="AL109" s="35">
        <v>20.399999999999999</v>
      </c>
      <c r="AM109" s="35">
        <v>19</v>
      </c>
      <c r="AN109" s="35">
        <v>19.399999999999999</v>
      </c>
      <c r="AO109" s="35">
        <v>19</v>
      </c>
      <c r="AP109" s="35">
        <v>20.7</v>
      </c>
      <c r="AQ109" s="35">
        <v>19</v>
      </c>
      <c r="AR109" s="35">
        <v>20.7</v>
      </c>
      <c r="AS109" s="35">
        <v>19</v>
      </c>
      <c r="AT109" s="35">
        <v>19.899999999999999</v>
      </c>
      <c r="AU109" s="35">
        <v>19</v>
      </c>
      <c r="AV109" s="35">
        <v>20.6</v>
      </c>
      <c r="AW109" s="35">
        <v>19</v>
      </c>
      <c r="AX109" s="35">
        <v>20.5</v>
      </c>
      <c r="AY109" s="35">
        <v>20</v>
      </c>
      <c r="AZ109" s="35">
        <v>20.100000000000001</v>
      </c>
      <c r="BA109" s="35">
        <v>20</v>
      </c>
      <c r="BB109" s="35">
        <v>31.8</v>
      </c>
      <c r="BC109" s="35">
        <v>40</v>
      </c>
      <c r="BD109" s="35">
        <v>30.8</v>
      </c>
      <c r="BE109" s="35">
        <v>40</v>
      </c>
      <c r="BF109" s="35">
        <v>21.5</v>
      </c>
      <c r="BG109" s="35">
        <v>20</v>
      </c>
    </row>
    <row r="110" spans="1:59" x14ac:dyDescent="0.35">
      <c r="A110" s="36">
        <v>46059.522222222222</v>
      </c>
      <c r="B110" s="35">
        <v>4.3</v>
      </c>
      <c r="C110" s="35">
        <v>2</v>
      </c>
      <c r="D110" s="35">
        <v>5.9</v>
      </c>
      <c r="E110" s="35">
        <v>2.2000000000000002</v>
      </c>
      <c r="F110" s="35">
        <v>3</v>
      </c>
      <c r="G110" s="35">
        <v>2</v>
      </c>
      <c r="H110" s="35">
        <v>3.2</v>
      </c>
      <c r="I110" s="35">
        <v>2</v>
      </c>
      <c r="J110" s="35">
        <v>1.9</v>
      </c>
      <c r="K110" s="35">
        <v>2</v>
      </c>
      <c r="L110" s="35">
        <v>1.8</v>
      </c>
      <c r="M110" s="35">
        <v>2</v>
      </c>
      <c r="N110" s="35">
        <v>3.4</v>
      </c>
      <c r="O110" s="35">
        <v>3</v>
      </c>
      <c r="P110" s="35">
        <v>3.7</v>
      </c>
      <c r="Q110" s="35">
        <v>2</v>
      </c>
      <c r="R110" s="35">
        <v>3.8</v>
      </c>
      <c r="S110" s="35">
        <v>2</v>
      </c>
      <c r="T110" s="35">
        <v>3.6</v>
      </c>
      <c r="U110" s="35">
        <v>2</v>
      </c>
      <c r="V110" s="35">
        <v>11</v>
      </c>
      <c r="W110" s="35">
        <v>9</v>
      </c>
      <c r="X110" s="35">
        <v>9.9</v>
      </c>
      <c r="Y110" s="35">
        <v>9</v>
      </c>
      <c r="Z110" s="35">
        <v>8.6</v>
      </c>
      <c r="AA110" s="35">
        <v>9</v>
      </c>
      <c r="AB110" s="35">
        <v>9.3000000000000007</v>
      </c>
      <c r="AC110" s="35">
        <v>9</v>
      </c>
      <c r="AD110" s="35">
        <v>20.2</v>
      </c>
      <c r="AE110" s="35">
        <v>19</v>
      </c>
      <c r="AF110" s="35">
        <v>19.8</v>
      </c>
      <c r="AG110" s="35">
        <v>19</v>
      </c>
      <c r="AH110" s="35">
        <v>20.8</v>
      </c>
      <c r="AI110" s="35">
        <v>19</v>
      </c>
      <c r="AJ110" s="35">
        <v>20.7</v>
      </c>
      <c r="AK110" s="35">
        <v>19</v>
      </c>
      <c r="AL110" s="35">
        <v>20.2</v>
      </c>
      <c r="AM110" s="35">
        <v>19</v>
      </c>
      <c r="AN110" s="35">
        <v>19.2</v>
      </c>
      <c r="AO110" s="35">
        <v>19</v>
      </c>
      <c r="AP110" s="35">
        <v>20.7</v>
      </c>
      <c r="AQ110" s="35">
        <v>19</v>
      </c>
      <c r="AR110" s="35">
        <v>20.7</v>
      </c>
      <c r="AS110" s="35">
        <v>19</v>
      </c>
      <c r="AT110" s="35">
        <v>19.899999999999999</v>
      </c>
      <c r="AU110" s="35">
        <v>19</v>
      </c>
      <c r="AV110" s="35">
        <v>20.7</v>
      </c>
      <c r="AW110" s="35">
        <v>19</v>
      </c>
      <c r="AX110" s="35">
        <v>20.5</v>
      </c>
      <c r="AY110" s="35">
        <v>20</v>
      </c>
      <c r="AZ110" s="35">
        <v>20.100000000000001</v>
      </c>
      <c r="BA110" s="35">
        <v>20</v>
      </c>
      <c r="BB110" s="35">
        <v>31.8</v>
      </c>
      <c r="BC110" s="35">
        <v>40</v>
      </c>
      <c r="BD110" s="35">
        <v>30.8</v>
      </c>
      <c r="BE110" s="35">
        <v>40</v>
      </c>
      <c r="BF110" s="35">
        <v>21.6</v>
      </c>
      <c r="BG110" s="35">
        <v>20</v>
      </c>
    </row>
    <row r="111" spans="1:59" x14ac:dyDescent="0.35">
      <c r="A111" s="36">
        <v>46059.522916666669</v>
      </c>
      <c r="B111" s="35">
        <v>2.9</v>
      </c>
      <c r="C111" s="35">
        <v>2</v>
      </c>
      <c r="D111" s="35">
        <v>4.0999999999999996</v>
      </c>
      <c r="E111" s="35">
        <v>2.2000000000000002</v>
      </c>
      <c r="F111" s="35">
        <v>3.2</v>
      </c>
      <c r="G111" s="35">
        <v>2</v>
      </c>
      <c r="H111" s="35">
        <v>3.4</v>
      </c>
      <c r="I111" s="35">
        <v>2</v>
      </c>
      <c r="J111" s="35">
        <v>1.7</v>
      </c>
      <c r="K111" s="35">
        <v>2</v>
      </c>
      <c r="L111" s="35">
        <v>1.7</v>
      </c>
      <c r="M111" s="35">
        <v>2</v>
      </c>
      <c r="N111" s="35">
        <v>3.6</v>
      </c>
      <c r="O111" s="35">
        <v>3</v>
      </c>
      <c r="P111" s="35">
        <v>3.8</v>
      </c>
      <c r="Q111" s="35">
        <v>2</v>
      </c>
      <c r="R111" s="35">
        <v>3.9</v>
      </c>
      <c r="S111" s="35">
        <v>2</v>
      </c>
      <c r="T111" s="35">
        <v>3.7</v>
      </c>
      <c r="U111" s="35">
        <v>2</v>
      </c>
      <c r="V111" s="35">
        <v>10.4</v>
      </c>
      <c r="W111" s="35">
        <v>9</v>
      </c>
      <c r="X111" s="35">
        <v>10</v>
      </c>
      <c r="Y111" s="35">
        <v>9</v>
      </c>
      <c r="Z111" s="35">
        <v>8.6</v>
      </c>
      <c r="AA111" s="35">
        <v>9</v>
      </c>
      <c r="AB111" s="35">
        <v>9</v>
      </c>
      <c r="AC111" s="35">
        <v>9</v>
      </c>
      <c r="AD111" s="35">
        <v>20.2</v>
      </c>
      <c r="AE111" s="35">
        <v>19</v>
      </c>
      <c r="AF111" s="35">
        <v>19.8</v>
      </c>
      <c r="AG111" s="35">
        <v>19</v>
      </c>
      <c r="AH111" s="35">
        <v>20.8</v>
      </c>
      <c r="AI111" s="35">
        <v>19</v>
      </c>
      <c r="AJ111" s="35">
        <v>20.7</v>
      </c>
      <c r="AK111" s="35">
        <v>19</v>
      </c>
      <c r="AL111" s="35">
        <v>20.100000000000001</v>
      </c>
      <c r="AM111" s="35">
        <v>19</v>
      </c>
      <c r="AN111" s="35">
        <v>19.2</v>
      </c>
      <c r="AO111" s="35">
        <v>19</v>
      </c>
      <c r="AP111" s="35">
        <v>20.7</v>
      </c>
      <c r="AQ111" s="35">
        <v>19</v>
      </c>
      <c r="AR111" s="35">
        <v>20.7</v>
      </c>
      <c r="AS111" s="35">
        <v>19</v>
      </c>
      <c r="AT111" s="35">
        <v>20.100000000000001</v>
      </c>
      <c r="AU111" s="35">
        <v>19</v>
      </c>
      <c r="AV111" s="35">
        <v>20.7</v>
      </c>
      <c r="AW111" s="35">
        <v>19</v>
      </c>
      <c r="AX111" s="35">
        <v>20.5</v>
      </c>
      <c r="AY111" s="35">
        <v>20</v>
      </c>
      <c r="AZ111" s="35">
        <v>20.100000000000001</v>
      </c>
      <c r="BA111" s="35">
        <v>20</v>
      </c>
      <c r="BB111" s="35">
        <v>31.8</v>
      </c>
      <c r="BC111" s="35">
        <v>40</v>
      </c>
      <c r="BD111" s="35">
        <v>30.8</v>
      </c>
      <c r="BE111" s="35">
        <v>40</v>
      </c>
      <c r="BF111" s="35">
        <v>21.6</v>
      </c>
      <c r="BG111" s="35">
        <v>20</v>
      </c>
    </row>
    <row r="112" spans="1:59" x14ac:dyDescent="0.35">
      <c r="A112" s="36">
        <v>46059.524305555555</v>
      </c>
      <c r="B112" s="35">
        <v>2.2000000000000002</v>
      </c>
      <c r="C112" s="35">
        <v>2</v>
      </c>
      <c r="D112" s="35">
        <v>3</v>
      </c>
      <c r="E112" s="35">
        <v>2.2000000000000002</v>
      </c>
      <c r="F112" s="35">
        <v>3.8</v>
      </c>
      <c r="G112" s="35">
        <v>2</v>
      </c>
      <c r="H112" s="35">
        <v>3.9</v>
      </c>
      <c r="I112" s="35">
        <v>2</v>
      </c>
      <c r="J112" s="35">
        <v>1.9</v>
      </c>
      <c r="K112" s="35">
        <v>2</v>
      </c>
      <c r="L112" s="35">
        <v>2.2000000000000002</v>
      </c>
      <c r="M112" s="35">
        <v>2</v>
      </c>
      <c r="N112" s="35">
        <v>2.9</v>
      </c>
      <c r="O112" s="35">
        <v>3</v>
      </c>
      <c r="P112" s="35">
        <v>3.3</v>
      </c>
      <c r="Q112" s="35">
        <v>2</v>
      </c>
      <c r="R112" s="35">
        <v>2.5</v>
      </c>
      <c r="S112" s="35">
        <v>2</v>
      </c>
      <c r="T112" s="35">
        <v>1.8</v>
      </c>
      <c r="U112" s="35">
        <v>2</v>
      </c>
      <c r="V112" s="35">
        <v>8.3000000000000007</v>
      </c>
      <c r="W112" s="35">
        <v>9</v>
      </c>
      <c r="X112" s="35">
        <v>10.3</v>
      </c>
      <c r="Y112" s="35">
        <v>9</v>
      </c>
      <c r="Z112" s="35">
        <v>9.4</v>
      </c>
      <c r="AA112" s="35">
        <v>9</v>
      </c>
      <c r="AB112" s="35">
        <v>9.6999999999999993</v>
      </c>
      <c r="AC112" s="35">
        <v>9</v>
      </c>
      <c r="AD112" s="35">
        <v>20.3</v>
      </c>
      <c r="AE112" s="35">
        <v>19</v>
      </c>
      <c r="AF112" s="35">
        <v>19.899999999999999</v>
      </c>
      <c r="AG112" s="35">
        <v>19</v>
      </c>
      <c r="AH112" s="35">
        <v>20.9</v>
      </c>
      <c r="AI112" s="35">
        <v>19</v>
      </c>
      <c r="AJ112" s="35">
        <v>20.8</v>
      </c>
      <c r="AK112" s="35">
        <v>19</v>
      </c>
      <c r="AL112" s="35">
        <v>20</v>
      </c>
      <c r="AM112" s="35">
        <v>19</v>
      </c>
      <c r="AN112" s="35">
        <v>19</v>
      </c>
      <c r="AO112" s="35">
        <v>19</v>
      </c>
      <c r="AP112" s="35">
        <v>20.7</v>
      </c>
      <c r="AQ112" s="35">
        <v>19</v>
      </c>
      <c r="AR112" s="35">
        <v>20.7</v>
      </c>
      <c r="AS112" s="35">
        <v>19</v>
      </c>
      <c r="AT112" s="35">
        <v>20.2</v>
      </c>
      <c r="AU112" s="35">
        <v>19</v>
      </c>
      <c r="AV112" s="35">
        <v>20.8</v>
      </c>
      <c r="AW112" s="35">
        <v>19</v>
      </c>
      <c r="AX112" s="35">
        <v>20.5</v>
      </c>
      <c r="AY112" s="35">
        <v>20</v>
      </c>
      <c r="AZ112" s="35">
        <v>20.2</v>
      </c>
      <c r="BA112" s="35">
        <v>20</v>
      </c>
      <c r="BB112" s="35">
        <v>31.9</v>
      </c>
      <c r="BC112" s="35">
        <v>40</v>
      </c>
      <c r="BD112" s="35">
        <v>30.8</v>
      </c>
      <c r="BE112" s="35">
        <v>40</v>
      </c>
      <c r="BF112" s="35">
        <v>21.7</v>
      </c>
      <c r="BG112" s="35">
        <v>20</v>
      </c>
    </row>
    <row r="113" spans="1:59" x14ac:dyDescent="0.35">
      <c r="A113" s="36">
        <v>46059.525000000001</v>
      </c>
      <c r="B113" s="35">
        <v>1.8</v>
      </c>
      <c r="C113" s="35">
        <v>2</v>
      </c>
      <c r="D113" s="35">
        <v>2.4</v>
      </c>
      <c r="E113" s="35">
        <v>2.2000000000000002</v>
      </c>
      <c r="F113" s="35">
        <v>3.6</v>
      </c>
      <c r="G113" s="35">
        <v>2</v>
      </c>
      <c r="H113" s="35">
        <v>3.3</v>
      </c>
      <c r="I113" s="35">
        <v>2</v>
      </c>
      <c r="J113" s="35">
        <v>1.9</v>
      </c>
      <c r="K113" s="35">
        <v>2</v>
      </c>
      <c r="L113" s="35">
        <v>2.6</v>
      </c>
      <c r="M113" s="35">
        <v>2</v>
      </c>
      <c r="N113" s="35">
        <v>1.3</v>
      </c>
      <c r="O113" s="35">
        <v>3</v>
      </c>
      <c r="P113" s="35">
        <v>2.1</v>
      </c>
      <c r="Q113" s="35">
        <v>2</v>
      </c>
      <c r="R113" s="35">
        <v>1.7</v>
      </c>
      <c r="S113" s="35">
        <v>2</v>
      </c>
      <c r="T113" s="35">
        <v>1.1000000000000001</v>
      </c>
      <c r="U113" s="35">
        <v>2</v>
      </c>
      <c r="V113" s="35">
        <v>8.3000000000000007</v>
      </c>
      <c r="W113" s="35">
        <v>9</v>
      </c>
      <c r="X113" s="35">
        <v>10.4</v>
      </c>
      <c r="Y113" s="35">
        <v>9</v>
      </c>
      <c r="Z113" s="35">
        <v>9.8000000000000007</v>
      </c>
      <c r="AA113" s="35">
        <v>9</v>
      </c>
      <c r="AB113" s="35">
        <v>10.199999999999999</v>
      </c>
      <c r="AC113" s="35">
        <v>9</v>
      </c>
      <c r="AD113" s="35">
        <v>20.3</v>
      </c>
      <c r="AE113" s="35">
        <v>19</v>
      </c>
      <c r="AF113" s="35">
        <v>20</v>
      </c>
      <c r="AG113" s="35">
        <v>19</v>
      </c>
      <c r="AH113" s="35">
        <v>20.9</v>
      </c>
      <c r="AI113" s="35">
        <v>19</v>
      </c>
      <c r="AJ113" s="35">
        <v>20.9</v>
      </c>
      <c r="AK113" s="35">
        <v>19</v>
      </c>
      <c r="AL113" s="35">
        <v>19.899999999999999</v>
      </c>
      <c r="AM113" s="35">
        <v>19</v>
      </c>
      <c r="AN113" s="35">
        <v>19.2</v>
      </c>
      <c r="AO113" s="35">
        <v>19</v>
      </c>
      <c r="AP113" s="35">
        <v>20.7</v>
      </c>
      <c r="AQ113" s="35">
        <v>19</v>
      </c>
      <c r="AR113" s="35">
        <v>20.7</v>
      </c>
      <c r="AS113" s="35">
        <v>19</v>
      </c>
      <c r="AT113" s="35">
        <v>20.3</v>
      </c>
      <c r="AU113" s="35">
        <v>19</v>
      </c>
      <c r="AV113" s="35">
        <v>20.9</v>
      </c>
      <c r="AW113" s="35">
        <v>19</v>
      </c>
      <c r="AX113" s="35">
        <v>20.5</v>
      </c>
      <c r="AY113" s="35">
        <v>20</v>
      </c>
      <c r="AZ113" s="35">
        <v>20.2</v>
      </c>
      <c r="BA113" s="35">
        <v>20</v>
      </c>
      <c r="BB113" s="35">
        <v>31.9</v>
      </c>
      <c r="BC113" s="35">
        <v>40</v>
      </c>
      <c r="BD113" s="35">
        <v>30.8</v>
      </c>
      <c r="BE113" s="35">
        <v>40</v>
      </c>
      <c r="BF113" s="35">
        <v>21.7</v>
      </c>
      <c r="BG113" s="35">
        <v>20</v>
      </c>
    </row>
    <row r="114" spans="1:59" x14ac:dyDescent="0.35">
      <c r="A114" s="36">
        <v>46059.525694444441</v>
      </c>
      <c r="B114" s="35">
        <v>1.9</v>
      </c>
      <c r="C114" s="35">
        <v>2</v>
      </c>
      <c r="D114" s="35">
        <v>2.7</v>
      </c>
      <c r="E114" s="35">
        <v>2.2000000000000002</v>
      </c>
      <c r="F114" s="35">
        <v>3.1</v>
      </c>
      <c r="G114" s="35">
        <v>2</v>
      </c>
      <c r="H114" s="35">
        <v>2.5</v>
      </c>
      <c r="I114" s="35">
        <v>2</v>
      </c>
      <c r="J114" s="35">
        <v>2.1</v>
      </c>
      <c r="K114" s="35">
        <v>2</v>
      </c>
      <c r="L114" s="35">
        <v>2.9</v>
      </c>
      <c r="M114" s="35">
        <v>2</v>
      </c>
      <c r="N114" s="35">
        <v>0.8</v>
      </c>
      <c r="O114" s="35">
        <v>3</v>
      </c>
      <c r="P114" s="35">
        <v>1.7</v>
      </c>
      <c r="Q114" s="35">
        <v>2</v>
      </c>
      <c r="R114" s="35">
        <v>1.7</v>
      </c>
      <c r="S114" s="35">
        <v>2</v>
      </c>
      <c r="T114" s="35">
        <v>1.1000000000000001</v>
      </c>
      <c r="U114" s="35">
        <v>2</v>
      </c>
      <c r="V114" s="35">
        <v>9.3000000000000007</v>
      </c>
      <c r="W114" s="35">
        <v>9</v>
      </c>
      <c r="X114" s="35">
        <v>10.5</v>
      </c>
      <c r="Y114" s="35">
        <v>9</v>
      </c>
      <c r="Z114" s="35">
        <v>10.1</v>
      </c>
      <c r="AA114" s="35">
        <v>9</v>
      </c>
      <c r="AB114" s="35">
        <v>10.6</v>
      </c>
      <c r="AC114" s="35">
        <v>9</v>
      </c>
      <c r="AD114" s="35">
        <v>20.399999999999999</v>
      </c>
      <c r="AE114" s="35">
        <v>19</v>
      </c>
      <c r="AF114" s="35">
        <v>20</v>
      </c>
      <c r="AG114" s="35">
        <v>19</v>
      </c>
      <c r="AH114" s="35">
        <v>21</v>
      </c>
      <c r="AI114" s="35">
        <v>19</v>
      </c>
      <c r="AJ114" s="35">
        <v>20.9</v>
      </c>
      <c r="AK114" s="35">
        <v>19</v>
      </c>
      <c r="AL114" s="35">
        <v>19.899999999999999</v>
      </c>
      <c r="AM114" s="35">
        <v>19</v>
      </c>
      <c r="AN114" s="35">
        <v>19.399999999999999</v>
      </c>
      <c r="AO114" s="35">
        <v>19</v>
      </c>
      <c r="AP114" s="35">
        <v>20.8</v>
      </c>
      <c r="AQ114" s="35">
        <v>19</v>
      </c>
      <c r="AR114" s="35">
        <v>20.7</v>
      </c>
      <c r="AS114" s="35">
        <v>19</v>
      </c>
      <c r="AT114" s="35">
        <v>20.399999999999999</v>
      </c>
      <c r="AU114" s="35">
        <v>19</v>
      </c>
      <c r="AV114" s="35">
        <v>20.9</v>
      </c>
      <c r="AW114" s="35">
        <v>19</v>
      </c>
      <c r="AX114" s="35">
        <v>20.5</v>
      </c>
      <c r="AY114" s="35">
        <v>20</v>
      </c>
      <c r="AZ114" s="35">
        <v>20.2</v>
      </c>
      <c r="BA114" s="35">
        <v>20</v>
      </c>
      <c r="BB114" s="35">
        <v>31.9</v>
      </c>
      <c r="BC114" s="35">
        <v>40</v>
      </c>
      <c r="BD114" s="35">
        <v>30.8</v>
      </c>
      <c r="BE114" s="35">
        <v>40</v>
      </c>
      <c r="BF114" s="35">
        <v>21.7</v>
      </c>
      <c r="BG114" s="35">
        <v>20</v>
      </c>
    </row>
    <row r="115" spans="1:59" x14ac:dyDescent="0.35">
      <c r="A115" s="36">
        <v>46059.526388888888</v>
      </c>
      <c r="B115" s="35">
        <v>2.6</v>
      </c>
      <c r="C115" s="35">
        <v>2</v>
      </c>
      <c r="D115" s="35">
        <v>3.3</v>
      </c>
      <c r="E115" s="35">
        <v>2.2000000000000002</v>
      </c>
      <c r="F115" s="35">
        <v>3.1</v>
      </c>
      <c r="G115" s="35">
        <v>2</v>
      </c>
      <c r="H115" s="35">
        <v>2.5</v>
      </c>
      <c r="I115" s="35">
        <v>2</v>
      </c>
      <c r="J115" s="35">
        <v>2.4</v>
      </c>
      <c r="K115" s="35">
        <v>2</v>
      </c>
      <c r="L115" s="35">
        <v>3.2</v>
      </c>
      <c r="M115" s="35">
        <v>2</v>
      </c>
      <c r="N115" s="35">
        <v>0.9</v>
      </c>
      <c r="O115" s="35">
        <v>3</v>
      </c>
      <c r="P115" s="35">
        <v>1.8</v>
      </c>
      <c r="Q115" s="35">
        <v>2</v>
      </c>
      <c r="R115" s="35">
        <v>1.7</v>
      </c>
      <c r="S115" s="35">
        <v>2</v>
      </c>
      <c r="T115" s="35">
        <v>1.4</v>
      </c>
      <c r="U115" s="35">
        <v>2</v>
      </c>
      <c r="V115" s="35">
        <v>10</v>
      </c>
      <c r="W115" s="35">
        <v>9</v>
      </c>
      <c r="X115" s="35">
        <v>10.6</v>
      </c>
      <c r="Y115" s="35">
        <v>9</v>
      </c>
      <c r="Z115" s="35">
        <v>10.4</v>
      </c>
      <c r="AA115" s="35">
        <v>9</v>
      </c>
      <c r="AB115" s="35">
        <v>11.1</v>
      </c>
      <c r="AC115" s="35">
        <v>9</v>
      </c>
      <c r="AD115" s="35">
        <v>20.399999999999999</v>
      </c>
      <c r="AE115" s="35">
        <v>19</v>
      </c>
      <c r="AF115" s="35">
        <v>20</v>
      </c>
      <c r="AG115" s="35">
        <v>19</v>
      </c>
      <c r="AH115" s="35">
        <v>20.100000000000001</v>
      </c>
      <c r="AI115" s="35">
        <v>19</v>
      </c>
      <c r="AJ115" s="35">
        <v>21</v>
      </c>
      <c r="AK115" s="35">
        <v>19</v>
      </c>
      <c r="AL115" s="35">
        <v>19.899999999999999</v>
      </c>
      <c r="AM115" s="35">
        <v>19</v>
      </c>
      <c r="AN115" s="35">
        <v>19.600000000000001</v>
      </c>
      <c r="AO115" s="35">
        <v>19</v>
      </c>
      <c r="AP115" s="35">
        <v>20.8</v>
      </c>
      <c r="AQ115" s="35">
        <v>19</v>
      </c>
      <c r="AR115" s="35">
        <v>20.7</v>
      </c>
      <c r="AS115" s="35">
        <v>19</v>
      </c>
      <c r="AT115" s="35">
        <v>20.399999999999999</v>
      </c>
      <c r="AU115" s="35">
        <v>19</v>
      </c>
      <c r="AV115" s="35">
        <v>20.9</v>
      </c>
      <c r="AW115" s="35">
        <v>19</v>
      </c>
      <c r="AX115" s="35">
        <v>20.5</v>
      </c>
      <c r="AY115" s="35">
        <v>20</v>
      </c>
      <c r="AZ115" s="35">
        <v>20.2</v>
      </c>
      <c r="BA115" s="35">
        <v>20</v>
      </c>
      <c r="BB115" s="35">
        <v>31.9</v>
      </c>
      <c r="BC115" s="35">
        <v>40</v>
      </c>
      <c r="BD115" s="35">
        <v>30.9</v>
      </c>
      <c r="BE115" s="35">
        <v>40</v>
      </c>
      <c r="BF115" s="35">
        <v>21.8</v>
      </c>
      <c r="BG115" s="35">
        <v>20</v>
      </c>
    </row>
    <row r="116" spans="1:59" x14ac:dyDescent="0.35">
      <c r="A116" s="36">
        <v>46059.527083333334</v>
      </c>
      <c r="B116" s="35">
        <v>3.2</v>
      </c>
      <c r="C116" s="35">
        <v>2</v>
      </c>
      <c r="D116" s="35">
        <v>3.8</v>
      </c>
      <c r="E116" s="35">
        <v>2.2000000000000002</v>
      </c>
      <c r="F116" s="35">
        <v>3.2</v>
      </c>
      <c r="G116" s="35">
        <v>2</v>
      </c>
      <c r="H116" s="35">
        <v>2.7</v>
      </c>
      <c r="I116" s="35">
        <v>2</v>
      </c>
      <c r="J116" s="35">
        <v>2.6</v>
      </c>
      <c r="K116" s="35">
        <v>2</v>
      </c>
      <c r="L116" s="35">
        <v>3.5</v>
      </c>
      <c r="M116" s="35">
        <v>2</v>
      </c>
      <c r="N116" s="35">
        <v>1.3</v>
      </c>
      <c r="O116" s="35">
        <v>3</v>
      </c>
      <c r="P116" s="35">
        <v>2.1</v>
      </c>
      <c r="Q116" s="35">
        <v>2</v>
      </c>
      <c r="R116" s="35">
        <v>2</v>
      </c>
      <c r="S116" s="35">
        <v>2</v>
      </c>
      <c r="T116" s="35">
        <v>1.7</v>
      </c>
      <c r="U116" s="35">
        <v>2</v>
      </c>
      <c r="V116" s="35">
        <v>10.5</v>
      </c>
      <c r="W116" s="35">
        <v>9</v>
      </c>
      <c r="X116" s="35">
        <v>10.6</v>
      </c>
      <c r="Y116" s="35">
        <v>9</v>
      </c>
      <c r="Z116" s="35">
        <v>10.6</v>
      </c>
      <c r="AA116" s="35">
        <v>9</v>
      </c>
      <c r="AB116" s="35">
        <v>10.7</v>
      </c>
      <c r="AC116" s="35">
        <v>9</v>
      </c>
      <c r="AD116" s="35">
        <v>20.399999999999999</v>
      </c>
      <c r="AE116" s="35">
        <v>19</v>
      </c>
      <c r="AF116" s="35">
        <v>20.100000000000001</v>
      </c>
      <c r="AG116" s="35">
        <v>19</v>
      </c>
      <c r="AH116" s="35">
        <v>19.100000000000001</v>
      </c>
      <c r="AI116" s="35">
        <v>19</v>
      </c>
      <c r="AJ116" s="35">
        <v>19.899999999999999</v>
      </c>
      <c r="AK116" s="35">
        <v>19</v>
      </c>
      <c r="AL116" s="35">
        <v>19.899999999999999</v>
      </c>
      <c r="AM116" s="35">
        <v>19</v>
      </c>
      <c r="AN116" s="35">
        <v>19.7</v>
      </c>
      <c r="AO116" s="35">
        <v>19</v>
      </c>
      <c r="AP116" s="35">
        <v>20.8</v>
      </c>
      <c r="AQ116" s="35">
        <v>19</v>
      </c>
      <c r="AR116" s="35">
        <v>20.7</v>
      </c>
      <c r="AS116" s="35">
        <v>19</v>
      </c>
      <c r="AT116" s="35">
        <v>20.5</v>
      </c>
      <c r="AU116" s="35">
        <v>19</v>
      </c>
      <c r="AV116" s="35">
        <v>21</v>
      </c>
      <c r="AW116" s="35">
        <v>19</v>
      </c>
      <c r="AX116" s="35">
        <v>20.5</v>
      </c>
      <c r="AY116" s="35">
        <v>20</v>
      </c>
      <c r="AZ116" s="35">
        <v>20.2</v>
      </c>
      <c r="BA116" s="35">
        <v>20</v>
      </c>
      <c r="BB116" s="35">
        <v>31.9</v>
      </c>
      <c r="BC116" s="35">
        <v>40</v>
      </c>
      <c r="BD116" s="35">
        <v>30.9</v>
      </c>
      <c r="BE116" s="35">
        <v>40</v>
      </c>
      <c r="BF116" s="35">
        <v>21.8</v>
      </c>
      <c r="BG116" s="35">
        <v>20</v>
      </c>
    </row>
    <row r="117" spans="1:59" x14ac:dyDescent="0.35">
      <c r="A117" s="36">
        <v>46059.527777777781</v>
      </c>
      <c r="B117" s="35">
        <v>3.7</v>
      </c>
      <c r="C117" s="35">
        <v>2</v>
      </c>
      <c r="D117" s="35">
        <v>4.2</v>
      </c>
      <c r="E117" s="35">
        <v>2.2000000000000002</v>
      </c>
      <c r="F117" s="35">
        <v>3.4</v>
      </c>
      <c r="G117" s="35">
        <v>2</v>
      </c>
      <c r="H117" s="35">
        <v>3</v>
      </c>
      <c r="I117" s="35">
        <v>2</v>
      </c>
      <c r="J117" s="35">
        <v>2.8</v>
      </c>
      <c r="K117" s="35">
        <v>2</v>
      </c>
      <c r="L117" s="35">
        <v>3.7</v>
      </c>
      <c r="M117" s="35">
        <v>2</v>
      </c>
      <c r="N117" s="35">
        <v>1.7</v>
      </c>
      <c r="O117" s="35">
        <v>3</v>
      </c>
      <c r="P117" s="35">
        <v>2.4</v>
      </c>
      <c r="Q117" s="35">
        <v>2</v>
      </c>
      <c r="R117" s="35">
        <v>2.2999999999999998</v>
      </c>
      <c r="S117" s="35">
        <v>2</v>
      </c>
      <c r="T117" s="35">
        <v>2</v>
      </c>
      <c r="U117" s="35">
        <v>2</v>
      </c>
      <c r="V117" s="35">
        <v>10.9</v>
      </c>
      <c r="W117" s="35">
        <v>9</v>
      </c>
      <c r="X117" s="35">
        <v>10.7</v>
      </c>
      <c r="Y117" s="35">
        <v>9</v>
      </c>
      <c r="Z117" s="35">
        <v>10.8</v>
      </c>
      <c r="AA117" s="35">
        <v>9</v>
      </c>
      <c r="AB117" s="35">
        <v>9.1999999999999993</v>
      </c>
      <c r="AC117" s="35">
        <v>9</v>
      </c>
      <c r="AD117" s="35">
        <v>20.399999999999999</v>
      </c>
      <c r="AE117" s="35">
        <v>19</v>
      </c>
      <c r="AF117" s="35">
        <v>20.2</v>
      </c>
      <c r="AG117" s="35">
        <v>19</v>
      </c>
      <c r="AH117" s="35">
        <v>18.3</v>
      </c>
      <c r="AI117" s="35">
        <v>19</v>
      </c>
      <c r="AJ117" s="35">
        <v>18.5</v>
      </c>
      <c r="AK117" s="35">
        <v>19</v>
      </c>
      <c r="AL117" s="35">
        <v>19.899999999999999</v>
      </c>
      <c r="AM117" s="35">
        <v>19</v>
      </c>
      <c r="AN117" s="35">
        <v>19.899999999999999</v>
      </c>
      <c r="AO117" s="35">
        <v>19</v>
      </c>
      <c r="AP117" s="35">
        <v>20.8</v>
      </c>
      <c r="AQ117" s="35">
        <v>19</v>
      </c>
      <c r="AR117" s="35">
        <v>20.7</v>
      </c>
      <c r="AS117" s="35">
        <v>19</v>
      </c>
      <c r="AT117" s="35">
        <v>20.6</v>
      </c>
      <c r="AU117" s="35">
        <v>19</v>
      </c>
      <c r="AV117" s="35">
        <v>20.8</v>
      </c>
      <c r="AW117" s="35">
        <v>19</v>
      </c>
      <c r="AX117" s="35">
        <v>20.6</v>
      </c>
      <c r="AY117" s="35">
        <v>20</v>
      </c>
      <c r="AZ117" s="35">
        <v>20.3</v>
      </c>
      <c r="BA117" s="35">
        <v>20</v>
      </c>
      <c r="BB117" s="35">
        <v>31.9</v>
      </c>
      <c r="BC117" s="35">
        <v>40</v>
      </c>
      <c r="BD117" s="35">
        <v>30.9</v>
      </c>
      <c r="BE117" s="35">
        <v>40</v>
      </c>
      <c r="BF117" s="35">
        <v>21.8</v>
      </c>
      <c r="BG117" s="35">
        <v>20</v>
      </c>
    </row>
    <row r="118" spans="1:59" x14ac:dyDescent="0.35">
      <c r="A118" s="36">
        <v>46059.52847222222</v>
      </c>
      <c r="B118" s="35">
        <v>4.0999999999999996</v>
      </c>
      <c r="C118" s="35">
        <v>2</v>
      </c>
      <c r="D118" s="35">
        <v>4.5</v>
      </c>
      <c r="E118" s="35">
        <v>2.2000000000000002</v>
      </c>
      <c r="F118" s="35">
        <v>3.7</v>
      </c>
      <c r="G118" s="35">
        <v>2</v>
      </c>
      <c r="H118" s="35">
        <v>3.3</v>
      </c>
      <c r="I118" s="35">
        <v>2</v>
      </c>
      <c r="J118" s="35">
        <v>3</v>
      </c>
      <c r="K118" s="35">
        <v>2</v>
      </c>
      <c r="L118" s="35">
        <v>3.9</v>
      </c>
      <c r="M118" s="35">
        <v>2</v>
      </c>
      <c r="N118" s="35">
        <v>2.1</v>
      </c>
      <c r="O118" s="35">
        <v>3</v>
      </c>
      <c r="P118" s="35">
        <v>2.7</v>
      </c>
      <c r="Q118" s="35">
        <v>2</v>
      </c>
      <c r="R118" s="35">
        <v>2.5</v>
      </c>
      <c r="S118" s="35">
        <v>2</v>
      </c>
      <c r="T118" s="35">
        <v>2.2999999999999998</v>
      </c>
      <c r="U118" s="35">
        <v>2</v>
      </c>
      <c r="V118" s="35">
        <v>10.4</v>
      </c>
      <c r="W118" s="35">
        <v>9</v>
      </c>
      <c r="X118" s="35">
        <v>10.8</v>
      </c>
      <c r="Y118" s="35">
        <v>9</v>
      </c>
      <c r="Z118" s="35">
        <v>11</v>
      </c>
      <c r="AA118" s="35">
        <v>9</v>
      </c>
      <c r="AB118" s="35">
        <v>8.4</v>
      </c>
      <c r="AC118" s="35">
        <v>9</v>
      </c>
      <c r="AD118" s="35">
        <v>20.5</v>
      </c>
      <c r="AE118" s="35">
        <v>19</v>
      </c>
      <c r="AF118" s="35">
        <v>20.2</v>
      </c>
      <c r="AG118" s="35">
        <v>19</v>
      </c>
      <c r="AH118" s="35">
        <v>18.3</v>
      </c>
      <c r="AI118" s="35">
        <v>19</v>
      </c>
      <c r="AJ118" s="35">
        <v>18.5</v>
      </c>
      <c r="AK118" s="35">
        <v>19</v>
      </c>
      <c r="AL118" s="35">
        <v>19.899999999999999</v>
      </c>
      <c r="AM118" s="35">
        <v>19</v>
      </c>
      <c r="AN118" s="35">
        <v>20</v>
      </c>
      <c r="AO118" s="35">
        <v>19</v>
      </c>
      <c r="AP118" s="35">
        <v>20.8</v>
      </c>
      <c r="AQ118" s="35">
        <v>19</v>
      </c>
      <c r="AR118" s="35">
        <v>20.7</v>
      </c>
      <c r="AS118" s="35">
        <v>19</v>
      </c>
      <c r="AT118" s="35">
        <v>20.7</v>
      </c>
      <c r="AU118" s="35">
        <v>19</v>
      </c>
      <c r="AV118" s="35">
        <v>20.100000000000001</v>
      </c>
      <c r="AW118" s="35">
        <v>19</v>
      </c>
      <c r="AX118" s="35">
        <v>20.6</v>
      </c>
      <c r="AY118" s="35">
        <v>20</v>
      </c>
      <c r="AZ118" s="35">
        <v>20.3</v>
      </c>
      <c r="BA118" s="35">
        <v>20</v>
      </c>
      <c r="BB118" s="35">
        <v>32</v>
      </c>
      <c r="BC118" s="35">
        <v>40</v>
      </c>
      <c r="BD118" s="35">
        <v>30.9</v>
      </c>
      <c r="BE118" s="35">
        <v>40</v>
      </c>
      <c r="BF118" s="35">
        <v>21.8</v>
      </c>
      <c r="BG118" s="35">
        <v>20</v>
      </c>
    </row>
    <row r="119" spans="1:59" x14ac:dyDescent="0.35">
      <c r="A119" s="36">
        <v>46059.529166666667</v>
      </c>
      <c r="B119" s="35">
        <v>4</v>
      </c>
      <c r="C119" s="35">
        <v>2</v>
      </c>
      <c r="D119" s="35">
        <v>4.3</v>
      </c>
      <c r="E119" s="35">
        <v>2.2000000000000002</v>
      </c>
      <c r="F119" s="35">
        <v>3.9</v>
      </c>
      <c r="G119" s="35">
        <v>2</v>
      </c>
      <c r="H119" s="35">
        <v>3.5</v>
      </c>
      <c r="I119" s="35">
        <v>2</v>
      </c>
      <c r="J119" s="35">
        <v>3.2</v>
      </c>
      <c r="K119" s="35">
        <v>2</v>
      </c>
      <c r="L119" s="35">
        <v>4</v>
      </c>
      <c r="M119" s="35">
        <v>2</v>
      </c>
      <c r="N119" s="35">
        <v>2.4</v>
      </c>
      <c r="O119" s="35">
        <v>3</v>
      </c>
      <c r="P119" s="35">
        <v>3</v>
      </c>
      <c r="Q119" s="35">
        <v>2</v>
      </c>
      <c r="R119" s="35">
        <v>2.8</v>
      </c>
      <c r="S119" s="35">
        <v>2</v>
      </c>
      <c r="T119" s="35">
        <v>2.6</v>
      </c>
      <c r="U119" s="35">
        <v>2</v>
      </c>
      <c r="V119" s="35">
        <v>9.1</v>
      </c>
      <c r="W119" s="35">
        <v>9</v>
      </c>
      <c r="X119" s="35">
        <v>10.9</v>
      </c>
      <c r="Y119" s="35">
        <v>9</v>
      </c>
      <c r="Z119" s="35">
        <v>11</v>
      </c>
      <c r="AA119" s="35">
        <v>9</v>
      </c>
      <c r="AB119" s="35">
        <v>8.6</v>
      </c>
      <c r="AC119" s="35">
        <v>9</v>
      </c>
      <c r="AD119" s="35">
        <v>20.5</v>
      </c>
      <c r="AE119" s="35">
        <v>19</v>
      </c>
      <c r="AF119" s="35">
        <v>20.2</v>
      </c>
      <c r="AG119" s="35">
        <v>19</v>
      </c>
      <c r="AH119" s="35">
        <v>18.5</v>
      </c>
      <c r="AI119" s="35">
        <v>19</v>
      </c>
      <c r="AJ119" s="35">
        <v>18.5</v>
      </c>
      <c r="AK119" s="35">
        <v>19</v>
      </c>
      <c r="AL119" s="35">
        <v>19.899999999999999</v>
      </c>
      <c r="AM119" s="35">
        <v>19</v>
      </c>
      <c r="AN119" s="35">
        <v>20.100000000000001</v>
      </c>
      <c r="AO119" s="35">
        <v>19</v>
      </c>
      <c r="AP119" s="35">
        <v>20.8</v>
      </c>
      <c r="AQ119" s="35">
        <v>19</v>
      </c>
      <c r="AR119" s="35">
        <v>20.7</v>
      </c>
      <c r="AS119" s="35">
        <v>19</v>
      </c>
      <c r="AT119" s="35">
        <v>20.7</v>
      </c>
      <c r="AU119" s="35">
        <v>19</v>
      </c>
      <c r="AV119" s="35">
        <v>18.899999999999999</v>
      </c>
      <c r="AW119" s="35">
        <v>19</v>
      </c>
      <c r="AX119" s="35">
        <v>20.6</v>
      </c>
      <c r="AY119" s="35">
        <v>20</v>
      </c>
      <c r="AZ119" s="35">
        <v>20.3</v>
      </c>
      <c r="BA119" s="35">
        <v>20</v>
      </c>
      <c r="BB119" s="35">
        <v>32</v>
      </c>
      <c r="BC119" s="35">
        <v>40</v>
      </c>
      <c r="BD119" s="35">
        <v>30.9</v>
      </c>
      <c r="BE119" s="35">
        <v>40</v>
      </c>
      <c r="BF119" s="35">
        <v>21.9</v>
      </c>
      <c r="BG119" s="35">
        <v>20</v>
      </c>
    </row>
    <row r="120" spans="1:59" x14ac:dyDescent="0.35">
      <c r="A120" s="36">
        <v>46059.529861111114</v>
      </c>
      <c r="B120" s="35">
        <v>3.5</v>
      </c>
      <c r="C120" s="35">
        <v>2</v>
      </c>
      <c r="D120" s="35">
        <v>3.9</v>
      </c>
      <c r="E120" s="35">
        <v>2.2000000000000002</v>
      </c>
      <c r="F120" s="35">
        <v>3.9</v>
      </c>
      <c r="G120" s="35">
        <v>2</v>
      </c>
      <c r="H120" s="35">
        <v>3.2</v>
      </c>
      <c r="I120" s="35">
        <v>2</v>
      </c>
      <c r="J120" s="35">
        <v>3</v>
      </c>
      <c r="K120" s="35">
        <v>2</v>
      </c>
      <c r="L120" s="35">
        <v>3</v>
      </c>
      <c r="M120" s="35">
        <v>2</v>
      </c>
      <c r="N120" s="35">
        <v>2.8</v>
      </c>
      <c r="O120" s="35">
        <v>3</v>
      </c>
      <c r="P120" s="35">
        <v>3.2</v>
      </c>
      <c r="Q120" s="35">
        <v>2</v>
      </c>
      <c r="R120" s="35">
        <v>3</v>
      </c>
      <c r="S120" s="35">
        <v>2</v>
      </c>
      <c r="T120" s="35">
        <v>2.8</v>
      </c>
      <c r="U120" s="35">
        <v>2</v>
      </c>
      <c r="V120" s="35">
        <v>8.6</v>
      </c>
      <c r="W120" s="35">
        <v>9</v>
      </c>
      <c r="X120" s="35">
        <v>11</v>
      </c>
      <c r="Y120" s="35">
        <v>9</v>
      </c>
      <c r="Z120" s="35">
        <v>10.9</v>
      </c>
      <c r="AA120" s="35">
        <v>9</v>
      </c>
      <c r="AB120" s="35">
        <v>9.3000000000000007</v>
      </c>
      <c r="AC120" s="35">
        <v>9</v>
      </c>
      <c r="AD120" s="35">
        <v>20.5</v>
      </c>
      <c r="AE120" s="35">
        <v>19</v>
      </c>
      <c r="AF120" s="35">
        <v>20.3</v>
      </c>
      <c r="AG120" s="35">
        <v>19</v>
      </c>
      <c r="AH120" s="35">
        <v>18.7</v>
      </c>
      <c r="AI120" s="35">
        <v>19</v>
      </c>
      <c r="AJ120" s="35">
        <v>18.7</v>
      </c>
      <c r="AK120" s="35">
        <v>19</v>
      </c>
      <c r="AL120" s="35">
        <v>19.899999999999999</v>
      </c>
      <c r="AM120" s="35">
        <v>19</v>
      </c>
      <c r="AN120" s="35">
        <v>20.2</v>
      </c>
      <c r="AO120" s="35">
        <v>19</v>
      </c>
      <c r="AP120" s="35">
        <v>20.8</v>
      </c>
      <c r="AQ120" s="35">
        <v>19</v>
      </c>
      <c r="AR120" s="35">
        <v>20.7</v>
      </c>
      <c r="AS120" s="35">
        <v>19</v>
      </c>
      <c r="AT120" s="35">
        <v>20.8</v>
      </c>
      <c r="AU120" s="35">
        <v>19</v>
      </c>
      <c r="AV120" s="35">
        <v>18.5</v>
      </c>
      <c r="AW120" s="35">
        <v>19</v>
      </c>
      <c r="AX120" s="35">
        <v>20.6</v>
      </c>
      <c r="AY120" s="35">
        <v>20</v>
      </c>
      <c r="AZ120" s="35">
        <v>20.3</v>
      </c>
      <c r="BA120" s="35">
        <v>20</v>
      </c>
      <c r="BB120" s="35">
        <v>32</v>
      </c>
      <c r="BC120" s="35">
        <v>40</v>
      </c>
      <c r="BD120" s="35">
        <v>30.9</v>
      </c>
      <c r="BE120" s="35">
        <v>40</v>
      </c>
      <c r="BF120" s="35">
        <v>21.9</v>
      </c>
      <c r="BG120" s="35">
        <v>20</v>
      </c>
    </row>
    <row r="121" spans="1:59" x14ac:dyDescent="0.35">
      <c r="A121" s="36">
        <v>46059.530555555553</v>
      </c>
      <c r="B121" s="35">
        <v>2.6</v>
      </c>
      <c r="C121" s="35">
        <v>2</v>
      </c>
      <c r="D121" s="35">
        <v>3.1</v>
      </c>
      <c r="E121" s="35">
        <v>2.2000000000000002</v>
      </c>
      <c r="F121" s="35">
        <v>1.7</v>
      </c>
      <c r="G121" s="35">
        <v>2</v>
      </c>
      <c r="H121" s="35">
        <v>1.6</v>
      </c>
      <c r="I121" s="35">
        <v>2</v>
      </c>
      <c r="J121" s="35">
        <v>2.4</v>
      </c>
      <c r="K121" s="35">
        <v>2</v>
      </c>
      <c r="L121" s="35">
        <v>2</v>
      </c>
      <c r="M121" s="35">
        <v>2</v>
      </c>
      <c r="N121" s="35">
        <v>3</v>
      </c>
      <c r="O121" s="35">
        <v>3</v>
      </c>
      <c r="P121" s="35">
        <v>3.4</v>
      </c>
      <c r="Q121" s="35">
        <v>2</v>
      </c>
      <c r="R121" s="35">
        <v>3.1</v>
      </c>
      <c r="S121" s="35">
        <v>2</v>
      </c>
      <c r="T121" s="35">
        <v>2.9</v>
      </c>
      <c r="U121" s="35">
        <v>2</v>
      </c>
      <c r="V121" s="35">
        <v>8.5</v>
      </c>
      <c r="W121" s="35">
        <v>9</v>
      </c>
      <c r="X121" s="35">
        <v>10.7</v>
      </c>
      <c r="Y121" s="35">
        <v>9</v>
      </c>
      <c r="Z121" s="35">
        <v>10.3</v>
      </c>
      <c r="AA121" s="35">
        <v>9</v>
      </c>
      <c r="AB121" s="35">
        <v>9.9</v>
      </c>
      <c r="AC121" s="35">
        <v>9</v>
      </c>
      <c r="AD121" s="35">
        <v>20.5</v>
      </c>
      <c r="AE121" s="35">
        <v>19</v>
      </c>
      <c r="AF121" s="35">
        <v>20.3</v>
      </c>
      <c r="AG121" s="35">
        <v>19</v>
      </c>
      <c r="AH121" s="35">
        <v>19</v>
      </c>
      <c r="AI121" s="35">
        <v>19</v>
      </c>
      <c r="AJ121" s="35">
        <v>18.899999999999999</v>
      </c>
      <c r="AK121" s="35">
        <v>19</v>
      </c>
      <c r="AL121" s="35">
        <v>19.8</v>
      </c>
      <c r="AM121" s="35">
        <v>19</v>
      </c>
      <c r="AN121" s="35">
        <v>20.2</v>
      </c>
      <c r="AO121" s="35">
        <v>19</v>
      </c>
      <c r="AP121" s="35">
        <v>20.8</v>
      </c>
      <c r="AQ121" s="35">
        <v>19</v>
      </c>
      <c r="AR121" s="35">
        <v>20.7</v>
      </c>
      <c r="AS121" s="35">
        <v>19</v>
      </c>
      <c r="AT121" s="35">
        <v>20.9</v>
      </c>
      <c r="AU121" s="35">
        <v>19</v>
      </c>
      <c r="AV121" s="35">
        <v>18.5</v>
      </c>
      <c r="AW121" s="35">
        <v>19</v>
      </c>
      <c r="AX121" s="35">
        <v>20.6</v>
      </c>
      <c r="AY121" s="35">
        <v>20</v>
      </c>
      <c r="AZ121" s="35">
        <v>20.3</v>
      </c>
      <c r="BA121" s="35">
        <v>20</v>
      </c>
      <c r="BB121" s="35">
        <v>32</v>
      </c>
      <c r="BC121" s="35">
        <v>40</v>
      </c>
      <c r="BD121" s="35">
        <v>30.9</v>
      </c>
      <c r="BE121" s="35">
        <v>40</v>
      </c>
      <c r="BF121" s="35">
        <v>21.9</v>
      </c>
      <c r="BG121" s="35">
        <v>20</v>
      </c>
    </row>
    <row r="122" spans="1:59" x14ac:dyDescent="0.35">
      <c r="A122" s="36">
        <v>46059.53125</v>
      </c>
      <c r="B122" s="35">
        <v>1.6</v>
      </c>
      <c r="C122" s="35">
        <v>2</v>
      </c>
      <c r="D122" s="35">
        <v>2.1</v>
      </c>
      <c r="E122" s="35">
        <v>2.2000000000000002</v>
      </c>
      <c r="F122" s="35">
        <v>1.5</v>
      </c>
      <c r="G122" s="35">
        <v>2</v>
      </c>
      <c r="H122" s="35">
        <v>1.5</v>
      </c>
      <c r="I122" s="35">
        <v>2</v>
      </c>
      <c r="J122" s="35">
        <v>2.2999999999999998</v>
      </c>
      <c r="K122" s="35">
        <v>2</v>
      </c>
      <c r="L122" s="35">
        <v>1.8</v>
      </c>
      <c r="M122" s="35">
        <v>2</v>
      </c>
      <c r="N122" s="35">
        <v>3.3</v>
      </c>
      <c r="O122" s="35">
        <v>3</v>
      </c>
      <c r="P122" s="35">
        <v>3.6</v>
      </c>
      <c r="Q122" s="35">
        <v>2</v>
      </c>
      <c r="R122" s="35">
        <v>3.3</v>
      </c>
      <c r="S122" s="35">
        <v>2</v>
      </c>
      <c r="T122" s="35">
        <v>3.1</v>
      </c>
      <c r="U122" s="35">
        <v>2</v>
      </c>
      <c r="V122" s="35">
        <v>9.1</v>
      </c>
      <c r="W122" s="35">
        <v>9</v>
      </c>
      <c r="X122" s="35">
        <v>9.9</v>
      </c>
      <c r="Y122" s="35">
        <v>9</v>
      </c>
      <c r="Z122" s="35">
        <v>9.9</v>
      </c>
      <c r="AA122" s="35">
        <v>9</v>
      </c>
      <c r="AB122" s="35">
        <v>10.4</v>
      </c>
      <c r="AC122" s="35">
        <v>9</v>
      </c>
      <c r="AD122" s="35">
        <v>20.6</v>
      </c>
      <c r="AE122" s="35">
        <v>19</v>
      </c>
      <c r="AF122" s="35">
        <v>20.399999999999999</v>
      </c>
      <c r="AG122" s="35">
        <v>19</v>
      </c>
      <c r="AH122" s="35">
        <v>19.100000000000001</v>
      </c>
      <c r="AI122" s="35">
        <v>19</v>
      </c>
      <c r="AJ122" s="35">
        <v>19.100000000000001</v>
      </c>
      <c r="AK122" s="35">
        <v>19</v>
      </c>
      <c r="AL122" s="35">
        <v>19.600000000000001</v>
      </c>
      <c r="AM122" s="35">
        <v>19</v>
      </c>
      <c r="AN122" s="35">
        <v>20.3</v>
      </c>
      <c r="AO122" s="35">
        <v>19</v>
      </c>
      <c r="AP122" s="35">
        <v>20.8</v>
      </c>
      <c r="AQ122" s="35">
        <v>19</v>
      </c>
      <c r="AR122" s="35">
        <v>20.7</v>
      </c>
      <c r="AS122" s="35">
        <v>19</v>
      </c>
      <c r="AT122" s="35">
        <v>20.9</v>
      </c>
      <c r="AU122" s="35">
        <v>19</v>
      </c>
      <c r="AV122" s="35">
        <v>18.5</v>
      </c>
      <c r="AW122" s="35">
        <v>19</v>
      </c>
      <c r="AX122" s="35">
        <v>20.6</v>
      </c>
      <c r="AY122" s="35">
        <v>20</v>
      </c>
      <c r="AZ122" s="35">
        <v>20.3</v>
      </c>
      <c r="BA122" s="35">
        <v>20</v>
      </c>
      <c r="BB122" s="35">
        <v>32</v>
      </c>
      <c r="BC122" s="35">
        <v>40</v>
      </c>
      <c r="BD122" s="35">
        <v>31</v>
      </c>
      <c r="BE122" s="35">
        <v>40</v>
      </c>
      <c r="BF122" s="35">
        <v>21.9</v>
      </c>
      <c r="BG122" s="35">
        <v>20</v>
      </c>
    </row>
    <row r="123" spans="1:59" x14ac:dyDescent="0.35">
      <c r="A123" s="36">
        <v>46059.531944444447</v>
      </c>
      <c r="B123" s="35">
        <v>1.6</v>
      </c>
      <c r="C123" s="35">
        <v>2</v>
      </c>
      <c r="D123" s="35">
        <v>2.2000000000000002</v>
      </c>
      <c r="E123" s="35">
        <v>2.2000000000000002</v>
      </c>
      <c r="F123" s="35">
        <v>1.7</v>
      </c>
      <c r="G123" s="35">
        <v>2</v>
      </c>
      <c r="H123" s="35">
        <v>1.9</v>
      </c>
      <c r="I123" s="35">
        <v>2</v>
      </c>
      <c r="J123" s="35">
        <v>2.4</v>
      </c>
      <c r="K123" s="35">
        <v>2</v>
      </c>
      <c r="L123" s="35">
        <v>2.1</v>
      </c>
      <c r="M123" s="35">
        <v>2</v>
      </c>
      <c r="N123" s="35">
        <v>3.5</v>
      </c>
      <c r="O123" s="35">
        <v>3</v>
      </c>
      <c r="P123" s="35">
        <v>3.7</v>
      </c>
      <c r="Q123" s="35">
        <v>2</v>
      </c>
      <c r="R123" s="35">
        <v>3.4</v>
      </c>
      <c r="S123" s="35">
        <v>2</v>
      </c>
      <c r="T123" s="35">
        <v>3.3</v>
      </c>
      <c r="U123" s="35">
        <v>2</v>
      </c>
      <c r="V123" s="35">
        <v>9.8000000000000007</v>
      </c>
      <c r="W123" s="35">
        <v>9</v>
      </c>
      <c r="X123" s="35">
        <v>9</v>
      </c>
      <c r="Y123" s="35">
        <v>9</v>
      </c>
      <c r="Z123" s="35">
        <v>9.5</v>
      </c>
      <c r="AA123" s="35">
        <v>9</v>
      </c>
      <c r="AB123" s="35">
        <v>10.8</v>
      </c>
      <c r="AC123" s="35">
        <v>9</v>
      </c>
      <c r="AD123" s="35">
        <v>20.6</v>
      </c>
      <c r="AE123" s="35">
        <v>19</v>
      </c>
      <c r="AF123" s="35">
        <v>20.399999999999999</v>
      </c>
      <c r="AG123" s="35">
        <v>19</v>
      </c>
      <c r="AH123" s="35">
        <v>19.3</v>
      </c>
      <c r="AI123" s="35">
        <v>19</v>
      </c>
      <c r="AJ123" s="35">
        <v>19.3</v>
      </c>
      <c r="AK123" s="35">
        <v>19</v>
      </c>
      <c r="AL123" s="35">
        <v>19.5</v>
      </c>
      <c r="AM123" s="35">
        <v>19</v>
      </c>
      <c r="AN123" s="35">
        <v>20.399999999999999</v>
      </c>
      <c r="AO123" s="35">
        <v>19</v>
      </c>
      <c r="AP123" s="35">
        <v>20.8</v>
      </c>
      <c r="AQ123" s="35">
        <v>19</v>
      </c>
      <c r="AR123" s="35">
        <v>20.7</v>
      </c>
      <c r="AS123" s="35">
        <v>19</v>
      </c>
      <c r="AT123" s="35">
        <v>21</v>
      </c>
      <c r="AU123" s="35">
        <v>19</v>
      </c>
      <c r="AV123" s="35">
        <v>18.7</v>
      </c>
      <c r="AW123" s="35">
        <v>19</v>
      </c>
      <c r="AX123" s="35">
        <v>20.5</v>
      </c>
      <c r="AY123" s="35">
        <v>20</v>
      </c>
      <c r="AZ123" s="35">
        <v>20.3</v>
      </c>
      <c r="BA123" s="35">
        <v>20</v>
      </c>
      <c r="BB123" s="35">
        <v>32</v>
      </c>
      <c r="BC123" s="35">
        <v>40</v>
      </c>
      <c r="BD123" s="35">
        <v>31</v>
      </c>
      <c r="BE123" s="35">
        <v>40</v>
      </c>
      <c r="BF123" s="35">
        <v>21.9</v>
      </c>
      <c r="BG123" s="35">
        <v>20</v>
      </c>
    </row>
    <row r="124" spans="1:59" x14ac:dyDescent="0.35">
      <c r="A124" s="36">
        <v>46059.532638888886</v>
      </c>
      <c r="B124" s="35">
        <v>2.1</v>
      </c>
      <c r="C124" s="35">
        <v>2</v>
      </c>
      <c r="D124" s="35">
        <v>2.7</v>
      </c>
      <c r="E124" s="35">
        <v>2.2000000000000002</v>
      </c>
      <c r="F124" s="35">
        <v>2.1</v>
      </c>
      <c r="G124" s="35">
        <v>2</v>
      </c>
      <c r="H124" s="35">
        <v>2.4</v>
      </c>
      <c r="I124" s="35">
        <v>2</v>
      </c>
      <c r="J124" s="35">
        <v>2.6</v>
      </c>
      <c r="K124" s="35">
        <v>2</v>
      </c>
      <c r="L124" s="35">
        <v>2.4</v>
      </c>
      <c r="M124" s="35">
        <v>2</v>
      </c>
      <c r="N124" s="35">
        <v>3.7</v>
      </c>
      <c r="O124" s="35">
        <v>3</v>
      </c>
      <c r="P124" s="35">
        <v>3.9</v>
      </c>
      <c r="Q124" s="35">
        <v>2</v>
      </c>
      <c r="R124" s="35">
        <v>3.6</v>
      </c>
      <c r="S124" s="35">
        <v>2</v>
      </c>
      <c r="T124" s="35">
        <v>3.4</v>
      </c>
      <c r="U124" s="35">
        <v>2</v>
      </c>
      <c r="V124" s="35">
        <v>10.5</v>
      </c>
      <c r="W124" s="35">
        <v>9</v>
      </c>
      <c r="X124" s="35">
        <v>8.1999999999999993</v>
      </c>
      <c r="Y124" s="35">
        <v>9</v>
      </c>
      <c r="Z124" s="35">
        <v>9</v>
      </c>
      <c r="AA124" s="35">
        <v>9</v>
      </c>
      <c r="AB124" s="35">
        <v>11</v>
      </c>
      <c r="AC124" s="35">
        <v>9</v>
      </c>
      <c r="AD124" s="35">
        <v>20.6</v>
      </c>
      <c r="AE124" s="35">
        <v>19</v>
      </c>
      <c r="AF124" s="35">
        <v>20.399999999999999</v>
      </c>
      <c r="AG124" s="35">
        <v>19</v>
      </c>
      <c r="AH124" s="35">
        <v>19.399999999999999</v>
      </c>
      <c r="AI124" s="35">
        <v>19</v>
      </c>
      <c r="AJ124" s="35">
        <v>19.399999999999999</v>
      </c>
      <c r="AK124" s="35">
        <v>19</v>
      </c>
      <c r="AL124" s="35">
        <v>19.399999999999999</v>
      </c>
      <c r="AM124" s="35">
        <v>19</v>
      </c>
      <c r="AN124" s="35">
        <v>20.399999999999999</v>
      </c>
      <c r="AO124" s="35">
        <v>19</v>
      </c>
      <c r="AP124" s="35">
        <v>20.9</v>
      </c>
      <c r="AQ124" s="35">
        <v>19</v>
      </c>
      <c r="AR124" s="35">
        <v>20.7</v>
      </c>
      <c r="AS124" s="35">
        <v>19</v>
      </c>
      <c r="AT124" s="35">
        <v>20.100000000000001</v>
      </c>
      <c r="AU124" s="35">
        <v>19</v>
      </c>
      <c r="AV124" s="35">
        <v>18.8</v>
      </c>
      <c r="AW124" s="35">
        <v>19</v>
      </c>
      <c r="AX124" s="35">
        <v>20.5</v>
      </c>
      <c r="AY124" s="35">
        <v>20</v>
      </c>
      <c r="AZ124" s="35">
        <v>20.3</v>
      </c>
      <c r="BA124" s="35">
        <v>20</v>
      </c>
      <c r="BB124" s="35">
        <v>32</v>
      </c>
      <c r="BC124" s="35">
        <v>40</v>
      </c>
      <c r="BD124" s="35">
        <v>31</v>
      </c>
      <c r="BE124" s="35">
        <v>40</v>
      </c>
      <c r="BF124" s="35">
        <v>21.9</v>
      </c>
      <c r="BG124" s="35">
        <v>20</v>
      </c>
    </row>
    <row r="125" spans="1:59" x14ac:dyDescent="0.35">
      <c r="A125" s="36">
        <v>46059.533333333333</v>
      </c>
      <c r="B125" s="35">
        <v>2.5</v>
      </c>
      <c r="C125" s="35">
        <v>2</v>
      </c>
      <c r="D125" s="35">
        <v>3.2</v>
      </c>
      <c r="E125" s="35">
        <v>2.2000000000000002</v>
      </c>
      <c r="F125" s="35">
        <v>2.5</v>
      </c>
      <c r="G125" s="35">
        <v>2</v>
      </c>
      <c r="H125" s="35">
        <v>2.8</v>
      </c>
      <c r="I125" s="35">
        <v>2</v>
      </c>
      <c r="J125" s="35">
        <v>2.9</v>
      </c>
      <c r="K125" s="35">
        <v>2</v>
      </c>
      <c r="L125" s="35">
        <v>2.8</v>
      </c>
      <c r="M125" s="35">
        <v>2</v>
      </c>
      <c r="N125" s="35">
        <v>3.9</v>
      </c>
      <c r="O125" s="35">
        <v>3</v>
      </c>
      <c r="P125" s="35">
        <v>4</v>
      </c>
      <c r="Q125" s="35">
        <v>2</v>
      </c>
      <c r="R125" s="35">
        <v>3.7</v>
      </c>
      <c r="S125" s="35">
        <v>2</v>
      </c>
      <c r="T125" s="35">
        <v>3.5</v>
      </c>
      <c r="U125" s="35">
        <v>2</v>
      </c>
      <c r="V125" s="35">
        <v>10.9</v>
      </c>
      <c r="W125" s="35">
        <v>9</v>
      </c>
      <c r="X125" s="35">
        <v>8.1999999999999993</v>
      </c>
      <c r="Y125" s="35">
        <v>9</v>
      </c>
      <c r="Z125" s="35">
        <v>8.9</v>
      </c>
      <c r="AA125" s="35">
        <v>9</v>
      </c>
      <c r="AB125" s="35">
        <v>10</v>
      </c>
      <c r="AC125" s="35">
        <v>9</v>
      </c>
      <c r="AD125" s="35">
        <v>20.6</v>
      </c>
      <c r="AE125" s="35">
        <v>19</v>
      </c>
      <c r="AF125" s="35">
        <v>20.5</v>
      </c>
      <c r="AG125" s="35">
        <v>19</v>
      </c>
      <c r="AH125" s="35">
        <v>19.5</v>
      </c>
      <c r="AI125" s="35">
        <v>19</v>
      </c>
      <c r="AJ125" s="35">
        <v>19.600000000000001</v>
      </c>
      <c r="AK125" s="35">
        <v>19</v>
      </c>
      <c r="AL125" s="35">
        <v>19.399999999999999</v>
      </c>
      <c r="AM125" s="35">
        <v>19</v>
      </c>
      <c r="AN125" s="35">
        <v>20.5</v>
      </c>
      <c r="AO125" s="35">
        <v>19</v>
      </c>
      <c r="AP125" s="35">
        <v>20.9</v>
      </c>
      <c r="AQ125" s="35">
        <v>19</v>
      </c>
      <c r="AR125" s="35">
        <v>20.7</v>
      </c>
      <c r="AS125" s="35">
        <v>19</v>
      </c>
      <c r="AT125" s="35">
        <v>19.7</v>
      </c>
      <c r="AU125" s="35">
        <v>19</v>
      </c>
      <c r="AV125" s="35">
        <v>19</v>
      </c>
      <c r="AW125" s="35">
        <v>19</v>
      </c>
      <c r="AX125" s="35">
        <v>20.5</v>
      </c>
      <c r="AY125" s="35">
        <v>20</v>
      </c>
      <c r="AZ125" s="35">
        <v>20.3</v>
      </c>
      <c r="BA125" s="35">
        <v>20</v>
      </c>
      <c r="BB125" s="35">
        <v>32</v>
      </c>
      <c r="BC125" s="35">
        <v>40</v>
      </c>
      <c r="BD125" s="35">
        <v>31</v>
      </c>
      <c r="BE125" s="35">
        <v>40</v>
      </c>
      <c r="BF125" s="35">
        <v>22</v>
      </c>
      <c r="BG125" s="35">
        <v>20</v>
      </c>
    </row>
    <row r="126" spans="1:59" x14ac:dyDescent="0.35">
      <c r="A126" s="36">
        <v>46059.53402777778</v>
      </c>
      <c r="B126" s="35">
        <v>2.9</v>
      </c>
      <c r="C126" s="35">
        <v>2</v>
      </c>
      <c r="D126" s="35">
        <v>3.7</v>
      </c>
      <c r="E126" s="35">
        <v>2.2000000000000002</v>
      </c>
      <c r="F126" s="35">
        <v>2.9</v>
      </c>
      <c r="G126" s="35">
        <v>2</v>
      </c>
      <c r="H126" s="35">
        <v>3.1</v>
      </c>
      <c r="I126" s="35">
        <v>2</v>
      </c>
      <c r="J126" s="35">
        <v>3.2</v>
      </c>
      <c r="K126" s="35">
        <v>2</v>
      </c>
      <c r="L126" s="35">
        <v>3.1</v>
      </c>
      <c r="M126" s="35">
        <v>2</v>
      </c>
      <c r="N126" s="35">
        <v>3.1</v>
      </c>
      <c r="O126" s="35">
        <v>3</v>
      </c>
      <c r="P126" s="35">
        <v>3.6</v>
      </c>
      <c r="Q126" s="35">
        <v>2</v>
      </c>
      <c r="R126" s="35">
        <v>3.8</v>
      </c>
      <c r="S126" s="35">
        <v>2</v>
      </c>
      <c r="T126" s="35">
        <v>3.6</v>
      </c>
      <c r="U126" s="35">
        <v>2</v>
      </c>
      <c r="V126" s="35">
        <v>10.3</v>
      </c>
      <c r="W126" s="35">
        <v>9</v>
      </c>
      <c r="X126" s="35">
        <v>8.3000000000000007</v>
      </c>
      <c r="Y126" s="35">
        <v>9</v>
      </c>
      <c r="Z126" s="35">
        <v>9</v>
      </c>
      <c r="AA126" s="35">
        <v>9</v>
      </c>
      <c r="AB126" s="35">
        <v>9.3000000000000007</v>
      </c>
      <c r="AC126" s="35">
        <v>9</v>
      </c>
      <c r="AD126" s="35">
        <v>20.7</v>
      </c>
      <c r="AE126" s="35">
        <v>19</v>
      </c>
      <c r="AF126" s="35">
        <v>20.5</v>
      </c>
      <c r="AG126" s="35">
        <v>19</v>
      </c>
      <c r="AH126" s="35">
        <v>19.600000000000001</v>
      </c>
      <c r="AI126" s="35">
        <v>19</v>
      </c>
      <c r="AJ126" s="35">
        <v>19.7</v>
      </c>
      <c r="AK126" s="35">
        <v>19</v>
      </c>
      <c r="AL126" s="35">
        <v>19.399999999999999</v>
      </c>
      <c r="AM126" s="35">
        <v>19</v>
      </c>
      <c r="AN126" s="35">
        <v>20.6</v>
      </c>
      <c r="AO126" s="35">
        <v>19</v>
      </c>
      <c r="AP126" s="35">
        <v>20.9</v>
      </c>
      <c r="AQ126" s="35">
        <v>19</v>
      </c>
      <c r="AR126" s="35">
        <v>20.7</v>
      </c>
      <c r="AS126" s="35">
        <v>19</v>
      </c>
      <c r="AT126" s="35">
        <v>19</v>
      </c>
      <c r="AU126" s="35">
        <v>19</v>
      </c>
      <c r="AV126" s="35">
        <v>19.2</v>
      </c>
      <c r="AW126" s="35">
        <v>19</v>
      </c>
      <c r="AX126" s="35">
        <v>20.5</v>
      </c>
      <c r="AY126" s="35">
        <v>20</v>
      </c>
      <c r="AZ126" s="35">
        <v>20.2</v>
      </c>
      <c r="BA126" s="35">
        <v>20</v>
      </c>
      <c r="BB126" s="35">
        <v>32</v>
      </c>
      <c r="BC126" s="35">
        <v>40</v>
      </c>
      <c r="BD126" s="35">
        <v>31</v>
      </c>
      <c r="BE126" s="35">
        <v>40</v>
      </c>
      <c r="BF126" s="35">
        <v>17.399999999999999</v>
      </c>
      <c r="BG126" s="35">
        <v>20</v>
      </c>
    </row>
    <row r="127" spans="1:59" x14ac:dyDescent="0.35">
      <c r="A127" s="36">
        <v>46059.534722222219</v>
      </c>
      <c r="B127" s="35">
        <v>3.3</v>
      </c>
      <c r="C127" s="35">
        <v>2</v>
      </c>
      <c r="D127" s="35">
        <v>4.0999999999999996</v>
      </c>
      <c r="E127" s="35">
        <v>2.2000000000000002</v>
      </c>
      <c r="F127" s="35">
        <v>3.2</v>
      </c>
      <c r="G127" s="35">
        <v>2</v>
      </c>
      <c r="H127" s="35">
        <v>3.4</v>
      </c>
      <c r="I127" s="35">
        <v>2</v>
      </c>
      <c r="J127" s="35">
        <v>3.4</v>
      </c>
      <c r="K127" s="35">
        <v>2</v>
      </c>
      <c r="L127" s="35">
        <v>3.4</v>
      </c>
      <c r="M127" s="35">
        <v>2</v>
      </c>
      <c r="N127" s="35">
        <v>1.9</v>
      </c>
      <c r="O127" s="35">
        <v>3</v>
      </c>
      <c r="P127" s="35">
        <v>2.7</v>
      </c>
      <c r="Q127" s="35">
        <v>2</v>
      </c>
      <c r="R127" s="35">
        <v>3.9</v>
      </c>
      <c r="S127" s="35">
        <v>2</v>
      </c>
      <c r="T127" s="35">
        <v>3.7</v>
      </c>
      <c r="U127" s="35">
        <v>2</v>
      </c>
      <c r="V127" s="35">
        <v>8.1</v>
      </c>
      <c r="W127" s="35">
        <v>9</v>
      </c>
      <c r="X127" s="35">
        <v>8.5</v>
      </c>
      <c r="Y127" s="35">
        <v>9</v>
      </c>
      <c r="Z127" s="35">
        <v>9.4</v>
      </c>
      <c r="AA127" s="35">
        <v>9</v>
      </c>
      <c r="AB127" s="35">
        <v>8.9</v>
      </c>
      <c r="AC127" s="35">
        <v>9</v>
      </c>
      <c r="AD127" s="35">
        <v>20.7</v>
      </c>
      <c r="AE127" s="35">
        <v>19</v>
      </c>
      <c r="AF127" s="35">
        <v>20.5</v>
      </c>
      <c r="AG127" s="35">
        <v>19</v>
      </c>
      <c r="AH127" s="35">
        <v>19.600000000000001</v>
      </c>
      <c r="AI127" s="35">
        <v>19</v>
      </c>
      <c r="AJ127" s="35">
        <v>19.8</v>
      </c>
      <c r="AK127" s="35">
        <v>19</v>
      </c>
      <c r="AL127" s="35">
        <v>19.399999999999999</v>
      </c>
      <c r="AM127" s="35">
        <v>19</v>
      </c>
      <c r="AN127" s="35">
        <v>20.6</v>
      </c>
      <c r="AO127" s="35">
        <v>19</v>
      </c>
      <c r="AP127" s="35">
        <v>20.9</v>
      </c>
      <c r="AQ127" s="35">
        <v>19</v>
      </c>
      <c r="AR127" s="35">
        <v>20.7</v>
      </c>
      <c r="AS127" s="35">
        <v>19</v>
      </c>
      <c r="AT127" s="35">
        <v>18.8</v>
      </c>
      <c r="AU127" s="35">
        <v>19</v>
      </c>
      <c r="AV127" s="35">
        <v>19.3</v>
      </c>
      <c r="AW127" s="35">
        <v>19</v>
      </c>
      <c r="AX127" s="35">
        <v>20.5</v>
      </c>
      <c r="AY127" s="35">
        <v>20</v>
      </c>
      <c r="AZ127" s="35">
        <v>20.2</v>
      </c>
      <c r="BA127" s="35">
        <v>20</v>
      </c>
      <c r="BB127" s="35">
        <v>32</v>
      </c>
      <c r="BC127" s="35">
        <v>40</v>
      </c>
      <c r="BD127" s="35">
        <v>31</v>
      </c>
      <c r="BE127" s="35">
        <v>40</v>
      </c>
      <c r="BF127" s="35">
        <v>17.899999999999999</v>
      </c>
      <c r="BG127" s="35">
        <v>20</v>
      </c>
    </row>
    <row r="128" spans="1:59" x14ac:dyDescent="0.35">
      <c r="A128" s="36">
        <v>46059.536111111112</v>
      </c>
      <c r="B128" s="35">
        <v>3.5</v>
      </c>
      <c r="C128" s="35">
        <v>2</v>
      </c>
      <c r="D128" s="35">
        <v>4</v>
      </c>
      <c r="E128" s="35">
        <v>2.2000000000000002</v>
      </c>
      <c r="F128" s="35">
        <v>3.8</v>
      </c>
      <c r="G128" s="35">
        <v>2</v>
      </c>
      <c r="H128" s="35">
        <v>3.9</v>
      </c>
      <c r="I128" s="35">
        <v>2</v>
      </c>
      <c r="J128" s="35">
        <v>3.8</v>
      </c>
      <c r="K128" s="35">
        <v>2</v>
      </c>
      <c r="L128" s="35">
        <v>3.9</v>
      </c>
      <c r="M128" s="35">
        <v>2</v>
      </c>
      <c r="N128" s="35">
        <v>0.8</v>
      </c>
      <c r="O128" s="35">
        <v>3</v>
      </c>
      <c r="P128" s="35">
        <v>1.7</v>
      </c>
      <c r="Q128" s="35">
        <v>2</v>
      </c>
      <c r="R128" s="35">
        <v>2.4</v>
      </c>
      <c r="S128" s="35">
        <v>2</v>
      </c>
      <c r="T128" s="35">
        <v>1.7</v>
      </c>
      <c r="U128" s="35">
        <v>2</v>
      </c>
      <c r="V128" s="35">
        <v>8.1</v>
      </c>
      <c r="W128" s="35">
        <v>9</v>
      </c>
      <c r="X128" s="35">
        <v>9</v>
      </c>
      <c r="Y128" s="35">
        <v>9</v>
      </c>
      <c r="Z128" s="35">
        <v>10.1</v>
      </c>
      <c r="AA128" s="35">
        <v>9</v>
      </c>
      <c r="AB128" s="35">
        <v>9.6</v>
      </c>
      <c r="AC128" s="35">
        <v>9</v>
      </c>
      <c r="AD128" s="35">
        <v>20.7</v>
      </c>
      <c r="AE128" s="35">
        <v>19</v>
      </c>
      <c r="AF128" s="35">
        <v>20.6</v>
      </c>
      <c r="AG128" s="35">
        <v>19</v>
      </c>
      <c r="AH128" s="35">
        <v>19.8</v>
      </c>
      <c r="AI128" s="35">
        <v>19</v>
      </c>
      <c r="AJ128" s="35">
        <v>20</v>
      </c>
      <c r="AK128" s="35">
        <v>19</v>
      </c>
      <c r="AL128" s="35">
        <v>19.399999999999999</v>
      </c>
      <c r="AM128" s="35">
        <v>19</v>
      </c>
      <c r="AN128" s="35">
        <v>20.7</v>
      </c>
      <c r="AO128" s="35">
        <v>19</v>
      </c>
      <c r="AP128" s="35">
        <v>20.9</v>
      </c>
      <c r="AQ128" s="35">
        <v>19</v>
      </c>
      <c r="AR128" s="35">
        <v>20.7</v>
      </c>
      <c r="AS128" s="35">
        <v>19</v>
      </c>
      <c r="AT128" s="35">
        <v>18.8</v>
      </c>
      <c r="AU128" s="35">
        <v>19</v>
      </c>
      <c r="AV128" s="35">
        <v>19.5</v>
      </c>
      <c r="AW128" s="35">
        <v>19</v>
      </c>
      <c r="AX128" s="35">
        <v>20.5</v>
      </c>
      <c r="AY128" s="35">
        <v>20</v>
      </c>
      <c r="AZ128" s="35">
        <v>20.100000000000001</v>
      </c>
      <c r="BA128" s="35">
        <v>20</v>
      </c>
      <c r="BB128" s="35">
        <v>32</v>
      </c>
      <c r="BC128" s="35">
        <v>40</v>
      </c>
      <c r="BD128" s="35">
        <v>31</v>
      </c>
      <c r="BE128" s="35">
        <v>40</v>
      </c>
      <c r="BF128" s="35">
        <v>19.100000000000001</v>
      </c>
      <c r="BG128" s="35">
        <v>20</v>
      </c>
    </row>
    <row r="129" spans="1:59" x14ac:dyDescent="0.35">
      <c r="A129" s="36">
        <v>46059.536805555559</v>
      </c>
      <c r="B129" s="35">
        <v>3.7</v>
      </c>
      <c r="C129" s="35">
        <v>2</v>
      </c>
      <c r="D129" s="35">
        <v>4.0999999999999996</v>
      </c>
      <c r="E129" s="35">
        <v>2.2000000000000002</v>
      </c>
      <c r="F129" s="35">
        <v>3.5</v>
      </c>
      <c r="G129" s="35">
        <v>2</v>
      </c>
      <c r="H129" s="35">
        <v>3.5</v>
      </c>
      <c r="I129" s="35">
        <v>2</v>
      </c>
      <c r="J129" s="35">
        <v>3.9</v>
      </c>
      <c r="K129" s="35">
        <v>2</v>
      </c>
      <c r="L129" s="35">
        <v>3.9</v>
      </c>
      <c r="M129" s="35">
        <v>2</v>
      </c>
      <c r="N129" s="35">
        <v>1</v>
      </c>
      <c r="O129" s="35">
        <v>3</v>
      </c>
      <c r="P129" s="35">
        <v>2</v>
      </c>
      <c r="Q129" s="35">
        <v>2</v>
      </c>
      <c r="R129" s="35">
        <v>1.8</v>
      </c>
      <c r="S129" s="35">
        <v>2</v>
      </c>
      <c r="T129" s="35">
        <v>1.2</v>
      </c>
      <c r="U129" s="35">
        <v>2</v>
      </c>
      <c r="V129" s="35">
        <v>8.9</v>
      </c>
      <c r="W129" s="35">
        <v>9</v>
      </c>
      <c r="X129" s="35">
        <v>9.1999999999999993</v>
      </c>
      <c r="Y129" s="35">
        <v>9</v>
      </c>
      <c r="Z129" s="35">
        <v>10.4</v>
      </c>
      <c r="AA129" s="35">
        <v>9</v>
      </c>
      <c r="AB129" s="35">
        <v>10.1</v>
      </c>
      <c r="AC129" s="35">
        <v>9</v>
      </c>
      <c r="AD129" s="35">
        <v>20.7</v>
      </c>
      <c r="AE129" s="35">
        <v>19</v>
      </c>
      <c r="AF129" s="35">
        <v>20.6</v>
      </c>
      <c r="AG129" s="35">
        <v>19</v>
      </c>
      <c r="AH129" s="35">
        <v>19.8</v>
      </c>
      <c r="AI129" s="35">
        <v>19</v>
      </c>
      <c r="AJ129" s="35">
        <v>20.100000000000001</v>
      </c>
      <c r="AK129" s="35">
        <v>19</v>
      </c>
      <c r="AL129" s="35">
        <v>19.399999999999999</v>
      </c>
      <c r="AM129" s="35">
        <v>19</v>
      </c>
      <c r="AN129" s="35">
        <v>20.8</v>
      </c>
      <c r="AO129" s="35">
        <v>19</v>
      </c>
      <c r="AP129" s="35">
        <v>20.9</v>
      </c>
      <c r="AQ129" s="35">
        <v>19</v>
      </c>
      <c r="AR129" s="35">
        <v>20.7</v>
      </c>
      <c r="AS129" s="35">
        <v>19</v>
      </c>
      <c r="AT129" s="35">
        <v>19.100000000000001</v>
      </c>
      <c r="AU129" s="35">
        <v>19</v>
      </c>
      <c r="AV129" s="35">
        <v>19.7</v>
      </c>
      <c r="AW129" s="35">
        <v>19</v>
      </c>
      <c r="AX129" s="35">
        <v>20.5</v>
      </c>
      <c r="AY129" s="35">
        <v>20</v>
      </c>
      <c r="AZ129" s="35">
        <v>20.100000000000001</v>
      </c>
      <c r="BA129" s="35">
        <v>20</v>
      </c>
      <c r="BB129" s="35">
        <v>32</v>
      </c>
      <c r="BC129" s="35">
        <v>40</v>
      </c>
      <c r="BD129" s="35">
        <v>31.1</v>
      </c>
      <c r="BE129" s="35">
        <v>40</v>
      </c>
      <c r="BF129" s="35">
        <v>19.5</v>
      </c>
      <c r="BG129" s="35">
        <v>20</v>
      </c>
    </row>
    <row r="130" spans="1:59" x14ac:dyDescent="0.35">
      <c r="A130" s="36">
        <v>46059.537499999999</v>
      </c>
      <c r="B130" s="35">
        <v>4</v>
      </c>
      <c r="C130" s="35">
        <v>2</v>
      </c>
      <c r="D130" s="35">
        <v>4.4000000000000004</v>
      </c>
      <c r="E130" s="35">
        <v>2.2000000000000002</v>
      </c>
      <c r="F130" s="35">
        <v>3.3</v>
      </c>
      <c r="G130" s="35">
        <v>2</v>
      </c>
      <c r="H130" s="35">
        <v>2.8</v>
      </c>
      <c r="I130" s="35">
        <v>2</v>
      </c>
      <c r="J130" s="35">
        <v>3.5</v>
      </c>
      <c r="K130" s="35">
        <v>2</v>
      </c>
      <c r="L130" s="35">
        <v>2.7</v>
      </c>
      <c r="M130" s="35">
        <v>2</v>
      </c>
      <c r="N130" s="35">
        <v>1.4</v>
      </c>
      <c r="O130" s="35">
        <v>3</v>
      </c>
      <c r="P130" s="35">
        <v>2.2000000000000002</v>
      </c>
      <c r="Q130" s="35">
        <v>2</v>
      </c>
      <c r="R130" s="35">
        <v>1.8</v>
      </c>
      <c r="S130" s="35">
        <v>2</v>
      </c>
      <c r="T130" s="35">
        <v>1.3</v>
      </c>
      <c r="U130" s="35">
        <v>2</v>
      </c>
      <c r="V130" s="35">
        <v>9.5</v>
      </c>
      <c r="W130" s="35">
        <v>9</v>
      </c>
      <c r="X130" s="35">
        <v>9.4</v>
      </c>
      <c r="Y130" s="35">
        <v>9</v>
      </c>
      <c r="Z130" s="35">
        <v>10.6</v>
      </c>
      <c r="AA130" s="35">
        <v>9</v>
      </c>
      <c r="AB130" s="35">
        <v>10.6</v>
      </c>
      <c r="AC130" s="35">
        <v>9</v>
      </c>
      <c r="AD130" s="35">
        <v>20.8</v>
      </c>
      <c r="AE130" s="35">
        <v>19</v>
      </c>
      <c r="AF130" s="35">
        <v>20.7</v>
      </c>
      <c r="AG130" s="35">
        <v>19</v>
      </c>
      <c r="AH130" s="35">
        <v>19.899999999999999</v>
      </c>
      <c r="AI130" s="35">
        <v>19</v>
      </c>
      <c r="AJ130" s="35">
        <v>20.100000000000001</v>
      </c>
      <c r="AK130" s="35">
        <v>19</v>
      </c>
      <c r="AL130" s="35">
        <v>19.3</v>
      </c>
      <c r="AM130" s="35">
        <v>19</v>
      </c>
      <c r="AN130" s="35">
        <v>20.8</v>
      </c>
      <c r="AO130" s="35">
        <v>19</v>
      </c>
      <c r="AP130" s="35">
        <v>20.9</v>
      </c>
      <c r="AQ130" s="35">
        <v>19</v>
      </c>
      <c r="AR130" s="35">
        <v>20.7</v>
      </c>
      <c r="AS130" s="35">
        <v>19</v>
      </c>
      <c r="AT130" s="35">
        <v>19.2</v>
      </c>
      <c r="AU130" s="35">
        <v>19</v>
      </c>
      <c r="AV130" s="35">
        <v>19.8</v>
      </c>
      <c r="AW130" s="35">
        <v>19</v>
      </c>
      <c r="AX130" s="35">
        <v>20.5</v>
      </c>
      <c r="AY130" s="35">
        <v>20</v>
      </c>
      <c r="AZ130" s="35">
        <v>20.100000000000001</v>
      </c>
      <c r="BA130" s="35">
        <v>20</v>
      </c>
      <c r="BB130" s="35">
        <v>32</v>
      </c>
      <c r="BC130" s="35">
        <v>40</v>
      </c>
      <c r="BD130" s="35">
        <v>31.1</v>
      </c>
      <c r="BE130" s="35">
        <v>40</v>
      </c>
      <c r="BF130" s="35">
        <v>19.899999999999999</v>
      </c>
      <c r="BG130" s="35">
        <v>20</v>
      </c>
    </row>
    <row r="131" spans="1:59" x14ac:dyDescent="0.35">
      <c r="A131" s="36">
        <v>46059.538194444445</v>
      </c>
      <c r="B131" s="35">
        <v>3.4</v>
      </c>
      <c r="C131" s="35">
        <v>2</v>
      </c>
      <c r="D131" s="35">
        <v>3.9</v>
      </c>
      <c r="E131" s="35">
        <v>2.2000000000000002</v>
      </c>
      <c r="F131" s="35">
        <v>3.2</v>
      </c>
      <c r="G131" s="35">
        <v>2</v>
      </c>
      <c r="H131" s="35">
        <v>2.5</v>
      </c>
      <c r="I131" s="35">
        <v>2</v>
      </c>
      <c r="J131" s="35">
        <v>2.6</v>
      </c>
      <c r="K131" s="35">
        <v>2</v>
      </c>
      <c r="L131" s="35">
        <v>1.8</v>
      </c>
      <c r="M131" s="35">
        <v>2</v>
      </c>
      <c r="N131" s="35">
        <v>1.8</v>
      </c>
      <c r="O131" s="35">
        <v>3</v>
      </c>
      <c r="P131" s="35">
        <v>2.4</v>
      </c>
      <c r="Q131" s="35">
        <v>2</v>
      </c>
      <c r="R131" s="35">
        <v>1.9</v>
      </c>
      <c r="S131" s="35">
        <v>2</v>
      </c>
      <c r="T131" s="35">
        <v>1.6</v>
      </c>
      <c r="U131" s="35">
        <v>2</v>
      </c>
      <c r="V131" s="35">
        <v>10</v>
      </c>
      <c r="W131" s="35">
        <v>9</v>
      </c>
      <c r="X131" s="35">
        <v>9.5</v>
      </c>
      <c r="Y131" s="35">
        <v>9</v>
      </c>
      <c r="Z131" s="35">
        <v>10.8</v>
      </c>
      <c r="AA131" s="35">
        <v>9</v>
      </c>
      <c r="AB131" s="35">
        <v>11</v>
      </c>
      <c r="AC131" s="35">
        <v>9</v>
      </c>
      <c r="AD131" s="35">
        <v>20.8</v>
      </c>
      <c r="AE131" s="35">
        <v>19</v>
      </c>
      <c r="AF131" s="35">
        <v>20.7</v>
      </c>
      <c r="AG131" s="35">
        <v>19</v>
      </c>
      <c r="AH131" s="35">
        <v>20</v>
      </c>
      <c r="AI131" s="35">
        <v>19</v>
      </c>
      <c r="AJ131" s="35">
        <v>20.2</v>
      </c>
      <c r="AK131" s="35">
        <v>19</v>
      </c>
      <c r="AL131" s="35">
        <v>19.100000000000001</v>
      </c>
      <c r="AM131" s="35">
        <v>19</v>
      </c>
      <c r="AN131" s="35">
        <v>20.9</v>
      </c>
      <c r="AO131" s="35">
        <v>19</v>
      </c>
      <c r="AP131" s="35">
        <v>20.9</v>
      </c>
      <c r="AQ131" s="35">
        <v>19</v>
      </c>
      <c r="AR131" s="35">
        <v>20.7</v>
      </c>
      <c r="AS131" s="35">
        <v>19</v>
      </c>
      <c r="AT131" s="35">
        <v>19.399999999999999</v>
      </c>
      <c r="AU131" s="35">
        <v>19</v>
      </c>
      <c r="AV131" s="35">
        <v>19.899999999999999</v>
      </c>
      <c r="AW131" s="35">
        <v>19</v>
      </c>
      <c r="AX131" s="35">
        <v>20.5</v>
      </c>
      <c r="AY131" s="35">
        <v>20</v>
      </c>
      <c r="AZ131" s="35">
        <v>20.100000000000001</v>
      </c>
      <c r="BA131" s="35">
        <v>20</v>
      </c>
      <c r="BB131" s="35">
        <v>32</v>
      </c>
      <c r="BC131" s="35">
        <v>40</v>
      </c>
      <c r="BD131" s="35">
        <v>31.1</v>
      </c>
      <c r="BE131" s="35">
        <v>40</v>
      </c>
      <c r="BF131" s="35">
        <v>20.399999999999999</v>
      </c>
      <c r="BG131" s="35">
        <v>20</v>
      </c>
    </row>
    <row r="132" spans="1:59" x14ac:dyDescent="0.35">
      <c r="A132" s="36">
        <v>46059.538888888892</v>
      </c>
      <c r="B132" s="35">
        <v>2.7</v>
      </c>
      <c r="C132" s="35">
        <v>2</v>
      </c>
      <c r="D132" s="35">
        <v>3.1</v>
      </c>
      <c r="E132" s="35">
        <v>2.2000000000000002</v>
      </c>
      <c r="F132" s="35">
        <v>3.3</v>
      </c>
      <c r="G132" s="35">
        <v>2</v>
      </c>
      <c r="H132" s="35">
        <v>2.8</v>
      </c>
      <c r="I132" s="35">
        <v>2</v>
      </c>
      <c r="J132" s="35">
        <v>2.6</v>
      </c>
      <c r="K132" s="35">
        <v>2</v>
      </c>
      <c r="L132" s="35">
        <v>1.8</v>
      </c>
      <c r="M132" s="35">
        <v>2</v>
      </c>
      <c r="N132" s="35">
        <v>2.1</v>
      </c>
      <c r="O132" s="35">
        <v>3</v>
      </c>
      <c r="P132" s="35">
        <v>2.7</v>
      </c>
      <c r="Q132" s="35">
        <v>2</v>
      </c>
      <c r="R132" s="35">
        <v>2.2000000000000002</v>
      </c>
      <c r="S132" s="35">
        <v>2</v>
      </c>
      <c r="T132" s="35">
        <v>1.9</v>
      </c>
      <c r="U132" s="35">
        <v>2</v>
      </c>
      <c r="V132" s="35">
        <v>10.7</v>
      </c>
      <c r="W132" s="35">
        <v>9</v>
      </c>
      <c r="X132" s="35">
        <v>9.6999999999999993</v>
      </c>
      <c r="Y132" s="35">
        <v>9</v>
      </c>
      <c r="Z132" s="35">
        <v>10.9</v>
      </c>
      <c r="AA132" s="35">
        <v>9</v>
      </c>
      <c r="AB132" s="35">
        <v>11</v>
      </c>
      <c r="AC132" s="35">
        <v>9</v>
      </c>
      <c r="AD132" s="35">
        <v>20.8</v>
      </c>
      <c r="AE132" s="35">
        <v>19</v>
      </c>
      <c r="AF132" s="35">
        <v>20.7</v>
      </c>
      <c r="AG132" s="35">
        <v>19</v>
      </c>
      <c r="AH132" s="35">
        <v>20.100000000000001</v>
      </c>
      <c r="AI132" s="35">
        <v>19</v>
      </c>
      <c r="AJ132" s="35">
        <v>20.3</v>
      </c>
      <c r="AK132" s="35">
        <v>19</v>
      </c>
      <c r="AL132" s="35">
        <v>19</v>
      </c>
      <c r="AM132" s="35">
        <v>19</v>
      </c>
      <c r="AN132" s="35">
        <v>20.9</v>
      </c>
      <c r="AO132" s="35">
        <v>19</v>
      </c>
      <c r="AP132" s="35">
        <v>20.9</v>
      </c>
      <c r="AQ132" s="35">
        <v>19</v>
      </c>
      <c r="AR132" s="35">
        <v>20.7</v>
      </c>
      <c r="AS132" s="35">
        <v>19</v>
      </c>
      <c r="AT132" s="35">
        <v>19.5</v>
      </c>
      <c r="AU132" s="35">
        <v>19</v>
      </c>
      <c r="AV132" s="35">
        <v>20</v>
      </c>
      <c r="AW132" s="35">
        <v>19</v>
      </c>
      <c r="AX132" s="35">
        <v>20.5</v>
      </c>
      <c r="AY132" s="35">
        <v>20</v>
      </c>
      <c r="AZ132" s="35">
        <v>20.100000000000001</v>
      </c>
      <c r="BA132" s="35">
        <v>20</v>
      </c>
      <c r="BB132" s="35">
        <v>32</v>
      </c>
      <c r="BC132" s="35">
        <v>40</v>
      </c>
      <c r="BD132" s="35">
        <v>31.1</v>
      </c>
      <c r="BE132" s="35">
        <v>40</v>
      </c>
      <c r="BF132" s="35">
        <v>20.8</v>
      </c>
      <c r="BG132" s="35">
        <v>20</v>
      </c>
    </row>
    <row r="133" spans="1:59" x14ac:dyDescent="0.35">
      <c r="A133" s="36">
        <v>46059.539583333331</v>
      </c>
      <c r="B133" s="35">
        <v>2.2999999999999998</v>
      </c>
      <c r="C133" s="35">
        <v>2</v>
      </c>
      <c r="D133" s="35">
        <v>2.7</v>
      </c>
      <c r="E133" s="35">
        <v>2.2000000000000002</v>
      </c>
      <c r="F133" s="35">
        <v>3.5</v>
      </c>
      <c r="G133" s="35">
        <v>2</v>
      </c>
      <c r="H133" s="35">
        <v>3.1</v>
      </c>
      <c r="I133" s="35">
        <v>2</v>
      </c>
      <c r="J133" s="35">
        <v>2.7</v>
      </c>
      <c r="K133" s="35">
        <v>2</v>
      </c>
      <c r="L133" s="35">
        <v>2.1</v>
      </c>
      <c r="M133" s="35">
        <v>2</v>
      </c>
      <c r="N133" s="35">
        <v>2.4</v>
      </c>
      <c r="O133" s="35">
        <v>3</v>
      </c>
      <c r="P133" s="35">
        <v>2.9</v>
      </c>
      <c r="Q133" s="35">
        <v>2</v>
      </c>
      <c r="R133" s="35">
        <v>2.5</v>
      </c>
      <c r="S133" s="35">
        <v>2</v>
      </c>
      <c r="T133" s="35">
        <v>2.2000000000000002</v>
      </c>
      <c r="U133" s="35">
        <v>2</v>
      </c>
      <c r="V133" s="35">
        <v>11</v>
      </c>
      <c r="W133" s="35">
        <v>9</v>
      </c>
      <c r="X133" s="35">
        <v>9.9</v>
      </c>
      <c r="Y133" s="35">
        <v>9</v>
      </c>
      <c r="Z133" s="35">
        <v>10.7</v>
      </c>
      <c r="AA133" s="35">
        <v>9</v>
      </c>
      <c r="AB133" s="35">
        <v>10</v>
      </c>
      <c r="AC133" s="35">
        <v>9</v>
      </c>
      <c r="AD133" s="35">
        <v>20.8</v>
      </c>
      <c r="AE133" s="35">
        <v>19</v>
      </c>
      <c r="AF133" s="35">
        <v>20.7</v>
      </c>
      <c r="AG133" s="35">
        <v>19</v>
      </c>
      <c r="AH133" s="35">
        <v>20.100000000000001</v>
      </c>
      <c r="AI133" s="35">
        <v>19</v>
      </c>
      <c r="AJ133" s="35">
        <v>20.399999999999999</v>
      </c>
      <c r="AK133" s="35">
        <v>19</v>
      </c>
      <c r="AL133" s="35">
        <v>19.2</v>
      </c>
      <c r="AM133" s="35">
        <v>19</v>
      </c>
      <c r="AN133" s="35">
        <v>20.9</v>
      </c>
      <c r="AO133" s="35">
        <v>19</v>
      </c>
      <c r="AP133" s="35">
        <v>20.9</v>
      </c>
      <c r="AQ133" s="35">
        <v>19</v>
      </c>
      <c r="AR133" s="35">
        <v>20.7</v>
      </c>
      <c r="AS133" s="35">
        <v>19</v>
      </c>
      <c r="AT133" s="35">
        <v>19.600000000000001</v>
      </c>
      <c r="AU133" s="35">
        <v>19</v>
      </c>
      <c r="AV133" s="35">
        <v>20.100000000000001</v>
      </c>
      <c r="AW133" s="35">
        <v>19</v>
      </c>
      <c r="AX133" s="35">
        <v>20.5</v>
      </c>
      <c r="AY133" s="35">
        <v>20</v>
      </c>
      <c r="AZ133" s="35">
        <v>20.100000000000001</v>
      </c>
      <c r="BA133" s="35">
        <v>20</v>
      </c>
      <c r="BB133" s="35">
        <v>32</v>
      </c>
      <c r="BC133" s="35">
        <v>40</v>
      </c>
      <c r="BD133" s="35">
        <v>31.1</v>
      </c>
      <c r="BE133" s="35">
        <v>40</v>
      </c>
      <c r="BF133" s="35">
        <v>21.1</v>
      </c>
      <c r="BG133" s="35">
        <v>20</v>
      </c>
    </row>
    <row r="134" spans="1:59" x14ac:dyDescent="0.35">
      <c r="A134" s="36">
        <v>46059.540277777778</v>
      </c>
      <c r="B134" s="35">
        <v>1.7</v>
      </c>
      <c r="C134" s="35">
        <v>2</v>
      </c>
      <c r="D134" s="35">
        <v>2.1</v>
      </c>
      <c r="E134" s="35">
        <v>2.2000000000000002</v>
      </c>
      <c r="F134" s="35">
        <v>3.6</v>
      </c>
      <c r="G134" s="35">
        <v>2</v>
      </c>
      <c r="H134" s="35">
        <v>3</v>
      </c>
      <c r="I134" s="35">
        <v>2</v>
      </c>
      <c r="J134" s="35">
        <v>3</v>
      </c>
      <c r="K134" s="35">
        <v>2</v>
      </c>
      <c r="L134" s="35">
        <v>2.6</v>
      </c>
      <c r="M134" s="35">
        <v>2</v>
      </c>
      <c r="N134" s="35">
        <v>2.8</v>
      </c>
      <c r="O134" s="35">
        <v>3</v>
      </c>
      <c r="P134" s="35">
        <v>3.1</v>
      </c>
      <c r="Q134" s="35">
        <v>2</v>
      </c>
      <c r="R134" s="35">
        <v>2.7</v>
      </c>
      <c r="S134" s="35">
        <v>2</v>
      </c>
      <c r="T134" s="35">
        <v>2.5</v>
      </c>
      <c r="U134" s="35">
        <v>2</v>
      </c>
      <c r="V134" s="35">
        <v>9.6</v>
      </c>
      <c r="W134" s="35">
        <v>9</v>
      </c>
      <c r="X134" s="35">
        <v>10</v>
      </c>
      <c r="Y134" s="35">
        <v>9</v>
      </c>
      <c r="Z134" s="35">
        <v>10</v>
      </c>
      <c r="AA134" s="35">
        <v>9</v>
      </c>
      <c r="AB134" s="35">
        <v>8.1999999999999993</v>
      </c>
      <c r="AC134" s="35">
        <v>9</v>
      </c>
      <c r="AD134" s="35">
        <v>20.9</v>
      </c>
      <c r="AE134" s="35">
        <v>19</v>
      </c>
      <c r="AF134" s="35">
        <v>20.8</v>
      </c>
      <c r="AG134" s="35">
        <v>19</v>
      </c>
      <c r="AH134" s="35">
        <v>20.2</v>
      </c>
      <c r="AI134" s="35">
        <v>19</v>
      </c>
      <c r="AJ134" s="35">
        <v>20.399999999999999</v>
      </c>
      <c r="AK134" s="35">
        <v>19</v>
      </c>
      <c r="AL134" s="35">
        <v>19.5</v>
      </c>
      <c r="AM134" s="35">
        <v>19</v>
      </c>
      <c r="AN134" s="35">
        <v>21</v>
      </c>
      <c r="AO134" s="35">
        <v>19</v>
      </c>
      <c r="AP134" s="35">
        <v>20.9</v>
      </c>
      <c r="AQ134" s="35">
        <v>19</v>
      </c>
      <c r="AR134" s="35">
        <v>20.7</v>
      </c>
      <c r="AS134" s="35">
        <v>19</v>
      </c>
      <c r="AT134" s="35">
        <v>19.7</v>
      </c>
      <c r="AU134" s="35">
        <v>19</v>
      </c>
      <c r="AV134" s="35">
        <v>20.2</v>
      </c>
      <c r="AW134" s="35">
        <v>19</v>
      </c>
      <c r="AX134" s="35">
        <v>20.399999999999999</v>
      </c>
      <c r="AY134" s="35">
        <v>20</v>
      </c>
      <c r="AZ134" s="35">
        <v>20</v>
      </c>
      <c r="BA134" s="35">
        <v>20</v>
      </c>
      <c r="BB134" s="35">
        <v>32</v>
      </c>
      <c r="BC134" s="35">
        <v>40</v>
      </c>
      <c r="BD134" s="35">
        <v>31.1</v>
      </c>
      <c r="BE134" s="35">
        <v>40</v>
      </c>
      <c r="BF134" s="35">
        <v>21.3</v>
      </c>
      <c r="BG134" s="35">
        <v>20</v>
      </c>
    </row>
    <row r="135" spans="1:59" x14ac:dyDescent="0.35">
      <c r="A135" s="36">
        <v>46059.540972222225</v>
      </c>
      <c r="B135" s="35">
        <v>1.8</v>
      </c>
      <c r="C135" s="35">
        <v>2</v>
      </c>
      <c r="D135" s="35">
        <v>2.4</v>
      </c>
      <c r="E135" s="35">
        <v>2.2000000000000002</v>
      </c>
      <c r="F135" s="35">
        <v>3.6</v>
      </c>
      <c r="G135" s="35">
        <v>2</v>
      </c>
      <c r="H135" s="35">
        <v>2.7</v>
      </c>
      <c r="I135" s="35">
        <v>2</v>
      </c>
      <c r="J135" s="35">
        <v>3.3</v>
      </c>
      <c r="K135" s="35">
        <v>2</v>
      </c>
      <c r="L135" s="35">
        <v>3</v>
      </c>
      <c r="M135" s="35">
        <v>2</v>
      </c>
      <c r="N135" s="35">
        <v>3</v>
      </c>
      <c r="O135" s="35">
        <v>3</v>
      </c>
      <c r="P135" s="35">
        <v>3.3</v>
      </c>
      <c r="Q135" s="35">
        <v>2</v>
      </c>
      <c r="R135" s="35">
        <v>2.9</v>
      </c>
      <c r="S135" s="35">
        <v>2</v>
      </c>
      <c r="T135" s="35">
        <v>2.7</v>
      </c>
      <c r="U135" s="35">
        <v>2</v>
      </c>
      <c r="V135" s="35">
        <v>7.4</v>
      </c>
      <c r="W135" s="35">
        <v>9</v>
      </c>
      <c r="X135" s="35">
        <v>10.1</v>
      </c>
      <c r="Y135" s="35">
        <v>9</v>
      </c>
      <c r="Z135" s="35">
        <v>9.4</v>
      </c>
      <c r="AA135" s="35">
        <v>9</v>
      </c>
      <c r="AB135" s="35">
        <v>8.1</v>
      </c>
      <c r="AC135" s="35">
        <v>9</v>
      </c>
      <c r="AD135" s="35">
        <v>20.9</v>
      </c>
      <c r="AE135" s="35">
        <v>19</v>
      </c>
      <c r="AF135" s="35">
        <v>20.8</v>
      </c>
      <c r="AG135" s="35">
        <v>19</v>
      </c>
      <c r="AH135" s="35">
        <v>20.3</v>
      </c>
      <c r="AI135" s="35">
        <v>19</v>
      </c>
      <c r="AJ135" s="35">
        <v>20.5</v>
      </c>
      <c r="AK135" s="35">
        <v>19</v>
      </c>
      <c r="AL135" s="35">
        <v>19.8</v>
      </c>
      <c r="AM135" s="35">
        <v>19</v>
      </c>
      <c r="AN135" s="35">
        <v>20.5</v>
      </c>
      <c r="AO135" s="35">
        <v>19</v>
      </c>
      <c r="AP135" s="35">
        <v>20.9</v>
      </c>
      <c r="AQ135" s="35">
        <v>19</v>
      </c>
      <c r="AR135" s="35">
        <v>20.7</v>
      </c>
      <c r="AS135" s="35">
        <v>19</v>
      </c>
      <c r="AT135" s="35">
        <v>19.8</v>
      </c>
      <c r="AU135" s="35">
        <v>19</v>
      </c>
      <c r="AV135" s="35">
        <v>20.3</v>
      </c>
      <c r="AW135" s="35">
        <v>19</v>
      </c>
      <c r="AX135" s="35">
        <v>20.399999999999999</v>
      </c>
      <c r="AY135" s="35">
        <v>20</v>
      </c>
      <c r="AZ135" s="35">
        <v>20</v>
      </c>
      <c r="BA135" s="35">
        <v>20</v>
      </c>
      <c r="BB135" s="35">
        <v>32</v>
      </c>
      <c r="BC135" s="35">
        <v>40</v>
      </c>
      <c r="BD135" s="35">
        <v>31.1</v>
      </c>
      <c r="BE135" s="35">
        <v>40</v>
      </c>
      <c r="BF135" s="35">
        <v>21.4</v>
      </c>
      <c r="BG135" s="35">
        <v>20</v>
      </c>
    </row>
    <row r="136" spans="1:59" x14ac:dyDescent="0.35">
      <c r="A136" s="36">
        <v>46059.541666666664</v>
      </c>
      <c r="B136" s="35">
        <v>2.2999999999999998</v>
      </c>
      <c r="C136" s="35">
        <v>2</v>
      </c>
      <c r="D136" s="35">
        <v>2.9</v>
      </c>
      <c r="E136" s="35">
        <v>2.2000000000000002</v>
      </c>
      <c r="F136" s="35">
        <v>3.6</v>
      </c>
      <c r="G136" s="35">
        <v>2</v>
      </c>
      <c r="H136" s="35">
        <v>2.7</v>
      </c>
      <c r="I136" s="35">
        <v>2</v>
      </c>
      <c r="J136" s="35">
        <v>3.5</v>
      </c>
      <c r="K136" s="35">
        <v>2</v>
      </c>
      <c r="L136" s="35">
        <v>3.3</v>
      </c>
      <c r="M136" s="35">
        <v>2</v>
      </c>
      <c r="N136" s="35">
        <v>3.3</v>
      </c>
      <c r="O136" s="35">
        <v>3</v>
      </c>
      <c r="P136" s="35">
        <v>3.4</v>
      </c>
      <c r="Q136" s="35">
        <v>2</v>
      </c>
      <c r="R136" s="35">
        <v>3.1</v>
      </c>
      <c r="S136" s="35">
        <v>2</v>
      </c>
      <c r="T136" s="35">
        <v>2.9</v>
      </c>
      <c r="U136" s="35">
        <v>2</v>
      </c>
      <c r="V136" s="35">
        <v>7.3</v>
      </c>
      <c r="W136" s="35">
        <v>9</v>
      </c>
      <c r="X136" s="35">
        <v>10.199999999999999</v>
      </c>
      <c r="Y136" s="35">
        <v>9</v>
      </c>
      <c r="Z136" s="35">
        <v>9</v>
      </c>
      <c r="AA136" s="35">
        <v>9</v>
      </c>
      <c r="AB136" s="35">
        <v>8.6</v>
      </c>
      <c r="AC136" s="35">
        <v>9</v>
      </c>
      <c r="AD136" s="35">
        <v>20.9</v>
      </c>
      <c r="AE136" s="35">
        <v>19</v>
      </c>
      <c r="AF136" s="35">
        <v>20.8</v>
      </c>
      <c r="AG136" s="35">
        <v>19</v>
      </c>
      <c r="AH136" s="35">
        <v>20.3</v>
      </c>
      <c r="AI136" s="35">
        <v>19</v>
      </c>
      <c r="AJ136" s="35">
        <v>20.6</v>
      </c>
      <c r="AK136" s="35">
        <v>19</v>
      </c>
      <c r="AL136" s="35">
        <v>20</v>
      </c>
      <c r="AM136" s="35">
        <v>19</v>
      </c>
      <c r="AN136" s="35">
        <v>20.2</v>
      </c>
      <c r="AO136" s="35">
        <v>19</v>
      </c>
      <c r="AP136" s="35">
        <v>20.9</v>
      </c>
      <c r="AQ136" s="35">
        <v>19</v>
      </c>
      <c r="AR136" s="35">
        <v>20.7</v>
      </c>
      <c r="AS136" s="35">
        <v>19</v>
      </c>
      <c r="AT136" s="35">
        <v>19.899999999999999</v>
      </c>
      <c r="AU136" s="35">
        <v>19</v>
      </c>
      <c r="AV136" s="35">
        <v>20.3</v>
      </c>
      <c r="AW136" s="35">
        <v>19</v>
      </c>
      <c r="AX136" s="35">
        <v>20.399999999999999</v>
      </c>
      <c r="AY136" s="35">
        <v>20</v>
      </c>
      <c r="AZ136" s="35">
        <v>20</v>
      </c>
      <c r="BA136" s="35">
        <v>20</v>
      </c>
      <c r="BB136" s="35">
        <v>32</v>
      </c>
      <c r="BC136" s="35">
        <v>40</v>
      </c>
      <c r="BD136" s="35">
        <v>31.1</v>
      </c>
      <c r="BE136" s="35">
        <v>40</v>
      </c>
      <c r="BF136" s="35">
        <v>21.4</v>
      </c>
      <c r="BG136" s="35">
        <v>20</v>
      </c>
    </row>
    <row r="137" spans="1:59" x14ac:dyDescent="0.35">
      <c r="A137" s="36">
        <v>46059.542361111111</v>
      </c>
      <c r="B137" s="35">
        <v>2.7</v>
      </c>
      <c r="C137" s="35">
        <v>2</v>
      </c>
      <c r="D137" s="35">
        <v>3.3</v>
      </c>
      <c r="E137" s="35">
        <v>2.2000000000000002</v>
      </c>
      <c r="F137" s="35">
        <v>3.6</v>
      </c>
      <c r="G137" s="35">
        <v>2</v>
      </c>
      <c r="H137" s="35">
        <v>2.9</v>
      </c>
      <c r="I137" s="35">
        <v>2</v>
      </c>
      <c r="J137" s="35">
        <v>3.8</v>
      </c>
      <c r="K137" s="35">
        <v>2</v>
      </c>
      <c r="L137" s="35">
        <v>3.6</v>
      </c>
      <c r="M137" s="35">
        <v>2</v>
      </c>
      <c r="N137" s="35">
        <v>3.5</v>
      </c>
      <c r="O137" s="35">
        <v>3</v>
      </c>
      <c r="P137" s="35">
        <v>3.6</v>
      </c>
      <c r="Q137" s="35">
        <v>2</v>
      </c>
      <c r="R137" s="35">
        <v>3.3</v>
      </c>
      <c r="S137" s="35">
        <v>2</v>
      </c>
      <c r="T137" s="35">
        <v>3.1</v>
      </c>
      <c r="U137" s="35">
        <v>2</v>
      </c>
      <c r="V137" s="35">
        <v>8.1</v>
      </c>
      <c r="W137" s="35">
        <v>9</v>
      </c>
      <c r="X137" s="35">
        <v>10.3</v>
      </c>
      <c r="Y137" s="35">
        <v>9</v>
      </c>
      <c r="Z137" s="35">
        <v>8.9</v>
      </c>
      <c r="AA137" s="35">
        <v>9</v>
      </c>
      <c r="AB137" s="35">
        <v>9</v>
      </c>
      <c r="AC137" s="35">
        <v>9</v>
      </c>
      <c r="AD137" s="35">
        <v>20.9</v>
      </c>
      <c r="AE137" s="35">
        <v>19</v>
      </c>
      <c r="AF137" s="35">
        <v>20.9</v>
      </c>
      <c r="AG137" s="35">
        <v>19</v>
      </c>
      <c r="AH137" s="35">
        <v>20.399999999999999</v>
      </c>
      <c r="AI137" s="35">
        <v>19</v>
      </c>
      <c r="AJ137" s="35">
        <v>20.6</v>
      </c>
      <c r="AK137" s="35">
        <v>19</v>
      </c>
      <c r="AL137" s="35">
        <v>20.3</v>
      </c>
      <c r="AM137" s="35">
        <v>19</v>
      </c>
      <c r="AN137" s="35">
        <v>19.899999999999999</v>
      </c>
      <c r="AO137" s="35">
        <v>19</v>
      </c>
      <c r="AP137" s="35">
        <v>20.9</v>
      </c>
      <c r="AQ137" s="35">
        <v>19</v>
      </c>
      <c r="AR137" s="35">
        <v>20.7</v>
      </c>
      <c r="AS137" s="35">
        <v>19</v>
      </c>
      <c r="AT137" s="35">
        <v>20</v>
      </c>
      <c r="AU137" s="35">
        <v>19</v>
      </c>
      <c r="AV137" s="35">
        <v>20.399999999999999</v>
      </c>
      <c r="AW137" s="35">
        <v>19</v>
      </c>
      <c r="AX137" s="35">
        <v>20.399999999999999</v>
      </c>
      <c r="AY137" s="35">
        <v>20</v>
      </c>
      <c r="AZ137" s="35">
        <v>20</v>
      </c>
      <c r="BA137" s="35">
        <v>20</v>
      </c>
      <c r="BB137" s="35">
        <v>32</v>
      </c>
      <c r="BC137" s="35">
        <v>40</v>
      </c>
      <c r="BD137" s="35">
        <v>31.1</v>
      </c>
      <c r="BE137" s="35">
        <v>40</v>
      </c>
      <c r="BF137" s="35">
        <v>21.5</v>
      </c>
      <c r="BG137" s="35">
        <v>20</v>
      </c>
    </row>
    <row r="138" spans="1:59" x14ac:dyDescent="0.35">
      <c r="A138" s="36">
        <v>46059.543055555558</v>
      </c>
      <c r="B138" s="35">
        <v>3.1</v>
      </c>
      <c r="C138" s="35">
        <v>2</v>
      </c>
      <c r="D138" s="35">
        <v>3.7</v>
      </c>
      <c r="E138" s="35">
        <v>2.2000000000000002</v>
      </c>
      <c r="F138" s="35">
        <v>3.6</v>
      </c>
      <c r="G138" s="35">
        <v>2</v>
      </c>
      <c r="H138" s="35">
        <v>3.6</v>
      </c>
      <c r="I138" s="35">
        <v>2</v>
      </c>
      <c r="J138" s="35">
        <v>3.9</v>
      </c>
      <c r="K138" s="35">
        <v>2</v>
      </c>
      <c r="L138" s="35">
        <v>3.9</v>
      </c>
      <c r="M138" s="35">
        <v>2</v>
      </c>
      <c r="N138" s="35">
        <v>3.7</v>
      </c>
      <c r="O138" s="35">
        <v>3</v>
      </c>
      <c r="P138" s="35">
        <v>3.7</v>
      </c>
      <c r="Q138" s="35">
        <v>2</v>
      </c>
      <c r="R138" s="35">
        <v>3.4</v>
      </c>
      <c r="S138" s="35">
        <v>2</v>
      </c>
      <c r="T138" s="35">
        <v>3.2</v>
      </c>
      <c r="U138" s="35">
        <v>2</v>
      </c>
      <c r="V138" s="35">
        <v>8.9</v>
      </c>
      <c r="W138" s="35">
        <v>9</v>
      </c>
      <c r="X138" s="35">
        <v>10.4</v>
      </c>
      <c r="Y138" s="35">
        <v>9</v>
      </c>
      <c r="Z138" s="35">
        <v>9.1</v>
      </c>
      <c r="AA138" s="35">
        <v>9</v>
      </c>
      <c r="AB138" s="35">
        <v>9.3000000000000007</v>
      </c>
      <c r="AC138" s="35">
        <v>9</v>
      </c>
      <c r="AD138" s="35">
        <v>20.9</v>
      </c>
      <c r="AE138" s="35">
        <v>19</v>
      </c>
      <c r="AF138" s="35">
        <v>20.9</v>
      </c>
      <c r="AG138" s="35">
        <v>19</v>
      </c>
      <c r="AH138" s="35">
        <v>20.399999999999999</v>
      </c>
      <c r="AI138" s="35">
        <v>19</v>
      </c>
      <c r="AJ138" s="35">
        <v>20.7</v>
      </c>
      <c r="AK138" s="35">
        <v>19</v>
      </c>
      <c r="AL138" s="35">
        <v>20.5</v>
      </c>
      <c r="AM138" s="35">
        <v>19</v>
      </c>
      <c r="AN138" s="35">
        <v>19.5</v>
      </c>
      <c r="AO138" s="35">
        <v>19</v>
      </c>
      <c r="AP138" s="35">
        <v>20.9</v>
      </c>
      <c r="AQ138" s="35">
        <v>19</v>
      </c>
      <c r="AR138" s="35">
        <v>20.7</v>
      </c>
      <c r="AS138" s="35">
        <v>19</v>
      </c>
      <c r="AT138" s="35">
        <v>20.100000000000001</v>
      </c>
      <c r="AU138" s="35">
        <v>19</v>
      </c>
      <c r="AV138" s="35">
        <v>20.399999999999999</v>
      </c>
      <c r="AW138" s="35">
        <v>19</v>
      </c>
      <c r="AX138" s="35">
        <v>20.399999999999999</v>
      </c>
      <c r="AY138" s="35">
        <v>20</v>
      </c>
      <c r="AZ138" s="35">
        <v>20</v>
      </c>
      <c r="BA138" s="35">
        <v>20</v>
      </c>
      <c r="BB138" s="35">
        <v>32.1</v>
      </c>
      <c r="BC138" s="35">
        <v>40</v>
      </c>
      <c r="BD138" s="35">
        <v>31.1</v>
      </c>
      <c r="BE138" s="35">
        <v>40</v>
      </c>
      <c r="BF138" s="35">
        <v>21.5</v>
      </c>
      <c r="BG138" s="35">
        <v>20</v>
      </c>
    </row>
    <row r="139" spans="1:59" x14ac:dyDescent="0.35">
      <c r="A139" s="36">
        <v>46059.543749999997</v>
      </c>
      <c r="B139" s="35">
        <v>3.4</v>
      </c>
      <c r="C139" s="35">
        <v>2</v>
      </c>
      <c r="D139" s="35">
        <v>4</v>
      </c>
      <c r="E139" s="35">
        <v>2.2000000000000002</v>
      </c>
      <c r="F139" s="35">
        <v>3.6</v>
      </c>
      <c r="G139" s="35">
        <v>2</v>
      </c>
      <c r="H139" s="35">
        <v>4.4000000000000004</v>
      </c>
      <c r="I139" s="35">
        <v>2</v>
      </c>
      <c r="J139" s="35">
        <v>3.5</v>
      </c>
      <c r="K139" s="35">
        <v>2</v>
      </c>
      <c r="L139" s="35">
        <v>3.4</v>
      </c>
      <c r="M139" s="35">
        <v>2</v>
      </c>
      <c r="N139" s="35">
        <v>3.8</v>
      </c>
      <c r="O139" s="35">
        <v>3</v>
      </c>
      <c r="P139" s="35">
        <v>3.8</v>
      </c>
      <c r="Q139" s="35">
        <v>2</v>
      </c>
      <c r="R139" s="35">
        <v>3.6</v>
      </c>
      <c r="S139" s="35">
        <v>2</v>
      </c>
      <c r="T139" s="35">
        <v>3.4</v>
      </c>
      <c r="U139" s="35">
        <v>2</v>
      </c>
      <c r="V139" s="35">
        <v>9.6</v>
      </c>
      <c r="W139" s="35">
        <v>9</v>
      </c>
      <c r="X139" s="35">
        <v>10.4</v>
      </c>
      <c r="Y139" s="35">
        <v>9</v>
      </c>
      <c r="Z139" s="35">
        <v>9.4</v>
      </c>
      <c r="AA139" s="35">
        <v>9</v>
      </c>
      <c r="AB139" s="35">
        <v>9.9</v>
      </c>
      <c r="AC139" s="35">
        <v>9</v>
      </c>
      <c r="AD139" s="35">
        <v>20.9</v>
      </c>
      <c r="AE139" s="35">
        <v>19</v>
      </c>
      <c r="AF139" s="35">
        <v>20.9</v>
      </c>
      <c r="AG139" s="35">
        <v>19</v>
      </c>
      <c r="AH139" s="35">
        <v>20.5</v>
      </c>
      <c r="AI139" s="35">
        <v>19</v>
      </c>
      <c r="AJ139" s="35">
        <v>20.7</v>
      </c>
      <c r="AK139" s="35">
        <v>19</v>
      </c>
      <c r="AL139" s="35">
        <v>20.6</v>
      </c>
      <c r="AM139" s="35">
        <v>19</v>
      </c>
      <c r="AN139" s="35">
        <v>19.5</v>
      </c>
      <c r="AO139" s="35">
        <v>19</v>
      </c>
      <c r="AP139" s="35">
        <v>20.9</v>
      </c>
      <c r="AQ139" s="35">
        <v>19</v>
      </c>
      <c r="AR139" s="35">
        <v>20.7</v>
      </c>
      <c r="AS139" s="35">
        <v>19</v>
      </c>
      <c r="AT139" s="35">
        <v>20.2</v>
      </c>
      <c r="AU139" s="35">
        <v>19</v>
      </c>
      <c r="AV139" s="35">
        <v>20.5</v>
      </c>
      <c r="AW139" s="35">
        <v>19</v>
      </c>
      <c r="AX139" s="35">
        <v>20.399999999999999</v>
      </c>
      <c r="AY139" s="35">
        <v>20</v>
      </c>
      <c r="AZ139" s="35">
        <v>20</v>
      </c>
      <c r="BA139" s="35">
        <v>20</v>
      </c>
      <c r="BB139" s="35">
        <v>32.1</v>
      </c>
      <c r="BC139" s="35">
        <v>40</v>
      </c>
      <c r="BD139" s="35">
        <v>31.1</v>
      </c>
      <c r="BE139" s="35">
        <v>40</v>
      </c>
      <c r="BF139" s="35">
        <v>21.6</v>
      </c>
      <c r="BG139" s="35">
        <v>20</v>
      </c>
    </row>
    <row r="140" spans="1:59" x14ac:dyDescent="0.35">
      <c r="A140" s="36">
        <v>46059.544444444444</v>
      </c>
      <c r="B140" s="35">
        <v>3.6</v>
      </c>
      <c r="C140" s="35">
        <v>2</v>
      </c>
      <c r="D140" s="35">
        <v>4.2</v>
      </c>
      <c r="E140" s="35">
        <v>2.2000000000000002</v>
      </c>
      <c r="F140" s="35">
        <v>3.6</v>
      </c>
      <c r="G140" s="35">
        <v>2</v>
      </c>
      <c r="H140" s="35">
        <v>5.0999999999999996</v>
      </c>
      <c r="I140" s="35">
        <v>2</v>
      </c>
      <c r="J140" s="35">
        <v>2.2999999999999998</v>
      </c>
      <c r="K140" s="35">
        <v>2</v>
      </c>
      <c r="L140" s="35">
        <v>2.2000000000000002</v>
      </c>
      <c r="M140" s="35">
        <v>2</v>
      </c>
      <c r="N140" s="35">
        <v>4</v>
      </c>
      <c r="O140" s="35">
        <v>3</v>
      </c>
      <c r="P140" s="35">
        <v>3.9</v>
      </c>
      <c r="Q140" s="35">
        <v>2</v>
      </c>
      <c r="R140" s="35">
        <v>3.7</v>
      </c>
      <c r="S140" s="35">
        <v>2</v>
      </c>
      <c r="T140" s="35">
        <v>3.5</v>
      </c>
      <c r="U140" s="35">
        <v>2</v>
      </c>
      <c r="V140" s="35">
        <v>10.1</v>
      </c>
      <c r="W140" s="35">
        <v>9</v>
      </c>
      <c r="X140" s="35">
        <v>10.5</v>
      </c>
      <c r="Y140" s="35">
        <v>9</v>
      </c>
      <c r="Z140" s="35">
        <v>9.6999999999999993</v>
      </c>
      <c r="AA140" s="35">
        <v>9</v>
      </c>
      <c r="AB140" s="35">
        <v>10.3</v>
      </c>
      <c r="AC140" s="35">
        <v>9</v>
      </c>
      <c r="AD140" s="35">
        <v>21</v>
      </c>
      <c r="AE140" s="35">
        <v>19</v>
      </c>
      <c r="AF140" s="35">
        <v>20.9</v>
      </c>
      <c r="AG140" s="35">
        <v>19</v>
      </c>
      <c r="AH140" s="35">
        <v>20.5</v>
      </c>
      <c r="AI140" s="35">
        <v>19</v>
      </c>
      <c r="AJ140" s="35">
        <v>20.8</v>
      </c>
      <c r="AK140" s="35">
        <v>19</v>
      </c>
      <c r="AL140" s="35">
        <v>20.8</v>
      </c>
      <c r="AM140" s="35">
        <v>19</v>
      </c>
      <c r="AN140" s="35">
        <v>19.2</v>
      </c>
      <c r="AO140" s="35">
        <v>19</v>
      </c>
      <c r="AP140" s="35">
        <v>20.9</v>
      </c>
      <c r="AQ140" s="35">
        <v>19</v>
      </c>
      <c r="AR140" s="35">
        <v>20.7</v>
      </c>
      <c r="AS140" s="35">
        <v>19</v>
      </c>
      <c r="AT140" s="35">
        <v>20.3</v>
      </c>
      <c r="AU140" s="35">
        <v>19</v>
      </c>
      <c r="AV140" s="35">
        <v>20.6</v>
      </c>
      <c r="AW140" s="35">
        <v>19</v>
      </c>
      <c r="AX140" s="35">
        <v>20.399999999999999</v>
      </c>
      <c r="AY140" s="35">
        <v>20</v>
      </c>
      <c r="AZ140" s="35">
        <v>20</v>
      </c>
      <c r="BA140" s="35">
        <v>20</v>
      </c>
      <c r="BB140" s="35">
        <v>32.1</v>
      </c>
      <c r="BC140" s="35">
        <v>40</v>
      </c>
      <c r="BD140" s="35">
        <v>31.1</v>
      </c>
      <c r="BE140" s="35">
        <v>40</v>
      </c>
      <c r="BF140" s="35">
        <v>21.6</v>
      </c>
      <c r="BG140" s="35">
        <v>20</v>
      </c>
    </row>
    <row r="141" spans="1:59" x14ac:dyDescent="0.35">
      <c r="A141" s="36">
        <v>46059.545138888891</v>
      </c>
      <c r="B141" s="35">
        <v>3.6</v>
      </c>
      <c r="C141" s="35">
        <v>2</v>
      </c>
      <c r="D141" s="35">
        <v>4.0999999999999996</v>
      </c>
      <c r="E141" s="35">
        <v>2.2000000000000002</v>
      </c>
      <c r="F141" s="35">
        <v>3.6</v>
      </c>
      <c r="G141" s="35">
        <v>2</v>
      </c>
      <c r="H141" s="35">
        <v>5.4</v>
      </c>
      <c r="I141" s="35">
        <v>2</v>
      </c>
      <c r="J141" s="35">
        <v>1.7</v>
      </c>
      <c r="K141" s="35">
        <v>2</v>
      </c>
      <c r="L141" s="35">
        <v>2</v>
      </c>
      <c r="M141" s="35">
        <v>2</v>
      </c>
      <c r="N141" s="35">
        <v>2.9</v>
      </c>
      <c r="O141" s="35">
        <v>3</v>
      </c>
      <c r="P141" s="35">
        <v>3.3</v>
      </c>
      <c r="Q141" s="35">
        <v>2</v>
      </c>
      <c r="R141" s="35">
        <v>3.8</v>
      </c>
      <c r="S141" s="35">
        <v>2</v>
      </c>
      <c r="T141" s="35">
        <v>3.6</v>
      </c>
      <c r="U141" s="35">
        <v>2</v>
      </c>
      <c r="V141" s="35">
        <v>10.6</v>
      </c>
      <c r="W141" s="35">
        <v>9</v>
      </c>
      <c r="X141" s="35">
        <v>10.6</v>
      </c>
      <c r="Y141" s="35">
        <v>9</v>
      </c>
      <c r="Z141" s="35">
        <v>10</v>
      </c>
      <c r="AA141" s="35">
        <v>9</v>
      </c>
      <c r="AB141" s="35">
        <v>10.6</v>
      </c>
      <c r="AC141" s="35">
        <v>9</v>
      </c>
      <c r="AD141" s="35">
        <v>21</v>
      </c>
      <c r="AE141" s="35">
        <v>19</v>
      </c>
      <c r="AF141" s="35">
        <v>20.9</v>
      </c>
      <c r="AG141" s="35">
        <v>19</v>
      </c>
      <c r="AH141" s="35">
        <v>20.6</v>
      </c>
      <c r="AI141" s="35">
        <v>19</v>
      </c>
      <c r="AJ141" s="35">
        <v>20.9</v>
      </c>
      <c r="AK141" s="35">
        <v>19</v>
      </c>
      <c r="AL141" s="35">
        <v>20.9</v>
      </c>
      <c r="AM141" s="35">
        <v>19</v>
      </c>
      <c r="AN141" s="35">
        <v>19.100000000000001</v>
      </c>
      <c r="AO141" s="35">
        <v>19</v>
      </c>
      <c r="AP141" s="35">
        <v>20.9</v>
      </c>
      <c r="AQ141" s="35">
        <v>19</v>
      </c>
      <c r="AR141" s="35">
        <v>20.7</v>
      </c>
      <c r="AS141" s="35">
        <v>19</v>
      </c>
      <c r="AT141" s="35">
        <v>20.399999999999999</v>
      </c>
      <c r="AU141" s="35">
        <v>19</v>
      </c>
      <c r="AV141" s="35">
        <v>20.6</v>
      </c>
      <c r="AW141" s="35">
        <v>19</v>
      </c>
      <c r="AX141" s="35">
        <v>20.399999999999999</v>
      </c>
      <c r="AY141" s="35">
        <v>20</v>
      </c>
      <c r="AZ141" s="35">
        <v>20.100000000000001</v>
      </c>
      <c r="BA141" s="35">
        <v>20</v>
      </c>
      <c r="BB141" s="35">
        <v>32.1</v>
      </c>
      <c r="BC141" s="35">
        <v>40</v>
      </c>
      <c r="BD141" s="35">
        <v>31.1</v>
      </c>
      <c r="BE141" s="35">
        <v>40</v>
      </c>
      <c r="BF141" s="35">
        <v>21.7</v>
      </c>
      <c r="BG141" s="35">
        <v>20</v>
      </c>
    </row>
    <row r="142" spans="1:59" x14ac:dyDescent="0.35">
      <c r="A142" s="36">
        <v>46059.54583333333</v>
      </c>
      <c r="B142" s="35">
        <v>3.7</v>
      </c>
      <c r="C142" s="35">
        <v>2</v>
      </c>
      <c r="D142" s="35">
        <v>4.0999999999999996</v>
      </c>
      <c r="E142" s="35">
        <v>2.2000000000000002</v>
      </c>
      <c r="F142" s="35">
        <v>3.6</v>
      </c>
      <c r="G142" s="35">
        <v>2</v>
      </c>
      <c r="H142" s="35">
        <v>6.1</v>
      </c>
      <c r="I142" s="35">
        <v>2</v>
      </c>
      <c r="J142" s="35">
        <v>1.7</v>
      </c>
      <c r="K142" s="35">
        <v>2</v>
      </c>
      <c r="L142" s="35">
        <v>2.1</v>
      </c>
      <c r="M142" s="35">
        <v>2</v>
      </c>
      <c r="N142" s="35">
        <v>1.6</v>
      </c>
      <c r="O142" s="35">
        <v>3</v>
      </c>
      <c r="P142" s="35">
        <v>2.2999999999999998</v>
      </c>
      <c r="Q142" s="35">
        <v>2</v>
      </c>
      <c r="R142" s="35">
        <v>3.9</v>
      </c>
      <c r="S142" s="35">
        <v>2</v>
      </c>
      <c r="T142" s="35">
        <v>3.7</v>
      </c>
      <c r="U142" s="35">
        <v>2</v>
      </c>
      <c r="V142" s="35">
        <v>11</v>
      </c>
      <c r="W142" s="35">
        <v>9</v>
      </c>
      <c r="X142" s="35">
        <v>10.7</v>
      </c>
      <c r="Y142" s="35">
        <v>9</v>
      </c>
      <c r="Z142" s="35">
        <v>10.199999999999999</v>
      </c>
      <c r="AA142" s="35">
        <v>9</v>
      </c>
      <c r="AB142" s="35">
        <v>11</v>
      </c>
      <c r="AC142" s="35">
        <v>9</v>
      </c>
      <c r="AD142" s="35">
        <v>20.3</v>
      </c>
      <c r="AE142" s="35">
        <v>19</v>
      </c>
      <c r="AF142" s="35">
        <v>20.9</v>
      </c>
      <c r="AG142" s="35">
        <v>19</v>
      </c>
      <c r="AH142" s="35">
        <v>20.6</v>
      </c>
      <c r="AI142" s="35">
        <v>19</v>
      </c>
      <c r="AJ142" s="35">
        <v>20.9</v>
      </c>
      <c r="AK142" s="35">
        <v>19</v>
      </c>
      <c r="AL142" s="35">
        <v>21</v>
      </c>
      <c r="AM142" s="35">
        <v>19</v>
      </c>
      <c r="AN142" s="35">
        <v>18.8</v>
      </c>
      <c r="AO142" s="35">
        <v>19</v>
      </c>
      <c r="AP142" s="35">
        <v>20.9</v>
      </c>
      <c r="AQ142" s="35">
        <v>19</v>
      </c>
      <c r="AR142" s="35">
        <v>20.7</v>
      </c>
      <c r="AS142" s="35">
        <v>19</v>
      </c>
      <c r="AT142" s="35">
        <v>20.399999999999999</v>
      </c>
      <c r="AU142" s="35">
        <v>19</v>
      </c>
      <c r="AV142" s="35">
        <v>20.7</v>
      </c>
      <c r="AW142" s="35">
        <v>19</v>
      </c>
      <c r="AX142" s="35">
        <v>20.399999999999999</v>
      </c>
      <c r="AY142" s="35">
        <v>20</v>
      </c>
      <c r="AZ142" s="35">
        <v>20.2</v>
      </c>
      <c r="BA142" s="35">
        <v>20</v>
      </c>
      <c r="BB142" s="35">
        <v>32.1</v>
      </c>
      <c r="BC142" s="35">
        <v>40</v>
      </c>
      <c r="BD142" s="35">
        <v>31.1</v>
      </c>
      <c r="BE142" s="35">
        <v>40</v>
      </c>
      <c r="BF142" s="35">
        <v>21.7</v>
      </c>
      <c r="BG142" s="35">
        <v>20</v>
      </c>
    </row>
    <row r="143" spans="1:59" x14ac:dyDescent="0.35">
      <c r="A143" s="36">
        <v>46059.546527777777</v>
      </c>
      <c r="B143" s="35">
        <v>4</v>
      </c>
      <c r="C143" s="35">
        <v>2</v>
      </c>
      <c r="D143" s="35">
        <v>4.3</v>
      </c>
      <c r="E143" s="35">
        <v>2.2000000000000002</v>
      </c>
      <c r="F143" s="35">
        <v>3.6</v>
      </c>
      <c r="G143" s="35">
        <v>2</v>
      </c>
      <c r="H143" s="35">
        <v>6.7</v>
      </c>
      <c r="I143" s="35">
        <v>2</v>
      </c>
      <c r="J143" s="35">
        <v>1.9</v>
      </c>
      <c r="K143" s="35">
        <v>2</v>
      </c>
      <c r="L143" s="35">
        <v>2.4</v>
      </c>
      <c r="M143" s="35">
        <v>2</v>
      </c>
      <c r="N143" s="35">
        <v>1.5</v>
      </c>
      <c r="O143" s="35">
        <v>3</v>
      </c>
      <c r="P143" s="35">
        <v>1.9</v>
      </c>
      <c r="Q143" s="35">
        <v>2</v>
      </c>
      <c r="R143" s="35">
        <v>3.5</v>
      </c>
      <c r="S143" s="35">
        <v>2</v>
      </c>
      <c r="T143" s="35">
        <v>3.3</v>
      </c>
      <c r="U143" s="35">
        <v>2</v>
      </c>
      <c r="V143" s="35">
        <v>9.6</v>
      </c>
      <c r="W143" s="35">
        <v>9</v>
      </c>
      <c r="X143" s="35">
        <v>10.8</v>
      </c>
      <c r="Y143" s="35">
        <v>9</v>
      </c>
      <c r="Z143" s="35">
        <v>10.5</v>
      </c>
      <c r="AA143" s="35">
        <v>9</v>
      </c>
      <c r="AB143" s="35">
        <v>10.5</v>
      </c>
      <c r="AC143" s="35">
        <v>9</v>
      </c>
      <c r="AD143" s="35">
        <v>19.7</v>
      </c>
      <c r="AE143" s="35">
        <v>19</v>
      </c>
      <c r="AF143" s="35">
        <v>20.100000000000001</v>
      </c>
      <c r="AG143" s="35">
        <v>19</v>
      </c>
      <c r="AH143" s="35">
        <v>20.7</v>
      </c>
      <c r="AI143" s="35">
        <v>19</v>
      </c>
      <c r="AJ143" s="35">
        <v>21</v>
      </c>
      <c r="AK143" s="35">
        <v>19</v>
      </c>
      <c r="AL143" s="35">
        <v>20.9</v>
      </c>
      <c r="AM143" s="35">
        <v>19</v>
      </c>
      <c r="AN143" s="35">
        <v>18.8</v>
      </c>
      <c r="AO143" s="35">
        <v>19</v>
      </c>
      <c r="AP143" s="35">
        <v>20.9</v>
      </c>
      <c r="AQ143" s="35">
        <v>19</v>
      </c>
      <c r="AR143" s="35">
        <v>20.7</v>
      </c>
      <c r="AS143" s="35">
        <v>19</v>
      </c>
      <c r="AT143" s="35">
        <v>20.5</v>
      </c>
      <c r="AU143" s="35">
        <v>19</v>
      </c>
      <c r="AV143" s="35">
        <v>20.7</v>
      </c>
      <c r="AW143" s="35">
        <v>19</v>
      </c>
      <c r="AX143" s="35">
        <v>20.399999999999999</v>
      </c>
      <c r="AY143" s="35">
        <v>20</v>
      </c>
      <c r="AZ143" s="35">
        <v>20.2</v>
      </c>
      <c r="BA143" s="35">
        <v>20</v>
      </c>
      <c r="BB143" s="35">
        <v>32.1</v>
      </c>
      <c r="BC143" s="35">
        <v>40</v>
      </c>
      <c r="BD143" s="35">
        <v>31.1</v>
      </c>
      <c r="BE143" s="35">
        <v>40</v>
      </c>
      <c r="BF143" s="35">
        <v>21.8</v>
      </c>
      <c r="BG143" s="35">
        <v>20</v>
      </c>
    </row>
    <row r="144" spans="1:59" x14ac:dyDescent="0.35">
      <c r="A144" s="36">
        <v>46059.547222222223</v>
      </c>
      <c r="B144" s="35">
        <v>3.6</v>
      </c>
      <c r="C144" s="35">
        <v>2</v>
      </c>
      <c r="D144" s="35">
        <v>3.9</v>
      </c>
      <c r="E144" s="35">
        <v>2.2000000000000002</v>
      </c>
      <c r="F144" s="35">
        <v>3.6</v>
      </c>
      <c r="G144" s="35">
        <v>2</v>
      </c>
      <c r="H144" s="35">
        <v>7</v>
      </c>
      <c r="I144" s="35">
        <v>2</v>
      </c>
      <c r="J144" s="35">
        <v>2.1</v>
      </c>
      <c r="K144" s="35">
        <v>2</v>
      </c>
      <c r="L144" s="35">
        <v>2.8</v>
      </c>
      <c r="M144" s="35">
        <v>2</v>
      </c>
      <c r="N144" s="35">
        <v>1.5</v>
      </c>
      <c r="O144" s="35">
        <v>3</v>
      </c>
      <c r="P144" s="35">
        <v>2.1</v>
      </c>
      <c r="Q144" s="35">
        <v>2</v>
      </c>
      <c r="R144" s="35">
        <v>2.5</v>
      </c>
      <c r="S144" s="35">
        <v>2</v>
      </c>
      <c r="T144" s="35">
        <v>1.9</v>
      </c>
      <c r="U144" s="35">
        <v>2</v>
      </c>
      <c r="V144" s="35">
        <v>7.7</v>
      </c>
      <c r="W144" s="35">
        <v>9</v>
      </c>
      <c r="X144" s="35">
        <v>10.9</v>
      </c>
      <c r="Y144" s="35">
        <v>9</v>
      </c>
      <c r="Z144" s="35">
        <v>10.7</v>
      </c>
      <c r="AA144" s="35">
        <v>9</v>
      </c>
      <c r="AB144" s="35">
        <v>9.3000000000000007</v>
      </c>
      <c r="AC144" s="35">
        <v>9</v>
      </c>
      <c r="AD144" s="35">
        <v>19.3</v>
      </c>
      <c r="AE144" s="35">
        <v>19</v>
      </c>
      <c r="AF144" s="35">
        <v>19.3</v>
      </c>
      <c r="AG144" s="35">
        <v>19</v>
      </c>
      <c r="AH144" s="35">
        <v>20.7</v>
      </c>
      <c r="AI144" s="35">
        <v>19</v>
      </c>
      <c r="AJ144" s="35">
        <v>20.5</v>
      </c>
      <c r="AK144" s="35">
        <v>19</v>
      </c>
      <c r="AL144" s="35">
        <v>20.6</v>
      </c>
      <c r="AM144" s="35">
        <v>19</v>
      </c>
      <c r="AN144" s="35">
        <v>18.899999999999999</v>
      </c>
      <c r="AO144" s="35">
        <v>19</v>
      </c>
      <c r="AP144" s="35">
        <v>20.9</v>
      </c>
      <c r="AQ144" s="35">
        <v>19</v>
      </c>
      <c r="AR144" s="35">
        <v>20.7</v>
      </c>
      <c r="AS144" s="35">
        <v>19</v>
      </c>
      <c r="AT144" s="35">
        <v>20.6</v>
      </c>
      <c r="AU144" s="35">
        <v>19</v>
      </c>
      <c r="AV144" s="35">
        <v>20.7</v>
      </c>
      <c r="AW144" s="35">
        <v>19</v>
      </c>
      <c r="AX144" s="35">
        <v>20.399999999999999</v>
      </c>
      <c r="AY144" s="35">
        <v>20</v>
      </c>
      <c r="AZ144" s="35">
        <v>20.2</v>
      </c>
      <c r="BA144" s="35">
        <v>20</v>
      </c>
      <c r="BB144" s="35">
        <v>32.1</v>
      </c>
      <c r="BC144" s="35">
        <v>40</v>
      </c>
      <c r="BD144" s="35">
        <v>31.1</v>
      </c>
      <c r="BE144" s="35">
        <v>40</v>
      </c>
      <c r="BF144" s="35">
        <v>21.8</v>
      </c>
      <c r="BG144" s="35">
        <v>20</v>
      </c>
    </row>
    <row r="145" spans="1:59" x14ac:dyDescent="0.35">
      <c r="A145" s="36">
        <v>46059.54791666667</v>
      </c>
      <c r="B145" s="35">
        <v>1.9</v>
      </c>
      <c r="C145" s="35">
        <v>2</v>
      </c>
      <c r="D145" s="35">
        <v>2.2999999999999998</v>
      </c>
      <c r="E145" s="35">
        <v>2.2000000000000002</v>
      </c>
      <c r="F145" s="35">
        <v>3.6</v>
      </c>
      <c r="G145" s="35">
        <v>2</v>
      </c>
      <c r="H145" s="35">
        <v>7.1</v>
      </c>
      <c r="I145" s="35">
        <v>2</v>
      </c>
      <c r="J145" s="35">
        <v>2.2000000000000002</v>
      </c>
      <c r="K145" s="35">
        <v>2</v>
      </c>
      <c r="L145" s="35">
        <v>3</v>
      </c>
      <c r="M145" s="35">
        <v>2</v>
      </c>
      <c r="N145" s="35">
        <v>1.8</v>
      </c>
      <c r="O145" s="35">
        <v>3</v>
      </c>
      <c r="P145" s="35">
        <v>2.4</v>
      </c>
      <c r="Q145" s="35">
        <v>2</v>
      </c>
      <c r="R145" s="35">
        <v>1.8</v>
      </c>
      <c r="S145" s="35">
        <v>2</v>
      </c>
      <c r="T145" s="35">
        <v>1.1000000000000001</v>
      </c>
      <c r="U145" s="35">
        <v>2</v>
      </c>
      <c r="V145" s="35">
        <v>7.6</v>
      </c>
      <c r="W145" s="35">
        <v>9</v>
      </c>
      <c r="X145" s="35">
        <v>10.9</v>
      </c>
      <c r="Y145" s="35">
        <v>9</v>
      </c>
      <c r="Z145" s="35">
        <v>10.8</v>
      </c>
      <c r="AA145" s="35">
        <v>9</v>
      </c>
      <c r="AB145" s="35">
        <v>8.5</v>
      </c>
      <c r="AC145" s="35">
        <v>9</v>
      </c>
      <c r="AD145" s="35">
        <v>19.2</v>
      </c>
      <c r="AE145" s="35">
        <v>19</v>
      </c>
      <c r="AF145" s="35">
        <v>18.600000000000001</v>
      </c>
      <c r="AG145" s="35">
        <v>19</v>
      </c>
      <c r="AH145" s="35">
        <v>20.8</v>
      </c>
      <c r="AI145" s="35">
        <v>19</v>
      </c>
      <c r="AJ145" s="35">
        <v>19.399999999999999</v>
      </c>
      <c r="AK145" s="35">
        <v>19</v>
      </c>
      <c r="AL145" s="35">
        <v>20.399999999999999</v>
      </c>
      <c r="AM145" s="35">
        <v>19</v>
      </c>
      <c r="AN145" s="35">
        <v>19.100000000000001</v>
      </c>
      <c r="AO145" s="35">
        <v>19</v>
      </c>
      <c r="AP145" s="35">
        <v>20.9</v>
      </c>
      <c r="AQ145" s="35">
        <v>19</v>
      </c>
      <c r="AR145" s="35">
        <v>20.7</v>
      </c>
      <c r="AS145" s="35">
        <v>19</v>
      </c>
      <c r="AT145" s="35">
        <v>20.7</v>
      </c>
      <c r="AU145" s="35">
        <v>19</v>
      </c>
      <c r="AV145" s="35">
        <v>20.8</v>
      </c>
      <c r="AW145" s="35">
        <v>19</v>
      </c>
      <c r="AX145" s="35">
        <v>20.399999999999999</v>
      </c>
      <c r="AY145" s="35">
        <v>20</v>
      </c>
      <c r="AZ145" s="35">
        <v>20.3</v>
      </c>
      <c r="BA145" s="35">
        <v>20</v>
      </c>
      <c r="BB145" s="35">
        <v>32.1</v>
      </c>
      <c r="BC145" s="35">
        <v>40</v>
      </c>
      <c r="BD145" s="35">
        <v>31.1</v>
      </c>
      <c r="BE145" s="35">
        <v>40</v>
      </c>
      <c r="BF145" s="35">
        <v>21.8</v>
      </c>
      <c r="BG145" s="35">
        <v>20</v>
      </c>
    </row>
    <row r="146" spans="1:59" x14ac:dyDescent="0.35">
      <c r="A146" s="36">
        <v>46059.548611111109</v>
      </c>
      <c r="B146" s="35">
        <v>1.5</v>
      </c>
      <c r="C146" s="35">
        <v>2</v>
      </c>
      <c r="D146" s="35">
        <v>1.9</v>
      </c>
      <c r="E146" s="35">
        <v>2.2000000000000002</v>
      </c>
      <c r="F146" s="35">
        <v>3.6</v>
      </c>
      <c r="G146" s="35">
        <v>2</v>
      </c>
      <c r="H146" s="35">
        <v>7.5</v>
      </c>
      <c r="I146" s="35">
        <v>2</v>
      </c>
      <c r="J146" s="35">
        <v>2.4</v>
      </c>
      <c r="K146" s="35">
        <v>2</v>
      </c>
      <c r="L146" s="35">
        <v>3</v>
      </c>
      <c r="M146" s="35">
        <v>2</v>
      </c>
      <c r="N146" s="35">
        <v>2.2000000000000002</v>
      </c>
      <c r="O146" s="35">
        <v>3</v>
      </c>
      <c r="P146" s="35">
        <v>2.8</v>
      </c>
      <c r="Q146" s="35">
        <v>2</v>
      </c>
      <c r="R146" s="35">
        <v>1.7</v>
      </c>
      <c r="S146" s="35">
        <v>2</v>
      </c>
      <c r="T146" s="35">
        <v>1.1000000000000001</v>
      </c>
      <c r="U146" s="35">
        <v>2</v>
      </c>
      <c r="V146" s="35">
        <v>8.4</v>
      </c>
      <c r="W146" s="35">
        <v>9</v>
      </c>
      <c r="X146" s="35">
        <v>11</v>
      </c>
      <c r="Y146" s="35">
        <v>9</v>
      </c>
      <c r="Z146" s="35">
        <v>11</v>
      </c>
      <c r="AA146" s="35">
        <v>9</v>
      </c>
      <c r="AB146" s="35">
        <v>8.6999999999999993</v>
      </c>
      <c r="AC146" s="35">
        <v>9</v>
      </c>
      <c r="AD146" s="35">
        <v>19</v>
      </c>
      <c r="AE146" s="35">
        <v>19</v>
      </c>
      <c r="AF146" s="35">
        <v>18.5</v>
      </c>
      <c r="AG146" s="35">
        <v>19</v>
      </c>
      <c r="AH146" s="35">
        <v>20.8</v>
      </c>
      <c r="AI146" s="35">
        <v>19</v>
      </c>
      <c r="AJ146" s="35">
        <v>18.399999999999999</v>
      </c>
      <c r="AK146" s="35">
        <v>19</v>
      </c>
      <c r="AL146" s="35">
        <v>20.2</v>
      </c>
      <c r="AM146" s="35">
        <v>19</v>
      </c>
      <c r="AN146" s="35">
        <v>19.3</v>
      </c>
      <c r="AO146" s="35">
        <v>19</v>
      </c>
      <c r="AP146" s="35">
        <v>20.9</v>
      </c>
      <c r="AQ146" s="35">
        <v>19</v>
      </c>
      <c r="AR146" s="35">
        <v>20.7</v>
      </c>
      <c r="AS146" s="35">
        <v>19</v>
      </c>
      <c r="AT146" s="35">
        <v>20.7</v>
      </c>
      <c r="AU146" s="35">
        <v>19</v>
      </c>
      <c r="AV146" s="35">
        <v>20.8</v>
      </c>
      <c r="AW146" s="35">
        <v>19</v>
      </c>
      <c r="AX146" s="35">
        <v>20.399999999999999</v>
      </c>
      <c r="AY146" s="35">
        <v>20</v>
      </c>
      <c r="AZ146" s="35">
        <v>20.3</v>
      </c>
      <c r="BA146" s="35">
        <v>20</v>
      </c>
      <c r="BB146" s="35">
        <v>32.1</v>
      </c>
      <c r="BC146" s="35">
        <v>40</v>
      </c>
      <c r="BD146" s="35">
        <v>31.1</v>
      </c>
      <c r="BE146" s="35">
        <v>40</v>
      </c>
      <c r="BF146" s="35">
        <v>21.8</v>
      </c>
      <c r="BG146" s="35">
        <v>20</v>
      </c>
    </row>
    <row r="147" spans="1:59" x14ac:dyDescent="0.35">
      <c r="A147" s="36">
        <v>46059.549305555556</v>
      </c>
      <c r="B147" s="35">
        <v>1.8</v>
      </c>
      <c r="C147" s="35">
        <v>2</v>
      </c>
      <c r="D147" s="35">
        <v>2.4</v>
      </c>
      <c r="E147" s="35">
        <v>2.2000000000000002</v>
      </c>
      <c r="F147" s="35">
        <v>3.6</v>
      </c>
      <c r="G147" s="35">
        <v>2</v>
      </c>
      <c r="H147" s="35">
        <v>8.1</v>
      </c>
      <c r="I147" s="35">
        <v>2</v>
      </c>
      <c r="J147" s="35">
        <v>2.6</v>
      </c>
      <c r="K147" s="35">
        <v>2</v>
      </c>
      <c r="L147" s="35">
        <v>3</v>
      </c>
      <c r="M147" s="35">
        <v>2</v>
      </c>
      <c r="N147" s="35">
        <v>2.5</v>
      </c>
      <c r="O147" s="35">
        <v>3</v>
      </c>
      <c r="P147" s="35">
        <v>3.1</v>
      </c>
      <c r="Q147" s="35">
        <v>2</v>
      </c>
      <c r="R147" s="35">
        <v>1.8</v>
      </c>
      <c r="S147" s="35">
        <v>2</v>
      </c>
      <c r="T147" s="35">
        <v>1.4</v>
      </c>
      <c r="U147" s="35">
        <v>2</v>
      </c>
      <c r="V147" s="35">
        <v>9.1999999999999993</v>
      </c>
      <c r="W147" s="35">
        <v>9</v>
      </c>
      <c r="X147" s="35">
        <v>10.5</v>
      </c>
      <c r="Y147" s="35">
        <v>9</v>
      </c>
      <c r="Z147" s="35">
        <v>10.9</v>
      </c>
      <c r="AA147" s="35">
        <v>9</v>
      </c>
      <c r="AB147" s="35">
        <v>9.3000000000000007</v>
      </c>
      <c r="AC147" s="35">
        <v>9</v>
      </c>
      <c r="AD147" s="35">
        <v>19</v>
      </c>
      <c r="AE147" s="35">
        <v>19</v>
      </c>
      <c r="AF147" s="35">
        <v>18.5</v>
      </c>
      <c r="AG147" s="35">
        <v>19</v>
      </c>
      <c r="AH147" s="35">
        <v>20.9</v>
      </c>
      <c r="AI147" s="35">
        <v>19</v>
      </c>
      <c r="AJ147" s="35">
        <v>18.399999999999999</v>
      </c>
      <c r="AK147" s="35">
        <v>19</v>
      </c>
      <c r="AL147" s="35">
        <v>20.100000000000001</v>
      </c>
      <c r="AM147" s="35">
        <v>19</v>
      </c>
      <c r="AN147" s="35">
        <v>19.5</v>
      </c>
      <c r="AO147" s="35">
        <v>19</v>
      </c>
      <c r="AP147" s="35">
        <v>20.9</v>
      </c>
      <c r="AQ147" s="35">
        <v>19</v>
      </c>
      <c r="AR147" s="35">
        <v>20.7</v>
      </c>
      <c r="AS147" s="35">
        <v>19</v>
      </c>
      <c r="AT147" s="35">
        <v>20.8</v>
      </c>
      <c r="AU147" s="35">
        <v>19</v>
      </c>
      <c r="AV147" s="35">
        <v>20.9</v>
      </c>
      <c r="AW147" s="35">
        <v>19</v>
      </c>
      <c r="AX147" s="35">
        <v>20.399999999999999</v>
      </c>
      <c r="AY147" s="35">
        <v>20</v>
      </c>
      <c r="AZ147" s="35">
        <v>20.3</v>
      </c>
      <c r="BA147" s="35">
        <v>20</v>
      </c>
      <c r="BB147" s="35">
        <v>32.1</v>
      </c>
      <c r="BC147" s="35">
        <v>40</v>
      </c>
      <c r="BD147" s="35">
        <v>31.1</v>
      </c>
      <c r="BE147" s="35">
        <v>40</v>
      </c>
      <c r="BF147" s="35">
        <v>21.8</v>
      </c>
      <c r="BG147" s="35">
        <v>20</v>
      </c>
    </row>
    <row r="148" spans="1:59" x14ac:dyDescent="0.35">
      <c r="A148" s="36">
        <v>46059.55</v>
      </c>
      <c r="B148" s="35">
        <v>2.2000000000000002</v>
      </c>
      <c r="C148" s="35">
        <v>2</v>
      </c>
      <c r="D148" s="35">
        <v>2.8</v>
      </c>
      <c r="E148" s="35">
        <v>2.2000000000000002</v>
      </c>
      <c r="F148" s="35">
        <v>3.6</v>
      </c>
      <c r="G148" s="35">
        <v>2</v>
      </c>
      <c r="H148" s="35">
        <v>8.5</v>
      </c>
      <c r="I148" s="35">
        <v>2</v>
      </c>
      <c r="J148" s="35">
        <v>2.8</v>
      </c>
      <c r="K148" s="35">
        <v>2</v>
      </c>
      <c r="L148" s="35">
        <v>3</v>
      </c>
      <c r="M148" s="35">
        <v>2</v>
      </c>
      <c r="N148" s="35">
        <v>2.8</v>
      </c>
      <c r="O148" s="35">
        <v>3</v>
      </c>
      <c r="P148" s="35">
        <v>3.3</v>
      </c>
      <c r="Q148" s="35">
        <v>2</v>
      </c>
      <c r="R148" s="35">
        <v>2.1</v>
      </c>
      <c r="S148" s="35">
        <v>2</v>
      </c>
      <c r="T148" s="35">
        <v>1.7</v>
      </c>
      <c r="U148" s="35">
        <v>2</v>
      </c>
      <c r="V148" s="35">
        <v>9.8000000000000007</v>
      </c>
      <c r="W148" s="35">
        <v>9</v>
      </c>
      <c r="X148" s="35">
        <v>9.9</v>
      </c>
      <c r="Y148" s="35">
        <v>9</v>
      </c>
      <c r="Z148" s="35">
        <v>10.3</v>
      </c>
      <c r="AA148" s="35">
        <v>9</v>
      </c>
      <c r="AB148" s="35">
        <v>9.9</v>
      </c>
      <c r="AC148" s="35">
        <v>9</v>
      </c>
      <c r="AD148" s="35">
        <v>19.100000000000001</v>
      </c>
      <c r="AE148" s="35">
        <v>19</v>
      </c>
      <c r="AF148" s="35">
        <v>18.5</v>
      </c>
      <c r="AG148" s="35">
        <v>19</v>
      </c>
      <c r="AH148" s="35">
        <v>20.9</v>
      </c>
      <c r="AI148" s="35">
        <v>19</v>
      </c>
      <c r="AJ148" s="35">
        <v>18.5</v>
      </c>
      <c r="AK148" s="35">
        <v>19</v>
      </c>
      <c r="AL148" s="35">
        <v>20</v>
      </c>
      <c r="AM148" s="35">
        <v>19</v>
      </c>
      <c r="AN148" s="35">
        <v>19.7</v>
      </c>
      <c r="AO148" s="35">
        <v>19</v>
      </c>
      <c r="AP148" s="35">
        <v>20.2</v>
      </c>
      <c r="AQ148" s="35">
        <v>19</v>
      </c>
      <c r="AR148" s="35">
        <v>20.7</v>
      </c>
      <c r="AS148" s="35">
        <v>19</v>
      </c>
      <c r="AT148" s="35">
        <v>20.9</v>
      </c>
      <c r="AU148" s="35">
        <v>19</v>
      </c>
      <c r="AV148" s="35">
        <v>20.9</v>
      </c>
      <c r="AW148" s="35">
        <v>19</v>
      </c>
      <c r="AX148" s="35">
        <v>20.399999999999999</v>
      </c>
      <c r="AY148" s="35">
        <v>20</v>
      </c>
      <c r="AZ148" s="35">
        <v>20.399999999999999</v>
      </c>
      <c r="BA148" s="35">
        <v>20</v>
      </c>
      <c r="BB148" s="35">
        <v>32.200000000000003</v>
      </c>
      <c r="BC148" s="35">
        <v>40</v>
      </c>
      <c r="BD148" s="35">
        <v>31.1</v>
      </c>
      <c r="BE148" s="35">
        <v>40</v>
      </c>
      <c r="BF148" s="35">
        <v>21.8</v>
      </c>
      <c r="BG148" s="35">
        <v>20</v>
      </c>
    </row>
    <row r="149" spans="1:59" x14ac:dyDescent="0.35">
      <c r="A149" s="36">
        <v>46059.550694444442</v>
      </c>
      <c r="B149" s="35">
        <v>2.7</v>
      </c>
      <c r="C149" s="35">
        <v>2</v>
      </c>
      <c r="D149" s="35">
        <v>3.2</v>
      </c>
      <c r="E149" s="35">
        <v>2.2000000000000002</v>
      </c>
      <c r="F149" s="35">
        <v>3.6</v>
      </c>
      <c r="G149" s="35">
        <v>2</v>
      </c>
      <c r="H149" s="35">
        <v>9</v>
      </c>
      <c r="I149" s="35">
        <v>2</v>
      </c>
      <c r="J149" s="35">
        <v>3</v>
      </c>
      <c r="K149" s="35">
        <v>2</v>
      </c>
      <c r="L149" s="35">
        <v>3</v>
      </c>
      <c r="M149" s="35">
        <v>2</v>
      </c>
      <c r="N149" s="35">
        <v>3.1</v>
      </c>
      <c r="O149" s="35">
        <v>3</v>
      </c>
      <c r="P149" s="35">
        <v>3.5</v>
      </c>
      <c r="Q149" s="35">
        <v>2</v>
      </c>
      <c r="R149" s="35">
        <v>2.4</v>
      </c>
      <c r="S149" s="35">
        <v>2</v>
      </c>
      <c r="T149" s="35">
        <v>2</v>
      </c>
      <c r="U149" s="35">
        <v>2</v>
      </c>
      <c r="V149" s="35">
        <v>10.3</v>
      </c>
      <c r="W149" s="35">
        <v>9</v>
      </c>
      <c r="X149" s="35">
        <v>9.1</v>
      </c>
      <c r="Y149" s="35">
        <v>9</v>
      </c>
      <c r="Z149" s="35">
        <v>9.9</v>
      </c>
      <c r="AA149" s="35">
        <v>9</v>
      </c>
      <c r="AB149" s="35">
        <v>10.4</v>
      </c>
      <c r="AC149" s="35">
        <v>9</v>
      </c>
      <c r="AD149" s="35">
        <v>19.2</v>
      </c>
      <c r="AE149" s="35">
        <v>19</v>
      </c>
      <c r="AF149" s="35">
        <v>18.5</v>
      </c>
      <c r="AG149" s="35">
        <v>19</v>
      </c>
      <c r="AH149" s="35">
        <v>20.9</v>
      </c>
      <c r="AI149" s="35">
        <v>19</v>
      </c>
      <c r="AJ149" s="35">
        <v>18.8</v>
      </c>
      <c r="AK149" s="35">
        <v>19</v>
      </c>
      <c r="AL149" s="35">
        <v>20</v>
      </c>
      <c r="AM149" s="35">
        <v>19</v>
      </c>
      <c r="AN149" s="35">
        <v>19.8</v>
      </c>
      <c r="AO149" s="35">
        <v>19</v>
      </c>
      <c r="AP149" s="35">
        <v>19.600000000000001</v>
      </c>
      <c r="AQ149" s="35">
        <v>19</v>
      </c>
      <c r="AR149" s="35">
        <v>20.7</v>
      </c>
      <c r="AS149" s="35">
        <v>19</v>
      </c>
      <c r="AT149" s="35">
        <v>20.9</v>
      </c>
      <c r="AU149" s="35">
        <v>19</v>
      </c>
      <c r="AV149" s="35">
        <v>20.9</v>
      </c>
      <c r="AW149" s="35">
        <v>19</v>
      </c>
      <c r="AX149" s="35">
        <v>20.399999999999999</v>
      </c>
      <c r="AY149" s="35">
        <v>20</v>
      </c>
      <c r="AZ149" s="35">
        <v>20.5</v>
      </c>
      <c r="BA149" s="35">
        <v>20</v>
      </c>
      <c r="BB149" s="35">
        <v>32.200000000000003</v>
      </c>
      <c r="BC149" s="35">
        <v>40</v>
      </c>
      <c r="BD149" s="35">
        <v>31.2</v>
      </c>
      <c r="BE149" s="35">
        <v>40</v>
      </c>
      <c r="BF149" s="35">
        <v>21.8</v>
      </c>
      <c r="BG149" s="35">
        <v>20</v>
      </c>
    </row>
    <row r="150" spans="1:59" x14ac:dyDescent="0.35">
      <c r="A150" s="36">
        <v>46059.551388888889</v>
      </c>
      <c r="B150" s="35">
        <v>3</v>
      </c>
      <c r="C150" s="35">
        <v>2</v>
      </c>
      <c r="D150" s="35">
        <v>3.5</v>
      </c>
      <c r="E150" s="35">
        <v>2.2000000000000002</v>
      </c>
      <c r="F150" s="35">
        <v>3.6</v>
      </c>
      <c r="G150" s="35">
        <v>2</v>
      </c>
      <c r="H150" s="35">
        <v>9.4</v>
      </c>
      <c r="I150" s="35">
        <v>2</v>
      </c>
      <c r="J150" s="35">
        <v>3.2</v>
      </c>
      <c r="K150" s="35">
        <v>2</v>
      </c>
      <c r="L150" s="35">
        <v>3</v>
      </c>
      <c r="M150" s="35">
        <v>2</v>
      </c>
      <c r="N150" s="35">
        <v>3.4</v>
      </c>
      <c r="O150" s="35">
        <v>3</v>
      </c>
      <c r="P150" s="35">
        <v>3.7</v>
      </c>
      <c r="Q150" s="35">
        <v>2</v>
      </c>
      <c r="R150" s="35">
        <v>2.6</v>
      </c>
      <c r="S150" s="35">
        <v>2</v>
      </c>
      <c r="T150" s="35">
        <v>2.2999999999999998</v>
      </c>
      <c r="U150" s="35">
        <v>2</v>
      </c>
      <c r="V150" s="35">
        <v>10.7</v>
      </c>
      <c r="W150" s="35">
        <v>9</v>
      </c>
      <c r="X150" s="35">
        <v>8.4</v>
      </c>
      <c r="Y150" s="35">
        <v>9</v>
      </c>
      <c r="Z150" s="35">
        <v>9.5</v>
      </c>
      <c r="AA150" s="35">
        <v>9</v>
      </c>
      <c r="AB150" s="35">
        <v>10.8</v>
      </c>
      <c r="AC150" s="35">
        <v>9</v>
      </c>
      <c r="AD150" s="35">
        <v>19.3</v>
      </c>
      <c r="AE150" s="35">
        <v>19</v>
      </c>
      <c r="AF150" s="35">
        <v>18.600000000000001</v>
      </c>
      <c r="AG150" s="35">
        <v>19</v>
      </c>
      <c r="AH150" s="35">
        <v>21</v>
      </c>
      <c r="AI150" s="35">
        <v>19</v>
      </c>
      <c r="AJ150" s="35">
        <v>19</v>
      </c>
      <c r="AK150" s="35">
        <v>19</v>
      </c>
      <c r="AL150" s="35">
        <v>20</v>
      </c>
      <c r="AM150" s="35">
        <v>19</v>
      </c>
      <c r="AN150" s="35">
        <v>19.899999999999999</v>
      </c>
      <c r="AO150" s="35">
        <v>19</v>
      </c>
      <c r="AP150" s="35">
        <v>18.899999999999999</v>
      </c>
      <c r="AQ150" s="35">
        <v>19</v>
      </c>
      <c r="AR150" s="35">
        <v>20.7</v>
      </c>
      <c r="AS150" s="35">
        <v>19</v>
      </c>
      <c r="AT150" s="35">
        <v>21</v>
      </c>
      <c r="AU150" s="35">
        <v>19</v>
      </c>
      <c r="AV150" s="35">
        <v>21</v>
      </c>
      <c r="AW150" s="35">
        <v>19</v>
      </c>
      <c r="AX150" s="35">
        <v>20.399999999999999</v>
      </c>
      <c r="AY150" s="35">
        <v>20</v>
      </c>
      <c r="AZ150" s="35">
        <v>20.6</v>
      </c>
      <c r="BA150" s="35">
        <v>20</v>
      </c>
      <c r="BB150" s="35">
        <v>32.200000000000003</v>
      </c>
      <c r="BC150" s="35">
        <v>40</v>
      </c>
      <c r="BD150" s="35">
        <v>31.2</v>
      </c>
      <c r="BE150" s="35">
        <v>40</v>
      </c>
      <c r="BF150" s="35">
        <v>21.8</v>
      </c>
      <c r="BG150" s="35">
        <v>20</v>
      </c>
    </row>
    <row r="151" spans="1:59" x14ac:dyDescent="0.35">
      <c r="A151" s="36">
        <v>46059.552083333336</v>
      </c>
      <c r="B151" s="35">
        <v>3.2</v>
      </c>
      <c r="C151" s="35">
        <v>2</v>
      </c>
      <c r="D151" s="35">
        <v>3.8</v>
      </c>
      <c r="E151" s="35">
        <v>2.2000000000000002</v>
      </c>
      <c r="F151" s="35">
        <v>3.6</v>
      </c>
      <c r="G151" s="35">
        <v>2</v>
      </c>
      <c r="H151" s="35">
        <v>9.8000000000000007</v>
      </c>
      <c r="I151" s="35">
        <v>2</v>
      </c>
      <c r="J151" s="35">
        <v>3.5</v>
      </c>
      <c r="K151" s="35">
        <v>2</v>
      </c>
      <c r="L151" s="35">
        <v>3</v>
      </c>
      <c r="M151" s="35">
        <v>2</v>
      </c>
      <c r="N151" s="35">
        <v>3.6</v>
      </c>
      <c r="O151" s="35">
        <v>3</v>
      </c>
      <c r="P151" s="35">
        <v>3.8</v>
      </c>
      <c r="Q151" s="35">
        <v>2</v>
      </c>
      <c r="R151" s="35">
        <v>2.8</v>
      </c>
      <c r="S151" s="35">
        <v>2</v>
      </c>
      <c r="T151" s="35">
        <v>2.6</v>
      </c>
      <c r="U151" s="35">
        <v>2</v>
      </c>
      <c r="V151" s="35">
        <v>11.1</v>
      </c>
      <c r="W151" s="35">
        <v>9</v>
      </c>
      <c r="X151" s="35">
        <v>8.1999999999999993</v>
      </c>
      <c r="Y151" s="35">
        <v>9</v>
      </c>
      <c r="Z151" s="35">
        <v>9.4</v>
      </c>
      <c r="AA151" s="35">
        <v>9</v>
      </c>
      <c r="AB151" s="35">
        <v>11.1</v>
      </c>
      <c r="AC151" s="35">
        <v>9</v>
      </c>
      <c r="AD151" s="35">
        <v>19.399999999999999</v>
      </c>
      <c r="AE151" s="35">
        <v>19</v>
      </c>
      <c r="AF151" s="35">
        <v>18.7</v>
      </c>
      <c r="AG151" s="35">
        <v>19</v>
      </c>
      <c r="AH151" s="35">
        <v>20.399999999999999</v>
      </c>
      <c r="AI151" s="35">
        <v>19</v>
      </c>
      <c r="AJ151" s="35">
        <v>19.2</v>
      </c>
      <c r="AK151" s="35">
        <v>19</v>
      </c>
      <c r="AL151" s="35">
        <v>20</v>
      </c>
      <c r="AM151" s="35">
        <v>19</v>
      </c>
      <c r="AN151" s="35">
        <v>20</v>
      </c>
      <c r="AO151" s="35">
        <v>19</v>
      </c>
      <c r="AP151" s="35">
        <v>18.8</v>
      </c>
      <c r="AQ151" s="35">
        <v>19</v>
      </c>
      <c r="AR151" s="35">
        <v>20.7</v>
      </c>
      <c r="AS151" s="35">
        <v>19</v>
      </c>
      <c r="AT151" s="35">
        <v>20.6</v>
      </c>
      <c r="AU151" s="35">
        <v>19</v>
      </c>
      <c r="AV151" s="35">
        <v>20.5</v>
      </c>
      <c r="AW151" s="35">
        <v>19</v>
      </c>
      <c r="AX151" s="35">
        <v>20.399999999999999</v>
      </c>
      <c r="AY151" s="35">
        <v>20</v>
      </c>
      <c r="AZ151" s="35">
        <v>20.6</v>
      </c>
      <c r="BA151" s="35">
        <v>20</v>
      </c>
      <c r="BB151" s="35">
        <v>32.200000000000003</v>
      </c>
      <c r="BC151" s="35">
        <v>40</v>
      </c>
      <c r="BD151" s="35">
        <v>31.2</v>
      </c>
      <c r="BE151" s="35">
        <v>40</v>
      </c>
      <c r="BF151" s="35">
        <v>21.8</v>
      </c>
      <c r="BG151" s="35">
        <v>20</v>
      </c>
    </row>
    <row r="152" spans="1:59" x14ac:dyDescent="0.35">
      <c r="A152" s="36">
        <v>46059.552777777775</v>
      </c>
      <c r="B152" s="35">
        <v>3.6</v>
      </c>
      <c r="C152" s="35">
        <v>2</v>
      </c>
      <c r="D152" s="35">
        <v>4.0999999999999996</v>
      </c>
      <c r="E152" s="35">
        <v>2.2000000000000002</v>
      </c>
      <c r="F152" s="35">
        <v>3.6</v>
      </c>
      <c r="G152" s="35">
        <v>2</v>
      </c>
      <c r="H152" s="35">
        <v>10.1</v>
      </c>
      <c r="I152" s="35">
        <v>2</v>
      </c>
      <c r="J152" s="35">
        <v>3.7</v>
      </c>
      <c r="K152" s="35">
        <v>2</v>
      </c>
      <c r="L152" s="35">
        <v>3</v>
      </c>
      <c r="M152" s="35">
        <v>2</v>
      </c>
      <c r="N152" s="35">
        <v>3.8</v>
      </c>
      <c r="O152" s="35">
        <v>3</v>
      </c>
      <c r="P152" s="35">
        <v>3.9</v>
      </c>
      <c r="Q152" s="35">
        <v>2</v>
      </c>
      <c r="R152" s="35">
        <v>3</v>
      </c>
      <c r="S152" s="35">
        <v>2</v>
      </c>
      <c r="T152" s="35">
        <v>2.7</v>
      </c>
      <c r="U152" s="35">
        <v>2</v>
      </c>
      <c r="V152" s="35">
        <v>10.4</v>
      </c>
      <c r="W152" s="35">
        <v>9</v>
      </c>
      <c r="X152" s="35">
        <v>8.3000000000000007</v>
      </c>
      <c r="Y152" s="35">
        <v>9</v>
      </c>
      <c r="Z152" s="35">
        <v>9.4</v>
      </c>
      <c r="AA152" s="35">
        <v>9</v>
      </c>
      <c r="AB152" s="35">
        <v>11</v>
      </c>
      <c r="AC152" s="35">
        <v>9</v>
      </c>
      <c r="AD152" s="35">
        <v>19.399999999999999</v>
      </c>
      <c r="AE152" s="35">
        <v>19</v>
      </c>
      <c r="AF152" s="35">
        <v>18.8</v>
      </c>
      <c r="AG152" s="35">
        <v>19</v>
      </c>
      <c r="AH152" s="35">
        <v>19.2</v>
      </c>
      <c r="AI152" s="35">
        <v>19</v>
      </c>
      <c r="AJ152" s="35">
        <v>19.3</v>
      </c>
      <c r="AK152" s="35">
        <v>19</v>
      </c>
      <c r="AL152" s="35">
        <v>20</v>
      </c>
      <c r="AM152" s="35">
        <v>19</v>
      </c>
      <c r="AN152" s="35">
        <v>20.100000000000001</v>
      </c>
      <c r="AO152" s="35">
        <v>19</v>
      </c>
      <c r="AP152" s="35">
        <v>18.8</v>
      </c>
      <c r="AQ152" s="35">
        <v>19</v>
      </c>
      <c r="AR152" s="35">
        <v>20.7</v>
      </c>
      <c r="AS152" s="35">
        <v>19</v>
      </c>
      <c r="AT152" s="35">
        <v>19.399999999999999</v>
      </c>
      <c r="AU152" s="35">
        <v>19</v>
      </c>
      <c r="AV152" s="35">
        <v>19</v>
      </c>
      <c r="AW152" s="35">
        <v>19</v>
      </c>
      <c r="AX152" s="35">
        <v>20.399999999999999</v>
      </c>
      <c r="AY152" s="35">
        <v>20</v>
      </c>
      <c r="AZ152" s="35">
        <v>20.5</v>
      </c>
      <c r="BA152" s="35">
        <v>20</v>
      </c>
      <c r="BB152" s="35">
        <v>32.200000000000003</v>
      </c>
      <c r="BC152" s="35">
        <v>40</v>
      </c>
      <c r="BD152" s="35">
        <v>31.2</v>
      </c>
      <c r="BE152" s="35">
        <v>40</v>
      </c>
      <c r="BF152" s="35">
        <v>21.8</v>
      </c>
      <c r="BG152" s="35">
        <v>20</v>
      </c>
    </row>
    <row r="153" spans="1:59" x14ac:dyDescent="0.35">
      <c r="A153" s="36">
        <v>46059.553472222222</v>
      </c>
      <c r="B153" s="35">
        <v>3.6</v>
      </c>
      <c r="C153" s="35">
        <v>2</v>
      </c>
      <c r="D153" s="35">
        <v>4</v>
      </c>
      <c r="E153" s="35">
        <v>2.2000000000000002</v>
      </c>
      <c r="F153" s="35">
        <v>3.6</v>
      </c>
      <c r="G153" s="35">
        <v>2</v>
      </c>
      <c r="H153" s="35">
        <v>10.1</v>
      </c>
      <c r="I153" s="35">
        <v>2</v>
      </c>
      <c r="J153" s="35">
        <v>3.8</v>
      </c>
      <c r="K153" s="35">
        <v>2</v>
      </c>
      <c r="L153" s="35">
        <v>3</v>
      </c>
      <c r="M153" s="35">
        <v>2</v>
      </c>
      <c r="N153" s="35">
        <v>3.5</v>
      </c>
      <c r="O153" s="35">
        <v>3</v>
      </c>
      <c r="P153" s="35">
        <v>3.7</v>
      </c>
      <c r="Q153" s="35">
        <v>2</v>
      </c>
      <c r="R153" s="35">
        <v>3.1</v>
      </c>
      <c r="S153" s="35">
        <v>2</v>
      </c>
      <c r="T153" s="35">
        <v>2.9</v>
      </c>
      <c r="U153" s="35">
        <v>2</v>
      </c>
      <c r="V153" s="35">
        <v>9.1999999999999993</v>
      </c>
      <c r="W153" s="35">
        <v>9</v>
      </c>
      <c r="X153" s="35">
        <v>8.5</v>
      </c>
      <c r="Y153" s="35">
        <v>9</v>
      </c>
      <c r="Z153" s="35">
        <v>9</v>
      </c>
      <c r="AA153" s="35">
        <v>9</v>
      </c>
      <c r="AB153" s="35">
        <v>9.5</v>
      </c>
      <c r="AC153" s="35">
        <v>9</v>
      </c>
      <c r="AD153" s="35">
        <v>19.5</v>
      </c>
      <c r="AE153" s="35">
        <v>19</v>
      </c>
      <c r="AF153" s="35">
        <v>18.899999999999999</v>
      </c>
      <c r="AG153" s="35">
        <v>19</v>
      </c>
      <c r="AH153" s="35">
        <v>18.3</v>
      </c>
      <c r="AI153" s="35">
        <v>19</v>
      </c>
      <c r="AJ153" s="35">
        <v>19.5</v>
      </c>
      <c r="AK153" s="35">
        <v>19</v>
      </c>
      <c r="AL153" s="35">
        <v>20</v>
      </c>
      <c r="AM153" s="35">
        <v>19</v>
      </c>
      <c r="AN153" s="35">
        <v>20.2</v>
      </c>
      <c r="AO153" s="35">
        <v>19</v>
      </c>
      <c r="AP153" s="35">
        <v>18.8</v>
      </c>
      <c r="AQ153" s="35">
        <v>19</v>
      </c>
      <c r="AR153" s="35">
        <v>20.7</v>
      </c>
      <c r="AS153" s="35">
        <v>19</v>
      </c>
      <c r="AT153" s="35">
        <v>18.399999999999999</v>
      </c>
      <c r="AU153" s="35">
        <v>19</v>
      </c>
      <c r="AV153" s="35">
        <v>18</v>
      </c>
      <c r="AW153" s="35">
        <v>19</v>
      </c>
      <c r="AX153" s="35">
        <v>20.399999999999999</v>
      </c>
      <c r="AY153" s="35">
        <v>20</v>
      </c>
      <c r="AZ153" s="35">
        <v>20.5</v>
      </c>
      <c r="BA153" s="35">
        <v>20</v>
      </c>
      <c r="BB153" s="35">
        <v>32.200000000000003</v>
      </c>
      <c r="BC153" s="35">
        <v>40</v>
      </c>
      <c r="BD153" s="35">
        <v>31.2</v>
      </c>
      <c r="BE153" s="35">
        <v>40</v>
      </c>
      <c r="BF153" s="35">
        <v>21.8</v>
      </c>
      <c r="BG153" s="35">
        <v>20</v>
      </c>
    </row>
    <row r="154" spans="1:59" x14ac:dyDescent="0.35">
      <c r="A154" s="36">
        <v>46059.554166666669</v>
      </c>
      <c r="B154" s="35">
        <v>3.6</v>
      </c>
      <c r="C154" s="35">
        <v>2</v>
      </c>
      <c r="D154" s="35">
        <v>4</v>
      </c>
      <c r="E154" s="35">
        <v>2.2000000000000002</v>
      </c>
      <c r="F154" s="35">
        <v>10.3</v>
      </c>
      <c r="G154" s="35">
        <v>2</v>
      </c>
      <c r="H154" s="35">
        <v>9.6</v>
      </c>
      <c r="I154" s="35">
        <v>2</v>
      </c>
      <c r="J154" s="35">
        <v>4</v>
      </c>
      <c r="K154" s="35">
        <v>2</v>
      </c>
      <c r="L154" s="35">
        <v>3</v>
      </c>
      <c r="M154" s="35">
        <v>2</v>
      </c>
      <c r="N154" s="35">
        <v>2</v>
      </c>
      <c r="O154" s="35">
        <v>3</v>
      </c>
      <c r="P154" s="35">
        <v>2.8</v>
      </c>
      <c r="Q154" s="35">
        <v>2</v>
      </c>
      <c r="R154" s="35">
        <v>3.3</v>
      </c>
      <c r="S154" s="35">
        <v>2</v>
      </c>
      <c r="T154" s="35">
        <v>3</v>
      </c>
      <c r="U154" s="35">
        <v>2</v>
      </c>
      <c r="V154" s="35">
        <v>7.7</v>
      </c>
      <c r="W154" s="35">
        <v>9</v>
      </c>
      <c r="X154" s="35">
        <v>8.8000000000000007</v>
      </c>
      <c r="Y154" s="35">
        <v>9</v>
      </c>
      <c r="Z154" s="35">
        <v>8.9</v>
      </c>
      <c r="AA154" s="35">
        <v>9</v>
      </c>
      <c r="AB154" s="35">
        <v>8.9</v>
      </c>
      <c r="AC154" s="35">
        <v>9</v>
      </c>
      <c r="AD154" s="35">
        <v>19.600000000000001</v>
      </c>
      <c r="AE154" s="35">
        <v>19</v>
      </c>
      <c r="AF154" s="35">
        <v>19</v>
      </c>
      <c r="AG154" s="35">
        <v>19</v>
      </c>
      <c r="AH154" s="35">
        <v>18.3</v>
      </c>
      <c r="AI154" s="35">
        <v>19</v>
      </c>
      <c r="AJ154" s="35">
        <v>19.600000000000001</v>
      </c>
      <c r="AK154" s="35">
        <v>19</v>
      </c>
      <c r="AL154" s="35">
        <v>19.899999999999999</v>
      </c>
      <c r="AM154" s="35">
        <v>19</v>
      </c>
      <c r="AN154" s="35">
        <v>20.2</v>
      </c>
      <c r="AO154" s="35">
        <v>19</v>
      </c>
      <c r="AP154" s="35">
        <v>18.899999999999999</v>
      </c>
      <c r="AQ154" s="35">
        <v>19</v>
      </c>
      <c r="AR154" s="35">
        <v>20.7</v>
      </c>
      <c r="AS154" s="35">
        <v>19</v>
      </c>
      <c r="AT154" s="35">
        <v>18.399999999999999</v>
      </c>
      <c r="AU154" s="35">
        <v>19</v>
      </c>
      <c r="AV154" s="35">
        <v>17.899999999999999</v>
      </c>
      <c r="AW154" s="35">
        <v>19</v>
      </c>
      <c r="AX154" s="35">
        <v>20.399999999999999</v>
      </c>
      <c r="AY154" s="35">
        <v>20</v>
      </c>
      <c r="AZ154" s="35">
        <v>20.5</v>
      </c>
      <c r="BA154" s="35">
        <v>20</v>
      </c>
      <c r="BB154" s="35">
        <v>32.200000000000003</v>
      </c>
      <c r="BC154" s="35">
        <v>40</v>
      </c>
      <c r="BD154" s="35">
        <v>31.2</v>
      </c>
      <c r="BE154" s="35">
        <v>40</v>
      </c>
      <c r="BF154" s="35">
        <v>21.8</v>
      </c>
      <c r="BG154" s="35">
        <v>20</v>
      </c>
    </row>
    <row r="155" spans="1:59" x14ac:dyDescent="0.35">
      <c r="A155" s="36">
        <v>46059.554861111108</v>
      </c>
      <c r="B155" s="35">
        <v>3.8</v>
      </c>
      <c r="C155" s="35">
        <v>2</v>
      </c>
      <c r="D155" s="35">
        <v>4.0999999999999996</v>
      </c>
      <c r="E155" s="35">
        <v>2.2000000000000002</v>
      </c>
      <c r="F155" s="35">
        <v>8</v>
      </c>
      <c r="G155" s="35">
        <v>2</v>
      </c>
      <c r="H155" s="35">
        <v>6.4</v>
      </c>
      <c r="I155" s="35">
        <v>2</v>
      </c>
      <c r="J155" s="35">
        <v>3.6</v>
      </c>
      <c r="K155" s="35">
        <v>2</v>
      </c>
      <c r="L155" s="35">
        <v>3</v>
      </c>
      <c r="M155" s="35">
        <v>2</v>
      </c>
      <c r="N155" s="35">
        <v>1.1000000000000001</v>
      </c>
      <c r="O155" s="35">
        <v>3</v>
      </c>
      <c r="P155" s="35">
        <v>1.9</v>
      </c>
      <c r="Q155" s="35">
        <v>2</v>
      </c>
      <c r="R155" s="35">
        <v>3.4</v>
      </c>
      <c r="S155" s="35">
        <v>2</v>
      </c>
      <c r="T155" s="35">
        <v>3.2</v>
      </c>
      <c r="U155" s="35">
        <v>2</v>
      </c>
      <c r="V155" s="35">
        <v>7.8</v>
      </c>
      <c r="W155" s="35">
        <v>9</v>
      </c>
      <c r="X155" s="35">
        <v>9</v>
      </c>
      <c r="Y155" s="35">
        <v>9</v>
      </c>
      <c r="Z155" s="35">
        <v>9.1</v>
      </c>
      <c r="AA155" s="35">
        <v>9</v>
      </c>
      <c r="AB155" s="35">
        <v>8.9</v>
      </c>
      <c r="AC155" s="35">
        <v>9</v>
      </c>
      <c r="AD155" s="35">
        <v>19.7</v>
      </c>
      <c r="AE155" s="35">
        <v>19</v>
      </c>
      <c r="AF155" s="35">
        <v>19</v>
      </c>
      <c r="AG155" s="35">
        <v>19</v>
      </c>
      <c r="AH155" s="35">
        <v>18.5</v>
      </c>
      <c r="AI155" s="35">
        <v>19</v>
      </c>
      <c r="AJ155" s="35">
        <v>19.7</v>
      </c>
      <c r="AK155" s="35">
        <v>19</v>
      </c>
      <c r="AL155" s="35">
        <v>19.899999999999999</v>
      </c>
      <c r="AM155" s="35">
        <v>19</v>
      </c>
      <c r="AN155" s="35">
        <v>20.3</v>
      </c>
      <c r="AO155" s="35">
        <v>19</v>
      </c>
      <c r="AP155" s="35">
        <v>19</v>
      </c>
      <c r="AQ155" s="35">
        <v>19</v>
      </c>
      <c r="AR155" s="35">
        <v>20.7</v>
      </c>
      <c r="AS155" s="35">
        <v>19</v>
      </c>
      <c r="AT155" s="35">
        <v>18.399999999999999</v>
      </c>
      <c r="AU155" s="35">
        <v>19</v>
      </c>
      <c r="AV155" s="35">
        <v>17.899999999999999</v>
      </c>
      <c r="AW155" s="35">
        <v>19</v>
      </c>
      <c r="AX155" s="35">
        <v>20.5</v>
      </c>
      <c r="AY155" s="35">
        <v>20</v>
      </c>
      <c r="AZ155" s="35">
        <v>20.5</v>
      </c>
      <c r="BA155" s="35">
        <v>20</v>
      </c>
      <c r="BB155" s="35">
        <v>32.200000000000003</v>
      </c>
      <c r="BC155" s="35">
        <v>40</v>
      </c>
      <c r="BD155" s="35">
        <v>31.2</v>
      </c>
      <c r="BE155" s="35">
        <v>40</v>
      </c>
      <c r="BF155" s="35">
        <v>21.9</v>
      </c>
      <c r="BG155" s="35">
        <v>20</v>
      </c>
    </row>
    <row r="156" spans="1:59" x14ac:dyDescent="0.35">
      <c r="A156" s="36">
        <v>46059.555555555555</v>
      </c>
      <c r="B156" s="35">
        <v>4</v>
      </c>
      <c r="C156" s="35">
        <v>2</v>
      </c>
      <c r="D156" s="35">
        <v>4.4000000000000004</v>
      </c>
      <c r="E156" s="35">
        <v>2.2000000000000002</v>
      </c>
      <c r="F156" s="35">
        <v>5.6</v>
      </c>
      <c r="G156" s="35">
        <v>2</v>
      </c>
      <c r="H156" s="35">
        <v>3.4</v>
      </c>
      <c r="I156" s="35">
        <v>2</v>
      </c>
      <c r="J156" s="35">
        <v>2.9</v>
      </c>
      <c r="K156" s="35">
        <v>2</v>
      </c>
      <c r="L156" s="35">
        <v>3</v>
      </c>
      <c r="M156" s="35">
        <v>2</v>
      </c>
      <c r="N156" s="35">
        <v>1.1000000000000001</v>
      </c>
      <c r="O156" s="35">
        <v>3</v>
      </c>
      <c r="P156" s="35">
        <v>1.8</v>
      </c>
      <c r="Q156" s="35">
        <v>2</v>
      </c>
      <c r="R156" s="35">
        <v>3.6</v>
      </c>
      <c r="S156" s="35">
        <v>2</v>
      </c>
      <c r="T156" s="35">
        <v>3.4</v>
      </c>
      <c r="U156" s="35">
        <v>2</v>
      </c>
      <c r="V156" s="35">
        <v>8.6</v>
      </c>
      <c r="W156" s="35">
        <v>9</v>
      </c>
      <c r="X156" s="35">
        <v>9.1999999999999993</v>
      </c>
      <c r="Y156" s="35">
        <v>9</v>
      </c>
      <c r="Z156" s="35">
        <v>9.5</v>
      </c>
      <c r="AA156" s="35">
        <v>9</v>
      </c>
      <c r="AB156" s="35">
        <v>9.5</v>
      </c>
      <c r="AC156" s="35">
        <v>9</v>
      </c>
      <c r="AD156" s="35">
        <v>19.7</v>
      </c>
      <c r="AE156" s="35">
        <v>19</v>
      </c>
      <c r="AF156" s="35">
        <v>19.100000000000001</v>
      </c>
      <c r="AG156" s="35">
        <v>19</v>
      </c>
      <c r="AH156" s="35">
        <v>18.7</v>
      </c>
      <c r="AI156" s="35">
        <v>19</v>
      </c>
      <c r="AJ156" s="35">
        <v>19.8</v>
      </c>
      <c r="AK156" s="35">
        <v>19</v>
      </c>
      <c r="AL156" s="35">
        <v>19.7</v>
      </c>
      <c r="AM156" s="35">
        <v>19</v>
      </c>
      <c r="AN156" s="35">
        <v>20.399999999999999</v>
      </c>
      <c r="AO156" s="35">
        <v>19</v>
      </c>
      <c r="AP156" s="35">
        <v>19.100000000000001</v>
      </c>
      <c r="AQ156" s="35">
        <v>19</v>
      </c>
      <c r="AR156" s="35">
        <v>20.7</v>
      </c>
      <c r="AS156" s="35">
        <v>19</v>
      </c>
      <c r="AT156" s="35">
        <v>18.5</v>
      </c>
      <c r="AU156" s="35">
        <v>19</v>
      </c>
      <c r="AV156" s="35">
        <v>18</v>
      </c>
      <c r="AW156" s="35">
        <v>19</v>
      </c>
      <c r="AX156" s="35">
        <v>20.5</v>
      </c>
      <c r="AY156" s="35">
        <v>20</v>
      </c>
      <c r="AZ156" s="35">
        <v>20.399999999999999</v>
      </c>
      <c r="BA156" s="35">
        <v>20</v>
      </c>
      <c r="BB156" s="35">
        <v>32.200000000000003</v>
      </c>
      <c r="BC156" s="35">
        <v>40</v>
      </c>
      <c r="BD156" s="35">
        <v>31.2</v>
      </c>
      <c r="BE156" s="35">
        <v>40</v>
      </c>
      <c r="BF156" s="35">
        <v>21.9</v>
      </c>
      <c r="BG156" s="35">
        <v>20</v>
      </c>
    </row>
    <row r="157" spans="1:59" x14ac:dyDescent="0.35">
      <c r="A157" s="36">
        <v>46059.556250000001</v>
      </c>
      <c r="B157" s="35">
        <v>3.4</v>
      </c>
      <c r="C157" s="35">
        <v>2</v>
      </c>
      <c r="D157" s="35">
        <v>3.7</v>
      </c>
      <c r="E157" s="35">
        <v>2.2000000000000002</v>
      </c>
      <c r="F157" s="35">
        <v>2.6</v>
      </c>
      <c r="G157" s="35">
        <v>2</v>
      </c>
      <c r="H157" s="35">
        <v>1.7</v>
      </c>
      <c r="I157" s="35">
        <v>2</v>
      </c>
      <c r="J157" s="35">
        <v>2.1</v>
      </c>
      <c r="K157" s="35">
        <v>2</v>
      </c>
      <c r="L157" s="35">
        <v>3</v>
      </c>
      <c r="M157" s="35">
        <v>2</v>
      </c>
      <c r="N157" s="35">
        <v>1.3</v>
      </c>
      <c r="O157" s="35">
        <v>3</v>
      </c>
      <c r="P157" s="35">
        <v>2.1</v>
      </c>
      <c r="Q157" s="35">
        <v>2</v>
      </c>
      <c r="R157" s="35">
        <v>3.7</v>
      </c>
      <c r="S157" s="35">
        <v>2</v>
      </c>
      <c r="T157" s="35">
        <v>3.5</v>
      </c>
      <c r="U157" s="35">
        <v>2</v>
      </c>
      <c r="V157" s="35">
        <v>9.4</v>
      </c>
      <c r="W157" s="35">
        <v>9</v>
      </c>
      <c r="X157" s="35">
        <v>9.4</v>
      </c>
      <c r="Y157" s="35">
        <v>9</v>
      </c>
      <c r="Z157" s="35">
        <v>9.8000000000000007</v>
      </c>
      <c r="AA157" s="35">
        <v>9</v>
      </c>
      <c r="AB157" s="35">
        <v>10.1</v>
      </c>
      <c r="AC157" s="35">
        <v>9</v>
      </c>
      <c r="AD157" s="35">
        <v>19.8</v>
      </c>
      <c r="AE157" s="35">
        <v>19</v>
      </c>
      <c r="AF157" s="35">
        <v>19.2</v>
      </c>
      <c r="AG157" s="35">
        <v>19</v>
      </c>
      <c r="AH157" s="35">
        <v>18.899999999999999</v>
      </c>
      <c r="AI157" s="35">
        <v>19</v>
      </c>
      <c r="AJ157" s="35">
        <v>19.899999999999999</v>
      </c>
      <c r="AK157" s="35">
        <v>19</v>
      </c>
      <c r="AL157" s="35">
        <v>19.600000000000001</v>
      </c>
      <c r="AM157" s="35">
        <v>19</v>
      </c>
      <c r="AN157" s="35">
        <v>20.399999999999999</v>
      </c>
      <c r="AO157" s="35">
        <v>19</v>
      </c>
      <c r="AP157" s="35">
        <v>19.3</v>
      </c>
      <c r="AQ157" s="35">
        <v>19</v>
      </c>
      <c r="AR157" s="35">
        <v>20.7</v>
      </c>
      <c r="AS157" s="35">
        <v>19</v>
      </c>
      <c r="AT157" s="35">
        <v>18.7</v>
      </c>
      <c r="AU157" s="35">
        <v>19</v>
      </c>
      <c r="AV157" s="35">
        <v>18.2</v>
      </c>
      <c r="AW157" s="35">
        <v>19</v>
      </c>
      <c r="AX157" s="35">
        <v>20.5</v>
      </c>
      <c r="AY157" s="35">
        <v>20</v>
      </c>
      <c r="AZ157" s="35">
        <v>20.399999999999999</v>
      </c>
      <c r="BA157" s="35">
        <v>20</v>
      </c>
      <c r="BB157" s="35">
        <v>32.200000000000003</v>
      </c>
      <c r="BC157" s="35">
        <v>40</v>
      </c>
      <c r="BD157" s="35">
        <v>31.2</v>
      </c>
      <c r="BE157" s="35">
        <v>40</v>
      </c>
      <c r="BF157" s="35">
        <v>21.9</v>
      </c>
      <c r="BG157" s="35">
        <v>20</v>
      </c>
    </row>
    <row r="158" spans="1:59" x14ac:dyDescent="0.35">
      <c r="A158" s="36">
        <v>46059.556944444441</v>
      </c>
      <c r="B158" s="35">
        <v>2.2000000000000002</v>
      </c>
      <c r="C158" s="35">
        <v>2</v>
      </c>
      <c r="D158" s="35">
        <v>2.5</v>
      </c>
      <c r="E158" s="35">
        <v>2.2000000000000002</v>
      </c>
      <c r="F158" s="35">
        <v>1.9</v>
      </c>
      <c r="G158" s="35">
        <v>2</v>
      </c>
      <c r="H158" s="35">
        <v>2</v>
      </c>
      <c r="I158" s="35">
        <v>2</v>
      </c>
      <c r="J158" s="35">
        <v>1.8</v>
      </c>
      <c r="K158" s="35">
        <v>2</v>
      </c>
      <c r="L158" s="35">
        <v>3</v>
      </c>
      <c r="M158" s="35">
        <v>2</v>
      </c>
      <c r="N158" s="35">
        <v>1.7</v>
      </c>
      <c r="O158" s="35">
        <v>3</v>
      </c>
      <c r="P158" s="35">
        <v>2.4</v>
      </c>
      <c r="Q158" s="35">
        <v>2</v>
      </c>
      <c r="R158" s="35">
        <v>3.8</v>
      </c>
      <c r="S158" s="35">
        <v>2</v>
      </c>
      <c r="T158" s="35">
        <v>3.6</v>
      </c>
      <c r="U158" s="35">
        <v>2</v>
      </c>
      <c r="V158" s="35">
        <v>9.9</v>
      </c>
      <c r="W158" s="35">
        <v>9</v>
      </c>
      <c r="X158" s="35">
        <v>9.6</v>
      </c>
      <c r="Y158" s="35">
        <v>9</v>
      </c>
      <c r="Z158" s="35">
        <v>10.199999999999999</v>
      </c>
      <c r="AA158" s="35">
        <v>9</v>
      </c>
      <c r="AB158" s="35">
        <v>10.5</v>
      </c>
      <c r="AC158" s="35">
        <v>9</v>
      </c>
      <c r="AD158" s="35">
        <v>19.8</v>
      </c>
      <c r="AE158" s="35">
        <v>19</v>
      </c>
      <c r="AF158" s="35">
        <v>19.2</v>
      </c>
      <c r="AG158" s="35">
        <v>19</v>
      </c>
      <c r="AH158" s="35">
        <v>19.100000000000001</v>
      </c>
      <c r="AI158" s="35">
        <v>19</v>
      </c>
      <c r="AJ158" s="35">
        <v>20</v>
      </c>
      <c r="AK158" s="35">
        <v>19</v>
      </c>
      <c r="AL158" s="35">
        <v>19.5</v>
      </c>
      <c r="AM158" s="35">
        <v>19</v>
      </c>
      <c r="AN158" s="35">
        <v>20.5</v>
      </c>
      <c r="AO158" s="35">
        <v>19</v>
      </c>
      <c r="AP158" s="35">
        <v>19.399999999999999</v>
      </c>
      <c r="AQ158" s="35">
        <v>19</v>
      </c>
      <c r="AR158" s="35">
        <v>20.7</v>
      </c>
      <c r="AS158" s="35">
        <v>19</v>
      </c>
      <c r="AT158" s="35">
        <v>19</v>
      </c>
      <c r="AU158" s="35">
        <v>19</v>
      </c>
      <c r="AV158" s="35">
        <v>18.399999999999999</v>
      </c>
      <c r="AW158" s="35">
        <v>19</v>
      </c>
      <c r="AX158" s="35">
        <v>20.5</v>
      </c>
      <c r="AY158" s="35">
        <v>20</v>
      </c>
      <c r="AZ158" s="35">
        <v>20.399999999999999</v>
      </c>
      <c r="BA158" s="35">
        <v>20</v>
      </c>
      <c r="BB158" s="35">
        <v>32.200000000000003</v>
      </c>
      <c r="BC158" s="35">
        <v>40</v>
      </c>
      <c r="BD158" s="35">
        <v>31.2</v>
      </c>
      <c r="BE158" s="35">
        <v>40</v>
      </c>
      <c r="BF158" s="35">
        <v>21.9</v>
      </c>
      <c r="BG158" s="35">
        <v>20</v>
      </c>
    </row>
    <row r="159" spans="1:59" x14ac:dyDescent="0.35">
      <c r="A159" s="36">
        <v>46059.557638888888</v>
      </c>
      <c r="B159" s="35">
        <v>1.8</v>
      </c>
      <c r="C159" s="35">
        <v>2</v>
      </c>
      <c r="D159" s="35">
        <v>2.2000000000000002</v>
      </c>
      <c r="E159" s="35">
        <v>2.2000000000000002</v>
      </c>
      <c r="F159" s="35">
        <v>2.5</v>
      </c>
      <c r="G159" s="35">
        <v>2</v>
      </c>
      <c r="H159" s="35">
        <v>2.8</v>
      </c>
      <c r="I159" s="35">
        <v>2</v>
      </c>
      <c r="J159" s="35">
        <v>2.1</v>
      </c>
      <c r="K159" s="35">
        <v>2</v>
      </c>
      <c r="L159" s="35">
        <v>3</v>
      </c>
      <c r="M159" s="35">
        <v>2</v>
      </c>
      <c r="N159" s="35">
        <v>2.1</v>
      </c>
      <c r="O159" s="35">
        <v>3</v>
      </c>
      <c r="P159" s="35">
        <v>2.7</v>
      </c>
      <c r="Q159" s="35">
        <v>2</v>
      </c>
      <c r="R159" s="35">
        <v>3.9</v>
      </c>
      <c r="S159" s="35">
        <v>2</v>
      </c>
      <c r="T159" s="35">
        <v>3.7</v>
      </c>
      <c r="U159" s="35">
        <v>2</v>
      </c>
      <c r="V159" s="35">
        <v>10.4</v>
      </c>
      <c r="W159" s="35">
        <v>9</v>
      </c>
      <c r="X159" s="35">
        <v>9.8000000000000007</v>
      </c>
      <c r="Y159" s="35">
        <v>9</v>
      </c>
      <c r="Z159" s="35">
        <v>10.4</v>
      </c>
      <c r="AA159" s="35">
        <v>9</v>
      </c>
      <c r="AB159" s="35">
        <v>10.9</v>
      </c>
      <c r="AC159" s="35">
        <v>9</v>
      </c>
      <c r="AD159" s="35">
        <v>19.8</v>
      </c>
      <c r="AE159" s="35">
        <v>19</v>
      </c>
      <c r="AF159" s="35">
        <v>19.3</v>
      </c>
      <c r="AG159" s="35">
        <v>19</v>
      </c>
      <c r="AH159" s="35">
        <v>19.3</v>
      </c>
      <c r="AI159" s="35">
        <v>19</v>
      </c>
      <c r="AJ159" s="35">
        <v>20.100000000000001</v>
      </c>
      <c r="AK159" s="35">
        <v>19</v>
      </c>
      <c r="AL159" s="35">
        <v>19.399999999999999</v>
      </c>
      <c r="AM159" s="35">
        <v>19</v>
      </c>
      <c r="AN159" s="35">
        <v>20.5</v>
      </c>
      <c r="AO159" s="35">
        <v>19</v>
      </c>
      <c r="AP159" s="35">
        <v>19.5</v>
      </c>
      <c r="AQ159" s="35">
        <v>19</v>
      </c>
      <c r="AR159" s="35">
        <v>20.7</v>
      </c>
      <c r="AS159" s="35">
        <v>19</v>
      </c>
      <c r="AT159" s="35">
        <v>19.2</v>
      </c>
      <c r="AU159" s="35">
        <v>19</v>
      </c>
      <c r="AV159" s="35">
        <v>18.600000000000001</v>
      </c>
      <c r="AW159" s="35">
        <v>19</v>
      </c>
      <c r="AX159" s="35">
        <v>20.5</v>
      </c>
      <c r="AY159" s="35">
        <v>20</v>
      </c>
      <c r="AZ159" s="35">
        <v>20.399999999999999</v>
      </c>
      <c r="BA159" s="35">
        <v>20</v>
      </c>
      <c r="BB159" s="35">
        <v>32.200000000000003</v>
      </c>
      <c r="BC159" s="35">
        <v>40</v>
      </c>
      <c r="BD159" s="35">
        <v>31.2</v>
      </c>
      <c r="BE159" s="35">
        <v>40</v>
      </c>
      <c r="BF159" s="35">
        <v>21.9</v>
      </c>
      <c r="BG159" s="35">
        <v>20</v>
      </c>
    </row>
    <row r="160" spans="1:59" x14ac:dyDescent="0.35">
      <c r="A160" s="36">
        <v>46059.558333333334</v>
      </c>
      <c r="B160" s="35">
        <v>1.9</v>
      </c>
      <c r="C160" s="35">
        <v>2</v>
      </c>
      <c r="D160" s="35">
        <v>2.6</v>
      </c>
      <c r="E160" s="35">
        <v>2.2000000000000002</v>
      </c>
      <c r="F160" s="35">
        <v>3.2</v>
      </c>
      <c r="G160" s="35">
        <v>2</v>
      </c>
      <c r="H160" s="35">
        <v>3.5</v>
      </c>
      <c r="I160" s="35">
        <v>2</v>
      </c>
      <c r="J160" s="35">
        <v>2.5</v>
      </c>
      <c r="K160" s="35">
        <v>2</v>
      </c>
      <c r="L160" s="35">
        <v>3</v>
      </c>
      <c r="M160" s="35">
        <v>2</v>
      </c>
      <c r="N160" s="35">
        <v>2.4</v>
      </c>
      <c r="O160" s="35">
        <v>3</v>
      </c>
      <c r="P160" s="35">
        <v>2.9</v>
      </c>
      <c r="Q160" s="35">
        <v>2</v>
      </c>
      <c r="R160" s="35">
        <v>3.8</v>
      </c>
      <c r="S160" s="35">
        <v>2</v>
      </c>
      <c r="T160" s="35">
        <v>3.4</v>
      </c>
      <c r="U160" s="35">
        <v>2</v>
      </c>
      <c r="V160" s="35">
        <v>10.8</v>
      </c>
      <c r="W160" s="35">
        <v>9</v>
      </c>
      <c r="X160" s="35">
        <v>9.9</v>
      </c>
      <c r="Y160" s="35">
        <v>9</v>
      </c>
      <c r="Z160" s="35">
        <v>10.6</v>
      </c>
      <c r="AA160" s="35">
        <v>9</v>
      </c>
      <c r="AB160" s="35">
        <v>11</v>
      </c>
      <c r="AC160" s="35">
        <v>9</v>
      </c>
      <c r="AD160" s="35">
        <v>19.899999999999999</v>
      </c>
      <c r="AE160" s="35">
        <v>19</v>
      </c>
      <c r="AF160" s="35">
        <v>19.399999999999999</v>
      </c>
      <c r="AG160" s="35">
        <v>19</v>
      </c>
      <c r="AH160" s="35">
        <v>19.399999999999999</v>
      </c>
      <c r="AI160" s="35">
        <v>19</v>
      </c>
      <c r="AJ160" s="35">
        <v>20.2</v>
      </c>
      <c r="AK160" s="35">
        <v>19</v>
      </c>
      <c r="AL160" s="35">
        <v>19.399999999999999</v>
      </c>
      <c r="AM160" s="35">
        <v>19</v>
      </c>
      <c r="AN160" s="35">
        <v>20.6</v>
      </c>
      <c r="AO160" s="35">
        <v>19</v>
      </c>
      <c r="AP160" s="35">
        <v>19.600000000000001</v>
      </c>
      <c r="AQ160" s="35">
        <v>19</v>
      </c>
      <c r="AR160" s="35">
        <v>20.7</v>
      </c>
      <c r="AS160" s="35">
        <v>19</v>
      </c>
      <c r="AT160" s="35">
        <v>19.3</v>
      </c>
      <c r="AU160" s="35">
        <v>19</v>
      </c>
      <c r="AV160" s="35">
        <v>18.8</v>
      </c>
      <c r="AW160" s="35">
        <v>19</v>
      </c>
      <c r="AX160" s="35">
        <v>20.6</v>
      </c>
      <c r="AY160" s="35">
        <v>20</v>
      </c>
      <c r="AZ160" s="35">
        <v>20.399999999999999</v>
      </c>
      <c r="BA160" s="35">
        <v>20</v>
      </c>
      <c r="BB160" s="35">
        <v>32.200000000000003</v>
      </c>
      <c r="BC160" s="35">
        <v>40</v>
      </c>
      <c r="BD160" s="35">
        <v>31.2</v>
      </c>
      <c r="BE160" s="35">
        <v>40</v>
      </c>
      <c r="BF160" s="35">
        <v>21.9</v>
      </c>
      <c r="BG160" s="35">
        <v>20</v>
      </c>
    </row>
    <row r="161" spans="1:59" x14ac:dyDescent="0.35">
      <c r="A161" s="36">
        <v>46059.559027777781</v>
      </c>
      <c r="B161" s="35">
        <v>2.4</v>
      </c>
      <c r="C161" s="35">
        <v>2</v>
      </c>
      <c r="D161" s="35">
        <v>3</v>
      </c>
      <c r="E161" s="35">
        <v>2.2000000000000002</v>
      </c>
      <c r="F161" s="35">
        <v>3.8</v>
      </c>
      <c r="G161" s="35">
        <v>2</v>
      </c>
      <c r="H161" s="35">
        <v>4.0999999999999996</v>
      </c>
      <c r="I161" s="35">
        <v>2</v>
      </c>
      <c r="J161" s="35">
        <v>3.2</v>
      </c>
      <c r="K161" s="35">
        <v>2</v>
      </c>
      <c r="L161" s="35">
        <v>3</v>
      </c>
      <c r="M161" s="35">
        <v>2</v>
      </c>
      <c r="N161" s="35">
        <v>2.7</v>
      </c>
      <c r="O161" s="35">
        <v>3</v>
      </c>
      <c r="P161" s="35">
        <v>3.2</v>
      </c>
      <c r="Q161" s="35">
        <v>2</v>
      </c>
      <c r="R161" s="35">
        <v>2.7</v>
      </c>
      <c r="S161" s="35">
        <v>2</v>
      </c>
      <c r="T161" s="35">
        <v>2.2999999999999998</v>
      </c>
      <c r="U161" s="35">
        <v>2</v>
      </c>
      <c r="V161" s="35">
        <v>10.6</v>
      </c>
      <c r="W161" s="35">
        <v>9</v>
      </c>
      <c r="X161" s="35">
        <v>10</v>
      </c>
      <c r="Y161" s="35">
        <v>9</v>
      </c>
      <c r="Z161" s="35">
        <v>10.8</v>
      </c>
      <c r="AA161" s="35">
        <v>9</v>
      </c>
      <c r="AB161" s="35">
        <v>10.4</v>
      </c>
      <c r="AC161" s="35">
        <v>9</v>
      </c>
      <c r="AD161" s="35">
        <v>19.899999999999999</v>
      </c>
      <c r="AE161" s="35">
        <v>19</v>
      </c>
      <c r="AF161" s="35">
        <v>19.399999999999999</v>
      </c>
      <c r="AG161" s="35">
        <v>19</v>
      </c>
      <c r="AH161" s="35">
        <v>19.5</v>
      </c>
      <c r="AI161" s="35">
        <v>19</v>
      </c>
      <c r="AJ161" s="35">
        <v>20.2</v>
      </c>
      <c r="AK161" s="35">
        <v>19</v>
      </c>
      <c r="AL161" s="35">
        <v>19.399999999999999</v>
      </c>
      <c r="AM161" s="35">
        <v>19</v>
      </c>
      <c r="AN161" s="35">
        <v>20.6</v>
      </c>
      <c r="AO161" s="35">
        <v>19</v>
      </c>
      <c r="AP161" s="35">
        <v>19.7</v>
      </c>
      <c r="AQ161" s="35">
        <v>19</v>
      </c>
      <c r="AR161" s="35">
        <v>20.7</v>
      </c>
      <c r="AS161" s="35">
        <v>19</v>
      </c>
      <c r="AT161" s="35">
        <v>19.399999999999999</v>
      </c>
      <c r="AU161" s="35">
        <v>19</v>
      </c>
      <c r="AV161" s="35">
        <v>19</v>
      </c>
      <c r="AW161" s="35">
        <v>19</v>
      </c>
      <c r="AX161" s="35">
        <v>20.6</v>
      </c>
      <c r="AY161" s="35">
        <v>20</v>
      </c>
      <c r="AZ161" s="35">
        <v>20.399999999999999</v>
      </c>
      <c r="BA161" s="35">
        <v>20</v>
      </c>
      <c r="BB161" s="35">
        <v>32.200000000000003</v>
      </c>
      <c r="BC161" s="35">
        <v>40</v>
      </c>
      <c r="BD161" s="35">
        <v>31.2</v>
      </c>
      <c r="BE161" s="35">
        <v>40</v>
      </c>
      <c r="BF161" s="35">
        <v>21.9</v>
      </c>
      <c r="BG161" s="35">
        <v>20</v>
      </c>
    </row>
    <row r="162" spans="1:59" x14ac:dyDescent="0.35">
      <c r="A162" s="36">
        <v>46059.55972222222</v>
      </c>
      <c r="B162" s="35">
        <v>2.9</v>
      </c>
      <c r="C162" s="35">
        <v>2</v>
      </c>
      <c r="D162" s="35">
        <v>3.5</v>
      </c>
      <c r="E162" s="35">
        <v>2.2000000000000002</v>
      </c>
      <c r="F162" s="35">
        <v>3.8</v>
      </c>
      <c r="G162" s="35">
        <v>2</v>
      </c>
      <c r="H162" s="35">
        <v>3.2</v>
      </c>
      <c r="I162" s="35">
        <v>2</v>
      </c>
      <c r="J162" s="35">
        <v>3.9</v>
      </c>
      <c r="K162" s="35">
        <v>2</v>
      </c>
      <c r="L162" s="35">
        <v>3</v>
      </c>
      <c r="M162" s="35">
        <v>2</v>
      </c>
      <c r="N162" s="35">
        <v>3</v>
      </c>
      <c r="O162" s="35">
        <v>3</v>
      </c>
      <c r="P162" s="35">
        <v>3.4</v>
      </c>
      <c r="Q162" s="35">
        <v>2</v>
      </c>
      <c r="R162" s="35">
        <v>1.7</v>
      </c>
      <c r="S162" s="35">
        <v>2</v>
      </c>
      <c r="T162" s="35">
        <v>1.1000000000000001</v>
      </c>
      <c r="U162" s="35">
        <v>2</v>
      </c>
      <c r="V162" s="35">
        <v>7.7</v>
      </c>
      <c r="W162" s="35">
        <v>9</v>
      </c>
      <c r="X162" s="35">
        <v>10.1</v>
      </c>
      <c r="Y162" s="35">
        <v>9</v>
      </c>
      <c r="Z162" s="35">
        <v>10.9</v>
      </c>
      <c r="AA162" s="35">
        <v>9</v>
      </c>
      <c r="AB162" s="35">
        <v>9.5</v>
      </c>
      <c r="AC162" s="35">
        <v>9</v>
      </c>
      <c r="AD162" s="35">
        <v>20</v>
      </c>
      <c r="AE162" s="35">
        <v>19</v>
      </c>
      <c r="AF162" s="35">
        <v>19.5</v>
      </c>
      <c r="AG162" s="35">
        <v>19</v>
      </c>
      <c r="AH162" s="35">
        <v>19.600000000000001</v>
      </c>
      <c r="AI162" s="35">
        <v>19</v>
      </c>
      <c r="AJ162" s="35">
        <v>20.3</v>
      </c>
      <c r="AK162" s="35">
        <v>19</v>
      </c>
      <c r="AL162" s="35">
        <v>19.3</v>
      </c>
      <c r="AM162" s="35">
        <v>19</v>
      </c>
      <c r="AN162" s="35">
        <v>20.7</v>
      </c>
      <c r="AO162" s="35">
        <v>19</v>
      </c>
      <c r="AP162" s="35">
        <v>19.7</v>
      </c>
      <c r="AQ162" s="35">
        <v>19</v>
      </c>
      <c r="AR162" s="35">
        <v>20.7</v>
      </c>
      <c r="AS162" s="35">
        <v>19</v>
      </c>
      <c r="AT162" s="35">
        <v>19.5</v>
      </c>
      <c r="AU162" s="35">
        <v>19</v>
      </c>
      <c r="AV162" s="35">
        <v>19.100000000000001</v>
      </c>
      <c r="AW162" s="35">
        <v>19</v>
      </c>
      <c r="AX162" s="35">
        <v>20.6</v>
      </c>
      <c r="AY162" s="35">
        <v>20</v>
      </c>
      <c r="AZ162" s="35">
        <v>20.399999999999999</v>
      </c>
      <c r="BA162" s="35">
        <v>20</v>
      </c>
      <c r="BB162" s="35">
        <v>32.200000000000003</v>
      </c>
      <c r="BC162" s="35">
        <v>40</v>
      </c>
      <c r="BD162" s="35">
        <v>31.2</v>
      </c>
      <c r="BE162" s="35">
        <v>40</v>
      </c>
      <c r="BF162" s="35">
        <v>21.9</v>
      </c>
      <c r="BG162" s="35">
        <v>20</v>
      </c>
    </row>
    <row r="163" spans="1:59" x14ac:dyDescent="0.35">
      <c r="A163" s="36">
        <v>46059.560416666667</v>
      </c>
      <c r="B163" s="35">
        <v>3.2</v>
      </c>
      <c r="C163" s="35">
        <v>2</v>
      </c>
      <c r="D163" s="35">
        <v>3.8</v>
      </c>
      <c r="E163" s="35">
        <v>2.2000000000000002</v>
      </c>
      <c r="F163" s="35">
        <v>3.9</v>
      </c>
      <c r="G163" s="35">
        <v>2</v>
      </c>
      <c r="H163" s="35">
        <v>3.1</v>
      </c>
      <c r="I163" s="35">
        <v>2</v>
      </c>
      <c r="J163" s="35">
        <v>3.6</v>
      </c>
      <c r="K163" s="35">
        <v>2</v>
      </c>
      <c r="L163" s="35">
        <v>28.7</v>
      </c>
      <c r="M163" s="35">
        <v>2</v>
      </c>
      <c r="N163" s="35">
        <v>3.2</v>
      </c>
      <c r="O163" s="35">
        <v>3</v>
      </c>
      <c r="P163" s="35">
        <v>3.5</v>
      </c>
      <c r="Q163" s="35">
        <v>2</v>
      </c>
      <c r="R163" s="35">
        <v>1.5</v>
      </c>
      <c r="S163" s="35">
        <v>2</v>
      </c>
      <c r="T163" s="35">
        <v>1.1000000000000001</v>
      </c>
      <c r="U163" s="35">
        <v>2</v>
      </c>
      <c r="V163" s="35">
        <v>7.5</v>
      </c>
      <c r="W163" s="35">
        <v>9</v>
      </c>
      <c r="X163" s="35">
        <v>10.3</v>
      </c>
      <c r="Y163" s="35">
        <v>9</v>
      </c>
      <c r="Z163" s="35">
        <v>10.9</v>
      </c>
      <c r="AA163" s="35">
        <v>9</v>
      </c>
      <c r="AB163" s="35">
        <v>8.8000000000000007</v>
      </c>
      <c r="AC163" s="35">
        <v>9</v>
      </c>
      <c r="AD163" s="35">
        <v>20</v>
      </c>
      <c r="AE163" s="35">
        <v>19</v>
      </c>
      <c r="AF163" s="35">
        <v>19.600000000000001</v>
      </c>
      <c r="AG163" s="35">
        <v>19</v>
      </c>
      <c r="AH163" s="35">
        <v>19.7</v>
      </c>
      <c r="AI163" s="35">
        <v>19</v>
      </c>
      <c r="AJ163" s="35">
        <v>20.399999999999999</v>
      </c>
      <c r="AK163" s="35">
        <v>19</v>
      </c>
      <c r="AL163" s="35">
        <v>19.3</v>
      </c>
      <c r="AM163" s="35">
        <v>19</v>
      </c>
      <c r="AN163" s="35">
        <v>20.7</v>
      </c>
      <c r="AO163" s="35">
        <v>19</v>
      </c>
      <c r="AP163" s="35">
        <v>19.8</v>
      </c>
      <c r="AQ163" s="35">
        <v>19</v>
      </c>
      <c r="AR163" s="35">
        <v>20.7</v>
      </c>
      <c r="AS163" s="35">
        <v>19</v>
      </c>
      <c r="AT163" s="35">
        <v>19.7</v>
      </c>
      <c r="AU163" s="35">
        <v>19</v>
      </c>
      <c r="AV163" s="35">
        <v>19.3</v>
      </c>
      <c r="AW163" s="35">
        <v>19</v>
      </c>
      <c r="AX163" s="35">
        <v>20.6</v>
      </c>
      <c r="AY163" s="35">
        <v>20</v>
      </c>
      <c r="AZ163" s="35">
        <v>20.399999999999999</v>
      </c>
      <c r="BA163" s="35">
        <v>20</v>
      </c>
      <c r="BB163" s="35">
        <v>32.200000000000003</v>
      </c>
      <c r="BC163" s="35">
        <v>40</v>
      </c>
      <c r="BD163" s="35">
        <v>31.2</v>
      </c>
      <c r="BE163" s="35">
        <v>40</v>
      </c>
      <c r="BF163" s="35">
        <v>21.9</v>
      </c>
      <c r="BG163" s="35">
        <v>20</v>
      </c>
    </row>
    <row r="164" spans="1:59" x14ac:dyDescent="0.35">
      <c r="A164" s="36">
        <v>46059.561111111114</v>
      </c>
      <c r="B164" s="35">
        <v>3.6</v>
      </c>
      <c r="C164" s="35">
        <v>2</v>
      </c>
      <c r="D164" s="35">
        <v>4.2</v>
      </c>
      <c r="E164" s="35">
        <v>2.2000000000000002</v>
      </c>
      <c r="F164" s="35">
        <v>3.9</v>
      </c>
      <c r="G164" s="35">
        <v>2</v>
      </c>
      <c r="H164" s="35">
        <v>3.3</v>
      </c>
      <c r="I164" s="35">
        <v>2</v>
      </c>
      <c r="J164" s="35">
        <v>3.2</v>
      </c>
      <c r="K164" s="35">
        <v>2</v>
      </c>
      <c r="L164" s="35">
        <v>18.600000000000001</v>
      </c>
      <c r="M164" s="35">
        <v>2</v>
      </c>
      <c r="N164" s="35">
        <v>3.5</v>
      </c>
      <c r="O164" s="35">
        <v>3</v>
      </c>
      <c r="P164" s="35">
        <v>3.7</v>
      </c>
      <c r="Q164" s="35">
        <v>2</v>
      </c>
      <c r="R164" s="35">
        <v>1.6</v>
      </c>
      <c r="S164" s="35">
        <v>2</v>
      </c>
      <c r="T164" s="35">
        <v>1.3</v>
      </c>
      <c r="U164" s="35">
        <v>2</v>
      </c>
      <c r="V164" s="35">
        <v>8.1999999999999993</v>
      </c>
      <c r="W164" s="35">
        <v>9</v>
      </c>
      <c r="X164" s="35">
        <v>10.4</v>
      </c>
      <c r="Y164" s="35">
        <v>9</v>
      </c>
      <c r="Z164" s="35">
        <v>10.3</v>
      </c>
      <c r="AA164" s="35">
        <v>9</v>
      </c>
      <c r="AB164" s="35">
        <v>8.8000000000000007</v>
      </c>
      <c r="AC164" s="35">
        <v>9</v>
      </c>
      <c r="AD164" s="35">
        <v>20</v>
      </c>
      <c r="AE164" s="35">
        <v>19</v>
      </c>
      <c r="AF164" s="35">
        <v>19.600000000000001</v>
      </c>
      <c r="AG164" s="35">
        <v>19</v>
      </c>
      <c r="AH164" s="35">
        <v>19.8</v>
      </c>
      <c r="AI164" s="35">
        <v>19</v>
      </c>
      <c r="AJ164" s="35">
        <v>20.399999999999999</v>
      </c>
      <c r="AK164" s="35">
        <v>19</v>
      </c>
      <c r="AL164" s="35">
        <v>19.2</v>
      </c>
      <c r="AM164" s="35">
        <v>19</v>
      </c>
      <c r="AN164" s="35">
        <v>20.8</v>
      </c>
      <c r="AO164" s="35">
        <v>19</v>
      </c>
      <c r="AP164" s="35">
        <v>19.899999999999999</v>
      </c>
      <c r="AQ164" s="35">
        <v>19</v>
      </c>
      <c r="AR164" s="35">
        <v>20.7</v>
      </c>
      <c r="AS164" s="35">
        <v>19</v>
      </c>
      <c r="AT164" s="35">
        <v>19.8</v>
      </c>
      <c r="AU164" s="35">
        <v>19</v>
      </c>
      <c r="AV164" s="35">
        <v>19.399999999999999</v>
      </c>
      <c r="AW164" s="35">
        <v>19</v>
      </c>
      <c r="AX164" s="35">
        <v>20.6</v>
      </c>
      <c r="AY164" s="35">
        <v>20</v>
      </c>
      <c r="AZ164" s="35">
        <v>20.399999999999999</v>
      </c>
      <c r="BA164" s="35">
        <v>20</v>
      </c>
      <c r="BB164" s="35">
        <v>32.200000000000003</v>
      </c>
      <c r="BC164" s="35">
        <v>40</v>
      </c>
      <c r="BD164" s="35">
        <v>31.2</v>
      </c>
      <c r="BE164" s="35">
        <v>40</v>
      </c>
      <c r="BF164" s="35">
        <v>18.3</v>
      </c>
      <c r="BG164" s="35">
        <v>20</v>
      </c>
    </row>
    <row r="165" spans="1:59" x14ac:dyDescent="0.35">
      <c r="A165" s="36">
        <v>46059.561805555553</v>
      </c>
      <c r="B165" s="35">
        <v>3.6</v>
      </c>
      <c r="C165" s="35">
        <v>2</v>
      </c>
      <c r="D165" s="35">
        <v>4.0999999999999996</v>
      </c>
      <c r="E165" s="35">
        <v>2.2000000000000002</v>
      </c>
      <c r="F165" s="35">
        <v>2.5</v>
      </c>
      <c r="G165" s="35">
        <v>2</v>
      </c>
      <c r="H165" s="35">
        <v>1.8</v>
      </c>
      <c r="I165" s="35">
        <v>2</v>
      </c>
      <c r="J165" s="35">
        <v>3</v>
      </c>
      <c r="K165" s="35">
        <v>2</v>
      </c>
      <c r="L165" s="35">
        <v>10.5</v>
      </c>
      <c r="M165" s="35">
        <v>2</v>
      </c>
      <c r="N165" s="35">
        <v>3.7</v>
      </c>
      <c r="O165" s="35">
        <v>3</v>
      </c>
      <c r="P165" s="35">
        <v>3.8</v>
      </c>
      <c r="Q165" s="35">
        <v>2</v>
      </c>
      <c r="R165" s="35">
        <v>1.9</v>
      </c>
      <c r="S165" s="35">
        <v>2</v>
      </c>
      <c r="T165" s="35">
        <v>1.6</v>
      </c>
      <c r="U165" s="35">
        <v>2</v>
      </c>
      <c r="V165" s="35">
        <v>9</v>
      </c>
      <c r="W165" s="35">
        <v>9</v>
      </c>
      <c r="X165" s="35">
        <v>10.5</v>
      </c>
      <c r="Y165" s="35">
        <v>9</v>
      </c>
      <c r="Z165" s="35">
        <v>9.6999999999999993</v>
      </c>
      <c r="AA165" s="35">
        <v>9</v>
      </c>
      <c r="AB165" s="35">
        <v>9.5</v>
      </c>
      <c r="AC165" s="35">
        <v>9</v>
      </c>
      <c r="AD165" s="35">
        <v>20.100000000000001</v>
      </c>
      <c r="AE165" s="35">
        <v>19</v>
      </c>
      <c r="AF165" s="35">
        <v>19.7</v>
      </c>
      <c r="AG165" s="35">
        <v>19</v>
      </c>
      <c r="AH165" s="35">
        <v>19.899999999999999</v>
      </c>
      <c r="AI165" s="35">
        <v>19</v>
      </c>
      <c r="AJ165" s="35">
        <v>20.5</v>
      </c>
      <c r="AK165" s="35">
        <v>19</v>
      </c>
      <c r="AL165" s="35">
        <v>19.100000000000001</v>
      </c>
      <c r="AM165" s="35">
        <v>19</v>
      </c>
      <c r="AN165" s="35">
        <v>20.8</v>
      </c>
      <c r="AO165" s="35">
        <v>19</v>
      </c>
      <c r="AP165" s="35">
        <v>19.899999999999999</v>
      </c>
      <c r="AQ165" s="35">
        <v>19</v>
      </c>
      <c r="AR165" s="35">
        <v>20.7</v>
      </c>
      <c r="AS165" s="35">
        <v>19</v>
      </c>
      <c r="AT165" s="35">
        <v>19.899999999999999</v>
      </c>
      <c r="AU165" s="35">
        <v>19</v>
      </c>
      <c r="AV165" s="35">
        <v>19.5</v>
      </c>
      <c r="AW165" s="35">
        <v>19</v>
      </c>
      <c r="AX165" s="35">
        <v>20.6</v>
      </c>
      <c r="AY165" s="35">
        <v>20</v>
      </c>
      <c r="AZ165" s="35">
        <v>20.5</v>
      </c>
      <c r="BA165" s="35">
        <v>20</v>
      </c>
      <c r="BB165" s="35">
        <v>32.299999999999997</v>
      </c>
      <c r="BC165" s="35">
        <v>40</v>
      </c>
      <c r="BD165" s="35">
        <v>31.3</v>
      </c>
      <c r="BE165" s="35">
        <v>40</v>
      </c>
      <c r="BF165" s="35">
        <v>17.5</v>
      </c>
      <c r="BG165" s="35">
        <v>20</v>
      </c>
    </row>
    <row r="166" spans="1:59" x14ac:dyDescent="0.35">
      <c r="A166" s="36">
        <v>46059.5625</v>
      </c>
      <c r="B166" s="35">
        <v>3.6</v>
      </c>
      <c r="C166" s="35">
        <v>2</v>
      </c>
      <c r="D166" s="35">
        <v>4</v>
      </c>
      <c r="E166" s="35">
        <v>2.2000000000000002</v>
      </c>
      <c r="F166" s="35">
        <v>1.5</v>
      </c>
      <c r="G166" s="35">
        <v>2</v>
      </c>
      <c r="H166" s="35">
        <v>1.7</v>
      </c>
      <c r="I166" s="35">
        <v>2</v>
      </c>
      <c r="J166" s="35">
        <v>2.5</v>
      </c>
      <c r="K166" s="35">
        <v>2</v>
      </c>
      <c r="L166" s="35">
        <v>4.2</v>
      </c>
      <c r="M166" s="35">
        <v>2</v>
      </c>
      <c r="N166" s="35">
        <v>3.9</v>
      </c>
      <c r="O166" s="35">
        <v>3</v>
      </c>
      <c r="P166" s="35">
        <v>4</v>
      </c>
      <c r="Q166" s="35">
        <v>2</v>
      </c>
      <c r="R166" s="35">
        <v>2.2000000000000002</v>
      </c>
      <c r="S166" s="35">
        <v>2</v>
      </c>
      <c r="T166" s="35">
        <v>1.9</v>
      </c>
      <c r="U166" s="35">
        <v>2</v>
      </c>
      <c r="V166" s="35">
        <v>9.6</v>
      </c>
      <c r="W166" s="35">
        <v>9</v>
      </c>
      <c r="X166" s="35">
        <v>10.6</v>
      </c>
      <c r="Y166" s="35">
        <v>9</v>
      </c>
      <c r="Z166" s="35">
        <v>9.1999999999999993</v>
      </c>
      <c r="AA166" s="35">
        <v>9</v>
      </c>
      <c r="AB166" s="35">
        <v>10</v>
      </c>
      <c r="AC166" s="35">
        <v>9</v>
      </c>
      <c r="AD166" s="35">
        <v>20.100000000000001</v>
      </c>
      <c r="AE166" s="35">
        <v>19</v>
      </c>
      <c r="AF166" s="35">
        <v>19.8</v>
      </c>
      <c r="AG166" s="35">
        <v>19</v>
      </c>
      <c r="AH166" s="35">
        <v>20</v>
      </c>
      <c r="AI166" s="35">
        <v>19</v>
      </c>
      <c r="AJ166" s="35">
        <v>20.6</v>
      </c>
      <c r="AK166" s="35">
        <v>19</v>
      </c>
      <c r="AL166" s="35">
        <v>19</v>
      </c>
      <c r="AM166" s="35">
        <v>19</v>
      </c>
      <c r="AN166" s="35">
        <v>20.9</v>
      </c>
      <c r="AO166" s="35">
        <v>19</v>
      </c>
      <c r="AP166" s="35">
        <v>20</v>
      </c>
      <c r="AQ166" s="35">
        <v>19</v>
      </c>
      <c r="AR166" s="35">
        <v>20.7</v>
      </c>
      <c r="AS166" s="35">
        <v>19</v>
      </c>
      <c r="AT166" s="35">
        <v>19.899999999999999</v>
      </c>
      <c r="AU166" s="35">
        <v>19</v>
      </c>
      <c r="AV166" s="35">
        <v>19.7</v>
      </c>
      <c r="AW166" s="35">
        <v>19</v>
      </c>
      <c r="AX166" s="35">
        <v>20.6</v>
      </c>
      <c r="AY166" s="35">
        <v>20</v>
      </c>
      <c r="AZ166" s="35">
        <v>20.5</v>
      </c>
      <c r="BA166" s="35">
        <v>20</v>
      </c>
      <c r="BB166" s="35">
        <v>32.299999999999997</v>
      </c>
      <c r="BC166" s="35">
        <v>40</v>
      </c>
      <c r="BD166" s="35">
        <v>31.3</v>
      </c>
      <c r="BE166" s="35">
        <v>40</v>
      </c>
      <c r="BF166" s="35">
        <v>18.3</v>
      </c>
      <c r="BG166" s="35">
        <v>20</v>
      </c>
    </row>
    <row r="167" spans="1:59" x14ac:dyDescent="0.35">
      <c r="A167" s="36">
        <v>46059.563194444447</v>
      </c>
      <c r="B167" s="35">
        <v>3.9</v>
      </c>
      <c r="C167" s="35">
        <v>2</v>
      </c>
      <c r="D167" s="35">
        <v>4.2</v>
      </c>
      <c r="E167" s="35">
        <v>2.2000000000000002</v>
      </c>
      <c r="F167" s="35">
        <v>1.8</v>
      </c>
      <c r="G167" s="35">
        <v>2</v>
      </c>
      <c r="H167" s="35">
        <v>2.1</v>
      </c>
      <c r="I167" s="35">
        <v>2</v>
      </c>
      <c r="J167" s="35">
        <v>2.2000000000000002</v>
      </c>
      <c r="K167" s="35">
        <v>2</v>
      </c>
      <c r="L167" s="35">
        <v>2.6</v>
      </c>
      <c r="M167" s="35">
        <v>2</v>
      </c>
      <c r="N167" s="35">
        <v>3.2</v>
      </c>
      <c r="O167" s="35">
        <v>3</v>
      </c>
      <c r="P167" s="35">
        <v>3.5</v>
      </c>
      <c r="Q167" s="35">
        <v>2</v>
      </c>
      <c r="R167" s="35">
        <v>2.2999999999999998</v>
      </c>
      <c r="S167" s="35">
        <v>2</v>
      </c>
      <c r="T167" s="35">
        <v>2.2999999999999998</v>
      </c>
      <c r="U167" s="35">
        <v>2</v>
      </c>
      <c r="V167" s="35">
        <v>10.1</v>
      </c>
      <c r="W167" s="35">
        <v>9</v>
      </c>
      <c r="X167" s="35">
        <v>10.7</v>
      </c>
      <c r="Y167" s="35">
        <v>9</v>
      </c>
      <c r="Z167" s="35">
        <v>8.9</v>
      </c>
      <c r="AA167" s="35">
        <v>9</v>
      </c>
      <c r="AB167" s="35">
        <v>10.5</v>
      </c>
      <c r="AC167" s="35">
        <v>9</v>
      </c>
      <c r="AD167" s="35">
        <v>20.2</v>
      </c>
      <c r="AE167" s="35">
        <v>19</v>
      </c>
      <c r="AF167" s="35">
        <v>19.8</v>
      </c>
      <c r="AG167" s="35">
        <v>19</v>
      </c>
      <c r="AH167" s="35">
        <v>20</v>
      </c>
      <c r="AI167" s="35">
        <v>19</v>
      </c>
      <c r="AJ167" s="35">
        <v>20.6</v>
      </c>
      <c r="AK167" s="35">
        <v>19</v>
      </c>
      <c r="AL167" s="35">
        <v>19.2</v>
      </c>
      <c r="AM167" s="35">
        <v>19</v>
      </c>
      <c r="AN167" s="35">
        <v>20.9</v>
      </c>
      <c r="AO167" s="35">
        <v>19</v>
      </c>
      <c r="AP167" s="35">
        <v>20.100000000000001</v>
      </c>
      <c r="AQ167" s="35">
        <v>19</v>
      </c>
      <c r="AR167" s="35">
        <v>20.7</v>
      </c>
      <c r="AS167" s="35">
        <v>19</v>
      </c>
      <c r="AT167" s="35">
        <v>20</v>
      </c>
      <c r="AU167" s="35">
        <v>19</v>
      </c>
      <c r="AV167" s="35">
        <v>19.8</v>
      </c>
      <c r="AW167" s="35">
        <v>19</v>
      </c>
      <c r="AX167" s="35">
        <v>20.6</v>
      </c>
      <c r="AY167" s="35">
        <v>20</v>
      </c>
      <c r="AZ167" s="35">
        <v>20.5</v>
      </c>
      <c r="BA167" s="35">
        <v>20</v>
      </c>
      <c r="BB167" s="35">
        <v>32.299999999999997</v>
      </c>
      <c r="BC167" s="35">
        <v>40</v>
      </c>
      <c r="BD167" s="35">
        <v>31.3</v>
      </c>
      <c r="BE167" s="35">
        <v>40</v>
      </c>
      <c r="BF167" s="35">
        <v>18.8</v>
      </c>
      <c r="BG167" s="35">
        <v>20</v>
      </c>
    </row>
    <row r="168" spans="1:59" x14ac:dyDescent="0.35">
      <c r="A168" s="36">
        <v>46059.563888888886</v>
      </c>
      <c r="B168" s="35">
        <v>4</v>
      </c>
      <c r="C168" s="35">
        <v>2</v>
      </c>
      <c r="D168" s="35">
        <v>4.3</v>
      </c>
      <c r="E168" s="35">
        <v>2.2000000000000002</v>
      </c>
      <c r="F168" s="35">
        <v>2.2999999999999998</v>
      </c>
      <c r="G168" s="35">
        <v>2</v>
      </c>
      <c r="H168" s="35">
        <v>2.7</v>
      </c>
      <c r="I168" s="35">
        <v>2</v>
      </c>
      <c r="J168" s="35">
        <v>2.1</v>
      </c>
      <c r="K168" s="35">
        <v>2</v>
      </c>
      <c r="L168" s="35">
        <v>2.1</v>
      </c>
      <c r="M168" s="35">
        <v>2</v>
      </c>
      <c r="N168" s="35">
        <v>2.2000000000000002</v>
      </c>
      <c r="O168" s="35">
        <v>3</v>
      </c>
      <c r="P168" s="35">
        <v>2.7</v>
      </c>
      <c r="Q168" s="35">
        <v>2</v>
      </c>
      <c r="R168" s="35">
        <v>2.2999999999999998</v>
      </c>
      <c r="S168" s="35">
        <v>2</v>
      </c>
      <c r="T168" s="35">
        <v>2.5</v>
      </c>
      <c r="U168" s="35">
        <v>2</v>
      </c>
      <c r="V168" s="35">
        <v>10.5</v>
      </c>
      <c r="W168" s="35">
        <v>9</v>
      </c>
      <c r="X168" s="35">
        <v>10.7</v>
      </c>
      <c r="Y168" s="35">
        <v>9</v>
      </c>
      <c r="Z168" s="35">
        <v>8.9</v>
      </c>
      <c r="AA168" s="35">
        <v>9</v>
      </c>
      <c r="AB168" s="35">
        <v>10.8</v>
      </c>
      <c r="AC168" s="35">
        <v>9</v>
      </c>
      <c r="AD168" s="35">
        <v>20.2</v>
      </c>
      <c r="AE168" s="35">
        <v>19</v>
      </c>
      <c r="AF168" s="35">
        <v>19.899999999999999</v>
      </c>
      <c r="AG168" s="35">
        <v>19</v>
      </c>
      <c r="AH168" s="35">
        <v>20.100000000000001</v>
      </c>
      <c r="AI168" s="35">
        <v>19</v>
      </c>
      <c r="AJ168" s="35">
        <v>20.7</v>
      </c>
      <c r="AK168" s="35">
        <v>19</v>
      </c>
      <c r="AL168" s="35">
        <v>19.399999999999999</v>
      </c>
      <c r="AM168" s="35">
        <v>19</v>
      </c>
      <c r="AN168" s="35">
        <v>21</v>
      </c>
      <c r="AO168" s="35">
        <v>19</v>
      </c>
      <c r="AP168" s="35">
        <v>20.100000000000001</v>
      </c>
      <c r="AQ168" s="35">
        <v>19</v>
      </c>
      <c r="AR168" s="35">
        <v>20.7</v>
      </c>
      <c r="AS168" s="35">
        <v>19</v>
      </c>
      <c r="AT168" s="35">
        <v>20.100000000000001</v>
      </c>
      <c r="AU168" s="35">
        <v>19</v>
      </c>
      <c r="AV168" s="35">
        <v>19.899999999999999</v>
      </c>
      <c r="AW168" s="35">
        <v>19</v>
      </c>
      <c r="AX168" s="35">
        <v>20.6</v>
      </c>
      <c r="AY168" s="35">
        <v>20</v>
      </c>
      <c r="AZ168" s="35">
        <v>20.5</v>
      </c>
      <c r="BA168" s="35">
        <v>20</v>
      </c>
      <c r="BB168" s="35">
        <v>32.299999999999997</v>
      </c>
      <c r="BC168" s="35">
        <v>40</v>
      </c>
      <c r="BD168" s="35">
        <v>31.3</v>
      </c>
      <c r="BE168" s="35">
        <v>40</v>
      </c>
      <c r="BF168" s="35">
        <v>19.3</v>
      </c>
      <c r="BG168" s="35">
        <v>20</v>
      </c>
    </row>
    <row r="169" spans="1:59" x14ac:dyDescent="0.35">
      <c r="A169" s="36">
        <v>46059.564583333333</v>
      </c>
      <c r="B169" s="35">
        <v>2.6</v>
      </c>
      <c r="C169" s="35">
        <v>2</v>
      </c>
      <c r="D169" s="35">
        <v>3.2</v>
      </c>
      <c r="E169" s="35">
        <v>2.2000000000000002</v>
      </c>
      <c r="F169" s="35">
        <v>2.9</v>
      </c>
      <c r="G169" s="35">
        <v>2</v>
      </c>
      <c r="H169" s="35">
        <v>3.2</v>
      </c>
      <c r="I169" s="35">
        <v>2</v>
      </c>
      <c r="J169" s="35">
        <v>1.9</v>
      </c>
      <c r="K169" s="35">
        <v>2</v>
      </c>
      <c r="L169" s="35">
        <v>1.9</v>
      </c>
      <c r="M169" s="35">
        <v>2</v>
      </c>
      <c r="N169" s="35">
        <v>1.1000000000000001</v>
      </c>
      <c r="O169" s="35">
        <v>3</v>
      </c>
      <c r="P169" s="35">
        <v>1.9</v>
      </c>
      <c r="Q169" s="35">
        <v>2</v>
      </c>
      <c r="R169" s="35">
        <v>2.2999999999999998</v>
      </c>
      <c r="S169" s="35">
        <v>2</v>
      </c>
      <c r="T169" s="35">
        <v>2.7</v>
      </c>
      <c r="U169" s="35">
        <v>2</v>
      </c>
      <c r="V169" s="35">
        <v>10.9</v>
      </c>
      <c r="W169" s="35">
        <v>9</v>
      </c>
      <c r="X169" s="35">
        <v>10.8</v>
      </c>
      <c r="Y169" s="35">
        <v>9</v>
      </c>
      <c r="Z169" s="35">
        <v>9.1999999999999993</v>
      </c>
      <c r="AA169" s="35">
        <v>9</v>
      </c>
      <c r="AB169" s="35">
        <v>11</v>
      </c>
      <c r="AC169" s="35">
        <v>9</v>
      </c>
      <c r="AD169" s="35">
        <v>20.2</v>
      </c>
      <c r="AE169" s="35">
        <v>19</v>
      </c>
      <c r="AF169" s="35">
        <v>19.899999999999999</v>
      </c>
      <c r="AG169" s="35">
        <v>19</v>
      </c>
      <c r="AH169" s="35">
        <v>20.100000000000001</v>
      </c>
      <c r="AI169" s="35">
        <v>19</v>
      </c>
      <c r="AJ169" s="35">
        <v>20.8</v>
      </c>
      <c r="AK169" s="35">
        <v>19</v>
      </c>
      <c r="AL169" s="35">
        <v>19.7</v>
      </c>
      <c r="AM169" s="35">
        <v>19</v>
      </c>
      <c r="AN169" s="35">
        <v>20.6</v>
      </c>
      <c r="AO169" s="35">
        <v>19</v>
      </c>
      <c r="AP169" s="35">
        <v>20.100000000000001</v>
      </c>
      <c r="AQ169" s="35">
        <v>19</v>
      </c>
      <c r="AR169" s="35">
        <v>20.7</v>
      </c>
      <c r="AS169" s="35">
        <v>19</v>
      </c>
      <c r="AT169" s="35">
        <v>20.2</v>
      </c>
      <c r="AU169" s="35">
        <v>19</v>
      </c>
      <c r="AV169" s="35">
        <v>20</v>
      </c>
      <c r="AW169" s="35">
        <v>19</v>
      </c>
      <c r="AX169" s="35">
        <v>20.6</v>
      </c>
      <c r="AY169" s="35">
        <v>20</v>
      </c>
      <c r="AZ169" s="35">
        <v>20.5</v>
      </c>
      <c r="BA169" s="35">
        <v>20</v>
      </c>
      <c r="BB169" s="35">
        <v>32.299999999999997</v>
      </c>
      <c r="BC169" s="35">
        <v>40</v>
      </c>
      <c r="BD169" s="35">
        <v>31.3</v>
      </c>
      <c r="BE169" s="35">
        <v>40</v>
      </c>
      <c r="BF169" s="35">
        <v>19.7</v>
      </c>
      <c r="BG169" s="35">
        <v>20</v>
      </c>
    </row>
    <row r="170" spans="1:59" x14ac:dyDescent="0.35">
      <c r="A170" s="36">
        <v>46059.56527777778</v>
      </c>
      <c r="B170" s="35">
        <v>1.7</v>
      </c>
      <c r="C170" s="35">
        <v>2</v>
      </c>
      <c r="D170" s="35">
        <v>2</v>
      </c>
      <c r="E170" s="35">
        <v>2.2000000000000002</v>
      </c>
      <c r="F170" s="35">
        <v>3.4</v>
      </c>
      <c r="G170" s="35">
        <v>2</v>
      </c>
      <c r="H170" s="35">
        <v>3.6</v>
      </c>
      <c r="I170" s="35">
        <v>2</v>
      </c>
      <c r="J170" s="35">
        <v>1.9</v>
      </c>
      <c r="K170" s="35">
        <v>2</v>
      </c>
      <c r="L170" s="35">
        <v>2.4</v>
      </c>
      <c r="M170" s="35">
        <v>2</v>
      </c>
      <c r="N170" s="35">
        <v>1</v>
      </c>
      <c r="O170" s="35">
        <v>3</v>
      </c>
      <c r="P170" s="35">
        <v>1.8</v>
      </c>
      <c r="Q170" s="35">
        <v>2</v>
      </c>
      <c r="R170" s="35">
        <v>2.2999999999999998</v>
      </c>
      <c r="S170" s="35">
        <v>2</v>
      </c>
      <c r="T170" s="35">
        <v>2.9</v>
      </c>
      <c r="U170" s="35">
        <v>2</v>
      </c>
      <c r="V170" s="35">
        <v>10.9</v>
      </c>
      <c r="W170" s="35">
        <v>9</v>
      </c>
      <c r="X170" s="35">
        <v>10.8</v>
      </c>
      <c r="Y170" s="35">
        <v>9</v>
      </c>
      <c r="Z170" s="35">
        <v>9.5</v>
      </c>
      <c r="AA170" s="35">
        <v>9</v>
      </c>
      <c r="AB170" s="35">
        <v>10.8</v>
      </c>
      <c r="AC170" s="35">
        <v>9</v>
      </c>
      <c r="AD170" s="35">
        <v>20.3</v>
      </c>
      <c r="AE170" s="35">
        <v>19</v>
      </c>
      <c r="AF170" s="35">
        <v>20</v>
      </c>
      <c r="AG170" s="35">
        <v>19</v>
      </c>
      <c r="AH170" s="35">
        <v>20.2</v>
      </c>
      <c r="AI170" s="35">
        <v>19</v>
      </c>
      <c r="AJ170" s="35">
        <v>20.8</v>
      </c>
      <c r="AK170" s="35">
        <v>19</v>
      </c>
      <c r="AL170" s="35">
        <v>20</v>
      </c>
      <c r="AM170" s="35">
        <v>19</v>
      </c>
      <c r="AN170" s="35">
        <v>20.3</v>
      </c>
      <c r="AO170" s="35">
        <v>19</v>
      </c>
      <c r="AP170" s="35">
        <v>20.2</v>
      </c>
      <c r="AQ170" s="35">
        <v>19</v>
      </c>
      <c r="AR170" s="35">
        <v>20.7</v>
      </c>
      <c r="AS170" s="35">
        <v>19</v>
      </c>
      <c r="AT170" s="35">
        <v>20.3</v>
      </c>
      <c r="AU170" s="35">
        <v>19</v>
      </c>
      <c r="AV170" s="35">
        <v>20.100000000000001</v>
      </c>
      <c r="AW170" s="35">
        <v>19</v>
      </c>
      <c r="AX170" s="35">
        <v>20.6</v>
      </c>
      <c r="AY170" s="35">
        <v>20</v>
      </c>
      <c r="AZ170" s="35">
        <v>20.5</v>
      </c>
      <c r="BA170" s="35">
        <v>20</v>
      </c>
      <c r="BB170" s="35">
        <v>32.299999999999997</v>
      </c>
      <c r="BC170" s="35">
        <v>40</v>
      </c>
      <c r="BD170" s="35">
        <v>31.3</v>
      </c>
      <c r="BE170" s="35">
        <v>40</v>
      </c>
      <c r="BF170" s="35">
        <v>20.100000000000001</v>
      </c>
      <c r="BG170" s="35">
        <v>20</v>
      </c>
    </row>
    <row r="171" spans="1:59" x14ac:dyDescent="0.35">
      <c r="A171" s="36">
        <v>46059.565972222219</v>
      </c>
      <c r="B171" s="35">
        <v>1.6</v>
      </c>
      <c r="C171" s="35">
        <v>2</v>
      </c>
      <c r="D171" s="35">
        <v>2.2999999999999998</v>
      </c>
      <c r="E171" s="35">
        <v>2.2000000000000002</v>
      </c>
      <c r="F171" s="35">
        <v>3.8</v>
      </c>
      <c r="G171" s="35">
        <v>2</v>
      </c>
      <c r="H171" s="35">
        <v>4</v>
      </c>
      <c r="I171" s="35">
        <v>2</v>
      </c>
      <c r="J171" s="35">
        <v>2.1</v>
      </c>
      <c r="K171" s="35">
        <v>2</v>
      </c>
      <c r="L171" s="35">
        <v>2.9</v>
      </c>
      <c r="M171" s="35">
        <v>2</v>
      </c>
      <c r="N171" s="35">
        <v>1.3</v>
      </c>
      <c r="O171" s="35">
        <v>3</v>
      </c>
      <c r="P171" s="35">
        <v>2</v>
      </c>
      <c r="Q171" s="35">
        <v>2</v>
      </c>
      <c r="R171" s="35">
        <v>2.2999999999999998</v>
      </c>
      <c r="S171" s="35">
        <v>2</v>
      </c>
      <c r="T171" s="35">
        <v>3</v>
      </c>
      <c r="U171" s="35">
        <v>2</v>
      </c>
      <c r="V171" s="35">
        <v>8.6999999999999993</v>
      </c>
      <c r="W171" s="35">
        <v>9</v>
      </c>
      <c r="X171" s="35">
        <v>10.9</v>
      </c>
      <c r="Y171" s="35">
        <v>9</v>
      </c>
      <c r="Z171" s="35">
        <v>9.8000000000000007</v>
      </c>
      <c r="AA171" s="35">
        <v>9</v>
      </c>
      <c r="AB171" s="35">
        <v>9.6999999999999993</v>
      </c>
      <c r="AC171" s="35">
        <v>9</v>
      </c>
      <c r="AD171" s="35">
        <v>20.3</v>
      </c>
      <c r="AE171" s="35">
        <v>19</v>
      </c>
      <c r="AF171" s="35">
        <v>20</v>
      </c>
      <c r="AG171" s="35">
        <v>19</v>
      </c>
      <c r="AH171" s="35">
        <v>20.3</v>
      </c>
      <c r="AI171" s="35">
        <v>19</v>
      </c>
      <c r="AJ171" s="35">
        <v>20.9</v>
      </c>
      <c r="AK171" s="35">
        <v>19</v>
      </c>
      <c r="AL171" s="35">
        <v>20.2</v>
      </c>
      <c r="AM171" s="35">
        <v>19</v>
      </c>
      <c r="AN171" s="35">
        <v>19.899999999999999</v>
      </c>
      <c r="AO171" s="35">
        <v>19</v>
      </c>
      <c r="AP171" s="35">
        <v>20.2</v>
      </c>
      <c r="AQ171" s="35">
        <v>19</v>
      </c>
      <c r="AR171" s="35">
        <v>20.7</v>
      </c>
      <c r="AS171" s="35">
        <v>19</v>
      </c>
      <c r="AT171" s="35">
        <v>20.399999999999999</v>
      </c>
      <c r="AU171" s="35">
        <v>19</v>
      </c>
      <c r="AV171" s="35">
        <v>20.100000000000001</v>
      </c>
      <c r="AW171" s="35">
        <v>19</v>
      </c>
      <c r="AX171" s="35">
        <v>20.6</v>
      </c>
      <c r="AY171" s="35">
        <v>20</v>
      </c>
      <c r="AZ171" s="35">
        <v>20.5</v>
      </c>
      <c r="BA171" s="35">
        <v>20</v>
      </c>
      <c r="BB171" s="35">
        <v>32.299999999999997</v>
      </c>
      <c r="BC171" s="35">
        <v>40</v>
      </c>
      <c r="BD171" s="35">
        <v>31.3</v>
      </c>
      <c r="BE171" s="35">
        <v>40</v>
      </c>
      <c r="BF171" s="35">
        <v>20.6</v>
      </c>
      <c r="BG171" s="35">
        <v>20</v>
      </c>
    </row>
    <row r="172" spans="1:59" x14ac:dyDescent="0.35">
      <c r="A172" s="36">
        <v>46059.567361111112</v>
      </c>
      <c r="B172" s="35">
        <v>2.5</v>
      </c>
      <c r="C172" s="35">
        <v>2</v>
      </c>
      <c r="D172" s="35">
        <v>3.1</v>
      </c>
      <c r="E172" s="35">
        <v>2.2000000000000002</v>
      </c>
      <c r="F172" s="35">
        <v>3.5</v>
      </c>
      <c r="G172" s="35">
        <v>2</v>
      </c>
      <c r="H172" s="35">
        <v>3.2</v>
      </c>
      <c r="I172" s="35">
        <v>2</v>
      </c>
      <c r="J172" s="35">
        <v>2.5</v>
      </c>
      <c r="K172" s="35">
        <v>2</v>
      </c>
      <c r="L172" s="35">
        <v>3.8</v>
      </c>
      <c r="M172" s="35">
        <v>2</v>
      </c>
      <c r="N172" s="35">
        <v>1.9</v>
      </c>
      <c r="O172" s="35">
        <v>3</v>
      </c>
      <c r="P172" s="35">
        <v>2.6</v>
      </c>
      <c r="Q172" s="35">
        <v>2</v>
      </c>
      <c r="R172" s="35">
        <v>2.2999999999999998</v>
      </c>
      <c r="S172" s="35">
        <v>2</v>
      </c>
      <c r="T172" s="35">
        <v>3.4</v>
      </c>
      <c r="U172" s="35">
        <v>2</v>
      </c>
      <c r="V172" s="35">
        <v>8.1999999999999993</v>
      </c>
      <c r="W172" s="35">
        <v>9</v>
      </c>
      <c r="X172" s="35">
        <v>10.8</v>
      </c>
      <c r="Y172" s="35">
        <v>9</v>
      </c>
      <c r="Z172" s="35">
        <v>10.199999999999999</v>
      </c>
      <c r="AA172" s="35">
        <v>9</v>
      </c>
      <c r="AB172" s="35">
        <v>8.4</v>
      </c>
      <c r="AC172" s="35">
        <v>9</v>
      </c>
      <c r="AD172" s="35">
        <v>20.3</v>
      </c>
      <c r="AE172" s="35">
        <v>19</v>
      </c>
      <c r="AF172" s="35">
        <v>20.100000000000001</v>
      </c>
      <c r="AG172" s="35">
        <v>19</v>
      </c>
      <c r="AH172" s="35">
        <v>20.399999999999999</v>
      </c>
      <c r="AI172" s="35">
        <v>19</v>
      </c>
      <c r="AJ172" s="35">
        <v>21</v>
      </c>
      <c r="AK172" s="35">
        <v>19</v>
      </c>
      <c r="AL172" s="35">
        <v>20.6</v>
      </c>
      <c r="AM172" s="35">
        <v>19</v>
      </c>
      <c r="AN172" s="35">
        <v>19.399999999999999</v>
      </c>
      <c r="AO172" s="35">
        <v>19</v>
      </c>
      <c r="AP172" s="35">
        <v>20.3</v>
      </c>
      <c r="AQ172" s="35">
        <v>19</v>
      </c>
      <c r="AR172" s="35">
        <v>20.7</v>
      </c>
      <c r="AS172" s="35">
        <v>19</v>
      </c>
      <c r="AT172" s="35">
        <v>20.5</v>
      </c>
      <c r="AU172" s="35">
        <v>19</v>
      </c>
      <c r="AV172" s="35">
        <v>20.3</v>
      </c>
      <c r="AW172" s="35">
        <v>19</v>
      </c>
      <c r="AX172" s="35">
        <v>20.6</v>
      </c>
      <c r="AY172" s="35">
        <v>20</v>
      </c>
      <c r="AZ172" s="35">
        <v>20.5</v>
      </c>
      <c r="BA172" s="35">
        <v>20</v>
      </c>
      <c r="BB172" s="35">
        <v>32.299999999999997</v>
      </c>
      <c r="BC172" s="35">
        <v>40</v>
      </c>
      <c r="BD172" s="35">
        <v>31.3</v>
      </c>
      <c r="BE172" s="35">
        <v>40</v>
      </c>
      <c r="BF172" s="35">
        <v>21.1</v>
      </c>
      <c r="BG172" s="35">
        <v>20</v>
      </c>
    </row>
    <row r="173" spans="1:59" x14ac:dyDescent="0.35">
      <c r="A173" s="36">
        <v>46059.568055555559</v>
      </c>
      <c r="B173" s="35">
        <v>2.9</v>
      </c>
      <c r="C173" s="35">
        <v>2</v>
      </c>
      <c r="D173" s="35">
        <v>3.5</v>
      </c>
      <c r="E173" s="35">
        <v>2.2000000000000002</v>
      </c>
      <c r="F173" s="35">
        <v>3.6</v>
      </c>
      <c r="G173" s="35">
        <v>2</v>
      </c>
      <c r="H173" s="35">
        <v>3.2</v>
      </c>
      <c r="I173" s="35">
        <v>2</v>
      </c>
      <c r="J173" s="35">
        <v>2.7</v>
      </c>
      <c r="K173" s="35">
        <v>2</v>
      </c>
      <c r="L173" s="35">
        <v>4</v>
      </c>
      <c r="M173" s="35">
        <v>2</v>
      </c>
      <c r="N173" s="35">
        <v>2.2999999999999998</v>
      </c>
      <c r="O173" s="35">
        <v>3</v>
      </c>
      <c r="P173" s="35">
        <v>2.9</v>
      </c>
      <c r="Q173" s="35">
        <v>2</v>
      </c>
      <c r="R173" s="35">
        <v>2.2999999999999998</v>
      </c>
      <c r="S173" s="35">
        <v>2</v>
      </c>
      <c r="T173" s="35">
        <v>3.7</v>
      </c>
      <c r="U173" s="35">
        <v>2</v>
      </c>
      <c r="V173" s="35">
        <v>8.9</v>
      </c>
      <c r="W173" s="35">
        <v>9</v>
      </c>
      <c r="X173" s="35">
        <v>10.5</v>
      </c>
      <c r="Y173" s="35">
        <v>9</v>
      </c>
      <c r="Z173" s="35">
        <v>10.4</v>
      </c>
      <c r="AA173" s="35">
        <v>9</v>
      </c>
      <c r="AB173" s="35">
        <v>8.8000000000000007</v>
      </c>
      <c r="AC173" s="35">
        <v>9</v>
      </c>
      <c r="AD173" s="35">
        <v>20.399999999999999</v>
      </c>
      <c r="AE173" s="35">
        <v>19</v>
      </c>
      <c r="AF173" s="35">
        <v>20.2</v>
      </c>
      <c r="AG173" s="35">
        <v>19</v>
      </c>
      <c r="AH173" s="35">
        <v>20.399999999999999</v>
      </c>
      <c r="AI173" s="35">
        <v>19</v>
      </c>
      <c r="AJ173" s="35">
        <v>20.3</v>
      </c>
      <c r="AK173" s="35">
        <v>19</v>
      </c>
      <c r="AL173" s="35">
        <v>20.7</v>
      </c>
      <c r="AM173" s="35">
        <v>19</v>
      </c>
      <c r="AN173" s="35">
        <v>19.3</v>
      </c>
      <c r="AO173" s="35">
        <v>19</v>
      </c>
      <c r="AP173" s="35">
        <v>20.3</v>
      </c>
      <c r="AQ173" s="35">
        <v>19</v>
      </c>
      <c r="AR173" s="35">
        <v>20.7</v>
      </c>
      <c r="AS173" s="35">
        <v>19</v>
      </c>
      <c r="AT173" s="35">
        <v>20.6</v>
      </c>
      <c r="AU173" s="35">
        <v>19</v>
      </c>
      <c r="AV173" s="35">
        <v>20.3</v>
      </c>
      <c r="AW173" s="35">
        <v>19</v>
      </c>
      <c r="AX173" s="35">
        <v>20.6</v>
      </c>
      <c r="AY173" s="35">
        <v>20</v>
      </c>
      <c r="AZ173" s="35">
        <v>20.5</v>
      </c>
      <c r="BA173" s="35">
        <v>20</v>
      </c>
      <c r="BB173" s="35">
        <v>32.299999999999997</v>
      </c>
      <c r="BC173" s="35">
        <v>40</v>
      </c>
      <c r="BD173" s="35">
        <v>31.3</v>
      </c>
      <c r="BE173" s="35">
        <v>40</v>
      </c>
      <c r="BF173" s="35">
        <v>21.3</v>
      </c>
      <c r="BG173" s="35">
        <v>20</v>
      </c>
    </row>
    <row r="174" spans="1:59" x14ac:dyDescent="0.35">
      <c r="A174" s="36">
        <v>46059.568749999999</v>
      </c>
      <c r="B174" s="35">
        <v>3.3</v>
      </c>
      <c r="C174" s="35">
        <v>2</v>
      </c>
      <c r="D174" s="35">
        <v>3.8</v>
      </c>
      <c r="E174" s="35">
        <v>2.2000000000000002</v>
      </c>
      <c r="F174" s="35">
        <v>3.8</v>
      </c>
      <c r="G174" s="35">
        <v>2</v>
      </c>
      <c r="H174" s="35">
        <v>3.2</v>
      </c>
      <c r="I174" s="35">
        <v>2</v>
      </c>
      <c r="J174" s="35">
        <v>2.4</v>
      </c>
      <c r="K174" s="35">
        <v>2</v>
      </c>
      <c r="L174" s="35">
        <v>2.7</v>
      </c>
      <c r="M174" s="35">
        <v>2</v>
      </c>
      <c r="N174" s="35">
        <v>2.6</v>
      </c>
      <c r="O174" s="35">
        <v>3</v>
      </c>
      <c r="P174" s="35">
        <v>3.1</v>
      </c>
      <c r="Q174" s="35">
        <v>2</v>
      </c>
      <c r="R174" s="35">
        <v>2.2999999999999998</v>
      </c>
      <c r="S174" s="35">
        <v>2</v>
      </c>
      <c r="T174" s="35">
        <v>3.9</v>
      </c>
      <c r="U174" s="35">
        <v>2</v>
      </c>
      <c r="V174" s="35">
        <v>9.6</v>
      </c>
      <c r="W174" s="35">
        <v>9</v>
      </c>
      <c r="X174" s="35">
        <v>9.8000000000000007</v>
      </c>
      <c r="Y174" s="35">
        <v>9</v>
      </c>
      <c r="Z174" s="35">
        <v>10.5</v>
      </c>
      <c r="AA174" s="35">
        <v>9</v>
      </c>
      <c r="AB174" s="35">
        <v>9.3000000000000007</v>
      </c>
      <c r="AC174" s="35">
        <v>9</v>
      </c>
      <c r="AD174" s="35">
        <v>20.399999999999999</v>
      </c>
      <c r="AE174" s="35">
        <v>19</v>
      </c>
      <c r="AF174" s="35">
        <v>20.2</v>
      </c>
      <c r="AG174" s="35">
        <v>19</v>
      </c>
      <c r="AH174" s="35">
        <v>20.5</v>
      </c>
      <c r="AI174" s="35">
        <v>19</v>
      </c>
      <c r="AJ174" s="35">
        <v>18.899999999999999</v>
      </c>
      <c r="AK174" s="35">
        <v>19</v>
      </c>
      <c r="AL174" s="35">
        <v>20.9</v>
      </c>
      <c r="AM174" s="35">
        <v>19</v>
      </c>
      <c r="AN174" s="35">
        <v>19.2</v>
      </c>
      <c r="AO174" s="35">
        <v>19</v>
      </c>
      <c r="AP174" s="35">
        <v>20.3</v>
      </c>
      <c r="AQ174" s="35">
        <v>19</v>
      </c>
      <c r="AR174" s="35">
        <v>20.7</v>
      </c>
      <c r="AS174" s="35">
        <v>19</v>
      </c>
      <c r="AT174" s="35">
        <v>20.7</v>
      </c>
      <c r="AU174" s="35">
        <v>19</v>
      </c>
      <c r="AV174" s="35">
        <v>20.399999999999999</v>
      </c>
      <c r="AW174" s="35">
        <v>19</v>
      </c>
      <c r="AX174" s="35">
        <v>20.6</v>
      </c>
      <c r="AY174" s="35">
        <v>20</v>
      </c>
      <c r="AZ174" s="35">
        <v>20.6</v>
      </c>
      <c r="BA174" s="35">
        <v>20</v>
      </c>
      <c r="BB174" s="35">
        <v>32.4</v>
      </c>
      <c r="BC174" s="35">
        <v>40</v>
      </c>
      <c r="BD174" s="35">
        <v>31.3</v>
      </c>
      <c r="BE174" s="35">
        <v>40</v>
      </c>
      <c r="BF174" s="35">
        <v>21.4</v>
      </c>
      <c r="BG174" s="35">
        <v>20</v>
      </c>
    </row>
    <row r="175" spans="1:59" x14ac:dyDescent="0.35">
      <c r="A175" s="36">
        <v>46059.569444444445</v>
      </c>
      <c r="B175" s="35">
        <v>3.6</v>
      </c>
      <c r="C175" s="35">
        <v>2</v>
      </c>
      <c r="D175" s="35">
        <v>4.0999999999999996</v>
      </c>
      <c r="E175" s="35">
        <v>2.2000000000000002</v>
      </c>
      <c r="F175" s="35">
        <v>3.9</v>
      </c>
      <c r="G175" s="35">
        <v>2</v>
      </c>
      <c r="H175" s="35">
        <v>3.3</v>
      </c>
      <c r="I175" s="35">
        <v>2</v>
      </c>
      <c r="J175" s="35">
        <v>1.9</v>
      </c>
      <c r="K175" s="35">
        <v>2</v>
      </c>
      <c r="L175" s="35">
        <v>1.9</v>
      </c>
      <c r="M175" s="35">
        <v>2</v>
      </c>
      <c r="N175" s="35">
        <v>2.9</v>
      </c>
      <c r="O175" s="35">
        <v>3</v>
      </c>
      <c r="P175" s="35">
        <v>3.3</v>
      </c>
      <c r="Q175" s="35">
        <v>2</v>
      </c>
      <c r="R175" s="35">
        <v>2.2999999999999998</v>
      </c>
      <c r="S175" s="35">
        <v>2</v>
      </c>
      <c r="T175" s="35">
        <v>4</v>
      </c>
      <c r="U175" s="35">
        <v>2</v>
      </c>
      <c r="V175" s="35">
        <v>10.1</v>
      </c>
      <c r="W175" s="35">
        <v>9</v>
      </c>
      <c r="X175" s="35">
        <v>8.9</v>
      </c>
      <c r="Y175" s="35">
        <v>9</v>
      </c>
      <c r="Z175" s="35">
        <v>10.7</v>
      </c>
      <c r="AA175" s="35">
        <v>9</v>
      </c>
      <c r="AB175" s="35">
        <v>9.8000000000000007</v>
      </c>
      <c r="AC175" s="35">
        <v>9</v>
      </c>
      <c r="AD175" s="35">
        <v>20.399999999999999</v>
      </c>
      <c r="AE175" s="35">
        <v>19</v>
      </c>
      <c r="AF175" s="35">
        <v>20.3</v>
      </c>
      <c r="AG175" s="35">
        <v>19</v>
      </c>
      <c r="AH175" s="35">
        <v>20.6</v>
      </c>
      <c r="AI175" s="35">
        <v>19</v>
      </c>
      <c r="AJ175" s="35">
        <v>18.600000000000001</v>
      </c>
      <c r="AK175" s="35">
        <v>19</v>
      </c>
      <c r="AL175" s="35">
        <v>21</v>
      </c>
      <c r="AM175" s="35">
        <v>19</v>
      </c>
      <c r="AN175" s="35">
        <v>19.100000000000001</v>
      </c>
      <c r="AO175" s="35">
        <v>19</v>
      </c>
      <c r="AP175" s="35">
        <v>20.399999999999999</v>
      </c>
      <c r="AQ175" s="35">
        <v>19</v>
      </c>
      <c r="AR175" s="35">
        <v>20.7</v>
      </c>
      <c r="AS175" s="35">
        <v>19</v>
      </c>
      <c r="AT175" s="35">
        <v>20.8</v>
      </c>
      <c r="AU175" s="35">
        <v>19</v>
      </c>
      <c r="AV175" s="35">
        <v>20.399999999999999</v>
      </c>
      <c r="AW175" s="35">
        <v>19</v>
      </c>
      <c r="AX175" s="35">
        <v>20.7</v>
      </c>
      <c r="AY175" s="35">
        <v>20</v>
      </c>
      <c r="AZ175" s="35">
        <v>20.6</v>
      </c>
      <c r="BA175" s="35">
        <v>20</v>
      </c>
      <c r="BB175" s="35">
        <v>32.4</v>
      </c>
      <c r="BC175" s="35">
        <v>40</v>
      </c>
      <c r="BD175" s="35">
        <v>31.3</v>
      </c>
      <c r="BE175" s="35">
        <v>40</v>
      </c>
      <c r="BF175" s="35">
        <v>21.5</v>
      </c>
      <c r="BG175" s="35">
        <v>20</v>
      </c>
    </row>
    <row r="176" spans="1:59" x14ac:dyDescent="0.35">
      <c r="A176" s="36">
        <v>46059.570138888892</v>
      </c>
      <c r="B176" s="35">
        <v>3.7</v>
      </c>
      <c r="C176" s="35">
        <v>2</v>
      </c>
      <c r="D176" s="35">
        <v>4.2</v>
      </c>
      <c r="E176" s="35">
        <v>2.2000000000000002</v>
      </c>
      <c r="F176" s="35">
        <v>3.9</v>
      </c>
      <c r="G176" s="35">
        <v>2</v>
      </c>
      <c r="H176" s="35">
        <v>3.4</v>
      </c>
      <c r="I176" s="35">
        <v>2</v>
      </c>
      <c r="J176" s="35">
        <v>1.9</v>
      </c>
      <c r="K176" s="35">
        <v>2</v>
      </c>
      <c r="L176" s="35">
        <v>1.9</v>
      </c>
      <c r="M176" s="35">
        <v>2</v>
      </c>
      <c r="N176" s="35">
        <v>3.2</v>
      </c>
      <c r="O176" s="35">
        <v>3</v>
      </c>
      <c r="P176" s="35">
        <v>3.5</v>
      </c>
      <c r="Q176" s="35">
        <v>2</v>
      </c>
      <c r="R176" s="35">
        <v>2.2999999999999998</v>
      </c>
      <c r="S176" s="35">
        <v>2</v>
      </c>
      <c r="T176" s="35">
        <v>3.8</v>
      </c>
      <c r="U176" s="35">
        <v>2</v>
      </c>
      <c r="V176" s="35">
        <v>10.5</v>
      </c>
      <c r="W176" s="35">
        <v>9</v>
      </c>
      <c r="X176" s="35">
        <v>8.3000000000000007</v>
      </c>
      <c r="Y176" s="35">
        <v>9</v>
      </c>
      <c r="Z176" s="35">
        <v>10.8</v>
      </c>
      <c r="AA176" s="35">
        <v>9</v>
      </c>
      <c r="AB176" s="35">
        <v>10.199999999999999</v>
      </c>
      <c r="AC176" s="35">
        <v>9</v>
      </c>
      <c r="AD176" s="35">
        <v>20.5</v>
      </c>
      <c r="AE176" s="35">
        <v>19</v>
      </c>
      <c r="AF176" s="35">
        <v>20.3</v>
      </c>
      <c r="AG176" s="35">
        <v>19</v>
      </c>
      <c r="AH176" s="35">
        <v>20.6</v>
      </c>
      <c r="AI176" s="35">
        <v>19</v>
      </c>
      <c r="AJ176" s="35">
        <v>18.600000000000001</v>
      </c>
      <c r="AK176" s="35">
        <v>19</v>
      </c>
      <c r="AL176" s="35">
        <v>21</v>
      </c>
      <c r="AM176" s="35">
        <v>19</v>
      </c>
      <c r="AN176" s="35">
        <v>19.100000000000001</v>
      </c>
      <c r="AO176" s="35">
        <v>19</v>
      </c>
      <c r="AP176" s="35">
        <v>20.399999999999999</v>
      </c>
      <c r="AQ176" s="35">
        <v>19</v>
      </c>
      <c r="AR176" s="35">
        <v>20.7</v>
      </c>
      <c r="AS176" s="35">
        <v>19</v>
      </c>
      <c r="AT176" s="35">
        <v>20.8</v>
      </c>
      <c r="AU176" s="35">
        <v>19</v>
      </c>
      <c r="AV176" s="35">
        <v>20.5</v>
      </c>
      <c r="AW176" s="35">
        <v>19</v>
      </c>
      <c r="AX176" s="35">
        <v>20.7</v>
      </c>
      <c r="AY176" s="35">
        <v>20</v>
      </c>
      <c r="AZ176" s="35">
        <v>20.6</v>
      </c>
      <c r="BA176" s="35">
        <v>20</v>
      </c>
      <c r="BB176" s="35">
        <v>32.4</v>
      </c>
      <c r="BC176" s="35">
        <v>40</v>
      </c>
      <c r="BD176" s="35">
        <v>31.3</v>
      </c>
      <c r="BE176" s="35">
        <v>40</v>
      </c>
      <c r="BF176" s="35">
        <v>21.6</v>
      </c>
      <c r="BG176" s="35">
        <v>20</v>
      </c>
    </row>
    <row r="177" spans="1:59" x14ac:dyDescent="0.35">
      <c r="A177" s="36">
        <v>46059.570833333331</v>
      </c>
      <c r="B177" s="35">
        <v>3.7</v>
      </c>
      <c r="C177" s="35">
        <v>2</v>
      </c>
      <c r="D177" s="35">
        <v>4</v>
      </c>
      <c r="E177" s="35">
        <v>2.2000000000000002</v>
      </c>
      <c r="F177" s="35">
        <v>2.2000000000000002</v>
      </c>
      <c r="G177" s="35">
        <v>2</v>
      </c>
      <c r="H177" s="35">
        <v>1.6</v>
      </c>
      <c r="I177" s="35">
        <v>2</v>
      </c>
      <c r="J177" s="35">
        <v>2.2000000000000002</v>
      </c>
      <c r="K177" s="35">
        <v>2</v>
      </c>
      <c r="L177" s="35">
        <v>2.2999999999999998</v>
      </c>
      <c r="M177" s="35">
        <v>2</v>
      </c>
      <c r="N177" s="35">
        <v>3.4</v>
      </c>
      <c r="O177" s="35">
        <v>3</v>
      </c>
      <c r="P177" s="35">
        <v>3.6</v>
      </c>
      <c r="Q177" s="35">
        <v>2</v>
      </c>
      <c r="R177" s="35">
        <v>2.2999999999999998</v>
      </c>
      <c r="S177" s="35">
        <v>2</v>
      </c>
      <c r="T177" s="35">
        <v>3.1</v>
      </c>
      <c r="U177" s="35">
        <v>2</v>
      </c>
      <c r="V177" s="35">
        <v>10.9</v>
      </c>
      <c r="W177" s="35">
        <v>9</v>
      </c>
      <c r="X177" s="35">
        <v>8.3000000000000007</v>
      </c>
      <c r="Y177" s="35">
        <v>9</v>
      </c>
      <c r="Z177" s="35">
        <v>10.9</v>
      </c>
      <c r="AA177" s="35">
        <v>9</v>
      </c>
      <c r="AB177" s="35">
        <v>10.6</v>
      </c>
      <c r="AC177" s="35">
        <v>9</v>
      </c>
      <c r="AD177" s="35">
        <v>20.5</v>
      </c>
      <c r="AE177" s="35">
        <v>19</v>
      </c>
      <c r="AF177" s="35">
        <v>20.399999999999999</v>
      </c>
      <c r="AG177" s="35">
        <v>19</v>
      </c>
      <c r="AH177" s="35">
        <v>20.7</v>
      </c>
      <c r="AI177" s="35">
        <v>19</v>
      </c>
      <c r="AJ177" s="35">
        <v>18.8</v>
      </c>
      <c r="AK177" s="35">
        <v>19</v>
      </c>
      <c r="AL177" s="35">
        <v>20.7</v>
      </c>
      <c r="AM177" s="35">
        <v>19</v>
      </c>
      <c r="AN177" s="35">
        <v>19.100000000000001</v>
      </c>
      <c r="AO177" s="35">
        <v>19</v>
      </c>
      <c r="AP177" s="35">
        <v>20.399999999999999</v>
      </c>
      <c r="AQ177" s="35">
        <v>19</v>
      </c>
      <c r="AR177" s="35">
        <v>20.7</v>
      </c>
      <c r="AS177" s="35">
        <v>19</v>
      </c>
      <c r="AT177" s="35">
        <v>20.9</v>
      </c>
      <c r="AU177" s="35">
        <v>19</v>
      </c>
      <c r="AV177" s="35">
        <v>20.5</v>
      </c>
      <c r="AW177" s="35">
        <v>19</v>
      </c>
      <c r="AX177" s="35">
        <v>20.7</v>
      </c>
      <c r="AY177" s="35">
        <v>20</v>
      </c>
      <c r="AZ177" s="35">
        <v>20.6</v>
      </c>
      <c r="BA177" s="35">
        <v>20</v>
      </c>
      <c r="BB177" s="35">
        <v>32.4</v>
      </c>
      <c r="BC177" s="35">
        <v>40</v>
      </c>
      <c r="BD177" s="35">
        <v>31.4</v>
      </c>
      <c r="BE177" s="35">
        <v>40</v>
      </c>
      <c r="BF177" s="35">
        <v>21.7</v>
      </c>
      <c r="BG177" s="35">
        <v>20</v>
      </c>
    </row>
    <row r="178" spans="1:59" x14ac:dyDescent="0.35">
      <c r="A178" s="36">
        <v>46059.571527777778</v>
      </c>
      <c r="B178" s="35">
        <v>3.7</v>
      </c>
      <c r="C178" s="35">
        <v>2</v>
      </c>
      <c r="D178" s="35">
        <v>4</v>
      </c>
      <c r="E178" s="35">
        <v>2.2000000000000002</v>
      </c>
      <c r="F178" s="35">
        <v>1.4</v>
      </c>
      <c r="G178" s="35">
        <v>2</v>
      </c>
      <c r="H178" s="35">
        <v>1.5</v>
      </c>
      <c r="I178" s="35">
        <v>2</v>
      </c>
      <c r="J178" s="35">
        <v>2.5</v>
      </c>
      <c r="K178" s="35">
        <v>2</v>
      </c>
      <c r="L178" s="35">
        <v>2.7</v>
      </c>
      <c r="M178" s="35">
        <v>2</v>
      </c>
      <c r="N178" s="35">
        <v>3.6</v>
      </c>
      <c r="O178" s="35">
        <v>3</v>
      </c>
      <c r="P178" s="35">
        <v>3.8</v>
      </c>
      <c r="Q178" s="35">
        <v>2</v>
      </c>
      <c r="R178" s="35">
        <v>2.2999999999999998</v>
      </c>
      <c r="S178" s="35">
        <v>2</v>
      </c>
      <c r="T178" s="35">
        <v>2.4</v>
      </c>
      <c r="U178" s="35">
        <v>2</v>
      </c>
      <c r="V178" s="35">
        <v>10.4</v>
      </c>
      <c r="W178" s="35">
        <v>9</v>
      </c>
      <c r="X178" s="35">
        <v>8.3000000000000007</v>
      </c>
      <c r="Y178" s="35">
        <v>9</v>
      </c>
      <c r="Z178" s="35">
        <v>11</v>
      </c>
      <c r="AA178" s="35">
        <v>9</v>
      </c>
      <c r="AB178" s="35">
        <v>10.9</v>
      </c>
      <c r="AC178" s="35">
        <v>9</v>
      </c>
      <c r="AD178" s="35">
        <v>20.6</v>
      </c>
      <c r="AE178" s="35">
        <v>19</v>
      </c>
      <c r="AF178" s="35">
        <v>20.399999999999999</v>
      </c>
      <c r="AG178" s="35">
        <v>19</v>
      </c>
      <c r="AH178" s="35">
        <v>20.7</v>
      </c>
      <c r="AI178" s="35">
        <v>19</v>
      </c>
      <c r="AJ178" s="35">
        <v>19.100000000000001</v>
      </c>
      <c r="AK178" s="35">
        <v>19</v>
      </c>
      <c r="AL178" s="35">
        <v>20.6</v>
      </c>
      <c r="AM178" s="35">
        <v>19</v>
      </c>
      <c r="AN178" s="35">
        <v>19</v>
      </c>
      <c r="AO178" s="35">
        <v>19</v>
      </c>
      <c r="AP178" s="35">
        <v>20.399999999999999</v>
      </c>
      <c r="AQ178" s="35">
        <v>19</v>
      </c>
      <c r="AR178" s="35">
        <v>20.7</v>
      </c>
      <c r="AS178" s="35">
        <v>19</v>
      </c>
      <c r="AT178" s="35">
        <v>21</v>
      </c>
      <c r="AU178" s="35">
        <v>19</v>
      </c>
      <c r="AV178" s="35">
        <v>20.6</v>
      </c>
      <c r="AW178" s="35">
        <v>19</v>
      </c>
      <c r="AX178" s="35">
        <v>20.8</v>
      </c>
      <c r="AY178" s="35">
        <v>20</v>
      </c>
      <c r="AZ178" s="35">
        <v>20.6</v>
      </c>
      <c r="BA178" s="35">
        <v>20</v>
      </c>
      <c r="BB178" s="35">
        <v>32.4</v>
      </c>
      <c r="BC178" s="35">
        <v>40</v>
      </c>
      <c r="BD178" s="35">
        <v>31.4</v>
      </c>
      <c r="BE178" s="35">
        <v>40</v>
      </c>
      <c r="BF178" s="35">
        <v>21.7</v>
      </c>
      <c r="BG178" s="35">
        <v>20</v>
      </c>
    </row>
    <row r="179" spans="1:59" x14ac:dyDescent="0.35">
      <c r="A179" s="36">
        <v>46059.572222222225</v>
      </c>
      <c r="B179" s="35">
        <v>4</v>
      </c>
      <c r="C179" s="35">
        <v>2</v>
      </c>
      <c r="D179" s="35">
        <v>4.3</v>
      </c>
      <c r="E179" s="35">
        <v>2.2000000000000002</v>
      </c>
      <c r="F179" s="35">
        <v>1.6</v>
      </c>
      <c r="G179" s="35">
        <v>2</v>
      </c>
      <c r="H179" s="35">
        <v>1.8</v>
      </c>
      <c r="I179" s="35">
        <v>2</v>
      </c>
      <c r="J179" s="35">
        <v>2.7</v>
      </c>
      <c r="K179" s="35">
        <v>2</v>
      </c>
      <c r="L179" s="35">
        <v>3.1</v>
      </c>
      <c r="M179" s="35">
        <v>2</v>
      </c>
      <c r="N179" s="35">
        <v>3.8</v>
      </c>
      <c r="O179" s="35">
        <v>3</v>
      </c>
      <c r="P179" s="35">
        <v>3.9</v>
      </c>
      <c r="Q179" s="35">
        <v>2</v>
      </c>
      <c r="R179" s="35">
        <v>2.2999999999999998</v>
      </c>
      <c r="S179" s="35">
        <v>2</v>
      </c>
      <c r="T179" s="35">
        <v>2.2000000000000002</v>
      </c>
      <c r="U179" s="35">
        <v>2</v>
      </c>
      <c r="V179" s="35">
        <v>8.6999999999999993</v>
      </c>
      <c r="W179" s="35">
        <v>9</v>
      </c>
      <c r="X179" s="35">
        <v>8.5</v>
      </c>
      <c r="Y179" s="35">
        <v>9</v>
      </c>
      <c r="Z179" s="35">
        <v>10.4</v>
      </c>
      <c r="AA179" s="35">
        <v>9</v>
      </c>
      <c r="AB179" s="35">
        <v>10.9</v>
      </c>
      <c r="AC179" s="35">
        <v>9</v>
      </c>
      <c r="AD179" s="35">
        <v>20.6</v>
      </c>
      <c r="AE179" s="35">
        <v>19</v>
      </c>
      <c r="AF179" s="35">
        <v>20.399999999999999</v>
      </c>
      <c r="AG179" s="35">
        <v>19</v>
      </c>
      <c r="AH179" s="35">
        <v>20.7</v>
      </c>
      <c r="AI179" s="35">
        <v>19</v>
      </c>
      <c r="AJ179" s="35">
        <v>19.2</v>
      </c>
      <c r="AK179" s="35">
        <v>19</v>
      </c>
      <c r="AL179" s="35">
        <v>20.5</v>
      </c>
      <c r="AM179" s="35">
        <v>19</v>
      </c>
      <c r="AN179" s="35">
        <v>19</v>
      </c>
      <c r="AO179" s="35">
        <v>19</v>
      </c>
      <c r="AP179" s="35">
        <v>20.399999999999999</v>
      </c>
      <c r="AQ179" s="35">
        <v>19</v>
      </c>
      <c r="AR179" s="35">
        <v>20.7</v>
      </c>
      <c r="AS179" s="35">
        <v>19</v>
      </c>
      <c r="AT179" s="35">
        <v>20.2</v>
      </c>
      <c r="AU179" s="35">
        <v>19</v>
      </c>
      <c r="AV179" s="35">
        <v>20.6</v>
      </c>
      <c r="AW179" s="35">
        <v>19</v>
      </c>
      <c r="AX179" s="35">
        <v>20.9</v>
      </c>
      <c r="AY179" s="35">
        <v>20</v>
      </c>
      <c r="AZ179" s="35">
        <v>20.6</v>
      </c>
      <c r="BA179" s="35">
        <v>20</v>
      </c>
      <c r="BB179" s="35">
        <v>32.4</v>
      </c>
      <c r="BC179" s="35">
        <v>40</v>
      </c>
      <c r="BD179" s="35">
        <v>31.4</v>
      </c>
      <c r="BE179" s="35">
        <v>40</v>
      </c>
      <c r="BF179" s="35">
        <v>21.8</v>
      </c>
      <c r="BG179" s="35">
        <v>20</v>
      </c>
    </row>
    <row r="180" spans="1:59" x14ac:dyDescent="0.35">
      <c r="A180" s="36">
        <v>46059.572916666664</v>
      </c>
      <c r="B180" s="35">
        <v>3.6</v>
      </c>
      <c r="C180" s="35">
        <v>2</v>
      </c>
      <c r="D180" s="35">
        <v>3.7</v>
      </c>
      <c r="E180" s="35">
        <v>2.2000000000000002</v>
      </c>
      <c r="F180" s="35">
        <v>2.1</v>
      </c>
      <c r="G180" s="35">
        <v>2</v>
      </c>
      <c r="H180" s="35">
        <v>2.4</v>
      </c>
      <c r="I180" s="35">
        <v>2</v>
      </c>
      <c r="J180" s="35">
        <v>2.9</v>
      </c>
      <c r="K180" s="35">
        <v>2</v>
      </c>
      <c r="L180" s="35">
        <v>3.5</v>
      </c>
      <c r="M180" s="35">
        <v>2</v>
      </c>
      <c r="N180" s="35">
        <v>3.9</v>
      </c>
      <c r="O180" s="35">
        <v>3</v>
      </c>
      <c r="P180" s="35">
        <v>4</v>
      </c>
      <c r="Q180" s="35">
        <v>2</v>
      </c>
      <c r="R180" s="35">
        <v>2.2999999999999998</v>
      </c>
      <c r="S180" s="35">
        <v>2</v>
      </c>
      <c r="T180" s="35">
        <v>1.9</v>
      </c>
      <c r="U180" s="35">
        <v>2</v>
      </c>
      <c r="V180" s="35">
        <v>7.8</v>
      </c>
      <c r="W180" s="35">
        <v>9</v>
      </c>
      <c r="X180" s="35">
        <v>8.8000000000000007</v>
      </c>
      <c r="Y180" s="35">
        <v>9</v>
      </c>
      <c r="Z180" s="35">
        <v>9.8000000000000007</v>
      </c>
      <c r="AA180" s="35">
        <v>9</v>
      </c>
      <c r="AB180" s="35">
        <v>9.6</v>
      </c>
      <c r="AC180" s="35">
        <v>9</v>
      </c>
      <c r="AD180" s="35">
        <v>20.6</v>
      </c>
      <c r="AE180" s="35">
        <v>19</v>
      </c>
      <c r="AF180" s="35">
        <v>20.5</v>
      </c>
      <c r="AG180" s="35">
        <v>19</v>
      </c>
      <c r="AH180" s="35">
        <v>20.8</v>
      </c>
      <c r="AI180" s="35">
        <v>19</v>
      </c>
      <c r="AJ180" s="35">
        <v>19.399999999999999</v>
      </c>
      <c r="AK180" s="35">
        <v>19</v>
      </c>
      <c r="AL180" s="35">
        <v>20.399999999999999</v>
      </c>
      <c r="AM180" s="35">
        <v>19</v>
      </c>
      <c r="AN180" s="35">
        <v>19.2</v>
      </c>
      <c r="AO180" s="35">
        <v>19</v>
      </c>
      <c r="AP180" s="35">
        <v>20.5</v>
      </c>
      <c r="AQ180" s="35">
        <v>19</v>
      </c>
      <c r="AR180" s="35">
        <v>20.7</v>
      </c>
      <c r="AS180" s="35">
        <v>19</v>
      </c>
      <c r="AT180" s="35">
        <v>19.399999999999999</v>
      </c>
      <c r="AU180" s="35">
        <v>19</v>
      </c>
      <c r="AV180" s="35">
        <v>20.7</v>
      </c>
      <c r="AW180" s="35">
        <v>19</v>
      </c>
      <c r="AX180" s="35">
        <v>20.9</v>
      </c>
      <c r="AY180" s="35">
        <v>20</v>
      </c>
      <c r="AZ180" s="35">
        <v>20.6</v>
      </c>
      <c r="BA180" s="35">
        <v>20</v>
      </c>
      <c r="BB180" s="35">
        <v>32.4</v>
      </c>
      <c r="BC180" s="35">
        <v>40</v>
      </c>
      <c r="BD180" s="35">
        <v>31.4</v>
      </c>
      <c r="BE180" s="35">
        <v>40</v>
      </c>
      <c r="BF180" s="35">
        <v>21.8</v>
      </c>
      <c r="BG180" s="35">
        <v>20</v>
      </c>
    </row>
    <row r="181" spans="1:59" x14ac:dyDescent="0.35">
      <c r="A181" s="36">
        <v>46059.573611111111</v>
      </c>
      <c r="B181" s="35">
        <v>2</v>
      </c>
      <c r="C181" s="35">
        <v>2</v>
      </c>
      <c r="D181" s="35">
        <v>2.2000000000000002</v>
      </c>
      <c r="E181" s="35">
        <v>2.2000000000000002</v>
      </c>
      <c r="F181" s="35">
        <v>2.6</v>
      </c>
      <c r="G181" s="35">
        <v>2</v>
      </c>
      <c r="H181" s="35">
        <v>2.9</v>
      </c>
      <c r="I181" s="35">
        <v>2</v>
      </c>
      <c r="J181" s="35">
        <v>3</v>
      </c>
      <c r="K181" s="35">
        <v>2</v>
      </c>
      <c r="L181" s="35">
        <v>3.8</v>
      </c>
      <c r="M181" s="35">
        <v>2</v>
      </c>
      <c r="N181" s="35">
        <v>2.5</v>
      </c>
      <c r="O181" s="35">
        <v>3</v>
      </c>
      <c r="P181" s="35">
        <v>3</v>
      </c>
      <c r="Q181" s="35">
        <v>2</v>
      </c>
      <c r="R181" s="35">
        <v>2.2999999999999998</v>
      </c>
      <c r="S181" s="35">
        <v>2</v>
      </c>
      <c r="T181" s="35">
        <v>2</v>
      </c>
      <c r="U181" s="35">
        <v>2</v>
      </c>
      <c r="V181" s="35">
        <v>8.4</v>
      </c>
      <c r="W181" s="35">
        <v>9</v>
      </c>
      <c r="X181" s="35">
        <v>9.1</v>
      </c>
      <c r="Y181" s="35">
        <v>9</v>
      </c>
      <c r="Z181" s="35">
        <v>9.3000000000000007</v>
      </c>
      <c r="AA181" s="35">
        <v>9</v>
      </c>
      <c r="AB181" s="35">
        <v>8.6</v>
      </c>
      <c r="AC181" s="35">
        <v>9</v>
      </c>
      <c r="AD181" s="35">
        <v>20.7</v>
      </c>
      <c r="AE181" s="35">
        <v>19</v>
      </c>
      <c r="AF181" s="35">
        <v>20.5</v>
      </c>
      <c r="AG181" s="35">
        <v>19</v>
      </c>
      <c r="AH181" s="35">
        <v>20.8</v>
      </c>
      <c r="AI181" s="35">
        <v>19</v>
      </c>
      <c r="AJ181" s="35">
        <v>19.600000000000001</v>
      </c>
      <c r="AK181" s="35">
        <v>19</v>
      </c>
      <c r="AL181" s="35">
        <v>20.399999999999999</v>
      </c>
      <c r="AM181" s="35">
        <v>19</v>
      </c>
      <c r="AN181" s="35">
        <v>19.399999999999999</v>
      </c>
      <c r="AO181" s="35">
        <v>19</v>
      </c>
      <c r="AP181" s="35">
        <v>20.5</v>
      </c>
      <c r="AQ181" s="35">
        <v>19</v>
      </c>
      <c r="AR181" s="35">
        <v>20.7</v>
      </c>
      <c r="AS181" s="35">
        <v>19</v>
      </c>
      <c r="AT181" s="35">
        <v>18.8</v>
      </c>
      <c r="AU181" s="35">
        <v>19</v>
      </c>
      <c r="AV181" s="35">
        <v>20.7</v>
      </c>
      <c r="AW181" s="35">
        <v>19</v>
      </c>
      <c r="AX181" s="35">
        <v>20.9</v>
      </c>
      <c r="AY181" s="35">
        <v>20</v>
      </c>
      <c r="AZ181" s="35">
        <v>20.6</v>
      </c>
      <c r="BA181" s="35">
        <v>20</v>
      </c>
      <c r="BB181" s="35">
        <v>32.4</v>
      </c>
      <c r="BC181" s="35">
        <v>40</v>
      </c>
      <c r="BD181" s="35">
        <v>31.4</v>
      </c>
      <c r="BE181" s="35">
        <v>40</v>
      </c>
      <c r="BF181" s="35">
        <v>21.9</v>
      </c>
      <c r="BG181" s="35">
        <v>20</v>
      </c>
    </row>
    <row r="182" spans="1:59" x14ac:dyDescent="0.35">
      <c r="A182" s="36">
        <v>46059.574305555558</v>
      </c>
      <c r="B182" s="35">
        <v>1.7</v>
      </c>
      <c r="C182" s="35">
        <v>2</v>
      </c>
      <c r="D182" s="35">
        <v>2.1</v>
      </c>
      <c r="E182" s="35">
        <v>2.2000000000000002</v>
      </c>
      <c r="F182" s="35">
        <v>3</v>
      </c>
      <c r="G182" s="35">
        <v>2</v>
      </c>
      <c r="H182" s="35">
        <v>3.3</v>
      </c>
      <c r="I182" s="35">
        <v>2</v>
      </c>
      <c r="J182" s="35">
        <v>3.2</v>
      </c>
      <c r="K182" s="35">
        <v>2</v>
      </c>
      <c r="L182" s="35">
        <v>4</v>
      </c>
      <c r="M182" s="35">
        <v>2</v>
      </c>
      <c r="N182" s="35">
        <v>1.8</v>
      </c>
      <c r="O182" s="35">
        <v>3</v>
      </c>
      <c r="P182" s="35">
        <v>2.2000000000000002</v>
      </c>
      <c r="Q182" s="35">
        <v>2</v>
      </c>
      <c r="R182" s="35">
        <v>2.2999999999999998</v>
      </c>
      <c r="S182" s="35">
        <v>2</v>
      </c>
      <c r="T182" s="35">
        <v>3.3</v>
      </c>
      <c r="U182" s="35">
        <v>2</v>
      </c>
      <c r="V182" s="35">
        <v>9.1999999999999993</v>
      </c>
      <c r="W182" s="35">
        <v>9</v>
      </c>
      <c r="X182" s="35">
        <v>9.3000000000000007</v>
      </c>
      <c r="Y182" s="35">
        <v>9</v>
      </c>
      <c r="Z182" s="35">
        <v>8.9</v>
      </c>
      <c r="AA182" s="35">
        <v>9</v>
      </c>
      <c r="AB182" s="35">
        <v>8.6999999999999993</v>
      </c>
      <c r="AC182" s="35">
        <v>9</v>
      </c>
      <c r="AD182" s="35">
        <v>20.7</v>
      </c>
      <c r="AE182" s="35">
        <v>19</v>
      </c>
      <c r="AF182" s="35">
        <v>20.5</v>
      </c>
      <c r="AG182" s="35">
        <v>19</v>
      </c>
      <c r="AH182" s="35">
        <v>20.9</v>
      </c>
      <c r="AI182" s="35">
        <v>19</v>
      </c>
      <c r="AJ182" s="35">
        <v>19.7</v>
      </c>
      <c r="AK182" s="35">
        <v>19</v>
      </c>
      <c r="AL182" s="35">
        <v>20.3</v>
      </c>
      <c r="AM182" s="35">
        <v>19</v>
      </c>
      <c r="AN182" s="35">
        <v>19.600000000000001</v>
      </c>
      <c r="AO182" s="35">
        <v>19</v>
      </c>
      <c r="AP182" s="35">
        <v>20.5</v>
      </c>
      <c r="AQ182" s="35">
        <v>19</v>
      </c>
      <c r="AR182" s="35">
        <v>20.7</v>
      </c>
      <c r="AS182" s="35">
        <v>19</v>
      </c>
      <c r="AT182" s="35">
        <v>18.399999999999999</v>
      </c>
      <c r="AU182" s="35">
        <v>19</v>
      </c>
      <c r="AV182" s="35">
        <v>20.8</v>
      </c>
      <c r="AW182" s="35">
        <v>19</v>
      </c>
      <c r="AX182" s="35">
        <v>20.9</v>
      </c>
      <c r="AY182" s="35">
        <v>20</v>
      </c>
      <c r="AZ182" s="35">
        <v>20.6</v>
      </c>
      <c r="BA182" s="35">
        <v>20</v>
      </c>
      <c r="BB182" s="35">
        <v>32.5</v>
      </c>
      <c r="BC182" s="35">
        <v>40</v>
      </c>
      <c r="BD182" s="35">
        <v>31.4</v>
      </c>
      <c r="BE182" s="35">
        <v>40</v>
      </c>
      <c r="BF182" s="35">
        <v>21.9</v>
      </c>
      <c r="BG182" s="35">
        <v>20</v>
      </c>
    </row>
    <row r="183" spans="1:59" x14ac:dyDescent="0.35">
      <c r="A183" s="36">
        <v>46059.574999999997</v>
      </c>
      <c r="B183" s="35">
        <v>2</v>
      </c>
      <c r="C183" s="35">
        <v>2</v>
      </c>
      <c r="D183" s="35">
        <v>2.5</v>
      </c>
      <c r="E183" s="35">
        <v>2.2000000000000002</v>
      </c>
      <c r="F183" s="35">
        <v>3.4</v>
      </c>
      <c r="G183" s="35">
        <v>2</v>
      </c>
      <c r="H183" s="35">
        <v>3.6</v>
      </c>
      <c r="I183" s="35">
        <v>2</v>
      </c>
      <c r="J183" s="35">
        <v>3.1</v>
      </c>
      <c r="K183" s="35">
        <v>2</v>
      </c>
      <c r="L183" s="35">
        <v>3.3</v>
      </c>
      <c r="M183" s="35">
        <v>2</v>
      </c>
      <c r="N183" s="35">
        <v>1.4</v>
      </c>
      <c r="O183" s="35">
        <v>3</v>
      </c>
      <c r="P183" s="35">
        <v>1.9</v>
      </c>
      <c r="Q183" s="35">
        <v>2</v>
      </c>
      <c r="R183" s="35">
        <v>2.2999999999999998</v>
      </c>
      <c r="S183" s="35">
        <v>2</v>
      </c>
      <c r="T183" s="35">
        <v>3.4</v>
      </c>
      <c r="U183" s="35">
        <v>2</v>
      </c>
      <c r="V183" s="35">
        <v>9.8000000000000007</v>
      </c>
      <c r="W183" s="35">
        <v>9</v>
      </c>
      <c r="X183" s="35">
        <v>9.4</v>
      </c>
      <c r="Y183" s="35">
        <v>9</v>
      </c>
      <c r="Z183" s="35">
        <v>9</v>
      </c>
      <c r="AA183" s="35">
        <v>9</v>
      </c>
      <c r="AB183" s="35">
        <v>9.3000000000000007</v>
      </c>
      <c r="AC183" s="35">
        <v>9</v>
      </c>
      <c r="AD183" s="35">
        <v>20.7</v>
      </c>
      <c r="AE183" s="35">
        <v>19</v>
      </c>
      <c r="AF183" s="35">
        <v>20.6</v>
      </c>
      <c r="AG183" s="35">
        <v>19</v>
      </c>
      <c r="AH183" s="35">
        <v>20.9</v>
      </c>
      <c r="AI183" s="35">
        <v>19</v>
      </c>
      <c r="AJ183" s="35">
        <v>19.8</v>
      </c>
      <c r="AK183" s="35">
        <v>19</v>
      </c>
      <c r="AL183" s="35">
        <v>20.2</v>
      </c>
      <c r="AM183" s="35">
        <v>19</v>
      </c>
      <c r="AN183" s="35">
        <v>19.7</v>
      </c>
      <c r="AO183" s="35">
        <v>19</v>
      </c>
      <c r="AP183" s="35">
        <v>20.5</v>
      </c>
      <c r="AQ183" s="35">
        <v>19</v>
      </c>
      <c r="AR183" s="35">
        <v>20.7</v>
      </c>
      <c r="AS183" s="35">
        <v>19</v>
      </c>
      <c r="AT183" s="35">
        <v>18.399999999999999</v>
      </c>
      <c r="AU183" s="35">
        <v>19</v>
      </c>
      <c r="AV183" s="35">
        <v>20.8</v>
      </c>
      <c r="AW183" s="35">
        <v>19</v>
      </c>
      <c r="AX183" s="35">
        <v>20.9</v>
      </c>
      <c r="AY183" s="35">
        <v>20</v>
      </c>
      <c r="AZ183" s="35">
        <v>20.6</v>
      </c>
      <c r="BA183" s="35">
        <v>20</v>
      </c>
      <c r="BB183" s="35">
        <v>32.5</v>
      </c>
      <c r="BC183" s="35">
        <v>40</v>
      </c>
      <c r="BD183" s="35">
        <v>31.4</v>
      </c>
      <c r="BE183" s="35">
        <v>40</v>
      </c>
      <c r="BF183" s="35">
        <v>21.9</v>
      </c>
      <c r="BG183" s="35">
        <v>20</v>
      </c>
    </row>
    <row r="184" spans="1:59" x14ac:dyDescent="0.35">
      <c r="A184" s="36">
        <v>46059.575694444444</v>
      </c>
      <c r="B184" s="35">
        <v>2.5</v>
      </c>
      <c r="C184" s="35">
        <v>2</v>
      </c>
      <c r="D184" s="35">
        <v>2.9</v>
      </c>
      <c r="E184" s="35">
        <v>2.2000000000000002</v>
      </c>
      <c r="F184" s="35">
        <v>3.8</v>
      </c>
      <c r="G184" s="35">
        <v>2</v>
      </c>
      <c r="H184" s="35">
        <v>3.9</v>
      </c>
      <c r="I184" s="35">
        <v>2</v>
      </c>
      <c r="J184" s="35">
        <v>2.5</v>
      </c>
      <c r="K184" s="35">
        <v>2</v>
      </c>
      <c r="L184" s="35">
        <v>2</v>
      </c>
      <c r="M184" s="35">
        <v>2</v>
      </c>
      <c r="N184" s="35">
        <v>1.4</v>
      </c>
      <c r="O184" s="35">
        <v>3</v>
      </c>
      <c r="P184" s="35">
        <v>1.9</v>
      </c>
      <c r="Q184" s="35">
        <v>2</v>
      </c>
      <c r="R184" s="35">
        <v>6.4</v>
      </c>
      <c r="S184" s="35">
        <v>2</v>
      </c>
      <c r="T184" s="35">
        <v>2.1</v>
      </c>
      <c r="U184" s="35">
        <v>2</v>
      </c>
      <c r="V184" s="35">
        <v>10.3</v>
      </c>
      <c r="W184" s="35">
        <v>9</v>
      </c>
      <c r="X184" s="35">
        <v>9.6</v>
      </c>
      <c r="Y184" s="35">
        <v>9</v>
      </c>
      <c r="Z184" s="35">
        <v>9.3000000000000007</v>
      </c>
      <c r="AA184" s="35">
        <v>9</v>
      </c>
      <c r="AB184" s="35">
        <v>9.8000000000000007</v>
      </c>
      <c r="AC184" s="35">
        <v>9</v>
      </c>
      <c r="AD184" s="35">
        <v>20.8</v>
      </c>
      <c r="AE184" s="35">
        <v>19</v>
      </c>
      <c r="AF184" s="35">
        <v>20.6</v>
      </c>
      <c r="AG184" s="35">
        <v>19</v>
      </c>
      <c r="AH184" s="35">
        <v>21</v>
      </c>
      <c r="AI184" s="35">
        <v>19</v>
      </c>
      <c r="AJ184" s="35">
        <v>19.899999999999999</v>
      </c>
      <c r="AK184" s="35">
        <v>19</v>
      </c>
      <c r="AL184" s="35">
        <v>20</v>
      </c>
      <c r="AM184" s="35">
        <v>19</v>
      </c>
      <c r="AN184" s="35">
        <v>19.8</v>
      </c>
      <c r="AO184" s="35">
        <v>19</v>
      </c>
      <c r="AP184" s="35">
        <v>20.5</v>
      </c>
      <c r="AQ184" s="35">
        <v>19</v>
      </c>
      <c r="AR184" s="35">
        <v>20.7</v>
      </c>
      <c r="AS184" s="35">
        <v>19</v>
      </c>
      <c r="AT184" s="35">
        <v>18.5</v>
      </c>
      <c r="AU184" s="35">
        <v>19</v>
      </c>
      <c r="AV184" s="35">
        <v>20.9</v>
      </c>
      <c r="AW184" s="35">
        <v>19</v>
      </c>
      <c r="AX184" s="35">
        <v>20.9</v>
      </c>
      <c r="AY184" s="35">
        <v>20</v>
      </c>
      <c r="AZ184" s="35">
        <v>20.6</v>
      </c>
      <c r="BA184" s="35">
        <v>20</v>
      </c>
      <c r="BB184" s="35">
        <v>32.5</v>
      </c>
      <c r="BC184" s="35">
        <v>40</v>
      </c>
      <c r="BD184" s="35">
        <v>31.4</v>
      </c>
      <c r="BE184" s="35">
        <v>40</v>
      </c>
      <c r="BF184" s="35">
        <v>21.9</v>
      </c>
      <c r="BG184" s="35">
        <v>20</v>
      </c>
    </row>
    <row r="185" spans="1:59" x14ac:dyDescent="0.35">
      <c r="A185" s="36">
        <v>46059.576388888891</v>
      </c>
      <c r="B185" s="35">
        <v>2.9</v>
      </c>
      <c r="C185" s="35">
        <v>2</v>
      </c>
      <c r="D185" s="35">
        <v>3.3</v>
      </c>
      <c r="E185" s="35">
        <v>2.2000000000000002</v>
      </c>
      <c r="F185" s="35">
        <v>3.8</v>
      </c>
      <c r="G185" s="35">
        <v>2</v>
      </c>
      <c r="H185" s="35">
        <v>3.7</v>
      </c>
      <c r="I185" s="35">
        <v>2</v>
      </c>
      <c r="J185" s="35">
        <v>2.2999999999999998</v>
      </c>
      <c r="K185" s="35">
        <v>2</v>
      </c>
      <c r="L185" s="35">
        <v>1.9</v>
      </c>
      <c r="M185" s="35">
        <v>2</v>
      </c>
      <c r="N185" s="35">
        <v>1.6</v>
      </c>
      <c r="O185" s="35">
        <v>3</v>
      </c>
      <c r="P185" s="35">
        <v>2.2999999999999998</v>
      </c>
      <c r="Q185" s="35">
        <v>2</v>
      </c>
      <c r="R185" s="35">
        <v>5.2</v>
      </c>
      <c r="S185" s="35">
        <v>2</v>
      </c>
      <c r="T185" s="35">
        <v>2</v>
      </c>
      <c r="U185" s="35">
        <v>2</v>
      </c>
      <c r="V185" s="35">
        <v>10.8</v>
      </c>
      <c r="W185" s="35">
        <v>9</v>
      </c>
      <c r="X185" s="35">
        <v>9.8000000000000007</v>
      </c>
      <c r="Y185" s="35">
        <v>9</v>
      </c>
      <c r="Z185" s="35">
        <v>9.6</v>
      </c>
      <c r="AA185" s="35">
        <v>9</v>
      </c>
      <c r="AB185" s="35">
        <v>10.199999999999999</v>
      </c>
      <c r="AC185" s="35">
        <v>9</v>
      </c>
      <c r="AD185" s="35">
        <v>20.8</v>
      </c>
      <c r="AE185" s="35">
        <v>19</v>
      </c>
      <c r="AF185" s="35">
        <v>20.6</v>
      </c>
      <c r="AG185" s="35">
        <v>19</v>
      </c>
      <c r="AH185" s="35">
        <v>20.6</v>
      </c>
      <c r="AI185" s="35">
        <v>19</v>
      </c>
      <c r="AJ185" s="35">
        <v>20</v>
      </c>
      <c r="AK185" s="35">
        <v>19</v>
      </c>
      <c r="AL185" s="35">
        <v>19.8</v>
      </c>
      <c r="AM185" s="35">
        <v>19</v>
      </c>
      <c r="AN185" s="35">
        <v>20</v>
      </c>
      <c r="AO185" s="35">
        <v>19</v>
      </c>
      <c r="AP185" s="35">
        <v>20.6</v>
      </c>
      <c r="AQ185" s="35">
        <v>19</v>
      </c>
      <c r="AR185" s="35">
        <v>20.7</v>
      </c>
      <c r="AS185" s="35">
        <v>19</v>
      </c>
      <c r="AT185" s="35">
        <v>18.7</v>
      </c>
      <c r="AU185" s="35">
        <v>19</v>
      </c>
      <c r="AV185" s="35">
        <v>20.9</v>
      </c>
      <c r="AW185" s="35">
        <v>19</v>
      </c>
      <c r="AX185" s="35">
        <v>20.9</v>
      </c>
      <c r="AY185" s="35">
        <v>20</v>
      </c>
      <c r="AZ185" s="35">
        <v>20.7</v>
      </c>
      <c r="BA185" s="35">
        <v>20</v>
      </c>
      <c r="BB185" s="35">
        <v>32.5</v>
      </c>
      <c r="BC185" s="35">
        <v>40</v>
      </c>
      <c r="BD185" s="35">
        <v>31.4</v>
      </c>
      <c r="BE185" s="35">
        <v>40</v>
      </c>
      <c r="BF185" s="35">
        <v>22</v>
      </c>
      <c r="BG185" s="35">
        <v>20</v>
      </c>
    </row>
    <row r="186" spans="1:59" x14ac:dyDescent="0.35">
      <c r="A186" s="36">
        <v>46059.57708333333</v>
      </c>
      <c r="B186" s="35">
        <v>3.2</v>
      </c>
      <c r="C186" s="35">
        <v>2</v>
      </c>
      <c r="D186" s="35">
        <v>3.6</v>
      </c>
      <c r="E186" s="35">
        <v>2.2000000000000002</v>
      </c>
      <c r="F186" s="35">
        <v>3.3</v>
      </c>
      <c r="G186" s="35">
        <v>2</v>
      </c>
      <c r="H186" s="35">
        <v>2.9</v>
      </c>
      <c r="I186" s="35">
        <v>2</v>
      </c>
      <c r="J186" s="35">
        <v>2.5</v>
      </c>
      <c r="K186" s="35">
        <v>2</v>
      </c>
      <c r="L186" s="35">
        <v>2.2000000000000002</v>
      </c>
      <c r="M186" s="35">
        <v>2</v>
      </c>
      <c r="N186" s="35">
        <v>2</v>
      </c>
      <c r="O186" s="35">
        <v>3</v>
      </c>
      <c r="P186" s="35">
        <v>2.6</v>
      </c>
      <c r="Q186" s="35">
        <v>2</v>
      </c>
      <c r="R186" s="35">
        <v>4.4000000000000004</v>
      </c>
      <c r="S186" s="35">
        <v>2</v>
      </c>
      <c r="T186" s="35">
        <v>2.1</v>
      </c>
      <c r="U186" s="35">
        <v>2</v>
      </c>
      <c r="V186" s="35">
        <v>11.1</v>
      </c>
      <c r="W186" s="35">
        <v>9</v>
      </c>
      <c r="X186" s="35">
        <v>9.9</v>
      </c>
      <c r="Y186" s="35">
        <v>9</v>
      </c>
      <c r="Z186" s="35">
        <v>9.9</v>
      </c>
      <c r="AA186" s="35">
        <v>9</v>
      </c>
      <c r="AB186" s="35">
        <v>10.6</v>
      </c>
      <c r="AC186" s="35">
        <v>9</v>
      </c>
      <c r="AD186" s="35">
        <v>20.8</v>
      </c>
      <c r="AE186" s="35">
        <v>19</v>
      </c>
      <c r="AF186" s="35">
        <v>20.7</v>
      </c>
      <c r="AG186" s="35">
        <v>19</v>
      </c>
      <c r="AH186" s="35">
        <v>19.600000000000001</v>
      </c>
      <c r="AI186" s="35">
        <v>19</v>
      </c>
      <c r="AJ186" s="35">
        <v>20.100000000000001</v>
      </c>
      <c r="AK186" s="35">
        <v>19</v>
      </c>
      <c r="AL186" s="35">
        <v>19.8</v>
      </c>
      <c r="AM186" s="35">
        <v>19</v>
      </c>
      <c r="AN186" s="35">
        <v>20</v>
      </c>
      <c r="AO186" s="35">
        <v>19</v>
      </c>
      <c r="AP186" s="35">
        <v>20.6</v>
      </c>
      <c r="AQ186" s="35">
        <v>19</v>
      </c>
      <c r="AR186" s="35">
        <v>20.7</v>
      </c>
      <c r="AS186" s="35">
        <v>19</v>
      </c>
      <c r="AT186" s="35">
        <v>18.899999999999999</v>
      </c>
      <c r="AU186" s="35">
        <v>19</v>
      </c>
      <c r="AV186" s="35">
        <v>20.9</v>
      </c>
      <c r="AW186" s="35">
        <v>19</v>
      </c>
      <c r="AX186" s="35">
        <v>20.9</v>
      </c>
      <c r="AY186" s="35">
        <v>20</v>
      </c>
      <c r="AZ186" s="35">
        <v>20.7</v>
      </c>
      <c r="BA186" s="35">
        <v>20</v>
      </c>
      <c r="BB186" s="35">
        <v>32.5</v>
      </c>
      <c r="BC186" s="35">
        <v>40</v>
      </c>
      <c r="BD186" s="35">
        <v>31.4</v>
      </c>
      <c r="BE186" s="35">
        <v>40</v>
      </c>
      <c r="BF186" s="35">
        <v>17.3</v>
      </c>
      <c r="BG186" s="35">
        <v>20</v>
      </c>
    </row>
    <row r="187" spans="1:59" x14ac:dyDescent="0.35">
      <c r="A187" s="36">
        <v>46059.577777777777</v>
      </c>
      <c r="B187" s="35">
        <v>3.4</v>
      </c>
      <c r="C187" s="35">
        <v>2</v>
      </c>
      <c r="D187" s="35">
        <v>3.9</v>
      </c>
      <c r="E187" s="35">
        <v>2.2000000000000002</v>
      </c>
      <c r="F187" s="35">
        <v>3.3</v>
      </c>
      <c r="G187" s="35">
        <v>2</v>
      </c>
      <c r="H187" s="35">
        <v>2.6</v>
      </c>
      <c r="I187" s="35">
        <v>2</v>
      </c>
      <c r="J187" s="35">
        <v>2.7</v>
      </c>
      <c r="K187" s="35">
        <v>2</v>
      </c>
      <c r="L187" s="35">
        <v>2.6</v>
      </c>
      <c r="M187" s="35">
        <v>2</v>
      </c>
      <c r="N187" s="35">
        <v>2.2999999999999998</v>
      </c>
      <c r="O187" s="35">
        <v>3</v>
      </c>
      <c r="P187" s="35">
        <v>2.9</v>
      </c>
      <c r="Q187" s="35">
        <v>2</v>
      </c>
      <c r="R187" s="35">
        <v>2.7</v>
      </c>
      <c r="S187" s="35">
        <v>2</v>
      </c>
      <c r="T187" s="35">
        <v>1.9</v>
      </c>
      <c r="U187" s="35">
        <v>2</v>
      </c>
      <c r="V187" s="35">
        <v>9.1999999999999993</v>
      </c>
      <c r="W187" s="35">
        <v>9</v>
      </c>
      <c r="X187" s="35">
        <v>10</v>
      </c>
      <c r="Y187" s="35">
        <v>9</v>
      </c>
      <c r="Z187" s="35">
        <v>10.199999999999999</v>
      </c>
      <c r="AA187" s="35">
        <v>9</v>
      </c>
      <c r="AB187" s="35">
        <v>10.9</v>
      </c>
      <c r="AC187" s="35">
        <v>9</v>
      </c>
      <c r="AD187" s="35">
        <v>20.9</v>
      </c>
      <c r="AE187" s="35">
        <v>19</v>
      </c>
      <c r="AF187" s="35">
        <v>20.7</v>
      </c>
      <c r="AG187" s="35">
        <v>19</v>
      </c>
      <c r="AH187" s="35">
        <v>18.7</v>
      </c>
      <c r="AI187" s="35">
        <v>19</v>
      </c>
      <c r="AJ187" s="35">
        <v>20.2</v>
      </c>
      <c r="AK187" s="35">
        <v>19</v>
      </c>
      <c r="AL187" s="35">
        <v>19.8</v>
      </c>
      <c r="AM187" s="35">
        <v>19</v>
      </c>
      <c r="AN187" s="35">
        <v>20.100000000000001</v>
      </c>
      <c r="AO187" s="35">
        <v>19</v>
      </c>
      <c r="AP187" s="35">
        <v>20.6</v>
      </c>
      <c r="AQ187" s="35">
        <v>19</v>
      </c>
      <c r="AR187" s="35">
        <v>20.7</v>
      </c>
      <c r="AS187" s="35">
        <v>19</v>
      </c>
      <c r="AT187" s="35">
        <v>19.100000000000001</v>
      </c>
      <c r="AU187" s="35">
        <v>19</v>
      </c>
      <c r="AV187" s="35">
        <v>20.9</v>
      </c>
      <c r="AW187" s="35">
        <v>19</v>
      </c>
      <c r="AX187" s="35">
        <v>20.9</v>
      </c>
      <c r="AY187" s="35">
        <v>20</v>
      </c>
      <c r="AZ187" s="35">
        <v>20.8</v>
      </c>
      <c r="BA187" s="35">
        <v>20</v>
      </c>
      <c r="BB187" s="35">
        <v>32.5</v>
      </c>
      <c r="BC187" s="35">
        <v>40</v>
      </c>
      <c r="BD187" s="35">
        <v>31.4</v>
      </c>
      <c r="BE187" s="35">
        <v>40</v>
      </c>
      <c r="BF187" s="35">
        <v>17.8</v>
      </c>
      <c r="BG187" s="35">
        <v>20</v>
      </c>
    </row>
    <row r="188" spans="1:59" x14ac:dyDescent="0.35">
      <c r="A188" s="36">
        <v>46059.578472222223</v>
      </c>
      <c r="B188" s="35">
        <v>3.7</v>
      </c>
      <c r="C188" s="35">
        <v>2</v>
      </c>
      <c r="D188" s="35">
        <v>4.2</v>
      </c>
      <c r="E188" s="35">
        <v>2.2000000000000002</v>
      </c>
      <c r="F188" s="35">
        <v>3.3</v>
      </c>
      <c r="G188" s="35">
        <v>2</v>
      </c>
      <c r="H188" s="35">
        <v>2.8</v>
      </c>
      <c r="I188" s="35">
        <v>2</v>
      </c>
      <c r="J188" s="35">
        <v>2.9</v>
      </c>
      <c r="K188" s="35">
        <v>2</v>
      </c>
      <c r="L188" s="35">
        <v>3</v>
      </c>
      <c r="M188" s="35">
        <v>2</v>
      </c>
      <c r="N188" s="35">
        <v>2.7</v>
      </c>
      <c r="O188" s="35">
        <v>3</v>
      </c>
      <c r="P188" s="35">
        <v>3.1</v>
      </c>
      <c r="Q188" s="35">
        <v>2</v>
      </c>
      <c r="R188" s="35">
        <v>1.9</v>
      </c>
      <c r="S188" s="35">
        <v>2</v>
      </c>
      <c r="T188" s="35">
        <v>1.5</v>
      </c>
      <c r="U188" s="35">
        <v>2</v>
      </c>
      <c r="V188" s="35">
        <v>8</v>
      </c>
      <c r="W188" s="35">
        <v>9</v>
      </c>
      <c r="X188" s="35">
        <v>10.1</v>
      </c>
      <c r="Y188" s="35">
        <v>9</v>
      </c>
      <c r="Z188" s="35">
        <v>10.4</v>
      </c>
      <c r="AA188" s="35">
        <v>9</v>
      </c>
      <c r="AB188" s="35">
        <v>11</v>
      </c>
      <c r="AC188" s="35">
        <v>9</v>
      </c>
      <c r="AD188" s="35">
        <v>20.9</v>
      </c>
      <c r="AE188" s="35">
        <v>19</v>
      </c>
      <c r="AF188" s="35">
        <v>20.7</v>
      </c>
      <c r="AG188" s="35">
        <v>19</v>
      </c>
      <c r="AH188" s="35">
        <v>18.600000000000001</v>
      </c>
      <c r="AI188" s="35">
        <v>19</v>
      </c>
      <c r="AJ188" s="35">
        <v>20.3</v>
      </c>
      <c r="AK188" s="35">
        <v>19</v>
      </c>
      <c r="AL188" s="35">
        <v>19.8</v>
      </c>
      <c r="AM188" s="35">
        <v>19</v>
      </c>
      <c r="AN188" s="35">
        <v>20.2</v>
      </c>
      <c r="AO188" s="35">
        <v>19</v>
      </c>
      <c r="AP188" s="35">
        <v>20.6</v>
      </c>
      <c r="AQ188" s="35">
        <v>19</v>
      </c>
      <c r="AR188" s="35">
        <v>20.7</v>
      </c>
      <c r="AS188" s="35">
        <v>19</v>
      </c>
      <c r="AT188" s="35">
        <v>19.3</v>
      </c>
      <c r="AU188" s="35">
        <v>19</v>
      </c>
      <c r="AV188" s="35">
        <v>20.9</v>
      </c>
      <c r="AW188" s="35">
        <v>19</v>
      </c>
      <c r="AX188" s="35">
        <v>20.9</v>
      </c>
      <c r="AY188" s="35">
        <v>20</v>
      </c>
      <c r="AZ188" s="35">
        <v>20.9</v>
      </c>
      <c r="BA188" s="35">
        <v>20</v>
      </c>
      <c r="BB188" s="35">
        <v>32.5</v>
      </c>
      <c r="BC188" s="35">
        <v>40</v>
      </c>
      <c r="BD188" s="35">
        <v>31.4</v>
      </c>
      <c r="BE188" s="35">
        <v>40</v>
      </c>
      <c r="BF188" s="35">
        <v>18.399999999999999</v>
      </c>
      <c r="BG188" s="35">
        <v>20</v>
      </c>
    </row>
    <row r="189" spans="1:59" x14ac:dyDescent="0.35">
      <c r="A189" s="36">
        <v>46059.57916666667</v>
      </c>
      <c r="B189" s="35">
        <v>3.7</v>
      </c>
      <c r="C189" s="35">
        <v>2</v>
      </c>
      <c r="D189" s="35">
        <v>4</v>
      </c>
      <c r="E189" s="35">
        <v>2.2000000000000002</v>
      </c>
      <c r="F189" s="35">
        <v>3.6</v>
      </c>
      <c r="G189" s="35">
        <v>2</v>
      </c>
      <c r="H189" s="35">
        <v>3.2</v>
      </c>
      <c r="I189" s="35">
        <v>2</v>
      </c>
      <c r="J189" s="35">
        <v>3.2</v>
      </c>
      <c r="K189" s="35">
        <v>2</v>
      </c>
      <c r="L189" s="35">
        <v>3.4</v>
      </c>
      <c r="M189" s="35">
        <v>2</v>
      </c>
      <c r="N189" s="35">
        <v>3</v>
      </c>
      <c r="O189" s="35">
        <v>3</v>
      </c>
      <c r="P189" s="35">
        <v>3.3</v>
      </c>
      <c r="Q189" s="35">
        <v>2</v>
      </c>
      <c r="R189" s="35">
        <v>1.9</v>
      </c>
      <c r="S189" s="35">
        <v>2</v>
      </c>
      <c r="T189" s="35">
        <v>1.5</v>
      </c>
      <c r="U189" s="35">
        <v>2</v>
      </c>
      <c r="V189" s="35">
        <v>8.1999999999999993</v>
      </c>
      <c r="W189" s="35">
        <v>9</v>
      </c>
      <c r="X189" s="35">
        <v>10.199999999999999</v>
      </c>
      <c r="Y189" s="35">
        <v>9</v>
      </c>
      <c r="Z189" s="35">
        <v>10.6</v>
      </c>
      <c r="AA189" s="35">
        <v>9</v>
      </c>
      <c r="AB189" s="35">
        <v>10.4</v>
      </c>
      <c r="AC189" s="35">
        <v>9</v>
      </c>
      <c r="AD189" s="35">
        <v>20.9</v>
      </c>
      <c r="AE189" s="35">
        <v>19</v>
      </c>
      <c r="AF189" s="35">
        <v>20.8</v>
      </c>
      <c r="AG189" s="35">
        <v>19</v>
      </c>
      <c r="AH189" s="35">
        <v>18.600000000000001</v>
      </c>
      <c r="AI189" s="35">
        <v>19</v>
      </c>
      <c r="AJ189" s="35">
        <v>20.3</v>
      </c>
      <c r="AK189" s="35">
        <v>19</v>
      </c>
      <c r="AL189" s="35">
        <v>19.7</v>
      </c>
      <c r="AM189" s="35">
        <v>19</v>
      </c>
      <c r="AN189" s="35">
        <v>20.3</v>
      </c>
      <c r="AO189" s="35">
        <v>19</v>
      </c>
      <c r="AP189" s="35">
        <v>20.6</v>
      </c>
      <c r="AQ189" s="35">
        <v>19</v>
      </c>
      <c r="AR189" s="35">
        <v>20.7</v>
      </c>
      <c r="AS189" s="35">
        <v>19</v>
      </c>
      <c r="AT189" s="35">
        <v>19.399999999999999</v>
      </c>
      <c r="AU189" s="35">
        <v>19</v>
      </c>
      <c r="AV189" s="35">
        <v>21</v>
      </c>
      <c r="AW189" s="35">
        <v>19</v>
      </c>
      <c r="AX189" s="35">
        <v>20.9</v>
      </c>
      <c r="AY189" s="35">
        <v>20</v>
      </c>
      <c r="AZ189" s="35">
        <v>20.8</v>
      </c>
      <c r="BA189" s="35">
        <v>20</v>
      </c>
      <c r="BB189" s="35">
        <v>32.6</v>
      </c>
      <c r="BC189" s="35">
        <v>40</v>
      </c>
      <c r="BD189" s="35">
        <v>31.5</v>
      </c>
      <c r="BE189" s="35">
        <v>40</v>
      </c>
      <c r="BF189" s="35">
        <v>18.899999999999999</v>
      </c>
      <c r="BG189" s="35">
        <v>20</v>
      </c>
    </row>
    <row r="190" spans="1:59" x14ac:dyDescent="0.35">
      <c r="A190" s="36">
        <v>46059.579861111109</v>
      </c>
      <c r="B190" s="35">
        <v>3.7</v>
      </c>
      <c r="C190" s="35">
        <v>2</v>
      </c>
      <c r="D190" s="35">
        <v>4</v>
      </c>
      <c r="E190" s="35">
        <v>2.2000000000000002</v>
      </c>
      <c r="F190" s="35">
        <v>3.9</v>
      </c>
      <c r="G190" s="35">
        <v>2</v>
      </c>
      <c r="H190" s="35">
        <v>3.5</v>
      </c>
      <c r="I190" s="35">
        <v>2</v>
      </c>
      <c r="J190" s="35">
        <v>3.4</v>
      </c>
      <c r="K190" s="35">
        <v>2</v>
      </c>
      <c r="L190" s="35">
        <v>3.6</v>
      </c>
      <c r="M190" s="35">
        <v>2</v>
      </c>
      <c r="N190" s="35">
        <v>3.2</v>
      </c>
      <c r="O190" s="35">
        <v>3</v>
      </c>
      <c r="P190" s="35">
        <v>3.5</v>
      </c>
      <c r="Q190" s="35">
        <v>2</v>
      </c>
      <c r="R190" s="35">
        <v>2.2000000000000002</v>
      </c>
      <c r="S190" s="35">
        <v>2</v>
      </c>
      <c r="T190" s="35">
        <v>1.8</v>
      </c>
      <c r="U190" s="35">
        <v>2</v>
      </c>
      <c r="V190" s="35">
        <v>9</v>
      </c>
      <c r="W190" s="35">
        <v>9</v>
      </c>
      <c r="X190" s="35">
        <v>10.3</v>
      </c>
      <c r="Y190" s="35">
        <v>9</v>
      </c>
      <c r="Z190" s="35">
        <v>10.7</v>
      </c>
      <c r="AA190" s="35">
        <v>9</v>
      </c>
      <c r="AB190" s="35">
        <v>9</v>
      </c>
      <c r="AC190" s="35">
        <v>9</v>
      </c>
      <c r="AD190" s="35">
        <v>20.9</v>
      </c>
      <c r="AE190" s="35">
        <v>19</v>
      </c>
      <c r="AF190" s="35">
        <v>20.8</v>
      </c>
      <c r="AG190" s="35">
        <v>19</v>
      </c>
      <c r="AH190" s="35">
        <v>18.8</v>
      </c>
      <c r="AI190" s="35">
        <v>19</v>
      </c>
      <c r="AJ190" s="35">
        <v>20.399999999999999</v>
      </c>
      <c r="AK190" s="35">
        <v>19</v>
      </c>
      <c r="AL190" s="35">
        <v>19.7</v>
      </c>
      <c r="AM190" s="35">
        <v>19</v>
      </c>
      <c r="AN190" s="35">
        <v>20.399999999999999</v>
      </c>
      <c r="AO190" s="35">
        <v>19</v>
      </c>
      <c r="AP190" s="35">
        <v>20.6</v>
      </c>
      <c r="AQ190" s="35">
        <v>19</v>
      </c>
      <c r="AR190" s="35">
        <v>20.7</v>
      </c>
      <c r="AS190" s="35">
        <v>19</v>
      </c>
      <c r="AT190" s="35">
        <v>19.5</v>
      </c>
      <c r="AU190" s="35">
        <v>19</v>
      </c>
      <c r="AV190" s="35">
        <v>19.899999999999999</v>
      </c>
      <c r="AW190" s="35">
        <v>19</v>
      </c>
      <c r="AX190" s="35">
        <v>20.8</v>
      </c>
      <c r="AY190" s="35">
        <v>20</v>
      </c>
      <c r="AZ190" s="35">
        <v>20.6</v>
      </c>
      <c r="BA190" s="35">
        <v>20</v>
      </c>
      <c r="BB190" s="35">
        <v>32.6</v>
      </c>
      <c r="BC190" s="35">
        <v>40</v>
      </c>
      <c r="BD190" s="35">
        <v>31.5</v>
      </c>
      <c r="BE190" s="35">
        <v>40</v>
      </c>
      <c r="BF190" s="35">
        <v>19.5</v>
      </c>
      <c r="BG190" s="35">
        <v>20</v>
      </c>
    </row>
    <row r="191" spans="1:59" x14ac:dyDescent="0.35">
      <c r="A191" s="36">
        <v>46059.580555555556</v>
      </c>
      <c r="B191" s="35">
        <v>3.9</v>
      </c>
      <c r="C191" s="35">
        <v>2</v>
      </c>
      <c r="D191" s="35">
        <v>4.3</v>
      </c>
      <c r="E191" s="35">
        <v>2.2000000000000002</v>
      </c>
      <c r="F191" s="35">
        <v>3.5</v>
      </c>
      <c r="G191" s="35">
        <v>2</v>
      </c>
      <c r="H191" s="35">
        <v>2.6</v>
      </c>
      <c r="I191" s="35">
        <v>2</v>
      </c>
      <c r="J191" s="35">
        <v>3.6</v>
      </c>
      <c r="K191" s="35">
        <v>2</v>
      </c>
      <c r="L191" s="35">
        <v>3.9</v>
      </c>
      <c r="M191" s="35">
        <v>2</v>
      </c>
      <c r="N191" s="35">
        <v>3.4</v>
      </c>
      <c r="O191" s="35">
        <v>3</v>
      </c>
      <c r="P191" s="35">
        <v>3.6</v>
      </c>
      <c r="Q191" s="35">
        <v>2</v>
      </c>
      <c r="R191" s="35">
        <v>2.6</v>
      </c>
      <c r="S191" s="35">
        <v>2</v>
      </c>
      <c r="T191" s="35">
        <v>2</v>
      </c>
      <c r="U191" s="35">
        <v>2</v>
      </c>
      <c r="V191" s="35">
        <v>9.8000000000000007</v>
      </c>
      <c r="W191" s="35">
        <v>9</v>
      </c>
      <c r="X191" s="35">
        <v>10.4</v>
      </c>
      <c r="Y191" s="35">
        <v>9</v>
      </c>
      <c r="Z191" s="35">
        <v>10.9</v>
      </c>
      <c r="AA191" s="35">
        <v>9</v>
      </c>
      <c r="AB191" s="35">
        <v>8.1999999999999993</v>
      </c>
      <c r="AC191" s="35">
        <v>9</v>
      </c>
      <c r="AD191" s="35">
        <v>20.9</v>
      </c>
      <c r="AE191" s="35">
        <v>19</v>
      </c>
      <c r="AF191" s="35">
        <v>20.8</v>
      </c>
      <c r="AG191" s="35">
        <v>19</v>
      </c>
      <c r="AH191" s="35">
        <v>19</v>
      </c>
      <c r="AI191" s="35">
        <v>19</v>
      </c>
      <c r="AJ191" s="35">
        <v>20.5</v>
      </c>
      <c r="AK191" s="35">
        <v>19</v>
      </c>
      <c r="AL191" s="35">
        <v>19.7</v>
      </c>
      <c r="AM191" s="35">
        <v>19</v>
      </c>
      <c r="AN191" s="35">
        <v>20.399999999999999</v>
      </c>
      <c r="AO191" s="35">
        <v>19</v>
      </c>
      <c r="AP191" s="35">
        <v>20.6</v>
      </c>
      <c r="AQ191" s="35">
        <v>19</v>
      </c>
      <c r="AR191" s="35">
        <v>20.7</v>
      </c>
      <c r="AS191" s="35">
        <v>19</v>
      </c>
      <c r="AT191" s="35">
        <v>19.600000000000001</v>
      </c>
      <c r="AU191" s="35">
        <v>19</v>
      </c>
      <c r="AV191" s="35">
        <v>18.899999999999999</v>
      </c>
      <c r="AW191" s="35">
        <v>19</v>
      </c>
      <c r="AX191" s="35">
        <v>20.8</v>
      </c>
      <c r="AY191" s="35">
        <v>20</v>
      </c>
      <c r="AZ191" s="35">
        <v>20.6</v>
      </c>
      <c r="BA191" s="35">
        <v>20</v>
      </c>
      <c r="BB191" s="35">
        <v>32.6</v>
      </c>
      <c r="BC191" s="35">
        <v>40</v>
      </c>
      <c r="BD191" s="35">
        <v>31.5</v>
      </c>
      <c r="BE191" s="35">
        <v>40</v>
      </c>
      <c r="BF191" s="35">
        <v>20</v>
      </c>
      <c r="BG191" s="35">
        <v>20</v>
      </c>
    </row>
    <row r="192" spans="1:59" x14ac:dyDescent="0.35">
      <c r="A192" s="36">
        <v>46059.581250000003</v>
      </c>
      <c r="B192" s="35">
        <v>4</v>
      </c>
      <c r="C192" s="35">
        <v>2</v>
      </c>
      <c r="D192" s="35">
        <v>4.2</v>
      </c>
      <c r="E192" s="35">
        <v>2.2000000000000002</v>
      </c>
      <c r="F192" s="35">
        <v>1.2</v>
      </c>
      <c r="G192" s="35">
        <v>2</v>
      </c>
      <c r="H192" s="35">
        <v>1</v>
      </c>
      <c r="I192" s="35">
        <v>2</v>
      </c>
      <c r="J192" s="35">
        <v>3.8</v>
      </c>
      <c r="K192" s="35">
        <v>2</v>
      </c>
      <c r="L192" s="35">
        <v>3.8</v>
      </c>
      <c r="M192" s="35">
        <v>2</v>
      </c>
      <c r="N192" s="35">
        <v>3.6</v>
      </c>
      <c r="O192" s="35">
        <v>3</v>
      </c>
      <c r="P192" s="35">
        <v>3.8</v>
      </c>
      <c r="Q192" s="35">
        <v>2</v>
      </c>
      <c r="R192" s="35">
        <v>3</v>
      </c>
      <c r="S192" s="35">
        <v>2</v>
      </c>
      <c r="T192" s="35">
        <v>2.4</v>
      </c>
      <c r="U192" s="35">
        <v>2</v>
      </c>
      <c r="V192" s="35">
        <v>10.3</v>
      </c>
      <c r="W192" s="35">
        <v>9</v>
      </c>
      <c r="X192" s="35">
        <v>10.5</v>
      </c>
      <c r="Y192" s="35">
        <v>9</v>
      </c>
      <c r="Z192" s="35">
        <v>11</v>
      </c>
      <c r="AA192" s="35">
        <v>9</v>
      </c>
      <c r="AB192" s="35">
        <v>8.6999999999999993</v>
      </c>
      <c r="AC192" s="35">
        <v>9</v>
      </c>
      <c r="AD192" s="35">
        <v>20.9</v>
      </c>
      <c r="AE192" s="35">
        <v>19</v>
      </c>
      <c r="AF192" s="35">
        <v>20.8</v>
      </c>
      <c r="AG192" s="35">
        <v>19</v>
      </c>
      <c r="AH192" s="35">
        <v>19.2</v>
      </c>
      <c r="AI192" s="35">
        <v>19</v>
      </c>
      <c r="AJ192" s="35">
        <v>20.5</v>
      </c>
      <c r="AK192" s="35">
        <v>19</v>
      </c>
      <c r="AL192" s="35">
        <v>19.7</v>
      </c>
      <c r="AM192" s="35">
        <v>19</v>
      </c>
      <c r="AN192" s="35">
        <v>20.5</v>
      </c>
      <c r="AO192" s="35">
        <v>19</v>
      </c>
      <c r="AP192" s="35">
        <v>20.7</v>
      </c>
      <c r="AQ192" s="35">
        <v>19</v>
      </c>
      <c r="AR192" s="35">
        <v>20.7</v>
      </c>
      <c r="AS192" s="35">
        <v>19</v>
      </c>
      <c r="AT192" s="35">
        <v>19.7</v>
      </c>
      <c r="AU192" s="35">
        <v>19</v>
      </c>
      <c r="AV192" s="35">
        <v>18.7</v>
      </c>
      <c r="AW192" s="35">
        <v>19</v>
      </c>
      <c r="AX192" s="35">
        <v>20.8</v>
      </c>
      <c r="AY192" s="35">
        <v>20</v>
      </c>
      <c r="AZ192" s="35">
        <v>20.6</v>
      </c>
      <c r="BA192" s="35">
        <v>20</v>
      </c>
      <c r="BB192" s="35">
        <v>32.6</v>
      </c>
      <c r="BC192" s="35">
        <v>40</v>
      </c>
      <c r="BD192" s="35">
        <v>31.5</v>
      </c>
      <c r="BE192" s="35">
        <v>40</v>
      </c>
      <c r="BF192" s="35">
        <v>20.399999999999999</v>
      </c>
      <c r="BG192" s="35">
        <v>20</v>
      </c>
    </row>
    <row r="193" spans="1:59" x14ac:dyDescent="0.35">
      <c r="A193" s="36">
        <v>46059.581944444442</v>
      </c>
      <c r="B193" s="35">
        <v>3.5</v>
      </c>
      <c r="C193" s="35">
        <v>2</v>
      </c>
      <c r="D193" s="35">
        <v>3.7</v>
      </c>
      <c r="E193" s="35">
        <v>2.2000000000000002</v>
      </c>
      <c r="F193" s="35">
        <v>1.2</v>
      </c>
      <c r="G193" s="35">
        <v>2</v>
      </c>
      <c r="H193" s="35">
        <v>1</v>
      </c>
      <c r="I193" s="35">
        <v>2</v>
      </c>
      <c r="J193" s="35">
        <v>3.5</v>
      </c>
      <c r="K193" s="35">
        <v>2</v>
      </c>
      <c r="L193" s="35">
        <v>3.1</v>
      </c>
      <c r="M193" s="35">
        <v>2</v>
      </c>
      <c r="N193" s="35">
        <v>3.8</v>
      </c>
      <c r="O193" s="35">
        <v>3</v>
      </c>
      <c r="P193" s="35">
        <v>3.9</v>
      </c>
      <c r="Q193" s="35">
        <v>2</v>
      </c>
      <c r="R193" s="35">
        <v>3.2</v>
      </c>
      <c r="S193" s="35">
        <v>2</v>
      </c>
      <c r="T193" s="35">
        <v>2.7</v>
      </c>
      <c r="U193" s="35">
        <v>2</v>
      </c>
      <c r="V193" s="35">
        <v>10.7</v>
      </c>
      <c r="W193" s="35">
        <v>9</v>
      </c>
      <c r="X193" s="35">
        <v>10.6</v>
      </c>
      <c r="Y193" s="35">
        <v>9</v>
      </c>
      <c r="Z193" s="35">
        <v>10.4</v>
      </c>
      <c r="AA193" s="35">
        <v>9</v>
      </c>
      <c r="AB193" s="35">
        <v>9.3000000000000007</v>
      </c>
      <c r="AC193" s="35">
        <v>9</v>
      </c>
      <c r="AD193" s="35">
        <v>20.9</v>
      </c>
      <c r="AE193" s="35">
        <v>19</v>
      </c>
      <c r="AF193" s="35">
        <v>20.9</v>
      </c>
      <c r="AG193" s="35">
        <v>19</v>
      </c>
      <c r="AH193" s="35">
        <v>19.399999999999999</v>
      </c>
      <c r="AI193" s="35">
        <v>19</v>
      </c>
      <c r="AJ193" s="35">
        <v>20.6</v>
      </c>
      <c r="AK193" s="35">
        <v>19</v>
      </c>
      <c r="AL193" s="35">
        <v>19.600000000000001</v>
      </c>
      <c r="AM193" s="35">
        <v>19</v>
      </c>
      <c r="AN193" s="35">
        <v>20.6</v>
      </c>
      <c r="AO193" s="35">
        <v>19</v>
      </c>
      <c r="AP193" s="35">
        <v>20.7</v>
      </c>
      <c r="AQ193" s="35">
        <v>19</v>
      </c>
      <c r="AR193" s="35">
        <v>20.7</v>
      </c>
      <c r="AS193" s="35">
        <v>19</v>
      </c>
      <c r="AT193" s="35">
        <v>19.8</v>
      </c>
      <c r="AU193" s="35">
        <v>19</v>
      </c>
      <c r="AV193" s="35">
        <v>18.7</v>
      </c>
      <c r="AW193" s="35">
        <v>19</v>
      </c>
      <c r="AX193" s="35">
        <v>20.7</v>
      </c>
      <c r="AY193" s="35">
        <v>20</v>
      </c>
      <c r="AZ193" s="35">
        <v>20.6</v>
      </c>
      <c r="BA193" s="35">
        <v>20</v>
      </c>
      <c r="BB193" s="35">
        <v>32.6</v>
      </c>
      <c r="BC193" s="35">
        <v>40</v>
      </c>
      <c r="BD193" s="35">
        <v>31.5</v>
      </c>
      <c r="BE193" s="35">
        <v>40</v>
      </c>
      <c r="BF193" s="35">
        <v>20.8</v>
      </c>
      <c r="BG193" s="35">
        <v>20</v>
      </c>
    </row>
    <row r="194" spans="1:59" x14ac:dyDescent="0.35">
      <c r="A194" s="36">
        <v>46059.582638888889</v>
      </c>
      <c r="B194" s="35">
        <v>2.6</v>
      </c>
      <c r="C194" s="35">
        <v>2</v>
      </c>
      <c r="D194" s="35">
        <v>3.1</v>
      </c>
      <c r="E194" s="35">
        <v>2.2000000000000002</v>
      </c>
      <c r="F194" s="35">
        <v>1.4</v>
      </c>
      <c r="G194" s="35">
        <v>2</v>
      </c>
      <c r="H194" s="35">
        <v>1.5</v>
      </c>
      <c r="I194" s="35">
        <v>2</v>
      </c>
      <c r="J194" s="35">
        <v>2.9</v>
      </c>
      <c r="K194" s="35">
        <v>2</v>
      </c>
      <c r="L194" s="35">
        <v>2.2999999999999998</v>
      </c>
      <c r="M194" s="35">
        <v>2</v>
      </c>
      <c r="N194" s="35">
        <v>4</v>
      </c>
      <c r="O194" s="35">
        <v>3</v>
      </c>
      <c r="P194" s="35">
        <v>4</v>
      </c>
      <c r="Q194" s="35">
        <v>2</v>
      </c>
      <c r="R194" s="35">
        <v>3.5</v>
      </c>
      <c r="S194" s="35">
        <v>2</v>
      </c>
      <c r="T194" s="35">
        <v>2.9</v>
      </c>
      <c r="U194" s="35">
        <v>2</v>
      </c>
      <c r="V194" s="35">
        <v>11</v>
      </c>
      <c r="W194" s="35">
        <v>9</v>
      </c>
      <c r="X194" s="35">
        <v>10.7</v>
      </c>
      <c r="Y194" s="35">
        <v>9</v>
      </c>
      <c r="Z194" s="35">
        <v>9.4</v>
      </c>
      <c r="AA194" s="35">
        <v>9</v>
      </c>
      <c r="AB194" s="35">
        <v>9.8000000000000007</v>
      </c>
      <c r="AC194" s="35">
        <v>9</v>
      </c>
      <c r="AD194" s="35">
        <v>21</v>
      </c>
      <c r="AE194" s="35">
        <v>19</v>
      </c>
      <c r="AF194" s="35">
        <v>20.9</v>
      </c>
      <c r="AG194" s="35">
        <v>19</v>
      </c>
      <c r="AH194" s="35">
        <v>19.5</v>
      </c>
      <c r="AI194" s="35">
        <v>19</v>
      </c>
      <c r="AJ194" s="35">
        <v>20.7</v>
      </c>
      <c r="AK194" s="35">
        <v>19</v>
      </c>
      <c r="AL194" s="35">
        <v>19.5</v>
      </c>
      <c r="AM194" s="35">
        <v>19</v>
      </c>
      <c r="AN194" s="35">
        <v>20.6</v>
      </c>
      <c r="AO194" s="35">
        <v>19</v>
      </c>
      <c r="AP194" s="35">
        <v>20.7</v>
      </c>
      <c r="AQ194" s="35">
        <v>19</v>
      </c>
      <c r="AR194" s="35">
        <v>20.7</v>
      </c>
      <c r="AS194" s="35">
        <v>19</v>
      </c>
      <c r="AT194" s="35">
        <v>19.899999999999999</v>
      </c>
      <c r="AU194" s="35">
        <v>19</v>
      </c>
      <c r="AV194" s="35">
        <v>18.7</v>
      </c>
      <c r="AW194" s="35">
        <v>19</v>
      </c>
      <c r="AX194" s="35">
        <v>20.7</v>
      </c>
      <c r="AY194" s="35">
        <v>20</v>
      </c>
      <c r="AZ194" s="35">
        <v>20.6</v>
      </c>
      <c r="BA194" s="35">
        <v>20</v>
      </c>
      <c r="BB194" s="35">
        <v>32.6</v>
      </c>
      <c r="BC194" s="35">
        <v>40</v>
      </c>
      <c r="BD194" s="35">
        <v>31.5</v>
      </c>
      <c r="BE194" s="35">
        <v>40</v>
      </c>
      <c r="BF194" s="35">
        <v>21.1</v>
      </c>
      <c r="BG194" s="35">
        <v>20</v>
      </c>
    </row>
    <row r="195" spans="1:59" x14ac:dyDescent="0.35">
      <c r="A195" s="36">
        <v>46059.583333333336</v>
      </c>
      <c r="B195" s="35">
        <v>1.6</v>
      </c>
      <c r="C195" s="35">
        <v>2</v>
      </c>
      <c r="D195" s="35">
        <v>2</v>
      </c>
      <c r="E195" s="35">
        <v>2.2000000000000002</v>
      </c>
      <c r="F195" s="35">
        <v>1.9</v>
      </c>
      <c r="G195" s="35">
        <v>2</v>
      </c>
      <c r="H195" s="35">
        <v>2</v>
      </c>
      <c r="I195" s="35">
        <v>2</v>
      </c>
      <c r="J195" s="35">
        <v>2.5</v>
      </c>
      <c r="K195" s="35">
        <v>2</v>
      </c>
      <c r="L195" s="35">
        <v>1.7</v>
      </c>
      <c r="M195" s="35">
        <v>2</v>
      </c>
      <c r="N195" s="35">
        <v>2.2999999999999998</v>
      </c>
      <c r="O195" s="35">
        <v>3</v>
      </c>
      <c r="P195" s="35">
        <v>2.9</v>
      </c>
      <c r="Q195" s="35">
        <v>2</v>
      </c>
      <c r="R195" s="35">
        <v>3.7</v>
      </c>
      <c r="S195" s="35">
        <v>2</v>
      </c>
      <c r="T195" s="35">
        <v>3.1</v>
      </c>
      <c r="U195" s="35">
        <v>2</v>
      </c>
      <c r="V195" s="35">
        <v>9.1</v>
      </c>
      <c r="W195" s="35">
        <v>9</v>
      </c>
      <c r="X195" s="35">
        <v>10.8</v>
      </c>
      <c r="Y195" s="35">
        <v>9</v>
      </c>
      <c r="Z195" s="35">
        <v>8.9</v>
      </c>
      <c r="AA195" s="35">
        <v>9</v>
      </c>
      <c r="AB195" s="35">
        <v>10.3</v>
      </c>
      <c r="AC195" s="35">
        <v>9</v>
      </c>
      <c r="AD195" s="35">
        <v>20.9</v>
      </c>
      <c r="AE195" s="35">
        <v>19</v>
      </c>
      <c r="AF195" s="35">
        <v>20.9</v>
      </c>
      <c r="AG195" s="35">
        <v>19</v>
      </c>
      <c r="AH195" s="35">
        <v>19.7</v>
      </c>
      <c r="AI195" s="35">
        <v>19</v>
      </c>
      <c r="AJ195" s="35">
        <v>20.8</v>
      </c>
      <c r="AK195" s="35">
        <v>19</v>
      </c>
      <c r="AL195" s="35">
        <v>19.399999999999999</v>
      </c>
      <c r="AM195" s="35">
        <v>19</v>
      </c>
      <c r="AN195" s="35">
        <v>20.7</v>
      </c>
      <c r="AO195" s="35">
        <v>19</v>
      </c>
      <c r="AP195" s="35">
        <v>20.7</v>
      </c>
      <c r="AQ195" s="35">
        <v>19</v>
      </c>
      <c r="AR195" s="35">
        <v>20.7</v>
      </c>
      <c r="AS195" s="35">
        <v>19</v>
      </c>
      <c r="AT195" s="35">
        <v>20</v>
      </c>
      <c r="AU195" s="35">
        <v>19</v>
      </c>
      <c r="AV195" s="35">
        <v>18.8</v>
      </c>
      <c r="AW195" s="35">
        <v>19</v>
      </c>
      <c r="AX195" s="35">
        <v>20.7</v>
      </c>
      <c r="AY195" s="35">
        <v>20</v>
      </c>
      <c r="AZ195" s="35">
        <v>20.7</v>
      </c>
      <c r="BA195" s="35">
        <v>20</v>
      </c>
      <c r="BB195" s="35">
        <v>32.700000000000003</v>
      </c>
      <c r="BC195" s="35">
        <v>40</v>
      </c>
      <c r="BD195" s="35">
        <v>31.5</v>
      </c>
      <c r="BE195" s="35">
        <v>40</v>
      </c>
      <c r="BF195" s="35">
        <v>21.3</v>
      </c>
      <c r="BG195" s="35">
        <v>20</v>
      </c>
    </row>
    <row r="196" spans="1:59" x14ac:dyDescent="0.35">
      <c r="A196" s="36">
        <v>46059.584027777775</v>
      </c>
      <c r="B196" s="35">
        <v>1.6</v>
      </c>
      <c r="C196" s="35">
        <v>2</v>
      </c>
      <c r="D196" s="35">
        <v>2.1</v>
      </c>
      <c r="E196" s="35">
        <v>2.2000000000000002</v>
      </c>
      <c r="F196" s="35">
        <v>2.2999999999999998</v>
      </c>
      <c r="G196" s="35">
        <v>2</v>
      </c>
      <c r="H196" s="35">
        <v>2.4</v>
      </c>
      <c r="I196" s="35">
        <v>2</v>
      </c>
      <c r="J196" s="35">
        <v>2.5</v>
      </c>
      <c r="K196" s="35">
        <v>2</v>
      </c>
      <c r="L196" s="35">
        <v>1.8</v>
      </c>
      <c r="M196" s="35">
        <v>2</v>
      </c>
      <c r="N196" s="35">
        <v>1.2</v>
      </c>
      <c r="O196" s="35">
        <v>3</v>
      </c>
      <c r="P196" s="35">
        <v>1.9</v>
      </c>
      <c r="Q196" s="35">
        <v>2</v>
      </c>
      <c r="R196" s="35">
        <v>3.9</v>
      </c>
      <c r="S196" s="35">
        <v>2</v>
      </c>
      <c r="T196" s="35">
        <v>3.3</v>
      </c>
      <c r="U196" s="35">
        <v>2</v>
      </c>
      <c r="V196" s="35">
        <v>7.3</v>
      </c>
      <c r="W196" s="35">
        <v>9</v>
      </c>
      <c r="X196" s="35">
        <v>10.8</v>
      </c>
      <c r="Y196" s="35">
        <v>9</v>
      </c>
      <c r="Z196" s="35">
        <v>8.8000000000000007</v>
      </c>
      <c r="AA196" s="35">
        <v>9</v>
      </c>
      <c r="AB196" s="35">
        <v>10.6</v>
      </c>
      <c r="AC196" s="35">
        <v>9</v>
      </c>
      <c r="AD196" s="35">
        <v>20.399999999999999</v>
      </c>
      <c r="AE196" s="35">
        <v>19</v>
      </c>
      <c r="AF196" s="35">
        <v>20.9</v>
      </c>
      <c r="AG196" s="35">
        <v>19</v>
      </c>
      <c r="AH196" s="35">
        <v>19.8</v>
      </c>
      <c r="AI196" s="35">
        <v>19</v>
      </c>
      <c r="AJ196" s="35">
        <v>20.8</v>
      </c>
      <c r="AK196" s="35">
        <v>19</v>
      </c>
      <c r="AL196" s="35">
        <v>19.399999999999999</v>
      </c>
      <c r="AM196" s="35">
        <v>19</v>
      </c>
      <c r="AN196" s="35">
        <v>20.7</v>
      </c>
      <c r="AO196" s="35">
        <v>19</v>
      </c>
      <c r="AP196" s="35">
        <v>20.7</v>
      </c>
      <c r="AQ196" s="35">
        <v>19</v>
      </c>
      <c r="AR196" s="35">
        <v>20.7</v>
      </c>
      <c r="AS196" s="35">
        <v>19</v>
      </c>
      <c r="AT196" s="35">
        <v>20.100000000000001</v>
      </c>
      <c r="AU196" s="35">
        <v>19</v>
      </c>
      <c r="AV196" s="35">
        <v>19</v>
      </c>
      <c r="AW196" s="35">
        <v>19</v>
      </c>
      <c r="AX196" s="35">
        <v>20.7</v>
      </c>
      <c r="AY196" s="35">
        <v>20</v>
      </c>
      <c r="AZ196" s="35">
        <v>20.7</v>
      </c>
      <c r="BA196" s="35">
        <v>20</v>
      </c>
      <c r="BB196" s="35">
        <v>32.700000000000003</v>
      </c>
      <c r="BC196" s="35">
        <v>40</v>
      </c>
      <c r="BD196" s="35">
        <v>31.5</v>
      </c>
      <c r="BE196" s="35">
        <v>40</v>
      </c>
      <c r="BF196" s="35">
        <v>21.4</v>
      </c>
      <c r="BG196" s="35">
        <v>20</v>
      </c>
    </row>
    <row r="197" spans="1:59" x14ac:dyDescent="0.35">
      <c r="A197" s="36">
        <v>46059.584722222222</v>
      </c>
      <c r="B197" s="35">
        <v>2</v>
      </c>
      <c r="C197" s="35">
        <v>2</v>
      </c>
      <c r="D197" s="35">
        <v>2.6</v>
      </c>
      <c r="E197" s="35">
        <v>2.2000000000000002</v>
      </c>
      <c r="F197" s="35">
        <v>2.6</v>
      </c>
      <c r="G197" s="35">
        <v>2</v>
      </c>
      <c r="H197" s="35">
        <v>2.7</v>
      </c>
      <c r="I197" s="35">
        <v>2</v>
      </c>
      <c r="J197" s="35">
        <v>2.7</v>
      </c>
      <c r="K197" s="35">
        <v>2</v>
      </c>
      <c r="L197" s="35">
        <v>2.1</v>
      </c>
      <c r="M197" s="35">
        <v>2</v>
      </c>
      <c r="N197" s="35">
        <v>1.2</v>
      </c>
      <c r="O197" s="35">
        <v>3</v>
      </c>
      <c r="P197" s="35">
        <v>1.9</v>
      </c>
      <c r="Q197" s="35">
        <v>2</v>
      </c>
      <c r="R197" s="35">
        <v>4</v>
      </c>
      <c r="S197" s="35">
        <v>2</v>
      </c>
      <c r="T197" s="35">
        <v>3.4</v>
      </c>
      <c r="U197" s="35">
        <v>2</v>
      </c>
      <c r="V197" s="35">
        <v>7.4</v>
      </c>
      <c r="W197" s="35">
        <v>9</v>
      </c>
      <c r="X197" s="35">
        <v>10.9</v>
      </c>
      <c r="Y197" s="35">
        <v>9</v>
      </c>
      <c r="Z197" s="35">
        <v>9.1999999999999993</v>
      </c>
      <c r="AA197" s="35">
        <v>9</v>
      </c>
      <c r="AB197" s="35">
        <v>11</v>
      </c>
      <c r="AC197" s="35">
        <v>9</v>
      </c>
      <c r="AD197" s="35">
        <v>20.2</v>
      </c>
      <c r="AE197" s="35">
        <v>19</v>
      </c>
      <c r="AF197" s="35">
        <v>21</v>
      </c>
      <c r="AG197" s="35">
        <v>19</v>
      </c>
      <c r="AH197" s="35">
        <v>19.899999999999999</v>
      </c>
      <c r="AI197" s="35">
        <v>19</v>
      </c>
      <c r="AJ197" s="35">
        <v>20.9</v>
      </c>
      <c r="AK197" s="35">
        <v>19</v>
      </c>
      <c r="AL197" s="35">
        <v>19.399999999999999</v>
      </c>
      <c r="AM197" s="35">
        <v>19</v>
      </c>
      <c r="AN197" s="35">
        <v>20.8</v>
      </c>
      <c r="AO197" s="35">
        <v>19</v>
      </c>
      <c r="AP197" s="35">
        <v>20.7</v>
      </c>
      <c r="AQ197" s="35">
        <v>19</v>
      </c>
      <c r="AR197" s="35">
        <v>20.7</v>
      </c>
      <c r="AS197" s="35">
        <v>19</v>
      </c>
      <c r="AT197" s="35">
        <v>20.2</v>
      </c>
      <c r="AU197" s="35">
        <v>19</v>
      </c>
      <c r="AV197" s="35">
        <v>19.2</v>
      </c>
      <c r="AW197" s="35">
        <v>19</v>
      </c>
      <c r="AX197" s="35">
        <v>20.7</v>
      </c>
      <c r="AY197" s="35">
        <v>20</v>
      </c>
      <c r="AZ197" s="35">
        <v>20.7</v>
      </c>
      <c r="BA197" s="35">
        <v>20</v>
      </c>
      <c r="BB197" s="35">
        <v>32.700000000000003</v>
      </c>
      <c r="BC197" s="35">
        <v>40</v>
      </c>
      <c r="BD197" s="35">
        <v>31.5</v>
      </c>
      <c r="BE197" s="35">
        <v>40</v>
      </c>
      <c r="BF197" s="35">
        <v>21.4</v>
      </c>
      <c r="BG197" s="35">
        <v>20</v>
      </c>
    </row>
    <row r="198" spans="1:59" x14ac:dyDescent="0.35">
      <c r="A198" s="36">
        <v>46059.585416666669</v>
      </c>
      <c r="B198" s="35">
        <v>2.5</v>
      </c>
      <c r="C198" s="35">
        <v>2</v>
      </c>
      <c r="D198" s="35">
        <v>3</v>
      </c>
      <c r="E198" s="35">
        <v>2.2000000000000002</v>
      </c>
      <c r="F198" s="35">
        <v>2.9</v>
      </c>
      <c r="G198" s="35">
        <v>2</v>
      </c>
      <c r="H198" s="35">
        <v>3</v>
      </c>
      <c r="I198" s="35">
        <v>2</v>
      </c>
      <c r="J198" s="35">
        <v>3</v>
      </c>
      <c r="K198" s="35">
        <v>2</v>
      </c>
      <c r="L198" s="35">
        <v>2.6</v>
      </c>
      <c r="M198" s="35">
        <v>2</v>
      </c>
      <c r="N198" s="35">
        <v>1.5</v>
      </c>
      <c r="O198" s="35">
        <v>3</v>
      </c>
      <c r="P198" s="35">
        <v>2.2000000000000002</v>
      </c>
      <c r="Q198" s="35">
        <v>2</v>
      </c>
      <c r="R198" s="35">
        <v>3.1</v>
      </c>
      <c r="S198" s="35">
        <v>2</v>
      </c>
      <c r="T198" s="35">
        <v>2.4</v>
      </c>
      <c r="U198" s="35">
        <v>2</v>
      </c>
      <c r="V198" s="35">
        <v>8.3000000000000007</v>
      </c>
      <c r="W198" s="35">
        <v>9</v>
      </c>
      <c r="X198" s="35">
        <v>11</v>
      </c>
      <c r="Y198" s="35">
        <v>9</v>
      </c>
      <c r="Z198" s="35">
        <v>9.6</v>
      </c>
      <c r="AA198" s="35">
        <v>9</v>
      </c>
      <c r="AB198" s="35">
        <v>11.1</v>
      </c>
      <c r="AC198" s="35">
        <v>9</v>
      </c>
      <c r="AD198" s="35">
        <v>19.7</v>
      </c>
      <c r="AE198" s="35">
        <v>19</v>
      </c>
      <c r="AF198" s="35">
        <v>20.3</v>
      </c>
      <c r="AG198" s="35">
        <v>19</v>
      </c>
      <c r="AH198" s="35">
        <v>20</v>
      </c>
      <c r="AI198" s="35">
        <v>19</v>
      </c>
      <c r="AJ198" s="35">
        <v>20.9</v>
      </c>
      <c r="AK198" s="35">
        <v>19</v>
      </c>
      <c r="AL198" s="35">
        <v>19.399999999999999</v>
      </c>
      <c r="AM198" s="35">
        <v>19</v>
      </c>
      <c r="AN198" s="35">
        <v>20.9</v>
      </c>
      <c r="AO198" s="35">
        <v>19</v>
      </c>
      <c r="AP198" s="35">
        <v>20.7</v>
      </c>
      <c r="AQ198" s="35">
        <v>19</v>
      </c>
      <c r="AR198" s="35">
        <v>20.7</v>
      </c>
      <c r="AS198" s="35">
        <v>19</v>
      </c>
      <c r="AT198" s="35">
        <v>20.3</v>
      </c>
      <c r="AU198" s="35">
        <v>19</v>
      </c>
      <c r="AV198" s="35">
        <v>19.399999999999999</v>
      </c>
      <c r="AW198" s="35">
        <v>19</v>
      </c>
      <c r="AX198" s="35">
        <v>20.7</v>
      </c>
      <c r="AY198" s="35">
        <v>20</v>
      </c>
      <c r="AZ198" s="35">
        <v>20.7</v>
      </c>
      <c r="BA198" s="35">
        <v>20</v>
      </c>
      <c r="BB198" s="35">
        <v>32.700000000000003</v>
      </c>
      <c r="BC198" s="35">
        <v>40</v>
      </c>
      <c r="BD198" s="35">
        <v>31.5</v>
      </c>
      <c r="BE198" s="35">
        <v>40</v>
      </c>
      <c r="BF198" s="35">
        <v>21.5</v>
      </c>
      <c r="BG198" s="35">
        <v>20</v>
      </c>
    </row>
    <row r="199" spans="1:59" x14ac:dyDescent="0.35">
      <c r="A199" s="36">
        <v>46059.586111111108</v>
      </c>
      <c r="B199" s="35">
        <v>2.8</v>
      </c>
      <c r="C199" s="35">
        <v>2</v>
      </c>
      <c r="D199" s="35">
        <v>3.3</v>
      </c>
      <c r="E199" s="35">
        <v>2.2000000000000002</v>
      </c>
      <c r="F199" s="35">
        <v>3.2</v>
      </c>
      <c r="G199" s="35">
        <v>2</v>
      </c>
      <c r="H199" s="35">
        <v>3.2</v>
      </c>
      <c r="I199" s="35">
        <v>2</v>
      </c>
      <c r="J199" s="35">
        <v>3.2</v>
      </c>
      <c r="K199" s="35">
        <v>2</v>
      </c>
      <c r="L199" s="35">
        <v>2.9</v>
      </c>
      <c r="M199" s="35">
        <v>2</v>
      </c>
      <c r="N199" s="35">
        <v>1.8</v>
      </c>
      <c r="O199" s="35">
        <v>3</v>
      </c>
      <c r="P199" s="35">
        <v>2.6</v>
      </c>
      <c r="Q199" s="35">
        <v>2</v>
      </c>
      <c r="R199" s="35">
        <v>2</v>
      </c>
      <c r="S199" s="35">
        <v>2</v>
      </c>
      <c r="T199" s="35">
        <v>1</v>
      </c>
      <c r="U199" s="35">
        <v>2</v>
      </c>
      <c r="V199" s="35">
        <v>9.1</v>
      </c>
      <c r="W199" s="35">
        <v>9</v>
      </c>
      <c r="X199" s="35">
        <v>10.6</v>
      </c>
      <c r="Y199" s="35">
        <v>9</v>
      </c>
      <c r="Z199" s="35">
        <v>9.9</v>
      </c>
      <c r="AA199" s="35">
        <v>9</v>
      </c>
      <c r="AB199" s="35">
        <v>10.7</v>
      </c>
      <c r="AC199" s="35">
        <v>9</v>
      </c>
      <c r="AD199" s="35">
        <v>19.3</v>
      </c>
      <c r="AE199" s="35">
        <v>19</v>
      </c>
      <c r="AF199" s="35">
        <v>19.5</v>
      </c>
      <c r="AG199" s="35">
        <v>19</v>
      </c>
      <c r="AH199" s="35">
        <v>20</v>
      </c>
      <c r="AI199" s="35">
        <v>19</v>
      </c>
      <c r="AJ199" s="35">
        <v>21</v>
      </c>
      <c r="AK199" s="35">
        <v>19</v>
      </c>
      <c r="AL199" s="35">
        <v>19.399999999999999</v>
      </c>
      <c r="AM199" s="35">
        <v>19</v>
      </c>
      <c r="AN199" s="35">
        <v>20.9</v>
      </c>
      <c r="AO199" s="35">
        <v>19</v>
      </c>
      <c r="AP199" s="35">
        <v>20.7</v>
      </c>
      <c r="AQ199" s="35">
        <v>19</v>
      </c>
      <c r="AR199" s="35">
        <v>20.7</v>
      </c>
      <c r="AS199" s="35">
        <v>19</v>
      </c>
      <c r="AT199" s="35">
        <v>20.399999999999999</v>
      </c>
      <c r="AU199" s="35">
        <v>19</v>
      </c>
      <c r="AV199" s="35">
        <v>19.600000000000001</v>
      </c>
      <c r="AW199" s="35">
        <v>19</v>
      </c>
      <c r="AX199" s="35">
        <v>20.7</v>
      </c>
      <c r="AY199" s="35">
        <v>20</v>
      </c>
      <c r="AZ199" s="35">
        <v>20.7</v>
      </c>
      <c r="BA199" s="35">
        <v>20</v>
      </c>
      <c r="BB199" s="35">
        <v>32.700000000000003</v>
      </c>
      <c r="BC199" s="35">
        <v>40</v>
      </c>
      <c r="BD199" s="35">
        <v>31.6</v>
      </c>
      <c r="BE199" s="35">
        <v>40</v>
      </c>
      <c r="BF199" s="35">
        <v>21.5</v>
      </c>
      <c r="BG199" s="35">
        <v>20</v>
      </c>
    </row>
    <row r="200" spans="1:59" x14ac:dyDescent="0.35">
      <c r="A200" s="36">
        <v>46059.586805555555</v>
      </c>
      <c r="B200" s="35">
        <v>3</v>
      </c>
      <c r="C200" s="35">
        <v>2</v>
      </c>
      <c r="D200" s="35">
        <v>3.7</v>
      </c>
      <c r="E200" s="35">
        <v>2.2000000000000002</v>
      </c>
      <c r="F200" s="35">
        <v>3.5</v>
      </c>
      <c r="G200" s="35">
        <v>2</v>
      </c>
      <c r="H200" s="35">
        <v>3.6</v>
      </c>
      <c r="I200" s="35">
        <v>2</v>
      </c>
      <c r="J200" s="35">
        <v>3.4</v>
      </c>
      <c r="K200" s="35">
        <v>2</v>
      </c>
      <c r="L200" s="35">
        <v>3.3</v>
      </c>
      <c r="M200" s="35">
        <v>2</v>
      </c>
      <c r="N200" s="35">
        <v>2.2000000000000002</v>
      </c>
      <c r="O200" s="35">
        <v>3</v>
      </c>
      <c r="P200" s="35">
        <v>2.8</v>
      </c>
      <c r="Q200" s="35">
        <v>2</v>
      </c>
      <c r="R200" s="35">
        <v>1.6</v>
      </c>
      <c r="S200" s="35">
        <v>2</v>
      </c>
      <c r="T200" s="35">
        <v>0.8</v>
      </c>
      <c r="U200" s="35">
        <v>2</v>
      </c>
      <c r="V200" s="35">
        <v>9.6999999999999993</v>
      </c>
      <c r="W200" s="35">
        <v>9</v>
      </c>
      <c r="X200" s="35">
        <v>9.9</v>
      </c>
      <c r="Y200" s="35">
        <v>9</v>
      </c>
      <c r="Z200" s="35">
        <v>10.199999999999999</v>
      </c>
      <c r="AA200" s="35">
        <v>9</v>
      </c>
      <c r="AB200" s="35">
        <v>9.9</v>
      </c>
      <c r="AC200" s="35">
        <v>9</v>
      </c>
      <c r="AD200" s="35">
        <v>19.100000000000001</v>
      </c>
      <c r="AE200" s="35">
        <v>19</v>
      </c>
      <c r="AF200" s="35">
        <v>18.600000000000001</v>
      </c>
      <c r="AG200" s="35">
        <v>19</v>
      </c>
      <c r="AH200" s="35">
        <v>20.100000000000001</v>
      </c>
      <c r="AI200" s="35">
        <v>19</v>
      </c>
      <c r="AJ200" s="35">
        <v>20.3</v>
      </c>
      <c r="AK200" s="35">
        <v>19</v>
      </c>
      <c r="AL200" s="35">
        <v>19.3</v>
      </c>
      <c r="AM200" s="35">
        <v>19</v>
      </c>
      <c r="AN200" s="35">
        <v>20.9</v>
      </c>
      <c r="AO200" s="35">
        <v>19</v>
      </c>
      <c r="AP200" s="35">
        <v>20.7</v>
      </c>
      <c r="AQ200" s="35">
        <v>19</v>
      </c>
      <c r="AR200" s="35">
        <v>20.7</v>
      </c>
      <c r="AS200" s="35">
        <v>19</v>
      </c>
      <c r="AT200" s="35">
        <v>20.399999999999999</v>
      </c>
      <c r="AU200" s="35">
        <v>19</v>
      </c>
      <c r="AV200" s="35">
        <v>19.7</v>
      </c>
      <c r="AW200" s="35">
        <v>19</v>
      </c>
      <c r="AX200" s="35">
        <v>20.7</v>
      </c>
      <c r="AY200" s="35">
        <v>20</v>
      </c>
      <c r="AZ200" s="35">
        <v>20.7</v>
      </c>
      <c r="BA200" s="35">
        <v>20</v>
      </c>
      <c r="BB200" s="35">
        <v>32.700000000000003</v>
      </c>
      <c r="BC200" s="35">
        <v>40</v>
      </c>
      <c r="BD200" s="35">
        <v>31.6</v>
      </c>
      <c r="BE200" s="35">
        <v>40</v>
      </c>
      <c r="BF200" s="35">
        <v>21.6</v>
      </c>
      <c r="BG200" s="35">
        <v>20</v>
      </c>
    </row>
    <row r="201" spans="1:59" x14ac:dyDescent="0.35">
      <c r="A201" s="36">
        <v>46059.587500000001</v>
      </c>
      <c r="B201" s="35">
        <v>3</v>
      </c>
      <c r="C201" s="35">
        <v>2</v>
      </c>
      <c r="D201" s="35">
        <v>4</v>
      </c>
      <c r="E201" s="35">
        <v>2.2000000000000002</v>
      </c>
      <c r="F201" s="35">
        <v>3.7</v>
      </c>
      <c r="G201" s="35">
        <v>2</v>
      </c>
      <c r="H201" s="35">
        <v>3.8</v>
      </c>
      <c r="I201" s="35">
        <v>2</v>
      </c>
      <c r="J201" s="35">
        <v>3.7</v>
      </c>
      <c r="K201" s="35">
        <v>2</v>
      </c>
      <c r="L201" s="35">
        <v>3.6</v>
      </c>
      <c r="M201" s="35">
        <v>2</v>
      </c>
      <c r="N201" s="35">
        <v>2.6</v>
      </c>
      <c r="O201" s="35">
        <v>3</v>
      </c>
      <c r="P201" s="35">
        <v>3.1</v>
      </c>
      <c r="Q201" s="35">
        <v>2</v>
      </c>
      <c r="R201" s="35">
        <v>1.6</v>
      </c>
      <c r="S201" s="35">
        <v>2</v>
      </c>
      <c r="T201" s="35">
        <v>0.9</v>
      </c>
      <c r="U201" s="35">
        <v>2</v>
      </c>
      <c r="V201" s="35">
        <v>10.3</v>
      </c>
      <c r="W201" s="35">
        <v>9</v>
      </c>
      <c r="X201" s="35">
        <v>8.6999999999999993</v>
      </c>
      <c r="Y201" s="35">
        <v>9</v>
      </c>
      <c r="Z201" s="35">
        <v>10.4</v>
      </c>
      <c r="AA201" s="35">
        <v>9</v>
      </c>
      <c r="AB201" s="35">
        <v>9.5</v>
      </c>
      <c r="AC201" s="35">
        <v>9</v>
      </c>
      <c r="AD201" s="35">
        <v>19</v>
      </c>
      <c r="AE201" s="35">
        <v>19</v>
      </c>
      <c r="AF201" s="35">
        <v>18.399999999999999</v>
      </c>
      <c r="AG201" s="35">
        <v>19</v>
      </c>
      <c r="AH201" s="35">
        <v>20.2</v>
      </c>
      <c r="AI201" s="35">
        <v>19</v>
      </c>
      <c r="AJ201" s="35">
        <v>19</v>
      </c>
      <c r="AK201" s="35">
        <v>19</v>
      </c>
      <c r="AL201" s="35">
        <v>19.2</v>
      </c>
      <c r="AM201" s="35">
        <v>19</v>
      </c>
      <c r="AN201" s="35">
        <v>21</v>
      </c>
      <c r="AO201" s="35">
        <v>19</v>
      </c>
      <c r="AP201" s="35">
        <v>20.7</v>
      </c>
      <c r="AQ201" s="35">
        <v>19</v>
      </c>
      <c r="AR201" s="35">
        <v>20.7</v>
      </c>
      <c r="AS201" s="35">
        <v>19</v>
      </c>
      <c r="AT201" s="35">
        <v>20.5</v>
      </c>
      <c r="AU201" s="35">
        <v>19</v>
      </c>
      <c r="AV201" s="35">
        <v>19.899999999999999</v>
      </c>
      <c r="AW201" s="35">
        <v>19</v>
      </c>
      <c r="AX201" s="35">
        <v>20.6</v>
      </c>
      <c r="AY201" s="35">
        <v>20</v>
      </c>
      <c r="AZ201" s="35">
        <v>20.7</v>
      </c>
      <c r="BA201" s="35">
        <v>20</v>
      </c>
      <c r="BB201" s="35">
        <v>32.700000000000003</v>
      </c>
      <c r="BC201" s="35">
        <v>40</v>
      </c>
      <c r="BD201" s="35">
        <v>31.6</v>
      </c>
      <c r="BE201" s="35">
        <v>40</v>
      </c>
      <c r="BF201" s="35">
        <v>21.6</v>
      </c>
      <c r="BG201" s="35">
        <v>20</v>
      </c>
    </row>
    <row r="202" spans="1:59" x14ac:dyDescent="0.35">
      <c r="A202" s="36">
        <v>46059.588194444441</v>
      </c>
      <c r="B202" s="35">
        <v>3</v>
      </c>
      <c r="C202" s="35">
        <v>2</v>
      </c>
      <c r="D202" s="35">
        <v>4.2</v>
      </c>
      <c r="E202" s="35">
        <v>2.2000000000000002</v>
      </c>
      <c r="F202" s="35">
        <v>3.9</v>
      </c>
      <c r="G202" s="35">
        <v>2</v>
      </c>
      <c r="H202" s="35">
        <v>4</v>
      </c>
      <c r="I202" s="35">
        <v>2</v>
      </c>
      <c r="J202" s="35">
        <v>3.9</v>
      </c>
      <c r="K202" s="35">
        <v>2</v>
      </c>
      <c r="L202" s="35">
        <v>3.9</v>
      </c>
      <c r="M202" s="35">
        <v>2</v>
      </c>
      <c r="N202" s="35">
        <v>2.9</v>
      </c>
      <c r="O202" s="35">
        <v>3</v>
      </c>
      <c r="P202" s="35">
        <v>3.3</v>
      </c>
      <c r="Q202" s="35">
        <v>2</v>
      </c>
      <c r="R202" s="35">
        <v>1.8</v>
      </c>
      <c r="S202" s="35">
        <v>2</v>
      </c>
      <c r="T202" s="35">
        <v>1.2</v>
      </c>
      <c r="U202" s="35">
        <v>2</v>
      </c>
      <c r="V202" s="35">
        <v>10.7</v>
      </c>
      <c r="W202" s="35">
        <v>9</v>
      </c>
      <c r="X202" s="35">
        <v>8.3000000000000007</v>
      </c>
      <c r="Y202" s="35">
        <v>9</v>
      </c>
      <c r="Z202" s="35">
        <v>10.7</v>
      </c>
      <c r="AA202" s="35">
        <v>9</v>
      </c>
      <c r="AB202" s="35">
        <v>9</v>
      </c>
      <c r="AC202" s="35">
        <v>9</v>
      </c>
      <c r="AD202" s="35">
        <v>19</v>
      </c>
      <c r="AE202" s="35">
        <v>19</v>
      </c>
      <c r="AF202" s="35">
        <v>18.399999999999999</v>
      </c>
      <c r="AG202" s="35">
        <v>19</v>
      </c>
      <c r="AH202" s="35">
        <v>20.2</v>
      </c>
      <c r="AI202" s="35">
        <v>19</v>
      </c>
      <c r="AJ202" s="35">
        <v>18.2</v>
      </c>
      <c r="AK202" s="35">
        <v>19</v>
      </c>
      <c r="AL202" s="35">
        <v>19</v>
      </c>
      <c r="AM202" s="35">
        <v>19</v>
      </c>
      <c r="AN202" s="35">
        <v>20.6</v>
      </c>
      <c r="AO202" s="35">
        <v>19</v>
      </c>
      <c r="AP202" s="35">
        <v>20.7</v>
      </c>
      <c r="AQ202" s="35">
        <v>19</v>
      </c>
      <c r="AR202" s="35">
        <v>20.7</v>
      </c>
      <c r="AS202" s="35">
        <v>19</v>
      </c>
      <c r="AT202" s="35">
        <v>20.6</v>
      </c>
      <c r="AU202" s="35">
        <v>19</v>
      </c>
      <c r="AV202" s="35">
        <v>20</v>
      </c>
      <c r="AW202" s="35">
        <v>19</v>
      </c>
      <c r="AX202" s="35">
        <v>20.6</v>
      </c>
      <c r="AY202" s="35">
        <v>20</v>
      </c>
      <c r="AZ202" s="35">
        <v>20.8</v>
      </c>
      <c r="BA202" s="35">
        <v>20</v>
      </c>
      <c r="BB202" s="35">
        <v>32.799999999999997</v>
      </c>
      <c r="BC202" s="35">
        <v>40</v>
      </c>
      <c r="BD202" s="35">
        <v>31.6</v>
      </c>
      <c r="BE202" s="35">
        <v>40</v>
      </c>
      <c r="BF202" s="35">
        <v>21.6</v>
      </c>
      <c r="BG202" s="35">
        <v>20</v>
      </c>
    </row>
    <row r="203" spans="1:59" x14ac:dyDescent="0.35">
      <c r="A203" s="36">
        <v>46059.588888888888</v>
      </c>
      <c r="B203" s="35">
        <v>3</v>
      </c>
      <c r="C203" s="35">
        <v>2</v>
      </c>
      <c r="D203" s="35">
        <v>4.0999999999999996</v>
      </c>
      <c r="E203" s="35">
        <v>2.2000000000000002</v>
      </c>
      <c r="F203" s="35">
        <v>3.4</v>
      </c>
      <c r="G203" s="35">
        <v>2</v>
      </c>
      <c r="H203" s="35">
        <v>3</v>
      </c>
      <c r="I203" s="35">
        <v>2</v>
      </c>
      <c r="J203" s="35">
        <v>4</v>
      </c>
      <c r="K203" s="35">
        <v>2</v>
      </c>
      <c r="L203" s="35">
        <v>3.9</v>
      </c>
      <c r="M203" s="35">
        <v>2</v>
      </c>
      <c r="N203" s="35">
        <v>3.2</v>
      </c>
      <c r="O203" s="35">
        <v>3</v>
      </c>
      <c r="P203" s="35">
        <v>3.5</v>
      </c>
      <c r="Q203" s="35">
        <v>2</v>
      </c>
      <c r="R203" s="35">
        <v>2.1</v>
      </c>
      <c r="S203" s="35">
        <v>2</v>
      </c>
      <c r="T203" s="35">
        <v>1.5</v>
      </c>
      <c r="U203" s="35">
        <v>2</v>
      </c>
      <c r="V203" s="35">
        <v>11</v>
      </c>
      <c r="W203" s="35">
        <v>9</v>
      </c>
      <c r="X203" s="35">
        <v>8.1</v>
      </c>
      <c r="Y203" s="35">
        <v>9</v>
      </c>
      <c r="Z203" s="35">
        <v>10.9</v>
      </c>
      <c r="AA203" s="35">
        <v>9</v>
      </c>
      <c r="AB203" s="35">
        <v>9</v>
      </c>
      <c r="AC203" s="35">
        <v>9</v>
      </c>
      <c r="AD203" s="35">
        <v>19.100000000000001</v>
      </c>
      <c r="AE203" s="35">
        <v>19</v>
      </c>
      <c r="AF203" s="35">
        <v>18.399999999999999</v>
      </c>
      <c r="AG203" s="35">
        <v>19</v>
      </c>
      <c r="AH203" s="35">
        <v>20.3</v>
      </c>
      <c r="AI203" s="35">
        <v>19</v>
      </c>
      <c r="AJ203" s="35">
        <v>18.2</v>
      </c>
      <c r="AK203" s="35">
        <v>19</v>
      </c>
      <c r="AL203" s="35">
        <v>19</v>
      </c>
      <c r="AM203" s="35">
        <v>19</v>
      </c>
      <c r="AN203" s="35">
        <v>20</v>
      </c>
      <c r="AO203" s="35">
        <v>19</v>
      </c>
      <c r="AP203" s="35">
        <v>20.8</v>
      </c>
      <c r="AQ203" s="35">
        <v>19</v>
      </c>
      <c r="AR203" s="35">
        <v>20.7</v>
      </c>
      <c r="AS203" s="35">
        <v>19</v>
      </c>
      <c r="AT203" s="35">
        <v>20.7</v>
      </c>
      <c r="AU203" s="35">
        <v>19</v>
      </c>
      <c r="AV203" s="35">
        <v>20.100000000000001</v>
      </c>
      <c r="AW203" s="35">
        <v>19</v>
      </c>
      <c r="AX203" s="35">
        <v>20.6</v>
      </c>
      <c r="AY203" s="35">
        <v>20</v>
      </c>
      <c r="AZ203" s="35">
        <v>20.8</v>
      </c>
      <c r="BA203" s="35">
        <v>20</v>
      </c>
      <c r="BB203" s="35">
        <v>32.799999999999997</v>
      </c>
      <c r="BC203" s="35">
        <v>40</v>
      </c>
      <c r="BD203" s="35">
        <v>31.6</v>
      </c>
      <c r="BE203" s="35">
        <v>40</v>
      </c>
      <c r="BF203" s="35">
        <v>21.7</v>
      </c>
      <c r="BG203" s="35">
        <v>20</v>
      </c>
    </row>
    <row r="204" spans="1:59" x14ac:dyDescent="0.35">
      <c r="A204" s="36">
        <v>46059.589583333334</v>
      </c>
      <c r="B204" s="35">
        <v>3</v>
      </c>
      <c r="C204" s="35">
        <v>2</v>
      </c>
      <c r="D204" s="35">
        <v>4.2</v>
      </c>
      <c r="E204" s="35">
        <v>2.2000000000000002</v>
      </c>
      <c r="F204" s="35">
        <v>3.3</v>
      </c>
      <c r="G204" s="35">
        <v>2</v>
      </c>
      <c r="H204" s="35">
        <v>2.9</v>
      </c>
      <c r="I204" s="35">
        <v>2</v>
      </c>
      <c r="J204" s="35">
        <v>2.9</v>
      </c>
      <c r="K204" s="35">
        <v>2</v>
      </c>
      <c r="L204" s="35">
        <v>2.7</v>
      </c>
      <c r="M204" s="35">
        <v>2</v>
      </c>
      <c r="N204" s="35">
        <v>3.5</v>
      </c>
      <c r="O204" s="35">
        <v>3</v>
      </c>
      <c r="P204" s="35">
        <v>3.7</v>
      </c>
      <c r="Q204" s="35">
        <v>2</v>
      </c>
      <c r="R204" s="35">
        <v>2.4</v>
      </c>
      <c r="S204" s="35">
        <v>2</v>
      </c>
      <c r="T204" s="35">
        <v>1.8</v>
      </c>
      <c r="U204" s="35">
        <v>2</v>
      </c>
      <c r="V204" s="35">
        <v>9.4</v>
      </c>
      <c r="W204" s="35">
        <v>9</v>
      </c>
      <c r="X204" s="35">
        <v>8.1999999999999993</v>
      </c>
      <c r="Y204" s="35">
        <v>9</v>
      </c>
      <c r="Z204" s="35">
        <v>11</v>
      </c>
      <c r="AA204" s="35">
        <v>9</v>
      </c>
      <c r="AB204" s="35">
        <v>9.1999999999999993</v>
      </c>
      <c r="AC204" s="35">
        <v>9</v>
      </c>
      <c r="AD204" s="35">
        <v>19.2</v>
      </c>
      <c r="AE204" s="35">
        <v>19</v>
      </c>
      <c r="AF204" s="35">
        <v>18.399999999999999</v>
      </c>
      <c r="AG204" s="35">
        <v>19</v>
      </c>
      <c r="AH204" s="35">
        <v>20.399999999999999</v>
      </c>
      <c r="AI204" s="35">
        <v>19</v>
      </c>
      <c r="AJ204" s="35">
        <v>18.399999999999999</v>
      </c>
      <c r="AK204" s="35">
        <v>19</v>
      </c>
      <c r="AL204" s="35">
        <v>19.3</v>
      </c>
      <c r="AM204" s="35">
        <v>19</v>
      </c>
      <c r="AN204" s="35">
        <v>19.5</v>
      </c>
      <c r="AO204" s="35">
        <v>19</v>
      </c>
      <c r="AP204" s="35">
        <v>20.8</v>
      </c>
      <c r="AQ204" s="35">
        <v>19</v>
      </c>
      <c r="AR204" s="35">
        <v>20.7</v>
      </c>
      <c r="AS204" s="35">
        <v>19</v>
      </c>
      <c r="AT204" s="35">
        <v>20.7</v>
      </c>
      <c r="AU204" s="35">
        <v>19</v>
      </c>
      <c r="AV204" s="35">
        <v>20.2</v>
      </c>
      <c r="AW204" s="35">
        <v>19</v>
      </c>
      <c r="AX204" s="35">
        <v>20.6</v>
      </c>
      <c r="AY204" s="35">
        <v>20</v>
      </c>
      <c r="AZ204" s="35">
        <v>20.8</v>
      </c>
      <c r="BA204" s="35">
        <v>20</v>
      </c>
      <c r="BB204" s="35">
        <v>32.799999999999997</v>
      </c>
      <c r="BC204" s="35">
        <v>40</v>
      </c>
      <c r="BD204" s="35">
        <v>31.6</v>
      </c>
      <c r="BE204" s="35">
        <v>40</v>
      </c>
      <c r="BF204" s="35">
        <v>21.7</v>
      </c>
      <c r="BG204" s="35">
        <v>20</v>
      </c>
    </row>
    <row r="205" spans="1:59" x14ac:dyDescent="0.35">
      <c r="A205" s="36">
        <v>46059.590277777781</v>
      </c>
      <c r="B205" s="35">
        <v>3</v>
      </c>
      <c r="C205" s="35">
        <v>2</v>
      </c>
      <c r="D205" s="35">
        <v>4.5999999999999996</v>
      </c>
      <c r="E205" s="35">
        <v>2.2000000000000002</v>
      </c>
      <c r="F205" s="35">
        <v>3.3</v>
      </c>
      <c r="G205" s="35">
        <v>2</v>
      </c>
      <c r="H205" s="35">
        <v>2.9</v>
      </c>
      <c r="I205" s="35">
        <v>2</v>
      </c>
      <c r="J205" s="35">
        <v>1.7</v>
      </c>
      <c r="K205" s="35">
        <v>2</v>
      </c>
      <c r="L205" s="35">
        <v>1.7</v>
      </c>
      <c r="M205" s="35">
        <v>2</v>
      </c>
      <c r="N205" s="35">
        <v>3.7</v>
      </c>
      <c r="O205" s="35">
        <v>3</v>
      </c>
      <c r="P205" s="35">
        <v>3.9</v>
      </c>
      <c r="Q205" s="35">
        <v>2</v>
      </c>
      <c r="R205" s="35">
        <v>2.6</v>
      </c>
      <c r="S205" s="35">
        <v>2</v>
      </c>
      <c r="T205" s="35">
        <v>2.1</v>
      </c>
      <c r="U205" s="35">
        <v>2</v>
      </c>
      <c r="V205" s="35">
        <v>8.3000000000000007</v>
      </c>
      <c r="W205" s="35">
        <v>9</v>
      </c>
      <c r="X205" s="35">
        <v>8.4</v>
      </c>
      <c r="Y205" s="35">
        <v>9</v>
      </c>
      <c r="Z205" s="35">
        <v>10.5</v>
      </c>
      <c r="AA205" s="35">
        <v>9</v>
      </c>
      <c r="AB205" s="35">
        <v>9.6999999999999993</v>
      </c>
      <c r="AC205" s="35">
        <v>9</v>
      </c>
      <c r="AD205" s="35">
        <v>19.3</v>
      </c>
      <c r="AE205" s="35">
        <v>19</v>
      </c>
      <c r="AF205" s="35">
        <v>18.600000000000001</v>
      </c>
      <c r="AG205" s="35">
        <v>19</v>
      </c>
      <c r="AH205" s="35">
        <v>20.399999999999999</v>
      </c>
      <c r="AI205" s="35">
        <v>19</v>
      </c>
      <c r="AJ205" s="35">
        <v>18.7</v>
      </c>
      <c r="AK205" s="35">
        <v>19</v>
      </c>
      <c r="AL205" s="35">
        <v>19.8</v>
      </c>
      <c r="AM205" s="35">
        <v>19</v>
      </c>
      <c r="AN205" s="35">
        <v>19.100000000000001</v>
      </c>
      <c r="AO205" s="35">
        <v>19</v>
      </c>
      <c r="AP205" s="35">
        <v>20.8</v>
      </c>
      <c r="AQ205" s="35">
        <v>19</v>
      </c>
      <c r="AR205" s="35">
        <v>20.7</v>
      </c>
      <c r="AS205" s="35">
        <v>19</v>
      </c>
      <c r="AT205" s="35">
        <v>20.8</v>
      </c>
      <c r="AU205" s="35">
        <v>19</v>
      </c>
      <c r="AV205" s="35">
        <v>20.3</v>
      </c>
      <c r="AW205" s="35">
        <v>19</v>
      </c>
      <c r="AX205" s="35">
        <v>20.6</v>
      </c>
      <c r="AY205" s="35">
        <v>20</v>
      </c>
      <c r="AZ205" s="35">
        <v>20.8</v>
      </c>
      <c r="BA205" s="35">
        <v>20</v>
      </c>
      <c r="BB205" s="35">
        <v>32.799999999999997</v>
      </c>
      <c r="BC205" s="35">
        <v>40</v>
      </c>
      <c r="BD205" s="35">
        <v>31.6</v>
      </c>
      <c r="BE205" s="35">
        <v>40</v>
      </c>
      <c r="BF205" s="35">
        <v>21.7</v>
      </c>
      <c r="BG205" s="35">
        <v>20</v>
      </c>
    </row>
    <row r="206" spans="1:59" x14ac:dyDescent="0.35">
      <c r="A206" s="36">
        <v>46059.591666666667</v>
      </c>
      <c r="B206" s="35">
        <v>3</v>
      </c>
      <c r="C206" s="35">
        <v>2</v>
      </c>
      <c r="D206" s="35">
        <v>5.4</v>
      </c>
      <c r="E206" s="35">
        <v>2.2000000000000002</v>
      </c>
      <c r="F206" s="35">
        <v>3.6</v>
      </c>
      <c r="G206" s="35">
        <v>2</v>
      </c>
      <c r="H206" s="35">
        <v>3.2</v>
      </c>
      <c r="I206" s="35">
        <v>2</v>
      </c>
      <c r="J206" s="35">
        <v>1.8</v>
      </c>
      <c r="K206" s="35">
        <v>2</v>
      </c>
      <c r="L206" s="35">
        <v>2.1</v>
      </c>
      <c r="M206" s="35">
        <v>2</v>
      </c>
      <c r="N206" s="35">
        <v>3.3</v>
      </c>
      <c r="O206" s="35">
        <v>3</v>
      </c>
      <c r="P206" s="35">
        <v>3.6</v>
      </c>
      <c r="Q206" s="35">
        <v>2</v>
      </c>
      <c r="R206" s="35">
        <v>3</v>
      </c>
      <c r="S206" s="35">
        <v>2</v>
      </c>
      <c r="T206" s="35">
        <v>2.6</v>
      </c>
      <c r="U206" s="35">
        <v>2</v>
      </c>
      <c r="V206" s="35">
        <v>9.1</v>
      </c>
      <c r="W206" s="35">
        <v>9</v>
      </c>
      <c r="X206" s="35">
        <v>8.9</v>
      </c>
      <c r="Y206" s="35">
        <v>9</v>
      </c>
      <c r="Z206" s="35">
        <v>9</v>
      </c>
      <c r="AA206" s="35">
        <v>9</v>
      </c>
      <c r="AB206" s="35">
        <v>10.6</v>
      </c>
      <c r="AC206" s="35">
        <v>9</v>
      </c>
      <c r="AD206" s="35">
        <v>19.5</v>
      </c>
      <c r="AE206" s="35">
        <v>19</v>
      </c>
      <c r="AF206" s="35">
        <v>18.7</v>
      </c>
      <c r="AG206" s="35">
        <v>19</v>
      </c>
      <c r="AH206" s="35">
        <v>20.5</v>
      </c>
      <c r="AI206" s="35">
        <v>19</v>
      </c>
      <c r="AJ206" s="35">
        <v>19.100000000000001</v>
      </c>
      <c r="AK206" s="35">
        <v>19</v>
      </c>
      <c r="AL206" s="35">
        <v>20.3</v>
      </c>
      <c r="AM206" s="35">
        <v>19</v>
      </c>
      <c r="AN206" s="35">
        <v>18.899999999999999</v>
      </c>
      <c r="AO206" s="35">
        <v>19</v>
      </c>
      <c r="AP206" s="35">
        <v>20.8</v>
      </c>
      <c r="AQ206" s="35">
        <v>19</v>
      </c>
      <c r="AR206" s="35">
        <v>20.7</v>
      </c>
      <c r="AS206" s="35">
        <v>19</v>
      </c>
      <c r="AT206" s="35">
        <v>21</v>
      </c>
      <c r="AU206" s="35">
        <v>19</v>
      </c>
      <c r="AV206" s="35">
        <v>20.399999999999999</v>
      </c>
      <c r="AW206" s="35">
        <v>19</v>
      </c>
      <c r="AX206" s="35">
        <v>20.6</v>
      </c>
      <c r="AY206" s="35">
        <v>20</v>
      </c>
      <c r="AZ206" s="35">
        <v>20.8</v>
      </c>
      <c r="BA206" s="35">
        <v>20</v>
      </c>
      <c r="BB206" s="35">
        <v>32.799999999999997</v>
      </c>
      <c r="BC206" s="35">
        <v>40</v>
      </c>
      <c r="BD206" s="35">
        <v>31.6</v>
      </c>
      <c r="BE206" s="35">
        <v>40</v>
      </c>
      <c r="BF206" s="35">
        <v>21.7</v>
      </c>
      <c r="BG206" s="35">
        <v>20</v>
      </c>
    </row>
    <row r="207" spans="1:59" x14ac:dyDescent="0.35">
      <c r="A207" s="36">
        <v>46059.592361111114</v>
      </c>
      <c r="B207" s="35">
        <v>3</v>
      </c>
      <c r="C207" s="35">
        <v>2</v>
      </c>
      <c r="D207" s="35">
        <v>5.8</v>
      </c>
      <c r="E207" s="35">
        <v>2.2000000000000002</v>
      </c>
      <c r="F207" s="35">
        <v>3.9</v>
      </c>
      <c r="G207" s="35">
        <v>2</v>
      </c>
      <c r="H207" s="35">
        <v>3.5</v>
      </c>
      <c r="I207" s="35">
        <v>2</v>
      </c>
      <c r="J207" s="35">
        <v>2</v>
      </c>
      <c r="K207" s="35">
        <v>2</v>
      </c>
      <c r="L207" s="35">
        <v>2.4</v>
      </c>
      <c r="M207" s="35">
        <v>2</v>
      </c>
      <c r="N207" s="35">
        <v>2.2999999999999998</v>
      </c>
      <c r="O207" s="35">
        <v>3</v>
      </c>
      <c r="P207" s="35">
        <v>2.7</v>
      </c>
      <c r="Q207" s="35">
        <v>2</v>
      </c>
      <c r="R207" s="35">
        <v>3.2</v>
      </c>
      <c r="S207" s="35">
        <v>2</v>
      </c>
      <c r="T207" s="35">
        <v>2.8</v>
      </c>
      <c r="U207" s="35">
        <v>2</v>
      </c>
      <c r="V207" s="35">
        <v>9.6999999999999993</v>
      </c>
      <c r="W207" s="35">
        <v>9</v>
      </c>
      <c r="X207" s="35">
        <v>9.1</v>
      </c>
      <c r="Y207" s="35">
        <v>9</v>
      </c>
      <c r="Z207" s="35">
        <v>8.8000000000000007</v>
      </c>
      <c r="AA207" s="35">
        <v>9</v>
      </c>
      <c r="AB207" s="35">
        <v>11</v>
      </c>
      <c r="AC207" s="35">
        <v>9</v>
      </c>
      <c r="AD207" s="35">
        <v>19.5</v>
      </c>
      <c r="AE207" s="35">
        <v>19</v>
      </c>
      <c r="AF207" s="35">
        <v>18.8</v>
      </c>
      <c r="AG207" s="35">
        <v>19</v>
      </c>
      <c r="AH207" s="35">
        <v>20.6</v>
      </c>
      <c r="AI207" s="35">
        <v>19</v>
      </c>
      <c r="AJ207" s="35">
        <v>19.3</v>
      </c>
      <c r="AK207" s="35">
        <v>19</v>
      </c>
      <c r="AL207" s="35">
        <v>20.5</v>
      </c>
      <c r="AM207" s="35">
        <v>19</v>
      </c>
      <c r="AN207" s="35">
        <v>19.2</v>
      </c>
      <c r="AO207" s="35">
        <v>19</v>
      </c>
      <c r="AP207" s="35">
        <v>20.8</v>
      </c>
      <c r="AQ207" s="35">
        <v>19</v>
      </c>
      <c r="AR207" s="35">
        <v>20.7</v>
      </c>
      <c r="AS207" s="35">
        <v>19</v>
      </c>
      <c r="AT207" s="35">
        <v>20.9</v>
      </c>
      <c r="AU207" s="35">
        <v>19</v>
      </c>
      <c r="AV207" s="35">
        <v>20.5</v>
      </c>
      <c r="AW207" s="35">
        <v>19</v>
      </c>
      <c r="AX207" s="35">
        <v>20.6</v>
      </c>
      <c r="AY207" s="35">
        <v>20</v>
      </c>
      <c r="AZ207" s="35">
        <v>20.8</v>
      </c>
      <c r="BA207" s="35">
        <v>20</v>
      </c>
      <c r="BB207" s="35">
        <v>32.799999999999997</v>
      </c>
      <c r="BC207" s="35">
        <v>40</v>
      </c>
      <c r="BD207" s="35">
        <v>31.6</v>
      </c>
      <c r="BE207" s="35">
        <v>40</v>
      </c>
      <c r="BF207" s="35">
        <v>21.7</v>
      </c>
      <c r="BG207" s="35">
        <v>20</v>
      </c>
    </row>
    <row r="208" spans="1:59" x14ac:dyDescent="0.35">
      <c r="A208" s="36">
        <v>46059.593055555553</v>
      </c>
      <c r="B208" s="35">
        <v>3</v>
      </c>
      <c r="C208" s="35">
        <v>2</v>
      </c>
      <c r="D208" s="35">
        <v>6.2</v>
      </c>
      <c r="E208" s="35">
        <v>2.2000000000000002</v>
      </c>
      <c r="F208" s="35">
        <v>3.9</v>
      </c>
      <c r="G208" s="35">
        <v>2</v>
      </c>
      <c r="H208" s="35">
        <v>3.5</v>
      </c>
      <c r="I208" s="35">
        <v>2</v>
      </c>
      <c r="J208" s="35">
        <v>2.2000000000000002</v>
      </c>
      <c r="K208" s="35">
        <v>2</v>
      </c>
      <c r="L208" s="35">
        <v>2.7</v>
      </c>
      <c r="M208" s="35">
        <v>2</v>
      </c>
      <c r="N208" s="35">
        <v>1</v>
      </c>
      <c r="O208" s="35">
        <v>3</v>
      </c>
      <c r="P208" s="35">
        <v>1.8</v>
      </c>
      <c r="Q208" s="35">
        <v>2</v>
      </c>
      <c r="R208" s="35">
        <v>3.4</v>
      </c>
      <c r="S208" s="35">
        <v>2</v>
      </c>
      <c r="T208" s="35">
        <v>2.9</v>
      </c>
      <c r="U208" s="35">
        <v>2</v>
      </c>
      <c r="V208" s="35">
        <v>10.3</v>
      </c>
      <c r="W208" s="35">
        <v>9</v>
      </c>
      <c r="X208" s="35">
        <v>9.4</v>
      </c>
      <c r="Y208" s="35">
        <v>9</v>
      </c>
      <c r="Z208" s="35">
        <v>9</v>
      </c>
      <c r="AA208" s="35">
        <v>9</v>
      </c>
      <c r="AB208" s="35">
        <v>10.9</v>
      </c>
      <c r="AC208" s="35">
        <v>9</v>
      </c>
      <c r="AD208" s="35">
        <v>19.600000000000001</v>
      </c>
      <c r="AE208" s="35">
        <v>19</v>
      </c>
      <c r="AF208" s="35">
        <v>18.899999999999999</v>
      </c>
      <c r="AG208" s="35">
        <v>19</v>
      </c>
      <c r="AH208" s="35">
        <v>20.6</v>
      </c>
      <c r="AI208" s="35">
        <v>19</v>
      </c>
      <c r="AJ208" s="35">
        <v>19.399999999999999</v>
      </c>
      <c r="AK208" s="35">
        <v>19</v>
      </c>
      <c r="AL208" s="35">
        <v>20.7</v>
      </c>
      <c r="AM208" s="35">
        <v>19</v>
      </c>
      <c r="AN208" s="35">
        <v>19.399999999999999</v>
      </c>
      <c r="AO208" s="35">
        <v>19</v>
      </c>
      <c r="AP208" s="35">
        <v>20.8</v>
      </c>
      <c r="AQ208" s="35">
        <v>19</v>
      </c>
      <c r="AR208" s="35">
        <v>20.7</v>
      </c>
      <c r="AS208" s="35">
        <v>19</v>
      </c>
      <c r="AT208" s="35">
        <v>19.7</v>
      </c>
      <c r="AU208" s="35">
        <v>19</v>
      </c>
      <c r="AV208" s="35">
        <v>20.5</v>
      </c>
      <c r="AW208" s="35">
        <v>19</v>
      </c>
      <c r="AX208" s="35">
        <v>20.6</v>
      </c>
      <c r="AY208" s="35">
        <v>20</v>
      </c>
      <c r="AZ208" s="35">
        <v>20.8</v>
      </c>
      <c r="BA208" s="35">
        <v>20</v>
      </c>
      <c r="BB208" s="35">
        <v>32.799999999999997</v>
      </c>
      <c r="BC208" s="35">
        <v>40</v>
      </c>
      <c r="BD208" s="35">
        <v>31.6</v>
      </c>
      <c r="BE208" s="35">
        <v>40</v>
      </c>
      <c r="BF208" s="35">
        <v>21.7</v>
      </c>
      <c r="BG208" s="35">
        <v>20</v>
      </c>
    </row>
    <row r="209" spans="1:59" x14ac:dyDescent="0.35">
      <c r="A209" s="36">
        <v>46059.59375</v>
      </c>
      <c r="B209" s="35">
        <v>3</v>
      </c>
      <c r="C209" s="35">
        <v>2</v>
      </c>
      <c r="D209" s="35">
        <v>6.5</v>
      </c>
      <c r="E209" s="35">
        <v>2.2000000000000002</v>
      </c>
      <c r="F209" s="35">
        <v>3.9</v>
      </c>
      <c r="G209" s="35">
        <v>2</v>
      </c>
      <c r="H209" s="35">
        <v>3.2</v>
      </c>
      <c r="I209" s="35">
        <v>2</v>
      </c>
      <c r="J209" s="35">
        <v>2.4</v>
      </c>
      <c r="K209" s="35">
        <v>2</v>
      </c>
      <c r="L209" s="35">
        <v>3.1</v>
      </c>
      <c r="M209" s="35">
        <v>2</v>
      </c>
      <c r="N209" s="35">
        <v>0.9</v>
      </c>
      <c r="O209" s="35">
        <v>3</v>
      </c>
      <c r="P209" s="35">
        <v>1.8</v>
      </c>
      <c r="Q209" s="35">
        <v>2</v>
      </c>
      <c r="R209" s="35">
        <v>3.5</v>
      </c>
      <c r="S209" s="35">
        <v>2</v>
      </c>
      <c r="T209" s="35">
        <v>3.1</v>
      </c>
      <c r="U209" s="35">
        <v>2</v>
      </c>
      <c r="V209" s="35">
        <v>10.7</v>
      </c>
      <c r="W209" s="35">
        <v>9</v>
      </c>
      <c r="X209" s="35">
        <v>9.5</v>
      </c>
      <c r="Y209" s="35">
        <v>9</v>
      </c>
      <c r="Z209" s="35">
        <v>9.4</v>
      </c>
      <c r="AA209" s="35">
        <v>9</v>
      </c>
      <c r="AB209" s="35">
        <v>10.199999999999999</v>
      </c>
      <c r="AC209" s="35">
        <v>9</v>
      </c>
      <c r="AD209" s="35">
        <v>19.7</v>
      </c>
      <c r="AE209" s="35">
        <v>19</v>
      </c>
      <c r="AF209" s="35">
        <v>19</v>
      </c>
      <c r="AG209" s="35">
        <v>19</v>
      </c>
      <c r="AH209" s="35">
        <v>20.7</v>
      </c>
      <c r="AI209" s="35">
        <v>19</v>
      </c>
      <c r="AJ209" s="35">
        <v>19.5</v>
      </c>
      <c r="AK209" s="35">
        <v>19</v>
      </c>
      <c r="AL209" s="35">
        <v>20.8</v>
      </c>
      <c r="AM209" s="35">
        <v>19</v>
      </c>
      <c r="AN209" s="35">
        <v>19.600000000000001</v>
      </c>
      <c r="AO209" s="35">
        <v>19</v>
      </c>
      <c r="AP209" s="35">
        <v>20.8</v>
      </c>
      <c r="AQ209" s="35">
        <v>19</v>
      </c>
      <c r="AR209" s="35">
        <v>20.7</v>
      </c>
      <c r="AS209" s="35">
        <v>19</v>
      </c>
      <c r="AT209" s="35">
        <v>18.3</v>
      </c>
      <c r="AU209" s="35">
        <v>19</v>
      </c>
      <c r="AV209" s="35">
        <v>20.6</v>
      </c>
      <c r="AW209" s="35">
        <v>19</v>
      </c>
      <c r="AX209" s="35">
        <v>20.6</v>
      </c>
      <c r="AY209" s="35">
        <v>20</v>
      </c>
      <c r="AZ209" s="35">
        <v>20.9</v>
      </c>
      <c r="BA209" s="35">
        <v>20</v>
      </c>
      <c r="BB209" s="35">
        <v>32.799999999999997</v>
      </c>
      <c r="BC209" s="35">
        <v>40</v>
      </c>
      <c r="BD209" s="35">
        <v>31.6</v>
      </c>
      <c r="BE209" s="35">
        <v>40</v>
      </c>
      <c r="BF209" s="35">
        <v>21.8</v>
      </c>
      <c r="BG209" s="35">
        <v>20</v>
      </c>
    </row>
    <row r="210" spans="1:59" x14ac:dyDescent="0.35">
      <c r="A210" s="36">
        <v>46059.594444444447</v>
      </c>
      <c r="B210" s="35">
        <v>3</v>
      </c>
      <c r="C210" s="35">
        <v>2</v>
      </c>
      <c r="D210" s="35">
        <v>6.9</v>
      </c>
      <c r="E210" s="35">
        <v>2.2000000000000002</v>
      </c>
      <c r="F210" s="35">
        <v>3.9</v>
      </c>
      <c r="G210" s="35">
        <v>2</v>
      </c>
      <c r="H210" s="35">
        <v>3.2</v>
      </c>
      <c r="I210" s="35">
        <v>2</v>
      </c>
      <c r="J210" s="35">
        <v>2.5</v>
      </c>
      <c r="K210" s="35">
        <v>2</v>
      </c>
      <c r="L210" s="35">
        <v>3.3</v>
      </c>
      <c r="M210" s="35">
        <v>2</v>
      </c>
      <c r="N210" s="35">
        <v>1.1000000000000001</v>
      </c>
      <c r="O210" s="35">
        <v>3</v>
      </c>
      <c r="P210" s="35">
        <v>1.8</v>
      </c>
      <c r="Q210" s="35">
        <v>2</v>
      </c>
      <c r="R210" s="35">
        <v>3.7</v>
      </c>
      <c r="S210" s="35">
        <v>2</v>
      </c>
      <c r="T210" s="35">
        <v>3.2</v>
      </c>
      <c r="U210" s="35">
        <v>2</v>
      </c>
      <c r="V210" s="35">
        <v>10.9</v>
      </c>
      <c r="W210" s="35">
        <v>9</v>
      </c>
      <c r="X210" s="35">
        <v>9.6999999999999993</v>
      </c>
      <c r="Y210" s="35">
        <v>9</v>
      </c>
      <c r="Z210" s="35">
        <v>9.8000000000000007</v>
      </c>
      <c r="AA210" s="35">
        <v>9</v>
      </c>
      <c r="AB210" s="35">
        <v>9.1</v>
      </c>
      <c r="AC210" s="35">
        <v>9</v>
      </c>
      <c r="AD210" s="35">
        <v>19.7</v>
      </c>
      <c r="AE210" s="35">
        <v>19</v>
      </c>
      <c r="AF210" s="35">
        <v>19.100000000000001</v>
      </c>
      <c r="AG210" s="35">
        <v>19</v>
      </c>
      <c r="AH210" s="35">
        <v>20.7</v>
      </c>
      <c r="AI210" s="35">
        <v>19</v>
      </c>
      <c r="AJ210" s="35">
        <v>19.600000000000001</v>
      </c>
      <c r="AK210" s="35">
        <v>19</v>
      </c>
      <c r="AL210" s="35">
        <v>21</v>
      </c>
      <c r="AM210" s="35">
        <v>19</v>
      </c>
      <c r="AN210" s="35">
        <v>19.8</v>
      </c>
      <c r="AO210" s="35">
        <v>19</v>
      </c>
      <c r="AP210" s="35">
        <v>20.9</v>
      </c>
      <c r="AQ210" s="35">
        <v>19</v>
      </c>
      <c r="AR210" s="35">
        <v>20.7</v>
      </c>
      <c r="AS210" s="35">
        <v>19</v>
      </c>
      <c r="AT210" s="35">
        <v>18.100000000000001</v>
      </c>
      <c r="AU210" s="35">
        <v>19</v>
      </c>
      <c r="AV210" s="35">
        <v>20.6</v>
      </c>
      <c r="AW210" s="35">
        <v>19</v>
      </c>
      <c r="AX210" s="35">
        <v>20.6</v>
      </c>
      <c r="AY210" s="35">
        <v>20</v>
      </c>
      <c r="AZ210" s="35">
        <v>20.9</v>
      </c>
      <c r="BA210" s="35">
        <v>20</v>
      </c>
      <c r="BB210" s="35">
        <v>32.799999999999997</v>
      </c>
      <c r="BC210" s="35">
        <v>40</v>
      </c>
      <c r="BD210" s="35">
        <v>31.6</v>
      </c>
      <c r="BE210" s="35">
        <v>40</v>
      </c>
      <c r="BF210" s="35">
        <v>21.8</v>
      </c>
      <c r="BG210" s="35">
        <v>20</v>
      </c>
    </row>
    <row r="211" spans="1:59" x14ac:dyDescent="0.35">
      <c r="A211" s="36">
        <v>46059.595138888886</v>
      </c>
      <c r="B211" s="35">
        <v>3</v>
      </c>
      <c r="C211" s="35">
        <v>2</v>
      </c>
      <c r="D211" s="35">
        <v>7.2</v>
      </c>
      <c r="E211" s="35">
        <v>2.2000000000000002</v>
      </c>
      <c r="F211" s="35">
        <v>4</v>
      </c>
      <c r="G211" s="35">
        <v>2</v>
      </c>
      <c r="H211" s="35">
        <v>3.2</v>
      </c>
      <c r="I211" s="35">
        <v>2</v>
      </c>
      <c r="J211" s="35">
        <v>2.7</v>
      </c>
      <c r="K211" s="35">
        <v>2</v>
      </c>
      <c r="L211" s="35">
        <v>3.5</v>
      </c>
      <c r="M211" s="35">
        <v>2</v>
      </c>
      <c r="N211" s="35">
        <v>1.5</v>
      </c>
      <c r="O211" s="35">
        <v>3</v>
      </c>
      <c r="P211" s="35">
        <v>2.1</v>
      </c>
      <c r="Q211" s="35">
        <v>2</v>
      </c>
      <c r="R211" s="35">
        <v>3.8</v>
      </c>
      <c r="S211" s="35">
        <v>2</v>
      </c>
      <c r="T211" s="35">
        <v>3.4</v>
      </c>
      <c r="U211" s="35">
        <v>2</v>
      </c>
      <c r="V211" s="35">
        <v>8.6999999999999993</v>
      </c>
      <c r="W211" s="35">
        <v>9</v>
      </c>
      <c r="X211" s="35">
        <v>9.9</v>
      </c>
      <c r="Y211" s="35">
        <v>9</v>
      </c>
      <c r="Z211" s="35">
        <v>10.199999999999999</v>
      </c>
      <c r="AA211" s="35">
        <v>9</v>
      </c>
      <c r="AB211" s="35">
        <v>8.6</v>
      </c>
      <c r="AC211" s="35">
        <v>9</v>
      </c>
      <c r="AD211" s="35">
        <v>19.8</v>
      </c>
      <c r="AE211" s="35">
        <v>19</v>
      </c>
      <c r="AF211" s="35">
        <v>19.100000000000001</v>
      </c>
      <c r="AG211" s="35">
        <v>19</v>
      </c>
      <c r="AH211" s="35">
        <v>20.8</v>
      </c>
      <c r="AI211" s="35">
        <v>19</v>
      </c>
      <c r="AJ211" s="35">
        <v>19.7</v>
      </c>
      <c r="AK211" s="35">
        <v>19</v>
      </c>
      <c r="AL211" s="35">
        <v>21</v>
      </c>
      <c r="AM211" s="35">
        <v>19</v>
      </c>
      <c r="AN211" s="35">
        <v>19.899999999999999</v>
      </c>
      <c r="AO211" s="35">
        <v>19</v>
      </c>
      <c r="AP211" s="35">
        <v>20.9</v>
      </c>
      <c r="AQ211" s="35">
        <v>19</v>
      </c>
      <c r="AR211" s="35">
        <v>20.7</v>
      </c>
      <c r="AS211" s="35">
        <v>19</v>
      </c>
      <c r="AT211" s="35">
        <v>18.2</v>
      </c>
      <c r="AU211" s="35">
        <v>19</v>
      </c>
      <c r="AV211" s="35">
        <v>20.7</v>
      </c>
      <c r="AW211" s="35">
        <v>19</v>
      </c>
      <c r="AX211" s="35">
        <v>20.7</v>
      </c>
      <c r="AY211" s="35">
        <v>20</v>
      </c>
      <c r="AZ211" s="35">
        <v>20.9</v>
      </c>
      <c r="BA211" s="35">
        <v>20</v>
      </c>
      <c r="BB211" s="35">
        <v>32.9</v>
      </c>
      <c r="BC211" s="35">
        <v>40</v>
      </c>
      <c r="BD211" s="35">
        <v>31.6</v>
      </c>
      <c r="BE211" s="35">
        <v>40</v>
      </c>
      <c r="BF211" s="35">
        <v>21.8</v>
      </c>
      <c r="BG211" s="35">
        <v>20</v>
      </c>
    </row>
    <row r="212" spans="1:59" x14ac:dyDescent="0.35">
      <c r="A212" s="36">
        <v>46059.59652777778</v>
      </c>
      <c r="B212" s="35">
        <v>3</v>
      </c>
      <c r="C212" s="35">
        <v>2</v>
      </c>
      <c r="D212" s="35">
        <v>8</v>
      </c>
      <c r="E212" s="35">
        <v>2.2000000000000002</v>
      </c>
      <c r="F212" s="35">
        <v>1.8</v>
      </c>
      <c r="G212" s="35">
        <v>2</v>
      </c>
      <c r="H212" s="35">
        <v>1.9</v>
      </c>
      <c r="I212" s="35">
        <v>2</v>
      </c>
      <c r="J212" s="35">
        <v>3.1</v>
      </c>
      <c r="K212" s="35">
        <v>2</v>
      </c>
      <c r="L212" s="35">
        <v>3.9</v>
      </c>
      <c r="M212" s="35">
        <v>2</v>
      </c>
      <c r="N212" s="35">
        <v>2.2000000000000002</v>
      </c>
      <c r="O212" s="35">
        <v>3</v>
      </c>
      <c r="P212" s="35">
        <v>2.7</v>
      </c>
      <c r="Q212" s="35">
        <v>2</v>
      </c>
      <c r="R212" s="35">
        <v>3.4</v>
      </c>
      <c r="S212" s="35">
        <v>2</v>
      </c>
      <c r="T212" s="35">
        <v>2.7</v>
      </c>
      <c r="U212" s="35">
        <v>2</v>
      </c>
      <c r="V212" s="35">
        <v>7.8</v>
      </c>
      <c r="W212" s="35">
        <v>9</v>
      </c>
      <c r="X212" s="35">
        <v>10.1</v>
      </c>
      <c r="Y212" s="35">
        <v>9</v>
      </c>
      <c r="Z212" s="35">
        <v>10.7</v>
      </c>
      <c r="AA212" s="35">
        <v>9</v>
      </c>
      <c r="AB212" s="35">
        <v>9.8000000000000007</v>
      </c>
      <c r="AC212" s="35">
        <v>9</v>
      </c>
      <c r="AD212" s="35">
        <v>20</v>
      </c>
      <c r="AE212" s="35">
        <v>19</v>
      </c>
      <c r="AF212" s="35">
        <v>19.3</v>
      </c>
      <c r="AG212" s="35">
        <v>19</v>
      </c>
      <c r="AH212" s="35">
        <v>20.9</v>
      </c>
      <c r="AI212" s="35">
        <v>19</v>
      </c>
      <c r="AJ212" s="35">
        <v>19.899999999999999</v>
      </c>
      <c r="AK212" s="35">
        <v>19</v>
      </c>
      <c r="AL212" s="35">
        <v>20.399999999999999</v>
      </c>
      <c r="AM212" s="35">
        <v>19</v>
      </c>
      <c r="AN212" s="35">
        <v>20.100000000000001</v>
      </c>
      <c r="AO212" s="35">
        <v>19</v>
      </c>
      <c r="AP212" s="35">
        <v>20.9</v>
      </c>
      <c r="AQ212" s="35">
        <v>19</v>
      </c>
      <c r="AR212" s="35">
        <v>20.7</v>
      </c>
      <c r="AS212" s="35">
        <v>19</v>
      </c>
      <c r="AT212" s="35">
        <v>18.7</v>
      </c>
      <c r="AU212" s="35">
        <v>19</v>
      </c>
      <c r="AV212" s="35">
        <v>20.8</v>
      </c>
      <c r="AW212" s="35">
        <v>19</v>
      </c>
      <c r="AX212" s="35">
        <v>20.7</v>
      </c>
      <c r="AY212" s="35">
        <v>20</v>
      </c>
      <c r="AZ212" s="35">
        <v>20.9</v>
      </c>
      <c r="BA212" s="35">
        <v>20</v>
      </c>
      <c r="BB212" s="35">
        <v>32.9</v>
      </c>
      <c r="BC212" s="35">
        <v>40</v>
      </c>
      <c r="BD212" s="35">
        <v>31.7</v>
      </c>
      <c r="BE212" s="35">
        <v>40</v>
      </c>
      <c r="BF212" s="35">
        <v>21.8</v>
      </c>
      <c r="BG212" s="35">
        <v>20</v>
      </c>
    </row>
    <row r="213" spans="1:59" x14ac:dyDescent="0.35">
      <c r="A213" s="36">
        <v>46059.597222222219</v>
      </c>
      <c r="B213" s="35">
        <v>3</v>
      </c>
      <c r="C213" s="35">
        <v>2</v>
      </c>
      <c r="D213" s="35">
        <v>8.4</v>
      </c>
      <c r="E213" s="35">
        <v>2.2000000000000002</v>
      </c>
      <c r="F213" s="35">
        <v>1.9</v>
      </c>
      <c r="G213" s="35">
        <v>2</v>
      </c>
      <c r="H213" s="35">
        <v>2.1</v>
      </c>
      <c r="I213" s="35">
        <v>2</v>
      </c>
      <c r="J213" s="35">
        <v>3.2</v>
      </c>
      <c r="K213" s="35">
        <v>2</v>
      </c>
      <c r="L213" s="35">
        <v>3.5</v>
      </c>
      <c r="M213" s="35">
        <v>2</v>
      </c>
      <c r="N213" s="35">
        <v>2.5</v>
      </c>
      <c r="O213" s="35">
        <v>3</v>
      </c>
      <c r="P213" s="35">
        <v>2.9</v>
      </c>
      <c r="Q213" s="35">
        <v>2</v>
      </c>
      <c r="R213" s="35">
        <v>2.4</v>
      </c>
      <c r="S213" s="35">
        <v>2</v>
      </c>
      <c r="T213" s="35">
        <v>1.5</v>
      </c>
      <c r="U213" s="35">
        <v>2</v>
      </c>
      <c r="V213" s="35">
        <v>8.6</v>
      </c>
      <c r="W213" s="35">
        <v>9</v>
      </c>
      <c r="X213" s="35">
        <v>10.199999999999999</v>
      </c>
      <c r="Y213" s="35">
        <v>9</v>
      </c>
      <c r="Z213" s="35">
        <v>10.8</v>
      </c>
      <c r="AA213" s="35">
        <v>9</v>
      </c>
      <c r="AB213" s="35">
        <v>10.3</v>
      </c>
      <c r="AC213" s="35">
        <v>9</v>
      </c>
      <c r="AD213" s="35">
        <v>20</v>
      </c>
      <c r="AE213" s="35">
        <v>19</v>
      </c>
      <c r="AF213" s="35">
        <v>19.399999999999999</v>
      </c>
      <c r="AG213" s="35">
        <v>19</v>
      </c>
      <c r="AH213" s="35">
        <v>20.9</v>
      </c>
      <c r="AI213" s="35">
        <v>19</v>
      </c>
      <c r="AJ213" s="35">
        <v>20</v>
      </c>
      <c r="AK213" s="35">
        <v>19</v>
      </c>
      <c r="AL213" s="35">
        <v>20.100000000000001</v>
      </c>
      <c r="AM213" s="35">
        <v>19</v>
      </c>
      <c r="AN213" s="35">
        <v>20.2</v>
      </c>
      <c r="AO213" s="35">
        <v>19</v>
      </c>
      <c r="AP213" s="35">
        <v>20.9</v>
      </c>
      <c r="AQ213" s="35">
        <v>19</v>
      </c>
      <c r="AR213" s="35">
        <v>20.7</v>
      </c>
      <c r="AS213" s="35">
        <v>19</v>
      </c>
      <c r="AT213" s="35">
        <v>18.8</v>
      </c>
      <c r="AU213" s="35">
        <v>19</v>
      </c>
      <c r="AV213" s="35">
        <v>20.8</v>
      </c>
      <c r="AW213" s="35">
        <v>19</v>
      </c>
      <c r="AX213" s="35">
        <v>20.7</v>
      </c>
      <c r="AY213" s="35">
        <v>20</v>
      </c>
      <c r="AZ213" s="35">
        <v>20.9</v>
      </c>
      <c r="BA213" s="35">
        <v>20</v>
      </c>
      <c r="BB213" s="35">
        <v>32.9</v>
      </c>
      <c r="BC213" s="35">
        <v>40</v>
      </c>
      <c r="BD213" s="35">
        <v>31.7</v>
      </c>
      <c r="BE213" s="35">
        <v>40</v>
      </c>
      <c r="BF213" s="35">
        <v>21.8</v>
      </c>
      <c r="BG213" s="35">
        <v>20</v>
      </c>
    </row>
    <row r="214" spans="1:59" x14ac:dyDescent="0.35">
      <c r="A214" s="36">
        <v>46059.597916666666</v>
      </c>
      <c r="B214" s="35">
        <v>3</v>
      </c>
      <c r="C214" s="35">
        <v>2</v>
      </c>
      <c r="D214" s="35">
        <v>8.8000000000000007</v>
      </c>
      <c r="E214" s="35">
        <v>2.2000000000000002</v>
      </c>
      <c r="F214" s="35">
        <v>2.2999999999999998</v>
      </c>
      <c r="G214" s="35">
        <v>2</v>
      </c>
      <c r="H214" s="35">
        <v>2.5</v>
      </c>
      <c r="I214" s="35">
        <v>2</v>
      </c>
      <c r="J214" s="35">
        <v>2.8</v>
      </c>
      <c r="K214" s="35">
        <v>2</v>
      </c>
      <c r="L214" s="35">
        <v>2.4</v>
      </c>
      <c r="M214" s="35">
        <v>2</v>
      </c>
      <c r="N214" s="35">
        <v>2.8</v>
      </c>
      <c r="O214" s="35">
        <v>3</v>
      </c>
      <c r="P214" s="35">
        <v>3.1</v>
      </c>
      <c r="Q214" s="35">
        <v>2</v>
      </c>
      <c r="R214" s="35">
        <v>1.6</v>
      </c>
      <c r="S214" s="35">
        <v>2</v>
      </c>
      <c r="T214" s="35">
        <v>0.9</v>
      </c>
      <c r="U214" s="35">
        <v>2</v>
      </c>
      <c r="V214" s="35">
        <v>9.3000000000000007</v>
      </c>
      <c r="W214" s="35">
        <v>9</v>
      </c>
      <c r="X214" s="35">
        <v>10.3</v>
      </c>
      <c r="Y214" s="35">
        <v>9</v>
      </c>
      <c r="Z214" s="35">
        <v>11</v>
      </c>
      <c r="AA214" s="35">
        <v>9</v>
      </c>
      <c r="AB214" s="35">
        <v>10.7</v>
      </c>
      <c r="AC214" s="35">
        <v>9</v>
      </c>
      <c r="AD214" s="35">
        <v>20.100000000000001</v>
      </c>
      <c r="AE214" s="35">
        <v>19</v>
      </c>
      <c r="AF214" s="35">
        <v>19.399999999999999</v>
      </c>
      <c r="AG214" s="35">
        <v>19</v>
      </c>
      <c r="AH214" s="35">
        <v>20.9</v>
      </c>
      <c r="AI214" s="35">
        <v>19</v>
      </c>
      <c r="AJ214" s="35">
        <v>20.100000000000001</v>
      </c>
      <c r="AK214" s="35">
        <v>19</v>
      </c>
      <c r="AL214" s="35">
        <v>19.899999999999999</v>
      </c>
      <c r="AM214" s="35">
        <v>19</v>
      </c>
      <c r="AN214" s="35">
        <v>20.3</v>
      </c>
      <c r="AO214" s="35">
        <v>19</v>
      </c>
      <c r="AP214" s="35">
        <v>20.9</v>
      </c>
      <c r="AQ214" s="35">
        <v>19</v>
      </c>
      <c r="AR214" s="35">
        <v>20.7</v>
      </c>
      <c r="AS214" s="35">
        <v>19</v>
      </c>
      <c r="AT214" s="35">
        <v>19</v>
      </c>
      <c r="AU214" s="35">
        <v>19</v>
      </c>
      <c r="AV214" s="35">
        <v>20.8</v>
      </c>
      <c r="AW214" s="35">
        <v>19</v>
      </c>
      <c r="AX214" s="35">
        <v>20.7</v>
      </c>
      <c r="AY214" s="35">
        <v>20</v>
      </c>
      <c r="AZ214" s="35">
        <v>20.9</v>
      </c>
      <c r="BA214" s="35">
        <v>20</v>
      </c>
      <c r="BB214" s="35">
        <v>32.9</v>
      </c>
      <c r="BC214" s="35">
        <v>40</v>
      </c>
      <c r="BD214" s="35">
        <v>31.7</v>
      </c>
      <c r="BE214" s="35">
        <v>40</v>
      </c>
      <c r="BF214" s="35">
        <v>21.8</v>
      </c>
      <c r="BG214" s="35">
        <v>20</v>
      </c>
    </row>
    <row r="215" spans="1:59" x14ac:dyDescent="0.35">
      <c r="A215" s="36">
        <v>46059.598611111112</v>
      </c>
      <c r="B215" s="35">
        <v>3</v>
      </c>
      <c r="C215" s="35">
        <v>2</v>
      </c>
      <c r="D215" s="35">
        <v>9.1</v>
      </c>
      <c r="E215" s="35">
        <v>2.2000000000000002</v>
      </c>
      <c r="F215" s="35">
        <v>2.7</v>
      </c>
      <c r="G215" s="35">
        <v>2</v>
      </c>
      <c r="H215" s="35">
        <v>2.9</v>
      </c>
      <c r="I215" s="35">
        <v>2</v>
      </c>
      <c r="J215" s="35">
        <v>2.4</v>
      </c>
      <c r="K215" s="35">
        <v>2</v>
      </c>
      <c r="L215" s="35">
        <v>2</v>
      </c>
      <c r="M215" s="35">
        <v>2</v>
      </c>
      <c r="N215" s="35">
        <v>3</v>
      </c>
      <c r="O215" s="35">
        <v>3</v>
      </c>
      <c r="P215" s="35">
        <v>3.3</v>
      </c>
      <c r="Q215" s="35">
        <v>2</v>
      </c>
      <c r="R215" s="35">
        <v>1.6</v>
      </c>
      <c r="S215" s="35">
        <v>2</v>
      </c>
      <c r="T215" s="35">
        <v>1</v>
      </c>
      <c r="U215" s="35">
        <v>2</v>
      </c>
      <c r="V215" s="35">
        <v>9.9</v>
      </c>
      <c r="W215" s="35">
        <v>9</v>
      </c>
      <c r="X215" s="35">
        <v>10.4</v>
      </c>
      <c r="Y215" s="35">
        <v>9</v>
      </c>
      <c r="Z215" s="35">
        <v>10.8</v>
      </c>
      <c r="AA215" s="35">
        <v>9</v>
      </c>
      <c r="AB215" s="35">
        <v>11</v>
      </c>
      <c r="AC215" s="35">
        <v>9</v>
      </c>
      <c r="AD215" s="35">
        <v>20.2</v>
      </c>
      <c r="AE215" s="35">
        <v>19</v>
      </c>
      <c r="AF215" s="35">
        <v>19.5</v>
      </c>
      <c r="AG215" s="35">
        <v>19</v>
      </c>
      <c r="AH215" s="35">
        <v>20.9</v>
      </c>
      <c r="AI215" s="35">
        <v>19</v>
      </c>
      <c r="AJ215" s="35">
        <v>20.2</v>
      </c>
      <c r="AK215" s="35">
        <v>19</v>
      </c>
      <c r="AL215" s="35">
        <v>19.7</v>
      </c>
      <c r="AM215" s="35">
        <v>19</v>
      </c>
      <c r="AN215" s="35">
        <v>20.399999999999999</v>
      </c>
      <c r="AO215" s="35">
        <v>19</v>
      </c>
      <c r="AP215" s="35">
        <v>20.9</v>
      </c>
      <c r="AQ215" s="35">
        <v>19</v>
      </c>
      <c r="AR215" s="35">
        <v>20.7</v>
      </c>
      <c r="AS215" s="35">
        <v>19</v>
      </c>
      <c r="AT215" s="35">
        <v>19.2</v>
      </c>
      <c r="AU215" s="35">
        <v>19</v>
      </c>
      <c r="AV215" s="35">
        <v>20.9</v>
      </c>
      <c r="AW215" s="35">
        <v>19</v>
      </c>
      <c r="AX215" s="35">
        <v>20.7</v>
      </c>
      <c r="AY215" s="35">
        <v>20</v>
      </c>
      <c r="AZ215" s="35">
        <v>20.9</v>
      </c>
      <c r="BA215" s="35">
        <v>20</v>
      </c>
      <c r="BB215" s="35">
        <v>32.9</v>
      </c>
      <c r="BC215" s="35">
        <v>40</v>
      </c>
      <c r="BD215" s="35">
        <v>31.7</v>
      </c>
      <c r="BE215" s="35">
        <v>40</v>
      </c>
      <c r="BF215" s="35">
        <v>21.9</v>
      </c>
      <c r="BG215" s="35">
        <v>20</v>
      </c>
    </row>
    <row r="216" spans="1:59" x14ac:dyDescent="0.35">
      <c r="A216" s="36">
        <v>46059.599305555559</v>
      </c>
      <c r="B216" s="35">
        <v>10.9</v>
      </c>
      <c r="C216" s="35">
        <v>2</v>
      </c>
      <c r="D216" s="35">
        <v>9.4</v>
      </c>
      <c r="E216" s="35">
        <v>2.2000000000000002</v>
      </c>
      <c r="F216" s="35">
        <v>3.1</v>
      </c>
      <c r="G216" s="35">
        <v>2</v>
      </c>
      <c r="H216" s="35">
        <v>3.3</v>
      </c>
      <c r="I216" s="35">
        <v>2</v>
      </c>
      <c r="J216" s="35">
        <v>2.4</v>
      </c>
      <c r="K216" s="35">
        <v>2</v>
      </c>
      <c r="L216" s="35">
        <v>2.1</v>
      </c>
      <c r="M216" s="35">
        <v>2</v>
      </c>
      <c r="N216" s="35">
        <v>3.2</v>
      </c>
      <c r="O216" s="35">
        <v>3</v>
      </c>
      <c r="P216" s="35">
        <v>3.5</v>
      </c>
      <c r="Q216" s="35">
        <v>2</v>
      </c>
      <c r="R216" s="35">
        <v>1.8</v>
      </c>
      <c r="S216" s="35">
        <v>2</v>
      </c>
      <c r="T216" s="35">
        <v>1.3</v>
      </c>
      <c r="U216" s="35">
        <v>2</v>
      </c>
      <c r="V216" s="35">
        <v>10.4</v>
      </c>
      <c r="W216" s="35">
        <v>9</v>
      </c>
      <c r="X216" s="35">
        <v>10.5</v>
      </c>
      <c r="Y216" s="35">
        <v>9</v>
      </c>
      <c r="Z216" s="35">
        <v>10.199999999999999</v>
      </c>
      <c r="AA216" s="35">
        <v>9</v>
      </c>
      <c r="AB216" s="35">
        <v>10.3</v>
      </c>
      <c r="AC216" s="35">
        <v>9</v>
      </c>
      <c r="AD216" s="35">
        <v>20.2</v>
      </c>
      <c r="AE216" s="35">
        <v>19</v>
      </c>
      <c r="AF216" s="35">
        <v>19.600000000000001</v>
      </c>
      <c r="AG216" s="35">
        <v>19</v>
      </c>
      <c r="AH216" s="35">
        <v>19.2</v>
      </c>
      <c r="AI216" s="35">
        <v>19</v>
      </c>
      <c r="AJ216" s="35">
        <v>20.3</v>
      </c>
      <c r="AK216" s="35">
        <v>19</v>
      </c>
      <c r="AL216" s="35">
        <v>19.5</v>
      </c>
      <c r="AM216" s="35">
        <v>19</v>
      </c>
      <c r="AN216" s="35">
        <v>20.399999999999999</v>
      </c>
      <c r="AO216" s="35">
        <v>19</v>
      </c>
      <c r="AP216" s="35">
        <v>20.9</v>
      </c>
      <c r="AQ216" s="35">
        <v>19</v>
      </c>
      <c r="AR216" s="35">
        <v>20.7</v>
      </c>
      <c r="AS216" s="35">
        <v>19</v>
      </c>
      <c r="AT216" s="35">
        <v>19.3</v>
      </c>
      <c r="AU216" s="35">
        <v>19</v>
      </c>
      <c r="AV216" s="35">
        <v>20.9</v>
      </c>
      <c r="AW216" s="35">
        <v>19</v>
      </c>
      <c r="AX216" s="35">
        <v>20.7</v>
      </c>
      <c r="AY216" s="35">
        <v>20</v>
      </c>
      <c r="AZ216" s="35">
        <v>20.9</v>
      </c>
      <c r="BA216" s="35">
        <v>20</v>
      </c>
      <c r="BB216" s="35">
        <v>32.9</v>
      </c>
      <c r="BC216" s="35">
        <v>40</v>
      </c>
      <c r="BD216" s="35">
        <v>31.7</v>
      </c>
      <c r="BE216" s="35">
        <v>40</v>
      </c>
      <c r="BF216" s="35">
        <v>21.9</v>
      </c>
      <c r="BG216" s="35">
        <v>20</v>
      </c>
    </row>
    <row r="217" spans="1:59" x14ac:dyDescent="0.35">
      <c r="A217" s="36">
        <v>46059.6</v>
      </c>
      <c r="B217" s="35">
        <v>10.3</v>
      </c>
      <c r="C217" s="35">
        <v>2</v>
      </c>
      <c r="D217" s="35">
        <v>9.4</v>
      </c>
      <c r="E217" s="35">
        <v>2.2000000000000002</v>
      </c>
      <c r="F217" s="35">
        <v>3.5</v>
      </c>
      <c r="G217" s="35">
        <v>2</v>
      </c>
      <c r="H217" s="35">
        <v>3.6</v>
      </c>
      <c r="I217" s="35">
        <v>2</v>
      </c>
      <c r="J217" s="35">
        <v>2.6</v>
      </c>
      <c r="K217" s="35">
        <v>2</v>
      </c>
      <c r="L217" s="35">
        <v>2.5</v>
      </c>
      <c r="M217" s="35">
        <v>2</v>
      </c>
      <c r="N217" s="35">
        <v>3.5</v>
      </c>
      <c r="O217" s="35">
        <v>3</v>
      </c>
      <c r="P217" s="35">
        <v>3.6</v>
      </c>
      <c r="Q217" s="35">
        <v>2</v>
      </c>
      <c r="R217" s="35">
        <v>2.1</v>
      </c>
      <c r="S217" s="35">
        <v>2</v>
      </c>
      <c r="T217" s="35">
        <v>1.7</v>
      </c>
      <c r="U217" s="35">
        <v>2</v>
      </c>
      <c r="V217" s="35">
        <v>10.8</v>
      </c>
      <c r="W217" s="35">
        <v>9</v>
      </c>
      <c r="X217" s="35">
        <v>10.6</v>
      </c>
      <c r="Y217" s="35">
        <v>9</v>
      </c>
      <c r="Z217" s="35">
        <v>9.5</v>
      </c>
      <c r="AA217" s="35">
        <v>9</v>
      </c>
      <c r="AB217" s="35">
        <v>9</v>
      </c>
      <c r="AC217" s="35">
        <v>9</v>
      </c>
      <c r="AD217" s="35">
        <v>20.3</v>
      </c>
      <c r="AE217" s="35">
        <v>19</v>
      </c>
      <c r="AF217" s="35">
        <v>19.600000000000001</v>
      </c>
      <c r="AG217" s="35">
        <v>19</v>
      </c>
      <c r="AH217" s="35">
        <v>18</v>
      </c>
      <c r="AI217" s="35">
        <v>19</v>
      </c>
      <c r="AJ217" s="35">
        <v>20.3</v>
      </c>
      <c r="AK217" s="35">
        <v>19</v>
      </c>
      <c r="AL217" s="35">
        <v>19.399999999999999</v>
      </c>
      <c r="AM217" s="35">
        <v>19</v>
      </c>
      <c r="AN217" s="35">
        <v>20.5</v>
      </c>
      <c r="AO217" s="35">
        <v>19</v>
      </c>
      <c r="AP217" s="35">
        <v>20.9</v>
      </c>
      <c r="AQ217" s="35">
        <v>19</v>
      </c>
      <c r="AR217" s="35">
        <v>20.7</v>
      </c>
      <c r="AS217" s="35">
        <v>19</v>
      </c>
      <c r="AT217" s="35">
        <v>19.5</v>
      </c>
      <c r="AU217" s="35">
        <v>19</v>
      </c>
      <c r="AV217" s="35">
        <v>20.9</v>
      </c>
      <c r="AW217" s="35">
        <v>19</v>
      </c>
      <c r="AX217" s="35">
        <v>20.7</v>
      </c>
      <c r="AY217" s="35">
        <v>20</v>
      </c>
      <c r="AZ217" s="35">
        <v>20.9</v>
      </c>
      <c r="BA217" s="35">
        <v>20</v>
      </c>
      <c r="BB217" s="35">
        <v>33</v>
      </c>
      <c r="BC217" s="35">
        <v>40</v>
      </c>
      <c r="BD217" s="35">
        <v>31.7</v>
      </c>
      <c r="BE217" s="35">
        <v>40</v>
      </c>
      <c r="BF217" s="35">
        <v>21.9</v>
      </c>
      <c r="BG217" s="35">
        <v>20</v>
      </c>
    </row>
    <row r="218" spans="1:59" x14ac:dyDescent="0.35">
      <c r="A218" s="36">
        <v>46059.600694444445</v>
      </c>
      <c r="B218" s="35">
        <v>9.6999999999999993</v>
      </c>
      <c r="C218" s="35">
        <v>2</v>
      </c>
      <c r="D218" s="35">
        <v>9.1999999999999993</v>
      </c>
      <c r="E218" s="35">
        <v>2.2000000000000002</v>
      </c>
      <c r="F218" s="35">
        <v>3.8</v>
      </c>
      <c r="G218" s="35">
        <v>2</v>
      </c>
      <c r="H218" s="35">
        <v>3.8</v>
      </c>
      <c r="I218" s="35">
        <v>2</v>
      </c>
      <c r="J218" s="35">
        <v>2.9</v>
      </c>
      <c r="K218" s="35">
        <v>2</v>
      </c>
      <c r="L218" s="35">
        <v>2.8</v>
      </c>
      <c r="M218" s="35">
        <v>2</v>
      </c>
      <c r="N218" s="35">
        <v>3.7</v>
      </c>
      <c r="O218" s="35">
        <v>3</v>
      </c>
      <c r="P218" s="35">
        <v>3.8</v>
      </c>
      <c r="Q218" s="35">
        <v>2</v>
      </c>
      <c r="R218" s="35">
        <v>2.4</v>
      </c>
      <c r="S218" s="35">
        <v>2</v>
      </c>
      <c r="T218" s="35">
        <v>2</v>
      </c>
      <c r="U218" s="35">
        <v>2</v>
      </c>
      <c r="V218" s="35">
        <v>11</v>
      </c>
      <c r="W218" s="35">
        <v>9</v>
      </c>
      <c r="X218" s="35">
        <v>10.7</v>
      </c>
      <c r="Y218" s="35">
        <v>9</v>
      </c>
      <c r="Z218" s="35">
        <v>9.1999999999999993</v>
      </c>
      <c r="AA218" s="35">
        <v>9</v>
      </c>
      <c r="AB218" s="35">
        <v>8.6</v>
      </c>
      <c r="AC218" s="35">
        <v>9</v>
      </c>
      <c r="AD218" s="35">
        <v>20.3</v>
      </c>
      <c r="AE218" s="35">
        <v>19</v>
      </c>
      <c r="AF218" s="35">
        <v>19.7</v>
      </c>
      <c r="AG218" s="35">
        <v>19</v>
      </c>
      <c r="AH218" s="35">
        <v>18</v>
      </c>
      <c r="AI218" s="35">
        <v>19</v>
      </c>
      <c r="AJ218" s="35">
        <v>20.399999999999999</v>
      </c>
      <c r="AK218" s="35">
        <v>19</v>
      </c>
      <c r="AL218" s="35">
        <v>19.2</v>
      </c>
      <c r="AM218" s="35">
        <v>19</v>
      </c>
      <c r="AN218" s="35">
        <v>20.6</v>
      </c>
      <c r="AO218" s="35">
        <v>19</v>
      </c>
      <c r="AP218" s="35">
        <v>20.9</v>
      </c>
      <c r="AQ218" s="35">
        <v>19</v>
      </c>
      <c r="AR218" s="35">
        <v>20.7</v>
      </c>
      <c r="AS218" s="35">
        <v>19</v>
      </c>
      <c r="AT218" s="35">
        <v>19.600000000000001</v>
      </c>
      <c r="AU218" s="35">
        <v>19</v>
      </c>
      <c r="AV218" s="35">
        <v>20.9</v>
      </c>
      <c r="AW218" s="35">
        <v>19</v>
      </c>
      <c r="AX218" s="35">
        <v>20.7</v>
      </c>
      <c r="AY218" s="35">
        <v>20</v>
      </c>
      <c r="AZ218" s="35">
        <v>20.9</v>
      </c>
      <c r="BA218" s="35">
        <v>20</v>
      </c>
      <c r="BB218" s="35">
        <v>33</v>
      </c>
      <c r="BC218" s="35">
        <v>40</v>
      </c>
      <c r="BD218" s="35">
        <v>31.7</v>
      </c>
      <c r="BE218" s="35">
        <v>40</v>
      </c>
      <c r="BF218" s="35">
        <v>21.9</v>
      </c>
      <c r="BG218" s="35">
        <v>20</v>
      </c>
    </row>
    <row r="219" spans="1:59" x14ac:dyDescent="0.35">
      <c r="A219" s="36">
        <v>46059.601388888892</v>
      </c>
      <c r="B219" s="35">
        <v>7.9</v>
      </c>
      <c r="C219" s="35">
        <v>2</v>
      </c>
      <c r="D219" s="35">
        <v>7.9</v>
      </c>
      <c r="E219" s="35">
        <v>2.2000000000000002</v>
      </c>
      <c r="F219" s="35">
        <v>3.8</v>
      </c>
      <c r="G219" s="35">
        <v>2</v>
      </c>
      <c r="H219" s="35">
        <v>3.7</v>
      </c>
      <c r="I219" s="35">
        <v>2</v>
      </c>
      <c r="J219" s="35">
        <v>3.1</v>
      </c>
      <c r="K219" s="35">
        <v>2</v>
      </c>
      <c r="L219" s="35">
        <v>3.2</v>
      </c>
      <c r="M219" s="35">
        <v>2</v>
      </c>
      <c r="N219" s="35">
        <v>3.9</v>
      </c>
      <c r="O219" s="35">
        <v>3</v>
      </c>
      <c r="P219" s="35">
        <v>3.9</v>
      </c>
      <c r="Q219" s="35">
        <v>2</v>
      </c>
      <c r="R219" s="35">
        <v>2.6</v>
      </c>
      <c r="S219" s="35">
        <v>2</v>
      </c>
      <c r="T219" s="35">
        <v>2.2999999999999998</v>
      </c>
      <c r="U219" s="35">
        <v>2</v>
      </c>
      <c r="V219" s="35">
        <v>8.1</v>
      </c>
      <c r="W219" s="35">
        <v>9</v>
      </c>
      <c r="X219" s="35">
        <v>10.8</v>
      </c>
      <c r="Y219" s="35">
        <v>9</v>
      </c>
      <c r="Z219" s="35">
        <v>9</v>
      </c>
      <c r="AA219" s="35">
        <v>9</v>
      </c>
      <c r="AB219" s="35">
        <v>9</v>
      </c>
      <c r="AC219" s="35">
        <v>9</v>
      </c>
      <c r="AD219" s="35">
        <v>20.399999999999999</v>
      </c>
      <c r="AE219" s="35">
        <v>19</v>
      </c>
      <c r="AF219" s="35">
        <v>19.8</v>
      </c>
      <c r="AG219" s="35">
        <v>19</v>
      </c>
      <c r="AH219" s="35">
        <v>18.3</v>
      </c>
      <c r="AI219" s="35">
        <v>19</v>
      </c>
      <c r="AJ219" s="35">
        <v>20.5</v>
      </c>
      <c r="AK219" s="35">
        <v>19</v>
      </c>
      <c r="AL219" s="35">
        <v>19.100000000000001</v>
      </c>
      <c r="AM219" s="35">
        <v>19</v>
      </c>
      <c r="AN219" s="35">
        <v>20.6</v>
      </c>
      <c r="AO219" s="35">
        <v>19</v>
      </c>
      <c r="AP219" s="35">
        <v>20.9</v>
      </c>
      <c r="AQ219" s="35">
        <v>19</v>
      </c>
      <c r="AR219" s="35">
        <v>20.7</v>
      </c>
      <c r="AS219" s="35">
        <v>19</v>
      </c>
      <c r="AT219" s="35">
        <v>19.7</v>
      </c>
      <c r="AU219" s="35">
        <v>19</v>
      </c>
      <c r="AV219" s="35">
        <v>19</v>
      </c>
      <c r="AW219" s="35">
        <v>19</v>
      </c>
      <c r="AX219" s="35">
        <v>20.7</v>
      </c>
      <c r="AY219" s="35">
        <v>20</v>
      </c>
      <c r="AZ219" s="35">
        <v>20.9</v>
      </c>
      <c r="BA219" s="35">
        <v>20</v>
      </c>
      <c r="BB219" s="35">
        <v>33</v>
      </c>
      <c r="BC219" s="35">
        <v>40</v>
      </c>
      <c r="BD219" s="35">
        <v>31.7</v>
      </c>
      <c r="BE219" s="35">
        <v>40</v>
      </c>
      <c r="BF219" s="35">
        <v>21.9</v>
      </c>
      <c r="BG219" s="35">
        <v>20</v>
      </c>
    </row>
    <row r="220" spans="1:59" x14ac:dyDescent="0.35">
      <c r="A220" s="36">
        <v>46059.602083333331</v>
      </c>
      <c r="B220" s="35">
        <v>6.5</v>
      </c>
      <c r="C220" s="35">
        <v>2</v>
      </c>
      <c r="D220" s="35">
        <v>6.3</v>
      </c>
      <c r="E220" s="35">
        <v>2.2000000000000002</v>
      </c>
      <c r="F220" s="35">
        <v>3.4</v>
      </c>
      <c r="G220" s="35">
        <v>2</v>
      </c>
      <c r="H220" s="35">
        <v>2.9</v>
      </c>
      <c r="I220" s="35">
        <v>2</v>
      </c>
      <c r="J220" s="35">
        <v>3.4</v>
      </c>
      <c r="K220" s="35">
        <v>2</v>
      </c>
      <c r="L220" s="35">
        <v>3.5</v>
      </c>
      <c r="M220" s="35">
        <v>2</v>
      </c>
      <c r="N220" s="35">
        <v>4</v>
      </c>
      <c r="O220" s="35">
        <v>3</v>
      </c>
      <c r="P220" s="35">
        <v>4</v>
      </c>
      <c r="Q220" s="35">
        <v>2</v>
      </c>
      <c r="R220" s="35">
        <v>2.8</v>
      </c>
      <c r="S220" s="35">
        <v>2</v>
      </c>
      <c r="T220" s="35">
        <v>2.5</v>
      </c>
      <c r="U220" s="35">
        <v>2</v>
      </c>
      <c r="V220" s="35">
        <v>7.4</v>
      </c>
      <c r="W220" s="35">
        <v>9</v>
      </c>
      <c r="X220" s="35">
        <v>10.9</v>
      </c>
      <c r="Y220" s="35">
        <v>9</v>
      </c>
      <c r="Z220" s="35">
        <v>9.1</v>
      </c>
      <c r="AA220" s="35">
        <v>9</v>
      </c>
      <c r="AB220" s="35">
        <v>9.8000000000000007</v>
      </c>
      <c r="AC220" s="35">
        <v>9</v>
      </c>
      <c r="AD220" s="35">
        <v>20.399999999999999</v>
      </c>
      <c r="AE220" s="35">
        <v>19</v>
      </c>
      <c r="AF220" s="35">
        <v>19.8</v>
      </c>
      <c r="AG220" s="35">
        <v>19</v>
      </c>
      <c r="AH220" s="35">
        <v>18.5</v>
      </c>
      <c r="AI220" s="35">
        <v>19</v>
      </c>
      <c r="AJ220" s="35">
        <v>20.5</v>
      </c>
      <c r="AK220" s="35">
        <v>19</v>
      </c>
      <c r="AL220" s="35">
        <v>19</v>
      </c>
      <c r="AM220" s="35">
        <v>19</v>
      </c>
      <c r="AN220" s="35">
        <v>20.7</v>
      </c>
      <c r="AO220" s="35">
        <v>19</v>
      </c>
      <c r="AP220" s="35">
        <v>20.9</v>
      </c>
      <c r="AQ220" s="35">
        <v>19</v>
      </c>
      <c r="AR220" s="35">
        <v>20.7</v>
      </c>
      <c r="AS220" s="35">
        <v>19</v>
      </c>
      <c r="AT220" s="35">
        <v>19.8</v>
      </c>
      <c r="AU220" s="35">
        <v>19</v>
      </c>
      <c r="AV220" s="35">
        <v>17.5</v>
      </c>
      <c r="AW220" s="35">
        <v>19</v>
      </c>
      <c r="AX220" s="35">
        <v>20.7</v>
      </c>
      <c r="AY220" s="35">
        <v>20</v>
      </c>
      <c r="AZ220" s="35">
        <v>20.9</v>
      </c>
      <c r="BA220" s="35">
        <v>20</v>
      </c>
      <c r="BB220" s="35">
        <v>33</v>
      </c>
      <c r="BC220" s="35">
        <v>40</v>
      </c>
      <c r="BD220" s="35">
        <v>31.8</v>
      </c>
      <c r="BE220" s="35">
        <v>40</v>
      </c>
      <c r="BF220" s="35">
        <v>21.9</v>
      </c>
      <c r="BG220" s="35">
        <v>20</v>
      </c>
    </row>
    <row r="221" spans="1:59" x14ac:dyDescent="0.35">
      <c r="A221" s="36">
        <v>46059.602777777778</v>
      </c>
      <c r="B221" s="35">
        <v>5.4</v>
      </c>
      <c r="C221" s="35">
        <v>2</v>
      </c>
      <c r="D221" s="35">
        <v>5.3</v>
      </c>
      <c r="E221" s="35">
        <v>2.2000000000000002</v>
      </c>
      <c r="F221" s="35">
        <v>3.4</v>
      </c>
      <c r="G221" s="35">
        <v>2</v>
      </c>
      <c r="H221" s="35">
        <v>3</v>
      </c>
      <c r="I221" s="35">
        <v>2</v>
      </c>
      <c r="J221" s="35">
        <v>3.6</v>
      </c>
      <c r="K221" s="35">
        <v>2</v>
      </c>
      <c r="L221" s="35">
        <v>3.8</v>
      </c>
      <c r="M221" s="35">
        <v>2</v>
      </c>
      <c r="N221" s="35">
        <v>3.1</v>
      </c>
      <c r="O221" s="35">
        <v>3</v>
      </c>
      <c r="P221" s="35">
        <v>3.3</v>
      </c>
      <c r="Q221" s="35">
        <v>2</v>
      </c>
      <c r="R221" s="35">
        <v>3</v>
      </c>
      <c r="S221" s="35">
        <v>2</v>
      </c>
      <c r="T221" s="35">
        <v>2.7</v>
      </c>
      <c r="U221" s="35">
        <v>2</v>
      </c>
      <c r="V221" s="35">
        <v>7.8</v>
      </c>
      <c r="W221" s="35">
        <v>9</v>
      </c>
      <c r="X221" s="35">
        <v>10.9</v>
      </c>
      <c r="Y221" s="35">
        <v>9</v>
      </c>
      <c r="Z221" s="35">
        <v>9.5</v>
      </c>
      <c r="AA221" s="35">
        <v>9</v>
      </c>
      <c r="AB221" s="35">
        <v>10.3</v>
      </c>
      <c r="AC221" s="35">
        <v>9</v>
      </c>
      <c r="AD221" s="35">
        <v>20.399999999999999</v>
      </c>
      <c r="AE221" s="35">
        <v>19</v>
      </c>
      <c r="AF221" s="35">
        <v>19.899999999999999</v>
      </c>
      <c r="AG221" s="35">
        <v>19</v>
      </c>
      <c r="AH221" s="35">
        <v>18.8</v>
      </c>
      <c r="AI221" s="35">
        <v>19</v>
      </c>
      <c r="AJ221" s="35">
        <v>20.6</v>
      </c>
      <c r="AK221" s="35">
        <v>19</v>
      </c>
      <c r="AL221" s="35">
        <v>19.2</v>
      </c>
      <c r="AM221" s="35">
        <v>19</v>
      </c>
      <c r="AN221" s="35">
        <v>20.7</v>
      </c>
      <c r="AO221" s="35">
        <v>19</v>
      </c>
      <c r="AP221" s="35">
        <v>20.9</v>
      </c>
      <c r="AQ221" s="35">
        <v>19</v>
      </c>
      <c r="AR221" s="35">
        <v>20.7</v>
      </c>
      <c r="AS221" s="35">
        <v>19</v>
      </c>
      <c r="AT221" s="35">
        <v>19.899999999999999</v>
      </c>
      <c r="AU221" s="35">
        <v>19</v>
      </c>
      <c r="AV221" s="35">
        <v>17.3</v>
      </c>
      <c r="AW221" s="35">
        <v>19</v>
      </c>
      <c r="AX221" s="35">
        <v>20.7</v>
      </c>
      <c r="AY221" s="35">
        <v>20</v>
      </c>
      <c r="AZ221" s="35">
        <v>20.8</v>
      </c>
      <c r="BA221" s="35">
        <v>20</v>
      </c>
      <c r="BB221" s="35">
        <v>33</v>
      </c>
      <c r="BC221" s="35">
        <v>40</v>
      </c>
      <c r="BD221" s="35">
        <v>31.8</v>
      </c>
      <c r="BE221" s="35">
        <v>40</v>
      </c>
      <c r="BF221" s="35">
        <v>21.9</v>
      </c>
      <c r="BG221" s="35">
        <v>20</v>
      </c>
    </row>
    <row r="222" spans="1:59" x14ac:dyDescent="0.35">
      <c r="A222" s="36">
        <v>46059.603472222225</v>
      </c>
      <c r="B222" s="35">
        <v>4.5</v>
      </c>
      <c r="C222" s="35">
        <v>2</v>
      </c>
      <c r="D222" s="35">
        <v>4.5999999999999996</v>
      </c>
      <c r="E222" s="35">
        <v>2.2000000000000002</v>
      </c>
      <c r="F222" s="35">
        <v>3.6</v>
      </c>
      <c r="G222" s="35">
        <v>2</v>
      </c>
      <c r="H222" s="35">
        <v>3.1</v>
      </c>
      <c r="I222" s="35">
        <v>2</v>
      </c>
      <c r="J222" s="35">
        <v>3.8</v>
      </c>
      <c r="K222" s="35">
        <v>2</v>
      </c>
      <c r="L222" s="35">
        <v>3.9</v>
      </c>
      <c r="M222" s="35">
        <v>2</v>
      </c>
      <c r="N222" s="35">
        <v>1.9</v>
      </c>
      <c r="O222" s="35">
        <v>3</v>
      </c>
      <c r="P222" s="35">
        <v>2.5</v>
      </c>
      <c r="Q222" s="35">
        <v>2</v>
      </c>
      <c r="R222" s="35">
        <v>3.2</v>
      </c>
      <c r="S222" s="35">
        <v>2</v>
      </c>
      <c r="T222" s="35">
        <v>2.8</v>
      </c>
      <c r="U222" s="35">
        <v>2</v>
      </c>
      <c r="V222" s="35">
        <v>8.6</v>
      </c>
      <c r="W222" s="35">
        <v>9</v>
      </c>
      <c r="X222" s="35">
        <v>10.9</v>
      </c>
      <c r="Y222" s="35">
        <v>9</v>
      </c>
      <c r="Z222" s="35">
        <v>9.8000000000000007</v>
      </c>
      <c r="AA222" s="35">
        <v>9</v>
      </c>
      <c r="AB222" s="35">
        <v>10.7</v>
      </c>
      <c r="AC222" s="35">
        <v>9</v>
      </c>
      <c r="AD222" s="35">
        <v>20.5</v>
      </c>
      <c r="AE222" s="35">
        <v>19</v>
      </c>
      <c r="AF222" s="35">
        <v>20</v>
      </c>
      <c r="AG222" s="35">
        <v>19</v>
      </c>
      <c r="AH222" s="35">
        <v>19</v>
      </c>
      <c r="AI222" s="35">
        <v>19</v>
      </c>
      <c r="AJ222" s="35">
        <v>20.7</v>
      </c>
      <c r="AK222" s="35">
        <v>19</v>
      </c>
      <c r="AL222" s="35">
        <v>19.5</v>
      </c>
      <c r="AM222" s="35">
        <v>19</v>
      </c>
      <c r="AN222" s="35">
        <v>20.8</v>
      </c>
      <c r="AO222" s="35">
        <v>19</v>
      </c>
      <c r="AP222" s="35">
        <v>20.9</v>
      </c>
      <c r="AQ222" s="35">
        <v>19</v>
      </c>
      <c r="AR222" s="35">
        <v>20.7</v>
      </c>
      <c r="AS222" s="35">
        <v>19</v>
      </c>
      <c r="AT222" s="35">
        <v>20</v>
      </c>
      <c r="AU222" s="35">
        <v>19</v>
      </c>
      <c r="AV222" s="35">
        <v>17.3</v>
      </c>
      <c r="AW222" s="35">
        <v>19</v>
      </c>
      <c r="AX222" s="35">
        <v>20.7</v>
      </c>
      <c r="AY222" s="35">
        <v>20</v>
      </c>
      <c r="AZ222" s="35">
        <v>20.8</v>
      </c>
      <c r="BA222" s="35">
        <v>20</v>
      </c>
      <c r="BB222" s="35">
        <v>33</v>
      </c>
      <c r="BC222" s="35">
        <v>40</v>
      </c>
      <c r="BD222" s="35">
        <v>31.8</v>
      </c>
      <c r="BE222" s="35">
        <v>40</v>
      </c>
      <c r="BF222" s="35">
        <v>21.9</v>
      </c>
      <c r="BG222" s="35">
        <v>20</v>
      </c>
    </row>
    <row r="223" spans="1:59" x14ac:dyDescent="0.35">
      <c r="A223" s="36">
        <v>46059.604166666664</v>
      </c>
      <c r="B223" s="35">
        <v>3.5</v>
      </c>
      <c r="C223" s="35">
        <v>2</v>
      </c>
      <c r="D223" s="35">
        <v>3.6</v>
      </c>
      <c r="E223" s="35">
        <v>2.2000000000000002</v>
      </c>
      <c r="F223" s="35">
        <v>3.7</v>
      </c>
      <c r="G223" s="35">
        <v>2</v>
      </c>
      <c r="H223" s="35">
        <v>3.1</v>
      </c>
      <c r="I223" s="35">
        <v>2</v>
      </c>
      <c r="J223" s="35">
        <v>3.3</v>
      </c>
      <c r="K223" s="35">
        <v>2</v>
      </c>
      <c r="L223" s="35">
        <v>2.6</v>
      </c>
      <c r="M223" s="35">
        <v>2</v>
      </c>
      <c r="N223" s="35">
        <v>1</v>
      </c>
      <c r="O223" s="35">
        <v>3</v>
      </c>
      <c r="P223" s="35">
        <v>1.9</v>
      </c>
      <c r="Q223" s="35">
        <v>2</v>
      </c>
      <c r="R223" s="35">
        <v>3.3</v>
      </c>
      <c r="S223" s="35">
        <v>2</v>
      </c>
      <c r="T223" s="35">
        <v>3</v>
      </c>
      <c r="U223" s="35">
        <v>2</v>
      </c>
      <c r="V223" s="35">
        <v>9.3000000000000007</v>
      </c>
      <c r="W223" s="35">
        <v>9</v>
      </c>
      <c r="X223" s="35">
        <v>10.1</v>
      </c>
      <c r="Y223" s="35">
        <v>9</v>
      </c>
      <c r="Z223" s="35">
        <v>10.1</v>
      </c>
      <c r="AA223" s="35">
        <v>9</v>
      </c>
      <c r="AB223" s="35">
        <v>11.1</v>
      </c>
      <c r="AC223" s="35">
        <v>9</v>
      </c>
      <c r="AD223" s="35">
        <v>20.5</v>
      </c>
      <c r="AE223" s="35">
        <v>19</v>
      </c>
      <c r="AF223" s="35">
        <v>20</v>
      </c>
      <c r="AG223" s="35">
        <v>19</v>
      </c>
      <c r="AH223" s="35">
        <v>19.2</v>
      </c>
      <c r="AI223" s="35">
        <v>19</v>
      </c>
      <c r="AJ223" s="35">
        <v>20.7</v>
      </c>
      <c r="AK223" s="35">
        <v>19</v>
      </c>
      <c r="AL223" s="35">
        <v>19.899999999999999</v>
      </c>
      <c r="AM223" s="35">
        <v>19</v>
      </c>
      <c r="AN223" s="35">
        <v>20.9</v>
      </c>
      <c r="AO223" s="35">
        <v>19</v>
      </c>
      <c r="AP223" s="35">
        <v>20.9</v>
      </c>
      <c r="AQ223" s="35">
        <v>19</v>
      </c>
      <c r="AR223" s="35">
        <v>20.7</v>
      </c>
      <c r="AS223" s="35">
        <v>19</v>
      </c>
      <c r="AT223" s="35">
        <v>20.100000000000001</v>
      </c>
      <c r="AU223" s="35">
        <v>19</v>
      </c>
      <c r="AV223" s="35">
        <v>17.5</v>
      </c>
      <c r="AW223" s="35">
        <v>19</v>
      </c>
      <c r="AX223" s="35">
        <v>20.7</v>
      </c>
      <c r="AY223" s="35">
        <v>20</v>
      </c>
      <c r="AZ223" s="35">
        <v>20.8</v>
      </c>
      <c r="BA223" s="35">
        <v>20</v>
      </c>
      <c r="BB223" s="35">
        <v>33</v>
      </c>
      <c r="BC223" s="35">
        <v>40</v>
      </c>
      <c r="BD223" s="35">
        <v>31.8</v>
      </c>
      <c r="BE223" s="35">
        <v>40</v>
      </c>
      <c r="BF223" s="35">
        <v>21.9</v>
      </c>
      <c r="BG223" s="35">
        <v>20</v>
      </c>
    </row>
    <row r="224" spans="1:59" x14ac:dyDescent="0.35">
      <c r="A224" s="36">
        <v>46059.604861111111</v>
      </c>
      <c r="B224" s="35">
        <v>2.6</v>
      </c>
      <c r="C224" s="35">
        <v>2</v>
      </c>
      <c r="D224" s="35">
        <v>2.9</v>
      </c>
      <c r="E224" s="35">
        <v>2.2000000000000002</v>
      </c>
      <c r="F224" s="35">
        <v>3.9</v>
      </c>
      <c r="G224" s="35">
        <v>2</v>
      </c>
      <c r="H224" s="35">
        <v>3.4</v>
      </c>
      <c r="I224" s="35">
        <v>2</v>
      </c>
      <c r="J224" s="35">
        <v>2.6</v>
      </c>
      <c r="K224" s="35">
        <v>2</v>
      </c>
      <c r="L224" s="35">
        <v>1.9</v>
      </c>
      <c r="M224" s="35">
        <v>2</v>
      </c>
      <c r="N224" s="35">
        <v>1</v>
      </c>
      <c r="O224" s="35">
        <v>3</v>
      </c>
      <c r="P224" s="35">
        <v>1.8</v>
      </c>
      <c r="Q224" s="35">
        <v>2</v>
      </c>
      <c r="R224" s="35">
        <v>3.5</v>
      </c>
      <c r="S224" s="35">
        <v>2</v>
      </c>
      <c r="T224" s="35">
        <v>3.1</v>
      </c>
      <c r="U224" s="35">
        <v>2</v>
      </c>
      <c r="V224" s="35">
        <v>9.9</v>
      </c>
      <c r="W224" s="35">
        <v>9</v>
      </c>
      <c r="X224" s="35">
        <v>9.1999999999999993</v>
      </c>
      <c r="Y224" s="35">
        <v>9</v>
      </c>
      <c r="Z224" s="35">
        <v>10.4</v>
      </c>
      <c r="AA224" s="35">
        <v>9</v>
      </c>
      <c r="AB224" s="35">
        <v>10.5</v>
      </c>
      <c r="AC224" s="35">
        <v>9</v>
      </c>
      <c r="AD224" s="35">
        <v>20.5</v>
      </c>
      <c r="AE224" s="35">
        <v>19</v>
      </c>
      <c r="AF224" s="35">
        <v>20.100000000000001</v>
      </c>
      <c r="AG224" s="35">
        <v>19</v>
      </c>
      <c r="AH224" s="35">
        <v>19.3</v>
      </c>
      <c r="AI224" s="35">
        <v>19</v>
      </c>
      <c r="AJ224" s="35">
        <v>20.8</v>
      </c>
      <c r="AK224" s="35">
        <v>19</v>
      </c>
      <c r="AL224" s="35">
        <v>20.2</v>
      </c>
      <c r="AM224" s="35">
        <v>19</v>
      </c>
      <c r="AN224" s="35">
        <v>20.9</v>
      </c>
      <c r="AO224" s="35">
        <v>19</v>
      </c>
      <c r="AP224" s="35">
        <v>20.9</v>
      </c>
      <c r="AQ224" s="35">
        <v>19</v>
      </c>
      <c r="AR224" s="35">
        <v>20.7</v>
      </c>
      <c r="AS224" s="35">
        <v>19</v>
      </c>
      <c r="AT224" s="35">
        <v>20.100000000000001</v>
      </c>
      <c r="AU224" s="35">
        <v>19</v>
      </c>
      <c r="AV224" s="35">
        <v>17.8</v>
      </c>
      <c r="AW224" s="35">
        <v>19</v>
      </c>
      <c r="AX224" s="35">
        <v>20.7</v>
      </c>
      <c r="AY224" s="35">
        <v>20</v>
      </c>
      <c r="AZ224" s="35">
        <v>20.7</v>
      </c>
      <c r="BA224" s="35">
        <v>20</v>
      </c>
      <c r="BB224" s="35">
        <v>33</v>
      </c>
      <c r="BC224" s="35">
        <v>40</v>
      </c>
      <c r="BD224" s="35">
        <v>31.8</v>
      </c>
      <c r="BE224" s="35">
        <v>40</v>
      </c>
      <c r="BF224" s="35">
        <v>21.9</v>
      </c>
      <c r="BG224" s="35">
        <v>20</v>
      </c>
    </row>
    <row r="225" spans="1:59" x14ac:dyDescent="0.35">
      <c r="A225" s="36">
        <v>46059.605555555558</v>
      </c>
      <c r="B225" s="35">
        <v>2.5</v>
      </c>
      <c r="C225" s="35">
        <v>2</v>
      </c>
      <c r="D225" s="35">
        <v>2.7</v>
      </c>
      <c r="E225" s="35">
        <v>2.2000000000000002</v>
      </c>
      <c r="F225" s="35">
        <v>4</v>
      </c>
      <c r="G225" s="35">
        <v>2</v>
      </c>
      <c r="H225" s="35">
        <v>3.5</v>
      </c>
      <c r="I225" s="35">
        <v>2</v>
      </c>
      <c r="J225" s="35">
        <v>2.6</v>
      </c>
      <c r="K225" s="35">
        <v>2</v>
      </c>
      <c r="L225" s="35">
        <v>1.9</v>
      </c>
      <c r="M225" s="35">
        <v>2</v>
      </c>
      <c r="N225" s="35">
        <v>1.3</v>
      </c>
      <c r="O225" s="35">
        <v>3</v>
      </c>
      <c r="P225" s="35">
        <v>2.1</v>
      </c>
      <c r="Q225" s="35">
        <v>2</v>
      </c>
      <c r="R225" s="35">
        <v>3.6</v>
      </c>
      <c r="S225" s="35">
        <v>2</v>
      </c>
      <c r="T225" s="35">
        <v>3.3</v>
      </c>
      <c r="U225" s="35">
        <v>2</v>
      </c>
      <c r="V225" s="35">
        <v>10.3</v>
      </c>
      <c r="W225" s="35">
        <v>9</v>
      </c>
      <c r="X225" s="35">
        <v>8.5</v>
      </c>
      <c r="Y225" s="35">
        <v>9</v>
      </c>
      <c r="Z225" s="35">
        <v>10.6</v>
      </c>
      <c r="AA225" s="35">
        <v>9</v>
      </c>
      <c r="AB225" s="35">
        <v>10</v>
      </c>
      <c r="AC225" s="35">
        <v>9</v>
      </c>
      <c r="AD225" s="35">
        <v>20.6</v>
      </c>
      <c r="AE225" s="35">
        <v>19</v>
      </c>
      <c r="AF225" s="35">
        <v>20.100000000000001</v>
      </c>
      <c r="AG225" s="35">
        <v>19</v>
      </c>
      <c r="AH225" s="35">
        <v>19.399999999999999</v>
      </c>
      <c r="AI225" s="35">
        <v>19</v>
      </c>
      <c r="AJ225" s="35">
        <v>20.8</v>
      </c>
      <c r="AK225" s="35">
        <v>19</v>
      </c>
      <c r="AL225" s="35">
        <v>20.399999999999999</v>
      </c>
      <c r="AM225" s="35">
        <v>19</v>
      </c>
      <c r="AN225" s="35">
        <v>20.9</v>
      </c>
      <c r="AO225" s="35">
        <v>19</v>
      </c>
      <c r="AP225" s="35">
        <v>20.9</v>
      </c>
      <c r="AQ225" s="35">
        <v>19</v>
      </c>
      <c r="AR225" s="35">
        <v>20.7</v>
      </c>
      <c r="AS225" s="35">
        <v>19</v>
      </c>
      <c r="AT225" s="35">
        <v>20.2</v>
      </c>
      <c r="AU225" s="35">
        <v>19</v>
      </c>
      <c r="AV225" s="35">
        <v>18</v>
      </c>
      <c r="AW225" s="35">
        <v>19</v>
      </c>
      <c r="AX225" s="35">
        <v>20.7</v>
      </c>
      <c r="AY225" s="35">
        <v>20</v>
      </c>
      <c r="AZ225" s="35">
        <v>20.6</v>
      </c>
      <c r="BA225" s="35">
        <v>20</v>
      </c>
      <c r="BB225" s="35">
        <v>33</v>
      </c>
      <c r="BC225" s="35">
        <v>40</v>
      </c>
      <c r="BD225" s="35">
        <v>31.8</v>
      </c>
      <c r="BE225" s="35">
        <v>40</v>
      </c>
      <c r="BF225" s="35">
        <v>21.9</v>
      </c>
      <c r="BG225" s="35">
        <v>20</v>
      </c>
    </row>
    <row r="226" spans="1:59" x14ac:dyDescent="0.35">
      <c r="A226" s="36">
        <v>46059.606249999997</v>
      </c>
      <c r="B226" s="35">
        <v>2</v>
      </c>
      <c r="C226" s="35">
        <v>2</v>
      </c>
      <c r="D226" s="35">
        <v>2.2999999999999998</v>
      </c>
      <c r="E226" s="35">
        <v>2.2000000000000002</v>
      </c>
      <c r="F226" s="35">
        <v>1.7</v>
      </c>
      <c r="G226" s="35">
        <v>2</v>
      </c>
      <c r="H226" s="35">
        <v>1.5</v>
      </c>
      <c r="I226" s="35">
        <v>2</v>
      </c>
      <c r="J226" s="35">
        <v>2.7</v>
      </c>
      <c r="K226" s="35">
        <v>2</v>
      </c>
      <c r="L226" s="35">
        <v>2.2999999999999998</v>
      </c>
      <c r="M226" s="35">
        <v>2</v>
      </c>
      <c r="N226" s="35">
        <v>1.6</v>
      </c>
      <c r="O226" s="35">
        <v>3</v>
      </c>
      <c r="P226" s="35">
        <v>2.4</v>
      </c>
      <c r="Q226" s="35">
        <v>2</v>
      </c>
      <c r="R226" s="35">
        <v>3.7</v>
      </c>
      <c r="S226" s="35">
        <v>2</v>
      </c>
      <c r="T226" s="35">
        <v>3.4</v>
      </c>
      <c r="U226" s="35">
        <v>2</v>
      </c>
      <c r="V226" s="35">
        <v>10.7</v>
      </c>
      <c r="W226" s="35">
        <v>9</v>
      </c>
      <c r="X226" s="35">
        <v>8.4</v>
      </c>
      <c r="Y226" s="35">
        <v>9</v>
      </c>
      <c r="Z226" s="35">
        <v>10.8</v>
      </c>
      <c r="AA226" s="35">
        <v>9</v>
      </c>
      <c r="AB226" s="35">
        <v>9.6</v>
      </c>
      <c r="AC226" s="35">
        <v>9</v>
      </c>
      <c r="AD226" s="35">
        <v>20.6</v>
      </c>
      <c r="AE226" s="35">
        <v>19</v>
      </c>
      <c r="AF226" s="35">
        <v>20.2</v>
      </c>
      <c r="AG226" s="35">
        <v>19</v>
      </c>
      <c r="AH226" s="35">
        <v>19.5</v>
      </c>
      <c r="AI226" s="35">
        <v>19</v>
      </c>
      <c r="AJ226" s="35">
        <v>20.9</v>
      </c>
      <c r="AK226" s="35">
        <v>19</v>
      </c>
      <c r="AL226" s="35">
        <v>20.6</v>
      </c>
      <c r="AM226" s="35">
        <v>19</v>
      </c>
      <c r="AN226" s="35">
        <v>21</v>
      </c>
      <c r="AO226" s="35">
        <v>19</v>
      </c>
      <c r="AP226" s="35">
        <v>20.9</v>
      </c>
      <c r="AQ226" s="35">
        <v>19</v>
      </c>
      <c r="AR226" s="35">
        <v>20.7</v>
      </c>
      <c r="AS226" s="35">
        <v>19</v>
      </c>
      <c r="AT226" s="35">
        <v>20.3</v>
      </c>
      <c r="AU226" s="35">
        <v>19</v>
      </c>
      <c r="AV226" s="35">
        <v>18.3</v>
      </c>
      <c r="AW226" s="35">
        <v>19</v>
      </c>
      <c r="AX226" s="35">
        <v>20.7</v>
      </c>
      <c r="AY226" s="35">
        <v>20</v>
      </c>
      <c r="AZ226" s="35">
        <v>20.6</v>
      </c>
      <c r="BA226" s="35">
        <v>20</v>
      </c>
      <c r="BB226" s="35">
        <v>33</v>
      </c>
      <c r="BC226" s="35">
        <v>40</v>
      </c>
      <c r="BD226" s="35">
        <v>31.8</v>
      </c>
      <c r="BE226" s="35">
        <v>40</v>
      </c>
      <c r="BF226" s="35">
        <v>22</v>
      </c>
      <c r="BG226" s="35">
        <v>20</v>
      </c>
    </row>
    <row r="227" spans="1:59" x14ac:dyDescent="0.35">
      <c r="A227" s="36">
        <v>46059.606944444444</v>
      </c>
      <c r="B227" s="35">
        <v>1.8</v>
      </c>
      <c r="C227" s="35">
        <v>2</v>
      </c>
      <c r="D227" s="35">
        <v>2.1</v>
      </c>
      <c r="E227" s="35">
        <v>2.2000000000000002</v>
      </c>
      <c r="F227" s="35">
        <v>1.2</v>
      </c>
      <c r="G227" s="35">
        <v>2</v>
      </c>
      <c r="H227" s="35">
        <v>1.3</v>
      </c>
      <c r="I227" s="35">
        <v>2</v>
      </c>
      <c r="J227" s="35">
        <v>3</v>
      </c>
      <c r="K227" s="35">
        <v>2</v>
      </c>
      <c r="L227" s="35">
        <v>2.7</v>
      </c>
      <c r="M227" s="35">
        <v>2</v>
      </c>
      <c r="N227" s="35">
        <v>1.8</v>
      </c>
      <c r="O227" s="35">
        <v>3</v>
      </c>
      <c r="P227" s="35">
        <v>2.7</v>
      </c>
      <c r="Q227" s="35">
        <v>2</v>
      </c>
      <c r="R227" s="35">
        <v>3.8</v>
      </c>
      <c r="S227" s="35">
        <v>2</v>
      </c>
      <c r="T227" s="35">
        <v>3.5</v>
      </c>
      <c r="U227" s="35">
        <v>2</v>
      </c>
      <c r="V227" s="35">
        <v>11</v>
      </c>
      <c r="W227" s="35">
        <v>9</v>
      </c>
      <c r="X227" s="35">
        <v>8.4</v>
      </c>
      <c r="Y227" s="35">
        <v>9</v>
      </c>
      <c r="Z227" s="35">
        <v>11</v>
      </c>
      <c r="AA227" s="35">
        <v>9</v>
      </c>
      <c r="AB227" s="35">
        <v>9.4</v>
      </c>
      <c r="AC227" s="35">
        <v>9</v>
      </c>
      <c r="AD227" s="35">
        <v>20.6</v>
      </c>
      <c r="AE227" s="35">
        <v>19</v>
      </c>
      <c r="AF227" s="35">
        <v>20.2</v>
      </c>
      <c r="AG227" s="35">
        <v>19</v>
      </c>
      <c r="AH227" s="35">
        <v>19.600000000000001</v>
      </c>
      <c r="AI227" s="35">
        <v>19</v>
      </c>
      <c r="AJ227" s="35">
        <v>20.9</v>
      </c>
      <c r="AK227" s="35">
        <v>19</v>
      </c>
      <c r="AL227" s="35">
        <v>20.8</v>
      </c>
      <c r="AM227" s="35">
        <v>19</v>
      </c>
      <c r="AN227" s="35">
        <v>20.3</v>
      </c>
      <c r="AO227" s="35">
        <v>19</v>
      </c>
      <c r="AP227" s="35">
        <v>21</v>
      </c>
      <c r="AQ227" s="35">
        <v>19</v>
      </c>
      <c r="AR227" s="35">
        <v>20.7</v>
      </c>
      <c r="AS227" s="35">
        <v>19</v>
      </c>
      <c r="AT227" s="35">
        <v>20.399999999999999</v>
      </c>
      <c r="AU227" s="35">
        <v>19</v>
      </c>
      <c r="AV227" s="35">
        <v>18.399999999999999</v>
      </c>
      <c r="AW227" s="35">
        <v>19</v>
      </c>
      <c r="AX227" s="35">
        <v>20.7</v>
      </c>
      <c r="AY227" s="35">
        <v>20</v>
      </c>
      <c r="AZ227" s="35">
        <v>20.6</v>
      </c>
      <c r="BA227" s="35">
        <v>20</v>
      </c>
      <c r="BB227" s="35">
        <v>33</v>
      </c>
      <c r="BC227" s="35">
        <v>40</v>
      </c>
      <c r="BD227" s="35">
        <v>31.8</v>
      </c>
      <c r="BE227" s="35">
        <v>40</v>
      </c>
      <c r="BF227" s="35">
        <v>17.2</v>
      </c>
      <c r="BG227" s="35">
        <v>20</v>
      </c>
    </row>
    <row r="228" spans="1:59" x14ac:dyDescent="0.35">
      <c r="A228" s="36">
        <v>46059.607638888891</v>
      </c>
      <c r="B228" s="35">
        <v>2.2999999999999998</v>
      </c>
      <c r="C228" s="35">
        <v>2</v>
      </c>
      <c r="D228" s="35">
        <v>2.6</v>
      </c>
      <c r="E228" s="35">
        <v>2.2000000000000002</v>
      </c>
      <c r="F228" s="35">
        <v>1.3</v>
      </c>
      <c r="G228" s="35">
        <v>2</v>
      </c>
      <c r="H228" s="35">
        <v>1.5</v>
      </c>
      <c r="I228" s="35">
        <v>2</v>
      </c>
      <c r="J228" s="35">
        <v>3.2</v>
      </c>
      <c r="K228" s="35">
        <v>2</v>
      </c>
      <c r="L228" s="35">
        <v>3.1</v>
      </c>
      <c r="M228" s="35">
        <v>2</v>
      </c>
      <c r="N228" s="35">
        <v>1.8</v>
      </c>
      <c r="O228" s="35">
        <v>3</v>
      </c>
      <c r="P228" s="35">
        <v>2.9</v>
      </c>
      <c r="Q228" s="35">
        <v>2</v>
      </c>
      <c r="R228" s="35">
        <v>3.9</v>
      </c>
      <c r="S228" s="35">
        <v>2</v>
      </c>
      <c r="T228" s="35">
        <v>3.6</v>
      </c>
      <c r="U228" s="35">
        <v>2</v>
      </c>
      <c r="V228" s="35">
        <v>9.5</v>
      </c>
      <c r="W228" s="35">
        <v>9</v>
      </c>
      <c r="X228" s="35">
        <v>8.6</v>
      </c>
      <c r="Y228" s="35">
        <v>9</v>
      </c>
      <c r="Z228" s="35">
        <v>10.8</v>
      </c>
      <c r="AA228" s="35">
        <v>9</v>
      </c>
      <c r="AB228" s="35">
        <v>9</v>
      </c>
      <c r="AC228" s="35">
        <v>9</v>
      </c>
      <c r="AD228" s="35">
        <v>20.6</v>
      </c>
      <c r="AE228" s="35">
        <v>19</v>
      </c>
      <c r="AF228" s="35">
        <v>20.3</v>
      </c>
      <c r="AG228" s="35">
        <v>19</v>
      </c>
      <c r="AH228" s="35">
        <v>19.7</v>
      </c>
      <c r="AI228" s="35">
        <v>19</v>
      </c>
      <c r="AJ228" s="35">
        <v>21</v>
      </c>
      <c r="AK228" s="35">
        <v>19</v>
      </c>
      <c r="AL228" s="35">
        <v>20.9</v>
      </c>
      <c r="AM228" s="35">
        <v>19</v>
      </c>
      <c r="AN228" s="35">
        <v>20.100000000000001</v>
      </c>
      <c r="AO228" s="35">
        <v>19</v>
      </c>
      <c r="AP228" s="35">
        <v>20.9</v>
      </c>
      <c r="AQ228" s="35">
        <v>19</v>
      </c>
      <c r="AR228" s="35">
        <v>20.7</v>
      </c>
      <c r="AS228" s="35">
        <v>19</v>
      </c>
      <c r="AT228" s="35">
        <v>20.5</v>
      </c>
      <c r="AU228" s="35">
        <v>19</v>
      </c>
      <c r="AV228" s="35">
        <v>18.600000000000001</v>
      </c>
      <c r="AW228" s="35">
        <v>19</v>
      </c>
      <c r="AX228" s="35">
        <v>20.7</v>
      </c>
      <c r="AY228" s="35">
        <v>20</v>
      </c>
      <c r="AZ228" s="35">
        <v>20.8</v>
      </c>
      <c r="BA228" s="35">
        <v>20</v>
      </c>
      <c r="BB228" s="35">
        <v>33</v>
      </c>
      <c r="BC228" s="35">
        <v>40</v>
      </c>
      <c r="BD228" s="35">
        <v>31.9</v>
      </c>
      <c r="BE228" s="35">
        <v>40</v>
      </c>
      <c r="BF228" s="35">
        <v>17.8</v>
      </c>
      <c r="BG228" s="35">
        <v>20</v>
      </c>
    </row>
    <row r="229" spans="1:59" x14ac:dyDescent="0.35">
      <c r="A229" s="36">
        <v>46059.60833333333</v>
      </c>
      <c r="B229" s="35">
        <v>2.8</v>
      </c>
      <c r="C229" s="35">
        <v>2</v>
      </c>
      <c r="D229" s="35">
        <v>3.1</v>
      </c>
      <c r="E229" s="35">
        <v>2.2000000000000002</v>
      </c>
      <c r="F229" s="35">
        <v>1.8</v>
      </c>
      <c r="G229" s="35">
        <v>2</v>
      </c>
      <c r="H229" s="35">
        <v>2</v>
      </c>
      <c r="I229" s="35">
        <v>2</v>
      </c>
      <c r="J229" s="35">
        <v>3.5</v>
      </c>
      <c r="K229" s="35">
        <v>2</v>
      </c>
      <c r="L229" s="35">
        <v>3.4</v>
      </c>
      <c r="M229" s="35">
        <v>2</v>
      </c>
      <c r="N229" s="35">
        <v>1.8</v>
      </c>
      <c r="O229" s="35">
        <v>3</v>
      </c>
      <c r="P229" s="35">
        <v>3.1</v>
      </c>
      <c r="Q229" s="35">
        <v>2</v>
      </c>
      <c r="R229" s="35">
        <v>3.4</v>
      </c>
      <c r="S229" s="35">
        <v>2</v>
      </c>
      <c r="T229" s="35">
        <v>2.8</v>
      </c>
      <c r="U229" s="35">
        <v>2</v>
      </c>
      <c r="V229" s="35">
        <v>7.6</v>
      </c>
      <c r="W229" s="35">
        <v>9</v>
      </c>
      <c r="X229" s="35">
        <v>8.9</v>
      </c>
      <c r="Y229" s="35">
        <v>9</v>
      </c>
      <c r="Z229" s="35">
        <v>10.199999999999999</v>
      </c>
      <c r="AA229" s="35">
        <v>9</v>
      </c>
      <c r="AB229" s="35">
        <v>8.6</v>
      </c>
      <c r="AC229" s="35">
        <v>9</v>
      </c>
      <c r="AD229" s="35">
        <v>20.7</v>
      </c>
      <c r="AE229" s="35">
        <v>19</v>
      </c>
      <c r="AF229" s="35">
        <v>20.3</v>
      </c>
      <c r="AG229" s="35">
        <v>19</v>
      </c>
      <c r="AH229" s="35">
        <v>19.7</v>
      </c>
      <c r="AI229" s="35">
        <v>19</v>
      </c>
      <c r="AJ229" s="35">
        <v>19.5</v>
      </c>
      <c r="AK229" s="35">
        <v>19</v>
      </c>
      <c r="AL229" s="35">
        <v>21</v>
      </c>
      <c r="AM229" s="35">
        <v>19</v>
      </c>
      <c r="AN229" s="35">
        <v>19.600000000000001</v>
      </c>
      <c r="AO229" s="35">
        <v>19</v>
      </c>
      <c r="AP229" s="35">
        <v>19.7</v>
      </c>
      <c r="AQ229" s="35">
        <v>19</v>
      </c>
      <c r="AR229" s="35">
        <v>20.7</v>
      </c>
      <c r="AS229" s="35">
        <v>19</v>
      </c>
      <c r="AT229" s="35">
        <v>20.5</v>
      </c>
      <c r="AU229" s="35">
        <v>19</v>
      </c>
      <c r="AV229" s="35">
        <v>18.7</v>
      </c>
      <c r="AW229" s="35">
        <v>19</v>
      </c>
      <c r="AX229" s="35">
        <v>20.7</v>
      </c>
      <c r="AY229" s="35">
        <v>20</v>
      </c>
      <c r="AZ229" s="35">
        <v>20.8</v>
      </c>
      <c r="BA229" s="35">
        <v>20</v>
      </c>
      <c r="BB229" s="35">
        <v>33</v>
      </c>
      <c r="BC229" s="35">
        <v>40</v>
      </c>
      <c r="BD229" s="35">
        <v>31.9</v>
      </c>
      <c r="BE229" s="35">
        <v>40</v>
      </c>
      <c r="BF229" s="35">
        <v>18.399999999999999</v>
      </c>
      <c r="BG229" s="35">
        <v>20</v>
      </c>
    </row>
    <row r="230" spans="1:59" x14ac:dyDescent="0.35">
      <c r="A230" s="36">
        <v>46059.609027777777</v>
      </c>
      <c r="B230" s="35">
        <v>3.2</v>
      </c>
      <c r="C230" s="35">
        <v>2</v>
      </c>
      <c r="D230" s="35">
        <v>3.5</v>
      </c>
      <c r="E230" s="35">
        <v>2.2000000000000002</v>
      </c>
      <c r="F230" s="35">
        <v>2.2000000000000002</v>
      </c>
      <c r="G230" s="35">
        <v>2</v>
      </c>
      <c r="H230" s="35">
        <v>2.4</v>
      </c>
      <c r="I230" s="35">
        <v>2</v>
      </c>
      <c r="J230" s="35">
        <v>3.7</v>
      </c>
      <c r="K230" s="35">
        <v>2</v>
      </c>
      <c r="L230" s="35">
        <v>3.7</v>
      </c>
      <c r="M230" s="35">
        <v>2</v>
      </c>
      <c r="N230" s="35">
        <v>1.8</v>
      </c>
      <c r="O230" s="35">
        <v>3</v>
      </c>
      <c r="P230" s="35">
        <v>3.3</v>
      </c>
      <c r="Q230" s="35">
        <v>2</v>
      </c>
      <c r="R230" s="35">
        <v>2.4</v>
      </c>
      <c r="S230" s="35">
        <v>2</v>
      </c>
      <c r="T230" s="35">
        <v>1.8</v>
      </c>
      <c r="U230" s="35">
        <v>2</v>
      </c>
      <c r="V230" s="35">
        <v>7.8</v>
      </c>
      <c r="W230" s="35">
        <v>9</v>
      </c>
      <c r="X230" s="35">
        <v>9.1</v>
      </c>
      <c r="Y230" s="35">
        <v>9</v>
      </c>
      <c r="Z230" s="35">
        <v>9.6</v>
      </c>
      <c r="AA230" s="35">
        <v>9</v>
      </c>
      <c r="AB230" s="35">
        <v>9.1999999999999993</v>
      </c>
      <c r="AC230" s="35">
        <v>9</v>
      </c>
      <c r="AD230" s="35">
        <v>20.7</v>
      </c>
      <c r="AE230" s="35">
        <v>19</v>
      </c>
      <c r="AF230" s="35">
        <v>20.3</v>
      </c>
      <c r="AG230" s="35">
        <v>19</v>
      </c>
      <c r="AH230" s="35">
        <v>19.8</v>
      </c>
      <c r="AI230" s="35">
        <v>19</v>
      </c>
      <c r="AJ230" s="35">
        <v>18.100000000000001</v>
      </c>
      <c r="AK230" s="35">
        <v>19</v>
      </c>
      <c r="AL230" s="35">
        <v>20.9</v>
      </c>
      <c r="AM230" s="35">
        <v>19</v>
      </c>
      <c r="AN230" s="35">
        <v>19.100000000000001</v>
      </c>
      <c r="AO230" s="35">
        <v>19</v>
      </c>
      <c r="AP230" s="35">
        <v>18.600000000000001</v>
      </c>
      <c r="AQ230" s="35">
        <v>19</v>
      </c>
      <c r="AR230" s="35">
        <v>20.7</v>
      </c>
      <c r="AS230" s="35">
        <v>19</v>
      </c>
      <c r="AT230" s="35">
        <v>20.6</v>
      </c>
      <c r="AU230" s="35">
        <v>19</v>
      </c>
      <c r="AV230" s="35">
        <v>18.899999999999999</v>
      </c>
      <c r="AW230" s="35">
        <v>19</v>
      </c>
      <c r="AX230" s="35">
        <v>20.8</v>
      </c>
      <c r="AY230" s="35">
        <v>20</v>
      </c>
      <c r="AZ230" s="35">
        <v>20.8</v>
      </c>
      <c r="BA230" s="35">
        <v>20</v>
      </c>
      <c r="BB230" s="35">
        <v>33</v>
      </c>
      <c r="BC230" s="35">
        <v>40</v>
      </c>
      <c r="BD230" s="35">
        <v>31.9</v>
      </c>
      <c r="BE230" s="35">
        <v>40</v>
      </c>
      <c r="BF230" s="35">
        <v>18.899999999999999</v>
      </c>
      <c r="BG230" s="35">
        <v>20</v>
      </c>
    </row>
    <row r="231" spans="1:59" x14ac:dyDescent="0.35">
      <c r="A231" s="36">
        <v>46059.609722222223</v>
      </c>
      <c r="B231" s="35">
        <v>3.6</v>
      </c>
      <c r="C231" s="35">
        <v>2</v>
      </c>
      <c r="D231" s="35">
        <v>3.9</v>
      </c>
      <c r="E231" s="35">
        <v>2.2000000000000002</v>
      </c>
      <c r="F231" s="35">
        <v>2.6</v>
      </c>
      <c r="G231" s="35">
        <v>2</v>
      </c>
      <c r="H231" s="35">
        <v>2.8</v>
      </c>
      <c r="I231" s="35">
        <v>2</v>
      </c>
      <c r="J231" s="35">
        <v>3.9</v>
      </c>
      <c r="K231" s="35">
        <v>2</v>
      </c>
      <c r="L231" s="35">
        <v>4</v>
      </c>
      <c r="M231" s="35">
        <v>2</v>
      </c>
      <c r="N231" s="35">
        <v>1.8</v>
      </c>
      <c r="O231" s="35">
        <v>3</v>
      </c>
      <c r="P231" s="35">
        <v>3.5</v>
      </c>
      <c r="Q231" s="35">
        <v>2</v>
      </c>
      <c r="R231" s="35">
        <v>1.7</v>
      </c>
      <c r="S231" s="35">
        <v>2</v>
      </c>
      <c r="T231" s="35">
        <v>1.1000000000000001</v>
      </c>
      <c r="U231" s="35">
        <v>2</v>
      </c>
      <c r="V231" s="35">
        <v>8.6</v>
      </c>
      <c r="W231" s="35">
        <v>9</v>
      </c>
      <c r="X231" s="35">
        <v>9.4</v>
      </c>
      <c r="Y231" s="35">
        <v>9</v>
      </c>
      <c r="Z231" s="35">
        <v>9.5</v>
      </c>
      <c r="AA231" s="35">
        <v>9</v>
      </c>
      <c r="AB231" s="35">
        <v>9.8000000000000007</v>
      </c>
      <c r="AC231" s="35">
        <v>9</v>
      </c>
      <c r="AD231" s="35">
        <v>20.7</v>
      </c>
      <c r="AE231" s="35">
        <v>19</v>
      </c>
      <c r="AF231" s="35">
        <v>20.399999999999999</v>
      </c>
      <c r="AG231" s="35">
        <v>19</v>
      </c>
      <c r="AH231" s="35">
        <v>19.899999999999999</v>
      </c>
      <c r="AI231" s="35">
        <v>19</v>
      </c>
      <c r="AJ231" s="35">
        <v>18</v>
      </c>
      <c r="AK231" s="35">
        <v>19</v>
      </c>
      <c r="AL231" s="35">
        <v>20.7</v>
      </c>
      <c r="AM231" s="35">
        <v>19</v>
      </c>
      <c r="AN231" s="35">
        <v>18.7</v>
      </c>
      <c r="AO231" s="35">
        <v>19</v>
      </c>
      <c r="AP231" s="35">
        <v>18.2</v>
      </c>
      <c r="AQ231" s="35">
        <v>19</v>
      </c>
      <c r="AR231" s="35">
        <v>20.7</v>
      </c>
      <c r="AS231" s="35">
        <v>19</v>
      </c>
      <c r="AT231" s="35">
        <v>20.7</v>
      </c>
      <c r="AU231" s="35">
        <v>19</v>
      </c>
      <c r="AV231" s="35">
        <v>19</v>
      </c>
      <c r="AW231" s="35">
        <v>19</v>
      </c>
      <c r="AX231" s="35">
        <v>20.8</v>
      </c>
      <c r="AY231" s="35">
        <v>20</v>
      </c>
      <c r="AZ231" s="35">
        <v>20.8</v>
      </c>
      <c r="BA231" s="35">
        <v>20</v>
      </c>
      <c r="BB231" s="35">
        <v>33</v>
      </c>
      <c r="BC231" s="35">
        <v>40</v>
      </c>
      <c r="BD231" s="35">
        <v>31.9</v>
      </c>
      <c r="BE231" s="35">
        <v>40</v>
      </c>
      <c r="BF231" s="35">
        <v>19.399999999999999</v>
      </c>
      <c r="BG231" s="35">
        <v>20</v>
      </c>
    </row>
    <row r="232" spans="1:59" x14ac:dyDescent="0.35">
      <c r="A232" s="36">
        <v>46059.61041666667</v>
      </c>
      <c r="B232" s="35">
        <v>4</v>
      </c>
      <c r="C232" s="35">
        <v>2</v>
      </c>
      <c r="D232" s="35">
        <v>4.2</v>
      </c>
      <c r="E232" s="35">
        <v>2.2000000000000002</v>
      </c>
      <c r="F232" s="35">
        <v>3</v>
      </c>
      <c r="G232" s="35">
        <v>2</v>
      </c>
      <c r="H232" s="35">
        <v>3.1</v>
      </c>
      <c r="I232" s="35">
        <v>2</v>
      </c>
      <c r="J232" s="35">
        <v>3.8</v>
      </c>
      <c r="K232" s="35">
        <v>2</v>
      </c>
      <c r="L232" s="35">
        <v>3.2</v>
      </c>
      <c r="M232" s="35">
        <v>2</v>
      </c>
      <c r="N232" s="35">
        <v>1.8</v>
      </c>
      <c r="O232" s="35">
        <v>3</v>
      </c>
      <c r="P232" s="35">
        <v>3.6</v>
      </c>
      <c r="Q232" s="35">
        <v>2</v>
      </c>
      <c r="R232" s="35">
        <v>1.6</v>
      </c>
      <c r="S232" s="35">
        <v>2</v>
      </c>
      <c r="T232" s="35">
        <v>1.1000000000000001</v>
      </c>
      <c r="U232" s="35">
        <v>2</v>
      </c>
      <c r="V232" s="35">
        <v>9.3000000000000007</v>
      </c>
      <c r="W232" s="35">
        <v>9</v>
      </c>
      <c r="X232" s="35">
        <v>9.5</v>
      </c>
      <c r="Y232" s="35">
        <v>9</v>
      </c>
      <c r="Z232" s="35">
        <v>9.5</v>
      </c>
      <c r="AA232" s="35">
        <v>9</v>
      </c>
      <c r="AB232" s="35">
        <v>10.4</v>
      </c>
      <c r="AC232" s="35">
        <v>9</v>
      </c>
      <c r="AD232" s="35">
        <v>20.7</v>
      </c>
      <c r="AE232" s="35">
        <v>19</v>
      </c>
      <c r="AF232" s="35">
        <v>20.399999999999999</v>
      </c>
      <c r="AG232" s="35">
        <v>19</v>
      </c>
      <c r="AH232" s="35">
        <v>20</v>
      </c>
      <c r="AI232" s="35">
        <v>19</v>
      </c>
      <c r="AJ232" s="35">
        <v>18.2</v>
      </c>
      <c r="AK232" s="35">
        <v>19</v>
      </c>
      <c r="AL232" s="35">
        <v>20.5</v>
      </c>
      <c r="AM232" s="35">
        <v>19</v>
      </c>
      <c r="AN232" s="35">
        <v>18.7</v>
      </c>
      <c r="AO232" s="35">
        <v>19</v>
      </c>
      <c r="AP232" s="35">
        <v>18.2</v>
      </c>
      <c r="AQ232" s="35">
        <v>19</v>
      </c>
      <c r="AR232" s="35">
        <v>20.7</v>
      </c>
      <c r="AS232" s="35">
        <v>19</v>
      </c>
      <c r="AT232" s="35">
        <v>20.8</v>
      </c>
      <c r="AU232" s="35">
        <v>19</v>
      </c>
      <c r="AV232" s="35">
        <v>19.2</v>
      </c>
      <c r="AW232" s="35">
        <v>19</v>
      </c>
      <c r="AX232" s="35">
        <v>20.8</v>
      </c>
      <c r="AY232" s="35">
        <v>20</v>
      </c>
      <c r="AZ232" s="35">
        <v>20.8</v>
      </c>
      <c r="BA232" s="35">
        <v>20</v>
      </c>
      <c r="BB232" s="35">
        <v>33.1</v>
      </c>
      <c r="BC232" s="35">
        <v>40</v>
      </c>
      <c r="BD232" s="35">
        <v>31.9</v>
      </c>
      <c r="BE232" s="35">
        <v>40</v>
      </c>
      <c r="BF232" s="35">
        <v>20</v>
      </c>
      <c r="BG232" s="35">
        <v>20</v>
      </c>
    </row>
    <row r="233" spans="1:59" x14ac:dyDescent="0.35">
      <c r="A233" s="36">
        <v>46059.611111111109</v>
      </c>
      <c r="B233" s="35">
        <v>3.6</v>
      </c>
      <c r="C233" s="35">
        <v>2</v>
      </c>
      <c r="D233" s="35">
        <v>3.7</v>
      </c>
      <c r="E233" s="35">
        <v>2.2000000000000002</v>
      </c>
      <c r="F233" s="35">
        <v>3.4</v>
      </c>
      <c r="G233" s="35">
        <v>2</v>
      </c>
      <c r="H233" s="35">
        <v>3.4</v>
      </c>
      <c r="I233" s="35">
        <v>2</v>
      </c>
      <c r="J233" s="35">
        <v>3.2</v>
      </c>
      <c r="K233" s="35">
        <v>2</v>
      </c>
      <c r="L233" s="35">
        <v>2.4</v>
      </c>
      <c r="M233" s="35">
        <v>2</v>
      </c>
      <c r="N233" s="35">
        <v>1.8</v>
      </c>
      <c r="O233" s="35">
        <v>3</v>
      </c>
      <c r="P233" s="35">
        <v>3.8</v>
      </c>
      <c r="Q233" s="35">
        <v>2</v>
      </c>
      <c r="R233" s="35">
        <v>1.7</v>
      </c>
      <c r="S233" s="35">
        <v>2</v>
      </c>
      <c r="T233" s="35">
        <v>1.2</v>
      </c>
      <c r="U233" s="35">
        <v>2</v>
      </c>
      <c r="V233" s="35">
        <v>9.8000000000000007</v>
      </c>
      <c r="W233" s="35">
        <v>9</v>
      </c>
      <c r="X233" s="35">
        <v>9.6999999999999993</v>
      </c>
      <c r="Y233" s="35">
        <v>9</v>
      </c>
      <c r="Z233" s="35">
        <v>9</v>
      </c>
      <c r="AA233" s="35">
        <v>9</v>
      </c>
      <c r="AB233" s="35">
        <v>10.8</v>
      </c>
      <c r="AC233" s="35">
        <v>9</v>
      </c>
      <c r="AD233" s="35">
        <v>20.8</v>
      </c>
      <c r="AE233" s="35">
        <v>19</v>
      </c>
      <c r="AF233" s="35">
        <v>20.5</v>
      </c>
      <c r="AG233" s="35">
        <v>19</v>
      </c>
      <c r="AH233" s="35">
        <v>20</v>
      </c>
      <c r="AI233" s="35">
        <v>19</v>
      </c>
      <c r="AJ233" s="35">
        <v>18.399999999999999</v>
      </c>
      <c r="AK233" s="35">
        <v>19</v>
      </c>
      <c r="AL233" s="35">
        <v>20.2</v>
      </c>
      <c r="AM233" s="35">
        <v>19</v>
      </c>
      <c r="AN233" s="35">
        <v>19</v>
      </c>
      <c r="AO233" s="35">
        <v>19</v>
      </c>
      <c r="AP233" s="35">
        <v>18.2</v>
      </c>
      <c r="AQ233" s="35">
        <v>19</v>
      </c>
      <c r="AR233" s="35">
        <v>20.7</v>
      </c>
      <c r="AS233" s="35">
        <v>19</v>
      </c>
      <c r="AT233" s="35">
        <v>20.8</v>
      </c>
      <c r="AU233" s="35">
        <v>19</v>
      </c>
      <c r="AV233" s="35">
        <v>19.3</v>
      </c>
      <c r="AW233" s="35">
        <v>19</v>
      </c>
      <c r="AX233" s="35">
        <v>20.9</v>
      </c>
      <c r="AY233" s="35">
        <v>20</v>
      </c>
      <c r="AZ233" s="35">
        <v>20.8</v>
      </c>
      <c r="BA233" s="35">
        <v>20</v>
      </c>
      <c r="BB233" s="35">
        <v>33.1</v>
      </c>
      <c r="BC233" s="35">
        <v>40</v>
      </c>
      <c r="BD233" s="35">
        <v>31.9</v>
      </c>
      <c r="BE233" s="35">
        <v>40</v>
      </c>
      <c r="BF233" s="35">
        <v>20.5</v>
      </c>
      <c r="BG233" s="35">
        <v>20</v>
      </c>
    </row>
    <row r="234" spans="1:59" x14ac:dyDescent="0.35">
      <c r="A234" s="36">
        <v>46059.611805555556</v>
      </c>
      <c r="B234" s="35">
        <v>2.8</v>
      </c>
      <c r="C234" s="35">
        <v>2</v>
      </c>
      <c r="D234" s="35">
        <v>2.9</v>
      </c>
      <c r="E234" s="35">
        <v>2.2000000000000002</v>
      </c>
      <c r="F234" s="35">
        <v>3.6</v>
      </c>
      <c r="G234" s="35">
        <v>2</v>
      </c>
      <c r="H234" s="35">
        <v>3.6</v>
      </c>
      <c r="I234" s="35">
        <v>2</v>
      </c>
      <c r="J234" s="35">
        <v>2.6</v>
      </c>
      <c r="K234" s="35">
        <v>2</v>
      </c>
      <c r="L234" s="35">
        <v>1.9</v>
      </c>
      <c r="M234" s="35">
        <v>2</v>
      </c>
      <c r="N234" s="35">
        <v>1.8</v>
      </c>
      <c r="O234" s="35">
        <v>3</v>
      </c>
      <c r="P234" s="35">
        <v>4</v>
      </c>
      <c r="Q234" s="35">
        <v>2</v>
      </c>
      <c r="R234" s="35">
        <v>2.1</v>
      </c>
      <c r="S234" s="35">
        <v>2</v>
      </c>
      <c r="T234" s="35">
        <v>1.6</v>
      </c>
      <c r="U234" s="35">
        <v>2</v>
      </c>
      <c r="V234" s="35">
        <v>10.3</v>
      </c>
      <c r="W234" s="35">
        <v>9</v>
      </c>
      <c r="X234" s="35">
        <v>9.9</v>
      </c>
      <c r="Y234" s="35">
        <v>9</v>
      </c>
      <c r="Z234" s="35">
        <v>8.5</v>
      </c>
      <c r="AA234" s="35">
        <v>9</v>
      </c>
      <c r="AB234" s="35">
        <v>11</v>
      </c>
      <c r="AC234" s="35">
        <v>9</v>
      </c>
      <c r="AD234" s="35">
        <v>20.8</v>
      </c>
      <c r="AE234" s="35">
        <v>19</v>
      </c>
      <c r="AF234" s="35">
        <v>20.5</v>
      </c>
      <c r="AG234" s="35">
        <v>19</v>
      </c>
      <c r="AH234" s="35">
        <v>20.100000000000001</v>
      </c>
      <c r="AI234" s="35">
        <v>19</v>
      </c>
      <c r="AJ234" s="35">
        <v>18.600000000000001</v>
      </c>
      <c r="AK234" s="35">
        <v>19</v>
      </c>
      <c r="AL234" s="35">
        <v>20.100000000000001</v>
      </c>
      <c r="AM234" s="35">
        <v>19</v>
      </c>
      <c r="AN234" s="35">
        <v>19.3</v>
      </c>
      <c r="AO234" s="35">
        <v>19</v>
      </c>
      <c r="AP234" s="35">
        <v>18.3</v>
      </c>
      <c r="AQ234" s="35">
        <v>19</v>
      </c>
      <c r="AR234" s="35">
        <v>20.7</v>
      </c>
      <c r="AS234" s="35">
        <v>19</v>
      </c>
      <c r="AT234" s="35">
        <v>20.9</v>
      </c>
      <c r="AU234" s="35">
        <v>19</v>
      </c>
      <c r="AV234" s="35">
        <v>19.399999999999999</v>
      </c>
      <c r="AW234" s="35">
        <v>19</v>
      </c>
      <c r="AX234" s="35">
        <v>20.9</v>
      </c>
      <c r="AY234" s="35">
        <v>20</v>
      </c>
      <c r="AZ234" s="35">
        <v>20.8</v>
      </c>
      <c r="BA234" s="35">
        <v>20</v>
      </c>
      <c r="BB234" s="35">
        <v>33.1</v>
      </c>
      <c r="BC234" s="35">
        <v>40</v>
      </c>
      <c r="BD234" s="35">
        <v>31.9</v>
      </c>
      <c r="BE234" s="35">
        <v>40</v>
      </c>
      <c r="BF234" s="35">
        <v>20.8</v>
      </c>
      <c r="BG234" s="35">
        <v>20</v>
      </c>
    </row>
    <row r="235" spans="1:59" x14ac:dyDescent="0.35">
      <c r="A235" s="36">
        <v>46059.612500000003</v>
      </c>
      <c r="B235" s="35">
        <v>1.6</v>
      </c>
      <c r="C235" s="35">
        <v>2</v>
      </c>
      <c r="D235" s="35">
        <v>1.9</v>
      </c>
      <c r="E235" s="35">
        <v>2.2000000000000002</v>
      </c>
      <c r="F235" s="35">
        <v>3.8</v>
      </c>
      <c r="G235" s="35">
        <v>2</v>
      </c>
      <c r="H235" s="35">
        <v>3.8</v>
      </c>
      <c r="I235" s="35">
        <v>2</v>
      </c>
      <c r="J235" s="35">
        <v>2.6</v>
      </c>
      <c r="K235" s="35">
        <v>2</v>
      </c>
      <c r="L235" s="35">
        <v>1.9</v>
      </c>
      <c r="M235" s="35">
        <v>2</v>
      </c>
      <c r="N235" s="35">
        <v>1.8</v>
      </c>
      <c r="O235" s="35">
        <v>3</v>
      </c>
      <c r="P235" s="35">
        <v>3.8</v>
      </c>
      <c r="Q235" s="35">
        <v>2</v>
      </c>
      <c r="R235" s="35">
        <v>2.2999999999999998</v>
      </c>
      <c r="S235" s="35">
        <v>2</v>
      </c>
      <c r="T235" s="35">
        <v>1.9</v>
      </c>
      <c r="U235" s="35">
        <v>2</v>
      </c>
      <c r="V235" s="35">
        <v>10.7</v>
      </c>
      <c r="W235" s="35">
        <v>9</v>
      </c>
      <c r="X235" s="35">
        <v>10</v>
      </c>
      <c r="Y235" s="35">
        <v>9</v>
      </c>
      <c r="Z235" s="35">
        <v>8.6</v>
      </c>
      <c r="AA235" s="35">
        <v>9</v>
      </c>
      <c r="AB235" s="35">
        <v>10.8</v>
      </c>
      <c r="AC235" s="35">
        <v>9</v>
      </c>
      <c r="AD235" s="35">
        <v>20.8</v>
      </c>
      <c r="AE235" s="35">
        <v>19</v>
      </c>
      <c r="AF235" s="35">
        <v>20.5</v>
      </c>
      <c r="AG235" s="35">
        <v>19</v>
      </c>
      <c r="AH235" s="35">
        <v>20.2</v>
      </c>
      <c r="AI235" s="35">
        <v>19</v>
      </c>
      <c r="AJ235" s="35">
        <v>18.8</v>
      </c>
      <c r="AK235" s="35">
        <v>19</v>
      </c>
      <c r="AL235" s="35">
        <v>19.899999999999999</v>
      </c>
      <c r="AM235" s="35">
        <v>19</v>
      </c>
      <c r="AN235" s="35">
        <v>19.5</v>
      </c>
      <c r="AO235" s="35">
        <v>19</v>
      </c>
      <c r="AP235" s="35">
        <v>18.399999999999999</v>
      </c>
      <c r="AQ235" s="35">
        <v>19</v>
      </c>
      <c r="AR235" s="35">
        <v>20.7</v>
      </c>
      <c r="AS235" s="35">
        <v>19</v>
      </c>
      <c r="AT235" s="35">
        <v>20.9</v>
      </c>
      <c r="AU235" s="35">
        <v>19</v>
      </c>
      <c r="AV235" s="35">
        <v>19.5</v>
      </c>
      <c r="AW235" s="35">
        <v>19</v>
      </c>
      <c r="AX235" s="35">
        <v>20.9</v>
      </c>
      <c r="AY235" s="35">
        <v>20</v>
      </c>
      <c r="AZ235" s="35">
        <v>20.8</v>
      </c>
      <c r="BA235" s="35">
        <v>20</v>
      </c>
      <c r="BB235" s="35">
        <v>33.1</v>
      </c>
      <c r="BC235" s="35">
        <v>40</v>
      </c>
      <c r="BD235" s="35">
        <v>31.9</v>
      </c>
      <c r="BE235" s="35">
        <v>40</v>
      </c>
      <c r="BF235" s="35">
        <v>21</v>
      </c>
      <c r="BG235" s="35">
        <v>20</v>
      </c>
    </row>
    <row r="236" spans="1:59" x14ac:dyDescent="0.35">
      <c r="A236" s="36">
        <v>46059.613194444442</v>
      </c>
      <c r="B236" s="35">
        <v>1.6</v>
      </c>
      <c r="C236" s="35">
        <v>2</v>
      </c>
      <c r="D236" s="35">
        <v>2</v>
      </c>
      <c r="E236" s="35">
        <v>2.2000000000000002</v>
      </c>
      <c r="F236" s="35">
        <v>3.9</v>
      </c>
      <c r="G236" s="35">
        <v>2</v>
      </c>
      <c r="H236" s="35">
        <v>4</v>
      </c>
      <c r="I236" s="35">
        <v>2</v>
      </c>
      <c r="J236" s="35">
        <v>2.7</v>
      </c>
      <c r="K236" s="35">
        <v>2</v>
      </c>
      <c r="L236" s="35">
        <v>2.2000000000000002</v>
      </c>
      <c r="M236" s="35">
        <v>2</v>
      </c>
      <c r="N236" s="35">
        <v>1.8</v>
      </c>
      <c r="O236" s="35">
        <v>3</v>
      </c>
      <c r="P236" s="35">
        <v>3.4</v>
      </c>
      <c r="Q236" s="35">
        <v>2</v>
      </c>
      <c r="R236" s="35">
        <v>2.6</v>
      </c>
      <c r="S236" s="35">
        <v>2</v>
      </c>
      <c r="T236" s="35">
        <v>2.2000000000000002</v>
      </c>
      <c r="U236" s="35">
        <v>2</v>
      </c>
      <c r="V236" s="35">
        <v>11</v>
      </c>
      <c r="W236" s="35">
        <v>9</v>
      </c>
      <c r="X236" s="35">
        <v>10.1</v>
      </c>
      <c r="Y236" s="35">
        <v>9</v>
      </c>
      <c r="Z236" s="35">
        <v>9.1</v>
      </c>
      <c r="AA236" s="35">
        <v>9</v>
      </c>
      <c r="AB236" s="35">
        <v>10.199999999999999</v>
      </c>
      <c r="AC236" s="35">
        <v>9</v>
      </c>
      <c r="AD236" s="35">
        <v>20.9</v>
      </c>
      <c r="AE236" s="35">
        <v>19</v>
      </c>
      <c r="AF236" s="35">
        <v>20.6</v>
      </c>
      <c r="AG236" s="35">
        <v>19</v>
      </c>
      <c r="AH236" s="35">
        <v>20.2</v>
      </c>
      <c r="AI236" s="35">
        <v>19</v>
      </c>
      <c r="AJ236" s="35">
        <v>19</v>
      </c>
      <c r="AK236" s="35">
        <v>19</v>
      </c>
      <c r="AL236" s="35">
        <v>19.7</v>
      </c>
      <c r="AM236" s="35">
        <v>19</v>
      </c>
      <c r="AN236" s="35">
        <v>19.600000000000001</v>
      </c>
      <c r="AO236" s="35">
        <v>19</v>
      </c>
      <c r="AP236" s="35">
        <v>18.600000000000001</v>
      </c>
      <c r="AQ236" s="35">
        <v>19</v>
      </c>
      <c r="AR236" s="35">
        <v>20.7</v>
      </c>
      <c r="AS236" s="35">
        <v>19</v>
      </c>
      <c r="AT236" s="35">
        <v>20.8</v>
      </c>
      <c r="AU236" s="35">
        <v>19</v>
      </c>
      <c r="AV236" s="35">
        <v>19.7</v>
      </c>
      <c r="AW236" s="35">
        <v>19</v>
      </c>
      <c r="AX236" s="35">
        <v>21.1</v>
      </c>
      <c r="AY236" s="35">
        <v>20</v>
      </c>
      <c r="AZ236" s="35">
        <v>20.9</v>
      </c>
      <c r="BA236" s="35">
        <v>20</v>
      </c>
      <c r="BB236" s="35">
        <v>33.1</v>
      </c>
      <c r="BC236" s="35">
        <v>40</v>
      </c>
      <c r="BD236" s="35">
        <v>31.9</v>
      </c>
      <c r="BE236" s="35">
        <v>40</v>
      </c>
      <c r="BF236" s="35">
        <v>21.1</v>
      </c>
      <c r="BG236" s="35">
        <v>20</v>
      </c>
    </row>
    <row r="237" spans="1:59" x14ac:dyDescent="0.35">
      <c r="A237" s="36">
        <v>46059.613888888889</v>
      </c>
      <c r="B237" s="35">
        <v>2</v>
      </c>
      <c r="C237" s="35">
        <v>2</v>
      </c>
      <c r="D237" s="35">
        <v>2.4</v>
      </c>
      <c r="E237" s="35">
        <v>2.2000000000000002</v>
      </c>
      <c r="F237" s="35">
        <v>3.4</v>
      </c>
      <c r="G237" s="35">
        <v>2</v>
      </c>
      <c r="H237" s="35">
        <v>2.9</v>
      </c>
      <c r="I237" s="35">
        <v>2</v>
      </c>
      <c r="J237" s="35">
        <v>3</v>
      </c>
      <c r="K237" s="35">
        <v>2</v>
      </c>
      <c r="L237" s="35">
        <v>2.5</v>
      </c>
      <c r="M237" s="35">
        <v>2</v>
      </c>
      <c r="N237" s="35">
        <v>1.8</v>
      </c>
      <c r="O237" s="35">
        <v>3</v>
      </c>
      <c r="P237" s="35">
        <v>3.3</v>
      </c>
      <c r="Q237" s="35">
        <v>2</v>
      </c>
      <c r="R237" s="35">
        <v>2.8</v>
      </c>
      <c r="S237" s="35">
        <v>2</v>
      </c>
      <c r="T237" s="35">
        <v>2.4</v>
      </c>
      <c r="U237" s="35">
        <v>2</v>
      </c>
      <c r="V237" s="35">
        <v>9.4</v>
      </c>
      <c r="W237" s="35">
        <v>9</v>
      </c>
      <c r="X237" s="35">
        <v>10.199999999999999</v>
      </c>
      <c r="Y237" s="35">
        <v>9</v>
      </c>
      <c r="Z237" s="35">
        <v>9.5</v>
      </c>
      <c r="AA237" s="35">
        <v>9</v>
      </c>
      <c r="AB237" s="35">
        <v>9.4</v>
      </c>
      <c r="AC237" s="35">
        <v>9</v>
      </c>
      <c r="AD237" s="35">
        <v>20.9</v>
      </c>
      <c r="AE237" s="35">
        <v>19</v>
      </c>
      <c r="AF237" s="35">
        <v>20.6</v>
      </c>
      <c r="AG237" s="35">
        <v>19</v>
      </c>
      <c r="AH237" s="35">
        <v>20.3</v>
      </c>
      <c r="AI237" s="35">
        <v>19</v>
      </c>
      <c r="AJ237" s="35">
        <v>19.2</v>
      </c>
      <c r="AK237" s="35">
        <v>19</v>
      </c>
      <c r="AL237" s="35">
        <v>19.600000000000001</v>
      </c>
      <c r="AM237" s="35">
        <v>19</v>
      </c>
      <c r="AN237" s="35">
        <v>19.8</v>
      </c>
      <c r="AO237" s="35">
        <v>19</v>
      </c>
      <c r="AP237" s="35">
        <v>18.7</v>
      </c>
      <c r="AQ237" s="35">
        <v>19</v>
      </c>
      <c r="AR237" s="35">
        <v>20.7</v>
      </c>
      <c r="AS237" s="35">
        <v>19</v>
      </c>
      <c r="AT237" s="35">
        <v>19.3</v>
      </c>
      <c r="AU237" s="35">
        <v>19</v>
      </c>
      <c r="AV237" s="35">
        <v>19.8</v>
      </c>
      <c r="AW237" s="35">
        <v>19</v>
      </c>
      <c r="AX237" s="35">
        <v>21.1</v>
      </c>
      <c r="AY237" s="35">
        <v>20</v>
      </c>
      <c r="AZ237" s="35">
        <v>20.9</v>
      </c>
      <c r="BA237" s="35">
        <v>20</v>
      </c>
      <c r="BB237" s="35">
        <v>33.1</v>
      </c>
      <c r="BC237" s="35">
        <v>40</v>
      </c>
      <c r="BD237" s="35">
        <v>31.9</v>
      </c>
      <c r="BE237" s="35">
        <v>40</v>
      </c>
      <c r="BF237" s="35">
        <v>21.2</v>
      </c>
      <c r="BG237" s="35">
        <v>20</v>
      </c>
    </row>
    <row r="238" spans="1:59" x14ac:dyDescent="0.35">
      <c r="A238" s="36">
        <v>46059.614583333336</v>
      </c>
      <c r="B238" s="35">
        <v>2.4</v>
      </c>
      <c r="C238" s="35">
        <v>2</v>
      </c>
      <c r="D238" s="35">
        <v>2.8</v>
      </c>
      <c r="E238" s="35">
        <v>2.2000000000000002</v>
      </c>
      <c r="F238" s="35">
        <v>3.3</v>
      </c>
      <c r="G238" s="35">
        <v>2</v>
      </c>
      <c r="H238" s="35">
        <v>2.6</v>
      </c>
      <c r="I238" s="35">
        <v>2</v>
      </c>
      <c r="J238" s="35">
        <v>3.2</v>
      </c>
      <c r="K238" s="35">
        <v>2</v>
      </c>
      <c r="L238" s="35">
        <v>2.9</v>
      </c>
      <c r="M238" s="35">
        <v>2</v>
      </c>
      <c r="N238" s="35">
        <v>1.8</v>
      </c>
      <c r="O238" s="35">
        <v>3</v>
      </c>
      <c r="P238" s="35">
        <v>2.7</v>
      </c>
      <c r="Q238" s="35">
        <v>2</v>
      </c>
      <c r="R238" s="35">
        <v>3</v>
      </c>
      <c r="S238" s="35">
        <v>2</v>
      </c>
      <c r="T238" s="35">
        <v>2.6</v>
      </c>
      <c r="U238" s="35">
        <v>2</v>
      </c>
      <c r="V238" s="35">
        <v>7.5</v>
      </c>
      <c r="W238" s="35">
        <v>9</v>
      </c>
      <c r="X238" s="35">
        <v>10.4</v>
      </c>
      <c r="Y238" s="35">
        <v>9</v>
      </c>
      <c r="Z238" s="35">
        <v>9.8000000000000007</v>
      </c>
      <c r="AA238" s="35">
        <v>9</v>
      </c>
      <c r="AB238" s="35">
        <v>8.9</v>
      </c>
      <c r="AC238" s="35">
        <v>9</v>
      </c>
      <c r="AD238" s="35">
        <v>21</v>
      </c>
      <c r="AE238" s="35">
        <v>19</v>
      </c>
      <c r="AF238" s="35">
        <v>20.6</v>
      </c>
      <c r="AG238" s="35">
        <v>19</v>
      </c>
      <c r="AH238" s="35">
        <v>20.399999999999999</v>
      </c>
      <c r="AI238" s="35">
        <v>19</v>
      </c>
      <c r="AJ238" s="35">
        <v>19.3</v>
      </c>
      <c r="AK238" s="35">
        <v>19</v>
      </c>
      <c r="AL238" s="35">
        <v>19.5</v>
      </c>
      <c r="AM238" s="35">
        <v>19</v>
      </c>
      <c r="AN238" s="35">
        <v>19.899999999999999</v>
      </c>
      <c r="AO238" s="35">
        <v>19</v>
      </c>
      <c r="AP238" s="35">
        <v>18.899999999999999</v>
      </c>
      <c r="AQ238" s="35">
        <v>19</v>
      </c>
      <c r="AR238" s="35">
        <v>20.7</v>
      </c>
      <c r="AS238" s="35">
        <v>19</v>
      </c>
      <c r="AT238" s="35">
        <v>18.399999999999999</v>
      </c>
      <c r="AU238" s="35">
        <v>19</v>
      </c>
      <c r="AV238" s="35">
        <v>19.899999999999999</v>
      </c>
      <c r="AW238" s="35">
        <v>19</v>
      </c>
      <c r="AX238" s="35">
        <v>21.1</v>
      </c>
      <c r="AY238" s="35">
        <v>20</v>
      </c>
      <c r="AZ238" s="35">
        <v>21</v>
      </c>
      <c r="BA238" s="35">
        <v>20</v>
      </c>
      <c r="BB238" s="35">
        <v>33.1</v>
      </c>
      <c r="BC238" s="35">
        <v>40</v>
      </c>
      <c r="BD238" s="35">
        <v>31.9</v>
      </c>
      <c r="BE238" s="35">
        <v>40</v>
      </c>
      <c r="BF238" s="35">
        <v>21.3</v>
      </c>
      <c r="BG238" s="35">
        <v>20</v>
      </c>
    </row>
    <row r="239" spans="1:59" x14ac:dyDescent="0.35">
      <c r="A239" s="36">
        <v>46059.615277777775</v>
      </c>
      <c r="B239" s="35">
        <v>2.8</v>
      </c>
      <c r="C239" s="35">
        <v>2</v>
      </c>
      <c r="D239" s="35">
        <v>3.2</v>
      </c>
      <c r="E239" s="35">
        <v>2.2000000000000002</v>
      </c>
      <c r="F239" s="35">
        <v>3.3</v>
      </c>
      <c r="G239" s="35">
        <v>2</v>
      </c>
      <c r="H239" s="35">
        <v>2.6</v>
      </c>
      <c r="I239" s="35">
        <v>2</v>
      </c>
      <c r="J239" s="35">
        <v>3.4</v>
      </c>
      <c r="K239" s="35">
        <v>2</v>
      </c>
      <c r="L239" s="35">
        <v>3.3</v>
      </c>
      <c r="M239" s="35">
        <v>2</v>
      </c>
      <c r="N239" s="35">
        <v>1.8</v>
      </c>
      <c r="O239" s="35">
        <v>3</v>
      </c>
      <c r="P239" s="35">
        <v>2.5</v>
      </c>
      <c r="Q239" s="35">
        <v>2</v>
      </c>
      <c r="R239" s="35">
        <v>3.1</v>
      </c>
      <c r="S239" s="35">
        <v>2</v>
      </c>
      <c r="T239" s="35">
        <v>2.8</v>
      </c>
      <c r="U239" s="35">
        <v>2</v>
      </c>
      <c r="V239" s="35">
        <v>7.7</v>
      </c>
      <c r="W239" s="35">
        <v>9</v>
      </c>
      <c r="X239" s="35">
        <v>10.5</v>
      </c>
      <c r="Y239" s="35">
        <v>9</v>
      </c>
      <c r="Z239" s="35">
        <v>10.1</v>
      </c>
      <c r="AA239" s="35">
        <v>9</v>
      </c>
      <c r="AB239" s="35">
        <v>9</v>
      </c>
      <c r="AC239" s="35">
        <v>9</v>
      </c>
      <c r="AD239" s="35">
        <v>21</v>
      </c>
      <c r="AE239" s="35">
        <v>19</v>
      </c>
      <c r="AF239" s="35">
        <v>20.7</v>
      </c>
      <c r="AG239" s="35">
        <v>19</v>
      </c>
      <c r="AH239" s="35">
        <v>20.399999999999999</v>
      </c>
      <c r="AI239" s="35">
        <v>19</v>
      </c>
      <c r="AJ239" s="35">
        <v>19.5</v>
      </c>
      <c r="AK239" s="35">
        <v>19</v>
      </c>
      <c r="AL239" s="35">
        <v>19.5</v>
      </c>
      <c r="AM239" s="35">
        <v>19</v>
      </c>
      <c r="AN239" s="35">
        <v>19.899999999999999</v>
      </c>
      <c r="AO239" s="35">
        <v>19</v>
      </c>
      <c r="AP239" s="35">
        <v>19</v>
      </c>
      <c r="AQ239" s="35">
        <v>19</v>
      </c>
      <c r="AR239" s="35">
        <v>20.7</v>
      </c>
      <c r="AS239" s="35">
        <v>19</v>
      </c>
      <c r="AT239" s="35">
        <v>18.399999999999999</v>
      </c>
      <c r="AU239" s="35">
        <v>19</v>
      </c>
      <c r="AV239" s="35">
        <v>20</v>
      </c>
      <c r="AW239" s="35">
        <v>19</v>
      </c>
      <c r="AX239" s="35">
        <v>21.1</v>
      </c>
      <c r="AY239" s="35">
        <v>20</v>
      </c>
      <c r="AZ239" s="35">
        <v>21</v>
      </c>
      <c r="BA239" s="35">
        <v>20</v>
      </c>
      <c r="BB239" s="35">
        <v>33.1</v>
      </c>
      <c r="BC239" s="35">
        <v>40</v>
      </c>
      <c r="BD239" s="35">
        <v>31.9</v>
      </c>
      <c r="BE239" s="35">
        <v>40</v>
      </c>
      <c r="BF239" s="35">
        <v>21.4</v>
      </c>
      <c r="BG239" s="35">
        <v>20</v>
      </c>
    </row>
    <row r="240" spans="1:59" x14ac:dyDescent="0.35">
      <c r="A240" s="36">
        <v>46059.615972222222</v>
      </c>
      <c r="B240" s="35">
        <v>3.2</v>
      </c>
      <c r="C240" s="35">
        <v>2</v>
      </c>
      <c r="D240" s="35">
        <v>3.6</v>
      </c>
      <c r="E240" s="35">
        <v>2.2000000000000002</v>
      </c>
      <c r="F240" s="35">
        <v>3.5</v>
      </c>
      <c r="G240" s="35">
        <v>2</v>
      </c>
      <c r="H240" s="35">
        <v>3</v>
      </c>
      <c r="I240" s="35">
        <v>2</v>
      </c>
      <c r="J240" s="35">
        <v>3.7</v>
      </c>
      <c r="K240" s="35">
        <v>2</v>
      </c>
      <c r="L240" s="35">
        <v>3.6</v>
      </c>
      <c r="M240" s="35">
        <v>2</v>
      </c>
      <c r="N240" s="35">
        <v>1.8</v>
      </c>
      <c r="O240" s="35">
        <v>3</v>
      </c>
      <c r="P240" s="35">
        <v>2.7</v>
      </c>
      <c r="Q240" s="35">
        <v>2</v>
      </c>
      <c r="R240" s="35">
        <v>3.3</v>
      </c>
      <c r="S240" s="35">
        <v>2</v>
      </c>
      <c r="T240" s="35">
        <v>3</v>
      </c>
      <c r="U240" s="35">
        <v>2</v>
      </c>
      <c r="V240" s="35">
        <v>8.5</v>
      </c>
      <c r="W240" s="35">
        <v>9</v>
      </c>
      <c r="X240" s="35">
        <v>10.6</v>
      </c>
      <c r="Y240" s="35">
        <v>9</v>
      </c>
      <c r="Z240" s="35">
        <v>10.5</v>
      </c>
      <c r="AA240" s="35">
        <v>9</v>
      </c>
      <c r="AB240" s="35">
        <v>9.8000000000000007</v>
      </c>
      <c r="AC240" s="35">
        <v>9</v>
      </c>
      <c r="AD240" s="35">
        <v>20.2</v>
      </c>
      <c r="AE240" s="35">
        <v>19</v>
      </c>
      <c r="AF240" s="35">
        <v>20.7</v>
      </c>
      <c r="AG240" s="35">
        <v>19</v>
      </c>
      <c r="AH240" s="35">
        <v>20.5</v>
      </c>
      <c r="AI240" s="35">
        <v>19</v>
      </c>
      <c r="AJ240" s="35">
        <v>19.600000000000001</v>
      </c>
      <c r="AK240" s="35">
        <v>19</v>
      </c>
      <c r="AL240" s="35">
        <v>19.5</v>
      </c>
      <c r="AM240" s="35">
        <v>19</v>
      </c>
      <c r="AN240" s="35">
        <v>20</v>
      </c>
      <c r="AO240" s="35">
        <v>19</v>
      </c>
      <c r="AP240" s="35">
        <v>19.2</v>
      </c>
      <c r="AQ240" s="35">
        <v>19</v>
      </c>
      <c r="AR240" s="35">
        <v>20.7</v>
      </c>
      <c r="AS240" s="35">
        <v>19</v>
      </c>
      <c r="AT240" s="35">
        <v>18.399999999999999</v>
      </c>
      <c r="AU240" s="35">
        <v>19</v>
      </c>
      <c r="AV240" s="35">
        <v>20</v>
      </c>
      <c r="AW240" s="35">
        <v>19</v>
      </c>
      <c r="AX240" s="35">
        <v>21.3</v>
      </c>
      <c r="AY240" s="35">
        <v>20</v>
      </c>
      <c r="AZ240" s="35">
        <v>21.2</v>
      </c>
      <c r="BA240" s="35">
        <v>20</v>
      </c>
      <c r="BB240" s="35">
        <v>33.200000000000003</v>
      </c>
      <c r="BC240" s="35">
        <v>40</v>
      </c>
      <c r="BD240" s="35">
        <v>31.9</v>
      </c>
      <c r="BE240" s="35">
        <v>40</v>
      </c>
      <c r="BF240" s="35">
        <v>21.4</v>
      </c>
      <c r="BG240" s="35">
        <v>20</v>
      </c>
    </row>
    <row r="241" spans="1:59" x14ac:dyDescent="0.35">
      <c r="A241" s="36">
        <v>46059.616666666669</v>
      </c>
      <c r="B241" s="35">
        <v>3.5</v>
      </c>
      <c r="C241" s="35">
        <v>2</v>
      </c>
      <c r="D241" s="35">
        <v>3.9</v>
      </c>
      <c r="E241" s="35">
        <v>2.2000000000000002</v>
      </c>
      <c r="F241" s="35">
        <v>3.7</v>
      </c>
      <c r="G241" s="35">
        <v>2</v>
      </c>
      <c r="H241" s="35">
        <v>3.3</v>
      </c>
      <c r="I241" s="35">
        <v>2</v>
      </c>
      <c r="J241" s="35">
        <v>3.9</v>
      </c>
      <c r="K241" s="35">
        <v>2</v>
      </c>
      <c r="L241" s="35">
        <v>3.9</v>
      </c>
      <c r="M241" s="35">
        <v>2</v>
      </c>
      <c r="N241" s="35">
        <v>1.8</v>
      </c>
      <c r="O241" s="35">
        <v>3</v>
      </c>
      <c r="P241" s="35">
        <v>3.1</v>
      </c>
      <c r="Q241" s="35">
        <v>2</v>
      </c>
      <c r="R241" s="35">
        <v>3.4</v>
      </c>
      <c r="S241" s="35">
        <v>2</v>
      </c>
      <c r="T241" s="35">
        <v>3.1</v>
      </c>
      <c r="U241" s="35">
        <v>2</v>
      </c>
      <c r="V241" s="35">
        <v>9.3000000000000007</v>
      </c>
      <c r="W241" s="35">
        <v>9</v>
      </c>
      <c r="X241" s="35">
        <v>10.7</v>
      </c>
      <c r="Y241" s="35">
        <v>9</v>
      </c>
      <c r="Z241" s="35">
        <v>10.7</v>
      </c>
      <c r="AA241" s="35">
        <v>9</v>
      </c>
      <c r="AB241" s="35">
        <v>10.3</v>
      </c>
      <c r="AC241" s="35">
        <v>9</v>
      </c>
      <c r="AD241" s="35">
        <v>19.600000000000001</v>
      </c>
      <c r="AE241" s="35">
        <v>19</v>
      </c>
      <c r="AF241" s="35">
        <v>20.7</v>
      </c>
      <c r="AG241" s="35">
        <v>19</v>
      </c>
      <c r="AH241" s="35">
        <v>20.5</v>
      </c>
      <c r="AI241" s="35">
        <v>19</v>
      </c>
      <c r="AJ241" s="35">
        <v>19.7</v>
      </c>
      <c r="AK241" s="35">
        <v>19</v>
      </c>
      <c r="AL241" s="35">
        <v>19.600000000000001</v>
      </c>
      <c r="AM241" s="35">
        <v>19</v>
      </c>
      <c r="AN241" s="35">
        <v>20.100000000000001</v>
      </c>
      <c r="AO241" s="35">
        <v>19</v>
      </c>
      <c r="AP241" s="35">
        <v>19.3</v>
      </c>
      <c r="AQ241" s="35">
        <v>19</v>
      </c>
      <c r="AR241" s="35">
        <v>20.7</v>
      </c>
      <c r="AS241" s="35">
        <v>19</v>
      </c>
      <c r="AT241" s="35">
        <v>18.7</v>
      </c>
      <c r="AU241" s="35">
        <v>19</v>
      </c>
      <c r="AV241" s="35">
        <v>20.100000000000001</v>
      </c>
      <c r="AW241" s="35">
        <v>19</v>
      </c>
      <c r="AX241" s="35">
        <v>21.3</v>
      </c>
      <c r="AY241" s="35">
        <v>20</v>
      </c>
      <c r="AZ241" s="35">
        <v>21.2</v>
      </c>
      <c r="BA241" s="35">
        <v>20</v>
      </c>
      <c r="BB241" s="35">
        <v>33.200000000000003</v>
      </c>
      <c r="BC241" s="35">
        <v>40</v>
      </c>
      <c r="BD241" s="35">
        <v>31.9</v>
      </c>
      <c r="BE241" s="35">
        <v>40</v>
      </c>
      <c r="BF241" s="35">
        <v>21.5</v>
      </c>
      <c r="BG241" s="35">
        <v>20</v>
      </c>
    </row>
    <row r="242" spans="1:59" x14ac:dyDescent="0.35">
      <c r="A242" s="36">
        <v>46059.618750000001</v>
      </c>
      <c r="B242" s="35">
        <v>3.7</v>
      </c>
      <c r="C242" s="35">
        <v>2</v>
      </c>
      <c r="D242" s="35">
        <v>4.0999999999999996</v>
      </c>
      <c r="E242" s="35">
        <v>2.2000000000000002</v>
      </c>
      <c r="F242" s="35">
        <v>1.9</v>
      </c>
      <c r="G242" s="35">
        <v>2</v>
      </c>
      <c r="H242" s="35">
        <v>1.6</v>
      </c>
      <c r="I242" s="35">
        <v>2</v>
      </c>
      <c r="J242" s="35">
        <v>1.8</v>
      </c>
      <c r="K242" s="35">
        <v>2</v>
      </c>
      <c r="L242" s="35">
        <v>1.7</v>
      </c>
      <c r="M242" s="35">
        <v>2</v>
      </c>
      <c r="N242" s="35">
        <v>1.8</v>
      </c>
      <c r="O242" s="35">
        <v>3</v>
      </c>
      <c r="P242" s="35">
        <v>3</v>
      </c>
      <c r="Q242" s="35">
        <v>2</v>
      </c>
      <c r="R242" s="35">
        <v>3.8</v>
      </c>
      <c r="S242" s="35">
        <v>2</v>
      </c>
      <c r="T242" s="35">
        <v>3.5</v>
      </c>
      <c r="U242" s="35">
        <v>2</v>
      </c>
      <c r="V242" s="35">
        <v>10.7</v>
      </c>
      <c r="W242" s="35">
        <v>9</v>
      </c>
      <c r="X242" s="35">
        <v>10.9</v>
      </c>
      <c r="Y242" s="35">
        <v>9</v>
      </c>
      <c r="Z242" s="35">
        <v>10.7</v>
      </c>
      <c r="AA242" s="35">
        <v>9</v>
      </c>
      <c r="AB242" s="35">
        <v>10.4</v>
      </c>
      <c r="AC242" s="35">
        <v>9</v>
      </c>
      <c r="AD242" s="35">
        <v>18.899999999999999</v>
      </c>
      <c r="AE242" s="35">
        <v>19</v>
      </c>
      <c r="AF242" s="35">
        <v>20.8</v>
      </c>
      <c r="AG242" s="35">
        <v>19</v>
      </c>
      <c r="AH242" s="35">
        <v>20.7</v>
      </c>
      <c r="AI242" s="35">
        <v>19</v>
      </c>
      <c r="AJ242" s="35">
        <v>20</v>
      </c>
      <c r="AK242" s="35">
        <v>19</v>
      </c>
      <c r="AL242" s="35">
        <v>19.600000000000001</v>
      </c>
      <c r="AM242" s="35">
        <v>19</v>
      </c>
      <c r="AN242" s="35">
        <v>20.3</v>
      </c>
      <c r="AO242" s="35">
        <v>19</v>
      </c>
      <c r="AP242" s="35">
        <v>19.600000000000001</v>
      </c>
      <c r="AQ242" s="35">
        <v>19</v>
      </c>
      <c r="AR242" s="35">
        <v>20.7</v>
      </c>
      <c r="AS242" s="35">
        <v>19</v>
      </c>
      <c r="AT242" s="35">
        <v>19.2</v>
      </c>
      <c r="AU242" s="35">
        <v>19</v>
      </c>
      <c r="AV242" s="35">
        <v>20.3</v>
      </c>
      <c r="AW242" s="35">
        <v>19</v>
      </c>
      <c r="AX242" s="35">
        <v>21.3</v>
      </c>
      <c r="AY242" s="35">
        <v>20</v>
      </c>
      <c r="AZ242" s="35">
        <v>21.4</v>
      </c>
      <c r="BA242" s="35">
        <v>20</v>
      </c>
      <c r="BB242" s="35">
        <v>33.200000000000003</v>
      </c>
      <c r="BC242" s="35">
        <v>40</v>
      </c>
      <c r="BD242" s="35">
        <v>31.9</v>
      </c>
      <c r="BE242" s="35">
        <v>40</v>
      </c>
      <c r="BF242" s="35">
        <v>21.6</v>
      </c>
      <c r="BG242" s="35">
        <v>20</v>
      </c>
    </row>
    <row r="243" spans="1:59" x14ac:dyDescent="0.35">
      <c r="A243" s="36">
        <v>46059.619444444441</v>
      </c>
      <c r="B243" s="35">
        <v>4</v>
      </c>
      <c r="C243" s="35">
        <v>2</v>
      </c>
      <c r="D243" s="35">
        <v>4.3</v>
      </c>
      <c r="E243" s="35">
        <v>2.2000000000000002</v>
      </c>
      <c r="F243" s="35">
        <v>1.5</v>
      </c>
      <c r="G243" s="35">
        <v>2</v>
      </c>
      <c r="H243" s="35">
        <v>1.5</v>
      </c>
      <c r="I243" s="35">
        <v>2</v>
      </c>
      <c r="J243" s="35">
        <v>1.7</v>
      </c>
      <c r="K243" s="35">
        <v>2</v>
      </c>
      <c r="L243" s="35">
        <v>1.9</v>
      </c>
      <c r="M243" s="35">
        <v>2</v>
      </c>
      <c r="N243" s="35">
        <v>2.2999999999999998</v>
      </c>
      <c r="O243" s="35">
        <v>3</v>
      </c>
      <c r="P243" s="35">
        <v>2.6</v>
      </c>
      <c r="Q243" s="35">
        <v>2</v>
      </c>
      <c r="R243" s="35">
        <v>3.9</v>
      </c>
      <c r="S243" s="35">
        <v>2</v>
      </c>
      <c r="T243" s="35">
        <v>3.6</v>
      </c>
      <c r="U243" s="35">
        <v>2</v>
      </c>
      <c r="V243" s="35">
        <v>11</v>
      </c>
      <c r="W243" s="35">
        <v>9</v>
      </c>
      <c r="X243" s="35">
        <v>11</v>
      </c>
      <c r="Y243" s="35">
        <v>9</v>
      </c>
      <c r="Z243" s="35">
        <v>10.1</v>
      </c>
      <c r="AA243" s="35">
        <v>9</v>
      </c>
      <c r="AB243" s="35">
        <v>9.3000000000000007</v>
      </c>
      <c r="AC243" s="35">
        <v>9</v>
      </c>
      <c r="AD243" s="35">
        <v>19</v>
      </c>
      <c r="AE243" s="35">
        <v>19</v>
      </c>
      <c r="AF243" s="35">
        <v>20.8</v>
      </c>
      <c r="AG243" s="35">
        <v>19</v>
      </c>
      <c r="AH243" s="35">
        <v>20.7</v>
      </c>
      <c r="AI243" s="35">
        <v>19</v>
      </c>
      <c r="AJ243" s="35">
        <v>20.100000000000001</v>
      </c>
      <c r="AK243" s="35">
        <v>19</v>
      </c>
      <c r="AL243" s="35">
        <v>19.600000000000001</v>
      </c>
      <c r="AM243" s="35">
        <v>19</v>
      </c>
      <c r="AN243" s="35">
        <v>20.399999999999999</v>
      </c>
      <c r="AO243" s="35">
        <v>19</v>
      </c>
      <c r="AP243" s="35">
        <v>19.7</v>
      </c>
      <c r="AQ243" s="35">
        <v>19</v>
      </c>
      <c r="AR243" s="35">
        <v>20.7</v>
      </c>
      <c r="AS243" s="35">
        <v>19</v>
      </c>
      <c r="AT243" s="35">
        <v>19.399999999999999</v>
      </c>
      <c r="AU243" s="35">
        <v>19</v>
      </c>
      <c r="AV243" s="35">
        <v>20.399999999999999</v>
      </c>
      <c r="AW243" s="35">
        <v>19</v>
      </c>
      <c r="AX243" s="35">
        <v>21.3</v>
      </c>
      <c r="AY243" s="35">
        <v>20</v>
      </c>
      <c r="AZ243" s="35">
        <v>21.4</v>
      </c>
      <c r="BA243" s="35">
        <v>20</v>
      </c>
      <c r="BB243" s="35">
        <v>33.200000000000003</v>
      </c>
      <c r="BC243" s="35">
        <v>40</v>
      </c>
      <c r="BD243" s="35">
        <v>31.9</v>
      </c>
      <c r="BE243" s="35">
        <v>40</v>
      </c>
      <c r="BF243" s="35">
        <v>21.7</v>
      </c>
      <c r="BG243" s="35">
        <v>20</v>
      </c>
    </row>
    <row r="244" spans="1:59" x14ac:dyDescent="0.35">
      <c r="A244" s="36">
        <v>46059.620138888888</v>
      </c>
      <c r="B244" s="35">
        <v>3.8</v>
      </c>
      <c r="C244" s="35">
        <v>2</v>
      </c>
      <c r="D244" s="35">
        <v>4</v>
      </c>
      <c r="E244" s="35">
        <v>2.2000000000000002</v>
      </c>
      <c r="F244" s="35">
        <v>1.6</v>
      </c>
      <c r="G244" s="35">
        <v>2</v>
      </c>
      <c r="H244" s="35">
        <v>1.8</v>
      </c>
      <c r="I244" s="35">
        <v>2</v>
      </c>
      <c r="J244" s="35">
        <v>1.8</v>
      </c>
      <c r="K244" s="35">
        <v>2</v>
      </c>
      <c r="L244" s="35">
        <v>2.2999999999999998</v>
      </c>
      <c r="M244" s="35">
        <v>2</v>
      </c>
      <c r="N244" s="35">
        <v>2.2999999999999998</v>
      </c>
      <c r="O244" s="35">
        <v>3</v>
      </c>
      <c r="P244" s="35">
        <v>2.5</v>
      </c>
      <c r="Q244" s="35">
        <v>2</v>
      </c>
      <c r="R244" s="35">
        <v>3.8</v>
      </c>
      <c r="S244" s="35">
        <v>2</v>
      </c>
      <c r="T244" s="35">
        <v>3.3</v>
      </c>
      <c r="U244" s="35">
        <v>2</v>
      </c>
      <c r="V244" s="35">
        <v>9.6999999999999993</v>
      </c>
      <c r="W244" s="35">
        <v>9</v>
      </c>
      <c r="X244" s="35">
        <v>10.4</v>
      </c>
      <c r="Y244" s="35">
        <v>9</v>
      </c>
      <c r="Z244" s="35">
        <v>9.8000000000000007</v>
      </c>
      <c r="AA244" s="35">
        <v>9</v>
      </c>
      <c r="AB244" s="35">
        <v>8.6999999999999993</v>
      </c>
      <c r="AC244" s="35">
        <v>9</v>
      </c>
      <c r="AD244" s="35">
        <v>19.2</v>
      </c>
      <c r="AE244" s="35">
        <v>19</v>
      </c>
      <c r="AF244" s="35">
        <v>20.9</v>
      </c>
      <c r="AG244" s="35">
        <v>19</v>
      </c>
      <c r="AH244" s="35">
        <v>20.7</v>
      </c>
      <c r="AI244" s="35">
        <v>19</v>
      </c>
      <c r="AJ244" s="35">
        <v>20.2</v>
      </c>
      <c r="AK244" s="35">
        <v>19</v>
      </c>
      <c r="AL244" s="35">
        <v>19.600000000000001</v>
      </c>
      <c r="AM244" s="35">
        <v>19</v>
      </c>
      <c r="AN244" s="35">
        <v>20.399999999999999</v>
      </c>
      <c r="AO244" s="35">
        <v>19</v>
      </c>
      <c r="AP244" s="35">
        <v>19.8</v>
      </c>
      <c r="AQ244" s="35">
        <v>19</v>
      </c>
      <c r="AR244" s="35">
        <v>20.7</v>
      </c>
      <c r="AS244" s="35">
        <v>19</v>
      </c>
      <c r="AT244" s="35">
        <v>19.5</v>
      </c>
      <c r="AU244" s="35">
        <v>19</v>
      </c>
      <c r="AV244" s="35">
        <v>20.399999999999999</v>
      </c>
      <c r="AW244" s="35">
        <v>19</v>
      </c>
      <c r="AX244" s="35">
        <v>21.2</v>
      </c>
      <c r="AY244" s="35">
        <v>20</v>
      </c>
      <c r="AZ244" s="35">
        <v>21.4</v>
      </c>
      <c r="BA244" s="35">
        <v>20</v>
      </c>
      <c r="BB244" s="35">
        <v>33.200000000000003</v>
      </c>
      <c r="BC244" s="35">
        <v>40</v>
      </c>
      <c r="BD244" s="35">
        <v>32</v>
      </c>
      <c r="BE244" s="35">
        <v>40</v>
      </c>
      <c r="BF244" s="35">
        <v>21.7</v>
      </c>
      <c r="BG244" s="35">
        <v>20</v>
      </c>
    </row>
    <row r="245" spans="1:59" x14ac:dyDescent="0.35">
      <c r="A245" s="36">
        <v>46059.620833333334</v>
      </c>
      <c r="B245" s="35">
        <v>3.3</v>
      </c>
      <c r="C245" s="35">
        <v>2</v>
      </c>
      <c r="D245" s="35">
        <v>3.4</v>
      </c>
      <c r="E245" s="35">
        <v>2.2000000000000002</v>
      </c>
      <c r="F245" s="35">
        <v>2</v>
      </c>
      <c r="G245" s="35">
        <v>2</v>
      </c>
      <c r="H245" s="35">
        <v>2.2999999999999998</v>
      </c>
      <c r="I245" s="35">
        <v>2</v>
      </c>
      <c r="J245" s="35">
        <v>2</v>
      </c>
      <c r="K245" s="35">
        <v>2</v>
      </c>
      <c r="L245" s="35">
        <v>2.6</v>
      </c>
      <c r="M245" s="35">
        <v>2</v>
      </c>
      <c r="N245" s="35">
        <v>2.5</v>
      </c>
      <c r="O245" s="35">
        <v>3</v>
      </c>
      <c r="P245" s="35">
        <v>2.5</v>
      </c>
      <c r="Q245" s="35">
        <v>2</v>
      </c>
      <c r="R245" s="35">
        <v>2.7</v>
      </c>
      <c r="S245" s="35">
        <v>2</v>
      </c>
      <c r="T245" s="35">
        <v>2</v>
      </c>
      <c r="U245" s="35">
        <v>2</v>
      </c>
      <c r="V245" s="35">
        <v>7.9</v>
      </c>
      <c r="W245" s="35">
        <v>9</v>
      </c>
      <c r="X245" s="35">
        <v>9.6</v>
      </c>
      <c r="Y245" s="35">
        <v>9</v>
      </c>
      <c r="Z245" s="35">
        <v>9.5</v>
      </c>
      <c r="AA245" s="35">
        <v>9</v>
      </c>
      <c r="AB245" s="35">
        <v>9</v>
      </c>
      <c r="AC245" s="35">
        <v>9</v>
      </c>
      <c r="AD245" s="35">
        <v>19.3</v>
      </c>
      <c r="AE245" s="35">
        <v>19</v>
      </c>
      <c r="AF245" s="35">
        <v>20.9</v>
      </c>
      <c r="AG245" s="35">
        <v>19</v>
      </c>
      <c r="AH245" s="35">
        <v>20.8</v>
      </c>
      <c r="AI245" s="35">
        <v>19</v>
      </c>
      <c r="AJ245" s="35">
        <v>20.2</v>
      </c>
      <c r="AK245" s="35">
        <v>19</v>
      </c>
      <c r="AL245" s="35">
        <v>19.600000000000001</v>
      </c>
      <c r="AM245" s="35">
        <v>19</v>
      </c>
      <c r="AN245" s="35">
        <v>20.5</v>
      </c>
      <c r="AO245" s="35">
        <v>19</v>
      </c>
      <c r="AP245" s="35">
        <v>19.8</v>
      </c>
      <c r="AQ245" s="35">
        <v>19</v>
      </c>
      <c r="AR245" s="35">
        <v>20.7</v>
      </c>
      <c r="AS245" s="35">
        <v>19</v>
      </c>
      <c r="AT245" s="35">
        <v>19.600000000000001</v>
      </c>
      <c r="AU245" s="35">
        <v>19</v>
      </c>
      <c r="AV245" s="35">
        <v>20.5</v>
      </c>
      <c r="AW245" s="35">
        <v>19</v>
      </c>
      <c r="AX245" s="35">
        <v>21.1</v>
      </c>
      <c r="AY245" s="35">
        <v>20</v>
      </c>
      <c r="AZ245" s="35">
        <v>21.4</v>
      </c>
      <c r="BA245" s="35">
        <v>20</v>
      </c>
      <c r="BB245" s="35">
        <v>33.200000000000003</v>
      </c>
      <c r="BC245" s="35">
        <v>40</v>
      </c>
      <c r="BD245" s="35">
        <v>32</v>
      </c>
      <c r="BE245" s="35">
        <v>40</v>
      </c>
      <c r="BF245" s="35">
        <v>21.8</v>
      </c>
      <c r="BG245" s="35">
        <v>20</v>
      </c>
    </row>
    <row r="246" spans="1:59" x14ac:dyDescent="0.35">
      <c r="A246" s="36">
        <v>46059.621527777781</v>
      </c>
      <c r="B246" s="35">
        <v>2.1</v>
      </c>
      <c r="C246" s="35">
        <v>2</v>
      </c>
      <c r="D246" s="35">
        <v>2.2999999999999998</v>
      </c>
      <c r="E246" s="35">
        <v>2.2000000000000002</v>
      </c>
      <c r="F246" s="35">
        <v>2.4</v>
      </c>
      <c r="G246" s="35">
        <v>2</v>
      </c>
      <c r="H246" s="35">
        <v>2.7</v>
      </c>
      <c r="I246" s="35">
        <v>2</v>
      </c>
      <c r="J246" s="35">
        <v>2.2999999999999998</v>
      </c>
      <c r="K246" s="35">
        <v>2</v>
      </c>
      <c r="L246" s="35">
        <v>3</v>
      </c>
      <c r="M246" s="35">
        <v>2</v>
      </c>
      <c r="N246" s="35">
        <v>1.9</v>
      </c>
      <c r="O246" s="35">
        <v>3</v>
      </c>
      <c r="P246" s="35">
        <v>2.2999999999999998</v>
      </c>
      <c r="Q246" s="35">
        <v>2</v>
      </c>
      <c r="R246" s="35">
        <v>1.8</v>
      </c>
      <c r="S246" s="35">
        <v>2</v>
      </c>
      <c r="T246" s="35">
        <v>1.1000000000000001</v>
      </c>
      <c r="U246" s="35">
        <v>2</v>
      </c>
      <c r="V246" s="35">
        <v>7.8</v>
      </c>
      <c r="W246" s="35">
        <v>9</v>
      </c>
      <c r="X246" s="35">
        <v>8.8000000000000007</v>
      </c>
      <c r="Y246" s="35">
        <v>9</v>
      </c>
      <c r="Z246" s="35">
        <v>9.1999999999999993</v>
      </c>
      <c r="AA246" s="35">
        <v>9</v>
      </c>
      <c r="AB246" s="35">
        <v>9.6999999999999993</v>
      </c>
      <c r="AC246" s="35">
        <v>9</v>
      </c>
      <c r="AD246" s="35">
        <v>19.5</v>
      </c>
      <c r="AE246" s="35">
        <v>19</v>
      </c>
      <c r="AF246" s="35">
        <v>20.9</v>
      </c>
      <c r="AG246" s="35">
        <v>19</v>
      </c>
      <c r="AH246" s="35">
        <v>20.8</v>
      </c>
      <c r="AI246" s="35">
        <v>19</v>
      </c>
      <c r="AJ246" s="35">
        <v>20.3</v>
      </c>
      <c r="AK246" s="35">
        <v>19</v>
      </c>
      <c r="AL246" s="35">
        <v>19.600000000000001</v>
      </c>
      <c r="AM246" s="35">
        <v>19</v>
      </c>
      <c r="AN246" s="35">
        <v>20.6</v>
      </c>
      <c r="AO246" s="35">
        <v>19</v>
      </c>
      <c r="AP246" s="35">
        <v>19.899999999999999</v>
      </c>
      <c r="AQ246" s="35">
        <v>19</v>
      </c>
      <c r="AR246" s="35">
        <v>20.7</v>
      </c>
      <c r="AS246" s="35">
        <v>19</v>
      </c>
      <c r="AT246" s="35">
        <v>19.7</v>
      </c>
      <c r="AU246" s="35">
        <v>19</v>
      </c>
      <c r="AV246" s="35">
        <v>20.5</v>
      </c>
      <c r="AW246" s="35">
        <v>19</v>
      </c>
      <c r="AX246" s="35">
        <v>21.1</v>
      </c>
      <c r="AY246" s="35">
        <v>20</v>
      </c>
      <c r="AZ246" s="35">
        <v>21.4</v>
      </c>
      <c r="BA246" s="35">
        <v>20</v>
      </c>
      <c r="BB246" s="35">
        <v>33.299999999999997</v>
      </c>
      <c r="BC246" s="35">
        <v>40</v>
      </c>
      <c r="BD246" s="35">
        <v>32</v>
      </c>
      <c r="BE246" s="35">
        <v>40</v>
      </c>
      <c r="BF246" s="35">
        <v>21.8</v>
      </c>
      <c r="BG246" s="35">
        <v>20</v>
      </c>
    </row>
    <row r="247" spans="1:59" x14ac:dyDescent="0.35">
      <c r="A247" s="36">
        <v>46059.62222222222</v>
      </c>
      <c r="B247" s="35">
        <v>1.5</v>
      </c>
      <c r="C247" s="35">
        <v>2</v>
      </c>
      <c r="D247" s="35">
        <v>2</v>
      </c>
      <c r="E247" s="35">
        <v>2.2000000000000002</v>
      </c>
      <c r="F247" s="35">
        <v>2.8</v>
      </c>
      <c r="G247" s="35">
        <v>2</v>
      </c>
      <c r="H247" s="35">
        <v>3.2</v>
      </c>
      <c r="I247" s="35">
        <v>2</v>
      </c>
      <c r="J247" s="35">
        <v>2.5</v>
      </c>
      <c r="K247" s="35">
        <v>2</v>
      </c>
      <c r="L247" s="35">
        <v>3.3</v>
      </c>
      <c r="M247" s="35">
        <v>2</v>
      </c>
      <c r="N247" s="35">
        <v>3</v>
      </c>
      <c r="O247" s="35">
        <v>3</v>
      </c>
      <c r="P247" s="35">
        <v>1.9</v>
      </c>
      <c r="Q247" s="35">
        <v>2</v>
      </c>
      <c r="R247" s="35">
        <v>1.6</v>
      </c>
      <c r="S247" s="35">
        <v>2</v>
      </c>
      <c r="T247" s="35">
        <v>1.1000000000000001</v>
      </c>
      <c r="U247" s="35">
        <v>2</v>
      </c>
      <c r="V247" s="35">
        <v>8.6999999999999993</v>
      </c>
      <c r="W247" s="35">
        <v>9</v>
      </c>
      <c r="X247" s="35">
        <v>8.1999999999999993</v>
      </c>
      <c r="Y247" s="35">
        <v>9</v>
      </c>
      <c r="Z247" s="35">
        <v>8.9</v>
      </c>
      <c r="AA247" s="35">
        <v>9</v>
      </c>
      <c r="AB247" s="35">
        <v>10.199999999999999</v>
      </c>
      <c r="AC247" s="35">
        <v>9</v>
      </c>
      <c r="AD247" s="35">
        <v>19.5</v>
      </c>
      <c r="AE247" s="35">
        <v>19</v>
      </c>
      <c r="AF247" s="35">
        <v>21</v>
      </c>
      <c r="AG247" s="35">
        <v>19</v>
      </c>
      <c r="AH247" s="35">
        <v>20.9</v>
      </c>
      <c r="AI247" s="35">
        <v>19</v>
      </c>
      <c r="AJ247" s="35">
        <v>20.399999999999999</v>
      </c>
      <c r="AK247" s="35">
        <v>19</v>
      </c>
      <c r="AL247" s="35">
        <v>19.600000000000001</v>
      </c>
      <c r="AM247" s="35">
        <v>19</v>
      </c>
      <c r="AN247" s="35">
        <v>20.6</v>
      </c>
      <c r="AO247" s="35">
        <v>19</v>
      </c>
      <c r="AP247" s="35">
        <v>19.899999999999999</v>
      </c>
      <c r="AQ247" s="35">
        <v>19</v>
      </c>
      <c r="AR247" s="35">
        <v>20.7</v>
      </c>
      <c r="AS247" s="35">
        <v>19</v>
      </c>
      <c r="AT247" s="35">
        <v>19.899999999999999</v>
      </c>
      <c r="AU247" s="35">
        <v>19</v>
      </c>
      <c r="AV247" s="35">
        <v>20.6</v>
      </c>
      <c r="AW247" s="35">
        <v>19</v>
      </c>
      <c r="AX247" s="35">
        <v>21.1</v>
      </c>
      <c r="AY247" s="35">
        <v>20</v>
      </c>
      <c r="AZ247" s="35">
        <v>21.4</v>
      </c>
      <c r="BA247" s="35">
        <v>20</v>
      </c>
      <c r="BB247" s="35">
        <v>33.299999999999997</v>
      </c>
      <c r="BC247" s="35">
        <v>40</v>
      </c>
      <c r="BD247" s="35">
        <v>32</v>
      </c>
      <c r="BE247" s="35">
        <v>40</v>
      </c>
      <c r="BF247" s="35">
        <v>21.9</v>
      </c>
      <c r="BG247" s="35">
        <v>20</v>
      </c>
    </row>
    <row r="248" spans="1:59" x14ac:dyDescent="0.35">
      <c r="A248" s="36">
        <v>46059.622916666667</v>
      </c>
      <c r="B248" s="35">
        <v>1.8</v>
      </c>
      <c r="C248" s="35">
        <v>2</v>
      </c>
      <c r="D248" s="35">
        <v>2.2000000000000002</v>
      </c>
      <c r="E248" s="35">
        <v>2.2000000000000002</v>
      </c>
      <c r="F248" s="35">
        <v>3.2</v>
      </c>
      <c r="G248" s="35">
        <v>2</v>
      </c>
      <c r="H248" s="35">
        <v>3.5</v>
      </c>
      <c r="I248" s="35">
        <v>2</v>
      </c>
      <c r="J248" s="35">
        <v>2.7</v>
      </c>
      <c r="K248" s="35">
        <v>2</v>
      </c>
      <c r="L248" s="35">
        <v>3.6</v>
      </c>
      <c r="M248" s="35">
        <v>2</v>
      </c>
      <c r="N248" s="35">
        <v>5.2</v>
      </c>
      <c r="O248" s="35">
        <v>3</v>
      </c>
      <c r="P248" s="35">
        <v>2.1</v>
      </c>
      <c r="Q248" s="35">
        <v>2</v>
      </c>
      <c r="R248" s="35">
        <v>1.6</v>
      </c>
      <c r="S248" s="35">
        <v>2</v>
      </c>
      <c r="T248" s="35">
        <v>1.2</v>
      </c>
      <c r="U248" s="35">
        <v>2</v>
      </c>
      <c r="V248" s="35">
        <v>9.4</v>
      </c>
      <c r="W248" s="35">
        <v>9</v>
      </c>
      <c r="X248" s="35">
        <v>8.1999999999999993</v>
      </c>
      <c r="Y248" s="35">
        <v>9</v>
      </c>
      <c r="Z248" s="35">
        <v>9</v>
      </c>
      <c r="AA248" s="35">
        <v>9</v>
      </c>
      <c r="AB248" s="35">
        <v>10.8</v>
      </c>
      <c r="AC248" s="35">
        <v>9</v>
      </c>
      <c r="AD248" s="35">
        <v>19.600000000000001</v>
      </c>
      <c r="AE248" s="35">
        <v>19</v>
      </c>
      <c r="AF248" s="35">
        <v>20.6</v>
      </c>
      <c r="AG248" s="35">
        <v>19</v>
      </c>
      <c r="AH248" s="35">
        <v>20.9</v>
      </c>
      <c r="AI248" s="35">
        <v>19</v>
      </c>
      <c r="AJ248" s="35">
        <v>20.5</v>
      </c>
      <c r="AK248" s="35">
        <v>19</v>
      </c>
      <c r="AL248" s="35">
        <v>19.600000000000001</v>
      </c>
      <c r="AM248" s="35">
        <v>19</v>
      </c>
      <c r="AN248" s="35">
        <v>20.7</v>
      </c>
      <c r="AO248" s="35">
        <v>19</v>
      </c>
      <c r="AP248" s="35">
        <v>20</v>
      </c>
      <c r="AQ248" s="35">
        <v>19</v>
      </c>
      <c r="AR248" s="35">
        <v>20.7</v>
      </c>
      <c r="AS248" s="35">
        <v>19</v>
      </c>
      <c r="AT248" s="35">
        <v>20</v>
      </c>
      <c r="AU248" s="35">
        <v>19</v>
      </c>
      <c r="AV248" s="35">
        <v>20.6</v>
      </c>
      <c r="AW248" s="35">
        <v>19</v>
      </c>
      <c r="AX248" s="35">
        <v>21.1</v>
      </c>
      <c r="AY248" s="35">
        <v>20</v>
      </c>
      <c r="AZ248" s="35">
        <v>21.3</v>
      </c>
      <c r="BA248" s="35">
        <v>20</v>
      </c>
      <c r="BB248" s="35">
        <v>33.299999999999997</v>
      </c>
      <c r="BC248" s="35">
        <v>40</v>
      </c>
      <c r="BD248" s="35">
        <v>32</v>
      </c>
      <c r="BE248" s="35">
        <v>40</v>
      </c>
      <c r="BF248" s="35">
        <v>21.9</v>
      </c>
      <c r="BG248" s="35">
        <v>20</v>
      </c>
    </row>
    <row r="249" spans="1:59" x14ac:dyDescent="0.35">
      <c r="A249" s="36">
        <v>46059.623611111114</v>
      </c>
      <c r="B249" s="35">
        <v>2.2999999999999998</v>
      </c>
      <c r="C249" s="35">
        <v>2</v>
      </c>
      <c r="D249" s="35">
        <v>2.7</v>
      </c>
      <c r="E249" s="35">
        <v>2.2000000000000002</v>
      </c>
      <c r="F249" s="35">
        <v>3.5</v>
      </c>
      <c r="G249" s="35">
        <v>2</v>
      </c>
      <c r="H249" s="35">
        <v>3.7</v>
      </c>
      <c r="I249" s="35">
        <v>2</v>
      </c>
      <c r="J249" s="35">
        <v>2.9</v>
      </c>
      <c r="K249" s="35">
        <v>2</v>
      </c>
      <c r="L249" s="35">
        <v>3.8</v>
      </c>
      <c r="M249" s="35">
        <v>2</v>
      </c>
      <c r="N249" s="35">
        <v>4.2</v>
      </c>
      <c r="O249" s="35">
        <v>3</v>
      </c>
      <c r="P249" s="35">
        <v>2.5</v>
      </c>
      <c r="Q249" s="35">
        <v>2</v>
      </c>
      <c r="R249" s="35">
        <v>1.9</v>
      </c>
      <c r="S249" s="35">
        <v>2</v>
      </c>
      <c r="T249" s="35">
        <v>1.5</v>
      </c>
      <c r="U249" s="35">
        <v>2</v>
      </c>
      <c r="V249" s="35">
        <v>10</v>
      </c>
      <c r="W249" s="35">
        <v>9</v>
      </c>
      <c r="X249" s="35">
        <v>8.4</v>
      </c>
      <c r="Y249" s="35">
        <v>9</v>
      </c>
      <c r="Z249" s="35">
        <v>9.4</v>
      </c>
      <c r="AA249" s="35">
        <v>9</v>
      </c>
      <c r="AB249" s="35">
        <v>11.1</v>
      </c>
      <c r="AC249" s="35">
        <v>9</v>
      </c>
      <c r="AD249" s="35">
        <v>19.7</v>
      </c>
      <c r="AE249" s="35">
        <v>19</v>
      </c>
      <c r="AF249" s="35">
        <v>20</v>
      </c>
      <c r="AG249" s="35">
        <v>19</v>
      </c>
      <c r="AH249" s="35">
        <v>21</v>
      </c>
      <c r="AI249" s="35">
        <v>19</v>
      </c>
      <c r="AJ249" s="35">
        <v>20.5</v>
      </c>
      <c r="AK249" s="35">
        <v>19</v>
      </c>
      <c r="AL249" s="35">
        <v>19.600000000000001</v>
      </c>
      <c r="AM249" s="35">
        <v>19</v>
      </c>
      <c r="AN249" s="35">
        <v>20.7</v>
      </c>
      <c r="AO249" s="35">
        <v>19</v>
      </c>
      <c r="AP249" s="35">
        <v>20</v>
      </c>
      <c r="AQ249" s="35">
        <v>19</v>
      </c>
      <c r="AR249" s="35">
        <v>20.7</v>
      </c>
      <c r="AS249" s="35">
        <v>19</v>
      </c>
      <c r="AT249" s="35">
        <v>20</v>
      </c>
      <c r="AU249" s="35">
        <v>19</v>
      </c>
      <c r="AV249" s="35">
        <v>20.7</v>
      </c>
      <c r="AW249" s="35">
        <v>19</v>
      </c>
      <c r="AX249" s="35">
        <v>21.1</v>
      </c>
      <c r="AY249" s="35">
        <v>20</v>
      </c>
      <c r="AZ249" s="35">
        <v>21.2</v>
      </c>
      <c r="BA249" s="35">
        <v>20</v>
      </c>
      <c r="BB249" s="35">
        <v>33.299999999999997</v>
      </c>
      <c r="BC249" s="35">
        <v>40</v>
      </c>
      <c r="BD249" s="35">
        <v>32</v>
      </c>
      <c r="BE249" s="35">
        <v>40</v>
      </c>
      <c r="BF249" s="35">
        <v>21.9</v>
      </c>
      <c r="BG249" s="35">
        <v>20</v>
      </c>
    </row>
    <row r="250" spans="1:59" x14ac:dyDescent="0.35">
      <c r="A250" s="36">
        <v>46059.624305555553</v>
      </c>
      <c r="B250" s="35">
        <v>2.7</v>
      </c>
      <c r="C250" s="35">
        <v>2</v>
      </c>
      <c r="D250" s="35">
        <v>3.1</v>
      </c>
      <c r="E250" s="35">
        <v>2.2000000000000002</v>
      </c>
      <c r="F250" s="35">
        <v>3.7</v>
      </c>
      <c r="G250" s="35">
        <v>2</v>
      </c>
      <c r="H250" s="35">
        <v>4</v>
      </c>
      <c r="I250" s="35">
        <v>2</v>
      </c>
      <c r="J250" s="35">
        <v>3.1</v>
      </c>
      <c r="K250" s="35">
        <v>2</v>
      </c>
      <c r="L250" s="35">
        <v>4</v>
      </c>
      <c r="M250" s="35">
        <v>2</v>
      </c>
      <c r="N250" s="35">
        <v>3</v>
      </c>
      <c r="O250" s="35">
        <v>3</v>
      </c>
      <c r="P250" s="35">
        <v>1.9</v>
      </c>
      <c r="Q250" s="35">
        <v>2</v>
      </c>
      <c r="R250" s="35">
        <v>2.2000000000000002</v>
      </c>
      <c r="S250" s="35">
        <v>2</v>
      </c>
      <c r="T250" s="35">
        <v>1.9</v>
      </c>
      <c r="U250" s="35">
        <v>2</v>
      </c>
      <c r="V250" s="35">
        <v>10.5</v>
      </c>
      <c r="W250" s="35">
        <v>9</v>
      </c>
      <c r="X250" s="35">
        <v>8.6</v>
      </c>
      <c r="Y250" s="35">
        <v>9</v>
      </c>
      <c r="Z250" s="35">
        <v>9.6999999999999993</v>
      </c>
      <c r="AA250" s="35">
        <v>9</v>
      </c>
      <c r="AB250" s="35">
        <v>10.7</v>
      </c>
      <c r="AC250" s="35">
        <v>9</v>
      </c>
      <c r="AD250" s="35">
        <v>19.7</v>
      </c>
      <c r="AE250" s="35">
        <v>19</v>
      </c>
      <c r="AF250" s="35">
        <v>19</v>
      </c>
      <c r="AG250" s="35">
        <v>19</v>
      </c>
      <c r="AH250" s="35">
        <v>19.899999999999999</v>
      </c>
      <c r="AI250" s="35">
        <v>19</v>
      </c>
      <c r="AJ250" s="35">
        <v>20.6</v>
      </c>
      <c r="AK250" s="35">
        <v>19</v>
      </c>
      <c r="AL250" s="35">
        <v>19.600000000000001</v>
      </c>
      <c r="AM250" s="35">
        <v>19</v>
      </c>
      <c r="AN250" s="35">
        <v>20.8</v>
      </c>
      <c r="AO250" s="35">
        <v>19</v>
      </c>
      <c r="AP250" s="35">
        <v>20.100000000000001</v>
      </c>
      <c r="AQ250" s="35">
        <v>19</v>
      </c>
      <c r="AR250" s="35">
        <v>20.7</v>
      </c>
      <c r="AS250" s="35">
        <v>19</v>
      </c>
      <c r="AT250" s="35">
        <v>20.100000000000001</v>
      </c>
      <c r="AU250" s="35">
        <v>19</v>
      </c>
      <c r="AV250" s="35">
        <v>20.7</v>
      </c>
      <c r="AW250" s="35">
        <v>19</v>
      </c>
      <c r="AX250" s="35">
        <v>21.1</v>
      </c>
      <c r="AY250" s="35">
        <v>20</v>
      </c>
      <c r="AZ250" s="35">
        <v>21.2</v>
      </c>
      <c r="BA250" s="35">
        <v>20</v>
      </c>
      <c r="BB250" s="35">
        <v>33.299999999999997</v>
      </c>
      <c r="BC250" s="35">
        <v>40</v>
      </c>
      <c r="BD250" s="35">
        <v>32</v>
      </c>
      <c r="BE250" s="35">
        <v>40</v>
      </c>
      <c r="BF250" s="35">
        <v>21.1</v>
      </c>
      <c r="BG250" s="35">
        <v>20</v>
      </c>
    </row>
    <row r="251" spans="1:59" x14ac:dyDescent="0.35">
      <c r="A251" s="36">
        <v>46059.625</v>
      </c>
      <c r="B251" s="35">
        <v>3</v>
      </c>
      <c r="C251" s="35">
        <v>2</v>
      </c>
      <c r="D251" s="35">
        <v>3.5</v>
      </c>
      <c r="E251" s="35">
        <v>2.2000000000000002</v>
      </c>
      <c r="F251" s="35">
        <v>3.3</v>
      </c>
      <c r="G251" s="35">
        <v>2</v>
      </c>
      <c r="H251" s="35">
        <v>3.1</v>
      </c>
      <c r="I251" s="35">
        <v>2</v>
      </c>
      <c r="J251" s="35">
        <v>3.1</v>
      </c>
      <c r="K251" s="35">
        <v>2</v>
      </c>
      <c r="L251" s="35">
        <v>3.3</v>
      </c>
      <c r="M251" s="35">
        <v>2</v>
      </c>
      <c r="N251" s="35">
        <v>2.4</v>
      </c>
      <c r="O251" s="35">
        <v>3</v>
      </c>
      <c r="P251" s="35">
        <v>1.7</v>
      </c>
      <c r="Q251" s="35">
        <v>2</v>
      </c>
      <c r="R251" s="35">
        <v>2.4</v>
      </c>
      <c r="S251" s="35">
        <v>2</v>
      </c>
      <c r="T251" s="35">
        <v>2.1</v>
      </c>
      <c r="U251" s="35">
        <v>2</v>
      </c>
      <c r="V251" s="35">
        <v>10.9</v>
      </c>
      <c r="W251" s="35">
        <v>9</v>
      </c>
      <c r="X251" s="35">
        <v>8.9</v>
      </c>
      <c r="Y251" s="35">
        <v>9</v>
      </c>
      <c r="Z251" s="35">
        <v>10.1</v>
      </c>
      <c r="AA251" s="35">
        <v>9</v>
      </c>
      <c r="AB251" s="35">
        <v>9.6</v>
      </c>
      <c r="AC251" s="35">
        <v>9</v>
      </c>
      <c r="AD251" s="35">
        <v>19.8</v>
      </c>
      <c r="AE251" s="35">
        <v>19</v>
      </c>
      <c r="AF251" s="35">
        <v>18.399999999999999</v>
      </c>
      <c r="AG251" s="35">
        <v>19</v>
      </c>
      <c r="AH251" s="35">
        <v>18.5</v>
      </c>
      <c r="AI251" s="35">
        <v>19</v>
      </c>
      <c r="AJ251" s="35">
        <v>20.7</v>
      </c>
      <c r="AK251" s="35">
        <v>19</v>
      </c>
      <c r="AL251" s="35">
        <v>19.600000000000001</v>
      </c>
      <c r="AM251" s="35">
        <v>19</v>
      </c>
      <c r="AN251" s="35">
        <v>20.8</v>
      </c>
      <c r="AO251" s="35">
        <v>19</v>
      </c>
      <c r="AP251" s="35">
        <v>20.100000000000001</v>
      </c>
      <c r="AQ251" s="35">
        <v>19</v>
      </c>
      <c r="AR251" s="35">
        <v>20.7</v>
      </c>
      <c r="AS251" s="35">
        <v>19</v>
      </c>
      <c r="AT251" s="35">
        <v>20.2</v>
      </c>
      <c r="AU251" s="35">
        <v>19</v>
      </c>
      <c r="AV251" s="35">
        <v>20.8</v>
      </c>
      <c r="AW251" s="35">
        <v>19</v>
      </c>
      <c r="AX251" s="35">
        <v>21.1</v>
      </c>
      <c r="AY251" s="35">
        <v>20</v>
      </c>
      <c r="AZ251" s="35">
        <v>21.2</v>
      </c>
      <c r="BA251" s="35">
        <v>20</v>
      </c>
      <c r="BB251" s="35">
        <v>33.299999999999997</v>
      </c>
      <c r="BC251" s="35">
        <v>40</v>
      </c>
      <c r="BD251" s="35">
        <v>32</v>
      </c>
      <c r="BE251" s="35">
        <v>40</v>
      </c>
      <c r="BF251" s="35">
        <v>17.3</v>
      </c>
      <c r="BG251" s="35">
        <v>20</v>
      </c>
    </row>
    <row r="252" spans="1:59" x14ac:dyDescent="0.35">
      <c r="A252" s="36">
        <v>46059.625694444447</v>
      </c>
      <c r="B252" s="35">
        <v>3.4</v>
      </c>
      <c r="C252" s="35">
        <v>2</v>
      </c>
      <c r="D252" s="35">
        <v>3.8</v>
      </c>
      <c r="E252" s="35">
        <v>2.2000000000000002</v>
      </c>
      <c r="F252" s="35">
        <v>3.2</v>
      </c>
      <c r="G252" s="35">
        <v>2</v>
      </c>
      <c r="H252" s="35">
        <v>2.9</v>
      </c>
      <c r="I252" s="35">
        <v>2</v>
      </c>
      <c r="J252" s="35">
        <v>3.1</v>
      </c>
      <c r="K252" s="35">
        <v>2</v>
      </c>
      <c r="L252" s="35">
        <v>2.5</v>
      </c>
      <c r="M252" s="35">
        <v>2</v>
      </c>
      <c r="N252" s="35">
        <v>2.2999999999999998</v>
      </c>
      <c r="O252" s="35">
        <v>3</v>
      </c>
      <c r="P252" s="35">
        <v>1.8</v>
      </c>
      <c r="Q252" s="35">
        <v>2</v>
      </c>
      <c r="R252" s="35">
        <v>2.7</v>
      </c>
      <c r="S252" s="35">
        <v>2</v>
      </c>
      <c r="T252" s="35">
        <v>2.4</v>
      </c>
      <c r="U252" s="35">
        <v>2</v>
      </c>
      <c r="V252" s="35">
        <v>10.4</v>
      </c>
      <c r="W252" s="35">
        <v>9</v>
      </c>
      <c r="X252" s="35">
        <v>9.1</v>
      </c>
      <c r="Y252" s="35">
        <v>9</v>
      </c>
      <c r="Z252" s="35">
        <v>10.3</v>
      </c>
      <c r="AA252" s="35">
        <v>9</v>
      </c>
      <c r="AB252" s="35">
        <v>8.6999999999999993</v>
      </c>
      <c r="AC252" s="35">
        <v>9</v>
      </c>
      <c r="AD252" s="35">
        <v>19.8</v>
      </c>
      <c r="AE252" s="35">
        <v>19</v>
      </c>
      <c r="AF252" s="35">
        <v>18.399999999999999</v>
      </c>
      <c r="AG252" s="35">
        <v>19</v>
      </c>
      <c r="AH252" s="35">
        <v>18.2</v>
      </c>
      <c r="AI252" s="35">
        <v>19</v>
      </c>
      <c r="AJ252" s="35">
        <v>20.8</v>
      </c>
      <c r="AK252" s="35">
        <v>19</v>
      </c>
      <c r="AL252" s="35">
        <v>19.600000000000001</v>
      </c>
      <c r="AM252" s="35">
        <v>19</v>
      </c>
      <c r="AN252" s="35">
        <v>20.9</v>
      </c>
      <c r="AO252" s="35">
        <v>19</v>
      </c>
      <c r="AP252" s="35">
        <v>20.100000000000001</v>
      </c>
      <c r="AQ252" s="35">
        <v>19</v>
      </c>
      <c r="AR252" s="35">
        <v>20.7</v>
      </c>
      <c r="AS252" s="35">
        <v>19</v>
      </c>
      <c r="AT252" s="35">
        <v>20.3</v>
      </c>
      <c r="AU252" s="35">
        <v>19</v>
      </c>
      <c r="AV252" s="35">
        <v>20.8</v>
      </c>
      <c r="AW252" s="35">
        <v>19</v>
      </c>
      <c r="AX252" s="35">
        <v>21.1</v>
      </c>
      <c r="AY252" s="35">
        <v>20</v>
      </c>
      <c r="AZ252" s="35">
        <v>21.3</v>
      </c>
      <c r="BA252" s="35">
        <v>20</v>
      </c>
      <c r="BB252" s="35">
        <v>33.299999999999997</v>
      </c>
      <c r="BC252" s="35">
        <v>40</v>
      </c>
      <c r="BD252" s="35">
        <v>32</v>
      </c>
      <c r="BE252" s="35">
        <v>40</v>
      </c>
      <c r="BF252" s="35">
        <v>18</v>
      </c>
      <c r="BG252" s="35">
        <v>20</v>
      </c>
    </row>
    <row r="253" spans="1:59" x14ac:dyDescent="0.35">
      <c r="A253" s="36">
        <v>46059.626388888886</v>
      </c>
      <c r="B253" s="35">
        <v>3.6</v>
      </c>
      <c r="C253" s="35">
        <v>2</v>
      </c>
      <c r="D253" s="35">
        <v>4.0999999999999996</v>
      </c>
      <c r="E253" s="35">
        <v>2.2000000000000002</v>
      </c>
      <c r="F253" s="35">
        <v>3.2</v>
      </c>
      <c r="G253" s="35">
        <v>2</v>
      </c>
      <c r="H253" s="35">
        <v>2.8</v>
      </c>
      <c r="I253" s="35">
        <v>2</v>
      </c>
      <c r="J253" s="35">
        <v>3.1</v>
      </c>
      <c r="K253" s="35">
        <v>2</v>
      </c>
      <c r="L253" s="35">
        <v>1.8</v>
      </c>
      <c r="M253" s="35">
        <v>2</v>
      </c>
      <c r="N253" s="35">
        <v>2.6</v>
      </c>
      <c r="O253" s="35">
        <v>3</v>
      </c>
      <c r="P253" s="35">
        <v>2.2000000000000002</v>
      </c>
      <c r="Q253" s="35">
        <v>2</v>
      </c>
      <c r="R253" s="35">
        <v>2.9</v>
      </c>
      <c r="S253" s="35">
        <v>2</v>
      </c>
      <c r="T253" s="35">
        <v>2.6</v>
      </c>
      <c r="U253" s="35">
        <v>2</v>
      </c>
      <c r="V253" s="35">
        <v>8.8000000000000007</v>
      </c>
      <c r="W253" s="35">
        <v>9</v>
      </c>
      <c r="X253" s="35">
        <v>9.3000000000000007</v>
      </c>
      <c r="Y253" s="35">
        <v>9</v>
      </c>
      <c r="Z253" s="35">
        <v>10.5</v>
      </c>
      <c r="AA253" s="35">
        <v>9</v>
      </c>
      <c r="AB253" s="35">
        <v>8.6</v>
      </c>
      <c r="AC253" s="35">
        <v>9</v>
      </c>
      <c r="AD253" s="35">
        <v>19.8</v>
      </c>
      <c r="AE253" s="35">
        <v>19</v>
      </c>
      <c r="AF253" s="35">
        <v>18.399999999999999</v>
      </c>
      <c r="AG253" s="35">
        <v>19</v>
      </c>
      <c r="AH253" s="35">
        <v>18.2</v>
      </c>
      <c r="AI253" s="35">
        <v>19</v>
      </c>
      <c r="AJ253" s="35">
        <v>20.8</v>
      </c>
      <c r="AK253" s="35">
        <v>19</v>
      </c>
      <c r="AL253" s="35">
        <v>19.600000000000001</v>
      </c>
      <c r="AM253" s="35">
        <v>19</v>
      </c>
      <c r="AN253" s="35">
        <v>20.9</v>
      </c>
      <c r="AO253" s="35">
        <v>19</v>
      </c>
      <c r="AP253" s="35">
        <v>20.2</v>
      </c>
      <c r="AQ253" s="35">
        <v>19</v>
      </c>
      <c r="AR253" s="35">
        <v>20.7</v>
      </c>
      <c r="AS253" s="35">
        <v>19</v>
      </c>
      <c r="AT253" s="35">
        <v>20.399999999999999</v>
      </c>
      <c r="AU253" s="35">
        <v>19</v>
      </c>
      <c r="AV253" s="35">
        <v>20.8</v>
      </c>
      <c r="AW253" s="35">
        <v>19</v>
      </c>
      <c r="AX253" s="35">
        <v>21.1</v>
      </c>
      <c r="AY253" s="35">
        <v>20</v>
      </c>
      <c r="AZ253" s="35">
        <v>21.3</v>
      </c>
      <c r="BA253" s="35">
        <v>20</v>
      </c>
      <c r="BB253" s="35">
        <v>33.299999999999997</v>
      </c>
      <c r="BC253" s="35">
        <v>40</v>
      </c>
      <c r="BD253" s="35">
        <v>32.1</v>
      </c>
      <c r="BE253" s="35">
        <v>40</v>
      </c>
      <c r="BF253" s="35">
        <v>18.600000000000001</v>
      </c>
      <c r="BG253" s="35">
        <v>20</v>
      </c>
    </row>
    <row r="254" spans="1:59" x14ac:dyDescent="0.35">
      <c r="A254" s="36">
        <v>46059.627083333333</v>
      </c>
      <c r="B254" s="35">
        <v>3.7</v>
      </c>
      <c r="C254" s="35">
        <v>2</v>
      </c>
      <c r="D254" s="35">
        <v>4.0999999999999996</v>
      </c>
      <c r="E254" s="35">
        <v>2.2000000000000002</v>
      </c>
      <c r="F254" s="35">
        <v>3.3</v>
      </c>
      <c r="G254" s="35">
        <v>2</v>
      </c>
      <c r="H254" s="35">
        <v>2.5</v>
      </c>
      <c r="I254" s="35">
        <v>2</v>
      </c>
      <c r="J254" s="35">
        <v>3.1</v>
      </c>
      <c r="K254" s="35">
        <v>2</v>
      </c>
      <c r="L254" s="35">
        <v>1.8</v>
      </c>
      <c r="M254" s="35">
        <v>2</v>
      </c>
      <c r="N254" s="35">
        <v>2.9</v>
      </c>
      <c r="O254" s="35">
        <v>3</v>
      </c>
      <c r="P254" s="35">
        <v>2.4</v>
      </c>
      <c r="Q254" s="35">
        <v>2</v>
      </c>
      <c r="R254" s="35">
        <v>3</v>
      </c>
      <c r="S254" s="35">
        <v>2</v>
      </c>
      <c r="T254" s="35">
        <v>2.8</v>
      </c>
      <c r="U254" s="35">
        <v>2</v>
      </c>
      <c r="V254" s="35">
        <v>7.6</v>
      </c>
      <c r="W254" s="35">
        <v>9</v>
      </c>
      <c r="X254" s="35">
        <v>9.5</v>
      </c>
      <c r="Y254" s="35">
        <v>9</v>
      </c>
      <c r="Z254" s="35">
        <v>10.7</v>
      </c>
      <c r="AA254" s="35">
        <v>9</v>
      </c>
      <c r="AB254" s="35">
        <v>9.1999999999999993</v>
      </c>
      <c r="AC254" s="35">
        <v>9</v>
      </c>
      <c r="AD254" s="35">
        <v>19.899999999999999</v>
      </c>
      <c r="AE254" s="35">
        <v>19</v>
      </c>
      <c r="AF254" s="35">
        <v>18.399999999999999</v>
      </c>
      <c r="AG254" s="35">
        <v>19</v>
      </c>
      <c r="AH254" s="35">
        <v>18.5</v>
      </c>
      <c r="AI254" s="35">
        <v>19</v>
      </c>
      <c r="AJ254" s="35">
        <v>20.9</v>
      </c>
      <c r="AK254" s="35">
        <v>19</v>
      </c>
      <c r="AL254" s="35">
        <v>19.600000000000001</v>
      </c>
      <c r="AM254" s="35">
        <v>19</v>
      </c>
      <c r="AN254" s="35">
        <v>21</v>
      </c>
      <c r="AO254" s="35">
        <v>19</v>
      </c>
      <c r="AP254" s="35">
        <v>20.2</v>
      </c>
      <c r="AQ254" s="35">
        <v>19</v>
      </c>
      <c r="AR254" s="35">
        <v>20.7</v>
      </c>
      <c r="AS254" s="35">
        <v>19</v>
      </c>
      <c r="AT254" s="35">
        <v>20.5</v>
      </c>
      <c r="AU254" s="35">
        <v>19</v>
      </c>
      <c r="AV254" s="35">
        <v>20.8</v>
      </c>
      <c r="AW254" s="35">
        <v>19</v>
      </c>
      <c r="AX254" s="35">
        <v>21.1</v>
      </c>
      <c r="AY254" s="35">
        <v>20</v>
      </c>
      <c r="AZ254" s="35">
        <v>21.3</v>
      </c>
      <c r="BA254" s="35">
        <v>20</v>
      </c>
      <c r="BB254" s="35">
        <v>33.299999999999997</v>
      </c>
      <c r="BC254" s="35">
        <v>40</v>
      </c>
      <c r="BD254" s="35">
        <v>32.1</v>
      </c>
      <c r="BE254" s="35">
        <v>40</v>
      </c>
      <c r="BF254" s="35">
        <v>19.100000000000001</v>
      </c>
      <c r="BG254" s="35">
        <v>20</v>
      </c>
    </row>
    <row r="255" spans="1:59" x14ac:dyDescent="0.35">
      <c r="A255" s="36">
        <v>46059.62777777778</v>
      </c>
      <c r="B255" s="35">
        <v>3.7</v>
      </c>
      <c r="C255" s="35">
        <v>2</v>
      </c>
      <c r="D255" s="35">
        <v>4</v>
      </c>
      <c r="E255" s="35">
        <v>2.2000000000000002</v>
      </c>
      <c r="F255" s="35">
        <v>3.4</v>
      </c>
      <c r="G255" s="35">
        <v>2</v>
      </c>
      <c r="H255" s="35">
        <v>2.4</v>
      </c>
      <c r="I255" s="35">
        <v>2</v>
      </c>
      <c r="J255" s="35">
        <v>3.1</v>
      </c>
      <c r="K255" s="35">
        <v>2</v>
      </c>
      <c r="L255" s="35">
        <v>2.2000000000000002</v>
      </c>
      <c r="M255" s="35">
        <v>2</v>
      </c>
      <c r="N255" s="35">
        <v>3.2</v>
      </c>
      <c r="O255" s="35">
        <v>3</v>
      </c>
      <c r="P255" s="35">
        <v>2.7</v>
      </c>
      <c r="Q255" s="35">
        <v>2</v>
      </c>
      <c r="R255" s="35">
        <v>3.2</v>
      </c>
      <c r="S255" s="35">
        <v>2</v>
      </c>
      <c r="T255" s="35">
        <v>3</v>
      </c>
      <c r="U255" s="35">
        <v>2</v>
      </c>
      <c r="V255" s="35">
        <v>8.1</v>
      </c>
      <c r="W255" s="35">
        <v>9</v>
      </c>
      <c r="X255" s="35">
        <v>9.6999999999999993</v>
      </c>
      <c r="Y255" s="35">
        <v>9</v>
      </c>
      <c r="Z255" s="35">
        <v>10.9</v>
      </c>
      <c r="AA255" s="35">
        <v>9</v>
      </c>
      <c r="AB255" s="35">
        <v>9.8000000000000007</v>
      </c>
      <c r="AC255" s="35">
        <v>9</v>
      </c>
      <c r="AD255" s="35">
        <v>19.899999999999999</v>
      </c>
      <c r="AE255" s="35">
        <v>19</v>
      </c>
      <c r="AF255" s="35">
        <v>18.5</v>
      </c>
      <c r="AG255" s="35">
        <v>19</v>
      </c>
      <c r="AH255" s="35">
        <v>18.7</v>
      </c>
      <c r="AI255" s="35">
        <v>19</v>
      </c>
      <c r="AJ255" s="35">
        <v>20.9</v>
      </c>
      <c r="AK255" s="35">
        <v>19</v>
      </c>
      <c r="AL255" s="35">
        <v>19.600000000000001</v>
      </c>
      <c r="AM255" s="35">
        <v>19</v>
      </c>
      <c r="AN255" s="35">
        <v>20.9</v>
      </c>
      <c r="AO255" s="35">
        <v>19</v>
      </c>
      <c r="AP255" s="35">
        <v>20.2</v>
      </c>
      <c r="AQ255" s="35">
        <v>19</v>
      </c>
      <c r="AR255" s="35">
        <v>20.7</v>
      </c>
      <c r="AS255" s="35">
        <v>19</v>
      </c>
      <c r="AT255" s="35">
        <v>20.6</v>
      </c>
      <c r="AU255" s="35">
        <v>19</v>
      </c>
      <c r="AV255" s="35">
        <v>20.9</v>
      </c>
      <c r="AW255" s="35">
        <v>19</v>
      </c>
      <c r="AX255" s="35">
        <v>21.1</v>
      </c>
      <c r="AY255" s="35">
        <v>20</v>
      </c>
      <c r="AZ255" s="35">
        <v>21.3</v>
      </c>
      <c r="BA255" s="35">
        <v>20</v>
      </c>
      <c r="BB255" s="35">
        <v>33.299999999999997</v>
      </c>
      <c r="BC255" s="35">
        <v>40</v>
      </c>
      <c r="BD255" s="35">
        <v>32.1</v>
      </c>
      <c r="BE255" s="35">
        <v>40</v>
      </c>
      <c r="BF255" s="35">
        <v>19.600000000000001</v>
      </c>
      <c r="BG255" s="35">
        <v>20</v>
      </c>
    </row>
    <row r="256" spans="1:59" x14ac:dyDescent="0.35">
      <c r="A256" s="36">
        <v>46059.628472222219</v>
      </c>
      <c r="B256" s="35">
        <v>3.8</v>
      </c>
      <c r="C256" s="35">
        <v>2</v>
      </c>
      <c r="D256" s="35">
        <v>4.0999999999999996</v>
      </c>
      <c r="E256" s="35">
        <v>2.2000000000000002</v>
      </c>
      <c r="F256" s="35">
        <v>3.5</v>
      </c>
      <c r="G256" s="35">
        <v>2</v>
      </c>
      <c r="H256" s="35">
        <v>2.4</v>
      </c>
      <c r="I256" s="35">
        <v>2</v>
      </c>
      <c r="J256" s="35">
        <v>3.1</v>
      </c>
      <c r="K256" s="35">
        <v>2</v>
      </c>
      <c r="L256" s="35">
        <v>2.6</v>
      </c>
      <c r="M256" s="35">
        <v>2</v>
      </c>
      <c r="N256" s="35">
        <v>3.4</v>
      </c>
      <c r="O256" s="35">
        <v>3</v>
      </c>
      <c r="P256" s="35">
        <v>2.9</v>
      </c>
      <c r="Q256" s="35">
        <v>2</v>
      </c>
      <c r="R256" s="35">
        <v>3.3</v>
      </c>
      <c r="S256" s="35">
        <v>2</v>
      </c>
      <c r="T256" s="35">
        <v>3.1</v>
      </c>
      <c r="U256" s="35">
        <v>2</v>
      </c>
      <c r="V256" s="35">
        <v>8.9</v>
      </c>
      <c r="W256" s="35">
        <v>9</v>
      </c>
      <c r="X256" s="35">
        <v>9.8000000000000007</v>
      </c>
      <c r="Y256" s="35">
        <v>9</v>
      </c>
      <c r="Z256" s="35">
        <v>11</v>
      </c>
      <c r="AA256" s="35">
        <v>9</v>
      </c>
      <c r="AB256" s="35">
        <v>10.3</v>
      </c>
      <c r="AC256" s="35">
        <v>9</v>
      </c>
      <c r="AD256" s="35">
        <v>20</v>
      </c>
      <c r="AE256" s="35">
        <v>19</v>
      </c>
      <c r="AF256" s="35">
        <v>18.600000000000001</v>
      </c>
      <c r="AG256" s="35">
        <v>19</v>
      </c>
      <c r="AH256" s="35">
        <v>18.899999999999999</v>
      </c>
      <c r="AI256" s="35">
        <v>19</v>
      </c>
      <c r="AJ256" s="35">
        <v>21</v>
      </c>
      <c r="AK256" s="35">
        <v>19</v>
      </c>
      <c r="AL256" s="35">
        <v>19.600000000000001</v>
      </c>
      <c r="AM256" s="35">
        <v>19</v>
      </c>
      <c r="AN256" s="35">
        <v>20.399999999999999</v>
      </c>
      <c r="AO256" s="35">
        <v>19</v>
      </c>
      <c r="AP256" s="35">
        <v>20.3</v>
      </c>
      <c r="AQ256" s="35">
        <v>19</v>
      </c>
      <c r="AR256" s="35">
        <v>20.7</v>
      </c>
      <c r="AS256" s="35">
        <v>19</v>
      </c>
      <c r="AT256" s="35">
        <v>20.6</v>
      </c>
      <c r="AU256" s="35">
        <v>19</v>
      </c>
      <c r="AV256" s="35">
        <v>20.9</v>
      </c>
      <c r="AW256" s="35">
        <v>19</v>
      </c>
      <c r="AX256" s="35">
        <v>21.1</v>
      </c>
      <c r="AY256" s="35">
        <v>20</v>
      </c>
      <c r="AZ256" s="35">
        <v>21.3</v>
      </c>
      <c r="BA256" s="35">
        <v>20</v>
      </c>
      <c r="BB256" s="35">
        <v>33.299999999999997</v>
      </c>
      <c r="BC256" s="35">
        <v>40</v>
      </c>
      <c r="BD256" s="35">
        <v>32.1</v>
      </c>
      <c r="BE256" s="35">
        <v>40</v>
      </c>
      <c r="BF256" s="35">
        <v>20.2</v>
      </c>
      <c r="BG256" s="35">
        <v>20</v>
      </c>
    </row>
    <row r="257" spans="1:59" x14ac:dyDescent="0.35">
      <c r="A257" s="36">
        <v>46059.629166666666</v>
      </c>
      <c r="B257" s="35">
        <v>4.0999999999999996</v>
      </c>
      <c r="C257" s="35">
        <v>2</v>
      </c>
      <c r="D257" s="35">
        <v>4.4000000000000004</v>
      </c>
      <c r="E257" s="35">
        <v>2.2000000000000002</v>
      </c>
      <c r="F257" s="35">
        <v>3.6</v>
      </c>
      <c r="G257" s="35">
        <v>2</v>
      </c>
      <c r="H257" s="35">
        <v>2.8</v>
      </c>
      <c r="I257" s="35">
        <v>2</v>
      </c>
      <c r="J257" s="35">
        <v>3.1</v>
      </c>
      <c r="K257" s="35">
        <v>2</v>
      </c>
      <c r="L257" s="35">
        <v>3</v>
      </c>
      <c r="M257" s="35">
        <v>2</v>
      </c>
      <c r="N257" s="35">
        <v>3.7</v>
      </c>
      <c r="O257" s="35">
        <v>3</v>
      </c>
      <c r="P257" s="35">
        <v>3.1</v>
      </c>
      <c r="Q257" s="35">
        <v>2</v>
      </c>
      <c r="R257" s="35">
        <v>3.5</v>
      </c>
      <c r="S257" s="35">
        <v>2</v>
      </c>
      <c r="T257" s="35">
        <v>3.2</v>
      </c>
      <c r="U257" s="35">
        <v>2</v>
      </c>
      <c r="V257" s="35">
        <v>9.6999999999999993</v>
      </c>
      <c r="W257" s="35">
        <v>9</v>
      </c>
      <c r="X257" s="35">
        <v>10</v>
      </c>
      <c r="Y257" s="35">
        <v>9</v>
      </c>
      <c r="Z257" s="35">
        <v>10.7</v>
      </c>
      <c r="AA257" s="35">
        <v>9</v>
      </c>
      <c r="AB257" s="35">
        <v>10.7</v>
      </c>
      <c r="AC257" s="35">
        <v>9</v>
      </c>
      <c r="AD257" s="35">
        <v>20</v>
      </c>
      <c r="AE257" s="35">
        <v>19</v>
      </c>
      <c r="AF257" s="35">
        <v>18.600000000000001</v>
      </c>
      <c r="AG257" s="35">
        <v>19</v>
      </c>
      <c r="AH257" s="35">
        <v>19.100000000000001</v>
      </c>
      <c r="AI257" s="35">
        <v>19</v>
      </c>
      <c r="AJ257" s="35">
        <v>19.899999999999999</v>
      </c>
      <c r="AK257" s="35">
        <v>19</v>
      </c>
      <c r="AL257" s="35">
        <v>19.600000000000001</v>
      </c>
      <c r="AM257" s="35">
        <v>19</v>
      </c>
      <c r="AN257" s="35">
        <v>19.7</v>
      </c>
      <c r="AO257" s="35">
        <v>19</v>
      </c>
      <c r="AP257" s="35">
        <v>20.3</v>
      </c>
      <c r="AQ257" s="35">
        <v>19</v>
      </c>
      <c r="AR257" s="35">
        <v>20.7</v>
      </c>
      <c r="AS257" s="35">
        <v>19</v>
      </c>
      <c r="AT257" s="35">
        <v>20.7</v>
      </c>
      <c r="AU257" s="35">
        <v>19</v>
      </c>
      <c r="AV257" s="35">
        <v>20.9</v>
      </c>
      <c r="AW257" s="35">
        <v>19</v>
      </c>
      <c r="AX257" s="35">
        <v>21.1</v>
      </c>
      <c r="AY257" s="35">
        <v>20</v>
      </c>
      <c r="AZ257" s="35">
        <v>21.3</v>
      </c>
      <c r="BA257" s="35">
        <v>20</v>
      </c>
      <c r="BB257" s="35">
        <v>33.299999999999997</v>
      </c>
      <c r="BC257" s="35">
        <v>40</v>
      </c>
      <c r="BD257" s="35">
        <v>32.1</v>
      </c>
      <c r="BE257" s="35">
        <v>40</v>
      </c>
      <c r="BF257" s="35">
        <v>20.6</v>
      </c>
      <c r="BG257" s="35">
        <v>20</v>
      </c>
    </row>
    <row r="258" spans="1:59" x14ac:dyDescent="0.35">
      <c r="A258" s="36">
        <v>46059.629861111112</v>
      </c>
      <c r="B258" s="35">
        <v>3.4</v>
      </c>
      <c r="C258" s="35">
        <v>2</v>
      </c>
      <c r="D258" s="35">
        <v>3.6</v>
      </c>
      <c r="E258" s="35">
        <v>2.2000000000000002</v>
      </c>
      <c r="F258" s="35">
        <v>3.8</v>
      </c>
      <c r="G258" s="35">
        <v>2</v>
      </c>
      <c r="H258" s="35">
        <v>3.2</v>
      </c>
      <c r="I258" s="35">
        <v>2</v>
      </c>
      <c r="J258" s="35">
        <v>3.1</v>
      </c>
      <c r="K258" s="35">
        <v>2</v>
      </c>
      <c r="L258" s="35">
        <v>3.3</v>
      </c>
      <c r="M258" s="35">
        <v>2</v>
      </c>
      <c r="N258" s="35">
        <v>3.9</v>
      </c>
      <c r="O258" s="35">
        <v>3</v>
      </c>
      <c r="P258" s="35">
        <v>3.3</v>
      </c>
      <c r="Q258" s="35">
        <v>2</v>
      </c>
      <c r="R258" s="35">
        <v>3.6</v>
      </c>
      <c r="S258" s="35">
        <v>2</v>
      </c>
      <c r="T258" s="35">
        <v>3.4</v>
      </c>
      <c r="U258" s="35">
        <v>2</v>
      </c>
      <c r="V258" s="35">
        <v>10.199999999999999</v>
      </c>
      <c r="W258" s="35">
        <v>9</v>
      </c>
      <c r="X258" s="35">
        <v>10.1</v>
      </c>
      <c r="Y258" s="35">
        <v>9</v>
      </c>
      <c r="Z258" s="35">
        <v>9.5</v>
      </c>
      <c r="AA258" s="35">
        <v>9</v>
      </c>
      <c r="AB258" s="35">
        <v>11</v>
      </c>
      <c r="AC258" s="35">
        <v>9</v>
      </c>
      <c r="AD258" s="35">
        <v>20</v>
      </c>
      <c r="AE258" s="35">
        <v>19</v>
      </c>
      <c r="AF258" s="35">
        <v>18.8</v>
      </c>
      <c r="AG258" s="35">
        <v>19</v>
      </c>
      <c r="AH258" s="35">
        <v>19.3</v>
      </c>
      <c r="AI258" s="35">
        <v>19</v>
      </c>
      <c r="AJ258" s="35">
        <v>19</v>
      </c>
      <c r="AK258" s="35">
        <v>19</v>
      </c>
      <c r="AL258" s="35">
        <v>19.600000000000001</v>
      </c>
      <c r="AM258" s="35">
        <v>19</v>
      </c>
      <c r="AN258" s="35">
        <v>19.600000000000001</v>
      </c>
      <c r="AO258" s="35">
        <v>19</v>
      </c>
      <c r="AP258" s="35">
        <v>20.3</v>
      </c>
      <c r="AQ258" s="35">
        <v>19</v>
      </c>
      <c r="AR258" s="35">
        <v>20.7</v>
      </c>
      <c r="AS258" s="35">
        <v>19</v>
      </c>
      <c r="AT258" s="35">
        <v>20.8</v>
      </c>
      <c r="AU258" s="35">
        <v>19</v>
      </c>
      <c r="AV258" s="35">
        <v>21</v>
      </c>
      <c r="AW258" s="35">
        <v>19</v>
      </c>
      <c r="AX258" s="35">
        <v>21.1</v>
      </c>
      <c r="AY258" s="35">
        <v>20</v>
      </c>
      <c r="AZ258" s="35">
        <v>21.3</v>
      </c>
      <c r="BA258" s="35">
        <v>20</v>
      </c>
      <c r="BB258" s="35">
        <v>33.299999999999997</v>
      </c>
      <c r="BC258" s="35">
        <v>40</v>
      </c>
      <c r="BD258" s="35">
        <v>32.1</v>
      </c>
      <c r="BE258" s="35">
        <v>40</v>
      </c>
      <c r="BF258" s="35">
        <v>21</v>
      </c>
      <c r="BG258" s="35">
        <v>20</v>
      </c>
    </row>
    <row r="259" spans="1:59" x14ac:dyDescent="0.35">
      <c r="A259" s="36">
        <v>46059.630555555559</v>
      </c>
      <c r="B259" s="35">
        <v>2.8</v>
      </c>
      <c r="C259" s="35">
        <v>2</v>
      </c>
      <c r="D259" s="35">
        <v>3.1</v>
      </c>
      <c r="E259" s="35">
        <v>2.2000000000000002</v>
      </c>
      <c r="F259" s="35">
        <v>3.9</v>
      </c>
      <c r="G259" s="35">
        <v>2</v>
      </c>
      <c r="H259" s="35">
        <v>3.5</v>
      </c>
      <c r="I259" s="35">
        <v>2</v>
      </c>
      <c r="J259" s="35">
        <v>3.1</v>
      </c>
      <c r="K259" s="35">
        <v>2</v>
      </c>
      <c r="L259" s="35">
        <v>3.8</v>
      </c>
      <c r="M259" s="35">
        <v>2</v>
      </c>
      <c r="N259" s="35">
        <v>4.0999999999999996</v>
      </c>
      <c r="O259" s="35">
        <v>3</v>
      </c>
      <c r="P259" s="35">
        <v>3.4</v>
      </c>
      <c r="Q259" s="35">
        <v>2</v>
      </c>
      <c r="R259" s="35">
        <v>3.7</v>
      </c>
      <c r="S259" s="35">
        <v>2</v>
      </c>
      <c r="T259" s="35">
        <v>3.5</v>
      </c>
      <c r="U259" s="35">
        <v>2</v>
      </c>
      <c r="V259" s="35">
        <v>10.7</v>
      </c>
      <c r="W259" s="35">
        <v>9</v>
      </c>
      <c r="X259" s="35">
        <v>10.199999999999999</v>
      </c>
      <c r="Y259" s="35">
        <v>9</v>
      </c>
      <c r="Z259" s="35">
        <v>8.9</v>
      </c>
      <c r="AA259" s="35">
        <v>9</v>
      </c>
      <c r="AB259" s="35">
        <v>9.9</v>
      </c>
      <c r="AC259" s="35">
        <v>9</v>
      </c>
      <c r="AD259" s="35">
        <v>20.100000000000001</v>
      </c>
      <c r="AE259" s="35">
        <v>19</v>
      </c>
      <c r="AF259" s="35">
        <v>18.899999999999999</v>
      </c>
      <c r="AG259" s="35">
        <v>19</v>
      </c>
      <c r="AH259" s="35">
        <v>19.399999999999999</v>
      </c>
      <c r="AI259" s="35">
        <v>19</v>
      </c>
      <c r="AJ259" s="35">
        <v>18.7</v>
      </c>
      <c r="AK259" s="35">
        <v>19</v>
      </c>
      <c r="AL259" s="35">
        <v>19.600000000000001</v>
      </c>
      <c r="AM259" s="35">
        <v>19</v>
      </c>
      <c r="AN259" s="35">
        <v>19.5</v>
      </c>
      <c r="AO259" s="35">
        <v>19</v>
      </c>
      <c r="AP259" s="35">
        <v>20.3</v>
      </c>
      <c r="AQ259" s="35">
        <v>19</v>
      </c>
      <c r="AR259" s="35">
        <v>20.7</v>
      </c>
      <c r="AS259" s="35">
        <v>19</v>
      </c>
      <c r="AT259" s="35">
        <v>20.9</v>
      </c>
      <c r="AU259" s="35">
        <v>19</v>
      </c>
      <c r="AV259" s="35">
        <v>19.5</v>
      </c>
      <c r="AW259" s="35">
        <v>19</v>
      </c>
      <c r="AX259" s="35">
        <v>21.1</v>
      </c>
      <c r="AY259" s="35">
        <v>20</v>
      </c>
      <c r="AZ259" s="35">
        <v>21</v>
      </c>
      <c r="BA259" s="35">
        <v>20</v>
      </c>
      <c r="BB259" s="35">
        <v>33.299999999999997</v>
      </c>
      <c r="BC259" s="35">
        <v>40</v>
      </c>
      <c r="BD259" s="35">
        <v>32.1</v>
      </c>
      <c r="BE259" s="35">
        <v>40</v>
      </c>
      <c r="BF259" s="35">
        <v>21.2</v>
      </c>
      <c r="BG259" s="35">
        <v>20</v>
      </c>
    </row>
    <row r="260" spans="1:59" x14ac:dyDescent="0.35">
      <c r="A260" s="36">
        <v>46059.631249999999</v>
      </c>
      <c r="B260" s="35">
        <v>1.9</v>
      </c>
      <c r="C260" s="35">
        <v>2</v>
      </c>
      <c r="D260" s="35">
        <v>2.1</v>
      </c>
      <c r="E260" s="35">
        <v>2.2000000000000002</v>
      </c>
      <c r="F260" s="35">
        <v>2.7</v>
      </c>
      <c r="G260" s="35">
        <v>2</v>
      </c>
      <c r="H260" s="35">
        <v>2.2999999999999998</v>
      </c>
      <c r="I260" s="35">
        <v>2</v>
      </c>
      <c r="J260" s="35">
        <v>3.1</v>
      </c>
      <c r="K260" s="35">
        <v>2</v>
      </c>
      <c r="L260" s="35">
        <v>4</v>
      </c>
      <c r="M260" s="35">
        <v>2</v>
      </c>
      <c r="N260" s="35">
        <v>4.3</v>
      </c>
      <c r="O260" s="35">
        <v>3</v>
      </c>
      <c r="P260" s="35">
        <v>3.6</v>
      </c>
      <c r="Q260" s="35">
        <v>2</v>
      </c>
      <c r="R260" s="35">
        <v>3.9</v>
      </c>
      <c r="S260" s="35">
        <v>2</v>
      </c>
      <c r="T260" s="35">
        <v>3.6</v>
      </c>
      <c r="U260" s="35">
        <v>2</v>
      </c>
      <c r="V260" s="35">
        <v>11</v>
      </c>
      <c r="W260" s="35">
        <v>9</v>
      </c>
      <c r="X260" s="35">
        <v>10.3</v>
      </c>
      <c r="Y260" s="35">
        <v>9</v>
      </c>
      <c r="Z260" s="35">
        <v>8.8000000000000007</v>
      </c>
      <c r="AA260" s="35">
        <v>9</v>
      </c>
      <c r="AB260" s="35">
        <v>9.1</v>
      </c>
      <c r="AC260" s="35">
        <v>9</v>
      </c>
      <c r="AD260" s="35">
        <v>20.100000000000001</v>
      </c>
      <c r="AE260" s="35">
        <v>19</v>
      </c>
      <c r="AF260" s="35">
        <v>19</v>
      </c>
      <c r="AG260" s="35">
        <v>19</v>
      </c>
      <c r="AH260" s="35">
        <v>19.5</v>
      </c>
      <c r="AI260" s="35">
        <v>19</v>
      </c>
      <c r="AJ260" s="35">
        <v>18.7</v>
      </c>
      <c r="AK260" s="35">
        <v>19</v>
      </c>
      <c r="AL260" s="35">
        <v>19.7</v>
      </c>
      <c r="AM260" s="35">
        <v>19</v>
      </c>
      <c r="AN260" s="35">
        <v>19</v>
      </c>
      <c r="AO260" s="35">
        <v>19</v>
      </c>
      <c r="AP260" s="35">
        <v>20.399999999999999</v>
      </c>
      <c r="AQ260" s="35">
        <v>19</v>
      </c>
      <c r="AR260" s="35">
        <v>20.7</v>
      </c>
      <c r="AS260" s="35">
        <v>19</v>
      </c>
      <c r="AT260" s="35">
        <v>20.9</v>
      </c>
      <c r="AU260" s="35">
        <v>19</v>
      </c>
      <c r="AV260" s="35">
        <v>17.899999999999999</v>
      </c>
      <c r="AW260" s="35">
        <v>19</v>
      </c>
      <c r="AX260" s="35">
        <v>21.1</v>
      </c>
      <c r="AY260" s="35">
        <v>20</v>
      </c>
      <c r="AZ260" s="35">
        <v>20.9</v>
      </c>
      <c r="BA260" s="35">
        <v>20</v>
      </c>
      <c r="BB260" s="35">
        <v>33.299999999999997</v>
      </c>
      <c r="BC260" s="35">
        <v>40</v>
      </c>
      <c r="BD260" s="35">
        <v>32.1</v>
      </c>
      <c r="BE260" s="35">
        <v>40</v>
      </c>
      <c r="BF260" s="35">
        <v>21.4</v>
      </c>
      <c r="BG260" s="35">
        <v>20</v>
      </c>
    </row>
    <row r="261" spans="1:59" x14ac:dyDescent="0.35">
      <c r="A261" s="36">
        <v>46059.631944444445</v>
      </c>
      <c r="B261" s="35">
        <v>1.7</v>
      </c>
      <c r="C261" s="35">
        <v>2</v>
      </c>
      <c r="D261" s="35">
        <v>2.1</v>
      </c>
      <c r="E261" s="35">
        <v>2.2000000000000002</v>
      </c>
      <c r="F261" s="35">
        <v>1.4</v>
      </c>
      <c r="G261" s="35">
        <v>2</v>
      </c>
      <c r="H261" s="35">
        <v>1.4</v>
      </c>
      <c r="I261" s="35">
        <v>2</v>
      </c>
      <c r="J261" s="35">
        <v>3.1</v>
      </c>
      <c r="K261" s="35">
        <v>2</v>
      </c>
      <c r="L261" s="35">
        <v>3.2</v>
      </c>
      <c r="M261" s="35">
        <v>2</v>
      </c>
      <c r="N261" s="35">
        <v>4.4000000000000004</v>
      </c>
      <c r="O261" s="35">
        <v>3</v>
      </c>
      <c r="P261" s="35">
        <v>3.8</v>
      </c>
      <c r="Q261" s="35">
        <v>2</v>
      </c>
      <c r="R261" s="35">
        <v>4</v>
      </c>
      <c r="S261" s="35">
        <v>2</v>
      </c>
      <c r="T261" s="35">
        <v>3.7</v>
      </c>
      <c r="U261" s="35">
        <v>2</v>
      </c>
      <c r="V261" s="35">
        <v>10.9</v>
      </c>
      <c r="W261" s="35">
        <v>9</v>
      </c>
      <c r="X261" s="35">
        <v>10.4</v>
      </c>
      <c r="Y261" s="35">
        <v>9</v>
      </c>
      <c r="Z261" s="35">
        <v>9.1</v>
      </c>
      <c r="AA261" s="35">
        <v>9</v>
      </c>
      <c r="AB261" s="35">
        <v>9.1</v>
      </c>
      <c r="AC261" s="35">
        <v>9</v>
      </c>
      <c r="AD261" s="35">
        <v>20.2</v>
      </c>
      <c r="AE261" s="35">
        <v>19</v>
      </c>
      <c r="AF261" s="35">
        <v>19.100000000000001</v>
      </c>
      <c r="AG261" s="35">
        <v>19</v>
      </c>
      <c r="AH261" s="35">
        <v>19.600000000000001</v>
      </c>
      <c r="AI261" s="35">
        <v>19</v>
      </c>
      <c r="AJ261" s="35">
        <v>19</v>
      </c>
      <c r="AK261" s="35">
        <v>19</v>
      </c>
      <c r="AL261" s="35">
        <v>19.7</v>
      </c>
      <c r="AM261" s="35">
        <v>19</v>
      </c>
      <c r="AN261" s="35">
        <v>18.899999999999999</v>
      </c>
      <c r="AO261" s="35">
        <v>19</v>
      </c>
      <c r="AP261" s="35">
        <v>20.399999999999999</v>
      </c>
      <c r="AQ261" s="35">
        <v>19</v>
      </c>
      <c r="AR261" s="35">
        <v>20.7</v>
      </c>
      <c r="AS261" s="35">
        <v>19</v>
      </c>
      <c r="AT261" s="35">
        <v>21</v>
      </c>
      <c r="AU261" s="35">
        <v>19</v>
      </c>
      <c r="AV261" s="35">
        <v>17.5</v>
      </c>
      <c r="AW261" s="35">
        <v>19</v>
      </c>
      <c r="AX261" s="35">
        <v>21.1</v>
      </c>
      <c r="AY261" s="35">
        <v>20</v>
      </c>
      <c r="AZ261" s="35">
        <v>20.9</v>
      </c>
      <c r="BA261" s="35">
        <v>20</v>
      </c>
      <c r="BB261" s="35">
        <v>33.299999999999997</v>
      </c>
      <c r="BC261" s="35">
        <v>40</v>
      </c>
      <c r="BD261" s="35">
        <v>32.1</v>
      </c>
      <c r="BE261" s="35">
        <v>40</v>
      </c>
      <c r="BF261" s="35">
        <v>21.5</v>
      </c>
      <c r="BG261" s="35">
        <v>20</v>
      </c>
    </row>
    <row r="262" spans="1:59" x14ac:dyDescent="0.35">
      <c r="A262" s="36">
        <v>46059.632638888892</v>
      </c>
      <c r="B262" s="35">
        <v>2.1</v>
      </c>
      <c r="C262" s="35">
        <v>2</v>
      </c>
      <c r="D262" s="35">
        <v>2.5</v>
      </c>
      <c r="E262" s="35">
        <v>2.2000000000000002</v>
      </c>
      <c r="F262" s="35">
        <v>1.4</v>
      </c>
      <c r="G262" s="35">
        <v>2</v>
      </c>
      <c r="H262" s="35">
        <v>1.5</v>
      </c>
      <c r="I262" s="35">
        <v>2</v>
      </c>
      <c r="J262" s="35">
        <v>3.1</v>
      </c>
      <c r="K262" s="35">
        <v>2</v>
      </c>
      <c r="L262" s="35">
        <v>2.5</v>
      </c>
      <c r="M262" s="35">
        <v>2</v>
      </c>
      <c r="N262" s="35">
        <v>4.5999999999999996</v>
      </c>
      <c r="O262" s="35">
        <v>3</v>
      </c>
      <c r="P262" s="35">
        <v>3.9</v>
      </c>
      <c r="Q262" s="35">
        <v>2</v>
      </c>
      <c r="R262" s="35">
        <v>3.3</v>
      </c>
      <c r="S262" s="35">
        <v>2</v>
      </c>
      <c r="T262" s="35">
        <v>2.8</v>
      </c>
      <c r="U262" s="35">
        <v>2</v>
      </c>
      <c r="V262" s="35">
        <v>9.6999999999999993</v>
      </c>
      <c r="W262" s="35">
        <v>9</v>
      </c>
      <c r="X262" s="35">
        <v>10.5</v>
      </c>
      <c r="Y262" s="35">
        <v>9</v>
      </c>
      <c r="Z262" s="35">
        <v>9.5</v>
      </c>
      <c r="AA262" s="35">
        <v>9</v>
      </c>
      <c r="AB262" s="35">
        <v>9</v>
      </c>
      <c r="AC262" s="35">
        <v>9</v>
      </c>
      <c r="AD262" s="35">
        <v>20.2</v>
      </c>
      <c r="AE262" s="35">
        <v>19</v>
      </c>
      <c r="AF262" s="35">
        <v>19.100000000000001</v>
      </c>
      <c r="AG262" s="35">
        <v>19</v>
      </c>
      <c r="AH262" s="35">
        <v>19.7</v>
      </c>
      <c r="AI262" s="35">
        <v>19</v>
      </c>
      <c r="AJ262" s="35">
        <v>19.2</v>
      </c>
      <c r="AK262" s="35">
        <v>19</v>
      </c>
      <c r="AL262" s="35">
        <v>19.7</v>
      </c>
      <c r="AM262" s="35">
        <v>19</v>
      </c>
      <c r="AN262" s="35">
        <v>19.2</v>
      </c>
      <c r="AO262" s="35">
        <v>19</v>
      </c>
      <c r="AP262" s="35">
        <v>20.399999999999999</v>
      </c>
      <c r="AQ262" s="35">
        <v>19</v>
      </c>
      <c r="AR262" s="35">
        <v>20.7</v>
      </c>
      <c r="AS262" s="35">
        <v>19</v>
      </c>
      <c r="AT262" s="35">
        <v>19.899999999999999</v>
      </c>
      <c r="AU262" s="35">
        <v>19</v>
      </c>
      <c r="AV262" s="35">
        <v>17.5</v>
      </c>
      <c r="AW262" s="35">
        <v>19</v>
      </c>
      <c r="AX262" s="35">
        <v>21.1</v>
      </c>
      <c r="AY262" s="35">
        <v>20</v>
      </c>
      <c r="AZ262" s="35">
        <v>20.8</v>
      </c>
      <c r="BA262" s="35">
        <v>20</v>
      </c>
      <c r="BB262" s="35">
        <v>33.299999999999997</v>
      </c>
      <c r="BC262" s="35">
        <v>40</v>
      </c>
      <c r="BD262" s="35">
        <v>32.1</v>
      </c>
      <c r="BE262" s="35">
        <v>40</v>
      </c>
      <c r="BF262" s="35">
        <v>21.6</v>
      </c>
      <c r="BG262" s="35">
        <v>20</v>
      </c>
    </row>
    <row r="263" spans="1:59" x14ac:dyDescent="0.35">
      <c r="A263" s="36">
        <v>46059.633333333331</v>
      </c>
      <c r="B263" s="35">
        <v>2.4</v>
      </c>
      <c r="C263" s="35">
        <v>2</v>
      </c>
      <c r="D263" s="35">
        <v>2.8</v>
      </c>
      <c r="E263" s="35">
        <v>2.2000000000000002</v>
      </c>
      <c r="F263" s="35">
        <v>1.8</v>
      </c>
      <c r="G263" s="35">
        <v>2</v>
      </c>
      <c r="H263" s="35">
        <v>2</v>
      </c>
      <c r="I263" s="35">
        <v>2</v>
      </c>
      <c r="J263" s="35">
        <v>3.1</v>
      </c>
      <c r="K263" s="35">
        <v>2</v>
      </c>
      <c r="L263" s="35">
        <v>2.4</v>
      </c>
      <c r="M263" s="35">
        <v>2</v>
      </c>
      <c r="N263" s="35">
        <v>4.2</v>
      </c>
      <c r="O263" s="35">
        <v>3</v>
      </c>
      <c r="P263" s="35">
        <v>3.9</v>
      </c>
      <c r="Q263" s="35">
        <v>2</v>
      </c>
      <c r="R263" s="35">
        <v>2.5</v>
      </c>
      <c r="S263" s="35">
        <v>2</v>
      </c>
      <c r="T263" s="35">
        <v>1.8</v>
      </c>
      <c r="U263" s="35">
        <v>2</v>
      </c>
      <c r="V263" s="35">
        <v>7.6</v>
      </c>
      <c r="W263" s="35">
        <v>9</v>
      </c>
      <c r="X263" s="35">
        <v>10.6</v>
      </c>
      <c r="Y263" s="35">
        <v>9</v>
      </c>
      <c r="Z263" s="35">
        <v>9.9</v>
      </c>
      <c r="AA263" s="35">
        <v>9</v>
      </c>
      <c r="AB263" s="35">
        <v>8.6999999999999993</v>
      </c>
      <c r="AC263" s="35">
        <v>9</v>
      </c>
      <c r="AD263" s="35">
        <v>20.2</v>
      </c>
      <c r="AE263" s="35">
        <v>19</v>
      </c>
      <c r="AF263" s="35">
        <v>19.2</v>
      </c>
      <c r="AG263" s="35">
        <v>19</v>
      </c>
      <c r="AH263" s="35">
        <v>19.8</v>
      </c>
      <c r="AI263" s="35">
        <v>19</v>
      </c>
      <c r="AJ263" s="35">
        <v>19.399999999999999</v>
      </c>
      <c r="AK263" s="35">
        <v>19</v>
      </c>
      <c r="AL263" s="35">
        <v>19.7</v>
      </c>
      <c r="AM263" s="35">
        <v>19</v>
      </c>
      <c r="AN263" s="35">
        <v>19.399999999999999</v>
      </c>
      <c r="AO263" s="35">
        <v>19</v>
      </c>
      <c r="AP263" s="35">
        <v>20.399999999999999</v>
      </c>
      <c r="AQ263" s="35">
        <v>19</v>
      </c>
      <c r="AR263" s="35">
        <v>20.7</v>
      </c>
      <c r="AS263" s="35">
        <v>19</v>
      </c>
      <c r="AT263" s="35">
        <v>18.3</v>
      </c>
      <c r="AU263" s="35">
        <v>19</v>
      </c>
      <c r="AV263" s="35">
        <v>17.600000000000001</v>
      </c>
      <c r="AW263" s="35">
        <v>19</v>
      </c>
      <c r="AX263" s="35">
        <v>21.1</v>
      </c>
      <c r="AY263" s="35">
        <v>20</v>
      </c>
      <c r="AZ263" s="35">
        <v>20.8</v>
      </c>
      <c r="BA263" s="35">
        <v>20</v>
      </c>
      <c r="BB263" s="35">
        <v>33.299999999999997</v>
      </c>
      <c r="BC263" s="35">
        <v>40</v>
      </c>
      <c r="BD263" s="35">
        <v>32.1</v>
      </c>
      <c r="BE263" s="35">
        <v>40</v>
      </c>
      <c r="BF263" s="35">
        <v>21.7</v>
      </c>
      <c r="BG263" s="35">
        <v>20</v>
      </c>
    </row>
    <row r="264" spans="1:59" x14ac:dyDescent="0.35">
      <c r="A264" s="36">
        <v>46059.634027777778</v>
      </c>
      <c r="B264" s="35">
        <v>2.8</v>
      </c>
      <c r="C264" s="35">
        <v>2</v>
      </c>
      <c r="D264" s="35">
        <v>3.2</v>
      </c>
      <c r="E264" s="35">
        <v>2.2000000000000002</v>
      </c>
      <c r="F264" s="35">
        <v>2.2999999999999998</v>
      </c>
      <c r="G264" s="35">
        <v>2</v>
      </c>
      <c r="H264" s="35">
        <v>2.6</v>
      </c>
      <c r="I264" s="35">
        <v>2</v>
      </c>
      <c r="J264" s="35">
        <v>3.1</v>
      </c>
      <c r="K264" s="35">
        <v>2</v>
      </c>
      <c r="L264" s="35">
        <v>2.1</v>
      </c>
      <c r="M264" s="35">
        <v>2</v>
      </c>
      <c r="N264" s="35">
        <v>2</v>
      </c>
      <c r="O264" s="35">
        <v>3</v>
      </c>
      <c r="P264" s="35">
        <v>2.6</v>
      </c>
      <c r="Q264" s="35">
        <v>2</v>
      </c>
      <c r="R264" s="35">
        <v>1.8</v>
      </c>
      <c r="S264" s="35">
        <v>2</v>
      </c>
      <c r="T264" s="35">
        <v>1.1000000000000001</v>
      </c>
      <c r="U264" s="35">
        <v>2</v>
      </c>
      <c r="V264" s="35">
        <v>7.5</v>
      </c>
      <c r="W264" s="35">
        <v>9</v>
      </c>
      <c r="X264" s="35">
        <v>10.7</v>
      </c>
      <c r="Y264" s="35">
        <v>9</v>
      </c>
      <c r="Z264" s="35">
        <v>10.199999999999999</v>
      </c>
      <c r="AA264" s="35">
        <v>9</v>
      </c>
      <c r="AB264" s="35">
        <v>9</v>
      </c>
      <c r="AC264" s="35">
        <v>9</v>
      </c>
      <c r="AD264" s="35">
        <v>20.3</v>
      </c>
      <c r="AE264" s="35">
        <v>19</v>
      </c>
      <c r="AF264" s="35">
        <v>19.3</v>
      </c>
      <c r="AG264" s="35">
        <v>19</v>
      </c>
      <c r="AH264" s="35">
        <v>19.899999999999999</v>
      </c>
      <c r="AI264" s="35">
        <v>19</v>
      </c>
      <c r="AJ264" s="35">
        <v>19.5</v>
      </c>
      <c r="AK264" s="35">
        <v>19</v>
      </c>
      <c r="AL264" s="35">
        <v>19.7</v>
      </c>
      <c r="AM264" s="35">
        <v>19</v>
      </c>
      <c r="AN264" s="35">
        <v>19.600000000000001</v>
      </c>
      <c r="AO264" s="35">
        <v>19</v>
      </c>
      <c r="AP264" s="35">
        <v>20.399999999999999</v>
      </c>
      <c r="AQ264" s="35">
        <v>19</v>
      </c>
      <c r="AR264" s="35">
        <v>20.7</v>
      </c>
      <c r="AS264" s="35">
        <v>19</v>
      </c>
      <c r="AT264" s="35">
        <v>18.2</v>
      </c>
      <c r="AU264" s="35">
        <v>19</v>
      </c>
      <c r="AV264" s="35">
        <v>17.899999999999999</v>
      </c>
      <c r="AW264" s="35">
        <v>19</v>
      </c>
      <c r="AX264" s="35">
        <v>21.1</v>
      </c>
      <c r="AY264" s="35">
        <v>20</v>
      </c>
      <c r="AZ264" s="35">
        <v>20.8</v>
      </c>
      <c r="BA264" s="35">
        <v>20</v>
      </c>
      <c r="BB264" s="35">
        <v>33.299999999999997</v>
      </c>
      <c r="BC264" s="35">
        <v>40</v>
      </c>
      <c r="BD264" s="35">
        <v>32.1</v>
      </c>
      <c r="BE264" s="35">
        <v>40</v>
      </c>
      <c r="BF264" s="35">
        <v>21.8</v>
      </c>
      <c r="BG264" s="35">
        <v>20</v>
      </c>
    </row>
    <row r="265" spans="1:59" x14ac:dyDescent="0.35">
      <c r="A265" s="36">
        <v>46059.634722222225</v>
      </c>
      <c r="B265" s="35">
        <v>3.2</v>
      </c>
      <c r="C265" s="35">
        <v>2</v>
      </c>
      <c r="D265" s="35">
        <v>3.6</v>
      </c>
      <c r="E265" s="35">
        <v>2.2000000000000002</v>
      </c>
      <c r="F265" s="35">
        <v>2.6</v>
      </c>
      <c r="G265" s="35">
        <v>2</v>
      </c>
      <c r="H265" s="35">
        <v>3</v>
      </c>
      <c r="I265" s="35">
        <v>2</v>
      </c>
      <c r="J265" s="35">
        <v>3.1</v>
      </c>
      <c r="K265" s="35">
        <v>2</v>
      </c>
      <c r="L265" s="35">
        <v>2</v>
      </c>
      <c r="M265" s="35">
        <v>2</v>
      </c>
      <c r="N265" s="35">
        <v>1</v>
      </c>
      <c r="O265" s="35">
        <v>3</v>
      </c>
      <c r="P265" s="35">
        <v>1.7</v>
      </c>
      <c r="Q265" s="35">
        <v>2</v>
      </c>
      <c r="R265" s="35">
        <v>1.7</v>
      </c>
      <c r="S265" s="35">
        <v>2</v>
      </c>
      <c r="T265" s="35">
        <v>1.1000000000000001</v>
      </c>
      <c r="U265" s="35">
        <v>2</v>
      </c>
      <c r="V265" s="35">
        <v>8.1999999999999993</v>
      </c>
      <c r="W265" s="35">
        <v>9</v>
      </c>
      <c r="X265" s="35">
        <v>10.8</v>
      </c>
      <c r="Y265" s="35">
        <v>9</v>
      </c>
      <c r="Z265" s="35">
        <v>10.4</v>
      </c>
      <c r="AA265" s="35">
        <v>9</v>
      </c>
      <c r="AB265" s="35">
        <v>9.6</v>
      </c>
      <c r="AC265" s="35">
        <v>9</v>
      </c>
      <c r="AD265" s="35">
        <v>20.3</v>
      </c>
      <c r="AE265" s="35">
        <v>19</v>
      </c>
      <c r="AF265" s="35">
        <v>19.399999999999999</v>
      </c>
      <c r="AG265" s="35">
        <v>19</v>
      </c>
      <c r="AH265" s="35">
        <v>20</v>
      </c>
      <c r="AI265" s="35">
        <v>19</v>
      </c>
      <c r="AJ265" s="35">
        <v>19.600000000000001</v>
      </c>
      <c r="AK265" s="35">
        <v>19</v>
      </c>
      <c r="AL265" s="35">
        <v>19.7</v>
      </c>
      <c r="AM265" s="35">
        <v>19</v>
      </c>
      <c r="AN265" s="35">
        <v>19.7</v>
      </c>
      <c r="AO265" s="35">
        <v>19</v>
      </c>
      <c r="AP265" s="35">
        <v>20.5</v>
      </c>
      <c r="AQ265" s="35">
        <v>19</v>
      </c>
      <c r="AR265" s="35">
        <v>20.7</v>
      </c>
      <c r="AS265" s="35">
        <v>19</v>
      </c>
      <c r="AT265" s="35">
        <v>18.3</v>
      </c>
      <c r="AU265" s="35">
        <v>19</v>
      </c>
      <c r="AV265" s="35">
        <v>18.100000000000001</v>
      </c>
      <c r="AW265" s="35">
        <v>19</v>
      </c>
      <c r="AX265" s="35">
        <v>21.1</v>
      </c>
      <c r="AY265" s="35">
        <v>20</v>
      </c>
      <c r="AZ265" s="35">
        <v>21</v>
      </c>
      <c r="BA265" s="35">
        <v>20</v>
      </c>
      <c r="BB265" s="35">
        <v>33.299999999999997</v>
      </c>
      <c r="BC265" s="35">
        <v>40</v>
      </c>
      <c r="BD265" s="35">
        <v>32.1</v>
      </c>
      <c r="BE265" s="35">
        <v>40</v>
      </c>
      <c r="BF265" s="35">
        <v>21.8</v>
      </c>
      <c r="BG265" s="35">
        <v>20</v>
      </c>
    </row>
    <row r="266" spans="1:59" x14ac:dyDescent="0.35">
      <c r="A266" s="36">
        <v>46059.635416666664</v>
      </c>
      <c r="B266" s="35">
        <v>3.4</v>
      </c>
      <c r="C266" s="35">
        <v>2</v>
      </c>
      <c r="D266" s="35">
        <v>3.9</v>
      </c>
      <c r="E266" s="35">
        <v>2.2000000000000002</v>
      </c>
      <c r="F266" s="35">
        <v>2.9</v>
      </c>
      <c r="G266" s="35">
        <v>2</v>
      </c>
      <c r="H266" s="35">
        <v>3.2</v>
      </c>
      <c r="I266" s="35">
        <v>2</v>
      </c>
      <c r="J266" s="35">
        <v>3.1</v>
      </c>
      <c r="K266" s="35">
        <v>2</v>
      </c>
      <c r="L266" s="35">
        <v>2.5</v>
      </c>
      <c r="M266" s="35">
        <v>2</v>
      </c>
      <c r="N266" s="35">
        <v>1.1000000000000001</v>
      </c>
      <c r="O266" s="35">
        <v>3</v>
      </c>
      <c r="P266" s="35">
        <v>1.7</v>
      </c>
      <c r="Q266" s="35">
        <v>2</v>
      </c>
      <c r="R266" s="35">
        <v>1.7</v>
      </c>
      <c r="S266" s="35">
        <v>2</v>
      </c>
      <c r="T266" s="35">
        <v>1.3</v>
      </c>
      <c r="U266" s="35">
        <v>2</v>
      </c>
      <c r="V266" s="35">
        <v>9</v>
      </c>
      <c r="W266" s="35">
        <v>9</v>
      </c>
      <c r="X266" s="35">
        <v>10.8</v>
      </c>
      <c r="Y266" s="35">
        <v>9</v>
      </c>
      <c r="Z266" s="35">
        <v>10.6</v>
      </c>
      <c r="AA266" s="35">
        <v>9</v>
      </c>
      <c r="AB266" s="35">
        <v>10.1</v>
      </c>
      <c r="AC266" s="35">
        <v>9</v>
      </c>
      <c r="AD266" s="35">
        <v>20.3</v>
      </c>
      <c r="AE266" s="35">
        <v>19</v>
      </c>
      <c r="AF266" s="35">
        <v>19.399999999999999</v>
      </c>
      <c r="AG266" s="35">
        <v>19</v>
      </c>
      <c r="AH266" s="35">
        <v>20.100000000000001</v>
      </c>
      <c r="AI266" s="35">
        <v>19</v>
      </c>
      <c r="AJ266" s="35">
        <v>19.8</v>
      </c>
      <c r="AK266" s="35">
        <v>19</v>
      </c>
      <c r="AL266" s="35">
        <v>19.600000000000001</v>
      </c>
      <c r="AM266" s="35">
        <v>19</v>
      </c>
      <c r="AN266" s="35">
        <v>19.8</v>
      </c>
      <c r="AO266" s="35">
        <v>19</v>
      </c>
      <c r="AP266" s="35">
        <v>20.5</v>
      </c>
      <c r="AQ266" s="35">
        <v>19</v>
      </c>
      <c r="AR266" s="35">
        <v>20.7</v>
      </c>
      <c r="AS266" s="35">
        <v>19</v>
      </c>
      <c r="AT266" s="35">
        <v>18.5</v>
      </c>
      <c r="AU266" s="35">
        <v>19</v>
      </c>
      <c r="AV266" s="35">
        <v>18.3</v>
      </c>
      <c r="AW266" s="35">
        <v>19</v>
      </c>
      <c r="AX266" s="35">
        <v>21.1</v>
      </c>
      <c r="AY266" s="35">
        <v>20</v>
      </c>
      <c r="AZ266" s="35">
        <v>21.1</v>
      </c>
      <c r="BA266" s="35">
        <v>20</v>
      </c>
      <c r="BB266" s="35">
        <v>33.299999999999997</v>
      </c>
      <c r="BC266" s="35">
        <v>40</v>
      </c>
      <c r="BD266" s="35">
        <v>32.1</v>
      </c>
      <c r="BE266" s="35">
        <v>40</v>
      </c>
      <c r="BF266" s="35">
        <v>21.9</v>
      </c>
      <c r="BG266" s="35">
        <v>20</v>
      </c>
    </row>
    <row r="267" spans="1:59" x14ac:dyDescent="0.35">
      <c r="A267" s="36">
        <v>46059.636111111111</v>
      </c>
      <c r="B267" s="35">
        <v>3.7</v>
      </c>
      <c r="C267" s="35">
        <v>2</v>
      </c>
      <c r="D267" s="35">
        <v>4.2</v>
      </c>
      <c r="E267" s="35">
        <v>2.2000000000000002</v>
      </c>
      <c r="F267" s="35">
        <v>3.2</v>
      </c>
      <c r="G267" s="35">
        <v>2</v>
      </c>
      <c r="H267" s="35">
        <v>3.6</v>
      </c>
      <c r="I267" s="35">
        <v>2</v>
      </c>
      <c r="J267" s="35">
        <v>3.1</v>
      </c>
      <c r="K267" s="35">
        <v>2</v>
      </c>
      <c r="L267" s="35">
        <v>3.3</v>
      </c>
      <c r="M267" s="35">
        <v>2</v>
      </c>
      <c r="N267" s="35">
        <v>1.5</v>
      </c>
      <c r="O267" s="35">
        <v>3</v>
      </c>
      <c r="P267" s="35">
        <v>2</v>
      </c>
      <c r="Q267" s="35">
        <v>2</v>
      </c>
      <c r="R267" s="35">
        <v>2</v>
      </c>
      <c r="S267" s="35">
        <v>2</v>
      </c>
      <c r="T267" s="35">
        <v>1.6</v>
      </c>
      <c r="U267" s="35">
        <v>2</v>
      </c>
      <c r="V267" s="35">
        <v>9.9</v>
      </c>
      <c r="W267" s="35">
        <v>9</v>
      </c>
      <c r="X267" s="35">
        <v>10.9</v>
      </c>
      <c r="Y267" s="35">
        <v>9</v>
      </c>
      <c r="Z267" s="35">
        <v>10.8</v>
      </c>
      <c r="AA267" s="35">
        <v>9</v>
      </c>
      <c r="AB267" s="35">
        <v>10.5</v>
      </c>
      <c r="AC267" s="35">
        <v>9</v>
      </c>
      <c r="AD267" s="35">
        <v>20.399999999999999</v>
      </c>
      <c r="AE267" s="35">
        <v>19</v>
      </c>
      <c r="AF267" s="35">
        <v>19.5</v>
      </c>
      <c r="AG267" s="35">
        <v>19</v>
      </c>
      <c r="AH267" s="35">
        <v>20.100000000000001</v>
      </c>
      <c r="AI267" s="35">
        <v>19</v>
      </c>
      <c r="AJ267" s="35">
        <v>19.899999999999999</v>
      </c>
      <c r="AK267" s="35">
        <v>19</v>
      </c>
      <c r="AL267" s="35">
        <v>19.5</v>
      </c>
      <c r="AM267" s="35">
        <v>19</v>
      </c>
      <c r="AN267" s="35">
        <v>20</v>
      </c>
      <c r="AO267" s="35">
        <v>19</v>
      </c>
      <c r="AP267" s="35">
        <v>20.5</v>
      </c>
      <c r="AQ267" s="35">
        <v>19</v>
      </c>
      <c r="AR267" s="35">
        <v>20.7</v>
      </c>
      <c r="AS267" s="35">
        <v>19</v>
      </c>
      <c r="AT267" s="35">
        <v>18.7</v>
      </c>
      <c r="AU267" s="35">
        <v>19</v>
      </c>
      <c r="AV267" s="35">
        <v>18.5</v>
      </c>
      <c r="AW267" s="35">
        <v>19</v>
      </c>
      <c r="AX267" s="35">
        <v>21.1</v>
      </c>
      <c r="AY267" s="35">
        <v>20</v>
      </c>
      <c r="AZ267" s="35">
        <v>21.1</v>
      </c>
      <c r="BA267" s="35">
        <v>20</v>
      </c>
      <c r="BB267" s="35">
        <v>33.299999999999997</v>
      </c>
      <c r="BC267" s="35">
        <v>40</v>
      </c>
      <c r="BD267" s="35">
        <v>32.1</v>
      </c>
      <c r="BE267" s="35">
        <v>40</v>
      </c>
      <c r="BF267" s="35">
        <v>21.9</v>
      </c>
      <c r="BG267" s="35">
        <v>20</v>
      </c>
    </row>
    <row r="268" spans="1:59" x14ac:dyDescent="0.35">
      <c r="A268" s="36">
        <v>46059.636805555558</v>
      </c>
      <c r="B268" s="35">
        <v>3.7</v>
      </c>
      <c r="C268" s="35">
        <v>2</v>
      </c>
      <c r="D268" s="35">
        <v>4.0999999999999996</v>
      </c>
      <c r="E268" s="35">
        <v>2.2000000000000002</v>
      </c>
      <c r="F268" s="35">
        <v>3.5</v>
      </c>
      <c r="G268" s="35">
        <v>2</v>
      </c>
      <c r="H268" s="35">
        <v>3.8</v>
      </c>
      <c r="I268" s="35">
        <v>2</v>
      </c>
      <c r="J268" s="35">
        <v>41.3</v>
      </c>
      <c r="K268" s="35">
        <v>2</v>
      </c>
      <c r="L268" s="35">
        <v>4</v>
      </c>
      <c r="M268" s="35">
        <v>2</v>
      </c>
      <c r="N268" s="35">
        <v>1.9</v>
      </c>
      <c r="O268" s="35">
        <v>3</v>
      </c>
      <c r="P268" s="35">
        <v>2.2999999999999998</v>
      </c>
      <c r="Q268" s="35">
        <v>2</v>
      </c>
      <c r="R268" s="35">
        <v>2.2999999999999998</v>
      </c>
      <c r="S268" s="35">
        <v>2</v>
      </c>
      <c r="T268" s="35">
        <v>1.9</v>
      </c>
      <c r="U268" s="35">
        <v>2</v>
      </c>
      <c r="V268" s="35">
        <v>10.4</v>
      </c>
      <c r="W268" s="35">
        <v>9</v>
      </c>
      <c r="X268" s="35">
        <v>10.8</v>
      </c>
      <c r="Y268" s="35">
        <v>9</v>
      </c>
      <c r="Z268" s="35">
        <v>11</v>
      </c>
      <c r="AA268" s="35">
        <v>9</v>
      </c>
      <c r="AB268" s="35">
        <v>11</v>
      </c>
      <c r="AC268" s="35">
        <v>9</v>
      </c>
      <c r="AD268" s="35">
        <v>20.399999999999999</v>
      </c>
      <c r="AE268" s="35">
        <v>19</v>
      </c>
      <c r="AF268" s="35">
        <v>19.600000000000001</v>
      </c>
      <c r="AG268" s="35">
        <v>19</v>
      </c>
      <c r="AH268" s="35">
        <v>20.2</v>
      </c>
      <c r="AI268" s="35">
        <v>19</v>
      </c>
      <c r="AJ268" s="35">
        <v>19.899999999999999</v>
      </c>
      <c r="AK268" s="35">
        <v>19</v>
      </c>
      <c r="AL268" s="35">
        <v>19.5</v>
      </c>
      <c r="AM268" s="35">
        <v>19</v>
      </c>
      <c r="AN268" s="35">
        <v>20.100000000000001</v>
      </c>
      <c r="AO268" s="35">
        <v>19</v>
      </c>
      <c r="AP268" s="35">
        <v>20.5</v>
      </c>
      <c r="AQ268" s="35">
        <v>19</v>
      </c>
      <c r="AR268" s="35">
        <v>20.7</v>
      </c>
      <c r="AS268" s="35">
        <v>19</v>
      </c>
      <c r="AT268" s="35">
        <v>18.8</v>
      </c>
      <c r="AU268" s="35">
        <v>19</v>
      </c>
      <c r="AV268" s="35">
        <v>18.600000000000001</v>
      </c>
      <c r="AW268" s="35">
        <v>19</v>
      </c>
      <c r="AX268" s="35">
        <v>21.1</v>
      </c>
      <c r="AY268" s="35">
        <v>20</v>
      </c>
      <c r="AZ268" s="35">
        <v>21.1</v>
      </c>
      <c r="BA268" s="35">
        <v>20</v>
      </c>
      <c r="BB268" s="35">
        <v>33.299999999999997</v>
      </c>
      <c r="BC268" s="35">
        <v>40</v>
      </c>
      <c r="BD268" s="35">
        <v>32.1</v>
      </c>
      <c r="BE268" s="35">
        <v>40</v>
      </c>
      <c r="BF268" s="35">
        <v>21.9</v>
      </c>
      <c r="BG268" s="35">
        <v>20</v>
      </c>
    </row>
    <row r="269" spans="1:59" x14ac:dyDescent="0.35">
      <c r="A269" s="36">
        <v>46059.637499999997</v>
      </c>
      <c r="B269" s="35">
        <v>3.7</v>
      </c>
      <c r="C269" s="35">
        <v>2</v>
      </c>
      <c r="D269" s="35">
        <v>4.0999999999999996</v>
      </c>
      <c r="E269" s="35">
        <v>2.2000000000000002</v>
      </c>
      <c r="F269" s="35">
        <v>3.7</v>
      </c>
      <c r="G269" s="35">
        <v>2</v>
      </c>
      <c r="H269" s="35">
        <v>3.7</v>
      </c>
      <c r="I269" s="35">
        <v>2</v>
      </c>
      <c r="J269" s="35">
        <v>37.700000000000003</v>
      </c>
      <c r="K269" s="35">
        <v>2</v>
      </c>
      <c r="L269" s="35">
        <v>3.8</v>
      </c>
      <c r="M269" s="35">
        <v>2</v>
      </c>
      <c r="N269" s="35">
        <v>2.4</v>
      </c>
      <c r="O269" s="35">
        <v>3</v>
      </c>
      <c r="P269" s="35">
        <v>2.6</v>
      </c>
      <c r="Q269" s="35">
        <v>2</v>
      </c>
      <c r="R269" s="35">
        <v>2.6</v>
      </c>
      <c r="S269" s="35">
        <v>2</v>
      </c>
      <c r="T269" s="35">
        <v>2.2000000000000002</v>
      </c>
      <c r="U269" s="35">
        <v>2</v>
      </c>
      <c r="V269" s="35">
        <v>10.8</v>
      </c>
      <c r="W269" s="35">
        <v>9</v>
      </c>
      <c r="X269" s="35">
        <v>10.3</v>
      </c>
      <c r="Y269" s="35">
        <v>9</v>
      </c>
      <c r="Z269" s="35">
        <v>10.9</v>
      </c>
      <c r="AA269" s="35">
        <v>9</v>
      </c>
      <c r="AB269" s="35">
        <v>10.7</v>
      </c>
      <c r="AC269" s="35">
        <v>9</v>
      </c>
      <c r="AD269" s="35">
        <v>20.5</v>
      </c>
      <c r="AE269" s="35">
        <v>19</v>
      </c>
      <c r="AF269" s="35">
        <v>19.7</v>
      </c>
      <c r="AG269" s="35">
        <v>19</v>
      </c>
      <c r="AH269" s="35">
        <v>20.3</v>
      </c>
      <c r="AI269" s="35">
        <v>19</v>
      </c>
      <c r="AJ269" s="35">
        <v>20</v>
      </c>
      <c r="AK269" s="35">
        <v>19</v>
      </c>
      <c r="AL269" s="35">
        <v>19.5</v>
      </c>
      <c r="AM269" s="35">
        <v>19</v>
      </c>
      <c r="AN269" s="35">
        <v>20.100000000000001</v>
      </c>
      <c r="AO269" s="35">
        <v>19</v>
      </c>
      <c r="AP269" s="35">
        <v>20.5</v>
      </c>
      <c r="AQ269" s="35">
        <v>19</v>
      </c>
      <c r="AR269" s="35">
        <v>20.7</v>
      </c>
      <c r="AS269" s="35">
        <v>19</v>
      </c>
      <c r="AT269" s="35">
        <v>19</v>
      </c>
      <c r="AU269" s="35">
        <v>19</v>
      </c>
      <c r="AV269" s="35">
        <v>18.8</v>
      </c>
      <c r="AW269" s="35">
        <v>19</v>
      </c>
      <c r="AX269" s="35">
        <v>21.1</v>
      </c>
      <c r="AY269" s="35">
        <v>20</v>
      </c>
      <c r="AZ269" s="35">
        <v>21.2</v>
      </c>
      <c r="BA269" s="35">
        <v>20</v>
      </c>
      <c r="BB269" s="35">
        <v>33.299999999999997</v>
      </c>
      <c r="BC269" s="35">
        <v>40</v>
      </c>
      <c r="BD269" s="35">
        <v>32.1</v>
      </c>
      <c r="BE269" s="35">
        <v>40</v>
      </c>
      <c r="BF269" s="35">
        <v>22</v>
      </c>
      <c r="BG269" s="35">
        <v>20</v>
      </c>
    </row>
    <row r="270" spans="1:59" x14ac:dyDescent="0.35">
      <c r="A270" s="36">
        <v>46059.63958333333</v>
      </c>
      <c r="B270" s="35">
        <v>2.9</v>
      </c>
      <c r="C270" s="35">
        <v>2</v>
      </c>
      <c r="D270" s="35">
        <v>3.2</v>
      </c>
      <c r="E270" s="35">
        <v>2.2000000000000002</v>
      </c>
      <c r="F270" s="35">
        <v>3.2</v>
      </c>
      <c r="G270" s="35">
        <v>2</v>
      </c>
      <c r="H270" s="35">
        <v>2.6</v>
      </c>
      <c r="I270" s="35">
        <v>2</v>
      </c>
      <c r="J270" s="35">
        <v>6.3</v>
      </c>
      <c r="K270" s="35">
        <v>2</v>
      </c>
      <c r="L270" s="35">
        <v>1.8</v>
      </c>
      <c r="M270" s="35">
        <v>2</v>
      </c>
      <c r="N270" s="35">
        <v>3.4</v>
      </c>
      <c r="O270" s="35">
        <v>3</v>
      </c>
      <c r="P270" s="35">
        <v>3.3</v>
      </c>
      <c r="Q270" s="35">
        <v>2</v>
      </c>
      <c r="R270" s="35">
        <v>3.1</v>
      </c>
      <c r="S270" s="35">
        <v>2</v>
      </c>
      <c r="T270" s="35">
        <v>2.9</v>
      </c>
      <c r="U270" s="35">
        <v>2</v>
      </c>
      <c r="V270" s="35">
        <v>8.1999999999999993</v>
      </c>
      <c r="W270" s="35">
        <v>9</v>
      </c>
      <c r="X270" s="35">
        <v>8.5</v>
      </c>
      <c r="Y270" s="35">
        <v>9</v>
      </c>
      <c r="Z270" s="35">
        <v>9.9</v>
      </c>
      <c r="AA270" s="35">
        <v>9</v>
      </c>
      <c r="AB270" s="35">
        <v>8.6999999999999993</v>
      </c>
      <c r="AC270" s="35">
        <v>9</v>
      </c>
      <c r="AD270" s="35">
        <v>20.6</v>
      </c>
      <c r="AE270" s="35">
        <v>19</v>
      </c>
      <c r="AF270" s="35">
        <v>19.899999999999999</v>
      </c>
      <c r="AG270" s="35">
        <v>19</v>
      </c>
      <c r="AH270" s="35">
        <v>20.399999999999999</v>
      </c>
      <c r="AI270" s="35">
        <v>19</v>
      </c>
      <c r="AJ270" s="35">
        <v>20.3</v>
      </c>
      <c r="AK270" s="35">
        <v>19</v>
      </c>
      <c r="AL270" s="35">
        <v>19.3</v>
      </c>
      <c r="AM270" s="35">
        <v>19</v>
      </c>
      <c r="AN270" s="35">
        <v>20.399999999999999</v>
      </c>
      <c r="AO270" s="35">
        <v>19</v>
      </c>
      <c r="AP270" s="35">
        <v>20.6</v>
      </c>
      <c r="AQ270" s="35">
        <v>19</v>
      </c>
      <c r="AR270" s="35">
        <v>20.7</v>
      </c>
      <c r="AS270" s="35">
        <v>19</v>
      </c>
      <c r="AT270" s="35">
        <v>19.399999999999999</v>
      </c>
      <c r="AU270" s="35">
        <v>19</v>
      </c>
      <c r="AV270" s="35">
        <v>19.3</v>
      </c>
      <c r="AW270" s="35">
        <v>19</v>
      </c>
      <c r="AX270" s="35">
        <v>21.1</v>
      </c>
      <c r="AY270" s="35">
        <v>20</v>
      </c>
      <c r="AZ270" s="35">
        <v>21.2</v>
      </c>
      <c r="BA270" s="35">
        <v>20</v>
      </c>
      <c r="BB270" s="35">
        <v>33.299999999999997</v>
      </c>
      <c r="BC270" s="35">
        <v>40</v>
      </c>
      <c r="BD270" s="35">
        <v>32.1</v>
      </c>
      <c r="BE270" s="35">
        <v>40</v>
      </c>
      <c r="BF270" s="35">
        <v>18.600000000000001</v>
      </c>
      <c r="BG270" s="35">
        <v>20</v>
      </c>
    </row>
    <row r="271" spans="1:59" x14ac:dyDescent="0.35">
      <c r="A271" s="36">
        <v>46059.640277777777</v>
      </c>
      <c r="B271" s="35">
        <v>1.9</v>
      </c>
      <c r="C271" s="35">
        <v>2</v>
      </c>
      <c r="D271" s="35">
        <v>2.1</v>
      </c>
      <c r="E271" s="35">
        <v>2.2000000000000002</v>
      </c>
      <c r="F271" s="35">
        <v>3.4</v>
      </c>
      <c r="G271" s="35">
        <v>2</v>
      </c>
      <c r="H271" s="35">
        <v>2.7</v>
      </c>
      <c r="I271" s="35">
        <v>2</v>
      </c>
      <c r="J271" s="35">
        <v>3.4</v>
      </c>
      <c r="K271" s="35">
        <v>2</v>
      </c>
      <c r="L271" s="35">
        <v>1.5</v>
      </c>
      <c r="M271" s="35">
        <v>2</v>
      </c>
      <c r="N271" s="35">
        <v>3.6</v>
      </c>
      <c r="O271" s="35">
        <v>3</v>
      </c>
      <c r="P271" s="35">
        <v>3.5</v>
      </c>
      <c r="Q271" s="35">
        <v>2</v>
      </c>
      <c r="R271" s="35">
        <v>3.3</v>
      </c>
      <c r="S271" s="35">
        <v>2</v>
      </c>
      <c r="T271" s="35">
        <v>3</v>
      </c>
      <c r="U271" s="35">
        <v>2</v>
      </c>
      <c r="V271" s="35">
        <v>7.9</v>
      </c>
      <c r="W271" s="35">
        <v>9</v>
      </c>
      <c r="X271" s="35">
        <v>8.5</v>
      </c>
      <c r="Y271" s="35">
        <v>9</v>
      </c>
      <c r="Z271" s="35">
        <v>9.4</v>
      </c>
      <c r="AA271" s="35">
        <v>9</v>
      </c>
      <c r="AB271" s="35">
        <v>8.6999999999999993</v>
      </c>
      <c r="AC271" s="35">
        <v>9</v>
      </c>
      <c r="AD271" s="35">
        <v>20.6</v>
      </c>
      <c r="AE271" s="35">
        <v>19</v>
      </c>
      <c r="AF271" s="35">
        <v>19.899999999999999</v>
      </c>
      <c r="AG271" s="35">
        <v>19</v>
      </c>
      <c r="AH271" s="35">
        <v>20.399999999999999</v>
      </c>
      <c r="AI271" s="35">
        <v>19</v>
      </c>
      <c r="AJ271" s="35">
        <v>20.399999999999999</v>
      </c>
      <c r="AK271" s="35">
        <v>19</v>
      </c>
      <c r="AL271" s="35">
        <v>19.3</v>
      </c>
      <c r="AM271" s="35">
        <v>19</v>
      </c>
      <c r="AN271" s="35">
        <v>20.399999999999999</v>
      </c>
      <c r="AO271" s="35">
        <v>19</v>
      </c>
      <c r="AP271" s="35">
        <v>20.6</v>
      </c>
      <c r="AQ271" s="35">
        <v>19</v>
      </c>
      <c r="AR271" s="35">
        <v>20.7</v>
      </c>
      <c r="AS271" s="35">
        <v>19</v>
      </c>
      <c r="AT271" s="35">
        <v>19.600000000000001</v>
      </c>
      <c r="AU271" s="35">
        <v>19</v>
      </c>
      <c r="AV271" s="35">
        <v>19.5</v>
      </c>
      <c r="AW271" s="35">
        <v>19</v>
      </c>
      <c r="AX271" s="35">
        <v>21.1</v>
      </c>
      <c r="AY271" s="35">
        <v>20</v>
      </c>
      <c r="AZ271" s="35">
        <v>21.1</v>
      </c>
      <c r="BA271" s="35">
        <v>20</v>
      </c>
      <c r="BB271" s="35">
        <v>33.299999999999997</v>
      </c>
      <c r="BC271" s="35">
        <v>40</v>
      </c>
      <c r="BD271" s="35">
        <v>32.1</v>
      </c>
      <c r="BE271" s="35">
        <v>40</v>
      </c>
      <c r="BF271" s="35">
        <v>19.100000000000001</v>
      </c>
      <c r="BG271" s="35">
        <v>20</v>
      </c>
    </row>
    <row r="272" spans="1:59" x14ac:dyDescent="0.35">
      <c r="A272" s="36">
        <v>46059.640972222223</v>
      </c>
      <c r="B272" s="35">
        <v>1.8</v>
      </c>
      <c r="C272" s="35">
        <v>2</v>
      </c>
      <c r="D272" s="35">
        <v>2.2000000000000002</v>
      </c>
      <c r="E272" s="35">
        <v>2.2000000000000002</v>
      </c>
      <c r="F272" s="35">
        <v>3.6</v>
      </c>
      <c r="G272" s="35">
        <v>2</v>
      </c>
      <c r="H272" s="35">
        <v>3.1</v>
      </c>
      <c r="I272" s="35">
        <v>2</v>
      </c>
      <c r="J272" s="35">
        <v>2.7</v>
      </c>
      <c r="K272" s="35">
        <v>2</v>
      </c>
      <c r="L272" s="35">
        <v>1.5</v>
      </c>
      <c r="M272" s="35">
        <v>2</v>
      </c>
      <c r="N272" s="35">
        <v>3.9</v>
      </c>
      <c r="O272" s="35">
        <v>3</v>
      </c>
      <c r="P272" s="35">
        <v>3.7</v>
      </c>
      <c r="Q272" s="35">
        <v>2</v>
      </c>
      <c r="R272" s="35">
        <v>3.4</v>
      </c>
      <c r="S272" s="35">
        <v>2</v>
      </c>
      <c r="T272" s="35">
        <v>3.2</v>
      </c>
      <c r="U272" s="35">
        <v>2</v>
      </c>
      <c r="V272" s="35">
        <v>8.5</v>
      </c>
      <c r="W272" s="35">
        <v>9</v>
      </c>
      <c r="X272" s="35">
        <v>8.6</v>
      </c>
      <c r="Y272" s="35">
        <v>9</v>
      </c>
      <c r="Z272" s="35">
        <v>9</v>
      </c>
      <c r="AA272" s="35">
        <v>9</v>
      </c>
      <c r="AB272" s="35">
        <v>9.3000000000000007</v>
      </c>
      <c r="AC272" s="35">
        <v>9</v>
      </c>
      <c r="AD272" s="35">
        <v>20.7</v>
      </c>
      <c r="AE272" s="35">
        <v>19</v>
      </c>
      <c r="AF272" s="35">
        <v>20</v>
      </c>
      <c r="AG272" s="35">
        <v>19</v>
      </c>
      <c r="AH272" s="35">
        <v>20.5</v>
      </c>
      <c r="AI272" s="35">
        <v>19</v>
      </c>
      <c r="AJ272" s="35">
        <v>20.399999999999999</v>
      </c>
      <c r="AK272" s="35">
        <v>19</v>
      </c>
      <c r="AL272" s="35">
        <v>19.3</v>
      </c>
      <c r="AM272" s="35">
        <v>19</v>
      </c>
      <c r="AN272" s="35">
        <v>20.5</v>
      </c>
      <c r="AO272" s="35">
        <v>19</v>
      </c>
      <c r="AP272" s="35">
        <v>20.6</v>
      </c>
      <c r="AQ272" s="35">
        <v>19</v>
      </c>
      <c r="AR272" s="35">
        <v>20.7</v>
      </c>
      <c r="AS272" s="35">
        <v>19</v>
      </c>
      <c r="AT272" s="35">
        <v>19.7</v>
      </c>
      <c r="AU272" s="35">
        <v>19</v>
      </c>
      <c r="AV272" s="35">
        <v>19.600000000000001</v>
      </c>
      <c r="AW272" s="35">
        <v>19</v>
      </c>
      <c r="AX272" s="35">
        <v>21</v>
      </c>
      <c r="AY272" s="35">
        <v>20</v>
      </c>
      <c r="AZ272" s="35">
        <v>21.1</v>
      </c>
      <c r="BA272" s="35">
        <v>20</v>
      </c>
      <c r="BB272" s="35">
        <v>33.299999999999997</v>
      </c>
      <c r="BC272" s="35">
        <v>40</v>
      </c>
      <c r="BD272" s="35">
        <v>32.1</v>
      </c>
      <c r="BE272" s="35">
        <v>40</v>
      </c>
      <c r="BF272" s="35">
        <v>19.5</v>
      </c>
      <c r="BG272" s="35">
        <v>20</v>
      </c>
    </row>
    <row r="273" spans="1:59" x14ac:dyDescent="0.35">
      <c r="A273" s="36">
        <v>46059.64166666667</v>
      </c>
      <c r="B273" s="35">
        <v>2.2000000000000002</v>
      </c>
      <c r="C273" s="35">
        <v>2</v>
      </c>
      <c r="D273" s="35">
        <v>2.7</v>
      </c>
      <c r="E273" s="35">
        <v>2.2000000000000002</v>
      </c>
      <c r="F273" s="35">
        <v>3.8</v>
      </c>
      <c r="G273" s="35">
        <v>2</v>
      </c>
      <c r="H273" s="35">
        <v>3.4</v>
      </c>
      <c r="I273" s="35">
        <v>2</v>
      </c>
      <c r="J273" s="35">
        <v>2.6</v>
      </c>
      <c r="K273" s="35">
        <v>2</v>
      </c>
      <c r="L273" s="35">
        <v>1.5</v>
      </c>
      <c r="M273" s="35">
        <v>2</v>
      </c>
      <c r="N273" s="35">
        <v>4</v>
      </c>
      <c r="O273" s="35">
        <v>3</v>
      </c>
      <c r="P273" s="35">
        <v>3.8</v>
      </c>
      <c r="Q273" s="35">
        <v>2</v>
      </c>
      <c r="R273" s="35">
        <v>3.6</v>
      </c>
      <c r="S273" s="35">
        <v>2</v>
      </c>
      <c r="T273" s="35">
        <v>3.3</v>
      </c>
      <c r="U273" s="35">
        <v>2</v>
      </c>
      <c r="V273" s="35">
        <v>9.3000000000000007</v>
      </c>
      <c r="W273" s="35">
        <v>9</v>
      </c>
      <c r="X273" s="35">
        <v>8.9</v>
      </c>
      <c r="Y273" s="35">
        <v>9</v>
      </c>
      <c r="Z273" s="35">
        <v>8.9</v>
      </c>
      <c r="AA273" s="35">
        <v>9</v>
      </c>
      <c r="AB273" s="35">
        <v>9.9</v>
      </c>
      <c r="AC273" s="35">
        <v>9</v>
      </c>
      <c r="AD273" s="35">
        <v>20.7</v>
      </c>
      <c r="AE273" s="35">
        <v>19</v>
      </c>
      <c r="AF273" s="35">
        <v>20</v>
      </c>
      <c r="AG273" s="35">
        <v>19</v>
      </c>
      <c r="AH273" s="35">
        <v>20.5</v>
      </c>
      <c r="AI273" s="35">
        <v>19</v>
      </c>
      <c r="AJ273" s="35">
        <v>20.5</v>
      </c>
      <c r="AK273" s="35">
        <v>19</v>
      </c>
      <c r="AL273" s="35">
        <v>19.2</v>
      </c>
      <c r="AM273" s="35">
        <v>19</v>
      </c>
      <c r="AN273" s="35">
        <v>20.5</v>
      </c>
      <c r="AO273" s="35">
        <v>19</v>
      </c>
      <c r="AP273" s="35">
        <v>20.6</v>
      </c>
      <c r="AQ273" s="35">
        <v>19</v>
      </c>
      <c r="AR273" s="35">
        <v>20.7</v>
      </c>
      <c r="AS273" s="35">
        <v>19</v>
      </c>
      <c r="AT273" s="35">
        <v>19.8</v>
      </c>
      <c r="AU273" s="35">
        <v>19</v>
      </c>
      <c r="AV273" s="35">
        <v>19.7</v>
      </c>
      <c r="AW273" s="35">
        <v>19</v>
      </c>
      <c r="AX273" s="35">
        <v>21</v>
      </c>
      <c r="AY273" s="35">
        <v>20</v>
      </c>
      <c r="AZ273" s="35">
        <v>21</v>
      </c>
      <c r="BA273" s="35">
        <v>20</v>
      </c>
      <c r="BB273" s="35">
        <v>33.299999999999997</v>
      </c>
      <c r="BC273" s="35">
        <v>40</v>
      </c>
      <c r="BD273" s="35">
        <v>32.1</v>
      </c>
      <c r="BE273" s="35">
        <v>40</v>
      </c>
      <c r="BF273" s="35">
        <v>20</v>
      </c>
      <c r="BG273" s="35">
        <v>20</v>
      </c>
    </row>
    <row r="274" spans="1:59" x14ac:dyDescent="0.35">
      <c r="A274" s="36">
        <v>46059.642361111109</v>
      </c>
      <c r="B274" s="35">
        <v>2.7</v>
      </c>
      <c r="C274" s="35">
        <v>2</v>
      </c>
      <c r="D274" s="35">
        <v>3.1</v>
      </c>
      <c r="E274" s="35">
        <v>2.2000000000000002</v>
      </c>
      <c r="F274" s="35">
        <v>4</v>
      </c>
      <c r="G274" s="35">
        <v>2</v>
      </c>
      <c r="H274" s="35">
        <v>3.5</v>
      </c>
      <c r="I274" s="35">
        <v>2</v>
      </c>
      <c r="J274" s="35">
        <v>2.8</v>
      </c>
      <c r="K274" s="35">
        <v>2</v>
      </c>
      <c r="L274" s="35">
        <v>1.7</v>
      </c>
      <c r="M274" s="35">
        <v>2</v>
      </c>
      <c r="N274" s="35">
        <v>4.2</v>
      </c>
      <c r="O274" s="35">
        <v>3</v>
      </c>
      <c r="P274" s="35">
        <v>3.9</v>
      </c>
      <c r="Q274" s="35">
        <v>2</v>
      </c>
      <c r="R274" s="35">
        <v>3.7</v>
      </c>
      <c r="S274" s="35">
        <v>2</v>
      </c>
      <c r="T274" s="35">
        <v>3.4</v>
      </c>
      <c r="U274" s="35">
        <v>2</v>
      </c>
      <c r="V274" s="35">
        <v>9.9</v>
      </c>
      <c r="W274" s="35">
        <v>9</v>
      </c>
      <c r="X274" s="35">
        <v>9.1</v>
      </c>
      <c r="Y274" s="35">
        <v>9</v>
      </c>
      <c r="Z274" s="35">
        <v>9.1</v>
      </c>
      <c r="AA274" s="35">
        <v>9</v>
      </c>
      <c r="AB274" s="35">
        <v>10.3</v>
      </c>
      <c r="AC274" s="35">
        <v>9</v>
      </c>
      <c r="AD274" s="35">
        <v>20.7</v>
      </c>
      <c r="AE274" s="35">
        <v>19</v>
      </c>
      <c r="AF274" s="35">
        <v>20.100000000000001</v>
      </c>
      <c r="AG274" s="35">
        <v>19</v>
      </c>
      <c r="AH274" s="35">
        <v>20.6</v>
      </c>
      <c r="AI274" s="35">
        <v>19</v>
      </c>
      <c r="AJ274" s="35">
        <v>20.6</v>
      </c>
      <c r="AK274" s="35">
        <v>19</v>
      </c>
      <c r="AL274" s="35">
        <v>19.2</v>
      </c>
      <c r="AM274" s="35">
        <v>19</v>
      </c>
      <c r="AN274" s="35">
        <v>20.6</v>
      </c>
      <c r="AO274" s="35">
        <v>19</v>
      </c>
      <c r="AP274" s="35">
        <v>20.6</v>
      </c>
      <c r="AQ274" s="35">
        <v>19</v>
      </c>
      <c r="AR274" s="35">
        <v>20.7</v>
      </c>
      <c r="AS274" s="35">
        <v>19</v>
      </c>
      <c r="AT274" s="35">
        <v>19.899999999999999</v>
      </c>
      <c r="AU274" s="35">
        <v>19</v>
      </c>
      <c r="AV274" s="35">
        <v>19.8</v>
      </c>
      <c r="AW274" s="35">
        <v>19</v>
      </c>
      <c r="AX274" s="35">
        <v>20.9</v>
      </c>
      <c r="AY274" s="35">
        <v>20</v>
      </c>
      <c r="AZ274" s="35">
        <v>21</v>
      </c>
      <c r="BA274" s="35">
        <v>20</v>
      </c>
      <c r="BB274" s="35">
        <v>33.299999999999997</v>
      </c>
      <c r="BC274" s="35">
        <v>40</v>
      </c>
      <c r="BD274" s="35">
        <v>32.1</v>
      </c>
      <c r="BE274" s="35">
        <v>40</v>
      </c>
      <c r="BF274" s="35">
        <v>20.6</v>
      </c>
      <c r="BG274" s="35">
        <v>20</v>
      </c>
    </row>
    <row r="275" spans="1:59" x14ac:dyDescent="0.35">
      <c r="A275" s="36">
        <v>46059.643055555556</v>
      </c>
      <c r="B275" s="35">
        <v>3</v>
      </c>
      <c r="C275" s="35">
        <v>2</v>
      </c>
      <c r="D275" s="35">
        <v>3.5</v>
      </c>
      <c r="E275" s="35">
        <v>2.2000000000000002</v>
      </c>
      <c r="F275" s="35">
        <v>2.2000000000000002</v>
      </c>
      <c r="G275" s="35">
        <v>2</v>
      </c>
      <c r="H275" s="35">
        <v>1.5</v>
      </c>
      <c r="I275" s="35">
        <v>2</v>
      </c>
      <c r="J275" s="35">
        <v>2.2000000000000002</v>
      </c>
      <c r="K275" s="35">
        <v>2</v>
      </c>
      <c r="L275" s="35">
        <v>1.8</v>
      </c>
      <c r="M275" s="35">
        <v>2</v>
      </c>
      <c r="N275" s="35">
        <v>4.3</v>
      </c>
      <c r="O275" s="35">
        <v>3</v>
      </c>
      <c r="P275" s="35">
        <v>4</v>
      </c>
      <c r="Q275" s="35">
        <v>2</v>
      </c>
      <c r="R275" s="35">
        <v>3.8</v>
      </c>
      <c r="S275" s="35">
        <v>2</v>
      </c>
      <c r="T275" s="35">
        <v>3.5</v>
      </c>
      <c r="U275" s="35">
        <v>2</v>
      </c>
      <c r="V275" s="35">
        <v>10.5</v>
      </c>
      <c r="W275" s="35">
        <v>9</v>
      </c>
      <c r="X275" s="35">
        <v>9.4</v>
      </c>
      <c r="Y275" s="35">
        <v>9</v>
      </c>
      <c r="Z275" s="35">
        <v>9.6999999999999993</v>
      </c>
      <c r="AA275" s="35">
        <v>9</v>
      </c>
      <c r="AB275" s="35">
        <v>10.8</v>
      </c>
      <c r="AC275" s="35">
        <v>9</v>
      </c>
      <c r="AD275" s="35">
        <v>20.7</v>
      </c>
      <c r="AE275" s="35">
        <v>19</v>
      </c>
      <c r="AF275" s="35">
        <v>20.100000000000001</v>
      </c>
      <c r="AG275" s="35">
        <v>19</v>
      </c>
      <c r="AH275" s="35">
        <v>20.6</v>
      </c>
      <c r="AI275" s="35">
        <v>19</v>
      </c>
      <c r="AJ275" s="35">
        <v>20.6</v>
      </c>
      <c r="AK275" s="35">
        <v>19</v>
      </c>
      <c r="AL275" s="35">
        <v>19.2</v>
      </c>
      <c r="AM275" s="35">
        <v>19</v>
      </c>
      <c r="AN275" s="35">
        <v>20.7</v>
      </c>
      <c r="AO275" s="35">
        <v>19</v>
      </c>
      <c r="AP275" s="35">
        <v>20.6</v>
      </c>
      <c r="AQ275" s="35">
        <v>19</v>
      </c>
      <c r="AR275" s="35">
        <v>20.7</v>
      </c>
      <c r="AS275" s="35">
        <v>19</v>
      </c>
      <c r="AT275" s="35">
        <v>20</v>
      </c>
      <c r="AU275" s="35">
        <v>19</v>
      </c>
      <c r="AV275" s="35">
        <v>19.899999999999999</v>
      </c>
      <c r="AW275" s="35">
        <v>19</v>
      </c>
      <c r="AX275" s="35">
        <v>20.9</v>
      </c>
      <c r="AY275" s="35">
        <v>20</v>
      </c>
      <c r="AZ275" s="35">
        <v>21</v>
      </c>
      <c r="BA275" s="35">
        <v>20</v>
      </c>
      <c r="BB275" s="35">
        <v>33.299999999999997</v>
      </c>
      <c r="BC275" s="35">
        <v>40</v>
      </c>
      <c r="BD275" s="35">
        <v>32.1</v>
      </c>
      <c r="BE275" s="35">
        <v>40</v>
      </c>
      <c r="BF275" s="35">
        <v>21</v>
      </c>
      <c r="BG275" s="35">
        <v>20</v>
      </c>
    </row>
    <row r="276" spans="1:59" x14ac:dyDescent="0.35">
      <c r="A276" s="36">
        <v>46059.643750000003</v>
      </c>
      <c r="B276" s="35">
        <v>3.4</v>
      </c>
      <c r="C276" s="35">
        <v>2</v>
      </c>
      <c r="D276" s="35">
        <v>3.8</v>
      </c>
      <c r="E276" s="35">
        <v>2.2000000000000002</v>
      </c>
      <c r="F276" s="35">
        <v>1.3</v>
      </c>
      <c r="G276" s="35">
        <v>2</v>
      </c>
      <c r="H276" s="35">
        <v>1.2</v>
      </c>
      <c r="I276" s="35">
        <v>2</v>
      </c>
      <c r="J276" s="35">
        <v>1.8</v>
      </c>
      <c r="K276" s="35">
        <v>2</v>
      </c>
      <c r="L276" s="35">
        <v>1.6</v>
      </c>
      <c r="M276" s="35">
        <v>2</v>
      </c>
      <c r="N276" s="35">
        <v>2.2999999999999998</v>
      </c>
      <c r="O276" s="35">
        <v>3</v>
      </c>
      <c r="P276" s="35">
        <v>2.9</v>
      </c>
      <c r="Q276" s="35">
        <v>2</v>
      </c>
      <c r="R276" s="35">
        <v>3.9</v>
      </c>
      <c r="S276" s="35">
        <v>2</v>
      </c>
      <c r="T276" s="35">
        <v>3.6</v>
      </c>
      <c r="U276" s="35">
        <v>2</v>
      </c>
      <c r="V276" s="35">
        <v>10.9</v>
      </c>
      <c r="W276" s="35">
        <v>9</v>
      </c>
      <c r="X276" s="35">
        <v>9.6</v>
      </c>
      <c r="Y276" s="35">
        <v>9</v>
      </c>
      <c r="Z276" s="35">
        <v>10</v>
      </c>
      <c r="AA276" s="35">
        <v>9</v>
      </c>
      <c r="AB276" s="35">
        <v>11</v>
      </c>
      <c r="AC276" s="35">
        <v>9</v>
      </c>
      <c r="AD276" s="35">
        <v>20.8</v>
      </c>
      <c r="AE276" s="35">
        <v>19</v>
      </c>
      <c r="AF276" s="35">
        <v>20.2</v>
      </c>
      <c r="AG276" s="35">
        <v>19</v>
      </c>
      <c r="AH276" s="35">
        <v>20.7</v>
      </c>
      <c r="AI276" s="35">
        <v>19</v>
      </c>
      <c r="AJ276" s="35">
        <v>20.7</v>
      </c>
      <c r="AK276" s="35">
        <v>19</v>
      </c>
      <c r="AL276" s="35">
        <v>19.2</v>
      </c>
      <c r="AM276" s="35">
        <v>19</v>
      </c>
      <c r="AN276" s="35">
        <v>20.7</v>
      </c>
      <c r="AO276" s="35">
        <v>19</v>
      </c>
      <c r="AP276" s="35">
        <v>20.6</v>
      </c>
      <c r="AQ276" s="35">
        <v>19</v>
      </c>
      <c r="AR276" s="35">
        <v>20.7</v>
      </c>
      <c r="AS276" s="35">
        <v>19</v>
      </c>
      <c r="AT276" s="35">
        <v>20.100000000000001</v>
      </c>
      <c r="AU276" s="35">
        <v>19</v>
      </c>
      <c r="AV276" s="35">
        <v>20</v>
      </c>
      <c r="AW276" s="35">
        <v>19</v>
      </c>
      <c r="AX276" s="35">
        <v>20.9</v>
      </c>
      <c r="AY276" s="35">
        <v>20</v>
      </c>
      <c r="AZ276" s="35">
        <v>21</v>
      </c>
      <c r="BA276" s="35">
        <v>20</v>
      </c>
      <c r="BB276" s="35">
        <v>33.299999999999997</v>
      </c>
      <c r="BC276" s="35">
        <v>40</v>
      </c>
      <c r="BD276" s="35">
        <v>32.200000000000003</v>
      </c>
      <c r="BE276" s="35">
        <v>40</v>
      </c>
      <c r="BF276" s="35">
        <v>21.2</v>
      </c>
      <c r="BG276" s="35">
        <v>20</v>
      </c>
    </row>
    <row r="277" spans="1:59" x14ac:dyDescent="0.35">
      <c r="A277" s="36">
        <v>46059.644444444442</v>
      </c>
      <c r="B277" s="35">
        <v>3.8</v>
      </c>
      <c r="C277" s="35">
        <v>2</v>
      </c>
      <c r="D277" s="35">
        <v>4.2</v>
      </c>
      <c r="E277" s="35">
        <v>2.2000000000000002</v>
      </c>
      <c r="F277" s="35">
        <v>1.4</v>
      </c>
      <c r="G277" s="35">
        <v>2</v>
      </c>
      <c r="H277" s="35">
        <v>1.5</v>
      </c>
      <c r="I277" s="35">
        <v>2</v>
      </c>
      <c r="J277" s="35">
        <v>1.8</v>
      </c>
      <c r="K277" s="35">
        <v>2</v>
      </c>
      <c r="L277" s="35">
        <v>1.9</v>
      </c>
      <c r="M277" s="35">
        <v>2</v>
      </c>
      <c r="N277" s="35">
        <v>1.2</v>
      </c>
      <c r="O277" s="35">
        <v>3</v>
      </c>
      <c r="P277" s="35">
        <v>1.9</v>
      </c>
      <c r="Q277" s="35">
        <v>2</v>
      </c>
      <c r="R277" s="35">
        <v>3.7</v>
      </c>
      <c r="S277" s="35">
        <v>2</v>
      </c>
      <c r="T277" s="35">
        <v>3.2</v>
      </c>
      <c r="U277" s="35">
        <v>2</v>
      </c>
      <c r="V277" s="35">
        <v>10.5</v>
      </c>
      <c r="W277" s="35">
        <v>9</v>
      </c>
      <c r="X277" s="35">
        <v>9.6999999999999993</v>
      </c>
      <c r="Y277" s="35">
        <v>9</v>
      </c>
      <c r="Z277" s="35">
        <v>10.199999999999999</v>
      </c>
      <c r="AA277" s="35">
        <v>9</v>
      </c>
      <c r="AB277" s="35">
        <v>10.1</v>
      </c>
      <c r="AC277" s="35">
        <v>9</v>
      </c>
      <c r="AD277" s="35">
        <v>20.8</v>
      </c>
      <c r="AE277" s="35">
        <v>19</v>
      </c>
      <c r="AF277" s="35">
        <v>20.2</v>
      </c>
      <c r="AG277" s="35">
        <v>19</v>
      </c>
      <c r="AH277" s="35">
        <v>20.7</v>
      </c>
      <c r="AI277" s="35">
        <v>19</v>
      </c>
      <c r="AJ277" s="35">
        <v>20.8</v>
      </c>
      <c r="AK277" s="35">
        <v>19</v>
      </c>
      <c r="AL277" s="35">
        <v>19.100000000000001</v>
      </c>
      <c r="AM277" s="35">
        <v>19</v>
      </c>
      <c r="AN277" s="35">
        <v>20.8</v>
      </c>
      <c r="AO277" s="35">
        <v>19</v>
      </c>
      <c r="AP277" s="35">
        <v>20.7</v>
      </c>
      <c r="AQ277" s="35">
        <v>19</v>
      </c>
      <c r="AR277" s="35">
        <v>20.7</v>
      </c>
      <c r="AS277" s="35">
        <v>19</v>
      </c>
      <c r="AT277" s="35">
        <v>20.2</v>
      </c>
      <c r="AU277" s="35">
        <v>19</v>
      </c>
      <c r="AV277" s="35">
        <v>20.100000000000001</v>
      </c>
      <c r="AW277" s="35">
        <v>19</v>
      </c>
      <c r="AX277" s="35">
        <v>20.9</v>
      </c>
      <c r="AY277" s="35">
        <v>20</v>
      </c>
      <c r="AZ277" s="35">
        <v>21</v>
      </c>
      <c r="BA277" s="35">
        <v>20</v>
      </c>
      <c r="BB277" s="35">
        <v>33.299999999999997</v>
      </c>
      <c r="BC277" s="35">
        <v>40</v>
      </c>
      <c r="BD277" s="35">
        <v>32.200000000000003</v>
      </c>
      <c r="BE277" s="35">
        <v>40</v>
      </c>
      <c r="BF277" s="35">
        <v>21.4</v>
      </c>
      <c r="BG277" s="35">
        <v>20</v>
      </c>
    </row>
    <row r="278" spans="1:59" x14ac:dyDescent="0.35">
      <c r="A278" s="36">
        <v>46059.645138888889</v>
      </c>
      <c r="B278" s="35">
        <v>3.8</v>
      </c>
      <c r="C278" s="35">
        <v>2</v>
      </c>
      <c r="D278" s="35">
        <v>4.0999999999999996</v>
      </c>
      <c r="E278" s="35">
        <v>2.2000000000000002</v>
      </c>
      <c r="F278" s="35">
        <v>1.7</v>
      </c>
      <c r="G278" s="35">
        <v>2</v>
      </c>
      <c r="H278" s="35">
        <v>2</v>
      </c>
      <c r="I278" s="35">
        <v>2</v>
      </c>
      <c r="J278" s="35">
        <v>2.1</v>
      </c>
      <c r="K278" s="35">
        <v>2</v>
      </c>
      <c r="L278" s="35">
        <v>2.2999999999999998</v>
      </c>
      <c r="M278" s="35">
        <v>2</v>
      </c>
      <c r="N278" s="35">
        <v>1.2</v>
      </c>
      <c r="O278" s="35">
        <v>3</v>
      </c>
      <c r="P278" s="35">
        <v>1.9</v>
      </c>
      <c r="Q278" s="35">
        <v>2</v>
      </c>
      <c r="R278" s="35">
        <v>2.7</v>
      </c>
      <c r="S278" s="35">
        <v>2</v>
      </c>
      <c r="T278" s="35">
        <v>2.1</v>
      </c>
      <c r="U278" s="35">
        <v>2</v>
      </c>
      <c r="V278" s="35">
        <v>8.3000000000000007</v>
      </c>
      <c r="W278" s="35">
        <v>9</v>
      </c>
      <c r="X278" s="35">
        <v>9.9</v>
      </c>
      <c r="Y278" s="35">
        <v>9</v>
      </c>
      <c r="Z278" s="35">
        <v>10.5</v>
      </c>
      <c r="AA278" s="35">
        <v>9</v>
      </c>
      <c r="AB278" s="35">
        <v>9</v>
      </c>
      <c r="AC278" s="35">
        <v>9</v>
      </c>
      <c r="AD278" s="35">
        <v>20.8</v>
      </c>
      <c r="AE278" s="35">
        <v>19</v>
      </c>
      <c r="AF278" s="35">
        <v>20.3</v>
      </c>
      <c r="AG278" s="35">
        <v>19</v>
      </c>
      <c r="AH278" s="35">
        <v>20.8</v>
      </c>
      <c r="AI278" s="35">
        <v>19</v>
      </c>
      <c r="AJ278" s="35">
        <v>20.8</v>
      </c>
      <c r="AK278" s="35">
        <v>19</v>
      </c>
      <c r="AL278" s="35">
        <v>19.100000000000001</v>
      </c>
      <c r="AM278" s="35">
        <v>19</v>
      </c>
      <c r="AN278" s="35">
        <v>20.9</v>
      </c>
      <c r="AO278" s="35">
        <v>19</v>
      </c>
      <c r="AP278" s="35">
        <v>20.7</v>
      </c>
      <c r="AQ278" s="35">
        <v>19</v>
      </c>
      <c r="AR278" s="35">
        <v>20.7</v>
      </c>
      <c r="AS278" s="35">
        <v>19</v>
      </c>
      <c r="AT278" s="35">
        <v>20.2</v>
      </c>
      <c r="AU278" s="35">
        <v>19</v>
      </c>
      <c r="AV278" s="35">
        <v>20.100000000000001</v>
      </c>
      <c r="AW278" s="35">
        <v>19</v>
      </c>
      <c r="AX278" s="35">
        <v>20.9</v>
      </c>
      <c r="AY278" s="35">
        <v>20</v>
      </c>
      <c r="AZ278" s="35">
        <v>21</v>
      </c>
      <c r="BA278" s="35">
        <v>20</v>
      </c>
      <c r="BB278" s="35">
        <v>33.299999999999997</v>
      </c>
      <c r="BC278" s="35">
        <v>40</v>
      </c>
      <c r="BD278" s="35">
        <v>32.200000000000003</v>
      </c>
      <c r="BE278" s="35">
        <v>40</v>
      </c>
      <c r="BF278" s="35">
        <v>21.5</v>
      </c>
      <c r="BG278" s="35">
        <v>20</v>
      </c>
    </row>
    <row r="279" spans="1:59" x14ac:dyDescent="0.35">
      <c r="A279" s="36">
        <v>46059.645833333336</v>
      </c>
      <c r="B279" s="35">
        <v>3.8</v>
      </c>
      <c r="C279" s="35">
        <v>2</v>
      </c>
      <c r="D279" s="35">
        <v>4.0999999999999996</v>
      </c>
      <c r="E279" s="35">
        <v>2.2000000000000002</v>
      </c>
      <c r="F279" s="35">
        <v>2.1</v>
      </c>
      <c r="G279" s="35">
        <v>2</v>
      </c>
      <c r="H279" s="35">
        <v>2.5</v>
      </c>
      <c r="I279" s="35">
        <v>2</v>
      </c>
      <c r="J279" s="35">
        <v>2.2999999999999998</v>
      </c>
      <c r="K279" s="35">
        <v>2</v>
      </c>
      <c r="L279" s="35">
        <v>2.7</v>
      </c>
      <c r="M279" s="35">
        <v>2</v>
      </c>
      <c r="N279" s="35">
        <v>1.6</v>
      </c>
      <c r="O279" s="35">
        <v>3</v>
      </c>
      <c r="P279" s="35">
        <v>2.2000000000000002</v>
      </c>
      <c r="Q279" s="35">
        <v>2</v>
      </c>
      <c r="R279" s="35">
        <v>1.8</v>
      </c>
      <c r="S279" s="35">
        <v>2</v>
      </c>
      <c r="T279" s="35">
        <v>1.1000000000000001</v>
      </c>
      <c r="U279" s="35">
        <v>2</v>
      </c>
      <c r="V279" s="35">
        <v>7.5</v>
      </c>
      <c r="W279" s="35">
        <v>9</v>
      </c>
      <c r="X279" s="35">
        <v>10</v>
      </c>
      <c r="Y279" s="35">
        <v>9</v>
      </c>
      <c r="Z279" s="35">
        <v>10.7</v>
      </c>
      <c r="AA279" s="35">
        <v>9</v>
      </c>
      <c r="AB279" s="35">
        <v>8.6</v>
      </c>
      <c r="AC279" s="35">
        <v>9</v>
      </c>
      <c r="AD279" s="35">
        <v>20.9</v>
      </c>
      <c r="AE279" s="35">
        <v>19</v>
      </c>
      <c r="AF279" s="35">
        <v>20.3</v>
      </c>
      <c r="AG279" s="35">
        <v>19</v>
      </c>
      <c r="AH279" s="35">
        <v>20.8</v>
      </c>
      <c r="AI279" s="35">
        <v>19</v>
      </c>
      <c r="AJ279" s="35">
        <v>20.9</v>
      </c>
      <c r="AK279" s="35">
        <v>19</v>
      </c>
      <c r="AL279" s="35">
        <v>19.100000000000001</v>
      </c>
      <c r="AM279" s="35">
        <v>19</v>
      </c>
      <c r="AN279" s="35">
        <v>20.9</v>
      </c>
      <c r="AO279" s="35">
        <v>19</v>
      </c>
      <c r="AP279" s="35">
        <v>20.7</v>
      </c>
      <c r="AQ279" s="35">
        <v>19</v>
      </c>
      <c r="AR279" s="35">
        <v>20.7</v>
      </c>
      <c r="AS279" s="35">
        <v>19</v>
      </c>
      <c r="AT279" s="35">
        <v>20.3</v>
      </c>
      <c r="AU279" s="35">
        <v>19</v>
      </c>
      <c r="AV279" s="35">
        <v>20.2</v>
      </c>
      <c r="AW279" s="35">
        <v>19</v>
      </c>
      <c r="AX279" s="35">
        <v>20.9</v>
      </c>
      <c r="AY279" s="35">
        <v>20</v>
      </c>
      <c r="AZ279" s="35">
        <v>21</v>
      </c>
      <c r="BA279" s="35">
        <v>20</v>
      </c>
      <c r="BB279" s="35">
        <v>33.299999999999997</v>
      </c>
      <c r="BC279" s="35">
        <v>40</v>
      </c>
      <c r="BD279" s="35">
        <v>32.200000000000003</v>
      </c>
      <c r="BE279" s="35">
        <v>40</v>
      </c>
      <c r="BF279" s="35">
        <v>21.6</v>
      </c>
      <c r="BG279" s="35">
        <v>20</v>
      </c>
    </row>
    <row r="280" spans="1:59" x14ac:dyDescent="0.35">
      <c r="A280" s="36">
        <v>46059.646527777775</v>
      </c>
      <c r="B280" s="35">
        <v>3.9</v>
      </c>
      <c r="C280" s="35">
        <v>2</v>
      </c>
      <c r="D280" s="35">
        <v>4.3</v>
      </c>
      <c r="E280" s="35">
        <v>2.2000000000000002</v>
      </c>
      <c r="F280" s="35">
        <v>2.5</v>
      </c>
      <c r="G280" s="35">
        <v>2</v>
      </c>
      <c r="H280" s="35">
        <v>2.8</v>
      </c>
      <c r="I280" s="35">
        <v>2</v>
      </c>
      <c r="J280" s="35">
        <v>2.5</v>
      </c>
      <c r="K280" s="35">
        <v>2</v>
      </c>
      <c r="L280" s="35">
        <v>3</v>
      </c>
      <c r="M280" s="35">
        <v>2</v>
      </c>
      <c r="N280" s="35">
        <v>2</v>
      </c>
      <c r="O280" s="35">
        <v>3</v>
      </c>
      <c r="P280" s="35">
        <v>2.5</v>
      </c>
      <c r="Q280" s="35">
        <v>2</v>
      </c>
      <c r="R280" s="35">
        <v>1.6</v>
      </c>
      <c r="S280" s="35">
        <v>2</v>
      </c>
      <c r="T280" s="35">
        <v>1.1000000000000001</v>
      </c>
      <c r="U280" s="35">
        <v>2</v>
      </c>
      <c r="V280" s="35">
        <v>8</v>
      </c>
      <c r="W280" s="35">
        <v>9</v>
      </c>
      <c r="X280" s="35">
        <v>10.1</v>
      </c>
      <c r="Y280" s="35">
        <v>9</v>
      </c>
      <c r="Z280" s="35">
        <v>10.9</v>
      </c>
      <c r="AA280" s="35">
        <v>9</v>
      </c>
      <c r="AB280" s="35">
        <v>9</v>
      </c>
      <c r="AC280" s="35">
        <v>9</v>
      </c>
      <c r="AD280" s="35">
        <v>20.9</v>
      </c>
      <c r="AE280" s="35">
        <v>19</v>
      </c>
      <c r="AF280" s="35">
        <v>20.399999999999999</v>
      </c>
      <c r="AG280" s="35">
        <v>19</v>
      </c>
      <c r="AH280" s="35">
        <v>20.9</v>
      </c>
      <c r="AI280" s="35">
        <v>19</v>
      </c>
      <c r="AJ280" s="35">
        <v>20.9</v>
      </c>
      <c r="AK280" s="35">
        <v>19</v>
      </c>
      <c r="AL280" s="35">
        <v>19</v>
      </c>
      <c r="AM280" s="35">
        <v>19</v>
      </c>
      <c r="AN280" s="35">
        <v>20.9</v>
      </c>
      <c r="AO280" s="35">
        <v>19</v>
      </c>
      <c r="AP280" s="35">
        <v>20.7</v>
      </c>
      <c r="AQ280" s="35">
        <v>19</v>
      </c>
      <c r="AR280" s="35">
        <v>20.7</v>
      </c>
      <c r="AS280" s="35">
        <v>19</v>
      </c>
      <c r="AT280" s="35">
        <v>20.399999999999999</v>
      </c>
      <c r="AU280" s="35">
        <v>19</v>
      </c>
      <c r="AV280" s="35">
        <v>20.3</v>
      </c>
      <c r="AW280" s="35">
        <v>19</v>
      </c>
      <c r="AX280" s="35">
        <v>20.9</v>
      </c>
      <c r="AY280" s="35">
        <v>20</v>
      </c>
      <c r="AZ280" s="35">
        <v>21</v>
      </c>
      <c r="BA280" s="35">
        <v>20</v>
      </c>
      <c r="BB280" s="35">
        <v>33.4</v>
      </c>
      <c r="BC280" s="35">
        <v>40</v>
      </c>
      <c r="BD280" s="35">
        <v>32.200000000000003</v>
      </c>
      <c r="BE280" s="35">
        <v>40</v>
      </c>
      <c r="BF280" s="35">
        <v>21.7</v>
      </c>
      <c r="BG280" s="35">
        <v>20</v>
      </c>
    </row>
    <row r="281" spans="1:59" x14ac:dyDescent="0.35">
      <c r="A281" s="36">
        <v>46059.647222222222</v>
      </c>
      <c r="B281" s="35">
        <v>3.9</v>
      </c>
      <c r="C281" s="35">
        <v>2</v>
      </c>
      <c r="D281" s="35">
        <v>4</v>
      </c>
      <c r="E281" s="35">
        <v>2.2000000000000002</v>
      </c>
      <c r="F281" s="35">
        <v>2.9</v>
      </c>
      <c r="G281" s="35">
        <v>2</v>
      </c>
      <c r="H281" s="35">
        <v>3.1</v>
      </c>
      <c r="I281" s="35">
        <v>2</v>
      </c>
      <c r="J281" s="35">
        <v>2.8</v>
      </c>
      <c r="K281" s="35">
        <v>2</v>
      </c>
      <c r="L281" s="35">
        <v>3.3</v>
      </c>
      <c r="M281" s="35">
        <v>2</v>
      </c>
      <c r="N281" s="35">
        <v>2.4</v>
      </c>
      <c r="O281" s="35">
        <v>3</v>
      </c>
      <c r="P281" s="35">
        <v>2.8</v>
      </c>
      <c r="Q281" s="35">
        <v>2</v>
      </c>
      <c r="R281" s="35">
        <v>1.6</v>
      </c>
      <c r="S281" s="35">
        <v>2</v>
      </c>
      <c r="T281" s="35">
        <v>1.1000000000000001</v>
      </c>
      <c r="U281" s="35">
        <v>2</v>
      </c>
      <c r="V281" s="35">
        <v>8.8000000000000007</v>
      </c>
      <c r="W281" s="35">
        <v>9</v>
      </c>
      <c r="X281" s="35">
        <v>10.3</v>
      </c>
      <c r="Y281" s="35">
        <v>9</v>
      </c>
      <c r="Z281" s="35">
        <v>11</v>
      </c>
      <c r="AA281" s="35">
        <v>9</v>
      </c>
      <c r="AB281" s="35">
        <v>9.6</v>
      </c>
      <c r="AC281" s="35">
        <v>9</v>
      </c>
      <c r="AD281" s="35">
        <v>20.9</v>
      </c>
      <c r="AE281" s="35">
        <v>19</v>
      </c>
      <c r="AF281" s="35">
        <v>20.399999999999999</v>
      </c>
      <c r="AG281" s="35">
        <v>19</v>
      </c>
      <c r="AH281" s="35">
        <v>20.9</v>
      </c>
      <c r="AI281" s="35">
        <v>19</v>
      </c>
      <c r="AJ281" s="35">
        <v>20.6</v>
      </c>
      <c r="AK281" s="35">
        <v>19</v>
      </c>
      <c r="AL281" s="35">
        <v>19.100000000000001</v>
      </c>
      <c r="AM281" s="35">
        <v>19</v>
      </c>
      <c r="AN281" s="35">
        <v>21</v>
      </c>
      <c r="AO281" s="35">
        <v>19</v>
      </c>
      <c r="AP281" s="35">
        <v>20.7</v>
      </c>
      <c r="AQ281" s="35">
        <v>19</v>
      </c>
      <c r="AR281" s="35">
        <v>20.7</v>
      </c>
      <c r="AS281" s="35">
        <v>19</v>
      </c>
      <c r="AT281" s="35">
        <v>20.5</v>
      </c>
      <c r="AU281" s="35">
        <v>19</v>
      </c>
      <c r="AV281" s="35">
        <v>20.399999999999999</v>
      </c>
      <c r="AW281" s="35">
        <v>19</v>
      </c>
      <c r="AX281" s="35">
        <v>20.9</v>
      </c>
      <c r="AY281" s="35">
        <v>20</v>
      </c>
      <c r="AZ281" s="35">
        <v>21</v>
      </c>
      <c r="BA281" s="35">
        <v>20</v>
      </c>
      <c r="BB281" s="35">
        <v>33.4</v>
      </c>
      <c r="BC281" s="35">
        <v>40</v>
      </c>
      <c r="BD281" s="35">
        <v>32.200000000000003</v>
      </c>
      <c r="BE281" s="35">
        <v>40</v>
      </c>
      <c r="BF281" s="35">
        <v>21.7</v>
      </c>
      <c r="BG281" s="35">
        <v>20</v>
      </c>
    </row>
    <row r="282" spans="1:59" x14ac:dyDescent="0.35">
      <c r="A282" s="36">
        <v>46059.647916666669</v>
      </c>
      <c r="B282" s="35">
        <v>2.7</v>
      </c>
      <c r="C282" s="35">
        <v>2</v>
      </c>
      <c r="D282" s="35">
        <v>2.9</v>
      </c>
      <c r="E282" s="35">
        <v>2.2000000000000002</v>
      </c>
      <c r="F282" s="35">
        <v>3.1</v>
      </c>
      <c r="G282" s="35">
        <v>2</v>
      </c>
      <c r="H282" s="35">
        <v>3.4</v>
      </c>
      <c r="I282" s="35">
        <v>2</v>
      </c>
      <c r="J282" s="35">
        <v>3</v>
      </c>
      <c r="K282" s="35">
        <v>2</v>
      </c>
      <c r="L282" s="35">
        <v>3.6</v>
      </c>
      <c r="M282" s="35">
        <v>2</v>
      </c>
      <c r="N282" s="35">
        <v>2.7</v>
      </c>
      <c r="O282" s="35">
        <v>3</v>
      </c>
      <c r="P282" s="35">
        <v>3</v>
      </c>
      <c r="Q282" s="35">
        <v>2</v>
      </c>
      <c r="R282" s="35">
        <v>1.8</v>
      </c>
      <c r="S282" s="35">
        <v>2</v>
      </c>
      <c r="T282" s="35">
        <v>1.4</v>
      </c>
      <c r="U282" s="35">
        <v>2</v>
      </c>
      <c r="V282" s="35">
        <v>9.5</v>
      </c>
      <c r="W282" s="35">
        <v>9</v>
      </c>
      <c r="X282" s="35">
        <v>10.4</v>
      </c>
      <c r="Y282" s="35">
        <v>9</v>
      </c>
      <c r="Z282" s="35">
        <v>10.8</v>
      </c>
      <c r="AA282" s="35">
        <v>9</v>
      </c>
      <c r="AB282" s="35">
        <v>10.1</v>
      </c>
      <c r="AC282" s="35">
        <v>9</v>
      </c>
      <c r="AD282" s="35">
        <v>21</v>
      </c>
      <c r="AE282" s="35">
        <v>19</v>
      </c>
      <c r="AF282" s="35">
        <v>20.399999999999999</v>
      </c>
      <c r="AG282" s="35">
        <v>19</v>
      </c>
      <c r="AH282" s="35">
        <v>20.9</v>
      </c>
      <c r="AI282" s="35">
        <v>19</v>
      </c>
      <c r="AJ282" s="35">
        <v>18.899999999999999</v>
      </c>
      <c r="AK282" s="35">
        <v>19</v>
      </c>
      <c r="AL282" s="35">
        <v>19.399999999999999</v>
      </c>
      <c r="AM282" s="35">
        <v>19</v>
      </c>
      <c r="AN282" s="35">
        <v>20.2</v>
      </c>
      <c r="AO282" s="35">
        <v>19</v>
      </c>
      <c r="AP282" s="35">
        <v>20.7</v>
      </c>
      <c r="AQ282" s="35">
        <v>19</v>
      </c>
      <c r="AR282" s="35">
        <v>20.7</v>
      </c>
      <c r="AS282" s="35">
        <v>19</v>
      </c>
      <c r="AT282" s="35">
        <v>20.6</v>
      </c>
      <c r="AU282" s="35">
        <v>19</v>
      </c>
      <c r="AV282" s="35">
        <v>20.399999999999999</v>
      </c>
      <c r="AW282" s="35">
        <v>19</v>
      </c>
      <c r="AX282" s="35">
        <v>20.9</v>
      </c>
      <c r="AY282" s="35">
        <v>20</v>
      </c>
      <c r="AZ282" s="35">
        <v>20.9</v>
      </c>
      <c r="BA282" s="35">
        <v>20</v>
      </c>
      <c r="BB282" s="35">
        <v>33.4</v>
      </c>
      <c r="BC282" s="35">
        <v>40</v>
      </c>
      <c r="BD282" s="35">
        <v>32.200000000000003</v>
      </c>
      <c r="BE282" s="35">
        <v>40</v>
      </c>
      <c r="BF282" s="35">
        <v>21.8</v>
      </c>
      <c r="BG282" s="35">
        <v>20</v>
      </c>
    </row>
    <row r="283" spans="1:59" x14ac:dyDescent="0.35">
      <c r="A283" s="36">
        <v>46059.648611111108</v>
      </c>
      <c r="B283" s="35">
        <v>2.1</v>
      </c>
      <c r="C283" s="35">
        <v>2</v>
      </c>
      <c r="D283" s="35">
        <v>2.2999999999999998</v>
      </c>
      <c r="E283" s="35">
        <v>2.2000000000000002</v>
      </c>
      <c r="F283" s="35">
        <v>3.4</v>
      </c>
      <c r="G283" s="35">
        <v>2</v>
      </c>
      <c r="H283" s="35">
        <v>3.7</v>
      </c>
      <c r="I283" s="35">
        <v>2</v>
      </c>
      <c r="J283" s="35">
        <v>3.2</v>
      </c>
      <c r="K283" s="35">
        <v>2</v>
      </c>
      <c r="L283" s="35">
        <v>3.9</v>
      </c>
      <c r="M283" s="35">
        <v>2</v>
      </c>
      <c r="N283" s="35">
        <v>3</v>
      </c>
      <c r="O283" s="35">
        <v>3</v>
      </c>
      <c r="P283" s="35">
        <v>3.2</v>
      </c>
      <c r="Q283" s="35">
        <v>2</v>
      </c>
      <c r="R283" s="35">
        <v>2.1</v>
      </c>
      <c r="S283" s="35">
        <v>2</v>
      </c>
      <c r="T283" s="35">
        <v>1.8</v>
      </c>
      <c r="U283" s="35">
        <v>2</v>
      </c>
      <c r="V283" s="35">
        <v>10</v>
      </c>
      <c r="W283" s="35">
        <v>9</v>
      </c>
      <c r="X283" s="35">
        <v>10.4</v>
      </c>
      <c r="Y283" s="35">
        <v>9</v>
      </c>
      <c r="Z283" s="35">
        <v>10</v>
      </c>
      <c r="AA283" s="35">
        <v>9</v>
      </c>
      <c r="AB283" s="35">
        <v>10.6</v>
      </c>
      <c r="AC283" s="35">
        <v>9</v>
      </c>
      <c r="AD283" s="35">
        <v>20.7</v>
      </c>
      <c r="AE283" s="35">
        <v>19</v>
      </c>
      <c r="AF283" s="35">
        <v>20.5</v>
      </c>
      <c r="AG283" s="35">
        <v>19</v>
      </c>
      <c r="AH283" s="35">
        <v>21</v>
      </c>
      <c r="AI283" s="35">
        <v>19</v>
      </c>
      <c r="AJ283" s="35">
        <v>18.5</v>
      </c>
      <c r="AK283" s="35">
        <v>19</v>
      </c>
      <c r="AL283" s="35">
        <v>19.7</v>
      </c>
      <c r="AM283" s="35">
        <v>19</v>
      </c>
      <c r="AN283" s="35">
        <v>19.899999999999999</v>
      </c>
      <c r="AO283" s="35">
        <v>19</v>
      </c>
      <c r="AP283" s="35">
        <v>20.8</v>
      </c>
      <c r="AQ283" s="35">
        <v>19</v>
      </c>
      <c r="AR283" s="35">
        <v>20.7</v>
      </c>
      <c r="AS283" s="35">
        <v>19</v>
      </c>
      <c r="AT283" s="35">
        <v>20.7</v>
      </c>
      <c r="AU283" s="35">
        <v>19</v>
      </c>
      <c r="AV283" s="35">
        <v>20.5</v>
      </c>
      <c r="AW283" s="35">
        <v>19</v>
      </c>
      <c r="AX283" s="35">
        <v>20.9</v>
      </c>
      <c r="AY283" s="35">
        <v>20</v>
      </c>
      <c r="AZ283" s="35">
        <v>20.9</v>
      </c>
      <c r="BA283" s="35">
        <v>20</v>
      </c>
      <c r="BB283" s="35">
        <v>33.4</v>
      </c>
      <c r="BC283" s="35">
        <v>40</v>
      </c>
      <c r="BD283" s="35">
        <v>32.200000000000003</v>
      </c>
      <c r="BE283" s="35">
        <v>40</v>
      </c>
      <c r="BF283" s="35">
        <v>21.8</v>
      </c>
      <c r="BG283" s="35">
        <v>20</v>
      </c>
    </row>
    <row r="284" spans="1:59" x14ac:dyDescent="0.35">
      <c r="A284" s="36">
        <v>46059.649305555555</v>
      </c>
      <c r="B284" s="35">
        <v>1.8</v>
      </c>
      <c r="C284" s="35">
        <v>2</v>
      </c>
      <c r="D284" s="35">
        <v>2.1</v>
      </c>
      <c r="E284" s="35">
        <v>2.2000000000000002</v>
      </c>
      <c r="F284" s="35">
        <v>3.6</v>
      </c>
      <c r="G284" s="35">
        <v>2</v>
      </c>
      <c r="H284" s="35">
        <v>3.9</v>
      </c>
      <c r="I284" s="35">
        <v>2</v>
      </c>
      <c r="J284" s="35">
        <v>3.4</v>
      </c>
      <c r="K284" s="35">
        <v>2</v>
      </c>
      <c r="L284" s="35">
        <v>3.8</v>
      </c>
      <c r="M284" s="35">
        <v>2</v>
      </c>
      <c r="N284" s="35">
        <v>3.2</v>
      </c>
      <c r="O284" s="35">
        <v>3</v>
      </c>
      <c r="P284" s="35">
        <v>3.4</v>
      </c>
      <c r="Q284" s="35">
        <v>2</v>
      </c>
      <c r="R284" s="35">
        <v>2.4</v>
      </c>
      <c r="S284" s="35">
        <v>2</v>
      </c>
      <c r="T284" s="35">
        <v>2.1</v>
      </c>
      <c r="U284" s="35">
        <v>2</v>
      </c>
      <c r="V284" s="35">
        <v>10.6</v>
      </c>
      <c r="W284" s="35">
        <v>9</v>
      </c>
      <c r="X284" s="35">
        <v>10.5</v>
      </c>
      <c r="Y284" s="35">
        <v>9</v>
      </c>
      <c r="Z284" s="35">
        <v>9</v>
      </c>
      <c r="AA284" s="35">
        <v>9</v>
      </c>
      <c r="AB284" s="35">
        <v>10.9</v>
      </c>
      <c r="AC284" s="35">
        <v>9</v>
      </c>
      <c r="AD284" s="35">
        <v>20.399999999999999</v>
      </c>
      <c r="AE284" s="35">
        <v>19</v>
      </c>
      <c r="AF284" s="35">
        <v>20.5</v>
      </c>
      <c r="AG284" s="35">
        <v>19</v>
      </c>
      <c r="AH284" s="35">
        <v>20.399999999999999</v>
      </c>
      <c r="AI284" s="35">
        <v>19</v>
      </c>
      <c r="AJ284" s="35">
        <v>18.5</v>
      </c>
      <c r="AK284" s="35">
        <v>19</v>
      </c>
      <c r="AL284" s="35">
        <v>20</v>
      </c>
      <c r="AM284" s="35">
        <v>19</v>
      </c>
      <c r="AN284" s="35">
        <v>19.8</v>
      </c>
      <c r="AO284" s="35">
        <v>19</v>
      </c>
      <c r="AP284" s="35">
        <v>20.8</v>
      </c>
      <c r="AQ284" s="35">
        <v>19</v>
      </c>
      <c r="AR284" s="35">
        <v>20.7</v>
      </c>
      <c r="AS284" s="35">
        <v>19</v>
      </c>
      <c r="AT284" s="35">
        <v>20.7</v>
      </c>
      <c r="AU284" s="35">
        <v>19</v>
      </c>
      <c r="AV284" s="35">
        <v>20.5</v>
      </c>
      <c r="AW284" s="35">
        <v>19</v>
      </c>
      <c r="AX284" s="35">
        <v>20.9</v>
      </c>
      <c r="AY284" s="35">
        <v>20</v>
      </c>
      <c r="AZ284" s="35">
        <v>20.9</v>
      </c>
      <c r="BA284" s="35">
        <v>20</v>
      </c>
      <c r="BB284" s="35">
        <v>33.4</v>
      </c>
      <c r="BC284" s="35">
        <v>40</v>
      </c>
      <c r="BD284" s="35">
        <v>32.200000000000003</v>
      </c>
      <c r="BE284" s="35">
        <v>40</v>
      </c>
      <c r="BF284" s="35">
        <v>21.9</v>
      </c>
      <c r="BG284" s="35">
        <v>20</v>
      </c>
    </row>
    <row r="285" spans="1:59" x14ac:dyDescent="0.35">
      <c r="A285" s="36">
        <v>46059.65</v>
      </c>
      <c r="B285" s="35">
        <v>2</v>
      </c>
      <c r="C285" s="35">
        <v>2</v>
      </c>
      <c r="D285" s="35">
        <v>2.2999999999999998</v>
      </c>
      <c r="E285" s="35">
        <v>2.2000000000000002</v>
      </c>
      <c r="F285" s="35">
        <v>3.7</v>
      </c>
      <c r="G285" s="35">
        <v>2</v>
      </c>
      <c r="H285" s="35">
        <v>3.6</v>
      </c>
      <c r="I285" s="35">
        <v>2</v>
      </c>
      <c r="J285" s="35">
        <v>3.2</v>
      </c>
      <c r="K285" s="35">
        <v>2</v>
      </c>
      <c r="L285" s="35">
        <v>2.9</v>
      </c>
      <c r="M285" s="35">
        <v>2</v>
      </c>
      <c r="N285" s="35">
        <v>3.5</v>
      </c>
      <c r="O285" s="35">
        <v>3</v>
      </c>
      <c r="P285" s="35">
        <v>3.6</v>
      </c>
      <c r="Q285" s="35">
        <v>2</v>
      </c>
      <c r="R285" s="35">
        <v>2.6</v>
      </c>
      <c r="S285" s="35">
        <v>2</v>
      </c>
      <c r="T285" s="35">
        <v>2.4</v>
      </c>
      <c r="U285" s="35">
        <v>2</v>
      </c>
      <c r="V285" s="35">
        <v>11</v>
      </c>
      <c r="W285" s="35">
        <v>9</v>
      </c>
      <c r="X285" s="35">
        <v>10.7</v>
      </c>
      <c r="Y285" s="35">
        <v>9</v>
      </c>
      <c r="Z285" s="35">
        <v>8.6999999999999993</v>
      </c>
      <c r="AA285" s="35">
        <v>9</v>
      </c>
      <c r="AB285" s="35">
        <v>10.9</v>
      </c>
      <c r="AC285" s="35">
        <v>9</v>
      </c>
      <c r="AD285" s="35">
        <v>19.8</v>
      </c>
      <c r="AE285" s="35">
        <v>19</v>
      </c>
      <c r="AF285" s="35">
        <v>20.6</v>
      </c>
      <c r="AG285" s="35">
        <v>19</v>
      </c>
      <c r="AH285" s="35">
        <v>18.8</v>
      </c>
      <c r="AI285" s="35">
        <v>19</v>
      </c>
      <c r="AJ285" s="35">
        <v>18.5</v>
      </c>
      <c r="AK285" s="35">
        <v>19</v>
      </c>
      <c r="AL285" s="35">
        <v>20.2</v>
      </c>
      <c r="AM285" s="35">
        <v>19</v>
      </c>
      <c r="AN285" s="35">
        <v>19.2</v>
      </c>
      <c r="AO285" s="35">
        <v>19</v>
      </c>
      <c r="AP285" s="35">
        <v>20.8</v>
      </c>
      <c r="AQ285" s="35">
        <v>19</v>
      </c>
      <c r="AR285" s="35">
        <v>20.7</v>
      </c>
      <c r="AS285" s="35">
        <v>19</v>
      </c>
      <c r="AT285" s="35">
        <v>20.8</v>
      </c>
      <c r="AU285" s="35">
        <v>19</v>
      </c>
      <c r="AV285" s="35">
        <v>20.6</v>
      </c>
      <c r="AW285" s="35">
        <v>19</v>
      </c>
      <c r="AX285" s="35">
        <v>20.9</v>
      </c>
      <c r="AY285" s="35">
        <v>20</v>
      </c>
      <c r="AZ285" s="35">
        <v>20.9</v>
      </c>
      <c r="BA285" s="35">
        <v>20</v>
      </c>
      <c r="BB285" s="35">
        <v>33.4</v>
      </c>
      <c r="BC285" s="35">
        <v>40</v>
      </c>
      <c r="BD285" s="35">
        <v>32.200000000000003</v>
      </c>
      <c r="BE285" s="35">
        <v>40</v>
      </c>
      <c r="BF285" s="35">
        <v>21.9</v>
      </c>
      <c r="BG285" s="35">
        <v>20</v>
      </c>
    </row>
    <row r="286" spans="1:59" x14ac:dyDescent="0.35">
      <c r="A286" s="36">
        <v>46059.650694444441</v>
      </c>
      <c r="B286" s="35">
        <v>2.4</v>
      </c>
      <c r="C286" s="35">
        <v>2</v>
      </c>
      <c r="D286" s="35">
        <v>2.7</v>
      </c>
      <c r="E286" s="35">
        <v>2.2000000000000002</v>
      </c>
      <c r="F286" s="35">
        <v>3.4</v>
      </c>
      <c r="G286" s="35">
        <v>2</v>
      </c>
      <c r="H286" s="35">
        <v>3.1</v>
      </c>
      <c r="I286" s="35">
        <v>2</v>
      </c>
      <c r="J286" s="35">
        <v>2.9</v>
      </c>
      <c r="K286" s="35">
        <v>2</v>
      </c>
      <c r="L286" s="35">
        <v>2.2000000000000002</v>
      </c>
      <c r="M286" s="35">
        <v>2</v>
      </c>
      <c r="N286" s="35">
        <v>3.8</v>
      </c>
      <c r="O286" s="35">
        <v>3</v>
      </c>
      <c r="P286" s="35">
        <v>3.7</v>
      </c>
      <c r="Q286" s="35">
        <v>2</v>
      </c>
      <c r="R286" s="35">
        <v>2.8</v>
      </c>
      <c r="S286" s="35">
        <v>2</v>
      </c>
      <c r="T286" s="35">
        <v>2.6</v>
      </c>
      <c r="U286" s="35">
        <v>2</v>
      </c>
      <c r="V286" s="35">
        <v>11</v>
      </c>
      <c r="W286" s="35">
        <v>9</v>
      </c>
      <c r="X286" s="35">
        <v>10.8</v>
      </c>
      <c r="Y286" s="35">
        <v>9</v>
      </c>
      <c r="Z286" s="35">
        <v>9</v>
      </c>
      <c r="AA286" s="35">
        <v>9</v>
      </c>
      <c r="AB286" s="35">
        <v>10.4</v>
      </c>
      <c r="AC286" s="35">
        <v>9</v>
      </c>
      <c r="AD286" s="35">
        <v>19.2</v>
      </c>
      <c r="AE286" s="35">
        <v>19</v>
      </c>
      <c r="AF286" s="35">
        <v>20.6</v>
      </c>
      <c r="AG286" s="35">
        <v>19</v>
      </c>
      <c r="AH286" s="35">
        <v>18.100000000000001</v>
      </c>
      <c r="AI286" s="35">
        <v>19</v>
      </c>
      <c r="AJ286" s="35">
        <v>18.7</v>
      </c>
      <c r="AK286" s="35">
        <v>19</v>
      </c>
      <c r="AL286" s="35">
        <v>20.399999999999999</v>
      </c>
      <c r="AM286" s="35">
        <v>19</v>
      </c>
      <c r="AN286" s="35">
        <v>18.7</v>
      </c>
      <c r="AO286" s="35">
        <v>19</v>
      </c>
      <c r="AP286" s="35">
        <v>20.8</v>
      </c>
      <c r="AQ286" s="35">
        <v>19</v>
      </c>
      <c r="AR286" s="35">
        <v>20.7</v>
      </c>
      <c r="AS286" s="35">
        <v>19</v>
      </c>
      <c r="AT286" s="35">
        <v>20.9</v>
      </c>
      <c r="AU286" s="35">
        <v>19</v>
      </c>
      <c r="AV286" s="35">
        <v>20.6</v>
      </c>
      <c r="AW286" s="35">
        <v>19</v>
      </c>
      <c r="AX286" s="35">
        <v>20.9</v>
      </c>
      <c r="AY286" s="35">
        <v>20</v>
      </c>
      <c r="AZ286" s="35">
        <v>20.9</v>
      </c>
      <c r="BA286" s="35">
        <v>20</v>
      </c>
      <c r="BB286" s="35">
        <v>33.4</v>
      </c>
      <c r="BC286" s="35">
        <v>40</v>
      </c>
      <c r="BD286" s="35">
        <v>32.200000000000003</v>
      </c>
      <c r="BE286" s="35">
        <v>40</v>
      </c>
      <c r="BF286" s="35">
        <v>18.3</v>
      </c>
      <c r="BG286" s="35">
        <v>20</v>
      </c>
    </row>
    <row r="287" spans="1:59" x14ac:dyDescent="0.35">
      <c r="A287" s="36">
        <v>46059.651388888888</v>
      </c>
      <c r="B287" s="35">
        <v>2.8</v>
      </c>
      <c r="C287" s="35">
        <v>2</v>
      </c>
      <c r="D287" s="35">
        <v>3.1</v>
      </c>
      <c r="E287" s="35">
        <v>2.2000000000000002</v>
      </c>
      <c r="F287" s="35">
        <v>3.3</v>
      </c>
      <c r="G287" s="35">
        <v>2</v>
      </c>
      <c r="H287" s="35">
        <v>2.7</v>
      </c>
      <c r="I287" s="35">
        <v>2</v>
      </c>
      <c r="J287" s="35">
        <v>2.7</v>
      </c>
      <c r="K287" s="35">
        <v>2</v>
      </c>
      <c r="L287" s="35">
        <v>1.8</v>
      </c>
      <c r="M287" s="35">
        <v>2</v>
      </c>
      <c r="N287" s="35">
        <v>4</v>
      </c>
      <c r="O287" s="35">
        <v>3</v>
      </c>
      <c r="P287" s="35">
        <v>3.8</v>
      </c>
      <c r="Q287" s="35">
        <v>2</v>
      </c>
      <c r="R287" s="35">
        <v>3</v>
      </c>
      <c r="S287" s="35">
        <v>2</v>
      </c>
      <c r="T287" s="35">
        <v>2.8</v>
      </c>
      <c r="U287" s="35">
        <v>2</v>
      </c>
      <c r="V287" s="35">
        <v>10.9</v>
      </c>
      <c r="W287" s="35">
        <v>9</v>
      </c>
      <c r="X287" s="35">
        <v>10.8</v>
      </c>
      <c r="Y287" s="35">
        <v>9</v>
      </c>
      <c r="Z287" s="35">
        <v>9.4</v>
      </c>
      <c r="AA287" s="35">
        <v>9</v>
      </c>
      <c r="AB287" s="35">
        <v>10.3</v>
      </c>
      <c r="AC287" s="35">
        <v>9</v>
      </c>
      <c r="AD287" s="35">
        <v>19.2</v>
      </c>
      <c r="AE287" s="35">
        <v>19</v>
      </c>
      <c r="AF287" s="35">
        <v>20.6</v>
      </c>
      <c r="AG287" s="35">
        <v>19</v>
      </c>
      <c r="AH287" s="35">
        <v>18.100000000000001</v>
      </c>
      <c r="AI287" s="35">
        <v>19</v>
      </c>
      <c r="AJ287" s="35">
        <v>19</v>
      </c>
      <c r="AK287" s="35">
        <v>19</v>
      </c>
      <c r="AL287" s="35">
        <v>20.6</v>
      </c>
      <c r="AM287" s="35">
        <v>19</v>
      </c>
      <c r="AN287" s="35">
        <v>18.7</v>
      </c>
      <c r="AO287" s="35">
        <v>19</v>
      </c>
      <c r="AP287" s="35">
        <v>20.8</v>
      </c>
      <c r="AQ287" s="35">
        <v>19</v>
      </c>
      <c r="AR287" s="35">
        <v>20.7</v>
      </c>
      <c r="AS287" s="35">
        <v>19</v>
      </c>
      <c r="AT287" s="35">
        <v>20.9</v>
      </c>
      <c r="AU287" s="35">
        <v>19</v>
      </c>
      <c r="AV287" s="35">
        <v>20.7</v>
      </c>
      <c r="AW287" s="35">
        <v>19</v>
      </c>
      <c r="AX287" s="35">
        <v>21.1</v>
      </c>
      <c r="AY287" s="35">
        <v>20</v>
      </c>
      <c r="AZ287" s="35">
        <v>21</v>
      </c>
      <c r="BA287" s="35">
        <v>20</v>
      </c>
      <c r="BB287" s="35">
        <v>33.4</v>
      </c>
      <c r="BC287" s="35">
        <v>40</v>
      </c>
      <c r="BD287" s="35">
        <v>32.200000000000003</v>
      </c>
      <c r="BE287" s="35">
        <v>40</v>
      </c>
      <c r="BF287" s="35">
        <v>17.600000000000001</v>
      </c>
      <c r="BG287" s="35">
        <v>20</v>
      </c>
    </row>
    <row r="288" spans="1:59" x14ac:dyDescent="0.35">
      <c r="A288" s="36">
        <v>46059.652083333334</v>
      </c>
      <c r="B288" s="35">
        <v>3.2</v>
      </c>
      <c r="C288" s="35">
        <v>2</v>
      </c>
      <c r="D288" s="35">
        <v>3.4</v>
      </c>
      <c r="E288" s="35">
        <v>2.2000000000000002</v>
      </c>
      <c r="F288" s="35">
        <v>3.3</v>
      </c>
      <c r="G288" s="35">
        <v>2</v>
      </c>
      <c r="H288" s="35">
        <v>2.6</v>
      </c>
      <c r="I288" s="35">
        <v>2</v>
      </c>
      <c r="J288" s="35">
        <v>2.7</v>
      </c>
      <c r="K288" s="35">
        <v>2</v>
      </c>
      <c r="L288" s="35">
        <v>1.9</v>
      </c>
      <c r="M288" s="35">
        <v>2</v>
      </c>
      <c r="N288" s="35">
        <v>4.0999999999999996</v>
      </c>
      <c r="O288" s="35">
        <v>3</v>
      </c>
      <c r="P288" s="35">
        <v>3.9</v>
      </c>
      <c r="Q288" s="35">
        <v>2</v>
      </c>
      <c r="R288" s="35">
        <v>3.2</v>
      </c>
      <c r="S288" s="35">
        <v>2</v>
      </c>
      <c r="T288" s="35">
        <v>2.9</v>
      </c>
      <c r="U288" s="35">
        <v>2</v>
      </c>
      <c r="V288" s="35">
        <v>8.8000000000000007</v>
      </c>
      <c r="W288" s="35">
        <v>9</v>
      </c>
      <c r="X288" s="35">
        <v>10.9</v>
      </c>
      <c r="Y288" s="35">
        <v>9</v>
      </c>
      <c r="Z288" s="35">
        <v>9.8000000000000007</v>
      </c>
      <c r="AA288" s="35">
        <v>9</v>
      </c>
      <c r="AB288" s="35">
        <v>9.5</v>
      </c>
      <c r="AC288" s="35">
        <v>9</v>
      </c>
      <c r="AD288" s="35">
        <v>18.8</v>
      </c>
      <c r="AE288" s="35">
        <v>19</v>
      </c>
      <c r="AF288" s="35">
        <v>20.7</v>
      </c>
      <c r="AG288" s="35">
        <v>19</v>
      </c>
      <c r="AH288" s="35">
        <v>18.3</v>
      </c>
      <c r="AI288" s="35">
        <v>19</v>
      </c>
      <c r="AJ288" s="35">
        <v>19.2</v>
      </c>
      <c r="AK288" s="35">
        <v>19</v>
      </c>
      <c r="AL288" s="35">
        <v>20.8</v>
      </c>
      <c r="AM288" s="35">
        <v>19</v>
      </c>
      <c r="AN288" s="35">
        <v>18.899999999999999</v>
      </c>
      <c r="AO288" s="35">
        <v>19</v>
      </c>
      <c r="AP288" s="35">
        <v>20.8</v>
      </c>
      <c r="AQ288" s="35">
        <v>19</v>
      </c>
      <c r="AR288" s="35">
        <v>20.7</v>
      </c>
      <c r="AS288" s="35">
        <v>19</v>
      </c>
      <c r="AT288" s="35">
        <v>20.6</v>
      </c>
      <c r="AU288" s="35">
        <v>19</v>
      </c>
      <c r="AV288" s="35">
        <v>20.7</v>
      </c>
      <c r="AW288" s="35">
        <v>19</v>
      </c>
      <c r="AX288" s="35">
        <v>21.2</v>
      </c>
      <c r="AY288" s="35">
        <v>20</v>
      </c>
      <c r="AZ288" s="35">
        <v>21.2</v>
      </c>
      <c r="BA288" s="35">
        <v>20</v>
      </c>
      <c r="BB288" s="35">
        <v>33.4</v>
      </c>
      <c r="BC288" s="35">
        <v>40</v>
      </c>
      <c r="BD288" s="35">
        <v>32.200000000000003</v>
      </c>
      <c r="BE288" s="35">
        <v>40</v>
      </c>
      <c r="BF288" s="35">
        <v>18.3</v>
      </c>
      <c r="BG288" s="35">
        <v>20</v>
      </c>
    </row>
    <row r="289" spans="1:59" x14ac:dyDescent="0.35">
      <c r="A289" s="36">
        <v>46059.652777777781</v>
      </c>
      <c r="B289" s="35">
        <v>3.5</v>
      </c>
      <c r="C289" s="35">
        <v>2</v>
      </c>
      <c r="D289" s="35">
        <v>3.8</v>
      </c>
      <c r="E289" s="35">
        <v>2.2000000000000002</v>
      </c>
      <c r="F289" s="35">
        <v>3.4</v>
      </c>
      <c r="G289" s="35">
        <v>2</v>
      </c>
      <c r="H289" s="35">
        <v>2.6</v>
      </c>
      <c r="I289" s="35">
        <v>2</v>
      </c>
      <c r="J289" s="35">
        <v>2.9</v>
      </c>
      <c r="K289" s="35">
        <v>2</v>
      </c>
      <c r="L289" s="35">
        <v>2.2000000000000002</v>
      </c>
      <c r="M289" s="35">
        <v>2</v>
      </c>
      <c r="N289" s="35">
        <v>3.5</v>
      </c>
      <c r="O289" s="35">
        <v>3</v>
      </c>
      <c r="P289" s="35">
        <v>3.6</v>
      </c>
      <c r="Q289" s="35">
        <v>2</v>
      </c>
      <c r="R289" s="35">
        <v>3.4</v>
      </c>
      <c r="S289" s="35">
        <v>2</v>
      </c>
      <c r="T289" s="35">
        <v>3.1</v>
      </c>
      <c r="U289" s="35">
        <v>2</v>
      </c>
      <c r="V289" s="35">
        <v>7.5</v>
      </c>
      <c r="W289" s="35">
        <v>9</v>
      </c>
      <c r="X289" s="35">
        <v>11</v>
      </c>
      <c r="Y289" s="35">
        <v>9</v>
      </c>
      <c r="Z289" s="35">
        <v>10.1</v>
      </c>
      <c r="AA289" s="35">
        <v>9</v>
      </c>
      <c r="AB289" s="35">
        <v>8.5</v>
      </c>
      <c r="AC289" s="35">
        <v>9</v>
      </c>
      <c r="AD289" s="35">
        <v>18.7</v>
      </c>
      <c r="AE289" s="35">
        <v>19</v>
      </c>
      <c r="AF289" s="35">
        <v>20.7</v>
      </c>
      <c r="AG289" s="35">
        <v>19</v>
      </c>
      <c r="AH289" s="35">
        <v>18.600000000000001</v>
      </c>
      <c r="AI289" s="35">
        <v>19</v>
      </c>
      <c r="AJ289" s="35">
        <v>19.399999999999999</v>
      </c>
      <c r="AK289" s="35">
        <v>19</v>
      </c>
      <c r="AL289" s="35">
        <v>20.9</v>
      </c>
      <c r="AM289" s="35">
        <v>19</v>
      </c>
      <c r="AN289" s="35">
        <v>19.2</v>
      </c>
      <c r="AO289" s="35">
        <v>19</v>
      </c>
      <c r="AP289" s="35">
        <v>20.8</v>
      </c>
      <c r="AQ289" s="35">
        <v>19</v>
      </c>
      <c r="AR289" s="35">
        <v>20.7</v>
      </c>
      <c r="AS289" s="35">
        <v>19</v>
      </c>
      <c r="AT289" s="35">
        <v>19.3</v>
      </c>
      <c r="AU289" s="35">
        <v>19</v>
      </c>
      <c r="AV289" s="35">
        <v>20.7</v>
      </c>
      <c r="AW289" s="35">
        <v>19</v>
      </c>
      <c r="AX289" s="35">
        <v>21.3</v>
      </c>
      <c r="AY289" s="35">
        <v>20</v>
      </c>
      <c r="AZ289" s="35">
        <v>21.2</v>
      </c>
      <c r="BA289" s="35">
        <v>20</v>
      </c>
      <c r="BB289" s="35">
        <v>33.4</v>
      </c>
      <c r="BC289" s="35">
        <v>40</v>
      </c>
      <c r="BD289" s="35">
        <v>32.200000000000003</v>
      </c>
      <c r="BE289" s="35">
        <v>40</v>
      </c>
      <c r="BF289" s="35">
        <v>18.899999999999999</v>
      </c>
      <c r="BG289" s="35">
        <v>20</v>
      </c>
    </row>
    <row r="290" spans="1:59" x14ac:dyDescent="0.35">
      <c r="A290" s="36">
        <v>46059.65347222222</v>
      </c>
      <c r="B290" s="35">
        <v>3.8</v>
      </c>
      <c r="C290" s="35">
        <v>2</v>
      </c>
      <c r="D290" s="35">
        <v>4.0999999999999996</v>
      </c>
      <c r="E290" s="35">
        <v>2.2000000000000002</v>
      </c>
      <c r="F290" s="35">
        <v>3.5</v>
      </c>
      <c r="G290" s="35">
        <v>2</v>
      </c>
      <c r="H290" s="35">
        <v>3</v>
      </c>
      <c r="I290" s="35">
        <v>2</v>
      </c>
      <c r="J290" s="35">
        <v>3.1</v>
      </c>
      <c r="K290" s="35">
        <v>2</v>
      </c>
      <c r="L290" s="35">
        <v>2.7</v>
      </c>
      <c r="M290" s="35">
        <v>2</v>
      </c>
      <c r="N290" s="35">
        <v>2.2000000000000002</v>
      </c>
      <c r="O290" s="35">
        <v>3</v>
      </c>
      <c r="P290" s="35">
        <v>2.6</v>
      </c>
      <c r="Q290" s="35">
        <v>2</v>
      </c>
      <c r="R290" s="35">
        <v>3.5</v>
      </c>
      <c r="S290" s="35">
        <v>2</v>
      </c>
      <c r="T290" s="35">
        <v>3.2</v>
      </c>
      <c r="U290" s="35">
        <v>2</v>
      </c>
      <c r="V290" s="35">
        <v>7.8</v>
      </c>
      <c r="W290" s="35">
        <v>9</v>
      </c>
      <c r="X290" s="35">
        <v>10.199999999999999</v>
      </c>
      <c r="Y290" s="35">
        <v>9</v>
      </c>
      <c r="Z290" s="35">
        <v>10.4</v>
      </c>
      <c r="AA290" s="35">
        <v>9</v>
      </c>
      <c r="AB290" s="35">
        <v>8.6</v>
      </c>
      <c r="AC290" s="35">
        <v>9</v>
      </c>
      <c r="AD290" s="35">
        <v>18.8</v>
      </c>
      <c r="AE290" s="35">
        <v>19</v>
      </c>
      <c r="AF290" s="35">
        <v>20.7</v>
      </c>
      <c r="AG290" s="35">
        <v>19</v>
      </c>
      <c r="AH290" s="35">
        <v>18.8</v>
      </c>
      <c r="AI290" s="35">
        <v>19</v>
      </c>
      <c r="AJ290" s="35">
        <v>19.5</v>
      </c>
      <c r="AK290" s="35">
        <v>19</v>
      </c>
      <c r="AL290" s="35">
        <v>21</v>
      </c>
      <c r="AM290" s="35">
        <v>19</v>
      </c>
      <c r="AN290" s="35">
        <v>19.399999999999999</v>
      </c>
      <c r="AO290" s="35">
        <v>19</v>
      </c>
      <c r="AP290" s="35">
        <v>20.8</v>
      </c>
      <c r="AQ290" s="35">
        <v>19</v>
      </c>
      <c r="AR290" s="35">
        <v>20.7</v>
      </c>
      <c r="AS290" s="35">
        <v>19</v>
      </c>
      <c r="AT290" s="35">
        <v>18.8</v>
      </c>
      <c r="AU290" s="35">
        <v>19</v>
      </c>
      <c r="AV290" s="35">
        <v>20.8</v>
      </c>
      <c r="AW290" s="35">
        <v>19</v>
      </c>
      <c r="AX290" s="35">
        <v>21.3</v>
      </c>
      <c r="AY290" s="35">
        <v>20</v>
      </c>
      <c r="AZ290" s="35">
        <v>21.1</v>
      </c>
      <c r="BA290" s="35">
        <v>20</v>
      </c>
      <c r="BB290" s="35">
        <v>33.4</v>
      </c>
      <c r="BC290" s="35">
        <v>40</v>
      </c>
      <c r="BD290" s="35">
        <v>32.200000000000003</v>
      </c>
      <c r="BE290" s="35">
        <v>40</v>
      </c>
      <c r="BF290" s="35">
        <v>19.3</v>
      </c>
      <c r="BG290" s="35">
        <v>20</v>
      </c>
    </row>
    <row r="291" spans="1:59" x14ac:dyDescent="0.35">
      <c r="A291" s="36">
        <v>46059.654166666667</v>
      </c>
      <c r="B291" s="35">
        <v>3.8</v>
      </c>
      <c r="C291" s="35">
        <v>2</v>
      </c>
      <c r="D291" s="35">
        <v>4.0999999999999996</v>
      </c>
      <c r="E291" s="35">
        <v>2.2000000000000002</v>
      </c>
      <c r="F291" s="35">
        <v>3.8</v>
      </c>
      <c r="G291" s="35">
        <v>2</v>
      </c>
      <c r="H291" s="35">
        <v>3.3</v>
      </c>
      <c r="I291" s="35">
        <v>2</v>
      </c>
      <c r="J291" s="35">
        <v>3.3</v>
      </c>
      <c r="K291" s="35">
        <v>2</v>
      </c>
      <c r="L291" s="35">
        <v>3.1</v>
      </c>
      <c r="M291" s="35">
        <v>2</v>
      </c>
      <c r="N291" s="35">
        <v>1.9</v>
      </c>
      <c r="O291" s="35">
        <v>3</v>
      </c>
      <c r="P291" s="35">
        <v>2.2000000000000002</v>
      </c>
      <c r="Q291" s="35">
        <v>2</v>
      </c>
      <c r="R291" s="35">
        <v>3.6</v>
      </c>
      <c r="S291" s="35">
        <v>2</v>
      </c>
      <c r="T291" s="35">
        <v>3.3</v>
      </c>
      <c r="U291" s="35">
        <v>2</v>
      </c>
      <c r="V291" s="35">
        <v>8.6</v>
      </c>
      <c r="W291" s="35">
        <v>9</v>
      </c>
      <c r="X291" s="35">
        <v>9.4</v>
      </c>
      <c r="Y291" s="35">
        <v>9</v>
      </c>
      <c r="Z291" s="35">
        <v>10.6</v>
      </c>
      <c r="AA291" s="35">
        <v>9</v>
      </c>
      <c r="AB291" s="35">
        <v>9.1999999999999993</v>
      </c>
      <c r="AC291" s="35">
        <v>9</v>
      </c>
      <c r="AD291" s="35">
        <v>18.899999999999999</v>
      </c>
      <c r="AE291" s="35">
        <v>19</v>
      </c>
      <c r="AF291" s="35">
        <v>20.7</v>
      </c>
      <c r="AG291" s="35">
        <v>19</v>
      </c>
      <c r="AH291" s="35">
        <v>19</v>
      </c>
      <c r="AI291" s="35">
        <v>19</v>
      </c>
      <c r="AJ291" s="35">
        <v>19.600000000000001</v>
      </c>
      <c r="AK291" s="35">
        <v>19</v>
      </c>
      <c r="AL291" s="35">
        <v>20.7</v>
      </c>
      <c r="AM291" s="35">
        <v>19</v>
      </c>
      <c r="AN291" s="35">
        <v>19.600000000000001</v>
      </c>
      <c r="AO291" s="35">
        <v>19</v>
      </c>
      <c r="AP291" s="35">
        <v>20.8</v>
      </c>
      <c r="AQ291" s="35">
        <v>19</v>
      </c>
      <c r="AR291" s="35">
        <v>20.7</v>
      </c>
      <c r="AS291" s="35">
        <v>19</v>
      </c>
      <c r="AT291" s="35">
        <v>18.8</v>
      </c>
      <c r="AU291" s="35">
        <v>19</v>
      </c>
      <c r="AV291" s="35">
        <v>20.8</v>
      </c>
      <c r="AW291" s="35">
        <v>19</v>
      </c>
      <c r="AX291" s="35">
        <v>21.3</v>
      </c>
      <c r="AY291" s="35">
        <v>20</v>
      </c>
      <c r="AZ291" s="35">
        <v>21</v>
      </c>
      <c r="BA291" s="35">
        <v>20</v>
      </c>
      <c r="BB291" s="35">
        <v>33.4</v>
      </c>
      <c r="BC291" s="35">
        <v>40</v>
      </c>
      <c r="BD291" s="35">
        <v>32.200000000000003</v>
      </c>
      <c r="BE291" s="35">
        <v>40</v>
      </c>
      <c r="BF291" s="35">
        <v>19.8</v>
      </c>
      <c r="BG291" s="35">
        <v>20</v>
      </c>
    </row>
    <row r="292" spans="1:59" x14ac:dyDescent="0.35">
      <c r="A292" s="36">
        <v>46059.654861111114</v>
      </c>
      <c r="B292" s="35">
        <v>3.8</v>
      </c>
      <c r="C292" s="35">
        <v>2</v>
      </c>
      <c r="D292" s="35">
        <v>4.0999999999999996</v>
      </c>
      <c r="E292" s="35">
        <v>2.2000000000000002</v>
      </c>
      <c r="F292" s="35">
        <v>3.9</v>
      </c>
      <c r="G292" s="35">
        <v>2</v>
      </c>
      <c r="H292" s="35">
        <v>3.3</v>
      </c>
      <c r="I292" s="35">
        <v>2</v>
      </c>
      <c r="J292" s="35">
        <v>3.6</v>
      </c>
      <c r="K292" s="35">
        <v>2</v>
      </c>
      <c r="L292" s="35">
        <v>3.4</v>
      </c>
      <c r="M292" s="35">
        <v>2</v>
      </c>
      <c r="N292" s="35">
        <v>1.3</v>
      </c>
      <c r="O292" s="35">
        <v>3</v>
      </c>
      <c r="P292" s="35">
        <v>1.9</v>
      </c>
      <c r="Q292" s="35">
        <v>2</v>
      </c>
      <c r="R292" s="35">
        <v>3.8</v>
      </c>
      <c r="S292" s="35">
        <v>2</v>
      </c>
      <c r="T292" s="35">
        <v>3.5</v>
      </c>
      <c r="U292" s="35">
        <v>2</v>
      </c>
      <c r="V292" s="35">
        <v>9.3000000000000007</v>
      </c>
      <c r="W292" s="35">
        <v>9</v>
      </c>
      <c r="X292" s="35">
        <v>8.6</v>
      </c>
      <c r="Y292" s="35">
        <v>9</v>
      </c>
      <c r="Z292" s="35">
        <v>10.8</v>
      </c>
      <c r="AA292" s="35">
        <v>9</v>
      </c>
      <c r="AB292" s="35">
        <v>9.9</v>
      </c>
      <c r="AC292" s="35">
        <v>9</v>
      </c>
      <c r="AD292" s="35">
        <v>19.100000000000001</v>
      </c>
      <c r="AE292" s="35">
        <v>19</v>
      </c>
      <c r="AF292" s="35">
        <v>20.8</v>
      </c>
      <c r="AG292" s="35">
        <v>19</v>
      </c>
      <c r="AH292" s="35">
        <v>19.100000000000001</v>
      </c>
      <c r="AI292" s="35">
        <v>19</v>
      </c>
      <c r="AJ292" s="35">
        <v>19.7</v>
      </c>
      <c r="AK292" s="35">
        <v>19</v>
      </c>
      <c r="AL292" s="35">
        <v>20.5</v>
      </c>
      <c r="AM292" s="35">
        <v>19</v>
      </c>
      <c r="AN292" s="35">
        <v>19.7</v>
      </c>
      <c r="AO292" s="35">
        <v>19</v>
      </c>
      <c r="AP292" s="35">
        <v>20.8</v>
      </c>
      <c r="AQ292" s="35">
        <v>19</v>
      </c>
      <c r="AR292" s="35">
        <v>20.7</v>
      </c>
      <c r="AS292" s="35">
        <v>19</v>
      </c>
      <c r="AT292" s="35">
        <v>18.8</v>
      </c>
      <c r="AU292" s="35">
        <v>19</v>
      </c>
      <c r="AV292" s="35">
        <v>20.8</v>
      </c>
      <c r="AW292" s="35">
        <v>19</v>
      </c>
      <c r="AX292" s="35">
        <v>21.3</v>
      </c>
      <c r="AY292" s="35">
        <v>20</v>
      </c>
      <c r="AZ292" s="35">
        <v>20.9</v>
      </c>
      <c r="BA292" s="35">
        <v>20</v>
      </c>
      <c r="BB292" s="35">
        <v>33.4</v>
      </c>
      <c r="BC292" s="35">
        <v>40</v>
      </c>
      <c r="BD292" s="35">
        <v>32.200000000000003</v>
      </c>
      <c r="BE292" s="35">
        <v>40</v>
      </c>
      <c r="BF292" s="35">
        <v>20.3</v>
      </c>
      <c r="BG292" s="35">
        <v>20</v>
      </c>
    </row>
    <row r="293" spans="1:59" x14ac:dyDescent="0.35">
      <c r="A293" s="36">
        <v>46059.655555555553</v>
      </c>
      <c r="B293" s="35">
        <v>4</v>
      </c>
      <c r="C293" s="35">
        <v>2</v>
      </c>
      <c r="D293" s="35">
        <v>4.3</v>
      </c>
      <c r="E293" s="35">
        <v>2.2000000000000002</v>
      </c>
      <c r="F293" s="35">
        <v>3.9</v>
      </c>
      <c r="G293" s="35">
        <v>2</v>
      </c>
      <c r="H293" s="35">
        <v>3.1</v>
      </c>
      <c r="I293" s="35">
        <v>2</v>
      </c>
      <c r="J293" s="35">
        <v>3.8</v>
      </c>
      <c r="K293" s="35">
        <v>2</v>
      </c>
      <c r="L293" s="35">
        <v>3.8</v>
      </c>
      <c r="M293" s="35">
        <v>2</v>
      </c>
      <c r="N293" s="35">
        <v>1.3</v>
      </c>
      <c r="O293" s="35">
        <v>3</v>
      </c>
      <c r="P293" s="35">
        <v>1.9</v>
      </c>
      <c r="Q293" s="35">
        <v>2</v>
      </c>
      <c r="R293" s="35">
        <v>3.9</v>
      </c>
      <c r="S293" s="35">
        <v>2</v>
      </c>
      <c r="T293" s="35">
        <v>3.6</v>
      </c>
      <c r="U293" s="35">
        <v>2</v>
      </c>
      <c r="V293" s="35">
        <v>9.9</v>
      </c>
      <c r="W293" s="35">
        <v>9</v>
      </c>
      <c r="X293" s="35">
        <v>8.4</v>
      </c>
      <c r="Y293" s="35">
        <v>9</v>
      </c>
      <c r="Z293" s="35">
        <v>10.9</v>
      </c>
      <c r="AA293" s="35">
        <v>9</v>
      </c>
      <c r="AB293" s="35">
        <v>10.4</v>
      </c>
      <c r="AC293" s="35">
        <v>9</v>
      </c>
      <c r="AD293" s="35">
        <v>19.2</v>
      </c>
      <c r="AE293" s="35">
        <v>19</v>
      </c>
      <c r="AF293" s="35">
        <v>20.8</v>
      </c>
      <c r="AG293" s="35">
        <v>19</v>
      </c>
      <c r="AH293" s="35">
        <v>19.2</v>
      </c>
      <c r="AI293" s="35">
        <v>19</v>
      </c>
      <c r="AJ293" s="35">
        <v>19.8</v>
      </c>
      <c r="AK293" s="35">
        <v>19</v>
      </c>
      <c r="AL293" s="35">
        <v>20.3</v>
      </c>
      <c r="AM293" s="35">
        <v>19</v>
      </c>
      <c r="AN293" s="35">
        <v>19.899999999999999</v>
      </c>
      <c r="AO293" s="35">
        <v>19</v>
      </c>
      <c r="AP293" s="35">
        <v>20.8</v>
      </c>
      <c r="AQ293" s="35">
        <v>19</v>
      </c>
      <c r="AR293" s="35">
        <v>20.7</v>
      </c>
      <c r="AS293" s="35">
        <v>19</v>
      </c>
      <c r="AT293" s="35">
        <v>19.100000000000001</v>
      </c>
      <c r="AU293" s="35">
        <v>19</v>
      </c>
      <c r="AV293" s="35">
        <v>20.9</v>
      </c>
      <c r="AW293" s="35">
        <v>19</v>
      </c>
      <c r="AX293" s="35">
        <v>21.3</v>
      </c>
      <c r="AY293" s="35">
        <v>20</v>
      </c>
      <c r="AZ293" s="35">
        <v>20.9</v>
      </c>
      <c r="BA293" s="35">
        <v>20</v>
      </c>
      <c r="BB293" s="35">
        <v>33.4</v>
      </c>
      <c r="BC293" s="35">
        <v>40</v>
      </c>
      <c r="BD293" s="35">
        <v>32.200000000000003</v>
      </c>
      <c r="BE293" s="35">
        <v>40</v>
      </c>
      <c r="BF293" s="35">
        <v>20.7</v>
      </c>
      <c r="BG293" s="35">
        <v>20</v>
      </c>
    </row>
    <row r="294" spans="1:59" x14ac:dyDescent="0.35">
      <c r="A294" s="36">
        <v>46059.65625</v>
      </c>
      <c r="B294" s="35">
        <v>3.6</v>
      </c>
      <c r="C294" s="35">
        <v>2</v>
      </c>
      <c r="D294" s="35">
        <v>3.8</v>
      </c>
      <c r="E294" s="35">
        <v>2.2000000000000002</v>
      </c>
      <c r="F294" s="35">
        <v>3.9</v>
      </c>
      <c r="G294" s="35">
        <v>2</v>
      </c>
      <c r="H294" s="35">
        <v>3</v>
      </c>
      <c r="I294" s="35">
        <v>2</v>
      </c>
      <c r="J294" s="35">
        <v>3.9</v>
      </c>
      <c r="K294" s="35">
        <v>2</v>
      </c>
      <c r="L294" s="35">
        <v>4</v>
      </c>
      <c r="M294" s="35">
        <v>2</v>
      </c>
      <c r="N294" s="35">
        <v>1.6</v>
      </c>
      <c r="O294" s="35">
        <v>3</v>
      </c>
      <c r="P294" s="35">
        <v>2.1</v>
      </c>
      <c r="Q294" s="35">
        <v>2</v>
      </c>
      <c r="R294" s="35">
        <v>4</v>
      </c>
      <c r="S294" s="35">
        <v>2</v>
      </c>
      <c r="T294" s="35">
        <v>3.7</v>
      </c>
      <c r="U294" s="35">
        <v>2</v>
      </c>
      <c r="V294" s="35">
        <v>10.4</v>
      </c>
      <c r="W294" s="35">
        <v>9</v>
      </c>
      <c r="X294" s="35">
        <v>8.4</v>
      </c>
      <c r="Y294" s="35">
        <v>9</v>
      </c>
      <c r="Z294" s="35">
        <v>11</v>
      </c>
      <c r="AA294" s="35">
        <v>9</v>
      </c>
      <c r="AB294" s="35">
        <v>10.8</v>
      </c>
      <c r="AC294" s="35">
        <v>9</v>
      </c>
      <c r="AD294" s="35">
        <v>19.2</v>
      </c>
      <c r="AE294" s="35">
        <v>19</v>
      </c>
      <c r="AF294" s="35">
        <v>20.8</v>
      </c>
      <c r="AG294" s="35">
        <v>19</v>
      </c>
      <c r="AH294" s="35">
        <v>19.399999999999999</v>
      </c>
      <c r="AI294" s="35">
        <v>19</v>
      </c>
      <c r="AJ294" s="35">
        <v>19.899999999999999</v>
      </c>
      <c r="AK294" s="35">
        <v>19</v>
      </c>
      <c r="AL294" s="35">
        <v>20</v>
      </c>
      <c r="AM294" s="35">
        <v>19</v>
      </c>
      <c r="AN294" s="35">
        <v>20</v>
      </c>
      <c r="AO294" s="35">
        <v>19</v>
      </c>
      <c r="AP294" s="35">
        <v>20.8</v>
      </c>
      <c r="AQ294" s="35">
        <v>19</v>
      </c>
      <c r="AR294" s="35">
        <v>20.7</v>
      </c>
      <c r="AS294" s="35">
        <v>19</v>
      </c>
      <c r="AT294" s="35">
        <v>19.2</v>
      </c>
      <c r="AU294" s="35">
        <v>19</v>
      </c>
      <c r="AV294" s="35">
        <v>20.9</v>
      </c>
      <c r="AW294" s="35">
        <v>19</v>
      </c>
      <c r="AX294" s="35">
        <v>21.3</v>
      </c>
      <c r="AY294" s="35">
        <v>20</v>
      </c>
      <c r="AZ294" s="35">
        <v>21</v>
      </c>
      <c r="BA294" s="35">
        <v>20</v>
      </c>
      <c r="BB294" s="35">
        <v>33.4</v>
      </c>
      <c r="BC294" s="35">
        <v>40</v>
      </c>
      <c r="BD294" s="35">
        <v>32.200000000000003</v>
      </c>
      <c r="BE294" s="35">
        <v>40</v>
      </c>
      <c r="BF294" s="35">
        <v>21.1</v>
      </c>
      <c r="BG294" s="35">
        <v>20</v>
      </c>
    </row>
    <row r="295" spans="1:59" x14ac:dyDescent="0.35">
      <c r="A295" s="36">
        <v>46059.656944444447</v>
      </c>
      <c r="B295" s="35">
        <v>2.7</v>
      </c>
      <c r="C295" s="35">
        <v>2</v>
      </c>
      <c r="D295" s="35">
        <v>3</v>
      </c>
      <c r="E295" s="35">
        <v>2.2000000000000002</v>
      </c>
      <c r="F295" s="35">
        <v>3.9</v>
      </c>
      <c r="G295" s="35">
        <v>2</v>
      </c>
      <c r="H295" s="35">
        <v>3.3</v>
      </c>
      <c r="I295" s="35">
        <v>2</v>
      </c>
      <c r="J295" s="35">
        <v>3.4</v>
      </c>
      <c r="K295" s="35">
        <v>2</v>
      </c>
      <c r="L295" s="35">
        <v>3.2</v>
      </c>
      <c r="M295" s="35">
        <v>2</v>
      </c>
      <c r="N295" s="35">
        <v>1.9</v>
      </c>
      <c r="O295" s="35">
        <v>3</v>
      </c>
      <c r="P295" s="35">
        <v>2.4</v>
      </c>
      <c r="Q295" s="35">
        <v>2</v>
      </c>
      <c r="R295" s="35">
        <v>3.4</v>
      </c>
      <c r="S295" s="35">
        <v>2</v>
      </c>
      <c r="T295" s="35">
        <v>2.8</v>
      </c>
      <c r="U295" s="35">
        <v>2</v>
      </c>
      <c r="V295" s="35">
        <v>10.9</v>
      </c>
      <c r="W295" s="35">
        <v>9</v>
      </c>
      <c r="X295" s="35">
        <v>8.6</v>
      </c>
      <c r="Y295" s="35">
        <v>9</v>
      </c>
      <c r="Z295" s="35">
        <v>10.1</v>
      </c>
      <c r="AA295" s="35">
        <v>9</v>
      </c>
      <c r="AB295" s="35">
        <v>11</v>
      </c>
      <c r="AC295" s="35">
        <v>9</v>
      </c>
      <c r="AD295" s="35">
        <v>19.3</v>
      </c>
      <c r="AE295" s="35">
        <v>19</v>
      </c>
      <c r="AF295" s="35">
        <v>20.9</v>
      </c>
      <c r="AG295" s="35">
        <v>19</v>
      </c>
      <c r="AH295" s="35">
        <v>19.5</v>
      </c>
      <c r="AI295" s="35">
        <v>19</v>
      </c>
      <c r="AJ295" s="35">
        <v>20</v>
      </c>
      <c r="AK295" s="35">
        <v>19</v>
      </c>
      <c r="AL295" s="35">
        <v>19.8</v>
      </c>
      <c r="AM295" s="35">
        <v>19</v>
      </c>
      <c r="AN295" s="35">
        <v>20.100000000000001</v>
      </c>
      <c r="AO295" s="35">
        <v>19</v>
      </c>
      <c r="AP295" s="35">
        <v>20.8</v>
      </c>
      <c r="AQ295" s="35">
        <v>19</v>
      </c>
      <c r="AR295" s="35">
        <v>20.7</v>
      </c>
      <c r="AS295" s="35">
        <v>19</v>
      </c>
      <c r="AT295" s="35">
        <v>19.399999999999999</v>
      </c>
      <c r="AU295" s="35">
        <v>19</v>
      </c>
      <c r="AV295" s="35">
        <v>20.9</v>
      </c>
      <c r="AW295" s="35">
        <v>19</v>
      </c>
      <c r="AX295" s="35">
        <v>21.3</v>
      </c>
      <c r="AY295" s="35">
        <v>20</v>
      </c>
      <c r="AZ295" s="35">
        <v>21</v>
      </c>
      <c r="BA295" s="35">
        <v>20</v>
      </c>
      <c r="BB295" s="35">
        <v>33.4</v>
      </c>
      <c r="BC295" s="35">
        <v>40</v>
      </c>
      <c r="BD295" s="35">
        <v>32.200000000000003</v>
      </c>
      <c r="BE295" s="35">
        <v>40</v>
      </c>
      <c r="BF295" s="35">
        <v>21.4</v>
      </c>
      <c r="BG295" s="35">
        <v>20</v>
      </c>
    </row>
    <row r="296" spans="1:59" x14ac:dyDescent="0.35">
      <c r="A296" s="36">
        <v>46059.657638888886</v>
      </c>
      <c r="B296" s="35">
        <v>2.1</v>
      </c>
      <c r="C296" s="35">
        <v>2</v>
      </c>
      <c r="D296" s="35">
        <v>2.4</v>
      </c>
      <c r="E296" s="35">
        <v>2.2000000000000002</v>
      </c>
      <c r="F296" s="35">
        <v>3.5</v>
      </c>
      <c r="G296" s="35">
        <v>2</v>
      </c>
      <c r="H296" s="35">
        <v>2.6</v>
      </c>
      <c r="I296" s="35">
        <v>2</v>
      </c>
      <c r="J296" s="35">
        <v>2.2000000000000002</v>
      </c>
      <c r="K296" s="35">
        <v>2</v>
      </c>
      <c r="L296" s="35">
        <v>2</v>
      </c>
      <c r="M296" s="35">
        <v>2</v>
      </c>
      <c r="N296" s="35">
        <v>2.2999999999999998</v>
      </c>
      <c r="O296" s="35">
        <v>3</v>
      </c>
      <c r="P296" s="35">
        <v>2.7</v>
      </c>
      <c r="Q296" s="35">
        <v>2</v>
      </c>
      <c r="R296" s="35">
        <v>2.4</v>
      </c>
      <c r="S296" s="35">
        <v>2</v>
      </c>
      <c r="T296" s="35">
        <v>1.7</v>
      </c>
      <c r="U296" s="35">
        <v>2</v>
      </c>
      <c r="V296" s="35">
        <v>10.4</v>
      </c>
      <c r="W296" s="35">
        <v>9</v>
      </c>
      <c r="X296" s="35">
        <v>8.9</v>
      </c>
      <c r="Y296" s="35">
        <v>9</v>
      </c>
      <c r="Z296" s="35">
        <v>9.5</v>
      </c>
      <c r="AA296" s="35">
        <v>9</v>
      </c>
      <c r="AB296" s="35">
        <v>9.4</v>
      </c>
      <c r="AC296" s="35">
        <v>9</v>
      </c>
      <c r="AD296" s="35">
        <v>19.399999999999999</v>
      </c>
      <c r="AE296" s="35">
        <v>19</v>
      </c>
      <c r="AF296" s="35">
        <v>20.9</v>
      </c>
      <c r="AG296" s="35">
        <v>19</v>
      </c>
      <c r="AH296" s="35">
        <v>19.600000000000001</v>
      </c>
      <c r="AI296" s="35">
        <v>19</v>
      </c>
      <c r="AJ296" s="35">
        <v>20.100000000000001</v>
      </c>
      <c r="AK296" s="35">
        <v>19</v>
      </c>
      <c r="AL296" s="35">
        <v>19.7</v>
      </c>
      <c r="AM296" s="35">
        <v>19</v>
      </c>
      <c r="AN296" s="35">
        <v>20.100000000000001</v>
      </c>
      <c r="AO296" s="35">
        <v>19</v>
      </c>
      <c r="AP296" s="35">
        <v>20.9</v>
      </c>
      <c r="AQ296" s="35">
        <v>19</v>
      </c>
      <c r="AR296" s="35">
        <v>20.7</v>
      </c>
      <c r="AS296" s="35">
        <v>19</v>
      </c>
      <c r="AT296" s="35">
        <v>19.5</v>
      </c>
      <c r="AU296" s="35">
        <v>19</v>
      </c>
      <c r="AV296" s="35">
        <v>20.9</v>
      </c>
      <c r="AW296" s="35">
        <v>19</v>
      </c>
      <c r="AX296" s="35">
        <v>21.3</v>
      </c>
      <c r="AY296" s="35">
        <v>20</v>
      </c>
      <c r="AZ296" s="35">
        <v>21</v>
      </c>
      <c r="BA296" s="35">
        <v>20</v>
      </c>
      <c r="BB296" s="35">
        <v>33.4</v>
      </c>
      <c r="BC296" s="35">
        <v>40</v>
      </c>
      <c r="BD296" s="35">
        <v>32.200000000000003</v>
      </c>
      <c r="BE296" s="35">
        <v>40</v>
      </c>
      <c r="BF296" s="35">
        <v>21.5</v>
      </c>
      <c r="BG296" s="35">
        <v>20</v>
      </c>
    </row>
    <row r="297" spans="1:59" x14ac:dyDescent="0.35">
      <c r="A297" s="36">
        <v>46059.658333333333</v>
      </c>
      <c r="B297" s="35">
        <v>1.8</v>
      </c>
      <c r="C297" s="35">
        <v>2</v>
      </c>
      <c r="D297" s="35">
        <v>2.1</v>
      </c>
      <c r="E297" s="35">
        <v>2.2000000000000002</v>
      </c>
      <c r="F297" s="35">
        <v>1.5</v>
      </c>
      <c r="G297" s="35">
        <v>2</v>
      </c>
      <c r="H297" s="35">
        <v>1.6</v>
      </c>
      <c r="I297" s="35">
        <v>2</v>
      </c>
      <c r="J297" s="35">
        <v>1.8</v>
      </c>
      <c r="K297" s="35">
        <v>2</v>
      </c>
      <c r="L297" s="35">
        <v>1.8</v>
      </c>
      <c r="M297" s="35">
        <v>2</v>
      </c>
      <c r="N297" s="35">
        <v>2.6</v>
      </c>
      <c r="O297" s="35">
        <v>3</v>
      </c>
      <c r="P297" s="35">
        <v>2.9</v>
      </c>
      <c r="Q297" s="35">
        <v>2</v>
      </c>
      <c r="R297" s="35">
        <v>1.8</v>
      </c>
      <c r="S297" s="35">
        <v>2</v>
      </c>
      <c r="T297" s="35">
        <v>1.2</v>
      </c>
      <c r="U297" s="35">
        <v>2</v>
      </c>
      <c r="V297" s="35">
        <v>8</v>
      </c>
      <c r="W297" s="35">
        <v>9</v>
      </c>
      <c r="X297" s="35">
        <v>9.1</v>
      </c>
      <c r="Y297" s="35">
        <v>9</v>
      </c>
      <c r="Z297" s="35">
        <v>9</v>
      </c>
      <c r="AA297" s="35">
        <v>9</v>
      </c>
      <c r="AB297" s="35">
        <v>8.5</v>
      </c>
      <c r="AC297" s="35">
        <v>9</v>
      </c>
      <c r="AD297" s="35">
        <v>19.5</v>
      </c>
      <c r="AE297" s="35">
        <v>19</v>
      </c>
      <c r="AF297" s="35">
        <v>20.9</v>
      </c>
      <c r="AG297" s="35">
        <v>19</v>
      </c>
      <c r="AH297" s="35">
        <v>19.7</v>
      </c>
      <c r="AI297" s="35">
        <v>19</v>
      </c>
      <c r="AJ297" s="35">
        <v>20.2</v>
      </c>
      <c r="AK297" s="35">
        <v>19</v>
      </c>
      <c r="AL297" s="35">
        <v>19.7</v>
      </c>
      <c r="AM297" s="35">
        <v>19</v>
      </c>
      <c r="AN297" s="35">
        <v>20.2</v>
      </c>
      <c r="AO297" s="35">
        <v>19</v>
      </c>
      <c r="AP297" s="35">
        <v>20.9</v>
      </c>
      <c r="AQ297" s="35">
        <v>19</v>
      </c>
      <c r="AR297" s="35">
        <v>20.7</v>
      </c>
      <c r="AS297" s="35">
        <v>19</v>
      </c>
      <c r="AT297" s="35">
        <v>19.600000000000001</v>
      </c>
      <c r="AU297" s="35">
        <v>19</v>
      </c>
      <c r="AV297" s="35">
        <v>20.7</v>
      </c>
      <c r="AW297" s="35">
        <v>19</v>
      </c>
      <c r="AX297" s="35">
        <v>21.3</v>
      </c>
      <c r="AY297" s="35">
        <v>20</v>
      </c>
      <c r="AZ297" s="35">
        <v>21</v>
      </c>
      <c r="BA297" s="35">
        <v>20</v>
      </c>
      <c r="BB297" s="35">
        <v>33.4</v>
      </c>
      <c r="BC297" s="35">
        <v>40</v>
      </c>
      <c r="BD297" s="35">
        <v>32.200000000000003</v>
      </c>
      <c r="BE297" s="35">
        <v>40</v>
      </c>
      <c r="BF297" s="35">
        <v>21.6</v>
      </c>
      <c r="BG297" s="35">
        <v>20</v>
      </c>
    </row>
    <row r="298" spans="1:59" x14ac:dyDescent="0.35">
      <c r="A298" s="36">
        <v>46059.65902777778</v>
      </c>
      <c r="B298" s="35">
        <v>2.1</v>
      </c>
      <c r="C298" s="35">
        <v>2</v>
      </c>
      <c r="D298" s="35">
        <v>2.5</v>
      </c>
      <c r="E298" s="35">
        <v>2.2000000000000002</v>
      </c>
      <c r="F298" s="35">
        <v>1.5</v>
      </c>
      <c r="G298" s="35">
        <v>2</v>
      </c>
      <c r="H298" s="35">
        <v>1.7</v>
      </c>
      <c r="I298" s="35">
        <v>2</v>
      </c>
      <c r="J298" s="35">
        <v>1.9</v>
      </c>
      <c r="K298" s="35">
        <v>2</v>
      </c>
      <c r="L298" s="35">
        <v>2.2000000000000002</v>
      </c>
      <c r="M298" s="35">
        <v>2</v>
      </c>
      <c r="N298" s="35">
        <v>3</v>
      </c>
      <c r="O298" s="35">
        <v>3</v>
      </c>
      <c r="P298" s="35">
        <v>3.1</v>
      </c>
      <c r="Q298" s="35">
        <v>2</v>
      </c>
      <c r="R298" s="35">
        <v>1.8</v>
      </c>
      <c r="S298" s="35">
        <v>2</v>
      </c>
      <c r="T298" s="35">
        <v>1.2</v>
      </c>
      <c r="U298" s="35">
        <v>2</v>
      </c>
      <c r="V298" s="35">
        <v>7.5</v>
      </c>
      <c r="W298" s="35">
        <v>9</v>
      </c>
      <c r="X298" s="35">
        <v>9.3000000000000007</v>
      </c>
      <c r="Y298" s="35">
        <v>9</v>
      </c>
      <c r="Z298" s="35">
        <v>8.8000000000000007</v>
      </c>
      <c r="AA298" s="35">
        <v>9</v>
      </c>
      <c r="AB298" s="35">
        <v>8.6999999999999993</v>
      </c>
      <c r="AC298" s="35">
        <v>9</v>
      </c>
      <c r="AD298" s="35">
        <v>19.5</v>
      </c>
      <c r="AE298" s="35">
        <v>19</v>
      </c>
      <c r="AF298" s="35">
        <v>20.9</v>
      </c>
      <c r="AG298" s="35">
        <v>19</v>
      </c>
      <c r="AH298" s="35">
        <v>19.8</v>
      </c>
      <c r="AI298" s="35">
        <v>19</v>
      </c>
      <c r="AJ298" s="35">
        <v>20.3</v>
      </c>
      <c r="AK298" s="35">
        <v>19</v>
      </c>
      <c r="AL298" s="35">
        <v>19.600000000000001</v>
      </c>
      <c r="AM298" s="35">
        <v>19</v>
      </c>
      <c r="AN298" s="35">
        <v>20.3</v>
      </c>
      <c r="AO298" s="35">
        <v>19</v>
      </c>
      <c r="AP298" s="35">
        <v>20.9</v>
      </c>
      <c r="AQ298" s="35">
        <v>19</v>
      </c>
      <c r="AR298" s="35">
        <v>20.7</v>
      </c>
      <c r="AS298" s="35">
        <v>19</v>
      </c>
      <c r="AT298" s="35">
        <v>19.7</v>
      </c>
      <c r="AU298" s="35">
        <v>19</v>
      </c>
      <c r="AV298" s="35">
        <v>18.600000000000001</v>
      </c>
      <c r="AW298" s="35">
        <v>19</v>
      </c>
      <c r="AX298" s="35">
        <v>21.2</v>
      </c>
      <c r="AY298" s="35">
        <v>20</v>
      </c>
      <c r="AZ298" s="35">
        <v>21</v>
      </c>
      <c r="BA298" s="35">
        <v>20</v>
      </c>
      <c r="BB298" s="35">
        <v>33.4</v>
      </c>
      <c r="BC298" s="35">
        <v>40</v>
      </c>
      <c r="BD298" s="35">
        <v>32.200000000000003</v>
      </c>
      <c r="BE298" s="35">
        <v>40</v>
      </c>
      <c r="BF298" s="35">
        <v>21.7</v>
      </c>
      <c r="BG298" s="35">
        <v>20</v>
      </c>
    </row>
    <row r="299" spans="1:59" x14ac:dyDescent="0.35">
      <c r="A299" s="36">
        <v>46059.659722222219</v>
      </c>
      <c r="B299" s="35">
        <v>2.5</v>
      </c>
      <c r="C299" s="35">
        <v>2</v>
      </c>
      <c r="D299" s="35">
        <v>2.9</v>
      </c>
      <c r="E299" s="35">
        <v>2.2000000000000002</v>
      </c>
      <c r="F299" s="35">
        <v>1.9</v>
      </c>
      <c r="G299" s="35">
        <v>2</v>
      </c>
      <c r="H299" s="35">
        <v>2.1</v>
      </c>
      <c r="I299" s="35">
        <v>2</v>
      </c>
      <c r="J299" s="35">
        <v>2.1</v>
      </c>
      <c r="K299" s="35">
        <v>2</v>
      </c>
      <c r="L299" s="35">
        <v>2.6</v>
      </c>
      <c r="M299" s="35">
        <v>2</v>
      </c>
      <c r="N299" s="35">
        <v>3.2</v>
      </c>
      <c r="O299" s="35">
        <v>3</v>
      </c>
      <c r="P299" s="35">
        <v>3.3</v>
      </c>
      <c r="Q299" s="35">
        <v>2</v>
      </c>
      <c r="R299" s="35">
        <v>1.8</v>
      </c>
      <c r="S299" s="35">
        <v>2</v>
      </c>
      <c r="T299" s="35">
        <v>1.4</v>
      </c>
      <c r="U299" s="35">
        <v>2</v>
      </c>
      <c r="V299" s="35">
        <v>8</v>
      </c>
      <c r="W299" s="35">
        <v>9</v>
      </c>
      <c r="X299" s="35">
        <v>9.5</v>
      </c>
      <c r="Y299" s="35">
        <v>9</v>
      </c>
      <c r="Z299" s="35">
        <v>8.9</v>
      </c>
      <c r="AA299" s="35">
        <v>9</v>
      </c>
      <c r="AB299" s="35">
        <v>9.4</v>
      </c>
      <c r="AC299" s="35">
        <v>9</v>
      </c>
      <c r="AD299" s="35">
        <v>19.600000000000001</v>
      </c>
      <c r="AE299" s="35">
        <v>19</v>
      </c>
      <c r="AF299" s="35">
        <v>21</v>
      </c>
      <c r="AG299" s="35">
        <v>19</v>
      </c>
      <c r="AH299" s="35">
        <v>19.899999999999999</v>
      </c>
      <c r="AI299" s="35">
        <v>19</v>
      </c>
      <c r="AJ299" s="35">
        <v>20.399999999999999</v>
      </c>
      <c r="AK299" s="35">
        <v>19</v>
      </c>
      <c r="AL299" s="35">
        <v>19.600000000000001</v>
      </c>
      <c r="AM299" s="35">
        <v>19</v>
      </c>
      <c r="AN299" s="35">
        <v>20.399999999999999</v>
      </c>
      <c r="AO299" s="35">
        <v>19</v>
      </c>
      <c r="AP299" s="35">
        <v>20.9</v>
      </c>
      <c r="AQ299" s="35">
        <v>19</v>
      </c>
      <c r="AR299" s="35">
        <v>20.7</v>
      </c>
      <c r="AS299" s="35">
        <v>19</v>
      </c>
      <c r="AT299" s="35">
        <v>19.899999999999999</v>
      </c>
      <c r="AU299" s="35">
        <v>19</v>
      </c>
      <c r="AV299" s="35">
        <v>17.5</v>
      </c>
      <c r="AW299" s="35">
        <v>19</v>
      </c>
      <c r="AX299" s="35">
        <v>21.2</v>
      </c>
      <c r="AY299" s="35">
        <v>20</v>
      </c>
      <c r="AZ299" s="35">
        <v>21.1</v>
      </c>
      <c r="BA299" s="35">
        <v>20</v>
      </c>
      <c r="BB299" s="35">
        <v>33.4</v>
      </c>
      <c r="BC299" s="35">
        <v>40</v>
      </c>
      <c r="BD299" s="35">
        <v>32.200000000000003</v>
      </c>
      <c r="BE299" s="35">
        <v>40</v>
      </c>
      <c r="BF299" s="35">
        <v>21.7</v>
      </c>
      <c r="BG299" s="35">
        <v>20</v>
      </c>
    </row>
    <row r="300" spans="1:59" x14ac:dyDescent="0.35">
      <c r="A300" s="36">
        <v>46059.660416666666</v>
      </c>
      <c r="B300" s="35">
        <v>2.9</v>
      </c>
      <c r="C300" s="35">
        <v>2</v>
      </c>
      <c r="D300" s="35">
        <v>3.3</v>
      </c>
      <c r="E300" s="35">
        <v>2.2000000000000002</v>
      </c>
      <c r="F300" s="35">
        <v>2.2999999999999998</v>
      </c>
      <c r="G300" s="35">
        <v>2</v>
      </c>
      <c r="H300" s="35">
        <v>2.5</v>
      </c>
      <c r="I300" s="35">
        <v>2</v>
      </c>
      <c r="J300" s="35">
        <v>2.2000000000000002</v>
      </c>
      <c r="K300" s="35">
        <v>2</v>
      </c>
      <c r="L300" s="35">
        <v>2.9</v>
      </c>
      <c r="M300" s="35">
        <v>2</v>
      </c>
      <c r="N300" s="35">
        <v>3.4</v>
      </c>
      <c r="O300" s="35">
        <v>3</v>
      </c>
      <c r="P300" s="35">
        <v>3.5</v>
      </c>
      <c r="Q300" s="35">
        <v>2</v>
      </c>
      <c r="R300" s="35">
        <v>2.1</v>
      </c>
      <c r="S300" s="35">
        <v>2</v>
      </c>
      <c r="T300" s="35">
        <v>1.7</v>
      </c>
      <c r="U300" s="35">
        <v>2</v>
      </c>
      <c r="V300" s="35">
        <v>8.8000000000000007</v>
      </c>
      <c r="W300" s="35">
        <v>9</v>
      </c>
      <c r="X300" s="35">
        <v>9.6999999999999993</v>
      </c>
      <c r="Y300" s="35">
        <v>9</v>
      </c>
      <c r="Z300" s="35">
        <v>9.4</v>
      </c>
      <c r="AA300" s="35">
        <v>9</v>
      </c>
      <c r="AB300" s="35">
        <v>10</v>
      </c>
      <c r="AC300" s="35">
        <v>9</v>
      </c>
      <c r="AD300" s="35">
        <v>19.7</v>
      </c>
      <c r="AE300" s="35">
        <v>19</v>
      </c>
      <c r="AF300" s="35">
        <v>20.5</v>
      </c>
      <c r="AG300" s="35">
        <v>19</v>
      </c>
      <c r="AH300" s="35">
        <v>20</v>
      </c>
      <c r="AI300" s="35">
        <v>19</v>
      </c>
      <c r="AJ300" s="35">
        <v>20.399999999999999</v>
      </c>
      <c r="AK300" s="35">
        <v>19</v>
      </c>
      <c r="AL300" s="35">
        <v>19.600000000000001</v>
      </c>
      <c r="AM300" s="35">
        <v>19</v>
      </c>
      <c r="AN300" s="35">
        <v>20.5</v>
      </c>
      <c r="AO300" s="35">
        <v>19</v>
      </c>
      <c r="AP300" s="35">
        <v>20.9</v>
      </c>
      <c r="AQ300" s="35">
        <v>19</v>
      </c>
      <c r="AR300" s="35">
        <v>20.7</v>
      </c>
      <c r="AS300" s="35">
        <v>19</v>
      </c>
      <c r="AT300" s="35">
        <v>19.899999999999999</v>
      </c>
      <c r="AU300" s="35">
        <v>19</v>
      </c>
      <c r="AV300" s="35">
        <v>17.399999999999999</v>
      </c>
      <c r="AW300" s="35">
        <v>19</v>
      </c>
      <c r="AX300" s="35">
        <v>21.2</v>
      </c>
      <c r="AY300" s="35">
        <v>20</v>
      </c>
      <c r="AZ300" s="35">
        <v>21.2</v>
      </c>
      <c r="BA300" s="35">
        <v>20</v>
      </c>
      <c r="BB300" s="35">
        <v>33.4</v>
      </c>
      <c r="BC300" s="35">
        <v>40</v>
      </c>
      <c r="BD300" s="35">
        <v>32.200000000000003</v>
      </c>
      <c r="BE300" s="35">
        <v>40</v>
      </c>
      <c r="BF300" s="35">
        <v>21.8</v>
      </c>
      <c r="BG300" s="35">
        <v>20</v>
      </c>
    </row>
    <row r="301" spans="1:59" x14ac:dyDescent="0.35">
      <c r="A301" s="36">
        <v>46059.661111111112</v>
      </c>
      <c r="B301" s="35">
        <v>3.3</v>
      </c>
      <c r="C301" s="35">
        <v>2</v>
      </c>
      <c r="D301" s="35">
        <v>3.7</v>
      </c>
      <c r="E301" s="35">
        <v>2.2000000000000002</v>
      </c>
      <c r="F301" s="35">
        <v>2.7</v>
      </c>
      <c r="G301" s="35">
        <v>2</v>
      </c>
      <c r="H301" s="35">
        <v>3</v>
      </c>
      <c r="I301" s="35">
        <v>2</v>
      </c>
      <c r="J301" s="35">
        <v>2.4</v>
      </c>
      <c r="K301" s="35">
        <v>2</v>
      </c>
      <c r="L301" s="35">
        <v>3.2</v>
      </c>
      <c r="M301" s="35">
        <v>2</v>
      </c>
      <c r="N301" s="35">
        <v>3.7</v>
      </c>
      <c r="O301" s="35">
        <v>3</v>
      </c>
      <c r="P301" s="35">
        <v>3.6</v>
      </c>
      <c r="Q301" s="35">
        <v>2</v>
      </c>
      <c r="R301" s="35">
        <v>2.2999999999999998</v>
      </c>
      <c r="S301" s="35">
        <v>2</v>
      </c>
      <c r="T301" s="35">
        <v>2</v>
      </c>
      <c r="U301" s="35">
        <v>2</v>
      </c>
      <c r="V301" s="35">
        <v>9.5</v>
      </c>
      <c r="W301" s="35">
        <v>9</v>
      </c>
      <c r="X301" s="35">
        <v>9.9</v>
      </c>
      <c r="Y301" s="35">
        <v>9</v>
      </c>
      <c r="Z301" s="35">
        <v>9.6999999999999993</v>
      </c>
      <c r="AA301" s="35">
        <v>9</v>
      </c>
      <c r="AB301" s="35">
        <v>10.4</v>
      </c>
      <c r="AC301" s="35">
        <v>9</v>
      </c>
      <c r="AD301" s="35">
        <v>19.7</v>
      </c>
      <c r="AE301" s="35">
        <v>19</v>
      </c>
      <c r="AF301" s="35">
        <v>19.600000000000001</v>
      </c>
      <c r="AG301" s="35">
        <v>19</v>
      </c>
      <c r="AH301" s="35">
        <v>20</v>
      </c>
      <c r="AI301" s="35">
        <v>19</v>
      </c>
      <c r="AJ301" s="35">
        <v>20.5</v>
      </c>
      <c r="AK301" s="35">
        <v>19</v>
      </c>
      <c r="AL301" s="35">
        <v>19.5</v>
      </c>
      <c r="AM301" s="35">
        <v>19</v>
      </c>
      <c r="AN301" s="35">
        <v>20.6</v>
      </c>
      <c r="AO301" s="35">
        <v>19</v>
      </c>
      <c r="AP301" s="35">
        <v>20.9</v>
      </c>
      <c r="AQ301" s="35">
        <v>19</v>
      </c>
      <c r="AR301" s="35">
        <v>20.7</v>
      </c>
      <c r="AS301" s="35">
        <v>19</v>
      </c>
      <c r="AT301" s="35">
        <v>20.100000000000001</v>
      </c>
      <c r="AU301" s="35">
        <v>19</v>
      </c>
      <c r="AV301" s="35">
        <v>17.5</v>
      </c>
      <c r="AW301" s="35">
        <v>19</v>
      </c>
      <c r="AX301" s="35">
        <v>21.2</v>
      </c>
      <c r="AY301" s="35">
        <v>20</v>
      </c>
      <c r="AZ301" s="35">
        <v>21.2</v>
      </c>
      <c r="BA301" s="35">
        <v>20</v>
      </c>
      <c r="BB301" s="35">
        <v>33.5</v>
      </c>
      <c r="BC301" s="35">
        <v>40</v>
      </c>
      <c r="BD301" s="35">
        <v>32.200000000000003</v>
      </c>
      <c r="BE301" s="35">
        <v>40</v>
      </c>
      <c r="BF301" s="35">
        <v>21.9</v>
      </c>
      <c r="BG301" s="35">
        <v>20</v>
      </c>
    </row>
    <row r="302" spans="1:59" x14ac:dyDescent="0.35">
      <c r="A302" s="36">
        <v>46059.661805555559</v>
      </c>
      <c r="B302" s="35">
        <v>3.7</v>
      </c>
      <c r="C302" s="35">
        <v>2</v>
      </c>
      <c r="D302" s="35">
        <v>4.0999999999999996</v>
      </c>
      <c r="E302" s="35">
        <v>2.2000000000000002</v>
      </c>
      <c r="F302" s="35">
        <v>3.1</v>
      </c>
      <c r="G302" s="35">
        <v>2</v>
      </c>
      <c r="H302" s="35">
        <v>3.3</v>
      </c>
      <c r="I302" s="35">
        <v>2</v>
      </c>
      <c r="J302" s="35">
        <v>2.7</v>
      </c>
      <c r="K302" s="35">
        <v>2</v>
      </c>
      <c r="L302" s="35">
        <v>3.4</v>
      </c>
      <c r="M302" s="35">
        <v>2</v>
      </c>
      <c r="N302" s="35">
        <v>3.9</v>
      </c>
      <c r="O302" s="35">
        <v>3</v>
      </c>
      <c r="P302" s="35">
        <v>3.8</v>
      </c>
      <c r="Q302" s="35">
        <v>2</v>
      </c>
      <c r="R302" s="35">
        <v>2.6</v>
      </c>
      <c r="S302" s="35">
        <v>2</v>
      </c>
      <c r="T302" s="35">
        <v>2.2999999999999998</v>
      </c>
      <c r="U302" s="35">
        <v>2</v>
      </c>
      <c r="V302" s="35">
        <v>10</v>
      </c>
      <c r="W302" s="35">
        <v>9</v>
      </c>
      <c r="X302" s="35">
        <v>10</v>
      </c>
      <c r="Y302" s="35">
        <v>9</v>
      </c>
      <c r="Z302" s="35">
        <v>10</v>
      </c>
      <c r="AA302" s="35">
        <v>9</v>
      </c>
      <c r="AB302" s="35">
        <v>10.8</v>
      </c>
      <c r="AC302" s="35">
        <v>9</v>
      </c>
      <c r="AD302" s="35">
        <v>19.8</v>
      </c>
      <c r="AE302" s="35">
        <v>19</v>
      </c>
      <c r="AF302" s="35">
        <v>18.7</v>
      </c>
      <c r="AG302" s="35">
        <v>19</v>
      </c>
      <c r="AH302" s="35">
        <v>20.100000000000001</v>
      </c>
      <c r="AI302" s="35">
        <v>19</v>
      </c>
      <c r="AJ302" s="35">
        <v>20.6</v>
      </c>
      <c r="AK302" s="35">
        <v>19</v>
      </c>
      <c r="AL302" s="35">
        <v>19.399999999999999</v>
      </c>
      <c r="AM302" s="35">
        <v>19</v>
      </c>
      <c r="AN302" s="35">
        <v>20.6</v>
      </c>
      <c r="AO302" s="35">
        <v>19</v>
      </c>
      <c r="AP302" s="35">
        <v>20.9</v>
      </c>
      <c r="AQ302" s="35">
        <v>19</v>
      </c>
      <c r="AR302" s="35">
        <v>20.7</v>
      </c>
      <c r="AS302" s="35">
        <v>19</v>
      </c>
      <c r="AT302" s="35">
        <v>20.2</v>
      </c>
      <c r="AU302" s="35">
        <v>19</v>
      </c>
      <c r="AV302" s="35">
        <v>17.600000000000001</v>
      </c>
      <c r="AW302" s="35">
        <v>19</v>
      </c>
      <c r="AX302" s="35">
        <v>21.2</v>
      </c>
      <c r="AY302" s="35">
        <v>20</v>
      </c>
      <c r="AZ302" s="35">
        <v>21.1</v>
      </c>
      <c r="BA302" s="35">
        <v>20</v>
      </c>
      <c r="BB302" s="35">
        <v>33.5</v>
      </c>
      <c r="BC302" s="35">
        <v>40</v>
      </c>
      <c r="BD302" s="35">
        <v>32.200000000000003</v>
      </c>
      <c r="BE302" s="35">
        <v>40</v>
      </c>
      <c r="BF302" s="35">
        <v>21.9</v>
      </c>
      <c r="BG302" s="35">
        <v>20</v>
      </c>
    </row>
    <row r="303" spans="1:59" x14ac:dyDescent="0.35">
      <c r="A303" s="36">
        <v>46059.663194444445</v>
      </c>
      <c r="B303" s="35">
        <v>3.8</v>
      </c>
      <c r="C303" s="35">
        <v>2</v>
      </c>
      <c r="D303" s="35">
        <v>4.0999999999999996</v>
      </c>
      <c r="E303" s="35">
        <v>2.2000000000000002</v>
      </c>
      <c r="F303" s="35">
        <v>3.6</v>
      </c>
      <c r="G303" s="35">
        <v>2</v>
      </c>
      <c r="H303" s="35">
        <v>3.9</v>
      </c>
      <c r="I303" s="35">
        <v>2</v>
      </c>
      <c r="J303" s="35">
        <v>3</v>
      </c>
      <c r="K303" s="35">
        <v>2</v>
      </c>
      <c r="L303" s="35">
        <v>3.8</v>
      </c>
      <c r="M303" s="35">
        <v>2</v>
      </c>
      <c r="N303" s="35">
        <v>3.9</v>
      </c>
      <c r="O303" s="35">
        <v>3</v>
      </c>
      <c r="P303" s="35">
        <v>3.9</v>
      </c>
      <c r="Q303" s="35">
        <v>2</v>
      </c>
      <c r="R303" s="35">
        <v>3</v>
      </c>
      <c r="S303" s="35">
        <v>2</v>
      </c>
      <c r="T303" s="35">
        <v>2.7</v>
      </c>
      <c r="U303" s="35">
        <v>2</v>
      </c>
      <c r="V303" s="35">
        <v>11</v>
      </c>
      <c r="W303" s="35">
        <v>9</v>
      </c>
      <c r="X303" s="35">
        <v>10.199999999999999</v>
      </c>
      <c r="Y303" s="35">
        <v>9</v>
      </c>
      <c r="Z303" s="35">
        <v>10.5</v>
      </c>
      <c r="AA303" s="35">
        <v>9</v>
      </c>
      <c r="AB303" s="35">
        <v>10.4</v>
      </c>
      <c r="AC303" s="35">
        <v>9</v>
      </c>
      <c r="AD303" s="35">
        <v>19.899999999999999</v>
      </c>
      <c r="AE303" s="35">
        <v>19</v>
      </c>
      <c r="AF303" s="35">
        <v>18.5</v>
      </c>
      <c r="AG303" s="35">
        <v>19</v>
      </c>
      <c r="AH303" s="35">
        <v>20.2</v>
      </c>
      <c r="AI303" s="35">
        <v>19</v>
      </c>
      <c r="AJ303" s="35">
        <v>20.7</v>
      </c>
      <c r="AK303" s="35">
        <v>19</v>
      </c>
      <c r="AL303" s="35">
        <v>19.3</v>
      </c>
      <c r="AM303" s="35">
        <v>19</v>
      </c>
      <c r="AN303" s="35">
        <v>20.8</v>
      </c>
      <c r="AO303" s="35">
        <v>19</v>
      </c>
      <c r="AP303" s="35">
        <v>20.9</v>
      </c>
      <c r="AQ303" s="35">
        <v>19</v>
      </c>
      <c r="AR303" s="35">
        <v>20.7</v>
      </c>
      <c r="AS303" s="35">
        <v>19</v>
      </c>
      <c r="AT303" s="35">
        <v>20.399999999999999</v>
      </c>
      <c r="AU303" s="35">
        <v>19</v>
      </c>
      <c r="AV303" s="35">
        <v>18.100000000000001</v>
      </c>
      <c r="AW303" s="35">
        <v>19</v>
      </c>
      <c r="AX303" s="35">
        <v>21.3</v>
      </c>
      <c r="AY303" s="35">
        <v>20</v>
      </c>
      <c r="AZ303" s="35">
        <v>21.1</v>
      </c>
      <c r="BA303" s="35">
        <v>20</v>
      </c>
      <c r="BB303" s="35">
        <v>33.5</v>
      </c>
      <c r="BC303" s="35">
        <v>40</v>
      </c>
      <c r="BD303" s="35">
        <v>32.200000000000003</v>
      </c>
      <c r="BE303" s="35">
        <v>40</v>
      </c>
      <c r="BF303" s="35">
        <v>17.600000000000001</v>
      </c>
      <c r="BG303" s="35">
        <v>20</v>
      </c>
    </row>
    <row r="304" spans="1:59" x14ac:dyDescent="0.35">
      <c r="A304" s="36">
        <v>46059.663888888892</v>
      </c>
      <c r="B304" s="35">
        <v>4</v>
      </c>
      <c r="C304" s="35">
        <v>2</v>
      </c>
      <c r="D304" s="35">
        <v>4.3</v>
      </c>
      <c r="E304" s="35">
        <v>2.2000000000000002</v>
      </c>
      <c r="F304" s="35">
        <v>3.5</v>
      </c>
      <c r="G304" s="35">
        <v>2</v>
      </c>
      <c r="H304" s="35">
        <v>3.6</v>
      </c>
      <c r="I304" s="35">
        <v>2</v>
      </c>
      <c r="J304" s="35">
        <v>3.3</v>
      </c>
      <c r="K304" s="35">
        <v>2</v>
      </c>
      <c r="L304" s="35">
        <v>4</v>
      </c>
      <c r="M304" s="35">
        <v>2</v>
      </c>
      <c r="N304" s="35">
        <v>2.6</v>
      </c>
      <c r="O304" s="35">
        <v>3</v>
      </c>
      <c r="P304" s="35">
        <v>2.9</v>
      </c>
      <c r="Q304" s="35">
        <v>2</v>
      </c>
      <c r="R304" s="35">
        <v>3.1</v>
      </c>
      <c r="S304" s="35">
        <v>2</v>
      </c>
      <c r="T304" s="35">
        <v>2.9</v>
      </c>
      <c r="U304" s="35">
        <v>2</v>
      </c>
      <c r="V304" s="35">
        <v>9.6999999999999993</v>
      </c>
      <c r="W304" s="35">
        <v>9</v>
      </c>
      <c r="X304" s="35">
        <v>10.4</v>
      </c>
      <c r="Y304" s="35">
        <v>9</v>
      </c>
      <c r="Z304" s="35">
        <v>10.8</v>
      </c>
      <c r="AA304" s="35">
        <v>9</v>
      </c>
      <c r="AB304" s="35">
        <v>9.1</v>
      </c>
      <c r="AC304" s="35">
        <v>9</v>
      </c>
      <c r="AD304" s="35">
        <v>19.899999999999999</v>
      </c>
      <c r="AE304" s="35">
        <v>19</v>
      </c>
      <c r="AF304" s="35">
        <v>18.5</v>
      </c>
      <c r="AG304" s="35">
        <v>19</v>
      </c>
      <c r="AH304" s="35">
        <v>20.3</v>
      </c>
      <c r="AI304" s="35">
        <v>19</v>
      </c>
      <c r="AJ304" s="35">
        <v>20.8</v>
      </c>
      <c r="AK304" s="35">
        <v>19</v>
      </c>
      <c r="AL304" s="35">
        <v>19.2</v>
      </c>
      <c r="AM304" s="35">
        <v>19</v>
      </c>
      <c r="AN304" s="35">
        <v>20.8</v>
      </c>
      <c r="AO304" s="35">
        <v>19</v>
      </c>
      <c r="AP304" s="35">
        <v>20.9</v>
      </c>
      <c r="AQ304" s="35">
        <v>19</v>
      </c>
      <c r="AR304" s="35">
        <v>20.7</v>
      </c>
      <c r="AS304" s="35">
        <v>19</v>
      </c>
      <c r="AT304" s="35">
        <v>20.399999999999999</v>
      </c>
      <c r="AU304" s="35">
        <v>19</v>
      </c>
      <c r="AV304" s="35">
        <v>18.3</v>
      </c>
      <c r="AW304" s="35">
        <v>19</v>
      </c>
      <c r="AX304" s="35">
        <v>21.3</v>
      </c>
      <c r="AY304" s="35">
        <v>20</v>
      </c>
      <c r="AZ304" s="35">
        <v>21</v>
      </c>
      <c r="BA304" s="35">
        <v>20</v>
      </c>
      <c r="BB304" s="35">
        <v>33.5</v>
      </c>
      <c r="BC304" s="35">
        <v>40</v>
      </c>
      <c r="BD304" s="35">
        <v>32.200000000000003</v>
      </c>
      <c r="BE304" s="35">
        <v>40</v>
      </c>
      <c r="BF304" s="35">
        <v>18</v>
      </c>
      <c r="BG304" s="35">
        <v>20</v>
      </c>
    </row>
    <row r="305" spans="1:59" x14ac:dyDescent="0.35">
      <c r="A305" s="36">
        <v>46059.664583333331</v>
      </c>
      <c r="B305" s="35">
        <v>3.9</v>
      </c>
      <c r="C305" s="35">
        <v>2</v>
      </c>
      <c r="D305" s="35">
        <v>4.0999999999999996</v>
      </c>
      <c r="E305" s="35">
        <v>2.2000000000000002</v>
      </c>
      <c r="F305" s="35">
        <v>3.4</v>
      </c>
      <c r="G305" s="35">
        <v>2</v>
      </c>
      <c r="H305" s="35">
        <v>3.2</v>
      </c>
      <c r="I305" s="35">
        <v>2</v>
      </c>
      <c r="J305" s="35">
        <v>3.1</v>
      </c>
      <c r="K305" s="35">
        <v>2</v>
      </c>
      <c r="L305" s="35">
        <v>3.2</v>
      </c>
      <c r="M305" s="35">
        <v>2</v>
      </c>
      <c r="N305" s="35">
        <v>1.5</v>
      </c>
      <c r="O305" s="35">
        <v>3</v>
      </c>
      <c r="P305" s="35">
        <v>2.1</v>
      </c>
      <c r="Q305" s="35">
        <v>2</v>
      </c>
      <c r="R305" s="35">
        <v>3.3</v>
      </c>
      <c r="S305" s="35">
        <v>2</v>
      </c>
      <c r="T305" s="35">
        <v>3.1</v>
      </c>
      <c r="U305" s="35">
        <v>2</v>
      </c>
      <c r="V305" s="35">
        <v>7.5</v>
      </c>
      <c r="W305" s="35">
        <v>9</v>
      </c>
      <c r="X305" s="35">
        <v>10.4</v>
      </c>
      <c r="Y305" s="35">
        <v>9</v>
      </c>
      <c r="Z305" s="35">
        <v>11</v>
      </c>
      <c r="AA305" s="35">
        <v>9</v>
      </c>
      <c r="AB305" s="35">
        <v>8.4</v>
      </c>
      <c r="AC305" s="35">
        <v>9</v>
      </c>
      <c r="AD305" s="35">
        <v>19.899999999999999</v>
      </c>
      <c r="AE305" s="35">
        <v>19</v>
      </c>
      <c r="AF305" s="35">
        <v>18.600000000000001</v>
      </c>
      <c r="AG305" s="35">
        <v>19</v>
      </c>
      <c r="AH305" s="35">
        <v>20.3</v>
      </c>
      <c r="AI305" s="35">
        <v>19</v>
      </c>
      <c r="AJ305" s="35">
        <v>20.8</v>
      </c>
      <c r="AK305" s="35">
        <v>19</v>
      </c>
      <c r="AL305" s="35">
        <v>19.2</v>
      </c>
      <c r="AM305" s="35">
        <v>19</v>
      </c>
      <c r="AN305" s="35">
        <v>20.9</v>
      </c>
      <c r="AO305" s="35">
        <v>19</v>
      </c>
      <c r="AP305" s="35">
        <v>20.9</v>
      </c>
      <c r="AQ305" s="35">
        <v>19</v>
      </c>
      <c r="AR305" s="35">
        <v>20.7</v>
      </c>
      <c r="AS305" s="35">
        <v>19</v>
      </c>
      <c r="AT305" s="35">
        <v>20.5</v>
      </c>
      <c r="AU305" s="35">
        <v>19</v>
      </c>
      <c r="AV305" s="35">
        <v>18.399999999999999</v>
      </c>
      <c r="AW305" s="35">
        <v>19</v>
      </c>
      <c r="AX305" s="35">
        <v>21.3</v>
      </c>
      <c r="AY305" s="35">
        <v>20</v>
      </c>
      <c r="AZ305" s="35">
        <v>21</v>
      </c>
      <c r="BA305" s="35">
        <v>20</v>
      </c>
      <c r="BB305" s="35">
        <v>33.5</v>
      </c>
      <c r="BC305" s="35">
        <v>40</v>
      </c>
      <c r="BD305" s="35">
        <v>32.200000000000003</v>
      </c>
      <c r="BE305" s="35">
        <v>40</v>
      </c>
      <c r="BF305" s="35">
        <v>18.600000000000001</v>
      </c>
      <c r="BG305" s="35">
        <v>20</v>
      </c>
    </row>
    <row r="306" spans="1:59" x14ac:dyDescent="0.35">
      <c r="A306" s="36">
        <v>46059.665277777778</v>
      </c>
      <c r="B306" s="35">
        <v>2.7</v>
      </c>
      <c r="C306" s="35">
        <v>2</v>
      </c>
      <c r="D306" s="35">
        <v>3</v>
      </c>
      <c r="E306" s="35">
        <v>2.2000000000000002</v>
      </c>
      <c r="F306" s="35">
        <v>3.4</v>
      </c>
      <c r="G306" s="35">
        <v>2</v>
      </c>
      <c r="H306" s="35">
        <v>3.1</v>
      </c>
      <c r="I306" s="35">
        <v>2</v>
      </c>
      <c r="J306" s="35">
        <v>2.5</v>
      </c>
      <c r="K306" s="35">
        <v>2</v>
      </c>
      <c r="L306" s="35">
        <v>2.2000000000000002</v>
      </c>
      <c r="M306" s="35">
        <v>2</v>
      </c>
      <c r="N306" s="35">
        <v>1.2</v>
      </c>
      <c r="O306" s="35">
        <v>3</v>
      </c>
      <c r="P306" s="35">
        <v>1.9</v>
      </c>
      <c r="Q306" s="35">
        <v>2</v>
      </c>
      <c r="R306" s="35">
        <v>3.4</v>
      </c>
      <c r="S306" s="35">
        <v>2</v>
      </c>
      <c r="T306" s="35">
        <v>3.2</v>
      </c>
      <c r="U306" s="35">
        <v>2</v>
      </c>
      <c r="V306" s="35">
        <v>7.4</v>
      </c>
      <c r="W306" s="35">
        <v>9</v>
      </c>
      <c r="X306" s="35">
        <v>10.6</v>
      </c>
      <c r="Y306" s="35">
        <v>9</v>
      </c>
      <c r="Z306" s="35">
        <v>11</v>
      </c>
      <c r="AA306" s="35">
        <v>9</v>
      </c>
      <c r="AB306" s="35">
        <v>8.9</v>
      </c>
      <c r="AC306" s="35">
        <v>9</v>
      </c>
      <c r="AD306" s="35">
        <v>20</v>
      </c>
      <c r="AE306" s="35">
        <v>19</v>
      </c>
      <c r="AF306" s="35">
        <v>18.7</v>
      </c>
      <c r="AG306" s="35">
        <v>19</v>
      </c>
      <c r="AH306" s="35">
        <v>20.399999999999999</v>
      </c>
      <c r="AI306" s="35">
        <v>19</v>
      </c>
      <c r="AJ306" s="35">
        <v>20.9</v>
      </c>
      <c r="AK306" s="35">
        <v>19</v>
      </c>
      <c r="AL306" s="35">
        <v>19.100000000000001</v>
      </c>
      <c r="AM306" s="35">
        <v>19</v>
      </c>
      <c r="AN306" s="35">
        <v>21</v>
      </c>
      <c r="AO306" s="35">
        <v>19</v>
      </c>
      <c r="AP306" s="35">
        <v>20.9</v>
      </c>
      <c r="AQ306" s="35">
        <v>19</v>
      </c>
      <c r="AR306" s="35">
        <v>20.7</v>
      </c>
      <c r="AS306" s="35">
        <v>19</v>
      </c>
      <c r="AT306" s="35">
        <v>20.6</v>
      </c>
      <c r="AU306" s="35">
        <v>19</v>
      </c>
      <c r="AV306" s="35">
        <v>18.600000000000001</v>
      </c>
      <c r="AW306" s="35">
        <v>19</v>
      </c>
      <c r="AX306" s="35">
        <v>21.3</v>
      </c>
      <c r="AY306" s="35">
        <v>20</v>
      </c>
      <c r="AZ306" s="35">
        <v>21</v>
      </c>
      <c r="BA306" s="35">
        <v>20</v>
      </c>
      <c r="BB306" s="35">
        <v>33.5</v>
      </c>
      <c r="BC306" s="35">
        <v>40</v>
      </c>
      <c r="BD306" s="35">
        <v>32.200000000000003</v>
      </c>
      <c r="BE306" s="35">
        <v>40</v>
      </c>
      <c r="BF306" s="35">
        <v>19.100000000000001</v>
      </c>
      <c r="BG306" s="35">
        <v>20</v>
      </c>
    </row>
    <row r="307" spans="1:59" x14ac:dyDescent="0.35">
      <c r="A307" s="36">
        <v>46059.665972222225</v>
      </c>
      <c r="B307" s="35">
        <v>1.5</v>
      </c>
      <c r="C307" s="35">
        <v>2</v>
      </c>
      <c r="D307" s="35">
        <v>1.9</v>
      </c>
      <c r="E307" s="35">
        <v>2.2000000000000002</v>
      </c>
      <c r="F307" s="35">
        <v>3.5</v>
      </c>
      <c r="G307" s="35">
        <v>2</v>
      </c>
      <c r="H307" s="35">
        <v>3.1</v>
      </c>
      <c r="I307" s="35">
        <v>2</v>
      </c>
      <c r="J307" s="35">
        <v>2.2999999999999998</v>
      </c>
      <c r="K307" s="35">
        <v>2</v>
      </c>
      <c r="L307" s="35">
        <v>1.8</v>
      </c>
      <c r="M307" s="35">
        <v>2</v>
      </c>
      <c r="N307" s="35">
        <v>1.3</v>
      </c>
      <c r="O307" s="35">
        <v>3</v>
      </c>
      <c r="P307" s="35">
        <v>2</v>
      </c>
      <c r="Q307" s="35">
        <v>2</v>
      </c>
      <c r="R307" s="35">
        <v>3.6</v>
      </c>
      <c r="S307" s="35">
        <v>2</v>
      </c>
      <c r="T307" s="35">
        <v>3.3</v>
      </c>
      <c r="U307" s="35">
        <v>2</v>
      </c>
      <c r="V307" s="35">
        <v>8.1</v>
      </c>
      <c r="W307" s="35">
        <v>9</v>
      </c>
      <c r="X307" s="35">
        <v>10.7</v>
      </c>
      <c r="Y307" s="35">
        <v>9</v>
      </c>
      <c r="Z307" s="35">
        <v>10.5</v>
      </c>
      <c r="AA307" s="35">
        <v>9</v>
      </c>
      <c r="AB307" s="35">
        <v>9.6</v>
      </c>
      <c r="AC307" s="35">
        <v>9</v>
      </c>
      <c r="AD307" s="35">
        <v>20</v>
      </c>
      <c r="AE307" s="35">
        <v>19</v>
      </c>
      <c r="AF307" s="35">
        <v>18.8</v>
      </c>
      <c r="AG307" s="35">
        <v>19</v>
      </c>
      <c r="AH307" s="35">
        <v>20.399999999999999</v>
      </c>
      <c r="AI307" s="35">
        <v>19</v>
      </c>
      <c r="AJ307" s="35">
        <v>21</v>
      </c>
      <c r="AK307" s="35">
        <v>19</v>
      </c>
      <c r="AL307" s="35">
        <v>19.100000000000001</v>
      </c>
      <c r="AM307" s="35">
        <v>19</v>
      </c>
      <c r="AN307" s="35">
        <v>20.8</v>
      </c>
      <c r="AO307" s="35">
        <v>19</v>
      </c>
      <c r="AP307" s="35">
        <v>20.9</v>
      </c>
      <c r="AQ307" s="35">
        <v>19</v>
      </c>
      <c r="AR307" s="35">
        <v>20.7</v>
      </c>
      <c r="AS307" s="35">
        <v>19</v>
      </c>
      <c r="AT307" s="35">
        <v>20.7</v>
      </c>
      <c r="AU307" s="35">
        <v>19</v>
      </c>
      <c r="AV307" s="35">
        <v>18.7</v>
      </c>
      <c r="AW307" s="35">
        <v>19</v>
      </c>
      <c r="AX307" s="35">
        <v>21.3</v>
      </c>
      <c r="AY307" s="35">
        <v>20</v>
      </c>
      <c r="AZ307" s="35">
        <v>21.1</v>
      </c>
      <c r="BA307" s="35">
        <v>20</v>
      </c>
      <c r="BB307" s="35">
        <v>33.5</v>
      </c>
      <c r="BC307" s="35">
        <v>40</v>
      </c>
      <c r="BD307" s="35">
        <v>32.200000000000003</v>
      </c>
      <c r="BE307" s="35">
        <v>40</v>
      </c>
      <c r="BF307" s="35">
        <v>19.600000000000001</v>
      </c>
      <c r="BG307" s="35">
        <v>20</v>
      </c>
    </row>
    <row r="308" spans="1:59" x14ac:dyDescent="0.35">
      <c r="A308" s="36">
        <v>46059.666666666664</v>
      </c>
      <c r="B308" s="35">
        <v>1.5</v>
      </c>
      <c r="C308" s="35">
        <v>2</v>
      </c>
      <c r="D308" s="35">
        <v>2</v>
      </c>
      <c r="E308" s="35">
        <v>2.2000000000000002</v>
      </c>
      <c r="F308" s="35">
        <v>3.6</v>
      </c>
      <c r="G308" s="35">
        <v>2</v>
      </c>
      <c r="H308" s="35">
        <v>3.1</v>
      </c>
      <c r="I308" s="35">
        <v>2</v>
      </c>
      <c r="J308" s="35">
        <v>2.4</v>
      </c>
      <c r="K308" s="35">
        <v>2</v>
      </c>
      <c r="L308" s="35">
        <v>2</v>
      </c>
      <c r="M308" s="35">
        <v>2</v>
      </c>
      <c r="N308" s="35">
        <v>1.8</v>
      </c>
      <c r="O308" s="35">
        <v>3</v>
      </c>
      <c r="P308" s="35">
        <v>2.2999999999999998</v>
      </c>
      <c r="Q308" s="35">
        <v>2</v>
      </c>
      <c r="R308" s="35">
        <v>3.7</v>
      </c>
      <c r="S308" s="35">
        <v>2</v>
      </c>
      <c r="T308" s="35">
        <v>3.5</v>
      </c>
      <c r="U308" s="35">
        <v>2</v>
      </c>
      <c r="V308" s="35">
        <v>8.9</v>
      </c>
      <c r="W308" s="35">
        <v>9</v>
      </c>
      <c r="X308" s="35">
        <v>10.7</v>
      </c>
      <c r="Y308" s="35">
        <v>9</v>
      </c>
      <c r="Z308" s="35">
        <v>9.6</v>
      </c>
      <c r="AA308" s="35">
        <v>9</v>
      </c>
      <c r="AB308" s="35">
        <v>10.1</v>
      </c>
      <c r="AC308" s="35">
        <v>9</v>
      </c>
      <c r="AD308" s="35">
        <v>20.100000000000001</v>
      </c>
      <c r="AE308" s="35">
        <v>19</v>
      </c>
      <c r="AF308" s="35">
        <v>18.899999999999999</v>
      </c>
      <c r="AG308" s="35">
        <v>19</v>
      </c>
      <c r="AH308" s="35">
        <v>20.5</v>
      </c>
      <c r="AI308" s="35">
        <v>19</v>
      </c>
      <c r="AJ308" s="35">
        <v>20.5</v>
      </c>
      <c r="AK308" s="35">
        <v>19</v>
      </c>
      <c r="AL308" s="35">
        <v>19.100000000000001</v>
      </c>
      <c r="AM308" s="35">
        <v>19</v>
      </c>
      <c r="AN308" s="35">
        <v>20.100000000000001</v>
      </c>
      <c r="AO308" s="35">
        <v>19</v>
      </c>
      <c r="AP308" s="35">
        <v>20.9</v>
      </c>
      <c r="AQ308" s="35">
        <v>19</v>
      </c>
      <c r="AR308" s="35">
        <v>20.7</v>
      </c>
      <c r="AS308" s="35">
        <v>19</v>
      </c>
      <c r="AT308" s="35">
        <v>20.8</v>
      </c>
      <c r="AU308" s="35">
        <v>19</v>
      </c>
      <c r="AV308" s="35">
        <v>18.899999999999999</v>
      </c>
      <c r="AW308" s="35">
        <v>19</v>
      </c>
      <c r="AX308" s="35">
        <v>21.3</v>
      </c>
      <c r="AY308" s="35">
        <v>20</v>
      </c>
      <c r="AZ308" s="35">
        <v>21.1</v>
      </c>
      <c r="BA308" s="35">
        <v>20</v>
      </c>
      <c r="BB308" s="35">
        <v>33.5</v>
      </c>
      <c r="BC308" s="35">
        <v>40</v>
      </c>
      <c r="BD308" s="35">
        <v>32.200000000000003</v>
      </c>
      <c r="BE308" s="35">
        <v>40</v>
      </c>
      <c r="BF308" s="35">
        <v>20.100000000000001</v>
      </c>
      <c r="BG308" s="35">
        <v>20</v>
      </c>
    </row>
    <row r="309" spans="1:59" x14ac:dyDescent="0.35">
      <c r="A309" s="36">
        <v>46059.667361111111</v>
      </c>
      <c r="B309" s="35">
        <v>1.9</v>
      </c>
      <c r="C309" s="35">
        <v>2</v>
      </c>
      <c r="D309" s="35">
        <v>2.4</v>
      </c>
      <c r="E309" s="35">
        <v>2.2000000000000002</v>
      </c>
      <c r="F309" s="35">
        <v>3.8</v>
      </c>
      <c r="G309" s="35">
        <v>2</v>
      </c>
      <c r="H309" s="35">
        <v>3.2</v>
      </c>
      <c r="I309" s="35">
        <v>2</v>
      </c>
      <c r="J309" s="35">
        <v>2.6</v>
      </c>
      <c r="K309" s="35">
        <v>2</v>
      </c>
      <c r="L309" s="35">
        <v>2.4</v>
      </c>
      <c r="M309" s="35">
        <v>2</v>
      </c>
      <c r="N309" s="35">
        <v>2.1</v>
      </c>
      <c r="O309" s="35">
        <v>3</v>
      </c>
      <c r="P309" s="35">
        <v>2.5</v>
      </c>
      <c r="Q309" s="35">
        <v>2</v>
      </c>
      <c r="R309" s="35">
        <v>3.8</v>
      </c>
      <c r="S309" s="35">
        <v>2</v>
      </c>
      <c r="T309" s="35">
        <v>3.6</v>
      </c>
      <c r="U309" s="35">
        <v>2</v>
      </c>
      <c r="V309" s="35">
        <v>9.5</v>
      </c>
      <c r="W309" s="35">
        <v>9</v>
      </c>
      <c r="X309" s="35">
        <v>10.8</v>
      </c>
      <c r="Y309" s="35">
        <v>9</v>
      </c>
      <c r="Z309" s="35">
        <v>8.8000000000000007</v>
      </c>
      <c r="AA309" s="35">
        <v>9</v>
      </c>
      <c r="AB309" s="35">
        <v>10.5</v>
      </c>
      <c r="AC309" s="35">
        <v>9</v>
      </c>
      <c r="AD309" s="35">
        <v>20.100000000000001</v>
      </c>
      <c r="AE309" s="35">
        <v>19</v>
      </c>
      <c r="AF309" s="35">
        <v>18.899999999999999</v>
      </c>
      <c r="AG309" s="35">
        <v>19</v>
      </c>
      <c r="AH309" s="35">
        <v>20.5</v>
      </c>
      <c r="AI309" s="35">
        <v>19</v>
      </c>
      <c r="AJ309" s="35">
        <v>19.399999999999999</v>
      </c>
      <c r="AK309" s="35">
        <v>19</v>
      </c>
      <c r="AL309" s="35">
        <v>19.100000000000001</v>
      </c>
      <c r="AM309" s="35">
        <v>19</v>
      </c>
      <c r="AN309" s="35">
        <v>20</v>
      </c>
      <c r="AO309" s="35">
        <v>19</v>
      </c>
      <c r="AP309" s="35">
        <v>21</v>
      </c>
      <c r="AQ309" s="35">
        <v>19</v>
      </c>
      <c r="AR309" s="35">
        <v>20.7</v>
      </c>
      <c r="AS309" s="35">
        <v>19</v>
      </c>
      <c r="AT309" s="35">
        <v>20.9</v>
      </c>
      <c r="AU309" s="35">
        <v>19</v>
      </c>
      <c r="AV309" s="35">
        <v>19.100000000000001</v>
      </c>
      <c r="AW309" s="35">
        <v>19</v>
      </c>
      <c r="AX309" s="35">
        <v>21.3</v>
      </c>
      <c r="AY309" s="35">
        <v>20</v>
      </c>
      <c r="AZ309" s="35">
        <v>21.1</v>
      </c>
      <c r="BA309" s="35">
        <v>20</v>
      </c>
      <c r="BB309" s="35">
        <v>33.5</v>
      </c>
      <c r="BC309" s="35">
        <v>40</v>
      </c>
      <c r="BD309" s="35">
        <v>32.299999999999997</v>
      </c>
      <c r="BE309" s="35">
        <v>40</v>
      </c>
      <c r="BF309" s="35">
        <v>20.6</v>
      </c>
      <c r="BG309" s="35">
        <v>20</v>
      </c>
    </row>
    <row r="310" spans="1:59" x14ac:dyDescent="0.35">
      <c r="A310" s="36">
        <v>46059.668055555558</v>
      </c>
      <c r="B310" s="35">
        <v>2.4</v>
      </c>
      <c r="C310" s="35">
        <v>2</v>
      </c>
      <c r="D310" s="35">
        <v>2.8</v>
      </c>
      <c r="E310" s="35">
        <v>2.2000000000000002</v>
      </c>
      <c r="F310" s="35">
        <v>3.9</v>
      </c>
      <c r="G310" s="35">
        <v>2</v>
      </c>
      <c r="H310" s="35">
        <v>3.4</v>
      </c>
      <c r="I310" s="35">
        <v>2</v>
      </c>
      <c r="J310" s="35">
        <v>2.8</v>
      </c>
      <c r="K310" s="35">
        <v>2</v>
      </c>
      <c r="L310" s="35">
        <v>2.8</v>
      </c>
      <c r="M310" s="35">
        <v>2</v>
      </c>
      <c r="N310" s="35">
        <v>2.4</v>
      </c>
      <c r="O310" s="35">
        <v>3</v>
      </c>
      <c r="P310" s="35">
        <v>2.8</v>
      </c>
      <c r="Q310" s="35">
        <v>2</v>
      </c>
      <c r="R310" s="35">
        <v>3.9</v>
      </c>
      <c r="S310" s="35">
        <v>2</v>
      </c>
      <c r="T310" s="35">
        <v>3.7</v>
      </c>
      <c r="U310" s="35">
        <v>2</v>
      </c>
      <c r="V310" s="35">
        <v>10.1</v>
      </c>
      <c r="W310" s="35">
        <v>9</v>
      </c>
      <c r="X310" s="35">
        <v>10.9</v>
      </c>
      <c r="Y310" s="35">
        <v>9</v>
      </c>
      <c r="Z310" s="35">
        <v>8.6999999999999993</v>
      </c>
      <c r="AA310" s="35">
        <v>9</v>
      </c>
      <c r="AB310" s="35">
        <v>10.9</v>
      </c>
      <c r="AC310" s="35">
        <v>9</v>
      </c>
      <c r="AD310" s="35">
        <v>20.2</v>
      </c>
      <c r="AE310" s="35">
        <v>19</v>
      </c>
      <c r="AF310" s="35">
        <v>19.100000000000001</v>
      </c>
      <c r="AG310" s="35">
        <v>19</v>
      </c>
      <c r="AH310" s="35">
        <v>20.6</v>
      </c>
      <c r="AI310" s="35">
        <v>19</v>
      </c>
      <c r="AJ310" s="35">
        <v>18.3</v>
      </c>
      <c r="AK310" s="35">
        <v>19</v>
      </c>
      <c r="AL310" s="35">
        <v>19.100000000000001</v>
      </c>
      <c r="AM310" s="35">
        <v>19</v>
      </c>
      <c r="AN310" s="35">
        <v>19.600000000000001</v>
      </c>
      <c r="AO310" s="35">
        <v>19</v>
      </c>
      <c r="AP310" s="35">
        <v>20</v>
      </c>
      <c r="AQ310" s="35">
        <v>19</v>
      </c>
      <c r="AR310" s="35">
        <v>20.7</v>
      </c>
      <c r="AS310" s="35">
        <v>19</v>
      </c>
      <c r="AT310" s="35">
        <v>20.9</v>
      </c>
      <c r="AU310" s="35">
        <v>19</v>
      </c>
      <c r="AV310" s="35">
        <v>19.2</v>
      </c>
      <c r="AW310" s="35">
        <v>19</v>
      </c>
      <c r="AX310" s="35">
        <v>21.3</v>
      </c>
      <c r="AY310" s="35">
        <v>20</v>
      </c>
      <c r="AZ310" s="35">
        <v>21</v>
      </c>
      <c r="BA310" s="35">
        <v>20</v>
      </c>
      <c r="BB310" s="35">
        <v>33.5</v>
      </c>
      <c r="BC310" s="35">
        <v>40</v>
      </c>
      <c r="BD310" s="35">
        <v>32.299999999999997</v>
      </c>
      <c r="BE310" s="35">
        <v>40</v>
      </c>
      <c r="BF310" s="35">
        <v>20.9</v>
      </c>
      <c r="BG310" s="35">
        <v>20</v>
      </c>
    </row>
    <row r="311" spans="1:59" x14ac:dyDescent="0.35">
      <c r="A311" s="36">
        <v>46059.668749999997</v>
      </c>
      <c r="B311" s="35">
        <v>2.8</v>
      </c>
      <c r="C311" s="35">
        <v>2</v>
      </c>
      <c r="D311" s="35">
        <v>3.2</v>
      </c>
      <c r="E311" s="35">
        <v>2.2000000000000002</v>
      </c>
      <c r="F311" s="35">
        <v>3.9</v>
      </c>
      <c r="G311" s="35">
        <v>2</v>
      </c>
      <c r="H311" s="35">
        <v>3.4</v>
      </c>
      <c r="I311" s="35">
        <v>2</v>
      </c>
      <c r="J311" s="35">
        <v>3</v>
      </c>
      <c r="K311" s="35">
        <v>2</v>
      </c>
      <c r="L311" s="35">
        <v>3.1</v>
      </c>
      <c r="M311" s="35">
        <v>2</v>
      </c>
      <c r="N311" s="35">
        <v>2.7</v>
      </c>
      <c r="O311" s="35">
        <v>3</v>
      </c>
      <c r="P311" s="35">
        <v>3</v>
      </c>
      <c r="Q311" s="35">
        <v>2</v>
      </c>
      <c r="R311" s="35">
        <v>3.5</v>
      </c>
      <c r="S311" s="35">
        <v>2</v>
      </c>
      <c r="T311" s="35">
        <v>3.1</v>
      </c>
      <c r="U311" s="35">
        <v>2</v>
      </c>
      <c r="V311" s="35">
        <v>10.5</v>
      </c>
      <c r="W311" s="35">
        <v>9</v>
      </c>
      <c r="X311" s="35">
        <v>10.9</v>
      </c>
      <c r="Y311" s="35">
        <v>9</v>
      </c>
      <c r="Z311" s="35">
        <v>9</v>
      </c>
      <c r="AA311" s="35">
        <v>9</v>
      </c>
      <c r="AB311" s="35">
        <v>11</v>
      </c>
      <c r="AC311" s="35">
        <v>9</v>
      </c>
      <c r="AD311" s="35">
        <v>20.2</v>
      </c>
      <c r="AE311" s="35">
        <v>19</v>
      </c>
      <c r="AF311" s="35">
        <v>19.100000000000001</v>
      </c>
      <c r="AG311" s="35">
        <v>19</v>
      </c>
      <c r="AH311" s="35">
        <v>20.6</v>
      </c>
      <c r="AI311" s="35">
        <v>19</v>
      </c>
      <c r="AJ311" s="35">
        <v>18.2</v>
      </c>
      <c r="AK311" s="35">
        <v>19</v>
      </c>
      <c r="AL311" s="35">
        <v>19.100000000000001</v>
      </c>
      <c r="AM311" s="35">
        <v>19</v>
      </c>
      <c r="AN311" s="35">
        <v>19</v>
      </c>
      <c r="AO311" s="35">
        <v>19</v>
      </c>
      <c r="AP311" s="35">
        <v>18.8</v>
      </c>
      <c r="AQ311" s="35">
        <v>19</v>
      </c>
      <c r="AR311" s="35">
        <v>20.7</v>
      </c>
      <c r="AS311" s="35">
        <v>19</v>
      </c>
      <c r="AT311" s="35">
        <v>20.9</v>
      </c>
      <c r="AU311" s="35">
        <v>19</v>
      </c>
      <c r="AV311" s="35">
        <v>19.399999999999999</v>
      </c>
      <c r="AW311" s="35">
        <v>19</v>
      </c>
      <c r="AX311" s="35">
        <v>21.3</v>
      </c>
      <c r="AY311" s="35">
        <v>20</v>
      </c>
      <c r="AZ311" s="35">
        <v>20.9</v>
      </c>
      <c r="BA311" s="35">
        <v>20</v>
      </c>
      <c r="BB311" s="35">
        <v>33.5</v>
      </c>
      <c r="BC311" s="35">
        <v>40</v>
      </c>
      <c r="BD311" s="35">
        <v>32.299999999999997</v>
      </c>
      <c r="BE311" s="35">
        <v>40</v>
      </c>
      <c r="BF311" s="35">
        <v>21.2</v>
      </c>
      <c r="BG311" s="35">
        <v>20</v>
      </c>
    </row>
    <row r="312" spans="1:59" x14ac:dyDescent="0.35">
      <c r="A312" s="36">
        <v>46059.669444444444</v>
      </c>
      <c r="B312" s="35">
        <v>3.1</v>
      </c>
      <c r="C312" s="35">
        <v>2</v>
      </c>
      <c r="D312" s="35">
        <v>3.5</v>
      </c>
      <c r="E312" s="35">
        <v>2.2000000000000002</v>
      </c>
      <c r="F312" s="35">
        <v>2.2000000000000002</v>
      </c>
      <c r="G312" s="35">
        <v>2</v>
      </c>
      <c r="H312" s="35">
        <v>2.5</v>
      </c>
      <c r="I312" s="35">
        <v>2</v>
      </c>
      <c r="J312" s="35">
        <v>3.2</v>
      </c>
      <c r="K312" s="35">
        <v>2</v>
      </c>
      <c r="L312" s="35">
        <v>3.4</v>
      </c>
      <c r="M312" s="35">
        <v>2</v>
      </c>
      <c r="N312" s="35">
        <v>3</v>
      </c>
      <c r="O312" s="35">
        <v>3</v>
      </c>
      <c r="P312" s="35">
        <v>3.2</v>
      </c>
      <c r="Q312" s="35">
        <v>2</v>
      </c>
      <c r="R312" s="35">
        <v>2.5</v>
      </c>
      <c r="S312" s="35">
        <v>2</v>
      </c>
      <c r="T312" s="35">
        <v>1.8</v>
      </c>
      <c r="U312" s="35">
        <v>2</v>
      </c>
      <c r="V312" s="35">
        <v>10.9</v>
      </c>
      <c r="W312" s="35">
        <v>9</v>
      </c>
      <c r="X312" s="35">
        <v>10.9</v>
      </c>
      <c r="Y312" s="35">
        <v>9</v>
      </c>
      <c r="Z312" s="35">
        <v>9.4</v>
      </c>
      <c r="AA312" s="35">
        <v>9</v>
      </c>
      <c r="AB312" s="35">
        <v>10.5</v>
      </c>
      <c r="AC312" s="35">
        <v>9</v>
      </c>
      <c r="AD312" s="35">
        <v>20.2</v>
      </c>
      <c r="AE312" s="35">
        <v>19</v>
      </c>
      <c r="AF312" s="35">
        <v>19.2</v>
      </c>
      <c r="AG312" s="35">
        <v>19</v>
      </c>
      <c r="AH312" s="35">
        <v>20.7</v>
      </c>
      <c r="AI312" s="35">
        <v>19</v>
      </c>
      <c r="AJ312" s="35">
        <v>18.2</v>
      </c>
      <c r="AK312" s="35">
        <v>19</v>
      </c>
      <c r="AL312" s="35">
        <v>19.100000000000001</v>
      </c>
      <c r="AM312" s="35">
        <v>19</v>
      </c>
      <c r="AN312" s="35">
        <v>18.7</v>
      </c>
      <c r="AO312" s="35">
        <v>19</v>
      </c>
      <c r="AP312" s="35">
        <v>18.2</v>
      </c>
      <c r="AQ312" s="35">
        <v>19</v>
      </c>
      <c r="AR312" s="35">
        <v>20.7</v>
      </c>
      <c r="AS312" s="35">
        <v>19</v>
      </c>
      <c r="AT312" s="35">
        <v>19.600000000000001</v>
      </c>
      <c r="AU312" s="35">
        <v>19</v>
      </c>
      <c r="AV312" s="35">
        <v>19.5</v>
      </c>
      <c r="AW312" s="35">
        <v>19</v>
      </c>
      <c r="AX312" s="35">
        <v>21.3</v>
      </c>
      <c r="AY312" s="35">
        <v>20</v>
      </c>
      <c r="AZ312" s="35">
        <v>20.9</v>
      </c>
      <c r="BA312" s="35">
        <v>20</v>
      </c>
      <c r="BB312" s="35">
        <v>33.5</v>
      </c>
      <c r="BC312" s="35">
        <v>40</v>
      </c>
      <c r="BD312" s="35">
        <v>32.299999999999997</v>
      </c>
      <c r="BE312" s="35">
        <v>40</v>
      </c>
      <c r="BF312" s="35">
        <v>21.3</v>
      </c>
      <c r="BG312" s="35">
        <v>20</v>
      </c>
    </row>
    <row r="313" spans="1:59" x14ac:dyDescent="0.35">
      <c r="A313" s="36">
        <v>46059.670138888891</v>
      </c>
      <c r="B313" s="35">
        <v>3.4</v>
      </c>
      <c r="C313" s="35">
        <v>2</v>
      </c>
      <c r="D313" s="35">
        <v>3.8</v>
      </c>
      <c r="E313" s="35">
        <v>2.2000000000000002</v>
      </c>
      <c r="F313" s="35">
        <v>1.8</v>
      </c>
      <c r="G313" s="35">
        <v>2</v>
      </c>
      <c r="H313" s="35">
        <v>2.4</v>
      </c>
      <c r="I313" s="35">
        <v>2</v>
      </c>
      <c r="J313" s="35">
        <v>3.4</v>
      </c>
      <c r="K313" s="35">
        <v>2</v>
      </c>
      <c r="L313" s="35">
        <v>3.7</v>
      </c>
      <c r="M313" s="35">
        <v>2</v>
      </c>
      <c r="N313" s="35">
        <v>3.3</v>
      </c>
      <c r="O313" s="35">
        <v>3</v>
      </c>
      <c r="P313" s="35">
        <v>3.4</v>
      </c>
      <c r="Q313" s="35">
        <v>2</v>
      </c>
      <c r="R313" s="35">
        <v>1.7</v>
      </c>
      <c r="S313" s="35">
        <v>2</v>
      </c>
      <c r="T313" s="35">
        <v>1.1000000000000001</v>
      </c>
      <c r="U313" s="35">
        <v>2</v>
      </c>
      <c r="V313" s="35">
        <v>10.8</v>
      </c>
      <c r="W313" s="35">
        <v>9</v>
      </c>
      <c r="X313" s="35">
        <v>10.199999999999999</v>
      </c>
      <c r="Y313" s="35">
        <v>9</v>
      </c>
      <c r="Z313" s="35">
        <v>9.8000000000000007</v>
      </c>
      <c r="AA313" s="35">
        <v>9</v>
      </c>
      <c r="AB313" s="35">
        <v>9.8000000000000007</v>
      </c>
      <c r="AC313" s="35">
        <v>9</v>
      </c>
      <c r="AD313" s="35">
        <v>20.3</v>
      </c>
      <c r="AE313" s="35">
        <v>19</v>
      </c>
      <c r="AF313" s="35">
        <v>19.3</v>
      </c>
      <c r="AG313" s="35">
        <v>19</v>
      </c>
      <c r="AH313" s="35">
        <v>20.7</v>
      </c>
      <c r="AI313" s="35">
        <v>19</v>
      </c>
      <c r="AJ313" s="35">
        <v>18.399999999999999</v>
      </c>
      <c r="AK313" s="35">
        <v>19</v>
      </c>
      <c r="AL313" s="35">
        <v>19.100000000000001</v>
      </c>
      <c r="AM313" s="35">
        <v>19</v>
      </c>
      <c r="AN313" s="35">
        <v>18.8</v>
      </c>
      <c r="AO313" s="35">
        <v>19</v>
      </c>
      <c r="AP313" s="35">
        <v>18.2</v>
      </c>
      <c r="AQ313" s="35">
        <v>19</v>
      </c>
      <c r="AR313" s="35">
        <v>20.7</v>
      </c>
      <c r="AS313" s="35">
        <v>19</v>
      </c>
      <c r="AT313" s="35">
        <v>19</v>
      </c>
      <c r="AU313" s="35">
        <v>19</v>
      </c>
      <c r="AV313" s="35">
        <v>19.600000000000001</v>
      </c>
      <c r="AW313" s="35">
        <v>19</v>
      </c>
      <c r="AX313" s="35">
        <v>21.2</v>
      </c>
      <c r="AY313" s="35">
        <v>20</v>
      </c>
      <c r="AZ313" s="35">
        <v>20.9</v>
      </c>
      <c r="BA313" s="35">
        <v>20</v>
      </c>
      <c r="BB313" s="35">
        <v>33.5</v>
      </c>
      <c r="BC313" s="35">
        <v>40</v>
      </c>
      <c r="BD313" s="35">
        <v>32.299999999999997</v>
      </c>
      <c r="BE313" s="35">
        <v>40</v>
      </c>
      <c r="BF313" s="35">
        <v>21.4</v>
      </c>
      <c r="BG313" s="35">
        <v>20</v>
      </c>
    </row>
    <row r="314" spans="1:59" x14ac:dyDescent="0.35">
      <c r="A314" s="36">
        <v>46059.67083333333</v>
      </c>
      <c r="B314" s="35">
        <v>3.7</v>
      </c>
      <c r="C314" s="35">
        <v>2</v>
      </c>
      <c r="D314" s="35">
        <v>4.0999999999999996</v>
      </c>
      <c r="E314" s="35">
        <v>2.2000000000000002</v>
      </c>
      <c r="F314" s="35">
        <v>2.1</v>
      </c>
      <c r="G314" s="35">
        <v>2</v>
      </c>
      <c r="H314" s="35">
        <v>2.5</v>
      </c>
      <c r="I314" s="35">
        <v>2</v>
      </c>
      <c r="J314" s="35">
        <v>3.6</v>
      </c>
      <c r="K314" s="35">
        <v>2</v>
      </c>
      <c r="L314" s="35">
        <v>4</v>
      </c>
      <c r="M314" s="35">
        <v>2</v>
      </c>
      <c r="N314" s="35">
        <v>3.6</v>
      </c>
      <c r="O314" s="35">
        <v>3</v>
      </c>
      <c r="P314" s="35">
        <v>3.6</v>
      </c>
      <c r="Q314" s="35">
        <v>2</v>
      </c>
      <c r="R314" s="35">
        <v>1.6</v>
      </c>
      <c r="S314" s="35">
        <v>2</v>
      </c>
      <c r="T314" s="35">
        <v>1.1000000000000001</v>
      </c>
      <c r="U314" s="35">
        <v>2</v>
      </c>
      <c r="V314" s="35">
        <v>8.6999999999999993</v>
      </c>
      <c r="W314" s="35">
        <v>9</v>
      </c>
      <c r="X314" s="35">
        <v>9.4</v>
      </c>
      <c r="Y314" s="35">
        <v>9</v>
      </c>
      <c r="Z314" s="35">
        <v>10.1</v>
      </c>
      <c r="AA314" s="35">
        <v>9</v>
      </c>
      <c r="AB314" s="35">
        <v>9.3000000000000007</v>
      </c>
      <c r="AC314" s="35">
        <v>9</v>
      </c>
      <c r="AD314" s="35">
        <v>20.3</v>
      </c>
      <c r="AE314" s="35">
        <v>19</v>
      </c>
      <c r="AF314" s="35">
        <v>19.399999999999999</v>
      </c>
      <c r="AG314" s="35">
        <v>19</v>
      </c>
      <c r="AH314" s="35">
        <v>20.7</v>
      </c>
      <c r="AI314" s="35">
        <v>19</v>
      </c>
      <c r="AJ314" s="35">
        <v>18.600000000000001</v>
      </c>
      <c r="AK314" s="35">
        <v>19</v>
      </c>
      <c r="AL314" s="35">
        <v>19.100000000000001</v>
      </c>
      <c r="AM314" s="35">
        <v>19</v>
      </c>
      <c r="AN314" s="35">
        <v>19.100000000000001</v>
      </c>
      <c r="AO314" s="35">
        <v>19</v>
      </c>
      <c r="AP314" s="35">
        <v>18.2</v>
      </c>
      <c r="AQ314" s="35">
        <v>19</v>
      </c>
      <c r="AR314" s="35">
        <v>20.7</v>
      </c>
      <c r="AS314" s="35">
        <v>19</v>
      </c>
      <c r="AT314" s="35">
        <v>18.8</v>
      </c>
      <c r="AU314" s="35">
        <v>19</v>
      </c>
      <c r="AV314" s="35">
        <v>19.7</v>
      </c>
      <c r="AW314" s="35">
        <v>19</v>
      </c>
      <c r="AX314" s="35">
        <v>21.2</v>
      </c>
      <c r="AY314" s="35">
        <v>20</v>
      </c>
      <c r="AZ314" s="35">
        <v>20.9</v>
      </c>
      <c r="BA314" s="35">
        <v>20</v>
      </c>
      <c r="BB314" s="35">
        <v>33.5</v>
      </c>
      <c r="BC314" s="35">
        <v>40</v>
      </c>
      <c r="BD314" s="35">
        <v>32.299999999999997</v>
      </c>
      <c r="BE314" s="35">
        <v>40</v>
      </c>
      <c r="BF314" s="35">
        <v>21.4</v>
      </c>
      <c r="BG314" s="35">
        <v>20</v>
      </c>
    </row>
    <row r="315" spans="1:59" x14ac:dyDescent="0.35">
      <c r="A315" s="36">
        <v>46059.671527777777</v>
      </c>
      <c r="B315" s="35">
        <v>3.7</v>
      </c>
      <c r="C315" s="35">
        <v>2</v>
      </c>
      <c r="D315" s="35">
        <v>4</v>
      </c>
      <c r="E315" s="35">
        <v>2.2000000000000002</v>
      </c>
      <c r="F315" s="35">
        <v>2.6</v>
      </c>
      <c r="G315" s="35">
        <v>2</v>
      </c>
      <c r="H315" s="35">
        <v>2.9</v>
      </c>
      <c r="I315" s="35">
        <v>2</v>
      </c>
      <c r="J315" s="35">
        <v>3.5</v>
      </c>
      <c r="K315" s="35">
        <v>2</v>
      </c>
      <c r="L315" s="35">
        <v>3</v>
      </c>
      <c r="M315" s="35">
        <v>2</v>
      </c>
      <c r="N315" s="35">
        <v>3.8</v>
      </c>
      <c r="O315" s="35">
        <v>3</v>
      </c>
      <c r="P315" s="35">
        <v>3.7</v>
      </c>
      <c r="Q315" s="35">
        <v>2</v>
      </c>
      <c r="R315" s="35">
        <v>1.8</v>
      </c>
      <c r="S315" s="35">
        <v>2</v>
      </c>
      <c r="T315" s="35">
        <v>1.3</v>
      </c>
      <c r="U315" s="35">
        <v>2</v>
      </c>
      <c r="V315" s="35">
        <v>7.8</v>
      </c>
      <c r="W315" s="35">
        <v>9</v>
      </c>
      <c r="X315" s="35">
        <v>8.5</v>
      </c>
      <c r="Y315" s="35">
        <v>9</v>
      </c>
      <c r="Z315" s="35">
        <v>10.4</v>
      </c>
      <c r="AA315" s="35">
        <v>9</v>
      </c>
      <c r="AB315" s="35">
        <v>9</v>
      </c>
      <c r="AC315" s="35">
        <v>9</v>
      </c>
      <c r="AD315" s="35">
        <v>20.3</v>
      </c>
      <c r="AE315" s="35">
        <v>19</v>
      </c>
      <c r="AF315" s="35">
        <v>19.5</v>
      </c>
      <c r="AG315" s="35">
        <v>19</v>
      </c>
      <c r="AH315" s="35">
        <v>20.8</v>
      </c>
      <c r="AI315" s="35">
        <v>19</v>
      </c>
      <c r="AJ315" s="35">
        <v>18.899999999999999</v>
      </c>
      <c r="AK315" s="35">
        <v>19</v>
      </c>
      <c r="AL315" s="35">
        <v>19</v>
      </c>
      <c r="AM315" s="35">
        <v>19</v>
      </c>
      <c r="AN315" s="35">
        <v>19.3</v>
      </c>
      <c r="AO315" s="35">
        <v>19</v>
      </c>
      <c r="AP315" s="35">
        <v>18.3</v>
      </c>
      <c r="AQ315" s="35">
        <v>19</v>
      </c>
      <c r="AR315" s="35">
        <v>20.7</v>
      </c>
      <c r="AS315" s="35">
        <v>19</v>
      </c>
      <c r="AT315" s="35">
        <v>18.8</v>
      </c>
      <c r="AU315" s="35">
        <v>19</v>
      </c>
      <c r="AV315" s="35">
        <v>19.8</v>
      </c>
      <c r="AW315" s="35">
        <v>19</v>
      </c>
      <c r="AX315" s="35">
        <v>21.1</v>
      </c>
      <c r="AY315" s="35">
        <v>20</v>
      </c>
      <c r="AZ315" s="35">
        <v>20.9</v>
      </c>
      <c r="BA315" s="35">
        <v>20</v>
      </c>
      <c r="BB315" s="35">
        <v>33.5</v>
      </c>
      <c r="BC315" s="35">
        <v>40</v>
      </c>
      <c r="BD315" s="35">
        <v>32.299999999999997</v>
      </c>
      <c r="BE315" s="35">
        <v>40</v>
      </c>
      <c r="BF315" s="35">
        <v>21.5</v>
      </c>
      <c r="BG315" s="35">
        <v>20</v>
      </c>
    </row>
    <row r="316" spans="1:59" x14ac:dyDescent="0.35">
      <c r="A316" s="36">
        <v>46059.672222222223</v>
      </c>
      <c r="B316" s="35">
        <v>3.7</v>
      </c>
      <c r="C316" s="35">
        <v>2</v>
      </c>
      <c r="D316" s="35">
        <v>4</v>
      </c>
      <c r="E316" s="35">
        <v>2.2000000000000002</v>
      </c>
      <c r="F316" s="35">
        <v>3</v>
      </c>
      <c r="G316" s="35">
        <v>2</v>
      </c>
      <c r="H316" s="35">
        <v>3.2</v>
      </c>
      <c r="I316" s="35">
        <v>2</v>
      </c>
      <c r="J316" s="35">
        <v>2.9</v>
      </c>
      <c r="K316" s="35">
        <v>2</v>
      </c>
      <c r="L316" s="35">
        <v>2.4</v>
      </c>
      <c r="M316" s="35">
        <v>2</v>
      </c>
      <c r="N316" s="35">
        <v>3.9</v>
      </c>
      <c r="O316" s="35">
        <v>3</v>
      </c>
      <c r="P316" s="35">
        <v>3.9</v>
      </c>
      <c r="Q316" s="35">
        <v>2</v>
      </c>
      <c r="R316" s="35">
        <v>2</v>
      </c>
      <c r="S316" s="35">
        <v>2</v>
      </c>
      <c r="T316" s="35">
        <v>1.6</v>
      </c>
      <c r="U316" s="35">
        <v>2</v>
      </c>
      <c r="V316" s="35">
        <v>8.4</v>
      </c>
      <c r="W316" s="35">
        <v>9</v>
      </c>
      <c r="X316" s="35">
        <v>8.1999999999999993</v>
      </c>
      <c r="Y316" s="35">
        <v>9</v>
      </c>
      <c r="Z316" s="35">
        <v>10.6</v>
      </c>
      <c r="AA316" s="35">
        <v>9</v>
      </c>
      <c r="AB316" s="35">
        <v>8.9</v>
      </c>
      <c r="AC316" s="35">
        <v>9</v>
      </c>
      <c r="AD316" s="35">
        <v>20.399999999999999</v>
      </c>
      <c r="AE316" s="35">
        <v>19</v>
      </c>
      <c r="AF316" s="35">
        <v>19.5</v>
      </c>
      <c r="AG316" s="35">
        <v>19</v>
      </c>
      <c r="AH316" s="35">
        <v>20.8</v>
      </c>
      <c r="AI316" s="35">
        <v>19</v>
      </c>
      <c r="AJ316" s="35">
        <v>19.100000000000001</v>
      </c>
      <c r="AK316" s="35">
        <v>19</v>
      </c>
      <c r="AL316" s="35">
        <v>19</v>
      </c>
      <c r="AM316" s="35">
        <v>19</v>
      </c>
      <c r="AN316" s="35">
        <v>19.399999999999999</v>
      </c>
      <c r="AO316" s="35">
        <v>19</v>
      </c>
      <c r="AP316" s="35">
        <v>18.399999999999999</v>
      </c>
      <c r="AQ316" s="35">
        <v>19</v>
      </c>
      <c r="AR316" s="35">
        <v>20.7</v>
      </c>
      <c r="AS316" s="35">
        <v>19</v>
      </c>
      <c r="AT316" s="35">
        <v>19</v>
      </c>
      <c r="AU316" s="35">
        <v>19</v>
      </c>
      <c r="AV316" s="35">
        <v>19.899999999999999</v>
      </c>
      <c r="AW316" s="35">
        <v>19</v>
      </c>
      <c r="AX316" s="35">
        <v>21.1</v>
      </c>
      <c r="AY316" s="35">
        <v>20</v>
      </c>
      <c r="AZ316" s="35">
        <v>20.9</v>
      </c>
      <c r="BA316" s="35">
        <v>20</v>
      </c>
      <c r="BB316" s="35">
        <v>33.5</v>
      </c>
      <c r="BC316" s="35">
        <v>40</v>
      </c>
      <c r="BD316" s="35">
        <v>32.299999999999997</v>
      </c>
      <c r="BE316" s="35">
        <v>40</v>
      </c>
      <c r="BF316" s="35">
        <v>21.5</v>
      </c>
      <c r="BG316" s="35">
        <v>20</v>
      </c>
    </row>
    <row r="317" spans="1:59" x14ac:dyDescent="0.35">
      <c r="A317" s="36">
        <v>46059.67291666667</v>
      </c>
      <c r="B317" s="35">
        <v>3.8</v>
      </c>
      <c r="C317" s="35">
        <v>2</v>
      </c>
      <c r="D317" s="35">
        <v>4.2</v>
      </c>
      <c r="E317" s="35">
        <v>2.2000000000000002</v>
      </c>
      <c r="F317" s="35">
        <v>3.3</v>
      </c>
      <c r="G317" s="35">
        <v>2</v>
      </c>
      <c r="H317" s="35">
        <v>3.4</v>
      </c>
      <c r="I317" s="35">
        <v>2</v>
      </c>
      <c r="J317" s="35">
        <v>2.5</v>
      </c>
      <c r="K317" s="35">
        <v>2</v>
      </c>
      <c r="L317" s="35">
        <v>1.9</v>
      </c>
      <c r="M317" s="35">
        <v>2</v>
      </c>
      <c r="N317" s="35">
        <v>3.8</v>
      </c>
      <c r="O317" s="35">
        <v>3</v>
      </c>
      <c r="P317" s="35">
        <v>3.9</v>
      </c>
      <c r="Q317" s="35">
        <v>2</v>
      </c>
      <c r="R317" s="35">
        <v>2.2999999999999998</v>
      </c>
      <c r="S317" s="35">
        <v>2</v>
      </c>
      <c r="T317" s="35">
        <v>2</v>
      </c>
      <c r="U317" s="35">
        <v>2</v>
      </c>
      <c r="V317" s="35">
        <v>9.1999999999999993</v>
      </c>
      <c r="W317" s="35">
        <v>9</v>
      </c>
      <c r="X317" s="35">
        <v>8.1999999999999993</v>
      </c>
      <c r="Y317" s="35">
        <v>9</v>
      </c>
      <c r="Z317" s="35">
        <v>10.8</v>
      </c>
      <c r="AA317" s="35">
        <v>9</v>
      </c>
      <c r="AB317" s="35">
        <v>9.4</v>
      </c>
      <c r="AC317" s="35">
        <v>9</v>
      </c>
      <c r="AD317" s="35">
        <v>20.399999999999999</v>
      </c>
      <c r="AE317" s="35">
        <v>19</v>
      </c>
      <c r="AF317" s="35">
        <v>19.600000000000001</v>
      </c>
      <c r="AG317" s="35">
        <v>19</v>
      </c>
      <c r="AH317" s="35">
        <v>20.9</v>
      </c>
      <c r="AI317" s="35">
        <v>19</v>
      </c>
      <c r="AJ317" s="35">
        <v>19.2</v>
      </c>
      <c r="AK317" s="35">
        <v>19</v>
      </c>
      <c r="AL317" s="35">
        <v>19.3</v>
      </c>
      <c r="AM317" s="35">
        <v>19</v>
      </c>
      <c r="AN317" s="35">
        <v>19.600000000000001</v>
      </c>
      <c r="AO317" s="35">
        <v>19</v>
      </c>
      <c r="AP317" s="35">
        <v>18.600000000000001</v>
      </c>
      <c r="AQ317" s="35">
        <v>19</v>
      </c>
      <c r="AR317" s="35">
        <v>20.7</v>
      </c>
      <c r="AS317" s="35">
        <v>19</v>
      </c>
      <c r="AT317" s="35">
        <v>19.100000000000001</v>
      </c>
      <c r="AU317" s="35">
        <v>19</v>
      </c>
      <c r="AV317" s="35">
        <v>20</v>
      </c>
      <c r="AW317" s="35">
        <v>19</v>
      </c>
      <c r="AX317" s="35">
        <v>21.1</v>
      </c>
      <c r="AY317" s="35">
        <v>20</v>
      </c>
      <c r="AZ317" s="35">
        <v>20.9</v>
      </c>
      <c r="BA317" s="35">
        <v>20</v>
      </c>
      <c r="BB317" s="35">
        <v>33.5</v>
      </c>
      <c r="BC317" s="35">
        <v>40</v>
      </c>
      <c r="BD317" s="35">
        <v>32.299999999999997</v>
      </c>
      <c r="BE317" s="35">
        <v>40</v>
      </c>
      <c r="BF317" s="35">
        <v>21.5</v>
      </c>
      <c r="BG317" s="35">
        <v>20</v>
      </c>
    </row>
    <row r="318" spans="1:59" x14ac:dyDescent="0.35">
      <c r="A318" s="36">
        <v>46059.673611111109</v>
      </c>
      <c r="B318" s="35">
        <v>4.0999999999999996</v>
      </c>
      <c r="C318" s="35">
        <v>2</v>
      </c>
      <c r="D318" s="35">
        <v>4.4000000000000004</v>
      </c>
      <c r="E318" s="35">
        <v>2.2000000000000002</v>
      </c>
      <c r="F318" s="35">
        <v>3.7</v>
      </c>
      <c r="G318" s="35">
        <v>2</v>
      </c>
      <c r="H318" s="35">
        <v>3.4</v>
      </c>
      <c r="I318" s="35">
        <v>2</v>
      </c>
      <c r="J318" s="35">
        <v>2.4</v>
      </c>
      <c r="K318" s="35">
        <v>2</v>
      </c>
      <c r="L318" s="35">
        <v>1.9</v>
      </c>
      <c r="M318" s="35">
        <v>2</v>
      </c>
      <c r="N318" s="35">
        <v>1.4</v>
      </c>
      <c r="O318" s="35">
        <v>3</v>
      </c>
      <c r="P318" s="35">
        <v>2.2999999999999998</v>
      </c>
      <c r="Q318" s="35">
        <v>2</v>
      </c>
      <c r="R318" s="35">
        <v>2.5</v>
      </c>
      <c r="S318" s="35">
        <v>2</v>
      </c>
      <c r="T318" s="35">
        <v>2.2000000000000002</v>
      </c>
      <c r="U318" s="35">
        <v>2</v>
      </c>
      <c r="V318" s="35">
        <v>9.8000000000000007</v>
      </c>
      <c r="W318" s="35">
        <v>9</v>
      </c>
      <c r="X318" s="35">
        <v>8.4</v>
      </c>
      <c r="Y318" s="35">
        <v>9</v>
      </c>
      <c r="Z318" s="35">
        <v>11</v>
      </c>
      <c r="AA318" s="35">
        <v>9</v>
      </c>
      <c r="AB318" s="35">
        <v>10</v>
      </c>
      <c r="AC318" s="35">
        <v>9</v>
      </c>
      <c r="AD318" s="35">
        <v>20.399999999999999</v>
      </c>
      <c r="AE318" s="35">
        <v>19</v>
      </c>
      <c r="AF318" s="35">
        <v>19.7</v>
      </c>
      <c r="AG318" s="35">
        <v>19</v>
      </c>
      <c r="AH318" s="35">
        <v>20.9</v>
      </c>
      <c r="AI318" s="35">
        <v>19</v>
      </c>
      <c r="AJ318" s="35">
        <v>19.399999999999999</v>
      </c>
      <c r="AK318" s="35">
        <v>19</v>
      </c>
      <c r="AL318" s="35">
        <v>19.7</v>
      </c>
      <c r="AM318" s="35">
        <v>19</v>
      </c>
      <c r="AN318" s="35">
        <v>19.7</v>
      </c>
      <c r="AO318" s="35">
        <v>19</v>
      </c>
      <c r="AP318" s="35">
        <v>18.7</v>
      </c>
      <c r="AQ318" s="35">
        <v>19</v>
      </c>
      <c r="AR318" s="35">
        <v>20.7</v>
      </c>
      <c r="AS318" s="35">
        <v>19</v>
      </c>
      <c r="AT318" s="35">
        <v>19.3</v>
      </c>
      <c r="AU318" s="35">
        <v>19</v>
      </c>
      <c r="AV318" s="35">
        <v>20.100000000000001</v>
      </c>
      <c r="AW318" s="35">
        <v>19</v>
      </c>
      <c r="AX318" s="35">
        <v>21.1</v>
      </c>
      <c r="AY318" s="35">
        <v>20</v>
      </c>
      <c r="AZ318" s="35">
        <v>21</v>
      </c>
      <c r="BA318" s="35">
        <v>20</v>
      </c>
      <c r="BB318" s="35">
        <v>33.5</v>
      </c>
      <c r="BC318" s="35">
        <v>40</v>
      </c>
      <c r="BD318" s="35">
        <v>32.299999999999997</v>
      </c>
      <c r="BE318" s="35">
        <v>40</v>
      </c>
      <c r="BF318" s="35">
        <v>21.6</v>
      </c>
      <c r="BG318" s="35">
        <v>20</v>
      </c>
    </row>
    <row r="319" spans="1:59" x14ac:dyDescent="0.35">
      <c r="A319" s="36">
        <v>46059.674305555556</v>
      </c>
      <c r="B319" s="35">
        <v>3.4</v>
      </c>
      <c r="C319" s="35">
        <v>2</v>
      </c>
      <c r="D319" s="35">
        <v>3.7</v>
      </c>
      <c r="E319" s="35">
        <v>2.2000000000000002</v>
      </c>
      <c r="F319" s="35">
        <v>3.9</v>
      </c>
      <c r="G319" s="35">
        <v>2</v>
      </c>
      <c r="H319" s="35">
        <v>3.4</v>
      </c>
      <c r="I319" s="35">
        <v>2</v>
      </c>
      <c r="J319" s="35">
        <v>2.7</v>
      </c>
      <c r="K319" s="35">
        <v>2</v>
      </c>
      <c r="L319" s="35">
        <v>2.2000000000000002</v>
      </c>
      <c r="M319" s="35">
        <v>2</v>
      </c>
      <c r="N319" s="35">
        <v>1</v>
      </c>
      <c r="O319" s="35">
        <v>3</v>
      </c>
      <c r="P319" s="35">
        <v>1.8</v>
      </c>
      <c r="Q319" s="35">
        <v>2</v>
      </c>
      <c r="R319" s="35">
        <v>2.8</v>
      </c>
      <c r="S319" s="35">
        <v>2</v>
      </c>
      <c r="T319" s="35">
        <v>2.5</v>
      </c>
      <c r="U319" s="35">
        <v>2</v>
      </c>
      <c r="V319" s="35">
        <v>10.3</v>
      </c>
      <c r="W319" s="35">
        <v>9</v>
      </c>
      <c r="X319" s="35">
        <v>8.6999999999999993</v>
      </c>
      <c r="Y319" s="35">
        <v>9</v>
      </c>
      <c r="Z319" s="35">
        <v>10.9</v>
      </c>
      <c r="AA319" s="35">
        <v>9</v>
      </c>
      <c r="AB319" s="35">
        <v>10.5</v>
      </c>
      <c r="AC319" s="35">
        <v>9</v>
      </c>
      <c r="AD319" s="35">
        <v>20.5</v>
      </c>
      <c r="AE319" s="35">
        <v>19</v>
      </c>
      <c r="AF319" s="35">
        <v>19.8</v>
      </c>
      <c r="AG319" s="35">
        <v>19</v>
      </c>
      <c r="AH319" s="35">
        <v>20.9</v>
      </c>
      <c r="AI319" s="35">
        <v>19</v>
      </c>
      <c r="AJ319" s="35">
        <v>19.5</v>
      </c>
      <c r="AK319" s="35">
        <v>19</v>
      </c>
      <c r="AL319" s="35">
        <v>20</v>
      </c>
      <c r="AM319" s="35">
        <v>19</v>
      </c>
      <c r="AN319" s="35">
        <v>19.8</v>
      </c>
      <c r="AO319" s="35">
        <v>19</v>
      </c>
      <c r="AP319" s="35">
        <v>18.8</v>
      </c>
      <c r="AQ319" s="35">
        <v>19</v>
      </c>
      <c r="AR319" s="35">
        <v>20.7</v>
      </c>
      <c r="AS319" s="35">
        <v>19</v>
      </c>
      <c r="AT319" s="35">
        <v>19.399999999999999</v>
      </c>
      <c r="AU319" s="35">
        <v>19</v>
      </c>
      <c r="AV319" s="35">
        <v>20.2</v>
      </c>
      <c r="AW319" s="35">
        <v>19</v>
      </c>
      <c r="AX319" s="35">
        <v>21.2</v>
      </c>
      <c r="AY319" s="35">
        <v>20</v>
      </c>
      <c r="AZ319" s="35">
        <v>21.1</v>
      </c>
      <c r="BA319" s="35">
        <v>20</v>
      </c>
      <c r="BB319" s="35">
        <v>33.5</v>
      </c>
      <c r="BC319" s="35">
        <v>40</v>
      </c>
      <c r="BD319" s="35">
        <v>32.299999999999997</v>
      </c>
      <c r="BE319" s="35">
        <v>40</v>
      </c>
      <c r="BF319" s="35">
        <v>21.6</v>
      </c>
      <c r="BG319" s="35">
        <v>20</v>
      </c>
    </row>
    <row r="320" spans="1:59" x14ac:dyDescent="0.35">
      <c r="A320" s="36">
        <v>46059.675000000003</v>
      </c>
      <c r="B320" s="35">
        <v>2.7</v>
      </c>
      <c r="C320" s="35">
        <v>2</v>
      </c>
      <c r="D320" s="35">
        <v>3</v>
      </c>
      <c r="E320" s="35">
        <v>2.2000000000000002</v>
      </c>
      <c r="F320" s="35">
        <v>3.2</v>
      </c>
      <c r="G320" s="35">
        <v>2</v>
      </c>
      <c r="H320" s="35">
        <v>3.4</v>
      </c>
      <c r="I320" s="35">
        <v>2</v>
      </c>
      <c r="J320" s="35">
        <v>2.9</v>
      </c>
      <c r="K320" s="35">
        <v>2</v>
      </c>
      <c r="L320" s="35">
        <v>2.6</v>
      </c>
      <c r="M320" s="35">
        <v>2</v>
      </c>
      <c r="N320" s="35">
        <v>1.2</v>
      </c>
      <c r="O320" s="35">
        <v>3</v>
      </c>
      <c r="P320" s="35">
        <v>1.9</v>
      </c>
      <c r="Q320" s="35">
        <v>2</v>
      </c>
      <c r="R320" s="35">
        <v>3</v>
      </c>
      <c r="S320" s="35">
        <v>2</v>
      </c>
      <c r="T320" s="35">
        <v>2.7</v>
      </c>
      <c r="U320" s="35">
        <v>2</v>
      </c>
      <c r="V320" s="35">
        <v>10.7</v>
      </c>
      <c r="W320" s="35">
        <v>9</v>
      </c>
      <c r="X320" s="35">
        <v>8.9</v>
      </c>
      <c r="Y320" s="35">
        <v>9</v>
      </c>
      <c r="Z320" s="35">
        <v>9.5</v>
      </c>
      <c r="AA320" s="35">
        <v>9</v>
      </c>
      <c r="AB320" s="35">
        <v>10.9</v>
      </c>
      <c r="AC320" s="35">
        <v>9</v>
      </c>
      <c r="AD320" s="35">
        <v>20.5</v>
      </c>
      <c r="AE320" s="35">
        <v>19</v>
      </c>
      <c r="AF320" s="35">
        <v>19.8</v>
      </c>
      <c r="AG320" s="35">
        <v>19</v>
      </c>
      <c r="AH320" s="35">
        <v>21</v>
      </c>
      <c r="AI320" s="35">
        <v>19</v>
      </c>
      <c r="AJ320" s="35">
        <v>19.600000000000001</v>
      </c>
      <c r="AK320" s="35">
        <v>19</v>
      </c>
      <c r="AL320" s="35">
        <v>20.3</v>
      </c>
      <c r="AM320" s="35">
        <v>19</v>
      </c>
      <c r="AN320" s="35">
        <v>19.899999999999999</v>
      </c>
      <c r="AO320" s="35">
        <v>19</v>
      </c>
      <c r="AP320" s="35">
        <v>19</v>
      </c>
      <c r="AQ320" s="35">
        <v>19</v>
      </c>
      <c r="AR320" s="35">
        <v>20.8</v>
      </c>
      <c r="AS320" s="35">
        <v>19</v>
      </c>
      <c r="AT320" s="35">
        <v>19.600000000000001</v>
      </c>
      <c r="AU320" s="35">
        <v>19</v>
      </c>
      <c r="AV320" s="35">
        <v>20.2</v>
      </c>
      <c r="AW320" s="35">
        <v>19</v>
      </c>
      <c r="AX320" s="35">
        <v>21.2</v>
      </c>
      <c r="AY320" s="35">
        <v>20</v>
      </c>
      <c r="AZ320" s="35">
        <v>21.1</v>
      </c>
      <c r="BA320" s="35">
        <v>20</v>
      </c>
      <c r="BB320" s="35">
        <v>33.5</v>
      </c>
      <c r="BC320" s="35">
        <v>40</v>
      </c>
      <c r="BD320" s="35">
        <v>32.299999999999997</v>
      </c>
      <c r="BE320" s="35">
        <v>40</v>
      </c>
      <c r="BF320" s="35">
        <v>21.6</v>
      </c>
      <c r="BG320" s="35">
        <v>20</v>
      </c>
    </row>
    <row r="321" spans="1:59" x14ac:dyDescent="0.35">
      <c r="A321" s="36">
        <v>46059.675694444442</v>
      </c>
      <c r="B321" s="35">
        <v>1.6</v>
      </c>
      <c r="C321" s="35">
        <v>2</v>
      </c>
      <c r="D321" s="35">
        <v>2</v>
      </c>
      <c r="E321" s="35">
        <v>2.2000000000000002</v>
      </c>
      <c r="F321" s="35">
        <v>1.9</v>
      </c>
      <c r="G321" s="35">
        <v>2</v>
      </c>
      <c r="H321" s="35">
        <v>3.4</v>
      </c>
      <c r="I321" s="35">
        <v>2</v>
      </c>
      <c r="J321" s="35">
        <v>3.2</v>
      </c>
      <c r="K321" s="35">
        <v>2</v>
      </c>
      <c r="L321" s="35">
        <v>3</v>
      </c>
      <c r="M321" s="35">
        <v>2</v>
      </c>
      <c r="N321" s="35">
        <v>1.6</v>
      </c>
      <c r="O321" s="35">
        <v>3</v>
      </c>
      <c r="P321" s="35">
        <v>2.2000000000000002</v>
      </c>
      <c r="Q321" s="35">
        <v>2</v>
      </c>
      <c r="R321" s="35">
        <v>3.1</v>
      </c>
      <c r="S321" s="35">
        <v>2</v>
      </c>
      <c r="T321" s="35">
        <v>2.9</v>
      </c>
      <c r="U321" s="35">
        <v>2</v>
      </c>
      <c r="V321" s="35">
        <v>11</v>
      </c>
      <c r="W321" s="35">
        <v>9</v>
      </c>
      <c r="X321" s="35">
        <v>9.1999999999999993</v>
      </c>
      <c r="Y321" s="35">
        <v>9</v>
      </c>
      <c r="Z321" s="35">
        <v>8.8000000000000007</v>
      </c>
      <c r="AA321" s="35">
        <v>9</v>
      </c>
      <c r="AB321" s="35">
        <v>10.7</v>
      </c>
      <c r="AC321" s="35">
        <v>9</v>
      </c>
      <c r="AD321" s="35">
        <v>20.5</v>
      </c>
      <c r="AE321" s="35">
        <v>19</v>
      </c>
      <c r="AF321" s="35">
        <v>19.899999999999999</v>
      </c>
      <c r="AG321" s="35">
        <v>19</v>
      </c>
      <c r="AH321" s="35">
        <v>20.399999999999999</v>
      </c>
      <c r="AI321" s="35">
        <v>19</v>
      </c>
      <c r="AJ321" s="35">
        <v>19.7</v>
      </c>
      <c r="AK321" s="35">
        <v>19</v>
      </c>
      <c r="AL321" s="35">
        <v>20.5</v>
      </c>
      <c r="AM321" s="35">
        <v>19</v>
      </c>
      <c r="AN321" s="35">
        <v>20</v>
      </c>
      <c r="AO321" s="35">
        <v>19</v>
      </c>
      <c r="AP321" s="35">
        <v>19.100000000000001</v>
      </c>
      <c r="AQ321" s="35">
        <v>19</v>
      </c>
      <c r="AR321" s="35">
        <v>20.8</v>
      </c>
      <c r="AS321" s="35">
        <v>19</v>
      </c>
      <c r="AT321" s="35">
        <v>19.7</v>
      </c>
      <c r="AU321" s="35">
        <v>19</v>
      </c>
      <c r="AV321" s="35">
        <v>20.3</v>
      </c>
      <c r="AW321" s="35">
        <v>19</v>
      </c>
      <c r="AX321" s="35">
        <v>21.2</v>
      </c>
      <c r="AY321" s="35">
        <v>20</v>
      </c>
      <c r="AZ321" s="35">
        <v>21.2</v>
      </c>
      <c r="BA321" s="35">
        <v>20</v>
      </c>
      <c r="BB321" s="35">
        <v>33.5</v>
      </c>
      <c r="BC321" s="35">
        <v>40</v>
      </c>
      <c r="BD321" s="35">
        <v>32.299999999999997</v>
      </c>
      <c r="BE321" s="35">
        <v>40</v>
      </c>
      <c r="BF321" s="35">
        <v>21.6</v>
      </c>
      <c r="BG321" s="35">
        <v>20</v>
      </c>
    </row>
    <row r="322" spans="1:59" x14ac:dyDescent="0.35">
      <c r="A322" s="36">
        <v>46059.676388888889</v>
      </c>
      <c r="B322" s="35">
        <v>1.5</v>
      </c>
      <c r="C322" s="35">
        <v>2</v>
      </c>
      <c r="D322" s="35">
        <v>2.1</v>
      </c>
      <c r="E322" s="35">
        <v>2.2000000000000002</v>
      </c>
      <c r="F322" s="35">
        <v>2.2000000000000002</v>
      </c>
      <c r="G322" s="35">
        <v>2</v>
      </c>
      <c r="H322" s="35">
        <v>3.4</v>
      </c>
      <c r="I322" s="35">
        <v>2</v>
      </c>
      <c r="J322" s="35">
        <v>3.4</v>
      </c>
      <c r="K322" s="35">
        <v>2</v>
      </c>
      <c r="L322" s="35">
        <v>3.3</v>
      </c>
      <c r="M322" s="35">
        <v>2</v>
      </c>
      <c r="N322" s="35">
        <v>2</v>
      </c>
      <c r="O322" s="35">
        <v>3</v>
      </c>
      <c r="P322" s="35">
        <v>2.5</v>
      </c>
      <c r="Q322" s="35">
        <v>2</v>
      </c>
      <c r="R322" s="35">
        <v>3.3</v>
      </c>
      <c r="S322" s="35">
        <v>2</v>
      </c>
      <c r="T322" s="35">
        <v>3</v>
      </c>
      <c r="U322" s="35">
        <v>2</v>
      </c>
      <c r="V322" s="35">
        <v>8.9</v>
      </c>
      <c r="W322" s="35">
        <v>9</v>
      </c>
      <c r="X322" s="35">
        <v>9.4</v>
      </c>
      <c r="Y322" s="35">
        <v>9</v>
      </c>
      <c r="Z322" s="35">
        <v>8.6999999999999993</v>
      </c>
      <c r="AA322" s="35">
        <v>9</v>
      </c>
      <c r="AB322" s="35">
        <v>9.1</v>
      </c>
      <c r="AC322" s="35">
        <v>9</v>
      </c>
      <c r="AD322" s="35">
        <v>20.5</v>
      </c>
      <c r="AE322" s="35">
        <v>19</v>
      </c>
      <c r="AF322" s="35">
        <v>19.899999999999999</v>
      </c>
      <c r="AG322" s="35">
        <v>19</v>
      </c>
      <c r="AH322" s="35">
        <v>18.7</v>
      </c>
      <c r="AI322" s="35">
        <v>19</v>
      </c>
      <c r="AJ322" s="35">
        <v>19.8</v>
      </c>
      <c r="AK322" s="35">
        <v>19</v>
      </c>
      <c r="AL322" s="35">
        <v>20.7</v>
      </c>
      <c r="AM322" s="35">
        <v>19</v>
      </c>
      <c r="AN322" s="35">
        <v>20</v>
      </c>
      <c r="AO322" s="35">
        <v>19</v>
      </c>
      <c r="AP322" s="35">
        <v>19.3</v>
      </c>
      <c r="AQ322" s="35">
        <v>19</v>
      </c>
      <c r="AR322" s="35">
        <v>20.8</v>
      </c>
      <c r="AS322" s="35">
        <v>19</v>
      </c>
      <c r="AT322" s="35">
        <v>19.8</v>
      </c>
      <c r="AU322" s="35">
        <v>19</v>
      </c>
      <c r="AV322" s="35">
        <v>20.399999999999999</v>
      </c>
      <c r="AW322" s="35">
        <v>19</v>
      </c>
      <c r="AX322" s="35">
        <v>21.2</v>
      </c>
      <c r="AY322" s="35">
        <v>20</v>
      </c>
      <c r="AZ322" s="35">
        <v>21.2</v>
      </c>
      <c r="BA322" s="35">
        <v>20</v>
      </c>
      <c r="BB322" s="35">
        <v>33.5</v>
      </c>
      <c r="BC322" s="35">
        <v>40</v>
      </c>
      <c r="BD322" s="35">
        <v>32.299999999999997</v>
      </c>
      <c r="BE322" s="35">
        <v>40</v>
      </c>
      <c r="BF322" s="35">
        <v>21.7</v>
      </c>
      <c r="BG322" s="35">
        <v>20</v>
      </c>
    </row>
    <row r="323" spans="1:59" x14ac:dyDescent="0.35">
      <c r="A323" s="36">
        <v>46059.677083333336</v>
      </c>
      <c r="B323" s="35">
        <v>1.9</v>
      </c>
      <c r="C323" s="35">
        <v>2</v>
      </c>
      <c r="D323" s="35">
        <v>2.5</v>
      </c>
      <c r="E323" s="35">
        <v>2.2000000000000002</v>
      </c>
      <c r="F323" s="35">
        <v>2.7</v>
      </c>
      <c r="G323" s="35">
        <v>2</v>
      </c>
      <c r="H323" s="35">
        <v>3.4</v>
      </c>
      <c r="I323" s="35">
        <v>2</v>
      </c>
      <c r="J323" s="35">
        <v>3.6</v>
      </c>
      <c r="K323" s="35">
        <v>2</v>
      </c>
      <c r="L323" s="35">
        <v>3.6</v>
      </c>
      <c r="M323" s="35">
        <v>2</v>
      </c>
      <c r="N323" s="35">
        <v>2.4</v>
      </c>
      <c r="O323" s="35">
        <v>3</v>
      </c>
      <c r="P323" s="35">
        <v>2.8</v>
      </c>
      <c r="Q323" s="35">
        <v>2</v>
      </c>
      <c r="R323" s="35">
        <v>3.4</v>
      </c>
      <c r="S323" s="35">
        <v>2</v>
      </c>
      <c r="T323" s="35">
        <v>3.2</v>
      </c>
      <c r="U323" s="35">
        <v>2</v>
      </c>
      <c r="V323" s="35">
        <v>7.3</v>
      </c>
      <c r="W323" s="35">
        <v>9</v>
      </c>
      <c r="X323" s="35">
        <v>9.6</v>
      </c>
      <c r="Y323" s="35">
        <v>9</v>
      </c>
      <c r="Z323" s="35">
        <v>9.1</v>
      </c>
      <c r="AA323" s="35">
        <v>9</v>
      </c>
      <c r="AB323" s="35">
        <v>8.6999999999999993</v>
      </c>
      <c r="AC323" s="35">
        <v>9</v>
      </c>
      <c r="AD323" s="35">
        <v>20.6</v>
      </c>
      <c r="AE323" s="35">
        <v>19</v>
      </c>
      <c r="AF323" s="35">
        <v>20</v>
      </c>
      <c r="AG323" s="35">
        <v>19</v>
      </c>
      <c r="AH323" s="35">
        <v>18.2</v>
      </c>
      <c r="AI323" s="35">
        <v>19</v>
      </c>
      <c r="AJ323" s="35">
        <v>19.899999999999999</v>
      </c>
      <c r="AK323" s="35">
        <v>19</v>
      </c>
      <c r="AL323" s="35">
        <v>20.8</v>
      </c>
      <c r="AM323" s="35">
        <v>19</v>
      </c>
      <c r="AN323" s="35">
        <v>20.100000000000001</v>
      </c>
      <c r="AO323" s="35">
        <v>19</v>
      </c>
      <c r="AP323" s="35">
        <v>19.399999999999999</v>
      </c>
      <c r="AQ323" s="35">
        <v>19</v>
      </c>
      <c r="AR323" s="35">
        <v>20.8</v>
      </c>
      <c r="AS323" s="35">
        <v>19</v>
      </c>
      <c r="AT323" s="35">
        <v>19.899999999999999</v>
      </c>
      <c r="AU323" s="35">
        <v>19</v>
      </c>
      <c r="AV323" s="35">
        <v>20.399999999999999</v>
      </c>
      <c r="AW323" s="35">
        <v>19</v>
      </c>
      <c r="AX323" s="35">
        <v>21.2</v>
      </c>
      <c r="AY323" s="35">
        <v>20</v>
      </c>
      <c r="AZ323" s="35">
        <v>21.2</v>
      </c>
      <c r="BA323" s="35">
        <v>20</v>
      </c>
      <c r="BB323" s="35">
        <v>33.5</v>
      </c>
      <c r="BC323" s="35">
        <v>40</v>
      </c>
      <c r="BD323" s="35">
        <v>32.299999999999997</v>
      </c>
      <c r="BE323" s="35">
        <v>40</v>
      </c>
      <c r="BF323" s="35">
        <v>21.7</v>
      </c>
      <c r="BG323" s="35">
        <v>20</v>
      </c>
    </row>
    <row r="324" spans="1:59" x14ac:dyDescent="0.35">
      <c r="A324" s="36">
        <v>46059.677777777775</v>
      </c>
      <c r="B324" s="35">
        <v>2.2999999999999998</v>
      </c>
      <c r="C324" s="35">
        <v>2</v>
      </c>
      <c r="D324" s="35">
        <v>2.9</v>
      </c>
      <c r="E324" s="35">
        <v>2.2000000000000002</v>
      </c>
      <c r="F324" s="35">
        <v>3.3</v>
      </c>
      <c r="G324" s="35">
        <v>2</v>
      </c>
      <c r="H324" s="35">
        <v>3.4</v>
      </c>
      <c r="I324" s="35">
        <v>2</v>
      </c>
      <c r="J324" s="35">
        <v>3.8</v>
      </c>
      <c r="K324" s="35">
        <v>2</v>
      </c>
      <c r="L324" s="35">
        <v>3.9</v>
      </c>
      <c r="M324" s="35">
        <v>2</v>
      </c>
      <c r="N324" s="35">
        <v>2.6</v>
      </c>
      <c r="O324" s="35">
        <v>3</v>
      </c>
      <c r="P324" s="35">
        <v>3</v>
      </c>
      <c r="Q324" s="35">
        <v>2</v>
      </c>
      <c r="R324" s="35">
        <v>3.6</v>
      </c>
      <c r="S324" s="35">
        <v>2</v>
      </c>
      <c r="T324" s="35">
        <v>3.3</v>
      </c>
      <c r="U324" s="35">
        <v>2</v>
      </c>
      <c r="V324" s="35">
        <v>7.5</v>
      </c>
      <c r="W324" s="35">
        <v>9</v>
      </c>
      <c r="X324" s="35">
        <v>9.6999999999999993</v>
      </c>
      <c r="Y324" s="35">
        <v>9</v>
      </c>
      <c r="Z324" s="35">
        <v>9.5</v>
      </c>
      <c r="AA324" s="35">
        <v>9</v>
      </c>
      <c r="AB324" s="35">
        <v>9.1</v>
      </c>
      <c r="AC324" s="35">
        <v>9</v>
      </c>
      <c r="AD324" s="35">
        <v>20.6</v>
      </c>
      <c r="AE324" s="35">
        <v>19</v>
      </c>
      <c r="AF324" s="35">
        <v>20.100000000000001</v>
      </c>
      <c r="AG324" s="35">
        <v>19</v>
      </c>
      <c r="AH324" s="35">
        <v>18.2</v>
      </c>
      <c r="AI324" s="35">
        <v>19</v>
      </c>
      <c r="AJ324" s="35">
        <v>20</v>
      </c>
      <c r="AK324" s="35">
        <v>19</v>
      </c>
      <c r="AL324" s="35">
        <v>21</v>
      </c>
      <c r="AM324" s="35">
        <v>19</v>
      </c>
      <c r="AN324" s="35">
        <v>20.100000000000001</v>
      </c>
      <c r="AO324" s="35">
        <v>19</v>
      </c>
      <c r="AP324" s="35">
        <v>19.5</v>
      </c>
      <c r="AQ324" s="35">
        <v>19</v>
      </c>
      <c r="AR324" s="35">
        <v>20.8</v>
      </c>
      <c r="AS324" s="35">
        <v>19</v>
      </c>
      <c r="AT324" s="35">
        <v>20</v>
      </c>
      <c r="AU324" s="35">
        <v>19</v>
      </c>
      <c r="AV324" s="35">
        <v>20.5</v>
      </c>
      <c r="AW324" s="35">
        <v>19</v>
      </c>
      <c r="AX324" s="35">
        <v>21.2</v>
      </c>
      <c r="AY324" s="35">
        <v>20</v>
      </c>
      <c r="AZ324" s="35">
        <v>21.2</v>
      </c>
      <c r="BA324" s="35">
        <v>20</v>
      </c>
      <c r="BB324" s="35">
        <v>33.4</v>
      </c>
      <c r="BC324" s="35">
        <v>40</v>
      </c>
      <c r="BD324" s="35">
        <v>32.299999999999997</v>
      </c>
      <c r="BE324" s="35">
        <v>40</v>
      </c>
      <c r="BF324" s="35">
        <v>21.7</v>
      </c>
      <c r="BG324" s="35">
        <v>20</v>
      </c>
    </row>
    <row r="325" spans="1:59" x14ac:dyDescent="0.35">
      <c r="A325" s="36">
        <v>46059.678472222222</v>
      </c>
      <c r="B325" s="35">
        <v>2.7</v>
      </c>
      <c r="C325" s="35">
        <v>2</v>
      </c>
      <c r="D325" s="35">
        <v>3.3</v>
      </c>
      <c r="E325" s="35">
        <v>2.2000000000000002</v>
      </c>
      <c r="F325" s="35">
        <v>3.6</v>
      </c>
      <c r="G325" s="35">
        <v>2</v>
      </c>
      <c r="H325" s="35">
        <v>3.4</v>
      </c>
      <c r="I325" s="35">
        <v>2</v>
      </c>
      <c r="J325" s="35">
        <v>3.9</v>
      </c>
      <c r="K325" s="35">
        <v>2</v>
      </c>
      <c r="L325" s="35">
        <v>3.7</v>
      </c>
      <c r="M325" s="35">
        <v>2</v>
      </c>
      <c r="N325" s="35">
        <v>3</v>
      </c>
      <c r="O325" s="35">
        <v>3</v>
      </c>
      <c r="P325" s="35">
        <v>3.2</v>
      </c>
      <c r="Q325" s="35">
        <v>2</v>
      </c>
      <c r="R325" s="35">
        <v>3.7</v>
      </c>
      <c r="S325" s="35">
        <v>2</v>
      </c>
      <c r="T325" s="35">
        <v>3.5</v>
      </c>
      <c r="U325" s="35">
        <v>2</v>
      </c>
      <c r="V325" s="35">
        <v>8.4</v>
      </c>
      <c r="W325" s="35">
        <v>9</v>
      </c>
      <c r="X325" s="35">
        <v>9.9</v>
      </c>
      <c r="Y325" s="35">
        <v>9</v>
      </c>
      <c r="Z325" s="35">
        <v>9.9</v>
      </c>
      <c r="AA325" s="35">
        <v>9</v>
      </c>
      <c r="AB325" s="35">
        <v>9.6999999999999993</v>
      </c>
      <c r="AC325" s="35">
        <v>9</v>
      </c>
      <c r="AD325" s="35">
        <v>20.6</v>
      </c>
      <c r="AE325" s="35">
        <v>19</v>
      </c>
      <c r="AF325" s="35">
        <v>20.100000000000001</v>
      </c>
      <c r="AG325" s="35">
        <v>19</v>
      </c>
      <c r="AH325" s="35">
        <v>18.5</v>
      </c>
      <c r="AI325" s="35">
        <v>19</v>
      </c>
      <c r="AJ325" s="35">
        <v>20.100000000000001</v>
      </c>
      <c r="AK325" s="35">
        <v>19</v>
      </c>
      <c r="AL325" s="35">
        <v>21</v>
      </c>
      <c r="AM325" s="35">
        <v>19</v>
      </c>
      <c r="AN325" s="35">
        <v>20.100000000000001</v>
      </c>
      <c r="AO325" s="35">
        <v>19</v>
      </c>
      <c r="AP325" s="35">
        <v>19.600000000000001</v>
      </c>
      <c r="AQ325" s="35">
        <v>19</v>
      </c>
      <c r="AR325" s="35">
        <v>20.8</v>
      </c>
      <c r="AS325" s="35">
        <v>19</v>
      </c>
      <c r="AT325" s="35">
        <v>20.100000000000001</v>
      </c>
      <c r="AU325" s="35">
        <v>19</v>
      </c>
      <c r="AV325" s="35">
        <v>20.5</v>
      </c>
      <c r="AW325" s="35">
        <v>19</v>
      </c>
      <c r="AX325" s="35">
        <v>21.2</v>
      </c>
      <c r="AY325" s="35">
        <v>20</v>
      </c>
      <c r="AZ325" s="35">
        <v>21.1</v>
      </c>
      <c r="BA325" s="35">
        <v>20</v>
      </c>
      <c r="BB325" s="35">
        <v>33.4</v>
      </c>
      <c r="BC325" s="35">
        <v>40</v>
      </c>
      <c r="BD325" s="35">
        <v>32.299999999999997</v>
      </c>
      <c r="BE325" s="35">
        <v>40</v>
      </c>
      <c r="BF325" s="35">
        <v>21.7</v>
      </c>
      <c r="BG325" s="35">
        <v>20</v>
      </c>
    </row>
    <row r="326" spans="1:59" x14ac:dyDescent="0.35">
      <c r="A326" s="36">
        <v>46059.679166666669</v>
      </c>
      <c r="B326" s="35">
        <v>3</v>
      </c>
      <c r="C326" s="35">
        <v>2</v>
      </c>
      <c r="D326" s="35">
        <v>3.6</v>
      </c>
      <c r="E326" s="35">
        <v>2.2000000000000002</v>
      </c>
      <c r="F326" s="35">
        <v>4.2</v>
      </c>
      <c r="G326" s="35">
        <v>2</v>
      </c>
      <c r="H326" s="35">
        <v>3.4</v>
      </c>
      <c r="I326" s="35">
        <v>2</v>
      </c>
      <c r="J326" s="35">
        <v>2.6</v>
      </c>
      <c r="K326" s="35">
        <v>2</v>
      </c>
      <c r="L326" s="35">
        <v>2.4</v>
      </c>
      <c r="M326" s="35">
        <v>2</v>
      </c>
      <c r="N326" s="35">
        <v>3.3</v>
      </c>
      <c r="O326" s="35">
        <v>3</v>
      </c>
      <c r="P326" s="35">
        <v>3.5</v>
      </c>
      <c r="Q326" s="35">
        <v>2</v>
      </c>
      <c r="R326" s="35">
        <v>3.8</v>
      </c>
      <c r="S326" s="35">
        <v>2</v>
      </c>
      <c r="T326" s="35">
        <v>3.6</v>
      </c>
      <c r="U326" s="35">
        <v>2</v>
      </c>
      <c r="V326" s="35">
        <v>9.1</v>
      </c>
      <c r="W326" s="35">
        <v>9</v>
      </c>
      <c r="X326" s="35">
        <v>10</v>
      </c>
      <c r="Y326" s="35">
        <v>9</v>
      </c>
      <c r="Z326" s="35">
        <v>10.1</v>
      </c>
      <c r="AA326" s="35">
        <v>9</v>
      </c>
      <c r="AB326" s="35">
        <v>10.1</v>
      </c>
      <c r="AC326" s="35">
        <v>9</v>
      </c>
      <c r="AD326" s="35">
        <v>20.7</v>
      </c>
      <c r="AE326" s="35">
        <v>19</v>
      </c>
      <c r="AF326" s="35">
        <v>20.2</v>
      </c>
      <c r="AG326" s="35">
        <v>19</v>
      </c>
      <c r="AH326" s="35">
        <v>18.7</v>
      </c>
      <c r="AI326" s="35">
        <v>19</v>
      </c>
      <c r="AJ326" s="35">
        <v>20.2</v>
      </c>
      <c r="AK326" s="35">
        <v>19</v>
      </c>
      <c r="AL326" s="35">
        <v>20.8</v>
      </c>
      <c r="AM326" s="35">
        <v>19</v>
      </c>
      <c r="AN326" s="35">
        <v>20.2</v>
      </c>
      <c r="AO326" s="35">
        <v>19</v>
      </c>
      <c r="AP326" s="35">
        <v>19.7</v>
      </c>
      <c r="AQ326" s="35">
        <v>19</v>
      </c>
      <c r="AR326" s="35">
        <v>20.8</v>
      </c>
      <c r="AS326" s="35">
        <v>19</v>
      </c>
      <c r="AT326" s="35">
        <v>20.2</v>
      </c>
      <c r="AU326" s="35">
        <v>19</v>
      </c>
      <c r="AV326" s="35">
        <v>20.6</v>
      </c>
      <c r="AW326" s="35">
        <v>19</v>
      </c>
      <c r="AX326" s="35">
        <v>21.2</v>
      </c>
      <c r="AY326" s="35">
        <v>20</v>
      </c>
      <c r="AZ326" s="35">
        <v>21</v>
      </c>
      <c r="BA326" s="35">
        <v>20</v>
      </c>
      <c r="BB326" s="35">
        <v>33.4</v>
      </c>
      <c r="BC326" s="35">
        <v>40</v>
      </c>
      <c r="BD326" s="35">
        <v>32.299999999999997</v>
      </c>
      <c r="BE326" s="35">
        <v>40</v>
      </c>
      <c r="BF326" s="35">
        <v>21.7</v>
      </c>
      <c r="BG326" s="35">
        <v>20</v>
      </c>
    </row>
    <row r="327" spans="1:59" x14ac:dyDescent="0.35">
      <c r="A327" s="36">
        <v>46059.679861111108</v>
      </c>
      <c r="B327" s="35">
        <v>3.4</v>
      </c>
      <c r="C327" s="35">
        <v>2</v>
      </c>
      <c r="D327" s="35">
        <v>3.9</v>
      </c>
      <c r="E327" s="35">
        <v>2.2000000000000002</v>
      </c>
      <c r="F327" s="35">
        <v>4</v>
      </c>
      <c r="G327" s="35">
        <v>2</v>
      </c>
      <c r="H327" s="35">
        <v>3.4</v>
      </c>
      <c r="I327" s="35">
        <v>2</v>
      </c>
      <c r="J327" s="35">
        <v>1.7</v>
      </c>
      <c r="K327" s="35">
        <v>2</v>
      </c>
      <c r="L327" s="35">
        <v>1.7</v>
      </c>
      <c r="M327" s="35">
        <v>2</v>
      </c>
      <c r="N327" s="35">
        <v>3.5</v>
      </c>
      <c r="O327" s="35">
        <v>3</v>
      </c>
      <c r="P327" s="35">
        <v>3.6</v>
      </c>
      <c r="Q327" s="35">
        <v>2</v>
      </c>
      <c r="R327" s="35">
        <v>3.9</v>
      </c>
      <c r="S327" s="35">
        <v>2</v>
      </c>
      <c r="T327" s="35">
        <v>3.7</v>
      </c>
      <c r="U327" s="35">
        <v>2</v>
      </c>
      <c r="V327" s="35">
        <v>9.8000000000000007</v>
      </c>
      <c r="W327" s="35">
        <v>9</v>
      </c>
      <c r="X327" s="35">
        <v>10.1</v>
      </c>
      <c r="Y327" s="35">
        <v>9</v>
      </c>
      <c r="Z327" s="35">
        <v>10.3</v>
      </c>
      <c r="AA327" s="35">
        <v>9</v>
      </c>
      <c r="AB327" s="35">
        <v>10.4</v>
      </c>
      <c r="AC327" s="35">
        <v>9</v>
      </c>
      <c r="AD327" s="35">
        <v>20.7</v>
      </c>
      <c r="AE327" s="35">
        <v>19</v>
      </c>
      <c r="AF327" s="35">
        <v>20.2</v>
      </c>
      <c r="AG327" s="35">
        <v>19</v>
      </c>
      <c r="AH327" s="35">
        <v>19</v>
      </c>
      <c r="AI327" s="35">
        <v>19</v>
      </c>
      <c r="AJ327" s="35">
        <v>20.3</v>
      </c>
      <c r="AK327" s="35">
        <v>19</v>
      </c>
      <c r="AL327" s="35">
        <v>20.6</v>
      </c>
      <c r="AM327" s="35">
        <v>19</v>
      </c>
      <c r="AN327" s="35">
        <v>20.3</v>
      </c>
      <c r="AO327" s="35">
        <v>19</v>
      </c>
      <c r="AP327" s="35">
        <v>19.7</v>
      </c>
      <c r="AQ327" s="35">
        <v>19</v>
      </c>
      <c r="AR327" s="35">
        <v>20.8</v>
      </c>
      <c r="AS327" s="35">
        <v>19</v>
      </c>
      <c r="AT327" s="35">
        <v>20.3</v>
      </c>
      <c r="AU327" s="35">
        <v>19</v>
      </c>
      <c r="AV327" s="35">
        <v>20.6</v>
      </c>
      <c r="AW327" s="35">
        <v>19</v>
      </c>
      <c r="AX327" s="35">
        <v>21.2</v>
      </c>
      <c r="AY327" s="35">
        <v>20</v>
      </c>
      <c r="AZ327" s="35">
        <v>20.9</v>
      </c>
      <c r="BA327" s="35">
        <v>20</v>
      </c>
      <c r="BB327" s="35">
        <v>33.4</v>
      </c>
      <c r="BC327" s="35">
        <v>40</v>
      </c>
      <c r="BD327" s="35">
        <v>32.299999999999997</v>
      </c>
      <c r="BE327" s="35">
        <v>40</v>
      </c>
      <c r="BF327" s="35">
        <v>21.7</v>
      </c>
      <c r="BG327" s="35">
        <v>20</v>
      </c>
    </row>
    <row r="328" spans="1:59" x14ac:dyDescent="0.35">
      <c r="A328" s="36">
        <v>46059.680555555555</v>
      </c>
      <c r="B328" s="35">
        <v>3.7</v>
      </c>
      <c r="C328" s="35">
        <v>2</v>
      </c>
      <c r="D328" s="35">
        <v>4.2</v>
      </c>
      <c r="E328" s="35">
        <v>2.2000000000000002</v>
      </c>
      <c r="F328" s="35">
        <v>3.7</v>
      </c>
      <c r="G328" s="35">
        <v>2</v>
      </c>
      <c r="H328" s="35">
        <v>3.4</v>
      </c>
      <c r="I328" s="35">
        <v>2</v>
      </c>
      <c r="J328" s="35">
        <v>1.7</v>
      </c>
      <c r="K328" s="35">
        <v>2</v>
      </c>
      <c r="L328" s="35">
        <v>1.7</v>
      </c>
      <c r="M328" s="35">
        <v>2</v>
      </c>
      <c r="N328" s="35">
        <v>3.8</v>
      </c>
      <c r="O328" s="35">
        <v>3</v>
      </c>
      <c r="P328" s="35">
        <v>3.7</v>
      </c>
      <c r="Q328" s="35">
        <v>2</v>
      </c>
      <c r="R328" s="35">
        <v>3.6</v>
      </c>
      <c r="S328" s="35">
        <v>2</v>
      </c>
      <c r="T328" s="35">
        <v>3.1</v>
      </c>
      <c r="U328" s="35">
        <v>2</v>
      </c>
      <c r="V328" s="35">
        <v>10.3</v>
      </c>
      <c r="W328" s="35">
        <v>9</v>
      </c>
      <c r="X328" s="35">
        <v>10.199999999999999</v>
      </c>
      <c r="Y328" s="35">
        <v>9</v>
      </c>
      <c r="Z328" s="35">
        <v>10.4</v>
      </c>
      <c r="AA328" s="35">
        <v>9</v>
      </c>
      <c r="AB328" s="35">
        <v>10.6</v>
      </c>
      <c r="AC328" s="35">
        <v>9</v>
      </c>
      <c r="AD328" s="35">
        <v>20.7</v>
      </c>
      <c r="AE328" s="35">
        <v>19</v>
      </c>
      <c r="AF328" s="35">
        <v>20.3</v>
      </c>
      <c r="AG328" s="35">
        <v>19</v>
      </c>
      <c r="AH328" s="35">
        <v>19.2</v>
      </c>
      <c r="AI328" s="35">
        <v>19</v>
      </c>
      <c r="AJ328" s="35">
        <v>20.3</v>
      </c>
      <c r="AK328" s="35">
        <v>19</v>
      </c>
      <c r="AL328" s="35">
        <v>20.399999999999999</v>
      </c>
      <c r="AM328" s="35">
        <v>19</v>
      </c>
      <c r="AN328" s="35">
        <v>20.399999999999999</v>
      </c>
      <c r="AO328" s="35">
        <v>19</v>
      </c>
      <c r="AP328" s="35">
        <v>19.8</v>
      </c>
      <c r="AQ328" s="35">
        <v>19</v>
      </c>
      <c r="AR328" s="35">
        <v>20.8</v>
      </c>
      <c r="AS328" s="35">
        <v>19</v>
      </c>
      <c r="AT328" s="35">
        <v>20.399999999999999</v>
      </c>
      <c r="AU328" s="35">
        <v>19</v>
      </c>
      <c r="AV328" s="35">
        <v>20.6</v>
      </c>
      <c r="AW328" s="35">
        <v>19</v>
      </c>
      <c r="AX328" s="35">
        <v>21.2</v>
      </c>
      <c r="AY328" s="35">
        <v>20</v>
      </c>
      <c r="AZ328" s="35">
        <v>20.9</v>
      </c>
      <c r="BA328" s="35">
        <v>20</v>
      </c>
      <c r="BB328" s="35">
        <v>33.4</v>
      </c>
      <c r="BC328" s="35">
        <v>40</v>
      </c>
      <c r="BD328" s="35">
        <v>32.299999999999997</v>
      </c>
      <c r="BE328" s="35">
        <v>40</v>
      </c>
      <c r="BF328" s="35">
        <v>21.8</v>
      </c>
      <c r="BG328" s="35">
        <v>20</v>
      </c>
    </row>
    <row r="329" spans="1:59" x14ac:dyDescent="0.35">
      <c r="A329" s="36">
        <v>46059.681250000001</v>
      </c>
      <c r="B329" s="35">
        <v>3.7</v>
      </c>
      <c r="C329" s="35">
        <v>2</v>
      </c>
      <c r="D329" s="35">
        <v>4</v>
      </c>
      <c r="E329" s="35">
        <v>2.2000000000000002</v>
      </c>
      <c r="F329" s="35">
        <v>4.2</v>
      </c>
      <c r="G329" s="35">
        <v>2</v>
      </c>
      <c r="H329" s="35">
        <v>3.4</v>
      </c>
      <c r="I329" s="35">
        <v>2</v>
      </c>
      <c r="J329" s="35">
        <v>1.7</v>
      </c>
      <c r="K329" s="35">
        <v>2</v>
      </c>
      <c r="L329" s="35">
        <v>2.1</v>
      </c>
      <c r="M329" s="35">
        <v>2</v>
      </c>
      <c r="N329" s="35">
        <v>4</v>
      </c>
      <c r="O329" s="35">
        <v>3</v>
      </c>
      <c r="P329" s="35">
        <v>3.9</v>
      </c>
      <c r="Q329" s="35">
        <v>2</v>
      </c>
      <c r="R329" s="35">
        <v>2.4</v>
      </c>
      <c r="S329" s="35">
        <v>2</v>
      </c>
      <c r="T329" s="35">
        <v>1.7</v>
      </c>
      <c r="U329" s="35">
        <v>2</v>
      </c>
      <c r="V329" s="35">
        <v>10.7</v>
      </c>
      <c r="W329" s="35">
        <v>9</v>
      </c>
      <c r="X329" s="35">
        <v>10.3</v>
      </c>
      <c r="Y329" s="35">
        <v>9</v>
      </c>
      <c r="Z329" s="35">
        <v>10.6</v>
      </c>
      <c r="AA329" s="35">
        <v>9</v>
      </c>
      <c r="AB329" s="35">
        <v>10.8</v>
      </c>
      <c r="AC329" s="35">
        <v>9</v>
      </c>
      <c r="AD329" s="35">
        <v>20.7</v>
      </c>
      <c r="AE329" s="35">
        <v>19</v>
      </c>
      <c r="AF329" s="35">
        <v>20.3</v>
      </c>
      <c r="AG329" s="35">
        <v>19</v>
      </c>
      <c r="AH329" s="35">
        <v>19.3</v>
      </c>
      <c r="AI329" s="35">
        <v>19</v>
      </c>
      <c r="AJ329" s="35">
        <v>20.399999999999999</v>
      </c>
      <c r="AK329" s="35">
        <v>19</v>
      </c>
      <c r="AL329" s="35">
        <v>20.100000000000001</v>
      </c>
      <c r="AM329" s="35">
        <v>19</v>
      </c>
      <c r="AN329" s="35">
        <v>20.399999999999999</v>
      </c>
      <c r="AO329" s="35">
        <v>19</v>
      </c>
      <c r="AP329" s="35">
        <v>19.8</v>
      </c>
      <c r="AQ329" s="35">
        <v>19</v>
      </c>
      <c r="AR329" s="35">
        <v>20.8</v>
      </c>
      <c r="AS329" s="35">
        <v>19</v>
      </c>
      <c r="AT329" s="35">
        <v>20.5</v>
      </c>
      <c r="AU329" s="35">
        <v>19</v>
      </c>
      <c r="AV329" s="35">
        <v>20.7</v>
      </c>
      <c r="AW329" s="35">
        <v>19</v>
      </c>
      <c r="AX329" s="35">
        <v>21.2</v>
      </c>
      <c r="AY329" s="35">
        <v>20</v>
      </c>
      <c r="AZ329" s="35">
        <v>20.9</v>
      </c>
      <c r="BA329" s="35">
        <v>20</v>
      </c>
      <c r="BB329" s="35">
        <v>33.299999999999997</v>
      </c>
      <c r="BC329" s="35">
        <v>40</v>
      </c>
      <c r="BD329" s="35">
        <v>32.299999999999997</v>
      </c>
      <c r="BE329" s="35">
        <v>40</v>
      </c>
      <c r="BF329" s="35">
        <v>21.8</v>
      </c>
      <c r="BG329" s="35">
        <v>20</v>
      </c>
    </row>
    <row r="330" spans="1:59" x14ac:dyDescent="0.35">
      <c r="A330" s="36">
        <v>46059.681944444441</v>
      </c>
      <c r="B330" s="35">
        <v>3.7</v>
      </c>
      <c r="C330" s="35">
        <v>2</v>
      </c>
      <c r="D330" s="35">
        <v>4</v>
      </c>
      <c r="E330" s="35">
        <v>2.2000000000000002</v>
      </c>
      <c r="F330" s="35">
        <v>5.0999999999999996</v>
      </c>
      <c r="G330" s="35">
        <v>2</v>
      </c>
      <c r="H330" s="35">
        <v>3.4</v>
      </c>
      <c r="I330" s="35">
        <v>2</v>
      </c>
      <c r="J330" s="35">
        <v>2</v>
      </c>
      <c r="K330" s="35">
        <v>2</v>
      </c>
      <c r="L330" s="35">
        <v>2.4</v>
      </c>
      <c r="M330" s="35">
        <v>2</v>
      </c>
      <c r="N330" s="35">
        <v>4.0999999999999996</v>
      </c>
      <c r="O330" s="35">
        <v>3</v>
      </c>
      <c r="P330" s="35">
        <v>4</v>
      </c>
      <c r="Q330" s="35">
        <v>2</v>
      </c>
      <c r="R330" s="35">
        <v>1.9</v>
      </c>
      <c r="S330" s="35">
        <v>2</v>
      </c>
      <c r="T330" s="35">
        <v>1.4</v>
      </c>
      <c r="U330" s="35">
        <v>2</v>
      </c>
      <c r="V330" s="35">
        <v>11.1</v>
      </c>
      <c r="W330" s="35">
        <v>9</v>
      </c>
      <c r="X330" s="35">
        <v>10.4</v>
      </c>
      <c r="Y330" s="35">
        <v>9</v>
      </c>
      <c r="Z330" s="35">
        <v>10.7</v>
      </c>
      <c r="AA330" s="35">
        <v>9</v>
      </c>
      <c r="AB330" s="35">
        <v>11</v>
      </c>
      <c r="AC330" s="35">
        <v>9</v>
      </c>
      <c r="AD330" s="35">
        <v>20.7</v>
      </c>
      <c r="AE330" s="35">
        <v>19</v>
      </c>
      <c r="AF330" s="35">
        <v>20.399999999999999</v>
      </c>
      <c r="AG330" s="35">
        <v>19</v>
      </c>
      <c r="AH330" s="35">
        <v>19.5</v>
      </c>
      <c r="AI330" s="35">
        <v>19</v>
      </c>
      <c r="AJ330" s="35">
        <v>20.5</v>
      </c>
      <c r="AK330" s="35">
        <v>19</v>
      </c>
      <c r="AL330" s="35">
        <v>19.899999999999999</v>
      </c>
      <c r="AM330" s="35">
        <v>19</v>
      </c>
      <c r="AN330" s="35">
        <v>20.5</v>
      </c>
      <c r="AO330" s="35">
        <v>19</v>
      </c>
      <c r="AP330" s="35">
        <v>19.899999999999999</v>
      </c>
      <c r="AQ330" s="35">
        <v>19</v>
      </c>
      <c r="AR330" s="35">
        <v>20.8</v>
      </c>
      <c r="AS330" s="35">
        <v>19</v>
      </c>
      <c r="AT330" s="35">
        <v>20.6</v>
      </c>
      <c r="AU330" s="35">
        <v>19</v>
      </c>
      <c r="AV330" s="35">
        <v>20.7</v>
      </c>
      <c r="AW330" s="35">
        <v>19</v>
      </c>
      <c r="AX330" s="35">
        <v>21.2</v>
      </c>
      <c r="AY330" s="35">
        <v>20</v>
      </c>
      <c r="AZ330" s="35">
        <v>20.9</v>
      </c>
      <c r="BA330" s="35">
        <v>20</v>
      </c>
      <c r="BB330" s="35">
        <v>33.299999999999997</v>
      </c>
      <c r="BC330" s="35">
        <v>40</v>
      </c>
      <c r="BD330" s="35">
        <v>32.299999999999997</v>
      </c>
      <c r="BE330" s="35">
        <v>40</v>
      </c>
      <c r="BF330" s="35">
        <v>21.8</v>
      </c>
      <c r="BG330" s="35">
        <v>20</v>
      </c>
    </row>
    <row r="331" spans="1:59" x14ac:dyDescent="0.35">
      <c r="A331" s="36">
        <v>46059.682638888888</v>
      </c>
      <c r="B331" s="35">
        <v>3.9</v>
      </c>
      <c r="C331" s="35">
        <v>2</v>
      </c>
      <c r="D331" s="35">
        <v>4.2</v>
      </c>
      <c r="E331" s="35">
        <v>2.2000000000000002</v>
      </c>
      <c r="F331" s="35">
        <v>5.3</v>
      </c>
      <c r="G331" s="35">
        <v>2</v>
      </c>
      <c r="H331" s="35">
        <v>3.4</v>
      </c>
      <c r="I331" s="35">
        <v>2</v>
      </c>
      <c r="J331" s="35">
        <v>2.1</v>
      </c>
      <c r="K331" s="35">
        <v>2</v>
      </c>
      <c r="L331" s="35">
        <v>2.8</v>
      </c>
      <c r="M331" s="35">
        <v>2</v>
      </c>
      <c r="N331" s="35">
        <v>2.9</v>
      </c>
      <c r="O331" s="35">
        <v>3</v>
      </c>
      <c r="P331" s="35">
        <v>3.3</v>
      </c>
      <c r="Q331" s="35">
        <v>2</v>
      </c>
      <c r="R331" s="35">
        <v>1.9</v>
      </c>
      <c r="S331" s="35">
        <v>2</v>
      </c>
      <c r="T331" s="35">
        <v>1.4</v>
      </c>
      <c r="U331" s="35">
        <v>2</v>
      </c>
      <c r="V331" s="35">
        <v>10</v>
      </c>
      <c r="W331" s="35">
        <v>9</v>
      </c>
      <c r="X331" s="35">
        <v>10.4</v>
      </c>
      <c r="Y331" s="35">
        <v>9</v>
      </c>
      <c r="Z331" s="35">
        <v>10.8</v>
      </c>
      <c r="AA331" s="35">
        <v>9</v>
      </c>
      <c r="AB331" s="35">
        <v>10.7</v>
      </c>
      <c r="AC331" s="35">
        <v>9</v>
      </c>
      <c r="AD331" s="35">
        <v>20.8</v>
      </c>
      <c r="AE331" s="35">
        <v>19</v>
      </c>
      <c r="AF331" s="35">
        <v>20.399999999999999</v>
      </c>
      <c r="AG331" s="35">
        <v>19</v>
      </c>
      <c r="AH331" s="35">
        <v>19.600000000000001</v>
      </c>
      <c r="AI331" s="35">
        <v>19</v>
      </c>
      <c r="AJ331" s="35">
        <v>20.6</v>
      </c>
      <c r="AK331" s="35">
        <v>19</v>
      </c>
      <c r="AL331" s="35">
        <v>19.8</v>
      </c>
      <c r="AM331" s="35">
        <v>19</v>
      </c>
      <c r="AN331" s="35">
        <v>20.5</v>
      </c>
      <c r="AO331" s="35">
        <v>19</v>
      </c>
      <c r="AP331" s="35">
        <v>19.899999999999999</v>
      </c>
      <c r="AQ331" s="35">
        <v>19</v>
      </c>
      <c r="AR331" s="35">
        <v>20.8</v>
      </c>
      <c r="AS331" s="35">
        <v>19</v>
      </c>
      <c r="AT331" s="35">
        <v>20.7</v>
      </c>
      <c r="AU331" s="35">
        <v>19</v>
      </c>
      <c r="AV331" s="35">
        <v>20.8</v>
      </c>
      <c r="AW331" s="35">
        <v>19</v>
      </c>
      <c r="AX331" s="35">
        <v>21.2</v>
      </c>
      <c r="AY331" s="35">
        <v>20</v>
      </c>
      <c r="AZ331" s="35">
        <v>20.9</v>
      </c>
      <c r="BA331" s="35">
        <v>20</v>
      </c>
      <c r="BB331" s="35">
        <v>33.299999999999997</v>
      </c>
      <c r="BC331" s="35">
        <v>40</v>
      </c>
      <c r="BD331" s="35">
        <v>32.299999999999997</v>
      </c>
      <c r="BE331" s="35">
        <v>40</v>
      </c>
      <c r="BF331" s="35">
        <v>21.8</v>
      </c>
      <c r="BG331" s="35">
        <v>20</v>
      </c>
    </row>
    <row r="332" spans="1:59" x14ac:dyDescent="0.35">
      <c r="A332" s="36">
        <v>46059.683333333334</v>
      </c>
      <c r="B332" s="35">
        <v>3.9</v>
      </c>
      <c r="C332" s="35">
        <v>2</v>
      </c>
      <c r="D332" s="35">
        <v>4.0999999999999996</v>
      </c>
      <c r="E332" s="35">
        <v>2.2000000000000002</v>
      </c>
      <c r="F332" s="35">
        <v>5.0999999999999996</v>
      </c>
      <c r="G332" s="35">
        <v>2</v>
      </c>
      <c r="H332" s="35">
        <v>3.4</v>
      </c>
      <c r="I332" s="35">
        <v>2</v>
      </c>
      <c r="J332" s="35">
        <v>2.2999999999999998</v>
      </c>
      <c r="K332" s="35">
        <v>2</v>
      </c>
      <c r="L332" s="35">
        <v>3.1</v>
      </c>
      <c r="M332" s="35">
        <v>2</v>
      </c>
      <c r="N332" s="35">
        <v>1.1000000000000001</v>
      </c>
      <c r="O332" s="35">
        <v>3</v>
      </c>
      <c r="P332" s="35">
        <v>2</v>
      </c>
      <c r="Q332" s="35">
        <v>2</v>
      </c>
      <c r="R332" s="35">
        <v>2.1</v>
      </c>
      <c r="S332" s="35">
        <v>2</v>
      </c>
      <c r="T332" s="35">
        <v>1.7</v>
      </c>
      <c r="U332" s="35">
        <v>2</v>
      </c>
      <c r="V332" s="35">
        <v>7.9</v>
      </c>
      <c r="W332" s="35">
        <v>9</v>
      </c>
      <c r="X332" s="35">
        <v>10.5</v>
      </c>
      <c r="Y332" s="35">
        <v>9</v>
      </c>
      <c r="Z332" s="35">
        <v>10.9</v>
      </c>
      <c r="AA332" s="35">
        <v>9</v>
      </c>
      <c r="AB332" s="35">
        <v>9.1999999999999993</v>
      </c>
      <c r="AC332" s="35">
        <v>9</v>
      </c>
      <c r="AD332" s="35">
        <v>20.8</v>
      </c>
      <c r="AE332" s="35">
        <v>19</v>
      </c>
      <c r="AF332" s="35">
        <v>20.5</v>
      </c>
      <c r="AG332" s="35">
        <v>19</v>
      </c>
      <c r="AH332" s="35">
        <v>19.7</v>
      </c>
      <c r="AI332" s="35">
        <v>19</v>
      </c>
      <c r="AJ332" s="35">
        <v>20.6</v>
      </c>
      <c r="AK332" s="35">
        <v>19</v>
      </c>
      <c r="AL332" s="35">
        <v>19.5</v>
      </c>
      <c r="AM332" s="35">
        <v>19</v>
      </c>
      <c r="AN332" s="35">
        <v>20.6</v>
      </c>
      <c r="AO332" s="35">
        <v>19</v>
      </c>
      <c r="AP332" s="35">
        <v>20</v>
      </c>
      <c r="AQ332" s="35">
        <v>19</v>
      </c>
      <c r="AR332" s="35">
        <v>20.8</v>
      </c>
      <c r="AS332" s="35">
        <v>19</v>
      </c>
      <c r="AT332" s="35">
        <v>20.8</v>
      </c>
      <c r="AU332" s="35">
        <v>19</v>
      </c>
      <c r="AV332" s="35">
        <v>20.8</v>
      </c>
      <c r="AW332" s="35">
        <v>19</v>
      </c>
      <c r="AX332" s="35">
        <v>21.2</v>
      </c>
      <c r="AY332" s="35">
        <v>20</v>
      </c>
      <c r="AZ332" s="35">
        <v>20.9</v>
      </c>
      <c r="BA332" s="35">
        <v>20</v>
      </c>
      <c r="BB332" s="35">
        <v>33.299999999999997</v>
      </c>
      <c r="BC332" s="35">
        <v>40</v>
      </c>
      <c r="BD332" s="35">
        <v>32.299999999999997</v>
      </c>
      <c r="BE332" s="35">
        <v>40</v>
      </c>
      <c r="BF332" s="35">
        <v>21.8</v>
      </c>
      <c r="BG332" s="35">
        <v>20</v>
      </c>
    </row>
    <row r="333" spans="1:59" x14ac:dyDescent="0.35">
      <c r="A333" s="36">
        <v>46059.684027777781</v>
      </c>
      <c r="B333" s="35">
        <v>2.8</v>
      </c>
      <c r="C333" s="35">
        <v>2</v>
      </c>
      <c r="D333" s="35">
        <v>3.2</v>
      </c>
      <c r="E333" s="35">
        <v>2.2000000000000002</v>
      </c>
      <c r="F333" s="35">
        <v>5.5</v>
      </c>
      <c r="G333" s="35">
        <v>2</v>
      </c>
      <c r="H333" s="35">
        <v>3.4</v>
      </c>
      <c r="I333" s="35">
        <v>2</v>
      </c>
      <c r="J333" s="35">
        <v>2.5</v>
      </c>
      <c r="K333" s="35">
        <v>2</v>
      </c>
      <c r="L333" s="35">
        <v>3.4</v>
      </c>
      <c r="M333" s="35">
        <v>2</v>
      </c>
      <c r="N333" s="35">
        <v>1</v>
      </c>
      <c r="O333" s="35">
        <v>3</v>
      </c>
      <c r="P333" s="35">
        <v>1.8</v>
      </c>
      <c r="Q333" s="35">
        <v>2</v>
      </c>
      <c r="R333" s="35">
        <v>2.4</v>
      </c>
      <c r="S333" s="35">
        <v>2</v>
      </c>
      <c r="T333" s="35">
        <v>2</v>
      </c>
      <c r="U333" s="35">
        <v>2</v>
      </c>
      <c r="V333" s="35">
        <v>7.5</v>
      </c>
      <c r="W333" s="35">
        <v>9</v>
      </c>
      <c r="X333" s="35">
        <v>10.6</v>
      </c>
      <c r="Y333" s="35">
        <v>9</v>
      </c>
      <c r="Z333" s="35">
        <v>11</v>
      </c>
      <c r="AA333" s="35">
        <v>9</v>
      </c>
      <c r="AB333" s="35">
        <v>8.1999999999999993</v>
      </c>
      <c r="AC333" s="35">
        <v>9</v>
      </c>
      <c r="AD333" s="35">
        <v>20.8</v>
      </c>
      <c r="AE333" s="35">
        <v>19</v>
      </c>
      <c r="AF333" s="35">
        <v>20.5</v>
      </c>
      <c r="AG333" s="35">
        <v>19</v>
      </c>
      <c r="AH333" s="35">
        <v>19.8</v>
      </c>
      <c r="AI333" s="35">
        <v>19</v>
      </c>
      <c r="AJ333" s="35">
        <v>20.7</v>
      </c>
      <c r="AK333" s="35">
        <v>19</v>
      </c>
      <c r="AL333" s="35">
        <v>19.399999999999999</v>
      </c>
      <c r="AM333" s="35">
        <v>19</v>
      </c>
      <c r="AN333" s="35">
        <v>20.7</v>
      </c>
      <c r="AO333" s="35">
        <v>19</v>
      </c>
      <c r="AP333" s="35">
        <v>20</v>
      </c>
      <c r="AQ333" s="35">
        <v>19</v>
      </c>
      <c r="AR333" s="35">
        <v>20.8</v>
      </c>
      <c r="AS333" s="35">
        <v>19</v>
      </c>
      <c r="AT333" s="35">
        <v>20.8</v>
      </c>
      <c r="AU333" s="35">
        <v>19</v>
      </c>
      <c r="AV333" s="35">
        <v>20.8</v>
      </c>
      <c r="AW333" s="35">
        <v>19</v>
      </c>
      <c r="AX333" s="35">
        <v>21.2</v>
      </c>
      <c r="AY333" s="35">
        <v>20</v>
      </c>
      <c r="AZ333" s="35">
        <v>21.1</v>
      </c>
      <c r="BA333" s="35">
        <v>20</v>
      </c>
      <c r="BB333" s="35">
        <v>33.299999999999997</v>
      </c>
      <c r="BC333" s="35">
        <v>40</v>
      </c>
      <c r="BD333" s="35">
        <v>32.299999999999997</v>
      </c>
      <c r="BE333" s="35">
        <v>40</v>
      </c>
      <c r="BF333" s="35">
        <v>21.9</v>
      </c>
      <c r="BG333" s="35">
        <v>20</v>
      </c>
    </row>
    <row r="334" spans="1:59" x14ac:dyDescent="0.35">
      <c r="A334" s="36">
        <v>46059.68472222222</v>
      </c>
      <c r="B334" s="35">
        <v>2.4</v>
      </c>
      <c r="C334" s="35">
        <v>2</v>
      </c>
      <c r="D334" s="35">
        <v>2.6</v>
      </c>
      <c r="E334" s="35">
        <v>2.2000000000000002</v>
      </c>
      <c r="F334" s="35">
        <v>6</v>
      </c>
      <c r="G334" s="35">
        <v>2</v>
      </c>
      <c r="H334" s="35">
        <v>3.4</v>
      </c>
      <c r="I334" s="35">
        <v>2</v>
      </c>
      <c r="J334" s="35">
        <v>2.8</v>
      </c>
      <c r="K334" s="35">
        <v>2</v>
      </c>
      <c r="L334" s="35">
        <v>3.6</v>
      </c>
      <c r="M334" s="35">
        <v>2</v>
      </c>
      <c r="N334" s="35">
        <v>1.2</v>
      </c>
      <c r="O334" s="35">
        <v>3</v>
      </c>
      <c r="P334" s="35">
        <v>2</v>
      </c>
      <c r="Q334" s="35">
        <v>2</v>
      </c>
      <c r="R334" s="35">
        <v>2.7</v>
      </c>
      <c r="S334" s="35">
        <v>2</v>
      </c>
      <c r="T334" s="35">
        <v>2.2999999999999998</v>
      </c>
      <c r="U334" s="35">
        <v>2</v>
      </c>
      <c r="V334" s="35">
        <v>8.1</v>
      </c>
      <c r="W334" s="35">
        <v>9</v>
      </c>
      <c r="X334" s="35">
        <v>10.7</v>
      </c>
      <c r="Y334" s="35">
        <v>9</v>
      </c>
      <c r="Z334" s="35">
        <v>10.1</v>
      </c>
      <c r="AA334" s="35">
        <v>9</v>
      </c>
      <c r="AB334" s="35">
        <v>8.3000000000000007</v>
      </c>
      <c r="AC334" s="35">
        <v>9</v>
      </c>
      <c r="AD334" s="35">
        <v>20.8</v>
      </c>
      <c r="AE334" s="35">
        <v>19</v>
      </c>
      <c r="AF334" s="35">
        <v>20.5</v>
      </c>
      <c r="AG334" s="35">
        <v>19</v>
      </c>
      <c r="AH334" s="35">
        <v>19.899999999999999</v>
      </c>
      <c r="AI334" s="35">
        <v>19</v>
      </c>
      <c r="AJ334" s="35">
        <v>20.8</v>
      </c>
      <c r="AK334" s="35">
        <v>19</v>
      </c>
      <c r="AL334" s="35">
        <v>19.3</v>
      </c>
      <c r="AM334" s="35">
        <v>19</v>
      </c>
      <c r="AN334" s="35">
        <v>20.7</v>
      </c>
      <c r="AO334" s="35">
        <v>19</v>
      </c>
      <c r="AP334" s="35">
        <v>20.100000000000001</v>
      </c>
      <c r="AQ334" s="35">
        <v>19</v>
      </c>
      <c r="AR334" s="35">
        <v>20.8</v>
      </c>
      <c r="AS334" s="35">
        <v>19</v>
      </c>
      <c r="AT334" s="35">
        <v>20.9</v>
      </c>
      <c r="AU334" s="35">
        <v>19</v>
      </c>
      <c r="AV334" s="35">
        <v>20.9</v>
      </c>
      <c r="AW334" s="35">
        <v>19</v>
      </c>
      <c r="AX334" s="35">
        <v>21.2</v>
      </c>
      <c r="AY334" s="35">
        <v>20</v>
      </c>
      <c r="AZ334" s="35">
        <v>21.1</v>
      </c>
      <c r="BA334" s="35">
        <v>20</v>
      </c>
      <c r="BB334" s="35">
        <v>33.299999999999997</v>
      </c>
      <c r="BC334" s="35">
        <v>40</v>
      </c>
      <c r="BD334" s="35">
        <v>32.299999999999997</v>
      </c>
      <c r="BE334" s="35">
        <v>40</v>
      </c>
      <c r="BF334" s="35">
        <v>21.9</v>
      </c>
      <c r="BG334" s="35">
        <v>20</v>
      </c>
    </row>
    <row r="335" spans="1:59" x14ac:dyDescent="0.35">
      <c r="A335" s="36">
        <v>46059.685416666667</v>
      </c>
      <c r="B335" s="35">
        <v>1.9</v>
      </c>
      <c r="C335" s="35">
        <v>2</v>
      </c>
      <c r="D335" s="35">
        <v>2.2000000000000002</v>
      </c>
      <c r="E335" s="35">
        <v>2.2000000000000002</v>
      </c>
      <c r="F335" s="35">
        <v>4.9000000000000004</v>
      </c>
      <c r="G335" s="35">
        <v>2</v>
      </c>
      <c r="H335" s="35">
        <v>7.3</v>
      </c>
      <c r="I335" s="35">
        <v>2</v>
      </c>
      <c r="J335" s="35">
        <v>3</v>
      </c>
      <c r="K335" s="35">
        <v>2</v>
      </c>
      <c r="L335" s="35">
        <v>3.9</v>
      </c>
      <c r="M335" s="35">
        <v>2</v>
      </c>
      <c r="N335" s="35">
        <v>1.6</v>
      </c>
      <c r="O335" s="35">
        <v>3</v>
      </c>
      <c r="P335" s="35">
        <v>2.2999999999999998</v>
      </c>
      <c r="Q335" s="35">
        <v>2</v>
      </c>
      <c r="R335" s="35">
        <v>2.9</v>
      </c>
      <c r="S335" s="35">
        <v>2</v>
      </c>
      <c r="T335" s="35">
        <v>2.6</v>
      </c>
      <c r="U335" s="35">
        <v>2</v>
      </c>
      <c r="V335" s="35">
        <v>9</v>
      </c>
      <c r="W335" s="35">
        <v>9</v>
      </c>
      <c r="X335" s="35">
        <v>10.8</v>
      </c>
      <c r="Y335" s="35">
        <v>9</v>
      </c>
      <c r="Z335" s="35">
        <v>9.5</v>
      </c>
      <c r="AA335" s="35">
        <v>9</v>
      </c>
      <c r="AB335" s="35">
        <v>8.9</v>
      </c>
      <c r="AC335" s="35">
        <v>9</v>
      </c>
      <c r="AD335" s="35">
        <v>20.9</v>
      </c>
      <c r="AE335" s="35">
        <v>19</v>
      </c>
      <c r="AF335" s="35">
        <v>20.6</v>
      </c>
      <c r="AG335" s="35">
        <v>19</v>
      </c>
      <c r="AH335" s="35">
        <v>19.899999999999999</v>
      </c>
      <c r="AI335" s="35">
        <v>19</v>
      </c>
      <c r="AJ335" s="35">
        <v>20.8</v>
      </c>
      <c r="AK335" s="35">
        <v>19</v>
      </c>
      <c r="AL335" s="35">
        <v>19.3</v>
      </c>
      <c r="AM335" s="35">
        <v>19</v>
      </c>
      <c r="AN335" s="35">
        <v>20.8</v>
      </c>
      <c r="AO335" s="35">
        <v>19</v>
      </c>
      <c r="AP335" s="35">
        <v>20.100000000000001</v>
      </c>
      <c r="AQ335" s="35">
        <v>19</v>
      </c>
      <c r="AR335" s="35">
        <v>20.8</v>
      </c>
      <c r="AS335" s="35">
        <v>19</v>
      </c>
      <c r="AT335" s="35">
        <v>21</v>
      </c>
      <c r="AU335" s="35">
        <v>19</v>
      </c>
      <c r="AV335" s="35">
        <v>20.9</v>
      </c>
      <c r="AW335" s="35">
        <v>19</v>
      </c>
      <c r="AX335" s="35">
        <v>21.2</v>
      </c>
      <c r="AY335" s="35">
        <v>20</v>
      </c>
      <c r="AZ335" s="35">
        <v>21.1</v>
      </c>
      <c r="BA335" s="35">
        <v>20</v>
      </c>
      <c r="BB335" s="35">
        <v>33.200000000000003</v>
      </c>
      <c r="BC335" s="35">
        <v>40</v>
      </c>
      <c r="BD335" s="35">
        <v>32.299999999999997</v>
      </c>
      <c r="BE335" s="35">
        <v>40</v>
      </c>
      <c r="BF335" s="35">
        <v>21.9</v>
      </c>
      <c r="BG335" s="35">
        <v>20</v>
      </c>
    </row>
    <row r="336" spans="1:59" x14ac:dyDescent="0.35">
      <c r="A336" s="36">
        <v>46059.686111111114</v>
      </c>
      <c r="B336" s="35">
        <v>1.9</v>
      </c>
      <c r="C336" s="35">
        <v>2</v>
      </c>
      <c r="D336" s="35">
        <v>2.4</v>
      </c>
      <c r="E336" s="35">
        <v>2.2000000000000002</v>
      </c>
      <c r="F336" s="35">
        <v>2.9</v>
      </c>
      <c r="G336" s="35">
        <v>2</v>
      </c>
      <c r="H336" s="35">
        <v>6.2</v>
      </c>
      <c r="I336" s="35">
        <v>2</v>
      </c>
      <c r="J336" s="35">
        <v>3.2</v>
      </c>
      <c r="K336" s="35">
        <v>2</v>
      </c>
      <c r="L336" s="35">
        <v>3.7</v>
      </c>
      <c r="M336" s="35">
        <v>2</v>
      </c>
      <c r="N336" s="35">
        <v>2</v>
      </c>
      <c r="O336" s="35">
        <v>3</v>
      </c>
      <c r="P336" s="35">
        <v>2.6</v>
      </c>
      <c r="Q336" s="35">
        <v>2</v>
      </c>
      <c r="R336" s="35">
        <v>3.1</v>
      </c>
      <c r="S336" s="35">
        <v>2</v>
      </c>
      <c r="T336" s="35">
        <v>2.8</v>
      </c>
      <c r="U336" s="35">
        <v>2</v>
      </c>
      <c r="V336" s="35">
        <v>9.6</v>
      </c>
      <c r="W336" s="35">
        <v>9</v>
      </c>
      <c r="X336" s="35">
        <v>10.8</v>
      </c>
      <c r="Y336" s="35">
        <v>9</v>
      </c>
      <c r="Z336" s="35">
        <v>8.9</v>
      </c>
      <c r="AA336" s="35">
        <v>9</v>
      </c>
      <c r="AB336" s="35">
        <v>9.5</v>
      </c>
      <c r="AC336" s="35">
        <v>9</v>
      </c>
      <c r="AD336" s="35">
        <v>20.9</v>
      </c>
      <c r="AE336" s="35">
        <v>19</v>
      </c>
      <c r="AF336" s="35">
        <v>20.6</v>
      </c>
      <c r="AG336" s="35">
        <v>19</v>
      </c>
      <c r="AH336" s="35">
        <v>20</v>
      </c>
      <c r="AI336" s="35">
        <v>19</v>
      </c>
      <c r="AJ336" s="35">
        <v>20.9</v>
      </c>
      <c r="AK336" s="35">
        <v>19</v>
      </c>
      <c r="AL336" s="35">
        <v>19.2</v>
      </c>
      <c r="AM336" s="35">
        <v>19</v>
      </c>
      <c r="AN336" s="35">
        <v>20.9</v>
      </c>
      <c r="AO336" s="35">
        <v>19</v>
      </c>
      <c r="AP336" s="35">
        <v>20.100000000000001</v>
      </c>
      <c r="AQ336" s="35">
        <v>19</v>
      </c>
      <c r="AR336" s="35">
        <v>20.8</v>
      </c>
      <c r="AS336" s="35">
        <v>19</v>
      </c>
      <c r="AT336" s="35">
        <v>19.8</v>
      </c>
      <c r="AU336" s="35">
        <v>19</v>
      </c>
      <c r="AV336" s="35">
        <v>20.9</v>
      </c>
      <c r="AW336" s="35">
        <v>19</v>
      </c>
      <c r="AX336" s="35">
        <v>21.2</v>
      </c>
      <c r="AY336" s="35">
        <v>20</v>
      </c>
      <c r="AZ336" s="35">
        <v>21.1</v>
      </c>
      <c r="BA336" s="35">
        <v>20</v>
      </c>
      <c r="BB336" s="35">
        <v>33.200000000000003</v>
      </c>
      <c r="BC336" s="35">
        <v>40</v>
      </c>
      <c r="BD336" s="35">
        <v>32.299999999999997</v>
      </c>
      <c r="BE336" s="35">
        <v>40</v>
      </c>
      <c r="BF336" s="35">
        <v>21.9</v>
      </c>
      <c r="BG336" s="35">
        <v>20</v>
      </c>
    </row>
    <row r="337" spans="1:59" x14ac:dyDescent="0.35">
      <c r="A337" s="36">
        <v>46059.686805555553</v>
      </c>
      <c r="B337" s="35">
        <v>2.4</v>
      </c>
      <c r="C337" s="35">
        <v>2</v>
      </c>
      <c r="D337" s="35">
        <v>2.8</v>
      </c>
      <c r="E337" s="35">
        <v>2.2000000000000002</v>
      </c>
      <c r="F337" s="35">
        <v>2.9</v>
      </c>
      <c r="G337" s="35">
        <v>2</v>
      </c>
      <c r="H337" s="35">
        <v>4.9000000000000004</v>
      </c>
      <c r="I337" s="35">
        <v>2</v>
      </c>
      <c r="J337" s="35">
        <v>3.1</v>
      </c>
      <c r="K337" s="35">
        <v>2</v>
      </c>
      <c r="L337" s="35">
        <v>2.9</v>
      </c>
      <c r="M337" s="35">
        <v>2</v>
      </c>
      <c r="N337" s="35">
        <v>2.2999999999999998</v>
      </c>
      <c r="O337" s="35">
        <v>3</v>
      </c>
      <c r="P337" s="35">
        <v>2.9</v>
      </c>
      <c r="Q337" s="35">
        <v>2</v>
      </c>
      <c r="R337" s="35">
        <v>3.3</v>
      </c>
      <c r="S337" s="35">
        <v>2</v>
      </c>
      <c r="T337" s="35">
        <v>3</v>
      </c>
      <c r="U337" s="35">
        <v>2</v>
      </c>
      <c r="V337" s="35">
        <v>10.199999999999999</v>
      </c>
      <c r="W337" s="35">
        <v>9</v>
      </c>
      <c r="X337" s="35">
        <v>10.9</v>
      </c>
      <c r="Y337" s="35">
        <v>9</v>
      </c>
      <c r="Z337" s="35">
        <v>8.8000000000000007</v>
      </c>
      <c r="AA337" s="35">
        <v>9</v>
      </c>
      <c r="AB337" s="35">
        <v>9.9</v>
      </c>
      <c r="AC337" s="35">
        <v>9</v>
      </c>
      <c r="AD337" s="35">
        <v>20.9</v>
      </c>
      <c r="AE337" s="35">
        <v>19</v>
      </c>
      <c r="AF337" s="35">
        <v>20.6</v>
      </c>
      <c r="AG337" s="35">
        <v>19</v>
      </c>
      <c r="AH337" s="35">
        <v>20.100000000000001</v>
      </c>
      <c r="AI337" s="35">
        <v>19</v>
      </c>
      <c r="AJ337" s="35">
        <v>21</v>
      </c>
      <c r="AK337" s="35">
        <v>19</v>
      </c>
      <c r="AL337" s="35">
        <v>19.2</v>
      </c>
      <c r="AM337" s="35">
        <v>19</v>
      </c>
      <c r="AN337" s="35">
        <v>20.9</v>
      </c>
      <c r="AO337" s="35">
        <v>19</v>
      </c>
      <c r="AP337" s="35">
        <v>20.2</v>
      </c>
      <c r="AQ337" s="35">
        <v>19</v>
      </c>
      <c r="AR337" s="35">
        <v>20.8</v>
      </c>
      <c r="AS337" s="35">
        <v>19</v>
      </c>
      <c r="AT337" s="35">
        <v>18.2</v>
      </c>
      <c r="AU337" s="35">
        <v>19</v>
      </c>
      <c r="AV337" s="35">
        <v>21</v>
      </c>
      <c r="AW337" s="35">
        <v>19</v>
      </c>
      <c r="AX337" s="35">
        <v>21.2</v>
      </c>
      <c r="AY337" s="35">
        <v>20</v>
      </c>
      <c r="AZ337" s="35">
        <v>21.1</v>
      </c>
      <c r="BA337" s="35">
        <v>20</v>
      </c>
      <c r="BB337" s="35">
        <v>33.200000000000003</v>
      </c>
      <c r="BC337" s="35">
        <v>40</v>
      </c>
      <c r="BD337" s="35">
        <v>32.299999999999997</v>
      </c>
      <c r="BE337" s="35">
        <v>40</v>
      </c>
      <c r="BF337" s="35">
        <v>21.9</v>
      </c>
      <c r="BG337" s="35">
        <v>20</v>
      </c>
    </row>
    <row r="338" spans="1:59" x14ac:dyDescent="0.35">
      <c r="A338" s="36">
        <v>46059.6875</v>
      </c>
      <c r="B338" s="35">
        <v>2.9</v>
      </c>
      <c r="C338" s="35">
        <v>2</v>
      </c>
      <c r="D338" s="35">
        <v>3.1</v>
      </c>
      <c r="E338" s="35">
        <v>2.2000000000000002</v>
      </c>
      <c r="F338" s="35">
        <v>2.6</v>
      </c>
      <c r="G338" s="35">
        <v>2</v>
      </c>
      <c r="H338" s="35">
        <v>3</v>
      </c>
      <c r="I338" s="35">
        <v>2</v>
      </c>
      <c r="J338" s="35">
        <v>2.7</v>
      </c>
      <c r="K338" s="35">
        <v>2</v>
      </c>
      <c r="L338" s="35">
        <v>2.6</v>
      </c>
      <c r="M338" s="35">
        <v>2</v>
      </c>
      <c r="N338" s="35">
        <v>2.7</v>
      </c>
      <c r="O338" s="35">
        <v>3</v>
      </c>
      <c r="P338" s="35">
        <v>3.1</v>
      </c>
      <c r="Q338" s="35">
        <v>2</v>
      </c>
      <c r="R338" s="35">
        <v>3.5</v>
      </c>
      <c r="S338" s="35">
        <v>2</v>
      </c>
      <c r="T338" s="35">
        <v>3.1</v>
      </c>
      <c r="U338" s="35">
        <v>2</v>
      </c>
      <c r="V338" s="35">
        <v>10.6</v>
      </c>
      <c r="W338" s="35">
        <v>9</v>
      </c>
      <c r="X338" s="35">
        <v>10.9</v>
      </c>
      <c r="Y338" s="35">
        <v>9</v>
      </c>
      <c r="Z338" s="35">
        <v>9</v>
      </c>
      <c r="AA338" s="35">
        <v>9</v>
      </c>
      <c r="AB338" s="35">
        <v>10.3</v>
      </c>
      <c r="AC338" s="35">
        <v>9</v>
      </c>
      <c r="AD338" s="35">
        <v>20.9</v>
      </c>
      <c r="AE338" s="35">
        <v>19</v>
      </c>
      <c r="AF338" s="35">
        <v>20.7</v>
      </c>
      <c r="AG338" s="35">
        <v>19</v>
      </c>
      <c r="AH338" s="35">
        <v>20.2</v>
      </c>
      <c r="AI338" s="35">
        <v>19</v>
      </c>
      <c r="AJ338" s="35">
        <v>20.399999999999999</v>
      </c>
      <c r="AK338" s="35">
        <v>19</v>
      </c>
      <c r="AL338" s="35">
        <v>19.2</v>
      </c>
      <c r="AM338" s="35">
        <v>19</v>
      </c>
      <c r="AN338" s="35">
        <v>21</v>
      </c>
      <c r="AO338" s="35">
        <v>19</v>
      </c>
      <c r="AP338" s="35">
        <v>20.2</v>
      </c>
      <c r="AQ338" s="35">
        <v>19</v>
      </c>
      <c r="AR338" s="35">
        <v>20.8</v>
      </c>
      <c r="AS338" s="35">
        <v>19</v>
      </c>
      <c r="AT338" s="35">
        <v>18</v>
      </c>
      <c r="AU338" s="35">
        <v>19</v>
      </c>
      <c r="AV338" s="35">
        <v>20</v>
      </c>
      <c r="AW338" s="35">
        <v>19</v>
      </c>
      <c r="AX338" s="35">
        <v>21.2</v>
      </c>
      <c r="AY338" s="35">
        <v>20</v>
      </c>
      <c r="AZ338" s="35">
        <v>21.1</v>
      </c>
      <c r="BA338" s="35">
        <v>20</v>
      </c>
      <c r="BB338" s="35">
        <v>33.200000000000003</v>
      </c>
      <c r="BC338" s="35">
        <v>40</v>
      </c>
      <c r="BD338" s="35">
        <v>32.299999999999997</v>
      </c>
      <c r="BE338" s="35">
        <v>40</v>
      </c>
      <c r="BF338" s="35">
        <v>21.9</v>
      </c>
      <c r="BG338" s="35">
        <v>20</v>
      </c>
    </row>
    <row r="339" spans="1:59" x14ac:dyDescent="0.35">
      <c r="A339" s="36">
        <v>46059.688194444447</v>
      </c>
      <c r="B339" s="35">
        <v>3.2</v>
      </c>
      <c r="C339" s="35">
        <v>2</v>
      </c>
      <c r="D339" s="35">
        <v>3.6</v>
      </c>
      <c r="E339" s="35">
        <v>2.2000000000000002</v>
      </c>
      <c r="F339" s="35">
        <v>1.7</v>
      </c>
      <c r="G339" s="35">
        <v>2</v>
      </c>
      <c r="H339" s="35">
        <v>1.5</v>
      </c>
      <c r="I339" s="35">
        <v>2</v>
      </c>
      <c r="J339" s="35">
        <v>2.4</v>
      </c>
      <c r="K339" s="35">
        <v>2</v>
      </c>
      <c r="L339" s="35">
        <v>2.1</v>
      </c>
      <c r="M339" s="35">
        <v>2</v>
      </c>
      <c r="N339" s="35">
        <v>3</v>
      </c>
      <c r="O339" s="35">
        <v>3</v>
      </c>
      <c r="P339" s="35">
        <v>3.3</v>
      </c>
      <c r="Q339" s="35">
        <v>2</v>
      </c>
      <c r="R339" s="35">
        <v>3.7</v>
      </c>
      <c r="S339" s="35">
        <v>2</v>
      </c>
      <c r="T339" s="35">
        <v>3.3</v>
      </c>
      <c r="U339" s="35">
        <v>2</v>
      </c>
      <c r="V339" s="35">
        <v>11</v>
      </c>
      <c r="W339" s="35">
        <v>9</v>
      </c>
      <c r="X339" s="35">
        <v>10.9</v>
      </c>
      <c r="Y339" s="35">
        <v>9</v>
      </c>
      <c r="Z339" s="35">
        <v>9.4</v>
      </c>
      <c r="AA339" s="35">
        <v>9</v>
      </c>
      <c r="AB339" s="35">
        <v>10.7</v>
      </c>
      <c r="AC339" s="35">
        <v>9</v>
      </c>
      <c r="AD339" s="35">
        <v>20.9</v>
      </c>
      <c r="AE339" s="35">
        <v>19</v>
      </c>
      <c r="AF339" s="35">
        <v>20.7</v>
      </c>
      <c r="AG339" s="35">
        <v>19</v>
      </c>
      <c r="AH339" s="35">
        <v>20.2</v>
      </c>
      <c r="AI339" s="35">
        <v>19</v>
      </c>
      <c r="AJ339" s="35">
        <v>18.600000000000001</v>
      </c>
      <c r="AK339" s="35">
        <v>19</v>
      </c>
      <c r="AL339" s="35">
        <v>19.3</v>
      </c>
      <c r="AM339" s="35">
        <v>19</v>
      </c>
      <c r="AN339" s="35">
        <v>20.3</v>
      </c>
      <c r="AO339" s="35">
        <v>19</v>
      </c>
      <c r="AP339" s="35">
        <v>20.2</v>
      </c>
      <c r="AQ339" s="35">
        <v>19</v>
      </c>
      <c r="AR339" s="35">
        <v>20.8</v>
      </c>
      <c r="AS339" s="35">
        <v>19</v>
      </c>
      <c r="AT339" s="35">
        <v>18</v>
      </c>
      <c r="AU339" s="35">
        <v>19</v>
      </c>
      <c r="AV339" s="35">
        <v>18.5</v>
      </c>
      <c r="AW339" s="35">
        <v>19</v>
      </c>
      <c r="AX339" s="35">
        <v>21.2</v>
      </c>
      <c r="AY339" s="35">
        <v>20</v>
      </c>
      <c r="AZ339" s="35">
        <v>21.1</v>
      </c>
      <c r="BA339" s="35">
        <v>20</v>
      </c>
      <c r="BB339" s="35">
        <v>33.200000000000003</v>
      </c>
      <c r="BC339" s="35">
        <v>40</v>
      </c>
      <c r="BD339" s="35">
        <v>32.299999999999997</v>
      </c>
      <c r="BE339" s="35">
        <v>40</v>
      </c>
      <c r="BF339" s="35">
        <v>21.9</v>
      </c>
      <c r="BG339" s="35">
        <v>20</v>
      </c>
    </row>
    <row r="340" spans="1:59" x14ac:dyDescent="0.35">
      <c r="A340" s="36">
        <v>46059.688888888886</v>
      </c>
      <c r="B340" s="35">
        <v>3.6</v>
      </c>
      <c r="C340" s="35">
        <v>2</v>
      </c>
      <c r="D340" s="35">
        <v>4</v>
      </c>
      <c r="E340" s="35">
        <v>2.2000000000000002</v>
      </c>
      <c r="F340" s="35">
        <v>1.7</v>
      </c>
      <c r="G340" s="35">
        <v>2</v>
      </c>
      <c r="H340" s="35">
        <v>1.7</v>
      </c>
      <c r="I340" s="35">
        <v>2</v>
      </c>
      <c r="J340" s="35">
        <v>2.2999999999999998</v>
      </c>
      <c r="K340" s="35">
        <v>2</v>
      </c>
      <c r="L340" s="35">
        <v>1.8</v>
      </c>
      <c r="M340" s="35">
        <v>2</v>
      </c>
      <c r="N340" s="35">
        <v>3.3</v>
      </c>
      <c r="O340" s="35">
        <v>3</v>
      </c>
      <c r="P340" s="35">
        <v>3.5</v>
      </c>
      <c r="Q340" s="35">
        <v>2</v>
      </c>
      <c r="R340" s="35">
        <v>3.8</v>
      </c>
      <c r="S340" s="35">
        <v>2</v>
      </c>
      <c r="T340" s="35">
        <v>3.5</v>
      </c>
      <c r="U340" s="35">
        <v>2</v>
      </c>
      <c r="V340" s="35">
        <v>10.1</v>
      </c>
      <c r="W340" s="35">
        <v>9</v>
      </c>
      <c r="X340" s="35">
        <v>10</v>
      </c>
      <c r="Y340" s="35">
        <v>9</v>
      </c>
      <c r="Z340" s="35">
        <v>9.6999999999999993</v>
      </c>
      <c r="AA340" s="35">
        <v>9</v>
      </c>
      <c r="AB340" s="35">
        <v>10.9</v>
      </c>
      <c r="AC340" s="35">
        <v>9</v>
      </c>
      <c r="AD340" s="35">
        <v>21</v>
      </c>
      <c r="AE340" s="35">
        <v>19</v>
      </c>
      <c r="AF340" s="35">
        <v>20.7</v>
      </c>
      <c r="AG340" s="35">
        <v>19</v>
      </c>
      <c r="AH340" s="35">
        <v>20.3</v>
      </c>
      <c r="AI340" s="35">
        <v>19</v>
      </c>
      <c r="AJ340" s="35">
        <v>17.899999999999999</v>
      </c>
      <c r="AK340" s="35">
        <v>19</v>
      </c>
      <c r="AL340" s="35">
        <v>19.3</v>
      </c>
      <c r="AM340" s="35">
        <v>19</v>
      </c>
      <c r="AN340" s="35">
        <v>19.5</v>
      </c>
      <c r="AO340" s="35">
        <v>19</v>
      </c>
      <c r="AP340" s="35">
        <v>20.3</v>
      </c>
      <c r="AQ340" s="35">
        <v>19</v>
      </c>
      <c r="AR340" s="35">
        <v>20.8</v>
      </c>
      <c r="AS340" s="35">
        <v>19</v>
      </c>
      <c r="AT340" s="35">
        <v>18.2</v>
      </c>
      <c r="AU340" s="35">
        <v>19</v>
      </c>
      <c r="AV340" s="35">
        <v>18</v>
      </c>
      <c r="AW340" s="35">
        <v>19</v>
      </c>
      <c r="AX340" s="35">
        <v>21.2</v>
      </c>
      <c r="AY340" s="35">
        <v>20</v>
      </c>
      <c r="AZ340" s="35">
        <v>21.1</v>
      </c>
      <c r="BA340" s="35">
        <v>20</v>
      </c>
      <c r="BB340" s="35">
        <v>33.200000000000003</v>
      </c>
      <c r="BC340" s="35">
        <v>40</v>
      </c>
      <c r="BD340" s="35">
        <v>32.299999999999997</v>
      </c>
      <c r="BE340" s="35">
        <v>40</v>
      </c>
      <c r="BF340" s="35">
        <v>21.9</v>
      </c>
      <c r="BG340" s="35">
        <v>20</v>
      </c>
    </row>
    <row r="341" spans="1:59" x14ac:dyDescent="0.35">
      <c r="A341" s="36">
        <v>46059.689583333333</v>
      </c>
      <c r="B341" s="35">
        <v>3.8</v>
      </c>
      <c r="C341" s="35">
        <v>2</v>
      </c>
      <c r="D341" s="35">
        <v>4.2</v>
      </c>
      <c r="E341" s="35">
        <v>2.2000000000000002</v>
      </c>
      <c r="F341" s="35">
        <v>2</v>
      </c>
      <c r="G341" s="35">
        <v>2</v>
      </c>
      <c r="H341" s="35">
        <v>2.2999999999999998</v>
      </c>
      <c r="I341" s="35">
        <v>2</v>
      </c>
      <c r="J341" s="35">
        <v>2.4</v>
      </c>
      <c r="K341" s="35">
        <v>2</v>
      </c>
      <c r="L341" s="35">
        <v>2.2000000000000002</v>
      </c>
      <c r="M341" s="35">
        <v>2</v>
      </c>
      <c r="N341" s="35">
        <v>3.6</v>
      </c>
      <c r="O341" s="35">
        <v>3</v>
      </c>
      <c r="P341" s="35">
        <v>3.7</v>
      </c>
      <c r="Q341" s="35">
        <v>2</v>
      </c>
      <c r="R341" s="35">
        <v>3.9</v>
      </c>
      <c r="S341" s="35">
        <v>2</v>
      </c>
      <c r="T341" s="35">
        <v>3.6</v>
      </c>
      <c r="U341" s="35">
        <v>2</v>
      </c>
      <c r="V341" s="35">
        <v>8.4</v>
      </c>
      <c r="W341" s="35">
        <v>9</v>
      </c>
      <c r="X341" s="35">
        <v>9.1</v>
      </c>
      <c r="Y341" s="35">
        <v>9</v>
      </c>
      <c r="Z341" s="35">
        <v>10</v>
      </c>
      <c r="AA341" s="35">
        <v>9</v>
      </c>
      <c r="AB341" s="35">
        <v>10.7</v>
      </c>
      <c r="AC341" s="35">
        <v>9</v>
      </c>
      <c r="AD341" s="35">
        <v>21</v>
      </c>
      <c r="AE341" s="35">
        <v>19</v>
      </c>
      <c r="AF341" s="35">
        <v>20.8</v>
      </c>
      <c r="AG341" s="35">
        <v>19</v>
      </c>
      <c r="AH341" s="35">
        <v>20.399999999999999</v>
      </c>
      <c r="AI341" s="35">
        <v>19</v>
      </c>
      <c r="AJ341" s="35">
        <v>17.899999999999999</v>
      </c>
      <c r="AK341" s="35">
        <v>19</v>
      </c>
      <c r="AL341" s="35">
        <v>19.3</v>
      </c>
      <c r="AM341" s="35">
        <v>19</v>
      </c>
      <c r="AN341" s="35">
        <v>19.399999999999999</v>
      </c>
      <c r="AO341" s="35">
        <v>19</v>
      </c>
      <c r="AP341" s="35">
        <v>20.3</v>
      </c>
      <c r="AQ341" s="35">
        <v>19</v>
      </c>
      <c r="AR341" s="35">
        <v>20.8</v>
      </c>
      <c r="AS341" s="35">
        <v>19</v>
      </c>
      <c r="AT341" s="35">
        <v>18.5</v>
      </c>
      <c r="AU341" s="35">
        <v>19</v>
      </c>
      <c r="AV341" s="35">
        <v>17.899999999999999</v>
      </c>
      <c r="AW341" s="35">
        <v>19</v>
      </c>
      <c r="AX341" s="35">
        <v>21.2</v>
      </c>
      <c r="AY341" s="35">
        <v>20</v>
      </c>
      <c r="AZ341" s="35">
        <v>21.1</v>
      </c>
      <c r="BA341" s="35">
        <v>20</v>
      </c>
      <c r="BB341" s="35">
        <v>33.200000000000003</v>
      </c>
      <c r="BC341" s="35">
        <v>40</v>
      </c>
      <c r="BD341" s="35">
        <v>32.299999999999997</v>
      </c>
      <c r="BE341" s="35">
        <v>40</v>
      </c>
      <c r="BF341" s="35">
        <v>21.9</v>
      </c>
      <c r="BG341" s="35">
        <v>20</v>
      </c>
    </row>
    <row r="342" spans="1:59" x14ac:dyDescent="0.35">
      <c r="A342" s="36">
        <v>46059.69027777778</v>
      </c>
      <c r="B342" s="35">
        <v>3.8</v>
      </c>
      <c r="C342" s="35">
        <v>2</v>
      </c>
      <c r="D342" s="35">
        <v>4.0999999999999996</v>
      </c>
      <c r="E342" s="35">
        <v>2.2000000000000002</v>
      </c>
      <c r="F342" s="35">
        <v>2.5</v>
      </c>
      <c r="G342" s="35">
        <v>2</v>
      </c>
      <c r="H342" s="35">
        <v>3</v>
      </c>
      <c r="I342" s="35">
        <v>2</v>
      </c>
      <c r="J342" s="35">
        <v>3.5</v>
      </c>
      <c r="K342" s="35">
        <v>2</v>
      </c>
      <c r="L342" s="35">
        <v>2.6</v>
      </c>
      <c r="M342" s="35">
        <v>2</v>
      </c>
      <c r="N342" s="35">
        <v>3.8</v>
      </c>
      <c r="O342" s="35">
        <v>3</v>
      </c>
      <c r="P342" s="35">
        <v>3.8</v>
      </c>
      <c r="Q342" s="35">
        <v>2</v>
      </c>
      <c r="R342" s="35">
        <v>4</v>
      </c>
      <c r="S342" s="35">
        <v>2</v>
      </c>
      <c r="T342" s="35">
        <v>3.7</v>
      </c>
      <c r="U342" s="35">
        <v>2</v>
      </c>
      <c r="V342" s="35">
        <v>7.9</v>
      </c>
      <c r="W342" s="35">
        <v>9</v>
      </c>
      <c r="X342" s="35">
        <v>8.5</v>
      </c>
      <c r="Y342" s="35">
        <v>9</v>
      </c>
      <c r="Z342" s="35">
        <v>10.199999999999999</v>
      </c>
      <c r="AA342" s="35">
        <v>9</v>
      </c>
      <c r="AB342" s="35">
        <v>10.1</v>
      </c>
      <c r="AC342" s="35">
        <v>9</v>
      </c>
      <c r="AD342" s="35">
        <v>20.3</v>
      </c>
      <c r="AE342" s="35">
        <v>19</v>
      </c>
      <c r="AF342" s="35">
        <v>20.8</v>
      </c>
      <c r="AG342" s="35">
        <v>19</v>
      </c>
      <c r="AH342" s="35">
        <v>20.399999999999999</v>
      </c>
      <c r="AI342" s="35">
        <v>19</v>
      </c>
      <c r="AJ342" s="35">
        <v>18.100000000000001</v>
      </c>
      <c r="AK342" s="35">
        <v>19</v>
      </c>
      <c r="AL342" s="35">
        <v>19.3</v>
      </c>
      <c r="AM342" s="35">
        <v>19</v>
      </c>
      <c r="AN342" s="35">
        <v>19</v>
      </c>
      <c r="AO342" s="35">
        <v>19</v>
      </c>
      <c r="AP342" s="35">
        <v>20.3</v>
      </c>
      <c r="AQ342" s="35">
        <v>19</v>
      </c>
      <c r="AR342" s="35">
        <v>20.8</v>
      </c>
      <c r="AS342" s="35">
        <v>19</v>
      </c>
      <c r="AT342" s="35">
        <v>18.7</v>
      </c>
      <c r="AU342" s="35">
        <v>19</v>
      </c>
      <c r="AV342" s="35">
        <v>17.899999999999999</v>
      </c>
      <c r="AW342" s="35">
        <v>19</v>
      </c>
      <c r="AX342" s="35">
        <v>21.2</v>
      </c>
      <c r="AY342" s="35">
        <v>20</v>
      </c>
      <c r="AZ342" s="35">
        <v>21.1</v>
      </c>
      <c r="BA342" s="35">
        <v>20</v>
      </c>
      <c r="BB342" s="35">
        <v>33.200000000000003</v>
      </c>
      <c r="BC342" s="35">
        <v>40</v>
      </c>
      <c r="BD342" s="35">
        <v>32.299999999999997</v>
      </c>
      <c r="BE342" s="35">
        <v>40</v>
      </c>
      <c r="BF342" s="35">
        <v>21.9</v>
      </c>
      <c r="BG342" s="35">
        <v>20</v>
      </c>
    </row>
    <row r="343" spans="1:59" x14ac:dyDescent="0.35">
      <c r="A343" s="36">
        <v>46059.690972222219</v>
      </c>
      <c r="B343" s="35">
        <v>3.9</v>
      </c>
      <c r="C343" s="35">
        <v>2</v>
      </c>
      <c r="D343" s="35">
        <v>4.0999999999999996</v>
      </c>
      <c r="E343" s="35">
        <v>2.2000000000000002</v>
      </c>
      <c r="F343" s="35">
        <v>3.1</v>
      </c>
      <c r="G343" s="35">
        <v>2</v>
      </c>
      <c r="H343" s="35">
        <v>3.5</v>
      </c>
      <c r="I343" s="35">
        <v>2</v>
      </c>
      <c r="J343" s="35">
        <v>3.7</v>
      </c>
      <c r="K343" s="35">
        <v>2</v>
      </c>
      <c r="L343" s="35">
        <v>3.1</v>
      </c>
      <c r="M343" s="35">
        <v>2</v>
      </c>
      <c r="N343" s="35">
        <v>4</v>
      </c>
      <c r="O343" s="35">
        <v>3</v>
      </c>
      <c r="P343" s="35">
        <v>3.9</v>
      </c>
      <c r="Q343" s="35">
        <v>2</v>
      </c>
      <c r="R343" s="35">
        <v>2.9</v>
      </c>
      <c r="S343" s="35">
        <v>2</v>
      </c>
      <c r="T343" s="35">
        <v>3.7</v>
      </c>
      <c r="U343" s="35">
        <v>2</v>
      </c>
      <c r="V343" s="35">
        <v>8.4</v>
      </c>
      <c r="W343" s="35">
        <v>9</v>
      </c>
      <c r="X343" s="35">
        <v>8.5</v>
      </c>
      <c r="Y343" s="35">
        <v>9</v>
      </c>
      <c r="Z343" s="35">
        <v>10.4</v>
      </c>
      <c r="AA343" s="35">
        <v>9</v>
      </c>
      <c r="AB343" s="35">
        <v>9.8000000000000007</v>
      </c>
      <c r="AC343" s="35">
        <v>9</v>
      </c>
      <c r="AD343" s="35">
        <v>19.899999999999999</v>
      </c>
      <c r="AE343" s="35">
        <v>19</v>
      </c>
      <c r="AF343" s="35">
        <v>20.8</v>
      </c>
      <c r="AG343" s="35">
        <v>19</v>
      </c>
      <c r="AH343" s="35">
        <v>20.5</v>
      </c>
      <c r="AI343" s="35">
        <v>19</v>
      </c>
      <c r="AJ343" s="35">
        <v>18.399999999999999</v>
      </c>
      <c r="AK343" s="35">
        <v>19</v>
      </c>
      <c r="AL343" s="35">
        <v>19.3</v>
      </c>
      <c r="AM343" s="35">
        <v>19</v>
      </c>
      <c r="AN343" s="35">
        <v>18.8</v>
      </c>
      <c r="AO343" s="35">
        <v>19</v>
      </c>
      <c r="AP343" s="35">
        <v>20.399999999999999</v>
      </c>
      <c r="AQ343" s="35">
        <v>19</v>
      </c>
      <c r="AR343" s="35">
        <v>20.8</v>
      </c>
      <c r="AS343" s="35">
        <v>19</v>
      </c>
      <c r="AT343" s="35">
        <v>18.899999999999999</v>
      </c>
      <c r="AU343" s="35">
        <v>19</v>
      </c>
      <c r="AV343" s="35">
        <v>18.2</v>
      </c>
      <c r="AW343" s="35">
        <v>19</v>
      </c>
      <c r="AX343" s="35">
        <v>21.2</v>
      </c>
      <c r="AY343" s="35">
        <v>20</v>
      </c>
      <c r="AZ343" s="35">
        <v>21.1</v>
      </c>
      <c r="BA343" s="35">
        <v>20</v>
      </c>
      <c r="BB343" s="35">
        <v>33.200000000000003</v>
      </c>
      <c r="BC343" s="35">
        <v>40</v>
      </c>
      <c r="BD343" s="35">
        <v>32.299999999999997</v>
      </c>
      <c r="BE343" s="35">
        <v>40</v>
      </c>
      <c r="BF343" s="35">
        <v>17.399999999999999</v>
      </c>
      <c r="BG343" s="35">
        <v>20</v>
      </c>
    </row>
    <row r="344" spans="1:59" x14ac:dyDescent="0.35">
      <c r="A344" s="36">
        <v>46059.691666666666</v>
      </c>
      <c r="B344" s="35">
        <v>4</v>
      </c>
      <c r="C344" s="35">
        <v>2</v>
      </c>
      <c r="D344" s="35">
        <v>4.3</v>
      </c>
      <c r="E344" s="35">
        <v>2.2000000000000002</v>
      </c>
      <c r="F344" s="35">
        <v>3.6</v>
      </c>
      <c r="G344" s="35">
        <v>2</v>
      </c>
      <c r="H344" s="35">
        <v>3.9</v>
      </c>
      <c r="I344" s="35">
        <v>2</v>
      </c>
      <c r="J344" s="35">
        <v>3.8</v>
      </c>
      <c r="K344" s="35">
        <v>2</v>
      </c>
      <c r="L344" s="35">
        <v>3.5</v>
      </c>
      <c r="M344" s="35">
        <v>2</v>
      </c>
      <c r="N344" s="35">
        <v>3.8</v>
      </c>
      <c r="O344" s="35">
        <v>3</v>
      </c>
      <c r="P344" s="35">
        <v>3.9</v>
      </c>
      <c r="Q344" s="35">
        <v>2</v>
      </c>
      <c r="R344" s="35">
        <v>1.7</v>
      </c>
      <c r="S344" s="35">
        <v>2</v>
      </c>
      <c r="T344" s="35">
        <v>3.7</v>
      </c>
      <c r="U344" s="35">
        <v>2</v>
      </c>
      <c r="V344" s="35">
        <v>9.1999999999999993</v>
      </c>
      <c r="W344" s="35">
        <v>9</v>
      </c>
      <c r="X344" s="35">
        <v>8.5</v>
      </c>
      <c r="Y344" s="35">
        <v>9</v>
      </c>
      <c r="Z344" s="35">
        <v>10.6</v>
      </c>
      <c r="AA344" s="35">
        <v>9</v>
      </c>
      <c r="AB344" s="35">
        <v>9.5</v>
      </c>
      <c r="AC344" s="35">
        <v>9</v>
      </c>
      <c r="AD344" s="35">
        <v>19.8</v>
      </c>
      <c r="AE344" s="35">
        <v>19</v>
      </c>
      <c r="AF344" s="35">
        <v>20.9</v>
      </c>
      <c r="AG344" s="35">
        <v>19</v>
      </c>
      <c r="AH344" s="35">
        <v>20.5</v>
      </c>
      <c r="AI344" s="35">
        <v>19</v>
      </c>
      <c r="AJ344" s="35">
        <v>18.600000000000001</v>
      </c>
      <c r="AK344" s="35">
        <v>19</v>
      </c>
      <c r="AL344" s="35">
        <v>19.3</v>
      </c>
      <c r="AM344" s="35">
        <v>19</v>
      </c>
      <c r="AN344" s="35">
        <v>18.8</v>
      </c>
      <c r="AO344" s="35">
        <v>19</v>
      </c>
      <c r="AP344" s="35">
        <v>20.399999999999999</v>
      </c>
      <c r="AQ344" s="35">
        <v>19</v>
      </c>
      <c r="AR344" s="35">
        <v>20.8</v>
      </c>
      <c r="AS344" s="35">
        <v>19</v>
      </c>
      <c r="AT344" s="35">
        <v>19.100000000000001</v>
      </c>
      <c r="AU344" s="35">
        <v>19</v>
      </c>
      <c r="AV344" s="35">
        <v>18.399999999999999</v>
      </c>
      <c r="AW344" s="35">
        <v>19</v>
      </c>
      <c r="AX344" s="35">
        <v>21.2</v>
      </c>
      <c r="AY344" s="35">
        <v>20</v>
      </c>
      <c r="AZ344" s="35">
        <v>21</v>
      </c>
      <c r="BA344" s="35">
        <v>20</v>
      </c>
      <c r="BB344" s="35">
        <v>33.200000000000003</v>
      </c>
      <c r="BC344" s="35">
        <v>40</v>
      </c>
      <c r="BD344" s="35">
        <v>32.299999999999997</v>
      </c>
      <c r="BE344" s="35">
        <v>40</v>
      </c>
      <c r="BF344" s="35">
        <v>17.600000000000001</v>
      </c>
      <c r="BG344" s="35">
        <v>20</v>
      </c>
    </row>
    <row r="345" spans="1:59" x14ac:dyDescent="0.35">
      <c r="A345" s="36">
        <v>46059.692361111112</v>
      </c>
      <c r="B345" s="35">
        <v>3.8</v>
      </c>
      <c r="C345" s="35">
        <v>2</v>
      </c>
      <c r="D345" s="35">
        <v>4</v>
      </c>
      <c r="E345" s="35">
        <v>2.2000000000000002</v>
      </c>
      <c r="F345" s="35">
        <v>3.6</v>
      </c>
      <c r="G345" s="35">
        <v>2</v>
      </c>
      <c r="H345" s="35">
        <v>3.6</v>
      </c>
      <c r="I345" s="35">
        <v>2</v>
      </c>
      <c r="J345" s="35">
        <v>3.9</v>
      </c>
      <c r="K345" s="35">
        <v>2</v>
      </c>
      <c r="L345" s="35">
        <v>3.8</v>
      </c>
      <c r="M345" s="35">
        <v>2</v>
      </c>
      <c r="N345" s="35">
        <v>2.6</v>
      </c>
      <c r="O345" s="35">
        <v>3</v>
      </c>
      <c r="P345" s="35">
        <v>2.9</v>
      </c>
      <c r="Q345" s="35">
        <v>2</v>
      </c>
      <c r="R345" s="35">
        <v>1.5</v>
      </c>
      <c r="S345" s="35">
        <v>2</v>
      </c>
      <c r="T345" s="35">
        <v>3.7</v>
      </c>
      <c r="U345" s="35">
        <v>2</v>
      </c>
      <c r="V345" s="35">
        <v>9.8000000000000007</v>
      </c>
      <c r="W345" s="35">
        <v>9</v>
      </c>
      <c r="X345" s="35">
        <v>8.6999999999999993</v>
      </c>
      <c r="Y345" s="35">
        <v>9</v>
      </c>
      <c r="Z345" s="35">
        <v>10.8</v>
      </c>
      <c r="AA345" s="35">
        <v>9</v>
      </c>
      <c r="AB345" s="35">
        <v>8.5</v>
      </c>
      <c r="AC345" s="35">
        <v>9</v>
      </c>
      <c r="AD345" s="35">
        <v>19.3</v>
      </c>
      <c r="AE345" s="35">
        <v>19</v>
      </c>
      <c r="AF345" s="35">
        <v>20.9</v>
      </c>
      <c r="AG345" s="35">
        <v>19</v>
      </c>
      <c r="AH345" s="35">
        <v>20.5</v>
      </c>
      <c r="AI345" s="35">
        <v>19</v>
      </c>
      <c r="AJ345" s="35">
        <v>18.8</v>
      </c>
      <c r="AK345" s="35">
        <v>19</v>
      </c>
      <c r="AL345" s="35">
        <v>19.3</v>
      </c>
      <c r="AM345" s="35">
        <v>19</v>
      </c>
      <c r="AN345" s="35">
        <v>19.100000000000001</v>
      </c>
      <c r="AO345" s="35">
        <v>19</v>
      </c>
      <c r="AP345" s="35">
        <v>20.399999999999999</v>
      </c>
      <c r="AQ345" s="35">
        <v>19</v>
      </c>
      <c r="AR345" s="35">
        <v>20.8</v>
      </c>
      <c r="AS345" s="35">
        <v>19</v>
      </c>
      <c r="AT345" s="35">
        <v>19.2</v>
      </c>
      <c r="AU345" s="35">
        <v>19</v>
      </c>
      <c r="AV345" s="35">
        <v>18.600000000000001</v>
      </c>
      <c r="AW345" s="35">
        <v>19</v>
      </c>
      <c r="AX345" s="35">
        <v>21.2</v>
      </c>
      <c r="AY345" s="35">
        <v>20</v>
      </c>
      <c r="AZ345" s="35">
        <v>20.9</v>
      </c>
      <c r="BA345" s="35">
        <v>20</v>
      </c>
      <c r="BB345" s="35">
        <v>33.200000000000003</v>
      </c>
      <c r="BC345" s="35">
        <v>40</v>
      </c>
      <c r="BD345" s="35">
        <v>32.299999999999997</v>
      </c>
      <c r="BE345" s="35">
        <v>40</v>
      </c>
      <c r="BF345" s="35">
        <v>18.399999999999999</v>
      </c>
      <c r="BG345" s="35">
        <v>20</v>
      </c>
    </row>
    <row r="346" spans="1:59" x14ac:dyDescent="0.35">
      <c r="A346" s="36">
        <v>46059.693055555559</v>
      </c>
      <c r="B346" s="35">
        <v>2.9</v>
      </c>
      <c r="C346" s="35">
        <v>2</v>
      </c>
      <c r="D346" s="35">
        <v>3.2</v>
      </c>
      <c r="E346" s="35">
        <v>2.2000000000000002</v>
      </c>
      <c r="F346" s="35">
        <v>3.6</v>
      </c>
      <c r="G346" s="35">
        <v>2</v>
      </c>
      <c r="H346" s="35">
        <v>3.2</v>
      </c>
      <c r="I346" s="35">
        <v>2</v>
      </c>
      <c r="J346" s="35">
        <v>4</v>
      </c>
      <c r="K346" s="35">
        <v>2</v>
      </c>
      <c r="L346" s="35">
        <v>4</v>
      </c>
      <c r="M346" s="35">
        <v>2</v>
      </c>
      <c r="N346" s="35">
        <v>1.5</v>
      </c>
      <c r="O346" s="35">
        <v>3</v>
      </c>
      <c r="P346" s="35">
        <v>2.1</v>
      </c>
      <c r="Q346" s="35">
        <v>2</v>
      </c>
      <c r="R346" s="35">
        <v>1.6</v>
      </c>
      <c r="S346" s="35">
        <v>2</v>
      </c>
      <c r="T346" s="35">
        <v>3.7</v>
      </c>
      <c r="U346" s="35">
        <v>2</v>
      </c>
      <c r="V346" s="35">
        <v>10.199999999999999</v>
      </c>
      <c r="W346" s="35">
        <v>9</v>
      </c>
      <c r="X346" s="35">
        <v>8.9</v>
      </c>
      <c r="Y346" s="35">
        <v>9</v>
      </c>
      <c r="Z346" s="35">
        <v>10.9</v>
      </c>
      <c r="AA346" s="35">
        <v>9</v>
      </c>
      <c r="AB346" s="35">
        <v>8.4</v>
      </c>
      <c r="AC346" s="35">
        <v>9</v>
      </c>
      <c r="AD346" s="35">
        <v>19.100000000000001</v>
      </c>
      <c r="AE346" s="35">
        <v>19</v>
      </c>
      <c r="AF346" s="35">
        <v>20.9</v>
      </c>
      <c r="AG346" s="35">
        <v>19</v>
      </c>
      <c r="AH346" s="35">
        <v>20.5</v>
      </c>
      <c r="AI346" s="35">
        <v>19</v>
      </c>
      <c r="AJ346" s="35">
        <v>19</v>
      </c>
      <c r="AK346" s="35">
        <v>19</v>
      </c>
      <c r="AL346" s="35">
        <v>19.3</v>
      </c>
      <c r="AM346" s="35">
        <v>19</v>
      </c>
      <c r="AN346" s="35">
        <v>19.3</v>
      </c>
      <c r="AO346" s="35">
        <v>19</v>
      </c>
      <c r="AP346" s="35">
        <v>20.399999999999999</v>
      </c>
      <c r="AQ346" s="35">
        <v>19</v>
      </c>
      <c r="AR346" s="35">
        <v>20.8</v>
      </c>
      <c r="AS346" s="35">
        <v>19</v>
      </c>
      <c r="AT346" s="35">
        <v>19.3</v>
      </c>
      <c r="AU346" s="35">
        <v>19</v>
      </c>
      <c r="AV346" s="35">
        <v>18.7</v>
      </c>
      <c r="AW346" s="35">
        <v>19</v>
      </c>
      <c r="AX346" s="35">
        <v>21.2</v>
      </c>
      <c r="AY346" s="35">
        <v>20</v>
      </c>
      <c r="AZ346" s="35">
        <v>20.9</v>
      </c>
      <c r="BA346" s="35">
        <v>20</v>
      </c>
      <c r="BB346" s="35">
        <v>33.200000000000003</v>
      </c>
      <c r="BC346" s="35">
        <v>40</v>
      </c>
      <c r="BD346" s="35">
        <v>32.299999999999997</v>
      </c>
      <c r="BE346" s="35">
        <v>40</v>
      </c>
      <c r="BF346" s="35">
        <v>19</v>
      </c>
      <c r="BG346" s="35">
        <v>20</v>
      </c>
    </row>
    <row r="347" spans="1:59" x14ac:dyDescent="0.35">
      <c r="A347" s="36">
        <v>46059.693749999999</v>
      </c>
      <c r="B347" s="35">
        <v>1.7</v>
      </c>
      <c r="C347" s="35">
        <v>2</v>
      </c>
      <c r="D347" s="35">
        <v>2.1</v>
      </c>
      <c r="E347" s="35">
        <v>2.2000000000000002</v>
      </c>
      <c r="F347" s="35">
        <v>3.6</v>
      </c>
      <c r="G347" s="35">
        <v>2</v>
      </c>
      <c r="H347" s="35">
        <v>3.1</v>
      </c>
      <c r="I347" s="35">
        <v>2</v>
      </c>
      <c r="J347" s="35">
        <v>2.8</v>
      </c>
      <c r="K347" s="35">
        <v>2</v>
      </c>
      <c r="L347" s="35">
        <v>2.7</v>
      </c>
      <c r="M347" s="35">
        <v>2</v>
      </c>
      <c r="N347" s="35">
        <v>1.1000000000000001</v>
      </c>
      <c r="O347" s="35">
        <v>3</v>
      </c>
      <c r="P347" s="35">
        <v>1.8</v>
      </c>
      <c r="Q347" s="35">
        <v>2</v>
      </c>
      <c r="R347" s="35">
        <v>2</v>
      </c>
      <c r="S347" s="35">
        <v>2</v>
      </c>
      <c r="T347" s="35">
        <v>3.7</v>
      </c>
      <c r="U347" s="35">
        <v>2</v>
      </c>
      <c r="V347" s="35">
        <v>10.7</v>
      </c>
      <c r="W347" s="35">
        <v>9</v>
      </c>
      <c r="X347" s="35">
        <v>9.1999999999999993</v>
      </c>
      <c r="Y347" s="35">
        <v>9</v>
      </c>
      <c r="Z347" s="35">
        <v>11</v>
      </c>
      <c r="AA347" s="35">
        <v>9</v>
      </c>
      <c r="AB347" s="35">
        <v>9</v>
      </c>
      <c r="AC347" s="35">
        <v>9</v>
      </c>
      <c r="AD347" s="35">
        <v>18.8</v>
      </c>
      <c r="AE347" s="35">
        <v>19</v>
      </c>
      <c r="AF347" s="35">
        <v>20.9</v>
      </c>
      <c r="AG347" s="35">
        <v>19</v>
      </c>
      <c r="AH347" s="35">
        <v>20.6</v>
      </c>
      <c r="AI347" s="35">
        <v>19</v>
      </c>
      <c r="AJ347" s="35">
        <v>19.2</v>
      </c>
      <c r="AK347" s="35">
        <v>19</v>
      </c>
      <c r="AL347" s="35">
        <v>19.2</v>
      </c>
      <c r="AM347" s="35">
        <v>19</v>
      </c>
      <c r="AN347" s="35">
        <v>19.399999999999999</v>
      </c>
      <c r="AO347" s="35">
        <v>19</v>
      </c>
      <c r="AP347" s="35">
        <v>20.399999999999999</v>
      </c>
      <c r="AQ347" s="35">
        <v>19</v>
      </c>
      <c r="AR347" s="35">
        <v>20.8</v>
      </c>
      <c r="AS347" s="35">
        <v>19</v>
      </c>
      <c r="AT347" s="35">
        <v>19.399999999999999</v>
      </c>
      <c r="AU347" s="35">
        <v>19</v>
      </c>
      <c r="AV347" s="35">
        <v>18.899999999999999</v>
      </c>
      <c r="AW347" s="35">
        <v>19</v>
      </c>
      <c r="AX347" s="35">
        <v>21.2</v>
      </c>
      <c r="AY347" s="35">
        <v>20</v>
      </c>
      <c r="AZ347" s="35">
        <v>20.9</v>
      </c>
      <c r="BA347" s="35">
        <v>20</v>
      </c>
      <c r="BB347" s="35">
        <v>33.200000000000003</v>
      </c>
      <c r="BC347" s="35">
        <v>40</v>
      </c>
      <c r="BD347" s="35">
        <v>32.299999999999997</v>
      </c>
      <c r="BE347" s="35">
        <v>40</v>
      </c>
      <c r="BF347" s="35">
        <v>19.5</v>
      </c>
      <c r="BG347" s="35">
        <v>20</v>
      </c>
    </row>
    <row r="348" spans="1:59" x14ac:dyDescent="0.35">
      <c r="A348" s="36">
        <v>46059.694444444445</v>
      </c>
      <c r="B348" s="35">
        <v>1.7</v>
      </c>
      <c r="C348" s="35">
        <v>2</v>
      </c>
      <c r="D348" s="35">
        <v>2.1</v>
      </c>
      <c r="E348" s="35">
        <v>2.2000000000000002</v>
      </c>
      <c r="F348" s="35">
        <v>3.6</v>
      </c>
      <c r="G348" s="35">
        <v>2</v>
      </c>
      <c r="H348" s="35">
        <v>3.1</v>
      </c>
      <c r="I348" s="35">
        <v>2</v>
      </c>
      <c r="J348" s="35">
        <v>1.7</v>
      </c>
      <c r="K348" s="35">
        <v>2</v>
      </c>
      <c r="L348" s="35">
        <v>1.7</v>
      </c>
      <c r="M348" s="35">
        <v>2</v>
      </c>
      <c r="N348" s="35">
        <v>1.3</v>
      </c>
      <c r="O348" s="35">
        <v>3</v>
      </c>
      <c r="P348" s="35">
        <v>1.9</v>
      </c>
      <c r="Q348" s="35">
        <v>2</v>
      </c>
      <c r="R348" s="35">
        <v>2.6</v>
      </c>
      <c r="S348" s="35">
        <v>2</v>
      </c>
      <c r="T348" s="35">
        <v>3.7</v>
      </c>
      <c r="U348" s="35">
        <v>2</v>
      </c>
      <c r="V348" s="35">
        <v>11</v>
      </c>
      <c r="W348" s="35">
        <v>9</v>
      </c>
      <c r="X348" s="35">
        <v>9.4</v>
      </c>
      <c r="Y348" s="35">
        <v>9</v>
      </c>
      <c r="Z348" s="35">
        <v>10</v>
      </c>
      <c r="AA348" s="35">
        <v>9</v>
      </c>
      <c r="AB348" s="35">
        <v>9.6</v>
      </c>
      <c r="AC348" s="35">
        <v>9</v>
      </c>
      <c r="AD348" s="35">
        <v>18.8</v>
      </c>
      <c r="AE348" s="35">
        <v>19</v>
      </c>
      <c r="AF348" s="35">
        <v>21</v>
      </c>
      <c r="AG348" s="35">
        <v>19</v>
      </c>
      <c r="AH348" s="35">
        <v>20.6</v>
      </c>
      <c r="AI348" s="35">
        <v>19</v>
      </c>
      <c r="AJ348" s="35">
        <v>19.3</v>
      </c>
      <c r="AK348" s="35">
        <v>19</v>
      </c>
      <c r="AL348" s="35">
        <v>19.100000000000001</v>
      </c>
      <c r="AM348" s="35">
        <v>19</v>
      </c>
      <c r="AN348" s="35">
        <v>19.600000000000001</v>
      </c>
      <c r="AO348" s="35">
        <v>19</v>
      </c>
      <c r="AP348" s="35">
        <v>20.5</v>
      </c>
      <c r="AQ348" s="35">
        <v>19</v>
      </c>
      <c r="AR348" s="35">
        <v>20.8</v>
      </c>
      <c r="AS348" s="35">
        <v>19</v>
      </c>
      <c r="AT348" s="35">
        <v>19.600000000000001</v>
      </c>
      <c r="AU348" s="35">
        <v>19</v>
      </c>
      <c r="AV348" s="35">
        <v>19.100000000000001</v>
      </c>
      <c r="AW348" s="35">
        <v>19</v>
      </c>
      <c r="AX348" s="35">
        <v>21.3</v>
      </c>
      <c r="AY348" s="35">
        <v>20</v>
      </c>
      <c r="AZ348" s="35">
        <v>21.1</v>
      </c>
      <c r="BA348" s="35">
        <v>20</v>
      </c>
      <c r="BB348" s="35">
        <v>33.200000000000003</v>
      </c>
      <c r="BC348" s="35">
        <v>40</v>
      </c>
      <c r="BD348" s="35">
        <v>32.299999999999997</v>
      </c>
      <c r="BE348" s="35">
        <v>40</v>
      </c>
      <c r="BF348" s="35">
        <v>19.899999999999999</v>
      </c>
      <c r="BG348" s="35">
        <v>20</v>
      </c>
    </row>
    <row r="349" spans="1:59" x14ac:dyDescent="0.35">
      <c r="A349" s="36">
        <v>46059.695138888892</v>
      </c>
      <c r="B349" s="35">
        <v>2</v>
      </c>
      <c r="C349" s="35">
        <v>2</v>
      </c>
      <c r="D349" s="35">
        <v>2.4</v>
      </c>
      <c r="E349" s="35">
        <v>2.2000000000000002</v>
      </c>
      <c r="F349" s="35">
        <v>3.8</v>
      </c>
      <c r="G349" s="35">
        <v>2</v>
      </c>
      <c r="H349" s="35">
        <v>3.3</v>
      </c>
      <c r="I349" s="35">
        <v>2</v>
      </c>
      <c r="J349" s="35">
        <v>1.7</v>
      </c>
      <c r="K349" s="35">
        <v>2</v>
      </c>
      <c r="L349" s="35">
        <v>1.7</v>
      </c>
      <c r="M349" s="35">
        <v>2</v>
      </c>
      <c r="N349" s="35">
        <v>1.7</v>
      </c>
      <c r="O349" s="35">
        <v>3</v>
      </c>
      <c r="P349" s="35">
        <v>2.2999999999999998</v>
      </c>
      <c r="Q349" s="35">
        <v>2</v>
      </c>
      <c r="R349" s="35">
        <v>3.7</v>
      </c>
      <c r="S349" s="35">
        <v>2</v>
      </c>
      <c r="T349" s="35">
        <v>3.7</v>
      </c>
      <c r="U349" s="35">
        <v>2</v>
      </c>
      <c r="V349" s="35">
        <v>9.5</v>
      </c>
      <c r="W349" s="35">
        <v>9</v>
      </c>
      <c r="X349" s="35">
        <v>9.5</v>
      </c>
      <c r="Y349" s="35">
        <v>9</v>
      </c>
      <c r="Z349" s="35">
        <v>8.9</v>
      </c>
      <c r="AA349" s="35">
        <v>9</v>
      </c>
      <c r="AB349" s="35">
        <v>10.1</v>
      </c>
      <c r="AC349" s="35">
        <v>9</v>
      </c>
      <c r="AD349" s="35">
        <v>18.899999999999999</v>
      </c>
      <c r="AE349" s="35">
        <v>19</v>
      </c>
      <c r="AF349" s="35">
        <v>20.8</v>
      </c>
      <c r="AG349" s="35">
        <v>19</v>
      </c>
      <c r="AH349" s="35">
        <v>20.7</v>
      </c>
      <c r="AI349" s="35">
        <v>19</v>
      </c>
      <c r="AJ349" s="35">
        <v>19.399999999999999</v>
      </c>
      <c r="AK349" s="35">
        <v>19</v>
      </c>
      <c r="AL349" s="35">
        <v>19</v>
      </c>
      <c r="AM349" s="35">
        <v>19</v>
      </c>
      <c r="AN349" s="35">
        <v>19.7</v>
      </c>
      <c r="AO349" s="35">
        <v>19</v>
      </c>
      <c r="AP349" s="35">
        <v>20.5</v>
      </c>
      <c r="AQ349" s="35">
        <v>19</v>
      </c>
      <c r="AR349" s="35">
        <v>20.8</v>
      </c>
      <c r="AS349" s="35">
        <v>19</v>
      </c>
      <c r="AT349" s="35">
        <v>19.7</v>
      </c>
      <c r="AU349" s="35">
        <v>19</v>
      </c>
      <c r="AV349" s="35">
        <v>19.3</v>
      </c>
      <c r="AW349" s="35">
        <v>19</v>
      </c>
      <c r="AX349" s="35">
        <v>21.3</v>
      </c>
      <c r="AY349" s="35">
        <v>20</v>
      </c>
      <c r="AZ349" s="35">
        <v>21.2</v>
      </c>
      <c r="BA349" s="35">
        <v>20</v>
      </c>
      <c r="BB349" s="35">
        <v>33.200000000000003</v>
      </c>
      <c r="BC349" s="35">
        <v>40</v>
      </c>
      <c r="BD349" s="35">
        <v>32.299999999999997</v>
      </c>
      <c r="BE349" s="35">
        <v>40</v>
      </c>
      <c r="BF349" s="35">
        <v>20.399999999999999</v>
      </c>
      <c r="BG349" s="35">
        <v>20</v>
      </c>
    </row>
    <row r="350" spans="1:59" x14ac:dyDescent="0.35">
      <c r="A350" s="36">
        <v>46059.695833333331</v>
      </c>
      <c r="B350" s="35">
        <v>2.5</v>
      </c>
      <c r="C350" s="35">
        <v>2</v>
      </c>
      <c r="D350" s="35">
        <v>3</v>
      </c>
      <c r="E350" s="35">
        <v>2.2000000000000002</v>
      </c>
      <c r="F350" s="35">
        <v>3.9</v>
      </c>
      <c r="G350" s="35">
        <v>2</v>
      </c>
      <c r="H350" s="35">
        <v>3.5</v>
      </c>
      <c r="I350" s="35">
        <v>2</v>
      </c>
      <c r="J350" s="35">
        <v>1.9</v>
      </c>
      <c r="K350" s="35">
        <v>2</v>
      </c>
      <c r="L350" s="35">
        <v>2.1</v>
      </c>
      <c r="M350" s="35">
        <v>2</v>
      </c>
      <c r="N350" s="35">
        <v>2</v>
      </c>
      <c r="O350" s="35">
        <v>3</v>
      </c>
      <c r="P350" s="35">
        <v>2.6</v>
      </c>
      <c r="Q350" s="35">
        <v>2</v>
      </c>
      <c r="R350" s="35">
        <v>3.5</v>
      </c>
      <c r="S350" s="35">
        <v>2</v>
      </c>
      <c r="T350" s="35">
        <v>3.7</v>
      </c>
      <c r="U350" s="35">
        <v>2</v>
      </c>
      <c r="V350" s="35">
        <v>7.4</v>
      </c>
      <c r="W350" s="35">
        <v>9</v>
      </c>
      <c r="X350" s="35">
        <v>9.6999999999999993</v>
      </c>
      <c r="Y350" s="35">
        <v>9</v>
      </c>
      <c r="Z350" s="35">
        <v>8.6999999999999993</v>
      </c>
      <c r="AA350" s="35">
        <v>9</v>
      </c>
      <c r="AB350" s="35">
        <v>10.5</v>
      </c>
      <c r="AC350" s="35">
        <v>9</v>
      </c>
      <c r="AD350" s="35">
        <v>19.100000000000001</v>
      </c>
      <c r="AE350" s="35">
        <v>19</v>
      </c>
      <c r="AF350" s="35">
        <v>19.899999999999999</v>
      </c>
      <c r="AG350" s="35">
        <v>19</v>
      </c>
      <c r="AH350" s="35">
        <v>20.7</v>
      </c>
      <c r="AI350" s="35">
        <v>19</v>
      </c>
      <c r="AJ350" s="35">
        <v>19.5</v>
      </c>
      <c r="AK350" s="35">
        <v>19</v>
      </c>
      <c r="AL350" s="35">
        <v>19.3</v>
      </c>
      <c r="AM350" s="35">
        <v>19</v>
      </c>
      <c r="AN350" s="35">
        <v>19.8</v>
      </c>
      <c r="AO350" s="35">
        <v>19</v>
      </c>
      <c r="AP350" s="35">
        <v>20.5</v>
      </c>
      <c r="AQ350" s="35">
        <v>19</v>
      </c>
      <c r="AR350" s="35">
        <v>20.8</v>
      </c>
      <c r="AS350" s="35">
        <v>19</v>
      </c>
      <c r="AT350" s="35">
        <v>19.8</v>
      </c>
      <c r="AU350" s="35">
        <v>19</v>
      </c>
      <c r="AV350" s="35">
        <v>19.5</v>
      </c>
      <c r="AW350" s="35">
        <v>19</v>
      </c>
      <c r="AX350" s="35">
        <v>21.3</v>
      </c>
      <c r="AY350" s="35">
        <v>20</v>
      </c>
      <c r="AZ350" s="35">
        <v>21.2</v>
      </c>
      <c r="BA350" s="35">
        <v>20</v>
      </c>
      <c r="BB350" s="35">
        <v>33.200000000000003</v>
      </c>
      <c r="BC350" s="35">
        <v>40</v>
      </c>
      <c r="BD350" s="35">
        <v>32.299999999999997</v>
      </c>
      <c r="BE350" s="35">
        <v>40</v>
      </c>
      <c r="BF350" s="35">
        <v>20.7</v>
      </c>
      <c r="BG350" s="35">
        <v>20</v>
      </c>
    </row>
    <row r="351" spans="1:59" x14ac:dyDescent="0.35">
      <c r="A351" s="36">
        <v>46059.696527777778</v>
      </c>
      <c r="B351" s="35">
        <v>2.9</v>
      </c>
      <c r="C351" s="35">
        <v>2</v>
      </c>
      <c r="D351" s="35">
        <v>3.4</v>
      </c>
      <c r="E351" s="35">
        <v>2.2000000000000002</v>
      </c>
      <c r="F351" s="35">
        <v>3.5</v>
      </c>
      <c r="G351" s="35">
        <v>2</v>
      </c>
      <c r="H351" s="35">
        <v>3</v>
      </c>
      <c r="I351" s="35">
        <v>2</v>
      </c>
      <c r="J351" s="35">
        <v>2.1</v>
      </c>
      <c r="K351" s="35">
        <v>2</v>
      </c>
      <c r="L351" s="35">
        <v>2.4</v>
      </c>
      <c r="M351" s="35">
        <v>2</v>
      </c>
      <c r="N351" s="35">
        <v>2.2999999999999998</v>
      </c>
      <c r="O351" s="35">
        <v>3</v>
      </c>
      <c r="P351" s="35">
        <v>2.8</v>
      </c>
      <c r="Q351" s="35">
        <v>2</v>
      </c>
      <c r="R351" s="35">
        <v>3.2</v>
      </c>
      <c r="S351" s="35">
        <v>2</v>
      </c>
      <c r="T351" s="35">
        <v>3.7</v>
      </c>
      <c r="U351" s="35">
        <v>2</v>
      </c>
      <c r="V351" s="35">
        <v>7.3</v>
      </c>
      <c r="W351" s="35">
        <v>9</v>
      </c>
      <c r="X351" s="35">
        <v>9.9</v>
      </c>
      <c r="Y351" s="35">
        <v>9</v>
      </c>
      <c r="Z351" s="35">
        <v>8.9</v>
      </c>
      <c r="AA351" s="35">
        <v>9</v>
      </c>
      <c r="AB351" s="35">
        <v>10.8</v>
      </c>
      <c r="AC351" s="35">
        <v>9</v>
      </c>
      <c r="AD351" s="35">
        <v>19.2</v>
      </c>
      <c r="AE351" s="35">
        <v>19</v>
      </c>
      <c r="AF351" s="35">
        <v>19.100000000000001</v>
      </c>
      <c r="AG351" s="35">
        <v>19</v>
      </c>
      <c r="AH351" s="35">
        <v>20.8</v>
      </c>
      <c r="AI351" s="35">
        <v>19</v>
      </c>
      <c r="AJ351" s="35">
        <v>19.7</v>
      </c>
      <c r="AK351" s="35">
        <v>19</v>
      </c>
      <c r="AL351" s="35">
        <v>19.600000000000001</v>
      </c>
      <c r="AM351" s="35">
        <v>19</v>
      </c>
      <c r="AN351" s="35">
        <v>19.899999999999999</v>
      </c>
      <c r="AO351" s="35">
        <v>19</v>
      </c>
      <c r="AP351" s="35">
        <v>20.5</v>
      </c>
      <c r="AQ351" s="35">
        <v>19</v>
      </c>
      <c r="AR351" s="35">
        <v>20.8</v>
      </c>
      <c r="AS351" s="35">
        <v>19</v>
      </c>
      <c r="AT351" s="35">
        <v>19.899999999999999</v>
      </c>
      <c r="AU351" s="35">
        <v>19</v>
      </c>
      <c r="AV351" s="35">
        <v>19.600000000000001</v>
      </c>
      <c r="AW351" s="35">
        <v>19</v>
      </c>
      <c r="AX351" s="35">
        <v>21.3</v>
      </c>
      <c r="AY351" s="35">
        <v>20</v>
      </c>
      <c r="AZ351" s="35">
        <v>21.2</v>
      </c>
      <c r="BA351" s="35">
        <v>20</v>
      </c>
      <c r="BB351" s="35">
        <v>33.200000000000003</v>
      </c>
      <c r="BC351" s="35">
        <v>40</v>
      </c>
      <c r="BD351" s="35">
        <v>32.299999999999997</v>
      </c>
      <c r="BE351" s="35">
        <v>40</v>
      </c>
      <c r="BF351" s="35">
        <v>21</v>
      </c>
      <c r="BG351" s="35">
        <v>20</v>
      </c>
    </row>
    <row r="352" spans="1:59" x14ac:dyDescent="0.35">
      <c r="A352" s="36">
        <v>46059.697222222225</v>
      </c>
      <c r="B352" s="35">
        <v>3.3</v>
      </c>
      <c r="C352" s="35">
        <v>2</v>
      </c>
      <c r="D352" s="35">
        <v>3.7</v>
      </c>
      <c r="E352" s="35">
        <v>2.2000000000000002</v>
      </c>
      <c r="F352" s="35">
        <v>1.5</v>
      </c>
      <c r="G352" s="35">
        <v>2</v>
      </c>
      <c r="H352" s="35">
        <v>1.5</v>
      </c>
      <c r="I352" s="35">
        <v>2</v>
      </c>
      <c r="J352" s="35">
        <v>2.2000000000000002</v>
      </c>
      <c r="K352" s="35">
        <v>2</v>
      </c>
      <c r="L352" s="35">
        <v>2.8</v>
      </c>
      <c r="M352" s="35">
        <v>2</v>
      </c>
      <c r="N352" s="35">
        <v>2.7</v>
      </c>
      <c r="O352" s="35">
        <v>3</v>
      </c>
      <c r="P352" s="35">
        <v>3.1</v>
      </c>
      <c r="Q352" s="35">
        <v>2</v>
      </c>
      <c r="R352" s="35">
        <v>3</v>
      </c>
      <c r="S352" s="35">
        <v>2</v>
      </c>
      <c r="T352" s="35">
        <v>3.7</v>
      </c>
      <c r="U352" s="35">
        <v>2</v>
      </c>
      <c r="V352" s="35">
        <v>8.1999999999999993</v>
      </c>
      <c r="W352" s="35">
        <v>9</v>
      </c>
      <c r="X352" s="35">
        <v>10</v>
      </c>
      <c r="Y352" s="35">
        <v>9</v>
      </c>
      <c r="Z352" s="35">
        <v>9.3000000000000007</v>
      </c>
      <c r="AA352" s="35">
        <v>9</v>
      </c>
      <c r="AB352" s="35">
        <v>11</v>
      </c>
      <c r="AC352" s="35">
        <v>9</v>
      </c>
      <c r="AD352" s="35">
        <v>19.3</v>
      </c>
      <c r="AE352" s="35">
        <v>19</v>
      </c>
      <c r="AF352" s="35">
        <v>18.8</v>
      </c>
      <c r="AG352" s="35">
        <v>19</v>
      </c>
      <c r="AH352" s="35">
        <v>20.8</v>
      </c>
      <c r="AI352" s="35">
        <v>19</v>
      </c>
      <c r="AJ352" s="35">
        <v>19.8</v>
      </c>
      <c r="AK352" s="35">
        <v>19</v>
      </c>
      <c r="AL352" s="35">
        <v>20</v>
      </c>
      <c r="AM352" s="35">
        <v>19</v>
      </c>
      <c r="AN352" s="35">
        <v>20</v>
      </c>
      <c r="AO352" s="35">
        <v>19</v>
      </c>
      <c r="AP352" s="35">
        <v>20.5</v>
      </c>
      <c r="AQ352" s="35">
        <v>19</v>
      </c>
      <c r="AR352" s="35">
        <v>20.8</v>
      </c>
      <c r="AS352" s="35">
        <v>19</v>
      </c>
      <c r="AT352" s="35">
        <v>20</v>
      </c>
      <c r="AU352" s="35">
        <v>19</v>
      </c>
      <c r="AV352" s="35">
        <v>19.7</v>
      </c>
      <c r="AW352" s="35">
        <v>19</v>
      </c>
      <c r="AX352" s="35">
        <v>21.3</v>
      </c>
      <c r="AY352" s="35">
        <v>20</v>
      </c>
      <c r="AZ352" s="35">
        <v>20.9</v>
      </c>
      <c r="BA352" s="35">
        <v>20</v>
      </c>
      <c r="BB352" s="35">
        <v>33.200000000000003</v>
      </c>
      <c r="BC352" s="35">
        <v>40</v>
      </c>
      <c r="BD352" s="35">
        <v>32.299999999999997</v>
      </c>
      <c r="BE352" s="35">
        <v>40</v>
      </c>
      <c r="BF352" s="35">
        <v>21.3</v>
      </c>
      <c r="BG352" s="35">
        <v>20</v>
      </c>
    </row>
    <row r="353" spans="1:59" x14ac:dyDescent="0.35">
      <c r="A353" s="36">
        <v>46059.697916666664</v>
      </c>
      <c r="B353" s="35">
        <v>3.6</v>
      </c>
      <c r="C353" s="35">
        <v>2</v>
      </c>
      <c r="D353" s="35">
        <v>3.9</v>
      </c>
      <c r="E353" s="35">
        <v>2.2000000000000002</v>
      </c>
      <c r="F353" s="35">
        <v>1.4</v>
      </c>
      <c r="G353" s="35">
        <v>2</v>
      </c>
      <c r="H353" s="35">
        <v>1.4</v>
      </c>
      <c r="I353" s="35">
        <v>2</v>
      </c>
      <c r="J353" s="35">
        <v>2.4</v>
      </c>
      <c r="K353" s="35">
        <v>2</v>
      </c>
      <c r="L353" s="35">
        <v>3.1</v>
      </c>
      <c r="M353" s="35">
        <v>2</v>
      </c>
      <c r="N353" s="35">
        <v>3</v>
      </c>
      <c r="O353" s="35">
        <v>3</v>
      </c>
      <c r="P353" s="35">
        <v>3.3</v>
      </c>
      <c r="Q353" s="35">
        <v>2</v>
      </c>
      <c r="R353" s="35">
        <v>2.5</v>
      </c>
      <c r="S353" s="35">
        <v>2</v>
      </c>
      <c r="T353" s="35">
        <v>3.7</v>
      </c>
      <c r="U353" s="35">
        <v>2</v>
      </c>
      <c r="V353" s="35">
        <v>9</v>
      </c>
      <c r="W353" s="35">
        <v>9</v>
      </c>
      <c r="X353" s="35">
        <v>10.1</v>
      </c>
      <c r="Y353" s="35">
        <v>9</v>
      </c>
      <c r="Z353" s="35">
        <v>9.6999999999999993</v>
      </c>
      <c r="AA353" s="35">
        <v>9</v>
      </c>
      <c r="AB353" s="35">
        <v>10.5</v>
      </c>
      <c r="AC353" s="35">
        <v>9</v>
      </c>
      <c r="AD353" s="35">
        <v>19.399999999999999</v>
      </c>
      <c r="AE353" s="35">
        <v>19</v>
      </c>
      <c r="AF353" s="35">
        <v>18.7</v>
      </c>
      <c r="AG353" s="35">
        <v>19</v>
      </c>
      <c r="AH353" s="35">
        <v>20.9</v>
      </c>
      <c r="AI353" s="35">
        <v>19</v>
      </c>
      <c r="AJ353" s="35">
        <v>19.899999999999999</v>
      </c>
      <c r="AK353" s="35">
        <v>19</v>
      </c>
      <c r="AL353" s="35">
        <v>20.2</v>
      </c>
      <c r="AM353" s="35">
        <v>19</v>
      </c>
      <c r="AN353" s="35">
        <v>20.100000000000001</v>
      </c>
      <c r="AO353" s="35">
        <v>19</v>
      </c>
      <c r="AP353" s="35">
        <v>20.5</v>
      </c>
      <c r="AQ353" s="35">
        <v>19</v>
      </c>
      <c r="AR353" s="35">
        <v>20.8</v>
      </c>
      <c r="AS353" s="35">
        <v>19</v>
      </c>
      <c r="AT353" s="35">
        <v>20.100000000000001</v>
      </c>
      <c r="AU353" s="35">
        <v>19</v>
      </c>
      <c r="AV353" s="35">
        <v>19.8</v>
      </c>
      <c r="AW353" s="35">
        <v>19</v>
      </c>
      <c r="AX353" s="35">
        <v>21.3</v>
      </c>
      <c r="AY353" s="35">
        <v>20</v>
      </c>
      <c r="AZ353" s="35">
        <v>20.9</v>
      </c>
      <c r="BA353" s="35">
        <v>20</v>
      </c>
      <c r="BB353" s="35">
        <v>33.200000000000003</v>
      </c>
      <c r="BC353" s="35">
        <v>40</v>
      </c>
      <c r="BD353" s="35">
        <v>32.299999999999997</v>
      </c>
      <c r="BE353" s="35">
        <v>40</v>
      </c>
      <c r="BF353" s="35">
        <v>21.5</v>
      </c>
      <c r="BG353" s="35">
        <v>20</v>
      </c>
    </row>
    <row r="354" spans="1:59" x14ac:dyDescent="0.35">
      <c r="A354" s="36">
        <v>46059.698611111111</v>
      </c>
      <c r="B354" s="35">
        <v>3.8</v>
      </c>
      <c r="C354" s="35">
        <v>2</v>
      </c>
      <c r="D354" s="35">
        <v>4.2</v>
      </c>
      <c r="E354" s="35">
        <v>2.2000000000000002</v>
      </c>
      <c r="F354" s="35">
        <v>1.5</v>
      </c>
      <c r="G354" s="35">
        <v>2</v>
      </c>
      <c r="H354" s="35">
        <v>1.9</v>
      </c>
      <c r="I354" s="35">
        <v>2</v>
      </c>
      <c r="J354" s="35">
        <v>2.6</v>
      </c>
      <c r="K354" s="35">
        <v>2</v>
      </c>
      <c r="L354" s="35">
        <v>3.4</v>
      </c>
      <c r="M354" s="35">
        <v>2</v>
      </c>
      <c r="N354" s="35">
        <v>3.3</v>
      </c>
      <c r="O354" s="35">
        <v>3</v>
      </c>
      <c r="P354" s="35">
        <v>3.5</v>
      </c>
      <c r="Q354" s="35">
        <v>2</v>
      </c>
      <c r="R354" s="35">
        <v>2.4</v>
      </c>
      <c r="S354" s="35">
        <v>2</v>
      </c>
      <c r="T354" s="35">
        <v>3.7</v>
      </c>
      <c r="U354" s="35">
        <v>2</v>
      </c>
      <c r="V354" s="35">
        <v>9.6999999999999993</v>
      </c>
      <c r="W354" s="35">
        <v>9</v>
      </c>
      <c r="X354" s="35">
        <v>10.199999999999999</v>
      </c>
      <c r="Y354" s="35">
        <v>9</v>
      </c>
      <c r="Z354" s="35">
        <v>10</v>
      </c>
      <c r="AA354" s="35">
        <v>9</v>
      </c>
      <c r="AB354" s="35">
        <v>9</v>
      </c>
      <c r="AC354" s="35">
        <v>9</v>
      </c>
      <c r="AD354" s="35">
        <v>19.399999999999999</v>
      </c>
      <c r="AE354" s="35">
        <v>19</v>
      </c>
      <c r="AF354" s="35">
        <v>18.7</v>
      </c>
      <c r="AG354" s="35">
        <v>19</v>
      </c>
      <c r="AH354" s="35">
        <v>20.9</v>
      </c>
      <c r="AI354" s="35">
        <v>19</v>
      </c>
      <c r="AJ354" s="35">
        <v>19.899999999999999</v>
      </c>
      <c r="AK354" s="35">
        <v>19</v>
      </c>
      <c r="AL354" s="35">
        <v>20.399999999999999</v>
      </c>
      <c r="AM354" s="35">
        <v>19</v>
      </c>
      <c r="AN354" s="35">
        <v>20.2</v>
      </c>
      <c r="AO354" s="35">
        <v>19</v>
      </c>
      <c r="AP354" s="35">
        <v>20.6</v>
      </c>
      <c r="AQ354" s="35">
        <v>19</v>
      </c>
      <c r="AR354" s="35">
        <v>20.8</v>
      </c>
      <c r="AS354" s="35">
        <v>19</v>
      </c>
      <c r="AT354" s="35">
        <v>20.2</v>
      </c>
      <c r="AU354" s="35">
        <v>19</v>
      </c>
      <c r="AV354" s="35">
        <v>19.899999999999999</v>
      </c>
      <c r="AW354" s="35">
        <v>19</v>
      </c>
      <c r="AX354" s="35">
        <v>21.3</v>
      </c>
      <c r="AY354" s="35">
        <v>20</v>
      </c>
      <c r="AZ354" s="35">
        <v>20.9</v>
      </c>
      <c r="BA354" s="35">
        <v>20</v>
      </c>
      <c r="BB354" s="35">
        <v>33.200000000000003</v>
      </c>
      <c r="BC354" s="35">
        <v>40</v>
      </c>
      <c r="BD354" s="35">
        <v>32.299999999999997</v>
      </c>
      <c r="BE354" s="35">
        <v>40</v>
      </c>
      <c r="BF354" s="35">
        <v>21.6</v>
      </c>
      <c r="BG354" s="35">
        <v>20</v>
      </c>
    </row>
    <row r="355" spans="1:59" x14ac:dyDescent="0.35">
      <c r="A355" s="36">
        <v>46059.699305555558</v>
      </c>
      <c r="B355" s="35">
        <v>3.8</v>
      </c>
      <c r="C355" s="35">
        <v>2</v>
      </c>
      <c r="D355" s="35">
        <v>4.0999999999999996</v>
      </c>
      <c r="E355" s="35">
        <v>2.2000000000000002</v>
      </c>
      <c r="F355" s="35">
        <v>2</v>
      </c>
      <c r="G355" s="35">
        <v>2</v>
      </c>
      <c r="H355" s="35">
        <v>2.5</v>
      </c>
      <c r="I355" s="35">
        <v>2</v>
      </c>
      <c r="J355" s="35">
        <v>4.2</v>
      </c>
      <c r="K355" s="35">
        <v>2</v>
      </c>
      <c r="L355" s="35">
        <v>3.8</v>
      </c>
      <c r="M355" s="35">
        <v>2</v>
      </c>
      <c r="N355" s="35">
        <v>3.5</v>
      </c>
      <c r="O355" s="35">
        <v>3</v>
      </c>
      <c r="P355" s="35">
        <v>3.6</v>
      </c>
      <c r="Q355" s="35">
        <v>2</v>
      </c>
      <c r="R355" s="35">
        <v>2.7</v>
      </c>
      <c r="S355" s="35">
        <v>2</v>
      </c>
      <c r="T355" s="35">
        <v>3.7</v>
      </c>
      <c r="U355" s="35">
        <v>2</v>
      </c>
      <c r="V355" s="35">
        <v>10.199999999999999</v>
      </c>
      <c r="W355" s="35">
        <v>9</v>
      </c>
      <c r="X355" s="35">
        <v>10.3</v>
      </c>
      <c r="Y355" s="35">
        <v>9</v>
      </c>
      <c r="Z355" s="35">
        <v>10.3</v>
      </c>
      <c r="AA355" s="35">
        <v>9</v>
      </c>
      <c r="AB355" s="35">
        <v>8.1999999999999993</v>
      </c>
      <c r="AC355" s="35">
        <v>9</v>
      </c>
      <c r="AD355" s="35">
        <v>19.5</v>
      </c>
      <c r="AE355" s="35">
        <v>19</v>
      </c>
      <c r="AF355" s="35">
        <v>18.7</v>
      </c>
      <c r="AG355" s="35">
        <v>19</v>
      </c>
      <c r="AH355" s="35">
        <v>20.9</v>
      </c>
      <c r="AI355" s="35">
        <v>19</v>
      </c>
      <c r="AJ355" s="35">
        <v>20</v>
      </c>
      <c r="AK355" s="35">
        <v>19</v>
      </c>
      <c r="AL355" s="35">
        <v>20.7</v>
      </c>
      <c r="AM355" s="35">
        <v>19</v>
      </c>
      <c r="AN355" s="35">
        <v>20.3</v>
      </c>
      <c r="AO355" s="35">
        <v>19</v>
      </c>
      <c r="AP355" s="35">
        <v>20.6</v>
      </c>
      <c r="AQ355" s="35">
        <v>19</v>
      </c>
      <c r="AR355" s="35">
        <v>20.8</v>
      </c>
      <c r="AS355" s="35">
        <v>19</v>
      </c>
      <c r="AT355" s="35">
        <v>20.3</v>
      </c>
      <c r="AU355" s="35">
        <v>19</v>
      </c>
      <c r="AV355" s="35">
        <v>20</v>
      </c>
      <c r="AW355" s="35">
        <v>19</v>
      </c>
      <c r="AX355" s="35">
        <v>21.3</v>
      </c>
      <c r="AY355" s="35">
        <v>20</v>
      </c>
      <c r="AZ355" s="35">
        <v>20.9</v>
      </c>
      <c r="BA355" s="35">
        <v>20</v>
      </c>
      <c r="BB355" s="35">
        <v>33.200000000000003</v>
      </c>
      <c r="BC355" s="35">
        <v>40</v>
      </c>
      <c r="BD355" s="35">
        <v>32.200000000000003</v>
      </c>
      <c r="BE355" s="35">
        <v>40</v>
      </c>
      <c r="BF355" s="35">
        <v>21.7</v>
      </c>
      <c r="BG355" s="35">
        <v>20</v>
      </c>
    </row>
    <row r="356" spans="1:59" x14ac:dyDescent="0.35">
      <c r="A356" s="36">
        <v>46059.7</v>
      </c>
      <c r="B356" s="35">
        <v>3.9</v>
      </c>
      <c r="C356" s="35">
        <v>2</v>
      </c>
      <c r="D356" s="35">
        <v>4.0999999999999996</v>
      </c>
      <c r="E356" s="35">
        <v>2.2000000000000002</v>
      </c>
      <c r="F356" s="35">
        <v>2.5</v>
      </c>
      <c r="G356" s="35">
        <v>2</v>
      </c>
      <c r="H356" s="35">
        <v>2.9</v>
      </c>
      <c r="I356" s="35">
        <v>2</v>
      </c>
      <c r="J356" s="35">
        <v>4.8</v>
      </c>
      <c r="K356" s="35">
        <v>2</v>
      </c>
      <c r="L356" s="35">
        <v>3.7</v>
      </c>
      <c r="M356" s="35">
        <v>2</v>
      </c>
      <c r="N356" s="35">
        <v>3.8</v>
      </c>
      <c r="O356" s="35">
        <v>3</v>
      </c>
      <c r="P356" s="35">
        <v>3.8</v>
      </c>
      <c r="Q356" s="35">
        <v>2</v>
      </c>
      <c r="R356" s="35">
        <v>2.9</v>
      </c>
      <c r="S356" s="35">
        <v>2</v>
      </c>
      <c r="T356" s="35">
        <v>3.7</v>
      </c>
      <c r="U356" s="35">
        <v>2</v>
      </c>
      <c r="V356" s="35">
        <v>10.8</v>
      </c>
      <c r="W356" s="35">
        <v>9</v>
      </c>
      <c r="X356" s="35">
        <v>10.4</v>
      </c>
      <c r="Y356" s="35">
        <v>9</v>
      </c>
      <c r="Z356" s="35">
        <v>10.5</v>
      </c>
      <c r="AA356" s="35">
        <v>9</v>
      </c>
      <c r="AB356" s="35">
        <v>8.5</v>
      </c>
      <c r="AC356" s="35">
        <v>9</v>
      </c>
      <c r="AD356" s="35">
        <v>19.600000000000001</v>
      </c>
      <c r="AE356" s="35">
        <v>19</v>
      </c>
      <c r="AF356" s="35">
        <v>18.8</v>
      </c>
      <c r="AG356" s="35">
        <v>19</v>
      </c>
      <c r="AH356" s="35">
        <v>21</v>
      </c>
      <c r="AI356" s="35">
        <v>19</v>
      </c>
      <c r="AJ356" s="35">
        <v>20.100000000000001</v>
      </c>
      <c r="AK356" s="35">
        <v>19</v>
      </c>
      <c r="AL356" s="35">
        <v>20.9</v>
      </c>
      <c r="AM356" s="35">
        <v>19</v>
      </c>
      <c r="AN356" s="35">
        <v>20.3</v>
      </c>
      <c r="AO356" s="35">
        <v>19</v>
      </c>
      <c r="AP356" s="35">
        <v>20.6</v>
      </c>
      <c r="AQ356" s="35">
        <v>19</v>
      </c>
      <c r="AR356" s="35">
        <v>20.8</v>
      </c>
      <c r="AS356" s="35">
        <v>19</v>
      </c>
      <c r="AT356" s="35">
        <v>20.399999999999999</v>
      </c>
      <c r="AU356" s="35">
        <v>19</v>
      </c>
      <c r="AV356" s="35">
        <v>20.100000000000001</v>
      </c>
      <c r="AW356" s="35">
        <v>19</v>
      </c>
      <c r="AX356" s="35">
        <v>21.3</v>
      </c>
      <c r="AY356" s="35">
        <v>20</v>
      </c>
      <c r="AZ356" s="35">
        <v>20.9</v>
      </c>
      <c r="BA356" s="35">
        <v>20</v>
      </c>
      <c r="BB356" s="35">
        <v>33.1</v>
      </c>
      <c r="BC356" s="35">
        <v>40</v>
      </c>
      <c r="BD356" s="35">
        <v>32.200000000000003</v>
      </c>
      <c r="BE356" s="35">
        <v>40</v>
      </c>
      <c r="BF356" s="35">
        <v>21.7</v>
      </c>
      <c r="BG356" s="35">
        <v>20</v>
      </c>
    </row>
    <row r="357" spans="1:59" x14ac:dyDescent="0.35">
      <c r="A357" s="36">
        <v>46059.700694444444</v>
      </c>
      <c r="B357" s="35">
        <v>4</v>
      </c>
      <c r="C357" s="35">
        <v>2</v>
      </c>
      <c r="D357" s="35">
        <v>4.3</v>
      </c>
      <c r="E357" s="35">
        <v>2.2000000000000002</v>
      </c>
      <c r="F357" s="35">
        <v>2.9</v>
      </c>
      <c r="G357" s="35">
        <v>2</v>
      </c>
      <c r="H357" s="35">
        <v>3.3</v>
      </c>
      <c r="I357" s="35">
        <v>2</v>
      </c>
      <c r="J357" s="35">
        <v>3.3</v>
      </c>
      <c r="K357" s="35">
        <v>2</v>
      </c>
      <c r="L357" s="35">
        <v>3</v>
      </c>
      <c r="M357" s="35">
        <v>2</v>
      </c>
      <c r="N357" s="35">
        <v>4</v>
      </c>
      <c r="O357" s="35">
        <v>3</v>
      </c>
      <c r="P357" s="35">
        <v>3.9</v>
      </c>
      <c r="Q357" s="35">
        <v>2</v>
      </c>
      <c r="R357" s="35">
        <v>2.7</v>
      </c>
      <c r="S357" s="35">
        <v>2</v>
      </c>
      <c r="T357" s="35">
        <v>3.7</v>
      </c>
      <c r="U357" s="35">
        <v>2</v>
      </c>
      <c r="V357" s="35">
        <v>11</v>
      </c>
      <c r="W357" s="35">
        <v>9</v>
      </c>
      <c r="X357" s="35">
        <v>10.5</v>
      </c>
      <c r="Y357" s="35">
        <v>9</v>
      </c>
      <c r="Z357" s="35">
        <v>10.7</v>
      </c>
      <c r="AA357" s="35">
        <v>9</v>
      </c>
      <c r="AB357" s="35">
        <v>9.1</v>
      </c>
      <c r="AC357" s="35">
        <v>9</v>
      </c>
      <c r="AD357" s="35">
        <v>19.600000000000001</v>
      </c>
      <c r="AE357" s="35">
        <v>19</v>
      </c>
      <c r="AF357" s="35">
        <v>18.899999999999999</v>
      </c>
      <c r="AG357" s="35">
        <v>19</v>
      </c>
      <c r="AH357" s="35">
        <v>19.899999999999999</v>
      </c>
      <c r="AI357" s="35">
        <v>19</v>
      </c>
      <c r="AJ357" s="35">
        <v>20.2</v>
      </c>
      <c r="AK357" s="35">
        <v>19</v>
      </c>
      <c r="AL357" s="35">
        <v>21</v>
      </c>
      <c r="AM357" s="35">
        <v>19</v>
      </c>
      <c r="AN357" s="35">
        <v>20.399999999999999</v>
      </c>
      <c r="AO357" s="35">
        <v>19</v>
      </c>
      <c r="AP357" s="35">
        <v>20.6</v>
      </c>
      <c r="AQ357" s="35">
        <v>19</v>
      </c>
      <c r="AR357" s="35">
        <v>20.8</v>
      </c>
      <c r="AS357" s="35">
        <v>19</v>
      </c>
      <c r="AT357" s="35">
        <v>20.5</v>
      </c>
      <c r="AU357" s="35">
        <v>19</v>
      </c>
      <c r="AV357" s="35">
        <v>20.2</v>
      </c>
      <c r="AW357" s="35">
        <v>19</v>
      </c>
      <c r="AX357" s="35">
        <v>21.3</v>
      </c>
      <c r="AY357" s="35">
        <v>20</v>
      </c>
      <c r="AZ357" s="35">
        <v>20.9</v>
      </c>
      <c r="BA357" s="35">
        <v>20</v>
      </c>
      <c r="BB357" s="35">
        <v>33.1</v>
      </c>
      <c r="BC357" s="35">
        <v>40</v>
      </c>
      <c r="BD357" s="35">
        <v>32.200000000000003</v>
      </c>
      <c r="BE357" s="35">
        <v>40</v>
      </c>
      <c r="BF357" s="35">
        <v>21.8</v>
      </c>
      <c r="BG357" s="35">
        <v>20</v>
      </c>
    </row>
    <row r="358" spans="1:59" x14ac:dyDescent="0.35">
      <c r="A358" s="36">
        <v>46059.701388888891</v>
      </c>
      <c r="B358" s="35">
        <v>3.7</v>
      </c>
      <c r="C358" s="35">
        <v>2</v>
      </c>
      <c r="D358" s="35">
        <v>3.9</v>
      </c>
      <c r="E358" s="35">
        <v>2.2000000000000002</v>
      </c>
      <c r="F358" s="35">
        <v>3.2</v>
      </c>
      <c r="G358" s="35">
        <v>2</v>
      </c>
      <c r="H358" s="35">
        <v>3.7</v>
      </c>
      <c r="I358" s="35">
        <v>2</v>
      </c>
      <c r="J358" s="35">
        <v>3.1</v>
      </c>
      <c r="K358" s="35">
        <v>2</v>
      </c>
      <c r="L358" s="35">
        <v>2.7</v>
      </c>
      <c r="M358" s="35">
        <v>2</v>
      </c>
      <c r="N358" s="35">
        <v>4</v>
      </c>
      <c r="O358" s="35">
        <v>3</v>
      </c>
      <c r="P358" s="35">
        <v>4</v>
      </c>
      <c r="Q358" s="35">
        <v>2</v>
      </c>
      <c r="R358" s="35">
        <v>2.6</v>
      </c>
      <c r="S358" s="35">
        <v>2</v>
      </c>
      <c r="T358" s="35">
        <v>3.7</v>
      </c>
      <c r="U358" s="35">
        <v>2</v>
      </c>
      <c r="V358" s="35">
        <v>9.3000000000000007</v>
      </c>
      <c r="W358" s="35">
        <v>9</v>
      </c>
      <c r="X358" s="35">
        <v>10.7</v>
      </c>
      <c r="Y358" s="35">
        <v>9</v>
      </c>
      <c r="Z358" s="35">
        <v>10.9</v>
      </c>
      <c r="AA358" s="35">
        <v>9</v>
      </c>
      <c r="AB358" s="35">
        <v>9.8000000000000007</v>
      </c>
      <c r="AC358" s="35">
        <v>9</v>
      </c>
      <c r="AD358" s="35">
        <v>19.7</v>
      </c>
      <c r="AE358" s="35">
        <v>19</v>
      </c>
      <c r="AF358" s="35">
        <v>19</v>
      </c>
      <c r="AG358" s="35">
        <v>19</v>
      </c>
      <c r="AH358" s="35">
        <v>18.5</v>
      </c>
      <c r="AI358" s="35">
        <v>19</v>
      </c>
      <c r="AJ358" s="35">
        <v>20.3</v>
      </c>
      <c r="AK358" s="35">
        <v>19</v>
      </c>
      <c r="AL358" s="35">
        <v>21</v>
      </c>
      <c r="AM358" s="35">
        <v>19</v>
      </c>
      <c r="AN358" s="35">
        <v>20.5</v>
      </c>
      <c r="AO358" s="35">
        <v>19</v>
      </c>
      <c r="AP358" s="35">
        <v>20.6</v>
      </c>
      <c r="AQ358" s="35">
        <v>19</v>
      </c>
      <c r="AR358" s="35">
        <v>20.8</v>
      </c>
      <c r="AS358" s="35">
        <v>19</v>
      </c>
      <c r="AT358" s="35">
        <v>20.5</v>
      </c>
      <c r="AU358" s="35">
        <v>19</v>
      </c>
      <c r="AV358" s="35">
        <v>20.3</v>
      </c>
      <c r="AW358" s="35">
        <v>19</v>
      </c>
      <c r="AX358" s="35">
        <v>21.3</v>
      </c>
      <c r="AY358" s="35">
        <v>20</v>
      </c>
      <c r="AZ358" s="35">
        <v>20.9</v>
      </c>
      <c r="BA358" s="35">
        <v>20</v>
      </c>
      <c r="BB358" s="35">
        <v>33.1</v>
      </c>
      <c r="BC358" s="35">
        <v>40</v>
      </c>
      <c r="BD358" s="35">
        <v>32.200000000000003</v>
      </c>
      <c r="BE358" s="35">
        <v>40</v>
      </c>
      <c r="BF358" s="35">
        <v>21.8</v>
      </c>
      <c r="BG358" s="35">
        <v>20</v>
      </c>
    </row>
    <row r="359" spans="1:59" x14ac:dyDescent="0.35">
      <c r="A359" s="36">
        <v>46059.70208333333</v>
      </c>
      <c r="B359" s="35">
        <v>3.1</v>
      </c>
      <c r="C359" s="35">
        <v>2</v>
      </c>
      <c r="D359" s="35">
        <v>3.3</v>
      </c>
      <c r="E359" s="35">
        <v>2.2000000000000002</v>
      </c>
      <c r="F359" s="35">
        <v>3.6</v>
      </c>
      <c r="G359" s="35">
        <v>2</v>
      </c>
      <c r="H359" s="35">
        <v>3.9</v>
      </c>
      <c r="I359" s="35">
        <v>2</v>
      </c>
      <c r="J359" s="35">
        <v>3.3</v>
      </c>
      <c r="K359" s="35">
        <v>2</v>
      </c>
      <c r="L359" s="35">
        <v>2.7</v>
      </c>
      <c r="M359" s="35">
        <v>2</v>
      </c>
      <c r="N359" s="35">
        <v>2.7</v>
      </c>
      <c r="O359" s="35">
        <v>3</v>
      </c>
      <c r="P359" s="35">
        <v>3.1</v>
      </c>
      <c r="Q359" s="35">
        <v>2</v>
      </c>
      <c r="R359" s="35">
        <v>2.8</v>
      </c>
      <c r="S359" s="35">
        <v>2</v>
      </c>
      <c r="T359" s="35">
        <v>3.7</v>
      </c>
      <c r="U359" s="35">
        <v>2</v>
      </c>
      <c r="V359" s="35">
        <v>7.8</v>
      </c>
      <c r="W359" s="35">
        <v>9</v>
      </c>
      <c r="X359" s="35">
        <v>10.8</v>
      </c>
      <c r="Y359" s="35">
        <v>9</v>
      </c>
      <c r="Z359" s="35">
        <v>11</v>
      </c>
      <c r="AA359" s="35">
        <v>9</v>
      </c>
      <c r="AB359" s="35">
        <v>10.3</v>
      </c>
      <c r="AC359" s="35">
        <v>9</v>
      </c>
      <c r="AD359" s="35">
        <v>19.7</v>
      </c>
      <c r="AE359" s="35">
        <v>19</v>
      </c>
      <c r="AF359" s="35">
        <v>19.100000000000001</v>
      </c>
      <c r="AG359" s="35">
        <v>19</v>
      </c>
      <c r="AH359" s="35">
        <v>18.2</v>
      </c>
      <c r="AI359" s="35">
        <v>19</v>
      </c>
      <c r="AJ359" s="35">
        <v>20.399999999999999</v>
      </c>
      <c r="AK359" s="35">
        <v>19</v>
      </c>
      <c r="AL359" s="35">
        <v>20.6</v>
      </c>
      <c r="AM359" s="35">
        <v>19</v>
      </c>
      <c r="AN359" s="35">
        <v>20.6</v>
      </c>
      <c r="AO359" s="35">
        <v>19</v>
      </c>
      <c r="AP359" s="35">
        <v>20.6</v>
      </c>
      <c r="AQ359" s="35">
        <v>19</v>
      </c>
      <c r="AR359" s="35">
        <v>20.8</v>
      </c>
      <c r="AS359" s="35">
        <v>19</v>
      </c>
      <c r="AT359" s="35">
        <v>20.6</v>
      </c>
      <c r="AU359" s="35">
        <v>19</v>
      </c>
      <c r="AV359" s="35">
        <v>20.3</v>
      </c>
      <c r="AW359" s="35">
        <v>19</v>
      </c>
      <c r="AX359" s="35">
        <v>21.2</v>
      </c>
      <c r="AY359" s="35">
        <v>20</v>
      </c>
      <c r="AZ359" s="35">
        <v>20.9</v>
      </c>
      <c r="BA359" s="35">
        <v>20</v>
      </c>
      <c r="BB359" s="35">
        <v>33.1</v>
      </c>
      <c r="BC359" s="35">
        <v>40</v>
      </c>
      <c r="BD359" s="35">
        <v>32.200000000000003</v>
      </c>
      <c r="BE359" s="35">
        <v>40</v>
      </c>
      <c r="BF359" s="35">
        <v>21.9</v>
      </c>
      <c r="BG359" s="35">
        <v>20</v>
      </c>
    </row>
    <row r="360" spans="1:59" x14ac:dyDescent="0.35">
      <c r="A360" s="36">
        <v>46059.702777777777</v>
      </c>
      <c r="B360" s="35">
        <v>2.2000000000000002</v>
      </c>
      <c r="C360" s="35">
        <v>2</v>
      </c>
      <c r="D360" s="35">
        <v>2.4</v>
      </c>
      <c r="E360" s="35">
        <v>2.2000000000000002</v>
      </c>
      <c r="F360" s="35">
        <v>3.3</v>
      </c>
      <c r="G360" s="35">
        <v>2</v>
      </c>
      <c r="H360" s="35">
        <v>3.1</v>
      </c>
      <c r="I360" s="35">
        <v>2</v>
      </c>
      <c r="J360" s="35">
        <v>2.9</v>
      </c>
      <c r="K360" s="35">
        <v>2</v>
      </c>
      <c r="L360" s="35">
        <v>2.6</v>
      </c>
      <c r="M360" s="35">
        <v>2</v>
      </c>
      <c r="N360" s="35">
        <v>1.5</v>
      </c>
      <c r="O360" s="35">
        <v>3</v>
      </c>
      <c r="P360" s="35">
        <v>2.1</v>
      </c>
      <c r="Q360" s="35">
        <v>2</v>
      </c>
      <c r="R360" s="35">
        <v>2.7</v>
      </c>
      <c r="S360" s="35">
        <v>2</v>
      </c>
      <c r="T360" s="35">
        <v>3.7</v>
      </c>
      <c r="U360" s="35">
        <v>2</v>
      </c>
      <c r="V360" s="35">
        <v>7.9</v>
      </c>
      <c r="W360" s="35">
        <v>9</v>
      </c>
      <c r="X360" s="35">
        <v>10.8</v>
      </c>
      <c r="Y360" s="35">
        <v>9</v>
      </c>
      <c r="Z360" s="35">
        <v>10.8</v>
      </c>
      <c r="AA360" s="35">
        <v>9</v>
      </c>
      <c r="AB360" s="35">
        <v>10.8</v>
      </c>
      <c r="AC360" s="35">
        <v>9</v>
      </c>
      <c r="AD360" s="35">
        <v>19.8</v>
      </c>
      <c r="AE360" s="35">
        <v>19</v>
      </c>
      <c r="AF360" s="35">
        <v>19.2</v>
      </c>
      <c r="AG360" s="35">
        <v>19</v>
      </c>
      <c r="AH360" s="35">
        <v>18.2</v>
      </c>
      <c r="AI360" s="35">
        <v>19</v>
      </c>
      <c r="AJ360" s="35">
        <v>20.399999999999999</v>
      </c>
      <c r="AK360" s="35">
        <v>19</v>
      </c>
      <c r="AL360" s="35">
        <v>20.3</v>
      </c>
      <c r="AM360" s="35">
        <v>19</v>
      </c>
      <c r="AN360" s="35">
        <v>20.6</v>
      </c>
      <c r="AO360" s="35">
        <v>19</v>
      </c>
      <c r="AP360" s="35">
        <v>20.6</v>
      </c>
      <c r="AQ360" s="35">
        <v>19</v>
      </c>
      <c r="AR360" s="35">
        <v>20.8</v>
      </c>
      <c r="AS360" s="35">
        <v>19</v>
      </c>
      <c r="AT360" s="35">
        <v>20.7</v>
      </c>
      <c r="AU360" s="35">
        <v>19</v>
      </c>
      <c r="AV360" s="35">
        <v>20.399999999999999</v>
      </c>
      <c r="AW360" s="35">
        <v>19</v>
      </c>
      <c r="AX360" s="35">
        <v>21.2</v>
      </c>
      <c r="AY360" s="35">
        <v>20</v>
      </c>
      <c r="AZ360" s="35">
        <v>20.9</v>
      </c>
      <c r="BA360" s="35">
        <v>20</v>
      </c>
      <c r="BB360" s="35">
        <v>33.1</v>
      </c>
      <c r="BC360" s="35">
        <v>40</v>
      </c>
      <c r="BD360" s="35">
        <v>32.200000000000003</v>
      </c>
      <c r="BE360" s="35">
        <v>40</v>
      </c>
      <c r="BF360" s="35">
        <v>21.9</v>
      </c>
      <c r="BG360" s="35">
        <v>20</v>
      </c>
    </row>
    <row r="361" spans="1:59" x14ac:dyDescent="0.35">
      <c r="A361" s="36">
        <v>46059.703472222223</v>
      </c>
      <c r="B361" s="35">
        <v>2</v>
      </c>
      <c r="C361" s="35">
        <v>2</v>
      </c>
      <c r="D361" s="35">
        <v>2.2000000000000002</v>
      </c>
      <c r="E361" s="35">
        <v>2.2000000000000002</v>
      </c>
      <c r="F361" s="35">
        <v>3</v>
      </c>
      <c r="G361" s="35">
        <v>2</v>
      </c>
      <c r="H361" s="35">
        <v>2.5</v>
      </c>
      <c r="I361" s="35">
        <v>2</v>
      </c>
      <c r="J361" s="35">
        <v>4.5</v>
      </c>
      <c r="K361" s="35">
        <v>2</v>
      </c>
      <c r="L361" s="35">
        <v>2.5</v>
      </c>
      <c r="M361" s="35">
        <v>2</v>
      </c>
      <c r="N361" s="35">
        <v>1.2</v>
      </c>
      <c r="O361" s="35">
        <v>3</v>
      </c>
      <c r="P361" s="35">
        <v>1.9</v>
      </c>
      <c r="Q361" s="35">
        <v>2</v>
      </c>
      <c r="R361" s="35">
        <v>2.2999999999999998</v>
      </c>
      <c r="S361" s="35">
        <v>2</v>
      </c>
      <c r="T361" s="35">
        <v>2.5</v>
      </c>
      <c r="U361" s="35">
        <v>2</v>
      </c>
      <c r="V361" s="35">
        <v>8.4</v>
      </c>
      <c r="W361" s="35">
        <v>9</v>
      </c>
      <c r="X361" s="35">
        <v>10.9</v>
      </c>
      <c r="Y361" s="35">
        <v>9</v>
      </c>
      <c r="Z361" s="35">
        <v>9.9</v>
      </c>
      <c r="AA361" s="35">
        <v>9</v>
      </c>
      <c r="AB361" s="35">
        <v>11</v>
      </c>
      <c r="AC361" s="35">
        <v>9</v>
      </c>
      <c r="AD361" s="35">
        <v>19.8</v>
      </c>
      <c r="AE361" s="35">
        <v>19</v>
      </c>
      <c r="AF361" s="35">
        <v>19.2</v>
      </c>
      <c r="AG361" s="35">
        <v>19</v>
      </c>
      <c r="AH361" s="35">
        <v>18.5</v>
      </c>
      <c r="AI361" s="35">
        <v>19</v>
      </c>
      <c r="AJ361" s="35">
        <v>20.5</v>
      </c>
      <c r="AK361" s="35">
        <v>19</v>
      </c>
      <c r="AL361" s="35">
        <v>20.100000000000001</v>
      </c>
      <c r="AM361" s="35">
        <v>19</v>
      </c>
      <c r="AN361" s="35">
        <v>20.7</v>
      </c>
      <c r="AO361" s="35">
        <v>19</v>
      </c>
      <c r="AP361" s="35">
        <v>20.7</v>
      </c>
      <c r="AQ361" s="35">
        <v>19</v>
      </c>
      <c r="AR361" s="35">
        <v>20.8</v>
      </c>
      <c r="AS361" s="35">
        <v>19</v>
      </c>
      <c r="AT361" s="35">
        <v>20.8</v>
      </c>
      <c r="AU361" s="35">
        <v>19</v>
      </c>
      <c r="AV361" s="35">
        <v>20.399999999999999</v>
      </c>
      <c r="AW361" s="35">
        <v>19</v>
      </c>
      <c r="AX361" s="35">
        <v>21.3</v>
      </c>
      <c r="AY361" s="35">
        <v>20</v>
      </c>
      <c r="AZ361" s="35">
        <v>20.9</v>
      </c>
      <c r="BA361" s="35">
        <v>20</v>
      </c>
      <c r="BB361" s="35">
        <v>33.1</v>
      </c>
      <c r="BC361" s="35">
        <v>40</v>
      </c>
      <c r="BD361" s="35">
        <v>32.200000000000003</v>
      </c>
      <c r="BE361" s="35">
        <v>40</v>
      </c>
      <c r="BF361" s="35">
        <v>21.9</v>
      </c>
      <c r="BG361" s="35">
        <v>20</v>
      </c>
    </row>
    <row r="362" spans="1:59" x14ac:dyDescent="0.35">
      <c r="A362" s="36">
        <v>46059.70416666667</v>
      </c>
      <c r="B362" s="35">
        <v>2.1</v>
      </c>
      <c r="C362" s="35">
        <v>2</v>
      </c>
      <c r="D362" s="35">
        <v>2.5</v>
      </c>
      <c r="E362" s="35">
        <v>2.2000000000000002</v>
      </c>
      <c r="F362" s="35">
        <v>3</v>
      </c>
      <c r="G362" s="35">
        <v>2</v>
      </c>
      <c r="H362" s="35">
        <v>2.4</v>
      </c>
      <c r="I362" s="35">
        <v>2</v>
      </c>
      <c r="J362" s="35">
        <v>5.2</v>
      </c>
      <c r="K362" s="35">
        <v>2</v>
      </c>
      <c r="L362" s="35">
        <v>2.5</v>
      </c>
      <c r="M362" s="35">
        <v>2</v>
      </c>
      <c r="N362" s="35">
        <v>1.4</v>
      </c>
      <c r="O362" s="35">
        <v>3</v>
      </c>
      <c r="P362" s="35">
        <v>2.1</v>
      </c>
      <c r="Q362" s="35">
        <v>2</v>
      </c>
      <c r="R362" s="35">
        <v>1.8</v>
      </c>
      <c r="S362" s="35">
        <v>2</v>
      </c>
      <c r="T362" s="35">
        <v>1.8</v>
      </c>
      <c r="U362" s="35">
        <v>2</v>
      </c>
      <c r="V362" s="35">
        <v>9.1999999999999993</v>
      </c>
      <c r="W362" s="35">
        <v>9</v>
      </c>
      <c r="X362" s="35">
        <v>11</v>
      </c>
      <c r="Y362" s="35">
        <v>9</v>
      </c>
      <c r="Z362" s="35">
        <v>9.1999999999999993</v>
      </c>
      <c r="AA362" s="35">
        <v>9</v>
      </c>
      <c r="AB362" s="35">
        <v>9.5</v>
      </c>
      <c r="AC362" s="35">
        <v>9</v>
      </c>
      <c r="AD362" s="35">
        <v>19.899999999999999</v>
      </c>
      <c r="AE362" s="35">
        <v>19</v>
      </c>
      <c r="AF362" s="35">
        <v>19.3</v>
      </c>
      <c r="AG362" s="35">
        <v>19</v>
      </c>
      <c r="AH362" s="35">
        <v>18.8</v>
      </c>
      <c r="AI362" s="35">
        <v>19</v>
      </c>
      <c r="AJ362" s="35">
        <v>20.6</v>
      </c>
      <c r="AK362" s="35">
        <v>19</v>
      </c>
      <c r="AL362" s="35">
        <v>20</v>
      </c>
      <c r="AM362" s="35">
        <v>19</v>
      </c>
      <c r="AN362" s="35">
        <v>20.8</v>
      </c>
      <c r="AO362" s="35">
        <v>19</v>
      </c>
      <c r="AP362" s="35">
        <v>20.7</v>
      </c>
      <c r="AQ362" s="35">
        <v>19</v>
      </c>
      <c r="AR362" s="35">
        <v>20.8</v>
      </c>
      <c r="AS362" s="35">
        <v>19</v>
      </c>
      <c r="AT362" s="35">
        <v>20.9</v>
      </c>
      <c r="AU362" s="35">
        <v>19</v>
      </c>
      <c r="AV362" s="35">
        <v>20.5</v>
      </c>
      <c r="AW362" s="35">
        <v>19</v>
      </c>
      <c r="AX362" s="35">
        <v>21.4</v>
      </c>
      <c r="AY362" s="35">
        <v>20</v>
      </c>
      <c r="AZ362" s="35">
        <v>21</v>
      </c>
      <c r="BA362" s="35">
        <v>20</v>
      </c>
      <c r="BB362" s="35">
        <v>33</v>
      </c>
      <c r="BC362" s="35">
        <v>40</v>
      </c>
      <c r="BD362" s="35">
        <v>32.200000000000003</v>
      </c>
      <c r="BE362" s="35">
        <v>40</v>
      </c>
      <c r="BF362" s="35">
        <v>21.9</v>
      </c>
      <c r="BG362" s="35">
        <v>20</v>
      </c>
    </row>
    <row r="363" spans="1:59" x14ac:dyDescent="0.35">
      <c r="A363" s="36">
        <v>46059.704861111109</v>
      </c>
      <c r="B363" s="35">
        <v>2.7</v>
      </c>
      <c r="C363" s="35">
        <v>2</v>
      </c>
      <c r="D363" s="35">
        <v>3.1</v>
      </c>
      <c r="E363" s="35">
        <v>2.2000000000000002</v>
      </c>
      <c r="F363" s="35">
        <v>3</v>
      </c>
      <c r="G363" s="35">
        <v>2</v>
      </c>
      <c r="H363" s="35">
        <v>2.2999999999999998</v>
      </c>
      <c r="I363" s="35">
        <v>2</v>
      </c>
      <c r="J363" s="35">
        <v>4.3</v>
      </c>
      <c r="K363" s="35">
        <v>2</v>
      </c>
      <c r="L363" s="35">
        <v>2.5</v>
      </c>
      <c r="M363" s="35">
        <v>2</v>
      </c>
      <c r="N363" s="35">
        <v>1.7</v>
      </c>
      <c r="O363" s="35">
        <v>3</v>
      </c>
      <c r="P363" s="35">
        <v>2.4</v>
      </c>
      <c r="Q363" s="35">
        <v>2</v>
      </c>
      <c r="R363" s="35">
        <v>1.7</v>
      </c>
      <c r="S363" s="35">
        <v>2</v>
      </c>
      <c r="T363" s="35">
        <v>1.9</v>
      </c>
      <c r="U363" s="35">
        <v>2</v>
      </c>
      <c r="V363" s="35">
        <v>9.8000000000000007</v>
      </c>
      <c r="W363" s="35">
        <v>9</v>
      </c>
      <c r="X363" s="35">
        <v>10.4</v>
      </c>
      <c r="Y363" s="35">
        <v>9</v>
      </c>
      <c r="Z363" s="35">
        <v>8.9</v>
      </c>
      <c r="AA363" s="35">
        <v>9</v>
      </c>
      <c r="AB363" s="35">
        <v>8.8000000000000007</v>
      </c>
      <c r="AC363" s="35">
        <v>9</v>
      </c>
      <c r="AD363" s="35">
        <v>19.899999999999999</v>
      </c>
      <c r="AE363" s="35">
        <v>19</v>
      </c>
      <c r="AF363" s="35">
        <v>19.399999999999999</v>
      </c>
      <c r="AG363" s="35">
        <v>19</v>
      </c>
      <c r="AH363" s="35">
        <v>19</v>
      </c>
      <c r="AI363" s="35">
        <v>19</v>
      </c>
      <c r="AJ363" s="35">
        <v>20.6</v>
      </c>
      <c r="AK363" s="35">
        <v>19</v>
      </c>
      <c r="AL363" s="35">
        <v>19.8</v>
      </c>
      <c r="AM363" s="35">
        <v>19</v>
      </c>
      <c r="AN363" s="35">
        <v>20.9</v>
      </c>
      <c r="AO363" s="35">
        <v>19</v>
      </c>
      <c r="AP363" s="35">
        <v>20.7</v>
      </c>
      <c r="AQ363" s="35">
        <v>19</v>
      </c>
      <c r="AR363" s="35">
        <v>20.8</v>
      </c>
      <c r="AS363" s="35">
        <v>19</v>
      </c>
      <c r="AT363" s="35">
        <v>20.9</v>
      </c>
      <c r="AU363" s="35">
        <v>19</v>
      </c>
      <c r="AV363" s="35">
        <v>20.5</v>
      </c>
      <c r="AW363" s="35">
        <v>19</v>
      </c>
      <c r="AX363" s="35">
        <v>21.4</v>
      </c>
      <c r="AY363" s="35">
        <v>20</v>
      </c>
      <c r="AZ363" s="35">
        <v>21.1</v>
      </c>
      <c r="BA363" s="35">
        <v>20</v>
      </c>
      <c r="BB363" s="35">
        <v>33</v>
      </c>
      <c r="BC363" s="35">
        <v>40</v>
      </c>
      <c r="BD363" s="35">
        <v>32.200000000000003</v>
      </c>
      <c r="BE363" s="35">
        <v>40</v>
      </c>
      <c r="BF363" s="35">
        <v>21.9</v>
      </c>
      <c r="BG363" s="35">
        <v>20</v>
      </c>
    </row>
    <row r="364" spans="1:59" x14ac:dyDescent="0.35">
      <c r="A364" s="36">
        <v>46059.705555555556</v>
      </c>
      <c r="B364" s="35">
        <v>3.1</v>
      </c>
      <c r="C364" s="35">
        <v>2</v>
      </c>
      <c r="D364" s="35">
        <v>3.5</v>
      </c>
      <c r="E364" s="35">
        <v>2.2000000000000002</v>
      </c>
      <c r="F364" s="35">
        <v>3.1</v>
      </c>
      <c r="G364" s="35">
        <v>2</v>
      </c>
      <c r="H364" s="35">
        <v>2.6</v>
      </c>
      <c r="I364" s="35">
        <v>2</v>
      </c>
      <c r="J364" s="35">
        <v>3.3</v>
      </c>
      <c r="K364" s="35">
        <v>2</v>
      </c>
      <c r="L364" s="35">
        <v>2.5</v>
      </c>
      <c r="M364" s="35">
        <v>2</v>
      </c>
      <c r="N364" s="35">
        <v>2.2000000000000002</v>
      </c>
      <c r="O364" s="35">
        <v>3</v>
      </c>
      <c r="P364" s="35">
        <v>2.7</v>
      </c>
      <c r="Q364" s="35">
        <v>2</v>
      </c>
      <c r="R364" s="35">
        <v>1.8</v>
      </c>
      <c r="S364" s="35">
        <v>2</v>
      </c>
      <c r="T364" s="35">
        <v>2.6</v>
      </c>
      <c r="U364" s="35">
        <v>2</v>
      </c>
      <c r="V364" s="35">
        <v>10.4</v>
      </c>
      <c r="W364" s="35">
        <v>9</v>
      </c>
      <c r="X364" s="35">
        <v>9.5</v>
      </c>
      <c r="Y364" s="35">
        <v>9</v>
      </c>
      <c r="Z364" s="35">
        <v>9</v>
      </c>
      <c r="AA364" s="35">
        <v>9</v>
      </c>
      <c r="AB364" s="35">
        <v>9</v>
      </c>
      <c r="AC364" s="35">
        <v>9</v>
      </c>
      <c r="AD364" s="35">
        <v>19.899999999999999</v>
      </c>
      <c r="AE364" s="35">
        <v>19</v>
      </c>
      <c r="AF364" s="35">
        <v>19.5</v>
      </c>
      <c r="AG364" s="35">
        <v>19</v>
      </c>
      <c r="AH364" s="35">
        <v>19.2</v>
      </c>
      <c r="AI364" s="35">
        <v>19</v>
      </c>
      <c r="AJ364" s="35">
        <v>20.7</v>
      </c>
      <c r="AK364" s="35">
        <v>19</v>
      </c>
      <c r="AL364" s="35">
        <v>19.600000000000001</v>
      </c>
      <c r="AM364" s="35">
        <v>19</v>
      </c>
      <c r="AN364" s="35">
        <v>20.9</v>
      </c>
      <c r="AO364" s="35">
        <v>19</v>
      </c>
      <c r="AP364" s="35">
        <v>20.7</v>
      </c>
      <c r="AQ364" s="35">
        <v>19</v>
      </c>
      <c r="AR364" s="35">
        <v>20.8</v>
      </c>
      <c r="AS364" s="35">
        <v>19</v>
      </c>
      <c r="AT364" s="35">
        <v>21</v>
      </c>
      <c r="AU364" s="35">
        <v>19</v>
      </c>
      <c r="AV364" s="35">
        <v>20.6</v>
      </c>
      <c r="AW364" s="35">
        <v>19</v>
      </c>
      <c r="AX364" s="35">
        <v>21.4</v>
      </c>
      <c r="AY364" s="35">
        <v>20</v>
      </c>
      <c r="AZ364" s="35">
        <v>21.1</v>
      </c>
      <c r="BA364" s="35">
        <v>20</v>
      </c>
      <c r="BB364" s="35">
        <v>33</v>
      </c>
      <c r="BC364" s="35">
        <v>40</v>
      </c>
      <c r="BD364" s="35">
        <v>32.1</v>
      </c>
      <c r="BE364" s="35">
        <v>40</v>
      </c>
      <c r="BF364" s="35">
        <v>21.9</v>
      </c>
      <c r="BG364" s="35">
        <v>20</v>
      </c>
    </row>
    <row r="365" spans="1:59" x14ac:dyDescent="0.35">
      <c r="A365" s="36">
        <v>46059.706250000003</v>
      </c>
      <c r="B365" s="35">
        <v>3.6</v>
      </c>
      <c r="C365" s="35">
        <v>2</v>
      </c>
      <c r="D365" s="35">
        <v>3.9</v>
      </c>
      <c r="E365" s="35">
        <v>2.2000000000000002</v>
      </c>
      <c r="F365" s="35">
        <v>3.2</v>
      </c>
      <c r="G365" s="35">
        <v>2</v>
      </c>
      <c r="H365" s="35">
        <v>2.6</v>
      </c>
      <c r="I365" s="35">
        <v>2</v>
      </c>
      <c r="J365" s="35">
        <v>2.7</v>
      </c>
      <c r="K365" s="35">
        <v>2</v>
      </c>
      <c r="L365" s="35">
        <v>2.5</v>
      </c>
      <c r="M365" s="35">
        <v>2</v>
      </c>
      <c r="N365" s="35">
        <v>2.6</v>
      </c>
      <c r="O365" s="35">
        <v>3</v>
      </c>
      <c r="P365" s="35">
        <v>3</v>
      </c>
      <c r="Q365" s="35">
        <v>2</v>
      </c>
      <c r="R365" s="35">
        <v>2.1</v>
      </c>
      <c r="S365" s="35">
        <v>2</v>
      </c>
      <c r="T365" s="35">
        <v>3.1</v>
      </c>
      <c r="U365" s="35">
        <v>2</v>
      </c>
      <c r="V365" s="35">
        <v>10.8</v>
      </c>
      <c r="W365" s="35">
        <v>9</v>
      </c>
      <c r="X365" s="35">
        <v>8.6</v>
      </c>
      <c r="Y365" s="35">
        <v>9</v>
      </c>
      <c r="Z365" s="35">
        <v>9.4</v>
      </c>
      <c r="AA365" s="35">
        <v>9</v>
      </c>
      <c r="AB365" s="35">
        <v>9.6999999999999993</v>
      </c>
      <c r="AC365" s="35">
        <v>9</v>
      </c>
      <c r="AD365" s="35">
        <v>20</v>
      </c>
      <c r="AE365" s="35">
        <v>19</v>
      </c>
      <c r="AF365" s="35">
        <v>19.600000000000001</v>
      </c>
      <c r="AG365" s="35">
        <v>19</v>
      </c>
      <c r="AH365" s="35">
        <v>19.3</v>
      </c>
      <c r="AI365" s="35">
        <v>19</v>
      </c>
      <c r="AJ365" s="35">
        <v>20.8</v>
      </c>
      <c r="AK365" s="35">
        <v>19</v>
      </c>
      <c r="AL365" s="35">
        <v>19.5</v>
      </c>
      <c r="AM365" s="35">
        <v>19</v>
      </c>
      <c r="AN365" s="35">
        <v>21</v>
      </c>
      <c r="AO365" s="35">
        <v>19</v>
      </c>
      <c r="AP365" s="35">
        <v>20.7</v>
      </c>
      <c r="AQ365" s="35">
        <v>19</v>
      </c>
      <c r="AR365" s="35">
        <v>20.8</v>
      </c>
      <c r="AS365" s="35">
        <v>19</v>
      </c>
      <c r="AT365" s="35">
        <v>20</v>
      </c>
      <c r="AU365" s="35">
        <v>19</v>
      </c>
      <c r="AV365" s="35">
        <v>20.6</v>
      </c>
      <c r="AW365" s="35">
        <v>19</v>
      </c>
      <c r="AX365" s="35">
        <v>21.4</v>
      </c>
      <c r="AY365" s="35">
        <v>20</v>
      </c>
      <c r="AZ365" s="35">
        <v>21.1</v>
      </c>
      <c r="BA365" s="35">
        <v>20</v>
      </c>
      <c r="BB365" s="35">
        <v>33</v>
      </c>
      <c r="BC365" s="35">
        <v>40</v>
      </c>
      <c r="BD365" s="35">
        <v>32.1</v>
      </c>
      <c r="BE365" s="35">
        <v>40</v>
      </c>
      <c r="BF365" s="35">
        <v>21.9</v>
      </c>
      <c r="BG365" s="35">
        <v>20</v>
      </c>
    </row>
    <row r="366" spans="1:59" x14ac:dyDescent="0.35">
      <c r="A366" s="36">
        <v>46059.706944444442</v>
      </c>
      <c r="B366" s="35">
        <v>3.8</v>
      </c>
      <c r="C366" s="35">
        <v>2</v>
      </c>
      <c r="D366" s="35">
        <v>4.2</v>
      </c>
      <c r="E366" s="35">
        <v>2.2000000000000002</v>
      </c>
      <c r="F366" s="35">
        <v>3.2</v>
      </c>
      <c r="G366" s="35">
        <v>2</v>
      </c>
      <c r="H366" s="35">
        <v>2.6</v>
      </c>
      <c r="I366" s="35">
        <v>2</v>
      </c>
      <c r="J366" s="35">
        <v>2.7</v>
      </c>
      <c r="K366" s="35">
        <v>2</v>
      </c>
      <c r="L366" s="35">
        <v>2.4</v>
      </c>
      <c r="M366" s="35">
        <v>2</v>
      </c>
      <c r="N366" s="35">
        <v>2.9</v>
      </c>
      <c r="O366" s="35">
        <v>3</v>
      </c>
      <c r="P366" s="35">
        <v>3.2</v>
      </c>
      <c r="Q366" s="35">
        <v>2</v>
      </c>
      <c r="R366" s="35">
        <v>2.4</v>
      </c>
      <c r="S366" s="35">
        <v>2</v>
      </c>
      <c r="T366" s="35">
        <v>3.5</v>
      </c>
      <c r="U366" s="35">
        <v>2</v>
      </c>
      <c r="V366" s="35">
        <v>11.1</v>
      </c>
      <c r="W366" s="35">
        <v>9</v>
      </c>
      <c r="X366" s="35">
        <v>8.3000000000000007</v>
      </c>
      <c r="Y366" s="35">
        <v>9</v>
      </c>
      <c r="Z366" s="35">
        <v>9.8000000000000007</v>
      </c>
      <c r="AA366" s="35">
        <v>9</v>
      </c>
      <c r="AB366" s="35">
        <v>10.199999999999999</v>
      </c>
      <c r="AC366" s="35">
        <v>9</v>
      </c>
      <c r="AD366" s="35">
        <v>20</v>
      </c>
      <c r="AE366" s="35">
        <v>19</v>
      </c>
      <c r="AF366" s="35">
        <v>19.7</v>
      </c>
      <c r="AG366" s="35">
        <v>19</v>
      </c>
      <c r="AH366" s="35">
        <v>19.399999999999999</v>
      </c>
      <c r="AI366" s="35">
        <v>19</v>
      </c>
      <c r="AJ366" s="35">
        <v>20.8</v>
      </c>
      <c r="AK366" s="35">
        <v>19</v>
      </c>
      <c r="AL366" s="35">
        <v>19.5</v>
      </c>
      <c r="AM366" s="35">
        <v>19</v>
      </c>
      <c r="AN366" s="35">
        <v>20.3</v>
      </c>
      <c r="AO366" s="35">
        <v>19</v>
      </c>
      <c r="AP366" s="35">
        <v>20.7</v>
      </c>
      <c r="AQ366" s="35">
        <v>19</v>
      </c>
      <c r="AR366" s="35">
        <v>20.8</v>
      </c>
      <c r="AS366" s="35">
        <v>19</v>
      </c>
      <c r="AT366" s="35">
        <v>18.399999999999999</v>
      </c>
      <c r="AU366" s="35">
        <v>19</v>
      </c>
      <c r="AV366" s="35">
        <v>20.7</v>
      </c>
      <c r="AW366" s="35">
        <v>19</v>
      </c>
      <c r="AX366" s="35">
        <v>21.4</v>
      </c>
      <c r="AY366" s="35">
        <v>20</v>
      </c>
      <c r="AZ366" s="35">
        <v>21.1</v>
      </c>
      <c r="BA366" s="35">
        <v>20</v>
      </c>
      <c r="BB366" s="35">
        <v>33</v>
      </c>
      <c r="BC366" s="35">
        <v>40</v>
      </c>
      <c r="BD366" s="35">
        <v>32.1</v>
      </c>
      <c r="BE366" s="35">
        <v>40</v>
      </c>
      <c r="BF366" s="35">
        <v>21.9</v>
      </c>
      <c r="BG366" s="35">
        <v>20</v>
      </c>
    </row>
    <row r="367" spans="1:59" x14ac:dyDescent="0.35">
      <c r="A367" s="36">
        <v>46059.707638888889</v>
      </c>
      <c r="B367" s="35">
        <v>3.8</v>
      </c>
      <c r="C367" s="35">
        <v>2</v>
      </c>
      <c r="D367" s="35">
        <v>4.2</v>
      </c>
      <c r="E367" s="35">
        <v>2.2000000000000002</v>
      </c>
      <c r="F367" s="35">
        <v>3.4</v>
      </c>
      <c r="G367" s="35">
        <v>2</v>
      </c>
      <c r="H367" s="35">
        <v>2.8</v>
      </c>
      <c r="I367" s="35">
        <v>2</v>
      </c>
      <c r="J367" s="35">
        <v>2.9</v>
      </c>
      <c r="K367" s="35">
        <v>2</v>
      </c>
      <c r="L367" s="35">
        <v>2.2000000000000002</v>
      </c>
      <c r="M367" s="35">
        <v>2</v>
      </c>
      <c r="N367" s="35">
        <v>3.2</v>
      </c>
      <c r="O367" s="35">
        <v>3</v>
      </c>
      <c r="P367" s="35">
        <v>3.4</v>
      </c>
      <c r="Q367" s="35">
        <v>2</v>
      </c>
      <c r="R367" s="35">
        <v>2.6</v>
      </c>
      <c r="S367" s="35">
        <v>2</v>
      </c>
      <c r="T367" s="35">
        <v>3.9</v>
      </c>
      <c r="U367" s="35">
        <v>2</v>
      </c>
      <c r="V367" s="35">
        <v>9.8000000000000007</v>
      </c>
      <c r="W367" s="35">
        <v>9</v>
      </c>
      <c r="X367" s="35">
        <v>8.3000000000000007</v>
      </c>
      <c r="Y367" s="35">
        <v>9</v>
      </c>
      <c r="Z367" s="35">
        <v>10.199999999999999</v>
      </c>
      <c r="AA367" s="35">
        <v>9</v>
      </c>
      <c r="AB367" s="35">
        <v>10.7</v>
      </c>
      <c r="AC367" s="35">
        <v>9</v>
      </c>
      <c r="AD367" s="35">
        <v>20.100000000000001</v>
      </c>
      <c r="AE367" s="35">
        <v>19</v>
      </c>
      <c r="AF367" s="35">
        <v>19.8</v>
      </c>
      <c r="AG367" s="35">
        <v>19</v>
      </c>
      <c r="AH367" s="35">
        <v>19.5</v>
      </c>
      <c r="AI367" s="35">
        <v>19</v>
      </c>
      <c r="AJ367" s="35">
        <v>20.9</v>
      </c>
      <c r="AK367" s="35">
        <v>19</v>
      </c>
      <c r="AL367" s="35">
        <v>19.5</v>
      </c>
      <c r="AM367" s="35">
        <v>19</v>
      </c>
      <c r="AN367" s="35">
        <v>20</v>
      </c>
      <c r="AO367" s="35">
        <v>19</v>
      </c>
      <c r="AP367" s="35">
        <v>20.8</v>
      </c>
      <c r="AQ367" s="35">
        <v>19</v>
      </c>
      <c r="AR367" s="35">
        <v>20.8</v>
      </c>
      <c r="AS367" s="35">
        <v>19</v>
      </c>
      <c r="AT367" s="35">
        <v>18</v>
      </c>
      <c r="AU367" s="35">
        <v>19</v>
      </c>
      <c r="AV367" s="35">
        <v>20.7</v>
      </c>
      <c r="AW367" s="35">
        <v>19</v>
      </c>
      <c r="AX367" s="35">
        <v>21.3</v>
      </c>
      <c r="AY367" s="35">
        <v>20</v>
      </c>
      <c r="AZ367" s="35">
        <v>21</v>
      </c>
      <c r="BA367" s="35">
        <v>20</v>
      </c>
      <c r="BB367" s="35">
        <v>33</v>
      </c>
      <c r="BC367" s="35">
        <v>40</v>
      </c>
      <c r="BD367" s="35">
        <v>32.1</v>
      </c>
      <c r="BE367" s="35">
        <v>40</v>
      </c>
      <c r="BF367" s="35">
        <v>17.8</v>
      </c>
      <c r="BG367" s="35">
        <v>20</v>
      </c>
    </row>
    <row r="368" spans="1:59" x14ac:dyDescent="0.35">
      <c r="A368" s="36">
        <v>46059.708333333336</v>
      </c>
      <c r="B368" s="35">
        <v>4</v>
      </c>
      <c r="C368" s="35">
        <v>2</v>
      </c>
      <c r="D368" s="35">
        <v>4.2</v>
      </c>
      <c r="E368" s="35">
        <v>2.2000000000000002</v>
      </c>
      <c r="F368" s="35">
        <v>3.5</v>
      </c>
      <c r="G368" s="35">
        <v>2</v>
      </c>
      <c r="H368" s="35">
        <v>3</v>
      </c>
      <c r="I368" s="35">
        <v>2</v>
      </c>
      <c r="J368" s="35">
        <v>2.5</v>
      </c>
      <c r="K368" s="35">
        <v>2</v>
      </c>
      <c r="L368" s="35">
        <v>2.2000000000000002</v>
      </c>
      <c r="M368" s="35">
        <v>2</v>
      </c>
      <c r="N368" s="35">
        <v>3.4</v>
      </c>
      <c r="O368" s="35">
        <v>3</v>
      </c>
      <c r="P368" s="35">
        <v>3.6</v>
      </c>
      <c r="Q368" s="35">
        <v>2</v>
      </c>
      <c r="R368" s="35">
        <v>2.7</v>
      </c>
      <c r="S368" s="35">
        <v>2</v>
      </c>
      <c r="T368" s="35">
        <v>3.6</v>
      </c>
      <c r="U368" s="35">
        <v>2</v>
      </c>
      <c r="V368" s="35">
        <v>8.5</v>
      </c>
      <c r="W368" s="35">
        <v>9</v>
      </c>
      <c r="X368" s="35">
        <v>8.4</v>
      </c>
      <c r="Y368" s="35">
        <v>9</v>
      </c>
      <c r="Z368" s="35">
        <v>10.4</v>
      </c>
      <c r="AA368" s="35">
        <v>9</v>
      </c>
      <c r="AB368" s="35">
        <v>11.1</v>
      </c>
      <c r="AC368" s="35">
        <v>9</v>
      </c>
      <c r="AD368" s="35">
        <v>20.100000000000001</v>
      </c>
      <c r="AE368" s="35">
        <v>19</v>
      </c>
      <c r="AF368" s="35">
        <v>19.8</v>
      </c>
      <c r="AG368" s="35">
        <v>19</v>
      </c>
      <c r="AH368" s="35">
        <v>19.600000000000001</v>
      </c>
      <c r="AI368" s="35">
        <v>19</v>
      </c>
      <c r="AJ368" s="35">
        <v>20.9</v>
      </c>
      <c r="AK368" s="35">
        <v>19</v>
      </c>
      <c r="AL368" s="35">
        <v>19.5</v>
      </c>
      <c r="AM368" s="35">
        <v>19</v>
      </c>
      <c r="AN368" s="35">
        <v>19.600000000000001</v>
      </c>
      <c r="AO368" s="35">
        <v>19</v>
      </c>
      <c r="AP368" s="35">
        <v>20.8</v>
      </c>
      <c r="AQ368" s="35">
        <v>19</v>
      </c>
      <c r="AR368" s="35">
        <v>20.8</v>
      </c>
      <c r="AS368" s="35">
        <v>19</v>
      </c>
      <c r="AT368" s="35">
        <v>18</v>
      </c>
      <c r="AU368" s="35">
        <v>19</v>
      </c>
      <c r="AV368" s="35">
        <v>20.8</v>
      </c>
      <c r="AW368" s="35">
        <v>19</v>
      </c>
      <c r="AX368" s="35">
        <v>21.3</v>
      </c>
      <c r="AY368" s="35">
        <v>20</v>
      </c>
      <c r="AZ368" s="35">
        <v>21</v>
      </c>
      <c r="BA368" s="35">
        <v>20</v>
      </c>
      <c r="BB368" s="35">
        <v>33</v>
      </c>
      <c r="BC368" s="35">
        <v>40</v>
      </c>
      <c r="BD368" s="35">
        <v>32.1</v>
      </c>
      <c r="BE368" s="35">
        <v>40</v>
      </c>
      <c r="BF368" s="35">
        <v>17.5</v>
      </c>
      <c r="BG368" s="35">
        <v>20</v>
      </c>
    </row>
    <row r="369" spans="1:59" x14ac:dyDescent="0.35">
      <c r="A369" s="36">
        <v>46059.709027777775</v>
      </c>
      <c r="B369" s="35">
        <v>3.6</v>
      </c>
      <c r="C369" s="35">
        <v>2</v>
      </c>
      <c r="D369" s="35">
        <v>4</v>
      </c>
      <c r="E369" s="35">
        <v>2.2000000000000002</v>
      </c>
      <c r="F369" s="35">
        <v>3.7</v>
      </c>
      <c r="G369" s="35">
        <v>2</v>
      </c>
      <c r="H369" s="35">
        <v>3.2</v>
      </c>
      <c r="I369" s="35">
        <v>2</v>
      </c>
      <c r="J369" s="35">
        <v>2.5</v>
      </c>
      <c r="K369" s="35">
        <v>2</v>
      </c>
      <c r="L369" s="35">
        <v>2.2000000000000002</v>
      </c>
      <c r="M369" s="35">
        <v>2</v>
      </c>
      <c r="N369" s="35">
        <v>3.7</v>
      </c>
      <c r="O369" s="35">
        <v>3</v>
      </c>
      <c r="P369" s="35">
        <v>3.7</v>
      </c>
      <c r="Q369" s="35">
        <v>2</v>
      </c>
      <c r="R369" s="35">
        <v>2.8</v>
      </c>
      <c r="S369" s="35">
        <v>2</v>
      </c>
      <c r="T369" s="35">
        <v>3.4</v>
      </c>
      <c r="U369" s="35">
        <v>2</v>
      </c>
      <c r="V369" s="35">
        <v>8.5</v>
      </c>
      <c r="W369" s="35">
        <v>9</v>
      </c>
      <c r="X369" s="35">
        <v>8.6999999999999993</v>
      </c>
      <c r="Y369" s="35">
        <v>9</v>
      </c>
      <c r="Z369" s="35">
        <v>10.7</v>
      </c>
      <c r="AA369" s="35">
        <v>9</v>
      </c>
      <c r="AB369" s="35">
        <v>10.8</v>
      </c>
      <c r="AC369" s="35">
        <v>9</v>
      </c>
      <c r="AD369" s="35">
        <v>20.100000000000001</v>
      </c>
      <c r="AE369" s="35">
        <v>19</v>
      </c>
      <c r="AF369" s="35">
        <v>19.899999999999999</v>
      </c>
      <c r="AG369" s="35">
        <v>19</v>
      </c>
      <c r="AH369" s="35">
        <v>19.600000000000001</v>
      </c>
      <c r="AI369" s="35">
        <v>19</v>
      </c>
      <c r="AJ369" s="35">
        <v>20.5</v>
      </c>
      <c r="AK369" s="35">
        <v>19</v>
      </c>
      <c r="AL369" s="35">
        <v>19.5</v>
      </c>
      <c r="AM369" s="35">
        <v>19</v>
      </c>
      <c r="AN369" s="35">
        <v>18.8</v>
      </c>
      <c r="AO369" s="35">
        <v>19</v>
      </c>
      <c r="AP369" s="35">
        <v>20.8</v>
      </c>
      <c r="AQ369" s="35">
        <v>19</v>
      </c>
      <c r="AR369" s="35">
        <v>20.8</v>
      </c>
      <c r="AS369" s="35">
        <v>19</v>
      </c>
      <c r="AT369" s="35">
        <v>18.2</v>
      </c>
      <c r="AU369" s="35">
        <v>19</v>
      </c>
      <c r="AV369" s="35">
        <v>20.8</v>
      </c>
      <c r="AW369" s="35">
        <v>19</v>
      </c>
      <c r="AX369" s="35">
        <v>21.2</v>
      </c>
      <c r="AY369" s="35">
        <v>20</v>
      </c>
      <c r="AZ369" s="35">
        <v>21</v>
      </c>
      <c r="BA369" s="35">
        <v>20</v>
      </c>
      <c r="BB369" s="35">
        <v>33</v>
      </c>
      <c r="BC369" s="35">
        <v>40</v>
      </c>
      <c r="BD369" s="35">
        <v>32.1</v>
      </c>
      <c r="BE369" s="35">
        <v>40</v>
      </c>
      <c r="BF369" s="35">
        <v>18.3</v>
      </c>
      <c r="BG369" s="35">
        <v>20</v>
      </c>
    </row>
    <row r="370" spans="1:59" x14ac:dyDescent="0.35">
      <c r="A370" s="36">
        <v>46059.709722222222</v>
      </c>
      <c r="B370" s="35">
        <v>2.4</v>
      </c>
      <c r="C370" s="35">
        <v>2</v>
      </c>
      <c r="D370" s="35">
        <v>2.5</v>
      </c>
      <c r="E370" s="35">
        <v>2.2000000000000002</v>
      </c>
      <c r="F370" s="35">
        <v>3.8</v>
      </c>
      <c r="G370" s="35">
        <v>2</v>
      </c>
      <c r="H370" s="35">
        <v>3.2</v>
      </c>
      <c r="I370" s="35">
        <v>2</v>
      </c>
      <c r="J370" s="35">
        <v>2</v>
      </c>
      <c r="K370" s="35">
        <v>2</v>
      </c>
      <c r="L370" s="35">
        <v>2.1</v>
      </c>
      <c r="M370" s="35">
        <v>2</v>
      </c>
      <c r="N370" s="35">
        <v>3.9</v>
      </c>
      <c r="O370" s="35">
        <v>3</v>
      </c>
      <c r="P370" s="35">
        <v>3.8</v>
      </c>
      <c r="Q370" s="35">
        <v>2</v>
      </c>
      <c r="R370" s="35">
        <v>1.4</v>
      </c>
      <c r="S370" s="35">
        <v>2</v>
      </c>
      <c r="T370" s="35">
        <v>2.2000000000000002</v>
      </c>
      <c r="U370" s="35">
        <v>2</v>
      </c>
      <c r="V370" s="35">
        <v>9.1</v>
      </c>
      <c r="W370" s="35">
        <v>9</v>
      </c>
      <c r="X370" s="35">
        <v>8.9</v>
      </c>
      <c r="Y370" s="35">
        <v>9</v>
      </c>
      <c r="Z370" s="35">
        <v>10.9</v>
      </c>
      <c r="AA370" s="35">
        <v>9</v>
      </c>
      <c r="AB370" s="35">
        <v>9.5</v>
      </c>
      <c r="AC370" s="35">
        <v>9</v>
      </c>
      <c r="AD370" s="35">
        <v>20.2</v>
      </c>
      <c r="AE370" s="35">
        <v>19</v>
      </c>
      <c r="AF370" s="35">
        <v>20</v>
      </c>
      <c r="AG370" s="35">
        <v>19</v>
      </c>
      <c r="AH370" s="35">
        <v>19.7</v>
      </c>
      <c r="AI370" s="35">
        <v>19</v>
      </c>
      <c r="AJ370" s="35">
        <v>19.399999999999999</v>
      </c>
      <c r="AK370" s="35">
        <v>19</v>
      </c>
      <c r="AL370" s="35">
        <v>19.5</v>
      </c>
      <c r="AM370" s="35">
        <v>19</v>
      </c>
      <c r="AN370" s="35">
        <v>18.8</v>
      </c>
      <c r="AO370" s="35">
        <v>19</v>
      </c>
      <c r="AP370" s="35">
        <v>20.8</v>
      </c>
      <c r="AQ370" s="35">
        <v>19</v>
      </c>
      <c r="AR370" s="35">
        <v>20.8</v>
      </c>
      <c r="AS370" s="35">
        <v>19</v>
      </c>
      <c r="AT370" s="35">
        <v>18.3</v>
      </c>
      <c r="AU370" s="35">
        <v>19</v>
      </c>
      <c r="AV370" s="35">
        <v>20.8</v>
      </c>
      <c r="AW370" s="35">
        <v>19</v>
      </c>
      <c r="AX370" s="35">
        <v>21.1</v>
      </c>
      <c r="AY370" s="35">
        <v>20</v>
      </c>
      <c r="AZ370" s="35">
        <v>21</v>
      </c>
      <c r="BA370" s="35">
        <v>20</v>
      </c>
      <c r="BB370" s="35">
        <v>33</v>
      </c>
      <c r="BC370" s="35">
        <v>40</v>
      </c>
      <c r="BD370" s="35">
        <v>32.1</v>
      </c>
      <c r="BE370" s="35">
        <v>40</v>
      </c>
      <c r="BF370" s="35">
        <v>18.8</v>
      </c>
      <c r="BG370" s="35">
        <v>20</v>
      </c>
    </row>
    <row r="371" spans="1:59" x14ac:dyDescent="0.35">
      <c r="A371" s="36">
        <v>46059.711111111108</v>
      </c>
      <c r="B371" s="35">
        <v>1.7</v>
      </c>
      <c r="C371" s="35">
        <v>2</v>
      </c>
      <c r="D371" s="35">
        <v>2</v>
      </c>
      <c r="E371" s="35">
        <v>2.2000000000000002</v>
      </c>
      <c r="F371" s="35">
        <v>3.9</v>
      </c>
      <c r="G371" s="35">
        <v>2</v>
      </c>
      <c r="H371" s="35">
        <v>3.4</v>
      </c>
      <c r="I371" s="35">
        <v>2</v>
      </c>
      <c r="J371" s="35">
        <v>2.9</v>
      </c>
      <c r="K371" s="35">
        <v>2</v>
      </c>
      <c r="L371" s="35">
        <v>2.7</v>
      </c>
      <c r="M371" s="35">
        <v>2</v>
      </c>
      <c r="N371" s="35">
        <v>3</v>
      </c>
      <c r="O371" s="35">
        <v>3</v>
      </c>
      <c r="P371" s="35">
        <v>3.3</v>
      </c>
      <c r="Q371" s="35">
        <v>2</v>
      </c>
      <c r="R371" s="35">
        <v>0.8</v>
      </c>
      <c r="S371" s="35">
        <v>2</v>
      </c>
      <c r="T371" s="35">
        <v>1.4</v>
      </c>
      <c r="U371" s="35">
        <v>2</v>
      </c>
      <c r="V371" s="35">
        <v>10.199999999999999</v>
      </c>
      <c r="W371" s="35">
        <v>9</v>
      </c>
      <c r="X371" s="35">
        <v>9.3000000000000007</v>
      </c>
      <c r="Y371" s="35">
        <v>9</v>
      </c>
      <c r="Z371" s="35">
        <v>10.9</v>
      </c>
      <c r="AA371" s="35">
        <v>9</v>
      </c>
      <c r="AB371" s="35">
        <v>8.1</v>
      </c>
      <c r="AC371" s="35">
        <v>9</v>
      </c>
      <c r="AD371" s="35">
        <v>20.2</v>
      </c>
      <c r="AE371" s="35">
        <v>19</v>
      </c>
      <c r="AF371" s="35">
        <v>20.100000000000001</v>
      </c>
      <c r="AG371" s="35">
        <v>19</v>
      </c>
      <c r="AH371" s="35">
        <v>19.899999999999999</v>
      </c>
      <c r="AI371" s="35">
        <v>19</v>
      </c>
      <c r="AJ371" s="35">
        <v>17.8</v>
      </c>
      <c r="AK371" s="35">
        <v>19</v>
      </c>
      <c r="AL371" s="35">
        <v>19.5</v>
      </c>
      <c r="AM371" s="35">
        <v>19</v>
      </c>
      <c r="AN371" s="35">
        <v>19.3</v>
      </c>
      <c r="AO371" s="35">
        <v>19</v>
      </c>
      <c r="AP371" s="35">
        <v>20.8</v>
      </c>
      <c r="AQ371" s="35">
        <v>19</v>
      </c>
      <c r="AR371" s="35">
        <v>20.8</v>
      </c>
      <c r="AS371" s="35">
        <v>19</v>
      </c>
      <c r="AT371" s="35">
        <v>18.8</v>
      </c>
      <c r="AU371" s="35">
        <v>19</v>
      </c>
      <c r="AV371" s="35">
        <v>20.9</v>
      </c>
      <c r="AW371" s="35">
        <v>19</v>
      </c>
      <c r="AX371" s="35">
        <v>21</v>
      </c>
      <c r="AY371" s="35">
        <v>20</v>
      </c>
      <c r="AZ371" s="35">
        <v>21</v>
      </c>
      <c r="BA371" s="35">
        <v>20</v>
      </c>
      <c r="BB371" s="35">
        <v>33</v>
      </c>
      <c r="BC371" s="35">
        <v>40</v>
      </c>
      <c r="BD371" s="35">
        <v>32.1</v>
      </c>
      <c r="BE371" s="35">
        <v>40</v>
      </c>
      <c r="BF371" s="35">
        <v>19.7</v>
      </c>
      <c r="BG371" s="35">
        <v>20</v>
      </c>
    </row>
    <row r="372" spans="1:59" x14ac:dyDescent="0.35">
      <c r="A372" s="36">
        <v>46059.711805555555</v>
      </c>
      <c r="B372" s="35">
        <v>2.2000000000000002</v>
      </c>
      <c r="C372" s="35">
        <v>2</v>
      </c>
      <c r="D372" s="35">
        <v>2.5</v>
      </c>
      <c r="E372" s="35">
        <v>2.2000000000000002</v>
      </c>
      <c r="F372" s="35">
        <v>4</v>
      </c>
      <c r="G372" s="35">
        <v>2</v>
      </c>
      <c r="H372" s="35">
        <v>3.6</v>
      </c>
      <c r="I372" s="35">
        <v>2</v>
      </c>
      <c r="J372" s="35">
        <v>3.1</v>
      </c>
      <c r="K372" s="35">
        <v>2</v>
      </c>
      <c r="L372" s="35">
        <v>3.1</v>
      </c>
      <c r="M372" s="35">
        <v>2</v>
      </c>
      <c r="N372" s="35">
        <v>2</v>
      </c>
      <c r="O372" s="35">
        <v>3</v>
      </c>
      <c r="P372" s="35">
        <v>2.6</v>
      </c>
      <c r="Q372" s="35">
        <v>2</v>
      </c>
      <c r="R372" s="35">
        <v>1.1000000000000001</v>
      </c>
      <c r="S372" s="35">
        <v>2</v>
      </c>
      <c r="T372" s="35">
        <v>1.5</v>
      </c>
      <c r="U372" s="35">
        <v>2</v>
      </c>
      <c r="V372" s="35">
        <v>10.7</v>
      </c>
      <c r="W372" s="35">
        <v>9</v>
      </c>
      <c r="X372" s="35">
        <v>9.4</v>
      </c>
      <c r="Y372" s="35">
        <v>9</v>
      </c>
      <c r="Z372" s="35">
        <v>10.6</v>
      </c>
      <c r="AA372" s="35">
        <v>9</v>
      </c>
      <c r="AB372" s="35">
        <v>8.6</v>
      </c>
      <c r="AC372" s="35">
        <v>9</v>
      </c>
      <c r="AD372" s="35">
        <v>20.3</v>
      </c>
      <c r="AE372" s="35">
        <v>19</v>
      </c>
      <c r="AF372" s="35">
        <v>20.100000000000001</v>
      </c>
      <c r="AG372" s="35">
        <v>19</v>
      </c>
      <c r="AH372" s="35">
        <v>19.899999999999999</v>
      </c>
      <c r="AI372" s="35">
        <v>19</v>
      </c>
      <c r="AJ372" s="35">
        <v>17.899999999999999</v>
      </c>
      <c r="AK372" s="35">
        <v>19</v>
      </c>
      <c r="AL372" s="35">
        <v>19.3</v>
      </c>
      <c r="AM372" s="35">
        <v>19</v>
      </c>
      <c r="AN372" s="35">
        <v>19.399999999999999</v>
      </c>
      <c r="AO372" s="35">
        <v>19</v>
      </c>
      <c r="AP372" s="35">
        <v>20.8</v>
      </c>
      <c r="AQ372" s="35">
        <v>19</v>
      </c>
      <c r="AR372" s="35">
        <v>20.8</v>
      </c>
      <c r="AS372" s="35">
        <v>19</v>
      </c>
      <c r="AT372" s="35">
        <v>18.899999999999999</v>
      </c>
      <c r="AU372" s="35">
        <v>19</v>
      </c>
      <c r="AV372" s="35">
        <v>20.9</v>
      </c>
      <c r="AW372" s="35">
        <v>19</v>
      </c>
      <c r="AX372" s="35">
        <v>21</v>
      </c>
      <c r="AY372" s="35">
        <v>20</v>
      </c>
      <c r="AZ372" s="35">
        <v>21</v>
      </c>
      <c r="BA372" s="35">
        <v>20</v>
      </c>
      <c r="BB372" s="35">
        <v>33</v>
      </c>
      <c r="BC372" s="35">
        <v>40</v>
      </c>
      <c r="BD372" s="35">
        <v>32.1</v>
      </c>
      <c r="BE372" s="35">
        <v>40</v>
      </c>
      <c r="BF372" s="35">
        <v>20.100000000000001</v>
      </c>
      <c r="BG372" s="35">
        <v>20</v>
      </c>
    </row>
    <row r="373" spans="1:59" x14ac:dyDescent="0.35">
      <c r="A373" s="36">
        <v>46059.712500000001</v>
      </c>
      <c r="B373" s="35">
        <v>2.6</v>
      </c>
      <c r="C373" s="35">
        <v>2</v>
      </c>
      <c r="D373" s="35">
        <v>2.9</v>
      </c>
      <c r="E373" s="35">
        <v>2.2000000000000002</v>
      </c>
      <c r="F373" s="35">
        <v>2.2999999999999998</v>
      </c>
      <c r="G373" s="35">
        <v>2</v>
      </c>
      <c r="H373" s="35">
        <v>1.7</v>
      </c>
      <c r="I373" s="35">
        <v>2</v>
      </c>
      <c r="J373" s="35">
        <v>3.1</v>
      </c>
      <c r="K373" s="35">
        <v>2</v>
      </c>
      <c r="L373" s="35">
        <v>3.5</v>
      </c>
      <c r="M373" s="35">
        <v>2</v>
      </c>
      <c r="N373" s="35">
        <v>1.2</v>
      </c>
      <c r="O373" s="35">
        <v>3</v>
      </c>
      <c r="P373" s="35">
        <v>1.9</v>
      </c>
      <c r="Q373" s="35">
        <v>2</v>
      </c>
      <c r="R373" s="35">
        <v>1.5</v>
      </c>
      <c r="S373" s="35">
        <v>2</v>
      </c>
      <c r="T373" s="35">
        <v>1.8</v>
      </c>
      <c r="U373" s="35">
        <v>2</v>
      </c>
      <c r="V373" s="35">
        <v>11</v>
      </c>
      <c r="W373" s="35">
        <v>9</v>
      </c>
      <c r="X373" s="35">
        <v>9.6</v>
      </c>
      <c r="Y373" s="35">
        <v>9</v>
      </c>
      <c r="Z373" s="35">
        <v>9.6999999999999993</v>
      </c>
      <c r="AA373" s="35">
        <v>9</v>
      </c>
      <c r="AB373" s="35">
        <v>9</v>
      </c>
      <c r="AC373" s="35">
        <v>9</v>
      </c>
      <c r="AD373" s="35">
        <v>20.3</v>
      </c>
      <c r="AE373" s="35">
        <v>19</v>
      </c>
      <c r="AF373" s="35">
        <v>20.2</v>
      </c>
      <c r="AG373" s="35">
        <v>19</v>
      </c>
      <c r="AH373" s="35">
        <v>20</v>
      </c>
      <c r="AI373" s="35">
        <v>19</v>
      </c>
      <c r="AJ373" s="35">
        <v>18.2</v>
      </c>
      <c r="AK373" s="35">
        <v>19</v>
      </c>
      <c r="AL373" s="35">
        <v>19.2</v>
      </c>
      <c r="AM373" s="35">
        <v>19</v>
      </c>
      <c r="AN373" s="35">
        <v>19.600000000000001</v>
      </c>
      <c r="AO373" s="35">
        <v>19</v>
      </c>
      <c r="AP373" s="35">
        <v>20.8</v>
      </c>
      <c r="AQ373" s="35">
        <v>19</v>
      </c>
      <c r="AR373" s="35">
        <v>20.8</v>
      </c>
      <c r="AS373" s="35">
        <v>19</v>
      </c>
      <c r="AT373" s="35">
        <v>19.100000000000001</v>
      </c>
      <c r="AU373" s="35">
        <v>19</v>
      </c>
      <c r="AV373" s="35">
        <v>20.9</v>
      </c>
      <c r="AW373" s="35">
        <v>19</v>
      </c>
      <c r="AX373" s="35">
        <v>21</v>
      </c>
      <c r="AY373" s="35">
        <v>20</v>
      </c>
      <c r="AZ373" s="35">
        <v>20.9</v>
      </c>
      <c r="BA373" s="35">
        <v>20</v>
      </c>
      <c r="BB373" s="35">
        <v>33</v>
      </c>
      <c r="BC373" s="35">
        <v>40</v>
      </c>
      <c r="BD373" s="35">
        <v>32.1</v>
      </c>
      <c r="BE373" s="35">
        <v>40</v>
      </c>
      <c r="BF373" s="35">
        <v>20.7</v>
      </c>
      <c r="BG373" s="35">
        <v>20</v>
      </c>
    </row>
    <row r="374" spans="1:59" x14ac:dyDescent="0.35">
      <c r="A374" s="36">
        <v>46059.713194444441</v>
      </c>
      <c r="B374" s="35">
        <v>3</v>
      </c>
      <c r="C374" s="35">
        <v>2</v>
      </c>
      <c r="D374" s="35">
        <v>3.4</v>
      </c>
      <c r="E374" s="35">
        <v>2.2000000000000002</v>
      </c>
      <c r="F374" s="35">
        <v>1.4</v>
      </c>
      <c r="G374" s="35">
        <v>2</v>
      </c>
      <c r="H374" s="35">
        <v>1.4</v>
      </c>
      <c r="I374" s="35">
        <v>2</v>
      </c>
      <c r="J374" s="35">
        <v>3.2</v>
      </c>
      <c r="K374" s="35">
        <v>2</v>
      </c>
      <c r="L374" s="35">
        <v>3.8</v>
      </c>
      <c r="M374" s="35">
        <v>2</v>
      </c>
      <c r="N374" s="35">
        <v>1.2</v>
      </c>
      <c r="O374" s="35">
        <v>3</v>
      </c>
      <c r="P374" s="35">
        <v>1.9</v>
      </c>
      <c r="Q374" s="35">
        <v>2</v>
      </c>
      <c r="R374" s="35">
        <v>1.9</v>
      </c>
      <c r="S374" s="35">
        <v>2</v>
      </c>
      <c r="T374" s="35">
        <v>2.1</v>
      </c>
      <c r="U374" s="35">
        <v>2</v>
      </c>
      <c r="V374" s="35">
        <v>9</v>
      </c>
      <c r="W374" s="35">
        <v>9</v>
      </c>
      <c r="X374" s="35">
        <v>9.8000000000000007</v>
      </c>
      <c r="Y374" s="35">
        <v>9</v>
      </c>
      <c r="Z374" s="35">
        <v>8.8000000000000007</v>
      </c>
      <c r="AA374" s="35">
        <v>9</v>
      </c>
      <c r="AB374" s="35">
        <v>9.5</v>
      </c>
      <c r="AC374" s="35">
        <v>9</v>
      </c>
      <c r="AD374" s="35">
        <v>20.3</v>
      </c>
      <c r="AE374" s="35">
        <v>19</v>
      </c>
      <c r="AF374" s="35">
        <v>20.2</v>
      </c>
      <c r="AG374" s="35">
        <v>19</v>
      </c>
      <c r="AH374" s="35">
        <v>20.100000000000001</v>
      </c>
      <c r="AI374" s="35">
        <v>19</v>
      </c>
      <c r="AJ374" s="35">
        <v>18.399999999999999</v>
      </c>
      <c r="AK374" s="35">
        <v>19</v>
      </c>
      <c r="AL374" s="35">
        <v>19</v>
      </c>
      <c r="AM374" s="35">
        <v>19</v>
      </c>
      <c r="AN374" s="35">
        <v>19.7</v>
      </c>
      <c r="AO374" s="35">
        <v>19</v>
      </c>
      <c r="AP374" s="35">
        <v>20.8</v>
      </c>
      <c r="AQ374" s="35">
        <v>19</v>
      </c>
      <c r="AR374" s="35">
        <v>20.8</v>
      </c>
      <c r="AS374" s="35">
        <v>19</v>
      </c>
      <c r="AT374" s="35">
        <v>19.2</v>
      </c>
      <c r="AU374" s="35">
        <v>19</v>
      </c>
      <c r="AV374" s="35">
        <v>20.9</v>
      </c>
      <c r="AW374" s="35">
        <v>19</v>
      </c>
      <c r="AX374" s="35">
        <v>21</v>
      </c>
      <c r="AY374" s="35">
        <v>20</v>
      </c>
      <c r="AZ374" s="35">
        <v>20.8</v>
      </c>
      <c r="BA374" s="35">
        <v>20</v>
      </c>
      <c r="BB374" s="35">
        <v>32.9</v>
      </c>
      <c r="BC374" s="35">
        <v>40</v>
      </c>
      <c r="BD374" s="35">
        <v>32</v>
      </c>
      <c r="BE374" s="35">
        <v>40</v>
      </c>
      <c r="BF374" s="35">
        <v>21</v>
      </c>
      <c r="BG374" s="35">
        <v>20</v>
      </c>
    </row>
    <row r="375" spans="1:59" x14ac:dyDescent="0.35">
      <c r="A375" s="36">
        <v>46059.713888888888</v>
      </c>
      <c r="B375" s="35">
        <v>3.3</v>
      </c>
      <c r="C375" s="35">
        <v>2</v>
      </c>
      <c r="D375" s="35">
        <v>3.7</v>
      </c>
      <c r="E375" s="35">
        <v>2.2000000000000002</v>
      </c>
      <c r="F375" s="35">
        <v>1.5</v>
      </c>
      <c r="G375" s="35">
        <v>2</v>
      </c>
      <c r="H375" s="35">
        <v>1.7</v>
      </c>
      <c r="I375" s="35">
        <v>2</v>
      </c>
      <c r="J375" s="35">
        <v>3.3</v>
      </c>
      <c r="K375" s="35">
        <v>2</v>
      </c>
      <c r="L375" s="35">
        <v>4</v>
      </c>
      <c r="M375" s="35">
        <v>2</v>
      </c>
      <c r="N375" s="35">
        <v>1.5</v>
      </c>
      <c r="O375" s="35">
        <v>3</v>
      </c>
      <c r="P375" s="35">
        <v>2.1</v>
      </c>
      <c r="Q375" s="35">
        <v>2</v>
      </c>
      <c r="R375" s="35">
        <v>2.2000000000000002</v>
      </c>
      <c r="S375" s="35">
        <v>2</v>
      </c>
      <c r="T375" s="35">
        <v>2.4</v>
      </c>
      <c r="U375" s="35">
        <v>2</v>
      </c>
      <c r="V375" s="35">
        <v>7.6</v>
      </c>
      <c r="W375" s="35">
        <v>9</v>
      </c>
      <c r="X375" s="35">
        <v>9.9</v>
      </c>
      <c r="Y375" s="35">
        <v>9</v>
      </c>
      <c r="Z375" s="35">
        <v>8.6</v>
      </c>
      <c r="AA375" s="35">
        <v>9</v>
      </c>
      <c r="AB375" s="35">
        <v>10</v>
      </c>
      <c r="AC375" s="35">
        <v>9</v>
      </c>
      <c r="AD375" s="35">
        <v>20.399999999999999</v>
      </c>
      <c r="AE375" s="35">
        <v>19</v>
      </c>
      <c r="AF375" s="35">
        <v>20.3</v>
      </c>
      <c r="AG375" s="35">
        <v>19</v>
      </c>
      <c r="AH375" s="35">
        <v>20.100000000000001</v>
      </c>
      <c r="AI375" s="35">
        <v>19</v>
      </c>
      <c r="AJ375" s="35">
        <v>18.7</v>
      </c>
      <c r="AK375" s="35">
        <v>19</v>
      </c>
      <c r="AL375" s="35">
        <v>19</v>
      </c>
      <c r="AM375" s="35">
        <v>19</v>
      </c>
      <c r="AN375" s="35">
        <v>19.8</v>
      </c>
      <c r="AO375" s="35">
        <v>19</v>
      </c>
      <c r="AP375" s="35">
        <v>20.8</v>
      </c>
      <c r="AQ375" s="35">
        <v>19</v>
      </c>
      <c r="AR375" s="35">
        <v>20.8</v>
      </c>
      <c r="AS375" s="35">
        <v>19</v>
      </c>
      <c r="AT375" s="35">
        <v>19.399999999999999</v>
      </c>
      <c r="AU375" s="35">
        <v>19</v>
      </c>
      <c r="AV375" s="35">
        <v>20.7</v>
      </c>
      <c r="AW375" s="35">
        <v>19</v>
      </c>
      <c r="AX375" s="35">
        <v>21</v>
      </c>
      <c r="AY375" s="35">
        <v>20</v>
      </c>
      <c r="AZ375" s="35">
        <v>20.8</v>
      </c>
      <c r="BA375" s="35">
        <v>20</v>
      </c>
      <c r="BB375" s="35">
        <v>32.9</v>
      </c>
      <c r="BC375" s="35">
        <v>40</v>
      </c>
      <c r="BD375" s="35">
        <v>32</v>
      </c>
      <c r="BE375" s="35">
        <v>40</v>
      </c>
      <c r="BF375" s="35">
        <v>21.2</v>
      </c>
      <c r="BG375" s="35">
        <v>20</v>
      </c>
    </row>
    <row r="376" spans="1:59" x14ac:dyDescent="0.35">
      <c r="A376" s="36">
        <v>46059.714583333334</v>
      </c>
      <c r="B376" s="35">
        <v>3.6</v>
      </c>
      <c r="C376" s="35">
        <v>2</v>
      </c>
      <c r="D376" s="35">
        <v>4.0999999999999996</v>
      </c>
      <c r="E376" s="35">
        <v>2.2000000000000002</v>
      </c>
      <c r="F376" s="35">
        <v>1.8</v>
      </c>
      <c r="G376" s="35">
        <v>2</v>
      </c>
      <c r="H376" s="35">
        <v>2.1</v>
      </c>
      <c r="I376" s="35">
        <v>2</v>
      </c>
      <c r="J376" s="35">
        <v>3</v>
      </c>
      <c r="K376" s="35">
        <v>2</v>
      </c>
      <c r="L376" s="35">
        <v>3.1</v>
      </c>
      <c r="M376" s="35">
        <v>2</v>
      </c>
      <c r="N376" s="35">
        <v>1.8</v>
      </c>
      <c r="O376" s="35">
        <v>3</v>
      </c>
      <c r="P376" s="35">
        <v>2.4</v>
      </c>
      <c r="Q376" s="35">
        <v>2</v>
      </c>
      <c r="R376" s="35">
        <v>2.4</v>
      </c>
      <c r="S376" s="35">
        <v>2</v>
      </c>
      <c r="T376" s="35">
        <v>2.6</v>
      </c>
      <c r="U376" s="35">
        <v>2</v>
      </c>
      <c r="V376" s="35">
        <v>7.8</v>
      </c>
      <c r="W376" s="35">
        <v>9</v>
      </c>
      <c r="X376" s="35">
        <v>10</v>
      </c>
      <c r="Y376" s="35">
        <v>9</v>
      </c>
      <c r="Z376" s="35">
        <v>9</v>
      </c>
      <c r="AA376" s="35">
        <v>9</v>
      </c>
      <c r="AB376" s="35">
        <v>10.4</v>
      </c>
      <c r="AC376" s="35">
        <v>9</v>
      </c>
      <c r="AD376" s="35">
        <v>20.399999999999999</v>
      </c>
      <c r="AE376" s="35">
        <v>19</v>
      </c>
      <c r="AF376" s="35">
        <v>20.3</v>
      </c>
      <c r="AG376" s="35">
        <v>19</v>
      </c>
      <c r="AH376" s="35">
        <v>20.2</v>
      </c>
      <c r="AI376" s="35">
        <v>19</v>
      </c>
      <c r="AJ376" s="35">
        <v>18.8</v>
      </c>
      <c r="AK376" s="35">
        <v>19</v>
      </c>
      <c r="AL376" s="35">
        <v>19.3</v>
      </c>
      <c r="AM376" s="35">
        <v>19</v>
      </c>
      <c r="AN376" s="35">
        <v>19.899999999999999</v>
      </c>
      <c r="AO376" s="35">
        <v>19</v>
      </c>
      <c r="AP376" s="35">
        <v>20.9</v>
      </c>
      <c r="AQ376" s="35">
        <v>19</v>
      </c>
      <c r="AR376" s="35">
        <v>20.8</v>
      </c>
      <c r="AS376" s="35">
        <v>19</v>
      </c>
      <c r="AT376" s="35">
        <v>19.5</v>
      </c>
      <c r="AU376" s="35">
        <v>19</v>
      </c>
      <c r="AV376" s="35">
        <v>18.8</v>
      </c>
      <c r="AW376" s="35">
        <v>19</v>
      </c>
      <c r="AX376" s="35">
        <v>21</v>
      </c>
      <c r="AY376" s="35">
        <v>20</v>
      </c>
      <c r="AZ376" s="35">
        <v>20.8</v>
      </c>
      <c r="BA376" s="35">
        <v>20</v>
      </c>
      <c r="BB376" s="35">
        <v>32.9</v>
      </c>
      <c r="BC376" s="35">
        <v>40</v>
      </c>
      <c r="BD376" s="35">
        <v>32</v>
      </c>
      <c r="BE376" s="35">
        <v>40</v>
      </c>
      <c r="BF376" s="35">
        <v>21.4</v>
      </c>
      <c r="BG376" s="35">
        <v>20</v>
      </c>
    </row>
    <row r="377" spans="1:59" x14ac:dyDescent="0.35">
      <c r="A377" s="36">
        <v>46059.715277777781</v>
      </c>
      <c r="B377" s="35">
        <v>3.7</v>
      </c>
      <c r="C377" s="35">
        <v>2</v>
      </c>
      <c r="D377" s="35">
        <v>4.0999999999999996</v>
      </c>
      <c r="E377" s="35">
        <v>2.2000000000000002</v>
      </c>
      <c r="F377" s="35">
        <v>2.2999999999999998</v>
      </c>
      <c r="G377" s="35">
        <v>2</v>
      </c>
      <c r="H377" s="35">
        <v>2.6</v>
      </c>
      <c r="I377" s="35">
        <v>2</v>
      </c>
      <c r="J377" s="35">
        <v>2.5</v>
      </c>
      <c r="K377" s="35">
        <v>2</v>
      </c>
      <c r="L377" s="35">
        <v>2.2000000000000002</v>
      </c>
      <c r="M377" s="35">
        <v>2</v>
      </c>
      <c r="N377" s="35">
        <v>2.2000000000000002</v>
      </c>
      <c r="O377" s="35">
        <v>3</v>
      </c>
      <c r="P377" s="35">
        <v>2.6</v>
      </c>
      <c r="Q377" s="35">
        <v>2</v>
      </c>
      <c r="R377" s="35">
        <v>2.7</v>
      </c>
      <c r="S377" s="35">
        <v>2</v>
      </c>
      <c r="T377" s="35">
        <v>2.7</v>
      </c>
      <c r="U377" s="35">
        <v>2</v>
      </c>
      <c r="V377" s="35">
        <v>8.6999999999999993</v>
      </c>
      <c r="W377" s="35">
        <v>9</v>
      </c>
      <c r="X377" s="35">
        <v>10.1</v>
      </c>
      <c r="Y377" s="35">
        <v>9</v>
      </c>
      <c r="Z377" s="35">
        <v>9.4</v>
      </c>
      <c r="AA377" s="35">
        <v>9</v>
      </c>
      <c r="AB377" s="35">
        <v>10.7</v>
      </c>
      <c r="AC377" s="35">
        <v>9</v>
      </c>
      <c r="AD377" s="35">
        <v>20.399999999999999</v>
      </c>
      <c r="AE377" s="35">
        <v>19</v>
      </c>
      <c r="AF377" s="35">
        <v>20.399999999999999</v>
      </c>
      <c r="AG377" s="35">
        <v>19</v>
      </c>
      <c r="AH377" s="35">
        <v>20.3</v>
      </c>
      <c r="AI377" s="35">
        <v>19</v>
      </c>
      <c r="AJ377" s="35">
        <v>19.100000000000001</v>
      </c>
      <c r="AK377" s="35">
        <v>19</v>
      </c>
      <c r="AL377" s="35">
        <v>19.600000000000001</v>
      </c>
      <c r="AM377" s="35">
        <v>19</v>
      </c>
      <c r="AN377" s="35">
        <v>20</v>
      </c>
      <c r="AO377" s="35">
        <v>19</v>
      </c>
      <c r="AP377" s="35">
        <v>20.9</v>
      </c>
      <c r="AQ377" s="35">
        <v>19</v>
      </c>
      <c r="AR377" s="35">
        <v>20.8</v>
      </c>
      <c r="AS377" s="35">
        <v>19</v>
      </c>
      <c r="AT377" s="35">
        <v>19.600000000000001</v>
      </c>
      <c r="AU377" s="35">
        <v>19</v>
      </c>
      <c r="AV377" s="35">
        <v>17.5</v>
      </c>
      <c r="AW377" s="35">
        <v>19</v>
      </c>
      <c r="AX377" s="35">
        <v>21</v>
      </c>
      <c r="AY377" s="35">
        <v>20</v>
      </c>
      <c r="AZ377" s="35">
        <v>20.8</v>
      </c>
      <c r="BA377" s="35">
        <v>20</v>
      </c>
      <c r="BB377" s="35">
        <v>32.9</v>
      </c>
      <c r="BC377" s="35">
        <v>40</v>
      </c>
      <c r="BD377" s="35">
        <v>32</v>
      </c>
      <c r="BE377" s="35">
        <v>40</v>
      </c>
      <c r="BF377" s="35">
        <v>21.5</v>
      </c>
      <c r="BG377" s="35">
        <v>20</v>
      </c>
    </row>
    <row r="378" spans="1:59" x14ac:dyDescent="0.35">
      <c r="A378" s="36">
        <v>46059.71597222222</v>
      </c>
      <c r="B378" s="35">
        <v>3.7</v>
      </c>
      <c r="C378" s="35">
        <v>2</v>
      </c>
      <c r="D378" s="35">
        <v>4</v>
      </c>
      <c r="E378" s="35">
        <v>2.2000000000000002</v>
      </c>
      <c r="F378" s="35">
        <v>2.6</v>
      </c>
      <c r="G378" s="35">
        <v>2</v>
      </c>
      <c r="H378" s="35">
        <v>3</v>
      </c>
      <c r="I378" s="35">
        <v>2</v>
      </c>
      <c r="J378" s="35">
        <v>2.1</v>
      </c>
      <c r="K378" s="35">
        <v>2</v>
      </c>
      <c r="L378" s="35">
        <v>1.6</v>
      </c>
      <c r="M378" s="35">
        <v>2</v>
      </c>
      <c r="N378" s="35">
        <v>2.6</v>
      </c>
      <c r="O378" s="35">
        <v>3</v>
      </c>
      <c r="P378" s="35">
        <v>2.9</v>
      </c>
      <c r="Q378" s="35">
        <v>2</v>
      </c>
      <c r="R378" s="35">
        <v>2.9</v>
      </c>
      <c r="S378" s="35">
        <v>2</v>
      </c>
      <c r="T378" s="35">
        <v>2.9</v>
      </c>
      <c r="U378" s="35">
        <v>2</v>
      </c>
      <c r="V378" s="35">
        <v>9.4</v>
      </c>
      <c r="W378" s="35">
        <v>9</v>
      </c>
      <c r="X378" s="35">
        <v>10.199999999999999</v>
      </c>
      <c r="Y378" s="35">
        <v>9</v>
      </c>
      <c r="Z378" s="35">
        <v>9.6999999999999993</v>
      </c>
      <c r="AA378" s="35">
        <v>9</v>
      </c>
      <c r="AB378" s="35">
        <v>11</v>
      </c>
      <c r="AC378" s="35">
        <v>9</v>
      </c>
      <c r="AD378" s="35">
        <v>20.399999999999999</v>
      </c>
      <c r="AE378" s="35">
        <v>19</v>
      </c>
      <c r="AF378" s="35">
        <v>20.399999999999999</v>
      </c>
      <c r="AG378" s="35">
        <v>19</v>
      </c>
      <c r="AH378" s="35">
        <v>20.399999999999999</v>
      </c>
      <c r="AI378" s="35">
        <v>19</v>
      </c>
      <c r="AJ378" s="35">
        <v>19.2</v>
      </c>
      <c r="AK378" s="35">
        <v>19</v>
      </c>
      <c r="AL378" s="35">
        <v>20</v>
      </c>
      <c r="AM378" s="35">
        <v>19</v>
      </c>
      <c r="AN378" s="35">
        <v>20.100000000000001</v>
      </c>
      <c r="AO378" s="35">
        <v>19</v>
      </c>
      <c r="AP378" s="35">
        <v>20.9</v>
      </c>
      <c r="AQ378" s="35">
        <v>19</v>
      </c>
      <c r="AR378" s="35">
        <v>20.8</v>
      </c>
      <c r="AS378" s="35">
        <v>19</v>
      </c>
      <c r="AT378" s="35">
        <v>19.7</v>
      </c>
      <c r="AU378" s="35">
        <v>19</v>
      </c>
      <c r="AV378" s="35">
        <v>17.399999999999999</v>
      </c>
      <c r="AW378" s="35">
        <v>19</v>
      </c>
      <c r="AX378" s="35">
        <v>21.2</v>
      </c>
      <c r="AY378" s="35">
        <v>20</v>
      </c>
      <c r="AZ378" s="35">
        <v>21</v>
      </c>
      <c r="BA378" s="35">
        <v>20</v>
      </c>
      <c r="BB378" s="35">
        <v>32.9</v>
      </c>
      <c r="BC378" s="35">
        <v>40</v>
      </c>
      <c r="BD378" s="35">
        <v>32</v>
      </c>
      <c r="BE378" s="35">
        <v>40</v>
      </c>
      <c r="BF378" s="35">
        <v>21.6</v>
      </c>
      <c r="BG378" s="35">
        <v>20</v>
      </c>
    </row>
    <row r="379" spans="1:59" x14ac:dyDescent="0.35">
      <c r="A379" s="36">
        <v>46059.716666666667</v>
      </c>
      <c r="B379" s="35">
        <v>3.9</v>
      </c>
      <c r="C379" s="35">
        <v>2</v>
      </c>
      <c r="D379" s="35">
        <v>4.0999999999999996</v>
      </c>
      <c r="E379" s="35">
        <v>2.2000000000000002</v>
      </c>
      <c r="F379" s="35">
        <v>2.9</v>
      </c>
      <c r="G379" s="35">
        <v>2</v>
      </c>
      <c r="H379" s="35">
        <v>3.3</v>
      </c>
      <c r="I379" s="35">
        <v>2</v>
      </c>
      <c r="J379" s="35">
        <v>2.1</v>
      </c>
      <c r="K379" s="35">
        <v>2</v>
      </c>
      <c r="L379" s="35">
        <v>1.8</v>
      </c>
      <c r="M379" s="35">
        <v>2</v>
      </c>
      <c r="N379" s="35">
        <v>2.9</v>
      </c>
      <c r="O379" s="35">
        <v>3</v>
      </c>
      <c r="P379" s="35">
        <v>3.1</v>
      </c>
      <c r="Q379" s="35">
        <v>2</v>
      </c>
      <c r="R379" s="35">
        <v>3.1</v>
      </c>
      <c r="S379" s="35">
        <v>2</v>
      </c>
      <c r="T379" s="35">
        <v>3.1</v>
      </c>
      <c r="U379" s="35">
        <v>2</v>
      </c>
      <c r="V379" s="35">
        <v>10</v>
      </c>
      <c r="W379" s="35">
        <v>9</v>
      </c>
      <c r="X379" s="35">
        <v>10.3</v>
      </c>
      <c r="Y379" s="35">
        <v>9</v>
      </c>
      <c r="Z379" s="35">
        <v>10</v>
      </c>
      <c r="AA379" s="35">
        <v>9</v>
      </c>
      <c r="AB379" s="35">
        <v>10.9</v>
      </c>
      <c r="AC379" s="35">
        <v>9</v>
      </c>
      <c r="AD379" s="35">
        <v>20.5</v>
      </c>
      <c r="AE379" s="35">
        <v>19</v>
      </c>
      <c r="AF379" s="35">
        <v>20.5</v>
      </c>
      <c r="AG379" s="35">
        <v>19</v>
      </c>
      <c r="AH379" s="35">
        <v>20.399999999999999</v>
      </c>
      <c r="AI379" s="35">
        <v>19</v>
      </c>
      <c r="AJ379" s="35">
        <v>19.399999999999999</v>
      </c>
      <c r="AK379" s="35">
        <v>19</v>
      </c>
      <c r="AL379" s="35">
        <v>20.3</v>
      </c>
      <c r="AM379" s="35">
        <v>19</v>
      </c>
      <c r="AN379" s="35">
        <v>20.100000000000001</v>
      </c>
      <c r="AO379" s="35">
        <v>19</v>
      </c>
      <c r="AP379" s="35">
        <v>20.9</v>
      </c>
      <c r="AQ379" s="35">
        <v>19</v>
      </c>
      <c r="AR379" s="35">
        <v>20.8</v>
      </c>
      <c r="AS379" s="35">
        <v>19</v>
      </c>
      <c r="AT379" s="35">
        <v>19.8</v>
      </c>
      <c r="AU379" s="35">
        <v>19</v>
      </c>
      <c r="AV379" s="35">
        <v>17.399999999999999</v>
      </c>
      <c r="AW379" s="35">
        <v>19</v>
      </c>
      <c r="AX379" s="35">
        <v>21.3</v>
      </c>
      <c r="AY379" s="35">
        <v>20</v>
      </c>
      <c r="AZ379" s="35">
        <v>21.1</v>
      </c>
      <c r="BA379" s="35">
        <v>20</v>
      </c>
      <c r="BB379" s="35">
        <v>32.9</v>
      </c>
      <c r="BC379" s="35">
        <v>40</v>
      </c>
      <c r="BD379" s="35">
        <v>32</v>
      </c>
      <c r="BE379" s="35">
        <v>40</v>
      </c>
      <c r="BF379" s="35">
        <v>21.6</v>
      </c>
      <c r="BG379" s="35">
        <v>20</v>
      </c>
    </row>
    <row r="380" spans="1:59" x14ac:dyDescent="0.35">
      <c r="A380" s="36">
        <v>46059.717361111114</v>
      </c>
      <c r="B380" s="35">
        <v>4</v>
      </c>
      <c r="C380" s="35">
        <v>2</v>
      </c>
      <c r="D380" s="35">
        <v>4.3</v>
      </c>
      <c r="E380" s="35">
        <v>2.2000000000000002</v>
      </c>
      <c r="F380" s="35">
        <v>3.2</v>
      </c>
      <c r="G380" s="35">
        <v>2</v>
      </c>
      <c r="H380" s="35">
        <v>3.5</v>
      </c>
      <c r="I380" s="35">
        <v>2</v>
      </c>
      <c r="J380" s="35">
        <v>2.2999999999999998</v>
      </c>
      <c r="K380" s="35">
        <v>2</v>
      </c>
      <c r="L380" s="35">
        <v>2.1</v>
      </c>
      <c r="M380" s="35">
        <v>2</v>
      </c>
      <c r="N380" s="35">
        <v>3.1</v>
      </c>
      <c r="O380" s="35">
        <v>3</v>
      </c>
      <c r="P380" s="35">
        <v>3.3</v>
      </c>
      <c r="Q380" s="35">
        <v>2</v>
      </c>
      <c r="R380" s="35">
        <v>3.2</v>
      </c>
      <c r="S380" s="35">
        <v>2</v>
      </c>
      <c r="T380" s="35">
        <v>3.2</v>
      </c>
      <c r="U380" s="35">
        <v>2</v>
      </c>
      <c r="V380" s="35">
        <v>10.5</v>
      </c>
      <c r="W380" s="35">
        <v>9</v>
      </c>
      <c r="X380" s="35">
        <v>10.4</v>
      </c>
      <c r="Y380" s="35">
        <v>9</v>
      </c>
      <c r="Z380" s="35">
        <v>10.199999999999999</v>
      </c>
      <c r="AA380" s="35">
        <v>9</v>
      </c>
      <c r="AB380" s="35">
        <v>9.5</v>
      </c>
      <c r="AC380" s="35">
        <v>9</v>
      </c>
      <c r="AD380" s="35">
        <v>20.5</v>
      </c>
      <c r="AE380" s="35">
        <v>19</v>
      </c>
      <c r="AF380" s="35">
        <v>20.5</v>
      </c>
      <c r="AG380" s="35">
        <v>19</v>
      </c>
      <c r="AH380" s="35">
        <v>20.5</v>
      </c>
      <c r="AI380" s="35">
        <v>19</v>
      </c>
      <c r="AJ380" s="35">
        <v>19.5</v>
      </c>
      <c r="AK380" s="35">
        <v>19</v>
      </c>
      <c r="AL380" s="35">
        <v>20.5</v>
      </c>
      <c r="AM380" s="35">
        <v>19</v>
      </c>
      <c r="AN380" s="35">
        <v>20.2</v>
      </c>
      <c r="AO380" s="35">
        <v>19</v>
      </c>
      <c r="AP380" s="35">
        <v>20.9</v>
      </c>
      <c r="AQ380" s="35">
        <v>19</v>
      </c>
      <c r="AR380" s="35">
        <v>20.8</v>
      </c>
      <c r="AS380" s="35">
        <v>19</v>
      </c>
      <c r="AT380" s="35">
        <v>19.899999999999999</v>
      </c>
      <c r="AU380" s="35">
        <v>19</v>
      </c>
      <c r="AV380" s="35">
        <v>17.7</v>
      </c>
      <c r="AW380" s="35">
        <v>19</v>
      </c>
      <c r="AX380" s="35">
        <v>21.3</v>
      </c>
      <c r="AY380" s="35">
        <v>20</v>
      </c>
      <c r="AZ380" s="35">
        <v>21.2</v>
      </c>
      <c r="BA380" s="35">
        <v>20</v>
      </c>
      <c r="BB380" s="35">
        <v>32.9</v>
      </c>
      <c r="BC380" s="35">
        <v>40</v>
      </c>
      <c r="BD380" s="35">
        <v>32</v>
      </c>
      <c r="BE380" s="35">
        <v>40</v>
      </c>
      <c r="BF380" s="35">
        <v>21.7</v>
      </c>
      <c r="BG380" s="35">
        <v>20</v>
      </c>
    </row>
    <row r="381" spans="1:59" x14ac:dyDescent="0.35">
      <c r="A381" s="36">
        <v>46059.718055555553</v>
      </c>
      <c r="B381" s="35">
        <v>2.8</v>
      </c>
      <c r="C381" s="35">
        <v>2</v>
      </c>
      <c r="D381" s="35">
        <v>3</v>
      </c>
      <c r="E381" s="35">
        <v>2.2000000000000002</v>
      </c>
      <c r="F381" s="35">
        <v>3.5</v>
      </c>
      <c r="G381" s="35">
        <v>2</v>
      </c>
      <c r="H381" s="35">
        <v>3.8</v>
      </c>
      <c r="I381" s="35">
        <v>2</v>
      </c>
      <c r="J381" s="35">
        <v>2.5</v>
      </c>
      <c r="K381" s="35">
        <v>2</v>
      </c>
      <c r="L381" s="35">
        <v>2.5</v>
      </c>
      <c r="M381" s="35">
        <v>2</v>
      </c>
      <c r="N381" s="35">
        <v>3.4</v>
      </c>
      <c r="O381" s="35">
        <v>3</v>
      </c>
      <c r="P381" s="35">
        <v>3.5</v>
      </c>
      <c r="Q381" s="35">
        <v>2</v>
      </c>
      <c r="R381" s="35">
        <v>3.4</v>
      </c>
      <c r="S381" s="35">
        <v>2</v>
      </c>
      <c r="T381" s="35">
        <v>3.4</v>
      </c>
      <c r="U381" s="35">
        <v>2</v>
      </c>
      <c r="V381" s="35">
        <v>10.9</v>
      </c>
      <c r="W381" s="35">
        <v>9</v>
      </c>
      <c r="X381" s="35">
        <v>10.5</v>
      </c>
      <c r="Y381" s="35">
        <v>9</v>
      </c>
      <c r="Z381" s="35">
        <v>10.4</v>
      </c>
      <c r="AA381" s="35">
        <v>9</v>
      </c>
      <c r="AB381" s="35">
        <v>8.3000000000000007</v>
      </c>
      <c r="AC381" s="35">
        <v>9</v>
      </c>
      <c r="AD381" s="35">
        <v>20.5</v>
      </c>
      <c r="AE381" s="35">
        <v>19</v>
      </c>
      <c r="AF381" s="35">
        <v>20.5</v>
      </c>
      <c r="AG381" s="35">
        <v>19</v>
      </c>
      <c r="AH381" s="35">
        <v>20.5</v>
      </c>
      <c r="AI381" s="35">
        <v>19</v>
      </c>
      <c r="AJ381" s="35">
        <v>19.600000000000001</v>
      </c>
      <c r="AK381" s="35">
        <v>19</v>
      </c>
      <c r="AL381" s="35">
        <v>20.6</v>
      </c>
      <c r="AM381" s="35">
        <v>19</v>
      </c>
      <c r="AN381" s="35">
        <v>20.3</v>
      </c>
      <c r="AO381" s="35">
        <v>19</v>
      </c>
      <c r="AP381" s="35">
        <v>20.9</v>
      </c>
      <c r="AQ381" s="35">
        <v>19</v>
      </c>
      <c r="AR381" s="35">
        <v>20.8</v>
      </c>
      <c r="AS381" s="35">
        <v>19</v>
      </c>
      <c r="AT381" s="35">
        <v>20</v>
      </c>
      <c r="AU381" s="35">
        <v>19</v>
      </c>
      <c r="AV381" s="35">
        <v>17.899999999999999</v>
      </c>
      <c r="AW381" s="35">
        <v>19</v>
      </c>
      <c r="AX381" s="35">
        <v>21.3</v>
      </c>
      <c r="AY381" s="35">
        <v>20</v>
      </c>
      <c r="AZ381" s="35">
        <v>21.1</v>
      </c>
      <c r="BA381" s="35">
        <v>20</v>
      </c>
      <c r="BB381" s="35">
        <v>32.9</v>
      </c>
      <c r="BC381" s="35">
        <v>40</v>
      </c>
      <c r="BD381" s="35">
        <v>32</v>
      </c>
      <c r="BE381" s="35">
        <v>40</v>
      </c>
      <c r="BF381" s="35">
        <v>21.8</v>
      </c>
      <c r="BG381" s="35">
        <v>20</v>
      </c>
    </row>
    <row r="382" spans="1:59" x14ac:dyDescent="0.35">
      <c r="A382" s="36">
        <v>46059.71875</v>
      </c>
      <c r="B382" s="35">
        <v>2.1</v>
      </c>
      <c r="C382" s="35">
        <v>2</v>
      </c>
      <c r="D382" s="35">
        <v>2.4</v>
      </c>
      <c r="E382" s="35">
        <v>2.2000000000000002</v>
      </c>
      <c r="F382" s="35">
        <v>3.7</v>
      </c>
      <c r="G382" s="35">
        <v>2</v>
      </c>
      <c r="H382" s="35">
        <v>4</v>
      </c>
      <c r="I382" s="35">
        <v>2</v>
      </c>
      <c r="J382" s="35">
        <v>2.8</v>
      </c>
      <c r="K382" s="35">
        <v>2</v>
      </c>
      <c r="L382" s="35">
        <v>2.9</v>
      </c>
      <c r="M382" s="35">
        <v>2</v>
      </c>
      <c r="N382" s="35">
        <v>3.6</v>
      </c>
      <c r="O382" s="35">
        <v>3</v>
      </c>
      <c r="P382" s="35">
        <v>3.6</v>
      </c>
      <c r="Q382" s="35">
        <v>2</v>
      </c>
      <c r="R382" s="35">
        <v>3.5</v>
      </c>
      <c r="S382" s="35">
        <v>2</v>
      </c>
      <c r="T382" s="35">
        <v>3.5</v>
      </c>
      <c r="U382" s="35">
        <v>2</v>
      </c>
      <c r="V382" s="35">
        <v>10.5</v>
      </c>
      <c r="W382" s="35">
        <v>9</v>
      </c>
      <c r="X382" s="35">
        <v>10.6</v>
      </c>
      <c r="Y382" s="35">
        <v>9</v>
      </c>
      <c r="Z382" s="35">
        <v>10.6</v>
      </c>
      <c r="AA382" s="35">
        <v>9</v>
      </c>
      <c r="AB382" s="35">
        <v>8.3000000000000007</v>
      </c>
      <c r="AC382" s="35">
        <v>9</v>
      </c>
      <c r="AD382" s="35">
        <v>20.5</v>
      </c>
      <c r="AE382" s="35">
        <v>19</v>
      </c>
      <c r="AF382" s="35">
        <v>20.6</v>
      </c>
      <c r="AG382" s="35">
        <v>19</v>
      </c>
      <c r="AH382" s="35">
        <v>20.6</v>
      </c>
      <c r="AI382" s="35">
        <v>19</v>
      </c>
      <c r="AJ382" s="35">
        <v>19.7</v>
      </c>
      <c r="AK382" s="35">
        <v>19</v>
      </c>
      <c r="AL382" s="35">
        <v>20.9</v>
      </c>
      <c r="AM382" s="35">
        <v>19</v>
      </c>
      <c r="AN382" s="35">
        <v>20.399999999999999</v>
      </c>
      <c r="AO382" s="35">
        <v>19</v>
      </c>
      <c r="AP382" s="35">
        <v>20.9</v>
      </c>
      <c r="AQ382" s="35">
        <v>19</v>
      </c>
      <c r="AR382" s="35">
        <v>20.8</v>
      </c>
      <c r="AS382" s="35">
        <v>19</v>
      </c>
      <c r="AT382" s="35">
        <v>20.100000000000001</v>
      </c>
      <c r="AU382" s="35">
        <v>19</v>
      </c>
      <c r="AV382" s="35">
        <v>18.100000000000001</v>
      </c>
      <c r="AW382" s="35">
        <v>19</v>
      </c>
      <c r="AX382" s="35">
        <v>21.3</v>
      </c>
      <c r="AY382" s="35">
        <v>20</v>
      </c>
      <c r="AZ382" s="35">
        <v>21</v>
      </c>
      <c r="BA382" s="35">
        <v>20</v>
      </c>
      <c r="BB382" s="35">
        <v>32.9</v>
      </c>
      <c r="BC382" s="35">
        <v>40</v>
      </c>
      <c r="BD382" s="35">
        <v>32</v>
      </c>
      <c r="BE382" s="35">
        <v>40</v>
      </c>
      <c r="BF382" s="35">
        <v>21.8</v>
      </c>
      <c r="BG382" s="35">
        <v>20</v>
      </c>
    </row>
    <row r="383" spans="1:59" x14ac:dyDescent="0.35">
      <c r="A383" s="36">
        <v>46059.719444444447</v>
      </c>
      <c r="B383" s="35">
        <v>1.9</v>
      </c>
      <c r="C383" s="35">
        <v>2</v>
      </c>
      <c r="D383" s="35">
        <v>2.2000000000000002</v>
      </c>
      <c r="E383" s="35">
        <v>2.2000000000000002</v>
      </c>
      <c r="F383" s="35">
        <v>3.3</v>
      </c>
      <c r="G383" s="35">
        <v>2</v>
      </c>
      <c r="H383" s="35">
        <v>2.8</v>
      </c>
      <c r="I383" s="35">
        <v>2</v>
      </c>
      <c r="J383" s="35">
        <v>3.1</v>
      </c>
      <c r="K383" s="35">
        <v>2</v>
      </c>
      <c r="L383" s="35">
        <v>3.2</v>
      </c>
      <c r="M383" s="35">
        <v>2</v>
      </c>
      <c r="N383" s="35">
        <v>3.8</v>
      </c>
      <c r="O383" s="35">
        <v>3</v>
      </c>
      <c r="P383" s="35">
        <v>3.7</v>
      </c>
      <c r="Q383" s="35">
        <v>2</v>
      </c>
      <c r="R383" s="35">
        <v>3.6</v>
      </c>
      <c r="S383" s="35">
        <v>2</v>
      </c>
      <c r="T383" s="35">
        <v>3.6</v>
      </c>
      <c r="U383" s="35">
        <v>2</v>
      </c>
      <c r="V383" s="35">
        <v>8.1999999999999993</v>
      </c>
      <c r="W383" s="35">
        <v>9</v>
      </c>
      <c r="X383" s="35">
        <v>10.7</v>
      </c>
      <c r="Y383" s="35">
        <v>9</v>
      </c>
      <c r="Z383" s="35">
        <v>10.8</v>
      </c>
      <c r="AA383" s="35">
        <v>9</v>
      </c>
      <c r="AB383" s="35">
        <v>8.9</v>
      </c>
      <c r="AC383" s="35">
        <v>9</v>
      </c>
      <c r="AD383" s="35">
        <v>20.6</v>
      </c>
      <c r="AE383" s="35">
        <v>19</v>
      </c>
      <c r="AF383" s="35">
        <v>20.6</v>
      </c>
      <c r="AG383" s="35">
        <v>19</v>
      </c>
      <c r="AH383" s="35">
        <v>20.6</v>
      </c>
      <c r="AI383" s="35">
        <v>19</v>
      </c>
      <c r="AJ383" s="35">
        <v>19.8</v>
      </c>
      <c r="AK383" s="35">
        <v>19</v>
      </c>
      <c r="AL383" s="35">
        <v>21</v>
      </c>
      <c r="AM383" s="35">
        <v>19</v>
      </c>
      <c r="AN383" s="35">
        <v>20.399999999999999</v>
      </c>
      <c r="AO383" s="35">
        <v>19</v>
      </c>
      <c r="AP383" s="35">
        <v>20.9</v>
      </c>
      <c r="AQ383" s="35">
        <v>19</v>
      </c>
      <c r="AR383" s="35">
        <v>20.8</v>
      </c>
      <c r="AS383" s="35">
        <v>19</v>
      </c>
      <c r="AT383" s="35">
        <v>20.2</v>
      </c>
      <c r="AU383" s="35">
        <v>19</v>
      </c>
      <c r="AV383" s="35">
        <v>18.3</v>
      </c>
      <c r="AW383" s="35">
        <v>19</v>
      </c>
      <c r="AX383" s="35">
        <v>21.3</v>
      </c>
      <c r="AY383" s="35">
        <v>20</v>
      </c>
      <c r="AZ383" s="35">
        <v>21</v>
      </c>
      <c r="BA383" s="35">
        <v>20</v>
      </c>
      <c r="BB383" s="35">
        <v>32.9</v>
      </c>
      <c r="BC383" s="35">
        <v>40</v>
      </c>
      <c r="BD383" s="35">
        <v>32</v>
      </c>
      <c r="BE383" s="35">
        <v>40</v>
      </c>
      <c r="BF383" s="35">
        <v>21.9</v>
      </c>
      <c r="BG383" s="35">
        <v>20</v>
      </c>
    </row>
    <row r="384" spans="1:59" x14ac:dyDescent="0.35">
      <c r="A384" s="36">
        <v>46059.720138888886</v>
      </c>
      <c r="B384" s="35">
        <v>1.9</v>
      </c>
      <c r="C384" s="35">
        <v>2</v>
      </c>
      <c r="D384" s="35">
        <v>2.4</v>
      </c>
      <c r="E384" s="35">
        <v>2.2000000000000002</v>
      </c>
      <c r="F384" s="35">
        <v>3</v>
      </c>
      <c r="G384" s="35">
        <v>2</v>
      </c>
      <c r="H384" s="35">
        <v>2</v>
      </c>
      <c r="I384" s="35">
        <v>2</v>
      </c>
      <c r="J384" s="35">
        <v>3.3</v>
      </c>
      <c r="K384" s="35">
        <v>2</v>
      </c>
      <c r="L384" s="35">
        <v>3.5</v>
      </c>
      <c r="M384" s="35">
        <v>2</v>
      </c>
      <c r="N384" s="35">
        <v>4</v>
      </c>
      <c r="O384" s="35">
        <v>3</v>
      </c>
      <c r="P384" s="35">
        <v>3.9</v>
      </c>
      <c r="Q384" s="35">
        <v>2</v>
      </c>
      <c r="R384" s="35">
        <v>3.8</v>
      </c>
      <c r="S384" s="35">
        <v>2</v>
      </c>
      <c r="T384" s="35">
        <v>3.7</v>
      </c>
      <c r="U384" s="35">
        <v>2</v>
      </c>
      <c r="V384" s="35">
        <v>8</v>
      </c>
      <c r="W384" s="35">
        <v>9</v>
      </c>
      <c r="X384" s="35">
        <v>10.8</v>
      </c>
      <c r="Y384" s="35">
        <v>9</v>
      </c>
      <c r="Z384" s="35">
        <v>11</v>
      </c>
      <c r="AA384" s="35">
        <v>9</v>
      </c>
      <c r="AB384" s="35">
        <v>9.5</v>
      </c>
      <c r="AC384" s="35">
        <v>9</v>
      </c>
      <c r="AD384" s="35">
        <v>20.6</v>
      </c>
      <c r="AE384" s="35">
        <v>19</v>
      </c>
      <c r="AF384" s="35">
        <v>20.6</v>
      </c>
      <c r="AG384" s="35">
        <v>19</v>
      </c>
      <c r="AH384" s="35">
        <v>20.7</v>
      </c>
      <c r="AI384" s="35">
        <v>19</v>
      </c>
      <c r="AJ384" s="35">
        <v>19.899999999999999</v>
      </c>
      <c r="AK384" s="35">
        <v>19</v>
      </c>
      <c r="AL384" s="35">
        <v>21</v>
      </c>
      <c r="AM384" s="35">
        <v>19</v>
      </c>
      <c r="AN384" s="35">
        <v>20.5</v>
      </c>
      <c r="AO384" s="35">
        <v>19</v>
      </c>
      <c r="AP384" s="35">
        <v>20.9</v>
      </c>
      <c r="AQ384" s="35">
        <v>19</v>
      </c>
      <c r="AR384" s="35">
        <v>20.8</v>
      </c>
      <c r="AS384" s="35">
        <v>19</v>
      </c>
      <c r="AT384" s="35">
        <v>20.3</v>
      </c>
      <c r="AU384" s="35">
        <v>19</v>
      </c>
      <c r="AV384" s="35">
        <v>18.5</v>
      </c>
      <c r="AW384" s="35">
        <v>19</v>
      </c>
      <c r="AX384" s="35">
        <v>21.3</v>
      </c>
      <c r="AY384" s="35">
        <v>20</v>
      </c>
      <c r="AZ384" s="35">
        <v>21</v>
      </c>
      <c r="BA384" s="35">
        <v>20</v>
      </c>
      <c r="BB384" s="35">
        <v>32.9</v>
      </c>
      <c r="BC384" s="35">
        <v>40</v>
      </c>
      <c r="BD384" s="35">
        <v>32</v>
      </c>
      <c r="BE384" s="35">
        <v>40</v>
      </c>
      <c r="BF384" s="35">
        <v>21.9</v>
      </c>
      <c r="BG384" s="35">
        <v>20</v>
      </c>
    </row>
    <row r="385" spans="1:59" x14ac:dyDescent="0.35">
      <c r="A385" s="36">
        <v>46059.720833333333</v>
      </c>
      <c r="B385" s="35">
        <v>2.2999999999999998</v>
      </c>
      <c r="C385" s="35">
        <v>2</v>
      </c>
      <c r="D385" s="35">
        <v>2.7</v>
      </c>
      <c r="E385" s="35">
        <v>2.2000000000000002</v>
      </c>
      <c r="F385" s="35">
        <v>2.9</v>
      </c>
      <c r="G385" s="35">
        <v>2</v>
      </c>
      <c r="H385" s="35">
        <v>2.2000000000000002</v>
      </c>
      <c r="I385" s="35">
        <v>2</v>
      </c>
      <c r="J385" s="35">
        <v>3.5</v>
      </c>
      <c r="K385" s="35">
        <v>2</v>
      </c>
      <c r="L385" s="35">
        <v>3.8</v>
      </c>
      <c r="M385" s="35">
        <v>2</v>
      </c>
      <c r="N385" s="35">
        <v>4.0999999999999996</v>
      </c>
      <c r="O385" s="35">
        <v>3</v>
      </c>
      <c r="P385" s="35">
        <v>3.9</v>
      </c>
      <c r="Q385" s="35">
        <v>2</v>
      </c>
      <c r="R385" s="35">
        <v>3.9</v>
      </c>
      <c r="S385" s="35">
        <v>2</v>
      </c>
      <c r="T385" s="35">
        <v>3.9</v>
      </c>
      <c r="U385" s="35">
        <v>2</v>
      </c>
      <c r="V385" s="35">
        <v>8.6999999999999993</v>
      </c>
      <c r="W385" s="35">
        <v>9</v>
      </c>
      <c r="X385" s="35">
        <v>10.9</v>
      </c>
      <c r="Y385" s="35">
        <v>9</v>
      </c>
      <c r="Z385" s="35">
        <v>10.6</v>
      </c>
      <c r="AA385" s="35">
        <v>9</v>
      </c>
      <c r="AB385" s="35">
        <v>10.199999999999999</v>
      </c>
      <c r="AC385" s="35">
        <v>9</v>
      </c>
      <c r="AD385" s="35">
        <v>20.6</v>
      </c>
      <c r="AE385" s="35">
        <v>19</v>
      </c>
      <c r="AF385" s="35">
        <v>20.7</v>
      </c>
      <c r="AG385" s="35">
        <v>19</v>
      </c>
      <c r="AH385" s="35">
        <v>20.7</v>
      </c>
      <c r="AI385" s="35">
        <v>19</v>
      </c>
      <c r="AJ385" s="35">
        <v>20</v>
      </c>
      <c r="AK385" s="35">
        <v>19</v>
      </c>
      <c r="AL385" s="35">
        <v>20.7</v>
      </c>
      <c r="AM385" s="35">
        <v>19</v>
      </c>
      <c r="AN385" s="35">
        <v>20.5</v>
      </c>
      <c r="AO385" s="35">
        <v>19</v>
      </c>
      <c r="AP385" s="35">
        <v>20.9</v>
      </c>
      <c r="AQ385" s="35">
        <v>19</v>
      </c>
      <c r="AR385" s="35">
        <v>20.8</v>
      </c>
      <c r="AS385" s="35">
        <v>19</v>
      </c>
      <c r="AT385" s="35">
        <v>20.399999999999999</v>
      </c>
      <c r="AU385" s="35">
        <v>19</v>
      </c>
      <c r="AV385" s="35">
        <v>18.600000000000001</v>
      </c>
      <c r="AW385" s="35">
        <v>19</v>
      </c>
      <c r="AX385" s="35">
        <v>21.3</v>
      </c>
      <c r="AY385" s="35">
        <v>20</v>
      </c>
      <c r="AZ385" s="35">
        <v>21</v>
      </c>
      <c r="BA385" s="35">
        <v>20</v>
      </c>
      <c r="BB385" s="35">
        <v>32.9</v>
      </c>
      <c r="BC385" s="35">
        <v>40</v>
      </c>
      <c r="BD385" s="35">
        <v>32</v>
      </c>
      <c r="BE385" s="35">
        <v>40</v>
      </c>
      <c r="BF385" s="35">
        <v>21.9</v>
      </c>
      <c r="BG385" s="35">
        <v>20</v>
      </c>
    </row>
    <row r="386" spans="1:59" x14ac:dyDescent="0.35">
      <c r="A386" s="36">
        <v>46059.72152777778</v>
      </c>
      <c r="B386" s="35">
        <v>2.8</v>
      </c>
      <c r="C386" s="35">
        <v>2</v>
      </c>
      <c r="D386" s="35">
        <v>3.2</v>
      </c>
      <c r="E386" s="35">
        <v>2.2000000000000002</v>
      </c>
      <c r="F386" s="35">
        <v>2.9</v>
      </c>
      <c r="G386" s="35">
        <v>2</v>
      </c>
      <c r="H386" s="35">
        <v>2.6</v>
      </c>
      <c r="I386" s="35">
        <v>2</v>
      </c>
      <c r="J386" s="35">
        <v>3.7</v>
      </c>
      <c r="K386" s="35">
        <v>2</v>
      </c>
      <c r="L386" s="35">
        <v>4</v>
      </c>
      <c r="M386" s="35">
        <v>2</v>
      </c>
      <c r="N386" s="35">
        <v>3.3</v>
      </c>
      <c r="O386" s="35">
        <v>3</v>
      </c>
      <c r="P386" s="35">
        <v>3.5</v>
      </c>
      <c r="Q386" s="35">
        <v>2</v>
      </c>
      <c r="R386" s="35">
        <v>3.6</v>
      </c>
      <c r="S386" s="35">
        <v>2</v>
      </c>
      <c r="T386" s="35">
        <v>3.2</v>
      </c>
      <c r="U386" s="35">
        <v>2</v>
      </c>
      <c r="V386" s="35">
        <v>9.5</v>
      </c>
      <c r="W386" s="35">
        <v>9</v>
      </c>
      <c r="X386" s="35">
        <v>10.9</v>
      </c>
      <c r="Y386" s="35">
        <v>9</v>
      </c>
      <c r="Z386" s="35">
        <v>9.6999999999999993</v>
      </c>
      <c r="AA386" s="35">
        <v>9</v>
      </c>
      <c r="AB386" s="35">
        <v>10.6</v>
      </c>
      <c r="AC386" s="35">
        <v>9</v>
      </c>
      <c r="AD386" s="35">
        <v>20.7</v>
      </c>
      <c r="AE386" s="35">
        <v>19</v>
      </c>
      <c r="AF386" s="35">
        <v>20.7</v>
      </c>
      <c r="AG386" s="35">
        <v>19</v>
      </c>
      <c r="AH386" s="35">
        <v>20.8</v>
      </c>
      <c r="AI386" s="35">
        <v>19</v>
      </c>
      <c r="AJ386" s="35">
        <v>20</v>
      </c>
      <c r="AK386" s="35">
        <v>19</v>
      </c>
      <c r="AL386" s="35">
        <v>20.399999999999999</v>
      </c>
      <c r="AM386" s="35">
        <v>19</v>
      </c>
      <c r="AN386" s="35">
        <v>20.6</v>
      </c>
      <c r="AO386" s="35">
        <v>19</v>
      </c>
      <c r="AP386" s="35">
        <v>20.9</v>
      </c>
      <c r="AQ386" s="35">
        <v>19</v>
      </c>
      <c r="AR386" s="35">
        <v>20.8</v>
      </c>
      <c r="AS386" s="35">
        <v>19</v>
      </c>
      <c r="AT386" s="35">
        <v>20.5</v>
      </c>
      <c r="AU386" s="35">
        <v>19</v>
      </c>
      <c r="AV386" s="35">
        <v>18.8</v>
      </c>
      <c r="AW386" s="35">
        <v>19</v>
      </c>
      <c r="AX386" s="35">
        <v>21.3</v>
      </c>
      <c r="AY386" s="35">
        <v>20</v>
      </c>
      <c r="AZ386" s="35">
        <v>21</v>
      </c>
      <c r="BA386" s="35">
        <v>20</v>
      </c>
      <c r="BB386" s="35">
        <v>32.9</v>
      </c>
      <c r="BC386" s="35">
        <v>40</v>
      </c>
      <c r="BD386" s="35">
        <v>32</v>
      </c>
      <c r="BE386" s="35">
        <v>40</v>
      </c>
      <c r="BF386" s="35">
        <v>18.399999999999999</v>
      </c>
      <c r="BG386" s="35">
        <v>20</v>
      </c>
    </row>
    <row r="387" spans="1:59" x14ac:dyDescent="0.35">
      <c r="A387" s="36">
        <v>46059.722222222219</v>
      </c>
      <c r="B387" s="35">
        <v>3.2</v>
      </c>
      <c r="C387" s="35">
        <v>2</v>
      </c>
      <c r="D387" s="35">
        <v>3.6</v>
      </c>
      <c r="E387" s="35">
        <v>2.2000000000000002</v>
      </c>
      <c r="F387" s="35">
        <v>3.2</v>
      </c>
      <c r="G387" s="35">
        <v>2</v>
      </c>
      <c r="H387" s="35">
        <v>2.9</v>
      </c>
      <c r="I387" s="35">
        <v>2</v>
      </c>
      <c r="J387" s="35">
        <v>3.6</v>
      </c>
      <c r="K387" s="35">
        <v>2</v>
      </c>
      <c r="L387" s="35">
        <v>3.1</v>
      </c>
      <c r="M387" s="35">
        <v>2</v>
      </c>
      <c r="N387" s="35">
        <v>2</v>
      </c>
      <c r="O387" s="35">
        <v>3</v>
      </c>
      <c r="P387" s="35">
        <v>2.5</v>
      </c>
      <c r="Q387" s="35">
        <v>2</v>
      </c>
      <c r="R387" s="35">
        <v>2.8</v>
      </c>
      <c r="S387" s="35">
        <v>2</v>
      </c>
      <c r="T387" s="35">
        <v>2.2999999999999998</v>
      </c>
      <c r="U387" s="35">
        <v>2</v>
      </c>
      <c r="V387" s="35">
        <v>10.1</v>
      </c>
      <c r="W387" s="35">
        <v>9</v>
      </c>
      <c r="X387" s="35">
        <v>11</v>
      </c>
      <c r="Y387" s="35">
        <v>9</v>
      </c>
      <c r="Z387" s="35">
        <v>8.9</v>
      </c>
      <c r="AA387" s="35">
        <v>9</v>
      </c>
      <c r="AB387" s="35">
        <v>10.9</v>
      </c>
      <c r="AC387" s="35">
        <v>9</v>
      </c>
      <c r="AD387" s="35">
        <v>20.7</v>
      </c>
      <c r="AE387" s="35">
        <v>19</v>
      </c>
      <c r="AF387" s="35">
        <v>20.8</v>
      </c>
      <c r="AG387" s="35">
        <v>19</v>
      </c>
      <c r="AH387" s="35">
        <v>20.8</v>
      </c>
      <c r="AI387" s="35">
        <v>19</v>
      </c>
      <c r="AJ387" s="35">
        <v>20.100000000000001</v>
      </c>
      <c r="AK387" s="35">
        <v>19</v>
      </c>
      <c r="AL387" s="35">
        <v>20.100000000000001</v>
      </c>
      <c r="AM387" s="35">
        <v>19</v>
      </c>
      <c r="AN387" s="35">
        <v>20.7</v>
      </c>
      <c r="AO387" s="35">
        <v>19</v>
      </c>
      <c r="AP387" s="35">
        <v>20.9</v>
      </c>
      <c r="AQ387" s="35">
        <v>19</v>
      </c>
      <c r="AR387" s="35">
        <v>20.8</v>
      </c>
      <c r="AS387" s="35">
        <v>19</v>
      </c>
      <c r="AT387" s="35">
        <v>20.6</v>
      </c>
      <c r="AU387" s="35">
        <v>19</v>
      </c>
      <c r="AV387" s="35">
        <v>18.899999999999999</v>
      </c>
      <c r="AW387" s="35">
        <v>19</v>
      </c>
      <c r="AX387" s="35">
        <v>21.2</v>
      </c>
      <c r="AY387" s="35">
        <v>20</v>
      </c>
      <c r="AZ387" s="35">
        <v>21</v>
      </c>
      <c r="BA387" s="35">
        <v>20</v>
      </c>
      <c r="BB387" s="35">
        <v>32.9</v>
      </c>
      <c r="BC387" s="35">
        <v>40</v>
      </c>
      <c r="BD387" s="35">
        <v>32</v>
      </c>
      <c r="BE387" s="35">
        <v>40</v>
      </c>
      <c r="BF387" s="35">
        <v>17.7</v>
      </c>
      <c r="BG387" s="35">
        <v>20</v>
      </c>
    </row>
    <row r="388" spans="1:59" x14ac:dyDescent="0.35">
      <c r="A388" s="36">
        <v>46059.722916666666</v>
      </c>
      <c r="B388" s="35">
        <v>3.5</v>
      </c>
      <c r="C388" s="35">
        <v>2</v>
      </c>
      <c r="D388" s="35">
        <v>3.9</v>
      </c>
      <c r="E388" s="35">
        <v>2.2000000000000002</v>
      </c>
      <c r="F388" s="35">
        <v>3.4</v>
      </c>
      <c r="G388" s="35">
        <v>2</v>
      </c>
      <c r="H388" s="35">
        <v>3.2</v>
      </c>
      <c r="I388" s="35">
        <v>2</v>
      </c>
      <c r="J388" s="35">
        <v>2.9</v>
      </c>
      <c r="K388" s="35">
        <v>2</v>
      </c>
      <c r="L388" s="35">
        <v>2.1</v>
      </c>
      <c r="M388" s="35">
        <v>2</v>
      </c>
      <c r="N388" s="35">
        <v>1.1000000000000001</v>
      </c>
      <c r="O388" s="35">
        <v>3</v>
      </c>
      <c r="P388" s="35">
        <v>1.8</v>
      </c>
      <c r="Q388" s="35">
        <v>2</v>
      </c>
      <c r="R388" s="35">
        <v>2</v>
      </c>
      <c r="S388" s="35">
        <v>2</v>
      </c>
      <c r="T388" s="35">
        <v>1.4</v>
      </c>
      <c r="U388" s="35">
        <v>2</v>
      </c>
      <c r="V388" s="35">
        <v>10.5</v>
      </c>
      <c r="W388" s="35">
        <v>9</v>
      </c>
      <c r="X388" s="35">
        <v>10.3</v>
      </c>
      <c r="Y388" s="35">
        <v>9</v>
      </c>
      <c r="Z388" s="35">
        <v>8.8000000000000007</v>
      </c>
      <c r="AA388" s="35">
        <v>9</v>
      </c>
      <c r="AB388" s="35">
        <v>10.8</v>
      </c>
      <c r="AC388" s="35">
        <v>9</v>
      </c>
      <c r="AD388" s="35">
        <v>20.7</v>
      </c>
      <c r="AE388" s="35">
        <v>19</v>
      </c>
      <c r="AF388" s="35">
        <v>20.8</v>
      </c>
      <c r="AG388" s="35">
        <v>19</v>
      </c>
      <c r="AH388" s="35">
        <v>20.8</v>
      </c>
      <c r="AI388" s="35">
        <v>19</v>
      </c>
      <c r="AJ388" s="35">
        <v>20.2</v>
      </c>
      <c r="AK388" s="35">
        <v>19</v>
      </c>
      <c r="AL388" s="35">
        <v>19.899999999999999</v>
      </c>
      <c r="AM388" s="35">
        <v>19</v>
      </c>
      <c r="AN388" s="35">
        <v>20.8</v>
      </c>
      <c r="AO388" s="35">
        <v>19</v>
      </c>
      <c r="AP388" s="35">
        <v>20.9</v>
      </c>
      <c r="AQ388" s="35">
        <v>19</v>
      </c>
      <c r="AR388" s="35">
        <v>20.8</v>
      </c>
      <c r="AS388" s="35">
        <v>19</v>
      </c>
      <c r="AT388" s="35">
        <v>20.6</v>
      </c>
      <c r="AU388" s="35">
        <v>19</v>
      </c>
      <c r="AV388" s="35">
        <v>19</v>
      </c>
      <c r="AW388" s="35">
        <v>19</v>
      </c>
      <c r="AX388" s="35">
        <v>21.2</v>
      </c>
      <c r="AY388" s="35">
        <v>20</v>
      </c>
      <c r="AZ388" s="35">
        <v>21</v>
      </c>
      <c r="BA388" s="35">
        <v>20</v>
      </c>
      <c r="BB388" s="35">
        <v>32.9</v>
      </c>
      <c r="BC388" s="35">
        <v>40</v>
      </c>
      <c r="BD388" s="35">
        <v>31.9</v>
      </c>
      <c r="BE388" s="35">
        <v>40</v>
      </c>
      <c r="BF388" s="35">
        <v>18.399999999999999</v>
      </c>
      <c r="BG388" s="35">
        <v>20</v>
      </c>
    </row>
    <row r="389" spans="1:59" x14ac:dyDescent="0.35">
      <c r="A389" s="36">
        <v>46059.723611111112</v>
      </c>
      <c r="B389" s="35">
        <v>3.8</v>
      </c>
      <c r="C389" s="35">
        <v>2</v>
      </c>
      <c r="D389" s="35">
        <v>4.2</v>
      </c>
      <c r="E389" s="35">
        <v>2.2000000000000002</v>
      </c>
      <c r="F389" s="35">
        <v>3.6</v>
      </c>
      <c r="G389" s="35">
        <v>2</v>
      </c>
      <c r="H389" s="35">
        <v>3.5</v>
      </c>
      <c r="I389" s="35">
        <v>2</v>
      </c>
      <c r="J389" s="35">
        <v>2.4</v>
      </c>
      <c r="K389" s="35">
        <v>2</v>
      </c>
      <c r="L389" s="35">
        <v>1.8</v>
      </c>
      <c r="M389" s="35">
        <v>2</v>
      </c>
      <c r="N389" s="35">
        <v>1.2</v>
      </c>
      <c r="O389" s="35">
        <v>3</v>
      </c>
      <c r="P389" s="35">
        <v>1.8</v>
      </c>
      <c r="Q389" s="35">
        <v>2</v>
      </c>
      <c r="R389" s="35">
        <v>1.6</v>
      </c>
      <c r="S389" s="35">
        <v>2</v>
      </c>
      <c r="T389" s="35">
        <v>1.1000000000000001</v>
      </c>
      <c r="U389" s="35">
        <v>2</v>
      </c>
      <c r="V389" s="35">
        <v>10.9</v>
      </c>
      <c r="W389" s="35">
        <v>9</v>
      </c>
      <c r="X389" s="35">
        <v>9.4</v>
      </c>
      <c r="Y389" s="35">
        <v>9</v>
      </c>
      <c r="Z389" s="35">
        <v>9</v>
      </c>
      <c r="AA389" s="35">
        <v>9</v>
      </c>
      <c r="AB389" s="35">
        <v>10</v>
      </c>
      <c r="AC389" s="35">
        <v>9</v>
      </c>
      <c r="AD389" s="35">
        <v>20.7</v>
      </c>
      <c r="AE389" s="35">
        <v>19</v>
      </c>
      <c r="AF389" s="35">
        <v>20.8</v>
      </c>
      <c r="AG389" s="35">
        <v>19</v>
      </c>
      <c r="AH389" s="35">
        <v>20.8</v>
      </c>
      <c r="AI389" s="35">
        <v>19</v>
      </c>
      <c r="AJ389" s="35">
        <v>20.3</v>
      </c>
      <c r="AK389" s="35">
        <v>19</v>
      </c>
      <c r="AL389" s="35">
        <v>19.7</v>
      </c>
      <c r="AM389" s="35">
        <v>19</v>
      </c>
      <c r="AN389" s="35">
        <v>20.9</v>
      </c>
      <c r="AO389" s="35">
        <v>19</v>
      </c>
      <c r="AP389" s="35">
        <v>20.9</v>
      </c>
      <c r="AQ389" s="35">
        <v>19</v>
      </c>
      <c r="AR389" s="35">
        <v>20.8</v>
      </c>
      <c r="AS389" s="35">
        <v>19</v>
      </c>
      <c r="AT389" s="35">
        <v>20.7</v>
      </c>
      <c r="AU389" s="35">
        <v>19</v>
      </c>
      <c r="AV389" s="35">
        <v>19.2</v>
      </c>
      <c r="AW389" s="35">
        <v>19</v>
      </c>
      <c r="AX389" s="35">
        <v>21.2</v>
      </c>
      <c r="AY389" s="35">
        <v>20</v>
      </c>
      <c r="AZ389" s="35">
        <v>21</v>
      </c>
      <c r="BA389" s="35">
        <v>20</v>
      </c>
      <c r="BB389" s="35">
        <v>32.799999999999997</v>
      </c>
      <c r="BC389" s="35">
        <v>40</v>
      </c>
      <c r="BD389" s="35">
        <v>31.9</v>
      </c>
      <c r="BE389" s="35">
        <v>40</v>
      </c>
      <c r="BF389" s="35">
        <v>19</v>
      </c>
      <c r="BG389" s="35">
        <v>20</v>
      </c>
    </row>
    <row r="390" spans="1:59" x14ac:dyDescent="0.35">
      <c r="A390" s="36">
        <v>46059.724305555559</v>
      </c>
      <c r="B390" s="35">
        <v>3.8</v>
      </c>
      <c r="C390" s="35">
        <v>2</v>
      </c>
      <c r="D390" s="35">
        <v>4.0999999999999996</v>
      </c>
      <c r="E390" s="35">
        <v>2.2000000000000002</v>
      </c>
      <c r="F390" s="35">
        <v>3.9</v>
      </c>
      <c r="G390" s="35">
        <v>2</v>
      </c>
      <c r="H390" s="35">
        <v>3.7</v>
      </c>
      <c r="I390" s="35">
        <v>2</v>
      </c>
      <c r="J390" s="35">
        <v>2.4</v>
      </c>
      <c r="K390" s="35">
        <v>2</v>
      </c>
      <c r="L390" s="35">
        <v>1.9</v>
      </c>
      <c r="M390" s="35">
        <v>2</v>
      </c>
      <c r="N390" s="35">
        <v>1.5</v>
      </c>
      <c r="O390" s="35">
        <v>3</v>
      </c>
      <c r="P390" s="35">
        <v>2.1</v>
      </c>
      <c r="Q390" s="35">
        <v>2</v>
      </c>
      <c r="R390" s="35">
        <v>1.6</v>
      </c>
      <c r="S390" s="35">
        <v>2</v>
      </c>
      <c r="T390" s="35">
        <v>1.2</v>
      </c>
      <c r="U390" s="35">
        <v>2</v>
      </c>
      <c r="V390" s="35">
        <v>10.199999999999999</v>
      </c>
      <c r="W390" s="35">
        <v>9</v>
      </c>
      <c r="X390" s="35">
        <v>8.4</v>
      </c>
      <c r="Y390" s="35">
        <v>9</v>
      </c>
      <c r="Z390" s="35">
        <v>9.4</v>
      </c>
      <c r="AA390" s="35">
        <v>9</v>
      </c>
      <c r="AB390" s="35">
        <v>9.6999999999999993</v>
      </c>
      <c r="AC390" s="35">
        <v>9</v>
      </c>
      <c r="AD390" s="35">
        <v>20.7</v>
      </c>
      <c r="AE390" s="35">
        <v>19</v>
      </c>
      <c r="AF390" s="35">
        <v>20.8</v>
      </c>
      <c r="AG390" s="35">
        <v>19</v>
      </c>
      <c r="AH390" s="35">
        <v>20.9</v>
      </c>
      <c r="AI390" s="35">
        <v>19</v>
      </c>
      <c r="AJ390" s="35">
        <v>20.399999999999999</v>
      </c>
      <c r="AK390" s="35">
        <v>19</v>
      </c>
      <c r="AL390" s="35">
        <v>19.600000000000001</v>
      </c>
      <c r="AM390" s="35">
        <v>19</v>
      </c>
      <c r="AN390" s="35">
        <v>20.9</v>
      </c>
      <c r="AO390" s="35">
        <v>19</v>
      </c>
      <c r="AP390" s="35">
        <v>20.9</v>
      </c>
      <c r="AQ390" s="35">
        <v>19</v>
      </c>
      <c r="AR390" s="35">
        <v>20.8</v>
      </c>
      <c r="AS390" s="35">
        <v>19</v>
      </c>
      <c r="AT390" s="35">
        <v>20.8</v>
      </c>
      <c r="AU390" s="35">
        <v>19</v>
      </c>
      <c r="AV390" s="35">
        <v>19.3</v>
      </c>
      <c r="AW390" s="35">
        <v>19</v>
      </c>
      <c r="AX390" s="35">
        <v>21.2</v>
      </c>
      <c r="AY390" s="35">
        <v>20</v>
      </c>
      <c r="AZ390" s="35">
        <v>21</v>
      </c>
      <c r="BA390" s="35">
        <v>20</v>
      </c>
      <c r="BB390" s="35">
        <v>32.799999999999997</v>
      </c>
      <c r="BC390" s="35">
        <v>40</v>
      </c>
      <c r="BD390" s="35">
        <v>31.9</v>
      </c>
      <c r="BE390" s="35">
        <v>40</v>
      </c>
      <c r="BF390" s="35">
        <v>19.399999999999999</v>
      </c>
      <c r="BG390" s="35">
        <v>20</v>
      </c>
    </row>
    <row r="391" spans="1:59" x14ac:dyDescent="0.35">
      <c r="A391" s="36">
        <v>46059.724999999999</v>
      </c>
      <c r="B391" s="35">
        <v>3.9</v>
      </c>
      <c r="C391" s="35">
        <v>2</v>
      </c>
      <c r="D391" s="35">
        <v>4.0999999999999996</v>
      </c>
      <c r="E391" s="35">
        <v>2.2000000000000002</v>
      </c>
      <c r="F391" s="35">
        <v>3.2</v>
      </c>
      <c r="G391" s="35">
        <v>2</v>
      </c>
      <c r="H391" s="35">
        <v>3.6</v>
      </c>
      <c r="I391" s="35">
        <v>2</v>
      </c>
      <c r="J391" s="35">
        <v>2.6</v>
      </c>
      <c r="K391" s="35">
        <v>2</v>
      </c>
      <c r="L391" s="35">
        <v>2.4</v>
      </c>
      <c r="M391" s="35">
        <v>2</v>
      </c>
      <c r="N391" s="35">
        <v>1.9</v>
      </c>
      <c r="O391" s="35">
        <v>3</v>
      </c>
      <c r="P391" s="35">
        <v>2.4</v>
      </c>
      <c r="Q391" s="35">
        <v>2</v>
      </c>
      <c r="R391" s="35">
        <v>1.7</v>
      </c>
      <c r="S391" s="35">
        <v>2</v>
      </c>
      <c r="T391" s="35">
        <v>1.5</v>
      </c>
      <c r="U391" s="35">
        <v>2</v>
      </c>
      <c r="V391" s="35">
        <v>8.5</v>
      </c>
      <c r="W391" s="35">
        <v>9</v>
      </c>
      <c r="X391" s="35">
        <v>8.1999999999999993</v>
      </c>
      <c r="Y391" s="35">
        <v>9</v>
      </c>
      <c r="Z391" s="35">
        <v>9.8000000000000007</v>
      </c>
      <c r="AA391" s="35">
        <v>9</v>
      </c>
      <c r="AB391" s="35">
        <v>9.1999999999999993</v>
      </c>
      <c r="AC391" s="35">
        <v>9</v>
      </c>
      <c r="AD391" s="35">
        <v>20.8</v>
      </c>
      <c r="AE391" s="35">
        <v>19</v>
      </c>
      <c r="AF391" s="35">
        <v>20.9</v>
      </c>
      <c r="AG391" s="35">
        <v>19</v>
      </c>
      <c r="AH391" s="35">
        <v>20.9</v>
      </c>
      <c r="AI391" s="35">
        <v>19</v>
      </c>
      <c r="AJ391" s="35">
        <v>20.399999999999999</v>
      </c>
      <c r="AK391" s="35">
        <v>19</v>
      </c>
      <c r="AL391" s="35">
        <v>19.399999999999999</v>
      </c>
      <c r="AM391" s="35">
        <v>19</v>
      </c>
      <c r="AN391" s="35">
        <v>21</v>
      </c>
      <c r="AO391" s="35">
        <v>19</v>
      </c>
      <c r="AP391" s="35">
        <v>20.9</v>
      </c>
      <c r="AQ391" s="35">
        <v>19</v>
      </c>
      <c r="AR391" s="35">
        <v>20.8</v>
      </c>
      <c r="AS391" s="35">
        <v>19</v>
      </c>
      <c r="AT391" s="35">
        <v>20.9</v>
      </c>
      <c r="AU391" s="35">
        <v>19</v>
      </c>
      <c r="AV391" s="35">
        <v>19.399999999999999</v>
      </c>
      <c r="AW391" s="35">
        <v>19</v>
      </c>
      <c r="AX391" s="35">
        <v>21.1</v>
      </c>
      <c r="AY391" s="35">
        <v>20</v>
      </c>
      <c r="AZ391" s="35">
        <v>21</v>
      </c>
      <c r="BA391" s="35">
        <v>20</v>
      </c>
      <c r="BB391" s="35">
        <v>32.799999999999997</v>
      </c>
      <c r="BC391" s="35">
        <v>40</v>
      </c>
      <c r="BD391" s="35">
        <v>31.9</v>
      </c>
      <c r="BE391" s="35">
        <v>40</v>
      </c>
      <c r="BF391" s="35">
        <v>19.8</v>
      </c>
      <c r="BG391" s="35">
        <v>20</v>
      </c>
    </row>
    <row r="392" spans="1:59" x14ac:dyDescent="0.35">
      <c r="A392" s="36">
        <v>46059.725694444445</v>
      </c>
      <c r="B392" s="35">
        <v>4.0999999999999996</v>
      </c>
      <c r="C392" s="35">
        <v>2</v>
      </c>
      <c r="D392" s="35">
        <v>4.3</v>
      </c>
      <c r="E392" s="35">
        <v>2.2000000000000002</v>
      </c>
      <c r="F392" s="35">
        <v>2</v>
      </c>
      <c r="G392" s="35">
        <v>2</v>
      </c>
      <c r="H392" s="35">
        <v>2.9</v>
      </c>
      <c r="I392" s="35">
        <v>2</v>
      </c>
      <c r="J392" s="35">
        <v>2.9</v>
      </c>
      <c r="K392" s="35">
        <v>2</v>
      </c>
      <c r="L392" s="35">
        <v>2.8</v>
      </c>
      <c r="M392" s="35">
        <v>2</v>
      </c>
      <c r="N392" s="35">
        <v>2.2000000000000002</v>
      </c>
      <c r="O392" s="35">
        <v>3</v>
      </c>
      <c r="P392" s="35">
        <v>2.7</v>
      </c>
      <c r="Q392" s="35">
        <v>2</v>
      </c>
      <c r="R392" s="35">
        <v>2</v>
      </c>
      <c r="S392" s="35">
        <v>2</v>
      </c>
      <c r="T392" s="35">
        <v>1.9</v>
      </c>
      <c r="U392" s="35">
        <v>2</v>
      </c>
      <c r="V392" s="35">
        <v>8.1</v>
      </c>
      <c r="W392" s="35">
        <v>9</v>
      </c>
      <c r="X392" s="35">
        <v>8.1999999999999993</v>
      </c>
      <c r="Y392" s="35">
        <v>9</v>
      </c>
      <c r="Z392" s="35">
        <v>10.1</v>
      </c>
      <c r="AA392" s="35">
        <v>9</v>
      </c>
      <c r="AB392" s="35">
        <v>8.8000000000000007</v>
      </c>
      <c r="AC392" s="35">
        <v>9</v>
      </c>
      <c r="AD392" s="35">
        <v>20.8</v>
      </c>
      <c r="AE392" s="35">
        <v>19</v>
      </c>
      <c r="AF392" s="35">
        <v>20.9</v>
      </c>
      <c r="AG392" s="35">
        <v>19</v>
      </c>
      <c r="AH392" s="35">
        <v>20.9</v>
      </c>
      <c r="AI392" s="35">
        <v>19</v>
      </c>
      <c r="AJ392" s="35">
        <v>20.5</v>
      </c>
      <c r="AK392" s="35">
        <v>19</v>
      </c>
      <c r="AL392" s="35">
        <v>19.3</v>
      </c>
      <c r="AM392" s="35">
        <v>19</v>
      </c>
      <c r="AN392" s="35">
        <v>20.5</v>
      </c>
      <c r="AO392" s="35">
        <v>19</v>
      </c>
      <c r="AP392" s="35">
        <v>20.9</v>
      </c>
      <c r="AQ392" s="35">
        <v>19</v>
      </c>
      <c r="AR392" s="35">
        <v>20.8</v>
      </c>
      <c r="AS392" s="35">
        <v>19</v>
      </c>
      <c r="AT392" s="35">
        <v>21</v>
      </c>
      <c r="AU392" s="35">
        <v>19</v>
      </c>
      <c r="AV392" s="35">
        <v>19.5</v>
      </c>
      <c r="AW392" s="35">
        <v>19</v>
      </c>
      <c r="AX392" s="35">
        <v>21.1</v>
      </c>
      <c r="AY392" s="35">
        <v>20</v>
      </c>
      <c r="AZ392" s="35">
        <v>21</v>
      </c>
      <c r="BA392" s="35">
        <v>20</v>
      </c>
      <c r="BB392" s="35">
        <v>32.799999999999997</v>
      </c>
      <c r="BC392" s="35">
        <v>40</v>
      </c>
      <c r="BD392" s="35">
        <v>31.9</v>
      </c>
      <c r="BE392" s="35">
        <v>40</v>
      </c>
      <c r="BF392" s="35">
        <v>20.100000000000001</v>
      </c>
      <c r="BG392" s="35">
        <v>20</v>
      </c>
    </row>
    <row r="393" spans="1:59" x14ac:dyDescent="0.35">
      <c r="A393" s="36">
        <v>46059.726388888892</v>
      </c>
      <c r="B393" s="35">
        <v>3.8</v>
      </c>
      <c r="C393" s="35">
        <v>2</v>
      </c>
      <c r="D393" s="35">
        <v>3.9</v>
      </c>
      <c r="E393" s="35">
        <v>2.2000000000000002</v>
      </c>
      <c r="F393" s="35">
        <v>2</v>
      </c>
      <c r="G393" s="35">
        <v>2</v>
      </c>
      <c r="H393" s="35">
        <v>2.8</v>
      </c>
      <c r="I393" s="35">
        <v>2</v>
      </c>
      <c r="J393" s="35">
        <v>3.2</v>
      </c>
      <c r="K393" s="35">
        <v>2</v>
      </c>
      <c r="L393" s="35">
        <v>3.2</v>
      </c>
      <c r="M393" s="35">
        <v>2</v>
      </c>
      <c r="N393" s="35">
        <v>2.5</v>
      </c>
      <c r="O393" s="35">
        <v>3</v>
      </c>
      <c r="P393" s="35">
        <v>2.9</v>
      </c>
      <c r="Q393" s="35">
        <v>2</v>
      </c>
      <c r="R393" s="35">
        <v>2.2999999999999998</v>
      </c>
      <c r="S393" s="35">
        <v>2</v>
      </c>
      <c r="T393" s="35">
        <v>2.2000000000000002</v>
      </c>
      <c r="U393" s="35">
        <v>2</v>
      </c>
      <c r="V393" s="35">
        <v>8.9</v>
      </c>
      <c r="W393" s="35">
        <v>9</v>
      </c>
      <c r="X393" s="35">
        <v>8.5</v>
      </c>
      <c r="Y393" s="35">
        <v>9</v>
      </c>
      <c r="Z393" s="35">
        <v>10.4</v>
      </c>
      <c r="AA393" s="35">
        <v>9</v>
      </c>
      <c r="AB393" s="35">
        <v>9</v>
      </c>
      <c r="AC393" s="35">
        <v>9</v>
      </c>
      <c r="AD393" s="35">
        <v>20.8</v>
      </c>
      <c r="AE393" s="35">
        <v>19</v>
      </c>
      <c r="AF393" s="35">
        <v>20.9</v>
      </c>
      <c r="AG393" s="35">
        <v>19</v>
      </c>
      <c r="AH393" s="35">
        <v>21</v>
      </c>
      <c r="AI393" s="35">
        <v>19</v>
      </c>
      <c r="AJ393" s="35">
        <v>20.6</v>
      </c>
      <c r="AK393" s="35">
        <v>19</v>
      </c>
      <c r="AL393" s="35">
        <v>19.3</v>
      </c>
      <c r="AM393" s="35">
        <v>19</v>
      </c>
      <c r="AN393" s="35">
        <v>19.7</v>
      </c>
      <c r="AO393" s="35">
        <v>19</v>
      </c>
      <c r="AP393" s="35">
        <v>21</v>
      </c>
      <c r="AQ393" s="35">
        <v>19</v>
      </c>
      <c r="AR393" s="35">
        <v>20.8</v>
      </c>
      <c r="AS393" s="35">
        <v>19</v>
      </c>
      <c r="AT393" s="35">
        <v>20.3</v>
      </c>
      <c r="AU393" s="35">
        <v>19</v>
      </c>
      <c r="AV393" s="35">
        <v>19.600000000000001</v>
      </c>
      <c r="AW393" s="35">
        <v>19</v>
      </c>
      <c r="AX393" s="35">
        <v>21.1</v>
      </c>
      <c r="AY393" s="35">
        <v>20</v>
      </c>
      <c r="AZ393" s="35">
        <v>21</v>
      </c>
      <c r="BA393" s="35">
        <v>20</v>
      </c>
      <c r="BB393" s="35">
        <v>32.799999999999997</v>
      </c>
      <c r="BC393" s="35">
        <v>40</v>
      </c>
      <c r="BD393" s="35">
        <v>31.9</v>
      </c>
      <c r="BE393" s="35">
        <v>40</v>
      </c>
      <c r="BF393" s="35">
        <v>20.5</v>
      </c>
      <c r="BG393" s="35">
        <v>20</v>
      </c>
    </row>
    <row r="394" spans="1:59" x14ac:dyDescent="0.35">
      <c r="A394" s="36">
        <v>46059.727083333331</v>
      </c>
      <c r="B394" s="35">
        <v>2.1</v>
      </c>
      <c r="C394" s="35">
        <v>2</v>
      </c>
      <c r="D394" s="35">
        <v>2.5</v>
      </c>
      <c r="E394" s="35">
        <v>2.2000000000000002</v>
      </c>
      <c r="F394" s="35">
        <v>2.4</v>
      </c>
      <c r="G394" s="35">
        <v>2</v>
      </c>
      <c r="H394" s="35">
        <v>3</v>
      </c>
      <c r="I394" s="35">
        <v>2</v>
      </c>
      <c r="J394" s="35">
        <v>3.5</v>
      </c>
      <c r="K394" s="35">
        <v>2</v>
      </c>
      <c r="L394" s="35">
        <v>3.5</v>
      </c>
      <c r="M394" s="35">
        <v>2</v>
      </c>
      <c r="N394" s="35">
        <v>2.8</v>
      </c>
      <c r="O394" s="35">
        <v>3</v>
      </c>
      <c r="P394" s="35">
        <v>3.1</v>
      </c>
      <c r="Q394" s="35">
        <v>2</v>
      </c>
      <c r="R394" s="35">
        <v>2.6</v>
      </c>
      <c r="S394" s="35">
        <v>2</v>
      </c>
      <c r="T394" s="35">
        <v>2.5</v>
      </c>
      <c r="U394" s="35">
        <v>2</v>
      </c>
      <c r="V394" s="35">
        <v>9.6</v>
      </c>
      <c r="W394" s="35">
        <v>9</v>
      </c>
      <c r="X394" s="35">
        <v>8.8000000000000007</v>
      </c>
      <c r="Y394" s="35">
        <v>9</v>
      </c>
      <c r="Z394" s="35">
        <v>10.7</v>
      </c>
      <c r="AA394" s="35">
        <v>9</v>
      </c>
      <c r="AB394" s="35">
        <v>9.8000000000000007</v>
      </c>
      <c r="AC394" s="35">
        <v>9</v>
      </c>
      <c r="AD394" s="35">
        <v>20.8</v>
      </c>
      <c r="AE394" s="35">
        <v>19</v>
      </c>
      <c r="AF394" s="35">
        <v>20.9</v>
      </c>
      <c r="AG394" s="35">
        <v>19</v>
      </c>
      <c r="AH394" s="35">
        <v>20</v>
      </c>
      <c r="AI394" s="35">
        <v>19</v>
      </c>
      <c r="AJ394" s="35">
        <v>20.6</v>
      </c>
      <c r="AK394" s="35">
        <v>19</v>
      </c>
      <c r="AL394" s="35">
        <v>19.3</v>
      </c>
      <c r="AM394" s="35">
        <v>19</v>
      </c>
      <c r="AN394" s="35">
        <v>19.2</v>
      </c>
      <c r="AO394" s="35">
        <v>19</v>
      </c>
      <c r="AP394" s="35">
        <v>19.899999999999999</v>
      </c>
      <c r="AQ394" s="35">
        <v>19</v>
      </c>
      <c r="AR394" s="35">
        <v>20.8</v>
      </c>
      <c r="AS394" s="35">
        <v>19</v>
      </c>
      <c r="AT394" s="35">
        <v>18.899999999999999</v>
      </c>
      <c r="AU394" s="35">
        <v>19</v>
      </c>
      <c r="AV394" s="35">
        <v>19.7</v>
      </c>
      <c r="AW394" s="35">
        <v>19</v>
      </c>
      <c r="AX394" s="35">
        <v>21.1</v>
      </c>
      <c r="AY394" s="35">
        <v>20</v>
      </c>
      <c r="AZ394" s="35">
        <v>21</v>
      </c>
      <c r="BA394" s="35">
        <v>20</v>
      </c>
      <c r="BB394" s="35">
        <v>32.799999999999997</v>
      </c>
      <c r="BC394" s="35">
        <v>40</v>
      </c>
      <c r="BD394" s="35">
        <v>31.9</v>
      </c>
      <c r="BE394" s="35">
        <v>40</v>
      </c>
      <c r="BF394" s="35">
        <v>20.8</v>
      </c>
      <c r="BG394" s="35">
        <v>20</v>
      </c>
    </row>
    <row r="395" spans="1:59" x14ac:dyDescent="0.35">
      <c r="A395" s="36">
        <v>46059.727777777778</v>
      </c>
      <c r="B395" s="35">
        <v>1.2</v>
      </c>
      <c r="C395" s="35">
        <v>2</v>
      </c>
      <c r="D395" s="35">
        <v>1.8</v>
      </c>
      <c r="E395" s="35">
        <v>2.2000000000000002</v>
      </c>
      <c r="F395" s="35">
        <v>2.8</v>
      </c>
      <c r="G395" s="35">
        <v>2</v>
      </c>
      <c r="H395" s="35">
        <v>3.4</v>
      </c>
      <c r="I395" s="35">
        <v>2</v>
      </c>
      <c r="J395" s="35">
        <v>3.7</v>
      </c>
      <c r="K395" s="35">
        <v>2</v>
      </c>
      <c r="L395" s="35">
        <v>3.8</v>
      </c>
      <c r="M395" s="35">
        <v>2</v>
      </c>
      <c r="N395" s="35">
        <v>3.2</v>
      </c>
      <c r="O395" s="35">
        <v>3</v>
      </c>
      <c r="P395" s="35">
        <v>3.3</v>
      </c>
      <c r="Q395" s="35">
        <v>2</v>
      </c>
      <c r="R395" s="35">
        <v>2.8</v>
      </c>
      <c r="S395" s="35">
        <v>2</v>
      </c>
      <c r="T395" s="35">
        <v>2.7</v>
      </c>
      <c r="U395" s="35">
        <v>2</v>
      </c>
      <c r="V395" s="35">
        <v>10.199999999999999</v>
      </c>
      <c r="W395" s="35">
        <v>9</v>
      </c>
      <c r="X395" s="35">
        <v>9</v>
      </c>
      <c r="Y395" s="35">
        <v>9</v>
      </c>
      <c r="Z395" s="35">
        <v>10.9</v>
      </c>
      <c r="AA395" s="35">
        <v>9</v>
      </c>
      <c r="AB395" s="35">
        <v>10.3</v>
      </c>
      <c r="AC395" s="35">
        <v>9</v>
      </c>
      <c r="AD395" s="35">
        <v>20.9</v>
      </c>
      <c r="AE395" s="35">
        <v>19</v>
      </c>
      <c r="AF395" s="35">
        <v>21</v>
      </c>
      <c r="AG395" s="35">
        <v>19</v>
      </c>
      <c r="AH395" s="35">
        <v>18.899999999999999</v>
      </c>
      <c r="AI395" s="35">
        <v>19</v>
      </c>
      <c r="AJ395" s="35">
        <v>20.7</v>
      </c>
      <c r="AK395" s="35">
        <v>19</v>
      </c>
      <c r="AL395" s="35">
        <v>19.3</v>
      </c>
      <c r="AM395" s="35">
        <v>19</v>
      </c>
      <c r="AN395" s="35">
        <v>18.899999999999999</v>
      </c>
      <c r="AO395" s="35">
        <v>19</v>
      </c>
      <c r="AP395" s="35">
        <v>18.899999999999999</v>
      </c>
      <c r="AQ395" s="35">
        <v>19</v>
      </c>
      <c r="AR395" s="35">
        <v>20.8</v>
      </c>
      <c r="AS395" s="35">
        <v>19</v>
      </c>
      <c r="AT395" s="35">
        <v>18.399999999999999</v>
      </c>
      <c r="AU395" s="35">
        <v>19</v>
      </c>
      <c r="AV395" s="35">
        <v>19.8</v>
      </c>
      <c r="AW395" s="35">
        <v>19</v>
      </c>
      <c r="AX395" s="35">
        <v>21.1</v>
      </c>
      <c r="AY395" s="35">
        <v>20</v>
      </c>
      <c r="AZ395" s="35">
        <v>21</v>
      </c>
      <c r="BA395" s="35">
        <v>20</v>
      </c>
      <c r="BB395" s="35">
        <v>32.799999999999997</v>
      </c>
      <c r="BC395" s="35">
        <v>40</v>
      </c>
      <c r="BD395" s="35">
        <v>31.9</v>
      </c>
      <c r="BE395" s="35">
        <v>40</v>
      </c>
      <c r="BF395" s="35">
        <v>21.1</v>
      </c>
      <c r="BG395" s="35">
        <v>20</v>
      </c>
    </row>
    <row r="396" spans="1:59" x14ac:dyDescent="0.35">
      <c r="A396" s="36">
        <v>46059.728472222225</v>
      </c>
      <c r="B396" s="35">
        <v>1.4</v>
      </c>
      <c r="C396" s="35">
        <v>2</v>
      </c>
      <c r="D396" s="35">
        <v>2</v>
      </c>
      <c r="E396" s="35">
        <v>2.2000000000000002</v>
      </c>
      <c r="F396" s="35">
        <v>3.1</v>
      </c>
      <c r="G396" s="35">
        <v>2</v>
      </c>
      <c r="H396" s="35">
        <v>3.6</v>
      </c>
      <c r="I396" s="35">
        <v>2</v>
      </c>
      <c r="J396" s="35">
        <v>3.9</v>
      </c>
      <c r="K396" s="35">
        <v>2</v>
      </c>
      <c r="L396" s="35">
        <v>4</v>
      </c>
      <c r="M396" s="35">
        <v>2</v>
      </c>
      <c r="N396" s="35">
        <v>3.4</v>
      </c>
      <c r="O396" s="35">
        <v>3</v>
      </c>
      <c r="P396" s="35">
        <v>3.5</v>
      </c>
      <c r="Q396" s="35">
        <v>2</v>
      </c>
      <c r="R396" s="35">
        <v>3</v>
      </c>
      <c r="S396" s="35">
        <v>2</v>
      </c>
      <c r="T396" s="35">
        <v>2.9</v>
      </c>
      <c r="U396" s="35">
        <v>2</v>
      </c>
      <c r="V396" s="35">
        <v>10.6</v>
      </c>
      <c r="W396" s="35">
        <v>9</v>
      </c>
      <c r="X396" s="35">
        <v>9.1999999999999993</v>
      </c>
      <c r="Y396" s="35">
        <v>9</v>
      </c>
      <c r="Z396" s="35">
        <v>11</v>
      </c>
      <c r="AA396" s="35">
        <v>9</v>
      </c>
      <c r="AB396" s="35">
        <v>10.7</v>
      </c>
      <c r="AC396" s="35">
        <v>9</v>
      </c>
      <c r="AD396" s="35">
        <v>20.9</v>
      </c>
      <c r="AE396" s="35">
        <v>19</v>
      </c>
      <c r="AF396" s="35">
        <v>19.8</v>
      </c>
      <c r="AG396" s="35">
        <v>19</v>
      </c>
      <c r="AH396" s="35">
        <v>18.7</v>
      </c>
      <c r="AI396" s="35">
        <v>19</v>
      </c>
      <c r="AJ396" s="35">
        <v>20.8</v>
      </c>
      <c r="AK396" s="35">
        <v>19</v>
      </c>
      <c r="AL396" s="35">
        <v>19.3</v>
      </c>
      <c r="AM396" s="35">
        <v>19</v>
      </c>
      <c r="AN396" s="35">
        <v>18.899999999999999</v>
      </c>
      <c r="AO396" s="35">
        <v>19</v>
      </c>
      <c r="AP396" s="35">
        <v>18.3</v>
      </c>
      <c r="AQ396" s="35">
        <v>19</v>
      </c>
      <c r="AR396" s="35">
        <v>20.8</v>
      </c>
      <c r="AS396" s="35">
        <v>19</v>
      </c>
      <c r="AT396" s="35">
        <v>18.3</v>
      </c>
      <c r="AU396" s="35">
        <v>19</v>
      </c>
      <c r="AV396" s="35">
        <v>19.899999999999999</v>
      </c>
      <c r="AW396" s="35">
        <v>19</v>
      </c>
      <c r="AX396" s="35">
        <v>21.2</v>
      </c>
      <c r="AY396" s="35">
        <v>20</v>
      </c>
      <c r="AZ396" s="35">
        <v>21</v>
      </c>
      <c r="BA396" s="35">
        <v>20</v>
      </c>
      <c r="BB396" s="35">
        <v>32.799999999999997</v>
      </c>
      <c r="BC396" s="35">
        <v>40</v>
      </c>
      <c r="BD396" s="35">
        <v>31.8</v>
      </c>
      <c r="BE396" s="35">
        <v>40</v>
      </c>
      <c r="BF396" s="35">
        <v>21.2</v>
      </c>
      <c r="BG396" s="35">
        <v>20</v>
      </c>
    </row>
    <row r="397" spans="1:59" x14ac:dyDescent="0.35">
      <c r="A397" s="36">
        <v>46059.729166666664</v>
      </c>
      <c r="B397" s="35">
        <v>1.9</v>
      </c>
      <c r="C397" s="35">
        <v>2</v>
      </c>
      <c r="D397" s="35">
        <v>2.4</v>
      </c>
      <c r="E397" s="35">
        <v>2.2000000000000002</v>
      </c>
      <c r="F397" s="35">
        <v>3.3</v>
      </c>
      <c r="G397" s="35">
        <v>2</v>
      </c>
      <c r="H397" s="35">
        <v>3.9</v>
      </c>
      <c r="I397" s="35">
        <v>2</v>
      </c>
      <c r="J397" s="35">
        <v>3.5</v>
      </c>
      <c r="K397" s="35">
        <v>2</v>
      </c>
      <c r="L397" s="35">
        <v>3</v>
      </c>
      <c r="M397" s="35">
        <v>2</v>
      </c>
      <c r="N397" s="35">
        <v>3.6</v>
      </c>
      <c r="O397" s="35">
        <v>3</v>
      </c>
      <c r="P397" s="35">
        <v>3.6</v>
      </c>
      <c r="Q397" s="35">
        <v>2</v>
      </c>
      <c r="R397" s="35">
        <v>3.2</v>
      </c>
      <c r="S397" s="35">
        <v>2</v>
      </c>
      <c r="T397" s="35">
        <v>3.1</v>
      </c>
      <c r="U397" s="35">
        <v>2</v>
      </c>
      <c r="V397" s="35">
        <v>11</v>
      </c>
      <c r="W397" s="35">
        <v>9</v>
      </c>
      <c r="X397" s="35">
        <v>9.4</v>
      </c>
      <c r="Y397" s="35">
        <v>9</v>
      </c>
      <c r="Z397" s="35">
        <v>10.4</v>
      </c>
      <c r="AA397" s="35">
        <v>9</v>
      </c>
      <c r="AB397" s="35">
        <v>11</v>
      </c>
      <c r="AC397" s="35">
        <v>9</v>
      </c>
      <c r="AD397" s="35">
        <v>20.9</v>
      </c>
      <c r="AE397" s="35">
        <v>19</v>
      </c>
      <c r="AF397" s="35">
        <v>18.8</v>
      </c>
      <c r="AG397" s="35">
        <v>19</v>
      </c>
      <c r="AH397" s="35">
        <v>18.7</v>
      </c>
      <c r="AI397" s="35">
        <v>19</v>
      </c>
      <c r="AJ397" s="35">
        <v>20.8</v>
      </c>
      <c r="AK397" s="35">
        <v>19</v>
      </c>
      <c r="AL397" s="35">
        <v>19.3</v>
      </c>
      <c r="AM397" s="35">
        <v>19</v>
      </c>
      <c r="AN397" s="35">
        <v>19</v>
      </c>
      <c r="AO397" s="35">
        <v>19</v>
      </c>
      <c r="AP397" s="35">
        <v>18.2</v>
      </c>
      <c r="AQ397" s="35">
        <v>19</v>
      </c>
      <c r="AR397" s="35">
        <v>20.8</v>
      </c>
      <c r="AS397" s="35">
        <v>19</v>
      </c>
      <c r="AT397" s="35">
        <v>18.399999999999999</v>
      </c>
      <c r="AU397" s="35">
        <v>19</v>
      </c>
      <c r="AV397" s="35">
        <v>20</v>
      </c>
      <c r="AW397" s="35">
        <v>19</v>
      </c>
      <c r="AX397" s="35">
        <v>21.2</v>
      </c>
      <c r="AY397" s="35">
        <v>20</v>
      </c>
      <c r="AZ397" s="35">
        <v>21.1</v>
      </c>
      <c r="BA397" s="35">
        <v>20</v>
      </c>
      <c r="BB397" s="35">
        <v>32.799999999999997</v>
      </c>
      <c r="BC397" s="35">
        <v>40</v>
      </c>
      <c r="BD397" s="35">
        <v>31.8</v>
      </c>
      <c r="BE397" s="35">
        <v>40</v>
      </c>
      <c r="BF397" s="35">
        <v>21.4</v>
      </c>
      <c r="BG397" s="35">
        <v>20</v>
      </c>
    </row>
    <row r="398" spans="1:59" x14ac:dyDescent="0.35">
      <c r="A398" s="36">
        <v>46059.729861111111</v>
      </c>
      <c r="B398" s="35">
        <v>2.2999999999999998</v>
      </c>
      <c r="C398" s="35">
        <v>2</v>
      </c>
      <c r="D398" s="35">
        <v>2.7</v>
      </c>
      <c r="E398" s="35">
        <v>2.2000000000000002</v>
      </c>
      <c r="F398" s="35">
        <v>3.3</v>
      </c>
      <c r="G398" s="35">
        <v>2</v>
      </c>
      <c r="H398" s="35">
        <v>3.3</v>
      </c>
      <c r="I398" s="35">
        <v>2</v>
      </c>
      <c r="J398" s="35">
        <v>3</v>
      </c>
      <c r="K398" s="35">
        <v>2</v>
      </c>
      <c r="L398" s="35">
        <v>2.2999999999999998</v>
      </c>
      <c r="M398" s="35">
        <v>2</v>
      </c>
      <c r="N398" s="35">
        <v>3.8</v>
      </c>
      <c r="O398" s="35">
        <v>3</v>
      </c>
      <c r="P398" s="35">
        <v>3.7</v>
      </c>
      <c r="Q398" s="35">
        <v>2</v>
      </c>
      <c r="R398" s="35">
        <v>3.3</v>
      </c>
      <c r="S398" s="35">
        <v>2</v>
      </c>
      <c r="T398" s="35">
        <v>3.2</v>
      </c>
      <c r="U398" s="35">
        <v>2</v>
      </c>
      <c r="V398" s="35">
        <v>10</v>
      </c>
      <c r="W398" s="35">
        <v>9</v>
      </c>
      <c r="X398" s="35">
        <v>9.6</v>
      </c>
      <c r="Y398" s="35">
        <v>9</v>
      </c>
      <c r="Z398" s="35">
        <v>9.6</v>
      </c>
      <c r="AA398" s="35">
        <v>9</v>
      </c>
      <c r="AB398" s="35">
        <v>10.3</v>
      </c>
      <c r="AC398" s="35">
        <v>9</v>
      </c>
      <c r="AD398" s="35">
        <v>20.9</v>
      </c>
      <c r="AE398" s="35">
        <v>19</v>
      </c>
      <c r="AF398" s="35">
        <v>18.600000000000001</v>
      </c>
      <c r="AG398" s="35">
        <v>19</v>
      </c>
      <c r="AH398" s="35">
        <v>19</v>
      </c>
      <c r="AI398" s="35">
        <v>19</v>
      </c>
      <c r="AJ398" s="35">
        <v>20.9</v>
      </c>
      <c r="AK398" s="35">
        <v>19</v>
      </c>
      <c r="AL398" s="35">
        <v>19.3</v>
      </c>
      <c r="AM398" s="35">
        <v>19</v>
      </c>
      <c r="AN398" s="35">
        <v>19.2</v>
      </c>
      <c r="AO398" s="35">
        <v>19</v>
      </c>
      <c r="AP398" s="35">
        <v>18.2</v>
      </c>
      <c r="AQ398" s="35">
        <v>19</v>
      </c>
      <c r="AR398" s="35">
        <v>20.8</v>
      </c>
      <c r="AS398" s="35">
        <v>19</v>
      </c>
      <c r="AT398" s="35">
        <v>18.600000000000001</v>
      </c>
      <c r="AU398" s="35">
        <v>19</v>
      </c>
      <c r="AV398" s="35">
        <v>20.100000000000001</v>
      </c>
      <c r="AW398" s="35">
        <v>19</v>
      </c>
      <c r="AX398" s="35">
        <v>21.2</v>
      </c>
      <c r="AY398" s="35">
        <v>20</v>
      </c>
      <c r="AZ398" s="35">
        <v>21.1</v>
      </c>
      <c r="BA398" s="35">
        <v>20</v>
      </c>
      <c r="BB398" s="35">
        <v>32.700000000000003</v>
      </c>
      <c r="BC398" s="35">
        <v>40</v>
      </c>
      <c r="BD398" s="35">
        <v>31.8</v>
      </c>
      <c r="BE398" s="35">
        <v>40</v>
      </c>
      <c r="BF398" s="35">
        <v>21.5</v>
      </c>
      <c r="BG398" s="35">
        <v>20</v>
      </c>
    </row>
    <row r="399" spans="1:59" x14ac:dyDescent="0.35">
      <c r="A399" s="36">
        <v>46059.730555555558</v>
      </c>
      <c r="B399" s="35">
        <v>2.6</v>
      </c>
      <c r="C399" s="35">
        <v>2</v>
      </c>
      <c r="D399" s="35">
        <v>3.1</v>
      </c>
      <c r="E399" s="35">
        <v>2.2000000000000002</v>
      </c>
      <c r="F399" s="35">
        <v>3.1</v>
      </c>
      <c r="G399" s="35">
        <v>2</v>
      </c>
      <c r="H399" s="35">
        <v>2.5</v>
      </c>
      <c r="I399" s="35">
        <v>2</v>
      </c>
      <c r="J399" s="35">
        <v>2.6</v>
      </c>
      <c r="K399" s="35">
        <v>2</v>
      </c>
      <c r="L399" s="35">
        <v>1.8</v>
      </c>
      <c r="M399" s="35">
        <v>2</v>
      </c>
      <c r="N399" s="35">
        <v>4</v>
      </c>
      <c r="O399" s="35">
        <v>3</v>
      </c>
      <c r="P399" s="35">
        <v>3.9</v>
      </c>
      <c r="Q399" s="35">
        <v>2</v>
      </c>
      <c r="R399" s="35">
        <v>3.5</v>
      </c>
      <c r="S399" s="35">
        <v>2</v>
      </c>
      <c r="T399" s="35">
        <v>3.4</v>
      </c>
      <c r="U399" s="35">
        <v>2</v>
      </c>
      <c r="V399" s="35">
        <v>7.8</v>
      </c>
      <c r="W399" s="35">
        <v>9</v>
      </c>
      <c r="X399" s="35">
        <v>9.6999999999999993</v>
      </c>
      <c r="Y399" s="35">
        <v>9</v>
      </c>
      <c r="Z399" s="35">
        <v>9.1</v>
      </c>
      <c r="AA399" s="35">
        <v>9</v>
      </c>
      <c r="AB399" s="35">
        <v>9.1</v>
      </c>
      <c r="AC399" s="35">
        <v>9</v>
      </c>
      <c r="AD399" s="35">
        <v>20.9</v>
      </c>
      <c r="AE399" s="35">
        <v>19</v>
      </c>
      <c r="AF399" s="35">
        <v>18.600000000000001</v>
      </c>
      <c r="AG399" s="35">
        <v>19</v>
      </c>
      <c r="AH399" s="35">
        <v>19.2</v>
      </c>
      <c r="AI399" s="35">
        <v>19</v>
      </c>
      <c r="AJ399" s="35">
        <v>20.9</v>
      </c>
      <c r="AK399" s="35">
        <v>19</v>
      </c>
      <c r="AL399" s="35">
        <v>19.2</v>
      </c>
      <c r="AM399" s="35">
        <v>19</v>
      </c>
      <c r="AN399" s="35">
        <v>19.3</v>
      </c>
      <c r="AO399" s="35">
        <v>19</v>
      </c>
      <c r="AP399" s="35">
        <v>18.3</v>
      </c>
      <c r="AQ399" s="35">
        <v>19</v>
      </c>
      <c r="AR399" s="35">
        <v>20.8</v>
      </c>
      <c r="AS399" s="35">
        <v>19</v>
      </c>
      <c r="AT399" s="35">
        <v>18.8</v>
      </c>
      <c r="AU399" s="35">
        <v>19</v>
      </c>
      <c r="AV399" s="35">
        <v>20.2</v>
      </c>
      <c r="AW399" s="35">
        <v>19</v>
      </c>
      <c r="AX399" s="35">
        <v>21.2</v>
      </c>
      <c r="AY399" s="35">
        <v>20</v>
      </c>
      <c r="AZ399" s="35">
        <v>21.1</v>
      </c>
      <c r="BA399" s="35">
        <v>20</v>
      </c>
      <c r="BB399" s="35">
        <v>32.700000000000003</v>
      </c>
      <c r="BC399" s="35">
        <v>40</v>
      </c>
      <c r="BD399" s="35">
        <v>31.8</v>
      </c>
      <c r="BE399" s="35">
        <v>40</v>
      </c>
      <c r="BF399" s="35">
        <v>21.6</v>
      </c>
      <c r="BG399" s="35">
        <v>20</v>
      </c>
    </row>
    <row r="400" spans="1:59" x14ac:dyDescent="0.35">
      <c r="A400" s="36">
        <v>46059.731249999997</v>
      </c>
      <c r="B400" s="35">
        <v>3</v>
      </c>
      <c r="C400" s="35">
        <v>2</v>
      </c>
      <c r="D400" s="35">
        <v>3.4</v>
      </c>
      <c r="E400" s="35">
        <v>2.2000000000000002</v>
      </c>
      <c r="F400" s="35">
        <v>3.1</v>
      </c>
      <c r="G400" s="35">
        <v>2</v>
      </c>
      <c r="H400" s="35">
        <v>2.4</v>
      </c>
      <c r="I400" s="35">
        <v>2</v>
      </c>
      <c r="J400" s="35">
        <v>2.6</v>
      </c>
      <c r="K400" s="35">
        <v>2</v>
      </c>
      <c r="L400" s="35">
        <v>1.9</v>
      </c>
      <c r="M400" s="35">
        <v>2</v>
      </c>
      <c r="N400" s="35">
        <v>4.2</v>
      </c>
      <c r="O400" s="35">
        <v>3</v>
      </c>
      <c r="P400" s="35">
        <v>4</v>
      </c>
      <c r="Q400" s="35">
        <v>2</v>
      </c>
      <c r="R400" s="35">
        <v>3.6</v>
      </c>
      <c r="S400" s="35">
        <v>2</v>
      </c>
      <c r="T400" s="35">
        <v>3.5</v>
      </c>
      <c r="U400" s="35">
        <v>2</v>
      </c>
      <c r="V400" s="35">
        <v>7.4</v>
      </c>
      <c r="W400" s="35">
        <v>9</v>
      </c>
      <c r="X400" s="35">
        <v>9.9</v>
      </c>
      <c r="Y400" s="35">
        <v>9</v>
      </c>
      <c r="Z400" s="35">
        <v>8.9</v>
      </c>
      <c r="AA400" s="35">
        <v>9</v>
      </c>
      <c r="AB400" s="35">
        <v>8.6</v>
      </c>
      <c r="AC400" s="35">
        <v>9</v>
      </c>
      <c r="AD400" s="35">
        <v>20.9</v>
      </c>
      <c r="AE400" s="35">
        <v>19</v>
      </c>
      <c r="AF400" s="35">
        <v>18.600000000000001</v>
      </c>
      <c r="AG400" s="35">
        <v>19</v>
      </c>
      <c r="AH400" s="35">
        <v>19.3</v>
      </c>
      <c r="AI400" s="35">
        <v>19</v>
      </c>
      <c r="AJ400" s="35">
        <v>20.8</v>
      </c>
      <c r="AK400" s="35">
        <v>19</v>
      </c>
      <c r="AL400" s="35">
        <v>19.2</v>
      </c>
      <c r="AM400" s="35">
        <v>19</v>
      </c>
      <c r="AN400" s="35">
        <v>19.399999999999999</v>
      </c>
      <c r="AO400" s="35">
        <v>19</v>
      </c>
      <c r="AP400" s="35">
        <v>18.5</v>
      </c>
      <c r="AQ400" s="35">
        <v>19</v>
      </c>
      <c r="AR400" s="35">
        <v>20.8</v>
      </c>
      <c r="AS400" s="35">
        <v>19</v>
      </c>
      <c r="AT400" s="35">
        <v>19</v>
      </c>
      <c r="AU400" s="35">
        <v>19</v>
      </c>
      <c r="AV400" s="35">
        <v>20.2</v>
      </c>
      <c r="AW400" s="35">
        <v>19</v>
      </c>
      <c r="AX400" s="35">
        <v>21.2</v>
      </c>
      <c r="AY400" s="35">
        <v>20</v>
      </c>
      <c r="AZ400" s="35">
        <v>21</v>
      </c>
      <c r="BA400" s="35">
        <v>20</v>
      </c>
      <c r="BB400" s="35">
        <v>32.700000000000003</v>
      </c>
      <c r="BC400" s="35">
        <v>40</v>
      </c>
      <c r="BD400" s="35">
        <v>31.8</v>
      </c>
      <c r="BE400" s="35">
        <v>40</v>
      </c>
      <c r="BF400" s="35">
        <v>21.6</v>
      </c>
      <c r="BG400" s="35">
        <v>20</v>
      </c>
    </row>
    <row r="401" spans="1:59" x14ac:dyDescent="0.35">
      <c r="A401" s="36">
        <v>46059.731944444444</v>
      </c>
      <c r="B401" s="35">
        <v>3.3</v>
      </c>
      <c r="C401" s="35">
        <v>2</v>
      </c>
      <c r="D401" s="35">
        <v>3.7</v>
      </c>
      <c r="E401" s="35">
        <v>2.2000000000000002</v>
      </c>
      <c r="F401" s="35">
        <v>3.1</v>
      </c>
      <c r="G401" s="35">
        <v>2</v>
      </c>
      <c r="H401" s="35">
        <v>2.4</v>
      </c>
      <c r="I401" s="35">
        <v>2</v>
      </c>
      <c r="J401" s="35">
        <v>2.8</v>
      </c>
      <c r="K401" s="35">
        <v>2</v>
      </c>
      <c r="L401" s="35">
        <v>2.2999999999999998</v>
      </c>
      <c r="M401" s="35">
        <v>2</v>
      </c>
      <c r="N401" s="35">
        <v>3</v>
      </c>
      <c r="O401" s="35">
        <v>3</v>
      </c>
      <c r="P401" s="35">
        <v>3.4</v>
      </c>
      <c r="Q401" s="35">
        <v>2</v>
      </c>
      <c r="R401" s="35">
        <v>3.7</v>
      </c>
      <c r="S401" s="35">
        <v>2</v>
      </c>
      <c r="T401" s="35">
        <v>3.6</v>
      </c>
      <c r="U401" s="35">
        <v>2</v>
      </c>
      <c r="V401" s="35">
        <v>8</v>
      </c>
      <c r="W401" s="35">
        <v>9</v>
      </c>
      <c r="X401" s="35">
        <v>10</v>
      </c>
      <c r="Y401" s="35">
        <v>9</v>
      </c>
      <c r="Z401" s="35">
        <v>8.9</v>
      </c>
      <c r="AA401" s="35">
        <v>9</v>
      </c>
      <c r="AB401" s="35">
        <v>8.6999999999999993</v>
      </c>
      <c r="AC401" s="35">
        <v>9</v>
      </c>
      <c r="AD401" s="35">
        <v>20.9</v>
      </c>
      <c r="AE401" s="35">
        <v>19</v>
      </c>
      <c r="AF401" s="35">
        <v>18.600000000000001</v>
      </c>
      <c r="AG401" s="35">
        <v>19</v>
      </c>
      <c r="AH401" s="35">
        <v>19.5</v>
      </c>
      <c r="AI401" s="35">
        <v>19</v>
      </c>
      <c r="AJ401" s="35">
        <v>19.600000000000001</v>
      </c>
      <c r="AK401" s="35">
        <v>19</v>
      </c>
      <c r="AL401" s="35">
        <v>19.2</v>
      </c>
      <c r="AM401" s="35">
        <v>19</v>
      </c>
      <c r="AN401" s="35">
        <v>19.5</v>
      </c>
      <c r="AO401" s="35">
        <v>19</v>
      </c>
      <c r="AP401" s="35">
        <v>18.600000000000001</v>
      </c>
      <c r="AQ401" s="35">
        <v>19</v>
      </c>
      <c r="AR401" s="35">
        <v>20.8</v>
      </c>
      <c r="AS401" s="35">
        <v>19</v>
      </c>
      <c r="AT401" s="35">
        <v>19.2</v>
      </c>
      <c r="AU401" s="35">
        <v>19</v>
      </c>
      <c r="AV401" s="35">
        <v>20.3</v>
      </c>
      <c r="AW401" s="35">
        <v>19</v>
      </c>
      <c r="AX401" s="35">
        <v>21.1</v>
      </c>
      <c r="AY401" s="35">
        <v>20</v>
      </c>
      <c r="AZ401" s="35">
        <v>21</v>
      </c>
      <c r="BA401" s="35">
        <v>20</v>
      </c>
      <c r="BB401" s="35">
        <v>32.700000000000003</v>
      </c>
      <c r="BC401" s="35">
        <v>40</v>
      </c>
      <c r="BD401" s="35">
        <v>31.8</v>
      </c>
      <c r="BE401" s="35">
        <v>40</v>
      </c>
      <c r="BF401" s="35">
        <v>21.6</v>
      </c>
      <c r="BG401" s="35">
        <v>20</v>
      </c>
    </row>
    <row r="402" spans="1:59" x14ac:dyDescent="0.35">
      <c r="A402" s="36">
        <v>46059.732638888891</v>
      </c>
      <c r="B402" s="35">
        <v>3.6</v>
      </c>
      <c r="C402" s="35">
        <v>2</v>
      </c>
      <c r="D402" s="35">
        <v>4</v>
      </c>
      <c r="E402" s="35">
        <v>2.2000000000000002</v>
      </c>
      <c r="F402" s="35">
        <v>3.2</v>
      </c>
      <c r="G402" s="35">
        <v>2</v>
      </c>
      <c r="H402" s="35">
        <v>2.8</v>
      </c>
      <c r="I402" s="35">
        <v>2</v>
      </c>
      <c r="J402" s="35">
        <v>3</v>
      </c>
      <c r="K402" s="35">
        <v>2</v>
      </c>
      <c r="L402" s="35">
        <v>2.7</v>
      </c>
      <c r="M402" s="35">
        <v>2</v>
      </c>
      <c r="N402" s="35">
        <v>2.9</v>
      </c>
      <c r="O402" s="35">
        <v>3</v>
      </c>
      <c r="P402" s="35">
        <v>3.2</v>
      </c>
      <c r="Q402" s="35">
        <v>2</v>
      </c>
      <c r="R402" s="35">
        <v>3.9</v>
      </c>
      <c r="S402" s="35">
        <v>2</v>
      </c>
      <c r="T402" s="35">
        <v>3.7</v>
      </c>
      <c r="U402" s="35">
        <v>2</v>
      </c>
      <c r="V402" s="35">
        <v>8.9</v>
      </c>
      <c r="W402" s="35">
        <v>9</v>
      </c>
      <c r="X402" s="35">
        <v>10.1</v>
      </c>
      <c r="Y402" s="35">
        <v>9</v>
      </c>
      <c r="Z402" s="35">
        <v>9.1</v>
      </c>
      <c r="AA402" s="35">
        <v>9</v>
      </c>
      <c r="AB402" s="35">
        <v>9.1999999999999993</v>
      </c>
      <c r="AC402" s="35">
        <v>9</v>
      </c>
      <c r="AD402" s="35">
        <v>21</v>
      </c>
      <c r="AE402" s="35">
        <v>19</v>
      </c>
      <c r="AF402" s="35">
        <v>18.7</v>
      </c>
      <c r="AG402" s="35">
        <v>19</v>
      </c>
      <c r="AH402" s="35">
        <v>19.600000000000001</v>
      </c>
      <c r="AI402" s="35">
        <v>19</v>
      </c>
      <c r="AJ402" s="35">
        <v>18.100000000000001</v>
      </c>
      <c r="AK402" s="35">
        <v>19</v>
      </c>
      <c r="AL402" s="35">
        <v>19</v>
      </c>
      <c r="AM402" s="35">
        <v>19</v>
      </c>
      <c r="AN402" s="35">
        <v>19.600000000000001</v>
      </c>
      <c r="AO402" s="35">
        <v>19</v>
      </c>
      <c r="AP402" s="35">
        <v>18.7</v>
      </c>
      <c r="AQ402" s="35">
        <v>19</v>
      </c>
      <c r="AR402" s="35">
        <v>20.8</v>
      </c>
      <c r="AS402" s="35">
        <v>19</v>
      </c>
      <c r="AT402" s="35">
        <v>19.3</v>
      </c>
      <c r="AU402" s="35">
        <v>19</v>
      </c>
      <c r="AV402" s="35">
        <v>20.399999999999999</v>
      </c>
      <c r="AW402" s="35">
        <v>19</v>
      </c>
      <c r="AX402" s="35">
        <v>21.1</v>
      </c>
      <c r="AY402" s="35">
        <v>20</v>
      </c>
      <c r="AZ402" s="35">
        <v>20.9</v>
      </c>
      <c r="BA402" s="35">
        <v>20</v>
      </c>
      <c r="BB402" s="35">
        <v>32.700000000000003</v>
      </c>
      <c r="BC402" s="35">
        <v>40</v>
      </c>
      <c r="BD402" s="35">
        <v>31.8</v>
      </c>
      <c r="BE402" s="35">
        <v>40</v>
      </c>
      <c r="BF402" s="35">
        <v>21.7</v>
      </c>
      <c r="BG402" s="35">
        <v>20</v>
      </c>
    </row>
    <row r="403" spans="1:59" x14ac:dyDescent="0.35">
      <c r="A403" s="36">
        <v>46059.73333333333</v>
      </c>
      <c r="B403" s="35">
        <v>3.7</v>
      </c>
      <c r="C403" s="35">
        <v>2</v>
      </c>
      <c r="D403" s="35">
        <v>4.0999999999999996</v>
      </c>
      <c r="E403" s="35">
        <v>2.2000000000000002</v>
      </c>
      <c r="F403" s="35">
        <v>3.4</v>
      </c>
      <c r="G403" s="35">
        <v>2</v>
      </c>
      <c r="H403" s="35">
        <v>3.1</v>
      </c>
      <c r="I403" s="35">
        <v>2</v>
      </c>
      <c r="J403" s="35">
        <v>3.3</v>
      </c>
      <c r="K403" s="35">
        <v>2</v>
      </c>
      <c r="L403" s="35">
        <v>3.1</v>
      </c>
      <c r="M403" s="35">
        <v>2</v>
      </c>
      <c r="N403" s="35">
        <v>2.9</v>
      </c>
      <c r="O403" s="35">
        <v>3</v>
      </c>
      <c r="P403" s="35">
        <v>3.2</v>
      </c>
      <c r="Q403" s="35">
        <v>2</v>
      </c>
      <c r="R403" s="35">
        <v>4</v>
      </c>
      <c r="S403" s="35">
        <v>2</v>
      </c>
      <c r="T403" s="35">
        <v>3.8</v>
      </c>
      <c r="U403" s="35">
        <v>2</v>
      </c>
      <c r="V403" s="35">
        <v>9.8000000000000007</v>
      </c>
      <c r="W403" s="35">
        <v>9</v>
      </c>
      <c r="X403" s="35">
        <v>10.199999999999999</v>
      </c>
      <c r="Y403" s="35">
        <v>9</v>
      </c>
      <c r="Z403" s="35">
        <v>9.4</v>
      </c>
      <c r="AA403" s="35">
        <v>9</v>
      </c>
      <c r="AB403" s="35">
        <v>9.6</v>
      </c>
      <c r="AC403" s="35">
        <v>9</v>
      </c>
      <c r="AD403" s="35">
        <v>20.5</v>
      </c>
      <c r="AE403" s="35">
        <v>19</v>
      </c>
      <c r="AF403" s="35">
        <v>18.7</v>
      </c>
      <c r="AG403" s="35">
        <v>19</v>
      </c>
      <c r="AH403" s="35">
        <v>19.7</v>
      </c>
      <c r="AI403" s="35">
        <v>19</v>
      </c>
      <c r="AJ403" s="35">
        <v>18</v>
      </c>
      <c r="AK403" s="35">
        <v>19</v>
      </c>
      <c r="AL403" s="35">
        <v>19</v>
      </c>
      <c r="AM403" s="35">
        <v>19</v>
      </c>
      <c r="AN403" s="35">
        <v>19.7</v>
      </c>
      <c r="AO403" s="35">
        <v>19</v>
      </c>
      <c r="AP403" s="35">
        <v>18.8</v>
      </c>
      <c r="AQ403" s="35">
        <v>19</v>
      </c>
      <c r="AR403" s="35">
        <v>20.8</v>
      </c>
      <c r="AS403" s="35">
        <v>19</v>
      </c>
      <c r="AT403" s="35">
        <v>19.399999999999999</v>
      </c>
      <c r="AU403" s="35">
        <v>19</v>
      </c>
      <c r="AV403" s="35">
        <v>20.399999999999999</v>
      </c>
      <c r="AW403" s="35">
        <v>19</v>
      </c>
      <c r="AX403" s="35">
        <v>21</v>
      </c>
      <c r="AY403" s="35">
        <v>20</v>
      </c>
      <c r="AZ403" s="35">
        <v>20.8</v>
      </c>
      <c r="BA403" s="35">
        <v>20</v>
      </c>
      <c r="BB403" s="35">
        <v>32.700000000000003</v>
      </c>
      <c r="BC403" s="35">
        <v>40</v>
      </c>
      <c r="BD403" s="35">
        <v>31.8</v>
      </c>
      <c r="BE403" s="35">
        <v>40</v>
      </c>
      <c r="BF403" s="35">
        <v>21.7</v>
      </c>
      <c r="BG403" s="35">
        <v>20</v>
      </c>
    </row>
    <row r="404" spans="1:59" x14ac:dyDescent="0.35">
      <c r="A404" s="36">
        <v>46059.734027777777</v>
      </c>
      <c r="B404" s="35">
        <v>3.7</v>
      </c>
      <c r="C404" s="35">
        <v>2</v>
      </c>
      <c r="D404" s="35">
        <v>4</v>
      </c>
      <c r="E404" s="35">
        <v>2.2000000000000002</v>
      </c>
      <c r="F404" s="35">
        <v>3.6</v>
      </c>
      <c r="G404" s="35">
        <v>2</v>
      </c>
      <c r="H404" s="35">
        <v>3.3</v>
      </c>
      <c r="I404" s="35">
        <v>2</v>
      </c>
      <c r="J404" s="35">
        <v>3.5</v>
      </c>
      <c r="K404" s="35">
        <v>2</v>
      </c>
      <c r="L404" s="35">
        <v>3.4</v>
      </c>
      <c r="M404" s="35">
        <v>2</v>
      </c>
      <c r="N404" s="35">
        <v>3.1</v>
      </c>
      <c r="O404" s="35">
        <v>3</v>
      </c>
      <c r="P404" s="35">
        <v>3.4</v>
      </c>
      <c r="Q404" s="35">
        <v>2</v>
      </c>
      <c r="R404" s="35">
        <v>3.3</v>
      </c>
      <c r="S404" s="35">
        <v>2</v>
      </c>
      <c r="T404" s="35">
        <v>2.9</v>
      </c>
      <c r="U404" s="35">
        <v>2</v>
      </c>
      <c r="V404" s="35">
        <v>10.3</v>
      </c>
      <c r="W404" s="35">
        <v>9</v>
      </c>
      <c r="X404" s="35">
        <v>10.3</v>
      </c>
      <c r="Y404" s="35">
        <v>9</v>
      </c>
      <c r="Z404" s="35">
        <v>9.8000000000000007</v>
      </c>
      <c r="AA404" s="35">
        <v>9</v>
      </c>
      <c r="AB404" s="35">
        <v>10.1</v>
      </c>
      <c r="AC404" s="35">
        <v>9</v>
      </c>
      <c r="AD404" s="35">
        <v>19.899999999999999</v>
      </c>
      <c r="AE404" s="35">
        <v>19</v>
      </c>
      <c r="AF404" s="35">
        <v>18.8</v>
      </c>
      <c r="AG404" s="35">
        <v>19</v>
      </c>
      <c r="AH404" s="35">
        <v>19.8</v>
      </c>
      <c r="AI404" s="35">
        <v>19</v>
      </c>
      <c r="AJ404" s="35">
        <v>18.100000000000001</v>
      </c>
      <c r="AK404" s="35">
        <v>19</v>
      </c>
      <c r="AL404" s="35">
        <v>19.3</v>
      </c>
      <c r="AM404" s="35">
        <v>19</v>
      </c>
      <c r="AN404" s="35">
        <v>19.8</v>
      </c>
      <c r="AO404" s="35">
        <v>19</v>
      </c>
      <c r="AP404" s="35">
        <v>19</v>
      </c>
      <c r="AQ404" s="35">
        <v>19</v>
      </c>
      <c r="AR404" s="35">
        <v>20.8</v>
      </c>
      <c r="AS404" s="35">
        <v>19</v>
      </c>
      <c r="AT404" s="35">
        <v>19.600000000000001</v>
      </c>
      <c r="AU404" s="35">
        <v>19</v>
      </c>
      <c r="AV404" s="35">
        <v>20.5</v>
      </c>
      <c r="AW404" s="35">
        <v>19</v>
      </c>
      <c r="AX404" s="35">
        <v>21</v>
      </c>
      <c r="AY404" s="35">
        <v>20</v>
      </c>
      <c r="AZ404" s="35">
        <v>20.8</v>
      </c>
      <c r="BA404" s="35">
        <v>20</v>
      </c>
      <c r="BB404" s="35">
        <v>32.700000000000003</v>
      </c>
      <c r="BC404" s="35">
        <v>40</v>
      </c>
      <c r="BD404" s="35">
        <v>31.8</v>
      </c>
      <c r="BE404" s="35">
        <v>40</v>
      </c>
      <c r="BF404" s="35">
        <v>21.8</v>
      </c>
      <c r="BG404" s="35">
        <v>20</v>
      </c>
    </row>
    <row r="405" spans="1:59" x14ac:dyDescent="0.35">
      <c r="A405" s="36">
        <v>46059.734722222223</v>
      </c>
      <c r="B405" s="35">
        <v>3.7</v>
      </c>
      <c r="C405" s="35">
        <v>2</v>
      </c>
      <c r="D405" s="35">
        <v>4</v>
      </c>
      <c r="E405" s="35">
        <v>2.2000000000000002</v>
      </c>
      <c r="F405" s="35">
        <v>3.7</v>
      </c>
      <c r="G405" s="35">
        <v>2</v>
      </c>
      <c r="H405" s="35">
        <v>3.3</v>
      </c>
      <c r="I405" s="35">
        <v>2</v>
      </c>
      <c r="J405" s="35">
        <v>3.6</v>
      </c>
      <c r="K405" s="35">
        <v>2</v>
      </c>
      <c r="L405" s="35">
        <v>3.7</v>
      </c>
      <c r="M405" s="35">
        <v>2</v>
      </c>
      <c r="N405" s="35">
        <v>3.3</v>
      </c>
      <c r="O405" s="35">
        <v>3</v>
      </c>
      <c r="P405" s="35">
        <v>3.5</v>
      </c>
      <c r="Q405" s="35">
        <v>2</v>
      </c>
      <c r="R405" s="35">
        <v>2.2999999999999998</v>
      </c>
      <c r="S405" s="35">
        <v>2</v>
      </c>
      <c r="T405" s="35">
        <v>1.6</v>
      </c>
      <c r="U405" s="35">
        <v>2</v>
      </c>
      <c r="V405" s="35">
        <v>10.7</v>
      </c>
      <c r="W405" s="35">
        <v>9</v>
      </c>
      <c r="X405" s="35">
        <v>10.4</v>
      </c>
      <c r="Y405" s="35">
        <v>9</v>
      </c>
      <c r="Z405" s="35">
        <v>10</v>
      </c>
      <c r="AA405" s="35">
        <v>9</v>
      </c>
      <c r="AB405" s="35">
        <v>10.4</v>
      </c>
      <c r="AC405" s="35">
        <v>9</v>
      </c>
      <c r="AD405" s="35">
        <v>19</v>
      </c>
      <c r="AE405" s="35">
        <v>19</v>
      </c>
      <c r="AF405" s="35">
        <v>19</v>
      </c>
      <c r="AG405" s="35">
        <v>19</v>
      </c>
      <c r="AH405" s="35">
        <v>19.899999999999999</v>
      </c>
      <c r="AI405" s="35">
        <v>19</v>
      </c>
      <c r="AJ405" s="35">
        <v>18.399999999999999</v>
      </c>
      <c r="AK405" s="35">
        <v>19</v>
      </c>
      <c r="AL405" s="35">
        <v>19.7</v>
      </c>
      <c r="AM405" s="35">
        <v>19</v>
      </c>
      <c r="AN405" s="35">
        <v>19.899999999999999</v>
      </c>
      <c r="AO405" s="35">
        <v>19</v>
      </c>
      <c r="AP405" s="35">
        <v>19.100000000000001</v>
      </c>
      <c r="AQ405" s="35">
        <v>19</v>
      </c>
      <c r="AR405" s="35">
        <v>20.8</v>
      </c>
      <c r="AS405" s="35">
        <v>19</v>
      </c>
      <c r="AT405" s="35">
        <v>19.7</v>
      </c>
      <c r="AU405" s="35">
        <v>19</v>
      </c>
      <c r="AV405" s="35">
        <v>20.5</v>
      </c>
      <c r="AW405" s="35">
        <v>19</v>
      </c>
      <c r="AX405" s="35">
        <v>21</v>
      </c>
      <c r="AY405" s="35">
        <v>20</v>
      </c>
      <c r="AZ405" s="35">
        <v>20.8</v>
      </c>
      <c r="BA405" s="35">
        <v>20</v>
      </c>
      <c r="BB405" s="35">
        <v>32.700000000000003</v>
      </c>
      <c r="BC405" s="35">
        <v>40</v>
      </c>
      <c r="BD405" s="35">
        <v>31.7</v>
      </c>
      <c r="BE405" s="35">
        <v>40</v>
      </c>
      <c r="BF405" s="35">
        <v>21.8</v>
      </c>
      <c r="BG405" s="35">
        <v>20</v>
      </c>
    </row>
    <row r="406" spans="1:59" x14ac:dyDescent="0.35">
      <c r="A406" s="36">
        <v>46059.73541666667</v>
      </c>
      <c r="B406" s="35">
        <v>4</v>
      </c>
      <c r="C406" s="35">
        <v>2</v>
      </c>
      <c r="D406" s="35">
        <v>4.3</v>
      </c>
      <c r="E406" s="35">
        <v>2.2000000000000002</v>
      </c>
      <c r="F406" s="35">
        <v>3.7</v>
      </c>
      <c r="G406" s="35">
        <v>2</v>
      </c>
      <c r="H406" s="35">
        <v>3.2</v>
      </c>
      <c r="I406" s="35">
        <v>2</v>
      </c>
      <c r="J406" s="35">
        <v>3.8</v>
      </c>
      <c r="K406" s="35">
        <v>2</v>
      </c>
      <c r="L406" s="35">
        <v>4</v>
      </c>
      <c r="M406" s="35">
        <v>2</v>
      </c>
      <c r="N406" s="35">
        <v>3.6</v>
      </c>
      <c r="O406" s="35">
        <v>3</v>
      </c>
      <c r="P406" s="35">
        <v>3.6</v>
      </c>
      <c r="Q406" s="35">
        <v>2</v>
      </c>
      <c r="R406" s="35">
        <v>1.6</v>
      </c>
      <c r="S406" s="35">
        <v>2</v>
      </c>
      <c r="T406" s="35">
        <v>1.1000000000000001</v>
      </c>
      <c r="U406" s="35">
        <v>2</v>
      </c>
      <c r="V406" s="35">
        <v>11</v>
      </c>
      <c r="W406" s="35">
        <v>9</v>
      </c>
      <c r="X406" s="35">
        <v>10.5</v>
      </c>
      <c r="Y406" s="35">
        <v>9</v>
      </c>
      <c r="Z406" s="35">
        <v>10.199999999999999</v>
      </c>
      <c r="AA406" s="35">
        <v>9</v>
      </c>
      <c r="AB406" s="35">
        <v>10.8</v>
      </c>
      <c r="AC406" s="35">
        <v>9</v>
      </c>
      <c r="AD406" s="35">
        <v>18.899999999999999</v>
      </c>
      <c r="AE406" s="35">
        <v>19</v>
      </c>
      <c r="AF406" s="35">
        <v>19</v>
      </c>
      <c r="AG406" s="35">
        <v>19</v>
      </c>
      <c r="AH406" s="35">
        <v>20</v>
      </c>
      <c r="AI406" s="35">
        <v>19</v>
      </c>
      <c r="AJ406" s="35">
        <v>18.600000000000001</v>
      </c>
      <c r="AK406" s="35">
        <v>19</v>
      </c>
      <c r="AL406" s="35">
        <v>19.899999999999999</v>
      </c>
      <c r="AM406" s="35">
        <v>19</v>
      </c>
      <c r="AN406" s="35">
        <v>20</v>
      </c>
      <c r="AO406" s="35">
        <v>19</v>
      </c>
      <c r="AP406" s="35">
        <v>19.2</v>
      </c>
      <c r="AQ406" s="35">
        <v>19</v>
      </c>
      <c r="AR406" s="35">
        <v>20.8</v>
      </c>
      <c r="AS406" s="35">
        <v>19</v>
      </c>
      <c r="AT406" s="35">
        <v>19.8</v>
      </c>
      <c r="AU406" s="35">
        <v>19</v>
      </c>
      <c r="AV406" s="35">
        <v>20.6</v>
      </c>
      <c r="AW406" s="35">
        <v>19</v>
      </c>
      <c r="AX406" s="35">
        <v>21</v>
      </c>
      <c r="AY406" s="35">
        <v>20</v>
      </c>
      <c r="AZ406" s="35">
        <v>20.8</v>
      </c>
      <c r="BA406" s="35">
        <v>20</v>
      </c>
      <c r="BB406" s="35">
        <v>32.700000000000003</v>
      </c>
      <c r="BC406" s="35">
        <v>40</v>
      </c>
      <c r="BD406" s="35">
        <v>31.7</v>
      </c>
      <c r="BE406" s="35">
        <v>40</v>
      </c>
      <c r="BF406" s="35">
        <v>21.9</v>
      </c>
      <c r="BG406" s="35">
        <v>20</v>
      </c>
    </row>
    <row r="407" spans="1:59" x14ac:dyDescent="0.35">
      <c r="A407" s="36">
        <v>46059.736111111109</v>
      </c>
      <c r="B407" s="35">
        <v>3.7</v>
      </c>
      <c r="C407" s="35">
        <v>2</v>
      </c>
      <c r="D407" s="35">
        <v>4</v>
      </c>
      <c r="E407" s="35">
        <v>2.2000000000000002</v>
      </c>
      <c r="F407" s="35">
        <v>3.7</v>
      </c>
      <c r="G407" s="35">
        <v>2</v>
      </c>
      <c r="H407" s="35">
        <v>3.2</v>
      </c>
      <c r="I407" s="35">
        <v>2</v>
      </c>
      <c r="J407" s="35">
        <v>3.8</v>
      </c>
      <c r="K407" s="35">
        <v>2</v>
      </c>
      <c r="L407" s="35">
        <v>3.3</v>
      </c>
      <c r="M407" s="35">
        <v>2</v>
      </c>
      <c r="N407" s="35">
        <v>3.8</v>
      </c>
      <c r="O407" s="35">
        <v>3</v>
      </c>
      <c r="P407" s="35">
        <v>3.6</v>
      </c>
      <c r="Q407" s="35">
        <v>2</v>
      </c>
      <c r="R407" s="35">
        <v>1.5</v>
      </c>
      <c r="S407" s="35">
        <v>2</v>
      </c>
      <c r="T407" s="35">
        <v>1.1000000000000001</v>
      </c>
      <c r="U407" s="35">
        <v>2</v>
      </c>
      <c r="V407" s="35">
        <v>9.8000000000000007</v>
      </c>
      <c r="W407" s="35">
        <v>9</v>
      </c>
      <c r="X407" s="35">
        <v>10.6</v>
      </c>
      <c r="Y407" s="35">
        <v>9</v>
      </c>
      <c r="Z407" s="35">
        <v>10.4</v>
      </c>
      <c r="AA407" s="35">
        <v>9</v>
      </c>
      <c r="AB407" s="35">
        <v>11</v>
      </c>
      <c r="AC407" s="35">
        <v>9</v>
      </c>
      <c r="AD407" s="35">
        <v>18.899999999999999</v>
      </c>
      <c r="AE407" s="35">
        <v>19</v>
      </c>
      <c r="AF407" s="35">
        <v>19.100000000000001</v>
      </c>
      <c r="AG407" s="35">
        <v>19</v>
      </c>
      <c r="AH407" s="35">
        <v>20.100000000000001</v>
      </c>
      <c r="AI407" s="35">
        <v>19</v>
      </c>
      <c r="AJ407" s="35">
        <v>18.899999999999999</v>
      </c>
      <c r="AK407" s="35">
        <v>19</v>
      </c>
      <c r="AL407" s="35">
        <v>20.3</v>
      </c>
      <c r="AM407" s="35">
        <v>19</v>
      </c>
      <c r="AN407" s="35">
        <v>20.100000000000001</v>
      </c>
      <c r="AO407" s="35">
        <v>19</v>
      </c>
      <c r="AP407" s="35">
        <v>19.3</v>
      </c>
      <c r="AQ407" s="35">
        <v>19</v>
      </c>
      <c r="AR407" s="35">
        <v>20.8</v>
      </c>
      <c r="AS407" s="35">
        <v>19</v>
      </c>
      <c r="AT407" s="35">
        <v>19.899999999999999</v>
      </c>
      <c r="AU407" s="35">
        <v>19</v>
      </c>
      <c r="AV407" s="35">
        <v>20.6</v>
      </c>
      <c r="AW407" s="35">
        <v>19</v>
      </c>
      <c r="AX407" s="35">
        <v>21</v>
      </c>
      <c r="AY407" s="35">
        <v>20</v>
      </c>
      <c r="AZ407" s="35">
        <v>20.8</v>
      </c>
      <c r="BA407" s="35">
        <v>20</v>
      </c>
      <c r="BB407" s="35">
        <v>32.700000000000003</v>
      </c>
      <c r="BC407" s="35">
        <v>40</v>
      </c>
      <c r="BD407" s="35">
        <v>31.7</v>
      </c>
      <c r="BE407" s="35">
        <v>40</v>
      </c>
      <c r="BF407" s="35">
        <v>21.9</v>
      </c>
      <c r="BG407" s="35">
        <v>20</v>
      </c>
    </row>
    <row r="408" spans="1:59" x14ac:dyDescent="0.35">
      <c r="A408" s="36">
        <v>46059.736805555556</v>
      </c>
      <c r="B408" s="35">
        <v>2.6</v>
      </c>
      <c r="C408" s="35">
        <v>2</v>
      </c>
      <c r="D408" s="35">
        <v>3.1</v>
      </c>
      <c r="E408" s="35">
        <v>2.2000000000000002</v>
      </c>
      <c r="F408" s="35">
        <v>3.9</v>
      </c>
      <c r="G408" s="35">
        <v>2</v>
      </c>
      <c r="H408" s="35">
        <v>3.4</v>
      </c>
      <c r="I408" s="35">
        <v>2</v>
      </c>
      <c r="J408" s="35">
        <v>3.3</v>
      </c>
      <c r="K408" s="35">
        <v>2</v>
      </c>
      <c r="L408" s="35">
        <v>2.5</v>
      </c>
      <c r="M408" s="35">
        <v>2</v>
      </c>
      <c r="N408" s="35">
        <v>4</v>
      </c>
      <c r="O408" s="35">
        <v>3</v>
      </c>
      <c r="P408" s="35">
        <v>3.6</v>
      </c>
      <c r="Q408" s="35">
        <v>2</v>
      </c>
      <c r="R408" s="35">
        <v>1.7</v>
      </c>
      <c r="S408" s="35">
        <v>2</v>
      </c>
      <c r="T408" s="35">
        <v>1.4</v>
      </c>
      <c r="U408" s="35">
        <v>2</v>
      </c>
      <c r="V408" s="35">
        <v>8.1</v>
      </c>
      <c r="W408" s="35">
        <v>9</v>
      </c>
      <c r="X408" s="35">
        <v>10.7</v>
      </c>
      <c r="Y408" s="35">
        <v>9</v>
      </c>
      <c r="Z408" s="35">
        <v>10.6</v>
      </c>
      <c r="AA408" s="35">
        <v>9</v>
      </c>
      <c r="AB408" s="35">
        <v>10.5</v>
      </c>
      <c r="AC408" s="35">
        <v>9</v>
      </c>
      <c r="AD408" s="35">
        <v>19.100000000000001</v>
      </c>
      <c r="AE408" s="35">
        <v>19</v>
      </c>
      <c r="AF408" s="35">
        <v>19.2</v>
      </c>
      <c r="AG408" s="35">
        <v>19</v>
      </c>
      <c r="AH408" s="35">
        <v>20.2</v>
      </c>
      <c r="AI408" s="35">
        <v>19</v>
      </c>
      <c r="AJ408" s="35">
        <v>19.100000000000001</v>
      </c>
      <c r="AK408" s="35">
        <v>19</v>
      </c>
      <c r="AL408" s="35">
        <v>20.5</v>
      </c>
      <c r="AM408" s="35">
        <v>19</v>
      </c>
      <c r="AN408" s="35">
        <v>20.3</v>
      </c>
      <c r="AO408" s="35">
        <v>19</v>
      </c>
      <c r="AP408" s="35">
        <v>19.399999999999999</v>
      </c>
      <c r="AQ408" s="35">
        <v>19</v>
      </c>
      <c r="AR408" s="35">
        <v>20.8</v>
      </c>
      <c r="AS408" s="35">
        <v>19</v>
      </c>
      <c r="AT408" s="35">
        <v>20</v>
      </c>
      <c r="AU408" s="35">
        <v>19</v>
      </c>
      <c r="AV408" s="35">
        <v>20.6</v>
      </c>
      <c r="AW408" s="35">
        <v>19</v>
      </c>
      <c r="AX408" s="35">
        <v>21</v>
      </c>
      <c r="AY408" s="35">
        <v>20</v>
      </c>
      <c r="AZ408" s="35">
        <v>20.9</v>
      </c>
      <c r="BA408" s="35">
        <v>20</v>
      </c>
      <c r="BB408" s="35">
        <v>32.700000000000003</v>
      </c>
      <c r="BC408" s="35">
        <v>40</v>
      </c>
      <c r="BD408" s="35">
        <v>31.7</v>
      </c>
      <c r="BE408" s="35">
        <v>40</v>
      </c>
      <c r="BF408" s="35">
        <v>21.9</v>
      </c>
      <c r="BG408" s="35">
        <v>20</v>
      </c>
    </row>
    <row r="409" spans="1:59" x14ac:dyDescent="0.35">
      <c r="A409" s="36">
        <v>46059.737500000003</v>
      </c>
      <c r="B409" s="35">
        <v>1.9</v>
      </c>
      <c r="C409" s="35">
        <v>2</v>
      </c>
      <c r="D409" s="35">
        <v>2.2999999999999998</v>
      </c>
      <c r="E409" s="35">
        <v>2.2000000000000002</v>
      </c>
      <c r="F409" s="35">
        <v>3.9</v>
      </c>
      <c r="G409" s="35">
        <v>2</v>
      </c>
      <c r="H409" s="35">
        <v>3.4</v>
      </c>
      <c r="I409" s="35">
        <v>2</v>
      </c>
      <c r="J409" s="35">
        <v>2.8</v>
      </c>
      <c r="K409" s="35">
        <v>2</v>
      </c>
      <c r="L409" s="35">
        <v>1.7</v>
      </c>
      <c r="M409" s="35">
        <v>2</v>
      </c>
      <c r="N409" s="35">
        <v>4.0999999999999996</v>
      </c>
      <c r="O409" s="35">
        <v>3</v>
      </c>
      <c r="P409" s="35">
        <v>3.6</v>
      </c>
      <c r="Q409" s="35">
        <v>2</v>
      </c>
      <c r="R409" s="35">
        <v>2</v>
      </c>
      <c r="S409" s="35">
        <v>2</v>
      </c>
      <c r="T409" s="35">
        <v>1.7</v>
      </c>
      <c r="U409" s="35">
        <v>2</v>
      </c>
      <c r="V409" s="35">
        <v>7.8</v>
      </c>
      <c r="W409" s="35">
        <v>9</v>
      </c>
      <c r="X409" s="35">
        <v>10.7</v>
      </c>
      <c r="Y409" s="35">
        <v>9</v>
      </c>
      <c r="Z409" s="35">
        <v>10.7</v>
      </c>
      <c r="AA409" s="35">
        <v>9</v>
      </c>
      <c r="AB409" s="35">
        <v>8.6</v>
      </c>
      <c r="AC409" s="35">
        <v>9</v>
      </c>
      <c r="AD409" s="35">
        <v>19.3</v>
      </c>
      <c r="AE409" s="35">
        <v>19</v>
      </c>
      <c r="AF409" s="35">
        <v>19.3</v>
      </c>
      <c r="AG409" s="35">
        <v>19</v>
      </c>
      <c r="AH409" s="35">
        <v>20.3</v>
      </c>
      <c r="AI409" s="35">
        <v>19</v>
      </c>
      <c r="AJ409" s="35">
        <v>19.2</v>
      </c>
      <c r="AK409" s="35">
        <v>19</v>
      </c>
      <c r="AL409" s="35">
        <v>20.7</v>
      </c>
      <c r="AM409" s="35">
        <v>19</v>
      </c>
      <c r="AN409" s="35">
        <v>20.399999999999999</v>
      </c>
      <c r="AO409" s="35">
        <v>19</v>
      </c>
      <c r="AP409" s="35">
        <v>19.5</v>
      </c>
      <c r="AQ409" s="35">
        <v>19</v>
      </c>
      <c r="AR409" s="35">
        <v>20.8</v>
      </c>
      <c r="AS409" s="35">
        <v>19</v>
      </c>
      <c r="AT409" s="35">
        <v>20.100000000000001</v>
      </c>
      <c r="AU409" s="35">
        <v>19</v>
      </c>
      <c r="AV409" s="35">
        <v>20.7</v>
      </c>
      <c r="AW409" s="35">
        <v>19</v>
      </c>
      <c r="AX409" s="35">
        <v>21</v>
      </c>
      <c r="AY409" s="35">
        <v>20</v>
      </c>
      <c r="AZ409" s="35">
        <v>20.9</v>
      </c>
      <c r="BA409" s="35">
        <v>20</v>
      </c>
      <c r="BB409" s="35">
        <v>32.700000000000003</v>
      </c>
      <c r="BC409" s="35">
        <v>40</v>
      </c>
      <c r="BD409" s="35">
        <v>31.7</v>
      </c>
      <c r="BE409" s="35">
        <v>40</v>
      </c>
      <c r="BF409" s="35">
        <v>21.9</v>
      </c>
      <c r="BG409" s="35">
        <v>20</v>
      </c>
    </row>
    <row r="410" spans="1:59" x14ac:dyDescent="0.35">
      <c r="A410" s="36">
        <v>46059.738194444442</v>
      </c>
      <c r="B410" s="35">
        <v>1.9</v>
      </c>
      <c r="C410" s="35">
        <v>2</v>
      </c>
      <c r="D410" s="35">
        <v>2.2000000000000002</v>
      </c>
      <c r="E410" s="35">
        <v>2.2000000000000002</v>
      </c>
      <c r="F410" s="35">
        <v>4</v>
      </c>
      <c r="G410" s="35">
        <v>2</v>
      </c>
      <c r="H410" s="35">
        <v>3.4</v>
      </c>
      <c r="I410" s="35">
        <v>2</v>
      </c>
      <c r="J410" s="35">
        <v>2.7</v>
      </c>
      <c r="K410" s="35">
        <v>2</v>
      </c>
      <c r="L410" s="35">
        <v>1.8</v>
      </c>
      <c r="M410" s="35">
        <v>2</v>
      </c>
      <c r="N410" s="35">
        <v>4.3</v>
      </c>
      <c r="O410" s="35">
        <v>3</v>
      </c>
      <c r="P410" s="35">
        <v>3.6</v>
      </c>
      <c r="Q410" s="35">
        <v>2</v>
      </c>
      <c r="R410" s="35">
        <v>2.2000000000000002</v>
      </c>
      <c r="S410" s="35">
        <v>2</v>
      </c>
      <c r="T410" s="35">
        <v>2</v>
      </c>
      <c r="U410" s="35">
        <v>2</v>
      </c>
      <c r="V410" s="35">
        <v>8.5</v>
      </c>
      <c r="W410" s="35">
        <v>9</v>
      </c>
      <c r="X410" s="35">
        <v>10.8</v>
      </c>
      <c r="Y410" s="35">
        <v>9</v>
      </c>
      <c r="Z410" s="35">
        <v>10.9</v>
      </c>
      <c r="AA410" s="35">
        <v>9</v>
      </c>
      <c r="AB410" s="35">
        <v>8</v>
      </c>
      <c r="AC410" s="35">
        <v>9</v>
      </c>
      <c r="AD410" s="35">
        <v>19.399999999999999</v>
      </c>
      <c r="AE410" s="35">
        <v>19</v>
      </c>
      <c r="AF410" s="35">
        <v>19.399999999999999</v>
      </c>
      <c r="AG410" s="35">
        <v>19</v>
      </c>
      <c r="AH410" s="35">
        <v>20.3</v>
      </c>
      <c r="AI410" s="35">
        <v>19</v>
      </c>
      <c r="AJ410" s="35">
        <v>19.399999999999999</v>
      </c>
      <c r="AK410" s="35">
        <v>19</v>
      </c>
      <c r="AL410" s="35">
        <v>20.8</v>
      </c>
      <c r="AM410" s="35">
        <v>19</v>
      </c>
      <c r="AN410" s="35">
        <v>20.399999999999999</v>
      </c>
      <c r="AO410" s="35">
        <v>19</v>
      </c>
      <c r="AP410" s="35">
        <v>19.600000000000001</v>
      </c>
      <c r="AQ410" s="35">
        <v>19</v>
      </c>
      <c r="AR410" s="35">
        <v>20.8</v>
      </c>
      <c r="AS410" s="35">
        <v>19</v>
      </c>
      <c r="AT410" s="35">
        <v>20.2</v>
      </c>
      <c r="AU410" s="35">
        <v>19</v>
      </c>
      <c r="AV410" s="35">
        <v>20.7</v>
      </c>
      <c r="AW410" s="35">
        <v>19</v>
      </c>
      <c r="AX410" s="35">
        <v>21</v>
      </c>
      <c r="AY410" s="35">
        <v>20</v>
      </c>
      <c r="AZ410" s="35">
        <v>20.9</v>
      </c>
      <c r="BA410" s="35">
        <v>20</v>
      </c>
      <c r="BB410" s="35">
        <v>32.700000000000003</v>
      </c>
      <c r="BC410" s="35">
        <v>40</v>
      </c>
      <c r="BD410" s="35">
        <v>31.7</v>
      </c>
      <c r="BE410" s="35">
        <v>40</v>
      </c>
      <c r="BF410" s="35">
        <v>22</v>
      </c>
      <c r="BG410" s="35">
        <v>20</v>
      </c>
    </row>
    <row r="411" spans="1:59" x14ac:dyDescent="0.35">
      <c r="A411" s="36">
        <v>46059.739583333336</v>
      </c>
      <c r="B411" s="35">
        <v>2.7</v>
      </c>
      <c r="C411" s="35">
        <v>2</v>
      </c>
      <c r="D411" s="35">
        <v>3.1</v>
      </c>
      <c r="E411" s="35">
        <v>2.2000000000000002</v>
      </c>
      <c r="F411" s="35">
        <v>1.3</v>
      </c>
      <c r="G411" s="35">
        <v>2</v>
      </c>
      <c r="H411" s="35">
        <v>1.5</v>
      </c>
      <c r="I411" s="35">
        <v>2</v>
      </c>
      <c r="J411" s="35">
        <v>3</v>
      </c>
      <c r="K411" s="35">
        <v>2</v>
      </c>
      <c r="L411" s="35">
        <v>2.5</v>
      </c>
      <c r="M411" s="35">
        <v>2</v>
      </c>
      <c r="N411" s="35">
        <v>4.5999999999999996</v>
      </c>
      <c r="O411" s="35">
        <v>3</v>
      </c>
      <c r="P411" s="35">
        <v>3.6</v>
      </c>
      <c r="Q411" s="35">
        <v>2</v>
      </c>
      <c r="R411" s="35">
        <v>2.8</v>
      </c>
      <c r="S411" s="35">
        <v>2</v>
      </c>
      <c r="T411" s="35">
        <v>2.6</v>
      </c>
      <c r="U411" s="35">
        <v>2</v>
      </c>
      <c r="V411" s="35">
        <v>9.9</v>
      </c>
      <c r="W411" s="35">
        <v>9</v>
      </c>
      <c r="X411" s="35">
        <v>10.9</v>
      </c>
      <c r="Y411" s="35">
        <v>9</v>
      </c>
      <c r="Z411" s="35">
        <v>10.6</v>
      </c>
      <c r="AA411" s="35">
        <v>9</v>
      </c>
      <c r="AB411" s="35">
        <v>9</v>
      </c>
      <c r="AC411" s="35">
        <v>9</v>
      </c>
      <c r="AD411" s="35">
        <v>19.5</v>
      </c>
      <c r="AE411" s="35">
        <v>19</v>
      </c>
      <c r="AF411" s="35">
        <v>19.600000000000001</v>
      </c>
      <c r="AG411" s="35">
        <v>19</v>
      </c>
      <c r="AH411" s="35">
        <v>20.399999999999999</v>
      </c>
      <c r="AI411" s="35">
        <v>19</v>
      </c>
      <c r="AJ411" s="35">
        <v>19.600000000000001</v>
      </c>
      <c r="AK411" s="35">
        <v>19</v>
      </c>
      <c r="AL411" s="35">
        <v>21</v>
      </c>
      <c r="AM411" s="35">
        <v>19</v>
      </c>
      <c r="AN411" s="35">
        <v>20.6</v>
      </c>
      <c r="AO411" s="35">
        <v>19</v>
      </c>
      <c r="AP411" s="35">
        <v>19.8</v>
      </c>
      <c r="AQ411" s="35">
        <v>19</v>
      </c>
      <c r="AR411" s="35">
        <v>20.8</v>
      </c>
      <c r="AS411" s="35">
        <v>19</v>
      </c>
      <c r="AT411" s="35">
        <v>20.399999999999999</v>
      </c>
      <c r="AU411" s="35">
        <v>19</v>
      </c>
      <c r="AV411" s="35">
        <v>20.8</v>
      </c>
      <c r="AW411" s="35">
        <v>19</v>
      </c>
      <c r="AX411" s="35">
        <v>21.2</v>
      </c>
      <c r="AY411" s="35">
        <v>20</v>
      </c>
      <c r="AZ411" s="35">
        <v>20.9</v>
      </c>
      <c r="BA411" s="35">
        <v>20</v>
      </c>
      <c r="BB411" s="35">
        <v>32.6</v>
      </c>
      <c r="BC411" s="35">
        <v>40</v>
      </c>
      <c r="BD411" s="35">
        <v>31.7</v>
      </c>
      <c r="BE411" s="35">
        <v>40</v>
      </c>
      <c r="BF411" s="35">
        <v>18.3</v>
      </c>
      <c r="BG411" s="35">
        <v>20</v>
      </c>
    </row>
    <row r="412" spans="1:59" x14ac:dyDescent="0.35">
      <c r="A412" s="36">
        <v>46059.740277777775</v>
      </c>
      <c r="B412" s="35">
        <v>3.2</v>
      </c>
      <c r="C412" s="35">
        <v>2</v>
      </c>
      <c r="D412" s="35">
        <v>3.5</v>
      </c>
      <c r="E412" s="35">
        <v>2.2000000000000002</v>
      </c>
      <c r="F412" s="35">
        <v>1.3</v>
      </c>
      <c r="G412" s="35">
        <v>2</v>
      </c>
      <c r="H412" s="35">
        <v>1.5</v>
      </c>
      <c r="I412" s="35">
        <v>2</v>
      </c>
      <c r="J412" s="35">
        <v>3.7</v>
      </c>
      <c r="K412" s="35">
        <v>2</v>
      </c>
      <c r="L412" s="35">
        <v>2.9</v>
      </c>
      <c r="M412" s="35">
        <v>2</v>
      </c>
      <c r="N412" s="35">
        <v>4.8</v>
      </c>
      <c r="O412" s="35">
        <v>3</v>
      </c>
      <c r="P412" s="35">
        <v>3.6</v>
      </c>
      <c r="Q412" s="35">
        <v>2</v>
      </c>
      <c r="R412" s="35">
        <v>2.9</v>
      </c>
      <c r="S412" s="35">
        <v>2</v>
      </c>
      <c r="T412" s="35">
        <v>2.8</v>
      </c>
      <c r="U412" s="35">
        <v>2</v>
      </c>
      <c r="V412" s="35">
        <v>10.5</v>
      </c>
      <c r="W412" s="35">
        <v>9</v>
      </c>
      <c r="X412" s="35">
        <v>11</v>
      </c>
      <c r="Y412" s="35">
        <v>9</v>
      </c>
      <c r="Z412" s="35">
        <v>9.5</v>
      </c>
      <c r="AA412" s="35">
        <v>9</v>
      </c>
      <c r="AB412" s="35">
        <v>9.5</v>
      </c>
      <c r="AC412" s="35">
        <v>9</v>
      </c>
      <c r="AD412" s="35">
        <v>19.600000000000001</v>
      </c>
      <c r="AE412" s="35">
        <v>19</v>
      </c>
      <c r="AF412" s="35">
        <v>19.600000000000001</v>
      </c>
      <c r="AG412" s="35">
        <v>19</v>
      </c>
      <c r="AH412" s="35">
        <v>20.399999999999999</v>
      </c>
      <c r="AI412" s="35">
        <v>19</v>
      </c>
      <c r="AJ412" s="35">
        <v>19.7</v>
      </c>
      <c r="AK412" s="35">
        <v>19</v>
      </c>
      <c r="AL412" s="35">
        <v>20.7</v>
      </c>
      <c r="AM412" s="35">
        <v>19</v>
      </c>
      <c r="AN412" s="35">
        <v>20.6</v>
      </c>
      <c r="AO412" s="35">
        <v>19</v>
      </c>
      <c r="AP412" s="35">
        <v>19.8</v>
      </c>
      <c r="AQ412" s="35">
        <v>19</v>
      </c>
      <c r="AR412" s="35">
        <v>20.8</v>
      </c>
      <c r="AS412" s="35">
        <v>19</v>
      </c>
      <c r="AT412" s="35">
        <v>20.5</v>
      </c>
      <c r="AU412" s="35">
        <v>19</v>
      </c>
      <c r="AV412" s="35">
        <v>20.8</v>
      </c>
      <c r="AW412" s="35">
        <v>19</v>
      </c>
      <c r="AX412" s="35">
        <v>21.2</v>
      </c>
      <c r="AY412" s="35">
        <v>20</v>
      </c>
      <c r="AZ412" s="35">
        <v>20.9</v>
      </c>
      <c r="BA412" s="35">
        <v>20</v>
      </c>
      <c r="BB412" s="35">
        <v>32.6</v>
      </c>
      <c r="BC412" s="35">
        <v>40</v>
      </c>
      <c r="BD412" s="35">
        <v>31.6</v>
      </c>
      <c r="BE412" s="35">
        <v>40</v>
      </c>
      <c r="BF412" s="35">
        <v>18.899999999999999</v>
      </c>
      <c r="BG412" s="35">
        <v>20</v>
      </c>
    </row>
    <row r="413" spans="1:59" x14ac:dyDescent="0.35">
      <c r="A413" s="36">
        <v>46059.740972222222</v>
      </c>
      <c r="B413" s="35">
        <v>3.6</v>
      </c>
      <c r="C413" s="35">
        <v>2</v>
      </c>
      <c r="D413" s="35">
        <v>3.9</v>
      </c>
      <c r="E413" s="35">
        <v>2.2000000000000002</v>
      </c>
      <c r="F413" s="35">
        <v>1.7</v>
      </c>
      <c r="G413" s="35">
        <v>2</v>
      </c>
      <c r="H413" s="35">
        <v>2</v>
      </c>
      <c r="I413" s="35">
        <v>2</v>
      </c>
      <c r="J413" s="35">
        <v>3.8</v>
      </c>
      <c r="K413" s="35">
        <v>2</v>
      </c>
      <c r="L413" s="35">
        <v>3.4</v>
      </c>
      <c r="M413" s="35">
        <v>2</v>
      </c>
      <c r="N413" s="35">
        <v>4.9000000000000004</v>
      </c>
      <c r="O413" s="35">
        <v>3</v>
      </c>
      <c r="P413" s="35">
        <v>3.6</v>
      </c>
      <c r="Q413" s="35">
        <v>2</v>
      </c>
      <c r="R413" s="35">
        <v>3.1</v>
      </c>
      <c r="S413" s="35">
        <v>2</v>
      </c>
      <c r="T413" s="35">
        <v>3</v>
      </c>
      <c r="U413" s="35">
        <v>2</v>
      </c>
      <c r="V413" s="35">
        <v>10.9</v>
      </c>
      <c r="W413" s="35">
        <v>9</v>
      </c>
      <c r="X413" s="35">
        <v>10.1</v>
      </c>
      <c r="Y413" s="35">
        <v>9</v>
      </c>
      <c r="Z413" s="35">
        <v>8.8000000000000007</v>
      </c>
      <c r="AA413" s="35">
        <v>9</v>
      </c>
      <c r="AB413" s="35">
        <v>10.1</v>
      </c>
      <c r="AC413" s="35">
        <v>9</v>
      </c>
      <c r="AD413" s="35">
        <v>19.7</v>
      </c>
      <c r="AE413" s="35">
        <v>19</v>
      </c>
      <c r="AF413" s="35">
        <v>19.7</v>
      </c>
      <c r="AG413" s="35">
        <v>19</v>
      </c>
      <c r="AH413" s="35">
        <v>20.5</v>
      </c>
      <c r="AI413" s="35">
        <v>19</v>
      </c>
      <c r="AJ413" s="35">
        <v>19.8</v>
      </c>
      <c r="AK413" s="35">
        <v>19</v>
      </c>
      <c r="AL413" s="35">
        <v>20.5</v>
      </c>
      <c r="AM413" s="35">
        <v>19</v>
      </c>
      <c r="AN413" s="35">
        <v>20.7</v>
      </c>
      <c r="AO413" s="35">
        <v>19</v>
      </c>
      <c r="AP413" s="35">
        <v>19.899999999999999</v>
      </c>
      <c r="AQ413" s="35">
        <v>19</v>
      </c>
      <c r="AR413" s="35">
        <v>20.8</v>
      </c>
      <c r="AS413" s="35">
        <v>19</v>
      </c>
      <c r="AT413" s="35">
        <v>20.6</v>
      </c>
      <c r="AU413" s="35">
        <v>19</v>
      </c>
      <c r="AV413" s="35">
        <v>20.8</v>
      </c>
      <c r="AW413" s="35">
        <v>19</v>
      </c>
      <c r="AX413" s="35">
        <v>21.2</v>
      </c>
      <c r="AY413" s="35">
        <v>20</v>
      </c>
      <c r="AZ413" s="35">
        <v>20.9</v>
      </c>
      <c r="BA413" s="35">
        <v>20</v>
      </c>
      <c r="BB413" s="35">
        <v>32.6</v>
      </c>
      <c r="BC413" s="35">
        <v>40</v>
      </c>
      <c r="BD413" s="35">
        <v>31.6</v>
      </c>
      <c r="BE413" s="35">
        <v>40</v>
      </c>
      <c r="BF413" s="35">
        <v>19.3</v>
      </c>
      <c r="BG413" s="35">
        <v>20</v>
      </c>
    </row>
    <row r="414" spans="1:59" x14ac:dyDescent="0.35">
      <c r="A414" s="36">
        <v>46059.741666666669</v>
      </c>
      <c r="B414" s="35">
        <v>3.9</v>
      </c>
      <c r="C414" s="35">
        <v>2</v>
      </c>
      <c r="D414" s="35">
        <v>4.2</v>
      </c>
      <c r="E414" s="35">
        <v>2.2000000000000002</v>
      </c>
      <c r="F414" s="35">
        <v>2.1</v>
      </c>
      <c r="G414" s="35">
        <v>2</v>
      </c>
      <c r="H414" s="35">
        <v>2.4</v>
      </c>
      <c r="I414" s="35">
        <v>2</v>
      </c>
      <c r="J414" s="35">
        <v>3.9</v>
      </c>
      <c r="K414" s="35">
        <v>2</v>
      </c>
      <c r="L414" s="35">
        <v>3.8</v>
      </c>
      <c r="M414" s="35">
        <v>2</v>
      </c>
      <c r="N414" s="35">
        <v>5</v>
      </c>
      <c r="O414" s="35">
        <v>3</v>
      </c>
      <c r="P414" s="35">
        <v>3.6</v>
      </c>
      <c r="Q414" s="35">
        <v>2</v>
      </c>
      <c r="R414" s="35">
        <v>3.3</v>
      </c>
      <c r="S414" s="35">
        <v>2</v>
      </c>
      <c r="T414" s="35">
        <v>3.2</v>
      </c>
      <c r="U414" s="35">
        <v>2</v>
      </c>
      <c r="V414" s="35">
        <v>10.5</v>
      </c>
      <c r="W414" s="35">
        <v>9</v>
      </c>
      <c r="X414" s="35">
        <v>9.1999999999999993</v>
      </c>
      <c r="Y414" s="35">
        <v>9</v>
      </c>
      <c r="Z414" s="35">
        <v>8.8000000000000007</v>
      </c>
      <c r="AA414" s="35">
        <v>9</v>
      </c>
      <c r="AB414" s="35">
        <v>10.5</v>
      </c>
      <c r="AC414" s="35">
        <v>9</v>
      </c>
      <c r="AD414" s="35">
        <v>19.7</v>
      </c>
      <c r="AE414" s="35">
        <v>19</v>
      </c>
      <c r="AF414" s="35">
        <v>19.8</v>
      </c>
      <c r="AG414" s="35">
        <v>19</v>
      </c>
      <c r="AH414" s="35">
        <v>20.5</v>
      </c>
      <c r="AI414" s="35">
        <v>19</v>
      </c>
      <c r="AJ414" s="35">
        <v>19.899999999999999</v>
      </c>
      <c r="AK414" s="35">
        <v>19</v>
      </c>
      <c r="AL414" s="35">
        <v>20.2</v>
      </c>
      <c r="AM414" s="35">
        <v>19</v>
      </c>
      <c r="AN414" s="35">
        <v>20.8</v>
      </c>
      <c r="AO414" s="35">
        <v>19</v>
      </c>
      <c r="AP414" s="35">
        <v>19.899999999999999</v>
      </c>
      <c r="AQ414" s="35">
        <v>19</v>
      </c>
      <c r="AR414" s="35">
        <v>20.8</v>
      </c>
      <c r="AS414" s="35">
        <v>19</v>
      </c>
      <c r="AT414" s="35">
        <v>20.6</v>
      </c>
      <c r="AU414" s="35">
        <v>19</v>
      </c>
      <c r="AV414" s="35">
        <v>20.9</v>
      </c>
      <c r="AW414" s="35">
        <v>19</v>
      </c>
      <c r="AX414" s="35">
        <v>21.1</v>
      </c>
      <c r="AY414" s="35">
        <v>20</v>
      </c>
      <c r="AZ414" s="35">
        <v>20.9</v>
      </c>
      <c r="BA414" s="35">
        <v>20</v>
      </c>
      <c r="BB414" s="35">
        <v>32.6</v>
      </c>
      <c r="BC414" s="35">
        <v>40</v>
      </c>
      <c r="BD414" s="35">
        <v>31.6</v>
      </c>
      <c r="BE414" s="35">
        <v>40</v>
      </c>
      <c r="BF414" s="35">
        <v>19.600000000000001</v>
      </c>
      <c r="BG414" s="35">
        <v>20</v>
      </c>
    </row>
    <row r="415" spans="1:59" x14ac:dyDescent="0.35">
      <c r="A415" s="36">
        <v>46059.742361111108</v>
      </c>
      <c r="B415" s="35">
        <v>3.9</v>
      </c>
      <c r="C415" s="35">
        <v>2</v>
      </c>
      <c r="D415" s="35">
        <v>4.2</v>
      </c>
      <c r="E415" s="35">
        <v>2.2000000000000002</v>
      </c>
      <c r="F415" s="35">
        <v>2.4</v>
      </c>
      <c r="G415" s="35">
        <v>2</v>
      </c>
      <c r="H415" s="35">
        <v>2.8</v>
      </c>
      <c r="I415" s="35">
        <v>2</v>
      </c>
      <c r="J415" s="35">
        <v>4</v>
      </c>
      <c r="K415" s="35">
        <v>2</v>
      </c>
      <c r="L415" s="35">
        <v>3.9</v>
      </c>
      <c r="M415" s="35">
        <v>2</v>
      </c>
      <c r="N415" s="35">
        <v>4.3</v>
      </c>
      <c r="O415" s="35">
        <v>3</v>
      </c>
      <c r="P415" s="35">
        <v>3.6</v>
      </c>
      <c r="Q415" s="35">
        <v>2</v>
      </c>
      <c r="R415" s="35">
        <v>3.4</v>
      </c>
      <c r="S415" s="35">
        <v>2</v>
      </c>
      <c r="T415" s="35">
        <v>3.3</v>
      </c>
      <c r="U415" s="35">
        <v>2</v>
      </c>
      <c r="V415" s="35">
        <v>8.4</v>
      </c>
      <c r="W415" s="35">
        <v>9</v>
      </c>
      <c r="X415" s="35">
        <v>8.6</v>
      </c>
      <c r="Y415" s="35">
        <v>9</v>
      </c>
      <c r="Z415" s="35">
        <v>9.1999999999999993</v>
      </c>
      <c r="AA415" s="35">
        <v>9</v>
      </c>
      <c r="AB415" s="35">
        <v>10.8</v>
      </c>
      <c r="AC415" s="35">
        <v>9</v>
      </c>
      <c r="AD415" s="35">
        <v>19.8</v>
      </c>
      <c r="AE415" s="35">
        <v>19</v>
      </c>
      <c r="AF415" s="35">
        <v>19.8</v>
      </c>
      <c r="AG415" s="35">
        <v>19</v>
      </c>
      <c r="AH415" s="35">
        <v>20.6</v>
      </c>
      <c r="AI415" s="35">
        <v>19</v>
      </c>
      <c r="AJ415" s="35">
        <v>20</v>
      </c>
      <c r="AK415" s="35">
        <v>19</v>
      </c>
      <c r="AL415" s="35">
        <v>20</v>
      </c>
      <c r="AM415" s="35">
        <v>19</v>
      </c>
      <c r="AN415" s="35">
        <v>20.9</v>
      </c>
      <c r="AO415" s="35">
        <v>19</v>
      </c>
      <c r="AP415" s="35">
        <v>19.899999999999999</v>
      </c>
      <c r="AQ415" s="35">
        <v>19</v>
      </c>
      <c r="AR415" s="35">
        <v>20.8</v>
      </c>
      <c r="AS415" s="35">
        <v>19</v>
      </c>
      <c r="AT415" s="35">
        <v>20.7</v>
      </c>
      <c r="AU415" s="35">
        <v>19</v>
      </c>
      <c r="AV415" s="35">
        <v>20.9</v>
      </c>
      <c r="AW415" s="35">
        <v>19</v>
      </c>
      <c r="AX415" s="35">
        <v>21.1</v>
      </c>
      <c r="AY415" s="35">
        <v>20</v>
      </c>
      <c r="AZ415" s="35">
        <v>20.8</v>
      </c>
      <c r="BA415" s="35">
        <v>20</v>
      </c>
      <c r="BB415" s="35">
        <v>32.6</v>
      </c>
      <c r="BC415" s="35">
        <v>40</v>
      </c>
      <c r="BD415" s="35">
        <v>31.6</v>
      </c>
      <c r="BE415" s="35">
        <v>40</v>
      </c>
      <c r="BF415" s="35">
        <v>20</v>
      </c>
      <c r="BG415" s="35">
        <v>20</v>
      </c>
    </row>
    <row r="416" spans="1:59" x14ac:dyDescent="0.35">
      <c r="A416" s="36">
        <v>46059.743055555555</v>
      </c>
      <c r="B416" s="35">
        <v>3.9</v>
      </c>
      <c r="C416" s="35">
        <v>2</v>
      </c>
      <c r="D416" s="35">
        <v>4.2</v>
      </c>
      <c r="E416" s="35">
        <v>2.2000000000000002</v>
      </c>
      <c r="F416" s="35">
        <v>2.8</v>
      </c>
      <c r="G416" s="35">
        <v>2</v>
      </c>
      <c r="H416" s="35">
        <v>3.2</v>
      </c>
      <c r="I416" s="35">
        <v>2</v>
      </c>
      <c r="J416" s="35">
        <v>3.1</v>
      </c>
      <c r="K416" s="35">
        <v>2</v>
      </c>
      <c r="L416" s="35">
        <v>3.5</v>
      </c>
      <c r="M416" s="35">
        <v>2</v>
      </c>
      <c r="N416" s="35">
        <v>3.4</v>
      </c>
      <c r="O416" s="35">
        <v>3</v>
      </c>
      <c r="P416" s="35">
        <v>3.6</v>
      </c>
      <c r="Q416" s="35">
        <v>2</v>
      </c>
      <c r="R416" s="35">
        <v>3.5</v>
      </c>
      <c r="S416" s="35">
        <v>2</v>
      </c>
      <c r="T416" s="35">
        <v>3.4</v>
      </c>
      <c r="U416" s="35">
        <v>2</v>
      </c>
      <c r="V416" s="35">
        <v>7.7</v>
      </c>
      <c r="W416" s="35">
        <v>9</v>
      </c>
      <c r="X416" s="35">
        <v>8.5</v>
      </c>
      <c r="Y416" s="35">
        <v>9</v>
      </c>
      <c r="Z416" s="35">
        <v>9.6</v>
      </c>
      <c r="AA416" s="35">
        <v>9</v>
      </c>
      <c r="AB416" s="35">
        <v>11</v>
      </c>
      <c r="AC416" s="35">
        <v>9</v>
      </c>
      <c r="AD416" s="35">
        <v>19.8</v>
      </c>
      <c r="AE416" s="35">
        <v>19</v>
      </c>
      <c r="AF416" s="35">
        <v>19.899999999999999</v>
      </c>
      <c r="AG416" s="35">
        <v>19</v>
      </c>
      <c r="AH416" s="35">
        <v>20.6</v>
      </c>
      <c r="AI416" s="35">
        <v>19</v>
      </c>
      <c r="AJ416" s="35">
        <v>20.100000000000001</v>
      </c>
      <c r="AK416" s="35">
        <v>19</v>
      </c>
      <c r="AL416" s="35">
        <v>19.7</v>
      </c>
      <c r="AM416" s="35">
        <v>19</v>
      </c>
      <c r="AN416" s="35">
        <v>20.9</v>
      </c>
      <c r="AO416" s="35">
        <v>19</v>
      </c>
      <c r="AP416" s="35">
        <v>20</v>
      </c>
      <c r="AQ416" s="35">
        <v>19</v>
      </c>
      <c r="AR416" s="35">
        <v>20.8</v>
      </c>
      <c r="AS416" s="35">
        <v>19</v>
      </c>
      <c r="AT416" s="35">
        <v>20.8</v>
      </c>
      <c r="AU416" s="35">
        <v>19</v>
      </c>
      <c r="AV416" s="35">
        <v>20.9</v>
      </c>
      <c r="AW416" s="35">
        <v>19</v>
      </c>
      <c r="AX416" s="35">
        <v>21</v>
      </c>
      <c r="AY416" s="35">
        <v>20</v>
      </c>
      <c r="AZ416" s="35">
        <v>20.8</v>
      </c>
      <c r="BA416" s="35">
        <v>20</v>
      </c>
      <c r="BB416" s="35">
        <v>32.6</v>
      </c>
      <c r="BC416" s="35">
        <v>40</v>
      </c>
      <c r="BD416" s="35">
        <v>31.6</v>
      </c>
      <c r="BE416" s="35">
        <v>40</v>
      </c>
      <c r="BF416" s="35">
        <v>20.3</v>
      </c>
      <c r="BG416" s="35">
        <v>20</v>
      </c>
    </row>
    <row r="417" spans="1:59" x14ac:dyDescent="0.35">
      <c r="A417" s="36">
        <v>46059.743750000001</v>
      </c>
      <c r="B417" s="35">
        <v>4</v>
      </c>
      <c r="C417" s="35">
        <v>2</v>
      </c>
      <c r="D417" s="35">
        <v>4.2</v>
      </c>
      <c r="E417" s="35">
        <v>2.2000000000000002</v>
      </c>
      <c r="F417" s="35">
        <v>3.1</v>
      </c>
      <c r="G417" s="35">
        <v>2</v>
      </c>
      <c r="H417" s="35">
        <v>3.5</v>
      </c>
      <c r="I417" s="35">
        <v>2</v>
      </c>
      <c r="J417" s="35">
        <v>2.6</v>
      </c>
      <c r="K417" s="35">
        <v>2</v>
      </c>
      <c r="L417" s="35">
        <v>2.9</v>
      </c>
      <c r="M417" s="35">
        <v>2</v>
      </c>
      <c r="N417" s="35">
        <v>2.7</v>
      </c>
      <c r="O417" s="35">
        <v>3</v>
      </c>
      <c r="P417" s="35">
        <v>3.6</v>
      </c>
      <c r="Q417" s="35">
        <v>2</v>
      </c>
      <c r="R417" s="35">
        <v>3.7</v>
      </c>
      <c r="S417" s="35">
        <v>2</v>
      </c>
      <c r="T417" s="35">
        <v>3.5</v>
      </c>
      <c r="U417" s="35">
        <v>2</v>
      </c>
      <c r="V417" s="35">
        <v>8.1999999999999993</v>
      </c>
      <c r="W417" s="35">
        <v>9</v>
      </c>
      <c r="X417" s="35">
        <v>8.5</v>
      </c>
      <c r="Y417" s="35">
        <v>9</v>
      </c>
      <c r="Z417" s="35">
        <v>9.9</v>
      </c>
      <c r="AA417" s="35">
        <v>9</v>
      </c>
      <c r="AB417" s="35">
        <v>10.7</v>
      </c>
      <c r="AC417" s="35">
        <v>9</v>
      </c>
      <c r="AD417" s="35">
        <v>19.899999999999999</v>
      </c>
      <c r="AE417" s="35">
        <v>19</v>
      </c>
      <c r="AF417" s="35">
        <v>20</v>
      </c>
      <c r="AG417" s="35">
        <v>19</v>
      </c>
      <c r="AH417" s="35">
        <v>20.7</v>
      </c>
      <c r="AI417" s="35">
        <v>19</v>
      </c>
      <c r="AJ417" s="35">
        <v>20.100000000000001</v>
      </c>
      <c r="AK417" s="35">
        <v>19</v>
      </c>
      <c r="AL417" s="35">
        <v>19.600000000000001</v>
      </c>
      <c r="AM417" s="35">
        <v>19</v>
      </c>
      <c r="AN417" s="35">
        <v>21</v>
      </c>
      <c r="AO417" s="35">
        <v>19</v>
      </c>
      <c r="AP417" s="35">
        <v>20.100000000000001</v>
      </c>
      <c r="AQ417" s="35">
        <v>19</v>
      </c>
      <c r="AR417" s="35">
        <v>20.8</v>
      </c>
      <c r="AS417" s="35">
        <v>19</v>
      </c>
      <c r="AT417" s="35">
        <v>20.9</v>
      </c>
      <c r="AU417" s="35">
        <v>19</v>
      </c>
      <c r="AV417" s="35">
        <v>20.9</v>
      </c>
      <c r="AW417" s="35">
        <v>19</v>
      </c>
      <c r="AX417" s="35">
        <v>21</v>
      </c>
      <c r="AY417" s="35">
        <v>20</v>
      </c>
      <c r="AZ417" s="35">
        <v>20.8</v>
      </c>
      <c r="BA417" s="35">
        <v>20</v>
      </c>
      <c r="BB417" s="35">
        <v>32.6</v>
      </c>
      <c r="BC417" s="35">
        <v>40</v>
      </c>
      <c r="BD417" s="35">
        <v>31.6</v>
      </c>
      <c r="BE417" s="35">
        <v>40</v>
      </c>
      <c r="BF417" s="35">
        <v>20.6</v>
      </c>
      <c r="BG417" s="35">
        <v>20</v>
      </c>
    </row>
    <row r="418" spans="1:59" x14ac:dyDescent="0.35">
      <c r="A418" s="36">
        <v>46059.744444444441</v>
      </c>
      <c r="B418" s="35">
        <v>3.5</v>
      </c>
      <c r="C418" s="35">
        <v>2</v>
      </c>
      <c r="D418" s="35">
        <v>3.7</v>
      </c>
      <c r="E418" s="35">
        <v>2.2000000000000002</v>
      </c>
      <c r="F418" s="35">
        <v>3.3</v>
      </c>
      <c r="G418" s="35">
        <v>2</v>
      </c>
      <c r="H418" s="35">
        <v>3.8</v>
      </c>
      <c r="I418" s="35">
        <v>2</v>
      </c>
      <c r="J418" s="35">
        <v>2.8</v>
      </c>
      <c r="K418" s="35">
        <v>2</v>
      </c>
      <c r="L418" s="35">
        <v>2.7</v>
      </c>
      <c r="M418" s="35">
        <v>2</v>
      </c>
      <c r="N418" s="35">
        <v>2.7</v>
      </c>
      <c r="O418" s="35">
        <v>3</v>
      </c>
      <c r="P418" s="35">
        <v>3.6</v>
      </c>
      <c r="Q418" s="35">
        <v>2</v>
      </c>
      <c r="R418" s="35">
        <v>3.8</v>
      </c>
      <c r="S418" s="35">
        <v>2</v>
      </c>
      <c r="T418" s="35">
        <v>3.6</v>
      </c>
      <c r="U418" s="35">
        <v>2</v>
      </c>
      <c r="V418" s="35">
        <v>9</v>
      </c>
      <c r="W418" s="35">
        <v>9</v>
      </c>
      <c r="X418" s="35">
        <v>8.6</v>
      </c>
      <c r="Y418" s="35">
        <v>9</v>
      </c>
      <c r="Z418" s="35">
        <v>10.199999999999999</v>
      </c>
      <c r="AA418" s="35">
        <v>9</v>
      </c>
      <c r="AB418" s="35">
        <v>9.5</v>
      </c>
      <c r="AC418" s="35">
        <v>9</v>
      </c>
      <c r="AD418" s="35">
        <v>19.899999999999999</v>
      </c>
      <c r="AE418" s="35">
        <v>19</v>
      </c>
      <c r="AF418" s="35">
        <v>20</v>
      </c>
      <c r="AG418" s="35">
        <v>19</v>
      </c>
      <c r="AH418" s="35">
        <v>20.7</v>
      </c>
      <c r="AI418" s="35">
        <v>19</v>
      </c>
      <c r="AJ418" s="35">
        <v>20.2</v>
      </c>
      <c r="AK418" s="35">
        <v>19</v>
      </c>
      <c r="AL418" s="35">
        <v>19.5</v>
      </c>
      <c r="AM418" s="35">
        <v>19</v>
      </c>
      <c r="AN418" s="35">
        <v>20.399999999999999</v>
      </c>
      <c r="AO418" s="35">
        <v>19</v>
      </c>
      <c r="AP418" s="35">
        <v>20.100000000000001</v>
      </c>
      <c r="AQ418" s="35">
        <v>19</v>
      </c>
      <c r="AR418" s="35">
        <v>20.8</v>
      </c>
      <c r="AS418" s="35">
        <v>19</v>
      </c>
      <c r="AT418" s="35">
        <v>21</v>
      </c>
      <c r="AU418" s="35">
        <v>19</v>
      </c>
      <c r="AV418" s="35">
        <v>20</v>
      </c>
      <c r="AW418" s="35">
        <v>19</v>
      </c>
      <c r="AX418" s="35">
        <v>21</v>
      </c>
      <c r="AY418" s="35">
        <v>20</v>
      </c>
      <c r="AZ418" s="35">
        <v>20.8</v>
      </c>
      <c r="BA418" s="35">
        <v>20</v>
      </c>
      <c r="BB418" s="35">
        <v>32.6</v>
      </c>
      <c r="BC418" s="35">
        <v>40</v>
      </c>
      <c r="BD418" s="35">
        <v>31.6</v>
      </c>
      <c r="BE418" s="35">
        <v>40</v>
      </c>
      <c r="BF418" s="35">
        <v>20.9</v>
      </c>
      <c r="BG418" s="35">
        <v>20</v>
      </c>
    </row>
    <row r="419" spans="1:59" x14ac:dyDescent="0.35">
      <c r="A419" s="36">
        <v>46059.745138888888</v>
      </c>
      <c r="B419" s="35">
        <v>2.8</v>
      </c>
      <c r="C419" s="35">
        <v>2</v>
      </c>
      <c r="D419" s="35">
        <v>3</v>
      </c>
      <c r="E419" s="35">
        <v>2.2000000000000002</v>
      </c>
      <c r="F419" s="35">
        <v>3.6</v>
      </c>
      <c r="G419" s="35">
        <v>2</v>
      </c>
      <c r="H419" s="35">
        <v>4</v>
      </c>
      <c r="I419" s="35">
        <v>2</v>
      </c>
      <c r="J419" s="35">
        <v>2.8</v>
      </c>
      <c r="K419" s="35">
        <v>2</v>
      </c>
      <c r="L419" s="35">
        <v>2.6</v>
      </c>
      <c r="M419" s="35">
        <v>2</v>
      </c>
      <c r="N419" s="35">
        <v>3.5</v>
      </c>
      <c r="O419" s="35">
        <v>3</v>
      </c>
      <c r="P419" s="35">
        <v>3.6</v>
      </c>
      <c r="Q419" s="35">
        <v>2</v>
      </c>
      <c r="R419" s="35">
        <v>3.9</v>
      </c>
      <c r="S419" s="35">
        <v>2</v>
      </c>
      <c r="T419" s="35">
        <v>3.7</v>
      </c>
      <c r="U419" s="35">
        <v>2</v>
      </c>
      <c r="V419" s="35">
        <v>9.6999999999999993</v>
      </c>
      <c r="W419" s="35">
        <v>9</v>
      </c>
      <c r="X419" s="35">
        <v>8.9</v>
      </c>
      <c r="Y419" s="35">
        <v>9</v>
      </c>
      <c r="Z419" s="35">
        <v>10.4</v>
      </c>
      <c r="AA419" s="35">
        <v>9</v>
      </c>
      <c r="AB419" s="35">
        <v>8.3000000000000007</v>
      </c>
      <c r="AC419" s="35">
        <v>9</v>
      </c>
      <c r="AD419" s="35">
        <v>19.899999999999999</v>
      </c>
      <c r="AE419" s="35">
        <v>19</v>
      </c>
      <c r="AF419" s="35">
        <v>20.100000000000001</v>
      </c>
      <c r="AG419" s="35">
        <v>19</v>
      </c>
      <c r="AH419" s="35">
        <v>20.8</v>
      </c>
      <c r="AI419" s="35">
        <v>19</v>
      </c>
      <c r="AJ419" s="35">
        <v>20.3</v>
      </c>
      <c r="AK419" s="35">
        <v>19</v>
      </c>
      <c r="AL419" s="35">
        <v>19.5</v>
      </c>
      <c r="AM419" s="35">
        <v>19</v>
      </c>
      <c r="AN419" s="35">
        <v>19.600000000000001</v>
      </c>
      <c r="AO419" s="35">
        <v>19</v>
      </c>
      <c r="AP419" s="35">
        <v>20.100000000000001</v>
      </c>
      <c r="AQ419" s="35">
        <v>19</v>
      </c>
      <c r="AR419" s="35">
        <v>20.8</v>
      </c>
      <c r="AS419" s="35">
        <v>19</v>
      </c>
      <c r="AT419" s="35">
        <v>20.7</v>
      </c>
      <c r="AU419" s="35">
        <v>19</v>
      </c>
      <c r="AV419" s="35">
        <v>18.7</v>
      </c>
      <c r="AW419" s="35">
        <v>19</v>
      </c>
      <c r="AX419" s="35">
        <v>21</v>
      </c>
      <c r="AY419" s="35">
        <v>20</v>
      </c>
      <c r="AZ419" s="35">
        <v>20.7</v>
      </c>
      <c r="BA419" s="35">
        <v>20</v>
      </c>
      <c r="BB419" s="35">
        <v>32.6</v>
      </c>
      <c r="BC419" s="35">
        <v>40</v>
      </c>
      <c r="BD419" s="35">
        <v>31.6</v>
      </c>
      <c r="BE419" s="35">
        <v>40</v>
      </c>
      <c r="BF419" s="35">
        <v>21.1</v>
      </c>
      <c r="BG419" s="35">
        <v>20</v>
      </c>
    </row>
    <row r="420" spans="1:59" x14ac:dyDescent="0.35">
      <c r="A420" s="36">
        <v>46059.745833333334</v>
      </c>
      <c r="B420" s="35">
        <v>1.7</v>
      </c>
      <c r="C420" s="35">
        <v>2</v>
      </c>
      <c r="D420" s="35">
        <v>2</v>
      </c>
      <c r="E420" s="35">
        <v>2.2000000000000002</v>
      </c>
      <c r="F420" s="35">
        <v>3.2</v>
      </c>
      <c r="G420" s="35">
        <v>2</v>
      </c>
      <c r="H420" s="35">
        <v>2.8</v>
      </c>
      <c r="I420" s="35">
        <v>2</v>
      </c>
      <c r="J420" s="35">
        <v>2</v>
      </c>
      <c r="K420" s="35">
        <v>2</v>
      </c>
      <c r="L420" s="35">
        <v>2.4</v>
      </c>
      <c r="M420" s="35">
        <v>2</v>
      </c>
      <c r="N420" s="35">
        <v>4.0999999999999996</v>
      </c>
      <c r="O420" s="35">
        <v>3</v>
      </c>
      <c r="P420" s="35">
        <v>3.6</v>
      </c>
      <c r="Q420" s="35">
        <v>2</v>
      </c>
      <c r="R420" s="35">
        <v>3.8</v>
      </c>
      <c r="S420" s="35">
        <v>2</v>
      </c>
      <c r="T420" s="35">
        <v>3.4</v>
      </c>
      <c r="U420" s="35">
        <v>2</v>
      </c>
      <c r="V420" s="35">
        <v>10.199999999999999</v>
      </c>
      <c r="W420" s="35">
        <v>9</v>
      </c>
      <c r="X420" s="35">
        <v>9.1</v>
      </c>
      <c r="Y420" s="35">
        <v>9</v>
      </c>
      <c r="Z420" s="35">
        <v>10.6</v>
      </c>
      <c r="AA420" s="35">
        <v>9</v>
      </c>
      <c r="AB420" s="35">
        <v>8.1999999999999993</v>
      </c>
      <c r="AC420" s="35">
        <v>9</v>
      </c>
      <c r="AD420" s="35">
        <v>20</v>
      </c>
      <c r="AE420" s="35">
        <v>19</v>
      </c>
      <c r="AF420" s="35">
        <v>20.100000000000001</v>
      </c>
      <c r="AG420" s="35">
        <v>19</v>
      </c>
      <c r="AH420" s="35">
        <v>20.8</v>
      </c>
      <c r="AI420" s="35">
        <v>19</v>
      </c>
      <c r="AJ420" s="35">
        <v>20.399999999999999</v>
      </c>
      <c r="AK420" s="35">
        <v>19</v>
      </c>
      <c r="AL420" s="35">
        <v>19.600000000000001</v>
      </c>
      <c r="AM420" s="35">
        <v>19</v>
      </c>
      <c r="AN420" s="35">
        <v>19.5</v>
      </c>
      <c r="AO420" s="35">
        <v>19</v>
      </c>
      <c r="AP420" s="35">
        <v>20.2</v>
      </c>
      <c r="AQ420" s="35">
        <v>19</v>
      </c>
      <c r="AR420" s="35">
        <v>20.8</v>
      </c>
      <c r="AS420" s="35">
        <v>19</v>
      </c>
      <c r="AT420" s="35">
        <v>20.100000000000001</v>
      </c>
      <c r="AU420" s="35">
        <v>19</v>
      </c>
      <c r="AV420" s="35">
        <v>18.5</v>
      </c>
      <c r="AW420" s="35">
        <v>19</v>
      </c>
      <c r="AX420" s="35">
        <v>21</v>
      </c>
      <c r="AY420" s="35">
        <v>20</v>
      </c>
      <c r="AZ420" s="35">
        <v>20.7</v>
      </c>
      <c r="BA420" s="35">
        <v>20</v>
      </c>
      <c r="BB420" s="35">
        <v>32.5</v>
      </c>
      <c r="BC420" s="35">
        <v>40</v>
      </c>
      <c r="BD420" s="35">
        <v>31.6</v>
      </c>
      <c r="BE420" s="35">
        <v>40</v>
      </c>
      <c r="BF420" s="35">
        <v>21.3</v>
      </c>
      <c r="BG420" s="35">
        <v>20</v>
      </c>
    </row>
    <row r="421" spans="1:59" x14ac:dyDescent="0.35">
      <c r="A421" s="36">
        <v>46059.746527777781</v>
      </c>
      <c r="B421" s="35">
        <v>1.7</v>
      </c>
      <c r="C421" s="35">
        <v>2</v>
      </c>
      <c r="D421" s="35">
        <v>2.1</v>
      </c>
      <c r="E421" s="35">
        <v>2.2000000000000002</v>
      </c>
      <c r="F421" s="35">
        <v>3.1</v>
      </c>
      <c r="G421" s="35">
        <v>2</v>
      </c>
      <c r="H421" s="35">
        <v>2.4</v>
      </c>
      <c r="I421" s="35">
        <v>2</v>
      </c>
      <c r="J421" s="35">
        <v>1.9</v>
      </c>
      <c r="K421" s="35">
        <v>2</v>
      </c>
      <c r="L421" s="35">
        <v>2.2999999999999998</v>
      </c>
      <c r="M421" s="35">
        <v>2</v>
      </c>
      <c r="N421" s="35">
        <v>4.9000000000000004</v>
      </c>
      <c r="O421" s="35">
        <v>3</v>
      </c>
      <c r="P421" s="35">
        <v>3.6</v>
      </c>
      <c r="Q421" s="35">
        <v>2</v>
      </c>
      <c r="R421" s="35">
        <v>2.4</v>
      </c>
      <c r="S421" s="35">
        <v>2</v>
      </c>
      <c r="T421" s="35">
        <v>1.7</v>
      </c>
      <c r="U421" s="35">
        <v>2</v>
      </c>
      <c r="V421" s="35">
        <v>10.8</v>
      </c>
      <c r="W421" s="35">
        <v>9</v>
      </c>
      <c r="X421" s="35">
        <v>9.3000000000000007</v>
      </c>
      <c r="Y421" s="35">
        <v>9</v>
      </c>
      <c r="Z421" s="35">
        <v>10.8</v>
      </c>
      <c r="AA421" s="35">
        <v>9</v>
      </c>
      <c r="AB421" s="35">
        <v>8.9</v>
      </c>
      <c r="AC421" s="35">
        <v>9</v>
      </c>
      <c r="AD421" s="35">
        <v>20</v>
      </c>
      <c r="AE421" s="35">
        <v>19</v>
      </c>
      <c r="AF421" s="35">
        <v>20.2</v>
      </c>
      <c r="AG421" s="35">
        <v>19</v>
      </c>
      <c r="AH421" s="35">
        <v>20.9</v>
      </c>
      <c r="AI421" s="35">
        <v>19</v>
      </c>
      <c r="AJ421" s="35">
        <v>20.399999999999999</v>
      </c>
      <c r="AK421" s="35">
        <v>19</v>
      </c>
      <c r="AL421" s="35">
        <v>19.600000000000001</v>
      </c>
      <c r="AM421" s="35">
        <v>19</v>
      </c>
      <c r="AN421" s="35">
        <v>18.899999999999999</v>
      </c>
      <c r="AO421" s="35">
        <v>19</v>
      </c>
      <c r="AP421" s="35">
        <v>20.2</v>
      </c>
      <c r="AQ421" s="35">
        <v>19</v>
      </c>
      <c r="AR421" s="35">
        <v>20.8</v>
      </c>
      <c r="AS421" s="35">
        <v>19</v>
      </c>
      <c r="AT421" s="35">
        <v>18.7</v>
      </c>
      <c r="AU421" s="35">
        <v>19</v>
      </c>
      <c r="AV421" s="35">
        <v>18.5</v>
      </c>
      <c r="AW421" s="35">
        <v>19</v>
      </c>
      <c r="AX421" s="35">
        <v>21</v>
      </c>
      <c r="AY421" s="35">
        <v>20</v>
      </c>
      <c r="AZ421" s="35">
        <v>20.7</v>
      </c>
      <c r="BA421" s="35">
        <v>20</v>
      </c>
      <c r="BB421" s="35">
        <v>32.5</v>
      </c>
      <c r="BC421" s="35">
        <v>40</v>
      </c>
      <c r="BD421" s="35">
        <v>31.6</v>
      </c>
      <c r="BE421" s="35">
        <v>40</v>
      </c>
      <c r="BF421" s="35">
        <v>21.5</v>
      </c>
      <c r="BG421" s="35">
        <v>20</v>
      </c>
    </row>
    <row r="422" spans="1:59" x14ac:dyDescent="0.35">
      <c r="A422" s="36">
        <v>46059.747916666667</v>
      </c>
      <c r="B422" s="35">
        <v>2.5</v>
      </c>
      <c r="C422" s="35">
        <v>2</v>
      </c>
      <c r="D422" s="35">
        <v>2.9</v>
      </c>
      <c r="E422" s="35">
        <v>2.2000000000000002</v>
      </c>
      <c r="F422" s="35">
        <v>3.2</v>
      </c>
      <c r="G422" s="35">
        <v>2</v>
      </c>
      <c r="H422" s="35">
        <v>2.8</v>
      </c>
      <c r="I422" s="35">
        <v>2</v>
      </c>
      <c r="J422" s="35">
        <v>3</v>
      </c>
      <c r="K422" s="35">
        <v>2</v>
      </c>
      <c r="L422" s="35">
        <v>3.1</v>
      </c>
      <c r="M422" s="35">
        <v>2</v>
      </c>
      <c r="N422" s="35">
        <v>3.9</v>
      </c>
      <c r="O422" s="35">
        <v>3</v>
      </c>
      <c r="P422" s="35">
        <v>9.1999999999999993</v>
      </c>
      <c r="Q422" s="35">
        <v>2</v>
      </c>
      <c r="R422" s="35">
        <v>1.6</v>
      </c>
      <c r="S422" s="35">
        <v>2</v>
      </c>
      <c r="T422" s="35">
        <v>1.2</v>
      </c>
      <c r="U422" s="35">
        <v>2</v>
      </c>
      <c r="V422" s="35">
        <v>9.3000000000000007</v>
      </c>
      <c r="W422" s="35">
        <v>9</v>
      </c>
      <c r="X422" s="35">
        <v>9.6999999999999993</v>
      </c>
      <c r="Y422" s="35">
        <v>9</v>
      </c>
      <c r="Z422" s="35">
        <v>10.8</v>
      </c>
      <c r="AA422" s="35">
        <v>9</v>
      </c>
      <c r="AB422" s="35">
        <v>10.199999999999999</v>
      </c>
      <c r="AC422" s="35">
        <v>9</v>
      </c>
      <c r="AD422" s="35">
        <v>20.100000000000001</v>
      </c>
      <c r="AE422" s="35">
        <v>19</v>
      </c>
      <c r="AF422" s="35">
        <v>20.3</v>
      </c>
      <c r="AG422" s="35">
        <v>19</v>
      </c>
      <c r="AH422" s="35">
        <v>20.9</v>
      </c>
      <c r="AI422" s="35">
        <v>19</v>
      </c>
      <c r="AJ422" s="35">
        <v>20.6</v>
      </c>
      <c r="AK422" s="35">
        <v>19</v>
      </c>
      <c r="AL422" s="35">
        <v>19.600000000000001</v>
      </c>
      <c r="AM422" s="35">
        <v>19</v>
      </c>
      <c r="AN422" s="35">
        <v>18.7</v>
      </c>
      <c r="AO422" s="35">
        <v>19</v>
      </c>
      <c r="AP422" s="35">
        <v>20.3</v>
      </c>
      <c r="AQ422" s="35">
        <v>19</v>
      </c>
      <c r="AR422" s="35">
        <v>20.8</v>
      </c>
      <c r="AS422" s="35">
        <v>19</v>
      </c>
      <c r="AT422" s="35">
        <v>18.100000000000001</v>
      </c>
      <c r="AU422" s="35">
        <v>19</v>
      </c>
      <c r="AV422" s="35">
        <v>18.5</v>
      </c>
      <c r="AW422" s="35">
        <v>19</v>
      </c>
      <c r="AX422" s="35">
        <v>21</v>
      </c>
      <c r="AY422" s="35">
        <v>20</v>
      </c>
      <c r="AZ422" s="35">
        <v>20.7</v>
      </c>
      <c r="BA422" s="35">
        <v>20</v>
      </c>
      <c r="BB422" s="35">
        <v>32.5</v>
      </c>
      <c r="BC422" s="35">
        <v>40</v>
      </c>
      <c r="BD422" s="35">
        <v>31.5</v>
      </c>
      <c r="BE422" s="35">
        <v>40</v>
      </c>
      <c r="BF422" s="35">
        <v>21.7</v>
      </c>
      <c r="BG422" s="35">
        <v>20</v>
      </c>
    </row>
    <row r="423" spans="1:59" x14ac:dyDescent="0.35">
      <c r="A423" s="36">
        <v>46059.748611111114</v>
      </c>
      <c r="B423" s="35">
        <v>2.8</v>
      </c>
      <c r="C423" s="35">
        <v>2</v>
      </c>
      <c r="D423" s="35">
        <v>3.3</v>
      </c>
      <c r="E423" s="35">
        <v>2.2000000000000002</v>
      </c>
      <c r="F423" s="35">
        <v>3.4</v>
      </c>
      <c r="G423" s="35">
        <v>2</v>
      </c>
      <c r="H423" s="35">
        <v>2.9</v>
      </c>
      <c r="I423" s="35">
        <v>2</v>
      </c>
      <c r="J423" s="35">
        <v>3.9</v>
      </c>
      <c r="K423" s="35">
        <v>2</v>
      </c>
      <c r="L423" s="35">
        <v>3.5</v>
      </c>
      <c r="M423" s="35">
        <v>2</v>
      </c>
      <c r="N423" s="35">
        <v>3.3</v>
      </c>
      <c r="O423" s="35">
        <v>3</v>
      </c>
      <c r="P423" s="35">
        <v>5.9</v>
      </c>
      <c r="Q423" s="35">
        <v>2</v>
      </c>
      <c r="R423" s="35">
        <v>1.8</v>
      </c>
      <c r="S423" s="35">
        <v>2</v>
      </c>
      <c r="T423" s="35">
        <v>1.5</v>
      </c>
      <c r="U423" s="35">
        <v>2</v>
      </c>
      <c r="V423" s="35">
        <v>7.6</v>
      </c>
      <c r="W423" s="35">
        <v>9</v>
      </c>
      <c r="X423" s="35">
        <v>9.9</v>
      </c>
      <c r="Y423" s="35">
        <v>9</v>
      </c>
      <c r="Z423" s="35">
        <v>9.6999999999999993</v>
      </c>
      <c r="AA423" s="35">
        <v>9</v>
      </c>
      <c r="AB423" s="35">
        <v>10.6</v>
      </c>
      <c r="AC423" s="35">
        <v>9</v>
      </c>
      <c r="AD423" s="35">
        <v>20.100000000000001</v>
      </c>
      <c r="AE423" s="35">
        <v>19</v>
      </c>
      <c r="AF423" s="35">
        <v>20.3</v>
      </c>
      <c r="AG423" s="35">
        <v>19</v>
      </c>
      <c r="AH423" s="35">
        <v>21</v>
      </c>
      <c r="AI423" s="35">
        <v>19</v>
      </c>
      <c r="AJ423" s="35">
        <v>20.6</v>
      </c>
      <c r="AK423" s="35">
        <v>19</v>
      </c>
      <c r="AL423" s="35">
        <v>19.600000000000001</v>
      </c>
      <c r="AM423" s="35">
        <v>19</v>
      </c>
      <c r="AN423" s="35">
        <v>18.899999999999999</v>
      </c>
      <c r="AO423" s="35">
        <v>19</v>
      </c>
      <c r="AP423" s="35">
        <v>20.3</v>
      </c>
      <c r="AQ423" s="35">
        <v>19</v>
      </c>
      <c r="AR423" s="35">
        <v>20.8</v>
      </c>
      <c r="AS423" s="35">
        <v>19</v>
      </c>
      <c r="AT423" s="35">
        <v>18.2</v>
      </c>
      <c r="AU423" s="35">
        <v>19</v>
      </c>
      <c r="AV423" s="35">
        <v>18.7</v>
      </c>
      <c r="AW423" s="35">
        <v>19</v>
      </c>
      <c r="AX423" s="35">
        <v>21</v>
      </c>
      <c r="AY423" s="35">
        <v>20</v>
      </c>
      <c r="AZ423" s="35">
        <v>20.8</v>
      </c>
      <c r="BA423" s="35">
        <v>20</v>
      </c>
      <c r="BB423" s="35">
        <v>32.5</v>
      </c>
      <c r="BC423" s="35">
        <v>40</v>
      </c>
      <c r="BD423" s="35">
        <v>31.5</v>
      </c>
      <c r="BE423" s="35">
        <v>40</v>
      </c>
      <c r="BF423" s="35">
        <v>21.7</v>
      </c>
      <c r="BG423" s="35">
        <v>20</v>
      </c>
    </row>
    <row r="424" spans="1:59" x14ac:dyDescent="0.35">
      <c r="A424" s="36">
        <v>46059.749305555553</v>
      </c>
      <c r="B424" s="35">
        <v>3.2</v>
      </c>
      <c r="C424" s="35">
        <v>2</v>
      </c>
      <c r="D424" s="35">
        <v>3.6</v>
      </c>
      <c r="E424" s="35">
        <v>2.2000000000000002</v>
      </c>
      <c r="F424" s="35">
        <v>3.5</v>
      </c>
      <c r="G424" s="35">
        <v>2</v>
      </c>
      <c r="H424" s="35">
        <v>2.9</v>
      </c>
      <c r="I424" s="35">
        <v>2</v>
      </c>
      <c r="J424" s="35">
        <v>4.5</v>
      </c>
      <c r="K424" s="35">
        <v>2</v>
      </c>
      <c r="L424" s="35">
        <v>3.7</v>
      </c>
      <c r="M424" s="35">
        <v>2</v>
      </c>
      <c r="N424" s="35">
        <v>2.6</v>
      </c>
      <c r="O424" s="35">
        <v>3</v>
      </c>
      <c r="P424" s="35">
        <v>3.6</v>
      </c>
      <c r="Q424" s="35">
        <v>2</v>
      </c>
      <c r="R424" s="35">
        <v>2.1</v>
      </c>
      <c r="S424" s="35">
        <v>2</v>
      </c>
      <c r="T424" s="35">
        <v>1.9</v>
      </c>
      <c r="U424" s="35">
        <v>2</v>
      </c>
      <c r="V424" s="35">
        <v>7.7</v>
      </c>
      <c r="W424" s="35">
        <v>9</v>
      </c>
      <c r="X424" s="35">
        <v>10</v>
      </c>
      <c r="Y424" s="35">
        <v>9</v>
      </c>
      <c r="Z424" s="35">
        <v>8.6999999999999993</v>
      </c>
      <c r="AA424" s="35">
        <v>9</v>
      </c>
      <c r="AB424" s="35">
        <v>10.9</v>
      </c>
      <c r="AC424" s="35">
        <v>9</v>
      </c>
      <c r="AD424" s="35">
        <v>20.2</v>
      </c>
      <c r="AE424" s="35">
        <v>19</v>
      </c>
      <c r="AF424" s="35">
        <v>20.399999999999999</v>
      </c>
      <c r="AG424" s="35">
        <v>19</v>
      </c>
      <c r="AH424" s="35">
        <v>20.2</v>
      </c>
      <c r="AI424" s="35">
        <v>19</v>
      </c>
      <c r="AJ424" s="35">
        <v>20.7</v>
      </c>
      <c r="AK424" s="35">
        <v>19</v>
      </c>
      <c r="AL424" s="35">
        <v>19.399999999999999</v>
      </c>
      <c r="AM424" s="35">
        <v>19</v>
      </c>
      <c r="AN424" s="35">
        <v>19.100000000000001</v>
      </c>
      <c r="AO424" s="35">
        <v>19</v>
      </c>
      <c r="AP424" s="35">
        <v>20.3</v>
      </c>
      <c r="AQ424" s="35">
        <v>19</v>
      </c>
      <c r="AR424" s="35">
        <v>20.8</v>
      </c>
      <c r="AS424" s="35">
        <v>19</v>
      </c>
      <c r="AT424" s="35">
        <v>18.399999999999999</v>
      </c>
      <c r="AU424" s="35">
        <v>19</v>
      </c>
      <c r="AV424" s="35">
        <v>18.899999999999999</v>
      </c>
      <c r="AW424" s="35">
        <v>19</v>
      </c>
      <c r="AX424" s="35">
        <v>21.1</v>
      </c>
      <c r="AY424" s="35">
        <v>20</v>
      </c>
      <c r="AZ424" s="35">
        <v>20.9</v>
      </c>
      <c r="BA424" s="35">
        <v>20</v>
      </c>
      <c r="BB424" s="35">
        <v>32.5</v>
      </c>
      <c r="BC424" s="35">
        <v>40</v>
      </c>
      <c r="BD424" s="35">
        <v>31.5</v>
      </c>
      <c r="BE424" s="35">
        <v>40</v>
      </c>
      <c r="BF424" s="35">
        <v>21.7</v>
      </c>
      <c r="BG424" s="35">
        <v>20</v>
      </c>
    </row>
    <row r="425" spans="1:59" x14ac:dyDescent="0.35">
      <c r="A425" s="36">
        <v>46059.75</v>
      </c>
      <c r="B425" s="35">
        <v>3.4</v>
      </c>
      <c r="C425" s="35">
        <v>2</v>
      </c>
      <c r="D425" s="35">
        <v>3.9</v>
      </c>
      <c r="E425" s="35">
        <v>2.2000000000000002</v>
      </c>
      <c r="F425" s="35">
        <v>3.6</v>
      </c>
      <c r="G425" s="35">
        <v>2</v>
      </c>
      <c r="H425" s="35">
        <v>2.9</v>
      </c>
      <c r="I425" s="35">
        <v>2</v>
      </c>
      <c r="J425" s="35">
        <v>5</v>
      </c>
      <c r="K425" s="35">
        <v>2</v>
      </c>
      <c r="L425" s="35">
        <v>3.4</v>
      </c>
      <c r="M425" s="35">
        <v>2</v>
      </c>
      <c r="N425" s="35">
        <v>1.6</v>
      </c>
      <c r="O425" s="35">
        <v>3</v>
      </c>
      <c r="P425" s="35">
        <v>1.9</v>
      </c>
      <c r="Q425" s="35">
        <v>2</v>
      </c>
      <c r="R425" s="35">
        <v>2.4</v>
      </c>
      <c r="S425" s="35">
        <v>2</v>
      </c>
      <c r="T425" s="35">
        <v>2.2000000000000002</v>
      </c>
      <c r="U425" s="35">
        <v>2</v>
      </c>
      <c r="V425" s="35">
        <v>8.5</v>
      </c>
      <c r="W425" s="35">
        <v>9</v>
      </c>
      <c r="X425" s="35">
        <v>10.1</v>
      </c>
      <c r="Y425" s="35">
        <v>9</v>
      </c>
      <c r="Z425" s="35">
        <v>8.5</v>
      </c>
      <c r="AA425" s="35">
        <v>9</v>
      </c>
      <c r="AB425" s="35">
        <v>10.9</v>
      </c>
      <c r="AC425" s="35">
        <v>9</v>
      </c>
      <c r="AD425" s="35">
        <v>20.2</v>
      </c>
      <c r="AE425" s="35">
        <v>19</v>
      </c>
      <c r="AF425" s="35">
        <v>20.399999999999999</v>
      </c>
      <c r="AG425" s="35">
        <v>19</v>
      </c>
      <c r="AH425" s="35">
        <v>18.5</v>
      </c>
      <c r="AI425" s="35">
        <v>19</v>
      </c>
      <c r="AJ425" s="35">
        <v>20.8</v>
      </c>
      <c r="AK425" s="35">
        <v>19</v>
      </c>
      <c r="AL425" s="35">
        <v>19.2</v>
      </c>
      <c r="AM425" s="35">
        <v>19</v>
      </c>
      <c r="AN425" s="35">
        <v>19.3</v>
      </c>
      <c r="AO425" s="35">
        <v>19</v>
      </c>
      <c r="AP425" s="35">
        <v>20.3</v>
      </c>
      <c r="AQ425" s="35">
        <v>19</v>
      </c>
      <c r="AR425" s="35">
        <v>20.8</v>
      </c>
      <c r="AS425" s="35">
        <v>19</v>
      </c>
      <c r="AT425" s="35">
        <v>18.600000000000001</v>
      </c>
      <c r="AU425" s="35">
        <v>19</v>
      </c>
      <c r="AV425" s="35">
        <v>19.100000000000001</v>
      </c>
      <c r="AW425" s="35">
        <v>19</v>
      </c>
      <c r="AX425" s="35">
        <v>21.2</v>
      </c>
      <c r="AY425" s="35">
        <v>20</v>
      </c>
      <c r="AZ425" s="35">
        <v>21</v>
      </c>
      <c r="BA425" s="35">
        <v>20</v>
      </c>
      <c r="BB425" s="35">
        <v>32.5</v>
      </c>
      <c r="BC425" s="35">
        <v>40</v>
      </c>
      <c r="BD425" s="35">
        <v>31.5</v>
      </c>
      <c r="BE425" s="35">
        <v>40</v>
      </c>
      <c r="BF425" s="35">
        <v>21.7</v>
      </c>
      <c r="BG425" s="35">
        <v>20</v>
      </c>
    </row>
    <row r="426" spans="1:59" x14ac:dyDescent="0.35">
      <c r="A426" s="36">
        <v>46059.750694444447</v>
      </c>
      <c r="B426" s="35">
        <v>3.7</v>
      </c>
      <c r="C426" s="35">
        <v>2</v>
      </c>
      <c r="D426" s="35">
        <v>4.0999999999999996</v>
      </c>
      <c r="E426" s="35">
        <v>2.2000000000000002</v>
      </c>
      <c r="F426" s="35">
        <v>3.8</v>
      </c>
      <c r="G426" s="35">
        <v>2</v>
      </c>
      <c r="H426" s="35">
        <v>3.2</v>
      </c>
      <c r="I426" s="35">
        <v>2</v>
      </c>
      <c r="J426" s="35">
        <v>5.5</v>
      </c>
      <c r="K426" s="35">
        <v>2</v>
      </c>
      <c r="L426" s="35">
        <v>3.4</v>
      </c>
      <c r="M426" s="35">
        <v>2</v>
      </c>
      <c r="N426" s="35">
        <v>1.6</v>
      </c>
      <c r="O426" s="35">
        <v>3</v>
      </c>
      <c r="P426" s="35">
        <v>2</v>
      </c>
      <c r="Q426" s="35">
        <v>2</v>
      </c>
      <c r="R426" s="35">
        <v>2.7</v>
      </c>
      <c r="S426" s="35">
        <v>2</v>
      </c>
      <c r="T426" s="35">
        <v>2.5</v>
      </c>
      <c r="U426" s="35">
        <v>2</v>
      </c>
      <c r="V426" s="35">
        <v>9.1999999999999993</v>
      </c>
      <c r="W426" s="35">
        <v>9</v>
      </c>
      <c r="X426" s="35">
        <v>10.199999999999999</v>
      </c>
      <c r="Y426" s="35">
        <v>9</v>
      </c>
      <c r="Z426" s="35">
        <v>8.9</v>
      </c>
      <c r="AA426" s="35">
        <v>9</v>
      </c>
      <c r="AB426" s="35">
        <v>10.6</v>
      </c>
      <c r="AC426" s="35">
        <v>9</v>
      </c>
      <c r="AD426" s="35">
        <v>20.2</v>
      </c>
      <c r="AE426" s="35">
        <v>19</v>
      </c>
      <c r="AF426" s="35">
        <v>20.399999999999999</v>
      </c>
      <c r="AG426" s="35">
        <v>19</v>
      </c>
      <c r="AH426" s="35">
        <v>18</v>
      </c>
      <c r="AI426" s="35">
        <v>19</v>
      </c>
      <c r="AJ426" s="35">
        <v>20.8</v>
      </c>
      <c r="AK426" s="35">
        <v>19</v>
      </c>
      <c r="AL426" s="35">
        <v>19.100000000000001</v>
      </c>
      <c r="AM426" s="35">
        <v>19</v>
      </c>
      <c r="AN426" s="35">
        <v>19.5</v>
      </c>
      <c r="AO426" s="35">
        <v>19</v>
      </c>
      <c r="AP426" s="35">
        <v>20.399999999999999</v>
      </c>
      <c r="AQ426" s="35">
        <v>19</v>
      </c>
      <c r="AR426" s="35">
        <v>20.8</v>
      </c>
      <c r="AS426" s="35">
        <v>19</v>
      </c>
      <c r="AT426" s="35">
        <v>18.8</v>
      </c>
      <c r="AU426" s="35">
        <v>19</v>
      </c>
      <c r="AV426" s="35">
        <v>19.2</v>
      </c>
      <c r="AW426" s="35">
        <v>19</v>
      </c>
      <c r="AX426" s="35">
        <v>21.2</v>
      </c>
      <c r="AY426" s="35">
        <v>20</v>
      </c>
      <c r="AZ426" s="35">
        <v>21.1</v>
      </c>
      <c r="BA426" s="35">
        <v>20</v>
      </c>
      <c r="BB426" s="35">
        <v>32.5</v>
      </c>
      <c r="BC426" s="35">
        <v>40</v>
      </c>
      <c r="BD426" s="35">
        <v>31.5</v>
      </c>
      <c r="BE426" s="35">
        <v>40</v>
      </c>
      <c r="BF426" s="35">
        <v>21.7</v>
      </c>
      <c r="BG426" s="35">
        <v>20</v>
      </c>
    </row>
    <row r="427" spans="1:59" x14ac:dyDescent="0.35">
      <c r="A427" s="36">
        <v>46059.751388888886</v>
      </c>
      <c r="B427" s="35">
        <v>3.8</v>
      </c>
      <c r="C427" s="35">
        <v>2</v>
      </c>
      <c r="D427" s="35">
        <v>4</v>
      </c>
      <c r="E427" s="35">
        <v>2.2000000000000002</v>
      </c>
      <c r="F427" s="35">
        <v>3.9</v>
      </c>
      <c r="G427" s="35">
        <v>2</v>
      </c>
      <c r="H427" s="35">
        <v>3.4</v>
      </c>
      <c r="I427" s="35">
        <v>2</v>
      </c>
      <c r="J427" s="35">
        <v>5.6</v>
      </c>
      <c r="K427" s="35">
        <v>2</v>
      </c>
      <c r="L427" s="35">
        <v>3.4</v>
      </c>
      <c r="M427" s="35">
        <v>2</v>
      </c>
      <c r="N427" s="35">
        <v>1.9</v>
      </c>
      <c r="O427" s="35">
        <v>3</v>
      </c>
      <c r="P427" s="35">
        <v>2.6</v>
      </c>
      <c r="Q427" s="35">
        <v>2</v>
      </c>
      <c r="R427" s="35">
        <v>2.9</v>
      </c>
      <c r="S427" s="35">
        <v>2</v>
      </c>
      <c r="T427" s="35">
        <v>2.7</v>
      </c>
      <c r="U427" s="35">
        <v>2</v>
      </c>
      <c r="V427" s="35">
        <v>9.8000000000000007</v>
      </c>
      <c r="W427" s="35">
        <v>9</v>
      </c>
      <c r="X427" s="35">
        <v>10.3</v>
      </c>
      <c r="Y427" s="35">
        <v>9</v>
      </c>
      <c r="Z427" s="35">
        <v>9.3000000000000007</v>
      </c>
      <c r="AA427" s="35">
        <v>9</v>
      </c>
      <c r="AB427" s="35">
        <v>10</v>
      </c>
      <c r="AC427" s="35">
        <v>9</v>
      </c>
      <c r="AD427" s="35">
        <v>20.3</v>
      </c>
      <c r="AE427" s="35">
        <v>19</v>
      </c>
      <c r="AF427" s="35">
        <v>20.5</v>
      </c>
      <c r="AG427" s="35">
        <v>19</v>
      </c>
      <c r="AH427" s="35">
        <v>18.100000000000001</v>
      </c>
      <c r="AI427" s="35">
        <v>19</v>
      </c>
      <c r="AJ427" s="35">
        <v>20.9</v>
      </c>
      <c r="AK427" s="35">
        <v>19</v>
      </c>
      <c r="AL427" s="35">
        <v>19.100000000000001</v>
      </c>
      <c r="AM427" s="35">
        <v>19</v>
      </c>
      <c r="AN427" s="35">
        <v>19.600000000000001</v>
      </c>
      <c r="AO427" s="35">
        <v>19</v>
      </c>
      <c r="AP427" s="35">
        <v>20.399999999999999</v>
      </c>
      <c r="AQ427" s="35">
        <v>19</v>
      </c>
      <c r="AR427" s="35">
        <v>20.8</v>
      </c>
      <c r="AS427" s="35">
        <v>19</v>
      </c>
      <c r="AT427" s="35">
        <v>19</v>
      </c>
      <c r="AU427" s="35">
        <v>19</v>
      </c>
      <c r="AV427" s="35">
        <v>19.399999999999999</v>
      </c>
      <c r="AW427" s="35">
        <v>19</v>
      </c>
      <c r="AX427" s="35">
        <v>21.2</v>
      </c>
      <c r="AY427" s="35">
        <v>20</v>
      </c>
      <c r="AZ427" s="35">
        <v>21.1</v>
      </c>
      <c r="BA427" s="35">
        <v>20</v>
      </c>
      <c r="BB427" s="35">
        <v>32.4</v>
      </c>
      <c r="BC427" s="35">
        <v>40</v>
      </c>
      <c r="BD427" s="35">
        <v>31.5</v>
      </c>
      <c r="BE427" s="35">
        <v>40</v>
      </c>
      <c r="BF427" s="35">
        <v>21.7</v>
      </c>
      <c r="BG427" s="35">
        <v>20</v>
      </c>
    </row>
    <row r="428" spans="1:59" x14ac:dyDescent="0.35">
      <c r="A428" s="36">
        <v>46059.752083333333</v>
      </c>
      <c r="B428" s="35">
        <v>3.7</v>
      </c>
      <c r="C428" s="35">
        <v>2</v>
      </c>
      <c r="D428" s="35">
        <v>4</v>
      </c>
      <c r="E428" s="35">
        <v>2.2000000000000002</v>
      </c>
      <c r="F428" s="35">
        <v>3.9</v>
      </c>
      <c r="G428" s="35">
        <v>2</v>
      </c>
      <c r="H428" s="35">
        <v>3.3</v>
      </c>
      <c r="I428" s="35">
        <v>2</v>
      </c>
      <c r="J428" s="35">
        <v>4.5999999999999996</v>
      </c>
      <c r="K428" s="35">
        <v>2</v>
      </c>
      <c r="L428" s="35">
        <v>3.4</v>
      </c>
      <c r="M428" s="35">
        <v>2</v>
      </c>
      <c r="N428" s="35">
        <v>2.2000000000000002</v>
      </c>
      <c r="O428" s="35">
        <v>3</v>
      </c>
      <c r="P428" s="35">
        <v>3.1</v>
      </c>
      <c r="Q428" s="35">
        <v>2</v>
      </c>
      <c r="R428" s="35">
        <v>3.1</v>
      </c>
      <c r="S428" s="35">
        <v>2</v>
      </c>
      <c r="T428" s="35">
        <v>2.9</v>
      </c>
      <c r="U428" s="35">
        <v>2</v>
      </c>
      <c r="V428" s="35">
        <v>10.3</v>
      </c>
      <c r="W428" s="35">
        <v>9</v>
      </c>
      <c r="X428" s="35">
        <v>10.4</v>
      </c>
      <c r="Y428" s="35">
        <v>9</v>
      </c>
      <c r="Z428" s="35">
        <v>9.6</v>
      </c>
      <c r="AA428" s="35">
        <v>9</v>
      </c>
      <c r="AB428" s="35">
        <v>8.8000000000000007</v>
      </c>
      <c r="AC428" s="35">
        <v>9</v>
      </c>
      <c r="AD428" s="35">
        <v>20.3</v>
      </c>
      <c r="AE428" s="35">
        <v>19</v>
      </c>
      <c r="AF428" s="35">
        <v>20.5</v>
      </c>
      <c r="AG428" s="35">
        <v>19</v>
      </c>
      <c r="AH428" s="35">
        <v>18.399999999999999</v>
      </c>
      <c r="AI428" s="35">
        <v>19</v>
      </c>
      <c r="AJ428" s="35">
        <v>20.9</v>
      </c>
      <c r="AK428" s="35">
        <v>19</v>
      </c>
      <c r="AL428" s="35">
        <v>19</v>
      </c>
      <c r="AM428" s="35">
        <v>19</v>
      </c>
      <c r="AN428" s="35">
        <v>19.8</v>
      </c>
      <c r="AO428" s="35">
        <v>19</v>
      </c>
      <c r="AP428" s="35">
        <v>20.399999999999999</v>
      </c>
      <c r="AQ428" s="35">
        <v>19</v>
      </c>
      <c r="AR428" s="35">
        <v>20.8</v>
      </c>
      <c r="AS428" s="35">
        <v>19</v>
      </c>
      <c r="AT428" s="35">
        <v>19.2</v>
      </c>
      <c r="AU428" s="35">
        <v>19</v>
      </c>
      <c r="AV428" s="35">
        <v>19.5</v>
      </c>
      <c r="AW428" s="35">
        <v>19</v>
      </c>
      <c r="AX428" s="35">
        <v>21.1</v>
      </c>
      <c r="AY428" s="35">
        <v>20</v>
      </c>
      <c r="AZ428" s="35">
        <v>21.1</v>
      </c>
      <c r="BA428" s="35">
        <v>20</v>
      </c>
      <c r="BB428" s="35">
        <v>32.4</v>
      </c>
      <c r="BC428" s="35">
        <v>40</v>
      </c>
      <c r="BD428" s="35">
        <v>31.5</v>
      </c>
      <c r="BE428" s="35">
        <v>40</v>
      </c>
      <c r="BF428" s="35">
        <v>21.7</v>
      </c>
      <c r="BG428" s="35">
        <v>20</v>
      </c>
    </row>
    <row r="429" spans="1:59" x14ac:dyDescent="0.35">
      <c r="A429" s="36">
        <v>46059.75277777778</v>
      </c>
      <c r="B429" s="35">
        <v>3.7</v>
      </c>
      <c r="C429" s="35">
        <v>2</v>
      </c>
      <c r="D429" s="35">
        <v>4.2</v>
      </c>
      <c r="E429" s="35">
        <v>2.2000000000000002</v>
      </c>
      <c r="F429" s="35">
        <v>3.9</v>
      </c>
      <c r="G429" s="35">
        <v>2</v>
      </c>
      <c r="H429" s="35">
        <v>3.3</v>
      </c>
      <c r="I429" s="35">
        <v>2</v>
      </c>
      <c r="J429" s="35">
        <v>3.4</v>
      </c>
      <c r="K429" s="35">
        <v>2</v>
      </c>
      <c r="L429" s="35">
        <v>3.2</v>
      </c>
      <c r="M429" s="35">
        <v>2</v>
      </c>
      <c r="N429" s="35">
        <v>2.6</v>
      </c>
      <c r="O429" s="35">
        <v>3</v>
      </c>
      <c r="P429" s="35">
        <v>3.4</v>
      </c>
      <c r="Q429" s="35">
        <v>2</v>
      </c>
      <c r="R429" s="35">
        <v>3.3</v>
      </c>
      <c r="S429" s="35">
        <v>2</v>
      </c>
      <c r="T429" s="35">
        <v>3.1</v>
      </c>
      <c r="U429" s="35">
        <v>2</v>
      </c>
      <c r="V429" s="35">
        <v>10.8</v>
      </c>
      <c r="W429" s="35">
        <v>9</v>
      </c>
      <c r="X429" s="35">
        <v>10.5</v>
      </c>
      <c r="Y429" s="35">
        <v>9</v>
      </c>
      <c r="Z429" s="35">
        <v>9.9</v>
      </c>
      <c r="AA429" s="35">
        <v>9</v>
      </c>
      <c r="AB429" s="35">
        <v>8.5</v>
      </c>
      <c r="AC429" s="35">
        <v>9</v>
      </c>
      <c r="AD429" s="35">
        <v>20.3</v>
      </c>
      <c r="AE429" s="35">
        <v>19</v>
      </c>
      <c r="AF429" s="35">
        <v>20.5</v>
      </c>
      <c r="AG429" s="35">
        <v>19</v>
      </c>
      <c r="AH429" s="35">
        <v>18.600000000000001</v>
      </c>
      <c r="AI429" s="35">
        <v>19</v>
      </c>
      <c r="AJ429" s="35">
        <v>20.8</v>
      </c>
      <c r="AK429" s="35">
        <v>19</v>
      </c>
      <c r="AL429" s="35">
        <v>19.2</v>
      </c>
      <c r="AM429" s="35">
        <v>19</v>
      </c>
      <c r="AN429" s="35">
        <v>19.899999999999999</v>
      </c>
      <c r="AO429" s="35">
        <v>19</v>
      </c>
      <c r="AP429" s="35">
        <v>20.399999999999999</v>
      </c>
      <c r="AQ429" s="35">
        <v>19</v>
      </c>
      <c r="AR429" s="35">
        <v>20.8</v>
      </c>
      <c r="AS429" s="35">
        <v>19</v>
      </c>
      <c r="AT429" s="35">
        <v>19.3</v>
      </c>
      <c r="AU429" s="35">
        <v>19</v>
      </c>
      <c r="AV429" s="35">
        <v>19.7</v>
      </c>
      <c r="AW429" s="35">
        <v>19</v>
      </c>
      <c r="AX429" s="35">
        <v>21.1</v>
      </c>
      <c r="AY429" s="35">
        <v>20</v>
      </c>
      <c r="AZ429" s="35">
        <v>21</v>
      </c>
      <c r="BA429" s="35">
        <v>20</v>
      </c>
      <c r="BB429" s="35">
        <v>32.4</v>
      </c>
      <c r="BC429" s="35">
        <v>40</v>
      </c>
      <c r="BD429" s="35">
        <v>31.5</v>
      </c>
      <c r="BE429" s="35">
        <v>40</v>
      </c>
      <c r="BF429" s="35">
        <v>21.7</v>
      </c>
      <c r="BG429" s="35">
        <v>20</v>
      </c>
    </row>
    <row r="430" spans="1:59" x14ac:dyDescent="0.35">
      <c r="A430" s="36">
        <v>46059.754166666666</v>
      </c>
      <c r="B430" s="35">
        <v>3.4</v>
      </c>
      <c r="C430" s="35">
        <v>2</v>
      </c>
      <c r="D430" s="35">
        <v>3.8</v>
      </c>
      <c r="E430" s="35">
        <v>2.2000000000000002</v>
      </c>
      <c r="F430" s="35">
        <v>2.1</v>
      </c>
      <c r="G430" s="35">
        <v>2</v>
      </c>
      <c r="H430" s="35">
        <v>1.7</v>
      </c>
      <c r="I430" s="35">
        <v>2</v>
      </c>
      <c r="J430" s="35">
        <v>2.6</v>
      </c>
      <c r="K430" s="35">
        <v>2</v>
      </c>
      <c r="L430" s="35">
        <v>2.7</v>
      </c>
      <c r="M430" s="35">
        <v>2</v>
      </c>
      <c r="N430" s="35">
        <v>3.3</v>
      </c>
      <c r="O430" s="35">
        <v>3</v>
      </c>
      <c r="P430" s="35">
        <v>3.9</v>
      </c>
      <c r="Q430" s="35">
        <v>2</v>
      </c>
      <c r="R430" s="35">
        <v>3.6</v>
      </c>
      <c r="S430" s="35">
        <v>2</v>
      </c>
      <c r="T430" s="35">
        <v>3.4</v>
      </c>
      <c r="U430" s="35">
        <v>2</v>
      </c>
      <c r="V430" s="35">
        <v>8.5</v>
      </c>
      <c r="W430" s="35">
        <v>9</v>
      </c>
      <c r="X430" s="35">
        <v>10.6</v>
      </c>
      <c r="Y430" s="35">
        <v>9</v>
      </c>
      <c r="Z430" s="35">
        <v>10.3</v>
      </c>
      <c r="AA430" s="35">
        <v>9</v>
      </c>
      <c r="AB430" s="35">
        <v>9.1999999999999993</v>
      </c>
      <c r="AC430" s="35">
        <v>9</v>
      </c>
      <c r="AD430" s="35">
        <v>20.399999999999999</v>
      </c>
      <c r="AE430" s="35">
        <v>19</v>
      </c>
      <c r="AF430" s="35">
        <v>20.6</v>
      </c>
      <c r="AG430" s="35">
        <v>19</v>
      </c>
      <c r="AH430" s="35">
        <v>19</v>
      </c>
      <c r="AI430" s="35">
        <v>19</v>
      </c>
      <c r="AJ430" s="35">
        <v>18</v>
      </c>
      <c r="AK430" s="35">
        <v>19</v>
      </c>
      <c r="AL430" s="35">
        <v>19.8</v>
      </c>
      <c r="AM430" s="35">
        <v>19</v>
      </c>
      <c r="AN430" s="35">
        <v>20.2</v>
      </c>
      <c r="AO430" s="35">
        <v>19</v>
      </c>
      <c r="AP430" s="35">
        <v>20.399999999999999</v>
      </c>
      <c r="AQ430" s="35">
        <v>19</v>
      </c>
      <c r="AR430" s="35">
        <v>20.8</v>
      </c>
      <c r="AS430" s="35">
        <v>19</v>
      </c>
      <c r="AT430" s="35">
        <v>19.5</v>
      </c>
      <c r="AU430" s="35">
        <v>19</v>
      </c>
      <c r="AV430" s="35">
        <v>19.899999999999999</v>
      </c>
      <c r="AW430" s="35">
        <v>19</v>
      </c>
      <c r="AX430" s="35">
        <v>21</v>
      </c>
      <c r="AY430" s="35">
        <v>20</v>
      </c>
      <c r="AZ430" s="35">
        <v>20.8</v>
      </c>
      <c r="BA430" s="35">
        <v>20</v>
      </c>
      <c r="BB430" s="35">
        <v>32.4</v>
      </c>
      <c r="BC430" s="35">
        <v>40</v>
      </c>
      <c r="BD430" s="35">
        <v>31.4</v>
      </c>
      <c r="BE430" s="35">
        <v>40</v>
      </c>
      <c r="BF430" s="35">
        <v>21.9</v>
      </c>
      <c r="BG430" s="35">
        <v>20</v>
      </c>
    </row>
    <row r="431" spans="1:59" x14ac:dyDescent="0.35">
      <c r="A431" s="36">
        <v>46059.754861111112</v>
      </c>
      <c r="B431" s="35">
        <v>1.9</v>
      </c>
      <c r="C431" s="35">
        <v>2</v>
      </c>
      <c r="D431" s="35">
        <v>2.2999999999999998</v>
      </c>
      <c r="E431" s="35">
        <v>2.2000000000000002</v>
      </c>
      <c r="F431" s="35">
        <v>1.6</v>
      </c>
      <c r="G431" s="35">
        <v>2</v>
      </c>
      <c r="H431" s="35">
        <v>1.6</v>
      </c>
      <c r="I431" s="35">
        <v>2</v>
      </c>
      <c r="J431" s="35">
        <v>1.9</v>
      </c>
      <c r="K431" s="35">
        <v>2</v>
      </c>
      <c r="L431" s="35">
        <v>2.5</v>
      </c>
      <c r="M431" s="35">
        <v>2</v>
      </c>
      <c r="N431" s="35">
        <v>3.1</v>
      </c>
      <c r="O431" s="35">
        <v>3</v>
      </c>
      <c r="P431" s="35">
        <v>3.4</v>
      </c>
      <c r="Q431" s="35">
        <v>2</v>
      </c>
      <c r="R431" s="35">
        <v>3.7</v>
      </c>
      <c r="S431" s="35">
        <v>2</v>
      </c>
      <c r="T431" s="35">
        <v>3.5</v>
      </c>
      <c r="U431" s="35">
        <v>2</v>
      </c>
      <c r="V431" s="35">
        <v>7.5</v>
      </c>
      <c r="W431" s="35">
        <v>9</v>
      </c>
      <c r="X431" s="35">
        <v>10.7</v>
      </c>
      <c r="Y431" s="35">
        <v>9</v>
      </c>
      <c r="Z431" s="35">
        <v>10.4</v>
      </c>
      <c r="AA431" s="35">
        <v>9</v>
      </c>
      <c r="AB431" s="35">
        <v>9.6999999999999993</v>
      </c>
      <c r="AC431" s="35">
        <v>9</v>
      </c>
      <c r="AD431" s="35">
        <v>20.399999999999999</v>
      </c>
      <c r="AE431" s="35">
        <v>19</v>
      </c>
      <c r="AF431" s="35">
        <v>20.7</v>
      </c>
      <c r="AG431" s="35">
        <v>19</v>
      </c>
      <c r="AH431" s="35">
        <v>19.2</v>
      </c>
      <c r="AI431" s="35">
        <v>19</v>
      </c>
      <c r="AJ431" s="35">
        <v>17.899999999999999</v>
      </c>
      <c r="AK431" s="35">
        <v>19</v>
      </c>
      <c r="AL431" s="35">
        <v>20</v>
      </c>
      <c r="AM431" s="35">
        <v>19</v>
      </c>
      <c r="AN431" s="35">
        <v>20.3</v>
      </c>
      <c r="AO431" s="35">
        <v>19</v>
      </c>
      <c r="AP431" s="35">
        <v>20.5</v>
      </c>
      <c r="AQ431" s="35">
        <v>19</v>
      </c>
      <c r="AR431" s="35">
        <v>20.8</v>
      </c>
      <c r="AS431" s="35">
        <v>19</v>
      </c>
      <c r="AT431" s="35">
        <v>19.600000000000001</v>
      </c>
      <c r="AU431" s="35">
        <v>19</v>
      </c>
      <c r="AV431" s="35">
        <v>20</v>
      </c>
      <c r="AW431" s="35">
        <v>19</v>
      </c>
      <c r="AX431" s="35">
        <v>20.9</v>
      </c>
      <c r="AY431" s="35">
        <v>20</v>
      </c>
      <c r="AZ431" s="35">
        <v>20.8</v>
      </c>
      <c r="BA431" s="35">
        <v>20</v>
      </c>
      <c r="BB431" s="35">
        <v>32.4</v>
      </c>
      <c r="BC431" s="35">
        <v>40</v>
      </c>
      <c r="BD431" s="35">
        <v>31.4</v>
      </c>
      <c r="BE431" s="35">
        <v>40</v>
      </c>
      <c r="BF431" s="35">
        <v>21.9</v>
      </c>
      <c r="BG431" s="35">
        <v>20</v>
      </c>
    </row>
    <row r="432" spans="1:59" x14ac:dyDescent="0.35">
      <c r="A432" s="36">
        <v>46059.755555555559</v>
      </c>
      <c r="B432" s="35">
        <v>1.8</v>
      </c>
      <c r="C432" s="35">
        <v>2</v>
      </c>
      <c r="D432" s="35">
        <v>2.2000000000000002</v>
      </c>
      <c r="E432" s="35">
        <v>2.2000000000000002</v>
      </c>
      <c r="F432" s="35">
        <v>1.9</v>
      </c>
      <c r="G432" s="35">
        <v>2</v>
      </c>
      <c r="H432" s="35">
        <v>2</v>
      </c>
      <c r="I432" s="35">
        <v>2</v>
      </c>
      <c r="J432" s="35">
        <v>1.8</v>
      </c>
      <c r="K432" s="35">
        <v>2</v>
      </c>
      <c r="L432" s="35">
        <v>2.7</v>
      </c>
      <c r="M432" s="35">
        <v>2</v>
      </c>
      <c r="N432" s="35">
        <v>2.1</v>
      </c>
      <c r="O432" s="35">
        <v>3</v>
      </c>
      <c r="P432" s="35">
        <v>2.2999999999999998</v>
      </c>
      <c r="Q432" s="35">
        <v>2</v>
      </c>
      <c r="R432" s="35">
        <v>3.9</v>
      </c>
      <c r="S432" s="35">
        <v>2</v>
      </c>
      <c r="T432" s="35">
        <v>3.7</v>
      </c>
      <c r="U432" s="35">
        <v>2</v>
      </c>
      <c r="V432" s="35">
        <v>7.9</v>
      </c>
      <c r="W432" s="35">
        <v>9</v>
      </c>
      <c r="X432" s="35">
        <v>10.8</v>
      </c>
      <c r="Y432" s="35">
        <v>9</v>
      </c>
      <c r="Z432" s="35">
        <v>10.5</v>
      </c>
      <c r="AA432" s="35">
        <v>9</v>
      </c>
      <c r="AB432" s="35">
        <v>10</v>
      </c>
      <c r="AC432" s="35">
        <v>9</v>
      </c>
      <c r="AD432" s="35">
        <v>20.399999999999999</v>
      </c>
      <c r="AE432" s="35">
        <v>19</v>
      </c>
      <c r="AF432" s="35">
        <v>20.7</v>
      </c>
      <c r="AG432" s="35">
        <v>19</v>
      </c>
      <c r="AH432" s="35">
        <v>19.3</v>
      </c>
      <c r="AI432" s="35">
        <v>19</v>
      </c>
      <c r="AJ432" s="35">
        <v>18</v>
      </c>
      <c r="AK432" s="35">
        <v>19</v>
      </c>
      <c r="AL432" s="35">
        <v>20.3</v>
      </c>
      <c r="AM432" s="35">
        <v>19</v>
      </c>
      <c r="AN432" s="35">
        <v>20.399999999999999</v>
      </c>
      <c r="AO432" s="35">
        <v>19</v>
      </c>
      <c r="AP432" s="35">
        <v>20.5</v>
      </c>
      <c r="AQ432" s="35">
        <v>19</v>
      </c>
      <c r="AR432" s="35">
        <v>20.8</v>
      </c>
      <c r="AS432" s="35">
        <v>19</v>
      </c>
      <c r="AT432" s="35">
        <v>19.7</v>
      </c>
      <c r="AU432" s="35">
        <v>19</v>
      </c>
      <c r="AV432" s="35">
        <v>20.100000000000001</v>
      </c>
      <c r="AW432" s="35">
        <v>19</v>
      </c>
      <c r="AX432" s="35">
        <v>20.9</v>
      </c>
      <c r="AY432" s="35">
        <v>20</v>
      </c>
      <c r="AZ432" s="35">
        <v>20.8</v>
      </c>
      <c r="BA432" s="35">
        <v>20</v>
      </c>
      <c r="BB432" s="35">
        <v>32.4</v>
      </c>
      <c r="BC432" s="35">
        <v>40</v>
      </c>
      <c r="BD432" s="35">
        <v>31.4</v>
      </c>
      <c r="BE432" s="35">
        <v>40</v>
      </c>
      <c r="BF432" s="35">
        <v>21.9</v>
      </c>
      <c r="BG432" s="35">
        <v>20</v>
      </c>
    </row>
    <row r="433" spans="1:59" x14ac:dyDescent="0.35">
      <c r="A433" s="36">
        <v>46059.756249999999</v>
      </c>
      <c r="B433" s="35">
        <v>2</v>
      </c>
      <c r="C433" s="35">
        <v>2</v>
      </c>
      <c r="D433" s="35">
        <v>2.2999999999999998</v>
      </c>
      <c r="E433" s="35">
        <v>2.2000000000000002</v>
      </c>
      <c r="F433" s="35">
        <v>2.2999999999999998</v>
      </c>
      <c r="G433" s="35">
        <v>2</v>
      </c>
      <c r="H433" s="35">
        <v>2.5</v>
      </c>
      <c r="I433" s="35">
        <v>2</v>
      </c>
      <c r="J433" s="35">
        <v>2.1</v>
      </c>
      <c r="K433" s="35">
        <v>2</v>
      </c>
      <c r="L433" s="35">
        <v>3</v>
      </c>
      <c r="M433" s="35">
        <v>2</v>
      </c>
      <c r="N433" s="35">
        <v>1.9</v>
      </c>
      <c r="O433" s="35">
        <v>3</v>
      </c>
      <c r="P433" s="35">
        <v>1.9</v>
      </c>
      <c r="Q433" s="35">
        <v>2</v>
      </c>
      <c r="R433" s="35">
        <v>4</v>
      </c>
      <c r="S433" s="35">
        <v>2</v>
      </c>
      <c r="T433" s="35">
        <v>3.8</v>
      </c>
      <c r="U433" s="35">
        <v>2</v>
      </c>
      <c r="V433" s="35">
        <v>8.6999999999999993</v>
      </c>
      <c r="W433" s="35">
        <v>9</v>
      </c>
      <c r="X433" s="35">
        <v>10.8</v>
      </c>
      <c r="Y433" s="35">
        <v>9</v>
      </c>
      <c r="Z433" s="35">
        <v>10.7</v>
      </c>
      <c r="AA433" s="35">
        <v>9</v>
      </c>
      <c r="AB433" s="35">
        <v>10.3</v>
      </c>
      <c r="AC433" s="35">
        <v>9</v>
      </c>
      <c r="AD433" s="35">
        <v>20.5</v>
      </c>
      <c r="AE433" s="35">
        <v>19</v>
      </c>
      <c r="AF433" s="35">
        <v>20.7</v>
      </c>
      <c r="AG433" s="35">
        <v>19</v>
      </c>
      <c r="AH433" s="35">
        <v>19.399999999999999</v>
      </c>
      <c r="AI433" s="35">
        <v>19</v>
      </c>
      <c r="AJ433" s="35">
        <v>18.399999999999999</v>
      </c>
      <c r="AK433" s="35">
        <v>19</v>
      </c>
      <c r="AL433" s="35">
        <v>20.5</v>
      </c>
      <c r="AM433" s="35">
        <v>19</v>
      </c>
      <c r="AN433" s="35">
        <v>20.5</v>
      </c>
      <c r="AO433" s="35">
        <v>19</v>
      </c>
      <c r="AP433" s="35">
        <v>20.5</v>
      </c>
      <c r="AQ433" s="35">
        <v>19</v>
      </c>
      <c r="AR433" s="35">
        <v>20.8</v>
      </c>
      <c r="AS433" s="35">
        <v>19</v>
      </c>
      <c r="AT433" s="35">
        <v>19.8</v>
      </c>
      <c r="AU433" s="35">
        <v>19</v>
      </c>
      <c r="AV433" s="35">
        <v>20.2</v>
      </c>
      <c r="AW433" s="35">
        <v>19</v>
      </c>
      <c r="AX433" s="35">
        <v>20.9</v>
      </c>
      <c r="AY433" s="35">
        <v>20</v>
      </c>
      <c r="AZ433" s="35">
        <v>20.8</v>
      </c>
      <c r="BA433" s="35">
        <v>20</v>
      </c>
      <c r="BB433" s="35">
        <v>32.4</v>
      </c>
      <c r="BC433" s="35">
        <v>40</v>
      </c>
      <c r="BD433" s="35">
        <v>31.4</v>
      </c>
      <c r="BE433" s="35">
        <v>40</v>
      </c>
      <c r="BF433" s="35">
        <v>21.9</v>
      </c>
      <c r="BG433" s="35">
        <v>20</v>
      </c>
    </row>
    <row r="434" spans="1:59" x14ac:dyDescent="0.35">
      <c r="A434" s="36">
        <v>46059.756944444445</v>
      </c>
      <c r="B434" s="35">
        <v>2.5</v>
      </c>
      <c r="C434" s="35">
        <v>2</v>
      </c>
      <c r="D434" s="35">
        <v>2.2999999999999998</v>
      </c>
      <c r="E434" s="35">
        <v>2.2000000000000002</v>
      </c>
      <c r="F434" s="35">
        <v>2.8</v>
      </c>
      <c r="G434" s="35">
        <v>2</v>
      </c>
      <c r="H434" s="35">
        <v>2.9</v>
      </c>
      <c r="I434" s="35">
        <v>2</v>
      </c>
      <c r="J434" s="35">
        <v>2.2999999999999998</v>
      </c>
      <c r="K434" s="35">
        <v>2</v>
      </c>
      <c r="L434" s="35">
        <v>3.3</v>
      </c>
      <c r="M434" s="35">
        <v>2</v>
      </c>
      <c r="N434" s="35">
        <v>1.9</v>
      </c>
      <c r="O434" s="35">
        <v>3</v>
      </c>
      <c r="P434" s="35">
        <v>2</v>
      </c>
      <c r="Q434" s="35">
        <v>2</v>
      </c>
      <c r="R434" s="35">
        <v>2.8</v>
      </c>
      <c r="S434" s="35">
        <v>2</v>
      </c>
      <c r="T434" s="35">
        <v>2.4</v>
      </c>
      <c r="U434" s="35">
        <v>2</v>
      </c>
      <c r="V434" s="35">
        <v>9.4</v>
      </c>
      <c r="W434" s="35">
        <v>9</v>
      </c>
      <c r="X434" s="35">
        <v>10.9</v>
      </c>
      <c r="Y434" s="35">
        <v>9</v>
      </c>
      <c r="Z434" s="35">
        <v>10.8</v>
      </c>
      <c r="AA434" s="35">
        <v>9</v>
      </c>
      <c r="AB434" s="35">
        <v>10.6</v>
      </c>
      <c r="AC434" s="35">
        <v>9</v>
      </c>
      <c r="AD434" s="35">
        <v>20.5</v>
      </c>
      <c r="AE434" s="35">
        <v>19</v>
      </c>
      <c r="AF434" s="35">
        <v>20.8</v>
      </c>
      <c r="AG434" s="35">
        <v>19</v>
      </c>
      <c r="AH434" s="35">
        <v>19.5</v>
      </c>
      <c r="AI434" s="35">
        <v>19</v>
      </c>
      <c r="AJ434" s="35">
        <v>18.600000000000001</v>
      </c>
      <c r="AK434" s="35">
        <v>19</v>
      </c>
      <c r="AL434" s="35">
        <v>20.7</v>
      </c>
      <c r="AM434" s="35">
        <v>19</v>
      </c>
      <c r="AN434" s="35">
        <v>20.6</v>
      </c>
      <c r="AO434" s="35">
        <v>19</v>
      </c>
      <c r="AP434" s="35">
        <v>20.5</v>
      </c>
      <c r="AQ434" s="35">
        <v>19</v>
      </c>
      <c r="AR434" s="35">
        <v>20.8</v>
      </c>
      <c r="AS434" s="35">
        <v>19</v>
      </c>
      <c r="AT434" s="35">
        <v>19.899999999999999</v>
      </c>
      <c r="AU434" s="35">
        <v>19</v>
      </c>
      <c r="AV434" s="35">
        <v>20.3</v>
      </c>
      <c r="AW434" s="35">
        <v>19</v>
      </c>
      <c r="AX434" s="35">
        <v>20.9</v>
      </c>
      <c r="AY434" s="35">
        <v>20</v>
      </c>
      <c r="AZ434" s="35">
        <v>20.8</v>
      </c>
      <c r="BA434" s="35">
        <v>20</v>
      </c>
      <c r="BB434" s="35">
        <v>32.4</v>
      </c>
      <c r="BC434" s="35">
        <v>40</v>
      </c>
      <c r="BD434" s="35">
        <v>31.4</v>
      </c>
      <c r="BE434" s="35">
        <v>40</v>
      </c>
      <c r="BF434" s="35">
        <v>21.9</v>
      </c>
      <c r="BG434" s="35">
        <v>20</v>
      </c>
    </row>
    <row r="435" spans="1:59" x14ac:dyDescent="0.35">
      <c r="A435" s="36">
        <v>46059.758333333331</v>
      </c>
      <c r="B435" s="35">
        <v>3.3</v>
      </c>
      <c r="C435" s="35">
        <v>2</v>
      </c>
      <c r="D435" s="35">
        <v>2.2999999999999998</v>
      </c>
      <c r="E435" s="35">
        <v>2.2000000000000002</v>
      </c>
      <c r="F435" s="35">
        <v>3.4</v>
      </c>
      <c r="G435" s="35">
        <v>2</v>
      </c>
      <c r="H435" s="35">
        <v>3.7</v>
      </c>
      <c r="I435" s="35">
        <v>2</v>
      </c>
      <c r="J435" s="35">
        <v>2.9</v>
      </c>
      <c r="K435" s="35">
        <v>2</v>
      </c>
      <c r="L435" s="35">
        <v>3.9</v>
      </c>
      <c r="M435" s="35">
        <v>2</v>
      </c>
      <c r="N435" s="35">
        <v>2.5</v>
      </c>
      <c r="O435" s="35">
        <v>3</v>
      </c>
      <c r="P435" s="35">
        <v>2.6</v>
      </c>
      <c r="Q435" s="35">
        <v>2</v>
      </c>
      <c r="R435" s="35">
        <v>1.6</v>
      </c>
      <c r="S435" s="35">
        <v>2</v>
      </c>
      <c r="T435" s="35">
        <v>1</v>
      </c>
      <c r="U435" s="35">
        <v>2</v>
      </c>
      <c r="V435" s="35">
        <v>10.5</v>
      </c>
      <c r="W435" s="35">
        <v>9</v>
      </c>
      <c r="X435" s="35">
        <v>10.8</v>
      </c>
      <c r="Y435" s="35">
        <v>9</v>
      </c>
      <c r="Z435" s="35">
        <v>11</v>
      </c>
      <c r="AA435" s="35">
        <v>9</v>
      </c>
      <c r="AB435" s="35">
        <v>11</v>
      </c>
      <c r="AC435" s="35">
        <v>9</v>
      </c>
      <c r="AD435" s="35">
        <v>20.5</v>
      </c>
      <c r="AE435" s="35">
        <v>19</v>
      </c>
      <c r="AF435" s="35">
        <v>20.8</v>
      </c>
      <c r="AG435" s="35">
        <v>19</v>
      </c>
      <c r="AH435" s="35">
        <v>19.7</v>
      </c>
      <c r="AI435" s="35">
        <v>19</v>
      </c>
      <c r="AJ435" s="35">
        <v>19</v>
      </c>
      <c r="AK435" s="35">
        <v>19</v>
      </c>
      <c r="AL435" s="35">
        <v>21</v>
      </c>
      <c r="AM435" s="35">
        <v>19</v>
      </c>
      <c r="AN435" s="35">
        <v>20.8</v>
      </c>
      <c r="AO435" s="35">
        <v>19</v>
      </c>
      <c r="AP435" s="35">
        <v>20.5</v>
      </c>
      <c r="AQ435" s="35">
        <v>19</v>
      </c>
      <c r="AR435" s="35">
        <v>20.8</v>
      </c>
      <c r="AS435" s="35">
        <v>19</v>
      </c>
      <c r="AT435" s="35">
        <v>20.2</v>
      </c>
      <c r="AU435" s="35">
        <v>19</v>
      </c>
      <c r="AV435" s="35">
        <v>20.399999999999999</v>
      </c>
      <c r="AW435" s="35">
        <v>19</v>
      </c>
      <c r="AX435" s="35">
        <v>21</v>
      </c>
      <c r="AY435" s="35">
        <v>20</v>
      </c>
      <c r="AZ435" s="35">
        <v>20.8</v>
      </c>
      <c r="BA435" s="35">
        <v>20</v>
      </c>
      <c r="BB435" s="35">
        <v>32.299999999999997</v>
      </c>
      <c r="BC435" s="35">
        <v>40</v>
      </c>
      <c r="BD435" s="35">
        <v>31.4</v>
      </c>
      <c r="BE435" s="35">
        <v>40</v>
      </c>
      <c r="BF435" s="35">
        <v>17.399999999999999</v>
      </c>
      <c r="BG435" s="35">
        <v>20</v>
      </c>
    </row>
    <row r="436" spans="1:59" x14ac:dyDescent="0.35">
      <c r="A436" s="36">
        <v>46059.759027777778</v>
      </c>
      <c r="B436" s="35">
        <v>3.7</v>
      </c>
      <c r="C436" s="35">
        <v>2</v>
      </c>
      <c r="D436" s="35">
        <v>2.2999999999999998</v>
      </c>
      <c r="E436" s="35">
        <v>2.2000000000000002</v>
      </c>
      <c r="F436" s="35">
        <v>3.6</v>
      </c>
      <c r="G436" s="35">
        <v>2</v>
      </c>
      <c r="H436" s="35">
        <v>4</v>
      </c>
      <c r="I436" s="35">
        <v>2</v>
      </c>
      <c r="J436" s="35">
        <v>3.1</v>
      </c>
      <c r="K436" s="35">
        <v>2</v>
      </c>
      <c r="L436" s="35">
        <v>4</v>
      </c>
      <c r="M436" s="35">
        <v>2</v>
      </c>
      <c r="N436" s="35">
        <v>2.8</v>
      </c>
      <c r="O436" s="35">
        <v>3</v>
      </c>
      <c r="P436" s="35">
        <v>2.9</v>
      </c>
      <c r="Q436" s="35">
        <v>2</v>
      </c>
      <c r="R436" s="35">
        <v>1.8</v>
      </c>
      <c r="S436" s="35">
        <v>2</v>
      </c>
      <c r="T436" s="35">
        <v>1.3</v>
      </c>
      <c r="U436" s="35">
        <v>2</v>
      </c>
      <c r="V436" s="35">
        <v>10.9</v>
      </c>
      <c r="W436" s="35">
        <v>9</v>
      </c>
      <c r="X436" s="35">
        <v>10.4</v>
      </c>
      <c r="Y436" s="35">
        <v>9</v>
      </c>
      <c r="Z436" s="35">
        <v>10.8</v>
      </c>
      <c r="AA436" s="35">
        <v>9</v>
      </c>
      <c r="AB436" s="35">
        <v>10.5</v>
      </c>
      <c r="AC436" s="35">
        <v>9</v>
      </c>
      <c r="AD436" s="35">
        <v>20.6</v>
      </c>
      <c r="AE436" s="35">
        <v>19</v>
      </c>
      <c r="AF436" s="35">
        <v>20.8</v>
      </c>
      <c r="AG436" s="35">
        <v>19</v>
      </c>
      <c r="AH436" s="35">
        <v>19.7</v>
      </c>
      <c r="AI436" s="35">
        <v>19</v>
      </c>
      <c r="AJ436" s="35">
        <v>19.2</v>
      </c>
      <c r="AK436" s="35">
        <v>19</v>
      </c>
      <c r="AL436" s="35">
        <v>20.9</v>
      </c>
      <c r="AM436" s="35">
        <v>19</v>
      </c>
      <c r="AN436" s="35">
        <v>20.9</v>
      </c>
      <c r="AO436" s="35">
        <v>19</v>
      </c>
      <c r="AP436" s="35">
        <v>20.6</v>
      </c>
      <c r="AQ436" s="35">
        <v>19</v>
      </c>
      <c r="AR436" s="35">
        <v>20.8</v>
      </c>
      <c r="AS436" s="35">
        <v>19</v>
      </c>
      <c r="AT436" s="35">
        <v>20.3</v>
      </c>
      <c r="AU436" s="35">
        <v>19</v>
      </c>
      <c r="AV436" s="35">
        <v>20.399999999999999</v>
      </c>
      <c r="AW436" s="35">
        <v>19</v>
      </c>
      <c r="AX436" s="35">
        <v>21.1</v>
      </c>
      <c r="AY436" s="35">
        <v>20</v>
      </c>
      <c r="AZ436" s="35">
        <v>20.8</v>
      </c>
      <c r="BA436" s="35">
        <v>20</v>
      </c>
      <c r="BB436" s="35">
        <v>32.299999999999997</v>
      </c>
      <c r="BC436" s="35">
        <v>40</v>
      </c>
      <c r="BD436" s="35">
        <v>31.3</v>
      </c>
      <c r="BE436" s="35">
        <v>40</v>
      </c>
      <c r="BF436" s="35">
        <v>18.2</v>
      </c>
      <c r="BG436" s="35">
        <v>20</v>
      </c>
    </row>
    <row r="437" spans="1:59" x14ac:dyDescent="0.35">
      <c r="A437" s="36">
        <v>46059.759722222225</v>
      </c>
      <c r="B437" s="35">
        <v>4</v>
      </c>
      <c r="C437" s="35">
        <v>2</v>
      </c>
      <c r="D437" s="35">
        <v>2.2999999999999998</v>
      </c>
      <c r="E437" s="35">
        <v>2.2000000000000002</v>
      </c>
      <c r="F437" s="35">
        <v>3.4</v>
      </c>
      <c r="G437" s="35">
        <v>2</v>
      </c>
      <c r="H437" s="35">
        <v>3</v>
      </c>
      <c r="I437" s="35">
        <v>2</v>
      </c>
      <c r="J437" s="35">
        <v>3.1</v>
      </c>
      <c r="K437" s="35">
        <v>2</v>
      </c>
      <c r="L437" s="35">
        <v>3.1</v>
      </c>
      <c r="M437" s="35">
        <v>2</v>
      </c>
      <c r="N437" s="35">
        <v>3.1</v>
      </c>
      <c r="O437" s="35">
        <v>3</v>
      </c>
      <c r="P437" s="35">
        <v>3.1</v>
      </c>
      <c r="Q437" s="35">
        <v>2</v>
      </c>
      <c r="R437" s="35">
        <v>2</v>
      </c>
      <c r="S437" s="35">
        <v>2</v>
      </c>
      <c r="T437" s="35">
        <v>1.7</v>
      </c>
      <c r="U437" s="35">
        <v>2</v>
      </c>
      <c r="V437" s="35">
        <v>10.9</v>
      </c>
      <c r="W437" s="35">
        <v>9</v>
      </c>
      <c r="X437" s="35">
        <v>10</v>
      </c>
      <c r="Y437" s="35">
        <v>9</v>
      </c>
      <c r="Z437" s="35">
        <v>10.5</v>
      </c>
      <c r="AA437" s="35">
        <v>9</v>
      </c>
      <c r="AB437" s="35">
        <v>10.1</v>
      </c>
      <c r="AC437" s="35">
        <v>9</v>
      </c>
      <c r="AD437" s="35">
        <v>20.6</v>
      </c>
      <c r="AE437" s="35">
        <v>19</v>
      </c>
      <c r="AF437" s="35">
        <v>20.9</v>
      </c>
      <c r="AG437" s="35">
        <v>19</v>
      </c>
      <c r="AH437" s="35">
        <v>19.8</v>
      </c>
      <c r="AI437" s="35">
        <v>19</v>
      </c>
      <c r="AJ437" s="35">
        <v>19.3</v>
      </c>
      <c r="AK437" s="35">
        <v>19</v>
      </c>
      <c r="AL437" s="35">
        <v>20.5</v>
      </c>
      <c r="AM437" s="35">
        <v>19</v>
      </c>
      <c r="AN437" s="35">
        <v>20.9</v>
      </c>
      <c r="AO437" s="35">
        <v>19</v>
      </c>
      <c r="AP437" s="35">
        <v>20.6</v>
      </c>
      <c r="AQ437" s="35">
        <v>19</v>
      </c>
      <c r="AR437" s="35">
        <v>20.8</v>
      </c>
      <c r="AS437" s="35">
        <v>19</v>
      </c>
      <c r="AT437" s="35">
        <v>20.3</v>
      </c>
      <c r="AU437" s="35">
        <v>19</v>
      </c>
      <c r="AV437" s="35">
        <v>20.5</v>
      </c>
      <c r="AW437" s="35">
        <v>19</v>
      </c>
      <c r="AX437" s="35">
        <v>21.1</v>
      </c>
      <c r="AY437" s="35">
        <v>20</v>
      </c>
      <c r="AZ437" s="35">
        <v>20.8</v>
      </c>
      <c r="BA437" s="35">
        <v>20</v>
      </c>
      <c r="BB437" s="35">
        <v>32.299999999999997</v>
      </c>
      <c r="BC437" s="35">
        <v>40</v>
      </c>
      <c r="BD437" s="35">
        <v>31.3</v>
      </c>
      <c r="BE437" s="35">
        <v>40</v>
      </c>
      <c r="BF437" s="35">
        <v>18.8</v>
      </c>
      <c r="BG437" s="35">
        <v>20</v>
      </c>
    </row>
    <row r="438" spans="1:59" x14ac:dyDescent="0.35">
      <c r="A438" s="36">
        <v>46059.760416666664</v>
      </c>
      <c r="B438" s="35">
        <v>2.9</v>
      </c>
      <c r="C438" s="35">
        <v>2</v>
      </c>
      <c r="D438" s="35">
        <v>2.2999999999999998</v>
      </c>
      <c r="E438" s="35">
        <v>2.2000000000000002</v>
      </c>
      <c r="F438" s="35">
        <v>3.2</v>
      </c>
      <c r="G438" s="35">
        <v>2</v>
      </c>
      <c r="H438" s="35">
        <v>2.5</v>
      </c>
      <c r="I438" s="35">
        <v>2</v>
      </c>
      <c r="J438" s="35">
        <v>2.4</v>
      </c>
      <c r="K438" s="35">
        <v>2</v>
      </c>
      <c r="L438" s="35">
        <v>2.1</v>
      </c>
      <c r="M438" s="35">
        <v>2</v>
      </c>
      <c r="N438" s="35">
        <v>3.3</v>
      </c>
      <c r="O438" s="35">
        <v>3</v>
      </c>
      <c r="P438" s="35">
        <v>3.3</v>
      </c>
      <c r="Q438" s="35">
        <v>2</v>
      </c>
      <c r="R438" s="35">
        <v>2.2999999999999998</v>
      </c>
      <c r="S438" s="35">
        <v>2</v>
      </c>
      <c r="T438" s="35">
        <v>2</v>
      </c>
      <c r="U438" s="35">
        <v>2</v>
      </c>
      <c r="V438" s="35">
        <v>8.4</v>
      </c>
      <c r="W438" s="35">
        <v>9</v>
      </c>
      <c r="X438" s="35">
        <v>9.3000000000000007</v>
      </c>
      <c r="Y438" s="35">
        <v>9</v>
      </c>
      <c r="Z438" s="35">
        <v>10.199999999999999</v>
      </c>
      <c r="AA438" s="35">
        <v>9</v>
      </c>
      <c r="AB438" s="35">
        <v>9.4</v>
      </c>
      <c r="AC438" s="35">
        <v>9</v>
      </c>
      <c r="AD438" s="35">
        <v>20.6</v>
      </c>
      <c r="AE438" s="35">
        <v>19</v>
      </c>
      <c r="AF438" s="35">
        <v>20.9</v>
      </c>
      <c r="AG438" s="35">
        <v>19</v>
      </c>
      <c r="AH438" s="35">
        <v>19.8</v>
      </c>
      <c r="AI438" s="35">
        <v>19</v>
      </c>
      <c r="AJ438" s="35">
        <v>19.399999999999999</v>
      </c>
      <c r="AK438" s="35">
        <v>19</v>
      </c>
      <c r="AL438" s="35">
        <v>20.2</v>
      </c>
      <c r="AM438" s="35">
        <v>19</v>
      </c>
      <c r="AN438" s="35">
        <v>20.9</v>
      </c>
      <c r="AO438" s="35">
        <v>19</v>
      </c>
      <c r="AP438" s="35">
        <v>20.6</v>
      </c>
      <c r="AQ438" s="35">
        <v>19</v>
      </c>
      <c r="AR438" s="35">
        <v>20.8</v>
      </c>
      <c r="AS438" s="35">
        <v>19</v>
      </c>
      <c r="AT438" s="35">
        <v>20.399999999999999</v>
      </c>
      <c r="AU438" s="35">
        <v>19</v>
      </c>
      <c r="AV438" s="35">
        <v>20.5</v>
      </c>
      <c r="AW438" s="35">
        <v>19</v>
      </c>
      <c r="AX438" s="35">
        <v>21.1</v>
      </c>
      <c r="AY438" s="35">
        <v>20</v>
      </c>
      <c r="AZ438" s="35">
        <v>20.8</v>
      </c>
      <c r="BA438" s="35">
        <v>20</v>
      </c>
      <c r="BB438" s="35">
        <v>32.299999999999997</v>
      </c>
      <c r="BC438" s="35">
        <v>40</v>
      </c>
      <c r="BD438" s="35">
        <v>31.3</v>
      </c>
      <c r="BE438" s="35">
        <v>40</v>
      </c>
      <c r="BF438" s="35">
        <v>19.399999999999999</v>
      </c>
      <c r="BG438" s="35">
        <v>20</v>
      </c>
    </row>
    <row r="439" spans="1:59" x14ac:dyDescent="0.35">
      <c r="A439" s="36">
        <v>46059.761111111111</v>
      </c>
      <c r="B439" s="35">
        <v>1.7</v>
      </c>
      <c r="C439" s="35">
        <v>2</v>
      </c>
      <c r="D439" s="35">
        <v>2.2999999999999998</v>
      </c>
      <c r="E439" s="35">
        <v>2.2000000000000002</v>
      </c>
      <c r="F439" s="35">
        <v>3.2</v>
      </c>
      <c r="G439" s="35">
        <v>2</v>
      </c>
      <c r="H439" s="35">
        <v>2.5</v>
      </c>
      <c r="I439" s="35">
        <v>2</v>
      </c>
      <c r="J439" s="35">
        <v>2.1</v>
      </c>
      <c r="K439" s="35">
        <v>2</v>
      </c>
      <c r="L439" s="35">
        <v>1.9</v>
      </c>
      <c r="M439" s="35">
        <v>2</v>
      </c>
      <c r="N439" s="35">
        <v>3.5</v>
      </c>
      <c r="O439" s="35">
        <v>3</v>
      </c>
      <c r="P439" s="35">
        <v>3.5</v>
      </c>
      <c r="Q439" s="35">
        <v>2</v>
      </c>
      <c r="R439" s="35">
        <v>2.5</v>
      </c>
      <c r="S439" s="35">
        <v>2</v>
      </c>
      <c r="T439" s="35">
        <v>2.4</v>
      </c>
      <c r="U439" s="35">
        <v>2</v>
      </c>
      <c r="V439" s="35">
        <v>8</v>
      </c>
      <c r="W439" s="35">
        <v>9</v>
      </c>
      <c r="X439" s="35">
        <v>8.5</v>
      </c>
      <c r="Y439" s="35">
        <v>9</v>
      </c>
      <c r="Z439" s="35">
        <v>9.5</v>
      </c>
      <c r="AA439" s="35">
        <v>9</v>
      </c>
      <c r="AB439" s="35">
        <v>8.6</v>
      </c>
      <c r="AC439" s="35">
        <v>9</v>
      </c>
      <c r="AD439" s="35">
        <v>20.6</v>
      </c>
      <c r="AE439" s="35">
        <v>19</v>
      </c>
      <c r="AF439" s="35">
        <v>20.9</v>
      </c>
      <c r="AG439" s="35">
        <v>19</v>
      </c>
      <c r="AH439" s="35">
        <v>19.899999999999999</v>
      </c>
      <c r="AI439" s="35">
        <v>19</v>
      </c>
      <c r="AJ439" s="35">
        <v>19.5</v>
      </c>
      <c r="AK439" s="35">
        <v>19</v>
      </c>
      <c r="AL439" s="35">
        <v>20</v>
      </c>
      <c r="AM439" s="35">
        <v>19</v>
      </c>
      <c r="AN439" s="35">
        <v>20.9</v>
      </c>
      <c r="AO439" s="35">
        <v>19</v>
      </c>
      <c r="AP439" s="35">
        <v>20.6</v>
      </c>
      <c r="AQ439" s="35">
        <v>19</v>
      </c>
      <c r="AR439" s="35">
        <v>20.8</v>
      </c>
      <c r="AS439" s="35">
        <v>19</v>
      </c>
      <c r="AT439" s="35">
        <v>20.5</v>
      </c>
      <c r="AU439" s="35">
        <v>19</v>
      </c>
      <c r="AV439" s="35">
        <v>20.5</v>
      </c>
      <c r="AW439" s="35">
        <v>19</v>
      </c>
      <c r="AX439" s="35">
        <v>21</v>
      </c>
      <c r="AY439" s="35">
        <v>20</v>
      </c>
      <c r="AZ439" s="35">
        <v>20.8</v>
      </c>
      <c r="BA439" s="35">
        <v>20</v>
      </c>
      <c r="BB439" s="35">
        <v>32.299999999999997</v>
      </c>
      <c r="BC439" s="35">
        <v>40</v>
      </c>
      <c r="BD439" s="35">
        <v>31.3</v>
      </c>
      <c r="BE439" s="35">
        <v>40</v>
      </c>
      <c r="BF439" s="35">
        <v>19.8</v>
      </c>
      <c r="BG439" s="35">
        <v>20</v>
      </c>
    </row>
    <row r="440" spans="1:59" x14ac:dyDescent="0.35">
      <c r="A440" s="36">
        <v>46059.761805555558</v>
      </c>
      <c r="B440" s="35">
        <v>2</v>
      </c>
      <c r="C440" s="35">
        <v>2</v>
      </c>
      <c r="D440" s="35">
        <v>2.2999999999999998</v>
      </c>
      <c r="E440" s="35">
        <v>2.2000000000000002</v>
      </c>
      <c r="F440" s="35">
        <v>3.2</v>
      </c>
      <c r="G440" s="35">
        <v>2</v>
      </c>
      <c r="H440" s="35">
        <v>2.6</v>
      </c>
      <c r="I440" s="35">
        <v>2</v>
      </c>
      <c r="J440" s="35">
        <v>2.1</v>
      </c>
      <c r="K440" s="35">
        <v>2</v>
      </c>
      <c r="L440" s="35">
        <v>2</v>
      </c>
      <c r="M440" s="35">
        <v>2</v>
      </c>
      <c r="N440" s="35">
        <v>3.8</v>
      </c>
      <c r="O440" s="35">
        <v>3</v>
      </c>
      <c r="P440" s="35">
        <v>3.6</v>
      </c>
      <c r="Q440" s="35">
        <v>2</v>
      </c>
      <c r="R440" s="35">
        <v>2.7</v>
      </c>
      <c r="S440" s="35">
        <v>2</v>
      </c>
      <c r="T440" s="35">
        <v>2.6</v>
      </c>
      <c r="U440" s="35">
        <v>2</v>
      </c>
      <c r="V440" s="35">
        <v>8.6</v>
      </c>
      <c r="W440" s="35">
        <v>9</v>
      </c>
      <c r="X440" s="35">
        <v>8.4</v>
      </c>
      <c r="Y440" s="35">
        <v>9</v>
      </c>
      <c r="Z440" s="35">
        <v>8.9</v>
      </c>
      <c r="AA440" s="35">
        <v>9</v>
      </c>
      <c r="AB440" s="35">
        <v>8.8000000000000007</v>
      </c>
      <c r="AC440" s="35">
        <v>9</v>
      </c>
      <c r="AD440" s="35">
        <v>20.7</v>
      </c>
      <c r="AE440" s="35">
        <v>19</v>
      </c>
      <c r="AF440" s="35">
        <v>20.9</v>
      </c>
      <c r="AG440" s="35">
        <v>19</v>
      </c>
      <c r="AH440" s="35">
        <v>20</v>
      </c>
      <c r="AI440" s="35">
        <v>19</v>
      </c>
      <c r="AJ440" s="35">
        <v>19.7</v>
      </c>
      <c r="AK440" s="35">
        <v>19</v>
      </c>
      <c r="AL440" s="35">
        <v>19.7</v>
      </c>
      <c r="AM440" s="35">
        <v>19</v>
      </c>
      <c r="AN440" s="35">
        <v>20.9</v>
      </c>
      <c r="AO440" s="35">
        <v>19</v>
      </c>
      <c r="AP440" s="35">
        <v>20.6</v>
      </c>
      <c r="AQ440" s="35">
        <v>19</v>
      </c>
      <c r="AR440" s="35">
        <v>20.8</v>
      </c>
      <c r="AS440" s="35">
        <v>19</v>
      </c>
      <c r="AT440" s="35">
        <v>20.6</v>
      </c>
      <c r="AU440" s="35">
        <v>19</v>
      </c>
      <c r="AV440" s="35">
        <v>20.6</v>
      </c>
      <c r="AW440" s="35">
        <v>19</v>
      </c>
      <c r="AX440" s="35">
        <v>21</v>
      </c>
      <c r="AY440" s="35">
        <v>20</v>
      </c>
      <c r="AZ440" s="35">
        <v>20.8</v>
      </c>
      <c r="BA440" s="35">
        <v>20</v>
      </c>
      <c r="BB440" s="35">
        <v>32.299999999999997</v>
      </c>
      <c r="BC440" s="35">
        <v>40</v>
      </c>
      <c r="BD440" s="35">
        <v>31.3</v>
      </c>
      <c r="BE440" s="35">
        <v>40</v>
      </c>
      <c r="BF440" s="35">
        <v>20.100000000000001</v>
      </c>
      <c r="BG440" s="35">
        <v>20</v>
      </c>
    </row>
    <row r="441" spans="1:59" x14ac:dyDescent="0.35">
      <c r="A441" s="36">
        <v>46059.762499999997</v>
      </c>
      <c r="B441" s="35">
        <v>3.4</v>
      </c>
      <c r="C441" s="35">
        <v>2</v>
      </c>
      <c r="D441" s="35">
        <v>2.2999999999999998</v>
      </c>
      <c r="E441" s="35">
        <v>2.2000000000000002</v>
      </c>
      <c r="F441" s="35">
        <v>3.4</v>
      </c>
      <c r="G441" s="35">
        <v>2</v>
      </c>
      <c r="H441" s="35">
        <v>2.8</v>
      </c>
      <c r="I441" s="35">
        <v>2</v>
      </c>
      <c r="J441" s="35">
        <v>2.4</v>
      </c>
      <c r="K441" s="35">
        <v>2</v>
      </c>
      <c r="L441" s="35">
        <v>2.4</v>
      </c>
      <c r="M441" s="35">
        <v>2</v>
      </c>
      <c r="N441" s="35">
        <v>4</v>
      </c>
      <c r="O441" s="35">
        <v>3</v>
      </c>
      <c r="P441" s="35">
        <v>3.8</v>
      </c>
      <c r="Q441" s="35">
        <v>2</v>
      </c>
      <c r="R441" s="35">
        <v>2.9</v>
      </c>
      <c r="S441" s="35">
        <v>2</v>
      </c>
      <c r="T441" s="35">
        <v>2.8</v>
      </c>
      <c r="U441" s="35">
        <v>2</v>
      </c>
      <c r="V441" s="35">
        <v>9.3000000000000007</v>
      </c>
      <c r="W441" s="35">
        <v>9</v>
      </c>
      <c r="X441" s="35">
        <v>8.4</v>
      </c>
      <c r="Y441" s="35">
        <v>9</v>
      </c>
      <c r="Z441" s="35">
        <v>8.6999999999999993</v>
      </c>
      <c r="AA441" s="35">
        <v>9</v>
      </c>
      <c r="AB441" s="35">
        <v>9.3000000000000007</v>
      </c>
      <c r="AC441" s="35">
        <v>9</v>
      </c>
      <c r="AD441" s="35">
        <v>20.7</v>
      </c>
      <c r="AE441" s="35">
        <v>19</v>
      </c>
      <c r="AF441" s="35">
        <v>21</v>
      </c>
      <c r="AG441" s="35">
        <v>19</v>
      </c>
      <c r="AH441" s="35">
        <v>20</v>
      </c>
      <c r="AI441" s="35">
        <v>19</v>
      </c>
      <c r="AJ441" s="35">
        <v>19.8</v>
      </c>
      <c r="AK441" s="35">
        <v>19</v>
      </c>
      <c r="AL441" s="35">
        <v>19.600000000000001</v>
      </c>
      <c r="AM441" s="35">
        <v>19</v>
      </c>
      <c r="AN441" s="35">
        <v>20.9</v>
      </c>
      <c r="AO441" s="35">
        <v>19</v>
      </c>
      <c r="AP441" s="35">
        <v>20.6</v>
      </c>
      <c r="AQ441" s="35">
        <v>19</v>
      </c>
      <c r="AR441" s="35">
        <v>20.8</v>
      </c>
      <c r="AS441" s="35">
        <v>19</v>
      </c>
      <c r="AT441" s="35">
        <v>20.7</v>
      </c>
      <c r="AU441" s="35">
        <v>19</v>
      </c>
      <c r="AV441" s="35">
        <v>20.6</v>
      </c>
      <c r="AW441" s="35">
        <v>19</v>
      </c>
      <c r="AX441" s="35">
        <v>20.9</v>
      </c>
      <c r="AY441" s="35">
        <v>20</v>
      </c>
      <c r="AZ441" s="35">
        <v>20.8</v>
      </c>
      <c r="BA441" s="35">
        <v>20</v>
      </c>
      <c r="BB441" s="35">
        <v>32.299999999999997</v>
      </c>
      <c r="BC441" s="35">
        <v>40</v>
      </c>
      <c r="BD441" s="35">
        <v>31.3</v>
      </c>
      <c r="BE441" s="35">
        <v>40</v>
      </c>
      <c r="BF441" s="35">
        <v>20.5</v>
      </c>
      <c r="BG441" s="35">
        <v>20</v>
      </c>
    </row>
    <row r="442" spans="1:59" x14ac:dyDescent="0.35">
      <c r="A442" s="36">
        <v>46059.763194444444</v>
      </c>
      <c r="B442" s="35">
        <v>3.9</v>
      </c>
      <c r="C442" s="35">
        <v>2</v>
      </c>
      <c r="D442" s="35">
        <v>2.2999999999999998</v>
      </c>
      <c r="E442" s="35">
        <v>2.2000000000000002</v>
      </c>
      <c r="F442" s="35">
        <v>3.7</v>
      </c>
      <c r="G442" s="35">
        <v>2</v>
      </c>
      <c r="H442" s="35">
        <v>3.1</v>
      </c>
      <c r="I442" s="35">
        <v>2</v>
      </c>
      <c r="J442" s="35">
        <v>2.7</v>
      </c>
      <c r="K442" s="35">
        <v>2</v>
      </c>
      <c r="L442" s="35">
        <v>2.8</v>
      </c>
      <c r="M442" s="35">
        <v>2</v>
      </c>
      <c r="N442" s="35">
        <v>4.2</v>
      </c>
      <c r="O442" s="35">
        <v>3</v>
      </c>
      <c r="P442" s="35">
        <v>3.9</v>
      </c>
      <c r="Q442" s="35">
        <v>2</v>
      </c>
      <c r="R442" s="35">
        <v>3.1</v>
      </c>
      <c r="S442" s="35">
        <v>2</v>
      </c>
      <c r="T442" s="35">
        <v>3</v>
      </c>
      <c r="U442" s="35">
        <v>2</v>
      </c>
      <c r="V442" s="35">
        <v>9.9</v>
      </c>
      <c r="W442" s="35">
        <v>9</v>
      </c>
      <c r="X442" s="35">
        <v>8.6</v>
      </c>
      <c r="Y442" s="35">
        <v>9</v>
      </c>
      <c r="Z442" s="35">
        <v>8.8000000000000007</v>
      </c>
      <c r="AA442" s="35">
        <v>9</v>
      </c>
      <c r="AB442" s="35">
        <v>9.8000000000000007</v>
      </c>
      <c r="AC442" s="35">
        <v>9</v>
      </c>
      <c r="AD442" s="35">
        <v>20.7</v>
      </c>
      <c r="AE442" s="35">
        <v>19</v>
      </c>
      <c r="AF442" s="35">
        <v>20.2</v>
      </c>
      <c r="AG442" s="35">
        <v>19</v>
      </c>
      <c r="AH442" s="35">
        <v>20.100000000000001</v>
      </c>
      <c r="AI442" s="35">
        <v>19</v>
      </c>
      <c r="AJ442" s="35">
        <v>19.899999999999999</v>
      </c>
      <c r="AK442" s="35">
        <v>19</v>
      </c>
      <c r="AL442" s="35">
        <v>19.5</v>
      </c>
      <c r="AM442" s="35">
        <v>19</v>
      </c>
      <c r="AN442" s="35">
        <v>20.9</v>
      </c>
      <c r="AO442" s="35">
        <v>19</v>
      </c>
      <c r="AP442" s="35">
        <v>20.6</v>
      </c>
      <c r="AQ442" s="35">
        <v>19</v>
      </c>
      <c r="AR442" s="35">
        <v>20.8</v>
      </c>
      <c r="AS442" s="35">
        <v>19</v>
      </c>
      <c r="AT442" s="35">
        <v>20.8</v>
      </c>
      <c r="AU442" s="35">
        <v>19</v>
      </c>
      <c r="AV442" s="35">
        <v>20.7</v>
      </c>
      <c r="AW442" s="35">
        <v>19</v>
      </c>
      <c r="AX442" s="35">
        <v>20.9</v>
      </c>
      <c r="AY442" s="35">
        <v>20</v>
      </c>
      <c r="AZ442" s="35">
        <v>20.8</v>
      </c>
      <c r="BA442" s="35">
        <v>20</v>
      </c>
      <c r="BB442" s="35">
        <v>32.299999999999997</v>
      </c>
      <c r="BC442" s="35">
        <v>40</v>
      </c>
      <c r="BD442" s="35">
        <v>31.3</v>
      </c>
      <c r="BE442" s="35">
        <v>40</v>
      </c>
      <c r="BF442" s="35">
        <v>20.8</v>
      </c>
      <c r="BG442" s="35">
        <v>20</v>
      </c>
    </row>
    <row r="443" spans="1:59" x14ac:dyDescent="0.35">
      <c r="A443" s="36">
        <v>46059.763888888891</v>
      </c>
      <c r="B443" s="35">
        <v>3.4</v>
      </c>
      <c r="C443" s="35">
        <v>2</v>
      </c>
      <c r="D443" s="35">
        <v>2.2999999999999998</v>
      </c>
      <c r="E443" s="35">
        <v>2.2000000000000002</v>
      </c>
      <c r="F443" s="35">
        <v>3.9</v>
      </c>
      <c r="G443" s="35">
        <v>2</v>
      </c>
      <c r="H443" s="35">
        <v>3.4</v>
      </c>
      <c r="I443" s="35">
        <v>2</v>
      </c>
      <c r="J443" s="35">
        <v>3</v>
      </c>
      <c r="K443" s="35">
        <v>2</v>
      </c>
      <c r="L443" s="35">
        <v>3.2</v>
      </c>
      <c r="M443" s="35">
        <v>2</v>
      </c>
      <c r="N443" s="35">
        <v>3.8</v>
      </c>
      <c r="O443" s="35">
        <v>3</v>
      </c>
      <c r="P443" s="35">
        <v>3.8</v>
      </c>
      <c r="Q443" s="35">
        <v>2</v>
      </c>
      <c r="R443" s="35">
        <v>3.2</v>
      </c>
      <c r="S443" s="35">
        <v>2</v>
      </c>
      <c r="T443" s="35">
        <v>3.1</v>
      </c>
      <c r="U443" s="35">
        <v>2</v>
      </c>
      <c r="V443" s="35">
        <v>10.4</v>
      </c>
      <c r="W443" s="35">
        <v>9</v>
      </c>
      <c r="X443" s="35">
        <v>8.9</v>
      </c>
      <c r="Y443" s="35">
        <v>9</v>
      </c>
      <c r="Z443" s="35">
        <v>9.1999999999999993</v>
      </c>
      <c r="AA443" s="35">
        <v>9</v>
      </c>
      <c r="AB443" s="35">
        <v>10.199999999999999</v>
      </c>
      <c r="AC443" s="35">
        <v>9</v>
      </c>
      <c r="AD443" s="35">
        <v>20.7</v>
      </c>
      <c r="AE443" s="35">
        <v>19</v>
      </c>
      <c r="AF443" s="35">
        <v>19.399999999999999</v>
      </c>
      <c r="AG443" s="35">
        <v>19</v>
      </c>
      <c r="AH443" s="35">
        <v>20.2</v>
      </c>
      <c r="AI443" s="35">
        <v>19</v>
      </c>
      <c r="AJ443" s="35">
        <v>20</v>
      </c>
      <c r="AK443" s="35">
        <v>19</v>
      </c>
      <c r="AL443" s="35">
        <v>19.399999999999999</v>
      </c>
      <c r="AM443" s="35">
        <v>19</v>
      </c>
      <c r="AN443" s="35">
        <v>20.9</v>
      </c>
      <c r="AO443" s="35">
        <v>19</v>
      </c>
      <c r="AP443" s="35">
        <v>20.7</v>
      </c>
      <c r="AQ443" s="35">
        <v>19</v>
      </c>
      <c r="AR443" s="35">
        <v>20.8</v>
      </c>
      <c r="AS443" s="35">
        <v>19</v>
      </c>
      <c r="AT443" s="35">
        <v>20.8</v>
      </c>
      <c r="AU443" s="35">
        <v>19</v>
      </c>
      <c r="AV443" s="35">
        <v>20.7</v>
      </c>
      <c r="AW443" s="35">
        <v>19</v>
      </c>
      <c r="AX443" s="35">
        <v>20.9</v>
      </c>
      <c r="AY443" s="35">
        <v>20</v>
      </c>
      <c r="AZ443" s="35">
        <v>20.8</v>
      </c>
      <c r="BA443" s="35">
        <v>20</v>
      </c>
      <c r="BB443" s="35">
        <v>32.200000000000003</v>
      </c>
      <c r="BC443" s="35">
        <v>40</v>
      </c>
      <c r="BD443" s="35">
        <v>31.3</v>
      </c>
      <c r="BE443" s="35">
        <v>40</v>
      </c>
      <c r="BF443" s="35">
        <v>21.1</v>
      </c>
      <c r="BG443" s="35">
        <v>20</v>
      </c>
    </row>
    <row r="444" spans="1:59" x14ac:dyDescent="0.35">
      <c r="A444" s="36">
        <v>46059.76458333333</v>
      </c>
      <c r="B444" s="35">
        <v>3.4</v>
      </c>
      <c r="C444" s="35">
        <v>2</v>
      </c>
      <c r="D444" s="35">
        <v>2.2999999999999998</v>
      </c>
      <c r="E444" s="35">
        <v>2.2000000000000002</v>
      </c>
      <c r="F444" s="35">
        <v>4</v>
      </c>
      <c r="G444" s="35">
        <v>2</v>
      </c>
      <c r="H444" s="35">
        <v>3.4</v>
      </c>
      <c r="I444" s="35">
        <v>2</v>
      </c>
      <c r="J444" s="35">
        <v>3.2</v>
      </c>
      <c r="K444" s="35">
        <v>2</v>
      </c>
      <c r="L444" s="35">
        <v>3.5</v>
      </c>
      <c r="M444" s="35">
        <v>2</v>
      </c>
      <c r="N444" s="35">
        <v>2.6</v>
      </c>
      <c r="O444" s="35">
        <v>3</v>
      </c>
      <c r="P444" s="35">
        <v>3.1</v>
      </c>
      <c r="Q444" s="35">
        <v>2</v>
      </c>
      <c r="R444" s="35">
        <v>3.3</v>
      </c>
      <c r="S444" s="35">
        <v>2</v>
      </c>
      <c r="T444" s="35">
        <v>3.3</v>
      </c>
      <c r="U444" s="35">
        <v>2</v>
      </c>
      <c r="V444" s="35">
        <v>10.9</v>
      </c>
      <c r="W444" s="35">
        <v>9</v>
      </c>
      <c r="X444" s="35">
        <v>9.1</v>
      </c>
      <c r="Y444" s="35">
        <v>9</v>
      </c>
      <c r="Z444" s="35">
        <v>9.6</v>
      </c>
      <c r="AA444" s="35">
        <v>9</v>
      </c>
      <c r="AB444" s="35">
        <v>10.6</v>
      </c>
      <c r="AC444" s="35">
        <v>9</v>
      </c>
      <c r="AD444" s="35">
        <v>20.7</v>
      </c>
      <c r="AE444" s="35">
        <v>19</v>
      </c>
      <c r="AF444" s="35">
        <v>18.899999999999999</v>
      </c>
      <c r="AG444" s="35">
        <v>19</v>
      </c>
      <c r="AH444" s="35">
        <v>20.3</v>
      </c>
      <c r="AI444" s="35">
        <v>19</v>
      </c>
      <c r="AJ444" s="35">
        <v>20</v>
      </c>
      <c r="AK444" s="35">
        <v>19</v>
      </c>
      <c r="AL444" s="35">
        <v>19.399999999999999</v>
      </c>
      <c r="AM444" s="35">
        <v>19</v>
      </c>
      <c r="AN444" s="35">
        <v>20.9</v>
      </c>
      <c r="AO444" s="35">
        <v>19</v>
      </c>
      <c r="AP444" s="35">
        <v>20.7</v>
      </c>
      <c r="AQ444" s="35">
        <v>19</v>
      </c>
      <c r="AR444" s="35">
        <v>20.8</v>
      </c>
      <c r="AS444" s="35">
        <v>19</v>
      </c>
      <c r="AT444" s="35">
        <v>20.9</v>
      </c>
      <c r="AU444" s="35">
        <v>19</v>
      </c>
      <c r="AV444" s="35">
        <v>20.8</v>
      </c>
      <c r="AW444" s="35">
        <v>19</v>
      </c>
      <c r="AX444" s="35">
        <v>20.9</v>
      </c>
      <c r="AY444" s="35">
        <v>20</v>
      </c>
      <c r="AZ444" s="35">
        <v>20.8</v>
      </c>
      <c r="BA444" s="35">
        <v>20</v>
      </c>
      <c r="BB444" s="35">
        <v>32.200000000000003</v>
      </c>
      <c r="BC444" s="35">
        <v>40</v>
      </c>
      <c r="BD444" s="35">
        <v>31.3</v>
      </c>
      <c r="BE444" s="35">
        <v>40</v>
      </c>
      <c r="BF444" s="35">
        <v>21.3</v>
      </c>
      <c r="BG444" s="35">
        <v>20</v>
      </c>
    </row>
    <row r="445" spans="1:59" x14ac:dyDescent="0.35">
      <c r="A445" s="36">
        <v>46059.765277777777</v>
      </c>
      <c r="B445" s="35">
        <v>3</v>
      </c>
      <c r="C445" s="35">
        <v>2</v>
      </c>
      <c r="D445" s="35">
        <v>2.2999999999999998</v>
      </c>
      <c r="E445" s="35">
        <v>2.2000000000000002</v>
      </c>
      <c r="F445" s="35">
        <v>1.9</v>
      </c>
      <c r="G445" s="35">
        <v>2</v>
      </c>
      <c r="H445" s="35">
        <v>1.6</v>
      </c>
      <c r="I445" s="35">
        <v>2</v>
      </c>
      <c r="J445" s="35">
        <v>3.5</v>
      </c>
      <c r="K445" s="35">
        <v>2</v>
      </c>
      <c r="L445" s="35">
        <v>3.8</v>
      </c>
      <c r="M445" s="35">
        <v>2</v>
      </c>
      <c r="N445" s="35">
        <v>1.4</v>
      </c>
      <c r="O445" s="35">
        <v>3</v>
      </c>
      <c r="P445" s="35">
        <v>2.2000000000000002</v>
      </c>
      <c r="Q445" s="35">
        <v>2</v>
      </c>
      <c r="R445" s="35">
        <v>3.5</v>
      </c>
      <c r="S445" s="35">
        <v>2</v>
      </c>
      <c r="T445" s="35">
        <v>3.4</v>
      </c>
      <c r="U445" s="35">
        <v>2</v>
      </c>
      <c r="V445" s="35">
        <v>10.8</v>
      </c>
      <c r="W445" s="35">
        <v>9</v>
      </c>
      <c r="X445" s="35">
        <v>9.3000000000000007</v>
      </c>
      <c r="Y445" s="35">
        <v>9</v>
      </c>
      <c r="Z445" s="35">
        <v>9.8000000000000007</v>
      </c>
      <c r="AA445" s="35">
        <v>9</v>
      </c>
      <c r="AB445" s="35">
        <v>10.9</v>
      </c>
      <c r="AC445" s="35">
        <v>9</v>
      </c>
      <c r="AD445" s="35">
        <v>20.8</v>
      </c>
      <c r="AE445" s="35">
        <v>19</v>
      </c>
      <c r="AF445" s="35">
        <v>18.8</v>
      </c>
      <c r="AG445" s="35">
        <v>19</v>
      </c>
      <c r="AH445" s="35">
        <v>20.3</v>
      </c>
      <c r="AI445" s="35">
        <v>19</v>
      </c>
      <c r="AJ445" s="35">
        <v>20.100000000000001</v>
      </c>
      <c r="AK445" s="35">
        <v>19</v>
      </c>
      <c r="AL445" s="35">
        <v>19.399999999999999</v>
      </c>
      <c r="AM445" s="35">
        <v>19</v>
      </c>
      <c r="AN445" s="35">
        <v>21</v>
      </c>
      <c r="AO445" s="35">
        <v>19</v>
      </c>
      <c r="AP445" s="35">
        <v>20.7</v>
      </c>
      <c r="AQ445" s="35">
        <v>19</v>
      </c>
      <c r="AR445" s="35">
        <v>20.8</v>
      </c>
      <c r="AS445" s="35">
        <v>19</v>
      </c>
      <c r="AT445" s="35">
        <v>20.8</v>
      </c>
      <c r="AU445" s="35">
        <v>19</v>
      </c>
      <c r="AV445" s="35">
        <v>20.8</v>
      </c>
      <c r="AW445" s="35">
        <v>19</v>
      </c>
      <c r="AX445" s="35">
        <v>20.9</v>
      </c>
      <c r="AY445" s="35">
        <v>20</v>
      </c>
      <c r="AZ445" s="35">
        <v>20.8</v>
      </c>
      <c r="BA445" s="35">
        <v>20</v>
      </c>
      <c r="BB445" s="35">
        <v>32.200000000000003</v>
      </c>
      <c r="BC445" s="35">
        <v>40</v>
      </c>
      <c r="BD445" s="35">
        <v>31.2</v>
      </c>
      <c r="BE445" s="35">
        <v>40</v>
      </c>
      <c r="BF445" s="35">
        <v>21.4</v>
      </c>
      <c r="BG445" s="35">
        <v>20</v>
      </c>
    </row>
    <row r="446" spans="1:59" x14ac:dyDescent="0.35">
      <c r="A446" s="36">
        <v>46059.765972222223</v>
      </c>
      <c r="B446" s="35">
        <v>2.2999999999999998</v>
      </c>
      <c r="C446" s="35">
        <v>2</v>
      </c>
      <c r="D446" s="35">
        <v>2.2999999999999998</v>
      </c>
      <c r="E446" s="35">
        <v>2.2000000000000002</v>
      </c>
      <c r="F446" s="35">
        <v>1.6</v>
      </c>
      <c r="G446" s="35">
        <v>2</v>
      </c>
      <c r="H446" s="35">
        <v>1.6</v>
      </c>
      <c r="I446" s="35">
        <v>2</v>
      </c>
      <c r="J446" s="35">
        <v>3.7</v>
      </c>
      <c r="K446" s="35">
        <v>2</v>
      </c>
      <c r="L446" s="35">
        <v>4</v>
      </c>
      <c r="M446" s="35">
        <v>2</v>
      </c>
      <c r="N446" s="35">
        <v>1.1000000000000001</v>
      </c>
      <c r="O446" s="35">
        <v>3</v>
      </c>
      <c r="P446" s="35">
        <v>1.8</v>
      </c>
      <c r="Q446" s="35">
        <v>2</v>
      </c>
      <c r="R446" s="35">
        <v>3.6</v>
      </c>
      <c r="S446" s="35">
        <v>2</v>
      </c>
      <c r="T446" s="35">
        <v>3.5</v>
      </c>
      <c r="U446" s="35">
        <v>2</v>
      </c>
      <c r="V446" s="35">
        <v>9.3000000000000007</v>
      </c>
      <c r="W446" s="35">
        <v>9</v>
      </c>
      <c r="X446" s="35">
        <v>9.4</v>
      </c>
      <c r="Y446" s="35">
        <v>9</v>
      </c>
      <c r="Z446" s="35">
        <v>10.1</v>
      </c>
      <c r="AA446" s="35">
        <v>9</v>
      </c>
      <c r="AB446" s="35">
        <v>11</v>
      </c>
      <c r="AC446" s="35">
        <v>9</v>
      </c>
      <c r="AD446" s="35">
        <v>20.8</v>
      </c>
      <c r="AE446" s="35">
        <v>19</v>
      </c>
      <c r="AF446" s="35">
        <v>18.8</v>
      </c>
      <c r="AG446" s="35">
        <v>19</v>
      </c>
      <c r="AH446" s="35">
        <v>20.399999999999999</v>
      </c>
      <c r="AI446" s="35">
        <v>19</v>
      </c>
      <c r="AJ446" s="35">
        <v>20.2</v>
      </c>
      <c r="AK446" s="35">
        <v>19</v>
      </c>
      <c r="AL446" s="35">
        <v>19.399999999999999</v>
      </c>
      <c r="AM446" s="35">
        <v>19</v>
      </c>
      <c r="AN446" s="35">
        <v>20.7</v>
      </c>
      <c r="AO446" s="35">
        <v>19</v>
      </c>
      <c r="AP446" s="35">
        <v>20.7</v>
      </c>
      <c r="AQ446" s="35">
        <v>19</v>
      </c>
      <c r="AR446" s="35">
        <v>20.8</v>
      </c>
      <c r="AS446" s="35">
        <v>19</v>
      </c>
      <c r="AT446" s="35">
        <v>19.600000000000001</v>
      </c>
      <c r="AU446" s="35">
        <v>19</v>
      </c>
      <c r="AV446" s="35">
        <v>20.9</v>
      </c>
      <c r="AW446" s="35">
        <v>19</v>
      </c>
      <c r="AX446" s="35">
        <v>20.9</v>
      </c>
      <c r="AY446" s="35">
        <v>20</v>
      </c>
      <c r="AZ446" s="35">
        <v>20.8</v>
      </c>
      <c r="BA446" s="35">
        <v>20</v>
      </c>
      <c r="BB446" s="35">
        <v>32.200000000000003</v>
      </c>
      <c r="BC446" s="35">
        <v>40</v>
      </c>
      <c r="BD446" s="35">
        <v>31.2</v>
      </c>
      <c r="BE446" s="35">
        <v>40</v>
      </c>
      <c r="BF446" s="35">
        <v>21.5</v>
      </c>
      <c r="BG446" s="35">
        <v>20</v>
      </c>
    </row>
    <row r="447" spans="1:59" x14ac:dyDescent="0.35">
      <c r="A447" s="36">
        <v>46059.76666666667</v>
      </c>
      <c r="B447" s="35">
        <v>2.1</v>
      </c>
      <c r="C447" s="35">
        <v>2</v>
      </c>
      <c r="D447" s="35">
        <v>2.2999999999999998</v>
      </c>
      <c r="E447" s="35">
        <v>2.2000000000000002</v>
      </c>
      <c r="F447" s="35">
        <v>1.9</v>
      </c>
      <c r="G447" s="35">
        <v>2</v>
      </c>
      <c r="H447" s="35">
        <v>1.9</v>
      </c>
      <c r="I447" s="35">
        <v>2</v>
      </c>
      <c r="J447" s="35">
        <v>3.7</v>
      </c>
      <c r="K447" s="35">
        <v>2</v>
      </c>
      <c r="L447" s="35">
        <v>3.3</v>
      </c>
      <c r="M447" s="35">
        <v>2</v>
      </c>
      <c r="N447" s="35">
        <v>1.2</v>
      </c>
      <c r="O447" s="35">
        <v>3</v>
      </c>
      <c r="P447" s="35">
        <v>2</v>
      </c>
      <c r="Q447" s="35">
        <v>2</v>
      </c>
      <c r="R447" s="35">
        <v>3.7</v>
      </c>
      <c r="S447" s="35">
        <v>2</v>
      </c>
      <c r="T447" s="35">
        <v>3.6</v>
      </c>
      <c r="U447" s="35">
        <v>2</v>
      </c>
      <c r="V447" s="35">
        <v>7.8</v>
      </c>
      <c r="W447" s="35">
        <v>9</v>
      </c>
      <c r="X447" s="35">
        <v>9.6</v>
      </c>
      <c r="Y447" s="35">
        <v>9</v>
      </c>
      <c r="Z447" s="35">
        <v>10.3</v>
      </c>
      <c r="AA447" s="35">
        <v>9</v>
      </c>
      <c r="AB447" s="35">
        <v>9.9</v>
      </c>
      <c r="AC447" s="35">
        <v>9</v>
      </c>
      <c r="AD447" s="35">
        <v>20.8</v>
      </c>
      <c r="AE447" s="35">
        <v>19</v>
      </c>
      <c r="AF447" s="35">
        <v>18.8</v>
      </c>
      <c r="AG447" s="35">
        <v>19</v>
      </c>
      <c r="AH447" s="35">
        <v>20.399999999999999</v>
      </c>
      <c r="AI447" s="35">
        <v>19</v>
      </c>
      <c r="AJ447" s="35">
        <v>20.3</v>
      </c>
      <c r="AK447" s="35">
        <v>19</v>
      </c>
      <c r="AL447" s="35">
        <v>19.399999999999999</v>
      </c>
      <c r="AM447" s="35">
        <v>19</v>
      </c>
      <c r="AN447" s="35">
        <v>20.100000000000001</v>
      </c>
      <c r="AO447" s="35">
        <v>19</v>
      </c>
      <c r="AP447" s="35">
        <v>20.7</v>
      </c>
      <c r="AQ447" s="35">
        <v>19</v>
      </c>
      <c r="AR447" s="35">
        <v>20.8</v>
      </c>
      <c r="AS447" s="35">
        <v>19</v>
      </c>
      <c r="AT447" s="35">
        <v>18.8</v>
      </c>
      <c r="AU447" s="35">
        <v>19</v>
      </c>
      <c r="AV447" s="35">
        <v>20.9</v>
      </c>
      <c r="AW447" s="35">
        <v>19</v>
      </c>
      <c r="AX447" s="35">
        <v>20.9</v>
      </c>
      <c r="AY447" s="35">
        <v>20</v>
      </c>
      <c r="AZ447" s="35">
        <v>20.7</v>
      </c>
      <c r="BA447" s="35">
        <v>20</v>
      </c>
      <c r="BB447" s="35">
        <v>32.200000000000003</v>
      </c>
      <c r="BC447" s="35">
        <v>40</v>
      </c>
      <c r="BD447" s="35">
        <v>31.2</v>
      </c>
      <c r="BE447" s="35">
        <v>40</v>
      </c>
      <c r="BF447" s="35">
        <v>21.6</v>
      </c>
      <c r="BG447" s="35">
        <v>20</v>
      </c>
    </row>
    <row r="448" spans="1:59" x14ac:dyDescent="0.35">
      <c r="A448" s="36">
        <v>46059.768055555556</v>
      </c>
      <c r="B448" s="35">
        <v>2.9</v>
      </c>
      <c r="C448" s="35">
        <v>2</v>
      </c>
      <c r="D448" s="35">
        <v>2.2999999999999998</v>
      </c>
      <c r="E448" s="35">
        <v>2.2000000000000002</v>
      </c>
      <c r="F448" s="35">
        <v>2.6</v>
      </c>
      <c r="G448" s="35">
        <v>2</v>
      </c>
      <c r="H448" s="35">
        <v>2.8</v>
      </c>
      <c r="I448" s="35">
        <v>2</v>
      </c>
      <c r="J448" s="35">
        <v>2.5</v>
      </c>
      <c r="K448" s="35">
        <v>2</v>
      </c>
      <c r="L448" s="35">
        <v>1.8</v>
      </c>
      <c r="M448" s="35">
        <v>2</v>
      </c>
      <c r="N448" s="35">
        <v>2</v>
      </c>
      <c r="O448" s="35">
        <v>3</v>
      </c>
      <c r="P448" s="35">
        <v>2.6</v>
      </c>
      <c r="Q448" s="35">
        <v>2</v>
      </c>
      <c r="R448" s="35">
        <v>3.9</v>
      </c>
      <c r="S448" s="35">
        <v>2</v>
      </c>
      <c r="T448" s="35">
        <v>3.8</v>
      </c>
      <c r="U448" s="35">
        <v>2</v>
      </c>
      <c r="V448" s="35">
        <v>8.9</v>
      </c>
      <c r="W448" s="35">
        <v>9</v>
      </c>
      <c r="X448" s="35">
        <v>9.9</v>
      </c>
      <c r="Y448" s="35">
        <v>9</v>
      </c>
      <c r="Z448" s="35">
        <v>10.8</v>
      </c>
      <c r="AA448" s="35">
        <v>9</v>
      </c>
      <c r="AB448" s="35">
        <v>8.5</v>
      </c>
      <c r="AC448" s="35">
        <v>9</v>
      </c>
      <c r="AD448" s="35">
        <v>20.8</v>
      </c>
      <c r="AE448" s="35">
        <v>19</v>
      </c>
      <c r="AF448" s="35">
        <v>19</v>
      </c>
      <c r="AG448" s="35">
        <v>19</v>
      </c>
      <c r="AH448" s="35">
        <v>20.5</v>
      </c>
      <c r="AI448" s="35">
        <v>19</v>
      </c>
      <c r="AJ448" s="35">
        <v>20.399999999999999</v>
      </c>
      <c r="AK448" s="35">
        <v>19</v>
      </c>
      <c r="AL448" s="35">
        <v>19.399999999999999</v>
      </c>
      <c r="AM448" s="35">
        <v>19</v>
      </c>
      <c r="AN448" s="35">
        <v>19</v>
      </c>
      <c r="AO448" s="35">
        <v>19</v>
      </c>
      <c r="AP448" s="35">
        <v>20.7</v>
      </c>
      <c r="AQ448" s="35">
        <v>19</v>
      </c>
      <c r="AR448" s="35">
        <v>20.8</v>
      </c>
      <c r="AS448" s="35">
        <v>19</v>
      </c>
      <c r="AT448" s="35">
        <v>18.2</v>
      </c>
      <c r="AU448" s="35">
        <v>19</v>
      </c>
      <c r="AV448" s="35">
        <v>20.9</v>
      </c>
      <c r="AW448" s="35">
        <v>19</v>
      </c>
      <c r="AX448" s="35">
        <v>20.9</v>
      </c>
      <c r="AY448" s="35">
        <v>20</v>
      </c>
      <c r="AZ448" s="35">
        <v>20.7</v>
      </c>
      <c r="BA448" s="35">
        <v>20</v>
      </c>
      <c r="BB448" s="35">
        <v>32.1</v>
      </c>
      <c r="BC448" s="35">
        <v>40</v>
      </c>
      <c r="BD448" s="35">
        <v>31.2</v>
      </c>
      <c r="BE448" s="35">
        <v>40</v>
      </c>
      <c r="BF448" s="35">
        <v>21.7</v>
      </c>
      <c r="BG448" s="35">
        <v>20</v>
      </c>
    </row>
    <row r="449" spans="1:59" x14ac:dyDescent="0.35">
      <c r="A449" s="36">
        <v>46059.768750000003</v>
      </c>
      <c r="B449" s="35">
        <v>2.2999999999999998</v>
      </c>
      <c r="C449" s="35">
        <v>2</v>
      </c>
      <c r="D449" s="35">
        <v>13.9</v>
      </c>
      <c r="E449" s="35">
        <v>2.2000000000000002</v>
      </c>
      <c r="F449" s="35">
        <v>2.9</v>
      </c>
      <c r="G449" s="35">
        <v>2</v>
      </c>
      <c r="H449" s="35">
        <v>3.2</v>
      </c>
      <c r="I449" s="35">
        <v>2</v>
      </c>
      <c r="J449" s="35">
        <v>2.5</v>
      </c>
      <c r="K449" s="35">
        <v>2</v>
      </c>
      <c r="L449" s="35">
        <v>1.8</v>
      </c>
      <c r="M449" s="35">
        <v>2</v>
      </c>
      <c r="N449" s="35">
        <v>2.4</v>
      </c>
      <c r="O449" s="35">
        <v>3</v>
      </c>
      <c r="P449" s="35">
        <v>2.9</v>
      </c>
      <c r="Q449" s="35">
        <v>2</v>
      </c>
      <c r="R449" s="35">
        <v>3.8</v>
      </c>
      <c r="S449" s="35">
        <v>2</v>
      </c>
      <c r="T449" s="35">
        <v>3.4</v>
      </c>
      <c r="U449" s="35">
        <v>2</v>
      </c>
      <c r="V449" s="35">
        <v>9.6</v>
      </c>
      <c r="W449" s="35">
        <v>9</v>
      </c>
      <c r="X449" s="35">
        <v>10</v>
      </c>
      <c r="Y449" s="35">
        <v>9</v>
      </c>
      <c r="Z449" s="35">
        <v>10.9</v>
      </c>
      <c r="AA449" s="35">
        <v>9</v>
      </c>
      <c r="AB449" s="35">
        <v>9.1</v>
      </c>
      <c r="AC449" s="35">
        <v>9</v>
      </c>
      <c r="AD449" s="35">
        <v>20.9</v>
      </c>
      <c r="AE449" s="35">
        <v>19</v>
      </c>
      <c r="AF449" s="35">
        <v>19.100000000000001</v>
      </c>
      <c r="AG449" s="35">
        <v>19</v>
      </c>
      <c r="AH449" s="35">
        <v>20.6</v>
      </c>
      <c r="AI449" s="35">
        <v>19</v>
      </c>
      <c r="AJ449" s="35">
        <v>20.5</v>
      </c>
      <c r="AK449" s="35">
        <v>19</v>
      </c>
      <c r="AL449" s="35">
        <v>19.3</v>
      </c>
      <c r="AM449" s="35">
        <v>19</v>
      </c>
      <c r="AN449" s="35">
        <v>19</v>
      </c>
      <c r="AO449" s="35">
        <v>19</v>
      </c>
      <c r="AP449" s="35">
        <v>20.7</v>
      </c>
      <c r="AQ449" s="35">
        <v>19</v>
      </c>
      <c r="AR449" s="35">
        <v>20.8</v>
      </c>
      <c r="AS449" s="35">
        <v>19</v>
      </c>
      <c r="AT449" s="35">
        <v>18.2</v>
      </c>
      <c r="AU449" s="35">
        <v>19</v>
      </c>
      <c r="AV449" s="35">
        <v>21</v>
      </c>
      <c r="AW449" s="35">
        <v>19</v>
      </c>
      <c r="AX449" s="35">
        <v>20.9</v>
      </c>
      <c r="AY449" s="35">
        <v>20</v>
      </c>
      <c r="AZ449" s="35">
        <v>20.8</v>
      </c>
      <c r="BA449" s="35">
        <v>20</v>
      </c>
      <c r="BB449" s="35">
        <v>32.1</v>
      </c>
      <c r="BC449" s="35">
        <v>40</v>
      </c>
      <c r="BD449" s="35">
        <v>31.2</v>
      </c>
      <c r="BE449" s="35">
        <v>40</v>
      </c>
      <c r="BF449" s="35">
        <v>21.7</v>
      </c>
      <c r="BG449" s="35">
        <v>20</v>
      </c>
    </row>
    <row r="450" spans="1:59" x14ac:dyDescent="0.35">
      <c r="A450" s="36">
        <v>46059.769444444442</v>
      </c>
      <c r="B450" s="35">
        <v>2.2000000000000002</v>
      </c>
      <c r="C450" s="35">
        <v>2</v>
      </c>
      <c r="D450" s="35">
        <v>10.5</v>
      </c>
      <c r="E450" s="35">
        <v>2.2000000000000002</v>
      </c>
      <c r="F450" s="35">
        <v>3.2</v>
      </c>
      <c r="G450" s="35">
        <v>2</v>
      </c>
      <c r="H450" s="35">
        <v>3.4</v>
      </c>
      <c r="I450" s="35">
        <v>2</v>
      </c>
      <c r="J450" s="35">
        <v>2.6</v>
      </c>
      <c r="K450" s="35">
        <v>2</v>
      </c>
      <c r="L450" s="35">
        <v>2.2000000000000002</v>
      </c>
      <c r="M450" s="35">
        <v>2</v>
      </c>
      <c r="N450" s="35">
        <v>2.8</v>
      </c>
      <c r="O450" s="35">
        <v>3</v>
      </c>
      <c r="P450" s="35">
        <v>3.1</v>
      </c>
      <c r="Q450" s="35">
        <v>2</v>
      </c>
      <c r="R450" s="35">
        <v>2.7</v>
      </c>
      <c r="S450" s="35">
        <v>2</v>
      </c>
      <c r="T450" s="35">
        <v>2.4</v>
      </c>
      <c r="U450" s="35">
        <v>2</v>
      </c>
      <c r="V450" s="35">
        <v>10.199999999999999</v>
      </c>
      <c r="W450" s="35">
        <v>9</v>
      </c>
      <c r="X450" s="35">
        <v>10.1</v>
      </c>
      <c r="Y450" s="35">
        <v>9</v>
      </c>
      <c r="Z450" s="35">
        <v>11</v>
      </c>
      <c r="AA450" s="35">
        <v>9</v>
      </c>
      <c r="AB450" s="35">
        <v>9.6999999999999993</v>
      </c>
      <c r="AC450" s="35">
        <v>9</v>
      </c>
      <c r="AD450" s="35">
        <v>20.9</v>
      </c>
      <c r="AE450" s="35">
        <v>19</v>
      </c>
      <c r="AF450" s="35">
        <v>19.2</v>
      </c>
      <c r="AG450" s="35">
        <v>19</v>
      </c>
      <c r="AH450" s="35">
        <v>20.6</v>
      </c>
      <c r="AI450" s="35">
        <v>19</v>
      </c>
      <c r="AJ450" s="35">
        <v>20.5</v>
      </c>
      <c r="AK450" s="35">
        <v>19</v>
      </c>
      <c r="AL450" s="35">
        <v>19.2</v>
      </c>
      <c r="AM450" s="35">
        <v>19</v>
      </c>
      <c r="AN450" s="35">
        <v>19.2</v>
      </c>
      <c r="AO450" s="35">
        <v>19</v>
      </c>
      <c r="AP450" s="35">
        <v>20.7</v>
      </c>
      <c r="AQ450" s="35">
        <v>19</v>
      </c>
      <c r="AR450" s="35">
        <v>20.8</v>
      </c>
      <c r="AS450" s="35">
        <v>19</v>
      </c>
      <c r="AT450" s="35">
        <v>18.399999999999999</v>
      </c>
      <c r="AU450" s="35">
        <v>19</v>
      </c>
      <c r="AV450" s="35">
        <v>20.3</v>
      </c>
      <c r="AW450" s="35">
        <v>19</v>
      </c>
      <c r="AX450" s="35">
        <v>20.9</v>
      </c>
      <c r="AY450" s="35">
        <v>20</v>
      </c>
      <c r="AZ450" s="35">
        <v>20.8</v>
      </c>
      <c r="BA450" s="35">
        <v>20</v>
      </c>
      <c r="BB450" s="35">
        <v>32.1</v>
      </c>
      <c r="BC450" s="35">
        <v>40</v>
      </c>
      <c r="BD450" s="35">
        <v>31.2</v>
      </c>
      <c r="BE450" s="35">
        <v>40</v>
      </c>
      <c r="BF450" s="35">
        <v>21.8</v>
      </c>
      <c r="BG450" s="35">
        <v>20</v>
      </c>
    </row>
    <row r="451" spans="1:59" x14ac:dyDescent="0.35">
      <c r="A451" s="36">
        <v>46059.770138888889</v>
      </c>
      <c r="B451" s="35">
        <v>2.5</v>
      </c>
      <c r="C451" s="35">
        <v>2</v>
      </c>
      <c r="D451" s="35">
        <v>8</v>
      </c>
      <c r="E451" s="35">
        <v>2.2000000000000002</v>
      </c>
      <c r="F451" s="35">
        <v>3.5</v>
      </c>
      <c r="G451" s="35">
        <v>2</v>
      </c>
      <c r="H451" s="35">
        <v>3.8</v>
      </c>
      <c r="I451" s="35">
        <v>2</v>
      </c>
      <c r="J451" s="35">
        <v>2.9</v>
      </c>
      <c r="K451" s="35">
        <v>2</v>
      </c>
      <c r="L451" s="35">
        <v>2.6</v>
      </c>
      <c r="M451" s="35">
        <v>2</v>
      </c>
      <c r="N451" s="35">
        <v>3.1</v>
      </c>
      <c r="O451" s="35">
        <v>3</v>
      </c>
      <c r="P451" s="35">
        <v>3.4</v>
      </c>
      <c r="Q451" s="35">
        <v>2</v>
      </c>
      <c r="R451" s="35">
        <v>1.9</v>
      </c>
      <c r="S451" s="35">
        <v>2</v>
      </c>
      <c r="T451" s="35">
        <v>1.1000000000000001</v>
      </c>
      <c r="U451" s="35">
        <v>2</v>
      </c>
      <c r="V451" s="35">
        <v>10.6</v>
      </c>
      <c r="W451" s="35">
        <v>9</v>
      </c>
      <c r="X451" s="35">
        <v>10.3</v>
      </c>
      <c r="Y451" s="35">
        <v>9</v>
      </c>
      <c r="Z451" s="35">
        <v>10.3</v>
      </c>
      <c r="AA451" s="35">
        <v>9</v>
      </c>
      <c r="AB451" s="35">
        <v>10.199999999999999</v>
      </c>
      <c r="AC451" s="35">
        <v>9</v>
      </c>
      <c r="AD451" s="35">
        <v>20.9</v>
      </c>
      <c r="AE451" s="35">
        <v>19</v>
      </c>
      <c r="AF451" s="35">
        <v>19.2</v>
      </c>
      <c r="AG451" s="35">
        <v>19</v>
      </c>
      <c r="AH451" s="35">
        <v>20.7</v>
      </c>
      <c r="AI451" s="35">
        <v>19</v>
      </c>
      <c r="AJ451" s="35">
        <v>20.6</v>
      </c>
      <c r="AK451" s="35">
        <v>19</v>
      </c>
      <c r="AL451" s="35">
        <v>19.2</v>
      </c>
      <c r="AM451" s="35">
        <v>19</v>
      </c>
      <c r="AN451" s="35">
        <v>19.399999999999999</v>
      </c>
      <c r="AO451" s="35">
        <v>19</v>
      </c>
      <c r="AP451" s="35">
        <v>20.7</v>
      </c>
      <c r="AQ451" s="35">
        <v>19</v>
      </c>
      <c r="AR451" s="35">
        <v>20.8</v>
      </c>
      <c r="AS451" s="35">
        <v>19</v>
      </c>
      <c r="AT451" s="35">
        <v>18.600000000000001</v>
      </c>
      <c r="AU451" s="35">
        <v>19</v>
      </c>
      <c r="AV451" s="35">
        <v>18.7</v>
      </c>
      <c r="AW451" s="35">
        <v>19</v>
      </c>
      <c r="AX451" s="35">
        <v>20.9</v>
      </c>
      <c r="AY451" s="35">
        <v>20</v>
      </c>
      <c r="AZ451" s="35">
        <v>20.8</v>
      </c>
      <c r="BA451" s="35">
        <v>20</v>
      </c>
      <c r="BB451" s="35">
        <v>32.1</v>
      </c>
      <c r="BC451" s="35">
        <v>40</v>
      </c>
      <c r="BD451" s="35">
        <v>31.2</v>
      </c>
      <c r="BE451" s="35">
        <v>40</v>
      </c>
      <c r="BF451" s="35">
        <v>21.8</v>
      </c>
      <c r="BG451" s="35">
        <v>20</v>
      </c>
    </row>
    <row r="452" spans="1:59" x14ac:dyDescent="0.35">
      <c r="A452" s="36">
        <v>46059.770833333336</v>
      </c>
      <c r="B452" s="35">
        <v>2.9</v>
      </c>
      <c r="C452" s="35">
        <v>2</v>
      </c>
      <c r="D452" s="35">
        <v>5.5</v>
      </c>
      <c r="E452" s="35">
        <v>2.2000000000000002</v>
      </c>
      <c r="F452" s="35">
        <v>3.7</v>
      </c>
      <c r="G452" s="35">
        <v>2</v>
      </c>
      <c r="H452" s="35">
        <v>4</v>
      </c>
      <c r="I452" s="35">
        <v>2</v>
      </c>
      <c r="J452" s="35">
        <v>3.2</v>
      </c>
      <c r="K452" s="35">
        <v>2</v>
      </c>
      <c r="L452" s="35">
        <v>3</v>
      </c>
      <c r="M452" s="35">
        <v>2</v>
      </c>
      <c r="N452" s="35">
        <v>3.4</v>
      </c>
      <c r="O452" s="35">
        <v>3</v>
      </c>
      <c r="P452" s="35">
        <v>3.5</v>
      </c>
      <c r="Q452" s="35">
        <v>2</v>
      </c>
      <c r="R452" s="35">
        <v>1.7</v>
      </c>
      <c r="S452" s="35">
        <v>2</v>
      </c>
      <c r="T452" s="35">
        <v>1.1000000000000001</v>
      </c>
      <c r="U452" s="35">
        <v>2</v>
      </c>
      <c r="V452" s="35">
        <v>11</v>
      </c>
      <c r="W452" s="35">
        <v>9</v>
      </c>
      <c r="X452" s="35">
        <v>10.4</v>
      </c>
      <c r="Y452" s="35">
        <v>9</v>
      </c>
      <c r="Z452" s="35">
        <v>9.3000000000000007</v>
      </c>
      <c r="AA452" s="35">
        <v>9</v>
      </c>
      <c r="AB452" s="35">
        <v>10.6</v>
      </c>
      <c r="AC452" s="35">
        <v>9</v>
      </c>
      <c r="AD452" s="35">
        <v>20.9</v>
      </c>
      <c r="AE452" s="35">
        <v>19</v>
      </c>
      <c r="AF452" s="35">
        <v>19.3</v>
      </c>
      <c r="AG452" s="35">
        <v>19</v>
      </c>
      <c r="AH452" s="35">
        <v>20.7</v>
      </c>
      <c r="AI452" s="35">
        <v>19</v>
      </c>
      <c r="AJ452" s="35">
        <v>20.7</v>
      </c>
      <c r="AK452" s="35">
        <v>19</v>
      </c>
      <c r="AL452" s="35">
        <v>19</v>
      </c>
      <c r="AM452" s="35">
        <v>19</v>
      </c>
      <c r="AN452" s="35">
        <v>19.8</v>
      </c>
      <c r="AO452" s="35">
        <v>19</v>
      </c>
      <c r="AP452" s="35">
        <v>20.7</v>
      </c>
      <c r="AQ452" s="35">
        <v>19</v>
      </c>
      <c r="AR452" s="35">
        <v>20.8</v>
      </c>
      <c r="AS452" s="35">
        <v>19</v>
      </c>
      <c r="AT452" s="35">
        <v>18.8</v>
      </c>
      <c r="AU452" s="35">
        <v>19</v>
      </c>
      <c r="AV452" s="35">
        <v>17.7</v>
      </c>
      <c r="AW452" s="35">
        <v>19</v>
      </c>
      <c r="AX452" s="35">
        <v>20.8</v>
      </c>
      <c r="AY452" s="35">
        <v>20</v>
      </c>
      <c r="AZ452" s="35">
        <v>20.8</v>
      </c>
      <c r="BA452" s="35">
        <v>20</v>
      </c>
      <c r="BB452" s="35">
        <v>32.1</v>
      </c>
      <c r="BC452" s="35">
        <v>40</v>
      </c>
      <c r="BD452" s="35">
        <v>31.1</v>
      </c>
      <c r="BE452" s="35">
        <v>40</v>
      </c>
      <c r="BF452" s="35">
        <v>21.9</v>
      </c>
      <c r="BG452" s="35">
        <v>20</v>
      </c>
    </row>
    <row r="453" spans="1:59" x14ac:dyDescent="0.35">
      <c r="A453" s="36">
        <v>46059.771527777775</v>
      </c>
      <c r="B453" s="35">
        <v>2.9</v>
      </c>
      <c r="C453" s="35">
        <v>2</v>
      </c>
      <c r="D453" s="35">
        <v>4.4000000000000004</v>
      </c>
      <c r="E453" s="35">
        <v>2.2000000000000002</v>
      </c>
      <c r="F453" s="35">
        <v>3.5</v>
      </c>
      <c r="G453" s="35">
        <v>2</v>
      </c>
      <c r="H453" s="35">
        <v>3.3</v>
      </c>
      <c r="I453" s="35">
        <v>2</v>
      </c>
      <c r="J453" s="35">
        <v>3.4</v>
      </c>
      <c r="K453" s="35">
        <v>2</v>
      </c>
      <c r="L453" s="35">
        <v>3.3</v>
      </c>
      <c r="M453" s="35">
        <v>2</v>
      </c>
      <c r="N453" s="35">
        <v>3.6</v>
      </c>
      <c r="O453" s="35">
        <v>3</v>
      </c>
      <c r="P453" s="35">
        <v>3.7</v>
      </c>
      <c r="Q453" s="35">
        <v>2</v>
      </c>
      <c r="R453" s="35">
        <v>1.7</v>
      </c>
      <c r="S453" s="35">
        <v>2</v>
      </c>
      <c r="T453" s="35">
        <v>1.3</v>
      </c>
      <c r="U453" s="35">
        <v>2</v>
      </c>
      <c r="V453" s="35">
        <v>9.5</v>
      </c>
      <c r="W453" s="35">
        <v>9</v>
      </c>
      <c r="X453" s="35">
        <v>10.4</v>
      </c>
      <c r="Y453" s="35">
        <v>9</v>
      </c>
      <c r="Z453" s="35">
        <v>8.6999999999999993</v>
      </c>
      <c r="AA453" s="35">
        <v>9</v>
      </c>
      <c r="AB453" s="35">
        <v>10.9</v>
      </c>
      <c r="AC453" s="35">
        <v>9</v>
      </c>
      <c r="AD453" s="35">
        <v>20.9</v>
      </c>
      <c r="AE453" s="35">
        <v>19</v>
      </c>
      <c r="AF453" s="35">
        <v>19.399999999999999</v>
      </c>
      <c r="AG453" s="35">
        <v>19</v>
      </c>
      <c r="AH453" s="35">
        <v>20.7</v>
      </c>
      <c r="AI453" s="35">
        <v>19</v>
      </c>
      <c r="AJ453" s="35">
        <v>20.8</v>
      </c>
      <c r="AK453" s="35">
        <v>19</v>
      </c>
      <c r="AL453" s="35">
        <v>19</v>
      </c>
      <c r="AM453" s="35">
        <v>19</v>
      </c>
      <c r="AN453" s="35">
        <v>20</v>
      </c>
      <c r="AO453" s="35">
        <v>19</v>
      </c>
      <c r="AP453" s="35">
        <v>20.8</v>
      </c>
      <c r="AQ453" s="35">
        <v>19</v>
      </c>
      <c r="AR453" s="35">
        <v>20.8</v>
      </c>
      <c r="AS453" s="35">
        <v>19</v>
      </c>
      <c r="AT453" s="35">
        <v>19</v>
      </c>
      <c r="AU453" s="35">
        <v>19</v>
      </c>
      <c r="AV453" s="35">
        <v>17.600000000000001</v>
      </c>
      <c r="AW453" s="35">
        <v>19</v>
      </c>
      <c r="AX453" s="35">
        <v>20.8</v>
      </c>
      <c r="AY453" s="35">
        <v>20</v>
      </c>
      <c r="AZ453" s="35">
        <v>20.7</v>
      </c>
      <c r="BA453" s="35">
        <v>20</v>
      </c>
      <c r="BB453" s="35">
        <v>32.1</v>
      </c>
      <c r="BC453" s="35">
        <v>40</v>
      </c>
      <c r="BD453" s="35">
        <v>31.1</v>
      </c>
      <c r="BE453" s="35">
        <v>40</v>
      </c>
      <c r="BF453" s="35">
        <v>21.9</v>
      </c>
      <c r="BG453" s="35">
        <v>20</v>
      </c>
    </row>
    <row r="454" spans="1:59" x14ac:dyDescent="0.35">
      <c r="A454" s="36">
        <v>46059.772222222222</v>
      </c>
      <c r="B454" s="35">
        <v>3</v>
      </c>
      <c r="C454" s="35">
        <v>2</v>
      </c>
      <c r="D454" s="35">
        <v>4</v>
      </c>
      <c r="E454" s="35">
        <v>2.2000000000000002</v>
      </c>
      <c r="F454" s="35">
        <v>3.4</v>
      </c>
      <c r="G454" s="35">
        <v>2</v>
      </c>
      <c r="H454" s="35">
        <v>3.2</v>
      </c>
      <c r="I454" s="35">
        <v>2</v>
      </c>
      <c r="J454" s="35">
        <v>3.6</v>
      </c>
      <c r="K454" s="35">
        <v>2</v>
      </c>
      <c r="L454" s="35">
        <v>3.5</v>
      </c>
      <c r="M454" s="35">
        <v>2</v>
      </c>
      <c r="N454" s="35">
        <v>3.8</v>
      </c>
      <c r="O454" s="35">
        <v>3</v>
      </c>
      <c r="P454" s="35">
        <v>3.9</v>
      </c>
      <c r="Q454" s="35">
        <v>2</v>
      </c>
      <c r="R454" s="35">
        <v>1.9</v>
      </c>
      <c r="S454" s="35">
        <v>2</v>
      </c>
      <c r="T454" s="35">
        <v>1.6</v>
      </c>
      <c r="U454" s="35">
        <v>2</v>
      </c>
      <c r="V454" s="35">
        <v>7.8</v>
      </c>
      <c r="W454" s="35">
        <v>9</v>
      </c>
      <c r="X454" s="35">
        <v>10.5</v>
      </c>
      <c r="Y454" s="35">
        <v>9</v>
      </c>
      <c r="Z454" s="35">
        <v>8.6999999999999993</v>
      </c>
      <c r="AA454" s="35">
        <v>9</v>
      </c>
      <c r="AB454" s="35">
        <v>11</v>
      </c>
      <c r="AC454" s="35">
        <v>9</v>
      </c>
      <c r="AD454" s="35">
        <v>20.9</v>
      </c>
      <c r="AE454" s="35">
        <v>19</v>
      </c>
      <c r="AF454" s="35">
        <v>19.5</v>
      </c>
      <c r="AG454" s="35">
        <v>19</v>
      </c>
      <c r="AH454" s="35">
        <v>20.8</v>
      </c>
      <c r="AI454" s="35">
        <v>19</v>
      </c>
      <c r="AJ454" s="35">
        <v>20.8</v>
      </c>
      <c r="AK454" s="35">
        <v>19</v>
      </c>
      <c r="AL454" s="35">
        <v>19.3</v>
      </c>
      <c r="AM454" s="35">
        <v>19</v>
      </c>
      <c r="AN454" s="35">
        <v>20.2</v>
      </c>
      <c r="AO454" s="35">
        <v>19</v>
      </c>
      <c r="AP454" s="35">
        <v>20.8</v>
      </c>
      <c r="AQ454" s="35">
        <v>19</v>
      </c>
      <c r="AR454" s="35">
        <v>20.8</v>
      </c>
      <c r="AS454" s="35">
        <v>19</v>
      </c>
      <c r="AT454" s="35">
        <v>19.2</v>
      </c>
      <c r="AU454" s="35">
        <v>19</v>
      </c>
      <c r="AV454" s="35">
        <v>17.7</v>
      </c>
      <c r="AW454" s="35">
        <v>19</v>
      </c>
      <c r="AX454" s="35">
        <v>20.8</v>
      </c>
      <c r="AY454" s="35">
        <v>20</v>
      </c>
      <c r="AZ454" s="35">
        <v>20.7</v>
      </c>
      <c r="BA454" s="35">
        <v>20</v>
      </c>
      <c r="BB454" s="35">
        <v>32.1</v>
      </c>
      <c r="BC454" s="35">
        <v>40</v>
      </c>
      <c r="BD454" s="35">
        <v>31.1</v>
      </c>
      <c r="BE454" s="35">
        <v>40</v>
      </c>
      <c r="BF454" s="35">
        <v>21.9</v>
      </c>
      <c r="BG454" s="35">
        <v>20</v>
      </c>
    </row>
    <row r="455" spans="1:59" x14ac:dyDescent="0.35">
      <c r="A455" s="36">
        <v>46059.772916666669</v>
      </c>
      <c r="B455" s="35">
        <v>3.2</v>
      </c>
      <c r="C455" s="35">
        <v>2</v>
      </c>
      <c r="D455" s="35">
        <v>3.9</v>
      </c>
      <c r="E455" s="35">
        <v>2.2000000000000002</v>
      </c>
      <c r="F455" s="35">
        <v>3.5</v>
      </c>
      <c r="G455" s="35">
        <v>2</v>
      </c>
      <c r="H455" s="35">
        <v>3.2</v>
      </c>
      <c r="I455" s="35">
        <v>2</v>
      </c>
      <c r="J455" s="35">
        <v>3.9</v>
      </c>
      <c r="K455" s="35">
        <v>2</v>
      </c>
      <c r="L455" s="35">
        <v>3.8</v>
      </c>
      <c r="M455" s="35">
        <v>2</v>
      </c>
      <c r="N455" s="35">
        <v>3.9</v>
      </c>
      <c r="O455" s="35">
        <v>3</v>
      </c>
      <c r="P455" s="35">
        <v>4</v>
      </c>
      <c r="Q455" s="35">
        <v>2</v>
      </c>
      <c r="R455" s="35">
        <v>2.2999999999999998</v>
      </c>
      <c r="S455" s="35">
        <v>2</v>
      </c>
      <c r="T455" s="35">
        <v>2</v>
      </c>
      <c r="U455" s="35">
        <v>2</v>
      </c>
      <c r="V455" s="35">
        <v>7.7</v>
      </c>
      <c r="W455" s="35">
        <v>9</v>
      </c>
      <c r="X455" s="35">
        <v>10.6</v>
      </c>
      <c r="Y455" s="35">
        <v>9</v>
      </c>
      <c r="Z455" s="35">
        <v>9</v>
      </c>
      <c r="AA455" s="35">
        <v>9</v>
      </c>
      <c r="AB455" s="35">
        <v>10.7</v>
      </c>
      <c r="AC455" s="35">
        <v>9</v>
      </c>
      <c r="AD455" s="35">
        <v>20.9</v>
      </c>
      <c r="AE455" s="35">
        <v>19</v>
      </c>
      <c r="AF455" s="35">
        <v>19.5</v>
      </c>
      <c r="AG455" s="35">
        <v>19</v>
      </c>
      <c r="AH455" s="35">
        <v>20.8</v>
      </c>
      <c r="AI455" s="35">
        <v>19</v>
      </c>
      <c r="AJ455" s="35">
        <v>20.9</v>
      </c>
      <c r="AK455" s="35">
        <v>19</v>
      </c>
      <c r="AL455" s="35">
        <v>19.600000000000001</v>
      </c>
      <c r="AM455" s="35">
        <v>19</v>
      </c>
      <c r="AN455" s="35">
        <v>20.399999999999999</v>
      </c>
      <c r="AO455" s="35">
        <v>19</v>
      </c>
      <c r="AP455" s="35">
        <v>20.8</v>
      </c>
      <c r="AQ455" s="35">
        <v>19</v>
      </c>
      <c r="AR455" s="35">
        <v>20.8</v>
      </c>
      <c r="AS455" s="35">
        <v>19</v>
      </c>
      <c r="AT455" s="35">
        <v>19.3</v>
      </c>
      <c r="AU455" s="35">
        <v>19</v>
      </c>
      <c r="AV455" s="35">
        <v>17.899999999999999</v>
      </c>
      <c r="AW455" s="35">
        <v>19</v>
      </c>
      <c r="AX455" s="35">
        <v>20.8</v>
      </c>
      <c r="AY455" s="35">
        <v>20</v>
      </c>
      <c r="AZ455" s="35">
        <v>20.5</v>
      </c>
      <c r="BA455" s="35">
        <v>20</v>
      </c>
      <c r="BB455" s="35">
        <v>32.1</v>
      </c>
      <c r="BC455" s="35">
        <v>40</v>
      </c>
      <c r="BD455" s="35">
        <v>31.1</v>
      </c>
      <c r="BE455" s="35">
        <v>40</v>
      </c>
      <c r="BF455" s="35">
        <v>21.9</v>
      </c>
      <c r="BG455" s="35">
        <v>20</v>
      </c>
    </row>
    <row r="456" spans="1:59" x14ac:dyDescent="0.35">
      <c r="A456" s="36">
        <v>46059.773611111108</v>
      </c>
      <c r="B456" s="35">
        <v>3.2</v>
      </c>
      <c r="C456" s="35">
        <v>2</v>
      </c>
      <c r="D456" s="35">
        <v>3.7</v>
      </c>
      <c r="E456" s="35">
        <v>2.2000000000000002</v>
      </c>
      <c r="F456" s="35">
        <v>3.7</v>
      </c>
      <c r="G456" s="35">
        <v>2</v>
      </c>
      <c r="H456" s="35">
        <v>3.3</v>
      </c>
      <c r="I456" s="35">
        <v>2</v>
      </c>
      <c r="J456" s="35">
        <v>4</v>
      </c>
      <c r="K456" s="35">
        <v>2</v>
      </c>
      <c r="L456" s="35">
        <v>3.9</v>
      </c>
      <c r="M456" s="35">
        <v>2</v>
      </c>
      <c r="N456" s="35">
        <v>2.6</v>
      </c>
      <c r="O456" s="35">
        <v>3</v>
      </c>
      <c r="P456" s="35">
        <v>3.2</v>
      </c>
      <c r="Q456" s="35">
        <v>2</v>
      </c>
      <c r="R456" s="35">
        <v>2.5</v>
      </c>
      <c r="S456" s="35">
        <v>2</v>
      </c>
      <c r="T456" s="35">
        <v>2.2999999999999998</v>
      </c>
      <c r="U456" s="35">
        <v>2</v>
      </c>
      <c r="V456" s="35">
        <v>8.4</v>
      </c>
      <c r="W456" s="35">
        <v>9</v>
      </c>
      <c r="X456" s="35">
        <v>10.7</v>
      </c>
      <c r="Y456" s="35">
        <v>9</v>
      </c>
      <c r="Z456" s="35">
        <v>9.4</v>
      </c>
      <c r="AA456" s="35">
        <v>9</v>
      </c>
      <c r="AB456" s="35">
        <v>9.4</v>
      </c>
      <c r="AC456" s="35">
        <v>9</v>
      </c>
      <c r="AD456" s="35">
        <v>20.9</v>
      </c>
      <c r="AE456" s="35">
        <v>19</v>
      </c>
      <c r="AF456" s="35">
        <v>19.600000000000001</v>
      </c>
      <c r="AG456" s="35">
        <v>19</v>
      </c>
      <c r="AH456" s="35">
        <v>20.9</v>
      </c>
      <c r="AI456" s="35">
        <v>19</v>
      </c>
      <c r="AJ456" s="35">
        <v>20.9</v>
      </c>
      <c r="AK456" s="35">
        <v>19</v>
      </c>
      <c r="AL456" s="35">
        <v>19.899999999999999</v>
      </c>
      <c r="AM456" s="35">
        <v>19</v>
      </c>
      <c r="AN456" s="35">
        <v>20.5</v>
      </c>
      <c r="AO456" s="35">
        <v>19</v>
      </c>
      <c r="AP456" s="35">
        <v>20.8</v>
      </c>
      <c r="AQ456" s="35">
        <v>19</v>
      </c>
      <c r="AR456" s="35">
        <v>20.8</v>
      </c>
      <c r="AS456" s="35">
        <v>19</v>
      </c>
      <c r="AT456" s="35">
        <v>19.399999999999999</v>
      </c>
      <c r="AU456" s="35">
        <v>19</v>
      </c>
      <c r="AV456" s="35">
        <v>18.100000000000001</v>
      </c>
      <c r="AW456" s="35">
        <v>19</v>
      </c>
      <c r="AX456" s="35">
        <v>20.8</v>
      </c>
      <c r="AY456" s="35">
        <v>20</v>
      </c>
      <c r="AZ456" s="35">
        <v>20.5</v>
      </c>
      <c r="BA456" s="35">
        <v>20</v>
      </c>
      <c r="BB456" s="35">
        <v>32.1</v>
      </c>
      <c r="BC456" s="35">
        <v>40</v>
      </c>
      <c r="BD456" s="35">
        <v>31.1</v>
      </c>
      <c r="BE456" s="35">
        <v>40</v>
      </c>
      <c r="BF456" s="35">
        <v>21.9</v>
      </c>
      <c r="BG456" s="35">
        <v>20</v>
      </c>
    </row>
    <row r="457" spans="1:59" x14ac:dyDescent="0.35">
      <c r="A457" s="36">
        <v>46059.774305555555</v>
      </c>
      <c r="B457" s="35">
        <v>2.7</v>
      </c>
      <c r="C457" s="35">
        <v>2</v>
      </c>
      <c r="D457" s="35">
        <v>3</v>
      </c>
      <c r="E457" s="35">
        <v>2.2000000000000002</v>
      </c>
      <c r="F457" s="35">
        <v>3.9</v>
      </c>
      <c r="G457" s="35">
        <v>2</v>
      </c>
      <c r="H457" s="35">
        <v>3.4</v>
      </c>
      <c r="I457" s="35">
        <v>2</v>
      </c>
      <c r="J457" s="35">
        <v>2.7</v>
      </c>
      <c r="K457" s="35">
        <v>2</v>
      </c>
      <c r="L457" s="35">
        <v>2.6</v>
      </c>
      <c r="M457" s="35">
        <v>2</v>
      </c>
      <c r="N457" s="35">
        <v>1.4</v>
      </c>
      <c r="O457" s="35">
        <v>3</v>
      </c>
      <c r="P457" s="35">
        <v>2.1</v>
      </c>
      <c r="Q457" s="35">
        <v>2</v>
      </c>
      <c r="R457" s="35">
        <v>2.8</v>
      </c>
      <c r="S457" s="35">
        <v>2</v>
      </c>
      <c r="T457" s="35">
        <v>2.5</v>
      </c>
      <c r="U457" s="35">
        <v>2</v>
      </c>
      <c r="V457" s="35">
        <v>9.4</v>
      </c>
      <c r="W457" s="35">
        <v>9</v>
      </c>
      <c r="X457" s="35">
        <v>10.7</v>
      </c>
      <c r="Y457" s="35">
        <v>9</v>
      </c>
      <c r="Z457" s="35">
        <v>9.6</v>
      </c>
      <c r="AA457" s="35">
        <v>9</v>
      </c>
      <c r="AB457" s="35">
        <v>8.3000000000000007</v>
      </c>
      <c r="AC457" s="35">
        <v>9</v>
      </c>
      <c r="AD457" s="35">
        <v>21</v>
      </c>
      <c r="AE457" s="35">
        <v>19</v>
      </c>
      <c r="AF457" s="35">
        <v>19.7</v>
      </c>
      <c r="AG457" s="35">
        <v>19</v>
      </c>
      <c r="AH457" s="35">
        <v>20.9</v>
      </c>
      <c r="AI457" s="35">
        <v>19</v>
      </c>
      <c r="AJ457" s="35">
        <v>21</v>
      </c>
      <c r="AK457" s="35">
        <v>19</v>
      </c>
      <c r="AL457" s="35">
        <v>20.100000000000001</v>
      </c>
      <c r="AM457" s="35">
        <v>19</v>
      </c>
      <c r="AN457" s="35">
        <v>20.6</v>
      </c>
      <c r="AO457" s="35">
        <v>19</v>
      </c>
      <c r="AP457" s="35">
        <v>20.8</v>
      </c>
      <c r="AQ457" s="35">
        <v>19</v>
      </c>
      <c r="AR457" s="35">
        <v>20.8</v>
      </c>
      <c r="AS457" s="35">
        <v>19</v>
      </c>
      <c r="AT457" s="35">
        <v>19.5</v>
      </c>
      <c r="AU457" s="35">
        <v>19</v>
      </c>
      <c r="AV457" s="35">
        <v>18.3</v>
      </c>
      <c r="AW457" s="35">
        <v>19</v>
      </c>
      <c r="AX457" s="35">
        <v>20.8</v>
      </c>
      <c r="AY457" s="35">
        <v>20</v>
      </c>
      <c r="AZ457" s="35">
        <v>20.399999999999999</v>
      </c>
      <c r="BA457" s="35">
        <v>20</v>
      </c>
      <c r="BB457" s="35">
        <v>32</v>
      </c>
      <c r="BC457" s="35">
        <v>40</v>
      </c>
      <c r="BD457" s="35">
        <v>31.1</v>
      </c>
      <c r="BE457" s="35">
        <v>40</v>
      </c>
      <c r="BF457" s="35">
        <v>21.9</v>
      </c>
      <c r="BG457" s="35">
        <v>20</v>
      </c>
    </row>
    <row r="458" spans="1:59" x14ac:dyDescent="0.35">
      <c r="A458" s="36">
        <v>46059.775000000001</v>
      </c>
      <c r="B458" s="35">
        <v>2.2999999999999998</v>
      </c>
      <c r="C458" s="35">
        <v>2</v>
      </c>
      <c r="D458" s="35">
        <v>2.6</v>
      </c>
      <c r="E458" s="35">
        <v>2.2000000000000002</v>
      </c>
      <c r="F458" s="35">
        <v>3.9</v>
      </c>
      <c r="G458" s="35">
        <v>2</v>
      </c>
      <c r="H458" s="35">
        <v>3.4</v>
      </c>
      <c r="I458" s="35">
        <v>2</v>
      </c>
      <c r="J458" s="35">
        <v>1.6</v>
      </c>
      <c r="K458" s="35">
        <v>2</v>
      </c>
      <c r="L458" s="35">
        <v>1.7</v>
      </c>
      <c r="M458" s="35">
        <v>2</v>
      </c>
      <c r="N458" s="35">
        <v>1.1000000000000001</v>
      </c>
      <c r="O458" s="35">
        <v>3</v>
      </c>
      <c r="P458" s="35">
        <v>1.8</v>
      </c>
      <c r="Q458" s="35">
        <v>2</v>
      </c>
      <c r="R458" s="35">
        <v>2.9</v>
      </c>
      <c r="S458" s="35">
        <v>2</v>
      </c>
      <c r="T458" s="35">
        <v>2.7</v>
      </c>
      <c r="U458" s="35">
        <v>2</v>
      </c>
      <c r="V458" s="35">
        <v>10</v>
      </c>
      <c r="W458" s="35">
        <v>9</v>
      </c>
      <c r="X458" s="35">
        <v>10.8</v>
      </c>
      <c r="Y458" s="35">
        <v>9</v>
      </c>
      <c r="Z458" s="35">
        <v>9.9</v>
      </c>
      <c r="AA458" s="35">
        <v>9</v>
      </c>
      <c r="AB458" s="35">
        <v>8.3000000000000007</v>
      </c>
      <c r="AC458" s="35">
        <v>9</v>
      </c>
      <c r="AD458" s="35">
        <v>20.3</v>
      </c>
      <c r="AE458" s="35">
        <v>19</v>
      </c>
      <c r="AF458" s="35">
        <v>19.8</v>
      </c>
      <c r="AG458" s="35">
        <v>19</v>
      </c>
      <c r="AH458" s="35">
        <v>20.9</v>
      </c>
      <c r="AI458" s="35">
        <v>19</v>
      </c>
      <c r="AJ458" s="35">
        <v>19.899999999999999</v>
      </c>
      <c r="AK458" s="35">
        <v>19</v>
      </c>
      <c r="AL458" s="35">
        <v>20.3</v>
      </c>
      <c r="AM458" s="35">
        <v>19</v>
      </c>
      <c r="AN458" s="35">
        <v>20.7</v>
      </c>
      <c r="AO458" s="35">
        <v>19</v>
      </c>
      <c r="AP458" s="35">
        <v>20.8</v>
      </c>
      <c r="AQ458" s="35">
        <v>19</v>
      </c>
      <c r="AR458" s="35">
        <v>20.8</v>
      </c>
      <c r="AS458" s="35">
        <v>19</v>
      </c>
      <c r="AT458" s="35">
        <v>19.7</v>
      </c>
      <c r="AU458" s="35">
        <v>19</v>
      </c>
      <c r="AV458" s="35">
        <v>18.5</v>
      </c>
      <c r="AW458" s="35">
        <v>19</v>
      </c>
      <c r="AX458" s="35">
        <v>20.8</v>
      </c>
      <c r="AY458" s="35">
        <v>20</v>
      </c>
      <c r="AZ458" s="35">
        <v>20.399999999999999</v>
      </c>
      <c r="BA458" s="35">
        <v>20</v>
      </c>
      <c r="BB458" s="35">
        <v>32</v>
      </c>
      <c r="BC458" s="35">
        <v>40</v>
      </c>
      <c r="BD458" s="35">
        <v>31.1</v>
      </c>
      <c r="BE458" s="35">
        <v>40</v>
      </c>
      <c r="BF458" s="35">
        <v>20.100000000000001</v>
      </c>
      <c r="BG458" s="35">
        <v>20</v>
      </c>
    </row>
    <row r="459" spans="1:59" x14ac:dyDescent="0.35">
      <c r="A459" s="36">
        <v>46059.775694444441</v>
      </c>
      <c r="B459" s="35">
        <v>1.9</v>
      </c>
      <c r="C459" s="35">
        <v>2</v>
      </c>
      <c r="D459" s="35">
        <v>2.2000000000000002</v>
      </c>
      <c r="E459" s="35">
        <v>2.2000000000000002</v>
      </c>
      <c r="F459" s="35">
        <v>4</v>
      </c>
      <c r="G459" s="35">
        <v>2</v>
      </c>
      <c r="H459" s="35">
        <v>3.4</v>
      </c>
      <c r="I459" s="35">
        <v>2</v>
      </c>
      <c r="J459" s="35">
        <v>1.6</v>
      </c>
      <c r="K459" s="35">
        <v>2</v>
      </c>
      <c r="L459" s="35">
        <v>1.8</v>
      </c>
      <c r="M459" s="35">
        <v>2</v>
      </c>
      <c r="N459" s="35">
        <v>1.2</v>
      </c>
      <c r="O459" s="35">
        <v>3</v>
      </c>
      <c r="P459" s="35">
        <v>2</v>
      </c>
      <c r="Q459" s="35">
        <v>2</v>
      </c>
      <c r="R459" s="35">
        <v>3.1</v>
      </c>
      <c r="S459" s="35">
        <v>2</v>
      </c>
      <c r="T459" s="35">
        <v>2.9</v>
      </c>
      <c r="U459" s="35">
        <v>2</v>
      </c>
      <c r="V459" s="35">
        <v>10.5</v>
      </c>
      <c r="W459" s="35">
        <v>9</v>
      </c>
      <c r="X459" s="35">
        <v>10.8</v>
      </c>
      <c r="Y459" s="35">
        <v>9</v>
      </c>
      <c r="Z459" s="35">
        <v>10.1</v>
      </c>
      <c r="AA459" s="35">
        <v>9</v>
      </c>
      <c r="AB459" s="35">
        <v>8.8000000000000007</v>
      </c>
      <c r="AC459" s="35">
        <v>9</v>
      </c>
      <c r="AD459" s="35">
        <v>19.600000000000001</v>
      </c>
      <c r="AE459" s="35">
        <v>19</v>
      </c>
      <c r="AF459" s="35">
        <v>19.899999999999999</v>
      </c>
      <c r="AG459" s="35">
        <v>19</v>
      </c>
      <c r="AH459" s="35">
        <v>20.9</v>
      </c>
      <c r="AI459" s="35">
        <v>19</v>
      </c>
      <c r="AJ459" s="35">
        <v>18.5</v>
      </c>
      <c r="AK459" s="35">
        <v>19</v>
      </c>
      <c r="AL459" s="35">
        <v>20.5</v>
      </c>
      <c r="AM459" s="35">
        <v>19</v>
      </c>
      <c r="AN459" s="35">
        <v>20.7</v>
      </c>
      <c r="AO459" s="35">
        <v>19</v>
      </c>
      <c r="AP459" s="35">
        <v>20.8</v>
      </c>
      <c r="AQ459" s="35">
        <v>19</v>
      </c>
      <c r="AR459" s="35">
        <v>20.8</v>
      </c>
      <c r="AS459" s="35">
        <v>19</v>
      </c>
      <c r="AT459" s="35">
        <v>19.8</v>
      </c>
      <c r="AU459" s="35">
        <v>19</v>
      </c>
      <c r="AV459" s="35">
        <v>18.600000000000001</v>
      </c>
      <c r="AW459" s="35">
        <v>19</v>
      </c>
      <c r="AX459" s="35">
        <v>20.8</v>
      </c>
      <c r="AY459" s="35">
        <v>20</v>
      </c>
      <c r="AZ459" s="35">
        <v>20.399999999999999</v>
      </c>
      <c r="BA459" s="35">
        <v>20</v>
      </c>
      <c r="BB459" s="35">
        <v>32</v>
      </c>
      <c r="BC459" s="35">
        <v>40</v>
      </c>
      <c r="BD459" s="35">
        <v>31.1</v>
      </c>
      <c r="BE459" s="35">
        <v>40</v>
      </c>
      <c r="BF459" s="35">
        <v>17.399999999999999</v>
      </c>
      <c r="BG459" s="35">
        <v>20</v>
      </c>
    </row>
    <row r="460" spans="1:59" x14ac:dyDescent="0.35">
      <c r="A460" s="36">
        <v>46059.776388888888</v>
      </c>
      <c r="B460" s="35">
        <v>2.1</v>
      </c>
      <c r="C460" s="35">
        <v>2</v>
      </c>
      <c r="D460" s="35">
        <v>2.6</v>
      </c>
      <c r="E460" s="35">
        <v>2.2000000000000002</v>
      </c>
      <c r="F460" s="35">
        <v>2.7</v>
      </c>
      <c r="G460" s="35">
        <v>2</v>
      </c>
      <c r="H460" s="35">
        <v>1.9</v>
      </c>
      <c r="I460" s="35">
        <v>2</v>
      </c>
      <c r="J460" s="35">
        <v>1.7</v>
      </c>
      <c r="K460" s="35">
        <v>2</v>
      </c>
      <c r="L460" s="35">
        <v>2.1</v>
      </c>
      <c r="M460" s="35">
        <v>2</v>
      </c>
      <c r="N460" s="35">
        <v>1.6</v>
      </c>
      <c r="O460" s="35">
        <v>3</v>
      </c>
      <c r="P460" s="35">
        <v>2.4</v>
      </c>
      <c r="Q460" s="35">
        <v>2</v>
      </c>
      <c r="R460" s="35">
        <v>3.3</v>
      </c>
      <c r="S460" s="35">
        <v>2</v>
      </c>
      <c r="T460" s="35">
        <v>3.1</v>
      </c>
      <c r="U460" s="35">
        <v>2</v>
      </c>
      <c r="V460" s="35">
        <v>10.9</v>
      </c>
      <c r="W460" s="35">
        <v>9</v>
      </c>
      <c r="X460" s="35">
        <v>10.9</v>
      </c>
      <c r="Y460" s="35">
        <v>9</v>
      </c>
      <c r="Z460" s="35">
        <v>10.199999999999999</v>
      </c>
      <c r="AA460" s="35">
        <v>9</v>
      </c>
      <c r="AB460" s="35">
        <v>9.1999999999999993</v>
      </c>
      <c r="AC460" s="35">
        <v>9</v>
      </c>
      <c r="AD460" s="35">
        <v>19.600000000000001</v>
      </c>
      <c r="AE460" s="35">
        <v>19</v>
      </c>
      <c r="AF460" s="35">
        <v>19.899999999999999</v>
      </c>
      <c r="AG460" s="35">
        <v>19</v>
      </c>
      <c r="AH460" s="35">
        <v>19.8</v>
      </c>
      <c r="AI460" s="35">
        <v>19</v>
      </c>
      <c r="AJ460" s="35">
        <v>18.3</v>
      </c>
      <c r="AK460" s="35">
        <v>19</v>
      </c>
      <c r="AL460" s="35">
        <v>20.7</v>
      </c>
      <c r="AM460" s="35">
        <v>19</v>
      </c>
      <c r="AN460" s="35">
        <v>20.8</v>
      </c>
      <c r="AO460" s="35">
        <v>19</v>
      </c>
      <c r="AP460" s="35">
        <v>20.8</v>
      </c>
      <c r="AQ460" s="35">
        <v>19</v>
      </c>
      <c r="AR460" s="35">
        <v>20.8</v>
      </c>
      <c r="AS460" s="35">
        <v>19</v>
      </c>
      <c r="AT460" s="35">
        <v>19.899999999999999</v>
      </c>
      <c r="AU460" s="35">
        <v>19</v>
      </c>
      <c r="AV460" s="35">
        <v>18.8</v>
      </c>
      <c r="AW460" s="35">
        <v>19</v>
      </c>
      <c r="AX460" s="35">
        <v>20.8</v>
      </c>
      <c r="AY460" s="35">
        <v>20</v>
      </c>
      <c r="AZ460" s="35">
        <v>20.5</v>
      </c>
      <c r="BA460" s="35">
        <v>20</v>
      </c>
      <c r="BB460" s="35">
        <v>32</v>
      </c>
      <c r="BC460" s="35">
        <v>40</v>
      </c>
      <c r="BD460" s="35">
        <v>31</v>
      </c>
      <c r="BE460" s="35">
        <v>40</v>
      </c>
      <c r="BF460" s="35">
        <v>18.100000000000001</v>
      </c>
      <c r="BG460" s="35">
        <v>20</v>
      </c>
    </row>
    <row r="461" spans="1:59" x14ac:dyDescent="0.35">
      <c r="A461" s="36">
        <v>46059.777083333334</v>
      </c>
      <c r="B461" s="35">
        <v>2.5</v>
      </c>
      <c r="C461" s="35">
        <v>2</v>
      </c>
      <c r="D461" s="35">
        <v>3.2</v>
      </c>
      <c r="E461" s="35">
        <v>2.2000000000000002</v>
      </c>
      <c r="F461" s="35">
        <v>1.3</v>
      </c>
      <c r="G461" s="35">
        <v>2</v>
      </c>
      <c r="H461" s="35">
        <v>1.5</v>
      </c>
      <c r="I461" s="35">
        <v>2</v>
      </c>
      <c r="J461" s="35">
        <v>1.9</v>
      </c>
      <c r="K461" s="35">
        <v>2</v>
      </c>
      <c r="L461" s="35">
        <v>2.4</v>
      </c>
      <c r="M461" s="35">
        <v>2</v>
      </c>
      <c r="N461" s="35">
        <v>2</v>
      </c>
      <c r="O461" s="35">
        <v>3</v>
      </c>
      <c r="P461" s="35">
        <v>2.6</v>
      </c>
      <c r="Q461" s="35">
        <v>2</v>
      </c>
      <c r="R461" s="35">
        <v>3.4</v>
      </c>
      <c r="S461" s="35">
        <v>2</v>
      </c>
      <c r="T461" s="35">
        <v>3.3</v>
      </c>
      <c r="U461" s="35">
        <v>2</v>
      </c>
      <c r="V461" s="35">
        <v>10.8</v>
      </c>
      <c r="W461" s="35">
        <v>9</v>
      </c>
      <c r="X461" s="35">
        <v>10.9</v>
      </c>
      <c r="Y461" s="35">
        <v>9</v>
      </c>
      <c r="Z461" s="35">
        <v>10.4</v>
      </c>
      <c r="AA461" s="35">
        <v>9</v>
      </c>
      <c r="AB461" s="35">
        <v>9.6</v>
      </c>
      <c r="AC461" s="35">
        <v>9</v>
      </c>
      <c r="AD461" s="35">
        <v>19.2</v>
      </c>
      <c r="AE461" s="35">
        <v>19</v>
      </c>
      <c r="AF461" s="35">
        <v>20</v>
      </c>
      <c r="AG461" s="35">
        <v>19</v>
      </c>
      <c r="AH461" s="35">
        <v>18.399999999999999</v>
      </c>
      <c r="AI461" s="35">
        <v>19</v>
      </c>
      <c r="AJ461" s="35">
        <v>18.3</v>
      </c>
      <c r="AK461" s="35">
        <v>19</v>
      </c>
      <c r="AL461" s="35">
        <v>20.9</v>
      </c>
      <c r="AM461" s="35">
        <v>19</v>
      </c>
      <c r="AN461" s="35">
        <v>20.9</v>
      </c>
      <c r="AO461" s="35">
        <v>19</v>
      </c>
      <c r="AP461" s="35">
        <v>20.8</v>
      </c>
      <c r="AQ461" s="35">
        <v>19</v>
      </c>
      <c r="AR461" s="35">
        <v>20.8</v>
      </c>
      <c r="AS461" s="35">
        <v>19</v>
      </c>
      <c r="AT461" s="35">
        <v>19.899999999999999</v>
      </c>
      <c r="AU461" s="35">
        <v>19</v>
      </c>
      <c r="AV461" s="35">
        <v>18.899999999999999</v>
      </c>
      <c r="AW461" s="35">
        <v>19</v>
      </c>
      <c r="AX461" s="35">
        <v>20.8</v>
      </c>
      <c r="AY461" s="35">
        <v>20</v>
      </c>
      <c r="AZ461" s="35">
        <v>20.5</v>
      </c>
      <c r="BA461" s="35">
        <v>20</v>
      </c>
      <c r="BB461" s="35">
        <v>32</v>
      </c>
      <c r="BC461" s="35">
        <v>40</v>
      </c>
      <c r="BD461" s="35">
        <v>31</v>
      </c>
      <c r="BE461" s="35">
        <v>40</v>
      </c>
      <c r="BF461" s="35">
        <v>18.7</v>
      </c>
      <c r="BG461" s="35">
        <v>20</v>
      </c>
    </row>
    <row r="462" spans="1:59" x14ac:dyDescent="0.35">
      <c r="A462" s="36">
        <v>46059.777777777781</v>
      </c>
      <c r="B462" s="35">
        <v>2.9</v>
      </c>
      <c r="C462" s="35">
        <v>2</v>
      </c>
      <c r="D462" s="35">
        <v>3.8</v>
      </c>
      <c r="E462" s="35">
        <v>2.2000000000000002</v>
      </c>
      <c r="F462" s="35">
        <v>1.3</v>
      </c>
      <c r="G462" s="35">
        <v>2</v>
      </c>
      <c r="H462" s="35">
        <v>1.6</v>
      </c>
      <c r="I462" s="35">
        <v>2</v>
      </c>
      <c r="J462" s="35">
        <v>2.1</v>
      </c>
      <c r="K462" s="35">
        <v>2</v>
      </c>
      <c r="L462" s="35">
        <v>2.8</v>
      </c>
      <c r="M462" s="35">
        <v>2</v>
      </c>
      <c r="N462" s="35">
        <v>2.4</v>
      </c>
      <c r="O462" s="35">
        <v>3</v>
      </c>
      <c r="P462" s="35">
        <v>2.9</v>
      </c>
      <c r="Q462" s="35">
        <v>2</v>
      </c>
      <c r="R462" s="35">
        <v>3.5</v>
      </c>
      <c r="S462" s="35">
        <v>2</v>
      </c>
      <c r="T462" s="35">
        <v>3.4</v>
      </c>
      <c r="U462" s="35">
        <v>2</v>
      </c>
      <c r="V462" s="35">
        <v>9.1</v>
      </c>
      <c r="W462" s="35">
        <v>9</v>
      </c>
      <c r="X462" s="35">
        <v>10.8</v>
      </c>
      <c r="Y462" s="35">
        <v>9</v>
      </c>
      <c r="Z462" s="35">
        <v>10.5</v>
      </c>
      <c r="AA462" s="35">
        <v>9</v>
      </c>
      <c r="AB462" s="35">
        <v>10</v>
      </c>
      <c r="AC462" s="35">
        <v>9</v>
      </c>
      <c r="AD462" s="35">
        <v>19.100000000000001</v>
      </c>
      <c r="AE462" s="35">
        <v>19</v>
      </c>
      <c r="AF462" s="35">
        <v>20.100000000000001</v>
      </c>
      <c r="AG462" s="35">
        <v>19</v>
      </c>
      <c r="AH462" s="35">
        <v>18.2</v>
      </c>
      <c r="AI462" s="35">
        <v>19</v>
      </c>
      <c r="AJ462" s="35">
        <v>18.5</v>
      </c>
      <c r="AK462" s="35">
        <v>19</v>
      </c>
      <c r="AL462" s="35">
        <v>21</v>
      </c>
      <c r="AM462" s="35">
        <v>19</v>
      </c>
      <c r="AN462" s="35">
        <v>21</v>
      </c>
      <c r="AO462" s="35">
        <v>19</v>
      </c>
      <c r="AP462" s="35">
        <v>20.8</v>
      </c>
      <c r="AQ462" s="35">
        <v>19</v>
      </c>
      <c r="AR462" s="35">
        <v>20.8</v>
      </c>
      <c r="AS462" s="35">
        <v>19</v>
      </c>
      <c r="AT462" s="35">
        <v>20</v>
      </c>
      <c r="AU462" s="35">
        <v>19</v>
      </c>
      <c r="AV462" s="35">
        <v>19</v>
      </c>
      <c r="AW462" s="35">
        <v>19</v>
      </c>
      <c r="AX462" s="35">
        <v>20.8</v>
      </c>
      <c r="AY462" s="35">
        <v>20</v>
      </c>
      <c r="AZ462" s="35">
        <v>20.6</v>
      </c>
      <c r="BA462" s="35">
        <v>20</v>
      </c>
      <c r="BB462" s="35">
        <v>32</v>
      </c>
      <c r="BC462" s="35">
        <v>40</v>
      </c>
      <c r="BD462" s="35">
        <v>31</v>
      </c>
      <c r="BE462" s="35">
        <v>40</v>
      </c>
      <c r="BF462" s="35">
        <v>19.2</v>
      </c>
      <c r="BG462" s="35">
        <v>20</v>
      </c>
    </row>
    <row r="463" spans="1:59" x14ac:dyDescent="0.35">
      <c r="A463" s="36">
        <v>46059.77847222222</v>
      </c>
      <c r="B463" s="35">
        <v>3.2</v>
      </c>
      <c r="C463" s="35">
        <v>2</v>
      </c>
      <c r="D463" s="35">
        <v>4.2</v>
      </c>
      <c r="E463" s="35">
        <v>2.2000000000000002</v>
      </c>
      <c r="F463" s="35">
        <v>1.7</v>
      </c>
      <c r="G463" s="35">
        <v>2</v>
      </c>
      <c r="H463" s="35">
        <v>2</v>
      </c>
      <c r="I463" s="35">
        <v>2</v>
      </c>
      <c r="J463" s="35">
        <v>2.4</v>
      </c>
      <c r="K463" s="35">
        <v>2</v>
      </c>
      <c r="L463" s="35">
        <v>3.1</v>
      </c>
      <c r="M463" s="35">
        <v>2</v>
      </c>
      <c r="N463" s="35">
        <v>2.7</v>
      </c>
      <c r="O463" s="35">
        <v>3</v>
      </c>
      <c r="P463" s="35">
        <v>3.2</v>
      </c>
      <c r="Q463" s="35">
        <v>2</v>
      </c>
      <c r="R463" s="35">
        <v>3.6</v>
      </c>
      <c r="S463" s="35">
        <v>2</v>
      </c>
      <c r="T463" s="35">
        <v>3.5</v>
      </c>
      <c r="U463" s="35">
        <v>2</v>
      </c>
      <c r="V463" s="35">
        <v>7.7</v>
      </c>
      <c r="W463" s="35">
        <v>9</v>
      </c>
      <c r="X463" s="35">
        <v>10.1</v>
      </c>
      <c r="Y463" s="35">
        <v>9</v>
      </c>
      <c r="Z463" s="35">
        <v>10.6</v>
      </c>
      <c r="AA463" s="35">
        <v>9</v>
      </c>
      <c r="AB463" s="35">
        <v>10.3</v>
      </c>
      <c r="AC463" s="35">
        <v>9</v>
      </c>
      <c r="AD463" s="35">
        <v>18.899999999999999</v>
      </c>
      <c r="AE463" s="35">
        <v>19</v>
      </c>
      <c r="AF463" s="35">
        <v>20.100000000000001</v>
      </c>
      <c r="AG463" s="35">
        <v>19</v>
      </c>
      <c r="AH463" s="35">
        <v>18.2</v>
      </c>
      <c r="AI463" s="35">
        <v>19</v>
      </c>
      <c r="AJ463" s="35">
        <v>18.7</v>
      </c>
      <c r="AK463" s="35">
        <v>19</v>
      </c>
      <c r="AL463" s="35">
        <v>20.9</v>
      </c>
      <c r="AM463" s="35">
        <v>19</v>
      </c>
      <c r="AN463" s="35">
        <v>20.5</v>
      </c>
      <c r="AO463" s="35">
        <v>19</v>
      </c>
      <c r="AP463" s="35">
        <v>20.8</v>
      </c>
      <c r="AQ463" s="35">
        <v>19</v>
      </c>
      <c r="AR463" s="35">
        <v>20.8</v>
      </c>
      <c r="AS463" s="35">
        <v>19</v>
      </c>
      <c r="AT463" s="35">
        <v>20.2</v>
      </c>
      <c r="AU463" s="35">
        <v>19</v>
      </c>
      <c r="AV463" s="35">
        <v>19.2</v>
      </c>
      <c r="AW463" s="35">
        <v>19</v>
      </c>
      <c r="AX463" s="35">
        <v>20.7</v>
      </c>
      <c r="AY463" s="35">
        <v>20</v>
      </c>
      <c r="AZ463" s="35">
        <v>20.6</v>
      </c>
      <c r="BA463" s="35">
        <v>20</v>
      </c>
      <c r="BB463" s="35">
        <v>32</v>
      </c>
      <c r="BC463" s="35">
        <v>40</v>
      </c>
      <c r="BD463" s="35">
        <v>31</v>
      </c>
      <c r="BE463" s="35">
        <v>40</v>
      </c>
      <c r="BF463" s="35">
        <v>19.600000000000001</v>
      </c>
      <c r="BG463" s="35">
        <v>20</v>
      </c>
    </row>
    <row r="464" spans="1:59" x14ac:dyDescent="0.35">
      <c r="A464" s="36">
        <v>46059.779166666667</v>
      </c>
      <c r="B464" s="35">
        <v>3.3</v>
      </c>
      <c r="C464" s="35">
        <v>2</v>
      </c>
      <c r="D464" s="35">
        <v>4.0999999999999996</v>
      </c>
      <c r="E464" s="35">
        <v>2.2000000000000002</v>
      </c>
      <c r="F464" s="35">
        <v>2.2000000000000002</v>
      </c>
      <c r="G464" s="35">
        <v>2</v>
      </c>
      <c r="H464" s="35">
        <v>2.4</v>
      </c>
      <c r="I464" s="35">
        <v>2</v>
      </c>
      <c r="J464" s="35">
        <v>2.6</v>
      </c>
      <c r="K464" s="35">
        <v>2</v>
      </c>
      <c r="L464" s="35">
        <v>3.4</v>
      </c>
      <c r="M464" s="35">
        <v>2</v>
      </c>
      <c r="N464" s="35">
        <v>3</v>
      </c>
      <c r="O464" s="35">
        <v>3</v>
      </c>
      <c r="P464" s="35">
        <v>3.4</v>
      </c>
      <c r="Q464" s="35">
        <v>2</v>
      </c>
      <c r="R464" s="35">
        <v>3.7</v>
      </c>
      <c r="S464" s="35">
        <v>2</v>
      </c>
      <c r="T464" s="35">
        <v>3.6</v>
      </c>
      <c r="U464" s="35">
        <v>2</v>
      </c>
      <c r="V464" s="35">
        <v>7.9</v>
      </c>
      <c r="W464" s="35">
        <v>9</v>
      </c>
      <c r="X464" s="35">
        <v>9.1</v>
      </c>
      <c r="Y464" s="35">
        <v>9</v>
      </c>
      <c r="Z464" s="35">
        <v>10.7</v>
      </c>
      <c r="AA464" s="35">
        <v>9</v>
      </c>
      <c r="AB464" s="35">
        <v>10.5</v>
      </c>
      <c r="AC464" s="35">
        <v>9</v>
      </c>
      <c r="AD464" s="35">
        <v>18.7</v>
      </c>
      <c r="AE464" s="35">
        <v>19</v>
      </c>
      <c r="AF464" s="35">
        <v>20.2</v>
      </c>
      <c r="AG464" s="35">
        <v>19</v>
      </c>
      <c r="AH464" s="35">
        <v>18.5</v>
      </c>
      <c r="AI464" s="35">
        <v>19</v>
      </c>
      <c r="AJ464" s="35">
        <v>18.899999999999999</v>
      </c>
      <c r="AK464" s="35">
        <v>19</v>
      </c>
      <c r="AL464" s="35">
        <v>20.6</v>
      </c>
      <c r="AM464" s="35">
        <v>19</v>
      </c>
      <c r="AN464" s="35">
        <v>19.600000000000001</v>
      </c>
      <c r="AO464" s="35">
        <v>19</v>
      </c>
      <c r="AP464" s="35">
        <v>20.9</v>
      </c>
      <c r="AQ464" s="35">
        <v>19</v>
      </c>
      <c r="AR464" s="35">
        <v>20.8</v>
      </c>
      <c r="AS464" s="35">
        <v>19</v>
      </c>
      <c r="AT464" s="35">
        <v>20.2</v>
      </c>
      <c r="AU464" s="35">
        <v>19</v>
      </c>
      <c r="AV464" s="35">
        <v>19.3</v>
      </c>
      <c r="AW464" s="35">
        <v>19</v>
      </c>
      <c r="AX464" s="35">
        <v>20.6</v>
      </c>
      <c r="AY464" s="35">
        <v>20</v>
      </c>
      <c r="AZ464" s="35">
        <v>20.6</v>
      </c>
      <c r="BA464" s="35">
        <v>20</v>
      </c>
      <c r="BB464" s="35">
        <v>32</v>
      </c>
      <c r="BC464" s="35">
        <v>40</v>
      </c>
      <c r="BD464" s="35">
        <v>31</v>
      </c>
      <c r="BE464" s="35">
        <v>40</v>
      </c>
      <c r="BF464" s="35">
        <v>19.899999999999999</v>
      </c>
      <c r="BG464" s="35">
        <v>20</v>
      </c>
    </row>
    <row r="465" spans="1:59" x14ac:dyDescent="0.35">
      <c r="A465" s="36">
        <v>46059.779861111114</v>
      </c>
      <c r="B465" s="35">
        <v>3.7</v>
      </c>
      <c r="C465" s="35">
        <v>2</v>
      </c>
      <c r="D465" s="35">
        <v>4.0999999999999996</v>
      </c>
      <c r="E465" s="35">
        <v>2.2000000000000002</v>
      </c>
      <c r="F465" s="35">
        <v>2.6</v>
      </c>
      <c r="G465" s="35">
        <v>2</v>
      </c>
      <c r="H465" s="35">
        <v>2.8</v>
      </c>
      <c r="I465" s="35">
        <v>2</v>
      </c>
      <c r="J465" s="35">
        <v>2.8</v>
      </c>
      <c r="K465" s="35">
        <v>2</v>
      </c>
      <c r="L465" s="35">
        <v>3.6</v>
      </c>
      <c r="M465" s="35">
        <v>2</v>
      </c>
      <c r="N465" s="35">
        <v>3.3</v>
      </c>
      <c r="O465" s="35">
        <v>3</v>
      </c>
      <c r="P465" s="35">
        <v>3.6</v>
      </c>
      <c r="Q465" s="35">
        <v>2</v>
      </c>
      <c r="R465" s="35">
        <v>3.9</v>
      </c>
      <c r="S465" s="35">
        <v>2</v>
      </c>
      <c r="T465" s="35">
        <v>3.7</v>
      </c>
      <c r="U465" s="35">
        <v>2</v>
      </c>
      <c r="V465" s="35">
        <v>8.6</v>
      </c>
      <c r="W465" s="35">
        <v>9</v>
      </c>
      <c r="X465" s="35">
        <v>8.1999999999999993</v>
      </c>
      <c r="Y465" s="35">
        <v>9</v>
      </c>
      <c r="Z465" s="35">
        <v>10.8</v>
      </c>
      <c r="AA465" s="35">
        <v>9</v>
      </c>
      <c r="AB465" s="35">
        <v>10.8</v>
      </c>
      <c r="AC465" s="35">
        <v>9</v>
      </c>
      <c r="AD465" s="35">
        <v>18.7</v>
      </c>
      <c r="AE465" s="35">
        <v>19</v>
      </c>
      <c r="AF465" s="35">
        <v>20.2</v>
      </c>
      <c r="AG465" s="35">
        <v>19</v>
      </c>
      <c r="AH465" s="35">
        <v>18.7</v>
      </c>
      <c r="AI465" s="35">
        <v>19</v>
      </c>
      <c r="AJ465" s="35">
        <v>19.100000000000001</v>
      </c>
      <c r="AK465" s="35">
        <v>19</v>
      </c>
      <c r="AL465" s="35">
        <v>20.5</v>
      </c>
      <c r="AM465" s="35">
        <v>19</v>
      </c>
      <c r="AN465" s="35">
        <v>19.399999999999999</v>
      </c>
      <c r="AO465" s="35">
        <v>19</v>
      </c>
      <c r="AP465" s="35">
        <v>20.9</v>
      </c>
      <c r="AQ465" s="35">
        <v>19</v>
      </c>
      <c r="AR465" s="35">
        <v>20.8</v>
      </c>
      <c r="AS465" s="35">
        <v>19</v>
      </c>
      <c r="AT465" s="35">
        <v>20.3</v>
      </c>
      <c r="AU465" s="35">
        <v>19</v>
      </c>
      <c r="AV465" s="35">
        <v>19.399999999999999</v>
      </c>
      <c r="AW465" s="35">
        <v>19</v>
      </c>
      <c r="AX465" s="35">
        <v>20.6</v>
      </c>
      <c r="AY465" s="35">
        <v>20</v>
      </c>
      <c r="AZ465" s="35">
        <v>20.5</v>
      </c>
      <c r="BA465" s="35">
        <v>20</v>
      </c>
      <c r="BB465" s="35">
        <v>32</v>
      </c>
      <c r="BC465" s="35">
        <v>40</v>
      </c>
      <c r="BD465" s="35">
        <v>31</v>
      </c>
      <c r="BE465" s="35">
        <v>40</v>
      </c>
      <c r="BF465" s="35">
        <v>20.3</v>
      </c>
      <c r="BG465" s="35">
        <v>20</v>
      </c>
    </row>
    <row r="466" spans="1:59" x14ac:dyDescent="0.35">
      <c r="A466" s="36">
        <v>46059.780555555553</v>
      </c>
      <c r="B466" s="35">
        <v>4</v>
      </c>
      <c r="C466" s="35">
        <v>2</v>
      </c>
      <c r="D466" s="35">
        <v>4.4000000000000004</v>
      </c>
      <c r="E466" s="35">
        <v>2.2000000000000002</v>
      </c>
      <c r="F466" s="35">
        <v>2.9</v>
      </c>
      <c r="G466" s="35">
        <v>2</v>
      </c>
      <c r="H466" s="35">
        <v>3.2</v>
      </c>
      <c r="I466" s="35">
        <v>2</v>
      </c>
      <c r="J466" s="35">
        <v>3</v>
      </c>
      <c r="K466" s="35">
        <v>2</v>
      </c>
      <c r="L466" s="35">
        <v>3.8</v>
      </c>
      <c r="M466" s="35">
        <v>2</v>
      </c>
      <c r="N466" s="35">
        <v>3.5</v>
      </c>
      <c r="O466" s="35">
        <v>3</v>
      </c>
      <c r="P466" s="35">
        <v>3.8</v>
      </c>
      <c r="Q466" s="35">
        <v>2</v>
      </c>
      <c r="R466" s="35">
        <v>4</v>
      </c>
      <c r="S466" s="35">
        <v>2</v>
      </c>
      <c r="T466" s="35">
        <v>3.8</v>
      </c>
      <c r="U466" s="35">
        <v>2</v>
      </c>
      <c r="V466" s="35">
        <v>9.4</v>
      </c>
      <c r="W466" s="35">
        <v>9</v>
      </c>
      <c r="X466" s="35">
        <v>8.1</v>
      </c>
      <c r="Y466" s="35">
        <v>9</v>
      </c>
      <c r="Z466" s="35">
        <v>10.9</v>
      </c>
      <c r="AA466" s="35">
        <v>9</v>
      </c>
      <c r="AB466" s="35">
        <v>11</v>
      </c>
      <c r="AC466" s="35">
        <v>9</v>
      </c>
      <c r="AD466" s="35">
        <v>18.899999999999999</v>
      </c>
      <c r="AE466" s="35">
        <v>19</v>
      </c>
      <c r="AF466" s="35">
        <v>20.3</v>
      </c>
      <c r="AG466" s="35">
        <v>19</v>
      </c>
      <c r="AH466" s="35">
        <v>18.899999999999999</v>
      </c>
      <c r="AI466" s="35">
        <v>19</v>
      </c>
      <c r="AJ466" s="35">
        <v>19.3</v>
      </c>
      <c r="AK466" s="35">
        <v>19</v>
      </c>
      <c r="AL466" s="35">
        <v>20.3</v>
      </c>
      <c r="AM466" s="35">
        <v>19</v>
      </c>
      <c r="AN466" s="35">
        <v>18.600000000000001</v>
      </c>
      <c r="AO466" s="35">
        <v>19</v>
      </c>
      <c r="AP466" s="35">
        <v>20.9</v>
      </c>
      <c r="AQ466" s="35">
        <v>19</v>
      </c>
      <c r="AR466" s="35">
        <v>20.8</v>
      </c>
      <c r="AS466" s="35">
        <v>19</v>
      </c>
      <c r="AT466" s="35">
        <v>20.399999999999999</v>
      </c>
      <c r="AU466" s="35">
        <v>19</v>
      </c>
      <c r="AV466" s="35">
        <v>19.5</v>
      </c>
      <c r="AW466" s="35">
        <v>19</v>
      </c>
      <c r="AX466" s="35">
        <v>20.6</v>
      </c>
      <c r="AY466" s="35">
        <v>20</v>
      </c>
      <c r="AZ466" s="35">
        <v>20.399999999999999</v>
      </c>
      <c r="BA466" s="35">
        <v>20</v>
      </c>
      <c r="BB466" s="35">
        <v>31.9</v>
      </c>
      <c r="BC466" s="35">
        <v>40</v>
      </c>
      <c r="BD466" s="35">
        <v>31</v>
      </c>
      <c r="BE466" s="35">
        <v>40</v>
      </c>
      <c r="BF466" s="35">
        <v>20.8</v>
      </c>
      <c r="BG466" s="35">
        <v>20</v>
      </c>
    </row>
    <row r="467" spans="1:59" x14ac:dyDescent="0.35">
      <c r="A467" s="36">
        <v>46059.78125</v>
      </c>
      <c r="B467" s="35">
        <v>4</v>
      </c>
      <c r="C467" s="35">
        <v>2</v>
      </c>
      <c r="D467" s="35">
        <v>4.3</v>
      </c>
      <c r="E467" s="35">
        <v>2.2000000000000002</v>
      </c>
      <c r="F467" s="35">
        <v>3.2</v>
      </c>
      <c r="G467" s="35">
        <v>2</v>
      </c>
      <c r="H467" s="35">
        <v>3.5</v>
      </c>
      <c r="I467" s="35">
        <v>2</v>
      </c>
      <c r="J467" s="35">
        <v>3.2</v>
      </c>
      <c r="K467" s="35">
        <v>2</v>
      </c>
      <c r="L467" s="35">
        <v>4</v>
      </c>
      <c r="M467" s="35">
        <v>2</v>
      </c>
      <c r="N467" s="35">
        <v>3.7</v>
      </c>
      <c r="O467" s="35">
        <v>3</v>
      </c>
      <c r="P467" s="35">
        <v>3.9</v>
      </c>
      <c r="Q467" s="35">
        <v>2</v>
      </c>
      <c r="R467" s="35">
        <v>3.1</v>
      </c>
      <c r="S467" s="35">
        <v>2</v>
      </c>
      <c r="T467" s="35">
        <v>2.6</v>
      </c>
      <c r="U467" s="35">
        <v>2</v>
      </c>
      <c r="V467" s="35">
        <v>10.1</v>
      </c>
      <c r="W467" s="35">
        <v>9</v>
      </c>
      <c r="X467" s="35">
        <v>8.1</v>
      </c>
      <c r="Y467" s="35">
        <v>9</v>
      </c>
      <c r="Z467" s="35">
        <v>11</v>
      </c>
      <c r="AA467" s="35">
        <v>9</v>
      </c>
      <c r="AB467" s="35">
        <v>10.7</v>
      </c>
      <c r="AC467" s="35">
        <v>9</v>
      </c>
      <c r="AD467" s="35">
        <v>19</v>
      </c>
      <c r="AE467" s="35">
        <v>19</v>
      </c>
      <c r="AF467" s="35">
        <v>20.3</v>
      </c>
      <c r="AG467" s="35">
        <v>19</v>
      </c>
      <c r="AH467" s="35">
        <v>19.100000000000001</v>
      </c>
      <c r="AI467" s="35">
        <v>19</v>
      </c>
      <c r="AJ467" s="35">
        <v>19.399999999999999</v>
      </c>
      <c r="AK467" s="35">
        <v>19</v>
      </c>
      <c r="AL467" s="35">
        <v>20.100000000000001</v>
      </c>
      <c r="AM467" s="35">
        <v>19</v>
      </c>
      <c r="AN467" s="35">
        <v>18.5</v>
      </c>
      <c r="AO467" s="35">
        <v>19</v>
      </c>
      <c r="AP467" s="35">
        <v>20.9</v>
      </c>
      <c r="AQ467" s="35">
        <v>19</v>
      </c>
      <c r="AR467" s="35">
        <v>20.8</v>
      </c>
      <c r="AS467" s="35">
        <v>19</v>
      </c>
      <c r="AT467" s="35">
        <v>20.5</v>
      </c>
      <c r="AU467" s="35">
        <v>19</v>
      </c>
      <c r="AV467" s="35">
        <v>19.600000000000001</v>
      </c>
      <c r="AW467" s="35">
        <v>19</v>
      </c>
      <c r="AX467" s="35">
        <v>20.6</v>
      </c>
      <c r="AY467" s="35">
        <v>20</v>
      </c>
      <c r="AZ467" s="35">
        <v>20.399999999999999</v>
      </c>
      <c r="BA467" s="35">
        <v>20</v>
      </c>
      <c r="BB467" s="35">
        <v>31.9</v>
      </c>
      <c r="BC467" s="35">
        <v>40</v>
      </c>
      <c r="BD467" s="35">
        <v>31</v>
      </c>
      <c r="BE467" s="35">
        <v>40</v>
      </c>
      <c r="BF467" s="35">
        <v>21.1</v>
      </c>
      <c r="BG467" s="35">
        <v>20</v>
      </c>
    </row>
    <row r="468" spans="1:59" x14ac:dyDescent="0.35">
      <c r="A468" s="36">
        <v>46059.781944444447</v>
      </c>
      <c r="B468" s="35">
        <v>3</v>
      </c>
      <c r="C468" s="35">
        <v>2</v>
      </c>
      <c r="D468" s="35">
        <v>3.4</v>
      </c>
      <c r="E468" s="35">
        <v>2.2000000000000002</v>
      </c>
      <c r="F468" s="35">
        <v>3.5</v>
      </c>
      <c r="G468" s="35">
        <v>2</v>
      </c>
      <c r="H468" s="35">
        <v>3.8</v>
      </c>
      <c r="I468" s="35">
        <v>2</v>
      </c>
      <c r="J468" s="35">
        <v>3.2</v>
      </c>
      <c r="K468" s="35">
        <v>2</v>
      </c>
      <c r="L468" s="35">
        <v>3.1</v>
      </c>
      <c r="M468" s="35">
        <v>2</v>
      </c>
      <c r="N468" s="35">
        <v>3.9</v>
      </c>
      <c r="O468" s="35">
        <v>3</v>
      </c>
      <c r="P468" s="35">
        <v>4</v>
      </c>
      <c r="Q468" s="35">
        <v>2</v>
      </c>
      <c r="R468" s="35">
        <v>2</v>
      </c>
      <c r="S468" s="35">
        <v>2</v>
      </c>
      <c r="T468" s="35">
        <v>1.6</v>
      </c>
      <c r="U468" s="35">
        <v>2</v>
      </c>
      <c r="V468" s="35">
        <v>10.6</v>
      </c>
      <c r="W468" s="35">
        <v>9</v>
      </c>
      <c r="X468" s="35">
        <v>8.5</v>
      </c>
      <c r="Y468" s="35">
        <v>9</v>
      </c>
      <c r="Z468" s="35">
        <v>10.1</v>
      </c>
      <c r="AA468" s="35">
        <v>9</v>
      </c>
      <c r="AB468" s="35">
        <v>9.5</v>
      </c>
      <c r="AC468" s="35">
        <v>9</v>
      </c>
      <c r="AD468" s="35">
        <v>19.100000000000001</v>
      </c>
      <c r="AE468" s="35">
        <v>19</v>
      </c>
      <c r="AF468" s="35">
        <v>20.3</v>
      </c>
      <c r="AG468" s="35">
        <v>19</v>
      </c>
      <c r="AH468" s="35">
        <v>19.3</v>
      </c>
      <c r="AI468" s="35">
        <v>19</v>
      </c>
      <c r="AJ468" s="35">
        <v>19.5</v>
      </c>
      <c r="AK468" s="35">
        <v>19</v>
      </c>
      <c r="AL468" s="35">
        <v>19.899999999999999</v>
      </c>
      <c r="AM468" s="35">
        <v>19</v>
      </c>
      <c r="AN468" s="35">
        <v>18.600000000000001</v>
      </c>
      <c r="AO468" s="35">
        <v>19</v>
      </c>
      <c r="AP468" s="35">
        <v>20.9</v>
      </c>
      <c r="AQ468" s="35">
        <v>19</v>
      </c>
      <c r="AR468" s="35">
        <v>20.8</v>
      </c>
      <c r="AS468" s="35">
        <v>19</v>
      </c>
      <c r="AT468" s="35">
        <v>20.6</v>
      </c>
      <c r="AU468" s="35">
        <v>19</v>
      </c>
      <c r="AV468" s="35">
        <v>19.7</v>
      </c>
      <c r="AW468" s="35">
        <v>19</v>
      </c>
      <c r="AX468" s="35">
        <v>20.6</v>
      </c>
      <c r="AY468" s="35">
        <v>20</v>
      </c>
      <c r="AZ468" s="35">
        <v>20.399999999999999</v>
      </c>
      <c r="BA468" s="35">
        <v>20</v>
      </c>
      <c r="BB468" s="35">
        <v>31.9</v>
      </c>
      <c r="BC468" s="35">
        <v>40</v>
      </c>
      <c r="BD468" s="35">
        <v>30.9</v>
      </c>
      <c r="BE468" s="35">
        <v>40</v>
      </c>
      <c r="BF468" s="35">
        <v>21.3</v>
      </c>
      <c r="BG468" s="35">
        <v>20</v>
      </c>
    </row>
    <row r="469" spans="1:59" x14ac:dyDescent="0.35">
      <c r="A469" s="36">
        <v>46059.782638888886</v>
      </c>
      <c r="B469" s="35">
        <v>1.8</v>
      </c>
      <c r="C469" s="35">
        <v>2</v>
      </c>
      <c r="D469" s="35">
        <v>2.2999999999999998</v>
      </c>
      <c r="E469" s="35">
        <v>2.2000000000000002</v>
      </c>
      <c r="F469" s="35">
        <v>3.7</v>
      </c>
      <c r="G469" s="35">
        <v>2</v>
      </c>
      <c r="H469" s="35">
        <v>4</v>
      </c>
      <c r="I469" s="35">
        <v>2</v>
      </c>
      <c r="J469" s="35">
        <v>2.6</v>
      </c>
      <c r="K469" s="35">
        <v>2</v>
      </c>
      <c r="L469" s="35">
        <v>2.1</v>
      </c>
      <c r="M469" s="35">
        <v>2</v>
      </c>
      <c r="N469" s="35">
        <v>2.2000000000000002</v>
      </c>
      <c r="O469" s="35">
        <v>3</v>
      </c>
      <c r="P469" s="35">
        <v>2.9</v>
      </c>
      <c r="Q469" s="35">
        <v>2</v>
      </c>
      <c r="R469" s="35">
        <v>1.7</v>
      </c>
      <c r="S469" s="35">
        <v>2</v>
      </c>
      <c r="T469" s="35">
        <v>1.2</v>
      </c>
      <c r="U469" s="35">
        <v>2</v>
      </c>
      <c r="V469" s="35">
        <v>10.9</v>
      </c>
      <c r="W469" s="35">
        <v>9</v>
      </c>
      <c r="X469" s="35">
        <v>8.6999999999999993</v>
      </c>
      <c r="Y469" s="35">
        <v>9</v>
      </c>
      <c r="Z469" s="35">
        <v>9.3000000000000007</v>
      </c>
      <c r="AA469" s="35">
        <v>9</v>
      </c>
      <c r="AB469" s="35">
        <v>8.1999999999999993</v>
      </c>
      <c r="AC469" s="35">
        <v>9</v>
      </c>
      <c r="AD469" s="35">
        <v>19.3</v>
      </c>
      <c r="AE469" s="35">
        <v>19</v>
      </c>
      <c r="AF469" s="35">
        <v>20.399999999999999</v>
      </c>
      <c r="AG469" s="35">
        <v>19</v>
      </c>
      <c r="AH469" s="35">
        <v>19.399999999999999</v>
      </c>
      <c r="AI469" s="35">
        <v>19</v>
      </c>
      <c r="AJ469" s="35">
        <v>19.600000000000001</v>
      </c>
      <c r="AK469" s="35">
        <v>19</v>
      </c>
      <c r="AL469" s="35">
        <v>19.7</v>
      </c>
      <c r="AM469" s="35">
        <v>19</v>
      </c>
      <c r="AN469" s="35">
        <v>18.8</v>
      </c>
      <c r="AO469" s="35">
        <v>19</v>
      </c>
      <c r="AP469" s="35">
        <v>20.9</v>
      </c>
      <c r="AQ469" s="35">
        <v>19</v>
      </c>
      <c r="AR469" s="35">
        <v>20.8</v>
      </c>
      <c r="AS469" s="35">
        <v>19</v>
      </c>
      <c r="AT469" s="35">
        <v>20.7</v>
      </c>
      <c r="AU469" s="35">
        <v>19</v>
      </c>
      <c r="AV469" s="35">
        <v>19.8</v>
      </c>
      <c r="AW469" s="35">
        <v>19</v>
      </c>
      <c r="AX469" s="35">
        <v>20.6</v>
      </c>
      <c r="AY469" s="35">
        <v>20</v>
      </c>
      <c r="AZ469" s="35">
        <v>20.399999999999999</v>
      </c>
      <c r="BA469" s="35">
        <v>20</v>
      </c>
      <c r="BB469" s="35">
        <v>31.9</v>
      </c>
      <c r="BC469" s="35">
        <v>40</v>
      </c>
      <c r="BD469" s="35">
        <v>30.9</v>
      </c>
      <c r="BE469" s="35">
        <v>40</v>
      </c>
      <c r="BF469" s="35">
        <v>21.4</v>
      </c>
      <c r="BG469" s="35">
        <v>20</v>
      </c>
    </row>
    <row r="470" spans="1:59" x14ac:dyDescent="0.35">
      <c r="A470" s="36">
        <v>46059.783333333333</v>
      </c>
      <c r="B470" s="35">
        <v>1.6</v>
      </c>
      <c r="C470" s="35">
        <v>2</v>
      </c>
      <c r="D470" s="35">
        <v>2.1</v>
      </c>
      <c r="E470" s="35">
        <v>2.2000000000000002</v>
      </c>
      <c r="F470" s="35">
        <v>3.3</v>
      </c>
      <c r="G470" s="35">
        <v>2</v>
      </c>
      <c r="H470" s="35">
        <v>2.8</v>
      </c>
      <c r="I470" s="35">
        <v>2</v>
      </c>
      <c r="J470" s="35">
        <v>2.4</v>
      </c>
      <c r="K470" s="35">
        <v>2</v>
      </c>
      <c r="L470" s="35">
        <v>1.7</v>
      </c>
      <c r="M470" s="35">
        <v>2</v>
      </c>
      <c r="N470" s="35">
        <v>0.8</v>
      </c>
      <c r="O470" s="35">
        <v>3</v>
      </c>
      <c r="P470" s="35">
        <v>1.9</v>
      </c>
      <c r="Q470" s="35">
        <v>2</v>
      </c>
      <c r="R470" s="35">
        <v>1.7</v>
      </c>
      <c r="S470" s="35">
        <v>2</v>
      </c>
      <c r="T470" s="35">
        <v>1.3</v>
      </c>
      <c r="U470" s="35">
        <v>2</v>
      </c>
      <c r="V470" s="35">
        <v>10</v>
      </c>
      <c r="W470" s="35">
        <v>9</v>
      </c>
      <c r="X470" s="35">
        <v>8.9</v>
      </c>
      <c r="Y470" s="35">
        <v>9</v>
      </c>
      <c r="Z470" s="35">
        <v>8.8000000000000007</v>
      </c>
      <c r="AA470" s="35">
        <v>9</v>
      </c>
      <c r="AB470" s="35">
        <v>8.4</v>
      </c>
      <c r="AC470" s="35">
        <v>9</v>
      </c>
      <c r="AD470" s="35">
        <v>19.3</v>
      </c>
      <c r="AE470" s="35">
        <v>19</v>
      </c>
      <c r="AF470" s="35">
        <v>20.399999999999999</v>
      </c>
      <c r="AG470" s="35">
        <v>19</v>
      </c>
      <c r="AH470" s="35">
        <v>19.5</v>
      </c>
      <c r="AI470" s="35">
        <v>19</v>
      </c>
      <c r="AJ470" s="35">
        <v>19.7</v>
      </c>
      <c r="AK470" s="35">
        <v>19</v>
      </c>
      <c r="AL470" s="35">
        <v>19.5</v>
      </c>
      <c r="AM470" s="35">
        <v>19</v>
      </c>
      <c r="AN470" s="35">
        <v>19</v>
      </c>
      <c r="AO470" s="35">
        <v>19</v>
      </c>
      <c r="AP470" s="35">
        <v>20.9</v>
      </c>
      <c r="AQ470" s="35">
        <v>19</v>
      </c>
      <c r="AR470" s="35">
        <v>20.8</v>
      </c>
      <c r="AS470" s="35">
        <v>19</v>
      </c>
      <c r="AT470" s="35">
        <v>20.7</v>
      </c>
      <c r="AU470" s="35">
        <v>19</v>
      </c>
      <c r="AV470" s="35">
        <v>19.899999999999999</v>
      </c>
      <c r="AW470" s="35">
        <v>19</v>
      </c>
      <c r="AX470" s="35">
        <v>20.7</v>
      </c>
      <c r="AY470" s="35">
        <v>20</v>
      </c>
      <c r="AZ470" s="35">
        <v>20.5</v>
      </c>
      <c r="BA470" s="35">
        <v>20</v>
      </c>
      <c r="BB470" s="35">
        <v>31.9</v>
      </c>
      <c r="BC470" s="35">
        <v>40</v>
      </c>
      <c r="BD470" s="35">
        <v>30.9</v>
      </c>
      <c r="BE470" s="35">
        <v>40</v>
      </c>
      <c r="BF470" s="35">
        <v>21.5</v>
      </c>
      <c r="BG470" s="35">
        <v>20</v>
      </c>
    </row>
    <row r="471" spans="1:59" x14ac:dyDescent="0.35">
      <c r="A471" s="36">
        <v>46059.78402777778</v>
      </c>
      <c r="B471" s="35">
        <v>1.9</v>
      </c>
      <c r="C471" s="35">
        <v>2</v>
      </c>
      <c r="D471" s="35">
        <v>2.6</v>
      </c>
      <c r="E471" s="35">
        <v>2.2000000000000002</v>
      </c>
      <c r="F471" s="35">
        <v>3.1</v>
      </c>
      <c r="G471" s="35">
        <v>2</v>
      </c>
      <c r="H471" s="35">
        <v>2.5</v>
      </c>
      <c r="I471" s="35">
        <v>2</v>
      </c>
      <c r="J471" s="35">
        <v>2.4</v>
      </c>
      <c r="K471" s="35">
        <v>2</v>
      </c>
      <c r="L471" s="35">
        <v>2</v>
      </c>
      <c r="M471" s="35">
        <v>2</v>
      </c>
      <c r="N471" s="35">
        <v>0.8</v>
      </c>
      <c r="O471" s="35">
        <v>3</v>
      </c>
      <c r="P471" s="35">
        <v>1.7</v>
      </c>
      <c r="Q471" s="35">
        <v>2</v>
      </c>
      <c r="R471" s="35">
        <v>1.8</v>
      </c>
      <c r="S471" s="35">
        <v>2</v>
      </c>
      <c r="T471" s="35">
        <v>1.6</v>
      </c>
      <c r="U471" s="35">
        <v>2</v>
      </c>
      <c r="V471" s="35">
        <v>8.1</v>
      </c>
      <c r="W471" s="35">
        <v>9</v>
      </c>
      <c r="X471" s="35">
        <v>9.1</v>
      </c>
      <c r="Y471" s="35">
        <v>9</v>
      </c>
      <c r="Z471" s="35">
        <v>8.8000000000000007</v>
      </c>
      <c r="AA471" s="35">
        <v>9</v>
      </c>
      <c r="AB471" s="35">
        <v>8.9</v>
      </c>
      <c r="AC471" s="35">
        <v>9</v>
      </c>
      <c r="AD471" s="35">
        <v>19.399999999999999</v>
      </c>
      <c r="AE471" s="35">
        <v>19</v>
      </c>
      <c r="AF471" s="35">
        <v>20.5</v>
      </c>
      <c r="AG471" s="35">
        <v>19</v>
      </c>
      <c r="AH471" s="35">
        <v>19.600000000000001</v>
      </c>
      <c r="AI471" s="35">
        <v>19</v>
      </c>
      <c r="AJ471" s="35">
        <v>19.899999999999999</v>
      </c>
      <c r="AK471" s="35">
        <v>19</v>
      </c>
      <c r="AL471" s="35">
        <v>19.5</v>
      </c>
      <c r="AM471" s="35">
        <v>19</v>
      </c>
      <c r="AN471" s="35">
        <v>19.2</v>
      </c>
      <c r="AO471" s="35">
        <v>19</v>
      </c>
      <c r="AP471" s="35">
        <v>20.9</v>
      </c>
      <c r="AQ471" s="35">
        <v>19</v>
      </c>
      <c r="AR471" s="35">
        <v>20.8</v>
      </c>
      <c r="AS471" s="35">
        <v>19</v>
      </c>
      <c r="AT471" s="35">
        <v>20.8</v>
      </c>
      <c r="AU471" s="35">
        <v>19</v>
      </c>
      <c r="AV471" s="35">
        <v>20</v>
      </c>
      <c r="AW471" s="35">
        <v>19</v>
      </c>
      <c r="AX471" s="35">
        <v>20.7</v>
      </c>
      <c r="AY471" s="35">
        <v>20</v>
      </c>
      <c r="AZ471" s="35">
        <v>20.5</v>
      </c>
      <c r="BA471" s="35">
        <v>20</v>
      </c>
      <c r="BB471" s="35">
        <v>31.9</v>
      </c>
      <c r="BC471" s="35">
        <v>40</v>
      </c>
      <c r="BD471" s="35">
        <v>30.9</v>
      </c>
      <c r="BE471" s="35">
        <v>40</v>
      </c>
      <c r="BF471" s="35">
        <v>21.5</v>
      </c>
      <c r="BG471" s="35">
        <v>20</v>
      </c>
    </row>
    <row r="472" spans="1:59" x14ac:dyDescent="0.35">
      <c r="A472" s="36">
        <v>46059.784722222219</v>
      </c>
      <c r="B472" s="35">
        <v>2.2999999999999998</v>
      </c>
      <c r="C472" s="35">
        <v>2</v>
      </c>
      <c r="D472" s="35">
        <v>3.1</v>
      </c>
      <c r="E472" s="35">
        <v>2.2000000000000002</v>
      </c>
      <c r="F472" s="35">
        <v>3.1</v>
      </c>
      <c r="G472" s="35">
        <v>2</v>
      </c>
      <c r="H472" s="35">
        <v>2.6</v>
      </c>
      <c r="I472" s="35">
        <v>2</v>
      </c>
      <c r="J472" s="35">
        <v>2.7</v>
      </c>
      <c r="K472" s="35">
        <v>2</v>
      </c>
      <c r="L472" s="35">
        <v>2.2999999999999998</v>
      </c>
      <c r="M472" s="35">
        <v>2</v>
      </c>
      <c r="N472" s="35">
        <v>1.1000000000000001</v>
      </c>
      <c r="O472" s="35">
        <v>3</v>
      </c>
      <c r="P472" s="35">
        <v>1.9</v>
      </c>
      <c r="Q472" s="35">
        <v>2</v>
      </c>
      <c r="R472" s="35">
        <v>2.1</v>
      </c>
      <c r="S472" s="35">
        <v>2</v>
      </c>
      <c r="T472" s="35">
        <v>1.9</v>
      </c>
      <c r="U472" s="35">
        <v>2</v>
      </c>
      <c r="V472" s="35">
        <v>8</v>
      </c>
      <c r="W472" s="35">
        <v>9</v>
      </c>
      <c r="X472" s="35">
        <v>9.3000000000000007</v>
      </c>
      <c r="Y472" s="35">
        <v>9</v>
      </c>
      <c r="Z472" s="35">
        <v>9</v>
      </c>
      <c r="AA472" s="35">
        <v>9</v>
      </c>
      <c r="AB472" s="35">
        <v>9.4</v>
      </c>
      <c r="AC472" s="35">
        <v>9</v>
      </c>
      <c r="AD472" s="35">
        <v>19.5</v>
      </c>
      <c r="AE472" s="35">
        <v>19</v>
      </c>
      <c r="AF472" s="35">
        <v>20.5</v>
      </c>
      <c r="AG472" s="35">
        <v>19</v>
      </c>
      <c r="AH472" s="35">
        <v>19.7</v>
      </c>
      <c r="AI472" s="35">
        <v>19</v>
      </c>
      <c r="AJ472" s="35">
        <v>19.899999999999999</v>
      </c>
      <c r="AK472" s="35">
        <v>19</v>
      </c>
      <c r="AL472" s="35">
        <v>19.3</v>
      </c>
      <c r="AM472" s="35">
        <v>19</v>
      </c>
      <c r="AN472" s="35">
        <v>19.5</v>
      </c>
      <c r="AO472" s="35">
        <v>19</v>
      </c>
      <c r="AP472" s="35">
        <v>20.9</v>
      </c>
      <c r="AQ472" s="35">
        <v>19</v>
      </c>
      <c r="AR472" s="35">
        <v>20.8</v>
      </c>
      <c r="AS472" s="35">
        <v>19</v>
      </c>
      <c r="AT472" s="35">
        <v>20.9</v>
      </c>
      <c r="AU472" s="35">
        <v>19</v>
      </c>
      <c r="AV472" s="35">
        <v>20.100000000000001</v>
      </c>
      <c r="AW472" s="35">
        <v>19</v>
      </c>
      <c r="AX472" s="35">
        <v>20.7</v>
      </c>
      <c r="AY472" s="35">
        <v>20</v>
      </c>
      <c r="AZ472" s="35">
        <v>20.5</v>
      </c>
      <c r="BA472" s="35">
        <v>20</v>
      </c>
      <c r="BB472" s="35">
        <v>31.9</v>
      </c>
      <c r="BC472" s="35">
        <v>40</v>
      </c>
      <c r="BD472" s="35">
        <v>30.9</v>
      </c>
      <c r="BE472" s="35">
        <v>40</v>
      </c>
      <c r="BF472" s="35">
        <v>21.6</v>
      </c>
      <c r="BG472" s="35">
        <v>20</v>
      </c>
    </row>
    <row r="473" spans="1:59" x14ac:dyDescent="0.35">
      <c r="A473" s="36">
        <v>46059.785416666666</v>
      </c>
      <c r="B473" s="35">
        <v>2.8</v>
      </c>
      <c r="C473" s="35">
        <v>2</v>
      </c>
      <c r="D473" s="35">
        <v>3.5</v>
      </c>
      <c r="E473" s="35">
        <v>2.2000000000000002</v>
      </c>
      <c r="F473" s="35">
        <v>3.4</v>
      </c>
      <c r="G473" s="35">
        <v>2</v>
      </c>
      <c r="H473" s="35">
        <v>2.9</v>
      </c>
      <c r="I473" s="35">
        <v>2</v>
      </c>
      <c r="J473" s="35">
        <v>2.9</v>
      </c>
      <c r="K473" s="35">
        <v>2</v>
      </c>
      <c r="L473" s="35">
        <v>2.7</v>
      </c>
      <c r="M473" s="35">
        <v>2</v>
      </c>
      <c r="N473" s="35">
        <v>1.5</v>
      </c>
      <c r="O473" s="35">
        <v>3</v>
      </c>
      <c r="P473" s="35">
        <v>2.2999999999999998</v>
      </c>
      <c r="Q473" s="35">
        <v>2</v>
      </c>
      <c r="R473" s="35">
        <v>2.4</v>
      </c>
      <c r="S473" s="35">
        <v>2</v>
      </c>
      <c r="T473" s="35">
        <v>2.2999999999999998</v>
      </c>
      <c r="U473" s="35">
        <v>2</v>
      </c>
      <c r="V473" s="35">
        <v>8.6</v>
      </c>
      <c r="W473" s="35">
        <v>9</v>
      </c>
      <c r="X473" s="35">
        <v>9.5</v>
      </c>
      <c r="Y473" s="35">
        <v>9</v>
      </c>
      <c r="Z473" s="35">
        <v>9.4</v>
      </c>
      <c r="AA473" s="35">
        <v>9</v>
      </c>
      <c r="AB473" s="35">
        <v>9.9</v>
      </c>
      <c r="AC473" s="35">
        <v>9</v>
      </c>
      <c r="AD473" s="35">
        <v>19.5</v>
      </c>
      <c r="AE473" s="35">
        <v>19</v>
      </c>
      <c r="AF473" s="35">
        <v>20.5</v>
      </c>
      <c r="AG473" s="35">
        <v>19</v>
      </c>
      <c r="AH473" s="35">
        <v>19.8</v>
      </c>
      <c r="AI473" s="35">
        <v>19</v>
      </c>
      <c r="AJ473" s="35">
        <v>20</v>
      </c>
      <c r="AK473" s="35">
        <v>19</v>
      </c>
      <c r="AL473" s="35">
        <v>19.2</v>
      </c>
      <c r="AM473" s="35">
        <v>19</v>
      </c>
      <c r="AN473" s="35">
        <v>19.600000000000001</v>
      </c>
      <c r="AO473" s="35">
        <v>19</v>
      </c>
      <c r="AP473" s="35">
        <v>20.9</v>
      </c>
      <c r="AQ473" s="35">
        <v>19</v>
      </c>
      <c r="AR473" s="35">
        <v>20.8</v>
      </c>
      <c r="AS473" s="35">
        <v>19</v>
      </c>
      <c r="AT473" s="35">
        <v>21</v>
      </c>
      <c r="AU473" s="35">
        <v>19</v>
      </c>
      <c r="AV473" s="35">
        <v>20.100000000000001</v>
      </c>
      <c r="AW473" s="35">
        <v>19</v>
      </c>
      <c r="AX473" s="35">
        <v>20.7</v>
      </c>
      <c r="AY473" s="35">
        <v>20</v>
      </c>
      <c r="AZ473" s="35">
        <v>20.5</v>
      </c>
      <c r="BA473" s="35">
        <v>20</v>
      </c>
      <c r="BB473" s="35">
        <v>31.9</v>
      </c>
      <c r="BC473" s="35">
        <v>40</v>
      </c>
      <c r="BD473" s="35">
        <v>30.9</v>
      </c>
      <c r="BE473" s="35">
        <v>40</v>
      </c>
      <c r="BF473" s="35">
        <v>21.6</v>
      </c>
      <c r="BG473" s="35">
        <v>20</v>
      </c>
    </row>
    <row r="474" spans="1:59" x14ac:dyDescent="0.35">
      <c r="A474" s="36">
        <v>46059.786111111112</v>
      </c>
      <c r="B474" s="35">
        <v>3.1</v>
      </c>
      <c r="C474" s="35">
        <v>2</v>
      </c>
      <c r="D474" s="35">
        <v>3.9</v>
      </c>
      <c r="E474" s="35">
        <v>2.2000000000000002</v>
      </c>
      <c r="F474" s="35">
        <v>3.6</v>
      </c>
      <c r="G474" s="35">
        <v>2</v>
      </c>
      <c r="H474" s="35">
        <v>3.1</v>
      </c>
      <c r="I474" s="35">
        <v>2</v>
      </c>
      <c r="J474" s="35">
        <v>3.2</v>
      </c>
      <c r="K474" s="35">
        <v>2</v>
      </c>
      <c r="L474" s="35">
        <v>3</v>
      </c>
      <c r="M474" s="35">
        <v>2</v>
      </c>
      <c r="N474" s="35">
        <v>1.9</v>
      </c>
      <c r="O474" s="35">
        <v>3</v>
      </c>
      <c r="P474" s="35">
        <v>2.6</v>
      </c>
      <c r="Q474" s="35">
        <v>2</v>
      </c>
      <c r="R474" s="35">
        <v>2.6</v>
      </c>
      <c r="S474" s="35">
        <v>2</v>
      </c>
      <c r="T474" s="35">
        <v>2.5</v>
      </c>
      <c r="U474" s="35">
        <v>2</v>
      </c>
      <c r="V474" s="35">
        <v>9.3000000000000007</v>
      </c>
      <c r="W474" s="35">
        <v>9</v>
      </c>
      <c r="X474" s="35">
        <v>9.6</v>
      </c>
      <c r="Y474" s="35">
        <v>9</v>
      </c>
      <c r="Z474" s="35">
        <v>9.6999999999999993</v>
      </c>
      <c r="AA474" s="35">
        <v>9</v>
      </c>
      <c r="AB474" s="35">
        <v>10.199999999999999</v>
      </c>
      <c r="AC474" s="35">
        <v>9</v>
      </c>
      <c r="AD474" s="35">
        <v>19.600000000000001</v>
      </c>
      <c r="AE474" s="35">
        <v>19</v>
      </c>
      <c r="AF474" s="35">
        <v>20.6</v>
      </c>
      <c r="AG474" s="35">
        <v>19</v>
      </c>
      <c r="AH474" s="35">
        <v>19.899999999999999</v>
      </c>
      <c r="AI474" s="35">
        <v>19</v>
      </c>
      <c r="AJ474" s="35">
        <v>20.100000000000001</v>
      </c>
      <c r="AK474" s="35">
        <v>19</v>
      </c>
      <c r="AL474" s="35">
        <v>19.2</v>
      </c>
      <c r="AM474" s="35">
        <v>19</v>
      </c>
      <c r="AN474" s="35">
        <v>19.8</v>
      </c>
      <c r="AO474" s="35">
        <v>19</v>
      </c>
      <c r="AP474" s="35">
        <v>20.9</v>
      </c>
      <c r="AQ474" s="35">
        <v>19</v>
      </c>
      <c r="AR474" s="35">
        <v>20.8</v>
      </c>
      <c r="AS474" s="35">
        <v>19</v>
      </c>
      <c r="AT474" s="35">
        <v>20.5</v>
      </c>
      <c r="AU474" s="35">
        <v>19</v>
      </c>
      <c r="AV474" s="35">
        <v>20.2</v>
      </c>
      <c r="AW474" s="35">
        <v>19</v>
      </c>
      <c r="AX474" s="35">
        <v>20.7</v>
      </c>
      <c r="AY474" s="35">
        <v>20</v>
      </c>
      <c r="AZ474" s="35">
        <v>20.5</v>
      </c>
      <c r="BA474" s="35">
        <v>20</v>
      </c>
      <c r="BB474" s="35">
        <v>31.8</v>
      </c>
      <c r="BC474" s="35">
        <v>40</v>
      </c>
      <c r="BD474" s="35">
        <v>30.9</v>
      </c>
      <c r="BE474" s="35">
        <v>40</v>
      </c>
      <c r="BF474" s="35">
        <v>21.7</v>
      </c>
      <c r="BG474" s="35">
        <v>20</v>
      </c>
    </row>
    <row r="475" spans="1:59" x14ac:dyDescent="0.35">
      <c r="A475" s="36">
        <v>46059.786805555559</v>
      </c>
      <c r="B475" s="35">
        <v>3.4</v>
      </c>
      <c r="C475" s="35">
        <v>2</v>
      </c>
      <c r="D475" s="35">
        <v>4.2</v>
      </c>
      <c r="E475" s="35">
        <v>2.2000000000000002</v>
      </c>
      <c r="F475" s="35">
        <v>3.8</v>
      </c>
      <c r="G475" s="35">
        <v>2</v>
      </c>
      <c r="H475" s="35">
        <v>3.3</v>
      </c>
      <c r="I475" s="35">
        <v>2</v>
      </c>
      <c r="J475" s="35">
        <v>3.4</v>
      </c>
      <c r="K475" s="35">
        <v>2</v>
      </c>
      <c r="L475" s="35">
        <v>3.4</v>
      </c>
      <c r="M475" s="35">
        <v>2</v>
      </c>
      <c r="N475" s="35">
        <v>2.2999999999999998</v>
      </c>
      <c r="O475" s="35">
        <v>3</v>
      </c>
      <c r="P475" s="35">
        <v>2.8</v>
      </c>
      <c r="Q475" s="35">
        <v>2</v>
      </c>
      <c r="R475" s="35">
        <v>2.9</v>
      </c>
      <c r="S475" s="35">
        <v>2</v>
      </c>
      <c r="T475" s="35">
        <v>2.8</v>
      </c>
      <c r="U475" s="35">
        <v>2</v>
      </c>
      <c r="V475" s="35">
        <v>9.9</v>
      </c>
      <c r="W475" s="35">
        <v>9</v>
      </c>
      <c r="X475" s="35">
        <v>9.8000000000000007</v>
      </c>
      <c r="Y475" s="35">
        <v>9</v>
      </c>
      <c r="Z475" s="35">
        <v>10</v>
      </c>
      <c r="AA475" s="35">
        <v>9</v>
      </c>
      <c r="AB475" s="35">
        <v>10.5</v>
      </c>
      <c r="AC475" s="35">
        <v>9</v>
      </c>
      <c r="AD475" s="35">
        <v>19.7</v>
      </c>
      <c r="AE475" s="35">
        <v>19</v>
      </c>
      <c r="AF475" s="35">
        <v>20.6</v>
      </c>
      <c r="AG475" s="35">
        <v>19</v>
      </c>
      <c r="AH475" s="35">
        <v>19.899999999999999</v>
      </c>
      <c r="AI475" s="35">
        <v>19</v>
      </c>
      <c r="AJ475" s="35">
        <v>20.2</v>
      </c>
      <c r="AK475" s="35">
        <v>19</v>
      </c>
      <c r="AL475" s="35">
        <v>19</v>
      </c>
      <c r="AM475" s="35">
        <v>19</v>
      </c>
      <c r="AN475" s="35">
        <v>19.899999999999999</v>
      </c>
      <c r="AO475" s="35">
        <v>19</v>
      </c>
      <c r="AP475" s="35">
        <v>20.9</v>
      </c>
      <c r="AQ475" s="35">
        <v>19</v>
      </c>
      <c r="AR475" s="35">
        <v>20.8</v>
      </c>
      <c r="AS475" s="35">
        <v>19</v>
      </c>
      <c r="AT475" s="35">
        <v>18.7</v>
      </c>
      <c r="AU475" s="35">
        <v>19</v>
      </c>
      <c r="AV475" s="35">
        <v>20.3</v>
      </c>
      <c r="AW475" s="35">
        <v>19</v>
      </c>
      <c r="AX475" s="35">
        <v>20.6</v>
      </c>
      <c r="AY475" s="35">
        <v>20</v>
      </c>
      <c r="AZ475" s="35">
        <v>20.5</v>
      </c>
      <c r="BA475" s="35">
        <v>20</v>
      </c>
      <c r="BB475" s="35">
        <v>31.8</v>
      </c>
      <c r="BC475" s="35">
        <v>40</v>
      </c>
      <c r="BD475" s="35">
        <v>30.9</v>
      </c>
      <c r="BE475" s="35">
        <v>40</v>
      </c>
      <c r="BF475" s="35">
        <v>21.7</v>
      </c>
      <c r="BG475" s="35">
        <v>20</v>
      </c>
    </row>
    <row r="476" spans="1:59" x14ac:dyDescent="0.35">
      <c r="A476" s="36">
        <v>46059.787499999999</v>
      </c>
      <c r="B476" s="35">
        <v>3.4</v>
      </c>
      <c r="C476" s="35">
        <v>2</v>
      </c>
      <c r="D476" s="35">
        <v>4</v>
      </c>
      <c r="E476" s="35">
        <v>2.2000000000000002</v>
      </c>
      <c r="F476" s="35">
        <v>3.9</v>
      </c>
      <c r="G476" s="35">
        <v>2</v>
      </c>
      <c r="H476" s="35">
        <v>3.6</v>
      </c>
      <c r="I476" s="35">
        <v>2</v>
      </c>
      <c r="J476" s="35">
        <v>3.6</v>
      </c>
      <c r="K476" s="35">
        <v>2</v>
      </c>
      <c r="L476" s="35">
        <v>3.6</v>
      </c>
      <c r="M476" s="35">
        <v>2</v>
      </c>
      <c r="N476" s="35">
        <v>2.7</v>
      </c>
      <c r="O476" s="35">
        <v>3</v>
      </c>
      <c r="P476" s="35">
        <v>3.1</v>
      </c>
      <c r="Q476" s="35">
        <v>2</v>
      </c>
      <c r="R476" s="35">
        <v>3</v>
      </c>
      <c r="S476" s="35">
        <v>2</v>
      </c>
      <c r="T476" s="35">
        <v>2.9</v>
      </c>
      <c r="U476" s="35">
        <v>2</v>
      </c>
      <c r="V476" s="35">
        <v>10.4</v>
      </c>
      <c r="W476" s="35">
        <v>9</v>
      </c>
      <c r="X476" s="35">
        <v>9.9</v>
      </c>
      <c r="Y476" s="35">
        <v>9</v>
      </c>
      <c r="Z476" s="35">
        <v>10.199999999999999</v>
      </c>
      <c r="AA476" s="35">
        <v>9</v>
      </c>
      <c r="AB476" s="35">
        <v>10.8</v>
      </c>
      <c r="AC476" s="35">
        <v>9</v>
      </c>
      <c r="AD476" s="35">
        <v>19.7</v>
      </c>
      <c r="AE476" s="35">
        <v>19</v>
      </c>
      <c r="AF476" s="35">
        <v>20.6</v>
      </c>
      <c r="AG476" s="35">
        <v>19</v>
      </c>
      <c r="AH476" s="35">
        <v>20</v>
      </c>
      <c r="AI476" s="35">
        <v>19</v>
      </c>
      <c r="AJ476" s="35">
        <v>20.3</v>
      </c>
      <c r="AK476" s="35">
        <v>19</v>
      </c>
      <c r="AL476" s="35">
        <v>19</v>
      </c>
      <c r="AM476" s="35">
        <v>19</v>
      </c>
      <c r="AN476" s="35">
        <v>20.100000000000001</v>
      </c>
      <c r="AO476" s="35">
        <v>19</v>
      </c>
      <c r="AP476" s="35">
        <v>20.9</v>
      </c>
      <c r="AQ476" s="35">
        <v>19</v>
      </c>
      <c r="AR476" s="35">
        <v>20.8</v>
      </c>
      <c r="AS476" s="35">
        <v>19</v>
      </c>
      <c r="AT476" s="35">
        <v>17.899999999999999</v>
      </c>
      <c r="AU476" s="35">
        <v>19</v>
      </c>
      <c r="AV476" s="35">
        <v>20.3</v>
      </c>
      <c r="AW476" s="35">
        <v>19</v>
      </c>
      <c r="AX476" s="35">
        <v>20.6</v>
      </c>
      <c r="AY476" s="35">
        <v>20</v>
      </c>
      <c r="AZ476" s="35">
        <v>20.5</v>
      </c>
      <c r="BA476" s="35">
        <v>20</v>
      </c>
      <c r="BB476" s="35">
        <v>31.8</v>
      </c>
      <c r="BC476" s="35">
        <v>40</v>
      </c>
      <c r="BD476" s="35">
        <v>30.9</v>
      </c>
      <c r="BE476" s="35">
        <v>40</v>
      </c>
      <c r="BF476" s="35">
        <v>21.7</v>
      </c>
      <c r="BG476" s="35">
        <v>20</v>
      </c>
    </row>
    <row r="477" spans="1:59" x14ac:dyDescent="0.35">
      <c r="A477" s="36">
        <v>46059.788194444445</v>
      </c>
      <c r="B477" s="35">
        <v>3.5</v>
      </c>
      <c r="C477" s="35">
        <v>2</v>
      </c>
      <c r="D477" s="35">
        <v>4</v>
      </c>
      <c r="E477" s="35">
        <v>2.2000000000000002</v>
      </c>
      <c r="F477" s="35">
        <v>3.9</v>
      </c>
      <c r="G477" s="35">
        <v>2</v>
      </c>
      <c r="H477" s="35">
        <v>3.4</v>
      </c>
      <c r="I477" s="35">
        <v>2</v>
      </c>
      <c r="J477" s="35">
        <v>3.8</v>
      </c>
      <c r="K477" s="35">
        <v>2</v>
      </c>
      <c r="L477" s="35">
        <v>3.9</v>
      </c>
      <c r="M477" s="35">
        <v>2</v>
      </c>
      <c r="N477" s="35">
        <v>3</v>
      </c>
      <c r="O477" s="35">
        <v>3</v>
      </c>
      <c r="P477" s="35">
        <v>3.3</v>
      </c>
      <c r="Q477" s="35">
        <v>2</v>
      </c>
      <c r="R477" s="35">
        <v>3.2</v>
      </c>
      <c r="S477" s="35">
        <v>2</v>
      </c>
      <c r="T477" s="35">
        <v>3.1</v>
      </c>
      <c r="U477" s="35">
        <v>2</v>
      </c>
      <c r="V477" s="35">
        <v>10.9</v>
      </c>
      <c r="W477" s="35">
        <v>9</v>
      </c>
      <c r="X477" s="35">
        <v>10</v>
      </c>
      <c r="Y477" s="35">
        <v>9</v>
      </c>
      <c r="Z477" s="35">
        <v>10.4</v>
      </c>
      <c r="AA477" s="35">
        <v>9</v>
      </c>
      <c r="AB477" s="35">
        <v>11</v>
      </c>
      <c r="AC477" s="35">
        <v>9</v>
      </c>
      <c r="AD477" s="35">
        <v>19.8</v>
      </c>
      <c r="AE477" s="35">
        <v>19</v>
      </c>
      <c r="AF477" s="35">
        <v>20.7</v>
      </c>
      <c r="AG477" s="35">
        <v>19</v>
      </c>
      <c r="AH477" s="35">
        <v>20.100000000000001</v>
      </c>
      <c r="AI477" s="35">
        <v>19</v>
      </c>
      <c r="AJ477" s="35">
        <v>20.3</v>
      </c>
      <c r="AK477" s="35">
        <v>19</v>
      </c>
      <c r="AL477" s="35">
        <v>19.3</v>
      </c>
      <c r="AM477" s="35">
        <v>19</v>
      </c>
      <c r="AN477" s="35">
        <v>20.2</v>
      </c>
      <c r="AO477" s="35">
        <v>19</v>
      </c>
      <c r="AP477" s="35">
        <v>20.9</v>
      </c>
      <c r="AQ477" s="35">
        <v>19</v>
      </c>
      <c r="AR477" s="35">
        <v>20.8</v>
      </c>
      <c r="AS477" s="35">
        <v>19</v>
      </c>
      <c r="AT477" s="35">
        <v>17.899999999999999</v>
      </c>
      <c r="AU477" s="35">
        <v>19</v>
      </c>
      <c r="AV477" s="35">
        <v>20.399999999999999</v>
      </c>
      <c r="AW477" s="35">
        <v>19</v>
      </c>
      <c r="AX477" s="35">
        <v>20.6</v>
      </c>
      <c r="AY477" s="35">
        <v>20</v>
      </c>
      <c r="AZ477" s="35">
        <v>20.5</v>
      </c>
      <c r="BA477" s="35">
        <v>20</v>
      </c>
      <c r="BB477" s="35">
        <v>31.8</v>
      </c>
      <c r="BC477" s="35">
        <v>40</v>
      </c>
      <c r="BD477" s="35">
        <v>30.9</v>
      </c>
      <c r="BE477" s="35">
        <v>40</v>
      </c>
      <c r="BF477" s="35">
        <v>21.8</v>
      </c>
      <c r="BG477" s="35">
        <v>20</v>
      </c>
    </row>
    <row r="478" spans="1:59" x14ac:dyDescent="0.35">
      <c r="A478" s="36">
        <v>46059.788888888892</v>
      </c>
      <c r="B478" s="35">
        <v>3.8</v>
      </c>
      <c r="C478" s="35">
        <v>2</v>
      </c>
      <c r="D478" s="35">
        <v>4.2</v>
      </c>
      <c r="E478" s="35">
        <v>2.2000000000000002</v>
      </c>
      <c r="F478" s="35">
        <v>2</v>
      </c>
      <c r="G478" s="35">
        <v>2</v>
      </c>
      <c r="H478" s="35">
        <v>1.5</v>
      </c>
      <c r="I478" s="35">
        <v>2</v>
      </c>
      <c r="J478" s="35">
        <v>3.9</v>
      </c>
      <c r="K478" s="35">
        <v>2</v>
      </c>
      <c r="L478" s="35">
        <v>3.7</v>
      </c>
      <c r="M478" s="35">
        <v>2</v>
      </c>
      <c r="N478" s="35">
        <v>3.2</v>
      </c>
      <c r="O478" s="35">
        <v>3</v>
      </c>
      <c r="P478" s="35">
        <v>3.5</v>
      </c>
      <c r="Q478" s="35">
        <v>2</v>
      </c>
      <c r="R478" s="35">
        <v>3.4</v>
      </c>
      <c r="S478" s="35">
        <v>2</v>
      </c>
      <c r="T478" s="35">
        <v>3.2</v>
      </c>
      <c r="U478" s="35">
        <v>2</v>
      </c>
      <c r="V478" s="35">
        <v>10.199999999999999</v>
      </c>
      <c r="W478" s="35">
        <v>9</v>
      </c>
      <c r="X478" s="35">
        <v>10.199999999999999</v>
      </c>
      <c r="Y478" s="35">
        <v>9</v>
      </c>
      <c r="Z478" s="35">
        <v>10.6</v>
      </c>
      <c r="AA478" s="35">
        <v>9</v>
      </c>
      <c r="AB478" s="35">
        <v>10.9</v>
      </c>
      <c r="AC478" s="35">
        <v>9</v>
      </c>
      <c r="AD478" s="35">
        <v>19.8</v>
      </c>
      <c r="AE478" s="35">
        <v>19</v>
      </c>
      <c r="AF478" s="35">
        <v>20.7</v>
      </c>
      <c r="AG478" s="35">
        <v>19</v>
      </c>
      <c r="AH478" s="35">
        <v>20.2</v>
      </c>
      <c r="AI478" s="35">
        <v>19</v>
      </c>
      <c r="AJ478" s="35">
        <v>20.399999999999999</v>
      </c>
      <c r="AK478" s="35">
        <v>19</v>
      </c>
      <c r="AL478" s="35">
        <v>19.600000000000001</v>
      </c>
      <c r="AM478" s="35">
        <v>19</v>
      </c>
      <c r="AN478" s="35">
        <v>20.399999999999999</v>
      </c>
      <c r="AO478" s="35">
        <v>19</v>
      </c>
      <c r="AP478" s="35">
        <v>20.9</v>
      </c>
      <c r="AQ478" s="35">
        <v>19</v>
      </c>
      <c r="AR478" s="35">
        <v>20.8</v>
      </c>
      <c r="AS478" s="35">
        <v>19</v>
      </c>
      <c r="AT478" s="35">
        <v>18.100000000000001</v>
      </c>
      <c r="AU478" s="35">
        <v>19</v>
      </c>
      <c r="AV478" s="35">
        <v>20.399999999999999</v>
      </c>
      <c r="AW478" s="35">
        <v>19</v>
      </c>
      <c r="AX478" s="35">
        <v>20.6</v>
      </c>
      <c r="AY478" s="35">
        <v>20</v>
      </c>
      <c r="AZ478" s="35">
        <v>20.5</v>
      </c>
      <c r="BA478" s="35">
        <v>20</v>
      </c>
      <c r="BB478" s="35">
        <v>31.7</v>
      </c>
      <c r="BC478" s="35">
        <v>40</v>
      </c>
      <c r="BD478" s="35">
        <v>30.8</v>
      </c>
      <c r="BE478" s="35">
        <v>40</v>
      </c>
      <c r="BF478" s="35">
        <v>21.8</v>
      </c>
      <c r="BG478" s="35">
        <v>20</v>
      </c>
    </row>
    <row r="479" spans="1:59" x14ac:dyDescent="0.35">
      <c r="A479" s="36">
        <v>46059.789583333331</v>
      </c>
      <c r="B479" s="35">
        <v>4</v>
      </c>
      <c r="C479" s="35">
        <v>2</v>
      </c>
      <c r="D479" s="35">
        <v>4.4000000000000004</v>
      </c>
      <c r="E479" s="35">
        <v>2.2000000000000002</v>
      </c>
      <c r="F479" s="35">
        <v>1.3</v>
      </c>
      <c r="G479" s="35">
        <v>2</v>
      </c>
      <c r="H479" s="35">
        <v>1.3</v>
      </c>
      <c r="I479" s="35">
        <v>2</v>
      </c>
      <c r="J479" s="35">
        <v>3.3</v>
      </c>
      <c r="K479" s="35">
        <v>2</v>
      </c>
      <c r="L479" s="35">
        <v>2.4</v>
      </c>
      <c r="M479" s="35">
        <v>2</v>
      </c>
      <c r="N479" s="35">
        <v>3.5</v>
      </c>
      <c r="O479" s="35">
        <v>3</v>
      </c>
      <c r="P479" s="35">
        <v>3.6</v>
      </c>
      <c r="Q479" s="35">
        <v>2</v>
      </c>
      <c r="R479" s="35">
        <v>3.5</v>
      </c>
      <c r="S479" s="35">
        <v>2</v>
      </c>
      <c r="T479" s="35">
        <v>3.4</v>
      </c>
      <c r="U479" s="35">
        <v>2</v>
      </c>
      <c r="V479" s="35">
        <v>8.3000000000000007</v>
      </c>
      <c r="W479" s="35">
        <v>9</v>
      </c>
      <c r="X479" s="35">
        <v>10.199999999999999</v>
      </c>
      <c r="Y479" s="35">
        <v>9</v>
      </c>
      <c r="Z479" s="35">
        <v>10.7</v>
      </c>
      <c r="AA479" s="35">
        <v>9</v>
      </c>
      <c r="AB479" s="35">
        <v>9</v>
      </c>
      <c r="AC479" s="35">
        <v>9</v>
      </c>
      <c r="AD479" s="35">
        <v>19.899999999999999</v>
      </c>
      <c r="AE479" s="35">
        <v>19</v>
      </c>
      <c r="AF479" s="35">
        <v>20.7</v>
      </c>
      <c r="AG479" s="35">
        <v>19</v>
      </c>
      <c r="AH479" s="35">
        <v>20.2</v>
      </c>
      <c r="AI479" s="35">
        <v>19</v>
      </c>
      <c r="AJ479" s="35">
        <v>20.5</v>
      </c>
      <c r="AK479" s="35">
        <v>19</v>
      </c>
      <c r="AL479" s="35">
        <v>19.8</v>
      </c>
      <c r="AM479" s="35">
        <v>19</v>
      </c>
      <c r="AN479" s="35">
        <v>20.5</v>
      </c>
      <c r="AO479" s="35">
        <v>19</v>
      </c>
      <c r="AP479" s="35">
        <v>20.9</v>
      </c>
      <c r="AQ479" s="35">
        <v>19</v>
      </c>
      <c r="AR479" s="35">
        <v>20.8</v>
      </c>
      <c r="AS479" s="35">
        <v>19</v>
      </c>
      <c r="AT479" s="35">
        <v>18.3</v>
      </c>
      <c r="AU479" s="35">
        <v>19</v>
      </c>
      <c r="AV479" s="35">
        <v>20.5</v>
      </c>
      <c r="AW479" s="35">
        <v>19</v>
      </c>
      <c r="AX479" s="35">
        <v>20.6</v>
      </c>
      <c r="AY479" s="35">
        <v>20</v>
      </c>
      <c r="AZ479" s="35">
        <v>20.399999999999999</v>
      </c>
      <c r="BA479" s="35">
        <v>20</v>
      </c>
      <c r="BB479" s="35">
        <v>31.7</v>
      </c>
      <c r="BC479" s="35">
        <v>40</v>
      </c>
      <c r="BD479" s="35">
        <v>30.8</v>
      </c>
      <c r="BE479" s="35">
        <v>40</v>
      </c>
      <c r="BF479" s="35">
        <v>21.8</v>
      </c>
      <c r="BG479" s="35">
        <v>20</v>
      </c>
    </row>
    <row r="480" spans="1:59" x14ac:dyDescent="0.35">
      <c r="A480" s="36">
        <v>46059.790277777778</v>
      </c>
      <c r="B480" s="35">
        <v>3.7</v>
      </c>
      <c r="C480" s="35">
        <v>2</v>
      </c>
      <c r="D480" s="35">
        <v>3.9</v>
      </c>
      <c r="E480" s="35">
        <v>2.2000000000000002</v>
      </c>
      <c r="F480" s="35">
        <v>1.3</v>
      </c>
      <c r="G480" s="35">
        <v>2</v>
      </c>
      <c r="H480" s="35">
        <v>1.6</v>
      </c>
      <c r="I480" s="35">
        <v>2</v>
      </c>
      <c r="J480" s="35">
        <v>2.8</v>
      </c>
      <c r="K480" s="35">
        <v>2</v>
      </c>
      <c r="L480" s="35">
        <v>1.8</v>
      </c>
      <c r="M480" s="35">
        <v>2</v>
      </c>
      <c r="N480" s="35">
        <v>3.7</v>
      </c>
      <c r="O480" s="35">
        <v>3</v>
      </c>
      <c r="P480" s="35">
        <v>3.8</v>
      </c>
      <c r="Q480" s="35">
        <v>2</v>
      </c>
      <c r="R480" s="35">
        <v>3.6</v>
      </c>
      <c r="S480" s="35">
        <v>2</v>
      </c>
      <c r="T480" s="35">
        <v>3.5</v>
      </c>
      <c r="U480" s="35">
        <v>2</v>
      </c>
      <c r="V480" s="35">
        <v>7.6</v>
      </c>
      <c r="W480" s="35">
        <v>9</v>
      </c>
      <c r="X480" s="35">
        <v>10.4</v>
      </c>
      <c r="Y480" s="35">
        <v>9</v>
      </c>
      <c r="Z480" s="35">
        <v>10.9</v>
      </c>
      <c r="AA480" s="35">
        <v>9</v>
      </c>
      <c r="AB480" s="35">
        <v>8.3000000000000007</v>
      </c>
      <c r="AC480" s="35">
        <v>9</v>
      </c>
      <c r="AD480" s="35">
        <v>20</v>
      </c>
      <c r="AE480" s="35">
        <v>19</v>
      </c>
      <c r="AF480" s="35">
        <v>20.8</v>
      </c>
      <c r="AG480" s="35">
        <v>19</v>
      </c>
      <c r="AH480" s="35">
        <v>20.3</v>
      </c>
      <c r="AI480" s="35">
        <v>19</v>
      </c>
      <c r="AJ480" s="35">
        <v>20.5</v>
      </c>
      <c r="AK480" s="35">
        <v>19</v>
      </c>
      <c r="AL480" s="35">
        <v>20.100000000000001</v>
      </c>
      <c r="AM480" s="35">
        <v>19</v>
      </c>
      <c r="AN480" s="35">
        <v>20.6</v>
      </c>
      <c r="AO480" s="35">
        <v>19</v>
      </c>
      <c r="AP480" s="35">
        <v>20.9</v>
      </c>
      <c r="AQ480" s="35">
        <v>19</v>
      </c>
      <c r="AR480" s="35">
        <v>20.8</v>
      </c>
      <c r="AS480" s="35">
        <v>19</v>
      </c>
      <c r="AT480" s="35">
        <v>18.5</v>
      </c>
      <c r="AU480" s="35">
        <v>19</v>
      </c>
      <c r="AV480" s="35">
        <v>20.5</v>
      </c>
      <c r="AW480" s="35">
        <v>19</v>
      </c>
      <c r="AX480" s="35">
        <v>20.5</v>
      </c>
      <c r="AY480" s="35">
        <v>20</v>
      </c>
      <c r="AZ480" s="35">
        <v>20.399999999999999</v>
      </c>
      <c r="BA480" s="35">
        <v>20</v>
      </c>
      <c r="BB480" s="35">
        <v>31.7</v>
      </c>
      <c r="BC480" s="35">
        <v>40</v>
      </c>
      <c r="BD480" s="35">
        <v>30.8</v>
      </c>
      <c r="BE480" s="35">
        <v>40</v>
      </c>
      <c r="BF480" s="35">
        <v>21.9</v>
      </c>
      <c r="BG480" s="35">
        <v>20</v>
      </c>
    </row>
    <row r="481" spans="1:59" x14ac:dyDescent="0.35">
      <c r="A481" s="36">
        <v>46059.790972222225</v>
      </c>
      <c r="B481" s="35">
        <v>2.9</v>
      </c>
      <c r="C481" s="35">
        <v>2</v>
      </c>
      <c r="D481" s="35">
        <v>3.2</v>
      </c>
      <c r="E481" s="35">
        <v>2.2000000000000002</v>
      </c>
      <c r="F481" s="35">
        <v>1.7</v>
      </c>
      <c r="G481" s="35">
        <v>2</v>
      </c>
      <c r="H481" s="35">
        <v>2.1</v>
      </c>
      <c r="I481" s="35">
        <v>2</v>
      </c>
      <c r="J481" s="35">
        <v>2.8</v>
      </c>
      <c r="K481" s="35">
        <v>2</v>
      </c>
      <c r="L481" s="35">
        <v>1.9</v>
      </c>
      <c r="M481" s="35">
        <v>2</v>
      </c>
      <c r="N481" s="35">
        <v>3.9</v>
      </c>
      <c r="O481" s="35">
        <v>3</v>
      </c>
      <c r="P481" s="35">
        <v>3.9</v>
      </c>
      <c r="Q481" s="35">
        <v>2</v>
      </c>
      <c r="R481" s="35">
        <v>3.7</v>
      </c>
      <c r="S481" s="35">
        <v>2</v>
      </c>
      <c r="T481" s="35">
        <v>3.6</v>
      </c>
      <c r="U481" s="35">
        <v>2</v>
      </c>
      <c r="V481" s="35">
        <v>8.1</v>
      </c>
      <c r="W481" s="35">
        <v>9</v>
      </c>
      <c r="X481" s="35">
        <v>10.4</v>
      </c>
      <c r="Y481" s="35">
        <v>9</v>
      </c>
      <c r="Z481" s="35">
        <v>11</v>
      </c>
      <c r="AA481" s="35">
        <v>9</v>
      </c>
      <c r="AB481" s="35">
        <v>8.6</v>
      </c>
      <c r="AC481" s="35">
        <v>9</v>
      </c>
      <c r="AD481" s="35">
        <v>20</v>
      </c>
      <c r="AE481" s="35">
        <v>19</v>
      </c>
      <c r="AF481" s="35">
        <v>20.8</v>
      </c>
      <c r="AG481" s="35">
        <v>19</v>
      </c>
      <c r="AH481" s="35">
        <v>20.399999999999999</v>
      </c>
      <c r="AI481" s="35">
        <v>19</v>
      </c>
      <c r="AJ481" s="35">
        <v>20.6</v>
      </c>
      <c r="AK481" s="35">
        <v>19</v>
      </c>
      <c r="AL481" s="35">
        <v>20.399999999999999</v>
      </c>
      <c r="AM481" s="35">
        <v>19</v>
      </c>
      <c r="AN481" s="35">
        <v>20.7</v>
      </c>
      <c r="AO481" s="35">
        <v>19</v>
      </c>
      <c r="AP481" s="35">
        <v>20.9</v>
      </c>
      <c r="AQ481" s="35">
        <v>19</v>
      </c>
      <c r="AR481" s="35">
        <v>20.8</v>
      </c>
      <c r="AS481" s="35">
        <v>19</v>
      </c>
      <c r="AT481" s="35">
        <v>18.7</v>
      </c>
      <c r="AU481" s="35">
        <v>19</v>
      </c>
      <c r="AV481" s="35">
        <v>20.6</v>
      </c>
      <c r="AW481" s="35">
        <v>19</v>
      </c>
      <c r="AX481" s="35">
        <v>20.5</v>
      </c>
      <c r="AY481" s="35">
        <v>20</v>
      </c>
      <c r="AZ481" s="35">
        <v>20.399999999999999</v>
      </c>
      <c r="BA481" s="35">
        <v>20</v>
      </c>
      <c r="BB481" s="35">
        <v>31.7</v>
      </c>
      <c r="BC481" s="35">
        <v>40</v>
      </c>
      <c r="BD481" s="35">
        <v>30.8</v>
      </c>
      <c r="BE481" s="35">
        <v>40</v>
      </c>
      <c r="BF481" s="35">
        <v>21.9</v>
      </c>
      <c r="BG481" s="35">
        <v>20</v>
      </c>
    </row>
    <row r="482" spans="1:59" x14ac:dyDescent="0.35">
      <c r="A482" s="36">
        <v>46059.791666666664</v>
      </c>
      <c r="B482" s="35">
        <v>1.4</v>
      </c>
      <c r="C482" s="35">
        <v>2</v>
      </c>
      <c r="D482" s="35">
        <v>1.7</v>
      </c>
      <c r="E482" s="35">
        <v>2.2000000000000002</v>
      </c>
      <c r="F482" s="35">
        <v>2.2999999999999998</v>
      </c>
      <c r="G482" s="35">
        <v>2</v>
      </c>
      <c r="H482" s="35">
        <v>2.5</v>
      </c>
      <c r="I482" s="35">
        <v>2</v>
      </c>
      <c r="J482" s="35">
        <v>2.9</v>
      </c>
      <c r="K482" s="35">
        <v>2</v>
      </c>
      <c r="L482" s="35">
        <v>2.4</v>
      </c>
      <c r="M482" s="35">
        <v>2</v>
      </c>
      <c r="N482" s="35">
        <v>4</v>
      </c>
      <c r="O482" s="35">
        <v>3</v>
      </c>
      <c r="P482" s="35">
        <v>4</v>
      </c>
      <c r="Q482" s="35">
        <v>2</v>
      </c>
      <c r="R482" s="35">
        <v>3.9</v>
      </c>
      <c r="S482" s="35">
        <v>2</v>
      </c>
      <c r="T482" s="35">
        <v>3.7</v>
      </c>
      <c r="U482" s="35">
        <v>2</v>
      </c>
      <c r="V482" s="35">
        <v>8.9</v>
      </c>
      <c r="W482" s="35">
        <v>9</v>
      </c>
      <c r="X482" s="35">
        <v>10.5</v>
      </c>
      <c r="Y482" s="35">
        <v>9</v>
      </c>
      <c r="Z482" s="35">
        <v>10.8</v>
      </c>
      <c r="AA482" s="35">
        <v>9</v>
      </c>
      <c r="AB482" s="35">
        <v>9.1999999999999993</v>
      </c>
      <c r="AC482" s="35">
        <v>9</v>
      </c>
      <c r="AD482" s="35">
        <v>20</v>
      </c>
      <c r="AE482" s="35">
        <v>19</v>
      </c>
      <c r="AF482" s="35">
        <v>20.8</v>
      </c>
      <c r="AG482" s="35">
        <v>19</v>
      </c>
      <c r="AH482" s="35">
        <v>20.399999999999999</v>
      </c>
      <c r="AI482" s="35">
        <v>19</v>
      </c>
      <c r="AJ482" s="35">
        <v>20.7</v>
      </c>
      <c r="AK482" s="35">
        <v>19</v>
      </c>
      <c r="AL482" s="35">
        <v>20.6</v>
      </c>
      <c r="AM482" s="35">
        <v>19</v>
      </c>
      <c r="AN482" s="35">
        <v>20.8</v>
      </c>
      <c r="AO482" s="35">
        <v>19</v>
      </c>
      <c r="AP482" s="35">
        <v>20.9</v>
      </c>
      <c r="AQ482" s="35">
        <v>19</v>
      </c>
      <c r="AR482" s="35">
        <v>20.8</v>
      </c>
      <c r="AS482" s="35">
        <v>19</v>
      </c>
      <c r="AT482" s="35">
        <v>18.899999999999999</v>
      </c>
      <c r="AU482" s="35">
        <v>19</v>
      </c>
      <c r="AV482" s="35">
        <v>20.6</v>
      </c>
      <c r="AW482" s="35">
        <v>19</v>
      </c>
      <c r="AX482" s="35">
        <v>20.5</v>
      </c>
      <c r="AY482" s="35">
        <v>20</v>
      </c>
      <c r="AZ482" s="35">
        <v>20.399999999999999</v>
      </c>
      <c r="BA482" s="35">
        <v>20</v>
      </c>
      <c r="BB482" s="35">
        <v>31.7</v>
      </c>
      <c r="BC482" s="35">
        <v>40</v>
      </c>
      <c r="BD482" s="35">
        <v>30.8</v>
      </c>
      <c r="BE482" s="35">
        <v>40</v>
      </c>
      <c r="BF482" s="35">
        <v>21.9</v>
      </c>
      <c r="BG482" s="35">
        <v>20</v>
      </c>
    </row>
    <row r="483" spans="1:59" x14ac:dyDescent="0.35">
      <c r="A483" s="36">
        <v>46059.792361111111</v>
      </c>
      <c r="B483" s="35">
        <v>1.3</v>
      </c>
      <c r="C483" s="35">
        <v>2</v>
      </c>
      <c r="D483" s="35">
        <v>1.7</v>
      </c>
      <c r="E483" s="35">
        <v>2.2000000000000002</v>
      </c>
      <c r="F483" s="35">
        <v>2.6</v>
      </c>
      <c r="G483" s="35">
        <v>2</v>
      </c>
      <c r="H483" s="35">
        <v>2.8</v>
      </c>
      <c r="I483" s="35">
        <v>2</v>
      </c>
      <c r="J483" s="35">
        <v>3.2</v>
      </c>
      <c r="K483" s="35">
        <v>2</v>
      </c>
      <c r="L483" s="35">
        <v>2.8</v>
      </c>
      <c r="M483" s="35">
        <v>2</v>
      </c>
      <c r="N483" s="35">
        <v>2.4</v>
      </c>
      <c r="O483" s="35">
        <v>3</v>
      </c>
      <c r="P483" s="35">
        <v>3</v>
      </c>
      <c r="Q483" s="35">
        <v>2</v>
      </c>
      <c r="R483" s="35">
        <v>3.9</v>
      </c>
      <c r="S483" s="35">
        <v>2</v>
      </c>
      <c r="T483" s="35">
        <v>3.9</v>
      </c>
      <c r="U483" s="35">
        <v>2</v>
      </c>
      <c r="V483" s="35">
        <v>9.6</v>
      </c>
      <c r="W483" s="35">
        <v>9</v>
      </c>
      <c r="X483" s="35">
        <v>10.6</v>
      </c>
      <c r="Y483" s="35">
        <v>9</v>
      </c>
      <c r="Z483" s="35">
        <v>9.8000000000000007</v>
      </c>
      <c r="AA483" s="35">
        <v>9</v>
      </c>
      <c r="AB483" s="35">
        <v>9.6999999999999993</v>
      </c>
      <c r="AC483" s="35">
        <v>9</v>
      </c>
      <c r="AD483" s="35">
        <v>20.100000000000001</v>
      </c>
      <c r="AE483" s="35">
        <v>19</v>
      </c>
      <c r="AF483" s="35">
        <v>20.9</v>
      </c>
      <c r="AG483" s="35">
        <v>19</v>
      </c>
      <c r="AH483" s="35">
        <v>20.5</v>
      </c>
      <c r="AI483" s="35">
        <v>19</v>
      </c>
      <c r="AJ483" s="35">
        <v>20.8</v>
      </c>
      <c r="AK483" s="35">
        <v>19</v>
      </c>
      <c r="AL483" s="35">
        <v>20.7</v>
      </c>
      <c r="AM483" s="35">
        <v>19</v>
      </c>
      <c r="AN483" s="35">
        <v>20.9</v>
      </c>
      <c r="AO483" s="35">
        <v>19</v>
      </c>
      <c r="AP483" s="35">
        <v>20.9</v>
      </c>
      <c r="AQ483" s="35">
        <v>19</v>
      </c>
      <c r="AR483" s="35">
        <v>20.8</v>
      </c>
      <c r="AS483" s="35">
        <v>19</v>
      </c>
      <c r="AT483" s="35">
        <v>19.100000000000001</v>
      </c>
      <c r="AU483" s="35">
        <v>19</v>
      </c>
      <c r="AV483" s="35">
        <v>20.7</v>
      </c>
      <c r="AW483" s="35">
        <v>19</v>
      </c>
      <c r="AX483" s="35">
        <v>20.6</v>
      </c>
      <c r="AY483" s="35">
        <v>20</v>
      </c>
      <c r="AZ483" s="35">
        <v>20.5</v>
      </c>
      <c r="BA483" s="35">
        <v>20</v>
      </c>
      <c r="BB483" s="35">
        <v>31.7</v>
      </c>
      <c r="BC483" s="35">
        <v>40</v>
      </c>
      <c r="BD483" s="35">
        <v>30.8</v>
      </c>
      <c r="BE483" s="35">
        <v>40</v>
      </c>
      <c r="BF483" s="35">
        <v>21.9</v>
      </c>
      <c r="BG483" s="35">
        <v>20</v>
      </c>
    </row>
    <row r="484" spans="1:59" x14ac:dyDescent="0.35">
      <c r="A484" s="36">
        <v>46059.793055555558</v>
      </c>
      <c r="B484" s="35">
        <v>1.7</v>
      </c>
      <c r="C484" s="35">
        <v>2</v>
      </c>
      <c r="D484" s="35">
        <v>2.1</v>
      </c>
      <c r="E484" s="35">
        <v>2.2000000000000002</v>
      </c>
      <c r="F484" s="35">
        <v>2.6</v>
      </c>
      <c r="G484" s="35">
        <v>2</v>
      </c>
      <c r="H484" s="35">
        <v>3.1</v>
      </c>
      <c r="I484" s="35">
        <v>2</v>
      </c>
      <c r="J484" s="35">
        <v>3.4</v>
      </c>
      <c r="K484" s="35">
        <v>2</v>
      </c>
      <c r="L484" s="35">
        <v>3.2</v>
      </c>
      <c r="M484" s="35">
        <v>2</v>
      </c>
      <c r="N484" s="35">
        <v>1.7</v>
      </c>
      <c r="O484" s="35">
        <v>3</v>
      </c>
      <c r="P484" s="35">
        <v>2.2000000000000002</v>
      </c>
      <c r="Q484" s="35">
        <v>2</v>
      </c>
      <c r="R484" s="35">
        <v>3.6</v>
      </c>
      <c r="S484" s="35">
        <v>2</v>
      </c>
      <c r="T484" s="35">
        <v>3.2</v>
      </c>
      <c r="U484" s="35">
        <v>2</v>
      </c>
      <c r="V484" s="35">
        <v>10.1</v>
      </c>
      <c r="W484" s="35">
        <v>9</v>
      </c>
      <c r="X484" s="35">
        <v>10.7</v>
      </c>
      <c r="Y484" s="35">
        <v>9</v>
      </c>
      <c r="Z484" s="35">
        <v>8.9</v>
      </c>
      <c r="AA484" s="35">
        <v>9</v>
      </c>
      <c r="AB484" s="35">
        <v>10.1</v>
      </c>
      <c r="AC484" s="35">
        <v>9</v>
      </c>
      <c r="AD484" s="35">
        <v>20.100000000000001</v>
      </c>
      <c r="AE484" s="35">
        <v>19</v>
      </c>
      <c r="AF484" s="35">
        <v>20.9</v>
      </c>
      <c r="AG484" s="35">
        <v>19</v>
      </c>
      <c r="AH484" s="35">
        <v>20.5</v>
      </c>
      <c r="AI484" s="35">
        <v>19</v>
      </c>
      <c r="AJ484" s="35">
        <v>20.8</v>
      </c>
      <c r="AK484" s="35">
        <v>19</v>
      </c>
      <c r="AL484" s="35">
        <v>20.9</v>
      </c>
      <c r="AM484" s="35">
        <v>19</v>
      </c>
      <c r="AN484" s="35">
        <v>20.9</v>
      </c>
      <c r="AO484" s="35">
        <v>19</v>
      </c>
      <c r="AP484" s="35">
        <v>20.9</v>
      </c>
      <c r="AQ484" s="35">
        <v>19</v>
      </c>
      <c r="AR484" s="35">
        <v>20.8</v>
      </c>
      <c r="AS484" s="35">
        <v>19</v>
      </c>
      <c r="AT484" s="35">
        <v>19.2</v>
      </c>
      <c r="AU484" s="35">
        <v>19</v>
      </c>
      <c r="AV484" s="35">
        <v>20.7</v>
      </c>
      <c r="AW484" s="35">
        <v>19</v>
      </c>
      <c r="AX484" s="35">
        <v>20.6</v>
      </c>
      <c r="AY484" s="35">
        <v>20</v>
      </c>
      <c r="AZ484" s="35">
        <v>20.5</v>
      </c>
      <c r="BA484" s="35">
        <v>20</v>
      </c>
      <c r="BB484" s="35">
        <v>31.7</v>
      </c>
      <c r="BC484" s="35">
        <v>40</v>
      </c>
      <c r="BD484" s="35">
        <v>30.8</v>
      </c>
      <c r="BE484" s="35">
        <v>40</v>
      </c>
      <c r="BF484" s="35">
        <v>21.9</v>
      </c>
      <c r="BG484" s="35">
        <v>20</v>
      </c>
    </row>
    <row r="485" spans="1:59" x14ac:dyDescent="0.35">
      <c r="A485" s="36">
        <v>46059.793749999997</v>
      </c>
      <c r="B485" s="35">
        <v>2.1</v>
      </c>
      <c r="C485" s="35">
        <v>2</v>
      </c>
      <c r="D485" s="35">
        <v>2.6</v>
      </c>
      <c r="E485" s="35">
        <v>2.2000000000000002</v>
      </c>
      <c r="F485" s="35">
        <v>2.6</v>
      </c>
      <c r="G485" s="35">
        <v>2</v>
      </c>
      <c r="H485" s="35">
        <v>3.4</v>
      </c>
      <c r="I485" s="35">
        <v>2</v>
      </c>
      <c r="J485" s="35">
        <v>3.6</v>
      </c>
      <c r="K485" s="35">
        <v>2</v>
      </c>
      <c r="L485" s="35">
        <v>3.5</v>
      </c>
      <c r="M485" s="35">
        <v>2</v>
      </c>
      <c r="N485" s="35">
        <v>1.2</v>
      </c>
      <c r="O485" s="35">
        <v>3</v>
      </c>
      <c r="P485" s="35">
        <v>1.9</v>
      </c>
      <c r="Q485" s="35">
        <v>2</v>
      </c>
      <c r="R485" s="35">
        <v>2.4</v>
      </c>
      <c r="S485" s="35">
        <v>2</v>
      </c>
      <c r="T485" s="35">
        <v>1.8</v>
      </c>
      <c r="U485" s="35">
        <v>2</v>
      </c>
      <c r="V485" s="35">
        <v>10.6</v>
      </c>
      <c r="W485" s="35">
        <v>9</v>
      </c>
      <c r="X485" s="35">
        <v>10.7</v>
      </c>
      <c r="Y485" s="35">
        <v>9</v>
      </c>
      <c r="Z485" s="35">
        <v>8.6999999999999993</v>
      </c>
      <c r="AA485" s="35">
        <v>9</v>
      </c>
      <c r="AB485" s="35">
        <v>10.3</v>
      </c>
      <c r="AC485" s="35">
        <v>9</v>
      </c>
      <c r="AD485" s="35">
        <v>20.2</v>
      </c>
      <c r="AE485" s="35">
        <v>19</v>
      </c>
      <c r="AF485" s="35">
        <v>20.9</v>
      </c>
      <c r="AG485" s="35">
        <v>19</v>
      </c>
      <c r="AH485" s="35">
        <v>20.5</v>
      </c>
      <c r="AI485" s="35">
        <v>19</v>
      </c>
      <c r="AJ485" s="35">
        <v>20.9</v>
      </c>
      <c r="AK485" s="35">
        <v>19</v>
      </c>
      <c r="AL485" s="35">
        <v>21</v>
      </c>
      <c r="AM485" s="35">
        <v>19</v>
      </c>
      <c r="AN485" s="35">
        <v>21</v>
      </c>
      <c r="AO485" s="35">
        <v>19</v>
      </c>
      <c r="AP485" s="35">
        <v>20.9</v>
      </c>
      <c r="AQ485" s="35">
        <v>19</v>
      </c>
      <c r="AR485" s="35">
        <v>20.8</v>
      </c>
      <c r="AS485" s="35">
        <v>19</v>
      </c>
      <c r="AT485" s="35">
        <v>19.3</v>
      </c>
      <c r="AU485" s="35">
        <v>19</v>
      </c>
      <c r="AV485" s="35">
        <v>20.7</v>
      </c>
      <c r="AW485" s="35">
        <v>19</v>
      </c>
      <c r="AX485" s="35">
        <v>20.6</v>
      </c>
      <c r="AY485" s="35">
        <v>20</v>
      </c>
      <c r="AZ485" s="35">
        <v>20.5</v>
      </c>
      <c r="BA485" s="35">
        <v>20</v>
      </c>
      <c r="BB485" s="35">
        <v>31.6</v>
      </c>
      <c r="BC485" s="35">
        <v>40</v>
      </c>
      <c r="BD485" s="35">
        <v>30.8</v>
      </c>
      <c r="BE485" s="35">
        <v>40</v>
      </c>
      <c r="BF485" s="35">
        <v>21.9</v>
      </c>
      <c r="BG485" s="35">
        <v>20</v>
      </c>
    </row>
    <row r="486" spans="1:59" x14ac:dyDescent="0.35">
      <c r="A486" s="36">
        <v>46059.794444444444</v>
      </c>
      <c r="B486" s="35">
        <v>2.4</v>
      </c>
      <c r="C486" s="35">
        <v>2</v>
      </c>
      <c r="D486" s="35">
        <v>3</v>
      </c>
      <c r="E486" s="35">
        <v>2.2000000000000002</v>
      </c>
      <c r="F486" s="35">
        <v>2.6</v>
      </c>
      <c r="G486" s="35">
        <v>2</v>
      </c>
      <c r="H486" s="35">
        <v>3.7</v>
      </c>
      <c r="I486" s="35">
        <v>2</v>
      </c>
      <c r="J486" s="35">
        <v>3.9</v>
      </c>
      <c r="K486" s="35">
        <v>2</v>
      </c>
      <c r="L486" s="35">
        <v>3.7</v>
      </c>
      <c r="M486" s="35">
        <v>2</v>
      </c>
      <c r="N486" s="35">
        <v>1.2</v>
      </c>
      <c r="O486" s="35">
        <v>3</v>
      </c>
      <c r="P486" s="35">
        <v>2</v>
      </c>
      <c r="Q486" s="35">
        <v>2</v>
      </c>
      <c r="R486" s="35">
        <v>1.5</v>
      </c>
      <c r="S486" s="35">
        <v>2</v>
      </c>
      <c r="T486" s="35">
        <v>1</v>
      </c>
      <c r="U486" s="35">
        <v>2</v>
      </c>
      <c r="V486" s="35">
        <v>11</v>
      </c>
      <c r="W486" s="35">
        <v>9</v>
      </c>
      <c r="X486" s="35">
        <v>10.8</v>
      </c>
      <c r="Y486" s="35">
        <v>9</v>
      </c>
      <c r="Z486" s="35">
        <v>8.8000000000000007</v>
      </c>
      <c r="AA486" s="35">
        <v>9</v>
      </c>
      <c r="AB486" s="35">
        <v>10.5</v>
      </c>
      <c r="AC486" s="35">
        <v>9</v>
      </c>
      <c r="AD486" s="35">
        <v>20.2</v>
      </c>
      <c r="AE486" s="35">
        <v>19</v>
      </c>
      <c r="AF486" s="35">
        <v>20.9</v>
      </c>
      <c r="AG486" s="35">
        <v>19</v>
      </c>
      <c r="AH486" s="35">
        <v>20.6</v>
      </c>
      <c r="AI486" s="35">
        <v>19</v>
      </c>
      <c r="AJ486" s="35">
        <v>20.9</v>
      </c>
      <c r="AK486" s="35">
        <v>19</v>
      </c>
      <c r="AL486" s="35">
        <v>21</v>
      </c>
      <c r="AM486" s="35">
        <v>19</v>
      </c>
      <c r="AN486" s="35">
        <v>20.5</v>
      </c>
      <c r="AO486" s="35">
        <v>19</v>
      </c>
      <c r="AP486" s="35">
        <v>20.9</v>
      </c>
      <c r="AQ486" s="35">
        <v>19</v>
      </c>
      <c r="AR486" s="35">
        <v>20.8</v>
      </c>
      <c r="AS486" s="35">
        <v>19</v>
      </c>
      <c r="AT486" s="35">
        <v>19.5</v>
      </c>
      <c r="AU486" s="35">
        <v>19</v>
      </c>
      <c r="AV486" s="35">
        <v>20.8</v>
      </c>
      <c r="AW486" s="35">
        <v>19</v>
      </c>
      <c r="AX486" s="35">
        <v>20.6</v>
      </c>
      <c r="AY486" s="35">
        <v>20</v>
      </c>
      <c r="AZ486" s="35">
        <v>20.5</v>
      </c>
      <c r="BA486" s="35">
        <v>20</v>
      </c>
      <c r="BB486" s="35">
        <v>31.6</v>
      </c>
      <c r="BC486" s="35">
        <v>40</v>
      </c>
      <c r="BD486" s="35">
        <v>30.8</v>
      </c>
      <c r="BE486" s="35">
        <v>40</v>
      </c>
      <c r="BF486" s="35">
        <v>21.9</v>
      </c>
      <c r="BG486" s="35">
        <v>20</v>
      </c>
    </row>
    <row r="487" spans="1:59" x14ac:dyDescent="0.35">
      <c r="A487" s="36">
        <v>46059.795138888891</v>
      </c>
      <c r="B487" s="35">
        <v>2.8</v>
      </c>
      <c r="C487" s="35">
        <v>2</v>
      </c>
      <c r="D487" s="35">
        <v>3.4</v>
      </c>
      <c r="E487" s="35">
        <v>2.2000000000000002</v>
      </c>
      <c r="F487" s="35">
        <v>2.6</v>
      </c>
      <c r="G487" s="35">
        <v>2</v>
      </c>
      <c r="H487" s="35">
        <v>3.9</v>
      </c>
      <c r="I487" s="35">
        <v>2</v>
      </c>
      <c r="J487" s="35">
        <v>4</v>
      </c>
      <c r="K487" s="35">
        <v>2</v>
      </c>
      <c r="L487" s="35">
        <v>3.7</v>
      </c>
      <c r="M487" s="35">
        <v>2</v>
      </c>
      <c r="N487" s="35">
        <v>1.5</v>
      </c>
      <c r="O487" s="35">
        <v>3</v>
      </c>
      <c r="P487" s="35">
        <v>2.2999999999999998</v>
      </c>
      <c r="Q487" s="35">
        <v>2</v>
      </c>
      <c r="R487" s="35">
        <v>1.5</v>
      </c>
      <c r="S487" s="35">
        <v>2</v>
      </c>
      <c r="T487" s="35">
        <v>1.1000000000000001</v>
      </c>
      <c r="U487" s="35">
        <v>2</v>
      </c>
      <c r="V487" s="35">
        <v>9.5</v>
      </c>
      <c r="W487" s="35">
        <v>9</v>
      </c>
      <c r="X487" s="35">
        <v>10.8</v>
      </c>
      <c r="Y487" s="35">
        <v>9</v>
      </c>
      <c r="Z487" s="35">
        <v>9.1</v>
      </c>
      <c r="AA487" s="35">
        <v>9</v>
      </c>
      <c r="AB487" s="35">
        <v>10.7</v>
      </c>
      <c r="AC487" s="35">
        <v>9</v>
      </c>
      <c r="AD487" s="35">
        <v>20.2</v>
      </c>
      <c r="AE487" s="35">
        <v>19</v>
      </c>
      <c r="AF487" s="35">
        <v>21</v>
      </c>
      <c r="AG487" s="35">
        <v>19</v>
      </c>
      <c r="AH487" s="35">
        <v>20.6</v>
      </c>
      <c r="AI487" s="35">
        <v>19</v>
      </c>
      <c r="AJ487" s="35">
        <v>21</v>
      </c>
      <c r="AK487" s="35">
        <v>19</v>
      </c>
      <c r="AL487" s="35">
        <v>20.7</v>
      </c>
      <c r="AM487" s="35">
        <v>19</v>
      </c>
      <c r="AN487" s="35">
        <v>19.5</v>
      </c>
      <c r="AO487" s="35">
        <v>19</v>
      </c>
      <c r="AP487" s="35">
        <v>20.9</v>
      </c>
      <c r="AQ487" s="35">
        <v>19</v>
      </c>
      <c r="AR487" s="35">
        <v>20.8</v>
      </c>
      <c r="AS487" s="35">
        <v>19</v>
      </c>
      <c r="AT487" s="35">
        <v>19.600000000000001</v>
      </c>
      <c r="AU487" s="35">
        <v>19</v>
      </c>
      <c r="AV487" s="35">
        <v>20.8</v>
      </c>
      <c r="AW487" s="35">
        <v>19</v>
      </c>
      <c r="AX487" s="35">
        <v>20.5</v>
      </c>
      <c r="AY487" s="35">
        <v>20</v>
      </c>
      <c r="AZ487" s="35">
        <v>20.5</v>
      </c>
      <c r="BA487" s="35">
        <v>20</v>
      </c>
      <c r="BB487" s="35">
        <v>31.6</v>
      </c>
      <c r="BC487" s="35">
        <v>40</v>
      </c>
      <c r="BD487" s="35">
        <v>30.8</v>
      </c>
      <c r="BE487" s="35">
        <v>40</v>
      </c>
      <c r="BF487" s="35">
        <v>18.899999999999999</v>
      </c>
      <c r="BG487" s="35">
        <v>20</v>
      </c>
    </row>
    <row r="488" spans="1:59" x14ac:dyDescent="0.35">
      <c r="A488" s="36">
        <v>46059.79583333333</v>
      </c>
      <c r="B488" s="35">
        <v>3.1</v>
      </c>
      <c r="C488" s="35">
        <v>2</v>
      </c>
      <c r="D488" s="35">
        <v>3.7</v>
      </c>
      <c r="E488" s="35">
        <v>2.2000000000000002</v>
      </c>
      <c r="F488" s="35">
        <v>2.6</v>
      </c>
      <c r="G488" s="35">
        <v>2</v>
      </c>
      <c r="H488" s="35">
        <v>4.5999999999999996</v>
      </c>
      <c r="I488" s="35">
        <v>2</v>
      </c>
      <c r="J488" s="35">
        <v>3.3</v>
      </c>
      <c r="K488" s="35">
        <v>2</v>
      </c>
      <c r="L488" s="35">
        <v>3.7</v>
      </c>
      <c r="M488" s="35">
        <v>2</v>
      </c>
      <c r="N488" s="35">
        <v>1.9</v>
      </c>
      <c r="O488" s="35">
        <v>3</v>
      </c>
      <c r="P488" s="35">
        <v>2.5</v>
      </c>
      <c r="Q488" s="35">
        <v>2</v>
      </c>
      <c r="R488" s="35">
        <v>1.5</v>
      </c>
      <c r="S488" s="35">
        <v>2</v>
      </c>
      <c r="T488" s="35">
        <v>1.4</v>
      </c>
      <c r="U488" s="35">
        <v>2</v>
      </c>
      <c r="V488" s="35">
        <v>7.7</v>
      </c>
      <c r="W488" s="35">
        <v>9</v>
      </c>
      <c r="X488" s="35">
        <v>10.9</v>
      </c>
      <c r="Y488" s="35">
        <v>9</v>
      </c>
      <c r="Z488" s="35">
        <v>9.5</v>
      </c>
      <c r="AA488" s="35">
        <v>9</v>
      </c>
      <c r="AB488" s="35">
        <v>10.9</v>
      </c>
      <c r="AC488" s="35">
        <v>9</v>
      </c>
      <c r="AD488" s="35">
        <v>20.3</v>
      </c>
      <c r="AE488" s="35">
        <v>19</v>
      </c>
      <c r="AF488" s="35">
        <v>21</v>
      </c>
      <c r="AG488" s="35">
        <v>19</v>
      </c>
      <c r="AH488" s="35">
        <v>20.7</v>
      </c>
      <c r="AI488" s="35">
        <v>19</v>
      </c>
      <c r="AJ488" s="35">
        <v>20.5</v>
      </c>
      <c r="AK488" s="35">
        <v>19</v>
      </c>
      <c r="AL488" s="35">
        <v>20.6</v>
      </c>
      <c r="AM488" s="35">
        <v>19</v>
      </c>
      <c r="AN488" s="35">
        <v>19.2</v>
      </c>
      <c r="AO488" s="35">
        <v>19</v>
      </c>
      <c r="AP488" s="35">
        <v>21</v>
      </c>
      <c r="AQ488" s="35">
        <v>19</v>
      </c>
      <c r="AR488" s="35">
        <v>20.8</v>
      </c>
      <c r="AS488" s="35">
        <v>19</v>
      </c>
      <c r="AT488" s="35">
        <v>19.7</v>
      </c>
      <c r="AU488" s="35">
        <v>19</v>
      </c>
      <c r="AV488" s="35">
        <v>20.9</v>
      </c>
      <c r="AW488" s="35">
        <v>19</v>
      </c>
      <c r="AX488" s="35">
        <v>20.5</v>
      </c>
      <c r="AY488" s="35">
        <v>20</v>
      </c>
      <c r="AZ488" s="35">
        <v>20.5</v>
      </c>
      <c r="BA488" s="35">
        <v>20</v>
      </c>
      <c r="BB488" s="35">
        <v>31.6</v>
      </c>
      <c r="BC488" s="35">
        <v>40</v>
      </c>
      <c r="BD488" s="35">
        <v>30.7</v>
      </c>
      <c r="BE488" s="35">
        <v>40</v>
      </c>
      <c r="BF488" s="35">
        <v>17.399999999999999</v>
      </c>
      <c r="BG488" s="35">
        <v>20</v>
      </c>
    </row>
    <row r="489" spans="1:59" x14ac:dyDescent="0.35">
      <c r="A489" s="36">
        <v>46059.796527777777</v>
      </c>
      <c r="B489" s="35">
        <v>3.4</v>
      </c>
      <c r="C489" s="35">
        <v>2</v>
      </c>
      <c r="D489" s="35">
        <v>4</v>
      </c>
      <c r="E489" s="35">
        <v>2.2000000000000002</v>
      </c>
      <c r="F489" s="35">
        <v>2.6</v>
      </c>
      <c r="G489" s="35">
        <v>2</v>
      </c>
      <c r="H489" s="35">
        <v>5.2</v>
      </c>
      <c r="I489" s="35">
        <v>2</v>
      </c>
      <c r="J489" s="35">
        <v>2.6</v>
      </c>
      <c r="K489" s="35">
        <v>2</v>
      </c>
      <c r="L489" s="35">
        <v>3.7</v>
      </c>
      <c r="M489" s="35">
        <v>2</v>
      </c>
      <c r="N489" s="35">
        <v>2.2000000000000002</v>
      </c>
      <c r="O489" s="35">
        <v>3</v>
      </c>
      <c r="P489" s="35">
        <v>2.8</v>
      </c>
      <c r="Q489" s="35">
        <v>2</v>
      </c>
      <c r="R489" s="35">
        <v>1.9</v>
      </c>
      <c r="S489" s="35">
        <v>2</v>
      </c>
      <c r="T489" s="35">
        <v>1.8</v>
      </c>
      <c r="U489" s="35">
        <v>2</v>
      </c>
      <c r="V489" s="35">
        <v>7.5</v>
      </c>
      <c r="W489" s="35">
        <v>9</v>
      </c>
      <c r="X489" s="35">
        <v>10.9</v>
      </c>
      <c r="Y489" s="35">
        <v>9</v>
      </c>
      <c r="Z489" s="35">
        <v>9.6999999999999993</v>
      </c>
      <c r="AA489" s="35">
        <v>9</v>
      </c>
      <c r="AB489" s="35">
        <v>11</v>
      </c>
      <c r="AC489" s="35">
        <v>9</v>
      </c>
      <c r="AD489" s="35">
        <v>20.3</v>
      </c>
      <c r="AE489" s="35">
        <v>19</v>
      </c>
      <c r="AF489" s="35">
        <v>20.399999999999999</v>
      </c>
      <c r="AG489" s="35">
        <v>19</v>
      </c>
      <c r="AH489" s="35">
        <v>20.7</v>
      </c>
      <c r="AI489" s="35">
        <v>19</v>
      </c>
      <c r="AJ489" s="35">
        <v>19.5</v>
      </c>
      <c r="AK489" s="35">
        <v>19</v>
      </c>
      <c r="AL489" s="35">
        <v>20.5</v>
      </c>
      <c r="AM489" s="35">
        <v>19</v>
      </c>
      <c r="AN489" s="35">
        <v>19.2</v>
      </c>
      <c r="AO489" s="35">
        <v>19</v>
      </c>
      <c r="AP489" s="35">
        <v>20.6</v>
      </c>
      <c r="AQ489" s="35">
        <v>19</v>
      </c>
      <c r="AR489" s="35">
        <v>20.8</v>
      </c>
      <c r="AS489" s="35">
        <v>19</v>
      </c>
      <c r="AT489" s="35">
        <v>19.8</v>
      </c>
      <c r="AU489" s="35">
        <v>19</v>
      </c>
      <c r="AV489" s="35">
        <v>20.9</v>
      </c>
      <c r="AW489" s="35">
        <v>19</v>
      </c>
      <c r="AX489" s="35">
        <v>20.5</v>
      </c>
      <c r="AY489" s="35">
        <v>20</v>
      </c>
      <c r="AZ489" s="35">
        <v>20.5</v>
      </c>
      <c r="BA489" s="35">
        <v>20</v>
      </c>
      <c r="BB489" s="35">
        <v>31.6</v>
      </c>
      <c r="BC489" s="35">
        <v>40</v>
      </c>
      <c r="BD489" s="35">
        <v>30.7</v>
      </c>
      <c r="BE489" s="35">
        <v>40</v>
      </c>
      <c r="BF489" s="35">
        <v>18.2</v>
      </c>
      <c r="BG489" s="35">
        <v>20</v>
      </c>
    </row>
    <row r="490" spans="1:59" x14ac:dyDescent="0.35">
      <c r="A490" s="36">
        <v>46059.797222222223</v>
      </c>
      <c r="B490" s="35">
        <v>3.5</v>
      </c>
      <c r="C490" s="35">
        <v>2</v>
      </c>
      <c r="D490" s="35">
        <v>4.2</v>
      </c>
      <c r="E490" s="35">
        <v>2.2000000000000002</v>
      </c>
      <c r="F490" s="35">
        <v>2.6</v>
      </c>
      <c r="G490" s="35">
        <v>2</v>
      </c>
      <c r="H490" s="35">
        <v>5.6</v>
      </c>
      <c r="I490" s="35">
        <v>2</v>
      </c>
      <c r="J490" s="35">
        <v>1.8</v>
      </c>
      <c r="K490" s="35">
        <v>2</v>
      </c>
      <c r="L490" s="35">
        <v>3.7</v>
      </c>
      <c r="M490" s="35">
        <v>2</v>
      </c>
      <c r="N490" s="35">
        <v>2.5</v>
      </c>
      <c r="O490" s="35">
        <v>3</v>
      </c>
      <c r="P490" s="35">
        <v>3.1</v>
      </c>
      <c r="Q490" s="35">
        <v>2</v>
      </c>
      <c r="R490" s="35">
        <v>2.1</v>
      </c>
      <c r="S490" s="35">
        <v>2</v>
      </c>
      <c r="T490" s="35">
        <v>2.1</v>
      </c>
      <c r="U490" s="35">
        <v>2</v>
      </c>
      <c r="V490" s="35">
        <v>8.1999999999999993</v>
      </c>
      <c r="W490" s="35">
        <v>9</v>
      </c>
      <c r="X490" s="35">
        <v>11</v>
      </c>
      <c r="Y490" s="35">
        <v>9</v>
      </c>
      <c r="Z490" s="35">
        <v>9.9</v>
      </c>
      <c r="AA490" s="35">
        <v>9</v>
      </c>
      <c r="AB490" s="35">
        <v>9.8000000000000007</v>
      </c>
      <c r="AC490" s="35">
        <v>9</v>
      </c>
      <c r="AD490" s="35">
        <v>20.3</v>
      </c>
      <c r="AE490" s="35">
        <v>19</v>
      </c>
      <c r="AF490" s="35">
        <v>19.7</v>
      </c>
      <c r="AG490" s="35">
        <v>19</v>
      </c>
      <c r="AH490" s="35">
        <v>20.7</v>
      </c>
      <c r="AI490" s="35">
        <v>19</v>
      </c>
      <c r="AJ490" s="35">
        <v>18.5</v>
      </c>
      <c r="AK490" s="35">
        <v>19</v>
      </c>
      <c r="AL490" s="35">
        <v>20.399999999999999</v>
      </c>
      <c r="AM490" s="35">
        <v>19</v>
      </c>
      <c r="AN490" s="35">
        <v>19.2</v>
      </c>
      <c r="AO490" s="35">
        <v>19</v>
      </c>
      <c r="AP490" s="35">
        <v>19.399999999999999</v>
      </c>
      <c r="AQ490" s="35">
        <v>19</v>
      </c>
      <c r="AR490" s="35">
        <v>20.8</v>
      </c>
      <c r="AS490" s="35">
        <v>19</v>
      </c>
      <c r="AT490" s="35">
        <v>19.899999999999999</v>
      </c>
      <c r="AU490" s="35">
        <v>19</v>
      </c>
      <c r="AV490" s="35">
        <v>20.9</v>
      </c>
      <c r="AW490" s="35">
        <v>19</v>
      </c>
      <c r="AX490" s="35">
        <v>20.5</v>
      </c>
      <c r="AY490" s="35">
        <v>20</v>
      </c>
      <c r="AZ490" s="35">
        <v>20.399999999999999</v>
      </c>
      <c r="BA490" s="35">
        <v>20</v>
      </c>
      <c r="BB490" s="35">
        <v>31.6</v>
      </c>
      <c r="BC490" s="35">
        <v>40</v>
      </c>
      <c r="BD490" s="35">
        <v>30.7</v>
      </c>
      <c r="BE490" s="35">
        <v>40</v>
      </c>
      <c r="BF490" s="35">
        <v>18.7</v>
      </c>
      <c r="BG490" s="35">
        <v>20</v>
      </c>
    </row>
    <row r="491" spans="1:59" x14ac:dyDescent="0.35">
      <c r="A491" s="36">
        <v>46059.79791666667</v>
      </c>
      <c r="B491" s="35">
        <v>3.5</v>
      </c>
      <c r="C491" s="35">
        <v>2</v>
      </c>
      <c r="D491" s="35">
        <v>3.9</v>
      </c>
      <c r="E491" s="35">
        <v>2.2000000000000002</v>
      </c>
      <c r="F491" s="35">
        <v>2.6</v>
      </c>
      <c r="G491" s="35">
        <v>2</v>
      </c>
      <c r="H491" s="35">
        <v>6.1</v>
      </c>
      <c r="I491" s="35">
        <v>2</v>
      </c>
      <c r="J491" s="35">
        <v>1.8</v>
      </c>
      <c r="K491" s="35">
        <v>2</v>
      </c>
      <c r="L491" s="35">
        <v>3.7</v>
      </c>
      <c r="M491" s="35">
        <v>2</v>
      </c>
      <c r="N491" s="35">
        <v>2.8</v>
      </c>
      <c r="O491" s="35">
        <v>3</v>
      </c>
      <c r="P491" s="35">
        <v>3.3</v>
      </c>
      <c r="Q491" s="35">
        <v>2</v>
      </c>
      <c r="R491" s="35">
        <v>2.4</v>
      </c>
      <c r="S491" s="35">
        <v>2</v>
      </c>
      <c r="T491" s="35">
        <v>2.4</v>
      </c>
      <c r="U491" s="35">
        <v>2</v>
      </c>
      <c r="V491" s="35">
        <v>9</v>
      </c>
      <c r="W491" s="35">
        <v>9</v>
      </c>
      <c r="X491" s="35">
        <v>10.4</v>
      </c>
      <c r="Y491" s="35">
        <v>9</v>
      </c>
      <c r="Z491" s="35">
        <v>10.1</v>
      </c>
      <c r="AA491" s="35">
        <v>9</v>
      </c>
      <c r="AB491" s="35">
        <v>8.6999999999999993</v>
      </c>
      <c r="AC491" s="35">
        <v>9</v>
      </c>
      <c r="AD491" s="35">
        <v>20.399999999999999</v>
      </c>
      <c r="AE491" s="35">
        <v>19</v>
      </c>
      <c r="AF491" s="35">
        <v>18.899999999999999</v>
      </c>
      <c r="AG491" s="35">
        <v>19</v>
      </c>
      <c r="AH491" s="35">
        <v>20.7</v>
      </c>
      <c r="AI491" s="35">
        <v>19</v>
      </c>
      <c r="AJ491" s="35">
        <v>18.399999999999999</v>
      </c>
      <c r="AK491" s="35">
        <v>19</v>
      </c>
      <c r="AL491" s="35">
        <v>20.100000000000001</v>
      </c>
      <c r="AM491" s="35">
        <v>19</v>
      </c>
      <c r="AN491" s="35">
        <v>18.8</v>
      </c>
      <c r="AO491" s="35">
        <v>19</v>
      </c>
      <c r="AP491" s="35">
        <v>18.600000000000001</v>
      </c>
      <c r="AQ491" s="35">
        <v>19</v>
      </c>
      <c r="AR491" s="35">
        <v>20.8</v>
      </c>
      <c r="AS491" s="35">
        <v>19</v>
      </c>
      <c r="AT491" s="35">
        <v>19.899999999999999</v>
      </c>
      <c r="AU491" s="35">
        <v>19</v>
      </c>
      <c r="AV491" s="35">
        <v>20.9</v>
      </c>
      <c r="AW491" s="35">
        <v>19</v>
      </c>
      <c r="AX491" s="35">
        <v>20.5</v>
      </c>
      <c r="AY491" s="35">
        <v>20</v>
      </c>
      <c r="AZ491" s="35">
        <v>20.3</v>
      </c>
      <c r="BA491" s="35">
        <v>20</v>
      </c>
      <c r="BB491" s="35">
        <v>31.5</v>
      </c>
      <c r="BC491" s="35">
        <v>40</v>
      </c>
      <c r="BD491" s="35">
        <v>30.7</v>
      </c>
      <c r="BE491" s="35">
        <v>40</v>
      </c>
      <c r="BF491" s="35">
        <v>19.100000000000001</v>
      </c>
      <c r="BG491" s="35">
        <v>20</v>
      </c>
    </row>
    <row r="492" spans="1:59" x14ac:dyDescent="0.35">
      <c r="A492" s="36">
        <v>46059.798611111109</v>
      </c>
      <c r="B492" s="35">
        <v>3.6</v>
      </c>
      <c r="C492" s="35">
        <v>2</v>
      </c>
      <c r="D492" s="35">
        <v>3.9</v>
      </c>
      <c r="E492" s="35">
        <v>2.2000000000000002</v>
      </c>
      <c r="F492" s="35">
        <v>2.6</v>
      </c>
      <c r="G492" s="35">
        <v>2</v>
      </c>
      <c r="H492" s="35">
        <v>6.6</v>
      </c>
      <c r="I492" s="35">
        <v>2</v>
      </c>
      <c r="J492" s="35">
        <v>1.9</v>
      </c>
      <c r="K492" s="35">
        <v>2</v>
      </c>
      <c r="L492" s="35">
        <v>3.7</v>
      </c>
      <c r="M492" s="35">
        <v>2</v>
      </c>
      <c r="N492" s="35">
        <v>3.1</v>
      </c>
      <c r="O492" s="35">
        <v>3</v>
      </c>
      <c r="P492" s="35">
        <v>3.4</v>
      </c>
      <c r="Q492" s="35">
        <v>2</v>
      </c>
      <c r="R492" s="35">
        <v>2.6</v>
      </c>
      <c r="S492" s="35">
        <v>2</v>
      </c>
      <c r="T492" s="35">
        <v>2.6</v>
      </c>
      <c r="U492" s="35">
        <v>2</v>
      </c>
      <c r="V492" s="35">
        <v>9.6</v>
      </c>
      <c r="W492" s="35">
        <v>9</v>
      </c>
      <c r="X492" s="35">
        <v>9.5</v>
      </c>
      <c r="Y492" s="35">
        <v>9</v>
      </c>
      <c r="Z492" s="35">
        <v>10.199999999999999</v>
      </c>
      <c r="AA492" s="35">
        <v>9</v>
      </c>
      <c r="AB492" s="35">
        <v>8.5</v>
      </c>
      <c r="AC492" s="35">
        <v>9</v>
      </c>
      <c r="AD492" s="35">
        <v>20.399999999999999</v>
      </c>
      <c r="AE492" s="35">
        <v>19</v>
      </c>
      <c r="AF492" s="35">
        <v>18.399999999999999</v>
      </c>
      <c r="AG492" s="35">
        <v>19</v>
      </c>
      <c r="AH492" s="35">
        <v>20.8</v>
      </c>
      <c r="AI492" s="35">
        <v>19</v>
      </c>
      <c r="AJ492" s="35">
        <v>18.399999999999999</v>
      </c>
      <c r="AK492" s="35">
        <v>19</v>
      </c>
      <c r="AL492" s="35">
        <v>20</v>
      </c>
      <c r="AM492" s="35">
        <v>19</v>
      </c>
      <c r="AN492" s="35">
        <v>18.8</v>
      </c>
      <c r="AO492" s="35">
        <v>19</v>
      </c>
      <c r="AP492" s="35">
        <v>18.399999999999999</v>
      </c>
      <c r="AQ492" s="35">
        <v>19</v>
      </c>
      <c r="AR492" s="35">
        <v>20.8</v>
      </c>
      <c r="AS492" s="35">
        <v>19</v>
      </c>
      <c r="AT492" s="35">
        <v>20</v>
      </c>
      <c r="AU492" s="35">
        <v>19</v>
      </c>
      <c r="AV492" s="35">
        <v>20.9</v>
      </c>
      <c r="AW492" s="35">
        <v>19</v>
      </c>
      <c r="AX492" s="35">
        <v>20.399999999999999</v>
      </c>
      <c r="AY492" s="35">
        <v>20</v>
      </c>
      <c r="AZ492" s="35">
        <v>20.2</v>
      </c>
      <c r="BA492" s="35">
        <v>20</v>
      </c>
      <c r="BB492" s="35">
        <v>31.5</v>
      </c>
      <c r="BC492" s="35">
        <v>40</v>
      </c>
      <c r="BD492" s="35">
        <v>30.7</v>
      </c>
      <c r="BE492" s="35">
        <v>40</v>
      </c>
      <c r="BF492" s="35">
        <v>19.399999999999999</v>
      </c>
      <c r="BG492" s="35">
        <v>20</v>
      </c>
    </row>
    <row r="493" spans="1:59" x14ac:dyDescent="0.35">
      <c r="A493" s="36">
        <v>46059.799305555556</v>
      </c>
      <c r="B493" s="35">
        <v>3.8</v>
      </c>
      <c r="C493" s="35">
        <v>2</v>
      </c>
      <c r="D493" s="35">
        <v>4.2</v>
      </c>
      <c r="E493" s="35">
        <v>2.2000000000000002</v>
      </c>
      <c r="F493" s="35">
        <v>2.6</v>
      </c>
      <c r="G493" s="35">
        <v>2</v>
      </c>
      <c r="H493" s="35">
        <v>7</v>
      </c>
      <c r="I493" s="35">
        <v>2</v>
      </c>
      <c r="J493" s="35">
        <v>2</v>
      </c>
      <c r="K493" s="35">
        <v>2</v>
      </c>
      <c r="L493" s="35">
        <v>3.7</v>
      </c>
      <c r="M493" s="35">
        <v>2</v>
      </c>
      <c r="N493" s="35">
        <v>3.4</v>
      </c>
      <c r="O493" s="35">
        <v>3</v>
      </c>
      <c r="P493" s="35">
        <v>3.6</v>
      </c>
      <c r="Q493" s="35">
        <v>2</v>
      </c>
      <c r="R493" s="35">
        <v>2.8</v>
      </c>
      <c r="S493" s="35">
        <v>2</v>
      </c>
      <c r="T493" s="35">
        <v>2.8</v>
      </c>
      <c r="U493" s="35">
        <v>2</v>
      </c>
      <c r="V493" s="35">
        <v>10.1</v>
      </c>
      <c r="W493" s="35">
        <v>9</v>
      </c>
      <c r="X493" s="35">
        <v>8.6</v>
      </c>
      <c r="Y493" s="35">
        <v>9</v>
      </c>
      <c r="Z493" s="35">
        <v>10.3</v>
      </c>
      <c r="AA493" s="35">
        <v>9</v>
      </c>
      <c r="AB493" s="35">
        <v>8.9</v>
      </c>
      <c r="AC493" s="35">
        <v>9</v>
      </c>
      <c r="AD493" s="35">
        <v>20.399999999999999</v>
      </c>
      <c r="AE493" s="35">
        <v>19</v>
      </c>
      <c r="AF493" s="35">
        <v>18.3</v>
      </c>
      <c r="AG493" s="35">
        <v>19</v>
      </c>
      <c r="AH493" s="35">
        <v>20.8</v>
      </c>
      <c r="AI493" s="35">
        <v>19</v>
      </c>
      <c r="AJ493" s="35">
        <v>18.7</v>
      </c>
      <c r="AK493" s="35">
        <v>19</v>
      </c>
      <c r="AL493" s="35">
        <v>19.899999999999999</v>
      </c>
      <c r="AM493" s="35">
        <v>19</v>
      </c>
      <c r="AN493" s="35">
        <v>19</v>
      </c>
      <c r="AO493" s="35">
        <v>19</v>
      </c>
      <c r="AP493" s="35">
        <v>18.399999999999999</v>
      </c>
      <c r="AQ493" s="35">
        <v>19</v>
      </c>
      <c r="AR493" s="35">
        <v>20.8</v>
      </c>
      <c r="AS493" s="35">
        <v>19</v>
      </c>
      <c r="AT493" s="35">
        <v>20.2</v>
      </c>
      <c r="AU493" s="35">
        <v>19</v>
      </c>
      <c r="AV493" s="35">
        <v>20.9</v>
      </c>
      <c r="AW493" s="35">
        <v>19</v>
      </c>
      <c r="AX493" s="35">
        <v>20.3</v>
      </c>
      <c r="AY493" s="35">
        <v>20</v>
      </c>
      <c r="AZ493" s="35">
        <v>20.2</v>
      </c>
      <c r="BA493" s="35">
        <v>20</v>
      </c>
      <c r="BB493" s="35">
        <v>31.5</v>
      </c>
      <c r="BC493" s="35">
        <v>40</v>
      </c>
      <c r="BD493" s="35">
        <v>30.7</v>
      </c>
      <c r="BE493" s="35">
        <v>40</v>
      </c>
      <c r="BF493" s="35">
        <v>19.8</v>
      </c>
      <c r="BG493" s="35">
        <v>20</v>
      </c>
    </row>
    <row r="494" spans="1:59" x14ac:dyDescent="0.35">
      <c r="A494" s="36">
        <v>46059.8</v>
      </c>
      <c r="B494" s="35">
        <v>4.0999999999999996</v>
      </c>
      <c r="C494" s="35">
        <v>2</v>
      </c>
      <c r="D494" s="35">
        <v>4.4000000000000004</v>
      </c>
      <c r="E494" s="35">
        <v>2.2000000000000002</v>
      </c>
      <c r="F494" s="35">
        <v>2.6</v>
      </c>
      <c r="G494" s="35">
        <v>2</v>
      </c>
      <c r="H494" s="35">
        <v>7.6</v>
      </c>
      <c r="I494" s="35">
        <v>2</v>
      </c>
      <c r="J494" s="35">
        <v>2.2999999999999998</v>
      </c>
      <c r="K494" s="35">
        <v>2</v>
      </c>
      <c r="L494" s="35">
        <v>3.7</v>
      </c>
      <c r="M494" s="35">
        <v>2</v>
      </c>
      <c r="N494" s="35">
        <v>3.6</v>
      </c>
      <c r="O494" s="35">
        <v>3</v>
      </c>
      <c r="P494" s="35">
        <v>3.8</v>
      </c>
      <c r="Q494" s="35">
        <v>2</v>
      </c>
      <c r="R494" s="35">
        <v>3</v>
      </c>
      <c r="S494" s="35">
        <v>2</v>
      </c>
      <c r="T494" s="35">
        <v>2.9</v>
      </c>
      <c r="U494" s="35">
        <v>2</v>
      </c>
      <c r="V494" s="35">
        <v>10.5</v>
      </c>
      <c r="W494" s="35">
        <v>9</v>
      </c>
      <c r="X494" s="35">
        <v>8.1999999999999993</v>
      </c>
      <c r="Y494" s="35">
        <v>9</v>
      </c>
      <c r="Z494" s="35">
        <v>10.4</v>
      </c>
      <c r="AA494" s="35">
        <v>9</v>
      </c>
      <c r="AB494" s="35">
        <v>9.3000000000000007</v>
      </c>
      <c r="AC494" s="35">
        <v>9</v>
      </c>
      <c r="AD494" s="35">
        <v>20.399999999999999</v>
      </c>
      <c r="AE494" s="35">
        <v>19</v>
      </c>
      <c r="AF494" s="35">
        <v>18.3</v>
      </c>
      <c r="AG494" s="35">
        <v>19</v>
      </c>
      <c r="AH494" s="35">
        <v>20.8</v>
      </c>
      <c r="AI494" s="35">
        <v>19</v>
      </c>
      <c r="AJ494" s="35">
        <v>18.899999999999999</v>
      </c>
      <c r="AK494" s="35">
        <v>19</v>
      </c>
      <c r="AL494" s="35">
        <v>19.8</v>
      </c>
      <c r="AM494" s="35">
        <v>19</v>
      </c>
      <c r="AN494" s="35">
        <v>19.2</v>
      </c>
      <c r="AO494" s="35">
        <v>19</v>
      </c>
      <c r="AP494" s="35">
        <v>18.5</v>
      </c>
      <c r="AQ494" s="35">
        <v>19</v>
      </c>
      <c r="AR494" s="35">
        <v>20.8</v>
      </c>
      <c r="AS494" s="35">
        <v>19</v>
      </c>
      <c r="AT494" s="35">
        <v>20.2</v>
      </c>
      <c r="AU494" s="35">
        <v>19</v>
      </c>
      <c r="AV494" s="35">
        <v>20.7</v>
      </c>
      <c r="AW494" s="35">
        <v>19</v>
      </c>
      <c r="AX494" s="35">
        <v>20.3</v>
      </c>
      <c r="AY494" s="35">
        <v>20</v>
      </c>
      <c r="AZ494" s="35">
        <v>20.2</v>
      </c>
      <c r="BA494" s="35">
        <v>20</v>
      </c>
      <c r="BB494" s="35">
        <v>31.5</v>
      </c>
      <c r="BC494" s="35">
        <v>40</v>
      </c>
      <c r="BD494" s="35">
        <v>30.6</v>
      </c>
      <c r="BE494" s="35">
        <v>40</v>
      </c>
      <c r="BF494" s="35">
        <v>20.2</v>
      </c>
      <c r="BG494" s="35">
        <v>20</v>
      </c>
    </row>
    <row r="495" spans="1:59" x14ac:dyDescent="0.35">
      <c r="A495" s="36">
        <v>46059.800694444442</v>
      </c>
      <c r="B495" s="35">
        <v>3.7</v>
      </c>
      <c r="C495" s="35">
        <v>2</v>
      </c>
      <c r="D495" s="35">
        <v>4</v>
      </c>
      <c r="E495" s="35">
        <v>2.2000000000000002</v>
      </c>
      <c r="F495" s="35">
        <v>2.6</v>
      </c>
      <c r="G495" s="35">
        <v>2</v>
      </c>
      <c r="H495" s="35">
        <v>8.1999999999999993</v>
      </c>
      <c r="I495" s="35">
        <v>2</v>
      </c>
      <c r="J495" s="35">
        <v>2.5</v>
      </c>
      <c r="K495" s="35">
        <v>2</v>
      </c>
      <c r="L495" s="35">
        <v>3.7</v>
      </c>
      <c r="M495" s="35">
        <v>2</v>
      </c>
      <c r="N495" s="35">
        <v>3.8</v>
      </c>
      <c r="O495" s="35">
        <v>3</v>
      </c>
      <c r="P495" s="35">
        <v>3.9</v>
      </c>
      <c r="Q495" s="35">
        <v>2</v>
      </c>
      <c r="R495" s="35">
        <v>3.2</v>
      </c>
      <c r="S495" s="35">
        <v>2</v>
      </c>
      <c r="T495" s="35">
        <v>3.1</v>
      </c>
      <c r="U495" s="35">
        <v>2</v>
      </c>
      <c r="V495" s="35">
        <v>10.9</v>
      </c>
      <c r="W495" s="35">
        <v>9</v>
      </c>
      <c r="X495" s="35">
        <v>8.1999999999999993</v>
      </c>
      <c r="Y495" s="35">
        <v>9</v>
      </c>
      <c r="Z495" s="35">
        <v>10.6</v>
      </c>
      <c r="AA495" s="35">
        <v>9</v>
      </c>
      <c r="AB495" s="35">
        <v>9.6999999999999993</v>
      </c>
      <c r="AC495" s="35">
        <v>9</v>
      </c>
      <c r="AD495" s="35">
        <v>20.399999999999999</v>
      </c>
      <c r="AE495" s="35">
        <v>19</v>
      </c>
      <c r="AF495" s="35">
        <v>18.3</v>
      </c>
      <c r="AG495" s="35">
        <v>19</v>
      </c>
      <c r="AH495" s="35">
        <v>20.9</v>
      </c>
      <c r="AI495" s="35">
        <v>19</v>
      </c>
      <c r="AJ495" s="35">
        <v>19.100000000000001</v>
      </c>
      <c r="AK495" s="35">
        <v>19</v>
      </c>
      <c r="AL495" s="35">
        <v>19.7</v>
      </c>
      <c r="AM495" s="35">
        <v>19</v>
      </c>
      <c r="AN495" s="35">
        <v>19.399999999999999</v>
      </c>
      <c r="AO495" s="35">
        <v>19</v>
      </c>
      <c r="AP495" s="35">
        <v>18.600000000000001</v>
      </c>
      <c r="AQ495" s="35">
        <v>19</v>
      </c>
      <c r="AR495" s="35">
        <v>20.8</v>
      </c>
      <c r="AS495" s="35">
        <v>19</v>
      </c>
      <c r="AT495" s="35">
        <v>20.3</v>
      </c>
      <c r="AU495" s="35">
        <v>19</v>
      </c>
      <c r="AV495" s="35">
        <v>19.3</v>
      </c>
      <c r="AW495" s="35">
        <v>19</v>
      </c>
      <c r="AX495" s="35">
        <v>20.3</v>
      </c>
      <c r="AY495" s="35">
        <v>20</v>
      </c>
      <c r="AZ495" s="35">
        <v>20.2</v>
      </c>
      <c r="BA495" s="35">
        <v>20</v>
      </c>
      <c r="BB495" s="35">
        <v>31.5</v>
      </c>
      <c r="BC495" s="35">
        <v>40</v>
      </c>
      <c r="BD495" s="35">
        <v>30.6</v>
      </c>
      <c r="BE495" s="35">
        <v>40</v>
      </c>
      <c r="BF495" s="35">
        <v>20.5</v>
      </c>
      <c r="BG495" s="35">
        <v>20</v>
      </c>
    </row>
    <row r="496" spans="1:59" x14ac:dyDescent="0.35">
      <c r="A496" s="36">
        <v>46059.801388888889</v>
      </c>
      <c r="B496" s="35">
        <v>2.9</v>
      </c>
      <c r="C496" s="35">
        <v>2</v>
      </c>
      <c r="D496" s="35">
        <v>3.1</v>
      </c>
      <c r="E496" s="35">
        <v>2.2000000000000002</v>
      </c>
      <c r="F496" s="35">
        <v>2.6</v>
      </c>
      <c r="G496" s="35">
        <v>2</v>
      </c>
      <c r="H496" s="35">
        <v>8.5</v>
      </c>
      <c r="I496" s="35">
        <v>2</v>
      </c>
      <c r="J496" s="35">
        <v>2.8</v>
      </c>
      <c r="K496" s="35">
        <v>2</v>
      </c>
      <c r="L496" s="35">
        <v>3.7</v>
      </c>
      <c r="M496" s="35">
        <v>2</v>
      </c>
      <c r="N496" s="35">
        <v>4</v>
      </c>
      <c r="O496" s="35">
        <v>3</v>
      </c>
      <c r="P496" s="35">
        <v>4</v>
      </c>
      <c r="Q496" s="35">
        <v>2</v>
      </c>
      <c r="R496" s="35">
        <v>3.3</v>
      </c>
      <c r="S496" s="35">
        <v>2</v>
      </c>
      <c r="T496" s="35">
        <v>3.2</v>
      </c>
      <c r="U496" s="35">
        <v>2</v>
      </c>
      <c r="V496" s="35">
        <v>10.199999999999999</v>
      </c>
      <c r="W496" s="35">
        <v>9</v>
      </c>
      <c r="X496" s="35">
        <v>8.3000000000000007</v>
      </c>
      <c r="Y496" s="35">
        <v>9</v>
      </c>
      <c r="Z496" s="35">
        <v>10.7</v>
      </c>
      <c r="AA496" s="35">
        <v>9</v>
      </c>
      <c r="AB496" s="35">
        <v>10</v>
      </c>
      <c r="AC496" s="35">
        <v>9</v>
      </c>
      <c r="AD496" s="35">
        <v>20.5</v>
      </c>
      <c r="AE496" s="35">
        <v>19</v>
      </c>
      <c r="AF496" s="35">
        <v>18.399999999999999</v>
      </c>
      <c r="AG496" s="35">
        <v>19</v>
      </c>
      <c r="AH496" s="35">
        <v>20.9</v>
      </c>
      <c r="AI496" s="35">
        <v>19</v>
      </c>
      <c r="AJ496" s="35">
        <v>19.3</v>
      </c>
      <c r="AK496" s="35">
        <v>19</v>
      </c>
      <c r="AL496" s="35">
        <v>19.600000000000001</v>
      </c>
      <c r="AM496" s="35">
        <v>19</v>
      </c>
      <c r="AN496" s="35">
        <v>19.5</v>
      </c>
      <c r="AO496" s="35">
        <v>19</v>
      </c>
      <c r="AP496" s="35">
        <v>18.8</v>
      </c>
      <c r="AQ496" s="35">
        <v>19</v>
      </c>
      <c r="AR496" s="35">
        <v>20.8</v>
      </c>
      <c r="AS496" s="35">
        <v>19</v>
      </c>
      <c r="AT496" s="35">
        <v>20.399999999999999</v>
      </c>
      <c r="AU496" s="35">
        <v>19</v>
      </c>
      <c r="AV496" s="35">
        <v>18.399999999999999</v>
      </c>
      <c r="AW496" s="35">
        <v>19</v>
      </c>
      <c r="AX496" s="35">
        <v>20.3</v>
      </c>
      <c r="AY496" s="35">
        <v>20</v>
      </c>
      <c r="AZ496" s="35">
        <v>20.2</v>
      </c>
      <c r="BA496" s="35">
        <v>20</v>
      </c>
      <c r="BB496" s="35">
        <v>31.5</v>
      </c>
      <c r="BC496" s="35">
        <v>40</v>
      </c>
      <c r="BD496" s="35">
        <v>30.6</v>
      </c>
      <c r="BE496" s="35">
        <v>40</v>
      </c>
      <c r="BF496" s="35">
        <v>20.9</v>
      </c>
      <c r="BG496" s="35">
        <v>20</v>
      </c>
    </row>
    <row r="497" spans="1:59" x14ac:dyDescent="0.35">
      <c r="A497" s="36">
        <v>46059.802083333336</v>
      </c>
      <c r="B497" s="35">
        <v>1.6</v>
      </c>
      <c r="C497" s="35">
        <v>2</v>
      </c>
      <c r="D497" s="35">
        <v>2.1</v>
      </c>
      <c r="E497" s="35">
        <v>2.2000000000000002</v>
      </c>
      <c r="F497" s="35">
        <v>2.6</v>
      </c>
      <c r="G497" s="35">
        <v>2</v>
      </c>
      <c r="H497" s="35">
        <v>8.6999999999999993</v>
      </c>
      <c r="I497" s="35">
        <v>2</v>
      </c>
      <c r="J497" s="35">
        <v>3.1</v>
      </c>
      <c r="K497" s="35">
        <v>2</v>
      </c>
      <c r="L497" s="35">
        <v>3.7</v>
      </c>
      <c r="M497" s="35">
        <v>2</v>
      </c>
      <c r="N497" s="35">
        <v>2</v>
      </c>
      <c r="O497" s="35">
        <v>3</v>
      </c>
      <c r="P497" s="35">
        <v>2.8</v>
      </c>
      <c r="Q497" s="35">
        <v>2</v>
      </c>
      <c r="R497" s="35">
        <v>3.4</v>
      </c>
      <c r="S497" s="35">
        <v>2</v>
      </c>
      <c r="T497" s="35">
        <v>3.4</v>
      </c>
      <c r="U497" s="35">
        <v>2</v>
      </c>
      <c r="V497" s="35">
        <v>8.8000000000000007</v>
      </c>
      <c r="W497" s="35">
        <v>9</v>
      </c>
      <c r="X497" s="35">
        <v>8.6</v>
      </c>
      <c r="Y497" s="35">
        <v>9</v>
      </c>
      <c r="Z497" s="35">
        <v>10.8</v>
      </c>
      <c r="AA497" s="35">
        <v>9</v>
      </c>
      <c r="AB497" s="35">
        <v>10.3</v>
      </c>
      <c r="AC497" s="35">
        <v>9</v>
      </c>
      <c r="AD497" s="35">
        <v>20.5</v>
      </c>
      <c r="AE497" s="35">
        <v>19</v>
      </c>
      <c r="AF497" s="35">
        <v>18.5</v>
      </c>
      <c r="AG497" s="35">
        <v>19</v>
      </c>
      <c r="AH497" s="35">
        <v>20.9</v>
      </c>
      <c r="AI497" s="35">
        <v>19</v>
      </c>
      <c r="AJ497" s="35">
        <v>19.399999999999999</v>
      </c>
      <c r="AK497" s="35">
        <v>19</v>
      </c>
      <c r="AL497" s="35">
        <v>19.5</v>
      </c>
      <c r="AM497" s="35">
        <v>19</v>
      </c>
      <c r="AN497" s="35">
        <v>19.600000000000001</v>
      </c>
      <c r="AO497" s="35">
        <v>19</v>
      </c>
      <c r="AP497" s="35">
        <v>18.899999999999999</v>
      </c>
      <c r="AQ497" s="35">
        <v>19</v>
      </c>
      <c r="AR497" s="35">
        <v>20.8</v>
      </c>
      <c r="AS497" s="35">
        <v>19</v>
      </c>
      <c r="AT497" s="35">
        <v>20.5</v>
      </c>
      <c r="AU497" s="35">
        <v>19</v>
      </c>
      <c r="AV497" s="35">
        <v>18.2</v>
      </c>
      <c r="AW497" s="35">
        <v>19</v>
      </c>
      <c r="AX497" s="35">
        <v>20.3</v>
      </c>
      <c r="AY497" s="35">
        <v>20</v>
      </c>
      <c r="AZ497" s="35">
        <v>20.2</v>
      </c>
      <c r="BA497" s="35">
        <v>20</v>
      </c>
      <c r="BB497" s="35">
        <v>31.5</v>
      </c>
      <c r="BC497" s="35">
        <v>40</v>
      </c>
      <c r="BD497" s="35">
        <v>30.6</v>
      </c>
      <c r="BE497" s="35">
        <v>40</v>
      </c>
      <c r="BF497" s="35">
        <v>21.1</v>
      </c>
      <c r="BG497" s="35">
        <v>20</v>
      </c>
    </row>
    <row r="498" spans="1:59" x14ac:dyDescent="0.35">
      <c r="A498" s="36">
        <v>46059.802777777775</v>
      </c>
      <c r="B498" s="35">
        <v>1.5</v>
      </c>
      <c r="C498" s="35">
        <v>2</v>
      </c>
      <c r="D498" s="35">
        <v>2.1</v>
      </c>
      <c r="E498" s="35">
        <v>2.2000000000000002</v>
      </c>
      <c r="F498" s="35">
        <v>2.6</v>
      </c>
      <c r="G498" s="35">
        <v>2</v>
      </c>
      <c r="H498" s="35">
        <v>8.9</v>
      </c>
      <c r="I498" s="35">
        <v>2</v>
      </c>
      <c r="J498" s="35">
        <v>3.4</v>
      </c>
      <c r="K498" s="35">
        <v>2</v>
      </c>
      <c r="L498" s="35">
        <v>3.7</v>
      </c>
      <c r="M498" s="35">
        <v>2</v>
      </c>
      <c r="N498" s="35">
        <v>1</v>
      </c>
      <c r="O498" s="35">
        <v>3</v>
      </c>
      <c r="P498" s="35">
        <v>1.9</v>
      </c>
      <c r="Q498" s="35">
        <v>2</v>
      </c>
      <c r="R498" s="35">
        <v>3.6</v>
      </c>
      <c r="S498" s="35">
        <v>2</v>
      </c>
      <c r="T498" s="35">
        <v>3.5</v>
      </c>
      <c r="U498" s="35">
        <v>2</v>
      </c>
      <c r="V498" s="35">
        <v>8.6</v>
      </c>
      <c r="W498" s="35">
        <v>9</v>
      </c>
      <c r="X498" s="35">
        <v>8.8000000000000007</v>
      </c>
      <c r="Y498" s="35">
        <v>9</v>
      </c>
      <c r="Z498" s="35">
        <v>10.9</v>
      </c>
      <c r="AA498" s="35">
        <v>9</v>
      </c>
      <c r="AB498" s="35">
        <v>10.6</v>
      </c>
      <c r="AC498" s="35">
        <v>9</v>
      </c>
      <c r="AD498" s="35">
        <v>20.5</v>
      </c>
      <c r="AE498" s="35">
        <v>19</v>
      </c>
      <c r="AF498" s="35">
        <v>18.600000000000001</v>
      </c>
      <c r="AG498" s="35">
        <v>19</v>
      </c>
      <c r="AH498" s="35">
        <v>21</v>
      </c>
      <c r="AI498" s="35">
        <v>19</v>
      </c>
      <c r="AJ498" s="35">
        <v>19.5</v>
      </c>
      <c r="AK498" s="35">
        <v>19</v>
      </c>
      <c r="AL498" s="35">
        <v>19.399999999999999</v>
      </c>
      <c r="AM498" s="35">
        <v>19</v>
      </c>
      <c r="AN498" s="35">
        <v>19.8</v>
      </c>
      <c r="AO498" s="35">
        <v>19</v>
      </c>
      <c r="AP498" s="35">
        <v>19.100000000000001</v>
      </c>
      <c r="AQ498" s="35">
        <v>19</v>
      </c>
      <c r="AR498" s="35">
        <v>20.8</v>
      </c>
      <c r="AS498" s="35">
        <v>19</v>
      </c>
      <c r="AT498" s="35">
        <v>20.5</v>
      </c>
      <c r="AU498" s="35">
        <v>19</v>
      </c>
      <c r="AV498" s="35">
        <v>18.2</v>
      </c>
      <c r="AW498" s="35">
        <v>19</v>
      </c>
      <c r="AX498" s="35">
        <v>20.399999999999999</v>
      </c>
      <c r="AY498" s="35">
        <v>20</v>
      </c>
      <c r="AZ498" s="35">
        <v>20.3</v>
      </c>
      <c r="BA498" s="35">
        <v>20</v>
      </c>
      <c r="BB498" s="35">
        <v>31.4</v>
      </c>
      <c r="BC498" s="35">
        <v>40</v>
      </c>
      <c r="BD498" s="35">
        <v>30.6</v>
      </c>
      <c r="BE498" s="35">
        <v>40</v>
      </c>
      <c r="BF498" s="35">
        <v>21.2</v>
      </c>
      <c r="BG498" s="35">
        <v>20</v>
      </c>
    </row>
    <row r="499" spans="1:59" x14ac:dyDescent="0.35">
      <c r="A499" s="36">
        <v>46059.803472222222</v>
      </c>
      <c r="B499" s="35">
        <v>1.9</v>
      </c>
      <c r="C499" s="35">
        <v>2</v>
      </c>
      <c r="D499" s="35">
        <v>2.6</v>
      </c>
      <c r="E499" s="35">
        <v>2.2000000000000002</v>
      </c>
      <c r="F499" s="35">
        <v>2.6</v>
      </c>
      <c r="G499" s="35">
        <v>2</v>
      </c>
      <c r="H499" s="35">
        <v>9.3000000000000007</v>
      </c>
      <c r="I499" s="35">
        <v>2</v>
      </c>
      <c r="J499" s="35">
        <v>3.8</v>
      </c>
      <c r="K499" s="35">
        <v>2</v>
      </c>
      <c r="L499" s="35">
        <v>3.7</v>
      </c>
      <c r="M499" s="35">
        <v>2</v>
      </c>
      <c r="N499" s="35">
        <v>1</v>
      </c>
      <c r="O499" s="35">
        <v>3</v>
      </c>
      <c r="P499" s="35">
        <v>1.8</v>
      </c>
      <c r="Q499" s="35">
        <v>2</v>
      </c>
      <c r="R499" s="35">
        <v>3.7</v>
      </c>
      <c r="S499" s="35">
        <v>2</v>
      </c>
      <c r="T499" s="35">
        <v>3.6</v>
      </c>
      <c r="U499" s="35">
        <v>2</v>
      </c>
      <c r="V499" s="35">
        <v>9.1999999999999993</v>
      </c>
      <c r="W499" s="35">
        <v>9</v>
      </c>
      <c r="X499" s="35">
        <v>9</v>
      </c>
      <c r="Y499" s="35">
        <v>9</v>
      </c>
      <c r="Z499" s="35">
        <v>11</v>
      </c>
      <c r="AA499" s="35">
        <v>9</v>
      </c>
      <c r="AB499" s="35">
        <v>10.8</v>
      </c>
      <c r="AC499" s="35">
        <v>9</v>
      </c>
      <c r="AD499" s="35">
        <v>20.5</v>
      </c>
      <c r="AE499" s="35">
        <v>19</v>
      </c>
      <c r="AF499" s="35">
        <v>18.7</v>
      </c>
      <c r="AG499" s="35">
        <v>19</v>
      </c>
      <c r="AH499" s="35">
        <v>20.100000000000001</v>
      </c>
      <c r="AI499" s="35">
        <v>19</v>
      </c>
      <c r="AJ499" s="35">
        <v>19.600000000000001</v>
      </c>
      <c r="AK499" s="35">
        <v>19</v>
      </c>
      <c r="AL499" s="35">
        <v>19.3</v>
      </c>
      <c r="AM499" s="35">
        <v>19</v>
      </c>
      <c r="AN499" s="35">
        <v>19.899999999999999</v>
      </c>
      <c r="AO499" s="35">
        <v>19</v>
      </c>
      <c r="AP499" s="35">
        <v>19.2</v>
      </c>
      <c r="AQ499" s="35">
        <v>19</v>
      </c>
      <c r="AR499" s="35">
        <v>20.8</v>
      </c>
      <c r="AS499" s="35">
        <v>19</v>
      </c>
      <c r="AT499" s="35">
        <v>20.6</v>
      </c>
      <c r="AU499" s="35">
        <v>19</v>
      </c>
      <c r="AV499" s="35">
        <v>18.3</v>
      </c>
      <c r="AW499" s="35">
        <v>19</v>
      </c>
      <c r="AX499" s="35">
        <v>20.399999999999999</v>
      </c>
      <c r="AY499" s="35">
        <v>20</v>
      </c>
      <c r="AZ499" s="35">
        <v>20.3</v>
      </c>
      <c r="BA499" s="35">
        <v>20</v>
      </c>
      <c r="BB499" s="35">
        <v>31.4</v>
      </c>
      <c r="BC499" s="35">
        <v>40</v>
      </c>
      <c r="BD499" s="35">
        <v>30.5</v>
      </c>
      <c r="BE499" s="35">
        <v>40</v>
      </c>
      <c r="BF499" s="35">
        <v>21.3</v>
      </c>
      <c r="BG499" s="35">
        <v>20</v>
      </c>
    </row>
    <row r="500" spans="1:59" x14ac:dyDescent="0.35">
      <c r="A500" s="36">
        <v>46059.804166666669</v>
      </c>
      <c r="B500" s="35">
        <v>2.4</v>
      </c>
      <c r="C500" s="35">
        <v>2</v>
      </c>
      <c r="D500" s="35">
        <v>3</v>
      </c>
      <c r="E500" s="35">
        <v>2.2000000000000002</v>
      </c>
      <c r="F500" s="35">
        <v>2.6</v>
      </c>
      <c r="G500" s="35">
        <v>2</v>
      </c>
      <c r="H500" s="35">
        <v>9.4</v>
      </c>
      <c r="I500" s="35">
        <v>2</v>
      </c>
      <c r="J500" s="35">
        <v>4</v>
      </c>
      <c r="K500" s="35">
        <v>2</v>
      </c>
      <c r="L500" s="35">
        <v>3.7</v>
      </c>
      <c r="M500" s="35">
        <v>2</v>
      </c>
      <c r="N500" s="35">
        <v>1.2</v>
      </c>
      <c r="O500" s="35">
        <v>3</v>
      </c>
      <c r="P500" s="35">
        <v>2.1</v>
      </c>
      <c r="Q500" s="35">
        <v>2</v>
      </c>
      <c r="R500" s="35">
        <v>3.8</v>
      </c>
      <c r="S500" s="35">
        <v>2</v>
      </c>
      <c r="T500" s="35">
        <v>3.7</v>
      </c>
      <c r="U500" s="35">
        <v>2</v>
      </c>
      <c r="V500" s="35">
        <v>9.8000000000000007</v>
      </c>
      <c r="W500" s="35">
        <v>9</v>
      </c>
      <c r="X500" s="35">
        <v>9.1999999999999993</v>
      </c>
      <c r="Y500" s="35">
        <v>9</v>
      </c>
      <c r="Z500" s="35">
        <v>10.6</v>
      </c>
      <c r="AA500" s="35">
        <v>9</v>
      </c>
      <c r="AB500" s="35">
        <v>11</v>
      </c>
      <c r="AC500" s="35">
        <v>9</v>
      </c>
      <c r="AD500" s="35">
        <v>20.5</v>
      </c>
      <c r="AE500" s="35">
        <v>19</v>
      </c>
      <c r="AF500" s="35">
        <v>18.8</v>
      </c>
      <c r="AG500" s="35">
        <v>19</v>
      </c>
      <c r="AH500" s="35">
        <v>18.3</v>
      </c>
      <c r="AI500" s="35">
        <v>19</v>
      </c>
      <c r="AJ500" s="35">
        <v>19.8</v>
      </c>
      <c r="AK500" s="35">
        <v>19</v>
      </c>
      <c r="AL500" s="35">
        <v>19.2</v>
      </c>
      <c r="AM500" s="35">
        <v>19</v>
      </c>
      <c r="AN500" s="35">
        <v>20</v>
      </c>
      <c r="AO500" s="35">
        <v>19</v>
      </c>
      <c r="AP500" s="35">
        <v>19.3</v>
      </c>
      <c r="AQ500" s="35">
        <v>19</v>
      </c>
      <c r="AR500" s="35">
        <v>20.8</v>
      </c>
      <c r="AS500" s="35">
        <v>19</v>
      </c>
      <c r="AT500" s="35">
        <v>20.7</v>
      </c>
      <c r="AU500" s="35">
        <v>19</v>
      </c>
      <c r="AV500" s="35">
        <v>18.5</v>
      </c>
      <c r="AW500" s="35">
        <v>19</v>
      </c>
      <c r="AX500" s="35">
        <v>20.399999999999999</v>
      </c>
      <c r="AY500" s="35">
        <v>20</v>
      </c>
      <c r="AZ500" s="35">
        <v>20.3</v>
      </c>
      <c r="BA500" s="35">
        <v>20</v>
      </c>
      <c r="BB500" s="35">
        <v>31.4</v>
      </c>
      <c r="BC500" s="35">
        <v>40</v>
      </c>
      <c r="BD500" s="35">
        <v>30.5</v>
      </c>
      <c r="BE500" s="35">
        <v>40</v>
      </c>
      <c r="BF500" s="35">
        <v>21.4</v>
      </c>
      <c r="BG500" s="35">
        <v>20</v>
      </c>
    </row>
    <row r="501" spans="1:59" x14ac:dyDescent="0.35">
      <c r="A501" s="36">
        <v>46059.804861111108</v>
      </c>
      <c r="B501" s="35">
        <v>2.8</v>
      </c>
      <c r="C501" s="35">
        <v>2</v>
      </c>
      <c r="D501" s="35">
        <v>3.4</v>
      </c>
      <c r="E501" s="35">
        <v>2.2000000000000002</v>
      </c>
      <c r="F501" s="35">
        <v>9.6999999999999993</v>
      </c>
      <c r="G501" s="35">
        <v>2</v>
      </c>
      <c r="H501" s="35">
        <v>9.4</v>
      </c>
      <c r="I501" s="35">
        <v>2</v>
      </c>
      <c r="J501" s="35">
        <v>3.8</v>
      </c>
      <c r="K501" s="35">
        <v>2</v>
      </c>
      <c r="L501" s="35">
        <v>3.7</v>
      </c>
      <c r="M501" s="35">
        <v>2</v>
      </c>
      <c r="N501" s="35">
        <v>1.6</v>
      </c>
      <c r="O501" s="35">
        <v>3</v>
      </c>
      <c r="P501" s="35">
        <v>2.4</v>
      </c>
      <c r="Q501" s="35">
        <v>2</v>
      </c>
      <c r="R501" s="35">
        <v>3.9</v>
      </c>
      <c r="S501" s="35">
        <v>2</v>
      </c>
      <c r="T501" s="35">
        <v>3.9</v>
      </c>
      <c r="U501" s="35">
        <v>2</v>
      </c>
      <c r="V501" s="35">
        <v>10.4</v>
      </c>
      <c r="W501" s="35">
        <v>9</v>
      </c>
      <c r="X501" s="35">
        <v>9.3000000000000007</v>
      </c>
      <c r="Y501" s="35">
        <v>9</v>
      </c>
      <c r="Z501" s="35">
        <v>9.6999999999999993</v>
      </c>
      <c r="AA501" s="35">
        <v>9</v>
      </c>
      <c r="AB501" s="35">
        <v>10.3</v>
      </c>
      <c r="AC501" s="35">
        <v>9</v>
      </c>
      <c r="AD501" s="35">
        <v>20.6</v>
      </c>
      <c r="AE501" s="35">
        <v>19</v>
      </c>
      <c r="AF501" s="35">
        <v>19</v>
      </c>
      <c r="AG501" s="35">
        <v>19</v>
      </c>
      <c r="AH501" s="35">
        <v>18.2</v>
      </c>
      <c r="AI501" s="35">
        <v>19</v>
      </c>
      <c r="AJ501" s="35">
        <v>19.899999999999999</v>
      </c>
      <c r="AK501" s="35">
        <v>19</v>
      </c>
      <c r="AL501" s="35">
        <v>19.2</v>
      </c>
      <c r="AM501" s="35">
        <v>19</v>
      </c>
      <c r="AN501" s="35">
        <v>20.100000000000001</v>
      </c>
      <c r="AO501" s="35">
        <v>19</v>
      </c>
      <c r="AP501" s="35">
        <v>19.399999999999999</v>
      </c>
      <c r="AQ501" s="35">
        <v>19</v>
      </c>
      <c r="AR501" s="35">
        <v>20.8</v>
      </c>
      <c r="AS501" s="35">
        <v>19</v>
      </c>
      <c r="AT501" s="35">
        <v>20.8</v>
      </c>
      <c r="AU501" s="35">
        <v>19</v>
      </c>
      <c r="AV501" s="35">
        <v>18.7</v>
      </c>
      <c r="AW501" s="35">
        <v>19</v>
      </c>
      <c r="AX501" s="35">
        <v>20.399999999999999</v>
      </c>
      <c r="AY501" s="35">
        <v>20</v>
      </c>
      <c r="AZ501" s="35">
        <v>20.3</v>
      </c>
      <c r="BA501" s="35">
        <v>20</v>
      </c>
      <c r="BB501" s="35">
        <v>31.4</v>
      </c>
      <c r="BC501" s="35">
        <v>40</v>
      </c>
      <c r="BD501" s="35">
        <v>30.5</v>
      </c>
      <c r="BE501" s="35">
        <v>40</v>
      </c>
      <c r="BF501" s="35">
        <v>21.4</v>
      </c>
      <c r="BG501" s="35">
        <v>20</v>
      </c>
    </row>
    <row r="502" spans="1:59" x14ac:dyDescent="0.35">
      <c r="A502" s="36">
        <v>46059.805555555555</v>
      </c>
      <c r="B502" s="35">
        <v>3.2</v>
      </c>
      <c r="C502" s="35">
        <v>2</v>
      </c>
      <c r="D502" s="35">
        <v>3.8</v>
      </c>
      <c r="E502" s="35">
        <v>2.2000000000000002</v>
      </c>
      <c r="F502" s="35">
        <v>8.5</v>
      </c>
      <c r="G502" s="35">
        <v>2</v>
      </c>
      <c r="H502" s="35">
        <v>8</v>
      </c>
      <c r="I502" s="35">
        <v>2</v>
      </c>
      <c r="J502" s="35">
        <v>3.5</v>
      </c>
      <c r="K502" s="35">
        <v>2</v>
      </c>
      <c r="L502" s="35">
        <v>3.7</v>
      </c>
      <c r="M502" s="35">
        <v>2</v>
      </c>
      <c r="N502" s="35">
        <v>2</v>
      </c>
      <c r="O502" s="35">
        <v>3</v>
      </c>
      <c r="P502" s="35">
        <v>2.8</v>
      </c>
      <c r="Q502" s="35">
        <v>2</v>
      </c>
      <c r="R502" s="35">
        <v>3.4</v>
      </c>
      <c r="S502" s="35">
        <v>2</v>
      </c>
      <c r="T502" s="35">
        <v>2.9</v>
      </c>
      <c r="U502" s="35">
        <v>2</v>
      </c>
      <c r="V502" s="35">
        <v>10.8</v>
      </c>
      <c r="W502" s="35">
        <v>9</v>
      </c>
      <c r="X502" s="35">
        <v>9.5</v>
      </c>
      <c r="Y502" s="35">
        <v>9</v>
      </c>
      <c r="Z502" s="35">
        <v>9</v>
      </c>
      <c r="AA502" s="35">
        <v>9</v>
      </c>
      <c r="AB502" s="35">
        <v>8.8000000000000007</v>
      </c>
      <c r="AC502" s="35">
        <v>9</v>
      </c>
      <c r="AD502" s="35">
        <v>20.6</v>
      </c>
      <c r="AE502" s="35">
        <v>19</v>
      </c>
      <c r="AF502" s="35">
        <v>19</v>
      </c>
      <c r="AG502" s="35">
        <v>19</v>
      </c>
      <c r="AH502" s="35">
        <v>18.3</v>
      </c>
      <c r="AI502" s="35">
        <v>19</v>
      </c>
      <c r="AJ502" s="35">
        <v>20</v>
      </c>
      <c r="AK502" s="35">
        <v>19</v>
      </c>
      <c r="AL502" s="35">
        <v>19.2</v>
      </c>
      <c r="AM502" s="35">
        <v>19</v>
      </c>
      <c r="AN502" s="35">
        <v>20.2</v>
      </c>
      <c r="AO502" s="35">
        <v>19</v>
      </c>
      <c r="AP502" s="35">
        <v>19.600000000000001</v>
      </c>
      <c r="AQ502" s="35">
        <v>19</v>
      </c>
      <c r="AR502" s="35">
        <v>20.8</v>
      </c>
      <c r="AS502" s="35">
        <v>19</v>
      </c>
      <c r="AT502" s="35">
        <v>20.8</v>
      </c>
      <c r="AU502" s="35">
        <v>19</v>
      </c>
      <c r="AV502" s="35">
        <v>18.8</v>
      </c>
      <c r="AW502" s="35">
        <v>19</v>
      </c>
      <c r="AX502" s="35">
        <v>20.399999999999999</v>
      </c>
      <c r="AY502" s="35">
        <v>20</v>
      </c>
      <c r="AZ502" s="35">
        <v>20.3</v>
      </c>
      <c r="BA502" s="35">
        <v>20</v>
      </c>
      <c r="BB502" s="35">
        <v>31.4</v>
      </c>
      <c r="BC502" s="35">
        <v>40</v>
      </c>
      <c r="BD502" s="35">
        <v>30.5</v>
      </c>
      <c r="BE502" s="35">
        <v>40</v>
      </c>
      <c r="BF502" s="35">
        <v>21.5</v>
      </c>
      <c r="BG502" s="35">
        <v>20</v>
      </c>
    </row>
    <row r="503" spans="1:59" x14ac:dyDescent="0.35">
      <c r="A503" s="36">
        <v>46059.806250000001</v>
      </c>
      <c r="B503" s="35">
        <v>3.5</v>
      </c>
      <c r="C503" s="35">
        <v>2</v>
      </c>
      <c r="D503" s="35">
        <v>4.0999999999999996</v>
      </c>
      <c r="E503" s="35">
        <v>2.2000000000000002</v>
      </c>
      <c r="F503" s="35">
        <v>6.6</v>
      </c>
      <c r="G503" s="35">
        <v>2</v>
      </c>
      <c r="H503" s="35">
        <v>5.2</v>
      </c>
      <c r="I503" s="35">
        <v>2</v>
      </c>
      <c r="J503" s="35">
        <v>2.8</v>
      </c>
      <c r="K503" s="35">
        <v>2</v>
      </c>
      <c r="L503" s="35">
        <v>3.7</v>
      </c>
      <c r="M503" s="35">
        <v>2</v>
      </c>
      <c r="N503" s="35">
        <v>2.4</v>
      </c>
      <c r="O503" s="35">
        <v>3</v>
      </c>
      <c r="P503" s="35">
        <v>3</v>
      </c>
      <c r="Q503" s="35">
        <v>2</v>
      </c>
      <c r="R503" s="35">
        <v>2.2000000000000002</v>
      </c>
      <c r="S503" s="35">
        <v>2</v>
      </c>
      <c r="T503" s="35">
        <v>1.6</v>
      </c>
      <c r="U503" s="35">
        <v>2</v>
      </c>
      <c r="V503" s="35">
        <v>11.1</v>
      </c>
      <c r="W503" s="35">
        <v>9</v>
      </c>
      <c r="X503" s="35">
        <v>9.6</v>
      </c>
      <c r="Y503" s="35">
        <v>9</v>
      </c>
      <c r="Z503" s="35">
        <v>8.6999999999999993</v>
      </c>
      <c r="AA503" s="35">
        <v>9</v>
      </c>
      <c r="AB503" s="35">
        <v>8.1</v>
      </c>
      <c r="AC503" s="35">
        <v>9</v>
      </c>
      <c r="AD503" s="35">
        <v>20.6</v>
      </c>
      <c r="AE503" s="35">
        <v>19</v>
      </c>
      <c r="AF503" s="35">
        <v>19.100000000000001</v>
      </c>
      <c r="AG503" s="35">
        <v>19</v>
      </c>
      <c r="AH503" s="35">
        <v>18.600000000000001</v>
      </c>
      <c r="AI503" s="35">
        <v>19</v>
      </c>
      <c r="AJ503" s="35">
        <v>20.100000000000001</v>
      </c>
      <c r="AK503" s="35">
        <v>19</v>
      </c>
      <c r="AL503" s="35">
        <v>19</v>
      </c>
      <c r="AM503" s="35">
        <v>19</v>
      </c>
      <c r="AN503" s="35">
        <v>20.3</v>
      </c>
      <c r="AO503" s="35">
        <v>19</v>
      </c>
      <c r="AP503" s="35">
        <v>19.7</v>
      </c>
      <c r="AQ503" s="35">
        <v>19</v>
      </c>
      <c r="AR503" s="35">
        <v>20.8</v>
      </c>
      <c r="AS503" s="35">
        <v>19</v>
      </c>
      <c r="AT503" s="35">
        <v>20.9</v>
      </c>
      <c r="AU503" s="35">
        <v>19</v>
      </c>
      <c r="AV503" s="35">
        <v>19</v>
      </c>
      <c r="AW503" s="35">
        <v>19</v>
      </c>
      <c r="AX503" s="35">
        <v>20.399999999999999</v>
      </c>
      <c r="AY503" s="35">
        <v>20</v>
      </c>
      <c r="AZ503" s="35">
        <v>20.3</v>
      </c>
      <c r="BA503" s="35">
        <v>20</v>
      </c>
      <c r="BB503" s="35">
        <v>31.4</v>
      </c>
      <c r="BC503" s="35">
        <v>40</v>
      </c>
      <c r="BD503" s="35">
        <v>30.5</v>
      </c>
      <c r="BE503" s="35">
        <v>40</v>
      </c>
      <c r="BF503" s="35">
        <v>21.5</v>
      </c>
      <c r="BG503" s="35">
        <v>20</v>
      </c>
    </row>
    <row r="504" spans="1:59" x14ac:dyDescent="0.35">
      <c r="A504" s="36">
        <v>46059.806944444441</v>
      </c>
      <c r="B504" s="35">
        <v>3.6</v>
      </c>
      <c r="C504" s="35">
        <v>2</v>
      </c>
      <c r="D504" s="35">
        <v>4.2</v>
      </c>
      <c r="E504" s="35">
        <v>2.2000000000000002</v>
      </c>
      <c r="F504" s="35">
        <v>4.0999999999999996</v>
      </c>
      <c r="G504" s="35">
        <v>2</v>
      </c>
      <c r="H504" s="35">
        <v>2.5</v>
      </c>
      <c r="I504" s="35">
        <v>2</v>
      </c>
      <c r="J504" s="35">
        <v>2.4</v>
      </c>
      <c r="K504" s="35">
        <v>2</v>
      </c>
      <c r="L504" s="35">
        <v>26.5</v>
      </c>
      <c r="M504" s="35">
        <v>2</v>
      </c>
      <c r="N504" s="35">
        <v>2.7</v>
      </c>
      <c r="O504" s="35">
        <v>3</v>
      </c>
      <c r="P504" s="35">
        <v>3.2</v>
      </c>
      <c r="Q504" s="35">
        <v>2</v>
      </c>
      <c r="R504" s="35">
        <v>1.6</v>
      </c>
      <c r="S504" s="35">
        <v>2</v>
      </c>
      <c r="T504" s="35">
        <v>1.1000000000000001</v>
      </c>
      <c r="U504" s="35">
        <v>2</v>
      </c>
      <c r="V504" s="35">
        <v>9.5</v>
      </c>
      <c r="W504" s="35">
        <v>9</v>
      </c>
      <c r="X504" s="35">
        <v>9.8000000000000007</v>
      </c>
      <c r="Y504" s="35">
        <v>9</v>
      </c>
      <c r="Z504" s="35">
        <v>8.6999999999999993</v>
      </c>
      <c r="AA504" s="35">
        <v>9</v>
      </c>
      <c r="AB504" s="35">
        <v>8.3000000000000007</v>
      </c>
      <c r="AC504" s="35">
        <v>9</v>
      </c>
      <c r="AD504" s="35">
        <v>20.6</v>
      </c>
      <c r="AE504" s="35">
        <v>19</v>
      </c>
      <c r="AF504" s="35">
        <v>19.2</v>
      </c>
      <c r="AG504" s="35">
        <v>19</v>
      </c>
      <c r="AH504" s="35">
        <v>18.8</v>
      </c>
      <c r="AI504" s="35">
        <v>19</v>
      </c>
      <c r="AJ504" s="35">
        <v>20.100000000000001</v>
      </c>
      <c r="AK504" s="35">
        <v>19</v>
      </c>
      <c r="AL504" s="35">
        <v>19</v>
      </c>
      <c r="AM504" s="35">
        <v>19</v>
      </c>
      <c r="AN504" s="35">
        <v>20.399999999999999</v>
      </c>
      <c r="AO504" s="35">
        <v>19</v>
      </c>
      <c r="AP504" s="35">
        <v>19.7</v>
      </c>
      <c r="AQ504" s="35">
        <v>19</v>
      </c>
      <c r="AR504" s="35">
        <v>20.8</v>
      </c>
      <c r="AS504" s="35">
        <v>19</v>
      </c>
      <c r="AT504" s="35">
        <v>21</v>
      </c>
      <c r="AU504" s="35">
        <v>19</v>
      </c>
      <c r="AV504" s="35">
        <v>19.2</v>
      </c>
      <c r="AW504" s="35">
        <v>19</v>
      </c>
      <c r="AX504" s="35">
        <v>20.399999999999999</v>
      </c>
      <c r="AY504" s="35">
        <v>20</v>
      </c>
      <c r="AZ504" s="35">
        <v>20.2</v>
      </c>
      <c r="BA504" s="35">
        <v>20</v>
      </c>
      <c r="BB504" s="35">
        <v>31.3</v>
      </c>
      <c r="BC504" s="35">
        <v>40</v>
      </c>
      <c r="BD504" s="35">
        <v>30.5</v>
      </c>
      <c r="BE504" s="35">
        <v>40</v>
      </c>
      <c r="BF504" s="35">
        <v>21.6</v>
      </c>
      <c r="BG504" s="35">
        <v>20</v>
      </c>
    </row>
    <row r="505" spans="1:59" x14ac:dyDescent="0.35">
      <c r="A505" s="36">
        <v>46059.807638888888</v>
      </c>
      <c r="B505" s="35">
        <v>3.5</v>
      </c>
      <c r="C505" s="35">
        <v>2</v>
      </c>
      <c r="D505" s="35">
        <v>4</v>
      </c>
      <c r="E505" s="35">
        <v>2.2000000000000002</v>
      </c>
      <c r="F505" s="35">
        <v>1.6</v>
      </c>
      <c r="G505" s="35">
        <v>2</v>
      </c>
      <c r="H505" s="35">
        <v>1.4</v>
      </c>
      <c r="I505" s="35">
        <v>2</v>
      </c>
      <c r="J505" s="35">
        <v>2.4</v>
      </c>
      <c r="K505" s="35">
        <v>2</v>
      </c>
      <c r="L505" s="35">
        <v>18.7</v>
      </c>
      <c r="M505" s="35">
        <v>2</v>
      </c>
      <c r="N505" s="35">
        <v>3</v>
      </c>
      <c r="O505" s="35">
        <v>3</v>
      </c>
      <c r="P505" s="35">
        <v>3.4</v>
      </c>
      <c r="Q505" s="35">
        <v>2</v>
      </c>
      <c r="R505" s="35">
        <v>1.5</v>
      </c>
      <c r="S505" s="35">
        <v>2</v>
      </c>
      <c r="T505" s="35">
        <v>1.2</v>
      </c>
      <c r="U505" s="35">
        <v>2</v>
      </c>
      <c r="V505" s="35">
        <v>8.1</v>
      </c>
      <c r="W505" s="35">
        <v>9</v>
      </c>
      <c r="X505" s="35">
        <v>9.9</v>
      </c>
      <c r="Y505" s="35">
        <v>9</v>
      </c>
      <c r="Z505" s="35">
        <v>9.1</v>
      </c>
      <c r="AA505" s="35">
        <v>9</v>
      </c>
      <c r="AB505" s="35">
        <v>8.9</v>
      </c>
      <c r="AC505" s="35">
        <v>9</v>
      </c>
      <c r="AD505" s="35">
        <v>20.6</v>
      </c>
      <c r="AE505" s="35">
        <v>19</v>
      </c>
      <c r="AF505" s="35">
        <v>19.3</v>
      </c>
      <c r="AG505" s="35">
        <v>19</v>
      </c>
      <c r="AH505" s="35">
        <v>19</v>
      </c>
      <c r="AI505" s="35">
        <v>19</v>
      </c>
      <c r="AJ505" s="35">
        <v>20.2</v>
      </c>
      <c r="AK505" s="35">
        <v>19</v>
      </c>
      <c r="AL505" s="35">
        <v>19.3</v>
      </c>
      <c r="AM505" s="35">
        <v>19</v>
      </c>
      <c r="AN505" s="35">
        <v>20.5</v>
      </c>
      <c r="AO505" s="35">
        <v>19</v>
      </c>
      <c r="AP505" s="35">
        <v>19.8</v>
      </c>
      <c r="AQ505" s="35">
        <v>19</v>
      </c>
      <c r="AR505" s="35">
        <v>20.8</v>
      </c>
      <c r="AS505" s="35">
        <v>19</v>
      </c>
      <c r="AT505" s="35">
        <v>20.3</v>
      </c>
      <c r="AU505" s="35">
        <v>19</v>
      </c>
      <c r="AV505" s="35">
        <v>19.3</v>
      </c>
      <c r="AW505" s="35">
        <v>19</v>
      </c>
      <c r="AX505" s="35">
        <v>20.399999999999999</v>
      </c>
      <c r="AY505" s="35">
        <v>20</v>
      </c>
      <c r="AZ505" s="35">
        <v>20.100000000000001</v>
      </c>
      <c r="BA505" s="35">
        <v>20</v>
      </c>
      <c r="BB505" s="35">
        <v>31.3</v>
      </c>
      <c r="BC505" s="35">
        <v>40</v>
      </c>
      <c r="BD505" s="35">
        <v>30.5</v>
      </c>
      <c r="BE505" s="35">
        <v>40</v>
      </c>
      <c r="BF505" s="35">
        <v>21.6</v>
      </c>
      <c r="BG505" s="35">
        <v>20</v>
      </c>
    </row>
    <row r="506" spans="1:59" x14ac:dyDescent="0.35">
      <c r="A506" s="36">
        <v>46059.808333333334</v>
      </c>
      <c r="B506" s="35">
        <v>3.6</v>
      </c>
      <c r="C506" s="35">
        <v>2</v>
      </c>
      <c r="D506" s="35">
        <v>4</v>
      </c>
      <c r="E506" s="35">
        <v>2.2000000000000002</v>
      </c>
      <c r="F506" s="35">
        <v>1.9</v>
      </c>
      <c r="G506" s="35">
        <v>2</v>
      </c>
      <c r="H506" s="35">
        <v>1.9</v>
      </c>
      <c r="I506" s="35">
        <v>2</v>
      </c>
      <c r="J506" s="35">
        <v>2.4</v>
      </c>
      <c r="K506" s="35">
        <v>2</v>
      </c>
      <c r="L506" s="35">
        <v>10</v>
      </c>
      <c r="M506" s="35">
        <v>2</v>
      </c>
      <c r="N506" s="35">
        <v>3.3</v>
      </c>
      <c r="O506" s="35">
        <v>3</v>
      </c>
      <c r="P506" s="35">
        <v>3.6</v>
      </c>
      <c r="Q506" s="35">
        <v>2</v>
      </c>
      <c r="R506" s="35">
        <v>1.6</v>
      </c>
      <c r="S506" s="35">
        <v>2</v>
      </c>
      <c r="T506" s="35">
        <v>1.5</v>
      </c>
      <c r="U506" s="35">
        <v>2</v>
      </c>
      <c r="V506" s="35">
        <v>8</v>
      </c>
      <c r="W506" s="35">
        <v>9</v>
      </c>
      <c r="X506" s="35">
        <v>10</v>
      </c>
      <c r="Y506" s="35">
        <v>9</v>
      </c>
      <c r="Z506" s="35">
        <v>9.4</v>
      </c>
      <c r="AA506" s="35">
        <v>9</v>
      </c>
      <c r="AB506" s="35">
        <v>9.3000000000000007</v>
      </c>
      <c r="AC506" s="35">
        <v>9</v>
      </c>
      <c r="AD506" s="35">
        <v>20.7</v>
      </c>
      <c r="AE506" s="35">
        <v>19</v>
      </c>
      <c r="AF506" s="35">
        <v>19.3</v>
      </c>
      <c r="AG506" s="35">
        <v>19</v>
      </c>
      <c r="AH506" s="35">
        <v>19.2</v>
      </c>
      <c r="AI506" s="35">
        <v>19</v>
      </c>
      <c r="AJ506" s="35">
        <v>20.3</v>
      </c>
      <c r="AK506" s="35">
        <v>19</v>
      </c>
      <c r="AL506" s="35">
        <v>19.600000000000001</v>
      </c>
      <c r="AM506" s="35">
        <v>19</v>
      </c>
      <c r="AN506" s="35">
        <v>20.6</v>
      </c>
      <c r="AO506" s="35">
        <v>19</v>
      </c>
      <c r="AP506" s="35">
        <v>19.899999999999999</v>
      </c>
      <c r="AQ506" s="35">
        <v>19</v>
      </c>
      <c r="AR506" s="35">
        <v>20.8</v>
      </c>
      <c r="AS506" s="35">
        <v>19</v>
      </c>
      <c r="AT506" s="35">
        <v>18.899999999999999</v>
      </c>
      <c r="AU506" s="35">
        <v>19</v>
      </c>
      <c r="AV506" s="35">
        <v>19.399999999999999</v>
      </c>
      <c r="AW506" s="35">
        <v>19</v>
      </c>
      <c r="AX506" s="35">
        <v>20.399999999999999</v>
      </c>
      <c r="AY506" s="35">
        <v>20</v>
      </c>
      <c r="AZ506" s="35">
        <v>20.100000000000001</v>
      </c>
      <c r="BA506" s="35">
        <v>20</v>
      </c>
      <c r="BB506" s="35">
        <v>31.3</v>
      </c>
      <c r="BC506" s="35">
        <v>40</v>
      </c>
      <c r="BD506" s="35">
        <v>30.5</v>
      </c>
      <c r="BE506" s="35">
        <v>40</v>
      </c>
      <c r="BF506" s="35">
        <v>21.6</v>
      </c>
      <c r="BG506" s="35">
        <v>20</v>
      </c>
    </row>
    <row r="507" spans="1:59" x14ac:dyDescent="0.35">
      <c r="A507" s="36">
        <v>46059.809027777781</v>
      </c>
      <c r="B507" s="35">
        <v>3.9</v>
      </c>
      <c r="C507" s="35">
        <v>2</v>
      </c>
      <c r="D507" s="35">
        <v>4.2</v>
      </c>
      <c r="E507" s="35">
        <v>2.2000000000000002</v>
      </c>
      <c r="F507" s="35">
        <v>2.6</v>
      </c>
      <c r="G507" s="35">
        <v>2</v>
      </c>
      <c r="H507" s="35">
        <v>2.7</v>
      </c>
      <c r="I507" s="35">
        <v>2</v>
      </c>
      <c r="J507" s="35">
        <v>2.6</v>
      </c>
      <c r="K507" s="35">
        <v>2</v>
      </c>
      <c r="L507" s="35">
        <v>4.7</v>
      </c>
      <c r="M507" s="35">
        <v>2</v>
      </c>
      <c r="N507" s="35">
        <v>3.6</v>
      </c>
      <c r="O507" s="35">
        <v>3</v>
      </c>
      <c r="P507" s="35">
        <v>3.7</v>
      </c>
      <c r="Q507" s="35">
        <v>2</v>
      </c>
      <c r="R507" s="35">
        <v>1.9</v>
      </c>
      <c r="S507" s="35">
        <v>2</v>
      </c>
      <c r="T507" s="35">
        <v>1.8</v>
      </c>
      <c r="U507" s="35">
        <v>2</v>
      </c>
      <c r="V507" s="35">
        <v>9</v>
      </c>
      <c r="W507" s="35">
        <v>9</v>
      </c>
      <c r="X507" s="35">
        <v>10.1</v>
      </c>
      <c r="Y507" s="35">
        <v>9</v>
      </c>
      <c r="Z507" s="35">
        <v>9.6999999999999993</v>
      </c>
      <c r="AA507" s="35">
        <v>9</v>
      </c>
      <c r="AB507" s="35">
        <v>9.6999999999999993</v>
      </c>
      <c r="AC507" s="35">
        <v>9</v>
      </c>
      <c r="AD507" s="35">
        <v>20.7</v>
      </c>
      <c r="AE507" s="35">
        <v>19</v>
      </c>
      <c r="AF507" s="35">
        <v>19.399999999999999</v>
      </c>
      <c r="AG507" s="35">
        <v>19</v>
      </c>
      <c r="AH507" s="35">
        <v>19.3</v>
      </c>
      <c r="AI507" s="35">
        <v>19</v>
      </c>
      <c r="AJ507" s="35">
        <v>20.399999999999999</v>
      </c>
      <c r="AK507" s="35">
        <v>19</v>
      </c>
      <c r="AL507" s="35">
        <v>19.899999999999999</v>
      </c>
      <c r="AM507" s="35">
        <v>19</v>
      </c>
      <c r="AN507" s="35">
        <v>20.7</v>
      </c>
      <c r="AO507" s="35">
        <v>19</v>
      </c>
      <c r="AP507" s="35">
        <v>19.899999999999999</v>
      </c>
      <c r="AQ507" s="35">
        <v>19</v>
      </c>
      <c r="AR507" s="35">
        <v>20.8</v>
      </c>
      <c r="AS507" s="35">
        <v>19</v>
      </c>
      <c r="AT507" s="35">
        <v>17.899999999999999</v>
      </c>
      <c r="AU507" s="35">
        <v>19</v>
      </c>
      <c r="AV507" s="35">
        <v>19.600000000000001</v>
      </c>
      <c r="AW507" s="35">
        <v>19</v>
      </c>
      <c r="AX507" s="35">
        <v>20.399999999999999</v>
      </c>
      <c r="AY507" s="35">
        <v>20</v>
      </c>
      <c r="AZ507" s="35">
        <v>20.2</v>
      </c>
      <c r="BA507" s="35">
        <v>20</v>
      </c>
      <c r="BB507" s="35">
        <v>31.3</v>
      </c>
      <c r="BC507" s="35">
        <v>40</v>
      </c>
      <c r="BD507" s="35">
        <v>30.4</v>
      </c>
      <c r="BE507" s="35">
        <v>40</v>
      </c>
      <c r="BF507" s="35">
        <v>21.6</v>
      </c>
      <c r="BG507" s="35">
        <v>20</v>
      </c>
    </row>
    <row r="508" spans="1:59" x14ac:dyDescent="0.35">
      <c r="A508" s="36">
        <v>46059.80972222222</v>
      </c>
      <c r="B508" s="35">
        <v>4</v>
      </c>
      <c r="C508" s="35">
        <v>2</v>
      </c>
      <c r="D508" s="35">
        <v>4.2</v>
      </c>
      <c r="E508" s="35">
        <v>2.2000000000000002</v>
      </c>
      <c r="F508" s="35">
        <v>3.2</v>
      </c>
      <c r="G508" s="35">
        <v>2</v>
      </c>
      <c r="H508" s="35">
        <v>3.4</v>
      </c>
      <c r="I508" s="35">
        <v>2</v>
      </c>
      <c r="J508" s="35">
        <v>2.1</v>
      </c>
      <c r="K508" s="35">
        <v>2</v>
      </c>
      <c r="L508" s="35">
        <v>2.4</v>
      </c>
      <c r="M508" s="35">
        <v>2</v>
      </c>
      <c r="N508" s="35">
        <v>3.8</v>
      </c>
      <c r="O508" s="35">
        <v>3</v>
      </c>
      <c r="P508" s="35">
        <v>3.9</v>
      </c>
      <c r="Q508" s="35">
        <v>2</v>
      </c>
      <c r="R508" s="35">
        <v>2.2000000000000002</v>
      </c>
      <c r="S508" s="35">
        <v>2</v>
      </c>
      <c r="T508" s="35">
        <v>2.1</v>
      </c>
      <c r="U508" s="35">
        <v>2</v>
      </c>
      <c r="V508" s="35">
        <v>9.6999999999999993</v>
      </c>
      <c r="W508" s="35">
        <v>9</v>
      </c>
      <c r="X508" s="35">
        <v>10.199999999999999</v>
      </c>
      <c r="Y508" s="35">
        <v>9</v>
      </c>
      <c r="Z508" s="35">
        <v>10</v>
      </c>
      <c r="AA508" s="35">
        <v>9</v>
      </c>
      <c r="AB508" s="35">
        <v>10.199999999999999</v>
      </c>
      <c r="AC508" s="35">
        <v>9</v>
      </c>
      <c r="AD508" s="35">
        <v>20.7</v>
      </c>
      <c r="AE508" s="35">
        <v>19</v>
      </c>
      <c r="AF508" s="35">
        <v>19.5</v>
      </c>
      <c r="AG508" s="35">
        <v>19</v>
      </c>
      <c r="AH508" s="35">
        <v>19.399999999999999</v>
      </c>
      <c r="AI508" s="35">
        <v>19</v>
      </c>
      <c r="AJ508" s="35">
        <v>20.399999999999999</v>
      </c>
      <c r="AK508" s="35">
        <v>19</v>
      </c>
      <c r="AL508" s="35">
        <v>20.100000000000001</v>
      </c>
      <c r="AM508" s="35">
        <v>19</v>
      </c>
      <c r="AN508" s="35">
        <v>20.8</v>
      </c>
      <c r="AO508" s="35">
        <v>19</v>
      </c>
      <c r="AP508" s="35">
        <v>20</v>
      </c>
      <c r="AQ508" s="35">
        <v>19</v>
      </c>
      <c r="AR508" s="35">
        <v>20.8</v>
      </c>
      <c r="AS508" s="35">
        <v>19</v>
      </c>
      <c r="AT508" s="35">
        <v>17.899999999999999</v>
      </c>
      <c r="AU508" s="35">
        <v>19</v>
      </c>
      <c r="AV508" s="35">
        <v>19.7</v>
      </c>
      <c r="AW508" s="35">
        <v>19</v>
      </c>
      <c r="AX508" s="35">
        <v>20.399999999999999</v>
      </c>
      <c r="AY508" s="35">
        <v>20</v>
      </c>
      <c r="AZ508" s="35">
        <v>20.3</v>
      </c>
      <c r="BA508" s="35">
        <v>20</v>
      </c>
      <c r="BB508" s="35">
        <v>31.2</v>
      </c>
      <c r="BC508" s="35">
        <v>40</v>
      </c>
      <c r="BD508" s="35">
        <v>30.4</v>
      </c>
      <c r="BE508" s="35">
        <v>40</v>
      </c>
      <c r="BF508" s="35">
        <v>21.7</v>
      </c>
      <c r="BG508" s="35">
        <v>20</v>
      </c>
    </row>
    <row r="509" spans="1:59" x14ac:dyDescent="0.35">
      <c r="A509" s="36">
        <v>46059.810416666667</v>
      </c>
      <c r="B509" s="35">
        <v>3.5</v>
      </c>
      <c r="C509" s="35">
        <v>2</v>
      </c>
      <c r="D509" s="35">
        <v>3.5</v>
      </c>
      <c r="E509" s="35">
        <v>2.2000000000000002</v>
      </c>
      <c r="F509" s="35">
        <v>3.8</v>
      </c>
      <c r="G509" s="35">
        <v>2</v>
      </c>
      <c r="H509" s="35">
        <v>3.9</v>
      </c>
      <c r="I509" s="35">
        <v>2</v>
      </c>
      <c r="J509" s="35">
        <v>1.9</v>
      </c>
      <c r="K509" s="35">
        <v>2</v>
      </c>
      <c r="L509" s="35">
        <v>1.9</v>
      </c>
      <c r="M509" s="35">
        <v>2</v>
      </c>
      <c r="N509" s="35">
        <v>3.9</v>
      </c>
      <c r="O509" s="35">
        <v>3</v>
      </c>
      <c r="P509" s="35">
        <v>4</v>
      </c>
      <c r="Q509" s="35">
        <v>2</v>
      </c>
      <c r="R509" s="35">
        <v>2.5</v>
      </c>
      <c r="S509" s="35">
        <v>2</v>
      </c>
      <c r="T509" s="35">
        <v>2.4</v>
      </c>
      <c r="U509" s="35">
        <v>2</v>
      </c>
      <c r="V509" s="35">
        <v>10.199999999999999</v>
      </c>
      <c r="W509" s="35">
        <v>9</v>
      </c>
      <c r="X509" s="35">
        <v>10.3</v>
      </c>
      <c r="Y509" s="35">
        <v>9</v>
      </c>
      <c r="Z509" s="35">
        <v>10.199999999999999</v>
      </c>
      <c r="AA509" s="35">
        <v>9</v>
      </c>
      <c r="AB509" s="35">
        <v>10.5</v>
      </c>
      <c r="AC509" s="35">
        <v>9</v>
      </c>
      <c r="AD509" s="35">
        <v>20.7</v>
      </c>
      <c r="AE509" s="35">
        <v>19</v>
      </c>
      <c r="AF509" s="35">
        <v>19.600000000000001</v>
      </c>
      <c r="AG509" s="35">
        <v>19</v>
      </c>
      <c r="AH509" s="35">
        <v>19.5</v>
      </c>
      <c r="AI509" s="35">
        <v>19</v>
      </c>
      <c r="AJ509" s="35">
        <v>20.5</v>
      </c>
      <c r="AK509" s="35">
        <v>19</v>
      </c>
      <c r="AL509" s="35">
        <v>20.3</v>
      </c>
      <c r="AM509" s="35">
        <v>19</v>
      </c>
      <c r="AN509" s="35">
        <v>20.9</v>
      </c>
      <c r="AO509" s="35">
        <v>19</v>
      </c>
      <c r="AP509" s="35">
        <v>20</v>
      </c>
      <c r="AQ509" s="35">
        <v>19</v>
      </c>
      <c r="AR509" s="35">
        <v>20.8</v>
      </c>
      <c r="AS509" s="35">
        <v>19</v>
      </c>
      <c r="AT509" s="35">
        <v>18</v>
      </c>
      <c r="AU509" s="35">
        <v>19</v>
      </c>
      <c r="AV509" s="35">
        <v>19.8</v>
      </c>
      <c r="AW509" s="35">
        <v>19</v>
      </c>
      <c r="AX509" s="35">
        <v>20.399999999999999</v>
      </c>
      <c r="AY509" s="35">
        <v>20</v>
      </c>
      <c r="AZ509" s="35">
        <v>20.399999999999999</v>
      </c>
      <c r="BA509" s="35">
        <v>20</v>
      </c>
      <c r="BB509" s="35">
        <v>31.2</v>
      </c>
      <c r="BC509" s="35">
        <v>40</v>
      </c>
      <c r="BD509" s="35">
        <v>30.4</v>
      </c>
      <c r="BE509" s="35">
        <v>40</v>
      </c>
      <c r="BF509" s="35">
        <v>21.7</v>
      </c>
      <c r="BG509" s="35">
        <v>20</v>
      </c>
    </row>
    <row r="510" spans="1:59" x14ac:dyDescent="0.35">
      <c r="A510" s="36">
        <v>46059.811111111114</v>
      </c>
      <c r="B510" s="35">
        <v>3</v>
      </c>
      <c r="C510" s="35">
        <v>2</v>
      </c>
      <c r="D510" s="35">
        <v>3</v>
      </c>
      <c r="E510" s="35">
        <v>2.2000000000000002</v>
      </c>
      <c r="F510" s="35">
        <v>3.4</v>
      </c>
      <c r="G510" s="35">
        <v>2</v>
      </c>
      <c r="H510" s="35">
        <v>2.8</v>
      </c>
      <c r="I510" s="35">
        <v>2</v>
      </c>
      <c r="J510" s="35">
        <v>2</v>
      </c>
      <c r="K510" s="35">
        <v>2</v>
      </c>
      <c r="L510" s="35">
        <v>2.4</v>
      </c>
      <c r="M510" s="35">
        <v>2</v>
      </c>
      <c r="N510" s="35">
        <v>2.8</v>
      </c>
      <c r="O510" s="35">
        <v>3</v>
      </c>
      <c r="P510" s="35">
        <v>3.3</v>
      </c>
      <c r="Q510" s="35">
        <v>2</v>
      </c>
      <c r="R510" s="35">
        <v>2.8</v>
      </c>
      <c r="S510" s="35">
        <v>2</v>
      </c>
      <c r="T510" s="35">
        <v>2.7</v>
      </c>
      <c r="U510" s="35">
        <v>2</v>
      </c>
      <c r="V510" s="35">
        <v>10.7</v>
      </c>
      <c r="W510" s="35">
        <v>9</v>
      </c>
      <c r="X510" s="35">
        <v>10.4</v>
      </c>
      <c r="Y510" s="35">
        <v>9</v>
      </c>
      <c r="Z510" s="35">
        <v>10.3</v>
      </c>
      <c r="AA510" s="35">
        <v>9</v>
      </c>
      <c r="AB510" s="35">
        <v>10.7</v>
      </c>
      <c r="AC510" s="35">
        <v>9</v>
      </c>
      <c r="AD510" s="35">
        <v>20.7</v>
      </c>
      <c r="AE510" s="35">
        <v>19</v>
      </c>
      <c r="AF510" s="35">
        <v>19.600000000000001</v>
      </c>
      <c r="AG510" s="35">
        <v>19</v>
      </c>
      <c r="AH510" s="35">
        <v>19.600000000000001</v>
      </c>
      <c r="AI510" s="35">
        <v>19</v>
      </c>
      <c r="AJ510" s="35">
        <v>20.6</v>
      </c>
      <c r="AK510" s="35">
        <v>19</v>
      </c>
      <c r="AL510" s="35">
        <v>20.5</v>
      </c>
      <c r="AM510" s="35">
        <v>19</v>
      </c>
      <c r="AN510" s="35">
        <v>20.9</v>
      </c>
      <c r="AO510" s="35">
        <v>19</v>
      </c>
      <c r="AP510" s="35">
        <v>20</v>
      </c>
      <c r="AQ510" s="35">
        <v>19</v>
      </c>
      <c r="AR510" s="35">
        <v>20.8</v>
      </c>
      <c r="AS510" s="35">
        <v>19</v>
      </c>
      <c r="AT510" s="35">
        <v>18.3</v>
      </c>
      <c r="AU510" s="35">
        <v>19</v>
      </c>
      <c r="AV510" s="35">
        <v>19.899999999999999</v>
      </c>
      <c r="AW510" s="35">
        <v>19</v>
      </c>
      <c r="AX510" s="35">
        <v>20.399999999999999</v>
      </c>
      <c r="AY510" s="35">
        <v>20</v>
      </c>
      <c r="AZ510" s="35">
        <v>20.399999999999999</v>
      </c>
      <c r="BA510" s="35">
        <v>20</v>
      </c>
      <c r="BB510" s="35">
        <v>31.2</v>
      </c>
      <c r="BC510" s="35">
        <v>40</v>
      </c>
      <c r="BD510" s="35">
        <v>30.4</v>
      </c>
      <c r="BE510" s="35">
        <v>40</v>
      </c>
      <c r="BF510" s="35">
        <v>21.7</v>
      </c>
      <c r="BG510" s="35">
        <v>20</v>
      </c>
    </row>
    <row r="511" spans="1:59" x14ac:dyDescent="0.35">
      <c r="A511" s="36">
        <v>46059.811805555553</v>
      </c>
      <c r="B511" s="35">
        <v>2</v>
      </c>
      <c r="C511" s="35">
        <v>2</v>
      </c>
      <c r="D511" s="35">
        <v>2.1</v>
      </c>
      <c r="E511" s="35">
        <v>2.2000000000000002</v>
      </c>
      <c r="F511" s="35">
        <v>1.4</v>
      </c>
      <c r="G511" s="35">
        <v>2</v>
      </c>
      <c r="H511" s="35">
        <v>1.4</v>
      </c>
      <c r="I511" s="35">
        <v>2</v>
      </c>
      <c r="J511" s="35">
        <v>2.4</v>
      </c>
      <c r="K511" s="35">
        <v>2</v>
      </c>
      <c r="L511" s="35">
        <v>3</v>
      </c>
      <c r="M511" s="35">
        <v>2</v>
      </c>
      <c r="N511" s="35">
        <v>1.4</v>
      </c>
      <c r="O511" s="35">
        <v>3</v>
      </c>
      <c r="P511" s="35">
        <v>2.2000000000000002</v>
      </c>
      <c r="Q511" s="35">
        <v>2</v>
      </c>
      <c r="R511" s="35">
        <v>3</v>
      </c>
      <c r="S511" s="35">
        <v>2</v>
      </c>
      <c r="T511" s="35">
        <v>2.9</v>
      </c>
      <c r="U511" s="35">
        <v>2</v>
      </c>
      <c r="V511" s="35">
        <v>11</v>
      </c>
      <c r="W511" s="35">
        <v>9</v>
      </c>
      <c r="X511" s="35">
        <v>10.5</v>
      </c>
      <c r="Y511" s="35">
        <v>9</v>
      </c>
      <c r="Z511" s="35">
        <v>10.5</v>
      </c>
      <c r="AA511" s="35">
        <v>9</v>
      </c>
      <c r="AB511" s="35">
        <v>10.9</v>
      </c>
      <c r="AC511" s="35">
        <v>9</v>
      </c>
      <c r="AD511" s="35">
        <v>20.8</v>
      </c>
      <c r="AE511" s="35">
        <v>19</v>
      </c>
      <c r="AF511" s="35">
        <v>19.7</v>
      </c>
      <c r="AG511" s="35">
        <v>19</v>
      </c>
      <c r="AH511" s="35">
        <v>19.7</v>
      </c>
      <c r="AI511" s="35">
        <v>19</v>
      </c>
      <c r="AJ511" s="35">
        <v>20.7</v>
      </c>
      <c r="AK511" s="35">
        <v>19</v>
      </c>
      <c r="AL511" s="35">
        <v>20.7</v>
      </c>
      <c r="AM511" s="35">
        <v>19</v>
      </c>
      <c r="AN511" s="35">
        <v>21</v>
      </c>
      <c r="AO511" s="35">
        <v>19</v>
      </c>
      <c r="AP511" s="35">
        <v>20.100000000000001</v>
      </c>
      <c r="AQ511" s="35">
        <v>19</v>
      </c>
      <c r="AR511" s="35">
        <v>20.8</v>
      </c>
      <c r="AS511" s="35">
        <v>19</v>
      </c>
      <c r="AT511" s="35">
        <v>18.5</v>
      </c>
      <c r="AU511" s="35">
        <v>19</v>
      </c>
      <c r="AV511" s="35">
        <v>20</v>
      </c>
      <c r="AW511" s="35">
        <v>19</v>
      </c>
      <c r="AX511" s="35">
        <v>20.399999999999999</v>
      </c>
      <c r="AY511" s="35">
        <v>20</v>
      </c>
      <c r="AZ511" s="35">
        <v>20.399999999999999</v>
      </c>
      <c r="BA511" s="35">
        <v>20</v>
      </c>
      <c r="BB511" s="35">
        <v>31.2</v>
      </c>
      <c r="BC511" s="35">
        <v>40</v>
      </c>
      <c r="BD511" s="35">
        <v>30.4</v>
      </c>
      <c r="BE511" s="35">
        <v>40</v>
      </c>
      <c r="BF511" s="35">
        <v>21.7</v>
      </c>
      <c r="BG511" s="35">
        <v>20</v>
      </c>
    </row>
    <row r="512" spans="1:59" x14ac:dyDescent="0.35">
      <c r="A512" s="36">
        <v>46059.8125</v>
      </c>
      <c r="B512" s="35">
        <v>1.6</v>
      </c>
      <c r="C512" s="35">
        <v>2</v>
      </c>
      <c r="D512" s="35">
        <v>2</v>
      </c>
      <c r="E512" s="35">
        <v>2.2000000000000002</v>
      </c>
      <c r="F512" s="35">
        <v>1.4</v>
      </c>
      <c r="G512" s="35">
        <v>2</v>
      </c>
      <c r="H512" s="35">
        <v>1.4</v>
      </c>
      <c r="I512" s="35">
        <v>2</v>
      </c>
      <c r="J512" s="35">
        <v>2.7</v>
      </c>
      <c r="K512" s="35">
        <v>2</v>
      </c>
      <c r="L512" s="35">
        <v>3.4</v>
      </c>
      <c r="M512" s="35">
        <v>2</v>
      </c>
      <c r="N512" s="35">
        <v>0.9</v>
      </c>
      <c r="O512" s="35">
        <v>3</v>
      </c>
      <c r="P512" s="35">
        <v>1.7</v>
      </c>
      <c r="Q512" s="35">
        <v>2</v>
      </c>
      <c r="R512" s="35">
        <v>3</v>
      </c>
      <c r="S512" s="35">
        <v>2</v>
      </c>
      <c r="T512" s="35">
        <v>3</v>
      </c>
      <c r="U512" s="35">
        <v>2</v>
      </c>
      <c r="V512" s="35">
        <v>10</v>
      </c>
      <c r="W512" s="35">
        <v>9</v>
      </c>
      <c r="X512" s="35">
        <v>10.5</v>
      </c>
      <c r="Y512" s="35">
        <v>9</v>
      </c>
      <c r="Z512" s="35">
        <v>10.6</v>
      </c>
      <c r="AA512" s="35">
        <v>9</v>
      </c>
      <c r="AB512" s="35">
        <v>11</v>
      </c>
      <c r="AC512" s="35">
        <v>9</v>
      </c>
      <c r="AD512" s="35">
        <v>20.8</v>
      </c>
      <c r="AE512" s="35">
        <v>19</v>
      </c>
      <c r="AF512" s="35">
        <v>19.7</v>
      </c>
      <c r="AG512" s="35">
        <v>19</v>
      </c>
      <c r="AH512" s="35">
        <v>19.8</v>
      </c>
      <c r="AI512" s="35">
        <v>19</v>
      </c>
      <c r="AJ512" s="35">
        <v>20.7</v>
      </c>
      <c r="AK512" s="35">
        <v>19</v>
      </c>
      <c r="AL512" s="35">
        <v>20.9</v>
      </c>
      <c r="AM512" s="35">
        <v>19</v>
      </c>
      <c r="AN512" s="35">
        <v>20.399999999999999</v>
      </c>
      <c r="AO512" s="35">
        <v>19</v>
      </c>
      <c r="AP512" s="35">
        <v>20.100000000000001</v>
      </c>
      <c r="AQ512" s="35">
        <v>19</v>
      </c>
      <c r="AR512" s="35">
        <v>20.8</v>
      </c>
      <c r="AS512" s="35">
        <v>19</v>
      </c>
      <c r="AT512" s="35">
        <v>18.7</v>
      </c>
      <c r="AU512" s="35">
        <v>19</v>
      </c>
      <c r="AV512" s="35">
        <v>20.100000000000001</v>
      </c>
      <c r="AW512" s="35">
        <v>19</v>
      </c>
      <c r="AX512" s="35">
        <v>20.399999999999999</v>
      </c>
      <c r="AY512" s="35">
        <v>20</v>
      </c>
      <c r="AZ512" s="35">
        <v>20.3</v>
      </c>
      <c r="BA512" s="35">
        <v>20</v>
      </c>
      <c r="BB512" s="35">
        <v>31.2</v>
      </c>
      <c r="BC512" s="35">
        <v>40</v>
      </c>
      <c r="BD512" s="35">
        <v>30.4</v>
      </c>
      <c r="BE512" s="35">
        <v>40</v>
      </c>
      <c r="BF512" s="35">
        <v>21.8</v>
      </c>
      <c r="BG512" s="35">
        <v>20</v>
      </c>
    </row>
    <row r="513" spans="1:59" x14ac:dyDescent="0.35">
      <c r="A513" s="36">
        <v>46059.813194444447</v>
      </c>
      <c r="B513" s="35">
        <v>1.8</v>
      </c>
      <c r="C513" s="35">
        <v>2</v>
      </c>
      <c r="D513" s="35">
        <v>2.2000000000000002</v>
      </c>
      <c r="E513" s="35">
        <v>2.2000000000000002</v>
      </c>
      <c r="F513" s="35">
        <v>1.8</v>
      </c>
      <c r="G513" s="35">
        <v>2</v>
      </c>
      <c r="H513" s="35">
        <v>2</v>
      </c>
      <c r="I513" s="35">
        <v>2</v>
      </c>
      <c r="J513" s="35">
        <v>3.1</v>
      </c>
      <c r="K513" s="35">
        <v>2</v>
      </c>
      <c r="L513" s="35">
        <v>3.8</v>
      </c>
      <c r="M513" s="35">
        <v>2</v>
      </c>
      <c r="N513" s="35">
        <v>1.1000000000000001</v>
      </c>
      <c r="O513" s="35">
        <v>3</v>
      </c>
      <c r="P513" s="35">
        <v>1.9</v>
      </c>
      <c r="Q513" s="35">
        <v>2</v>
      </c>
      <c r="R513" s="35">
        <v>3</v>
      </c>
      <c r="S513" s="35">
        <v>2</v>
      </c>
      <c r="T513" s="35">
        <v>3.2</v>
      </c>
      <c r="U513" s="35">
        <v>2</v>
      </c>
      <c r="V513" s="35">
        <v>8.1999999999999993</v>
      </c>
      <c r="W513" s="35">
        <v>9</v>
      </c>
      <c r="X513" s="35">
        <v>10.6</v>
      </c>
      <c r="Y513" s="35">
        <v>9</v>
      </c>
      <c r="Z513" s="35">
        <v>10.7</v>
      </c>
      <c r="AA513" s="35">
        <v>9</v>
      </c>
      <c r="AB513" s="35">
        <v>9.9</v>
      </c>
      <c r="AC513" s="35">
        <v>9</v>
      </c>
      <c r="AD513" s="35">
        <v>20.8</v>
      </c>
      <c r="AE513" s="35">
        <v>19</v>
      </c>
      <c r="AF513" s="35">
        <v>19.8</v>
      </c>
      <c r="AG513" s="35">
        <v>19</v>
      </c>
      <c r="AH513" s="35">
        <v>19.899999999999999</v>
      </c>
      <c r="AI513" s="35">
        <v>19</v>
      </c>
      <c r="AJ513" s="35">
        <v>20.8</v>
      </c>
      <c r="AK513" s="35">
        <v>19</v>
      </c>
      <c r="AL513" s="35">
        <v>21</v>
      </c>
      <c r="AM513" s="35">
        <v>19</v>
      </c>
      <c r="AN513" s="35">
        <v>19.399999999999999</v>
      </c>
      <c r="AO513" s="35">
        <v>19</v>
      </c>
      <c r="AP513" s="35">
        <v>20.2</v>
      </c>
      <c r="AQ513" s="35">
        <v>19</v>
      </c>
      <c r="AR513" s="35">
        <v>20.8</v>
      </c>
      <c r="AS513" s="35">
        <v>19</v>
      </c>
      <c r="AT513" s="35">
        <v>18.899999999999999</v>
      </c>
      <c r="AU513" s="35">
        <v>19</v>
      </c>
      <c r="AV513" s="35">
        <v>20.2</v>
      </c>
      <c r="AW513" s="35">
        <v>19</v>
      </c>
      <c r="AX513" s="35">
        <v>20.399999999999999</v>
      </c>
      <c r="AY513" s="35">
        <v>20</v>
      </c>
      <c r="AZ513" s="35">
        <v>20.3</v>
      </c>
      <c r="BA513" s="35">
        <v>20</v>
      </c>
      <c r="BB513" s="35">
        <v>31.2</v>
      </c>
      <c r="BC513" s="35">
        <v>40</v>
      </c>
      <c r="BD513" s="35">
        <v>30.3</v>
      </c>
      <c r="BE513" s="35">
        <v>40</v>
      </c>
      <c r="BF513" s="35">
        <v>21.8</v>
      </c>
      <c r="BG513" s="35">
        <v>20</v>
      </c>
    </row>
    <row r="514" spans="1:59" x14ac:dyDescent="0.35">
      <c r="A514" s="36">
        <v>46059.813888888886</v>
      </c>
      <c r="B514" s="35">
        <v>2.2000000000000002</v>
      </c>
      <c r="C514" s="35">
        <v>2</v>
      </c>
      <c r="D514" s="35">
        <v>2.7</v>
      </c>
      <c r="E514" s="35">
        <v>2.2000000000000002</v>
      </c>
      <c r="F514" s="35">
        <v>2.4</v>
      </c>
      <c r="G514" s="35">
        <v>2</v>
      </c>
      <c r="H514" s="35">
        <v>2.6</v>
      </c>
      <c r="I514" s="35">
        <v>2</v>
      </c>
      <c r="J514" s="35">
        <v>3.4</v>
      </c>
      <c r="K514" s="35">
        <v>2</v>
      </c>
      <c r="L514" s="35">
        <v>3.9</v>
      </c>
      <c r="M514" s="35">
        <v>2</v>
      </c>
      <c r="N514" s="35">
        <v>1.5</v>
      </c>
      <c r="O514" s="35">
        <v>3</v>
      </c>
      <c r="P514" s="35">
        <v>2.2000000000000002</v>
      </c>
      <c r="Q514" s="35">
        <v>2</v>
      </c>
      <c r="R514" s="35">
        <v>3</v>
      </c>
      <c r="S514" s="35">
        <v>2</v>
      </c>
      <c r="T514" s="35">
        <v>3.3</v>
      </c>
      <c r="U514" s="35">
        <v>2</v>
      </c>
      <c r="V514" s="35">
        <v>7.5</v>
      </c>
      <c r="W514" s="35">
        <v>9</v>
      </c>
      <c r="X514" s="35">
        <v>10.7</v>
      </c>
      <c r="Y514" s="35">
        <v>9</v>
      </c>
      <c r="Z514" s="35">
        <v>10.8</v>
      </c>
      <c r="AA514" s="35">
        <v>9</v>
      </c>
      <c r="AB514" s="35">
        <v>8.3000000000000007</v>
      </c>
      <c r="AC514" s="35">
        <v>9</v>
      </c>
      <c r="AD514" s="35">
        <v>20.8</v>
      </c>
      <c r="AE514" s="35">
        <v>19</v>
      </c>
      <c r="AF514" s="35">
        <v>19.899999999999999</v>
      </c>
      <c r="AG514" s="35">
        <v>19</v>
      </c>
      <c r="AH514" s="35">
        <v>19.899999999999999</v>
      </c>
      <c r="AI514" s="35">
        <v>19</v>
      </c>
      <c r="AJ514" s="35">
        <v>20.9</v>
      </c>
      <c r="AK514" s="35">
        <v>19</v>
      </c>
      <c r="AL514" s="35">
        <v>20.9</v>
      </c>
      <c r="AM514" s="35">
        <v>19</v>
      </c>
      <c r="AN514" s="35">
        <v>18.600000000000001</v>
      </c>
      <c r="AO514" s="35">
        <v>19</v>
      </c>
      <c r="AP514" s="35">
        <v>20.2</v>
      </c>
      <c r="AQ514" s="35">
        <v>19</v>
      </c>
      <c r="AR514" s="35">
        <v>20.8</v>
      </c>
      <c r="AS514" s="35">
        <v>19</v>
      </c>
      <c r="AT514" s="35">
        <v>19</v>
      </c>
      <c r="AU514" s="35">
        <v>19</v>
      </c>
      <c r="AV514" s="35">
        <v>20.2</v>
      </c>
      <c r="AW514" s="35">
        <v>19</v>
      </c>
      <c r="AX514" s="35">
        <v>20.3</v>
      </c>
      <c r="AY514" s="35">
        <v>20</v>
      </c>
      <c r="AZ514" s="35">
        <v>20.2</v>
      </c>
      <c r="BA514" s="35">
        <v>20</v>
      </c>
      <c r="BB514" s="35">
        <v>31.2</v>
      </c>
      <c r="BC514" s="35">
        <v>40</v>
      </c>
      <c r="BD514" s="35">
        <v>30.3</v>
      </c>
      <c r="BE514" s="35">
        <v>40</v>
      </c>
      <c r="BF514" s="35">
        <v>21.8</v>
      </c>
      <c r="BG514" s="35">
        <v>20</v>
      </c>
    </row>
    <row r="515" spans="1:59" x14ac:dyDescent="0.35">
      <c r="A515" s="36">
        <v>46059.814583333333</v>
      </c>
      <c r="B515" s="35">
        <v>2.6</v>
      </c>
      <c r="C515" s="35">
        <v>2</v>
      </c>
      <c r="D515" s="35">
        <v>3</v>
      </c>
      <c r="E515" s="35">
        <v>2.2000000000000002</v>
      </c>
      <c r="F515" s="35">
        <v>2.9</v>
      </c>
      <c r="G515" s="35">
        <v>2</v>
      </c>
      <c r="H515" s="35">
        <v>3.2</v>
      </c>
      <c r="I515" s="35">
        <v>2</v>
      </c>
      <c r="J515" s="35">
        <v>3.4</v>
      </c>
      <c r="K515" s="35">
        <v>2</v>
      </c>
      <c r="L515" s="35">
        <v>3.2</v>
      </c>
      <c r="M515" s="35">
        <v>2</v>
      </c>
      <c r="N515" s="35">
        <v>1.9</v>
      </c>
      <c r="O515" s="35">
        <v>3</v>
      </c>
      <c r="P515" s="35">
        <v>2.5</v>
      </c>
      <c r="Q515" s="35">
        <v>2</v>
      </c>
      <c r="R515" s="35">
        <v>3</v>
      </c>
      <c r="S515" s="35">
        <v>2</v>
      </c>
      <c r="T515" s="35">
        <v>3.4</v>
      </c>
      <c r="U515" s="35">
        <v>2</v>
      </c>
      <c r="V515" s="35">
        <v>8</v>
      </c>
      <c r="W515" s="35">
        <v>9</v>
      </c>
      <c r="X515" s="35">
        <v>10.7</v>
      </c>
      <c r="Y515" s="35">
        <v>9</v>
      </c>
      <c r="Z515" s="35">
        <v>10.9</v>
      </c>
      <c r="AA515" s="35">
        <v>9</v>
      </c>
      <c r="AB515" s="35">
        <v>8.1</v>
      </c>
      <c r="AC515" s="35">
        <v>9</v>
      </c>
      <c r="AD515" s="35">
        <v>20.9</v>
      </c>
      <c r="AE515" s="35">
        <v>19</v>
      </c>
      <c r="AF515" s="35">
        <v>19.899999999999999</v>
      </c>
      <c r="AG515" s="35">
        <v>19</v>
      </c>
      <c r="AH515" s="35">
        <v>20</v>
      </c>
      <c r="AI515" s="35">
        <v>19</v>
      </c>
      <c r="AJ515" s="35">
        <v>20.9</v>
      </c>
      <c r="AK515" s="35">
        <v>19</v>
      </c>
      <c r="AL515" s="35">
        <v>20.6</v>
      </c>
      <c r="AM515" s="35">
        <v>19</v>
      </c>
      <c r="AN515" s="35">
        <v>18.600000000000001</v>
      </c>
      <c r="AO515" s="35">
        <v>19</v>
      </c>
      <c r="AP515" s="35">
        <v>20.2</v>
      </c>
      <c r="AQ515" s="35">
        <v>19</v>
      </c>
      <c r="AR515" s="35">
        <v>20.8</v>
      </c>
      <c r="AS515" s="35">
        <v>19</v>
      </c>
      <c r="AT515" s="35">
        <v>19.2</v>
      </c>
      <c r="AU515" s="35">
        <v>19</v>
      </c>
      <c r="AV515" s="35">
        <v>20.3</v>
      </c>
      <c r="AW515" s="35">
        <v>19</v>
      </c>
      <c r="AX515" s="35">
        <v>20.3</v>
      </c>
      <c r="AY515" s="35">
        <v>20</v>
      </c>
      <c r="AZ515" s="35">
        <v>20</v>
      </c>
      <c r="BA515" s="35">
        <v>20</v>
      </c>
      <c r="BB515" s="35">
        <v>31.2</v>
      </c>
      <c r="BC515" s="35">
        <v>40</v>
      </c>
      <c r="BD515" s="35">
        <v>30.3</v>
      </c>
      <c r="BE515" s="35">
        <v>40</v>
      </c>
      <c r="BF515" s="35">
        <v>21.8</v>
      </c>
      <c r="BG515" s="35">
        <v>20</v>
      </c>
    </row>
    <row r="516" spans="1:59" x14ac:dyDescent="0.35">
      <c r="A516" s="36">
        <v>46059.81527777778</v>
      </c>
      <c r="B516" s="35">
        <v>3</v>
      </c>
      <c r="C516" s="35">
        <v>2</v>
      </c>
      <c r="D516" s="35">
        <v>3.4</v>
      </c>
      <c r="E516" s="35">
        <v>2.2000000000000002</v>
      </c>
      <c r="F516" s="35">
        <v>3.5</v>
      </c>
      <c r="G516" s="35">
        <v>2</v>
      </c>
      <c r="H516" s="35">
        <v>3.7</v>
      </c>
      <c r="I516" s="35">
        <v>2</v>
      </c>
      <c r="J516" s="35">
        <v>2.9</v>
      </c>
      <c r="K516" s="35">
        <v>2</v>
      </c>
      <c r="L516" s="35">
        <v>2.6</v>
      </c>
      <c r="M516" s="35">
        <v>2</v>
      </c>
      <c r="N516" s="35">
        <v>2.2000000000000002</v>
      </c>
      <c r="O516" s="35">
        <v>3</v>
      </c>
      <c r="P516" s="35">
        <v>2.8</v>
      </c>
      <c r="Q516" s="35">
        <v>2</v>
      </c>
      <c r="R516" s="35">
        <v>3</v>
      </c>
      <c r="S516" s="35">
        <v>2</v>
      </c>
      <c r="T516" s="35">
        <v>3.6</v>
      </c>
      <c r="U516" s="35">
        <v>2</v>
      </c>
      <c r="V516" s="35">
        <v>9</v>
      </c>
      <c r="W516" s="35">
        <v>9</v>
      </c>
      <c r="X516" s="35">
        <v>10.8</v>
      </c>
      <c r="Y516" s="35">
        <v>9</v>
      </c>
      <c r="Z516" s="35">
        <v>11</v>
      </c>
      <c r="AA516" s="35">
        <v>9</v>
      </c>
      <c r="AB516" s="35">
        <v>8.6</v>
      </c>
      <c r="AC516" s="35">
        <v>9</v>
      </c>
      <c r="AD516" s="35">
        <v>20.9</v>
      </c>
      <c r="AE516" s="35">
        <v>19</v>
      </c>
      <c r="AF516" s="35">
        <v>20</v>
      </c>
      <c r="AG516" s="35">
        <v>19</v>
      </c>
      <c r="AH516" s="35">
        <v>20.100000000000001</v>
      </c>
      <c r="AI516" s="35">
        <v>19</v>
      </c>
      <c r="AJ516" s="35">
        <v>21</v>
      </c>
      <c r="AK516" s="35">
        <v>19</v>
      </c>
      <c r="AL516" s="35">
        <v>20.3</v>
      </c>
      <c r="AM516" s="35">
        <v>19</v>
      </c>
      <c r="AN516" s="35">
        <v>18.7</v>
      </c>
      <c r="AO516" s="35">
        <v>19</v>
      </c>
      <c r="AP516" s="35">
        <v>20.2</v>
      </c>
      <c r="AQ516" s="35">
        <v>19</v>
      </c>
      <c r="AR516" s="35">
        <v>20.8</v>
      </c>
      <c r="AS516" s="35">
        <v>19</v>
      </c>
      <c r="AT516" s="35">
        <v>19.3</v>
      </c>
      <c r="AU516" s="35">
        <v>19</v>
      </c>
      <c r="AV516" s="35">
        <v>20.3</v>
      </c>
      <c r="AW516" s="35">
        <v>19</v>
      </c>
      <c r="AX516" s="35">
        <v>20.2</v>
      </c>
      <c r="AY516" s="35">
        <v>20</v>
      </c>
      <c r="AZ516" s="35">
        <v>20</v>
      </c>
      <c r="BA516" s="35">
        <v>20</v>
      </c>
      <c r="BB516" s="35">
        <v>31.2</v>
      </c>
      <c r="BC516" s="35">
        <v>40</v>
      </c>
      <c r="BD516" s="35">
        <v>30.3</v>
      </c>
      <c r="BE516" s="35">
        <v>40</v>
      </c>
      <c r="BF516" s="35">
        <v>21.8</v>
      </c>
      <c r="BG516" s="35">
        <v>20</v>
      </c>
    </row>
    <row r="517" spans="1:59" x14ac:dyDescent="0.35">
      <c r="A517" s="36">
        <v>46059.815972222219</v>
      </c>
      <c r="B517" s="35">
        <v>3.3</v>
      </c>
      <c r="C517" s="35">
        <v>2</v>
      </c>
      <c r="D517" s="35">
        <v>3.8</v>
      </c>
      <c r="E517" s="35">
        <v>2.2000000000000002</v>
      </c>
      <c r="F517" s="35">
        <v>3.9</v>
      </c>
      <c r="G517" s="35">
        <v>2</v>
      </c>
      <c r="H517" s="35">
        <v>4</v>
      </c>
      <c r="I517" s="35">
        <v>2</v>
      </c>
      <c r="J517" s="35">
        <v>2.4</v>
      </c>
      <c r="K517" s="35">
        <v>2</v>
      </c>
      <c r="L517" s="35">
        <v>2.1</v>
      </c>
      <c r="M517" s="35">
        <v>2</v>
      </c>
      <c r="N517" s="35">
        <v>2.6</v>
      </c>
      <c r="O517" s="35">
        <v>3</v>
      </c>
      <c r="P517" s="35">
        <v>3</v>
      </c>
      <c r="Q517" s="35">
        <v>2</v>
      </c>
      <c r="R517" s="35">
        <v>3</v>
      </c>
      <c r="S517" s="35">
        <v>2</v>
      </c>
      <c r="T517" s="35">
        <v>3.7</v>
      </c>
      <c r="U517" s="35">
        <v>2</v>
      </c>
      <c r="V517" s="35">
        <v>9.6999999999999993</v>
      </c>
      <c r="W517" s="35">
        <v>9</v>
      </c>
      <c r="X517" s="35">
        <v>10.9</v>
      </c>
      <c r="Y517" s="35">
        <v>9</v>
      </c>
      <c r="Z517" s="35">
        <v>9.6999999999999993</v>
      </c>
      <c r="AA517" s="35">
        <v>9</v>
      </c>
      <c r="AB517" s="35">
        <v>9.1</v>
      </c>
      <c r="AC517" s="35">
        <v>9</v>
      </c>
      <c r="AD517" s="35">
        <v>20.9</v>
      </c>
      <c r="AE517" s="35">
        <v>19</v>
      </c>
      <c r="AF517" s="35">
        <v>20</v>
      </c>
      <c r="AG517" s="35">
        <v>19</v>
      </c>
      <c r="AH517" s="35">
        <v>20.100000000000001</v>
      </c>
      <c r="AI517" s="35">
        <v>19</v>
      </c>
      <c r="AJ517" s="35">
        <v>20.2</v>
      </c>
      <c r="AK517" s="35">
        <v>19</v>
      </c>
      <c r="AL517" s="35">
        <v>20.100000000000001</v>
      </c>
      <c r="AM517" s="35">
        <v>19</v>
      </c>
      <c r="AN517" s="35">
        <v>19</v>
      </c>
      <c r="AO517" s="35">
        <v>19</v>
      </c>
      <c r="AP517" s="35">
        <v>20.3</v>
      </c>
      <c r="AQ517" s="35">
        <v>19</v>
      </c>
      <c r="AR517" s="35">
        <v>20.8</v>
      </c>
      <c r="AS517" s="35">
        <v>19</v>
      </c>
      <c r="AT517" s="35">
        <v>19.399999999999999</v>
      </c>
      <c r="AU517" s="35">
        <v>19</v>
      </c>
      <c r="AV517" s="35">
        <v>20.399999999999999</v>
      </c>
      <c r="AW517" s="35">
        <v>19</v>
      </c>
      <c r="AX517" s="35">
        <v>20.2</v>
      </c>
      <c r="AY517" s="35">
        <v>20</v>
      </c>
      <c r="AZ517" s="35">
        <v>20</v>
      </c>
      <c r="BA517" s="35">
        <v>20</v>
      </c>
      <c r="BB517" s="35">
        <v>31.2</v>
      </c>
      <c r="BC517" s="35">
        <v>40</v>
      </c>
      <c r="BD517" s="35">
        <v>30.3</v>
      </c>
      <c r="BE517" s="35">
        <v>40</v>
      </c>
      <c r="BF517" s="35">
        <v>21.9</v>
      </c>
      <c r="BG517" s="35">
        <v>20</v>
      </c>
    </row>
    <row r="518" spans="1:59" x14ac:dyDescent="0.35">
      <c r="A518" s="36">
        <v>46059.817361111112</v>
      </c>
      <c r="B518" s="35">
        <v>3.7</v>
      </c>
      <c r="C518" s="35">
        <v>2</v>
      </c>
      <c r="D518" s="35">
        <v>4.0999999999999996</v>
      </c>
      <c r="E518" s="35">
        <v>2.2000000000000002</v>
      </c>
      <c r="F518" s="35">
        <v>3.1</v>
      </c>
      <c r="G518" s="35">
        <v>2</v>
      </c>
      <c r="H518" s="35">
        <v>2.2000000000000002</v>
      </c>
      <c r="I518" s="35">
        <v>2</v>
      </c>
      <c r="J518" s="35">
        <v>2.2999999999999998</v>
      </c>
      <c r="K518" s="35">
        <v>2</v>
      </c>
      <c r="L518" s="35">
        <v>2</v>
      </c>
      <c r="M518" s="35">
        <v>2</v>
      </c>
      <c r="N518" s="35">
        <v>3.1</v>
      </c>
      <c r="O518" s="35">
        <v>3</v>
      </c>
      <c r="P518" s="35">
        <v>3.4</v>
      </c>
      <c r="Q518" s="35">
        <v>2</v>
      </c>
      <c r="R518" s="35">
        <v>3</v>
      </c>
      <c r="S518" s="35">
        <v>2</v>
      </c>
      <c r="T518" s="35">
        <v>3.9</v>
      </c>
      <c r="U518" s="35">
        <v>2</v>
      </c>
      <c r="V518" s="35">
        <v>10.6</v>
      </c>
      <c r="W518" s="35">
        <v>9</v>
      </c>
      <c r="X518" s="35">
        <v>11</v>
      </c>
      <c r="Y518" s="35">
        <v>9</v>
      </c>
      <c r="Z518" s="35">
        <v>8.6999999999999993</v>
      </c>
      <c r="AA518" s="35">
        <v>9</v>
      </c>
      <c r="AB518" s="35">
        <v>10.1</v>
      </c>
      <c r="AC518" s="35">
        <v>9</v>
      </c>
      <c r="AD518" s="35">
        <v>21</v>
      </c>
      <c r="AE518" s="35">
        <v>19</v>
      </c>
      <c r="AF518" s="35">
        <v>20.100000000000001</v>
      </c>
      <c r="AG518" s="35">
        <v>19</v>
      </c>
      <c r="AH518" s="35">
        <v>20.3</v>
      </c>
      <c r="AI518" s="35">
        <v>19</v>
      </c>
      <c r="AJ518" s="35">
        <v>17.899999999999999</v>
      </c>
      <c r="AK518" s="35">
        <v>19</v>
      </c>
      <c r="AL518" s="35">
        <v>19.7</v>
      </c>
      <c r="AM518" s="35">
        <v>19</v>
      </c>
      <c r="AN518" s="35">
        <v>19.3</v>
      </c>
      <c r="AO518" s="35">
        <v>19</v>
      </c>
      <c r="AP518" s="35">
        <v>20.3</v>
      </c>
      <c r="AQ518" s="35">
        <v>19</v>
      </c>
      <c r="AR518" s="35">
        <v>20.8</v>
      </c>
      <c r="AS518" s="35">
        <v>19</v>
      </c>
      <c r="AT518" s="35">
        <v>19.600000000000001</v>
      </c>
      <c r="AU518" s="35">
        <v>19</v>
      </c>
      <c r="AV518" s="35">
        <v>20.5</v>
      </c>
      <c r="AW518" s="35">
        <v>19</v>
      </c>
      <c r="AX518" s="35">
        <v>20.2</v>
      </c>
      <c r="AY518" s="35">
        <v>20</v>
      </c>
      <c r="AZ518" s="35">
        <v>20</v>
      </c>
      <c r="BA518" s="35">
        <v>20</v>
      </c>
      <c r="BB518" s="35">
        <v>31.2</v>
      </c>
      <c r="BC518" s="35">
        <v>40</v>
      </c>
      <c r="BD518" s="35">
        <v>30.3</v>
      </c>
      <c r="BE518" s="35">
        <v>40</v>
      </c>
      <c r="BF518" s="35">
        <v>21.9</v>
      </c>
      <c r="BG518" s="35">
        <v>20</v>
      </c>
    </row>
    <row r="519" spans="1:59" x14ac:dyDescent="0.35">
      <c r="A519" s="36">
        <v>46059.818055555559</v>
      </c>
      <c r="B519" s="35">
        <v>3.7</v>
      </c>
      <c r="C519" s="35">
        <v>2</v>
      </c>
      <c r="D519" s="35">
        <v>4</v>
      </c>
      <c r="E519" s="35">
        <v>2.2000000000000002</v>
      </c>
      <c r="F519" s="35">
        <v>3.1</v>
      </c>
      <c r="G519" s="35">
        <v>2</v>
      </c>
      <c r="H519" s="35">
        <v>2.5</v>
      </c>
      <c r="I519" s="35">
        <v>2</v>
      </c>
      <c r="J519" s="35">
        <v>2.6</v>
      </c>
      <c r="K519" s="35">
        <v>2</v>
      </c>
      <c r="L519" s="35">
        <v>2.4</v>
      </c>
      <c r="M519" s="35">
        <v>2</v>
      </c>
      <c r="N519" s="35">
        <v>3.4</v>
      </c>
      <c r="O519" s="35">
        <v>3</v>
      </c>
      <c r="P519" s="35">
        <v>3.6</v>
      </c>
      <c r="Q519" s="35">
        <v>2</v>
      </c>
      <c r="R519" s="35">
        <v>3</v>
      </c>
      <c r="S519" s="35">
        <v>2</v>
      </c>
      <c r="T519" s="35">
        <v>3</v>
      </c>
      <c r="U519" s="35">
        <v>2</v>
      </c>
      <c r="V519" s="35">
        <v>11</v>
      </c>
      <c r="W519" s="35">
        <v>9</v>
      </c>
      <c r="X519" s="35">
        <v>10.6</v>
      </c>
      <c r="Y519" s="35">
        <v>9</v>
      </c>
      <c r="Z519" s="35">
        <v>8.9</v>
      </c>
      <c r="AA519" s="35">
        <v>9</v>
      </c>
      <c r="AB519" s="35">
        <v>10.4</v>
      </c>
      <c r="AC519" s="35">
        <v>9</v>
      </c>
      <c r="AD519" s="35">
        <v>20.6</v>
      </c>
      <c r="AE519" s="35">
        <v>19</v>
      </c>
      <c r="AF519" s="35">
        <v>20.2</v>
      </c>
      <c r="AG519" s="35">
        <v>19</v>
      </c>
      <c r="AH519" s="35">
        <v>20.3</v>
      </c>
      <c r="AI519" s="35">
        <v>19</v>
      </c>
      <c r="AJ519" s="35">
        <v>17.899999999999999</v>
      </c>
      <c r="AK519" s="35">
        <v>19</v>
      </c>
      <c r="AL519" s="35">
        <v>19.600000000000001</v>
      </c>
      <c r="AM519" s="35">
        <v>19</v>
      </c>
      <c r="AN519" s="35">
        <v>19.5</v>
      </c>
      <c r="AO519" s="35">
        <v>19</v>
      </c>
      <c r="AP519" s="35">
        <v>20.399999999999999</v>
      </c>
      <c r="AQ519" s="35">
        <v>19</v>
      </c>
      <c r="AR519" s="35">
        <v>20.8</v>
      </c>
      <c r="AS519" s="35">
        <v>19</v>
      </c>
      <c r="AT519" s="35">
        <v>19.7</v>
      </c>
      <c r="AU519" s="35">
        <v>19</v>
      </c>
      <c r="AV519" s="35">
        <v>20.6</v>
      </c>
      <c r="AW519" s="35">
        <v>19</v>
      </c>
      <c r="AX519" s="35">
        <v>20.3</v>
      </c>
      <c r="AY519" s="35">
        <v>20</v>
      </c>
      <c r="AZ519" s="35">
        <v>20.2</v>
      </c>
      <c r="BA519" s="35">
        <v>20</v>
      </c>
      <c r="BB519" s="35">
        <v>31.2</v>
      </c>
      <c r="BC519" s="35">
        <v>40</v>
      </c>
      <c r="BD519" s="35">
        <v>30.2</v>
      </c>
      <c r="BE519" s="35">
        <v>40</v>
      </c>
      <c r="BF519" s="35">
        <v>21.9</v>
      </c>
      <c r="BG519" s="35">
        <v>20</v>
      </c>
    </row>
    <row r="520" spans="1:59" x14ac:dyDescent="0.35">
      <c r="A520" s="36">
        <v>46059.818749999999</v>
      </c>
      <c r="B520" s="35">
        <v>3.9</v>
      </c>
      <c r="C520" s="35">
        <v>2</v>
      </c>
      <c r="D520" s="35">
        <v>4.2</v>
      </c>
      <c r="E520" s="35">
        <v>2.2000000000000002</v>
      </c>
      <c r="F520" s="35">
        <v>3.4</v>
      </c>
      <c r="G520" s="35">
        <v>2</v>
      </c>
      <c r="H520" s="35">
        <v>2.8</v>
      </c>
      <c r="I520" s="35">
        <v>2</v>
      </c>
      <c r="J520" s="35">
        <v>2.9</v>
      </c>
      <c r="K520" s="35">
        <v>2</v>
      </c>
      <c r="L520" s="35">
        <v>2.7</v>
      </c>
      <c r="M520" s="35">
        <v>2</v>
      </c>
      <c r="N520" s="35">
        <v>3.6</v>
      </c>
      <c r="O520" s="35">
        <v>3</v>
      </c>
      <c r="P520" s="35">
        <v>3.7</v>
      </c>
      <c r="Q520" s="35">
        <v>2</v>
      </c>
      <c r="R520" s="35">
        <v>3</v>
      </c>
      <c r="S520" s="35">
        <v>2</v>
      </c>
      <c r="T520" s="35">
        <v>2.5</v>
      </c>
      <c r="U520" s="35">
        <v>2</v>
      </c>
      <c r="V520" s="35">
        <v>9.8000000000000007</v>
      </c>
      <c r="W520" s="35">
        <v>9</v>
      </c>
      <c r="X520" s="35">
        <v>9.9</v>
      </c>
      <c r="Y520" s="35">
        <v>9</v>
      </c>
      <c r="Z520" s="35">
        <v>9.3000000000000007</v>
      </c>
      <c r="AA520" s="35">
        <v>9</v>
      </c>
      <c r="AB520" s="35">
        <v>10.7</v>
      </c>
      <c r="AC520" s="35">
        <v>9</v>
      </c>
      <c r="AD520" s="35">
        <v>19.8</v>
      </c>
      <c r="AE520" s="35">
        <v>19</v>
      </c>
      <c r="AF520" s="35">
        <v>20.2</v>
      </c>
      <c r="AG520" s="35">
        <v>19</v>
      </c>
      <c r="AH520" s="35">
        <v>20.399999999999999</v>
      </c>
      <c r="AI520" s="35">
        <v>19</v>
      </c>
      <c r="AJ520" s="35">
        <v>18.2</v>
      </c>
      <c r="AK520" s="35">
        <v>19</v>
      </c>
      <c r="AL520" s="35">
        <v>19.399999999999999</v>
      </c>
      <c r="AM520" s="35">
        <v>19</v>
      </c>
      <c r="AN520" s="35">
        <v>19.7</v>
      </c>
      <c r="AO520" s="35">
        <v>19</v>
      </c>
      <c r="AP520" s="35">
        <v>20.399999999999999</v>
      </c>
      <c r="AQ520" s="35">
        <v>19</v>
      </c>
      <c r="AR520" s="35">
        <v>20.8</v>
      </c>
      <c r="AS520" s="35">
        <v>19</v>
      </c>
      <c r="AT520" s="35">
        <v>19.8</v>
      </c>
      <c r="AU520" s="35">
        <v>19</v>
      </c>
      <c r="AV520" s="35">
        <v>20.6</v>
      </c>
      <c r="AW520" s="35">
        <v>19</v>
      </c>
      <c r="AX520" s="35">
        <v>20.3</v>
      </c>
      <c r="AY520" s="35">
        <v>20</v>
      </c>
      <c r="AZ520" s="35">
        <v>20.2</v>
      </c>
      <c r="BA520" s="35">
        <v>20</v>
      </c>
      <c r="BB520" s="35">
        <v>31.2</v>
      </c>
      <c r="BC520" s="35">
        <v>40</v>
      </c>
      <c r="BD520" s="35">
        <v>30.2</v>
      </c>
      <c r="BE520" s="35">
        <v>40</v>
      </c>
      <c r="BF520" s="35">
        <v>21.9</v>
      </c>
      <c r="BG520" s="35">
        <v>20</v>
      </c>
    </row>
    <row r="521" spans="1:59" x14ac:dyDescent="0.35">
      <c r="A521" s="36">
        <v>46059.819444444445</v>
      </c>
      <c r="B521" s="35">
        <v>3.6</v>
      </c>
      <c r="C521" s="35">
        <v>2</v>
      </c>
      <c r="D521" s="35">
        <v>4</v>
      </c>
      <c r="E521" s="35">
        <v>2.2000000000000002</v>
      </c>
      <c r="F521" s="35">
        <v>3.6</v>
      </c>
      <c r="G521" s="35">
        <v>2</v>
      </c>
      <c r="H521" s="35">
        <v>2.8</v>
      </c>
      <c r="I521" s="35">
        <v>2</v>
      </c>
      <c r="J521" s="35">
        <v>3.2</v>
      </c>
      <c r="K521" s="35">
        <v>2</v>
      </c>
      <c r="L521" s="35">
        <v>3.1</v>
      </c>
      <c r="M521" s="35">
        <v>2</v>
      </c>
      <c r="N521" s="35">
        <v>3.8</v>
      </c>
      <c r="O521" s="35">
        <v>3</v>
      </c>
      <c r="P521" s="35">
        <v>3.9</v>
      </c>
      <c r="Q521" s="35">
        <v>2</v>
      </c>
      <c r="R521" s="35">
        <v>3</v>
      </c>
      <c r="S521" s="35">
        <v>2</v>
      </c>
      <c r="T521" s="35">
        <v>1.9</v>
      </c>
      <c r="U521" s="35">
        <v>2</v>
      </c>
      <c r="V521" s="35">
        <v>7.9</v>
      </c>
      <c r="W521" s="35">
        <v>9</v>
      </c>
      <c r="X521" s="35">
        <v>8.9</v>
      </c>
      <c r="Y521" s="35">
        <v>9</v>
      </c>
      <c r="Z521" s="35">
        <v>9.6</v>
      </c>
      <c r="AA521" s="35">
        <v>9</v>
      </c>
      <c r="AB521" s="35">
        <v>10.9</v>
      </c>
      <c r="AC521" s="35">
        <v>9</v>
      </c>
      <c r="AD521" s="35">
        <v>19.5</v>
      </c>
      <c r="AE521" s="35">
        <v>19</v>
      </c>
      <c r="AF521" s="35">
        <v>20.3</v>
      </c>
      <c r="AG521" s="35">
        <v>19</v>
      </c>
      <c r="AH521" s="35">
        <v>20.5</v>
      </c>
      <c r="AI521" s="35">
        <v>19</v>
      </c>
      <c r="AJ521" s="35">
        <v>18.399999999999999</v>
      </c>
      <c r="AK521" s="35">
        <v>19</v>
      </c>
      <c r="AL521" s="35">
        <v>19.399999999999999</v>
      </c>
      <c r="AM521" s="35">
        <v>19</v>
      </c>
      <c r="AN521" s="35">
        <v>19.8</v>
      </c>
      <c r="AO521" s="35">
        <v>19</v>
      </c>
      <c r="AP521" s="35">
        <v>20.399999999999999</v>
      </c>
      <c r="AQ521" s="35">
        <v>19</v>
      </c>
      <c r="AR521" s="35">
        <v>20.8</v>
      </c>
      <c r="AS521" s="35">
        <v>19</v>
      </c>
      <c r="AT521" s="35">
        <v>19.899999999999999</v>
      </c>
      <c r="AU521" s="35">
        <v>19</v>
      </c>
      <c r="AV521" s="35">
        <v>20.7</v>
      </c>
      <c r="AW521" s="35">
        <v>19</v>
      </c>
      <c r="AX521" s="35">
        <v>20.3</v>
      </c>
      <c r="AY521" s="35">
        <v>20</v>
      </c>
      <c r="AZ521" s="35">
        <v>20.2</v>
      </c>
      <c r="BA521" s="35">
        <v>20</v>
      </c>
      <c r="BB521" s="35">
        <v>31.2</v>
      </c>
      <c r="BC521" s="35">
        <v>40</v>
      </c>
      <c r="BD521" s="35">
        <v>30.2</v>
      </c>
      <c r="BE521" s="35">
        <v>40</v>
      </c>
      <c r="BF521" s="35">
        <v>21.9</v>
      </c>
      <c r="BG521" s="35">
        <v>20</v>
      </c>
    </row>
    <row r="522" spans="1:59" x14ac:dyDescent="0.35">
      <c r="A522" s="36">
        <v>46059.820138888892</v>
      </c>
      <c r="B522" s="35">
        <v>2.5</v>
      </c>
      <c r="C522" s="35">
        <v>2</v>
      </c>
      <c r="D522" s="35">
        <v>2.6</v>
      </c>
      <c r="E522" s="35">
        <v>2.2000000000000002</v>
      </c>
      <c r="F522" s="35">
        <v>3.9</v>
      </c>
      <c r="G522" s="35">
        <v>2</v>
      </c>
      <c r="H522" s="35">
        <v>3.2</v>
      </c>
      <c r="I522" s="35">
        <v>2</v>
      </c>
      <c r="J522" s="35">
        <v>3.4</v>
      </c>
      <c r="K522" s="35">
        <v>2</v>
      </c>
      <c r="L522" s="35">
        <v>3.4</v>
      </c>
      <c r="M522" s="35">
        <v>2</v>
      </c>
      <c r="N522" s="35">
        <v>3.9</v>
      </c>
      <c r="O522" s="35">
        <v>3</v>
      </c>
      <c r="P522" s="35">
        <v>4</v>
      </c>
      <c r="Q522" s="35">
        <v>2</v>
      </c>
      <c r="R522" s="35">
        <v>3</v>
      </c>
      <c r="S522" s="35">
        <v>2</v>
      </c>
      <c r="T522" s="35">
        <v>1.8</v>
      </c>
      <c r="U522" s="35">
        <v>2</v>
      </c>
      <c r="V522" s="35">
        <v>7.6</v>
      </c>
      <c r="W522" s="35">
        <v>9</v>
      </c>
      <c r="X522" s="35">
        <v>8</v>
      </c>
      <c r="Y522" s="35">
        <v>9</v>
      </c>
      <c r="Z522" s="35">
        <v>9.9</v>
      </c>
      <c r="AA522" s="35">
        <v>9</v>
      </c>
      <c r="AB522" s="35">
        <v>10.9</v>
      </c>
      <c r="AC522" s="35">
        <v>9</v>
      </c>
      <c r="AD522" s="35">
        <v>19.3</v>
      </c>
      <c r="AE522" s="35">
        <v>19</v>
      </c>
      <c r="AF522" s="35">
        <v>20.3</v>
      </c>
      <c r="AG522" s="35">
        <v>19</v>
      </c>
      <c r="AH522" s="35">
        <v>20.5</v>
      </c>
      <c r="AI522" s="35">
        <v>19</v>
      </c>
      <c r="AJ522" s="35">
        <v>18.7</v>
      </c>
      <c r="AK522" s="35">
        <v>19</v>
      </c>
      <c r="AL522" s="35">
        <v>19.3</v>
      </c>
      <c r="AM522" s="35">
        <v>19</v>
      </c>
      <c r="AN522" s="35">
        <v>19.899999999999999</v>
      </c>
      <c r="AO522" s="35">
        <v>19</v>
      </c>
      <c r="AP522" s="35">
        <v>20.399999999999999</v>
      </c>
      <c r="AQ522" s="35">
        <v>19</v>
      </c>
      <c r="AR522" s="35">
        <v>20.8</v>
      </c>
      <c r="AS522" s="35">
        <v>19</v>
      </c>
      <c r="AT522" s="35">
        <v>20</v>
      </c>
      <c r="AU522" s="35">
        <v>19</v>
      </c>
      <c r="AV522" s="35">
        <v>20.7</v>
      </c>
      <c r="AW522" s="35">
        <v>19</v>
      </c>
      <c r="AX522" s="35">
        <v>20.3</v>
      </c>
      <c r="AY522" s="35">
        <v>20</v>
      </c>
      <c r="AZ522" s="35">
        <v>20.2</v>
      </c>
      <c r="BA522" s="35">
        <v>20</v>
      </c>
      <c r="BB522" s="35">
        <v>31.2</v>
      </c>
      <c r="BC522" s="35">
        <v>40</v>
      </c>
      <c r="BD522" s="35">
        <v>30.2</v>
      </c>
      <c r="BE522" s="35">
        <v>40</v>
      </c>
      <c r="BF522" s="35">
        <v>21.9</v>
      </c>
      <c r="BG522" s="35">
        <v>20</v>
      </c>
    </row>
    <row r="523" spans="1:59" x14ac:dyDescent="0.35">
      <c r="A523" s="36">
        <v>46059.820833333331</v>
      </c>
      <c r="B523" s="35">
        <v>2</v>
      </c>
      <c r="C523" s="35">
        <v>2</v>
      </c>
      <c r="D523" s="35">
        <v>2.2000000000000002</v>
      </c>
      <c r="E523" s="35">
        <v>2.2000000000000002</v>
      </c>
      <c r="F523" s="35">
        <v>4</v>
      </c>
      <c r="G523" s="35">
        <v>2</v>
      </c>
      <c r="H523" s="35">
        <v>3.4</v>
      </c>
      <c r="I523" s="35">
        <v>2</v>
      </c>
      <c r="J523" s="35">
        <v>3.7</v>
      </c>
      <c r="K523" s="35">
        <v>2</v>
      </c>
      <c r="L523" s="35">
        <v>3.8</v>
      </c>
      <c r="M523" s="35">
        <v>2</v>
      </c>
      <c r="N523" s="35">
        <v>2.8</v>
      </c>
      <c r="O523" s="35">
        <v>3</v>
      </c>
      <c r="P523" s="35">
        <v>3.2</v>
      </c>
      <c r="Q523" s="35">
        <v>2</v>
      </c>
      <c r="R523" s="35">
        <v>3</v>
      </c>
      <c r="S523" s="35">
        <v>2</v>
      </c>
      <c r="T523" s="35">
        <v>2.8</v>
      </c>
      <c r="U523" s="35">
        <v>2</v>
      </c>
      <c r="V523" s="35">
        <v>8.3000000000000007</v>
      </c>
      <c r="W523" s="35">
        <v>9</v>
      </c>
      <c r="X523" s="35">
        <v>8</v>
      </c>
      <c r="Y523" s="35">
        <v>9</v>
      </c>
      <c r="Z523" s="35">
        <v>10.1</v>
      </c>
      <c r="AA523" s="35">
        <v>9</v>
      </c>
      <c r="AB523" s="35">
        <v>10.4</v>
      </c>
      <c r="AC523" s="35">
        <v>9</v>
      </c>
      <c r="AD523" s="35">
        <v>18.8</v>
      </c>
      <c r="AE523" s="35">
        <v>19</v>
      </c>
      <c r="AF523" s="35">
        <v>20.3</v>
      </c>
      <c r="AG523" s="35">
        <v>19</v>
      </c>
      <c r="AH523" s="35">
        <v>20.6</v>
      </c>
      <c r="AI523" s="35">
        <v>19</v>
      </c>
      <c r="AJ523" s="35">
        <v>18.899999999999999</v>
      </c>
      <c r="AK523" s="35">
        <v>19</v>
      </c>
      <c r="AL523" s="35">
        <v>19.2</v>
      </c>
      <c r="AM523" s="35">
        <v>19</v>
      </c>
      <c r="AN523" s="35">
        <v>20</v>
      </c>
      <c r="AO523" s="35">
        <v>19</v>
      </c>
      <c r="AP523" s="35">
        <v>20.399999999999999</v>
      </c>
      <c r="AQ523" s="35">
        <v>19</v>
      </c>
      <c r="AR523" s="35">
        <v>20.8</v>
      </c>
      <c r="AS523" s="35">
        <v>19</v>
      </c>
      <c r="AT523" s="35">
        <v>20.100000000000001</v>
      </c>
      <c r="AU523" s="35">
        <v>19</v>
      </c>
      <c r="AV523" s="35">
        <v>20.7</v>
      </c>
      <c r="AW523" s="35">
        <v>19</v>
      </c>
      <c r="AX523" s="35">
        <v>20.3</v>
      </c>
      <c r="AY523" s="35">
        <v>20</v>
      </c>
      <c r="AZ523" s="35">
        <v>20.2</v>
      </c>
      <c r="BA523" s="35">
        <v>20</v>
      </c>
      <c r="BB523" s="35">
        <v>31.2</v>
      </c>
      <c r="BC523" s="35">
        <v>40</v>
      </c>
      <c r="BD523" s="35">
        <v>30.2</v>
      </c>
      <c r="BE523" s="35">
        <v>40</v>
      </c>
      <c r="BF523" s="35">
        <v>21.9</v>
      </c>
      <c r="BG523" s="35">
        <v>20</v>
      </c>
    </row>
    <row r="524" spans="1:59" x14ac:dyDescent="0.35">
      <c r="A524" s="36">
        <v>46059.821527777778</v>
      </c>
      <c r="B524" s="35">
        <v>1.9</v>
      </c>
      <c r="C524" s="35">
        <v>2</v>
      </c>
      <c r="D524" s="35">
        <v>2.4</v>
      </c>
      <c r="E524" s="35">
        <v>2.2000000000000002</v>
      </c>
      <c r="F524" s="35">
        <v>2</v>
      </c>
      <c r="G524" s="35">
        <v>2</v>
      </c>
      <c r="H524" s="35">
        <v>1.5</v>
      </c>
      <c r="I524" s="35">
        <v>2</v>
      </c>
      <c r="J524" s="35">
        <v>3.9</v>
      </c>
      <c r="K524" s="35">
        <v>2</v>
      </c>
      <c r="L524" s="35">
        <v>4</v>
      </c>
      <c r="M524" s="35">
        <v>2</v>
      </c>
      <c r="N524" s="35">
        <v>1.3</v>
      </c>
      <c r="O524" s="35">
        <v>3</v>
      </c>
      <c r="P524" s="35">
        <v>2.1</v>
      </c>
      <c r="Q524" s="35">
        <v>2</v>
      </c>
      <c r="R524" s="35">
        <v>3</v>
      </c>
      <c r="S524" s="35">
        <v>2</v>
      </c>
      <c r="T524" s="35">
        <v>4.0999999999999996</v>
      </c>
      <c r="U524" s="35">
        <v>2</v>
      </c>
      <c r="V524" s="35">
        <v>9.1</v>
      </c>
      <c r="W524" s="35">
        <v>9</v>
      </c>
      <c r="X524" s="35">
        <v>8</v>
      </c>
      <c r="Y524" s="35">
        <v>9</v>
      </c>
      <c r="Z524" s="35">
        <v>10.199999999999999</v>
      </c>
      <c r="AA524" s="35">
        <v>9</v>
      </c>
      <c r="AB524" s="35">
        <v>9.8000000000000007</v>
      </c>
      <c r="AC524" s="35">
        <v>9</v>
      </c>
      <c r="AD524" s="35">
        <v>18.8</v>
      </c>
      <c r="AE524" s="35">
        <v>19</v>
      </c>
      <c r="AF524" s="35">
        <v>20.399999999999999</v>
      </c>
      <c r="AG524" s="35">
        <v>19</v>
      </c>
      <c r="AH524" s="35">
        <v>20.6</v>
      </c>
      <c r="AI524" s="35">
        <v>19</v>
      </c>
      <c r="AJ524" s="35">
        <v>19.100000000000001</v>
      </c>
      <c r="AK524" s="35">
        <v>19</v>
      </c>
      <c r="AL524" s="35">
        <v>19.2</v>
      </c>
      <c r="AM524" s="35">
        <v>19</v>
      </c>
      <c r="AN524" s="35">
        <v>20.100000000000001</v>
      </c>
      <c r="AO524" s="35">
        <v>19</v>
      </c>
      <c r="AP524" s="35">
        <v>20.399999999999999</v>
      </c>
      <c r="AQ524" s="35">
        <v>19</v>
      </c>
      <c r="AR524" s="35">
        <v>20.8</v>
      </c>
      <c r="AS524" s="35">
        <v>19</v>
      </c>
      <c r="AT524" s="35">
        <v>20.2</v>
      </c>
      <c r="AU524" s="35">
        <v>19</v>
      </c>
      <c r="AV524" s="35">
        <v>20.8</v>
      </c>
      <c r="AW524" s="35">
        <v>19</v>
      </c>
      <c r="AX524" s="35">
        <v>20.3</v>
      </c>
      <c r="AY524" s="35">
        <v>20</v>
      </c>
      <c r="AZ524" s="35">
        <v>20.100000000000001</v>
      </c>
      <c r="BA524" s="35">
        <v>20</v>
      </c>
      <c r="BB524" s="35">
        <v>31.2</v>
      </c>
      <c r="BC524" s="35">
        <v>40</v>
      </c>
      <c r="BD524" s="35">
        <v>30.2</v>
      </c>
      <c r="BE524" s="35">
        <v>40</v>
      </c>
      <c r="BF524" s="35">
        <v>21.9</v>
      </c>
      <c r="BG524" s="35">
        <v>20</v>
      </c>
    </row>
    <row r="525" spans="1:59" x14ac:dyDescent="0.35">
      <c r="A525" s="36">
        <v>46059.822222222225</v>
      </c>
      <c r="B525" s="35">
        <v>2.2999999999999998</v>
      </c>
      <c r="C525" s="35">
        <v>2</v>
      </c>
      <c r="D525" s="35">
        <v>2.9</v>
      </c>
      <c r="E525" s="35">
        <v>2.2000000000000002</v>
      </c>
      <c r="F525" s="35">
        <v>1.4</v>
      </c>
      <c r="G525" s="35">
        <v>2</v>
      </c>
      <c r="H525" s="35">
        <v>1.5</v>
      </c>
      <c r="I525" s="35">
        <v>2</v>
      </c>
      <c r="J525" s="35">
        <v>3.3</v>
      </c>
      <c r="K525" s="35">
        <v>2</v>
      </c>
      <c r="L525" s="35">
        <v>2.9</v>
      </c>
      <c r="M525" s="35">
        <v>2</v>
      </c>
      <c r="N525" s="35">
        <v>1</v>
      </c>
      <c r="O525" s="35">
        <v>3</v>
      </c>
      <c r="P525" s="35">
        <v>1.8</v>
      </c>
      <c r="Q525" s="35">
        <v>2</v>
      </c>
      <c r="R525" s="35">
        <v>3</v>
      </c>
      <c r="S525" s="35">
        <v>2</v>
      </c>
      <c r="T525" s="35">
        <v>2.5</v>
      </c>
      <c r="U525" s="35">
        <v>2</v>
      </c>
      <c r="V525" s="35">
        <v>9.9</v>
      </c>
      <c r="W525" s="35">
        <v>9</v>
      </c>
      <c r="X525" s="35">
        <v>8.3000000000000007</v>
      </c>
      <c r="Y525" s="35">
        <v>9</v>
      </c>
      <c r="Z525" s="35">
        <v>10.3</v>
      </c>
      <c r="AA525" s="35">
        <v>9</v>
      </c>
      <c r="AB525" s="35">
        <v>8.6</v>
      </c>
      <c r="AC525" s="35">
        <v>9</v>
      </c>
      <c r="AD525" s="35">
        <v>19</v>
      </c>
      <c r="AE525" s="35">
        <v>19</v>
      </c>
      <c r="AF525" s="35">
        <v>20.399999999999999</v>
      </c>
      <c r="AG525" s="35">
        <v>19</v>
      </c>
      <c r="AH525" s="35">
        <v>20.6</v>
      </c>
      <c r="AI525" s="35">
        <v>19</v>
      </c>
      <c r="AJ525" s="35">
        <v>19.2</v>
      </c>
      <c r="AK525" s="35">
        <v>19</v>
      </c>
      <c r="AL525" s="35">
        <v>19.100000000000001</v>
      </c>
      <c r="AM525" s="35">
        <v>19</v>
      </c>
      <c r="AN525" s="35">
        <v>20.2</v>
      </c>
      <c r="AO525" s="35">
        <v>19</v>
      </c>
      <c r="AP525" s="35">
        <v>20.399999999999999</v>
      </c>
      <c r="AQ525" s="35">
        <v>19</v>
      </c>
      <c r="AR525" s="35">
        <v>20.8</v>
      </c>
      <c r="AS525" s="35">
        <v>19</v>
      </c>
      <c r="AT525" s="35">
        <v>20.3</v>
      </c>
      <c r="AU525" s="35">
        <v>19</v>
      </c>
      <c r="AV525" s="35">
        <v>20.8</v>
      </c>
      <c r="AW525" s="35">
        <v>19</v>
      </c>
      <c r="AX525" s="35">
        <v>20.3</v>
      </c>
      <c r="AY525" s="35">
        <v>20</v>
      </c>
      <c r="AZ525" s="35">
        <v>20</v>
      </c>
      <c r="BA525" s="35">
        <v>20</v>
      </c>
      <c r="BB525" s="35">
        <v>31.2</v>
      </c>
      <c r="BC525" s="35">
        <v>40</v>
      </c>
      <c r="BD525" s="35">
        <v>30.2</v>
      </c>
      <c r="BE525" s="35">
        <v>40</v>
      </c>
      <c r="BF525" s="35">
        <v>21.9</v>
      </c>
      <c r="BG525" s="35">
        <v>20</v>
      </c>
    </row>
    <row r="526" spans="1:59" x14ac:dyDescent="0.35">
      <c r="A526" s="36">
        <v>46059.822916666664</v>
      </c>
      <c r="B526" s="35">
        <v>2.8</v>
      </c>
      <c r="C526" s="35">
        <v>2</v>
      </c>
      <c r="D526" s="35">
        <v>3.3</v>
      </c>
      <c r="E526" s="35">
        <v>2.2000000000000002</v>
      </c>
      <c r="F526" s="35">
        <v>1.6</v>
      </c>
      <c r="G526" s="35">
        <v>2</v>
      </c>
      <c r="H526" s="35">
        <v>1.8</v>
      </c>
      <c r="I526" s="35">
        <v>2</v>
      </c>
      <c r="J526" s="35">
        <v>2.8</v>
      </c>
      <c r="K526" s="35">
        <v>2</v>
      </c>
      <c r="L526" s="35">
        <v>2.1</v>
      </c>
      <c r="M526" s="35">
        <v>2</v>
      </c>
      <c r="N526" s="35">
        <v>1</v>
      </c>
      <c r="O526" s="35">
        <v>3</v>
      </c>
      <c r="P526" s="35">
        <v>1.9</v>
      </c>
      <c r="Q526" s="35">
        <v>2</v>
      </c>
      <c r="R526" s="35">
        <v>3</v>
      </c>
      <c r="S526" s="35">
        <v>2</v>
      </c>
      <c r="T526" s="35">
        <v>2.1</v>
      </c>
      <c r="U526" s="35">
        <v>2</v>
      </c>
      <c r="V526" s="35">
        <v>10.4</v>
      </c>
      <c r="W526" s="35">
        <v>9</v>
      </c>
      <c r="X526" s="35">
        <v>8.6</v>
      </c>
      <c r="Y526" s="35">
        <v>9</v>
      </c>
      <c r="Z526" s="35">
        <v>10.4</v>
      </c>
      <c r="AA526" s="35">
        <v>9</v>
      </c>
      <c r="AB526" s="35">
        <v>8.3000000000000007</v>
      </c>
      <c r="AC526" s="35">
        <v>9</v>
      </c>
      <c r="AD526" s="35">
        <v>19.2</v>
      </c>
      <c r="AE526" s="35">
        <v>19</v>
      </c>
      <c r="AF526" s="35">
        <v>20.399999999999999</v>
      </c>
      <c r="AG526" s="35">
        <v>19</v>
      </c>
      <c r="AH526" s="35">
        <v>20.7</v>
      </c>
      <c r="AI526" s="35">
        <v>19</v>
      </c>
      <c r="AJ526" s="35">
        <v>19.3</v>
      </c>
      <c r="AK526" s="35">
        <v>19</v>
      </c>
      <c r="AL526" s="35">
        <v>18.899999999999999</v>
      </c>
      <c r="AM526" s="35">
        <v>19</v>
      </c>
      <c r="AN526" s="35">
        <v>20.3</v>
      </c>
      <c r="AO526" s="35">
        <v>19</v>
      </c>
      <c r="AP526" s="35">
        <v>20.5</v>
      </c>
      <c r="AQ526" s="35">
        <v>19</v>
      </c>
      <c r="AR526" s="35">
        <v>20.8</v>
      </c>
      <c r="AS526" s="35">
        <v>19</v>
      </c>
      <c r="AT526" s="35">
        <v>20.399999999999999</v>
      </c>
      <c r="AU526" s="35">
        <v>19</v>
      </c>
      <c r="AV526" s="35">
        <v>20.8</v>
      </c>
      <c r="AW526" s="35">
        <v>19</v>
      </c>
      <c r="AX526" s="35">
        <v>20.3</v>
      </c>
      <c r="AY526" s="35">
        <v>20</v>
      </c>
      <c r="AZ526" s="35">
        <v>20</v>
      </c>
      <c r="BA526" s="35">
        <v>20</v>
      </c>
      <c r="BB526" s="35">
        <v>31.2</v>
      </c>
      <c r="BC526" s="35">
        <v>40</v>
      </c>
      <c r="BD526" s="35">
        <v>30.2</v>
      </c>
      <c r="BE526" s="35">
        <v>40</v>
      </c>
      <c r="BF526" s="35">
        <v>21.9</v>
      </c>
      <c r="BG526" s="35">
        <v>20</v>
      </c>
    </row>
    <row r="527" spans="1:59" x14ac:dyDescent="0.35">
      <c r="A527" s="36">
        <v>46059.823611111111</v>
      </c>
      <c r="B527" s="35">
        <v>3.2</v>
      </c>
      <c r="C527" s="35">
        <v>2</v>
      </c>
      <c r="D527" s="35">
        <v>3.7</v>
      </c>
      <c r="E527" s="35">
        <v>2.2000000000000002</v>
      </c>
      <c r="F527" s="35">
        <v>2</v>
      </c>
      <c r="G527" s="35">
        <v>2</v>
      </c>
      <c r="H527" s="35">
        <v>2.4</v>
      </c>
      <c r="I527" s="35">
        <v>2</v>
      </c>
      <c r="J527" s="35">
        <v>2.7</v>
      </c>
      <c r="K527" s="35">
        <v>2</v>
      </c>
      <c r="L527" s="35">
        <v>2</v>
      </c>
      <c r="M527" s="35">
        <v>2</v>
      </c>
      <c r="N527" s="35">
        <v>1.4</v>
      </c>
      <c r="O527" s="35">
        <v>3</v>
      </c>
      <c r="P527" s="35">
        <v>2.2000000000000002</v>
      </c>
      <c r="Q527" s="35">
        <v>2</v>
      </c>
      <c r="R527" s="35">
        <v>3</v>
      </c>
      <c r="S527" s="35">
        <v>2</v>
      </c>
      <c r="T527" s="35">
        <v>2.5</v>
      </c>
      <c r="U527" s="35">
        <v>2</v>
      </c>
      <c r="V527" s="35">
        <v>10.8</v>
      </c>
      <c r="W527" s="35">
        <v>9</v>
      </c>
      <c r="X527" s="35">
        <v>8.8000000000000007</v>
      </c>
      <c r="Y527" s="35">
        <v>9</v>
      </c>
      <c r="Z527" s="35">
        <v>10.5</v>
      </c>
      <c r="AA527" s="35">
        <v>9</v>
      </c>
      <c r="AB527" s="35">
        <v>8.6999999999999993</v>
      </c>
      <c r="AC527" s="35">
        <v>9</v>
      </c>
      <c r="AD527" s="35">
        <v>19.3</v>
      </c>
      <c r="AE527" s="35">
        <v>19</v>
      </c>
      <c r="AF527" s="35">
        <v>20.5</v>
      </c>
      <c r="AG527" s="35">
        <v>19</v>
      </c>
      <c r="AH527" s="35">
        <v>20.7</v>
      </c>
      <c r="AI527" s="35">
        <v>19</v>
      </c>
      <c r="AJ527" s="35">
        <v>19.5</v>
      </c>
      <c r="AK527" s="35">
        <v>19</v>
      </c>
      <c r="AL527" s="35">
        <v>19</v>
      </c>
      <c r="AM527" s="35">
        <v>19</v>
      </c>
      <c r="AN527" s="35">
        <v>20.399999999999999</v>
      </c>
      <c r="AO527" s="35">
        <v>19</v>
      </c>
      <c r="AP527" s="35">
        <v>20.5</v>
      </c>
      <c r="AQ527" s="35">
        <v>19</v>
      </c>
      <c r="AR527" s="35">
        <v>20.8</v>
      </c>
      <c r="AS527" s="35">
        <v>19</v>
      </c>
      <c r="AT527" s="35">
        <v>20.399999999999999</v>
      </c>
      <c r="AU527" s="35">
        <v>19</v>
      </c>
      <c r="AV527" s="35">
        <v>20.9</v>
      </c>
      <c r="AW527" s="35">
        <v>19</v>
      </c>
      <c r="AX527" s="35">
        <v>20.2</v>
      </c>
      <c r="AY527" s="35">
        <v>20</v>
      </c>
      <c r="AZ527" s="35">
        <v>20</v>
      </c>
      <c r="BA527" s="35">
        <v>20</v>
      </c>
      <c r="BB527" s="35">
        <v>31.1</v>
      </c>
      <c r="BC527" s="35">
        <v>40</v>
      </c>
      <c r="BD527" s="35">
        <v>30.2</v>
      </c>
      <c r="BE527" s="35">
        <v>40</v>
      </c>
      <c r="BF527" s="35">
        <v>22</v>
      </c>
      <c r="BG527" s="35">
        <v>20</v>
      </c>
    </row>
    <row r="528" spans="1:59" x14ac:dyDescent="0.35">
      <c r="A528" s="36">
        <v>46059.824305555558</v>
      </c>
      <c r="B528" s="35">
        <v>3.5</v>
      </c>
      <c r="C528" s="35">
        <v>2</v>
      </c>
      <c r="D528" s="35">
        <v>4.0999999999999996</v>
      </c>
      <c r="E528" s="35">
        <v>2.2000000000000002</v>
      </c>
      <c r="F528" s="35">
        <v>2.6</v>
      </c>
      <c r="G528" s="35">
        <v>2</v>
      </c>
      <c r="H528" s="35">
        <v>2.8</v>
      </c>
      <c r="I528" s="35">
        <v>2</v>
      </c>
      <c r="J528" s="35">
        <v>2.8</v>
      </c>
      <c r="K528" s="35">
        <v>2</v>
      </c>
      <c r="L528" s="35">
        <v>2.2999999999999998</v>
      </c>
      <c r="M528" s="35">
        <v>2</v>
      </c>
      <c r="N528" s="35">
        <v>1.8</v>
      </c>
      <c r="O528" s="35">
        <v>3</v>
      </c>
      <c r="P528" s="35">
        <v>2.4</v>
      </c>
      <c r="Q528" s="35">
        <v>2</v>
      </c>
      <c r="R528" s="35">
        <v>3</v>
      </c>
      <c r="S528" s="35">
        <v>2</v>
      </c>
      <c r="T528" s="35">
        <v>2.1</v>
      </c>
      <c r="U528" s="35">
        <v>2</v>
      </c>
      <c r="V528" s="35">
        <v>11</v>
      </c>
      <c r="W528" s="35">
        <v>9</v>
      </c>
      <c r="X528" s="35">
        <v>9</v>
      </c>
      <c r="Y528" s="35">
        <v>9</v>
      </c>
      <c r="Z528" s="35">
        <v>10.6</v>
      </c>
      <c r="AA528" s="35">
        <v>9</v>
      </c>
      <c r="AB528" s="35">
        <v>9.1</v>
      </c>
      <c r="AC528" s="35">
        <v>9</v>
      </c>
      <c r="AD528" s="35">
        <v>19.399999999999999</v>
      </c>
      <c r="AE528" s="35">
        <v>19</v>
      </c>
      <c r="AF528" s="35">
        <v>20.5</v>
      </c>
      <c r="AG528" s="35">
        <v>19</v>
      </c>
      <c r="AH528" s="35">
        <v>20.8</v>
      </c>
      <c r="AI528" s="35">
        <v>19</v>
      </c>
      <c r="AJ528" s="35">
        <v>19.600000000000001</v>
      </c>
      <c r="AK528" s="35">
        <v>19</v>
      </c>
      <c r="AL528" s="35">
        <v>19.399999999999999</v>
      </c>
      <c r="AM528" s="35">
        <v>19</v>
      </c>
      <c r="AN528" s="35">
        <v>20.5</v>
      </c>
      <c r="AO528" s="35">
        <v>19</v>
      </c>
      <c r="AP528" s="35">
        <v>20.5</v>
      </c>
      <c r="AQ528" s="35">
        <v>19</v>
      </c>
      <c r="AR528" s="35">
        <v>20.8</v>
      </c>
      <c r="AS528" s="35">
        <v>19</v>
      </c>
      <c r="AT528" s="35">
        <v>20.5</v>
      </c>
      <c r="AU528" s="35">
        <v>19</v>
      </c>
      <c r="AV528" s="35">
        <v>20.9</v>
      </c>
      <c r="AW528" s="35">
        <v>19</v>
      </c>
      <c r="AX528" s="35">
        <v>20.2</v>
      </c>
      <c r="AY528" s="35">
        <v>20</v>
      </c>
      <c r="AZ528" s="35">
        <v>20</v>
      </c>
      <c r="BA528" s="35">
        <v>20</v>
      </c>
      <c r="BB528" s="35">
        <v>31.1</v>
      </c>
      <c r="BC528" s="35">
        <v>40</v>
      </c>
      <c r="BD528" s="35">
        <v>30.2</v>
      </c>
      <c r="BE528" s="35">
        <v>40</v>
      </c>
      <c r="BF528" s="35">
        <v>17.3</v>
      </c>
      <c r="BG528" s="35">
        <v>20</v>
      </c>
    </row>
    <row r="529" spans="1:59" x14ac:dyDescent="0.35">
      <c r="A529" s="36">
        <v>46059.824999999997</v>
      </c>
      <c r="B529" s="35">
        <v>3.7</v>
      </c>
      <c r="C529" s="35">
        <v>2</v>
      </c>
      <c r="D529" s="35">
        <v>4.2</v>
      </c>
      <c r="E529" s="35">
        <v>2.2000000000000002</v>
      </c>
      <c r="F529" s="35">
        <v>2.9</v>
      </c>
      <c r="G529" s="35">
        <v>2</v>
      </c>
      <c r="H529" s="35">
        <v>3</v>
      </c>
      <c r="I529" s="35">
        <v>2</v>
      </c>
      <c r="J529" s="35">
        <v>3</v>
      </c>
      <c r="K529" s="35">
        <v>2</v>
      </c>
      <c r="L529" s="35">
        <v>2.7</v>
      </c>
      <c r="M529" s="35">
        <v>2</v>
      </c>
      <c r="N529" s="35">
        <v>2.2000000000000002</v>
      </c>
      <c r="O529" s="35">
        <v>3</v>
      </c>
      <c r="P529" s="35">
        <v>2.7</v>
      </c>
      <c r="Q529" s="35">
        <v>2</v>
      </c>
      <c r="R529" s="35">
        <v>5.8</v>
      </c>
      <c r="S529" s="35">
        <v>2</v>
      </c>
      <c r="T529" s="35">
        <v>1.9</v>
      </c>
      <c r="U529" s="35">
        <v>2</v>
      </c>
      <c r="V529" s="35">
        <v>9.1999999999999993</v>
      </c>
      <c r="W529" s="35">
        <v>9</v>
      </c>
      <c r="X529" s="35">
        <v>9.1999999999999993</v>
      </c>
      <c r="Y529" s="35">
        <v>9</v>
      </c>
      <c r="Z529" s="35">
        <v>10.7</v>
      </c>
      <c r="AA529" s="35">
        <v>9</v>
      </c>
      <c r="AB529" s="35">
        <v>9.4</v>
      </c>
      <c r="AC529" s="35">
        <v>9</v>
      </c>
      <c r="AD529" s="35">
        <v>19.5</v>
      </c>
      <c r="AE529" s="35">
        <v>19</v>
      </c>
      <c r="AF529" s="35">
        <v>20.6</v>
      </c>
      <c r="AG529" s="35">
        <v>19</v>
      </c>
      <c r="AH529" s="35">
        <v>20.8</v>
      </c>
      <c r="AI529" s="35">
        <v>19</v>
      </c>
      <c r="AJ529" s="35">
        <v>19.7</v>
      </c>
      <c r="AK529" s="35">
        <v>19</v>
      </c>
      <c r="AL529" s="35">
        <v>19.600000000000001</v>
      </c>
      <c r="AM529" s="35">
        <v>19</v>
      </c>
      <c r="AN529" s="35">
        <v>20.6</v>
      </c>
      <c r="AO529" s="35">
        <v>19</v>
      </c>
      <c r="AP529" s="35">
        <v>20.5</v>
      </c>
      <c r="AQ529" s="35">
        <v>19</v>
      </c>
      <c r="AR529" s="35">
        <v>20.8</v>
      </c>
      <c r="AS529" s="35">
        <v>19</v>
      </c>
      <c r="AT529" s="35">
        <v>20.6</v>
      </c>
      <c r="AU529" s="35">
        <v>19</v>
      </c>
      <c r="AV529" s="35">
        <v>20.9</v>
      </c>
      <c r="AW529" s="35">
        <v>19</v>
      </c>
      <c r="AX529" s="35">
        <v>20.2</v>
      </c>
      <c r="AY529" s="35">
        <v>20</v>
      </c>
      <c r="AZ529" s="35">
        <v>20</v>
      </c>
      <c r="BA529" s="35">
        <v>20</v>
      </c>
      <c r="BB529" s="35">
        <v>31.1</v>
      </c>
      <c r="BC529" s="35">
        <v>40</v>
      </c>
      <c r="BD529" s="35">
        <v>30.2</v>
      </c>
      <c r="BE529" s="35">
        <v>40</v>
      </c>
      <c r="BF529" s="35">
        <v>17.899999999999999</v>
      </c>
      <c r="BG529" s="35">
        <v>20</v>
      </c>
    </row>
    <row r="530" spans="1:59" x14ac:dyDescent="0.35">
      <c r="A530" s="36">
        <v>46059.825694444444</v>
      </c>
      <c r="B530" s="35">
        <v>3.7</v>
      </c>
      <c r="C530" s="35">
        <v>2</v>
      </c>
      <c r="D530" s="35">
        <v>4.0999999999999996</v>
      </c>
      <c r="E530" s="35">
        <v>2.2000000000000002</v>
      </c>
      <c r="F530" s="35">
        <v>3.2</v>
      </c>
      <c r="G530" s="35">
        <v>2</v>
      </c>
      <c r="H530" s="35">
        <v>3.4</v>
      </c>
      <c r="I530" s="35">
        <v>2</v>
      </c>
      <c r="J530" s="35">
        <v>3.3</v>
      </c>
      <c r="K530" s="35">
        <v>2</v>
      </c>
      <c r="L530" s="35">
        <v>3</v>
      </c>
      <c r="M530" s="35">
        <v>2</v>
      </c>
      <c r="N530" s="35">
        <v>2.5</v>
      </c>
      <c r="O530" s="35">
        <v>3</v>
      </c>
      <c r="P530" s="35">
        <v>3</v>
      </c>
      <c r="Q530" s="35">
        <v>2</v>
      </c>
      <c r="R530" s="35">
        <v>6.1</v>
      </c>
      <c r="S530" s="35">
        <v>2</v>
      </c>
      <c r="T530" s="35">
        <v>1.9</v>
      </c>
      <c r="U530" s="35">
        <v>2</v>
      </c>
      <c r="V530" s="35">
        <v>7.6</v>
      </c>
      <c r="W530" s="35">
        <v>9</v>
      </c>
      <c r="X530" s="35">
        <v>9.3000000000000007</v>
      </c>
      <c r="Y530" s="35">
        <v>9</v>
      </c>
      <c r="Z530" s="35">
        <v>10.8</v>
      </c>
      <c r="AA530" s="35">
        <v>9</v>
      </c>
      <c r="AB530" s="35">
        <v>9.6999999999999993</v>
      </c>
      <c r="AC530" s="35">
        <v>9</v>
      </c>
      <c r="AD530" s="35">
        <v>19.600000000000001</v>
      </c>
      <c r="AE530" s="35">
        <v>19</v>
      </c>
      <c r="AF530" s="35">
        <v>20.6</v>
      </c>
      <c r="AG530" s="35">
        <v>19</v>
      </c>
      <c r="AH530" s="35">
        <v>20.8</v>
      </c>
      <c r="AI530" s="35">
        <v>19</v>
      </c>
      <c r="AJ530" s="35">
        <v>19.8</v>
      </c>
      <c r="AK530" s="35">
        <v>19</v>
      </c>
      <c r="AL530" s="35">
        <v>19.899999999999999</v>
      </c>
      <c r="AM530" s="35">
        <v>19</v>
      </c>
      <c r="AN530" s="35">
        <v>20.7</v>
      </c>
      <c r="AO530" s="35">
        <v>19</v>
      </c>
      <c r="AP530" s="35">
        <v>20.5</v>
      </c>
      <c r="AQ530" s="35">
        <v>19</v>
      </c>
      <c r="AR530" s="35">
        <v>20.8</v>
      </c>
      <c r="AS530" s="35">
        <v>19</v>
      </c>
      <c r="AT530" s="35">
        <v>20.7</v>
      </c>
      <c r="AU530" s="35">
        <v>19</v>
      </c>
      <c r="AV530" s="35">
        <v>20.9</v>
      </c>
      <c r="AW530" s="35">
        <v>19</v>
      </c>
      <c r="AX530" s="35">
        <v>20.2</v>
      </c>
      <c r="AY530" s="35">
        <v>20</v>
      </c>
      <c r="AZ530" s="35">
        <v>20.2</v>
      </c>
      <c r="BA530" s="35">
        <v>20</v>
      </c>
      <c r="BB530" s="35">
        <v>31.1</v>
      </c>
      <c r="BC530" s="35">
        <v>40</v>
      </c>
      <c r="BD530" s="35">
        <v>30.2</v>
      </c>
      <c r="BE530" s="35">
        <v>40</v>
      </c>
      <c r="BF530" s="35">
        <v>18.5</v>
      </c>
      <c r="BG530" s="35">
        <v>20</v>
      </c>
    </row>
    <row r="531" spans="1:59" x14ac:dyDescent="0.35">
      <c r="A531" s="36">
        <v>46059.826388888891</v>
      </c>
      <c r="B531" s="35">
        <v>3.9</v>
      </c>
      <c r="C531" s="35">
        <v>2</v>
      </c>
      <c r="D531" s="35">
        <v>4.2</v>
      </c>
      <c r="E531" s="35">
        <v>2.2000000000000002</v>
      </c>
      <c r="F531" s="35">
        <v>3.6</v>
      </c>
      <c r="G531" s="35">
        <v>2</v>
      </c>
      <c r="H531" s="35">
        <v>3.6</v>
      </c>
      <c r="I531" s="35">
        <v>2</v>
      </c>
      <c r="J531" s="35">
        <v>3.5</v>
      </c>
      <c r="K531" s="35">
        <v>2</v>
      </c>
      <c r="L531" s="35">
        <v>3.4</v>
      </c>
      <c r="M531" s="35">
        <v>2</v>
      </c>
      <c r="N531" s="35">
        <v>2.8</v>
      </c>
      <c r="O531" s="35">
        <v>3</v>
      </c>
      <c r="P531" s="35">
        <v>3.2</v>
      </c>
      <c r="Q531" s="35">
        <v>2</v>
      </c>
      <c r="R531" s="35">
        <v>3</v>
      </c>
      <c r="S531" s="35">
        <v>2</v>
      </c>
      <c r="T531" s="35">
        <v>1.3</v>
      </c>
      <c r="U531" s="35">
        <v>2</v>
      </c>
      <c r="V531" s="35">
        <v>7.6</v>
      </c>
      <c r="W531" s="35">
        <v>9</v>
      </c>
      <c r="X531" s="35">
        <v>9.5</v>
      </c>
      <c r="Y531" s="35">
        <v>9</v>
      </c>
      <c r="Z531" s="35">
        <v>10.8</v>
      </c>
      <c r="AA531" s="35">
        <v>9</v>
      </c>
      <c r="AB531" s="35">
        <v>10</v>
      </c>
      <c r="AC531" s="35">
        <v>9</v>
      </c>
      <c r="AD531" s="35">
        <v>19.7</v>
      </c>
      <c r="AE531" s="35">
        <v>19</v>
      </c>
      <c r="AF531" s="35">
        <v>20.6</v>
      </c>
      <c r="AG531" s="35">
        <v>19</v>
      </c>
      <c r="AH531" s="35">
        <v>20.8</v>
      </c>
      <c r="AI531" s="35">
        <v>19</v>
      </c>
      <c r="AJ531" s="35">
        <v>19.899999999999999</v>
      </c>
      <c r="AK531" s="35">
        <v>19</v>
      </c>
      <c r="AL531" s="35">
        <v>20.100000000000001</v>
      </c>
      <c r="AM531" s="35">
        <v>19</v>
      </c>
      <c r="AN531" s="35">
        <v>20.8</v>
      </c>
      <c r="AO531" s="35">
        <v>19</v>
      </c>
      <c r="AP531" s="35">
        <v>20.5</v>
      </c>
      <c r="AQ531" s="35">
        <v>19</v>
      </c>
      <c r="AR531" s="35">
        <v>20.8</v>
      </c>
      <c r="AS531" s="35">
        <v>19</v>
      </c>
      <c r="AT531" s="35">
        <v>20.7</v>
      </c>
      <c r="AU531" s="35">
        <v>19</v>
      </c>
      <c r="AV531" s="35">
        <v>20.9</v>
      </c>
      <c r="AW531" s="35">
        <v>19</v>
      </c>
      <c r="AX531" s="35">
        <v>20.2</v>
      </c>
      <c r="AY531" s="35">
        <v>20</v>
      </c>
      <c r="AZ531" s="35">
        <v>20.100000000000001</v>
      </c>
      <c r="BA531" s="35">
        <v>20</v>
      </c>
      <c r="BB531" s="35">
        <v>31.1</v>
      </c>
      <c r="BC531" s="35">
        <v>40</v>
      </c>
      <c r="BD531" s="35">
        <v>30.1</v>
      </c>
      <c r="BE531" s="35">
        <v>40</v>
      </c>
      <c r="BF531" s="35">
        <v>19</v>
      </c>
      <c r="BG531" s="35">
        <v>20</v>
      </c>
    </row>
    <row r="532" spans="1:59" x14ac:dyDescent="0.35">
      <c r="A532" s="36">
        <v>46059.82708333333</v>
      </c>
      <c r="B532" s="35">
        <v>4.0999999999999996</v>
      </c>
      <c r="C532" s="35">
        <v>2</v>
      </c>
      <c r="D532" s="35">
        <v>4.3</v>
      </c>
      <c r="E532" s="35">
        <v>2.2000000000000002</v>
      </c>
      <c r="F532" s="35">
        <v>3.9</v>
      </c>
      <c r="G532" s="35">
        <v>2</v>
      </c>
      <c r="H532" s="35">
        <v>3.9</v>
      </c>
      <c r="I532" s="35">
        <v>2</v>
      </c>
      <c r="J532" s="35">
        <v>3.7</v>
      </c>
      <c r="K532" s="35">
        <v>2</v>
      </c>
      <c r="L532" s="35">
        <v>3.7</v>
      </c>
      <c r="M532" s="35">
        <v>2</v>
      </c>
      <c r="N532" s="35">
        <v>3.1</v>
      </c>
      <c r="O532" s="35">
        <v>3</v>
      </c>
      <c r="P532" s="35">
        <v>3.4</v>
      </c>
      <c r="Q532" s="35">
        <v>2</v>
      </c>
      <c r="R532" s="35">
        <v>1.8</v>
      </c>
      <c r="S532" s="35">
        <v>2</v>
      </c>
      <c r="T532" s="35">
        <v>0.9</v>
      </c>
      <c r="U532" s="35">
        <v>2</v>
      </c>
      <c r="V532" s="35">
        <v>8.4</v>
      </c>
      <c r="W532" s="35">
        <v>9</v>
      </c>
      <c r="X532" s="35">
        <v>9.6</v>
      </c>
      <c r="Y532" s="35">
        <v>9</v>
      </c>
      <c r="Z532" s="35">
        <v>10.9</v>
      </c>
      <c r="AA532" s="35">
        <v>9</v>
      </c>
      <c r="AB532" s="35">
        <v>10.199999999999999</v>
      </c>
      <c r="AC532" s="35">
        <v>9</v>
      </c>
      <c r="AD532" s="35">
        <v>19.7</v>
      </c>
      <c r="AE532" s="35">
        <v>19</v>
      </c>
      <c r="AF532" s="35">
        <v>20.6</v>
      </c>
      <c r="AG532" s="35">
        <v>19</v>
      </c>
      <c r="AH532" s="35">
        <v>20.9</v>
      </c>
      <c r="AI532" s="35">
        <v>19</v>
      </c>
      <c r="AJ532" s="35">
        <v>20</v>
      </c>
      <c r="AK532" s="35">
        <v>19</v>
      </c>
      <c r="AL532" s="35">
        <v>20.399999999999999</v>
      </c>
      <c r="AM532" s="35">
        <v>19</v>
      </c>
      <c r="AN532" s="35">
        <v>20.9</v>
      </c>
      <c r="AO532" s="35">
        <v>19</v>
      </c>
      <c r="AP532" s="35">
        <v>20.6</v>
      </c>
      <c r="AQ532" s="35">
        <v>19</v>
      </c>
      <c r="AR532" s="35">
        <v>20.8</v>
      </c>
      <c r="AS532" s="35">
        <v>19</v>
      </c>
      <c r="AT532" s="35">
        <v>20.8</v>
      </c>
      <c r="AU532" s="35">
        <v>19</v>
      </c>
      <c r="AV532" s="35">
        <v>20.9</v>
      </c>
      <c r="AW532" s="35">
        <v>19</v>
      </c>
      <c r="AX532" s="35">
        <v>20.2</v>
      </c>
      <c r="AY532" s="35">
        <v>20</v>
      </c>
      <c r="AZ532" s="35">
        <v>20</v>
      </c>
      <c r="BA532" s="35">
        <v>20</v>
      </c>
      <c r="BB532" s="35">
        <v>31.1</v>
      </c>
      <c r="BC532" s="35">
        <v>40</v>
      </c>
      <c r="BD532" s="35">
        <v>30.1</v>
      </c>
      <c r="BE532" s="35">
        <v>40</v>
      </c>
      <c r="BF532" s="35">
        <v>19.399999999999999</v>
      </c>
      <c r="BG532" s="35">
        <v>20</v>
      </c>
    </row>
    <row r="533" spans="1:59" x14ac:dyDescent="0.35">
      <c r="A533" s="36">
        <v>46059.827777777777</v>
      </c>
      <c r="B533" s="35">
        <v>3.1</v>
      </c>
      <c r="C533" s="35">
        <v>2</v>
      </c>
      <c r="D533" s="35">
        <v>3.2</v>
      </c>
      <c r="E533" s="35">
        <v>2.2000000000000002</v>
      </c>
      <c r="F533" s="35">
        <v>3.8</v>
      </c>
      <c r="G533" s="35">
        <v>2</v>
      </c>
      <c r="H533" s="35">
        <v>3.5</v>
      </c>
      <c r="I533" s="35">
        <v>2</v>
      </c>
      <c r="J533" s="35">
        <v>4</v>
      </c>
      <c r="K533" s="35">
        <v>2</v>
      </c>
      <c r="L533" s="35">
        <v>3.9</v>
      </c>
      <c r="M533" s="35">
        <v>2</v>
      </c>
      <c r="N533" s="35">
        <v>3.3</v>
      </c>
      <c r="O533" s="35">
        <v>3</v>
      </c>
      <c r="P533" s="35">
        <v>3.6</v>
      </c>
      <c r="Q533" s="35">
        <v>2</v>
      </c>
      <c r="R533" s="35">
        <v>1.7</v>
      </c>
      <c r="S533" s="35">
        <v>2</v>
      </c>
      <c r="T533" s="35">
        <v>1.1000000000000001</v>
      </c>
      <c r="U533" s="35">
        <v>2</v>
      </c>
      <c r="V533" s="35">
        <v>9.1</v>
      </c>
      <c r="W533" s="35">
        <v>9</v>
      </c>
      <c r="X533" s="35">
        <v>9.6999999999999993</v>
      </c>
      <c r="Y533" s="35">
        <v>9</v>
      </c>
      <c r="Z533" s="35">
        <v>10.9</v>
      </c>
      <c r="AA533" s="35">
        <v>9</v>
      </c>
      <c r="AB533" s="35">
        <v>10.4</v>
      </c>
      <c r="AC533" s="35">
        <v>9</v>
      </c>
      <c r="AD533" s="35">
        <v>19.8</v>
      </c>
      <c r="AE533" s="35">
        <v>19</v>
      </c>
      <c r="AF533" s="35">
        <v>20.7</v>
      </c>
      <c r="AG533" s="35">
        <v>19</v>
      </c>
      <c r="AH533" s="35">
        <v>20.9</v>
      </c>
      <c r="AI533" s="35">
        <v>19</v>
      </c>
      <c r="AJ533" s="35">
        <v>20</v>
      </c>
      <c r="AK533" s="35">
        <v>19</v>
      </c>
      <c r="AL533" s="35">
        <v>20.5</v>
      </c>
      <c r="AM533" s="35">
        <v>19</v>
      </c>
      <c r="AN533" s="35">
        <v>20.9</v>
      </c>
      <c r="AO533" s="35">
        <v>19</v>
      </c>
      <c r="AP533" s="35">
        <v>20.6</v>
      </c>
      <c r="AQ533" s="35">
        <v>19</v>
      </c>
      <c r="AR533" s="35">
        <v>20.8</v>
      </c>
      <c r="AS533" s="35">
        <v>19</v>
      </c>
      <c r="AT533" s="35">
        <v>20.9</v>
      </c>
      <c r="AU533" s="35">
        <v>19</v>
      </c>
      <c r="AV533" s="35">
        <v>19.3</v>
      </c>
      <c r="AW533" s="35">
        <v>19</v>
      </c>
      <c r="AX533" s="35">
        <v>20.2</v>
      </c>
      <c r="AY533" s="35">
        <v>20</v>
      </c>
      <c r="AZ533" s="35">
        <v>20</v>
      </c>
      <c r="BA533" s="35">
        <v>20</v>
      </c>
      <c r="BB533" s="35">
        <v>31.1</v>
      </c>
      <c r="BC533" s="35">
        <v>40</v>
      </c>
      <c r="BD533" s="35">
        <v>30.1</v>
      </c>
      <c r="BE533" s="35">
        <v>40</v>
      </c>
      <c r="BF533" s="35">
        <v>19.8</v>
      </c>
      <c r="BG533" s="35">
        <v>20</v>
      </c>
    </row>
    <row r="534" spans="1:59" x14ac:dyDescent="0.35">
      <c r="A534" s="36">
        <v>46059.828472222223</v>
      </c>
      <c r="B534" s="35">
        <v>1.8</v>
      </c>
      <c r="C534" s="35">
        <v>2</v>
      </c>
      <c r="D534" s="35">
        <v>2.1</v>
      </c>
      <c r="E534" s="35">
        <v>2.2000000000000002</v>
      </c>
      <c r="F534" s="35">
        <v>3.2</v>
      </c>
      <c r="G534" s="35">
        <v>2</v>
      </c>
      <c r="H534" s="35">
        <v>2.5</v>
      </c>
      <c r="I534" s="35">
        <v>2</v>
      </c>
      <c r="J534" s="35">
        <v>3.3</v>
      </c>
      <c r="K534" s="35">
        <v>2</v>
      </c>
      <c r="L534" s="35">
        <v>3.2</v>
      </c>
      <c r="M534" s="35">
        <v>2</v>
      </c>
      <c r="N534" s="35">
        <v>3.5</v>
      </c>
      <c r="O534" s="35">
        <v>3</v>
      </c>
      <c r="P534" s="35">
        <v>3.7</v>
      </c>
      <c r="Q534" s="35">
        <v>2</v>
      </c>
      <c r="R534" s="35">
        <v>1.9</v>
      </c>
      <c r="S534" s="35">
        <v>2</v>
      </c>
      <c r="T534" s="35">
        <v>1.4</v>
      </c>
      <c r="U534" s="35">
        <v>2</v>
      </c>
      <c r="V534" s="35">
        <v>9.6999999999999993</v>
      </c>
      <c r="W534" s="35">
        <v>9</v>
      </c>
      <c r="X534" s="35">
        <v>9.8000000000000007</v>
      </c>
      <c r="Y534" s="35">
        <v>9</v>
      </c>
      <c r="Z534" s="35">
        <v>11</v>
      </c>
      <c r="AA534" s="35">
        <v>9</v>
      </c>
      <c r="AB534" s="35">
        <v>10.5</v>
      </c>
      <c r="AC534" s="35">
        <v>9</v>
      </c>
      <c r="AD534" s="35">
        <v>19.8</v>
      </c>
      <c r="AE534" s="35">
        <v>19</v>
      </c>
      <c r="AF534" s="35">
        <v>20.7</v>
      </c>
      <c r="AG534" s="35">
        <v>19</v>
      </c>
      <c r="AH534" s="35">
        <v>20.9</v>
      </c>
      <c r="AI534" s="35">
        <v>19</v>
      </c>
      <c r="AJ534" s="35">
        <v>20.100000000000001</v>
      </c>
      <c r="AK534" s="35">
        <v>19</v>
      </c>
      <c r="AL534" s="35">
        <v>20.7</v>
      </c>
      <c r="AM534" s="35">
        <v>19</v>
      </c>
      <c r="AN534" s="35">
        <v>21</v>
      </c>
      <c r="AO534" s="35">
        <v>19</v>
      </c>
      <c r="AP534" s="35">
        <v>20.6</v>
      </c>
      <c r="AQ534" s="35">
        <v>19</v>
      </c>
      <c r="AR534" s="35">
        <v>20.8</v>
      </c>
      <c r="AS534" s="35">
        <v>19</v>
      </c>
      <c r="AT534" s="35">
        <v>20.9</v>
      </c>
      <c r="AU534" s="35">
        <v>19</v>
      </c>
      <c r="AV534" s="35">
        <v>17.7</v>
      </c>
      <c r="AW534" s="35">
        <v>19</v>
      </c>
      <c r="AX534" s="35">
        <v>20.2</v>
      </c>
      <c r="AY534" s="35">
        <v>20</v>
      </c>
      <c r="AZ534" s="35">
        <v>20</v>
      </c>
      <c r="BA534" s="35">
        <v>20</v>
      </c>
      <c r="BB534" s="35">
        <v>31</v>
      </c>
      <c r="BC534" s="35">
        <v>40</v>
      </c>
      <c r="BD534" s="35">
        <v>30.1</v>
      </c>
      <c r="BE534" s="35">
        <v>40</v>
      </c>
      <c r="BF534" s="35">
        <v>20.2</v>
      </c>
      <c r="BG534" s="35">
        <v>20</v>
      </c>
    </row>
    <row r="535" spans="1:59" x14ac:dyDescent="0.35">
      <c r="A535" s="36">
        <v>46059.82916666667</v>
      </c>
      <c r="B535" s="35">
        <v>1.7</v>
      </c>
      <c r="C535" s="35">
        <v>2</v>
      </c>
      <c r="D535" s="35">
        <v>2.2000000000000002</v>
      </c>
      <c r="E535" s="35">
        <v>2.2000000000000002</v>
      </c>
      <c r="F535" s="35">
        <v>3.2</v>
      </c>
      <c r="G535" s="35">
        <v>2</v>
      </c>
      <c r="H535" s="35">
        <v>2.7</v>
      </c>
      <c r="I535" s="35">
        <v>2</v>
      </c>
      <c r="J535" s="35">
        <v>2.5</v>
      </c>
      <c r="K535" s="35">
        <v>2</v>
      </c>
      <c r="L535" s="35">
        <v>2.4</v>
      </c>
      <c r="M535" s="35">
        <v>2</v>
      </c>
      <c r="N535" s="35">
        <v>3.7</v>
      </c>
      <c r="O535" s="35">
        <v>3</v>
      </c>
      <c r="P535" s="35">
        <v>3.8</v>
      </c>
      <c r="Q535" s="35">
        <v>2</v>
      </c>
      <c r="R535" s="35">
        <v>2.2999999999999998</v>
      </c>
      <c r="S535" s="35">
        <v>2</v>
      </c>
      <c r="T535" s="35">
        <v>1.7</v>
      </c>
      <c r="U535" s="35">
        <v>2</v>
      </c>
      <c r="V535" s="35">
        <v>10.4</v>
      </c>
      <c r="W535" s="35">
        <v>9</v>
      </c>
      <c r="X535" s="35">
        <v>9.9</v>
      </c>
      <c r="Y535" s="35">
        <v>9</v>
      </c>
      <c r="Z535" s="35">
        <v>9.9</v>
      </c>
      <c r="AA535" s="35">
        <v>9</v>
      </c>
      <c r="AB535" s="35">
        <v>10.7</v>
      </c>
      <c r="AC535" s="35">
        <v>9</v>
      </c>
      <c r="AD535" s="35">
        <v>19.8</v>
      </c>
      <c r="AE535" s="35">
        <v>19</v>
      </c>
      <c r="AF535" s="35">
        <v>20.7</v>
      </c>
      <c r="AG535" s="35">
        <v>19</v>
      </c>
      <c r="AH535" s="35">
        <v>21</v>
      </c>
      <c r="AI535" s="35">
        <v>19</v>
      </c>
      <c r="AJ535" s="35">
        <v>20.2</v>
      </c>
      <c r="AK535" s="35">
        <v>19</v>
      </c>
      <c r="AL535" s="35">
        <v>20.8</v>
      </c>
      <c r="AM535" s="35">
        <v>19</v>
      </c>
      <c r="AN535" s="35">
        <v>20.3</v>
      </c>
      <c r="AO535" s="35">
        <v>19</v>
      </c>
      <c r="AP535" s="35">
        <v>20.6</v>
      </c>
      <c r="AQ535" s="35">
        <v>19</v>
      </c>
      <c r="AR535" s="35">
        <v>20.8</v>
      </c>
      <c r="AS535" s="35">
        <v>19</v>
      </c>
      <c r="AT535" s="35">
        <v>21</v>
      </c>
      <c r="AU535" s="35">
        <v>19</v>
      </c>
      <c r="AV535" s="35">
        <v>17.399999999999999</v>
      </c>
      <c r="AW535" s="35">
        <v>19</v>
      </c>
      <c r="AX535" s="35">
        <v>20.2</v>
      </c>
      <c r="AY535" s="35">
        <v>20</v>
      </c>
      <c r="AZ535" s="35">
        <v>20</v>
      </c>
      <c r="BA535" s="35">
        <v>20</v>
      </c>
      <c r="BB535" s="35">
        <v>31</v>
      </c>
      <c r="BC535" s="35">
        <v>40</v>
      </c>
      <c r="BD535" s="35">
        <v>30.1</v>
      </c>
      <c r="BE535" s="35">
        <v>40</v>
      </c>
      <c r="BF535" s="35">
        <v>20.7</v>
      </c>
      <c r="BG535" s="35">
        <v>20</v>
      </c>
    </row>
    <row r="536" spans="1:59" x14ac:dyDescent="0.35">
      <c r="A536" s="36">
        <v>46059.829861111109</v>
      </c>
      <c r="B536" s="35">
        <v>2</v>
      </c>
      <c r="C536" s="35">
        <v>2</v>
      </c>
      <c r="D536" s="35">
        <v>2.7</v>
      </c>
      <c r="E536" s="35">
        <v>2.2000000000000002</v>
      </c>
      <c r="F536" s="35">
        <v>3.4</v>
      </c>
      <c r="G536" s="35">
        <v>2</v>
      </c>
      <c r="H536" s="35">
        <v>2.9</v>
      </c>
      <c r="I536" s="35">
        <v>2</v>
      </c>
      <c r="J536" s="35">
        <v>2</v>
      </c>
      <c r="K536" s="35">
        <v>2</v>
      </c>
      <c r="L536" s="35">
        <v>1.9</v>
      </c>
      <c r="M536" s="35">
        <v>2</v>
      </c>
      <c r="N536" s="35">
        <v>3.9</v>
      </c>
      <c r="O536" s="35">
        <v>3</v>
      </c>
      <c r="P536" s="35">
        <v>4</v>
      </c>
      <c r="Q536" s="35">
        <v>2</v>
      </c>
      <c r="R536" s="35">
        <v>2.6</v>
      </c>
      <c r="S536" s="35">
        <v>2</v>
      </c>
      <c r="T536" s="35">
        <v>2</v>
      </c>
      <c r="U536" s="35">
        <v>2</v>
      </c>
      <c r="V536" s="35">
        <v>10.8</v>
      </c>
      <c r="W536" s="35">
        <v>9</v>
      </c>
      <c r="X536" s="35">
        <v>10</v>
      </c>
      <c r="Y536" s="35">
        <v>9</v>
      </c>
      <c r="Z536" s="35">
        <v>8.9</v>
      </c>
      <c r="AA536" s="35">
        <v>9</v>
      </c>
      <c r="AB536" s="35">
        <v>10.8</v>
      </c>
      <c r="AC536" s="35">
        <v>9</v>
      </c>
      <c r="AD536" s="35">
        <v>19.899999999999999</v>
      </c>
      <c r="AE536" s="35">
        <v>19</v>
      </c>
      <c r="AF536" s="35">
        <v>20.8</v>
      </c>
      <c r="AG536" s="35">
        <v>19</v>
      </c>
      <c r="AH536" s="35">
        <v>20.3</v>
      </c>
      <c r="AI536" s="35">
        <v>19</v>
      </c>
      <c r="AJ536" s="35">
        <v>20.3</v>
      </c>
      <c r="AK536" s="35">
        <v>19</v>
      </c>
      <c r="AL536" s="35">
        <v>20.9</v>
      </c>
      <c r="AM536" s="35">
        <v>19</v>
      </c>
      <c r="AN536" s="35">
        <v>19.8</v>
      </c>
      <c r="AO536" s="35">
        <v>19</v>
      </c>
      <c r="AP536" s="35">
        <v>20.6</v>
      </c>
      <c r="AQ536" s="35">
        <v>19</v>
      </c>
      <c r="AR536" s="35">
        <v>20.8</v>
      </c>
      <c r="AS536" s="35">
        <v>19</v>
      </c>
      <c r="AT536" s="35">
        <v>19.7</v>
      </c>
      <c r="AU536" s="35">
        <v>19</v>
      </c>
      <c r="AV536" s="35">
        <v>17.399999999999999</v>
      </c>
      <c r="AW536" s="35">
        <v>19</v>
      </c>
      <c r="AX536" s="35">
        <v>20.2</v>
      </c>
      <c r="AY536" s="35">
        <v>20</v>
      </c>
      <c r="AZ536" s="35">
        <v>20</v>
      </c>
      <c r="BA536" s="35">
        <v>20</v>
      </c>
      <c r="BB536" s="35">
        <v>31</v>
      </c>
      <c r="BC536" s="35">
        <v>40</v>
      </c>
      <c r="BD536" s="35">
        <v>30.1</v>
      </c>
      <c r="BE536" s="35">
        <v>40</v>
      </c>
      <c r="BF536" s="35">
        <v>20.9</v>
      </c>
      <c r="BG536" s="35">
        <v>20</v>
      </c>
    </row>
    <row r="537" spans="1:59" x14ac:dyDescent="0.35">
      <c r="A537" s="36">
        <v>46059.830555555556</v>
      </c>
      <c r="B537" s="35">
        <v>2.5</v>
      </c>
      <c r="C537" s="35">
        <v>2</v>
      </c>
      <c r="D537" s="35">
        <v>3.2</v>
      </c>
      <c r="E537" s="35">
        <v>2.2000000000000002</v>
      </c>
      <c r="F537" s="35">
        <v>3.6</v>
      </c>
      <c r="G537" s="35">
        <v>2</v>
      </c>
      <c r="H537" s="35">
        <v>2.9</v>
      </c>
      <c r="I537" s="35">
        <v>2</v>
      </c>
      <c r="J537" s="35">
        <v>1.8</v>
      </c>
      <c r="K537" s="35">
        <v>2</v>
      </c>
      <c r="L537" s="35">
        <v>1.9</v>
      </c>
      <c r="M537" s="35">
        <v>2</v>
      </c>
      <c r="N537" s="35">
        <v>2.7</v>
      </c>
      <c r="O537" s="35">
        <v>3</v>
      </c>
      <c r="P537" s="35">
        <v>3.2</v>
      </c>
      <c r="Q537" s="35">
        <v>2</v>
      </c>
      <c r="R537" s="35">
        <v>2.9</v>
      </c>
      <c r="S537" s="35">
        <v>2</v>
      </c>
      <c r="T537" s="35">
        <v>2.2999999999999998</v>
      </c>
      <c r="U537" s="35">
        <v>2</v>
      </c>
      <c r="V537" s="35">
        <v>11.1</v>
      </c>
      <c r="W537" s="35">
        <v>9</v>
      </c>
      <c r="X537" s="35">
        <v>10.1</v>
      </c>
      <c r="Y537" s="35">
        <v>9</v>
      </c>
      <c r="Z537" s="35">
        <v>8.6</v>
      </c>
      <c r="AA537" s="35">
        <v>9</v>
      </c>
      <c r="AB537" s="35">
        <v>11</v>
      </c>
      <c r="AC537" s="35">
        <v>9</v>
      </c>
      <c r="AD537" s="35">
        <v>19.899999999999999</v>
      </c>
      <c r="AE537" s="35">
        <v>19</v>
      </c>
      <c r="AF537" s="35">
        <v>20.8</v>
      </c>
      <c r="AG537" s="35">
        <v>19</v>
      </c>
      <c r="AH537" s="35">
        <v>18.7</v>
      </c>
      <c r="AI537" s="35">
        <v>19</v>
      </c>
      <c r="AJ537" s="35">
        <v>20.399999999999999</v>
      </c>
      <c r="AK537" s="35">
        <v>19</v>
      </c>
      <c r="AL537" s="35">
        <v>21</v>
      </c>
      <c r="AM537" s="35">
        <v>19</v>
      </c>
      <c r="AN537" s="35">
        <v>19</v>
      </c>
      <c r="AO537" s="35">
        <v>19</v>
      </c>
      <c r="AP537" s="35">
        <v>20.6</v>
      </c>
      <c r="AQ537" s="35">
        <v>19</v>
      </c>
      <c r="AR537" s="35">
        <v>20.8</v>
      </c>
      <c r="AS537" s="35">
        <v>19</v>
      </c>
      <c r="AT537" s="35">
        <v>18.2</v>
      </c>
      <c r="AU537" s="35">
        <v>19</v>
      </c>
      <c r="AV537" s="35">
        <v>17.600000000000001</v>
      </c>
      <c r="AW537" s="35">
        <v>19</v>
      </c>
      <c r="AX537" s="35">
        <v>20.2</v>
      </c>
      <c r="AY537" s="35">
        <v>20</v>
      </c>
      <c r="AZ537" s="35">
        <v>20</v>
      </c>
      <c r="BA537" s="35">
        <v>20</v>
      </c>
      <c r="BB537" s="35">
        <v>31</v>
      </c>
      <c r="BC537" s="35">
        <v>40</v>
      </c>
      <c r="BD537" s="35">
        <v>30.1</v>
      </c>
      <c r="BE537" s="35">
        <v>40</v>
      </c>
      <c r="BF537" s="35">
        <v>21.1</v>
      </c>
      <c r="BG537" s="35">
        <v>20</v>
      </c>
    </row>
    <row r="538" spans="1:59" x14ac:dyDescent="0.35">
      <c r="A538" s="36">
        <v>46059.831250000003</v>
      </c>
      <c r="B538" s="35">
        <v>2.9</v>
      </c>
      <c r="C538" s="35">
        <v>2</v>
      </c>
      <c r="D538" s="35">
        <v>3.5</v>
      </c>
      <c r="E538" s="35">
        <v>2.2000000000000002</v>
      </c>
      <c r="F538" s="35">
        <v>3.7</v>
      </c>
      <c r="G538" s="35">
        <v>2</v>
      </c>
      <c r="H538" s="35">
        <v>3.2</v>
      </c>
      <c r="I538" s="35">
        <v>2</v>
      </c>
      <c r="J538" s="35">
        <v>1.8</v>
      </c>
      <c r="K538" s="35">
        <v>2</v>
      </c>
      <c r="L538" s="35">
        <v>2.2000000000000002</v>
      </c>
      <c r="M538" s="35">
        <v>2</v>
      </c>
      <c r="N538" s="35">
        <v>1.4</v>
      </c>
      <c r="O538" s="35">
        <v>3</v>
      </c>
      <c r="P538" s="35">
        <v>2.1</v>
      </c>
      <c r="Q538" s="35">
        <v>2</v>
      </c>
      <c r="R538" s="35">
        <v>3.2</v>
      </c>
      <c r="S538" s="35">
        <v>2</v>
      </c>
      <c r="T538" s="35">
        <v>2.6</v>
      </c>
      <c r="U538" s="35">
        <v>2</v>
      </c>
      <c r="V538" s="35">
        <v>9.4</v>
      </c>
      <c r="W538" s="35">
        <v>9</v>
      </c>
      <c r="X538" s="35">
        <v>10.199999999999999</v>
      </c>
      <c r="Y538" s="35">
        <v>9</v>
      </c>
      <c r="Z538" s="35">
        <v>8.8000000000000007</v>
      </c>
      <c r="AA538" s="35">
        <v>9</v>
      </c>
      <c r="AB538" s="35">
        <v>10.9</v>
      </c>
      <c r="AC538" s="35">
        <v>9</v>
      </c>
      <c r="AD538" s="35">
        <v>19.899999999999999</v>
      </c>
      <c r="AE538" s="35">
        <v>19</v>
      </c>
      <c r="AF538" s="35">
        <v>20.8</v>
      </c>
      <c r="AG538" s="35">
        <v>19</v>
      </c>
      <c r="AH538" s="35">
        <v>18.100000000000001</v>
      </c>
      <c r="AI538" s="35">
        <v>19</v>
      </c>
      <c r="AJ538" s="35">
        <v>20.399999999999999</v>
      </c>
      <c r="AK538" s="35">
        <v>19</v>
      </c>
      <c r="AL538" s="35">
        <v>20.9</v>
      </c>
      <c r="AM538" s="35">
        <v>19</v>
      </c>
      <c r="AN538" s="35">
        <v>18.600000000000001</v>
      </c>
      <c r="AO538" s="35">
        <v>19</v>
      </c>
      <c r="AP538" s="35">
        <v>20.6</v>
      </c>
      <c r="AQ538" s="35">
        <v>19</v>
      </c>
      <c r="AR538" s="35">
        <v>20.8</v>
      </c>
      <c r="AS538" s="35">
        <v>19</v>
      </c>
      <c r="AT538" s="35">
        <v>18</v>
      </c>
      <c r="AU538" s="35">
        <v>19</v>
      </c>
      <c r="AV538" s="35">
        <v>17.8</v>
      </c>
      <c r="AW538" s="35">
        <v>19</v>
      </c>
      <c r="AX538" s="35">
        <v>20.2</v>
      </c>
      <c r="AY538" s="35">
        <v>20</v>
      </c>
      <c r="AZ538" s="35">
        <v>20</v>
      </c>
      <c r="BA538" s="35">
        <v>20</v>
      </c>
      <c r="BB538" s="35">
        <v>31</v>
      </c>
      <c r="BC538" s="35">
        <v>40</v>
      </c>
      <c r="BD538" s="35">
        <v>30.1</v>
      </c>
      <c r="BE538" s="35">
        <v>40</v>
      </c>
      <c r="BF538" s="35">
        <v>21.3</v>
      </c>
      <c r="BG538" s="35">
        <v>20</v>
      </c>
    </row>
    <row r="539" spans="1:59" x14ac:dyDescent="0.35">
      <c r="A539" s="36">
        <v>46059.831944444442</v>
      </c>
      <c r="B539" s="35">
        <v>3.3</v>
      </c>
      <c r="C539" s="35">
        <v>2</v>
      </c>
      <c r="D539" s="35">
        <v>3.8</v>
      </c>
      <c r="E539" s="35">
        <v>2.2000000000000002</v>
      </c>
      <c r="F539" s="35">
        <v>3.9</v>
      </c>
      <c r="G539" s="35">
        <v>2</v>
      </c>
      <c r="H539" s="35">
        <v>3.5</v>
      </c>
      <c r="I539" s="35">
        <v>2</v>
      </c>
      <c r="J539" s="35">
        <v>2</v>
      </c>
      <c r="K539" s="35">
        <v>2</v>
      </c>
      <c r="L539" s="35">
        <v>2.4</v>
      </c>
      <c r="M539" s="35">
        <v>2</v>
      </c>
      <c r="N539" s="35">
        <v>1.3</v>
      </c>
      <c r="O539" s="35">
        <v>3</v>
      </c>
      <c r="P539" s="35">
        <v>1.9</v>
      </c>
      <c r="Q539" s="35">
        <v>2</v>
      </c>
      <c r="R539" s="35">
        <v>3.4</v>
      </c>
      <c r="S539" s="35">
        <v>2</v>
      </c>
      <c r="T539" s="35">
        <v>2.8</v>
      </c>
      <c r="U539" s="35">
        <v>2</v>
      </c>
      <c r="V539" s="35">
        <v>7.8</v>
      </c>
      <c r="W539" s="35">
        <v>9</v>
      </c>
      <c r="X539" s="35">
        <v>10.3</v>
      </c>
      <c r="Y539" s="35">
        <v>9</v>
      </c>
      <c r="Z539" s="35">
        <v>9.1</v>
      </c>
      <c r="AA539" s="35">
        <v>9</v>
      </c>
      <c r="AB539" s="35">
        <v>9.6</v>
      </c>
      <c r="AC539" s="35">
        <v>9</v>
      </c>
      <c r="AD539" s="35">
        <v>19.899999999999999</v>
      </c>
      <c r="AE539" s="35">
        <v>19</v>
      </c>
      <c r="AF539" s="35">
        <v>20.9</v>
      </c>
      <c r="AG539" s="35">
        <v>19</v>
      </c>
      <c r="AH539" s="35">
        <v>18.100000000000001</v>
      </c>
      <c r="AI539" s="35">
        <v>19</v>
      </c>
      <c r="AJ539" s="35">
        <v>20.5</v>
      </c>
      <c r="AK539" s="35">
        <v>19</v>
      </c>
      <c r="AL539" s="35">
        <v>20.7</v>
      </c>
      <c r="AM539" s="35">
        <v>19</v>
      </c>
      <c r="AN539" s="35">
        <v>18.600000000000001</v>
      </c>
      <c r="AO539" s="35">
        <v>19</v>
      </c>
      <c r="AP539" s="35">
        <v>20.6</v>
      </c>
      <c r="AQ539" s="35">
        <v>19</v>
      </c>
      <c r="AR539" s="35">
        <v>20.8</v>
      </c>
      <c r="AS539" s="35">
        <v>19</v>
      </c>
      <c r="AT539" s="35">
        <v>18</v>
      </c>
      <c r="AU539" s="35">
        <v>19</v>
      </c>
      <c r="AV539" s="35">
        <v>18</v>
      </c>
      <c r="AW539" s="35">
        <v>19</v>
      </c>
      <c r="AX539" s="35">
        <v>20.3</v>
      </c>
      <c r="AY539" s="35">
        <v>20</v>
      </c>
      <c r="AZ539" s="35">
        <v>20.2</v>
      </c>
      <c r="BA539" s="35">
        <v>20</v>
      </c>
      <c r="BB539" s="35">
        <v>31</v>
      </c>
      <c r="BC539" s="35">
        <v>40</v>
      </c>
      <c r="BD539" s="35">
        <v>30.1</v>
      </c>
      <c r="BE539" s="35">
        <v>40</v>
      </c>
      <c r="BF539" s="35">
        <v>21.4</v>
      </c>
      <c r="BG539" s="35">
        <v>20</v>
      </c>
    </row>
    <row r="540" spans="1:59" x14ac:dyDescent="0.35">
      <c r="A540" s="36">
        <v>46059.833333333336</v>
      </c>
      <c r="B540" s="35">
        <v>3.7</v>
      </c>
      <c r="C540" s="35">
        <v>2</v>
      </c>
      <c r="D540" s="35">
        <v>4.0999999999999996</v>
      </c>
      <c r="E540" s="35">
        <v>2.2000000000000002</v>
      </c>
      <c r="F540" s="35">
        <v>1.5</v>
      </c>
      <c r="G540" s="35">
        <v>2</v>
      </c>
      <c r="H540" s="35">
        <v>1.3</v>
      </c>
      <c r="I540" s="35">
        <v>2</v>
      </c>
      <c r="J540" s="35">
        <v>2.4</v>
      </c>
      <c r="K540" s="35">
        <v>2</v>
      </c>
      <c r="L540" s="35">
        <v>3.1</v>
      </c>
      <c r="M540" s="35">
        <v>2</v>
      </c>
      <c r="N540" s="35">
        <v>1.8</v>
      </c>
      <c r="O540" s="35">
        <v>3</v>
      </c>
      <c r="P540" s="35">
        <v>2.5</v>
      </c>
      <c r="Q540" s="35">
        <v>2</v>
      </c>
      <c r="R540" s="35">
        <v>3.7</v>
      </c>
      <c r="S540" s="35">
        <v>2</v>
      </c>
      <c r="T540" s="35">
        <v>3.2</v>
      </c>
      <c r="U540" s="35">
        <v>2</v>
      </c>
      <c r="V540" s="35">
        <v>8.4</v>
      </c>
      <c r="W540" s="35">
        <v>9</v>
      </c>
      <c r="X540" s="35">
        <v>10.4</v>
      </c>
      <c r="Y540" s="35">
        <v>9</v>
      </c>
      <c r="Z540" s="35">
        <v>9.6</v>
      </c>
      <c r="AA540" s="35">
        <v>9</v>
      </c>
      <c r="AB540" s="35">
        <v>8.4</v>
      </c>
      <c r="AC540" s="35">
        <v>9</v>
      </c>
      <c r="AD540" s="35">
        <v>20</v>
      </c>
      <c r="AE540" s="35">
        <v>19</v>
      </c>
      <c r="AF540" s="35">
        <v>20.9</v>
      </c>
      <c r="AG540" s="35">
        <v>19</v>
      </c>
      <c r="AH540" s="35">
        <v>18.600000000000001</v>
      </c>
      <c r="AI540" s="35">
        <v>19</v>
      </c>
      <c r="AJ540" s="35">
        <v>20.6</v>
      </c>
      <c r="AK540" s="35">
        <v>19</v>
      </c>
      <c r="AL540" s="35">
        <v>20</v>
      </c>
      <c r="AM540" s="35">
        <v>19</v>
      </c>
      <c r="AN540" s="35">
        <v>19.100000000000001</v>
      </c>
      <c r="AO540" s="35">
        <v>19</v>
      </c>
      <c r="AP540" s="35">
        <v>20.7</v>
      </c>
      <c r="AQ540" s="35">
        <v>19</v>
      </c>
      <c r="AR540" s="35">
        <v>20.8</v>
      </c>
      <c r="AS540" s="35">
        <v>19</v>
      </c>
      <c r="AT540" s="35">
        <v>18.3</v>
      </c>
      <c r="AU540" s="35">
        <v>19</v>
      </c>
      <c r="AV540" s="35">
        <v>18.399999999999999</v>
      </c>
      <c r="AW540" s="35">
        <v>19</v>
      </c>
      <c r="AX540" s="35">
        <v>20.3</v>
      </c>
      <c r="AY540" s="35">
        <v>20</v>
      </c>
      <c r="AZ540" s="35">
        <v>20.2</v>
      </c>
      <c r="BA540" s="35">
        <v>20</v>
      </c>
      <c r="BB540" s="35">
        <v>31</v>
      </c>
      <c r="BC540" s="35">
        <v>40</v>
      </c>
      <c r="BD540" s="35">
        <v>30</v>
      </c>
      <c r="BE540" s="35">
        <v>40</v>
      </c>
      <c r="BF540" s="35">
        <v>21.5</v>
      </c>
      <c r="BG540" s="35">
        <v>20</v>
      </c>
    </row>
    <row r="541" spans="1:59" x14ac:dyDescent="0.35">
      <c r="A541" s="36">
        <v>46059.834027777775</v>
      </c>
      <c r="B541" s="35">
        <v>3.7</v>
      </c>
      <c r="C541" s="35">
        <v>2</v>
      </c>
      <c r="D541" s="35">
        <v>4.0999999999999996</v>
      </c>
      <c r="E541" s="35">
        <v>2.2000000000000002</v>
      </c>
      <c r="F541" s="35">
        <v>1</v>
      </c>
      <c r="G541" s="35">
        <v>2</v>
      </c>
      <c r="H541" s="35">
        <v>1.2</v>
      </c>
      <c r="I541" s="35">
        <v>2</v>
      </c>
      <c r="J541" s="35">
        <v>2.6</v>
      </c>
      <c r="K541" s="35">
        <v>2</v>
      </c>
      <c r="L541" s="35">
        <v>3.4</v>
      </c>
      <c r="M541" s="35">
        <v>2</v>
      </c>
      <c r="N541" s="35">
        <v>2.2000000000000002</v>
      </c>
      <c r="O541" s="35">
        <v>3</v>
      </c>
      <c r="P541" s="35">
        <v>2.8</v>
      </c>
      <c r="Q541" s="35">
        <v>2</v>
      </c>
      <c r="R541" s="35">
        <v>3.8</v>
      </c>
      <c r="S541" s="35">
        <v>2</v>
      </c>
      <c r="T541" s="35">
        <v>3.4</v>
      </c>
      <c r="U541" s="35">
        <v>2</v>
      </c>
      <c r="V541" s="35">
        <v>9.1</v>
      </c>
      <c r="W541" s="35">
        <v>9</v>
      </c>
      <c r="X541" s="35">
        <v>10.5</v>
      </c>
      <c r="Y541" s="35">
        <v>9</v>
      </c>
      <c r="Z541" s="35">
        <v>9.9</v>
      </c>
      <c r="AA541" s="35">
        <v>9</v>
      </c>
      <c r="AB541" s="35">
        <v>8.8000000000000007</v>
      </c>
      <c r="AC541" s="35">
        <v>9</v>
      </c>
      <c r="AD541" s="35">
        <v>20</v>
      </c>
      <c r="AE541" s="35">
        <v>19</v>
      </c>
      <c r="AF541" s="35">
        <v>20.9</v>
      </c>
      <c r="AG541" s="35">
        <v>19</v>
      </c>
      <c r="AH541" s="35">
        <v>18.8</v>
      </c>
      <c r="AI541" s="35">
        <v>19</v>
      </c>
      <c r="AJ541" s="35">
        <v>20.7</v>
      </c>
      <c r="AK541" s="35">
        <v>19</v>
      </c>
      <c r="AL541" s="35">
        <v>19.8</v>
      </c>
      <c r="AM541" s="35">
        <v>19</v>
      </c>
      <c r="AN541" s="35">
        <v>19.3</v>
      </c>
      <c r="AO541" s="35">
        <v>19</v>
      </c>
      <c r="AP541" s="35">
        <v>20.7</v>
      </c>
      <c r="AQ541" s="35">
        <v>19</v>
      </c>
      <c r="AR541" s="35">
        <v>20.8</v>
      </c>
      <c r="AS541" s="35">
        <v>19</v>
      </c>
      <c r="AT541" s="35">
        <v>18.600000000000001</v>
      </c>
      <c r="AU541" s="35">
        <v>19</v>
      </c>
      <c r="AV541" s="35">
        <v>18.5</v>
      </c>
      <c r="AW541" s="35">
        <v>19</v>
      </c>
      <c r="AX541" s="35">
        <v>20.3</v>
      </c>
      <c r="AY541" s="35">
        <v>20</v>
      </c>
      <c r="AZ541" s="35">
        <v>20.2</v>
      </c>
      <c r="BA541" s="35">
        <v>20</v>
      </c>
      <c r="BB541" s="35">
        <v>31</v>
      </c>
      <c r="BC541" s="35">
        <v>40</v>
      </c>
      <c r="BD541" s="35">
        <v>30</v>
      </c>
      <c r="BE541" s="35">
        <v>40</v>
      </c>
      <c r="BF541" s="35">
        <v>21.5</v>
      </c>
      <c r="BG541" s="35">
        <v>20</v>
      </c>
    </row>
    <row r="542" spans="1:59" x14ac:dyDescent="0.35">
      <c r="A542" s="36">
        <v>46059.834722222222</v>
      </c>
      <c r="B542" s="35">
        <v>3.7</v>
      </c>
      <c r="C542" s="35">
        <v>2</v>
      </c>
      <c r="D542" s="35">
        <v>4.2</v>
      </c>
      <c r="E542" s="35">
        <v>2.2000000000000002</v>
      </c>
      <c r="F542" s="35">
        <v>1.2</v>
      </c>
      <c r="G542" s="35">
        <v>2</v>
      </c>
      <c r="H542" s="35">
        <v>1.4</v>
      </c>
      <c r="I542" s="35">
        <v>2</v>
      </c>
      <c r="J542" s="35">
        <v>2.8</v>
      </c>
      <c r="K542" s="35">
        <v>2</v>
      </c>
      <c r="L542" s="35">
        <v>3.6</v>
      </c>
      <c r="M542" s="35">
        <v>2</v>
      </c>
      <c r="N542" s="35">
        <v>2.5</v>
      </c>
      <c r="O542" s="35">
        <v>3</v>
      </c>
      <c r="P542" s="35">
        <v>3.1</v>
      </c>
      <c r="Q542" s="35">
        <v>2</v>
      </c>
      <c r="R542" s="35">
        <v>4</v>
      </c>
      <c r="S542" s="35">
        <v>2</v>
      </c>
      <c r="T542" s="35">
        <v>3.5</v>
      </c>
      <c r="U542" s="35">
        <v>2</v>
      </c>
      <c r="V542" s="35">
        <v>9.8000000000000007</v>
      </c>
      <c r="W542" s="35">
        <v>9</v>
      </c>
      <c r="X542" s="35">
        <v>10.6</v>
      </c>
      <c r="Y542" s="35">
        <v>9</v>
      </c>
      <c r="Z542" s="35">
        <v>10</v>
      </c>
      <c r="AA542" s="35">
        <v>9</v>
      </c>
      <c r="AB542" s="35">
        <v>9.1999999999999993</v>
      </c>
      <c r="AC542" s="35">
        <v>9</v>
      </c>
      <c r="AD542" s="35">
        <v>20</v>
      </c>
      <c r="AE542" s="35">
        <v>19</v>
      </c>
      <c r="AF542" s="35">
        <v>20.9</v>
      </c>
      <c r="AG542" s="35">
        <v>19</v>
      </c>
      <c r="AH542" s="35">
        <v>19</v>
      </c>
      <c r="AI542" s="35">
        <v>19</v>
      </c>
      <c r="AJ542" s="35">
        <v>20.8</v>
      </c>
      <c r="AK542" s="35">
        <v>19</v>
      </c>
      <c r="AL542" s="35">
        <v>19.600000000000001</v>
      </c>
      <c r="AM542" s="35">
        <v>19</v>
      </c>
      <c r="AN542" s="35">
        <v>19.399999999999999</v>
      </c>
      <c r="AO542" s="35">
        <v>19</v>
      </c>
      <c r="AP542" s="35">
        <v>20.7</v>
      </c>
      <c r="AQ542" s="35">
        <v>19</v>
      </c>
      <c r="AR542" s="35">
        <v>20.8</v>
      </c>
      <c r="AS542" s="35">
        <v>19</v>
      </c>
      <c r="AT542" s="35">
        <v>18.7</v>
      </c>
      <c r="AU542" s="35">
        <v>19</v>
      </c>
      <c r="AV542" s="35">
        <v>18.7</v>
      </c>
      <c r="AW542" s="35">
        <v>19</v>
      </c>
      <c r="AX542" s="35">
        <v>20.2</v>
      </c>
      <c r="AY542" s="35">
        <v>20</v>
      </c>
      <c r="AZ542" s="35">
        <v>20.100000000000001</v>
      </c>
      <c r="BA542" s="35">
        <v>20</v>
      </c>
      <c r="BB542" s="35">
        <v>31</v>
      </c>
      <c r="BC542" s="35">
        <v>40</v>
      </c>
      <c r="BD542" s="35">
        <v>30</v>
      </c>
      <c r="BE542" s="35">
        <v>40</v>
      </c>
      <c r="BF542" s="35">
        <v>21.6</v>
      </c>
      <c r="BG542" s="35">
        <v>20</v>
      </c>
    </row>
    <row r="543" spans="1:59" x14ac:dyDescent="0.35">
      <c r="A543" s="36">
        <v>46059.835416666669</v>
      </c>
      <c r="B543" s="35">
        <v>3.7</v>
      </c>
      <c r="C543" s="35">
        <v>2</v>
      </c>
      <c r="D543" s="35">
        <v>4.5</v>
      </c>
      <c r="E543" s="35">
        <v>2.2000000000000002</v>
      </c>
      <c r="F543" s="35">
        <v>1.6</v>
      </c>
      <c r="G543" s="35">
        <v>2</v>
      </c>
      <c r="H543" s="35">
        <v>1.8</v>
      </c>
      <c r="I543" s="35">
        <v>2</v>
      </c>
      <c r="J543" s="35">
        <v>3</v>
      </c>
      <c r="K543" s="35">
        <v>2</v>
      </c>
      <c r="L543" s="35">
        <v>3.8</v>
      </c>
      <c r="M543" s="35">
        <v>2</v>
      </c>
      <c r="N543" s="35">
        <v>2.8</v>
      </c>
      <c r="O543" s="35">
        <v>3</v>
      </c>
      <c r="P543" s="35">
        <v>3.3</v>
      </c>
      <c r="Q543" s="35">
        <v>2</v>
      </c>
      <c r="R543" s="35">
        <v>3.1</v>
      </c>
      <c r="S543" s="35">
        <v>2</v>
      </c>
      <c r="T543" s="35">
        <v>2.2999999999999998</v>
      </c>
      <c r="U543" s="35">
        <v>2</v>
      </c>
      <c r="V543" s="35">
        <v>10.3</v>
      </c>
      <c r="W543" s="35">
        <v>9</v>
      </c>
      <c r="X543" s="35">
        <v>10.6</v>
      </c>
      <c r="Y543" s="35">
        <v>9</v>
      </c>
      <c r="Z543" s="35">
        <v>10.199999999999999</v>
      </c>
      <c r="AA543" s="35">
        <v>9</v>
      </c>
      <c r="AB543" s="35">
        <v>9.6</v>
      </c>
      <c r="AC543" s="35">
        <v>9</v>
      </c>
      <c r="AD543" s="35">
        <v>20</v>
      </c>
      <c r="AE543" s="35">
        <v>19</v>
      </c>
      <c r="AF543" s="35">
        <v>21</v>
      </c>
      <c r="AG543" s="35">
        <v>19</v>
      </c>
      <c r="AH543" s="35">
        <v>19.100000000000001</v>
      </c>
      <c r="AI543" s="35">
        <v>19</v>
      </c>
      <c r="AJ543" s="35">
        <v>20.8</v>
      </c>
      <c r="AK543" s="35">
        <v>19</v>
      </c>
      <c r="AL543" s="35">
        <v>19.399999999999999</v>
      </c>
      <c r="AM543" s="35">
        <v>19</v>
      </c>
      <c r="AN543" s="35">
        <v>19.600000000000001</v>
      </c>
      <c r="AO543" s="35">
        <v>19</v>
      </c>
      <c r="AP543" s="35">
        <v>20.7</v>
      </c>
      <c r="AQ543" s="35">
        <v>19</v>
      </c>
      <c r="AR543" s="35">
        <v>20.8</v>
      </c>
      <c r="AS543" s="35">
        <v>19</v>
      </c>
      <c r="AT543" s="35">
        <v>18.899999999999999</v>
      </c>
      <c r="AU543" s="35">
        <v>19</v>
      </c>
      <c r="AV543" s="35">
        <v>18.899999999999999</v>
      </c>
      <c r="AW543" s="35">
        <v>19</v>
      </c>
      <c r="AX543" s="35">
        <v>20.100000000000001</v>
      </c>
      <c r="AY543" s="35">
        <v>20</v>
      </c>
      <c r="AZ543" s="35">
        <v>20.100000000000001</v>
      </c>
      <c r="BA543" s="35">
        <v>20</v>
      </c>
      <c r="BB543" s="35">
        <v>31</v>
      </c>
      <c r="BC543" s="35">
        <v>40</v>
      </c>
      <c r="BD543" s="35">
        <v>30</v>
      </c>
      <c r="BE543" s="35">
        <v>40</v>
      </c>
      <c r="BF543" s="35">
        <v>21.6</v>
      </c>
      <c r="BG543" s="35">
        <v>20</v>
      </c>
    </row>
    <row r="544" spans="1:59" x14ac:dyDescent="0.35">
      <c r="A544" s="36">
        <v>46059.836111111108</v>
      </c>
      <c r="B544" s="35">
        <v>3.7</v>
      </c>
      <c r="C544" s="35">
        <v>2</v>
      </c>
      <c r="D544" s="35">
        <v>4.9000000000000004</v>
      </c>
      <c r="E544" s="35">
        <v>2.2000000000000002</v>
      </c>
      <c r="F544" s="35">
        <v>2</v>
      </c>
      <c r="G544" s="35">
        <v>2</v>
      </c>
      <c r="H544" s="35">
        <v>2.2000000000000002</v>
      </c>
      <c r="I544" s="35">
        <v>2</v>
      </c>
      <c r="J544" s="35">
        <v>3.2</v>
      </c>
      <c r="K544" s="35">
        <v>2</v>
      </c>
      <c r="L544" s="35">
        <v>4</v>
      </c>
      <c r="M544" s="35">
        <v>2</v>
      </c>
      <c r="N544" s="35">
        <v>3.1</v>
      </c>
      <c r="O544" s="35">
        <v>3</v>
      </c>
      <c r="P544" s="35">
        <v>3.5</v>
      </c>
      <c r="Q544" s="35">
        <v>2</v>
      </c>
      <c r="R544" s="35">
        <v>2.2000000000000002</v>
      </c>
      <c r="S544" s="35">
        <v>2</v>
      </c>
      <c r="T544" s="35">
        <v>1.4</v>
      </c>
      <c r="U544" s="35">
        <v>2</v>
      </c>
      <c r="V544" s="35">
        <v>10.8</v>
      </c>
      <c r="W544" s="35">
        <v>9</v>
      </c>
      <c r="X544" s="35">
        <v>10.7</v>
      </c>
      <c r="Y544" s="35">
        <v>9</v>
      </c>
      <c r="Z544" s="35">
        <v>10.3</v>
      </c>
      <c r="AA544" s="35">
        <v>9</v>
      </c>
      <c r="AB544" s="35">
        <v>9.9</v>
      </c>
      <c r="AC544" s="35">
        <v>9</v>
      </c>
      <c r="AD544" s="35">
        <v>20.100000000000001</v>
      </c>
      <c r="AE544" s="35">
        <v>19</v>
      </c>
      <c r="AF544" s="35">
        <v>20.7</v>
      </c>
      <c r="AG544" s="35">
        <v>19</v>
      </c>
      <c r="AH544" s="35">
        <v>19.3</v>
      </c>
      <c r="AI544" s="35">
        <v>19</v>
      </c>
      <c r="AJ544" s="35">
        <v>20.9</v>
      </c>
      <c r="AK544" s="35">
        <v>19</v>
      </c>
      <c r="AL544" s="35">
        <v>19.3</v>
      </c>
      <c r="AM544" s="35">
        <v>19</v>
      </c>
      <c r="AN544" s="35">
        <v>19.7</v>
      </c>
      <c r="AO544" s="35">
        <v>19</v>
      </c>
      <c r="AP544" s="35">
        <v>20.7</v>
      </c>
      <c r="AQ544" s="35">
        <v>19</v>
      </c>
      <c r="AR544" s="35">
        <v>20.8</v>
      </c>
      <c r="AS544" s="35">
        <v>19</v>
      </c>
      <c r="AT544" s="35">
        <v>19</v>
      </c>
      <c r="AU544" s="35">
        <v>19</v>
      </c>
      <c r="AV544" s="35">
        <v>19</v>
      </c>
      <c r="AW544" s="35">
        <v>19</v>
      </c>
      <c r="AX544" s="35">
        <v>20.100000000000001</v>
      </c>
      <c r="AY544" s="35">
        <v>20</v>
      </c>
      <c r="AZ544" s="35">
        <v>20.100000000000001</v>
      </c>
      <c r="BA544" s="35">
        <v>20</v>
      </c>
      <c r="BB544" s="35">
        <v>30.9</v>
      </c>
      <c r="BC544" s="35">
        <v>40</v>
      </c>
      <c r="BD544" s="35">
        <v>30</v>
      </c>
      <c r="BE544" s="35">
        <v>40</v>
      </c>
      <c r="BF544" s="35">
        <v>21.6</v>
      </c>
      <c r="BG544" s="35">
        <v>20</v>
      </c>
    </row>
    <row r="545" spans="1:59" x14ac:dyDescent="0.35">
      <c r="A545" s="36">
        <v>46059.836805555555</v>
      </c>
      <c r="B545" s="35">
        <v>3.7</v>
      </c>
      <c r="C545" s="35">
        <v>2</v>
      </c>
      <c r="D545" s="35">
        <v>5.2</v>
      </c>
      <c r="E545" s="35">
        <v>2.2000000000000002</v>
      </c>
      <c r="F545" s="35">
        <v>2.4</v>
      </c>
      <c r="G545" s="35">
        <v>2</v>
      </c>
      <c r="H545" s="35">
        <v>2.6</v>
      </c>
      <c r="I545" s="35">
        <v>2</v>
      </c>
      <c r="J545" s="35">
        <v>3.2</v>
      </c>
      <c r="K545" s="35">
        <v>2</v>
      </c>
      <c r="L545" s="35">
        <v>3.3</v>
      </c>
      <c r="M545" s="35">
        <v>2</v>
      </c>
      <c r="N545" s="35">
        <v>3.4</v>
      </c>
      <c r="O545" s="35">
        <v>3</v>
      </c>
      <c r="P545" s="35">
        <v>3.6</v>
      </c>
      <c r="Q545" s="35">
        <v>2</v>
      </c>
      <c r="R545" s="35">
        <v>1.9</v>
      </c>
      <c r="S545" s="35">
        <v>2</v>
      </c>
      <c r="T545" s="35">
        <v>1.2</v>
      </c>
      <c r="U545" s="35">
        <v>2</v>
      </c>
      <c r="V545" s="35">
        <v>10.9</v>
      </c>
      <c r="W545" s="35">
        <v>9</v>
      </c>
      <c r="X545" s="35">
        <v>10.7</v>
      </c>
      <c r="Y545" s="35">
        <v>9</v>
      </c>
      <c r="Z545" s="35">
        <v>10.4</v>
      </c>
      <c r="AA545" s="35">
        <v>9</v>
      </c>
      <c r="AB545" s="35">
        <v>10.1</v>
      </c>
      <c r="AC545" s="35">
        <v>9</v>
      </c>
      <c r="AD545" s="35">
        <v>20.100000000000001</v>
      </c>
      <c r="AE545" s="35">
        <v>19</v>
      </c>
      <c r="AF545" s="35">
        <v>19.7</v>
      </c>
      <c r="AG545" s="35">
        <v>19</v>
      </c>
      <c r="AH545" s="35">
        <v>19.399999999999999</v>
      </c>
      <c r="AI545" s="35">
        <v>19</v>
      </c>
      <c r="AJ545" s="35">
        <v>20.9</v>
      </c>
      <c r="AK545" s="35">
        <v>19</v>
      </c>
      <c r="AL545" s="35">
        <v>19.2</v>
      </c>
      <c r="AM545" s="35">
        <v>19</v>
      </c>
      <c r="AN545" s="35">
        <v>19.8</v>
      </c>
      <c r="AO545" s="35">
        <v>19</v>
      </c>
      <c r="AP545" s="35">
        <v>20.7</v>
      </c>
      <c r="AQ545" s="35">
        <v>19</v>
      </c>
      <c r="AR545" s="35">
        <v>20.8</v>
      </c>
      <c r="AS545" s="35">
        <v>19</v>
      </c>
      <c r="AT545" s="35">
        <v>19.2</v>
      </c>
      <c r="AU545" s="35">
        <v>19</v>
      </c>
      <c r="AV545" s="35">
        <v>19.2</v>
      </c>
      <c r="AW545" s="35">
        <v>19</v>
      </c>
      <c r="AX545" s="35">
        <v>20.100000000000001</v>
      </c>
      <c r="AY545" s="35">
        <v>20</v>
      </c>
      <c r="AZ545" s="35">
        <v>20.100000000000001</v>
      </c>
      <c r="BA545" s="35">
        <v>20</v>
      </c>
      <c r="BB545" s="35">
        <v>30.9</v>
      </c>
      <c r="BC545" s="35">
        <v>40</v>
      </c>
      <c r="BD545" s="35">
        <v>30</v>
      </c>
      <c r="BE545" s="35">
        <v>40</v>
      </c>
      <c r="BF545" s="35">
        <v>21.7</v>
      </c>
      <c r="BG545" s="35">
        <v>20</v>
      </c>
    </row>
    <row r="546" spans="1:59" x14ac:dyDescent="0.35">
      <c r="A546" s="36">
        <v>46059.837500000001</v>
      </c>
      <c r="B546" s="35">
        <v>3.7</v>
      </c>
      <c r="C546" s="35">
        <v>2</v>
      </c>
      <c r="D546" s="35">
        <v>5.5</v>
      </c>
      <c r="E546" s="35">
        <v>2.2000000000000002</v>
      </c>
      <c r="F546" s="35">
        <v>2.7</v>
      </c>
      <c r="G546" s="35">
        <v>2</v>
      </c>
      <c r="H546" s="35">
        <v>2.9</v>
      </c>
      <c r="I546" s="35">
        <v>2</v>
      </c>
      <c r="J546" s="35">
        <v>2.2999999999999998</v>
      </c>
      <c r="K546" s="35">
        <v>2</v>
      </c>
      <c r="L546" s="35">
        <v>1.8</v>
      </c>
      <c r="M546" s="35">
        <v>2</v>
      </c>
      <c r="N546" s="35">
        <v>3.6</v>
      </c>
      <c r="O546" s="35">
        <v>3</v>
      </c>
      <c r="P546" s="35">
        <v>3.8</v>
      </c>
      <c r="Q546" s="35">
        <v>2</v>
      </c>
      <c r="R546" s="35">
        <v>1.9</v>
      </c>
      <c r="S546" s="35">
        <v>2</v>
      </c>
      <c r="T546" s="35">
        <v>1.4</v>
      </c>
      <c r="U546" s="35">
        <v>2</v>
      </c>
      <c r="V546" s="35">
        <v>9.3000000000000007</v>
      </c>
      <c r="W546" s="35">
        <v>9</v>
      </c>
      <c r="X546" s="35">
        <v>10.8</v>
      </c>
      <c r="Y546" s="35">
        <v>9</v>
      </c>
      <c r="Z546" s="35">
        <v>10.5</v>
      </c>
      <c r="AA546" s="35">
        <v>9</v>
      </c>
      <c r="AB546" s="35">
        <v>10.4</v>
      </c>
      <c r="AC546" s="35">
        <v>9</v>
      </c>
      <c r="AD546" s="35">
        <v>20.100000000000001</v>
      </c>
      <c r="AE546" s="35">
        <v>19</v>
      </c>
      <c r="AF546" s="35">
        <v>19</v>
      </c>
      <c r="AG546" s="35">
        <v>19</v>
      </c>
      <c r="AH546" s="35">
        <v>19.5</v>
      </c>
      <c r="AI546" s="35">
        <v>19</v>
      </c>
      <c r="AJ546" s="35">
        <v>21</v>
      </c>
      <c r="AK546" s="35">
        <v>19</v>
      </c>
      <c r="AL546" s="35">
        <v>19.2</v>
      </c>
      <c r="AM546" s="35">
        <v>19</v>
      </c>
      <c r="AN546" s="35">
        <v>19.899999999999999</v>
      </c>
      <c r="AO546" s="35">
        <v>19</v>
      </c>
      <c r="AP546" s="35">
        <v>20.7</v>
      </c>
      <c r="AQ546" s="35">
        <v>19</v>
      </c>
      <c r="AR546" s="35">
        <v>20.8</v>
      </c>
      <c r="AS546" s="35">
        <v>19</v>
      </c>
      <c r="AT546" s="35">
        <v>19.3</v>
      </c>
      <c r="AU546" s="35">
        <v>19</v>
      </c>
      <c r="AV546" s="35">
        <v>19.3</v>
      </c>
      <c r="AW546" s="35">
        <v>19</v>
      </c>
      <c r="AX546" s="35">
        <v>20.100000000000001</v>
      </c>
      <c r="AY546" s="35">
        <v>20</v>
      </c>
      <c r="AZ546" s="35">
        <v>20</v>
      </c>
      <c r="BA546" s="35">
        <v>20</v>
      </c>
      <c r="BB546" s="35">
        <v>30.9</v>
      </c>
      <c r="BC546" s="35">
        <v>40</v>
      </c>
      <c r="BD546" s="35">
        <v>30</v>
      </c>
      <c r="BE546" s="35">
        <v>40</v>
      </c>
      <c r="BF546" s="35">
        <v>21.7</v>
      </c>
      <c r="BG546" s="35">
        <v>20</v>
      </c>
    </row>
    <row r="547" spans="1:59" x14ac:dyDescent="0.35">
      <c r="A547" s="36">
        <v>46059.838194444441</v>
      </c>
      <c r="B547" s="35">
        <v>3.7</v>
      </c>
      <c r="C547" s="35">
        <v>2</v>
      </c>
      <c r="D547" s="35">
        <v>5.8</v>
      </c>
      <c r="E547" s="35">
        <v>2.2000000000000002</v>
      </c>
      <c r="F547" s="35">
        <v>3</v>
      </c>
      <c r="G547" s="35">
        <v>2</v>
      </c>
      <c r="H547" s="35">
        <v>3.1</v>
      </c>
      <c r="I547" s="35">
        <v>2</v>
      </c>
      <c r="J547" s="35">
        <v>2.1</v>
      </c>
      <c r="K547" s="35">
        <v>2</v>
      </c>
      <c r="L547" s="35">
        <v>1.6</v>
      </c>
      <c r="M547" s="35">
        <v>2</v>
      </c>
      <c r="N547" s="35">
        <v>3.8</v>
      </c>
      <c r="O547" s="35">
        <v>3</v>
      </c>
      <c r="P547" s="35">
        <v>3.9</v>
      </c>
      <c r="Q547" s="35">
        <v>2</v>
      </c>
      <c r="R547" s="35">
        <v>2.2000000000000002</v>
      </c>
      <c r="S547" s="35">
        <v>2</v>
      </c>
      <c r="T547" s="35">
        <v>1.6</v>
      </c>
      <c r="U547" s="35">
        <v>2</v>
      </c>
      <c r="V547" s="35">
        <v>7.8</v>
      </c>
      <c r="W547" s="35">
        <v>9</v>
      </c>
      <c r="X547" s="35">
        <v>10.9</v>
      </c>
      <c r="Y547" s="35">
        <v>9</v>
      </c>
      <c r="Z547" s="35">
        <v>10.6</v>
      </c>
      <c r="AA547" s="35">
        <v>9</v>
      </c>
      <c r="AB547" s="35">
        <v>10.6</v>
      </c>
      <c r="AC547" s="35">
        <v>9</v>
      </c>
      <c r="AD547" s="35">
        <v>20.100000000000001</v>
      </c>
      <c r="AE547" s="35">
        <v>19</v>
      </c>
      <c r="AF547" s="35">
        <v>18.8</v>
      </c>
      <c r="AG547" s="35">
        <v>19</v>
      </c>
      <c r="AH547" s="35">
        <v>19.600000000000001</v>
      </c>
      <c r="AI547" s="35">
        <v>19</v>
      </c>
      <c r="AJ547" s="35">
        <v>19.7</v>
      </c>
      <c r="AK547" s="35">
        <v>19</v>
      </c>
      <c r="AL547" s="35">
        <v>19.2</v>
      </c>
      <c r="AM547" s="35">
        <v>19</v>
      </c>
      <c r="AN547" s="35">
        <v>20</v>
      </c>
      <c r="AO547" s="35">
        <v>19</v>
      </c>
      <c r="AP547" s="35">
        <v>20.7</v>
      </c>
      <c r="AQ547" s="35">
        <v>19</v>
      </c>
      <c r="AR547" s="35">
        <v>20.8</v>
      </c>
      <c r="AS547" s="35">
        <v>19</v>
      </c>
      <c r="AT547" s="35">
        <v>19.399999999999999</v>
      </c>
      <c r="AU547" s="35">
        <v>19</v>
      </c>
      <c r="AV547" s="35">
        <v>19.399999999999999</v>
      </c>
      <c r="AW547" s="35">
        <v>19</v>
      </c>
      <c r="AX547" s="35">
        <v>20.100000000000001</v>
      </c>
      <c r="AY547" s="35">
        <v>20</v>
      </c>
      <c r="AZ547" s="35">
        <v>20</v>
      </c>
      <c r="BA547" s="35">
        <v>20</v>
      </c>
      <c r="BB547" s="35">
        <v>30.9</v>
      </c>
      <c r="BC547" s="35">
        <v>40</v>
      </c>
      <c r="BD547" s="35">
        <v>30</v>
      </c>
      <c r="BE547" s="35">
        <v>40</v>
      </c>
      <c r="BF547" s="35">
        <v>21.8</v>
      </c>
      <c r="BG547" s="35">
        <v>20</v>
      </c>
    </row>
    <row r="548" spans="1:59" x14ac:dyDescent="0.35">
      <c r="A548" s="36">
        <v>46059.838888888888</v>
      </c>
      <c r="B548" s="35">
        <v>3.7</v>
      </c>
      <c r="C548" s="35">
        <v>2</v>
      </c>
      <c r="D548" s="35">
        <v>6.2</v>
      </c>
      <c r="E548" s="35">
        <v>2.2000000000000002</v>
      </c>
      <c r="F548" s="35">
        <v>3.3</v>
      </c>
      <c r="G548" s="35">
        <v>2</v>
      </c>
      <c r="H548" s="35">
        <v>3.4</v>
      </c>
      <c r="I548" s="35">
        <v>2</v>
      </c>
      <c r="J548" s="35">
        <v>2.1</v>
      </c>
      <c r="K548" s="35">
        <v>2</v>
      </c>
      <c r="L548" s="35">
        <v>1.8</v>
      </c>
      <c r="M548" s="35">
        <v>2</v>
      </c>
      <c r="N548" s="35">
        <v>3.6</v>
      </c>
      <c r="O548" s="35">
        <v>3</v>
      </c>
      <c r="P548" s="35">
        <v>3.8</v>
      </c>
      <c r="Q548" s="35">
        <v>2</v>
      </c>
      <c r="R548" s="35">
        <v>2.5</v>
      </c>
      <c r="S548" s="35">
        <v>2</v>
      </c>
      <c r="T548" s="35">
        <v>1.9</v>
      </c>
      <c r="U548" s="35">
        <v>2</v>
      </c>
      <c r="V548" s="35">
        <v>7.7</v>
      </c>
      <c r="W548" s="35">
        <v>9</v>
      </c>
      <c r="X548" s="35">
        <v>10.9</v>
      </c>
      <c r="Y548" s="35">
        <v>9</v>
      </c>
      <c r="Z548" s="35">
        <v>10.7</v>
      </c>
      <c r="AA548" s="35">
        <v>9</v>
      </c>
      <c r="AB548" s="35">
        <v>10.8</v>
      </c>
      <c r="AC548" s="35">
        <v>9</v>
      </c>
      <c r="AD548" s="35">
        <v>20.2</v>
      </c>
      <c r="AE548" s="35">
        <v>19</v>
      </c>
      <c r="AF548" s="35">
        <v>18.8</v>
      </c>
      <c r="AG548" s="35">
        <v>19</v>
      </c>
      <c r="AH548" s="35">
        <v>19.7</v>
      </c>
      <c r="AI548" s="35">
        <v>19</v>
      </c>
      <c r="AJ548" s="35">
        <v>17.899999999999999</v>
      </c>
      <c r="AK548" s="35">
        <v>19</v>
      </c>
      <c r="AL548" s="35">
        <v>19.2</v>
      </c>
      <c r="AM548" s="35">
        <v>19</v>
      </c>
      <c r="AN548" s="35">
        <v>20.100000000000001</v>
      </c>
      <c r="AO548" s="35">
        <v>19</v>
      </c>
      <c r="AP548" s="35">
        <v>20.7</v>
      </c>
      <c r="AQ548" s="35">
        <v>19</v>
      </c>
      <c r="AR548" s="35">
        <v>20.8</v>
      </c>
      <c r="AS548" s="35">
        <v>19</v>
      </c>
      <c r="AT548" s="35">
        <v>19.5</v>
      </c>
      <c r="AU548" s="35">
        <v>19</v>
      </c>
      <c r="AV548" s="35">
        <v>19.5</v>
      </c>
      <c r="AW548" s="35">
        <v>19</v>
      </c>
      <c r="AX548" s="35">
        <v>20.100000000000001</v>
      </c>
      <c r="AY548" s="35">
        <v>20</v>
      </c>
      <c r="AZ548" s="35">
        <v>20</v>
      </c>
      <c r="BA548" s="35">
        <v>20</v>
      </c>
      <c r="BB548" s="35">
        <v>30.9</v>
      </c>
      <c r="BC548" s="35">
        <v>40</v>
      </c>
      <c r="BD548" s="35">
        <v>30</v>
      </c>
      <c r="BE548" s="35">
        <v>40</v>
      </c>
      <c r="BF548" s="35">
        <v>21.8</v>
      </c>
      <c r="BG548" s="35">
        <v>20</v>
      </c>
    </row>
    <row r="549" spans="1:59" x14ac:dyDescent="0.35">
      <c r="A549" s="36">
        <v>46059.839583333334</v>
      </c>
      <c r="B549" s="35">
        <v>3.7</v>
      </c>
      <c r="C549" s="35">
        <v>2</v>
      </c>
      <c r="D549" s="35">
        <v>6.5</v>
      </c>
      <c r="E549" s="35">
        <v>2.2000000000000002</v>
      </c>
      <c r="F549" s="35">
        <v>3.5</v>
      </c>
      <c r="G549" s="35">
        <v>2</v>
      </c>
      <c r="H549" s="35">
        <v>3.7</v>
      </c>
      <c r="I549" s="35">
        <v>2</v>
      </c>
      <c r="J549" s="35">
        <v>2.4</v>
      </c>
      <c r="K549" s="35">
        <v>2</v>
      </c>
      <c r="L549" s="35">
        <v>2.1</v>
      </c>
      <c r="M549" s="35">
        <v>2</v>
      </c>
      <c r="N549" s="35">
        <v>2.4</v>
      </c>
      <c r="O549" s="35">
        <v>3</v>
      </c>
      <c r="P549" s="35">
        <v>2.8</v>
      </c>
      <c r="Q549" s="35">
        <v>2</v>
      </c>
      <c r="R549" s="35">
        <v>2.8</v>
      </c>
      <c r="S549" s="35">
        <v>2</v>
      </c>
      <c r="T549" s="35">
        <v>2.2000000000000002</v>
      </c>
      <c r="U549" s="35">
        <v>2</v>
      </c>
      <c r="V549" s="35">
        <v>8.5</v>
      </c>
      <c r="W549" s="35">
        <v>9</v>
      </c>
      <c r="X549" s="35">
        <v>11</v>
      </c>
      <c r="Y549" s="35">
        <v>9</v>
      </c>
      <c r="Z549" s="35">
        <v>10.8</v>
      </c>
      <c r="AA549" s="35">
        <v>9</v>
      </c>
      <c r="AB549" s="35">
        <v>10.9</v>
      </c>
      <c r="AC549" s="35">
        <v>9</v>
      </c>
      <c r="AD549" s="35">
        <v>20.2</v>
      </c>
      <c r="AE549" s="35">
        <v>19</v>
      </c>
      <c r="AF549" s="35">
        <v>18.8</v>
      </c>
      <c r="AG549" s="35">
        <v>19</v>
      </c>
      <c r="AH549" s="35">
        <v>19.8</v>
      </c>
      <c r="AI549" s="35">
        <v>19</v>
      </c>
      <c r="AJ549" s="35">
        <v>17.899999999999999</v>
      </c>
      <c r="AK549" s="35">
        <v>19</v>
      </c>
      <c r="AL549" s="35">
        <v>19.2</v>
      </c>
      <c r="AM549" s="35">
        <v>19</v>
      </c>
      <c r="AN549" s="35">
        <v>20.2</v>
      </c>
      <c r="AO549" s="35">
        <v>19</v>
      </c>
      <c r="AP549" s="35">
        <v>20.8</v>
      </c>
      <c r="AQ549" s="35">
        <v>19</v>
      </c>
      <c r="AR549" s="35">
        <v>20.8</v>
      </c>
      <c r="AS549" s="35">
        <v>19</v>
      </c>
      <c r="AT549" s="35">
        <v>19.600000000000001</v>
      </c>
      <c r="AU549" s="35">
        <v>19</v>
      </c>
      <c r="AV549" s="35">
        <v>19.7</v>
      </c>
      <c r="AW549" s="35">
        <v>19</v>
      </c>
      <c r="AX549" s="35">
        <v>20.2</v>
      </c>
      <c r="AY549" s="35">
        <v>20</v>
      </c>
      <c r="AZ549" s="35">
        <v>20</v>
      </c>
      <c r="BA549" s="35">
        <v>20</v>
      </c>
      <c r="BB549" s="35">
        <v>30.9</v>
      </c>
      <c r="BC549" s="35">
        <v>40</v>
      </c>
      <c r="BD549" s="35">
        <v>30</v>
      </c>
      <c r="BE549" s="35">
        <v>40</v>
      </c>
      <c r="BF549" s="35">
        <v>21.8</v>
      </c>
      <c r="BG549" s="35">
        <v>20</v>
      </c>
    </row>
    <row r="550" spans="1:59" x14ac:dyDescent="0.35">
      <c r="A550" s="36">
        <v>46059.840277777781</v>
      </c>
      <c r="B550" s="35">
        <v>3.7</v>
      </c>
      <c r="C550" s="35">
        <v>2</v>
      </c>
      <c r="D550" s="35">
        <v>6.9</v>
      </c>
      <c r="E550" s="35">
        <v>2.2000000000000002</v>
      </c>
      <c r="F550" s="35">
        <v>3.7</v>
      </c>
      <c r="G550" s="35">
        <v>2</v>
      </c>
      <c r="H550" s="35">
        <v>4</v>
      </c>
      <c r="I550" s="35">
        <v>2</v>
      </c>
      <c r="J550" s="35">
        <v>2.6</v>
      </c>
      <c r="K550" s="35">
        <v>2</v>
      </c>
      <c r="L550" s="35">
        <v>2.6</v>
      </c>
      <c r="M550" s="35">
        <v>2</v>
      </c>
      <c r="N550" s="35">
        <v>0.8</v>
      </c>
      <c r="O550" s="35">
        <v>3</v>
      </c>
      <c r="P550" s="35">
        <v>1.8</v>
      </c>
      <c r="Q550" s="35">
        <v>2</v>
      </c>
      <c r="R550" s="35">
        <v>3</v>
      </c>
      <c r="S550" s="35">
        <v>2</v>
      </c>
      <c r="T550" s="35">
        <v>2.5</v>
      </c>
      <c r="U550" s="35">
        <v>2</v>
      </c>
      <c r="V550" s="35">
        <v>9.3000000000000007</v>
      </c>
      <c r="W550" s="35">
        <v>9</v>
      </c>
      <c r="X550" s="35">
        <v>10.8</v>
      </c>
      <c r="Y550" s="35">
        <v>9</v>
      </c>
      <c r="Z550" s="35">
        <v>10.9</v>
      </c>
      <c r="AA550" s="35">
        <v>9</v>
      </c>
      <c r="AB550" s="35">
        <v>10.9</v>
      </c>
      <c r="AC550" s="35">
        <v>9</v>
      </c>
      <c r="AD550" s="35">
        <v>20.2</v>
      </c>
      <c r="AE550" s="35">
        <v>19</v>
      </c>
      <c r="AF550" s="35">
        <v>18.899999999999999</v>
      </c>
      <c r="AG550" s="35">
        <v>19</v>
      </c>
      <c r="AH550" s="35">
        <v>19.899999999999999</v>
      </c>
      <c r="AI550" s="35">
        <v>19</v>
      </c>
      <c r="AJ550" s="35">
        <v>18</v>
      </c>
      <c r="AK550" s="35">
        <v>19</v>
      </c>
      <c r="AL550" s="35">
        <v>19</v>
      </c>
      <c r="AM550" s="35">
        <v>19</v>
      </c>
      <c r="AN550" s="35">
        <v>20.3</v>
      </c>
      <c r="AO550" s="35">
        <v>19</v>
      </c>
      <c r="AP550" s="35">
        <v>20.8</v>
      </c>
      <c r="AQ550" s="35">
        <v>19</v>
      </c>
      <c r="AR550" s="35">
        <v>20.8</v>
      </c>
      <c r="AS550" s="35">
        <v>19</v>
      </c>
      <c r="AT550" s="35">
        <v>19.7</v>
      </c>
      <c r="AU550" s="35">
        <v>19</v>
      </c>
      <c r="AV550" s="35">
        <v>19.8</v>
      </c>
      <c r="AW550" s="35">
        <v>19</v>
      </c>
      <c r="AX550" s="35">
        <v>20.2</v>
      </c>
      <c r="AY550" s="35">
        <v>20</v>
      </c>
      <c r="AZ550" s="35">
        <v>20.100000000000001</v>
      </c>
      <c r="BA550" s="35">
        <v>20</v>
      </c>
      <c r="BB550" s="35">
        <v>30.9</v>
      </c>
      <c r="BC550" s="35">
        <v>40</v>
      </c>
      <c r="BD550" s="35">
        <v>30</v>
      </c>
      <c r="BE550" s="35">
        <v>40</v>
      </c>
      <c r="BF550" s="35">
        <v>21.8</v>
      </c>
      <c r="BG550" s="35">
        <v>20</v>
      </c>
    </row>
    <row r="551" spans="1:59" x14ac:dyDescent="0.35">
      <c r="A551" s="36">
        <v>46059.84097222222</v>
      </c>
      <c r="B551" s="35">
        <v>3.7</v>
      </c>
      <c r="C551" s="35">
        <v>2</v>
      </c>
      <c r="D551" s="35">
        <v>7.2</v>
      </c>
      <c r="E551" s="35">
        <v>2.2000000000000002</v>
      </c>
      <c r="F551" s="35">
        <v>3.4</v>
      </c>
      <c r="G551" s="35">
        <v>2</v>
      </c>
      <c r="H551" s="35">
        <v>3</v>
      </c>
      <c r="I551" s="35">
        <v>2</v>
      </c>
      <c r="J551" s="35">
        <v>2.9</v>
      </c>
      <c r="K551" s="35">
        <v>2</v>
      </c>
      <c r="L551" s="35">
        <v>3</v>
      </c>
      <c r="M551" s="35">
        <v>2</v>
      </c>
      <c r="N551" s="35">
        <v>0.8</v>
      </c>
      <c r="O551" s="35">
        <v>3</v>
      </c>
      <c r="P551" s="35">
        <v>1.7</v>
      </c>
      <c r="Q551" s="35">
        <v>2</v>
      </c>
      <c r="R551" s="35">
        <v>3.2</v>
      </c>
      <c r="S551" s="35">
        <v>2</v>
      </c>
      <c r="T551" s="35">
        <v>2.7</v>
      </c>
      <c r="U551" s="35">
        <v>2</v>
      </c>
      <c r="V551" s="35">
        <v>9.9</v>
      </c>
      <c r="W551" s="35">
        <v>9</v>
      </c>
      <c r="X551" s="35">
        <v>10.199999999999999</v>
      </c>
      <c r="Y551" s="35">
        <v>9</v>
      </c>
      <c r="Z551" s="35">
        <v>11</v>
      </c>
      <c r="AA551" s="35">
        <v>9</v>
      </c>
      <c r="AB551" s="35">
        <v>9.9</v>
      </c>
      <c r="AC551" s="35">
        <v>9</v>
      </c>
      <c r="AD551" s="35">
        <v>20.3</v>
      </c>
      <c r="AE551" s="35">
        <v>19</v>
      </c>
      <c r="AF551" s="35">
        <v>19</v>
      </c>
      <c r="AG551" s="35">
        <v>19</v>
      </c>
      <c r="AH551" s="35">
        <v>20</v>
      </c>
      <c r="AI551" s="35">
        <v>19</v>
      </c>
      <c r="AJ551" s="35">
        <v>18.3</v>
      </c>
      <c r="AK551" s="35">
        <v>19</v>
      </c>
      <c r="AL551" s="35">
        <v>19</v>
      </c>
      <c r="AM551" s="35">
        <v>19</v>
      </c>
      <c r="AN551" s="35">
        <v>20.399999999999999</v>
      </c>
      <c r="AO551" s="35">
        <v>19</v>
      </c>
      <c r="AP551" s="35">
        <v>20.8</v>
      </c>
      <c r="AQ551" s="35">
        <v>19</v>
      </c>
      <c r="AR551" s="35">
        <v>20.8</v>
      </c>
      <c r="AS551" s="35">
        <v>19</v>
      </c>
      <c r="AT551" s="35">
        <v>19.899999999999999</v>
      </c>
      <c r="AU551" s="35">
        <v>19</v>
      </c>
      <c r="AV551" s="35">
        <v>19.8</v>
      </c>
      <c r="AW551" s="35">
        <v>19</v>
      </c>
      <c r="AX551" s="35">
        <v>20.2</v>
      </c>
      <c r="AY551" s="35">
        <v>20</v>
      </c>
      <c r="AZ551" s="35">
        <v>20.2</v>
      </c>
      <c r="BA551" s="35">
        <v>20</v>
      </c>
      <c r="BB551" s="35">
        <v>30.9</v>
      </c>
      <c r="BC551" s="35">
        <v>40</v>
      </c>
      <c r="BD551" s="35">
        <v>29.9</v>
      </c>
      <c r="BE551" s="35">
        <v>40</v>
      </c>
      <c r="BF551" s="35">
        <v>21.8</v>
      </c>
      <c r="BG551" s="35">
        <v>20</v>
      </c>
    </row>
    <row r="552" spans="1:59" x14ac:dyDescent="0.35">
      <c r="A552" s="36">
        <v>46059.841666666667</v>
      </c>
      <c r="B552" s="35">
        <v>3.7</v>
      </c>
      <c r="C552" s="35">
        <v>2</v>
      </c>
      <c r="D552" s="35">
        <v>7.6</v>
      </c>
      <c r="E552" s="35">
        <v>2.2000000000000002</v>
      </c>
      <c r="F552" s="35">
        <v>3.2</v>
      </c>
      <c r="G552" s="35">
        <v>2</v>
      </c>
      <c r="H552" s="35">
        <v>2.8</v>
      </c>
      <c r="I552" s="35">
        <v>2</v>
      </c>
      <c r="J552" s="35">
        <v>3.2</v>
      </c>
      <c r="K552" s="35">
        <v>2</v>
      </c>
      <c r="L552" s="35">
        <v>3.3</v>
      </c>
      <c r="M552" s="35">
        <v>2</v>
      </c>
      <c r="N552" s="35">
        <v>0.9</v>
      </c>
      <c r="O552" s="35">
        <v>3</v>
      </c>
      <c r="P552" s="35">
        <v>1.9</v>
      </c>
      <c r="Q552" s="35">
        <v>2</v>
      </c>
      <c r="R552" s="35">
        <v>3.4</v>
      </c>
      <c r="S552" s="35">
        <v>2</v>
      </c>
      <c r="T552" s="35">
        <v>2.9</v>
      </c>
      <c r="U552" s="35">
        <v>2</v>
      </c>
      <c r="V552" s="35">
        <v>10.4</v>
      </c>
      <c r="W552" s="35">
        <v>9</v>
      </c>
      <c r="X552" s="35">
        <v>9.4</v>
      </c>
      <c r="Y552" s="35">
        <v>9</v>
      </c>
      <c r="Z552" s="35">
        <v>10.8</v>
      </c>
      <c r="AA552" s="35">
        <v>9</v>
      </c>
      <c r="AB552" s="35">
        <v>8.9</v>
      </c>
      <c r="AC552" s="35">
        <v>9</v>
      </c>
      <c r="AD552" s="35">
        <v>20.3</v>
      </c>
      <c r="AE552" s="35">
        <v>19</v>
      </c>
      <c r="AF552" s="35">
        <v>19</v>
      </c>
      <c r="AG552" s="35">
        <v>19</v>
      </c>
      <c r="AH552" s="35">
        <v>20</v>
      </c>
      <c r="AI552" s="35">
        <v>19</v>
      </c>
      <c r="AJ552" s="35">
        <v>18.5</v>
      </c>
      <c r="AK552" s="35">
        <v>19</v>
      </c>
      <c r="AL552" s="35">
        <v>19.2</v>
      </c>
      <c r="AM552" s="35">
        <v>19</v>
      </c>
      <c r="AN552" s="35">
        <v>20.5</v>
      </c>
      <c r="AO552" s="35">
        <v>19</v>
      </c>
      <c r="AP552" s="35">
        <v>20.8</v>
      </c>
      <c r="AQ552" s="35">
        <v>19</v>
      </c>
      <c r="AR552" s="35">
        <v>20.8</v>
      </c>
      <c r="AS552" s="35">
        <v>19</v>
      </c>
      <c r="AT552" s="35">
        <v>19.899999999999999</v>
      </c>
      <c r="AU552" s="35">
        <v>19</v>
      </c>
      <c r="AV552" s="35">
        <v>20</v>
      </c>
      <c r="AW552" s="35">
        <v>19</v>
      </c>
      <c r="AX552" s="35">
        <v>20.2</v>
      </c>
      <c r="AY552" s="35">
        <v>20</v>
      </c>
      <c r="AZ552" s="35">
        <v>20.2</v>
      </c>
      <c r="BA552" s="35">
        <v>20</v>
      </c>
      <c r="BB552" s="35">
        <v>30.8</v>
      </c>
      <c r="BC552" s="35">
        <v>40</v>
      </c>
      <c r="BD552" s="35">
        <v>29.9</v>
      </c>
      <c r="BE552" s="35">
        <v>40</v>
      </c>
      <c r="BF552" s="35">
        <v>21.8</v>
      </c>
      <c r="BG552" s="35">
        <v>20</v>
      </c>
    </row>
    <row r="553" spans="1:59" x14ac:dyDescent="0.35">
      <c r="A553" s="36">
        <v>46059.842361111114</v>
      </c>
      <c r="B553" s="35">
        <v>3.7</v>
      </c>
      <c r="C553" s="35">
        <v>2</v>
      </c>
      <c r="D553" s="35">
        <v>7.9</v>
      </c>
      <c r="E553" s="35">
        <v>2.2000000000000002</v>
      </c>
      <c r="F553" s="35">
        <v>3.3</v>
      </c>
      <c r="G553" s="35">
        <v>2</v>
      </c>
      <c r="H553" s="35">
        <v>2.9</v>
      </c>
      <c r="I553" s="35">
        <v>2</v>
      </c>
      <c r="J553" s="35">
        <v>3.4</v>
      </c>
      <c r="K553" s="35">
        <v>2</v>
      </c>
      <c r="L553" s="35">
        <v>3.5</v>
      </c>
      <c r="M553" s="35">
        <v>2</v>
      </c>
      <c r="N553" s="35">
        <v>1.3</v>
      </c>
      <c r="O553" s="35">
        <v>3</v>
      </c>
      <c r="P553" s="35">
        <v>2.2000000000000002</v>
      </c>
      <c r="Q553" s="35">
        <v>2</v>
      </c>
      <c r="R553" s="35">
        <v>3.6</v>
      </c>
      <c r="S553" s="35">
        <v>2</v>
      </c>
      <c r="T553" s="35">
        <v>3.1</v>
      </c>
      <c r="U553" s="35">
        <v>2</v>
      </c>
      <c r="V553" s="35">
        <v>10.8</v>
      </c>
      <c r="W553" s="35">
        <v>9</v>
      </c>
      <c r="X553" s="35">
        <v>8.6</v>
      </c>
      <c r="Y553" s="35">
        <v>9</v>
      </c>
      <c r="Z553" s="35">
        <v>10.4</v>
      </c>
      <c r="AA553" s="35">
        <v>9</v>
      </c>
      <c r="AB553" s="35">
        <v>8.6999999999999993</v>
      </c>
      <c r="AC553" s="35">
        <v>9</v>
      </c>
      <c r="AD553" s="35">
        <v>20.3</v>
      </c>
      <c r="AE553" s="35">
        <v>19</v>
      </c>
      <c r="AF553" s="35">
        <v>19.100000000000001</v>
      </c>
      <c r="AG553" s="35">
        <v>19</v>
      </c>
      <c r="AH553" s="35">
        <v>20.100000000000001</v>
      </c>
      <c r="AI553" s="35">
        <v>19</v>
      </c>
      <c r="AJ553" s="35">
        <v>18.7</v>
      </c>
      <c r="AK553" s="35">
        <v>19</v>
      </c>
      <c r="AL553" s="35">
        <v>19.5</v>
      </c>
      <c r="AM553" s="35">
        <v>19</v>
      </c>
      <c r="AN553" s="35">
        <v>20.6</v>
      </c>
      <c r="AO553" s="35">
        <v>19</v>
      </c>
      <c r="AP553" s="35">
        <v>20.8</v>
      </c>
      <c r="AQ553" s="35">
        <v>19</v>
      </c>
      <c r="AR553" s="35">
        <v>20.8</v>
      </c>
      <c r="AS553" s="35">
        <v>19</v>
      </c>
      <c r="AT553" s="35">
        <v>20.100000000000001</v>
      </c>
      <c r="AU553" s="35">
        <v>19</v>
      </c>
      <c r="AV553" s="35">
        <v>20</v>
      </c>
      <c r="AW553" s="35">
        <v>19</v>
      </c>
      <c r="AX553" s="35">
        <v>20.2</v>
      </c>
      <c r="AY553" s="35">
        <v>20</v>
      </c>
      <c r="AZ553" s="35">
        <v>20.100000000000001</v>
      </c>
      <c r="BA553" s="35">
        <v>20</v>
      </c>
      <c r="BB553" s="35">
        <v>30.8</v>
      </c>
      <c r="BC553" s="35">
        <v>40</v>
      </c>
      <c r="BD553" s="35">
        <v>29.9</v>
      </c>
      <c r="BE553" s="35">
        <v>40</v>
      </c>
      <c r="BF553" s="35">
        <v>21.8</v>
      </c>
      <c r="BG553" s="35">
        <v>20</v>
      </c>
    </row>
    <row r="554" spans="1:59" x14ac:dyDescent="0.35">
      <c r="A554" s="36">
        <v>46059.843055555553</v>
      </c>
      <c r="B554" s="35">
        <v>3.7</v>
      </c>
      <c r="C554" s="35">
        <v>2</v>
      </c>
      <c r="D554" s="35">
        <v>8.3000000000000007</v>
      </c>
      <c r="E554" s="35">
        <v>2.2000000000000002</v>
      </c>
      <c r="F554" s="35">
        <v>3.6</v>
      </c>
      <c r="G554" s="35">
        <v>2</v>
      </c>
      <c r="H554" s="35">
        <v>3.2</v>
      </c>
      <c r="I554" s="35">
        <v>2</v>
      </c>
      <c r="J554" s="35">
        <v>3.6</v>
      </c>
      <c r="K554" s="35">
        <v>2</v>
      </c>
      <c r="L554" s="35">
        <v>3.8</v>
      </c>
      <c r="M554" s="35">
        <v>2</v>
      </c>
      <c r="N554" s="35">
        <v>1.7</v>
      </c>
      <c r="O554" s="35">
        <v>3</v>
      </c>
      <c r="P554" s="35">
        <v>2.5</v>
      </c>
      <c r="Q554" s="35">
        <v>2</v>
      </c>
      <c r="R554" s="35">
        <v>3.8</v>
      </c>
      <c r="S554" s="35">
        <v>2</v>
      </c>
      <c r="T554" s="35">
        <v>3.2</v>
      </c>
      <c r="U554" s="35">
        <v>2</v>
      </c>
      <c r="V554" s="35">
        <v>11.1</v>
      </c>
      <c r="W554" s="35">
        <v>9</v>
      </c>
      <c r="X554" s="35">
        <v>8.4</v>
      </c>
      <c r="Y554" s="35">
        <v>9</v>
      </c>
      <c r="Z554" s="35">
        <v>10</v>
      </c>
      <c r="AA554" s="35">
        <v>9</v>
      </c>
      <c r="AB554" s="35">
        <v>8.9</v>
      </c>
      <c r="AC554" s="35">
        <v>9</v>
      </c>
      <c r="AD554" s="35">
        <v>20.399999999999999</v>
      </c>
      <c r="AE554" s="35">
        <v>19</v>
      </c>
      <c r="AF554" s="35">
        <v>19.2</v>
      </c>
      <c r="AG554" s="35">
        <v>19</v>
      </c>
      <c r="AH554" s="35">
        <v>20.2</v>
      </c>
      <c r="AI554" s="35">
        <v>19</v>
      </c>
      <c r="AJ554" s="35">
        <v>18.899999999999999</v>
      </c>
      <c r="AK554" s="35">
        <v>19</v>
      </c>
      <c r="AL554" s="35">
        <v>19.8</v>
      </c>
      <c r="AM554" s="35">
        <v>19</v>
      </c>
      <c r="AN554" s="35">
        <v>20.7</v>
      </c>
      <c r="AO554" s="35">
        <v>19</v>
      </c>
      <c r="AP554" s="35">
        <v>20.8</v>
      </c>
      <c r="AQ554" s="35">
        <v>19</v>
      </c>
      <c r="AR554" s="35">
        <v>20.8</v>
      </c>
      <c r="AS554" s="35">
        <v>19</v>
      </c>
      <c r="AT554" s="35">
        <v>20.100000000000001</v>
      </c>
      <c r="AU554" s="35">
        <v>19</v>
      </c>
      <c r="AV554" s="35">
        <v>20.100000000000001</v>
      </c>
      <c r="AW554" s="35">
        <v>19</v>
      </c>
      <c r="AX554" s="35">
        <v>20.2</v>
      </c>
      <c r="AY554" s="35">
        <v>20</v>
      </c>
      <c r="AZ554" s="35">
        <v>20</v>
      </c>
      <c r="BA554" s="35">
        <v>20</v>
      </c>
      <c r="BB554" s="35">
        <v>30.8</v>
      </c>
      <c r="BC554" s="35">
        <v>40</v>
      </c>
      <c r="BD554" s="35">
        <v>29.9</v>
      </c>
      <c r="BE554" s="35">
        <v>40</v>
      </c>
      <c r="BF554" s="35">
        <v>21.8</v>
      </c>
      <c r="BG554" s="35">
        <v>20</v>
      </c>
    </row>
    <row r="555" spans="1:59" x14ac:dyDescent="0.35">
      <c r="A555" s="36">
        <v>46059.84375</v>
      </c>
      <c r="B555" s="35">
        <v>3.7</v>
      </c>
      <c r="C555" s="35">
        <v>2</v>
      </c>
      <c r="D555" s="35">
        <v>8.8000000000000007</v>
      </c>
      <c r="E555" s="35">
        <v>2.2000000000000002</v>
      </c>
      <c r="F555" s="35">
        <v>3.8</v>
      </c>
      <c r="G555" s="35">
        <v>2</v>
      </c>
      <c r="H555" s="35">
        <v>3.4</v>
      </c>
      <c r="I555" s="35">
        <v>2</v>
      </c>
      <c r="J555" s="35">
        <v>3.8</v>
      </c>
      <c r="K555" s="35">
        <v>2</v>
      </c>
      <c r="L555" s="35">
        <v>4</v>
      </c>
      <c r="M555" s="35">
        <v>2</v>
      </c>
      <c r="N555" s="35">
        <v>2.1</v>
      </c>
      <c r="O555" s="35">
        <v>3</v>
      </c>
      <c r="P555" s="35">
        <v>2.8</v>
      </c>
      <c r="Q555" s="35">
        <v>2</v>
      </c>
      <c r="R555" s="35">
        <v>3.9</v>
      </c>
      <c r="S555" s="35">
        <v>2</v>
      </c>
      <c r="T555" s="35">
        <v>3.4</v>
      </c>
      <c r="U555" s="35">
        <v>2</v>
      </c>
      <c r="V555" s="35">
        <v>10.4</v>
      </c>
      <c r="W555" s="35">
        <v>9</v>
      </c>
      <c r="X555" s="35">
        <v>8.4</v>
      </c>
      <c r="Y555" s="35">
        <v>9</v>
      </c>
      <c r="Z555" s="35">
        <v>9.8000000000000007</v>
      </c>
      <c r="AA555" s="35">
        <v>9</v>
      </c>
      <c r="AB555" s="35">
        <v>9.4</v>
      </c>
      <c r="AC555" s="35">
        <v>9</v>
      </c>
      <c r="AD555" s="35">
        <v>20.399999999999999</v>
      </c>
      <c r="AE555" s="35">
        <v>19</v>
      </c>
      <c r="AF555" s="35">
        <v>19.3</v>
      </c>
      <c r="AG555" s="35">
        <v>19</v>
      </c>
      <c r="AH555" s="35">
        <v>20.2</v>
      </c>
      <c r="AI555" s="35">
        <v>19</v>
      </c>
      <c r="AJ555" s="35">
        <v>19.100000000000001</v>
      </c>
      <c r="AK555" s="35">
        <v>19</v>
      </c>
      <c r="AL555" s="35">
        <v>20</v>
      </c>
      <c r="AM555" s="35">
        <v>19</v>
      </c>
      <c r="AN555" s="35">
        <v>20.8</v>
      </c>
      <c r="AO555" s="35">
        <v>19</v>
      </c>
      <c r="AP555" s="35">
        <v>20.8</v>
      </c>
      <c r="AQ555" s="35">
        <v>19</v>
      </c>
      <c r="AR555" s="35">
        <v>20.8</v>
      </c>
      <c r="AS555" s="35">
        <v>19</v>
      </c>
      <c r="AT555" s="35">
        <v>20.2</v>
      </c>
      <c r="AU555" s="35">
        <v>19</v>
      </c>
      <c r="AV555" s="35">
        <v>20.2</v>
      </c>
      <c r="AW555" s="35">
        <v>19</v>
      </c>
      <c r="AX555" s="35">
        <v>20.2</v>
      </c>
      <c r="AY555" s="35">
        <v>20</v>
      </c>
      <c r="AZ555" s="35">
        <v>20</v>
      </c>
      <c r="BA555" s="35">
        <v>20</v>
      </c>
      <c r="BB555" s="35">
        <v>30.8</v>
      </c>
      <c r="BC555" s="35">
        <v>40</v>
      </c>
      <c r="BD555" s="35">
        <v>29.9</v>
      </c>
      <c r="BE555" s="35">
        <v>40</v>
      </c>
      <c r="BF555" s="35">
        <v>21.8</v>
      </c>
      <c r="BG555" s="35">
        <v>20</v>
      </c>
    </row>
    <row r="556" spans="1:59" x14ac:dyDescent="0.35">
      <c r="A556" s="36">
        <v>46059.844444444447</v>
      </c>
      <c r="B556" s="35">
        <v>3.7</v>
      </c>
      <c r="C556" s="35">
        <v>2</v>
      </c>
      <c r="D556" s="35">
        <v>9.1999999999999993</v>
      </c>
      <c r="E556" s="35">
        <v>2.2000000000000002</v>
      </c>
      <c r="F556" s="35">
        <v>3.9</v>
      </c>
      <c r="G556" s="35">
        <v>2</v>
      </c>
      <c r="H556" s="35">
        <v>3.5</v>
      </c>
      <c r="I556" s="35">
        <v>2</v>
      </c>
      <c r="J556" s="35">
        <v>3.7</v>
      </c>
      <c r="K556" s="35">
        <v>2</v>
      </c>
      <c r="L556" s="35">
        <v>3.3</v>
      </c>
      <c r="M556" s="35">
        <v>2</v>
      </c>
      <c r="N556" s="35">
        <v>2.5</v>
      </c>
      <c r="O556" s="35">
        <v>3</v>
      </c>
      <c r="P556" s="35">
        <v>3</v>
      </c>
      <c r="Q556" s="35">
        <v>2</v>
      </c>
      <c r="R556" s="35">
        <v>3.9</v>
      </c>
      <c r="S556" s="35">
        <v>2</v>
      </c>
      <c r="T556" s="35">
        <v>3.2</v>
      </c>
      <c r="U556" s="35">
        <v>2</v>
      </c>
      <c r="V556" s="35">
        <v>8.5</v>
      </c>
      <c r="W556" s="35">
        <v>9</v>
      </c>
      <c r="X556" s="35">
        <v>8.6</v>
      </c>
      <c r="Y556" s="35">
        <v>9</v>
      </c>
      <c r="Z556" s="35">
        <v>8.9</v>
      </c>
      <c r="AA556" s="35">
        <v>9</v>
      </c>
      <c r="AB556" s="35">
        <v>9.9</v>
      </c>
      <c r="AC556" s="35">
        <v>9</v>
      </c>
      <c r="AD556" s="35">
        <v>20.399999999999999</v>
      </c>
      <c r="AE556" s="35">
        <v>19</v>
      </c>
      <c r="AF556" s="35">
        <v>19.399999999999999</v>
      </c>
      <c r="AG556" s="35">
        <v>19</v>
      </c>
      <c r="AH556" s="35">
        <v>20.3</v>
      </c>
      <c r="AI556" s="35">
        <v>19</v>
      </c>
      <c r="AJ556" s="35">
        <v>19.2</v>
      </c>
      <c r="AK556" s="35">
        <v>19</v>
      </c>
      <c r="AL556" s="35">
        <v>20.2</v>
      </c>
      <c r="AM556" s="35">
        <v>19</v>
      </c>
      <c r="AN556" s="35">
        <v>20.9</v>
      </c>
      <c r="AO556" s="35">
        <v>19</v>
      </c>
      <c r="AP556" s="35">
        <v>20.8</v>
      </c>
      <c r="AQ556" s="35">
        <v>19</v>
      </c>
      <c r="AR556" s="35">
        <v>20.8</v>
      </c>
      <c r="AS556" s="35">
        <v>19</v>
      </c>
      <c r="AT556" s="35">
        <v>20.3</v>
      </c>
      <c r="AU556" s="35">
        <v>19</v>
      </c>
      <c r="AV556" s="35">
        <v>20.2</v>
      </c>
      <c r="AW556" s="35">
        <v>19</v>
      </c>
      <c r="AX556" s="35">
        <v>20.100000000000001</v>
      </c>
      <c r="AY556" s="35">
        <v>20</v>
      </c>
      <c r="AZ556" s="35">
        <v>20</v>
      </c>
      <c r="BA556" s="35">
        <v>20</v>
      </c>
      <c r="BB556" s="35">
        <v>30.8</v>
      </c>
      <c r="BC556" s="35">
        <v>40</v>
      </c>
      <c r="BD556" s="35">
        <v>29.9</v>
      </c>
      <c r="BE556" s="35">
        <v>40</v>
      </c>
      <c r="BF556" s="35">
        <v>21.9</v>
      </c>
      <c r="BG556" s="35">
        <v>20</v>
      </c>
    </row>
    <row r="557" spans="1:59" x14ac:dyDescent="0.35">
      <c r="A557" s="36">
        <v>46059.845138888886</v>
      </c>
      <c r="B557" s="35">
        <v>3.7</v>
      </c>
      <c r="C557" s="35">
        <v>2</v>
      </c>
      <c r="D557" s="35">
        <v>9.5</v>
      </c>
      <c r="E557" s="35">
        <v>2.2000000000000002</v>
      </c>
      <c r="F557" s="35">
        <v>3.4</v>
      </c>
      <c r="G557" s="35">
        <v>2</v>
      </c>
      <c r="H557" s="35">
        <v>2.5</v>
      </c>
      <c r="I557" s="35">
        <v>2</v>
      </c>
      <c r="J557" s="35">
        <v>2.9</v>
      </c>
      <c r="K557" s="35">
        <v>2</v>
      </c>
      <c r="L557" s="35">
        <v>2</v>
      </c>
      <c r="M557" s="35">
        <v>2</v>
      </c>
      <c r="N557" s="35">
        <v>2.8</v>
      </c>
      <c r="O557" s="35">
        <v>3</v>
      </c>
      <c r="P557" s="35">
        <v>3.2</v>
      </c>
      <c r="Q557" s="35">
        <v>2</v>
      </c>
      <c r="R557" s="35">
        <v>2.6</v>
      </c>
      <c r="S557" s="35">
        <v>2</v>
      </c>
      <c r="T557" s="35">
        <v>1.9</v>
      </c>
      <c r="U557" s="35">
        <v>2</v>
      </c>
      <c r="V557" s="35">
        <v>7.6</v>
      </c>
      <c r="W557" s="35">
        <v>9</v>
      </c>
      <c r="X557" s="35">
        <v>8.8000000000000007</v>
      </c>
      <c r="Y557" s="35">
        <v>9</v>
      </c>
      <c r="Z557" s="35">
        <v>8.6999999999999993</v>
      </c>
      <c r="AA557" s="35">
        <v>9</v>
      </c>
      <c r="AB557" s="35">
        <v>10.199999999999999</v>
      </c>
      <c r="AC557" s="35">
        <v>9</v>
      </c>
      <c r="AD557" s="35">
        <v>20.5</v>
      </c>
      <c r="AE557" s="35">
        <v>19</v>
      </c>
      <c r="AF557" s="35">
        <v>19.399999999999999</v>
      </c>
      <c r="AG557" s="35">
        <v>19</v>
      </c>
      <c r="AH557" s="35">
        <v>20.3</v>
      </c>
      <c r="AI557" s="35">
        <v>19</v>
      </c>
      <c r="AJ557" s="35">
        <v>19.3</v>
      </c>
      <c r="AK557" s="35">
        <v>19</v>
      </c>
      <c r="AL557" s="35">
        <v>20.399999999999999</v>
      </c>
      <c r="AM557" s="35">
        <v>19</v>
      </c>
      <c r="AN557" s="35">
        <v>20.9</v>
      </c>
      <c r="AO557" s="35">
        <v>19</v>
      </c>
      <c r="AP557" s="35">
        <v>20.8</v>
      </c>
      <c r="AQ557" s="35">
        <v>19</v>
      </c>
      <c r="AR557" s="35">
        <v>20.8</v>
      </c>
      <c r="AS557" s="35">
        <v>19</v>
      </c>
      <c r="AT557" s="35">
        <v>20.399999999999999</v>
      </c>
      <c r="AU557" s="35">
        <v>19</v>
      </c>
      <c r="AV557" s="35">
        <v>20.3</v>
      </c>
      <c r="AW557" s="35">
        <v>19</v>
      </c>
      <c r="AX557" s="35">
        <v>20.100000000000001</v>
      </c>
      <c r="AY557" s="35">
        <v>20</v>
      </c>
      <c r="AZ557" s="35">
        <v>20</v>
      </c>
      <c r="BA557" s="35">
        <v>20</v>
      </c>
      <c r="BB557" s="35">
        <v>30.8</v>
      </c>
      <c r="BC557" s="35">
        <v>40</v>
      </c>
      <c r="BD557" s="35">
        <v>29.9</v>
      </c>
      <c r="BE557" s="35">
        <v>40</v>
      </c>
      <c r="BF557" s="35">
        <v>21.9</v>
      </c>
      <c r="BG557" s="35">
        <v>20</v>
      </c>
    </row>
    <row r="558" spans="1:59" x14ac:dyDescent="0.35">
      <c r="A558" s="36">
        <v>46059.845833333333</v>
      </c>
      <c r="B558" s="35">
        <v>3.7</v>
      </c>
      <c r="C558" s="35">
        <v>2</v>
      </c>
      <c r="D558" s="35">
        <v>9.8000000000000007</v>
      </c>
      <c r="E558" s="35">
        <v>2.2000000000000002</v>
      </c>
      <c r="F558" s="35">
        <v>1.5</v>
      </c>
      <c r="G558" s="35">
        <v>2</v>
      </c>
      <c r="H558" s="35">
        <v>1.5</v>
      </c>
      <c r="I558" s="35">
        <v>2</v>
      </c>
      <c r="J558" s="35">
        <v>2.6</v>
      </c>
      <c r="K558" s="35">
        <v>2</v>
      </c>
      <c r="L558" s="35">
        <v>1.7</v>
      </c>
      <c r="M558" s="35">
        <v>2</v>
      </c>
      <c r="N558" s="35">
        <v>3.1</v>
      </c>
      <c r="O558" s="35">
        <v>3</v>
      </c>
      <c r="P558" s="35">
        <v>3.4</v>
      </c>
      <c r="Q558" s="35">
        <v>2</v>
      </c>
      <c r="R558" s="35">
        <v>1.7</v>
      </c>
      <c r="S558" s="35">
        <v>2</v>
      </c>
      <c r="T558" s="35">
        <v>1</v>
      </c>
      <c r="U558" s="35">
        <v>2</v>
      </c>
      <c r="V558" s="35">
        <v>8</v>
      </c>
      <c r="W558" s="35">
        <v>9</v>
      </c>
      <c r="X558" s="35">
        <v>9</v>
      </c>
      <c r="Y558" s="35">
        <v>9</v>
      </c>
      <c r="Z558" s="35">
        <v>8.6999999999999993</v>
      </c>
      <c r="AA558" s="35">
        <v>9</v>
      </c>
      <c r="AB558" s="35">
        <v>10.4</v>
      </c>
      <c r="AC558" s="35">
        <v>9</v>
      </c>
      <c r="AD558" s="35">
        <v>20.5</v>
      </c>
      <c r="AE558" s="35">
        <v>19</v>
      </c>
      <c r="AF558" s="35">
        <v>19.5</v>
      </c>
      <c r="AG558" s="35">
        <v>19</v>
      </c>
      <c r="AH558" s="35">
        <v>20.399999999999999</v>
      </c>
      <c r="AI558" s="35">
        <v>19</v>
      </c>
      <c r="AJ558" s="35">
        <v>19.399999999999999</v>
      </c>
      <c r="AK558" s="35">
        <v>19</v>
      </c>
      <c r="AL558" s="35">
        <v>20.5</v>
      </c>
      <c r="AM558" s="35">
        <v>19</v>
      </c>
      <c r="AN558" s="35">
        <v>21</v>
      </c>
      <c r="AO558" s="35">
        <v>19</v>
      </c>
      <c r="AP558" s="35">
        <v>20.8</v>
      </c>
      <c r="AQ558" s="35">
        <v>19</v>
      </c>
      <c r="AR558" s="35">
        <v>20.8</v>
      </c>
      <c r="AS558" s="35">
        <v>19</v>
      </c>
      <c r="AT558" s="35">
        <v>20.5</v>
      </c>
      <c r="AU558" s="35">
        <v>19</v>
      </c>
      <c r="AV558" s="35">
        <v>20.399999999999999</v>
      </c>
      <c r="AW558" s="35">
        <v>19</v>
      </c>
      <c r="AX558" s="35">
        <v>20.100000000000001</v>
      </c>
      <c r="AY558" s="35">
        <v>20</v>
      </c>
      <c r="AZ558" s="35">
        <v>20</v>
      </c>
      <c r="BA558" s="35">
        <v>20</v>
      </c>
      <c r="BB558" s="35">
        <v>30.8</v>
      </c>
      <c r="BC558" s="35">
        <v>40</v>
      </c>
      <c r="BD558" s="35">
        <v>29.9</v>
      </c>
      <c r="BE558" s="35">
        <v>40</v>
      </c>
      <c r="BF558" s="35">
        <v>21.9</v>
      </c>
      <c r="BG558" s="35">
        <v>20</v>
      </c>
    </row>
    <row r="559" spans="1:59" x14ac:dyDescent="0.35">
      <c r="A559" s="36">
        <v>46059.84652777778</v>
      </c>
      <c r="B559" s="35">
        <v>11.5</v>
      </c>
      <c r="C559" s="35">
        <v>2</v>
      </c>
      <c r="D559" s="35">
        <v>10</v>
      </c>
      <c r="E559" s="35">
        <v>2.2000000000000002</v>
      </c>
      <c r="F559" s="35">
        <v>1.5</v>
      </c>
      <c r="G559" s="35">
        <v>2</v>
      </c>
      <c r="H559" s="35">
        <v>1.6</v>
      </c>
      <c r="I559" s="35">
        <v>2</v>
      </c>
      <c r="J559" s="35">
        <v>2.6</v>
      </c>
      <c r="K559" s="35">
        <v>2</v>
      </c>
      <c r="L559" s="35">
        <v>1.9</v>
      </c>
      <c r="M559" s="35">
        <v>2</v>
      </c>
      <c r="N559" s="35">
        <v>3.3</v>
      </c>
      <c r="O559" s="35">
        <v>3</v>
      </c>
      <c r="P559" s="35">
        <v>3.5</v>
      </c>
      <c r="Q559" s="35">
        <v>2</v>
      </c>
      <c r="R559" s="35">
        <v>1.6</v>
      </c>
      <c r="S559" s="35">
        <v>2</v>
      </c>
      <c r="T559" s="35">
        <v>1</v>
      </c>
      <c r="U559" s="35">
        <v>2</v>
      </c>
      <c r="V559" s="35">
        <v>8.8000000000000007</v>
      </c>
      <c r="W559" s="35">
        <v>9</v>
      </c>
      <c r="X559" s="35">
        <v>9.1999999999999993</v>
      </c>
      <c r="Y559" s="35">
        <v>9</v>
      </c>
      <c r="Z559" s="35">
        <v>9.1</v>
      </c>
      <c r="AA559" s="35">
        <v>9</v>
      </c>
      <c r="AB559" s="35">
        <v>10.7</v>
      </c>
      <c r="AC559" s="35">
        <v>9</v>
      </c>
      <c r="AD559" s="35">
        <v>20.5</v>
      </c>
      <c r="AE559" s="35">
        <v>19</v>
      </c>
      <c r="AF559" s="35">
        <v>19.600000000000001</v>
      </c>
      <c r="AG559" s="35">
        <v>19</v>
      </c>
      <c r="AH559" s="35">
        <v>20.5</v>
      </c>
      <c r="AI559" s="35">
        <v>19</v>
      </c>
      <c r="AJ559" s="35">
        <v>19.600000000000001</v>
      </c>
      <c r="AK559" s="35">
        <v>19</v>
      </c>
      <c r="AL559" s="35">
        <v>20.7</v>
      </c>
      <c r="AM559" s="35">
        <v>19</v>
      </c>
      <c r="AN559" s="35">
        <v>20</v>
      </c>
      <c r="AO559" s="35">
        <v>19</v>
      </c>
      <c r="AP559" s="35">
        <v>20.8</v>
      </c>
      <c r="AQ559" s="35">
        <v>19</v>
      </c>
      <c r="AR559" s="35">
        <v>20.8</v>
      </c>
      <c r="AS559" s="35">
        <v>19</v>
      </c>
      <c r="AT559" s="35">
        <v>20.6</v>
      </c>
      <c r="AU559" s="35">
        <v>19</v>
      </c>
      <c r="AV559" s="35">
        <v>20.399999999999999</v>
      </c>
      <c r="AW559" s="35">
        <v>19</v>
      </c>
      <c r="AX559" s="35">
        <v>20.100000000000001</v>
      </c>
      <c r="AY559" s="35">
        <v>20</v>
      </c>
      <c r="AZ559" s="35">
        <v>20</v>
      </c>
      <c r="BA559" s="35">
        <v>20</v>
      </c>
      <c r="BB559" s="35">
        <v>30.7</v>
      </c>
      <c r="BC559" s="35">
        <v>40</v>
      </c>
      <c r="BD559" s="35">
        <v>29.9</v>
      </c>
      <c r="BE559" s="35">
        <v>40</v>
      </c>
      <c r="BF559" s="35">
        <v>21.9</v>
      </c>
      <c r="BG559" s="35">
        <v>20</v>
      </c>
    </row>
    <row r="560" spans="1:59" x14ac:dyDescent="0.35">
      <c r="A560" s="36">
        <v>46059.847222222219</v>
      </c>
      <c r="B560" s="35">
        <v>10.9</v>
      </c>
      <c r="C560" s="35">
        <v>2</v>
      </c>
      <c r="D560" s="35">
        <v>10</v>
      </c>
      <c r="E560" s="35">
        <v>2.2000000000000002</v>
      </c>
      <c r="F560" s="35">
        <v>1.9</v>
      </c>
      <c r="G560" s="35">
        <v>2</v>
      </c>
      <c r="H560" s="35">
        <v>2</v>
      </c>
      <c r="I560" s="35">
        <v>2</v>
      </c>
      <c r="J560" s="35">
        <v>2.9</v>
      </c>
      <c r="K560" s="35">
        <v>2</v>
      </c>
      <c r="L560" s="35">
        <v>2.4</v>
      </c>
      <c r="M560" s="35">
        <v>2</v>
      </c>
      <c r="N560" s="35">
        <v>3.5</v>
      </c>
      <c r="O560" s="35">
        <v>3</v>
      </c>
      <c r="P560" s="35">
        <v>3.7</v>
      </c>
      <c r="Q560" s="35">
        <v>2</v>
      </c>
      <c r="R560" s="35">
        <v>1.8</v>
      </c>
      <c r="S560" s="35">
        <v>2</v>
      </c>
      <c r="T560" s="35">
        <v>1.2</v>
      </c>
      <c r="U560" s="35">
        <v>2</v>
      </c>
      <c r="V560" s="35">
        <v>9.5</v>
      </c>
      <c r="W560" s="35">
        <v>9</v>
      </c>
      <c r="X560" s="35">
        <v>9.4</v>
      </c>
      <c r="Y560" s="35">
        <v>9</v>
      </c>
      <c r="Z560" s="35">
        <v>9.4</v>
      </c>
      <c r="AA560" s="35">
        <v>9</v>
      </c>
      <c r="AB560" s="35">
        <v>10.9</v>
      </c>
      <c r="AC560" s="35">
        <v>9</v>
      </c>
      <c r="AD560" s="35">
        <v>20.6</v>
      </c>
      <c r="AE560" s="35">
        <v>19</v>
      </c>
      <c r="AF560" s="35">
        <v>19.7</v>
      </c>
      <c r="AG560" s="35">
        <v>19</v>
      </c>
      <c r="AH560" s="35">
        <v>20.5</v>
      </c>
      <c r="AI560" s="35">
        <v>19</v>
      </c>
      <c r="AJ560" s="35">
        <v>19.7</v>
      </c>
      <c r="AK560" s="35">
        <v>19</v>
      </c>
      <c r="AL560" s="35">
        <v>20.9</v>
      </c>
      <c r="AM560" s="35">
        <v>19</v>
      </c>
      <c r="AN560" s="35">
        <v>19</v>
      </c>
      <c r="AO560" s="35">
        <v>19</v>
      </c>
      <c r="AP560" s="35">
        <v>20.8</v>
      </c>
      <c r="AQ560" s="35">
        <v>19</v>
      </c>
      <c r="AR560" s="35">
        <v>20.8</v>
      </c>
      <c r="AS560" s="35">
        <v>19</v>
      </c>
      <c r="AT560" s="35">
        <v>20.7</v>
      </c>
      <c r="AU560" s="35">
        <v>19</v>
      </c>
      <c r="AV560" s="35">
        <v>20.399999999999999</v>
      </c>
      <c r="AW560" s="35">
        <v>19</v>
      </c>
      <c r="AX560" s="35">
        <v>20.100000000000001</v>
      </c>
      <c r="AY560" s="35">
        <v>20</v>
      </c>
      <c r="AZ560" s="35">
        <v>20</v>
      </c>
      <c r="BA560" s="35">
        <v>20</v>
      </c>
      <c r="BB560" s="35">
        <v>30.7</v>
      </c>
      <c r="BC560" s="35">
        <v>40</v>
      </c>
      <c r="BD560" s="35">
        <v>29.9</v>
      </c>
      <c r="BE560" s="35">
        <v>40</v>
      </c>
      <c r="BF560" s="35">
        <v>21.9</v>
      </c>
      <c r="BG560" s="35">
        <v>20</v>
      </c>
    </row>
    <row r="561" spans="1:59" x14ac:dyDescent="0.35">
      <c r="A561" s="36">
        <v>46059.847916666666</v>
      </c>
      <c r="B561" s="35">
        <v>9.6</v>
      </c>
      <c r="C561" s="35">
        <v>2</v>
      </c>
      <c r="D561" s="35">
        <v>9.3000000000000007</v>
      </c>
      <c r="E561" s="35">
        <v>2.2000000000000002</v>
      </c>
      <c r="F561" s="35">
        <v>2.4</v>
      </c>
      <c r="G561" s="35">
        <v>2</v>
      </c>
      <c r="H561" s="35">
        <v>2.5</v>
      </c>
      <c r="I561" s="35">
        <v>2</v>
      </c>
      <c r="J561" s="35">
        <v>3.1</v>
      </c>
      <c r="K561" s="35">
        <v>2</v>
      </c>
      <c r="L561" s="35">
        <v>2.7</v>
      </c>
      <c r="M561" s="35">
        <v>2</v>
      </c>
      <c r="N561" s="35">
        <v>3.7</v>
      </c>
      <c r="O561" s="35">
        <v>3</v>
      </c>
      <c r="P561" s="35">
        <v>3.8</v>
      </c>
      <c r="Q561" s="35">
        <v>2</v>
      </c>
      <c r="R561" s="35">
        <v>2</v>
      </c>
      <c r="S561" s="35">
        <v>2</v>
      </c>
      <c r="T561" s="35">
        <v>1.5</v>
      </c>
      <c r="U561" s="35">
        <v>2</v>
      </c>
      <c r="V561" s="35">
        <v>10</v>
      </c>
      <c r="W561" s="35">
        <v>9</v>
      </c>
      <c r="X561" s="35">
        <v>9.5</v>
      </c>
      <c r="Y561" s="35">
        <v>9</v>
      </c>
      <c r="Z561" s="35">
        <v>9.6</v>
      </c>
      <c r="AA561" s="35">
        <v>9</v>
      </c>
      <c r="AB561" s="35">
        <v>11</v>
      </c>
      <c r="AC561" s="35">
        <v>9</v>
      </c>
      <c r="AD561" s="35">
        <v>20.6</v>
      </c>
      <c r="AE561" s="35">
        <v>19</v>
      </c>
      <c r="AF561" s="35">
        <v>19.8</v>
      </c>
      <c r="AG561" s="35">
        <v>19</v>
      </c>
      <c r="AH561" s="35">
        <v>20.6</v>
      </c>
      <c r="AI561" s="35">
        <v>19</v>
      </c>
      <c r="AJ561" s="35">
        <v>19.8</v>
      </c>
      <c r="AK561" s="35">
        <v>19</v>
      </c>
      <c r="AL561" s="35">
        <v>21</v>
      </c>
      <c r="AM561" s="35">
        <v>19</v>
      </c>
      <c r="AN561" s="35">
        <v>18.600000000000001</v>
      </c>
      <c r="AO561" s="35">
        <v>19</v>
      </c>
      <c r="AP561" s="35">
        <v>20.8</v>
      </c>
      <c r="AQ561" s="35">
        <v>19</v>
      </c>
      <c r="AR561" s="35">
        <v>20.8</v>
      </c>
      <c r="AS561" s="35">
        <v>19</v>
      </c>
      <c r="AT561" s="35">
        <v>20.7</v>
      </c>
      <c r="AU561" s="35">
        <v>19</v>
      </c>
      <c r="AV561" s="35">
        <v>20.5</v>
      </c>
      <c r="AW561" s="35">
        <v>19</v>
      </c>
      <c r="AX561" s="35">
        <v>20.100000000000001</v>
      </c>
      <c r="AY561" s="35">
        <v>20</v>
      </c>
      <c r="AZ561" s="35">
        <v>20.100000000000001</v>
      </c>
      <c r="BA561" s="35">
        <v>20</v>
      </c>
      <c r="BB561" s="35">
        <v>30.7</v>
      </c>
      <c r="BC561" s="35">
        <v>40</v>
      </c>
      <c r="BD561" s="35">
        <v>29.9</v>
      </c>
      <c r="BE561" s="35">
        <v>40</v>
      </c>
      <c r="BF561" s="35">
        <v>21.9</v>
      </c>
      <c r="BG561" s="35">
        <v>20</v>
      </c>
    </row>
    <row r="562" spans="1:59" x14ac:dyDescent="0.35">
      <c r="A562" s="36">
        <v>46059.848611111112</v>
      </c>
      <c r="B562" s="35">
        <v>8</v>
      </c>
      <c r="C562" s="35">
        <v>2</v>
      </c>
      <c r="D562" s="35">
        <v>7.8</v>
      </c>
      <c r="E562" s="35">
        <v>2.2000000000000002</v>
      </c>
      <c r="F562" s="35">
        <v>2.7</v>
      </c>
      <c r="G562" s="35">
        <v>2</v>
      </c>
      <c r="H562" s="35">
        <v>2.8</v>
      </c>
      <c r="I562" s="35">
        <v>2</v>
      </c>
      <c r="J562" s="35">
        <v>3.3</v>
      </c>
      <c r="K562" s="35">
        <v>2</v>
      </c>
      <c r="L562" s="35">
        <v>3.1</v>
      </c>
      <c r="M562" s="35">
        <v>2</v>
      </c>
      <c r="N562" s="35">
        <v>3.9</v>
      </c>
      <c r="O562" s="35">
        <v>3</v>
      </c>
      <c r="P562" s="35">
        <v>3.9</v>
      </c>
      <c r="Q562" s="35">
        <v>2</v>
      </c>
      <c r="R562" s="35">
        <v>2.2999999999999998</v>
      </c>
      <c r="S562" s="35">
        <v>2</v>
      </c>
      <c r="T562" s="35">
        <v>1.8</v>
      </c>
      <c r="U562" s="35">
        <v>2</v>
      </c>
      <c r="V562" s="35">
        <v>10.5</v>
      </c>
      <c r="W562" s="35">
        <v>9</v>
      </c>
      <c r="X562" s="35">
        <v>9.6999999999999993</v>
      </c>
      <c r="Y562" s="35">
        <v>9</v>
      </c>
      <c r="Z562" s="35">
        <v>9.9</v>
      </c>
      <c r="AA562" s="35">
        <v>9</v>
      </c>
      <c r="AB562" s="35">
        <v>10.5</v>
      </c>
      <c r="AC562" s="35">
        <v>9</v>
      </c>
      <c r="AD562" s="35">
        <v>20.6</v>
      </c>
      <c r="AE562" s="35">
        <v>19</v>
      </c>
      <c r="AF562" s="35">
        <v>19.8</v>
      </c>
      <c r="AG562" s="35">
        <v>19</v>
      </c>
      <c r="AH562" s="35">
        <v>20.6</v>
      </c>
      <c r="AI562" s="35">
        <v>19</v>
      </c>
      <c r="AJ562" s="35">
        <v>19.899999999999999</v>
      </c>
      <c r="AK562" s="35">
        <v>19</v>
      </c>
      <c r="AL562" s="35">
        <v>21</v>
      </c>
      <c r="AM562" s="35">
        <v>19</v>
      </c>
      <c r="AN562" s="35">
        <v>18.600000000000001</v>
      </c>
      <c r="AO562" s="35">
        <v>19</v>
      </c>
      <c r="AP562" s="35">
        <v>20.8</v>
      </c>
      <c r="AQ562" s="35">
        <v>19</v>
      </c>
      <c r="AR562" s="35">
        <v>20.8</v>
      </c>
      <c r="AS562" s="35">
        <v>19</v>
      </c>
      <c r="AT562" s="35">
        <v>20.8</v>
      </c>
      <c r="AU562" s="35">
        <v>19</v>
      </c>
      <c r="AV562" s="35">
        <v>20.5</v>
      </c>
      <c r="AW562" s="35">
        <v>19</v>
      </c>
      <c r="AX562" s="35">
        <v>20.100000000000001</v>
      </c>
      <c r="AY562" s="35">
        <v>20</v>
      </c>
      <c r="AZ562" s="35">
        <v>20.100000000000001</v>
      </c>
      <c r="BA562" s="35">
        <v>20</v>
      </c>
      <c r="BB562" s="35">
        <v>30.7</v>
      </c>
      <c r="BC562" s="35">
        <v>40</v>
      </c>
      <c r="BD562" s="35">
        <v>29.9</v>
      </c>
      <c r="BE562" s="35">
        <v>40</v>
      </c>
      <c r="BF562" s="35">
        <v>21.9</v>
      </c>
      <c r="BG562" s="35">
        <v>20</v>
      </c>
    </row>
    <row r="563" spans="1:59" x14ac:dyDescent="0.35">
      <c r="A563" s="36">
        <v>46059.849305555559</v>
      </c>
      <c r="B563" s="35">
        <v>7</v>
      </c>
      <c r="C563" s="35">
        <v>2</v>
      </c>
      <c r="D563" s="35">
        <v>7</v>
      </c>
      <c r="E563" s="35">
        <v>2.2000000000000002</v>
      </c>
      <c r="F563" s="35">
        <v>2.9</v>
      </c>
      <c r="G563" s="35">
        <v>2</v>
      </c>
      <c r="H563" s="35">
        <v>3.3</v>
      </c>
      <c r="I563" s="35">
        <v>2</v>
      </c>
      <c r="J563" s="35">
        <v>3.6</v>
      </c>
      <c r="K563" s="35">
        <v>2</v>
      </c>
      <c r="L563" s="35">
        <v>3.5</v>
      </c>
      <c r="M563" s="35">
        <v>2</v>
      </c>
      <c r="N563" s="35">
        <v>4</v>
      </c>
      <c r="O563" s="35">
        <v>3</v>
      </c>
      <c r="P563" s="35">
        <v>4</v>
      </c>
      <c r="Q563" s="35">
        <v>2</v>
      </c>
      <c r="R563" s="35">
        <v>2.6</v>
      </c>
      <c r="S563" s="35">
        <v>2</v>
      </c>
      <c r="T563" s="35">
        <v>2.1</v>
      </c>
      <c r="U563" s="35">
        <v>2</v>
      </c>
      <c r="V563" s="35">
        <v>10.9</v>
      </c>
      <c r="W563" s="35">
        <v>9</v>
      </c>
      <c r="X563" s="35">
        <v>9.8000000000000007</v>
      </c>
      <c r="Y563" s="35">
        <v>9</v>
      </c>
      <c r="Z563" s="35">
        <v>10.1</v>
      </c>
      <c r="AA563" s="35">
        <v>9</v>
      </c>
      <c r="AB563" s="35">
        <v>8.9</v>
      </c>
      <c r="AC563" s="35">
        <v>9</v>
      </c>
      <c r="AD563" s="35">
        <v>20.6</v>
      </c>
      <c r="AE563" s="35">
        <v>19</v>
      </c>
      <c r="AF563" s="35">
        <v>19.899999999999999</v>
      </c>
      <c r="AG563" s="35">
        <v>19</v>
      </c>
      <c r="AH563" s="35">
        <v>20.7</v>
      </c>
      <c r="AI563" s="35">
        <v>19</v>
      </c>
      <c r="AJ563" s="35">
        <v>20</v>
      </c>
      <c r="AK563" s="35">
        <v>19</v>
      </c>
      <c r="AL563" s="35">
        <v>20.6</v>
      </c>
      <c r="AM563" s="35">
        <v>19</v>
      </c>
      <c r="AN563" s="35">
        <v>18.899999999999999</v>
      </c>
      <c r="AO563" s="35">
        <v>19</v>
      </c>
      <c r="AP563" s="35">
        <v>20.8</v>
      </c>
      <c r="AQ563" s="35">
        <v>19</v>
      </c>
      <c r="AR563" s="35">
        <v>20.8</v>
      </c>
      <c r="AS563" s="35">
        <v>19</v>
      </c>
      <c r="AT563" s="35">
        <v>20.9</v>
      </c>
      <c r="AU563" s="35">
        <v>19</v>
      </c>
      <c r="AV563" s="35">
        <v>20.6</v>
      </c>
      <c r="AW563" s="35">
        <v>19</v>
      </c>
      <c r="AX563" s="35">
        <v>20.100000000000001</v>
      </c>
      <c r="AY563" s="35">
        <v>20</v>
      </c>
      <c r="AZ563" s="35">
        <v>20.100000000000001</v>
      </c>
      <c r="BA563" s="35">
        <v>20</v>
      </c>
      <c r="BB563" s="35">
        <v>30.7</v>
      </c>
      <c r="BC563" s="35">
        <v>40</v>
      </c>
      <c r="BD563" s="35">
        <v>29.8</v>
      </c>
      <c r="BE563" s="35">
        <v>40</v>
      </c>
      <c r="BF563" s="35">
        <v>21.9</v>
      </c>
      <c r="BG563" s="35">
        <v>20</v>
      </c>
    </row>
    <row r="564" spans="1:59" x14ac:dyDescent="0.35">
      <c r="A564" s="36">
        <v>46059.85</v>
      </c>
      <c r="B564" s="35">
        <v>6.1</v>
      </c>
      <c r="C564" s="35">
        <v>2</v>
      </c>
      <c r="D564" s="35">
        <v>6.3</v>
      </c>
      <c r="E564" s="35">
        <v>2.2000000000000002</v>
      </c>
      <c r="F564" s="35">
        <v>3.2</v>
      </c>
      <c r="G564" s="35">
        <v>2</v>
      </c>
      <c r="H564" s="35">
        <v>3.6</v>
      </c>
      <c r="I564" s="35">
        <v>2</v>
      </c>
      <c r="J564" s="35">
        <v>3.9</v>
      </c>
      <c r="K564" s="35">
        <v>2</v>
      </c>
      <c r="L564" s="35">
        <v>3.8</v>
      </c>
      <c r="M564" s="35">
        <v>2</v>
      </c>
      <c r="N564" s="35">
        <v>2</v>
      </c>
      <c r="O564" s="35">
        <v>3</v>
      </c>
      <c r="P564" s="35">
        <v>2.7</v>
      </c>
      <c r="Q564" s="35">
        <v>2</v>
      </c>
      <c r="R564" s="35">
        <v>2.8</v>
      </c>
      <c r="S564" s="35">
        <v>2</v>
      </c>
      <c r="T564" s="35">
        <v>2.4</v>
      </c>
      <c r="U564" s="35">
        <v>2</v>
      </c>
      <c r="V564" s="35">
        <v>10.6</v>
      </c>
      <c r="W564" s="35">
        <v>9</v>
      </c>
      <c r="X564" s="35">
        <v>9.9</v>
      </c>
      <c r="Y564" s="35">
        <v>9</v>
      </c>
      <c r="Z564" s="35">
        <v>10.199999999999999</v>
      </c>
      <c r="AA564" s="35">
        <v>9</v>
      </c>
      <c r="AB564" s="35">
        <v>7.8</v>
      </c>
      <c r="AC564" s="35">
        <v>9</v>
      </c>
      <c r="AD564" s="35">
        <v>20.7</v>
      </c>
      <c r="AE564" s="35">
        <v>19</v>
      </c>
      <c r="AF564" s="35">
        <v>20</v>
      </c>
      <c r="AG564" s="35">
        <v>19</v>
      </c>
      <c r="AH564" s="35">
        <v>20.7</v>
      </c>
      <c r="AI564" s="35">
        <v>19</v>
      </c>
      <c r="AJ564" s="35">
        <v>20</v>
      </c>
      <c r="AK564" s="35">
        <v>19</v>
      </c>
      <c r="AL564" s="35">
        <v>20.3</v>
      </c>
      <c r="AM564" s="35">
        <v>19</v>
      </c>
      <c r="AN564" s="35">
        <v>19.100000000000001</v>
      </c>
      <c r="AO564" s="35">
        <v>19</v>
      </c>
      <c r="AP564" s="35">
        <v>20.8</v>
      </c>
      <c r="AQ564" s="35">
        <v>19</v>
      </c>
      <c r="AR564" s="35">
        <v>20.8</v>
      </c>
      <c r="AS564" s="35">
        <v>19</v>
      </c>
      <c r="AT564" s="35">
        <v>21</v>
      </c>
      <c r="AU564" s="35">
        <v>19</v>
      </c>
      <c r="AV564" s="35">
        <v>20.6</v>
      </c>
      <c r="AW564" s="35">
        <v>19</v>
      </c>
      <c r="AX564" s="35">
        <v>20</v>
      </c>
      <c r="AY564" s="35">
        <v>20</v>
      </c>
      <c r="AZ564" s="35">
        <v>20</v>
      </c>
      <c r="BA564" s="35">
        <v>20</v>
      </c>
      <c r="BB564" s="35">
        <v>30.7</v>
      </c>
      <c r="BC564" s="35">
        <v>40</v>
      </c>
      <c r="BD564" s="35">
        <v>29.8</v>
      </c>
      <c r="BE564" s="35">
        <v>40</v>
      </c>
      <c r="BF564" s="35">
        <v>21.9</v>
      </c>
      <c r="BG564" s="35">
        <v>20</v>
      </c>
    </row>
    <row r="565" spans="1:59" x14ac:dyDescent="0.35">
      <c r="A565" s="36">
        <v>46059.850694444445</v>
      </c>
      <c r="B565" s="35">
        <v>5.2</v>
      </c>
      <c r="C565" s="35">
        <v>2</v>
      </c>
      <c r="D565" s="35">
        <v>5.3</v>
      </c>
      <c r="E565" s="35">
        <v>2.2000000000000002</v>
      </c>
      <c r="F565" s="35">
        <v>3.5</v>
      </c>
      <c r="G565" s="35">
        <v>2</v>
      </c>
      <c r="H565" s="35">
        <v>3.9</v>
      </c>
      <c r="I565" s="35">
        <v>2</v>
      </c>
      <c r="J565" s="35">
        <v>4</v>
      </c>
      <c r="K565" s="35">
        <v>2</v>
      </c>
      <c r="L565" s="35">
        <v>4</v>
      </c>
      <c r="M565" s="35">
        <v>2</v>
      </c>
      <c r="N565" s="35">
        <v>0.9</v>
      </c>
      <c r="O565" s="35">
        <v>3</v>
      </c>
      <c r="P565" s="35">
        <v>1.8</v>
      </c>
      <c r="Q565" s="35">
        <v>2</v>
      </c>
      <c r="R565" s="35">
        <v>3</v>
      </c>
      <c r="S565" s="35">
        <v>2</v>
      </c>
      <c r="T565" s="35">
        <v>2.5</v>
      </c>
      <c r="U565" s="35">
        <v>2</v>
      </c>
      <c r="V565" s="35">
        <v>8.9</v>
      </c>
      <c r="W565" s="35">
        <v>9</v>
      </c>
      <c r="X565" s="35">
        <v>10</v>
      </c>
      <c r="Y565" s="35">
        <v>9</v>
      </c>
      <c r="Z565" s="35">
        <v>10.4</v>
      </c>
      <c r="AA565" s="35">
        <v>9</v>
      </c>
      <c r="AB565" s="35">
        <v>7.9</v>
      </c>
      <c r="AC565" s="35">
        <v>9</v>
      </c>
      <c r="AD565" s="35">
        <v>20.7</v>
      </c>
      <c r="AE565" s="35">
        <v>19</v>
      </c>
      <c r="AF565" s="35">
        <v>20</v>
      </c>
      <c r="AG565" s="35">
        <v>19</v>
      </c>
      <c r="AH565" s="35">
        <v>20.7</v>
      </c>
      <c r="AI565" s="35">
        <v>19</v>
      </c>
      <c r="AJ565" s="35">
        <v>20.100000000000001</v>
      </c>
      <c r="AK565" s="35">
        <v>19</v>
      </c>
      <c r="AL565" s="35">
        <v>20</v>
      </c>
      <c r="AM565" s="35">
        <v>19</v>
      </c>
      <c r="AN565" s="35">
        <v>19.3</v>
      </c>
      <c r="AO565" s="35">
        <v>19</v>
      </c>
      <c r="AP565" s="35">
        <v>20.9</v>
      </c>
      <c r="AQ565" s="35">
        <v>19</v>
      </c>
      <c r="AR565" s="35">
        <v>20.8</v>
      </c>
      <c r="AS565" s="35">
        <v>19</v>
      </c>
      <c r="AT565" s="35">
        <v>20.5</v>
      </c>
      <c r="AU565" s="35">
        <v>19</v>
      </c>
      <c r="AV565" s="35">
        <v>20.7</v>
      </c>
      <c r="AW565" s="35">
        <v>19</v>
      </c>
      <c r="AX565" s="35">
        <v>20</v>
      </c>
      <c r="AY565" s="35">
        <v>20</v>
      </c>
      <c r="AZ565" s="35">
        <v>20</v>
      </c>
      <c r="BA565" s="35">
        <v>20</v>
      </c>
      <c r="BB565" s="35">
        <v>30.6</v>
      </c>
      <c r="BC565" s="35">
        <v>40</v>
      </c>
      <c r="BD565" s="35">
        <v>29.8</v>
      </c>
      <c r="BE565" s="35">
        <v>40</v>
      </c>
      <c r="BF565" s="35">
        <v>21.9</v>
      </c>
      <c r="BG565" s="35">
        <v>20</v>
      </c>
    </row>
    <row r="566" spans="1:59" x14ac:dyDescent="0.35">
      <c r="A566" s="36">
        <v>46059.851388888892</v>
      </c>
      <c r="B566" s="35">
        <v>4.5999999999999996</v>
      </c>
      <c r="C566" s="35">
        <v>2</v>
      </c>
      <c r="D566" s="35">
        <v>4.9000000000000004</v>
      </c>
      <c r="E566" s="35">
        <v>2.2000000000000002</v>
      </c>
      <c r="F566" s="35">
        <v>3.5</v>
      </c>
      <c r="G566" s="35">
        <v>2</v>
      </c>
      <c r="H566" s="35">
        <v>3.5</v>
      </c>
      <c r="I566" s="35">
        <v>2</v>
      </c>
      <c r="J566" s="35">
        <v>3.4</v>
      </c>
      <c r="K566" s="35">
        <v>2</v>
      </c>
      <c r="L566" s="35">
        <v>3.3</v>
      </c>
      <c r="M566" s="35">
        <v>2</v>
      </c>
      <c r="N566" s="35">
        <v>0.9</v>
      </c>
      <c r="O566" s="35">
        <v>3</v>
      </c>
      <c r="P566" s="35">
        <v>1.8</v>
      </c>
      <c r="Q566" s="35">
        <v>2</v>
      </c>
      <c r="R566" s="35">
        <v>3.2</v>
      </c>
      <c r="S566" s="35">
        <v>2</v>
      </c>
      <c r="T566" s="35">
        <v>2.8</v>
      </c>
      <c r="U566" s="35">
        <v>2</v>
      </c>
      <c r="V566" s="35">
        <v>8.1</v>
      </c>
      <c r="W566" s="35">
        <v>9</v>
      </c>
      <c r="X566" s="35">
        <v>10.199999999999999</v>
      </c>
      <c r="Y566" s="35">
        <v>9</v>
      </c>
      <c r="Z566" s="35">
        <v>10.5</v>
      </c>
      <c r="AA566" s="35">
        <v>9</v>
      </c>
      <c r="AB566" s="35">
        <v>8.5</v>
      </c>
      <c r="AC566" s="35">
        <v>9</v>
      </c>
      <c r="AD566" s="35">
        <v>20.7</v>
      </c>
      <c r="AE566" s="35">
        <v>19</v>
      </c>
      <c r="AF566" s="35">
        <v>20.100000000000001</v>
      </c>
      <c r="AG566" s="35">
        <v>19</v>
      </c>
      <c r="AH566" s="35">
        <v>20.8</v>
      </c>
      <c r="AI566" s="35">
        <v>19</v>
      </c>
      <c r="AJ566" s="35">
        <v>20.2</v>
      </c>
      <c r="AK566" s="35">
        <v>19</v>
      </c>
      <c r="AL566" s="35">
        <v>19.8</v>
      </c>
      <c r="AM566" s="35">
        <v>19</v>
      </c>
      <c r="AN566" s="35">
        <v>19.5</v>
      </c>
      <c r="AO566" s="35">
        <v>19</v>
      </c>
      <c r="AP566" s="35">
        <v>20.9</v>
      </c>
      <c r="AQ566" s="35">
        <v>19</v>
      </c>
      <c r="AR566" s="35">
        <v>20.8</v>
      </c>
      <c r="AS566" s="35">
        <v>19</v>
      </c>
      <c r="AT566" s="35">
        <v>18.7</v>
      </c>
      <c r="AU566" s="35">
        <v>19</v>
      </c>
      <c r="AV566" s="35">
        <v>20.7</v>
      </c>
      <c r="AW566" s="35">
        <v>19</v>
      </c>
      <c r="AX566" s="35">
        <v>20.100000000000001</v>
      </c>
      <c r="AY566" s="35">
        <v>20</v>
      </c>
      <c r="AZ566" s="35">
        <v>20</v>
      </c>
      <c r="BA566" s="35">
        <v>20</v>
      </c>
      <c r="BB566" s="35">
        <v>30.6</v>
      </c>
      <c r="BC566" s="35">
        <v>40</v>
      </c>
      <c r="BD566" s="35">
        <v>29.8</v>
      </c>
      <c r="BE566" s="35">
        <v>40</v>
      </c>
      <c r="BF566" s="35">
        <v>21.9</v>
      </c>
      <c r="BG566" s="35">
        <v>20</v>
      </c>
    </row>
    <row r="567" spans="1:59" x14ac:dyDescent="0.35">
      <c r="A567" s="36">
        <v>46059.852083333331</v>
      </c>
      <c r="B567" s="35">
        <v>4.0999999999999996</v>
      </c>
      <c r="C567" s="35">
        <v>2</v>
      </c>
      <c r="D567" s="35">
        <v>4.3</v>
      </c>
      <c r="E567" s="35">
        <v>2.2000000000000002</v>
      </c>
      <c r="F567" s="35">
        <v>3.3</v>
      </c>
      <c r="G567" s="35">
        <v>2</v>
      </c>
      <c r="H567" s="35">
        <v>3</v>
      </c>
      <c r="I567" s="35">
        <v>2</v>
      </c>
      <c r="J567" s="35">
        <v>2.5</v>
      </c>
      <c r="K567" s="35">
        <v>2</v>
      </c>
      <c r="L567" s="35">
        <v>2.2999999999999998</v>
      </c>
      <c r="M567" s="35">
        <v>2</v>
      </c>
      <c r="N567" s="35">
        <v>1.3</v>
      </c>
      <c r="O567" s="35">
        <v>3</v>
      </c>
      <c r="P567" s="35">
        <v>2.1</v>
      </c>
      <c r="Q567" s="35">
        <v>2</v>
      </c>
      <c r="R567" s="35">
        <v>3.3</v>
      </c>
      <c r="S567" s="35">
        <v>2</v>
      </c>
      <c r="T567" s="35">
        <v>2.9</v>
      </c>
      <c r="U567" s="35">
        <v>2</v>
      </c>
      <c r="V567" s="35">
        <v>8.8000000000000007</v>
      </c>
      <c r="W567" s="35">
        <v>9</v>
      </c>
      <c r="X567" s="35">
        <v>10.3</v>
      </c>
      <c r="Y567" s="35">
        <v>9</v>
      </c>
      <c r="Z567" s="35">
        <v>10.7</v>
      </c>
      <c r="AA567" s="35">
        <v>9</v>
      </c>
      <c r="AB567" s="35">
        <v>9.1999999999999993</v>
      </c>
      <c r="AC567" s="35">
        <v>9</v>
      </c>
      <c r="AD567" s="35">
        <v>20.8</v>
      </c>
      <c r="AE567" s="35">
        <v>19</v>
      </c>
      <c r="AF567" s="35">
        <v>20.100000000000001</v>
      </c>
      <c r="AG567" s="35">
        <v>19</v>
      </c>
      <c r="AH567" s="35">
        <v>20.8</v>
      </c>
      <c r="AI567" s="35">
        <v>19</v>
      </c>
      <c r="AJ567" s="35">
        <v>20.3</v>
      </c>
      <c r="AK567" s="35">
        <v>19</v>
      </c>
      <c r="AL567" s="35">
        <v>19.5</v>
      </c>
      <c r="AM567" s="35">
        <v>19</v>
      </c>
      <c r="AN567" s="35">
        <v>19.600000000000001</v>
      </c>
      <c r="AO567" s="35">
        <v>19</v>
      </c>
      <c r="AP567" s="35">
        <v>20.9</v>
      </c>
      <c r="AQ567" s="35">
        <v>19</v>
      </c>
      <c r="AR567" s="35">
        <v>20.8</v>
      </c>
      <c r="AS567" s="35">
        <v>19</v>
      </c>
      <c r="AT567" s="35">
        <v>17.899999999999999</v>
      </c>
      <c r="AU567" s="35">
        <v>19</v>
      </c>
      <c r="AV567" s="35">
        <v>20.7</v>
      </c>
      <c r="AW567" s="35">
        <v>19</v>
      </c>
      <c r="AX567" s="35">
        <v>20.2</v>
      </c>
      <c r="AY567" s="35">
        <v>20</v>
      </c>
      <c r="AZ567" s="35">
        <v>20.2</v>
      </c>
      <c r="BA567" s="35">
        <v>20</v>
      </c>
      <c r="BB567" s="35">
        <v>30.6</v>
      </c>
      <c r="BC567" s="35">
        <v>40</v>
      </c>
      <c r="BD567" s="35">
        <v>29.8</v>
      </c>
      <c r="BE567" s="35">
        <v>40</v>
      </c>
      <c r="BF567" s="35">
        <v>21.9</v>
      </c>
      <c r="BG567" s="35">
        <v>20</v>
      </c>
    </row>
    <row r="568" spans="1:59" x14ac:dyDescent="0.35">
      <c r="A568" s="36">
        <v>46059.852777777778</v>
      </c>
      <c r="B568" s="35">
        <v>3.3</v>
      </c>
      <c r="C568" s="35">
        <v>2</v>
      </c>
      <c r="D568" s="35">
        <v>3.5</v>
      </c>
      <c r="E568" s="35">
        <v>2.2000000000000002</v>
      </c>
      <c r="F568" s="35">
        <v>3.3</v>
      </c>
      <c r="G568" s="35">
        <v>2</v>
      </c>
      <c r="H568" s="35">
        <v>2.9</v>
      </c>
      <c r="I568" s="35">
        <v>2</v>
      </c>
      <c r="J568" s="35">
        <v>1.8</v>
      </c>
      <c r="K568" s="35">
        <v>2</v>
      </c>
      <c r="L568" s="35">
        <v>1.8</v>
      </c>
      <c r="M568" s="35">
        <v>2</v>
      </c>
      <c r="N568" s="35">
        <v>1.6</v>
      </c>
      <c r="O568" s="35">
        <v>3</v>
      </c>
      <c r="P568" s="35">
        <v>2.4</v>
      </c>
      <c r="Q568" s="35">
        <v>2</v>
      </c>
      <c r="R568" s="35">
        <v>3.4</v>
      </c>
      <c r="S568" s="35">
        <v>2</v>
      </c>
      <c r="T568" s="35">
        <v>3.1</v>
      </c>
      <c r="U568" s="35">
        <v>2</v>
      </c>
      <c r="V568" s="35">
        <v>9.5</v>
      </c>
      <c r="W568" s="35">
        <v>9</v>
      </c>
      <c r="X568" s="35">
        <v>10.3</v>
      </c>
      <c r="Y568" s="35">
        <v>9</v>
      </c>
      <c r="Z568" s="35">
        <v>10.8</v>
      </c>
      <c r="AA568" s="35">
        <v>9</v>
      </c>
      <c r="AB568" s="35">
        <v>9.6</v>
      </c>
      <c r="AC568" s="35">
        <v>9</v>
      </c>
      <c r="AD568" s="35">
        <v>20.8</v>
      </c>
      <c r="AE568" s="35">
        <v>19</v>
      </c>
      <c r="AF568" s="35">
        <v>20.2</v>
      </c>
      <c r="AG568" s="35">
        <v>19</v>
      </c>
      <c r="AH568" s="35">
        <v>20.9</v>
      </c>
      <c r="AI568" s="35">
        <v>19</v>
      </c>
      <c r="AJ568" s="35">
        <v>20.399999999999999</v>
      </c>
      <c r="AK568" s="35">
        <v>19</v>
      </c>
      <c r="AL568" s="35">
        <v>19.399999999999999</v>
      </c>
      <c r="AM568" s="35">
        <v>19</v>
      </c>
      <c r="AN568" s="35">
        <v>19.7</v>
      </c>
      <c r="AO568" s="35">
        <v>19</v>
      </c>
      <c r="AP568" s="35">
        <v>20.9</v>
      </c>
      <c r="AQ568" s="35">
        <v>19</v>
      </c>
      <c r="AR568" s="35">
        <v>20.8</v>
      </c>
      <c r="AS568" s="35">
        <v>19</v>
      </c>
      <c r="AT568" s="35">
        <v>17.899999999999999</v>
      </c>
      <c r="AU568" s="35">
        <v>19</v>
      </c>
      <c r="AV568" s="35">
        <v>20.8</v>
      </c>
      <c r="AW568" s="35">
        <v>19</v>
      </c>
      <c r="AX568" s="35">
        <v>20.399999999999999</v>
      </c>
      <c r="AY568" s="35">
        <v>20</v>
      </c>
      <c r="AZ568" s="35">
        <v>20.3</v>
      </c>
      <c r="BA568" s="35">
        <v>20</v>
      </c>
      <c r="BB568" s="35">
        <v>30.6</v>
      </c>
      <c r="BC568" s="35">
        <v>40</v>
      </c>
      <c r="BD568" s="35">
        <v>29.8</v>
      </c>
      <c r="BE568" s="35">
        <v>40</v>
      </c>
      <c r="BF568" s="35">
        <v>21.9</v>
      </c>
      <c r="BG568" s="35">
        <v>20</v>
      </c>
    </row>
    <row r="569" spans="1:59" x14ac:dyDescent="0.35">
      <c r="A569" s="36">
        <v>46059.853472222225</v>
      </c>
      <c r="B569" s="35">
        <v>2.1</v>
      </c>
      <c r="C569" s="35">
        <v>2</v>
      </c>
      <c r="D569" s="35">
        <v>2.4</v>
      </c>
      <c r="E569" s="35">
        <v>2.2000000000000002</v>
      </c>
      <c r="F569" s="35">
        <v>3.4</v>
      </c>
      <c r="G569" s="35">
        <v>2</v>
      </c>
      <c r="H569" s="35">
        <v>2.9</v>
      </c>
      <c r="I569" s="35">
        <v>2</v>
      </c>
      <c r="J569" s="35">
        <v>1.8</v>
      </c>
      <c r="K569" s="35">
        <v>2</v>
      </c>
      <c r="L569" s="35">
        <v>1.9</v>
      </c>
      <c r="M569" s="35">
        <v>2</v>
      </c>
      <c r="N569" s="35">
        <v>2</v>
      </c>
      <c r="O569" s="35">
        <v>3</v>
      </c>
      <c r="P569" s="35">
        <v>2.6</v>
      </c>
      <c r="Q569" s="35">
        <v>2</v>
      </c>
      <c r="R569" s="35">
        <v>3.6</v>
      </c>
      <c r="S569" s="35">
        <v>2</v>
      </c>
      <c r="T569" s="35">
        <v>3.2</v>
      </c>
      <c r="U569" s="35">
        <v>2</v>
      </c>
      <c r="V569" s="35">
        <v>10.1</v>
      </c>
      <c r="W569" s="35">
        <v>9</v>
      </c>
      <c r="X569" s="35">
        <v>10.4</v>
      </c>
      <c r="Y569" s="35">
        <v>9</v>
      </c>
      <c r="Z569" s="35">
        <v>10.9</v>
      </c>
      <c r="AA569" s="35">
        <v>9</v>
      </c>
      <c r="AB569" s="35">
        <v>9.9</v>
      </c>
      <c r="AC569" s="35">
        <v>9</v>
      </c>
      <c r="AD569" s="35">
        <v>20.8</v>
      </c>
      <c r="AE569" s="35">
        <v>19</v>
      </c>
      <c r="AF569" s="35">
        <v>20.2</v>
      </c>
      <c r="AG569" s="35">
        <v>19</v>
      </c>
      <c r="AH569" s="35">
        <v>20.9</v>
      </c>
      <c r="AI569" s="35">
        <v>19</v>
      </c>
      <c r="AJ569" s="35">
        <v>20.5</v>
      </c>
      <c r="AK569" s="35">
        <v>19</v>
      </c>
      <c r="AL569" s="35">
        <v>19.3</v>
      </c>
      <c r="AM569" s="35">
        <v>19</v>
      </c>
      <c r="AN569" s="35">
        <v>19.8</v>
      </c>
      <c r="AO569" s="35">
        <v>19</v>
      </c>
      <c r="AP569" s="35">
        <v>20.9</v>
      </c>
      <c r="AQ569" s="35">
        <v>19</v>
      </c>
      <c r="AR569" s="35">
        <v>20.8</v>
      </c>
      <c r="AS569" s="35">
        <v>19</v>
      </c>
      <c r="AT569" s="35">
        <v>18.100000000000001</v>
      </c>
      <c r="AU569" s="35">
        <v>19</v>
      </c>
      <c r="AV569" s="35">
        <v>20.8</v>
      </c>
      <c r="AW569" s="35">
        <v>19</v>
      </c>
      <c r="AX569" s="35">
        <v>20.399999999999999</v>
      </c>
      <c r="AY569" s="35">
        <v>20</v>
      </c>
      <c r="AZ569" s="35">
        <v>20.399999999999999</v>
      </c>
      <c r="BA569" s="35">
        <v>20</v>
      </c>
      <c r="BB569" s="35">
        <v>30.5</v>
      </c>
      <c r="BC569" s="35">
        <v>40</v>
      </c>
      <c r="BD569" s="35">
        <v>29.8</v>
      </c>
      <c r="BE569" s="35">
        <v>40</v>
      </c>
      <c r="BF569" s="35">
        <v>21.9</v>
      </c>
      <c r="BG569" s="35">
        <v>20</v>
      </c>
    </row>
    <row r="570" spans="1:59" x14ac:dyDescent="0.35">
      <c r="A570" s="36">
        <v>46059.854166666664</v>
      </c>
      <c r="B570" s="35">
        <v>2</v>
      </c>
      <c r="C570" s="35">
        <v>2</v>
      </c>
      <c r="D570" s="35">
        <v>2.2000000000000002</v>
      </c>
      <c r="E570" s="35">
        <v>2.2000000000000002</v>
      </c>
      <c r="F570" s="35">
        <v>3.6</v>
      </c>
      <c r="G570" s="35">
        <v>2</v>
      </c>
      <c r="H570" s="35">
        <v>3</v>
      </c>
      <c r="I570" s="35">
        <v>2</v>
      </c>
      <c r="J570" s="35">
        <v>2</v>
      </c>
      <c r="K570" s="35">
        <v>2</v>
      </c>
      <c r="L570" s="35">
        <v>2.2000000000000002</v>
      </c>
      <c r="M570" s="35">
        <v>2</v>
      </c>
      <c r="N570" s="35">
        <v>2.2999999999999998</v>
      </c>
      <c r="O570" s="35">
        <v>3</v>
      </c>
      <c r="P570" s="35">
        <v>2.9</v>
      </c>
      <c r="Q570" s="35">
        <v>2</v>
      </c>
      <c r="R570" s="35">
        <v>3.7</v>
      </c>
      <c r="S570" s="35">
        <v>2</v>
      </c>
      <c r="T570" s="35">
        <v>3.4</v>
      </c>
      <c r="U570" s="35">
        <v>2</v>
      </c>
      <c r="V570" s="35">
        <v>10.5</v>
      </c>
      <c r="W570" s="35">
        <v>9</v>
      </c>
      <c r="X570" s="35">
        <v>10.5</v>
      </c>
      <c r="Y570" s="35">
        <v>9</v>
      </c>
      <c r="Z570" s="35">
        <v>10.9</v>
      </c>
      <c r="AA570" s="35">
        <v>9</v>
      </c>
      <c r="AB570" s="35">
        <v>10.199999999999999</v>
      </c>
      <c r="AC570" s="35">
        <v>9</v>
      </c>
      <c r="AD570" s="35">
        <v>20.8</v>
      </c>
      <c r="AE570" s="35">
        <v>19</v>
      </c>
      <c r="AF570" s="35">
        <v>20.3</v>
      </c>
      <c r="AG570" s="35">
        <v>19</v>
      </c>
      <c r="AH570" s="35">
        <v>20.9</v>
      </c>
      <c r="AI570" s="35">
        <v>19</v>
      </c>
      <c r="AJ570" s="35">
        <v>20.5</v>
      </c>
      <c r="AK570" s="35">
        <v>19</v>
      </c>
      <c r="AL570" s="35">
        <v>19.100000000000001</v>
      </c>
      <c r="AM570" s="35">
        <v>19</v>
      </c>
      <c r="AN570" s="35">
        <v>20</v>
      </c>
      <c r="AO570" s="35">
        <v>19</v>
      </c>
      <c r="AP570" s="35">
        <v>20.9</v>
      </c>
      <c r="AQ570" s="35">
        <v>19</v>
      </c>
      <c r="AR570" s="35">
        <v>20.8</v>
      </c>
      <c r="AS570" s="35">
        <v>19</v>
      </c>
      <c r="AT570" s="35">
        <v>18.3</v>
      </c>
      <c r="AU570" s="35">
        <v>19</v>
      </c>
      <c r="AV570" s="35">
        <v>20.9</v>
      </c>
      <c r="AW570" s="35">
        <v>19</v>
      </c>
      <c r="AX570" s="35">
        <v>20.5</v>
      </c>
      <c r="AY570" s="35">
        <v>20</v>
      </c>
      <c r="AZ570" s="35">
        <v>20.5</v>
      </c>
      <c r="BA570" s="35">
        <v>20</v>
      </c>
      <c r="BB570" s="35">
        <v>30.5</v>
      </c>
      <c r="BC570" s="35">
        <v>40</v>
      </c>
      <c r="BD570" s="35">
        <v>29.8</v>
      </c>
      <c r="BE570" s="35">
        <v>40</v>
      </c>
      <c r="BF570" s="35">
        <v>21.9</v>
      </c>
      <c r="BG570" s="35">
        <v>20</v>
      </c>
    </row>
    <row r="571" spans="1:59" x14ac:dyDescent="0.35">
      <c r="A571" s="36">
        <v>46059.854861111111</v>
      </c>
      <c r="B571" s="35">
        <v>2.2999999999999998</v>
      </c>
      <c r="C571" s="35">
        <v>2</v>
      </c>
      <c r="D571" s="35">
        <v>2.8</v>
      </c>
      <c r="E571" s="35">
        <v>2.2000000000000002</v>
      </c>
      <c r="F571" s="35">
        <v>3.8</v>
      </c>
      <c r="G571" s="35">
        <v>2</v>
      </c>
      <c r="H571" s="35">
        <v>3.4</v>
      </c>
      <c r="I571" s="35">
        <v>2</v>
      </c>
      <c r="J571" s="35">
        <v>2.2000000000000002</v>
      </c>
      <c r="K571" s="35">
        <v>2</v>
      </c>
      <c r="L571" s="35">
        <v>2.6</v>
      </c>
      <c r="M571" s="35">
        <v>2</v>
      </c>
      <c r="N571" s="35">
        <v>2.6</v>
      </c>
      <c r="O571" s="35">
        <v>3</v>
      </c>
      <c r="P571" s="35">
        <v>3.1</v>
      </c>
      <c r="Q571" s="35">
        <v>2</v>
      </c>
      <c r="R571" s="35">
        <v>3.8</v>
      </c>
      <c r="S571" s="35">
        <v>2</v>
      </c>
      <c r="T571" s="35">
        <v>3.5</v>
      </c>
      <c r="U571" s="35">
        <v>2</v>
      </c>
      <c r="V571" s="35">
        <v>10.9</v>
      </c>
      <c r="W571" s="35">
        <v>9</v>
      </c>
      <c r="X571" s="35">
        <v>10.5</v>
      </c>
      <c r="Y571" s="35">
        <v>9</v>
      </c>
      <c r="Z571" s="35">
        <v>11</v>
      </c>
      <c r="AA571" s="35">
        <v>9</v>
      </c>
      <c r="AB571" s="35">
        <v>10.4</v>
      </c>
      <c r="AC571" s="35">
        <v>9</v>
      </c>
      <c r="AD571" s="35">
        <v>20.9</v>
      </c>
      <c r="AE571" s="35">
        <v>19</v>
      </c>
      <c r="AF571" s="35">
        <v>20.3</v>
      </c>
      <c r="AG571" s="35">
        <v>19</v>
      </c>
      <c r="AH571" s="35">
        <v>20.9</v>
      </c>
      <c r="AI571" s="35">
        <v>19</v>
      </c>
      <c r="AJ571" s="35">
        <v>20.6</v>
      </c>
      <c r="AK571" s="35">
        <v>19</v>
      </c>
      <c r="AL571" s="35">
        <v>19</v>
      </c>
      <c r="AM571" s="35">
        <v>19</v>
      </c>
      <c r="AN571" s="35">
        <v>20.100000000000001</v>
      </c>
      <c r="AO571" s="35">
        <v>19</v>
      </c>
      <c r="AP571" s="35">
        <v>20.9</v>
      </c>
      <c r="AQ571" s="35">
        <v>19</v>
      </c>
      <c r="AR571" s="35">
        <v>20.8</v>
      </c>
      <c r="AS571" s="35">
        <v>19</v>
      </c>
      <c r="AT571" s="35">
        <v>18.5</v>
      </c>
      <c r="AU571" s="35">
        <v>19</v>
      </c>
      <c r="AV571" s="35">
        <v>20.9</v>
      </c>
      <c r="AW571" s="35">
        <v>19</v>
      </c>
      <c r="AX571" s="35">
        <v>20.5</v>
      </c>
      <c r="AY571" s="35">
        <v>20</v>
      </c>
      <c r="AZ571" s="35">
        <v>20.6</v>
      </c>
      <c r="BA571" s="35">
        <v>20</v>
      </c>
      <c r="BB571" s="35">
        <v>30.5</v>
      </c>
      <c r="BC571" s="35">
        <v>40</v>
      </c>
      <c r="BD571" s="35">
        <v>29.7</v>
      </c>
      <c r="BE571" s="35">
        <v>40</v>
      </c>
      <c r="BF571" s="35">
        <v>18.600000000000001</v>
      </c>
      <c r="BG571" s="35">
        <v>20</v>
      </c>
    </row>
    <row r="572" spans="1:59" x14ac:dyDescent="0.35">
      <c r="A572" s="36">
        <v>46059.855555555558</v>
      </c>
      <c r="B572" s="35">
        <v>3</v>
      </c>
      <c r="C572" s="35">
        <v>2</v>
      </c>
      <c r="D572" s="35">
        <v>3.2</v>
      </c>
      <c r="E572" s="35">
        <v>2.2000000000000002</v>
      </c>
      <c r="F572" s="35">
        <v>4</v>
      </c>
      <c r="G572" s="35">
        <v>2</v>
      </c>
      <c r="H572" s="35">
        <v>3.6</v>
      </c>
      <c r="I572" s="35">
        <v>2</v>
      </c>
      <c r="J572" s="35">
        <v>2.4</v>
      </c>
      <c r="K572" s="35">
        <v>2</v>
      </c>
      <c r="L572" s="35">
        <v>2.9</v>
      </c>
      <c r="M572" s="35">
        <v>2</v>
      </c>
      <c r="N572" s="35">
        <v>2.9</v>
      </c>
      <c r="O572" s="35">
        <v>3</v>
      </c>
      <c r="P572" s="35">
        <v>3.3</v>
      </c>
      <c r="Q572" s="35">
        <v>2</v>
      </c>
      <c r="R572" s="35">
        <v>3.9</v>
      </c>
      <c r="S572" s="35">
        <v>2</v>
      </c>
      <c r="T572" s="35">
        <v>3.6</v>
      </c>
      <c r="U572" s="35">
        <v>2</v>
      </c>
      <c r="V572" s="35">
        <v>10.1</v>
      </c>
      <c r="W572" s="35">
        <v>9</v>
      </c>
      <c r="X572" s="35">
        <v>10.6</v>
      </c>
      <c r="Y572" s="35">
        <v>9</v>
      </c>
      <c r="Z572" s="35">
        <v>10.4</v>
      </c>
      <c r="AA572" s="35">
        <v>9</v>
      </c>
      <c r="AB572" s="35">
        <v>10.5</v>
      </c>
      <c r="AC572" s="35">
        <v>9</v>
      </c>
      <c r="AD572" s="35">
        <v>20.9</v>
      </c>
      <c r="AE572" s="35">
        <v>19</v>
      </c>
      <c r="AF572" s="35">
        <v>20.399999999999999</v>
      </c>
      <c r="AG572" s="35">
        <v>19</v>
      </c>
      <c r="AH572" s="35">
        <v>19.2</v>
      </c>
      <c r="AI572" s="35">
        <v>19</v>
      </c>
      <c r="AJ572" s="35">
        <v>20.7</v>
      </c>
      <c r="AK572" s="35">
        <v>19</v>
      </c>
      <c r="AL572" s="35">
        <v>19</v>
      </c>
      <c r="AM572" s="35">
        <v>19</v>
      </c>
      <c r="AN572" s="35">
        <v>20.2</v>
      </c>
      <c r="AO572" s="35">
        <v>19</v>
      </c>
      <c r="AP572" s="35">
        <v>20.9</v>
      </c>
      <c r="AQ572" s="35">
        <v>19</v>
      </c>
      <c r="AR572" s="35">
        <v>20.8</v>
      </c>
      <c r="AS572" s="35">
        <v>19</v>
      </c>
      <c r="AT572" s="35">
        <v>18.7</v>
      </c>
      <c r="AU572" s="35">
        <v>19</v>
      </c>
      <c r="AV572" s="35">
        <v>20.9</v>
      </c>
      <c r="AW572" s="35">
        <v>19</v>
      </c>
      <c r="AX572" s="35">
        <v>20.5</v>
      </c>
      <c r="AY572" s="35">
        <v>20</v>
      </c>
      <c r="AZ572" s="35">
        <v>20.7</v>
      </c>
      <c r="BA572" s="35">
        <v>20</v>
      </c>
      <c r="BB572" s="35">
        <v>30.5</v>
      </c>
      <c r="BC572" s="35">
        <v>40</v>
      </c>
      <c r="BD572" s="35">
        <v>29.7</v>
      </c>
      <c r="BE572" s="35">
        <v>40</v>
      </c>
      <c r="BF572" s="35">
        <v>17.600000000000001</v>
      </c>
      <c r="BG572" s="35">
        <v>20</v>
      </c>
    </row>
    <row r="573" spans="1:59" x14ac:dyDescent="0.35">
      <c r="A573" s="36">
        <v>46059.856249999997</v>
      </c>
      <c r="B573" s="35">
        <v>3.6</v>
      </c>
      <c r="C573" s="35">
        <v>2</v>
      </c>
      <c r="D573" s="35">
        <v>3.8</v>
      </c>
      <c r="E573" s="35">
        <v>2.2000000000000002</v>
      </c>
      <c r="F573" s="35">
        <v>3.2</v>
      </c>
      <c r="G573" s="35">
        <v>2</v>
      </c>
      <c r="H573" s="35">
        <v>2.7</v>
      </c>
      <c r="I573" s="35">
        <v>2</v>
      </c>
      <c r="J573" s="35">
        <v>2.6</v>
      </c>
      <c r="K573" s="35">
        <v>2</v>
      </c>
      <c r="L573" s="35">
        <v>3.3</v>
      </c>
      <c r="M573" s="35">
        <v>2</v>
      </c>
      <c r="N573" s="35">
        <v>3.2</v>
      </c>
      <c r="O573" s="35">
        <v>3</v>
      </c>
      <c r="P573" s="35">
        <v>3.4</v>
      </c>
      <c r="Q573" s="35">
        <v>2</v>
      </c>
      <c r="R573" s="35">
        <v>3.5</v>
      </c>
      <c r="S573" s="35">
        <v>2</v>
      </c>
      <c r="T573" s="35">
        <v>2.8</v>
      </c>
      <c r="U573" s="35">
        <v>2</v>
      </c>
      <c r="V573" s="35">
        <v>8.1</v>
      </c>
      <c r="W573" s="35">
        <v>9</v>
      </c>
      <c r="X573" s="35">
        <v>10.7</v>
      </c>
      <c r="Y573" s="35">
        <v>9</v>
      </c>
      <c r="Z573" s="35">
        <v>9.1999999999999993</v>
      </c>
      <c r="AA573" s="35">
        <v>9</v>
      </c>
      <c r="AB573" s="35">
        <v>10.7</v>
      </c>
      <c r="AC573" s="35">
        <v>9</v>
      </c>
      <c r="AD573" s="35">
        <v>20.9</v>
      </c>
      <c r="AE573" s="35">
        <v>19</v>
      </c>
      <c r="AF573" s="35">
        <v>20.399999999999999</v>
      </c>
      <c r="AG573" s="35">
        <v>19</v>
      </c>
      <c r="AH573" s="35">
        <v>18</v>
      </c>
      <c r="AI573" s="35">
        <v>19</v>
      </c>
      <c r="AJ573" s="35">
        <v>20.7</v>
      </c>
      <c r="AK573" s="35">
        <v>19</v>
      </c>
      <c r="AL573" s="35">
        <v>19.399999999999999</v>
      </c>
      <c r="AM573" s="35">
        <v>19</v>
      </c>
      <c r="AN573" s="35">
        <v>20.2</v>
      </c>
      <c r="AO573" s="35">
        <v>19</v>
      </c>
      <c r="AP573" s="35">
        <v>20.9</v>
      </c>
      <c r="AQ573" s="35">
        <v>19</v>
      </c>
      <c r="AR573" s="35">
        <v>20.8</v>
      </c>
      <c r="AS573" s="35">
        <v>19</v>
      </c>
      <c r="AT573" s="35">
        <v>18.899999999999999</v>
      </c>
      <c r="AU573" s="35">
        <v>19</v>
      </c>
      <c r="AV573" s="35">
        <v>20.9</v>
      </c>
      <c r="AW573" s="35">
        <v>19</v>
      </c>
      <c r="AX573" s="35">
        <v>20.6</v>
      </c>
      <c r="AY573" s="35">
        <v>20</v>
      </c>
      <c r="AZ573" s="35">
        <v>20.8</v>
      </c>
      <c r="BA573" s="35">
        <v>20</v>
      </c>
      <c r="BB573" s="35">
        <v>30.5</v>
      </c>
      <c r="BC573" s="35">
        <v>40</v>
      </c>
      <c r="BD573" s="35">
        <v>29.7</v>
      </c>
      <c r="BE573" s="35">
        <v>40</v>
      </c>
      <c r="BF573" s="35">
        <v>18.3</v>
      </c>
      <c r="BG573" s="35">
        <v>20</v>
      </c>
    </row>
    <row r="574" spans="1:59" x14ac:dyDescent="0.35">
      <c r="A574" s="36">
        <v>46059.856944444444</v>
      </c>
      <c r="B574" s="35">
        <v>4</v>
      </c>
      <c r="C574" s="35">
        <v>2</v>
      </c>
      <c r="D574" s="35">
        <v>4.2</v>
      </c>
      <c r="E574" s="35">
        <v>2.2000000000000002</v>
      </c>
      <c r="F574" s="35">
        <v>1.3</v>
      </c>
      <c r="G574" s="35">
        <v>2</v>
      </c>
      <c r="H574" s="35">
        <v>1.4</v>
      </c>
      <c r="I574" s="35">
        <v>2</v>
      </c>
      <c r="J574" s="35">
        <v>2.7</v>
      </c>
      <c r="K574" s="35">
        <v>2</v>
      </c>
      <c r="L574" s="35">
        <v>3.6</v>
      </c>
      <c r="M574" s="35">
        <v>2</v>
      </c>
      <c r="N574" s="35">
        <v>3.3</v>
      </c>
      <c r="O574" s="35">
        <v>3</v>
      </c>
      <c r="P574" s="35">
        <v>3.6</v>
      </c>
      <c r="Q574" s="35">
        <v>2</v>
      </c>
      <c r="R574" s="35">
        <v>2.2000000000000002</v>
      </c>
      <c r="S574" s="35">
        <v>2</v>
      </c>
      <c r="T574" s="35">
        <v>1.6</v>
      </c>
      <c r="U574" s="35">
        <v>2</v>
      </c>
      <c r="V574" s="35">
        <v>7.6</v>
      </c>
      <c r="W574" s="35">
        <v>9</v>
      </c>
      <c r="X574" s="35">
        <v>10.7</v>
      </c>
      <c r="Y574" s="35">
        <v>9</v>
      </c>
      <c r="Z574" s="35">
        <v>8.6</v>
      </c>
      <c r="AA574" s="35">
        <v>9</v>
      </c>
      <c r="AB574" s="35">
        <v>10.8</v>
      </c>
      <c r="AC574" s="35">
        <v>9</v>
      </c>
      <c r="AD574" s="35">
        <v>20.9</v>
      </c>
      <c r="AE574" s="35">
        <v>19</v>
      </c>
      <c r="AF574" s="35">
        <v>20.399999999999999</v>
      </c>
      <c r="AG574" s="35">
        <v>19</v>
      </c>
      <c r="AH574" s="35">
        <v>18</v>
      </c>
      <c r="AI574" s="35">
        <v>19</v>
      </c>
      <c r="AJ574" s="35">
        <v>20.8</v>
      </c>
      <c r="AK574" s="35">
        <v>19</v>
      </c>
      <c r="AL574" s="35">
        <v>19.600000000000001</v>
      </c>
      <c r="AM574" s="35">
        <v>19</v>
      </c>
      <c r="AN574" s="35">
        <v>20.3</v>
      </c>
      <c r="AO574" s="35">
        <v>19</v>
      </c>
      <c r="AP574" s="35">
        <v>20.9</v>
      </c>
      <c r="AQ574" s="35">
        <v>19</v>
      </c>
      <c r="AR574" s="35">
        <v>20.8</v>
      </c>
      <c r="AS574" s="35">
        <v>19</v>
      </c>
      <c r="AT574" s="35">
        <v>19.100000000000001</v>
      </c>
      <c r="AU574" s="35">
        <v>19</v>
      </c>
      <c r="AV574" s="35">
        <v>20.9</v>
      </c>
      <c r="AW574" s="35">
        <v>19</v>
      </c>
      <c r="AX574" s="35">
        <v>20.7</v>
      </c>
      <c r="AY574" s="35">
        <v>20</v>
      </c>
      <c r="AZ574" s="35">
        <v>20.8</v>
      </c>
      <c r="BA574" s="35">
        <v>20</v>
      </c>
      <c r="BB574" s="35">
        <v>30.5</v>
      </c>
      <c r="BC574" s="35">
        <v>40</v>
      </c>
      <c r="BD574" s="35">
        <v>29.7</v>
      </c>
      <c r="BE574" s="35">
        <v>40</v>
      </c>
      <c r="BF574" s="35">
        <v>18.899999999999999</v>
      </c>
      <c r="BG574" s="35">
        <v>20</v>
      </c>
    </row>
    <row r="575" spans="1:59" x14ac:dyDescent="0.35">
      <c r="A575" s="36">
        <v>46059.857638888891</v>
      </c>
      <c r="B575" s="35">
        <v>3.6</v>
      </c>
      <c r="C575" s="35">
        <v>2</v>
      </c>
      <c r="D575" s="35">
        <v>3.7</v>
      </c>
      <c r="E575" s="35">
        <v>2.2000000000000002</v>
      </c>
      <c r="F575" s="35">
        <v>1.2</v>
      </c>
      <c r="G575" s="35">
        <v>2</v>
      </c>
      <c r="H575" s="35">
        <v>1.4</v>
      </c>
      <c r="I575" s="35">
        <v>2</v>
      </c>
      <c r="J575" s="35">
        <v>2.9</v>
      </c>
      <c r="K575" s="35">
        <v>2</v>
      </c>
      <c r="L575" s="35">
        <v>3.8</v>
      </c>
      <c r="M575" s="35">
        <v>2</v>
      </c>
      <c r="N575" s="35">
        <v>3.3</v>
      </c>
      <c r="O575" s="35">
        <v>3</v>
      </c>
      <c r="P575" s="35">
        <v>3.7</v>
      </c>
      <c r="Q575" s="35">
        <v>2</v>
      </c>
      <c r="R575" s="35">
        <v>1.7</v>
      </c>
      <c r="S575" s="35">
        <v>2</v>
      </c>
      <c r="T575" s="35">
        <v>1</v>
      </c>
      <c r="U575" s="35">
        <v>2</v>
      </c>
      <c r="V575" s="35">
        <v>8.1</v>
      </c>
      <c r="W575" s="35">
        <v>9</v>
      </c>
      <c r="X575" s="35">
        <v>10.8</v>
      </c>
      <c r="Y575" s="35">
        <v>9</v>
      </c>
      <c r="Z575" s="35">
        <v>8.6</v>
      </c>
      <c r="AA575" s="35">
        <v>9</v>
      </c>
      <c r="AB575" s="35">
        <v>10.9</v>
      </c>
      <c r="AC575" s="35">
        <v>9</v>
      </c>
      <c r="AD575" s="35">
        <v>20.9</v>
      </c>
      <c r="AE575" s="35">
        <v>19</v>
      </c>
      <c r="AF575" s="35">
        <v>20.5</v>
      </c>
      <c r="AG575" s="35">
        <v>19</v>
      </c>
      <c r="AH575" s="35">
        <v>18.2</v>
      </c>
      <c r="AI575" s="35">
        <v>19</v>
      </c>
      <c r="AJ575" s="35">
        <v>20.9</v>
      </c>
      <c r="AK575" s="35">
        <v>19</v>
      </c>
      <c r="AL575" s="35">
        <v>19.899999999999999</v>
      </c>
      <c r="AM575" s="35">
        <v>19</v>
      </c>
      <c r="AN575" s="35">
        <v>20.399999999999999</v>
      </c>
      <c r="AO575" s="35">
        <v>19</v>
      </c>
      <c r="AP575" s="35">
        <v>20.9</v>
      </c>
      <c r="AQ575" s="35">
        <v>19</v>
      </c>
      <c r="AR575" s="35">
        <v>20.8</v>
      </c>
      <c r="AS575" s="35">
        <v>19</v>
      </c>
      <c r="AT575" s="35">
        <v>19.2</v>
      </c>
      <c r="AU575" s="35">
        <v>19</v>
      </c>
      <c r="AV575" s="35">
        <v>20.9</v>
      </c>
      <c r="AW575" s="35">
        <v>19</v>
      </c>
      <c r="AX575" s="35">
        <v>20.7</v>
      </c>
      <c r="AY575" s="35">
        <v>20</v>
      </c>
      <c r="AZ575" s="35">
        <v>20.9</v>
      </c>
      <c r="BA575" s="35">
        <v>20</v>
      </c>
      <c r="BB575" s="35">
        <v>30.5</v>
      </c>
      <c r="BC575" s="35">
        <v>40</v>
      </c>
      <c r="BD575" s="35">
        <v>29.7</v>
      </c>
      <c r="BE575" s="35">
        <v>40</v>
      </c>
      <c r="BF575" s="35">
        <v>19.399999999999999</v>
      </c>
      <c r="BG575" s="35">
        <v>20</v>
      </c>
    </row>
    <row r="576" spans="1:59" x14ac:dyDescent="0.35">
      <c r="A576" s="36">
        <v>46059.85833333333</v>
      </c>
      <c r="B576" s="35">
        <v>2.9</v>
      </c>
      <c r="C576" s="35">
        <v>2</v>
      </c>
      <c r="D576" s="35">
        <v>3.1</v>
      </c>
      <c r="E576" s="35">
        <v>2.2000000000000002</v>
      </c>
      <c r="F576" s="35">
        <v>1.5</v>
      </c>
      <c r="G576" s="35">
        <v>2</v>
      </c>
      <c r="H576" s="35">
        <v>1.8</v>
      </c>
      <c r="I576" s="35">
        <v>2</v>
      </c>
      <c r="J576" s="35">
        <v>3.1</v>
      </c>
      <c r="K576" s="35">
        <v>2</v>
      </c>
      <c r="L576" s="35">
        <v>4</v>
      </c>
      <c r="M576" s="35">
        <v>2</v>
      </c>
      <c r="N576" s="35">
        <v>3.3</v>
      </c>
      <c r="O576" s="35">
        <v>3</v>
      </c>
      <c r="P576" s="35">
        <v>3.8</v>
      </c>
      <c r="Q576" s="35">
        <v>2</v>
      </c>
      <c r="R576" s="35">
        <v>1.7</v>
      </c>
      <c r="S576" s="35">
        <v>2</v>
      </c>
      <c r="T576" s="35">
        <v>1</v>
      </c>
      <c r="U576" s="35">
        <v>2</v>
      </c>
      <c r="V576" s="35">
        <v>9.1</v>
      </c>
      <c r="W576" s="35">
        <v>9</v>
      </c>
      <c r="X576" s="35">
        <v>10.8</v>
      </c>
      <c r="Y576" s="35">
        <v>9</v>
      </c>
      <c r="Z576" s="35">
        <v>8.9</v>
      </c>
      <c r="AA576" s="35">
        <v>9</v>
      </c>
      <c r="AB576" s="35">
        <v>11</v>
      </c>
      <c r="AC576" s="35">
        <v>9</v>
      </c>
      <c r="AD576" s="35">
        <v>20.9</v>
      </c>
      <c r="AE576" s="35">
        <v>19</v>
      </c>
      <c r="AF576" s="35">
        <v>20.5</v>
      </c>
      <c r="AG576" s="35">
        <v>19</v>
      </c>
      <c r="AH576" s="35">
        <v>18.399999999999999</v>
      </c>
      <c r="AI576" s="35">
        <v>19</v>
      </c>
      <c r="AJ576" s="35">
        <v>20.9</v>
      </c>
      <c r="AK576" s="35">
        <v>19</v>
      </c>
      <c r="AL576" s="35">
        <v>20.100000000000001</v>
      </c>
      <c r="AM576" s="35">
        <v>19</v>
      </c>
      <c r="AN576" s="35">
        <v>20.5</v>
      </c>
      <c r="AO576" s="35">
        <v>19</v>
      </c>
      <c r="AP576" s="35">
        <v>20.9</v>
      </c>
      <c r="AQ576" s="35">
        <v>19</v>
      </c>
      <c r="AR576" s="35">
        <v>20.8</v>
      </c>
      <c r="AS576" s="35">
        <v>19</v>
      </c>
      <c r="AT576" s="35">
        <v>19.3</v>
      </c>
      <c r="AU576" s="35">
        <v>19</v>
      </c>
      <c r="AV576" s="35">
        <v>21</v>
      </c>
      <c r="AW576" s="35">
        <v>19</v>
      </c>
      <c r="AX576" s="35">
        <v>20.7</v>
      </c>
      <c r="AY576" s="35">
        <v>20</v>
      </c>
      <c r="AZ576" s="35">
        <v>20.9</v>
      </c>
      <c r="BA576" s="35">
        <v>20</v>
      </c>
      <c r="BB576" s="35">
        <v>30.5</v>
      </c>
      <c r="BC576" s="35">
        <v>40</v>
      </c>
      <c r="BD576" s="35">
        <v>29.7</v>
      </c>
      <c r="BE576" s="35">
        <v>40</v>
      </c>
      <c r="BF576" s="35">
        <v>19.8</v>
      </c>
      <c r="BG576" s="35">
        <v>20</v>
      </c>
    </row>
    <row r="577" spans="1:59" x14ac:dyDescent="0.35">
      <c r="A577" s="36">
        <v>46059.859027777777</v>
      </c>
      <c r="B577" s="35">
        <v>2.2999999999999998</v>
      </c>
      <c r="C577" s="35">
        <v>2</v>
      </c>
      <c r="D577" s="35">
        <v>2.5</v>
      </c>
      <c r="E577" s="35">
        <v>2.2000000000000002</v>
      </c>
      <c r="F577" s="35">
        <v>2</v>
      </c>
      <c r="G577" s="35">
        <v>2</v>
      </c>
      <c r="H577" s="35">
        <v>2.4</v>
      </c>
      <c r="I577" s="35">
        <v>2</v>
      </c>
      <c r="J577" s="35">
        <v>3</v>
      </c>
      <c r="K577" s="35">
        <v>2</v>
      </c>
      <c r="L577" s="35">
        <v>3.1</v>
      </c>
      <c r="M577" s="35">
        <v>2</v>
      </c>
      <c r="N577" s="35">
        <v>3.3</v>
      </c>
      <c r="O577" s="35">
        <v>3</v>
      </c>
      <c r="P577" s="35">
        <v>3.9</v>
      </c>
      <c r="Q577" s="35">
        <v>2</v>
      </c>
      <c r="R577" s="35">
        <v>1.9</v>
      </c>
      <c r="S577" s="35">
        <v>2</v>
      </c>
      <c r="T577" s="35">
        <v>1.3</v>
      </c>
      <c r="U577" s="35">
        <v>2</v>
      </c>
      <c r="V577" s="35">
        <v>9.6999999999999993</v>
      </c>
      <c r="W577" s="35">
        <v>9</v>
      </c>
      <c r="X577" s="35">
        <v>10.9</v>
      </c>
      <c r="Y577" s="35">
        <v>9</v>
      </c>
      <c r="Z577" s="35">
        <v>9.3000000000000007</v>
      </c>
      <c r="AA577" s="35">
        <v>9</v>
      </c>
      <c r="AB577" s="35">
        <v>10</v>
      </c>
      <c r="AC577" s="35">
        <v>9</v>
      </c>
      <c r="AD577" s="35">
        <v>20.9</v>
      </c>
      <c r="AE577" s="35">
        <v>19</v>
      </c>
      <c r="AF577" s="35">
        <v>20.5</v>
      </c>
      <c r="AG577" s="35">
        <v>19</v>
      </c>
      <c r="AH577" s="35">
        <v>18.7</v>
      </c>
      <c r="AI577" s="35">
        <v>19</v>
      </c>
      <c r="AJ577" s="35">
        <v>21</v>
      </c>
      <c r="AK577" s="35">
        <v>19</v>
      </c>
      <c r="AL577" s="35">
        <v>20.3</v>
      </c>
      <c r="AM577" s="35">
        <v>19</v>
      </c>
      <c r="AN577" s="35">
        <v>20.6</v>
      </c>
      <c r="AO577" s="35">
        <v>19</v>
      </c>
      <c r="AP577" s="35">
        <v>20.9</v>
      </c>
      <c r="AQ577" s="35">
        <v>19</v>
      </c>
      <c r="AR577" s="35">
        <v>20.8</v>
      </c>
      <c r="AS577" s="35">
        <v>19</v>
      </c>
      <c r="AT577" s="35">
        <v>19.399999999999999</v>
      </c>
      <c r="AU577" s="35">
        <v>19</v>
      </c>
      <c r="AV577" s="35">
        <v>19.3</v>
      </c>
      <c r="AW577" s="35">
        <v>19</v>
      </c>
      <c r="AX577" s="35">
        <v>20.7</v>
      </c>
      <c r="AY577" s="35">
        <v>20</v>
      </c>
      <c r="AZ577" s="35">
        <v>21</v>
      </c>
      <c r="BA577" s="35">
        <v>20</v>
      </c>
      <c r="BB577" s="35">
        <v>30.5</v>
      </c>
      <c r="BC577" s="35">
        <v>40</v>
      </c>
      <c r="BD577" s="35">
        <v>29.7</v>
      </c>
      <c r="BE577" s="35">
        <v>40</v>
      </c>
      <c r="BF577" s="35">
        <v>20.2</v>
      </c>
      <c r="BG577" s="35">
        <v>20</v>
      </c>
    </row>
    <row r="578" spans="1:59" x14ac:dyDescent="0.35">
      <c r="A578" s="36">
        <v>46059.859722222223</v>
      </c>
      <c r="B578" s="35">
        <v>1.7</v>
      </c>
      <c r="C578" s="35">
        <v>2</v>
      </c>
      <c r="D578" s="35">
        <v>2</v>
      </c>
      <c r="E578" s="35">
        <v>2.2000000000000002</v>
      </c>
      <c r="F578" s="35">
        <v>2.4</v>
      </c>
      <c r="G578" s="35">
        <v>2</v>
      </c>
      <c r="H578" s="35">
        <v>2.7</v>
      </c>
      <c r="I578" s="35">
        <v>2</v>
      </c>
      <c r="J578" s="35">
        <v>2.2000000000000002</v>
      </c>
      <c r="K578" s="35">
        <v>2</v>
      </c>
      <c r="L578" s="35">
        <v>2</v>
      </c>
      <c r="M578" s="35">
        <v>2</v>
      </c>
      <c r="N578" s="35">
        <v>3.3</v>
      </c>
      <c r="O578" s="35">
        <v>3</v>
      </c>
      <c r="P578" s="35">
        <v>3.6</v>
      </c>
      <c r="Q578" s="35">
        <v>2</v>
      </c>
      <c r="R578" s="35">
        <v>2.2000000000000002</v>
      </c>
      <c r="S578" s="35">
        <v>2</v>
      </c>
      <c r="T578" s="35">
        <v>1.7</v>
      </c>
      <c r="U578" s="35">
        <v>2</v>
      </c>
      <c r="V578" s="35">
        <v>10.199999999999999</v>
      </c>
      <c r="W578" s="35">
        <v>9</v>
      </c>
      <c r="X578" s="35">
        <v>10.9</v>
      </c>
      <c r="Y578" s="35">
        <v>9</v>
      </c>
      <c r="Z578" s="35">
        <v>9.5</v>
      </c>
      <c r="AA578" s="35">
        <v>9</v>
      </c>
      <c r="AB578" s="35">
        <v>8.4</v>
      </c>
      <c r="AC578" s="35">
        <v>9</v>
      </c>
      <c r="AD578" s="35">
        <v>21</v>
      </c>
      <c r="AE578" s="35">
        <v>19</v>
      </c>
      <c r="AF578" s="35">
        <v>20.6</v>
      </c>
      <c r="AG578" s="35">
        <v>19</v>
      </c>
      <c r="AH578" s="35">
        <v>18.899999999999999</v>
      </c>
      <c r="AI578" s="35">
        <v>19</v>
      </c>
      <c r="AJ578" s="35">
        <v>20</v>
      </c>
      <c r="AK578" s="35">
        <v>19</v>
      </c>
      <c r="AL578" s="35">
        <v>20.399999999999999</v>
      </c>
      <c r="AM578" s="35">
        <v>19</v>
      </c>
      <c r="AN578" s="35">
        <v>20.7</v>
      </c>
      <c r="AO578" s="35">
        <v>19</v>
      </c>
      <c r="AP578" s="35">
        <v>20.9</v>
      </c>
      <c r="AQ578" s="35">
        <v>19</v>
      </c>
      <c r="AR578" s="35">
        <v>20.8</v>
      </c>
      <c r="AS578" s="35">
        <v>19</v>
      </c>
      <c r="AT578" s="35">
        <v>19.5</v>
      </c>
      <c r="AU578" s="35">
        <v>19</v>
      </c>
      <c r="AV578" s="35">
        <v>17.600000000000001</v>
      </c>
      <c r="AW578" s="35">
        <v>19</v>
      </c>
      <c r="AX578" s="35">
        <v>20.7</v>
      </c>
      <c r="AY578" s="35">
        <v>20</v>
      </c>
      <c r="AZ578" s="35">
        <v>21</v>
      </c>
      <c r="BA578" s="35">
        <v>20</v>
      </c>
      <c r="BB578" s="35">
        <v>30.5</v>
      </c>
      <c r="BC578" s="35">
        <v>40</v>
      </c>
      <c r="BD578" s="35">
        <v>29.6</v>
      </c>
      <c r="BE578" s="35">
        <v>40</v>
      </c>
      <c r="BF578" s="35">
        <v>20.6</v>
      </c>
      <c r="BG578" s="35">
        <v>20</v>
      </c>
    </row>
    <row r="579" spans="1:59" x14ac:dyDescent="0.35">
      <c r="A579" s="36">
        <v>46059.86041666667</v>
      </c>
      <c r="B579" s="35">
        <v>1.9</v>
      </c>
      <c r="C579" s="35">
        <v>2</v>
      </c>
      <c r="D579" s="35">
        <v>2.2000000000000002</v>
      </c>
      <c r="E579" s="35">
        <v>2.2000000000000002</v>
      </c>
      <c r="F579" s="35">
        <v>2.8</v>
      </c>
      <c r="G579" s="35">
        <v>2</v>
      </c>
      <c r="H579" s="35">
        <v>3</v>
      </c>
      <c r="I579" s="35">
        <v>2</v>
      </c>
      <c r="J579" s="35">
        <v>2.1</v>
      </c>
      <c r="K579" s="35">
        <v>2</v>
      </c>
      <c r="L579" s="35">
        <v>1.7</v>
      </c>
      <c r="M579" s="35">
        <v>2</v>
      </c>
      <c r="N579" s="35">
        <v>3.3</v>
      </c>
      <c r="O579" s="35">
        <v>3</v>
      </c>
      <c r="P579" s="35">
        <v>2.7</v>
      </c>
      <c r="Q579" s="35">
        <v>2</v>
      </c>
      <c r="R579" s="35">
        <v>2.4</v>
      </c>
      <c r="S579" s="35">
        <v>2</v>
      </c>
      <c r="T579" s="35">
        <v>2</v>
      </c>
      <c r="U579" s="35">
        <v>2</v>
      </c>
      <c r="V579" s="35">
        <v>10.6</v>
      </c>
      <c r="W579" s="35">
        <v>9</v>
      </c>
      <c r="X579" s="35">
        <v>11</v>
      </c>
      <c r="Y579" s="35">
        <v>9</v>
      </c>
      <c r="Z579" s="35">
        <v>9.6999999999999993</v>
      </c>
      <c r="AA579" s="35">
        <v>9</v>
      </c>
      <c r="AB579" s="35">
        <v>7.9</v>
      </c>
      <c r="AC579" s="35">
        <v>9</v>
      </c>
      <c r="AD579" s="35">
        <v>21</v>
      </c>
      <c r="AE579" s="35">
        <v>19</v>
      </c>
      <c r="AF579" s="35">
        <v>20.6</v>
      </c>
      <c r="AG579" s="35">
        <v>19</v>
      </c>
      <c r="AH579" s="35">
        <v>19.100000000000001</v>
      </c>
      <c r="AI579" s="35">
        <v>19</v>
      </c>
      <c r="AJ579" s="35">
        <v>18.8</v>
      </c>
      <c r="AK579" s="35">
        <v>19</v>
      </c>
      <c r="AL579" s="35">
        <v>20.6</v>
      </c>
      <c r="AM579" s="35">
        <v>19</v>
      </c>
      <c r="AN579" s="35">
        <v>20.7</v>
      </c>
      <c r="AO579" s="35">
        <v>19</v>
      </c>
      <c r="AP579" s="35">
        <v>20.9</v>
      </c>
      <c r="AQ579" s="35">
        <v>19</v>
      </c>
      <c r="AR579" s="35">
        <v>20.8</v>
      </c>
      <c r="AS579" s="35">
        <v>19</v>
      </c>
      <c r="AT579" s="35">
        <v>19.600000000000001</v>
      </c>
      <c r="AU579" s="35">
        <v>19</v>
      </c>
      <c r="AV579" s="35">
        <v>17.3</v>
      </c>
      <c r="AW579" s="35">
        <v>19</v>
      </c>
      <c r="AX579" s="35">
        <v>20.7</v>
      </c>
      <c r="AY579" s="35">
        <v>20</v>
      </c>
      <c r="AZ579" s="35">
        <v>21</v>
      </c>
      <c r="BA579" s="35">
        <v>20</v>
      </c>
      <c r="BB579" s="35">
        <v>30.5</v>
      </c>
      <c r="BC579" s="35">
        <v>40</v>
      </c>
      <c r="BD579" s="35">
        <v>29.6</v>
      </c>
      <c r="BE579" s="35">
        <v>40</v>
      </c>
      <c r="BF579" s="35">
        <v>20.9</v>
      </c>
      <c r="BG579" s="35">
        <v>20</v>
      </c>
    </row>
    <row r="580" spans="1:59" x14ac:dyDescent="0.35">
      <c r="A580" s="36">
        <v>46059.861111111109</v>
      </c>
      <c r="B580" s="35">
        <v>2.4</v>
      </c>
      <c r="C580" s="35">
        <v>2</v>
      </c>
      <c r="D580" s="35">
        <v>2.6</v>
      </c>
      <c r="E580" s="35">
        <v>2.2000000000000002</v>
      </c>
      <c r="F580" s="35">
        <v>3.1</v>
      </c>
      <c r="G580" s="35">
        <v>2</v>
      </c>
      <c r="H580" s="35">
        <v>3.3</v>
      </c>
      <c r="I580" s="35">
        <v>2</v>
      </c>
      <c r="J580" s="35">
        <v>2.2000000000000002</v>
      </c>
      <c r="K580" s="35">
        <v>2</v>
      </c>
      <c r="L580" s="35">
        <v>2</v>
      </c>
      <c r="M580" s="35">
        <v>2</v>
      </c>
      <c r="N580" s="35">
        <v>3.3</v>
      </c>
      <c r="O580" s="35">
        <v>3</v>
      </c>
      <c r="P580" s="35">
        <v>2.6</v>
      </c>
      <c r="Q580" s="35">
        <v>2</v>
      </c>
      <c r="R580" s="35">
        <v>2.6</v>
      </c>
      <c r="S580" s="35">
        <v>2</v>
      </c>
      <c r="T580" s="35">
        <v>2.2999999999999998</v>
      </c>
      <c r="U580" s="35">
        <v>2</v>
      </c>
      <c r="V580" s="35">
        <v>11</v>
      </c>
      <c r="W580" s="35">
        <v>9</v>
      </c>
      <c r="X580" s="35">
        <v>10.6</v>
      </c>
      <c r="Y580" s="35">
        <v>9</v>
      </c>
      <c r="Z580" s="35">
        <v>9.9</v>
      </c>
      <c r="AA580" s="35">
        <v>9</v>
      </c>
      <c r="AB580" s="35">
        <v>8.1</v>
      </c>
      <c r="AC580" s="35">
        <v>9</v>
      </c>
      <c r="AD580" s="35">
        <v>20.3</v>
      </c>
      <c r="AE580" s="35">
        <v>19</v>
      </c>
      <c r="AF580" s="35">
        <v>20.6</v>
      </c>
      <c r="AG580" s="35">
        <v>19</v>
      </c>
      <c r="AH580" s="35">
        <v>19.2</v>
      </c>
      <c r="AI580" s="35">
        <v>19</v>
      </c>
      <c r="AJ580" s="35">
        <v>18.7</v>
      </c>
      <c r="AK580" s="35">
        <v>19</v>
      </c>
      <c r="AL580" s="35">
        <v>20.8</v>
      </c>
      <c r="AM580" s="35">
        <v>19</v>
      </c>
      <c r="AN580" s="35">
        <v>20.8</v>
      </c>
      <c r="AO580" s="35">
        <v>19</v>
      </c>
      <c r="AP580" s="35">
        <v>20.9</v>
      </c>
      <c r="AQ580" s="35">
        <v>19</v>
      </c>
      <c r="AR580" s="35">
        <v>20.8</v>
      </c>
      <c r="AS580" s="35">
        <v>19</v>
      </c>
      <c r="AT580" s="35">
        <v>19.7</v>
      </c>
      <c r="AU580" s="35">
        <v>19</v>
      </c>
      <c r="AV580" s="35">
        <v>17.3</v>
      </c>
      <c r="AW580" s="35">
        <v>19</v>
      </c>
      <c r="AX580" s="35">
        <v>20.8</v>
      </c>
      <c r="AY580" s="35">
        <v>20</v>
      </c>
      <c r="AZ580" s="35">
        <v>21</v>
      </c>
      <c r="BA580" s="35">
        <v>20</v>
      </c>
      <c r="BB580" s="35">
        <v>30.5</v>
      </c>
      <c r="BC580" s="35">
        <v>40</v>
      </c>
      <c r="BD580" s="35">
        <v>29.6</v>
      </c>
      <c r="BE580" s="35">
        <v>40</v>
      </c>
      <c r="BF580" s="35">
        <v>21.1</v>
      </c>
      <c r="BG580" s="35">
        <v>20</v>
      </c>
    </row>
    <row r="581" spans="1:59" x14ac:dyDescent="0.35">
      <c r="A581" s="36">
        <v>46059.861805555556</v>
      </c>
      <c r="B581" s="35">
        <v>2.8</v>
      </c>
      <c r="C581" s="35">
        <v>2</v>
      </c>
      <c r="D581" s="35">
        <v>3</v>
      </c>
      <c r="E581" s="35">
        <v>2.2000000000000002</v>
      </c>
      <c r="F581" s="35">
        <v>3.3</v>
      </c>
      <c r="G581" s="35">
        <v>2</v>
      </c>
      <c r="H581" s="35">
        <v>3.6</v>
      </c>
      <c r="I581" s="35">
        <v>2</v>
      </c>
      <c r="J581" s="35">
        <v>2.5</v>
      </c>
      <c r="K581" s="35">
        <v>2</v>
      </c>
      <c r="L581" s="35">
        <v>2.4</v>
      </c>
      <c r="M581" s="35">
        <v>2</v>
      </c>
      <c r="N581" s="35">
        <v>3.3</v>
      </c>
      <c r="O581" s="35">
        <v>3</v>
      </c>
      <c r="P581" s="35">
        <v>2.6</v>
      </c>
      <c r="Q581" s="35">
        <v>2</v>
      </c>
      <c r="R581" s="35">
        <v>2.9</v>
      </c>
      <c r="S581" s="35">
        <v>2</v>
      </c>
      <c r="T581" s="35">
        <v>2.5</v>
      </c>
      <c r="U581" s="35">
        <v>2</v>
      </c>
      <c r="V581" s="35">
        <v>10.1</v>
      </c>
      <c r="W581" s="35">
        <v>9</v>
      </c>
      <c r="X581" s="35">
        <v>9.9</v>
      </c>
      <c r="Y581" s="35">
        <v>9</v>
      </c>
      <c r="Z581" s="35">
        <v>10</v>
      </c>
      <c r="AA581" s="35">
        <v>9</v>
      </c>
      <c r="AB581" s="35">
        <v>8.6</v>
      </c>
      <c r="AC581" s="35">
        <v>9</v>
      </c>
      <c r="AD581" s="35">
        <v>19.7</v>
      </c>
      <c r="AE581" s="35">
        <v>19</v>
      </c>
      <c r="AF581" s="35">
        <v>20.7</v>
      </c>
      <c r="AG581" s="35">
        <v>19</v>
      </c>
      <c r="AH581" s="35">
        <v>19.3</v>
      </c>
      <c r="AI581" s="35">
        <v>19</v>
      </c>
      <c r="AJ581" s="35">
        <v>18.7</v>
      </c>
      <c r="AK581" s="35">
        <v>19</v>
      </c>
      <c r="AL581" s="35">
        <v>20.9</v>
      </c>
      <c r="AM581" s="35">
        <v>19</v>
      </c>
      <c r="AN581" s="35">
        <v>20.9</v>
      </c>
      <c r="AO581" s="35">
        <v>19</v>
      </c>
      <c r="AP581" s="35">
        <v>20.9</v>
      </c>
      <c r="AQ581" s="35">
        <v>19</v>
      </c>
      <c r="AR581" s="35">
        <v>20.8</v>
      </c>
      <c r="AS581" s="35">
        <v>19</v>
      </c>
      <c r="AT581" s="35">
        <v>19.8</v>
      </c>
      <c r="AU581" s="35">
        <v>19</v>
      </c>
      <c r="AV581" s="35">
        <v>17.5</v>
      </c>
      <c r="AW581" s="35">
        <v>19</v>
      </c>
      <c r="AX581" s="35">
        <v>20.8</v>
      </c>
      <c r="AY581" s="35">
        <v>20</v>
      </c>
      <c r="AZ581" s="35">
        <v>21.1</v>
      </c>
      <c r="BA581" s="35">
        <v>20</v>
      </c>
      <c r="BB581" s="35">
        <v>30.5</v>
      </c>
      <c r="BC581" s="35">
        <v>40</v>
      </c>
      <c r="BD581" s="35">
        <v>29.6</v>
      </c>
      <c r="BE581" s="35">
        <v>40</v>
      </c>
      <c r="BF581" s="35">
        <v>21.2</v>
      </c>
      <c r="BG581" s="35">
        <v>20</v>
      </c>
    </row>
    <row r="582" spans="1:59" x14ac:dyDescent="0.35">
      <c r="A582" s="36">
        <v>46059.862500000003</v>
      </c>
      <c r="B582" s="35">
        <v>3.2</v>
      </c>
      <c r="C582" s="35">
        <v>2</v>
      </c>
      <c r="D582" s="35">
        <v>3.4</v>
      </c>
      <c r="E582" s="35">
        <v>2.2000000000000002</v>
      </c>
      <c r="F582" s="35">
        <v>3.5</v>
      </c>
      <c r="G582" s="35">
        <v>2</v>
      </c>
      <c r="H582" s="35">
        <v>3.9</v>
      </c>
      <c r="I582" s="35">
        <v>2</v>
      </c>
      <c r="J582" s="35">
        <v>2.7</v>
      </c>
      <c r="K582" s="35">
        <v>2</v>
      </c>
      <c r="L582" s="35">
        <v>2.8</v>
      </c>
      <c r="M582" s="35">
        <v>2</v>
      </c>
      <c r="N582" s="35">
        <v>3.3</v>
      </c>
      <c r="O582" s="35">
        <v>3</v>
      </c>
      <c r="P582" s="35">
        <v>2.7</v>
      </c>
      <c r="Q582" s="35">
        <v>2</v>
      </c>
      <c r="R582" s="35">
        <v>3</v>
      </c>
      <c r="S582" s="35">
        <v>2</v>
      </c>
      <c r="T582" s="35">
        <v>2.7</v>
      </c>
      <c r="U582" s="35">
        <v>2</v>
      </c>
      <c r="V582" s="35">
        <v>8.4</v>
      </c>
      <c r="W582" s="35">
        <v>9</v>
      </c>
      <c r="X582" s="35">
        <v>9.1</v>
      </c>
      <c r="Y582" s="35">
        <v>9</v>
      </c>
      <c r="Z582" s="35">
        <v>10.199999999999999</v>
      </c>
      <c r="AA582" s="35">
        <v>9</v>
      </c>
      <c r="AB582" s="35">
        <v>9</v>
      </c>
      <c r="AC582" s="35">
        <v>9</v>
      </c>
      <c r="AD582" s="35">
        <v>19.3</v>
      </c>
      <c r="AE582" s="35">
        <v>19</v>
      </c>
      <c r="AF582" s="35">
        <v>20.7</v>
      </c>
      <c r="AG582" s="35">
        <v>19</v>
      </c>
      <c r="AH582" s="35">
        <v>19.399999999999999</v>
      </c>
      <c r="AI582" s="35">
        <v>19</v>
      </c>
      <c r="AJ582" s="35">
        <v>19</v>
      </c>
      <c r="AK582" s="35">
        <v>19</v>
      </c>
      <c r="AL582" s="35">
        <v>21</v>
      </c>
      <c r="AM582" s="35">
        <v>19</v>
      </c>
      <c r="AN582" s="35">
        <v>21</v>
      </c>
      <c r="AO582" s="35">
        <v>19</v>
      </c>
      <c r="AP582" s="35">
        <v>20.9</v>
      </c>
      <c r="AQ582" s="35">
        <v>19</v>
      </c>
      <c r="AR582" s="35">
        <v>20.8</v>
      </c>
      <c r="AS582" s="35">
        <v>19</v>
      </c>
      <c r="AT582" s="35">
        <v>19.899999999999999</v>
      </c>
      <c r="AU582" s="35">
        <v>19</v>
      </c>
      <c r="AV582" s="35">
        <v>17.8</v>
      </c>
      <c r="AW582" s="35">
        <v>19</v>
      </c>
      <c r="AX582" s="35">
        <v>20.8</v>
      </c>
      <c r="AY582" s="35">
        <v>20</v>
      </c>
      <c r="AZ582" s="35">
        <v>21.1</v>
      </c>
      <c r="BA582" s="35">
        <v>20</v>
      </c>
      <c r="BB582" s="35">
        <v>30.5</v>
      </c>
      <c r="BC582" s="35">
        <v>40</v>
      </c>
      <c r="BD582" s="35">
        <v>29.6</v>
      </c>
      <c r="BE582" s="35">
        <v>40</v>
      </c>
      <c r="BF582" s="35">
        <v>21.3</v>
      </c>
      <c r="BG582" s="35">
        <v>20</v>
      </c>
    </row>
    <row r="583" spans="1:59" x14ac:dyDescent="0.35">
      <c r="A583" s="36">
        <v>46059.863194444442</v>
      </c>
      <c r="B583" s="35">
        <v>3.4</v>
      </c>
      <c r="C583" s="35">
        <v>2</v>
      </c>
      <c r="D583" s="35">
        <v>3.8</v>
      </c>
      <c r="E583" s="35">
        <v>2.2000000000000002</v>
      </c>
      <c r="F583" s="35">
        <v>3.7</v>
      </c>
      <c r="G583" s="35">
        <v>2</v>
      </c>
      <c r="H583" s="35">
        <v>3.6</v>
      </c>
      <c r="I583" s="35">
        <v>2</v>
      </c>
      <c r="J583" s="35">
        <v>2.9</v>
      </c>
      <c r="K583" s="35">
        <v>2</v>
      </c>
      <c r="L583" s="35">
        <v>3.2</v>
      </c>
      <c r="M583" s="35">
        <v>2</v>
      </c>
      <c r="N583" s="35">
        <v>3.3</v>
      </c>
      <c r="O583" s="35">
        <v>3</v>
      </c>
      <c r="P583" s="35">
        <v>2.2999999999999998</v>
      </c>
      <c r="Q583" s="35">
        <v>2</v>
      </c>
      <c r="R583" s="35">
        <v>3.2</v>
      </c>
      <c r="S583" s="35">
        <v>2</v>
      </c>
      <c r="T583" s="35">
        <v>2.9</v>
      </c>
      <c r="U583" s="35">
        <v>2</v>
      </c>
      <c r="V583" s="35">
        <v>7.6</v>
      </c>
      <c r="W583" s="35">
        <v>9</v>
      </c>
      <c r="X583" s="35">
        <v>8.1999999999999993</v>
      </c>
      <c r="Y583" s="35">
        <v>9</v>
      </c>
      <c r="Z583" s="35">
        <v>10.3</v>
      </c>
      <c r="AA583" s="35">
        <v>9</v>
      </c>
      <c r="AB583" s="35">
        <v>9.4</v>
      </c>
      <c r="AC583" s="35">
        <v>9</v>
      </c>
      <c r="AD583" s="35">
        <v>18.8</v>
      </c>
      <c r="AE583" s="35">
        <v>19</v>
      </c>
      <c r="AF583" s="35">
        <v>20.7</v>
      </c>
      <c r="AG583" s="35">
        <v>19</v>
      </c>
      <c r="AH583" s="35">
        <v>19.5</v>
      </c>
      <c r="AI583" s="35">
        <v>19</v>
      </c>
      <c r="AJ583" s="35">
        <v>19.2</v>
      </c>
      <c r="AK583" s="35">
        <v>19</v>
      </c>
      <c r="AL583" s="35">
        <v>20.8</v>
      </c>
      <c r="AM583" s="35">
        <v>19</v>
      </c>
      <c r="AN583" s="35">
        <v>20.7</v>
      </c>
      <c r="AO583" s="35">
        <v>19</v>
      </c>
      <c r="AP583" s="35">
        <v>20.9</v>
      </c>
      <c r="AQ583" s="35">
        <v>19</v>
      </c>
      <c r="AR583" s="35">
        <v>20.8</v>
      </c>
      <c r="AS583" s="35">
        <v>19</v>
      </c>
      <c r="AT583" s="35">
        <v>20</v>
      </c>
      <c r="AU583" s="35">
        <v>19</v>
      </c>
      <c r="AV583" s="35">
        <v>18</v>
      </c>
      <c r="AW583" s="35">
        <v>19</v>
      </c>
      <c r="AX583" s="35">
        <v>20.8</v>
      </c>
      <c r="AY583" s="35">
        <v>20</v>
      </c>
      <c r="AZ583" s="35">
        <v>21.1</v>
      </c>
      <c r="BA583" s="35">
        <v>20</v>
      </c>
      <c r="BB583" s="35">
        <v>30.4</v>
      </c>
      <c r="BC583" s="35">
        <v>40</v>
      </c>
      <c r="BD583" s="35">
        <v>29.6</v>
      </c>
      <c r="BE583" s="35">
        <v>40</v>
      </c>
      <c r="BF583" s="35">
        <v>21.4</v>
      </c>
      <c r="BG583" s="35">
        <v>20</v>
      </c>
    </row>
    <row r="584" spans="1:59" x14ac:dyDescent="0.35">
      <c r="A584" s="36">
        <v>46059.863888888889</v>
      </c>
      <c r="B584" s="35">
        <v>3.7</v>
      </c>
      <c r="C584" s="35">
        <v>2</v>
      </c>
      <c r="D584" s="35">
        <v>4.2</v>
      </c>
      <c r="E584" s="35">
        <v>2.2000000000000002</v>
      </c>
      <c r="F584" s="35">
        <v>3.2</v>
      </c>
      <c r="G584" s="35">
        <v>2</v>
      </c>
      <c r="H584" s="35">
        <v>2.8</v>
      </c>
      <c r="I584" s="35">
        <v>2</v>
      </c>
      <c r="J584" s="35">
        <v>3.2</v>
      </c>
      <c r="K584" s="35">
        <v>2</v>
      </c>
      <c r="L584" s="35">
        <v>3.5</v>
      </c>
      <c r="M584" s="35">
        <v>2</v>
      </c>
      <c r="N584" s="35">
        <v>3.3</v>
      </c>
      <c r="O584" s="35">
        <v>3</v>
      </c>
      <c r="P584" s="35">
        <v>2.2999999999999998</v>
      </c>
      <c r="Q584" s="35">
        <v>2</v>
      </c>
      <c r="R584" s="35">
        <v>3.3</v>
      </c>
      <c r="S584" s="35">
        <v>2</v>
      </c>
      <c r="T584" s="35">
        <v>3</v>
      </c>
      <c r="U584" s="35">
        <v>2</v>
      </c>
      <c r="V584" s="35">
        <v>8</v>
      </c>
      <c r="W584" s="35">
        <v>9</v>
      </c>
      <c r="X584" s="35">
        <v>8</v>
      </c>
      <c r="Y584" s="35">
        <v>9</v>
      </c>
      <c r="Z584" s="35">
        <v>10.4</v>
      </c>
      <c r="AA584" s="35">
        <v>9</v>
      </c>
      <c r="AB584" s="35">
        <v>9.6999999999999993</v>
      </c>
      <c r="AC584" s="35">
        <v>9</v>
      </c>
      <c r="AD584" s="35">
        <v>18.7</v>
      </c>
      <c r="AE584" s="35">
        <v>19</v>
      </c>
      <c r="AF584" s="35">
        <v>20.8</v>
      </c>
      <c r="AG584" s="35">
        <v>19</v>
      </c>
      <c r="AH584" s="35">
        <v>19.600000000000001</v>
      </c>
      <c r="AI584" s="35">
        <v>19</v>
      </c>
      <c r="AJ584" s="35">
        <v>19.3</v>
      </c>
      <c r="AK584" s="35">
        <v>19</v>
      </c>
      <c r="AL584" s="35">
        <v>20.6</v>
      </c>
      <c r="AM584" s="35">
        <v>19</v>
      </c>
      <c r="AN584" s="35">
        <v>20.399999999999999</v>
      </c>
      <c r="AO584" s="35">
        <v>19</v>
      </c>
      <c r="AP584" s="35">
        <v>21</v>
      </c>
      <c r="AQ584" s="35">
        <v>19</v>
      </c>
      <c r="AR584" s="35">
        <v>20.8</v>
      </c>
      <c r="AS584" s="35">
        <v>19</v>
      </c>
      <c r="AT584" s="35">
        <v>20.100000000000001</v>
      </c>
      <c r="AU584" s="35">
        <v>19</v>
      </c>
      <c r="AV584" s="35">
        <v>18.2</v>
      </c>
      <c r="AW584" s="35">
        <v>19</v>
      </c>
      <c r="AX584" s="35">
        <v>20.8</v>
      </c>
      <c r="AY584" s="35">
        <v>20</v>
      </c>
      <c r="AZ584" s="35">
        <v>21.1</v>
      </c>
      <c r="BA584" s="35">
        <v>20</v>
      </c>
      <c r="BB584" s="35">
        <v>30.4</v>
      </c>
      <c r="BC584" s="35">
        <v>40</v>
      </c>
      <c r="BD584" s="35">
        <v>29.6</v>
      </c>
      <c r="BE584" s="35">
        <v>40</v>
      </c>
      <c r="BF584" s="35">
        <v>21.4</v>
      </c>
      <c r="BG584" s="35">
        <v>20</v>
      </c>
    </row>
    <row r="585" spans="1:59" x14ac:dyDescent="0.35">
      <c r="A585" s="36">
        <v>46059.864583333336</v>
      </c>
      <c r="B585" s="35">
        <v>3.8</v>
      </c>
      <c r="C585" s="35">
        <v>2</v>
      </c>
      <c r="D585" s="35">
        <v>4.0999999999999996</v>
      </c>
      <c r="E585" s="35">
        <v>2.2000000000000002</v>
      </c>
      <c r="F585" s="35">
        <v>3.1</v>
      </c>
      <c r="G585" s="35">
        <v>2</v>
      </c>
      <c r="H585" s="35">
        <v>2.4</v>
      </c>
      <c r="I585" s="35">
        <v>2</v>
      </c>
      <c r="J585" s="35">
        <v>3.4</v>
      </c>
      <c r="K585" s="35">
        <v>2</v>
      </c>
      <c r="L585" s="35">
        <v>3.8</v>
      </c>
      <c r="M585" s="35">
        <v>2</v>
      </c>
      <c r="N585" s="35">
        <v>3.3</v>
      </c>
      <c r="O585" s="35">
        <v>3</v>
      </c>
      <c r="P585" s="35">
        <v>2.1</v>
      </c>
      <c r="Q585" s="35">
        <v>2</v>
      </c>
      <c r="R585" s="35">
        <v>3.4</v>
      </c>
      <c r="S585" s="35">
        <v>2</v>
      </c>
      <c r="T585" s="35">
        <v>3.1</v>
      </c>
      <c r="U585" s="35">
        <v>2</v>
      </c>
      <c r="V585" s="35">
        <v>8.8000000000000007</v>
      </c>
      <c r="W585" s="35">
        <v>9</v>
      </c>
      <c r="X585" s="35">
        <v>8</v>
      </c>
      <c r="Y585" s="35">
        <v>9</v>
      </c>
      <c r="Z585" s="35">
        <v>10.5</v>
      </c>
      <c r="AA585" s="35">
        <v>9</v>
      </c>
      <c r="AB585" s="35">
        <v>9.9</v>
      </c>
      <c r="AC585" s="35">
        <v>9</v>
      </c>
      <c r="AD585" s="35">
        <v>18.8</v>
      </c>
      <c r="AE585" s="35">
        <v>19</v>
      </c>
      <c r="AF585" s="35">
        <v>20.8</v>
      </c>
      <c r="AG585" s="35">
        <v>19</v>
      </c>
      <c r="AH585" s="35">
        <v>19.7</v>
      </c>
      <c r="AI585" s="35">
        <v>19</v>
      </c>
      <c r="AJ585" s="35">
        <v>19.5</v>
      </c>
      <c r="AK585" s="35">
        <v>19</v>
      </c>
      <c r="AL585" s="35">
        <v>20.399999999999999</v>
      </c>
      <c r="AM585" s="35">
        <v>19</v>
      </c>
      <c r="AN585" s="35">
        <v>19.7</v>
      </c>
      <c r="AO585" s="35">
        <v>19</v>
      </c>
      <c r="AP585" s="35">
        <v>20.5</v>
      </c>
      <c r="AQ585" s="35">
        <v>19</v>
      </c>
      <c r="AR585" s="35">
        <v>20.8</v>
      </c>
      <c r="AS585" s="35">
        <v>19</v>
      </c>
      <c r="AT585" s="35">
        <v>20.2</v>
      </c>
      <c r="AU585" s="35">
        <v>19</v>
      </c>
      <c r="AV585" s="35">
        <v>18.3</v>
      </c>
      <c r="AW585" s="35">
        <v>19</v>
      </c>
      <c r="AX585" s="35">
        <v>20.8</v>
      </c>
      <c r="AY585" s="35">
        <v>20</v>
      </c>
      <c r="AZ585" s="35">
        <v>21.1</v>
      </c>
      <c r="BA585" s="35">
        <v>20</v>
      </c>
      <c r="BB585" s="35">
        <v>30.4</v>
      </c>
      <c r="BC585" s="35">
        <v>40</v>
      </c>
      <c r="BD585" s="35">
        <v>29.5</v>
      </c>
      <c r="BE585" s="35">
        <v>40</v>
      </c>
      <c r="BF585" s="35">
        <v>21.4</v>
      </c>
      <c r="BG585" s="35">
        <v>20</v>
      </c>
    </row>
    <row r="586" spans="1:59" x14ac:dyDescent="0.35">
      <c r="A586" s="36">
        <v>46059.865277777775</v>
      </c>
      <c r="B586" s="35">
        <v>3.8</v>
      </c>
      <c r="C586" s="35">
        <v>2</v>
      </c>
      <c r="D586" s="35">
        <v>4.0999999999999996</v>
      </c>
      <c r="E586" s="35">
        <v>2.2000000000000002</v>
      </c>
      <c r="F586" s="35">
        <v>3.1</v>
      </c>
      <c r="G586" s="35">
        <v>2</v>
      </c>
      <c r="H586" s="35">
        <v>2.4</v>
      </c>
      <c r="I586" s="35">
        <v>2</v>
      </c>
      <c r="J586" s="35">
        <v>3.7</v>
      </c>
      <c r="K586" s="35">
        <v>2</v>
      </c>
      <c r="L586" s="35">
        <v>4</v>
      </c>
      <c r="M586" s="35">
        <v>2</v>
      </c>
      <c r="N586" s="35">
        <v>3.3</v>
      </c>
      <c r="O586" s="35">
        <v>3</v>
      </c>
      <c r="P586" s="35">
        <v>1.9</v>
      </c>
      <c r="Q586" s="35">
        <v>2</v>
      </c>
      <c r="R586" s="35">
        <v>3.6</v>
      </c>
      <c r="S586" s="35">
        <v>2</v>
      </c>
      <c r="T586" s="35">
        <v>3.3</v>
      </c>
      <c r="U586" s="35">
        <v>2</v>
      </c>
      <c r="V586" s="35">
        <v>9.6999999999999993</v>
      </c>
      <c r="W586" s="35">
        <v>9</v>
      </c>
      <c r="X586" s="35">
        <v>8.3000000000000007</v>
      </c>
      <c r="Y586" s="35">
        <v>9</v>
      </c>
      <c r="Z586" s="35">
        <v>10.6</v>
      </c>
      <c r="AA586" s="35">
        <v>9</v>
      </c>
      <c r="AB586" s="35">
        <v>10.199999999999999</v>
      </c>
      <c r="AC586" s="35">
        <v>9</v>
      </c>
      <c r="AD586" s="35">
        <v>19</v>
      </c>
      <c r="AE586" s="35">
        <v>19</v>
      </c>
      <c r="AF586" s="35">
        <v>20.8</v>
      </c>
      <c r="AG586" s="35">
        <v>19</v>
      </c>
      <c r="AH586" s="35">
        <v>19.8</v>
      </c>
      <c r="AI586" s="35">
        <v>19</v>
      </c>
      <c r="AJ586" s="35">
        <v>19.600000000000001</v>
      </c>
      <c r="AK586" s="35">
        <v>19</v>
      </c>
      <c r="AL586" s="35">
        <v>20.3</v>
      </c>
      <c r="AM586" s="35">
        <v>19</v>
      </c>
      <c r="AN586" s="35">
        <v>19.399999999999999</v>
      </c>
      <c r="AO586" s="35">
        <v>19</v>
      </c>
      <c r="AP586" s="35">
        <v>19.7</v>
      </c>
      <c r="AQ586" s="35">
        <v>19</v>
      </c>
      <c r="AR586" s="35">
        <v>20.8</v>
      </c>
      <c r="AS586" s="35">
        <v>19</v>
      </c>
      <c r="AT586" s="35">
        <v>20.3</v>
      </c>
      <c r="AU586" s="35">
        <v>19</v>
      </c>
      <c r="AV586" s="35">
        <v>18.5</v>
      </c>
      <c r="AW586" s="35">
        <v>19</v>
      </c>
      <c r="AX586" s="35">
        <v>20.8</v>
      </c>
      <c r="AY586" s="35">
        <v>20</v>
      </c>
      <c r="AZ586" s="35">
        <v>21.1</v>
      </c>
      <c r="BA586" s="35">
        <v>20</v>
      </c>
      <c r="BB586" s="35">
        <v>30.4</v>
      </c>
      <c r="BC586" s="35">
        <v>40</v>
      </c>
      <c r="BD586" s="35">
        <v>29.5</v>
      </c>
      <c r="BE586" s="35">
        <v>40</v>
      </c>
      <c r="BF586" s="35">
        <v>21.5</v>
      </c>
      <c r="BG586" s="35">
        <v>20</v>
      </c>
    </row>
    <row r="587" spans="1:59" x14ac:dyDescent="0.35">
      <c r="A587" s="36">
        <v>46059.865972222222</v>
      </c>
      <c r="B587" s="35">
        <v>4</v>
      </c>
      <c r="C587" s="35">
        <v>2</v>
      </c>
      <c r="D587" s="35">
        <v>4.3</v>
      </c>
      <c r="E587" s="35">
        <v>2.2000000000000002</v>
      </c>
      <c r="F587" s="35">
        <v>3.3</v>
      </c>
      <c r="G587" s="35">
        <v>2</v>
      </c>
      <c r="H587" s="35">
        <v>2.7</v>
      </c>
      <c r="I587" s="35">
        <v>2</v>
      </c>
      <c r="J587" s="35">
        <v>3.4</v>
      </c>
      <c r="K587" s="35">
        <v>2</v>
      </c>
      <c r="L587" s="35">
        <v>3.4</v>
      </c>
      <c r="M587" s="35">
        <v>2</v>
      </c>
      <c r="N587" s="35">
        <v>3.3</v>
      </c>
      <c r="O587" s="35">
        <v>3</v>
      </c>
      <c r="P587" s="35">
        <v>1.9</v>
      </c>
      <c r="Q587" s="35">
        <v>2</v>
      </c>
      <c r="R587" s="35">
        <v>3.7</v>
      </c>
      <c r="S587" s="35">
        <v>2</v>
      </c>
      <c r="T587" s="35">
        <v>3.4</v>
      </c>
      <c r="U587" s="35">
        <v>2</v>
      </c>
      <c r="V587" s="35">
        <v>10.199999999999999</v>
      </c>
      <c r="W587" s="35">
        <v>9</v>
      </c>
      <c r="X587" s="35">
        <v>8.6</v>
      </c>
      <c r="Y587" s="35">
        <v>9</v>
      </c>
      <c r="Z587" s="35">
        <v>10.7</v>
      </c>
      <c r="AA587" s="35">
        <v>9</v>
      </c>
      <c r="AB587" s="35">
        <v>10.4</v>
      </c>
      <c r="AC587" s="35">
        <v>9</v>
      </c>
      <c r="AD587" s="35">
        <v>19.2</v>
      </c>
      <c r="AE587" s="35">
        <v>19</v>
      </c>
      <c r="AF587" s="35">
        <v>20.8</v>
      </c>
      <c r="AG587" s="35">
        <v>19</v>
      </c>
      <c r="AH587" s="35">
        <v>19.8</v>
      </c>
      <c r="AI587" s="35">
        <v>19</v>
      </c>
      <c r="AJ587" s="35">
        <v>19.7</v>
      </c>
      <c r="AK587" s="35">
        <v>19</v>
      </c>
      <c r="AL587" s="35">
        <v>20.3</v>
      </c>
      <c r="AM587" s="35">
        <v>19</v>
      </c>
      <c r="AN587" s="35">
        <v>19.399999999999999</v>
      </c>
      <c r="AO587" s="35">
        <v>19</v>
      </c>
      <c r="AP587" s="35">
        <v>19.2</v>
      </c>
      <c r="AQ587" s="35">
        <v>19</v>
      </c>
      <c r="AR587" s="35">
        <v>20.8</v>
      </c>
      <c r="AS587" s="35">
        <v>19</v>
      </c>
      <c r="AT587" s="35">
        <v>20.399999999999999</v>
      </c>
      <c r="AU587" s="35">
        <v>19</v>
      </c>
      <c r="AV587" s="35">
        <v>18.600000000000001</v>
      </c>
      <c r="AW587" s="35">
        <v>19</v>
      </c>
      <c r="AX587" s="35">
        <v>20.8</v>
      </c>
      <c r="AY587" s="35">
        <v>20</v>
      </c>
      <c r="AZ587" s="35">
        <v>21.2</v>
      </c>
      <c r="BA587" s="35">
        <v>20</v>
      </c>
      <c r="BB587" s="35">
        <v>30.4</v>
      </c>
      <c r="BC587" s="35">
        <v>40</v>
      </c>
      <c r="BD587" s="35">
        <v>29.5</v>
      </c>
      <c r="BE587" s="35">
        <v>40</v>
      </c>
      <c r="BF587" s="35">
        <v>21.5</v>
      </c>
      <c r="BG587" s="35">
        <v>20</v>
      </c>
    </row>
    <row r="588" spans="1:59" x14ac:dyDescent="0.35">
      <c r="A588" s="36">
        <v>46059.866666666669</v>
      </c>
      <c r="B588" s="35">
        <v>3.9</v>
      </c>
      <c r="C588" s="35">
        <v>2</v>
      </c>
      <c r="D588" s="35">
        <v>4.0999999999999996</v>
      </c>
      <c r="E588" s="35">
        <v>2.2000000000000002</v>
      </c>
      <c r="F588" s="35">
        <v>3.5</v>
      </c>
      <c r="G588" s="35">
        <v>2</v>
      </c>
      <c r="H588" s="35">
        <v>3</v>
      </c>
      <c r="I588" s="35">
        <v>2</v>
      </c>
      <c r="J588" s="35">
        <v>3</v>
      </c>
      <c r="K588" s="35">
        <v>2</v>
      </c>
      <c r="L588" s="35">
        <v>2.6</v>
      </c>
      <c r="M588" s="35">
        <v>2</v>
      </c>
      <c r="N588" s="35">
        <v>3.3</v>
      </c>
      <c r="O588" s="35">
        <v>3</v>
      </c>
      <c r="P588" s="35">
        <v>2.4</v>
      </c>
      <c r="Q588" s="35">
        <v>2</v>
      </c>
      <c r="R588" s="35">
        <v>3.8</v>
      </c>
      <c r="S588" s="35">
        <v>2</v>
      </c>
      <c r="T588" s="35">
        <v>3.5</v>
      </c>
      <c r="U588" s="35">
        <v>2</v>
      </c>
      <c r="V588" s="35">
        <v>10.7</v>
      </c>
      <c r="W588" s="35">
        <v>9</v>
      </c>
      <c r="X588" s="35">
        <v>8.8000000000000007</v>
      </c>
      <c r="Y588" s="35">
        <v>9</v>
      </c>
      <c r="Z588" s="35">
        <v>10.8</v>
      </c>
      <c r="AA588" s="35">
        <v>9</v>
      </c>
      <c r="AB588" s="35">
        <v>10.6</v>
      </c>
      <c r="AC588" s="35">
        <v>9</v>
      </c>
      <c r="AD588" s="35">
        <v>19.399999999999999</v>
      </c>
      <c r="AE588" s="35">
        <v>19</v>
      </c>
      <c r="AF588" s="35">
        <v>20.9</v>
      </c>
      <c r="AG588" s="35">
        <v>19</v>
      </c>
      <c r="AH588" s="35">
        <v>19.899999999999999</v>
      </c>
      <c r="AI588" s="35">
        <v>19</v>
      </c>
      <c r="AJ588" s="35">
        <v>19.8</v>
      </c>
      <c r="AK588" s="35">
        <v>19</v>
      </c>
      <c r="AL588" s="35">
        <v>20.100000000000001</v>
      </c>
      <c r="AM588" s="35">
        <v>19</v>
      </c>
      <c r="AN588" s="35">
        <v>18.8</v>
      </c>
      <c r="AO588" s="35">
        <v>19</v>
      </c>
      <c r="AP588" s="35">
        <v>18.5</v>
      </c>
      <c r="AQ588" s="35">
        <v>19</v>
      </c>
      <c r="AR588" s="35">
        <v>20.8</v>
      </c>
      <c r="AS588" s="35">
        <v>19</v>
      </c>
      <c r="AT588" s="35">
        <v>20.5</v>
      </c>
      <c r="AU588" s="35">
        <v>19</v>
      </c>
      <c r="AV588" s="35">
        <v>18.8</v>
      </c>
      <c r="AW588" s="35">
        <v>19</v>
      </c>
      <c r="AX588" s="35">
        <v>20.8</v>
      </c>
      <c r="AY588" s="35">
        <v>20</v>
      </c>
      <c r="AZ588" s="35">
        <v>21.2</v>
      </c>
      <c r="BA588" s="35">
        <v>20</v>
      </c>
      <c r="BB588" s="35">
        <v>30.4</v>
      </c>
      <c r="BC588" s="35">
        <v>40</v>
      </c>
      <c r="BD588" s="35">
        <v>29.5</v>
      </c>
      <c r="BE588" s="35">
        <v>40</v>
      </c>
      <c r="BF588" s="35">
        <v>21.5</v>
      </c>
      <c r="BG588" s="35">
        <v>20</v>
      </c>
    </row>
    <row r="589" spans="1:59" x14ac:dyDescent="0.35">
      <c r="A589" s="36">
        <v>46059.867361111108</v>
      </c>
      <c r="B589" s="35">
        <v>2.9</v>
      </c>
      <c r="C589" s="35">
        <v>2</v>
      </c>
      <c r="D589" s="35">
        <v>3</v>
      </c>
      <c r="E589" s="35">
        <v>2.2000000000000002</v>
      </c>
      <c r="F589" s="35">
        <v>3.6</v>
      </c>
      <c r="G589" s="35">
        <v>2</v>
      </c>
      <c r="H589" s="35">
        <v>3</v>
      </c>
      <c r="I589" s="35">
        <v>2</v>
      </c>
      <c r="J589" s="35">
        <v>2.5</v>
      </c>
      <c r="K589" s="35">
        <v>2</v>
      </c>
      <c r="L589" s="35">
        <v>1.8</v>
      </c>
      <c r="M589" s="35">
        <v>2</v>
      </c>
      <c r="N589" s="35">
        <v>3.3</v>
      </c>
      <c r="O589" s="35">
        <v>3</v>
      </c>
      <c r="P589" s="35">
        <v>3.3</v>
      </c>
      <c r="Q589" s="35">
        <v>2</v>
      </c>
      <c r="R589" s="35">
        <v>3.9</v>
      </c>
      <c r="S589" s="35">
        <v>2</v>
      </c>
      <c r="T589" s="35">
        <v>3.6</v>
      </c>
      <c r="U589" s="35">
        <v>2</v>
      </c>
      <c r="V589" s="35">
        <v>11</v>
      </c>
      <c r="W589" s="35">
        <v>9</v>
      </c>
      <c r="X589" s="35">
        <v>9</v>
      </c>
      <c r="Y589" s="35">
        <v>9</v>
      </c>
      <c r="Z589" s="35">
        <v>10.8</v>
      </c>
      <c r="AA589" s="35">
        <v>9</v>
      </c>
      <c r="AB589" s="35">
        <v>10.8</v>
      </c>
      <c r="AC589" s="35">
        <v>9</v>
      </c>
      <c r="AD589" s="35">
        <v>19.399999999999999</v>
      </c>
      <c r="AE589" s="35">
        <v>19</v>
      </c>
      <c r="AF589" s="35">
        <v>20.9</v>
      </c>
      <c r="AG589" s="35">
        <v>19</v>
      </c>
      <c r="AH589" s="35">
        <v>20</v>
      </c>
      <c r="AI589" s="35">
        <v>19</v>
      </c>
      <c r="AJ589" s="35">
        <v>20</v>
      </c>
      <c r="AK589" s="35">
        <v>19</v>
      </c>
      <c r="AL589" s="35">
        <v>20</v>
      </c>
      <c r="AM589" s="35">
        <v>19</v>
      </c>
      <c r="AN589" s="35">
        <v>18.7</v>
      </c>
      <c r="AO589" s="35">
        <v>19</v>
      </c>
      <c r="AP589" s="35">
        <v>18.399999999999999</v>
      </c>
      <c r="AQ589" s="35">
        <v>19</v>
      </c>
      <c r="AR589" s="35">
        <v>20.8</v>
      </c>
      <c r="AS589" s="35">
        <v>19</v>
      </c>
      <c r="AT589" s="35">
        <v>20.5</v>
      </c>
      <c r="AU589" s="35">
        <v>19</v>
      </c>
      <c r="AV589" s="35">
        <v>18.899999999999999</v>
      </c>
      <c r="AW589" s="35">
        <v>19</v>
      </c>
      <c r="AX589" s="35">
        <v>20.8</v>
      </c>
      <c r="AY589" s="35">
        <v>20</v>
      </c>
      <c r="AZ589" s="35">
        <v>21.2</v>
      </c>
      <c r="BA589" s="35">
        <v>20</v>
      </c>
      <c r="BB589" s="35">
        <v>30.3</v>
      </c>
      <c r="BC589" s="35">
        <v>40</v>
      </c>
      <c r="BD589" s="35">
        <v>29.5</v>
      </c>
      <c r="BE589" s="35">
        <v>40</v>
      </c>
      <c r="BF589" s="35">
        <v>21.5</v>
      </c>
      <c r="BG589" s="35">
        <v>20</v>
      </c>
    </row>
    <row r="590" spans="1:59" x14ac:dyDescent="0.35">
      <c r="A590" s="36">
        <v>46059.868055555555</v>
      </c>
      <c r="B590" s="35">
        <v>1.6</v>
      </c>
      <c r="C590" s="35">
        <v>2</v>
      </c>
      <c r="D590" s="35">
        <v>1.9</v>
      </c>
      <c r="E590" s="35">
        <v>2.2000000000000002</v>
      </c>
      <c r="F590" s="35">
        <v>3.7</v>
      </c>
      <c r="G590" s="35">
        <v>2</v>
      </c>
      <c r="H590" s="35">
        <v>3</v>
      </c>
      <c r="I590" s="35">
        <v>2</v>
      </c>
      <c r="J590" s="35">
        <v>2.4</v>
      </c>
      <c r="K590" s="35">
        <v>2</v>
      </c>
      <c r="L590" s="35">
        <v>1.9</v>
      </c>
      <c r="M590" s="35">
        <v>2</v>
      </c>
      <c r="N590" s="35">
        <v>3.3</v>
      </c>
      <c r="O590" s="35">
        <v>3</v>
      </c>
      <c r="P590" s="35">
        <v>4.0999999999999996</v>
      </c>
      <c r="Q590" s="35">
        <v>2</v>
      </c>
      <c r="R590" s="35">
        <v>4</v>
      </c>
      <c r="S590" s="35">
        <v>2</v>
      </c>
      <c r="T590" s="35">
        <v>3.6</v>
      </c>
      <c r="U590" s="35">
        <v>2</v>
      </c>
      <c r="V590" s="35">
        <v>10.1</v>
      </c>
      <c r="W590" s="35">
        <v>9</v>
      </c>
      <c r="X590" s="35">
        <v>9.1999999999999993</v>
      </c>
      <c r="Y590" s="35">
        <v>9</v>
      </c>
      <c r="Z590" s="35">
        <v>10.9</v>
      </c>
      <c r="AA590" s="35">
        <v>9</v>
      </c>
      <c r="AB590" s="35">
        <v>10.9</v>
      </c>
      <c r="AC590" s="35">
        <v>9</v>
      </c>
      <c r="AD590" s="35">
        <v>19.5</v>
      </c>
      <c r="AE590" s="35">
        <v>19</v>
      </c>
      <c r="AF590" s="35">
        <v>20.9</v>
      </c>
      <c r="AG590" s="35">
        <v>19</v>
      </c>
      <c r="AH590" s="35">
        <v>20.100000000000001</v>
      </c>
      <c r="AI590" s="35">
        <v>19</v>
      </c>
      <c r="AJ590" s="35">
        <v>20.100000000000001</v>
      </c>
      <c r="AK590" s="35">
        <v>19</v>
      </c>
      <c r="AL590" s="35">
        <v>19.8</v>
      </c>
      <c r="AM590" s="35">
        <v>19</v>
      </c>
      <c r="AN590" s="35">
        <v>18.8</v>
      </c>
      <c r="AO590" s="35">
        <v>19</v>
      </c>
      <c r="AP590" s="35">
        <v>18.399999999999999</v>
      </c>
      <c r="AQ590" s="35">
        <v>19</v>
      </c>
      <c r="AR590" s="35">
        <v>20.8</v>
      </c>
      <c r="AS590" s="35">
        <v>19</v>
      </c>
      <c r="AT590" s="35">
        <v>20.6</v>
      </c>
      <c r="AU590" s="35">
        <v>19</v>
      </c>
      <c r="AV590" s="35">
        <v>19.100000000000001</v>
      </c>
      <c r="AW590" s="35">
        <v>19</v>
      </c>
      <c r="AX590" s="35">
        <v>20.8</v>
      </c>
      <c r="AY590" s="35">
        <v>20</v>
      </c>
      <c r="AZ590" s="35">
        <v>21.3</v>
      </c>
      <c r="BA590" s="35">
        <v>20</v>
      </c>
      <c r="BB590" s="35">
        <v>30.3</v>
      </c>
      <c r="BC590" s="35">
        <v>40</v>
      </c>
      <c r="BD590" s="35">
        <v>29.5</v>
      </c>
      <c r="BE590" s="35">
        <v>40</v>
      </c>
      <c r="BF590" s="35">
        <v>21.5</v>
      </c>
      <c r="BG590" s="35">
        <v>20</v>
      </c>
    </row>
    <row r="591" spans="1:59" x14ac:dyDescent="0.35">
      <c r="A591" s="36">
        <v>46059.868750000001</v>
      </c>
      <c r="B591" s="35">
        <v>1.7</v>
      </c>
      <c r="C591" s="35">
        <v>2</v>
      </c>
      <c r="D591" s="35">
        <v>2</v>
      </c>
      <c r="E591" s="35">
        <v>2.2000000000000002</v>
      </c>
      <c r="F591" s="35">
        <v>3.8</v>
      </c>
      <c r="G591" s="35">
        <v>2</v>
      </c>
      <c r="H591" s="35">
        <v>3.3</v>
      </c>
      <c r="I591" s="35">
        <v>2</v>
      </c>
      <c r="J591" s="35">
        <v>2.6</v>
      </c>
      <c r="K591" s="35">
        <v>2</v>
      </c>
      <c r="L591" s="35">
        <v>2.2000000000000002</v>
      </c>
      <c r="M591" s="35">
        <v>2</v>
      </c>
      <c r="N591" s="35">
        <v>3.3</v>
      </c>
      <c r="O591" s="35">
        <v>3</v>
      </c>
      <c r="P591" s="35">
        <v>4.0999999999999996</v>
      </c>
      <c r="Q591" s="35">
        <v>2</v>
      </c>
      <c r="R591" s="35">
        <v>3</v>
      </c>
      <c r="S591" s="35">
        <v>2</v>
      </c>
      <c r="T591" s="35">
        <v>2.2999999999999998</v>
      </c>
      <c r="U591" s="35">
        <v>2</v>
      </c>
      <c r="V591" s="35">
        <v>8.6999999999999993</v>
      </c>
      <c r="W591" s="35">
        <v>9</v>
      </c>
      <c r="X591" s="35">
        <v>9.3000000000000007</v>
      </c>
      <c r="Y591" s="35">
        <v>9</v>
      </c>
      <c r="Z591" s="35">
        <v>11</v>
      </c>
      <c r="AA591" s="35">
        <v>9</v>
      </c>
      <c r="AB591" s="35">
        <v>11</v>
      </c>
      <c r="AC591" s="35">
        <v>9</v>
      </c>
      <c r="AD591" s="35">
        <v>19.600000000000001</v>
      </c>
      <c r="AE591" s="35">
        <v>19</v>
      </c>
      <c r="AF591" s="35">
        <v>20.9</v>
      </c>
      <c r="AG591" s="35">
        <v>19</v>
      </c>
      <c r="AH591" s="35">
        <v>20.100000000000001</v>
      </c>
      <c r="AI591" s="35">
        <v>19</v>
      </c>
      <c r="AJ591" s="35">
        <v>20.2</v>
      </c>
      <c r="AK591" s="35">
        <v>19</v>
      </c>
      <c r="AL591" s="35">
        <v>19.600000000000001</v>
      </c>
      <c r="AM591" s="35">
        <v>19</v>
      </c>
      <c r="AN591" s="35">
        <v>19.100000000000001</v>
      </c>
      <c r="AO591" s="35">
        <v>19</v>
      </c>
      <c r="AP591" s="35">
        <v>18.5</v>
      </c>
      <c r="AQ591" s="35">
        <v>19</v>
      </c>
      <c r="AR591" s="35">
        <v>20.8</v>
      </c>
      <c r="AS591" s="35">
        <v>19</v>
      </c>
      <c r="AT591" s="35">
        <v>20.7</v>
      </c>
      <c r="AU591" s="35">
        <v>19</v>
      </c>
      <c r="AV591" s="35">
        <v>19.2</v>
      </c>
      <c r="AW591" s="35">
        <v>19</v>
      </c>
      <c r="AX591" s="35">
        <v>20.8</v>
      </c>
      <c r="AY591" s="35">
        <v>20</v>
      </c>
      <c r="AZ591" s="35">
        <v>21.4</v>
      </c>
      <c r="BA591" s="35">
        <v>20</v>
      </c>
      <c r="BB591" s="35">
        <v>30.3</v>
      </c>
      <c r="BC591" s="35">
        <v>40</v>
      </c>
      <c r="BD591" s="35">
        <v>29.5</v>
      </c>
      <c r="BE591" s="35">
        <v>40</v>
      </c>
      <c r="BF591" s="35">
        <v>21.6</v>
      </c>
      <c r="BG591" s="35">
        <v>20</v>
      </c>
    </row>
    <row r="592" spans="1:59" x14ac:dyDescent="0.35">
      <c r="A592" s="36">
        <v>46059.869444444441</v>
      </c>
      <c r="B592" s="35">
        <v>2.1</v>
      </c>
      <c r="C592" s="35">
        <v>2</v>
      </c>
      <c r="D592" s="35">
        <v>2.4</v>
      </c>
      <c r="E592" s="35">
        <v>2.2000000000000002</v>
      </c>
      <c r="F592" s="35">
        <v>3.9</v>
      </c>
      <c r="G592" s="35">
        <v>2</v>
      </c>
      <c r="H592" s="35">
        <v>3.4</v>
      </c>
      <c r="I592" s="35">
        <v>2</v>
      </c>
      <c r="J592" s="35">
        <v>2.9</v>
      </c>
      <c r="K592" s="35">
        <v>2</v>
      </c>
      <c r="L592" s="35">
        <v>2.6</v>
      </c>
      <c r="M592" s="35">
        <v>2</v>
      </c>
      <c r="N592" s="35">
        <v>6.9</v>
      </c>
      <c r="O592" s="35">
        <v>3</v>
      </c>
      <c r="P592" s="35">
        <v>3.8</v>
      </c>
      <c r="Q592" s="35">
        <v>2</v>
      </c>
      <c r="R592" s="35">
        <v>2</v>
      </c>
      <c r="S592" s="35">
        <v>2</v>
      </c>
      <c r="T592" s="35">
        <v>1.2</v>
      </c>
      <c r="U592" s="35">
        <v>2</v>
      </c>
      <c r="V592" s="35">
        <v>8.1</v>
      </c>
      <c r="W592" s="35">
        <v>9</v>
      </c>
      <c r="X592" s="35">
        <v>9.5</v>
      </c>
      <c r="Y592" s="35">
        <v>9</v>
      </c>
      <c r="Z592" s="35">
        <v>10.5</v>
      </c>
      <c r="AA592" s="35">
        <v>9</v>
      </c>
      <c r="AB592" s="35">
        <v>10.1</v>
      </c>
      <c r="AC592" s="35">
        <v>9</v>
      </c>
      <c r="AD592" s="35">
        <v>19.7</v>
      </c>
      <c r="AE592" s="35">
        <v>19</v>
      </c>
      <c r="AF592" s="35">
        <v>21</v>
      </c>
      <c r="AG592" s="35">
        <v>19</v>
      </c>
      <c r="AH592" s="35">
        <v>20.2</v>
      </c>
      <c r="AI592" s="35">
        <v>19</v>
      </c>
      <c r="AJ592" s="35">
        <v>20.2</v>
      </c>
      <c r="AK592" s="35">
        <v>19</v>
      </c>
      <c r="AL592" s="35">
        <v>19.399999999999999</v>
      </c>
      <c r="AM592" s="35">
        <v>19</v>
      </c>
      <c r="AN592" s="35">
        <v>19.3</v>
      </c>
      <c r="AO592" s="35">
        <v>19</v>
      </c>
      <c r="AP592" s="35">
        <v>18.600000000000001</v>
      </c>
      <c r="AQ592" s="35">
        <v>19</v>
      </c>
      <c r="AR592" s="35">
        <v>20.8</v>
      </c>
      <c r="AS592" s="35">
        <v>19</v>
      </c>
      <c r="AT592" s="35">
        <v>20.8</v>
      </c>
      <c r="AU592" s="35">
        <v>19</v>
      </c>
      <c r="AV592" s="35">
        <v>19.399999999999999</v>
      </c>
      <c r="AW592" s="35">
        <v>19</v>
      </c>
      <c r="AX592" s="35">
        <v>20.8</v>
      </c>
      <c r="AY592" s="35">
        <v>20</v>
      </c>
      <c r="AZ592" s="35">
        <v>21.4</v>
      </c>
      <c r="BA592" s="35">
        <v>20</v>
      </c>
      <c r="BB592" s="35">
        <v>30.3</v>
      </c>
      <c r="BC592" s="35">
        <v>40</v>
      </c>
      <c r="BD592" s="35">
        <v>29.5</v>
      </c>
      <c r="BE592" s="35">
        <v>40</v>
      </c>
      <c r="BF592" s="35">
        <v>21.6</v>
      </c>
      <c r="BG592" s="35">
        <v>20</v>
      </c>
    </row>
    <row r="593" spans="1:59" x14ac:dyDescent="0.35">
      <c r="A593" s="36">
        <v>46059.870138888888</v>
      </c>
      <c r="B593" s="35">
        <v>2.5</v>
      </c>
      <c r="C593" s="35">
        <v>2</v>
      </c>
      <c r="D593" s="35">
        <v>2.9</v>
      </c>
      <c r="E593" s="35">
        <v>2.2000000000000002</v>
      </c>
      <c r="F593" s="35">
        <v>2.9</v>
      </c>
      <c r="G593" s="35">
        <v>2</v>
      </c>
      <c r="H593" s="35">
        <v>2.1</v>
      </c>
      <c r="I593" s="35">
        <v>2</v>
      </c>
      <c r="J593" s="35">
        <v>3.1</v>
      </c>
      <c r="K593" s="35">
        <v>2</v>
      </c>
      <c r="L593" s="35">
        <v>3</v>
      </c>
      <c r="M593" s="35">
        <v>2</v>
      </c>
      <c r="N593" s="35">
        <v>3.3</v>
      </c>
      <c r="O593" s="35">
        <v>3</v>
      </c>
      <c r="P593" s="35">
        <v>2.8</v>
      </c>
      <c r="Q593" s="35">
        <v>2</v>
      </c>
      <c r="R593" s="35">
        <v>1.6</v>
      </c>
      <c r="S593" s="35">
        <v>2</v>
      </c>
      <c r="T593" s="35">
        <v>1.1000000000000001</v>
      </c>
      <c r="U593" s="35">
        <v>2</v>
      </c>
      <c r="V593" s="35">
        <v>8.5</v>
      </c>
      <c r="W593" s="35">
        <v>9</v>
      </c>
      <c r="X593" s="35">
        <v>9.6</v>
      </c>
      <c r="Y593" s="35">
        <v>9</v>
      </c>
      <c r="Z593" s="35">
        <v>9.6999999999999993</v>
      </c>
      <c r="AA593" s="35">
        <v>9</v>
      </c>
      <c r="AB593" s="35">
        <v>8.6999999999999993</v>
      </c>
      <c r="AC593" s="35">
        <v>9</v>
      </c>
      <c r="AD593" s="35">
        <v>19.8</v>
      </c>
      <c r="AE593" s="35">
        <v>19</v>
      </c>
      <c r="AF593" s="35">
        <v>20.8</v>
      </c>
      <c r="AG593" s="35">
        <v>19</v>
      </c>
      <c r="AH593" s="35">
        <v>20.3</v>
      </c>
      <c r="AI593" s="35">
        <v>19</v>
      </c>
      <c r="AJ593" s="35">
        <v>20.3</v>
      </c>
      <c r="AK593" s="35">
        <v>19</v>
      </c>
      <c r="AL593" s="35">
        <v>19.3</v>
      </c>
      <c r="AM593" s="35">
        <v>19</v>
      </c>
      <c r="AN593" s="35">
        <v>19.399999999999999</v>
      </c>
      <c r="AO593" s="35">
        <v>19</v>
      </c>
      <c r="AP593" s="35">
        <v>18.8</v>
      </c>
      <c r="AQ593" s="35">
        <v>19</v>
      </c>
      <c r="AR593" s="35">
        <v>20.8</v>
      </c>
      <c r="AS593" s="35">
        <v>19</v>
      </c>
      <c r="AT593" s="35">
        <v>20.9</v>
      </c>
      <c r="AU593" s="35">
        <v>19</v>
      </c>
      <c r="AV593" s="35">
        <v>19.5</v>
      </c>
      <c r="AW593" s="35">
        <v>19</v>
      </c>
      <c r="AX593" s="35">
        <v>20.8</v>
      </c>
      <c r="AY593" s="35">
        <v>20</v>
      </c>
      <c r="AZ593" s="35">
        <v>21.4</v>
      </c>
      <c r="BA593" s="35">
        <v>20</v>
      </c>
      <c r="BB593" s="35">
        <v>30.3</v>
      </c>
      <c r="BC593" s="35">
        <v>40</v>
      </c>
      <c r="BD593" s="35">
        <v>29.5</v>
      </c>
      <c r="BE593" s="35">
        <v>40</v>
      </c>
      <c r="BF593" s="35">
        <v>21.6</v>
      </c>
      <c r="BG593" s="35">
        <v>20</v>
      </c>
    </row>
    <row r="594" spans="1:59" x14ac:dyDescent="0.35">
      <c r="A594" s="36">
        <v>46059.870833333334</v>
      </c>
      <c r="B594" s="35">
        <v>2.9</v>
      </c>
      <c r="C594" s="35">
        <v>2</v>
      </c>
      <c r="D594" s="35">
        <v>3.3</v>
      </c>
      <c r="E594" s="35">
        <v>2.2000000000000002</v>
      </c>
      <c r="F594" s="35">
        <v>1.5</v>
      </c>
      <c r="G594" s="35">
        <v>2</v>
      </c>
      <c r="H594" s="35">
        <v>1.5</v>
      </c>
      <c r="I594" s="35">
        <v>2</v>
      </c>
      <c r="J594" s="35">
        <v>3.4</v>
      </c>
      <c r="K594" s="35">
        <v>2</v>
      </c>
      <c r="L594" s="35">
        <v>3.3</v>
      </c>
      <c r="M594" s="35">
        <v>2</v>
      </c>
      <c r="N594" s="35">
        <v>1.5</v>
      </c>
      <c r="O594" s="35">
        <v>3</v>
      </c>
      <c r="P594" s="35">
        <v>2</v>
      </c>
      <c r="Q594" s="35">
        <v>2</v>
      </c>
      <c r="R594" s="35">
        <v>1.6</v>
      </c>
      <c r="S594" s="35">
        <v>2</v>
      </c>
      <c r="T594" s="35">
        <v>1.2</v>
      </c>
      <c r="U594" s="35">
        <v>2</v>
      </c>
      <c r="V594" s="35">
        <v>9.1999999999999993</v>
      </c>
      <c r="W594" s="35">
        <v>9</v>
      </c>
      <c r="X594" s="35">
        <v>9.6999999999999993</v>
      </c>
      <c r="Y594" s="35">
        <v>9</v>
      </c>
      <c r="Z594" s="35">
        <v>8.9</v>
      </c>
      <c r="AA594" s="35">
        <v>9</v>
      </c>
      <c r="AB594" s="35">
        <v>8.1999999999999993</v>
      </c>
      <c r="AC594" s="35">
        <v>9</v>
      </c>
      <c r="AD594" s="35">
        <v>19.8</v>
      </c>
      <c r="AE594" s="35">
        <v>19</v>
      </c>
      <c r="AF594" s="35">
        <v>19.7</v>
      </c>
      <c r="AG594" s="35">
        <v>19</v>
      </c>
      <c r="AH594" s="35">
        <v>20.3</v>
      </c>
      <c r="AI594" s="35">
        <v>19</v>
      </c>
      <c r="AJ594" s="35">
        <v>20.399999999999999</v>
      </c>
      <c r="AK594" s="35">
        <v>19</v>
      </c>
      <c r="AL594" s="35">
        <v>19.2</v>
      </c>
      <c r="AM594" s="35">
        <v>19</v>
      </c>
      <c r="AN594" s="35">
        <v>19.5</v>
      </c>
      <c r="AO594" s="35">
        <v>19</v>
      </c>
      <c r="AP594" s="35">
        <v>18.899999999999999</v>
      </c>
      <c r="AQ594" s="35">
        <v>19</v>
      </c>
      <c r="AR594" s="35">
        <v>20.8</v>
      </c>
      <c r="AS594" s="35">
        <v>19</v>
      </c>
      <c r="AT594" s="35">
        <v>20.9</v>
      </c>
      <c r="AU594" s="35">
        <v>19</v>
      </c>
      <c r="AV594" s="35">
        <v>19.600000000000001</v>
      </c>
      <c r="AW594" s="35">
        <v>19</v>
      </c>
      <c r="AX594" s="35">
        <v>20.8</v>
      </c>
      <c r="AY594" s="35">
        <v>20</v>
      </c>
      <c r="AZ594" s="35">
        <v>21.4</v>
      </c>
      <c r="BA594" s="35">
        <v>20</v>
      </c>
      <c r="BB594" s="35">
        <v>30.3</v>
      </c>
      <c r="BC594" s="35">
        <v>40</v>
      </c>
      <c r="BD594" s="35">
        <v>29.5</v>
      </c>
      <c r="BE594" s="35">
        <v>40</v>
      </c>
      <c r="BF594" s="35">
        <v>21.6</v>
      </c>
      <c r="BG594" s="35">
        <v>20</v>
      </c>
    </row>
    <row r="595" spans="1:59" x14ac:dyDescent="0.35">
      <c r="A595" s="36">
        <v>46059.871527777781</v>
      </c>
      <c r="B595" s="35">
        <v>3.2</v>
      </c>
      <c r="C595" s="35">
        <v>2</v>
      </c>
      <c r="D595" s="35">
        <v>3.6</v>
      </c>
      <c r="E595" s="35">
        <v>2.2000000000000002</v>
      </c>
      <c r="F595" s="35">
        <v>1.5</v>
      </c>
      <c r="G595" s="35">
        <v>2</v>
      </c>
      <c r="H595" s="35">
        <v>1.7</v>
      </c>
      <c r="I595" s="35">
        <v>2</v>
      </c>
      <c r="J595" s="35">
        <v>3.6</v>
      </c>
      <c r="K595" s="35">
        <v>2</v>
      </c>
      <c r="L595" s="35">
        <v>3.6</v>
      </c>
      <c r="M595" s="35">
        <v>2</v>
      </c>
      <c r="N595" s="35">
        <v>1.5</v>
      </c>
      <c r="O595" s="35">
        <v>3</v>
      </c>
      <c r="P595" s="35">
        <v>1.9</v>
      </c>
      <c r="Q595" s="35">
        <v>2</v>
      </c>
      <c r="R595" s="35">
        <v>1.8</v>
      </c>
      <c r="S595" s="35">
        <v>2</v>
      </c>
      <c r="T595" s="35">
        <v>1.5</v>
      </c>
      <c r="U595" s="35">
        <v>2</v>
      </c>
      <c r="V595" s="35">
        <v>10</v>
      </c>
      <c r="W595" s="35">
        <v>9</v>
      </c>
      <c r="X595" s="35">
        <v>9.9</v>
      </c>
      <c r="Y595" s="35">
        <v>9</v>
      </c>
      <c r="Z595" s="35">
        <v>8.6</v>
      </c>
      <c r="AA595" s="35">
        <v>9</v>
      </c>
      <c r="AB595" s="35">
        <v>8.4</v>
      </c>
      <c r="AC595" s="35">
        <v>9</v>
      </c>
      <c r="AD595" s="35">
        <v>19.899999999999999</v>
      </c>
      <c r="AE595" s="35">
        <v>19</v>
      </c>
      <c r="AF595" s="35">
        <v>19.2</v>
      </c>
      <c r="AG595" s="35">
        <v>19</v>
      </c>
      <c r="AH595" s="35">
        <v>20.399999999999999</v>
      </c>
      <c r="AI595" s="35">
        <v>19</v>
      </c>
      <c r="AJ595" s="35">
        <v>20.5</v>
      </c>
      <c r="AK595" s="35">
        <v>19</v>
      </c>
      <c r="AL595" s="35">
        <v>19.2</v>
      </c>
      <c r="AM595" s="35">
        <v>19</v>
      </c>
      <c r="AN595" s="35">
        <v>19.7</v>
      </c>
      <c r="AO595" s="35">
        <v>19</v>
      </c>
      <c r="AP595" s="35">
        <v>19</v>
      </c>
      <c r="AQ595" s="35">
        <v>19</v>
      </c>
      <c r="AR595" s="35">
        <v>20.8</v>
      </c>
      <c r="AS595" s="35">
        <v>19</v>
      </c>
      <c r="AT595" s="35">
        <v>21</v>
      </c>
      <c r="AU595" s="35">
        <v>19</v>
      </c>
      <c r="AV595" s="35">
        <v>19.7</v>
      </c>
      <c r="AW595" s="35">
        <v>19</v>
      </c>
      <c r="AX595" s="35">
        <v>20.8</v>
      </c>
      <c r="AY595" s="35">
        <v>20</v>
      </c>
      <c r="AZ595" s="35">
        <v>21.4</v>
      </c>
      <c r="BA595" s="35">
        <v>20</v>
      </c>
      <c r="BB595" s="35">
        <v>30.3</v>
      </c>
      <c r="BC595" s="35">
        <v>40</v>
      </c>
      <c r="BD595" s="35">
        <v>29.5</v>
      </c>
      <c r="BE595" s="35">
        <v>40</v>
      </c>
      <c r="BF595" s="35">
        <v>21.6</v>
      </c>
      <c r="BG595" s="35">
        <v>20</v>
      </c>
    </row>
    <row r="596" spans="1:59" x14ac:dyDescent="0.35">
      <c r="A596" s="36">
        <v>46059.872916666667</v>
      </c>
      <c r="B596" s="35">
        <v>3.8</v>
      </c>
      <c r="C596" s="35">
        <v>2</v>
      </c>
      <c r="D596" s="35">
        <v>4.2</v>
      </c>
      <c r="E596" s="35">
        <v>2.2000000000000002</v>
      </c>
      <c r="F596" s="35">
        <v>2.2999999999999998</v>
      </c>
      <c r="G596" s="35">
        <v>2</v>
      </c>
      <c r="H596" s="35">
        <v>2.5</v>
      </c>
      <c r="I596" s="35">
        <v>2</v>
      </c>
      <c r="J596" s="35">
        <v>3.9</v>
      </c>
      <c r="K596" s="35">
        <v>2</v>
      </c>
      <c r="L596" s="35">
        <v>3.9</v>
      </c>
      <c r="M596" s="35">
        <v>2</v>
      </c>
      <c r="N596" s="35">
        <v>3.2</v>
      </c>
      <c r="O596" s="35">
        <v>3</v>
      </c>
      <c r="P596" s="35">
        <v>2.2999999999999998</v>
      </c>
      <c r="Q596" s="35">
        <v>2</v>
      </c>
      <c r="R596" s="35">
        <v>2.4</v>
      </c>
      <c r="S596" s="35">
        <v>2</v>
      </c>
      <c r="T596" s="35">
        <v>2.1</v>
      </c>
      <c r="U596" s="35">
        <v>2</v>
      </c>
      <c r="V596" s="35">
        <v>10.9</v>
      </c>
      <c r="W596" s="35">
        <v>9</v>
      </c>
      <c r="X596" s="35">
        <v>10.1</v>
      </c>
      <c r="Y596" s="35">
        <v>9</v>
      </c>
      <c r="Z596" s="35">
        <v>9.1999999999999993</v>
      </c>
      <c r="AA596" s="35">
        <v>9</v>
      </c>
      <c r="AB596" s="35">
        <v>9.4</v>
      </c>
      <c r="AC596" s="35">
        <v>9</v>
      </c>
      <c r="AD596" s="35">
        <v>20</v>
      </c>
      <c r="AE596" s="35">
        <v>19</v>
      </c>
      <c r="AF596" s="35">
        <v>18.7</v>
      </c>
      <c r="AG596" s="35">
        <v>19</v>
      </c>
      <c r="AH596" s="35">
        <v>20.5</v>
      </c>
      <c r="AI596" s="35">
        <v>19</v>
      </c>
      <c r="AJ596" s="35">
        <v>20.6</v>
      </c>
      <c r="AK596" s="35">
        <v>19</v>
      </c>
      <c r="AL596" s="35">
        <v>19.2</v>
      </c>
      <c r="AM596" s="35">
        <v>19</v>
      </c>
      <c r="AN596" s="35">
        <v>19.899999999999999</v>
      </c>
      <c r="AO596" s="35">
        <v>19</v>
      </c>
      <c r="AP596" s="35">
        <v>19.2</v>
      </c>
      <c r="AQ596" s="35">
        <v>19</v>
      </c>
      <c r="AR596" s="35">
        <v>20.8</v>
      </c>
      <c r="AS596" s="35">
        <v>19</v>
      </c>
      <c r="AT596" s="35">
        <v>18.5</v>
      </c>
      <c r="AU596" s="35">
        <v>19</v>
      </c>
      <c r="AV596" s="35">
        <v>19.899999999999999</v>
      </c>
      <c r="AW596" s="35">
        <v>19</v>
      </c>
      <c r="AX596" s="35">
        <v>20.8</v>
      </c>
      <c r="AY596" s="35">
        <v>20</v>
      </c>
      <c r="AZ596" s="35">
        <v>21.4</v>
      </c>
      <c r="BA596" s="35">
        <v>20</v>
      </c>
      <c r="BB596" s="35">
        <v>30.3</v>
      </c>
      <c r="BC596" s="35">
        <v>40</v>
      </c>
      <c r="BD596" s="35">
        <v>29.4</v>
      </c>
      <c r="BE596" s="35">
        <v>40</v>
      </c>
      <c r="BF596" s="35">
        <v>21.6</v>
      </c>
      <c r="BG596" s="35">
        <v>20</v>
      </c>
    </row>
    <row r="597" spans="1:59" x14ac:dyDescent="0.35">
      <c r="A597" s="36">
        <v>46059.873611111114</v>
      </c>
      <c r="B597" s="35">
        <v>3.8</v>
      </c>
      <c r="C597" s="35">
        <v>2</v>
      </c>
      <c r="D597" s="35">
        <v>4</v>
      </c>
      <c r="E597" s="35">
        <v>2.2000000000000002</v>
      </c>
      <c r="F597" s="35">
        <v>2.8</v>
      </c>
      <c r="G597" s="35">
        <v>2</v>
      </c>
      <c r="H597" s="35">
        <v>2.9</v>
      </c>
      <c r="I597" s="35">
        <v>2</v>
      </c>
      <c r="J597" s="35">
        <v>3.4</v>
      </c>
      <c r="K597" s="35">
        <v>2</v>
      </c>
      <c r="L597" s="35">
        <v>3</v>
      </c>
      <c r="M597" s="35">
        <v>2</v>
      </c>
      <c r="N597" s="35">
        <v>4.0999999999999996</v>
      </c>
      <c r="O597" s="35">
        <v>3</v>
      </c>
      <c r="P597" s="35">
        <v>2.6</v>
      </c>
      <c r="Q597" s="35">
        <v>2</v>
      </c>
      <c r="R597" s="35">
        <v>2.6</v>
      </c>
      <c r="S597" s="35">
        <v>2</v>
      </c>
      <c r="T597" s="35">
        <v>2.2999999999999998</v>
      </c>
      <c r="U597" s="35">
        <v>2</v>
      </c>
      <c r="V597" s="35">
        <v>10.4</v>
      </c>
      <c r="W597" s="35">
        <v>9</v>
      </c>
      <c r="X597" s="35">
        <v>10.199999999999999</v>
      </c>
      <c r="Y597" s="35">
        <v>9</v>
      </c>
      <c r="Z597" s="35">
        <v>9.5</v>
      </c>
      <c r="AA597" s="35">
        <v>9</v>
      </c>
      <c r="AB597" s="35">
        <v>9.8000000000000007</v>
      </c>
      <c r="AC597" s="35">
        <v>9</v>
      </c>
      <c r="AD597" s="35">
        <v>20</v>
      </c>
      <c r="AE597" s="35">
        <v>19</v>
      </c>
      <c r="AF597" s="35">
        <v>18.7</v>
      </c>
      <c r="AG597" s="35">
        <v>19</v>
      </c>
      <c r="AH597" s="35">
        <v>20.5</v>
      </c>
      <c r="AI597" s="35">
        <v>19</v>
      </c>
      <c r="AJ597" s="35">
        <v>20.7</v>
      </c>
      <c r="AK597" s="35">
        <v>19</v>
      </c>
      <c r="AL597" s="35">
        <v>19.2</v>
      </c>
      <c r="AM597" s="35">
        <v>19</v>
      </c>
      <c r="AN597" s="35">
        <v>19.899999999999999</v>
      </c>
      <c r="AO597" s="35">
        <v>19</v>
      </c>
      <c r="AP597" s="35">
        <v>19.3</v>
      </c>
      <c r="AQ597" s="35">
        <v>19</v>
      </c>
      <c r="AR597" s="35">
        <v>20.8</v>
      </c>
      <c r="AS597" s="35">
        <v>19</v>
      </c>
      <c r="AT597" s="35">
        <v>18.100000000000001</v>
      </c>
      <c r="AU597" s="35">
        <v>19</v>
      </c>
      <c r="AV597" s="35">
        <v>20</v>
      </c>
      <c r="AW597" s="35">
        <v>19</v>
      </c>
      <c r="AX597" s="35">
        <v>20.8</v>
      </c>
      <c r="AY597" s="35">
        <v>20</v>
      </c>
      <c r="AZ597" s="35">
        <v>21.4</v>
      </c>
      <c r="BA597" s="35">
        <v>20</v>
      </c>
      <c r="BB597" s="35">
        <v>30.2</v>
      </c>
      <c r="BC597" s="35">
        <v>40</v>
      </c>
      <c r="BD597" s="35">
        <v>29.4</v>
      </c>
      <c r="BE597" s="35">
        <v>40</v>
      </c>
      <c r="BF597" s="35">
        <v>21.7</v>
      </c>
      <c r="BG597" s="35">
        <v>20</v>
      </c>
    </row>
    <row r="598" spans="1:59" x14ac:dyDescent="0.35">
      <c r="A598" s="36">
        <v>46059.874305555553</v>
      </c>
      <c r="B598" s="35">
        <v>3.8</v>
      </c>
      <c r="C598" s="35">
        <v>2</v>
      </c>
      <c r="D598" s="35">
        <v>4.0999999999999996</v>
      </c>
      <c r="E598" s="35">
        <v>2.2000000000000002</v>
      </c>
      <c r="F598" s="35">
        <v>3.1</v>
      </c>
      <c r="G598" s="35">
        <v>2</v>
      </c>
      <c r="H598" s="35">
        <v>3.2</v>
      </c>
      <c r="I598" s="35">
        <v>2</v>
      </c>
      <c r="J598" s="35">
        <v>2.9</v>
      </c>
      <c r="K598" s="35">
        <v>2</v>
      </c>
      <c r="L598" s="35">
        <v>2.2000000000000002</v>
      </c>
      <c r="M598" s="35">
        <v>2</v>
      </c>
      <c r="N598" s="35">
        <v>4.9000000000000004</v>
      </c>
      <c r="O598" s="35">
        <v>3</v>
      </c>
      <c r="P598" s="35">
        <v>2.9</v>
      </c>
      <c r="Q598" s="35">
        <v>2</v>
      </c>
      <c r="R598" s="35">
        <v>2.8</v>
      </c>
      <c r="S598" s="35">
        <v>2</v>
      </c>
      <c r="T598" s="35">
        <v>2.5</v>
      </c>
      <c r="U598" s="35">
        <v>2</v>
      </c>
      <c r="V598" s="35">
        <v>8.3000000000000007</v>
      </c>
      <c r="W598" s="35">
        <v>9</v>
      </c>
      <c r="X598" s="35">
        <v>10.3</v>
      </c>
      <c r="Y598" s="35">
        <v>9</v>
      </c>
      <c r="Z598" s="35">
        <v>9.6999999999999993</v>
      </c>
      <c r="AA598" s="35">
        <v>9</v>
      </c>
      <c r="AB598" s="35">
        <v>10.1</v>
      </c>
      <c r="AC598" s="35">
        <v>9</v>
      </c>
      <c r="AD598" s="35">
        <v>20.100000000000001</v>
      </c>
      <c r="AE598" s="35">
        <v>19</v>
      </c>
      <c r="AF598" s="35">
        <v>18.7</v>
      </c>
      <c r="AG598" s="35">
        <v>19</v>
      </c>
      <c r="AH598" s="35">
        <v>20.6</v>
      </c>
      <c r="AI598" s="35">
        <v>19</v>
      </c>
      <c r="AJ598" s="35">
        <v>20.8</v>
      </c>
      <c r="AK598" s="35">
        <v>19</v>
      </c>
      <c r="AL598" s="35">
        <v>19.100000000000001</v>
      </c>
      <c r="AM598" s="35">
        <v>19</v>
      </c>
      <c r="AN598" s="35">
        <v>20</v>
      </c>
      <c r="AO598" s="35">
        <v>19</v>
      </c>
      <c r="AP598" s="35">
        <v>19.399999999999999</v>
      </c>
      <c r="AQ598" s="35">
        <v>19</v>
      </c>
      <c r="AR598" s="35">
        <v>20.8</v>
      </c>
      <c r="AS598" s="35">
        <v>19</v>
      </c>
      <c r="AT598" s="35">
        <v>18.100000000000001</v>
      </c>
      <c r="AU598" s="35">
        <v>19</v>
      </c>
      <c r="AV598" s="35">
        <v>20</v>
      </c>
      <c r="AW598" s="35">
        <v>19</v>
      </c>
      <c r="AX598" s="35">
        <v>20.8</v>
      </c>
      <c r="AY598" s="35">
        <v>20</v>
      </c>
      <c r="AZ598" s="35">
        <v>21.4</v>
      </c>
      <c r="BA598" s="35">
        <v>20</v>
      </c>
      <c r="BB598" s="35">
        <v>30.2</v>
      </c>
      <c r="BC598" s="35">
        <v>40</v>
      </c>
      <c r="BD598" s="35">
        <v>29.4</v>
      </c>
      <c r="BE598" s="35">
        <v>40</v>
      </c>
      <c r="BF598" s="35">
        <v>21.7</v>
      </c>
      <c r="BG598" s="35">
        <v>20</v>
      </c>
    </row>
    <row r="599" spans="1:59" x14ac:dyDescent="0.35">
      <c r="A599" s="36">
        <v>46059.875</v>
      </c>
      <c r="B599" s="35">
        <v>4</v>
      </c>
      <c r="C599" s="35">
        <v>2</v>
      </c>
      <c r="D599" s="35">
        <v>4.3</v>
      </c>
      <c r="E599" s="35">
        <v>2.2000000000000002</v>
      </c>
      <c r="F599" s="35">
        <v>3.4</v>
      </c>
      <c r="G599" s="35">
        <v>2</v>
      </c>
      <c r="H599" s="35">
        <v>3.5</v>
      </c>
      <c r="I599" s="35">
        <v>2</v>
      </c>
      <c r="J599" s="35">
        <v>2.9</v>
      </c>
      <c r="K599" s="35">
        <v>2</v>
      </c>
      <c r="L599" s="35">
        <v>1.8</v>
      </c>
      <c r="M599" s="35">
        <v>2</v>
      </c>
      <c r="N599" s="35">
        <v>4.3</v>
      </c>
      <c r="O599" s="35">
        <v>3</v>
      </c>
      <c r="P599" s="35">
        <v>3</v>
      </c>
      <c r="Q599" s="35">
        <v>2</v>
      </c>
      <c r="R599" s="35">
        <v>3</v>
      </c>
      <c r="S599" s="35">
        <v>2</v>
      </c>
      <c r="T599" s="35">
        <v>2.7</v>
      </c>
      <c r="U599" s="35">
        <v>2</v>
      </c>
      <c r="V599" s="35">
        <v>7.4</v>
      </c>
      <c r="W599" s="35">
        <v>9</v>
      </c>
      <c r="X599" s="35">
        <v>10.3</v>
      </c>
      <c r="Y599" s="35">
        <v>9</v>
      </c>
      <c r="Z599" s="35">
        <v>9.9</v>
      </c>
      <c r="AA599" s="35">
        <v>9</v>
      </c>
      <c r="AB599" s="35">
        <v>10.3</v>
      </c>
      <c r="AC599" s="35">
        <v>9</v>
      </c>
      <c r="AD599" s="35">
        <v>20.100000000000001</v>
      </c>
      <c r="AE599" s="35">
        <v>19</v>
      </c>
      <c r="AF599" s="35">
        <v>18.7</v>
      </c>
      <c r="AG599" s="35">
        <v>19</v>
      </c>
      <c r="AH599" s="35">
        <v>20.6</v>
      </c>
      <c r="AI599" s="35">
        <v>19</v>
      </c>
      <c r="AJ599" s="35">
        <v>20.8</v>
      </c>
      <c r="AK599" s="35">
        <v>19</v>
      </c>
      <c r="AL599" s="35">
        <v>19</v>
      </c>
      <c r="AM599" s="35">
        <v>19</v>
      </c>
      <c r="AN599" s="35">
        <v>20.2</v>
      </c>
      <c r="AO599" s="35">
        <v>19</v>
      </c>
      <c r="AP599" s="35">
        <v>19.5</v>
      </c>
      <c r="AQ599" s="35">
        <v>19</v>
      </c>
      <c r="AR599" s="35">
        <v>20.8</v>
      </c>
      <c r="AS599" s="35">
        <v>19</v>
      </c>
      <c r="AT599" s="35">
        <v>18.2</v>
      </c>
      <c r="AU599" s="35">
        <v>19</v>
      </c>
      <c r="AV599" s="35">
        <v>20.100000000000001</v>
      </c>
      <c r="AW599" s="35">
        <v>19</v>
      </c>
      <c r="AX599" s="35">
        <v>20.8</v>
      </c>
      <c r="AY599" s="35">
        <v>20</v>
      </c>
      <c r="AZ599" s="35">
        <v>21.4</v>
      </c>
      <c r="BA599" s="35">
        <v>20</v>
      </c>
      <c r="BB599" s="35">
        <v>30.2</v>
      </c>
      <c r="BC599" s="35">
        <v>40</v>
      </c>
      <c r="BD599" s="35">
        <v>29.4</v>
      </c>
      <c r="BE599" s="35">
        <v>40</v>
      </c>
      <c r="BF599" s="35">
        <v>21.7</v>
      </c>
      <c r="BG599" s="35">
        <v>20</v>
      </c>
    </row>
    <row r="600" spans="1:59" x14ac:dyDescent="0.35">
      <c r="A600" s="36">
        <v>46059.875694444447</v>
      </c>
      <c r="B600" s="35">
        <v>3.9</v>
      </c>
      <c r="C600" s="35">
        <v>2</v>
      </c>
      <c r="D600" s="35">
        <v>4.0999999999999996</v>
      </c>
      <c r="E600" s="35">
        <v>2.2000000000000002</v>
      </c>
      <c r="F600" s="35">
        <v>3.7</v>
      </c>
      <c r="G600" s="35">
        <v>2</v>
      </c>
      <c r="H600" s="35">
        <v>3.8</v>
      </c>
      <c r="I600" s="35">
        <v>2</v>
      </c>
      <c r="J600" s="35">
        <v>2.9</v>
      </c>
      <c r="K600" s="35">
        <v>2</v>
      </c>
      <c r="L600" s="35">
        <v>2.1</v>
      </c>
      <c r="M600" s="35">
        <v>2</v>
      </c>
      <c r="N600" s="35">
        <v>3.2</v>
      </c>
      <c r="O600" s="35">
        <v>3</v>
      </c>
      <c r="P600" s="35">
        <v>2.5</v>
      </c>
      <c r="Q600" s="35">
        <v>2</v>
      </c>
      <c r="R600" s="35">
        <v>3.2</v>
      </c>
      <c r="S600" s="35">
        <v>2</v>
      </c>
      <c r="T600" s="35">
        <v>2.9</v>
      </c>
      <c r="U600" s="35">
        <v>2</v>
      </c>
      <c r="V600" s="35">
        <v>7.8</v>
      </c>
      <c r="W600" s="35">
        <v>9</v>
      </c>
      <c r="X600" s="35">
        <v>10.4</v>
      </c>
      <c r="Y600" s="35">
        <v>9</v>
      </c>
      <c r="Z600" s="35">
        <v>10.1</v>
      </c>
      <c r="AA600" s="35">
        <v>9</v>
      </c>
      <c r="AB600" s="35">
        <v>10.6</v>
      </c>
      <c r="AC600" s="35">
        <v>9</v>
      </c>
      <c r="AD600" s="35">
        <v>20.100000000000001</v>
      </c>
      <c r="AE600" s="35">
        <v>19</v>
      </c>
      <c r="AF600" s="35">
        <v>18.8</v>
      </c>
      <c r="AG600" s="35">
        <v>19</v>
      </c>
      <c r="AH600" s="35">
        <v>20.7</v>
      </c>
      <c r="AI600" s="35">
        <v>19</v>
      </c>
      <c r="AJ600" s="35">
        <v>20.9</v>
      </c>
      <c r="AK600" s="35">
        <v>19</v>
      </c>
      <c r="AL600" s="35">
        <v>19.2</v>
      </c>
      <c r="AM600" s="35">
        <v>19</v>
      </c>
      <c r="AN600" s="35">
        <v>20.2</v>
      </c>
      <c r="AO600" s="35">
        <v>19</v>
      </c>
      <c r="AP600" s="35">
        <v>19.600000000000001</v>
      </c>
      <c r="AQ600" s="35">
        <v>19</v>
      </c>
      <c r="AR600" s="35">
        <v>20.8</v>
      </c>
      <c r="AS600" s="35">
        <v>19</v>
      </c>
      <c r="AT600" s="35">
        <v>18.399999999999999</v>
      </c>
      <c r="AU600" s="35">
        <v>19</v>
      </c>
      <c r="AV600" s="35">
        <v>20.2</v>
      </c>
      <c r="AW600" s="35">
        <v>19</v>
      </c>
      <c r="AX600" s="35">
        <v>20.8</v>
      </c>
      <c r="AY600" s="35">
        <v>20</v>
      </c>
      <c r="AZ600" s="35">
        <v>21.4</v>
      </c>
      <c r="BA600" s="35">
        <v>20</v>
      </c>
      <c r="BB600" s="35">
        <v>30.2</v>
      </c>
      <c r="BC600" s="35">
        <v>40</v>
      </c>
      <c r="BD600" s="35">
        <v>29.4</v>
      </c>
      <c r="BE600" s="35">
        <v>40</v>
      </c>
      <c r="BF600" s="35">
        <v>21.7</v>
      </c>
      <c r="BG600" s="35">
        <v>20</v>
      </c>
    </row>
    <row r="601" spans="1:59" x14ac:dyDescent="0.35">
      <c r="A601" s="36">
        <v>46059.876388888886</v>
      </c>
      <c r="B601" s="35">
        <v>2.1</v>
      </c>
      <c r="C601" s="35">
        <v>2</v>
      </c>
      <c r="D601" s="35">
        <v>2.2999999999999998</v>
      </c>
      <c r="E601" s="35">
        <v>2.2000000000000002</v>
      </c>
      <c r="F601" s="35">
        <v>3.9</v>
      </c>
      <c r="G601" s="35">
        <v>2</v>
      </c>
      <c r="H601" s="35">
        <v>4</v>
      </c>
      <c r="I601" s="35">
        <v>2</v>
      </c>
      <c r="J601" s="35">
        <v>2.9</v>
      </c>
      <c r="K601" s="35">
        <v>2</v>
      </c>
      <c r="L601" s="35">
        <v>2.4</v>
      </c>
      <c r="M601" s="35">
        <v>2</v>
      </c>
      <c r="N601" s="35">
        <v>2.6</v>
      </c>
      <c r="O601" s="35">
        <v>3</v>
      </c>
      <c r="P601" s="35">
        <v>2</v>
      </c>
      <c r="Q601" s="35">
        <v>2</v>
      </c>
      <c r="R601" s="35">
        <v>3.3</v>
      </c>
      <c r="S601" s="35">
        <v>2</v>
      </c>
      <c r="T601" s="35">
        <v>3.1</v>
      </c>
      <c r="U601" s="35">
        <v>2</v>
      </c>
      <c r="V601" s="35">
        <v>8.6999999999999993</v>
      </c>
      <c r="W601" s="35">
        <v>9</v>
      </c>
      <c r="X601" s="35">
        <v>10.5</v>
      </c>
      <c r="Y601" s="35">
        <v>9</v>
      </c>
      <c r="Z601" s="35">
        <v>10.3</v>
      </c>
      <c r="AA601" s="35">
        <v>9</v>
      </c>
      <c r="AB601" s="35">
        <v>10.8</v>
      </c>
      <c r="AC601" s="35">
        <v>9</v>
      </c>
      <c r="AD601" s="35">
        <v>20.2</v>
      </c>
      <c r="AE601" s="35">
        <v>19</v>
      </c>
      <c r="AF601" s="35">
        <v>18.8</v>
      </c>
      <c r="AG601" s="35">
        <v>19</v>
      </c>
      <c r="AH601" s="35">
        <v>20.7</v>
      </c>
      <c r="AI601" s="35">
        <v>19</v>
      </c>
      <c r="AJ601" s="35">
        <v>20.9</v>
      </c>
      <c r="AK601" s="35">
        <v>19</v>
      </c>
      <c r="AL601" s="35">
        <v>19.399999999999999</v>
      </c>
      <c r="AM601" s="35">
        <v>19</v>
      </c>
      <c r="AN601" s="35">
        <v>20.3</v>
      </c>
      <c r="AO601" s="35">
        <v>19</v>
      </c>
      <c r="AP601" s="35">
        <v>19.7</v>
      </c>
      <c r="AQ601" s="35">
        <v>19</v>
      </c>
      <c r="AR601" s="35">
        <v>20.8</v>
      </c>
      <c r="AS601" s="35">
        <v>19</v>
      </c>
      <c r="AT601" s="35">
        <v>18.600000000000001</v>
      </c>
      <c r="AU601" s="35">
        <v>19</v>
      </c>
      <c r="AV601" s="35">
        <v>20.3</v>
      </c>
      <c r="AW601" s="35">
        <v>19</v>
      </c>
      <c r="AX601" s="35">
        <v>20.8</v>
      </c>
      <c r="AY601" s="35">
        <v>20</v>
      </c>
      <c r="AZ601" s="35">
        <v>21.4</v>
      </c>
      <c r="BA601" s="35">
        <v>20</v>
      </c>
      <c r="BB601" s="35">
        <v>30.2</v>
      </c>
      <c r="BC601" s="35">
        <v>40</v>
      </c>
      <c r="BD601" s="35">
        <v>29.4</v>
      </c>
      <c r="BE601" s="35">
        <v>40</v>
      </c>
      <c r="BF601" s="35">
        <v>21.7</v>
      </c>
      <c r="BG601" s="35">
        <v>20</v>
      </c>
    </row>
    <row r="602" spans="1:59" x14ac:dyDescent="0.35">
      <c r="A602" s="36">
        <v>46059.877083333333</v>
      </c>
      <c r="B602" s="35">
        <v>1.5</v>
      </c>
      <c r="C602" s="35">
        <v>2</v>
      </c>
      <c r="D602" s="35">
        <v>1.9</v>
      </c>
      <c r="E602" s="35">
        <v>2.2000000000000002</v>
      </c>
      <c r="F602" s="35">
        <v>3.5</v>
      </c>
      <c r="G602" s="35">
        <v>2</v>
      </c>
      <c r="H602" s="35">
        <v>3.1</v>
      </c>
      <c r="I602" s="35">
        <v>2</v>
      </c>
      <c r="J602" s="35">
        <v>2.9</v>
      </c>
      <c r="K602" s="35">
        <v>2</v>
      </c>
      <c r="L602" s="35">
        <v>2.9</v>
      </c>
      <c r="M602" s="35">
        <v>2</v>
      </c>
      <c r="N602" s="35">
        <v>2.5</v>
      </c>
      <c r="O602" s="35">
        <v>3</v>
      </c>
      <c r="P602" s="35">
        <v>2</v>
      </c>
      <c r="Q602" s="35">
        <v>2</v>
      </c>
      <c r="R602" s="35">
        <v>3.4</v>
      </c>
      <c r="S602" s="35">
        <v>2</v>
      </c>
      <c r="T602" s="35">
        <v>3.2</v>
      </c>
      <c r="U602" s="35">
        <v>2</v>
      </c>
      <c r="V602" s="35">
        <v>9.4</v>
      </c>
      <c r="W602" s="35">
        <v>9</v>
      </c>
      <c r="X602" s="35">
        <v>10.5</v>
      </c>
      <c r="Y602" s="35">
        <v>9</v>
      </c>
      <c r="Z602" s="35">
        <v>10.4</v>
      </c>
      <c r="AA602" s="35">
        <v>9</v>
      </c>
      <c r="AB602" s="35">
        <v>10.9</v>
      </c>
      <c r="AC602" s="35">
        <v>9</v>
      </c>
      <c r="AD602" s="35">
        <v>20.2</v>
      </c>
      <c r="AE602" s="35">
        <v>19</v>
      </c>
      <c r="AF602" s="35">
        <v>18.899999999999999</v>
      </c>
      <c r="AG602" s="35">
        <v>19</v>
      </c>
      <c r="AH602" s="35">
        <v>20.7</v>
      </c>
      <c r="AI602" s="35">
        <v>19</v>
      </c>
      <c r="AJ602" s="35">
        <v>20.8</v>
      </c>
      <c r="AK602" s="35">
        <v>19</v>
      </c>
      <c r="AL602" s="35">
        <v>19.7</v>
      </c>
      <c r="AM602" s="35">
        <v>19</v>
      </c>
      <c r="AN602" s="35">
        <v>20.399999999999999</v>
      </c>
      <c r="AO602" s="35">
        <v>19</v>
      </c>
      <c r="AP602" s="35">
        <v>19.7</v>
      </c>
      <c r="AQ602" s="35">
        <v>19</v>
      </c>
      <c r="AR602" s="35">
        <v>20.8</v>
      </c>
      <c r="AS602" s="35">
        <v>19</v>
      </c>
      <c r="AT602" s="35">
        <v>18.8</v>
      </c>
      <c r="AU602" s="35">
        <v>19</v>
      </c>
      <c r="AV602" s="35">
        <v>20.3</v>
      </c>
      <c r="AW602" s="35">
        <v>19</v>
      </c>
      <c r="AX602" s="35">
        <v>20.9</v>
      </c>
      <c r="AY602" s="35">
        <v>20</v>
      </c>
      <c r="AZ602" s="35">
        <v>21.4</v>
      </c>
      <c r="BA602" s="35">
        <v>20</v>
      </c>
      <c r="BB602" s="35">
        <v>30.2</v>
      </c>
      <c r="BC602" s="35">
        <v>40</v>
      </c>
      <c r="BD602" s="35">
        <v>29.4</v>
      </c>
      <c r="BE602" s="35">
        <v>40</v>
      </c>
      <c r="BF602" s="35">
        <v>21.7</v>
      </c>
      <c r="BG602" s="35">
        <v>20</v>
      </c>
    </row>
    <row r="603" spans="1:59" x14ac:dyDescent="0.35">
      <c r="A603" s="36">
        <v>46059.87777777778</v>
      </c>
      <c r="B603" s="35">
        <v>1.6</v>
      </c>
      <c r="C603" s="35">
        <v>2</v>
      </c>
      <c r="D603" s="35">
        <v>2.1</v>
      </c>
      <c r="E603" s="35">
        <v>2.2000000000000002</v>
      </c>
      <c r="F603" s="35">
        <v>3.4</v>
      </c>
      <c r="G603" s="35">
        <v>2</v>
      </c>
      <c r="H603" s="35">
        <v>3</v>
      </c>
      <c r="I603" s="35">
        <v>2</v>
      </c>
      <c r="J603" s="35">
        <v>2.9</v>
      </c>
      <c r="K603" s="35">
        <v>2</v>
      </c>
      <c r="L603" s="35">
        <v>3.3</v>
      </c>
      <c r="M603" s="35">
        <v>2</v>
      </c>
      <c r="N603" s="35">
        <v>2.8</v>
      </c>
      <c r="O603" s="35">
        <v>3</v>
      </c>
      <c r="P603" s="35">
        <v>2.2999999999999998</v>
      </c>
      <c r="Q603" s="35">
        <v>2</v>
      </c>
      <c r="R603" s="35">
        <v>3.6</v>
      </c>
      <c r="S603" s="35">
        <v>2</v>
      </c>
      <c r="T603" s="35">
        <v>3.3</v>
      </c>
      <c r="U603" s="35">
        <v>2</v>
      </c>
      <c r="V603" s="35">
        <v>10</v>
      </c>
      <c r="W603" s="35">
        <v>9</v>
      </c>
      <c r="X603" s="35">
        <v>10.6</v>
      </c>
      <c r="Y603" s="35">
        <v>9</v>
      </c>
      <c r="Z603" s="35">
        <v>10.5</v>
      </c>
      <c r="AA603" s="35">
        <v>9</v>
      </c>
      <c r="AB603" s="35">
        <v>11</v>
      </c>
      <c r="AC603" s="35">
        <v>9</v>
      </c>
      <c r="AD603" s="35">
        <v>20.2</v>
      </c>
      <c r="AE603" s="35">
        <v>19</v>
      </c>
      <c r="AF603" s="35">
        <v>19</v>
      </c>
      <c r="AG603" s="35">
        <v>19</v>
      </c>
      <c r="AH603" s="35">
        <v>20.8</v>
      </c>
      <c r="AI603" s="35">
        <v>19</v>
      </c>
      <c r="AJ603" s="35">
        <v>19.7</v>
      </c>
      <c r="AK603" s="35">
        <v>19</v>
      </c>
      <c r="AL603" s="35">
        <v>19.899999999999999</v>
      </c>
      <c r="AM603" s="35">
        <v>19</v>
      </c>
      <c r="AN603" s="35">
        <v>20.5</v>
      </c>
      <c r="AO603" s="35">
        <v>19</v>
      </c>
      <c r="AP603" s="35">
        <v>19.8</v>
      </c>
      <c r="AQ603" s="35">
        <v>19</v>
      </c>
      <c r="AR603" s="35">
        <v>20.8</v>
      </c>
      <c r="AS603" s="35">
        <v>19</v>
      </c>
      <c r="AT603" s="35">
        <v>19</v>
      </c>
      <c r="AU603" s="35">
        <v>19</v>
      </c>
      <c r="AV603" s="35">
        <v>20.399999999999999</v>
      </c>
      <c r="AW603" s="35">
        <v>19</v>
      </c>
      <c r="AX603" s="35">
        <v>20.9</v>
      </c>
      <c r="AY603" s="35">
        <v>20</v>
      </c>
      <c r="AZ603" s="35">
        <v>21.5</v>
      </c>
      <c r="BA603" s="35">
        <v>20</v>
      </c>
      <c r="BB603" s="35">
        <v>30.2</v>
      </c>
      <c r="BC603" s="35">
        <v>40</v>
      </c>
      <c r="BD603" s="35">
        <v>29.3</v>
      </c>
      <c r="BE603" s="35">
        <v>40</v>
      </c>
      <c r="BF603" s="35">
        <v>21.7</v>
      </c>
      <c r="BG603" s="35">
        <v>20</v>
      </c>
    </row>
    <row r="604" spans="1:59" x14ac:dyDescent="0.35">
      <c r="A604" s="36">
        <v>46059.879166666666</v>
      </c>
      <c r="B604" s="35">
        <v>2.5</v>
      </c>
      <c r="C604" s="35">
        <v>2</v>
      </c>
      <c r="D604" s="35">
        <v>2.9</v>
      </c>
      <c r="E604" s="35">
        <v>2.2000000000000002</v>
      </c>
      <c r="F604" s="35">
        <v>3.8</v>
      </c>
      <c r="G604" s="35">
        <v>2</v>
      </c>
      <c r="H604" s="35">
        <v>3.5</v>
      </c>
      <c r="I604" s="35">
        <v>2</v>
      </c>
      <c r="J604" s="35">
        <v>2.9</v>
      </c>
      <c r="K604" s="35">
        <v>2</v>
      </c>
      <c r="L604" s="35">
        <v>3.9</v>
      </c>
      <c r="M604" s="35">
        <v>2</v>
      </c>
      <c r="N604" s="35">
        <v>3.4</v>
      </c>
      <c r="O604" s="35">
        <v>3</v>
      </c>
      <c r="P604" s="35">
        <v>2.9</v>
      </c>
      <c r="Q604" s="35">
        <v>2</v>
      </c>
      <c r="R604" s="35">
        <v>3.8</v>
      </c>
      <c r="S604" s="35">
        <v>2</v>
      </c>
      <c r="T604" s="35">
        <v>3.5</v>
      </c>
      <c r="U604" s="35">
        <v>2</v>
      </c>
      <c r="V604" s="35">
        <v>11</v>
      </c>
      <c r="W604" s="35">
        <v>9</v>
      </c>
      <c r="X604" s="35">
        <v>10.8</v>
      </c>
      <c r="Y604" s="35">
        <v>9</v>
      </c>
      <c r="Z604" s="35">
        <v>10.7</v>
      </c>
      <c r="AA604" s="35">
        <v>9</v>
      </c>
      <c r="AB604" s="35">
        <v>8.1</v>
      </c>
      <c r="AC604" s="35">
        <v>9</v>
      </c>
      <c r="AD604" s="35">
        <v>20.3</v>
      </c>
      <c r="AE604" s="35">
        <v>19</v>
      </c>
      <c r="AF604" s="35">
        <v>19.2</v>
      </c>
      <c r="AG604" s="35">
        <v>19</v>
      </c>
      <c r="AH604" s="35">
        <v>20.8</v>
      </c>
      <c r="AI604" s="35">
        <v>19</v>
      </c>
      <c r="AJ604" s="35">
        <v>17.8</v>
      </c>
      <c r="AK604" s="35">
        <v>19</v>
      </c>
      <c r="AL604" s="35">
        <v>20.3</v>
      </c>
      <c r="AM604" s="35">
        <v>19</v>
      </c>
      <c r="AN604" s="35">
        <v>20.7</v>
      </c>
      <c r="AO604" s="35">
        <v>19</v>
      </c>
      <c r="AP604" s="35">
        <v>19.899999999999999</v>
      </c>
      <c r="AQ604" s="35">
        <v>19</v>
      </c>
      <c r="AR604" s="35">
        <v>20.8</v>
      </c>
      <c r="AS604" s="35">
        <v>19</v>
      </c>
      <c r="AT604" s="35">
        <v>19.2</v>
      </c>
      <c r="AU604" s="35">
        <v>19</v>
      </c>
      <c r="AV604" s="35">
        <v>20.399999999999999</v>
      </c>
      <c r="AW604" s="35">
        <v>19</v>
      </c>
      <c r="AX604" s="35">
        <v>20.9</v>
      </c>
      <c r="AY604" s="35">
        <v>20</v>
      </c>
      <c r="AZ604" s="35">
        <v>21.5</v>
      </c>
      <c r="BA604" s="35">
        <v>20</v>
      </c>
      <c r="BB604" s="35">
        <v>30.2</v>
      </c>
      <c r="BC604" s="35">
        <v>40</v>
      </c>
      <c r="BD604" s="35">
        <v>29.3</v>
      </c>
      <c r="BE604" s="35">
        <v>40</v>
      </c>
      <c r="BF604" s="35">
        <v>21.7</v>
      </c>
      <c r="BG604" s="35">
        <v>20</v>
      </c>
    </row>
    <row r="605" spans="1:59" x14ac:dyDescent="0.35">
      <c r="A605" s="36">
        <v>46059.879861111112</v>
      </c>
      <c r="B605" s="35">
        <v>2.9</v>
      </c>
      <c r="C605" s="35">
        <v>2</v>
      </c>
      <c r="D605" s="35">
        <v>3.3</v>
      </c>
      <c r="E605" s="35">
        <v>2.2000000000000002</v>
      </c>
      <c r="F605" s="35">
        <v>3.9</v>
      </c>
      <c r="G605" s="35">
        <v>2</v>
      </c>
      <c r="H605" s="35">
        <v>3.7</v>
      </c>
      <c r="I605" s="35">
        <v>2</v>
      </c>
      <c r="J605" s="35">
        <v>2.9</v>
      </c>
      <c r="K605" s="35">
        <v>2</v>
      </c>
      <c r="L605" s="35">
        <v>4</v>
      </c>
      <c r="M605" s="35">
        <v>2</v>
      </c>
      <c r="N605" s="35">
        <v>3.7</v>
      </c>
      <c r="O605" s="35">
        <v>3</v>
      </c>
      <c r="P605" s="35">
        <v>3.1</v>
      </c>
      <c r="Q605" s="35">
        <v>2</v>
      </c>
      <c r="R605" s="35">
        <v>3.9</v>
      </c>
      <c r="S605" s="35">
        <v>2</v>
      </c>
      <c r="T605" s="35">
        <v>3.6</v>
      </c>
      <c r="U605" s="35">
        <v>2</v>
      </c>
      <c r="V605" s="35">
        <v>10.5</v>
      </c>
      <c r="W605" s="35">
        <v>9</v>
      </c>
      <c r="X605" s="35">
        <v>10.8</v>
      </c>
      <c r="Y605" s="35">
        <v>9</v>
      </c>
      <c r="Z605" s="35">
        <v>10.9</v>
      </c>
      <c r="AA605" s="35">
        <v>9</v>
      </c>
      <c r="AB605" s="35">
        <v>7.9</v>
      </c>
      <c r="AC605" s="35">
        <v>9</v>
      </c>
      <c r="AD605" s="35">
        <v>20.3</v>
      </c>
      <c r="AE605" s="35">
        <v>19</v>
      </c>
      <c r="AF605" s="35">
        <v>19.3</v>
      </c>
      <c r="AG605" s="35">
        <v>19</v>
      </c>
      <c r="AH605" s="35">
        <v>20.9</v>
      </c>
      <c r="AI605" s="35">
        <v>19</v>
      </c>
      <c r="AJ605" s="35">
        <v>17.899999999999999</v>
      </c>
      <c r="AK605" s="35">
        <v>19</v>
      </c>
      <c r="AL605" s="35">
        <v>20.5</v>
      </c>
      <c r="AM605" s="35">
        <v>19</v>
      </c>
      <c r="AN605" s="35">
        <v>20.8</v>
      </c>
      <c r="AO605" s="35">
        <v>19</v>
      </c>
      <c r="AP605" s="35">
        <v>19.899999999999999</v>
      </c>
      <c r="AQ605" s="35">
        <v>19</v>
      </c>
      <c r="AR605" s="35">
        <v>20.8</v>
      </c>
      <c r="AS605" s="35">
        <v>19</v>
      </c>
      <c r="AT605" s="35">
        <v>19.399999999999999</v>
      </c>
      <c r="AU605" s="35">
        <v>19</v>
      </c>
      <c r="AV605" s="35">
        <v>20.5</v>
      </c>
      <c r="AW605" s="35">
        <v>19</v>
      </c>
      <c r="AX605" s="35">
        <v>20.9</v>
      </c>
      <c r="AY605" s="35">
        <v>20</v>
      </c>
      <c r="AZ605" s="35">
        <v>21.5</v>
      </c>
      <c r="BA605" s="35">
        <v>20</v>
      </c>
      <c r="BB605" s="35">
        <v>30.2</v>
      </c>
      <c r="BC605" s="35">
        <v>40</v>
      </c>
      <c r="BD605" s="35">
        <v>29.3</v>
      </c>
      <c r="BE605" s="35">
        <v>40</v>
      </c>
      <c r="BF605" s="35">
        <v>21.8</v>
      </c>
      <c r="BG605" s="35">
        <v>20</v>
      </c>
    </row>
    <row r="606" spans="1:59" x14ac:dyDescent="0.35">
      <c r="A606" s="36">
        <v>46059.880555555559</v>
      </c>
      <c r="B606" s="35">
        <v>3.2</v>
      </c>
      <c r="C606" s="35">
        <v>2</v>
      </c>
      <c r="D606" s="35">
        <v>3.6</v>
      </c>
      <c r="E606" s="35">
        <v>2.2000000000000002</v>
      </c>
      <c r="F606" s="35">
        <v>3.2</v>
      </c>
      <c r="G606" s="35">
        <v>2</v>
      </c>
      <c r="H606" s="35">
        <v>2.5</v>
      </c>
      <c r="I606" s="35">
        <v>2</v>
      </c>
      <c r="J606" s="35">
        <v>2.9</v>
      </c>
      <c r="K606" s="35">
        <v>2</v>
      </c>
      <c r="L606" s="35">
        <v>3.2</v>
      </c>
      <c r="M606" s="35">
        <v>2</v>
      </c>
      <c r="N606" s="35">
        <v>3.9</v>
      </c>
      <c r="O606" s="35">
        <v>3</v>
      </c>
      <c r="P606" s="35">
        <v>3.3</v>
      </c>
      <c r="Q606" s="35">
        <v>2</v>
      </c>
      <c r="R606" s="35">
        <v>3.6</v>
      </c>
      <c r="S606" s="35">
        <v>2</v>
      </c>
      <c r="T606" s="35">
        <v>3</v>
      </c>
      <c r="U606" s="35">
        <v>2</v>
      </c>
      <c r="V606" s="35">
        <v>8.6</v>
      </c>
      <c r="W606" s="35">
        <v>9</v>
      </c>
      <c r="X606" s="35">
        <v>10.9</v>
      </c>
      <c r="Y606" s="35">
        <v>9</v>
      </c>
      <c r="Z606" s="35">
        <v>10.9</v>
      </c>
      <c r="AA606" s="35">
        <v>9</v>
      </c>
      <c r="AB606" s="35">
        <v>8.4</v>
      </c>
      <c r="AC606" s="35">
        <v>9</v>
      </c>
      <c r="AD606" s="35">
        <v>20.399999999999999</v>
      </c>
      <c r="AE606" s="35">
        <v>19</v>
      </c>
      <c r="AF606" s="35">
        <v>19.399999999999999</v>
      </c>
      <c r="AG606" s="35">
        <v>19</v>
      </c>
      <c r="AH606" s="35">
        <v>20.9</v>
      </c>
      <c r="AI606" s="35">
        <v>19</v>
      </c>
      <c r="AJ606" s="35">
        <v>18.2</v>
      </c>
      <c r="AK606" s="35">
        <v>19</v>
      </c>
      <c r="AL606" s="35">
        <v>20.6</v>
      </c>
      <c r="AM606" s="35">
        <v>19</v>
      </c>
      <c r="AN606" s="35">
        <v>20.8</v>
      </c>
      <c r="AO606" s="35">
        <v>19</v>
      </c>
      <c r="AP606" s="35">
        <v>20</v>
      </c>
      <c r="AQ606" s="35">
        <v>19</v>
      </c>
      <c r="AR606" s="35">
        <v>20.8</v>
      </c>
      <c r="AS606" s="35">
        <v>19</v>
      </c>
      <c r="AT606" s="35">
        <v>19.5</v>
      </c>
      <c r="AU606" s="35">
        <v>19</v>
      </c>
      <c r="AV606" s="35">
        <v>20.5</v>
      </c>
      <c r="AW606" s="35">
        <v>19</v>
      </c>
      <c r="AX606" s="35">
        <v>20.9</v>
      </c>
      <c r="AY606" s="35">
        <v>20</v>
      </c>
      <c r="AZ606" s="35">
        <v>21.5</v>
      </c>
      <c r="BA606" s="35">
        <v>20</v>
      </c>
      <c r="BB606" s="35">
        <v>30.2</v>
      </c>
      <c r="BC606" s="35">
        <v>40</v>
      </c>
      <c r="BD606" s="35">
        <v>29.3</v>
      </c>
      <c r="BE606" s="35">
        <v>40</v>
      </c>
      <c r="BF606" s="35">
        <v>21.8</v>
      </c>
      <c r="BG606" s="35">
        <v>20</v>
      </c>
    </row>
    <row r="607" spans="1:59" x14ac:dyDescent="0.35">
      <c r="A607" s="36">
        <v>46059.881249999999</v>
      </c>
      <c r="B607" s="35">
        <v>3.4</v>
      </c>
      <c r="C607" s="35">
        <v>2</v>
      </c>
      <c r="D607" s="35">
        <v>3.9</v>
      </c>
      <c r="E607" s="35">
        <v>2.2000000000000002</v>
      </c>
      <c r="F607" s="35">
        <v>1.5</v>
      </c>
      <c r="G607" s="35">
        <v>2</v>
      </c>
      <c r="H607" s="35">
        <v>1.4</v>
      </c>
      <c r="I607" s="35">
        <v>2</v>
      </c>
      <c r="J607" s="35">
        <v>2.9</v>
      </c>
      <c r="K607" s="35">
        <v>2</v>
      </c>
      <c r="L607" s="35">
        <v>2.4</v>
      </c>
      <c r="M607" s="35">
        <v>2</v>
      </c>
      <c r="N607" s="35">
        <v>4.0999999999999996</v>
      </c>
      <c r="O607" s="35">
        <v>3</v>
      </c>
      <c r="P607" s="35">
        <v>3.5</v>
      </c>
      <c r="Q607" s="35">
        <v>2</v>
      </c>
      <c r="R607" s="35">
        <v>2.4</v>
      </c>
      <c r="S607" s="35">
        <v>2</v>
      </c>
      <c r="T607" s="35">
        <v>1.6</v>
      </c>
      <c r="U607" s="35">
        <v>2</v>
      </c>
      <c r="V607" s="35">
        <v>7.5</v>
      </c>
      <c r="W607" s="35">
        <v>9</v>
      </c>
      <c r="X607" s="35">
        <v>10.9</v>
      </c>
      <c r="Y607" s="35">
        <v>9</v>
      </c>
      <c r="Z607" s="35">
        <v>10.9</v>
      </c>
      <c r="AA607" s="35">
        <v>9</v>
      </c>
      <c r="AB607" s="35">
        <v>9</v>
      </c>
      <c r="AC607" s="35">
        <v>9</v>
      </c>
      <c r="AD607" s="35">
        <v>20.399999999999999</v>
      </c>
      <c r="AE607" s="35">
        <v>19</v>
      </c>
      <c r="AF607" s="35">
        <v>19.399999999999999</v>
      </c>
      <c r="AG607" s="35">
        <v>19</v>
      </c>
      <c r="AH607" s="35">
        <v>21</v>
      </c>
      <c r="AI607" s="35">
        <v>19</v>
      </c>
      <c r="AJ607" s="35">
        <v>18.5</v>
      </c>
      <c r="AK607" s="35">
        <v>19</v>
      </c>
      <c r="AL607" s="35">
        <v>20.7</v>
      </c>
      <c r="AM607" s="35">
        <v>19</v>
      </c>
      <c r="AN607" s="35">
        <v>20.9</v>
      </c>
      <c r="AO607" s="35">
        <v>19</v>
      </c>
      <c r="AP607" s="35">
        <v>20</v>
      </c>
      <c r="AQ607" s="35">
        <v>19</v>
      </c>
      <c r="AR607" s="35">
        <v>20.8</v>
      </c>
      <c r="AS607" s="35">
        <v>19</v>
      </c>
      <c r="AT607" s="35">
        <v>19.600000000000001</v>
      </c>
      <c r="AU607" s="35">
        <v>19</v>
      </c>
      <c r="AV607" s="35">
        <v>20.6</v>
      </c>
      <c r="AW607" s="35">
        <v>19</v>
      </c>
      <c r="AX607" s="35">
        <v>20.9</v>
      </c>
      <c r="AY607" s="35">
        <v>20</v>
      </c>
      <c r="AZ607" s="35">
        <v>21.5</v>
      </c>
      <c r="BA607" s="35">
        <v>20</v>
      </c>
      <c r="BB607" s="35">
        <v>30.1</v>
      </c>
      <c r="BC607" s="35">
        <v>40</v>
      </c>
      <c r="BD607" s="35">
        <v>29.3</v>
      </c>
      <c r="BE607" s="35">
        <v>40</v>
      </c>
      <c r="BF607" s="35">
        <v>21.8</v>
      </c>
      <c r="BG607" s="35">
        <v>20</v>
      </c>
    </row>
    <row r="608" spans="1:59" x14ac:dyDescent="0.35">
      <c r="A608" s="36">
        <v>46059.881944444445</v>
      </c>
      <c r="B608" s="35">
        <v>3.7</v>
      </c>
      <c r="C608" s="35">
        <v>2</v>
      </c>
      <c r="D608" s="35">
        <v>4.2</v>
      </c>
      <c r="E608" s="35">
        <v>2.2000000000000002</v>
      </c>
      <c r="F608" s="35">
        <v>1.5</v>
      </c>
      <c r="G608" s="35">
        <v>2</v>
      </c>
      <c r="H608" s="35">
        <v>1.5</v>
      </c>
      <c r="I608" s="35">
        <v>2</v>
      </c>
      <c r="J608" s="35">
        <v>2.9</v>
      </c>
      <c r="K608" s="35">
        <v>2</v>
      </c>
      <c r="L608" s="35">
        <v>1.9</v>
      </c>
      <c r="M608" s="35">
        <v>2</v>
      </c>
      <c r="N608" s="35">
        <v>4.3</v>
      </c>
      <c r="O608" s="35">
        <v>3</v>
      </c>
      <c r="P608" s="35">
        <v>3.7</v>
      </c>
      <c r="Q608" s="35">
        <v>2</v>
      </c>
      <c r="R608" s="35">
        <v>1.7</v>
      </c>
      <c r="S608" s="35">
        <v>2</v>
      </c>
      <c r="T608" s="35">
        <v>1</v>
      </c>
      <c r="U608" s="35">
        <v>2</v>
      </c>
      <c r="V608" s="35">
        <v>7.9</v>
      </c>
      <c r="W608" s="35">
        <v>9</v>
      </c>
      <c r="X608" s="35">
        <v>11</v>
      </c>
      <c r="Y608" s="35">
        <v>9</v>
      </c>
      <c r="Z608" s="35">
        <v>10.5</v>
      </c>
      <c r="AA608" s="35">
        <v>9</v>
      </c>
      <c r="AB608" s="35">
        <v>9.4</v>
      </c>
      <c r="AC608" s="35">
        <v>9</v>
      </c>
      <c r="AD608" s="35">
        <v>20.399999999999999</v>
      </c>
      <c r="AE608" s="35">
        <v>19</v>
      </c>
      <c r="AF608" s="35">
        <v>19.5</v>
      </c>
      <c r="AG608" s="35">
        <v>19</v>
      </c>
      <c r="AH608" s="35">
        <v>20.3</v>
      </c>
      <c r="AI608" s="35">
        <v>19</v>
      </c>
      <c r="AJ608" s="35">
        <v>18.8</v>
      </c>
      <c r="AK608" s="35">
        <v>19</v>
      </c>
      <c r="AL608" s="35">
        <v>20.9</v>
      </c>
      <c r="AM608" s="35">
        <v>19</v>
      </c>
      <c r="AN608" s="35">
        <v>21</v>
      </c>
      <c r="AO608" s="35">
        <v>19</v>
      </c>
      <c r="AP608" s="35">
        <v>20.100000000000001</v>
      </c>
      <c r="AQ608" s="35">
        <v>19</v>
      </c>
      <c r="AR608" s="35">
        <v>20.8</v>
      </c>
      <c r="AS608" s="35">
        <v>19</v>
      </c>
      <c r="AT608" s="35">
        <v>19.7</v>
      </c>
      <c r="AU608" s="35">
        <v>19</v>
      </c>
      <c r="AV608" s="35">
        <v>20.6</v>
      </c>
      <c r="AW608" s="35">
        <v>19</v>
      </c>
      <c r="AX608" s="35">
        <v>20.9</v>
      </c>
      <c r="AY608" s="35">
        <v>20</v>
      </c>
      <c r="AZ608" s="35">
        <v>21.5</v>
      </c>
      <c r="BA608" s="35">
        <v>20</v>
      </c>
      <c r="BB608" s="35">
        <v>30.1</v>
      </c>
      <c r="BC608" s="35">
        <v>40</v>
      </c>
      <c r="BD608" s="35">
        <v>29.3</v>
      </c>
      <c r="BE608" s="35">
        <v>40</v>
      </c>
      <c r="BF608" s="35">
        <v>21.8</v>
      </c>
      <c r="BG608" s="35">
        <v>20</v>
      </c>
    </row>
    <row r="609" spans="1:59" x14ac:dyDescent="0.35">
      <c r="A609" s="36">
        <v>46059.882638888892</v>
      </c>
      <c r="B609" s="35">
        <v>3.7</v>
      </c>
      <c r="C609" s="35">
        <v>2</v>
      </c>
      <c r="D609" s="35">
        <v>4</v>
      </c>
      <c r="E609" s="35">
        <v>2.2000000000000002</v>
      </c>
      <c r="F609" s="35">
        <v>1.8</v>
      </c>
      <c r="G609" s="35">
        <v>2</v>
      </c>
      <c r="H609" s="35">
        <v>2</v>
      </c>
      <c r="I609" s="35">
        <v>2</v>
      </c>
      <c r="J609" s="35">
        <v>2.9</v>
      </c>
      <c r="K609" s="35">
        <v>2</v>
      </c>
      <c r="L609" s="35">
        <v>2</v>
      </c>
      <c r="M609" s="35">
        <v>2</v>
      </c>
      <c r="N609" s="35">
        <v>4.4000000000000004</v>
      </c>
      <c r="O609" s="35">
        <v>3</v>
      </c>
      <c r="P609" s="35">
        <v>3.8</v>
      </c>
      <c r="Q609" s="35">
        <v>2</v>
      </c>
      <c r="R609" s="35">
        <v>1.7</v>
      </c>
      <c r="S609" s="35">
        <v>2</v>
      </c>
      <c r="T609" s="35">
        <v>1</v>
      </c>
      <c r="U609" s="35">
        <v>2</v>
      </c>
      <c r="V609" s="35">
        <v>8.6</v>
      </c>
      <c r="W609" s="35">
        <v>9</v>
      </c>
      <c r="X609" s="35">
        <v>10.7</v>
      </c>
      <c r="Y609" s="35">
        <v>9</v>
      </c>
      <c r="Z609" s="35">
        <v>10.1</v>
      </c>
      <c r="AA609" s="35">
        <v>9</v>
      </c>
      <c r="AB609" s="35">
        <v>9.8000000000000007</v>
      </c>
      <c r="AC609" s="35">
        <v>9</v>
      </c>
      <c r="AD609" s="35">
        <v>20.399999999999999</v>
      </c>
      <c r="AE609" s="35">
        <v>19</v>
      </c>
      <c r="AF609" s="35">
        <v>19.600000000000001</v>
      </c>
      <c r="AG609" s="35">
        <v>19</v>
      </c>
      <c r="AH609" s="35">
        <v>18.899999999999999</v>
      </c>
      <c r="AI609" s="35">
        <v>19</v>
      </c>
      <c r="AJ609" s="35">
        <v>19</v>
      </c>
      <c r="AK609" s="35">
        <v>19</v>
      </c>
      <c r="AL609" s="35">
        <v>21</v>
      </c>
      <c r="AM609" s="35">
        <v>19</v>
      </c>
      <c r="AN609" s="35">
        <v>20.6</v>
      </c>
      <c r="AO609" s="35">
        <v>19</v>
      </c>
      <c r="AP609" s="35">
        <v>20.100000000000001</v>
      </c>
      <c r="AQ609" s="35">
        <v>19</v>
      </c>
      <c r="AR609" s="35">
        <v>20.8</v>
      </c>
      <c r="AS609" s="35">
        <v>19</v>
      </c>
      <c r="AT609" s="35">
        <v>19.8</v>
      </c>
      <c r="AU609" s="35">
        <v>19</v>
      </c>
      <c r="AV609" s="35">
        <v>20.7</v>
      </c>
      <c r="AW609" s="35">
        <v>19</v>
      </c>
      <c r="AX609" s="35">
        <v>20.9</v>
      </c>
      <c r="AY609" s="35">
        <v>20</v>
      </c>
      <c r="AZ609" s="35">
        <v>21.5</v>
      </c>
      <c r="BA609" s="35">
        <v>20</v>
      </c>
      <c r="BB609" s="35">
        <v>30.1</v>
      </c>
      <c r="BC609" s="35">
        <v>40</v>
      </c>
      <c r="BD609" s="35">
        <v>29.3</v>
      </c>
      <c r="BE609" s="35">
        <v>40</v>
      </c>
      <c r="BF609" s="35">
        <v>21.8</v>
      </c>
      <c r="BG609" s="35">
        <v>20</v>
      </c>
    </row>
    <row r="610" spans="1:59" x14ac:dyDescent="0.35">
      <c r="A610" s="36">
        <v>46059.884027777778</v>
      </c>
      <c r="B610" s="35">
        <v>3.9</v>
      </c>
      <c r="C610" s="35">
        <v>2</v>
      </c>
      <c r="D610" s="35">
        <v>4.2</v>
      </c>
      <c r="E610" s="35">
        <v>2.2000000000000002</v>
      </c>
      <c r="F610" s="35">
        <v>2.6</v>
      </c>
      <c r="G610" s="35">
        <v>2</v>
      </c>
      <c r="H610" s="35">
        <v>2.9</v>
      </c>
      <c r="I610" s="35">
        <v>2</v>
      </c>
      <c r="J610" s="35">
        <v>2.9</v>
      </c>
      <c r="K610" s="35">
        <v>2</v>
      </c>
      <c r="L610" s="35">
        <v>3.8</v>
      </c>
      <c r="M610" s="35">
        <v>2</v>
      </c>
      <c r="N610" s="35">
        <v>4.3</v>
      </c>
      <c r="O610" s="35">
        <v>3</v>
      </c>
      <c r="P610" s="35">
        <v>3.9</v>
      </c>
      <c r="Q610" s="35">
        <v>2</v>
      </c>
      <c r="R610" s="35">
        <v>2.2000000000000002</v>
      </c>
      <c r="S610" s="35">
        <v>2</v>
      </c>
      <c r="T610" s="35">
        <v>1.6</v>
      </c>
      <c r="U610" s="35">
        <v>2</v>
      </c>
      <c r="V610" s="35">
        <v>9.9</v>
      </c>
      <c r="W610" s="35">
        <v>9</v>
      </c>
      <c r="X610" s="35">
        <v>9.1999999999999993</v>
      </c>
      <c r="Y610" s="35">
        <v>9</v>
      </c>
      <c r="Z610" s="35">
        <v>9.1999999999999993</v>
      </c>
      <c r="AA610" s="35">
        <v>9</v>
      </c>
      <c r="AB610" s="35">
        <v>10.4</v>
      </c>
      <c r="AC610" s="35">
        <v>9</v>
      </c>
      <c r="AD610" s="35">
        <v>20.399999999999999</v>
      </c>
      <c r="AE610" s="35">
        <v>19</v>
      </c>
      <c r="AF610" s="35">
        <v>19.7</v>
      </c>
      <c r="AG610" s="35">
        <v>19</v>
      </c>
      <c r="AH610" s="35">
        <v>18.2</v>
      </c>
      <c r="AI610" s="35">
        <v>19</v>
      </c>
      <c r="AJ610" s="35">
        <v>19.3</v>
      </c>
      <c r="AK610" s="35">
        <v>19</v>
      </c>
      <c r="AL610" s="35">
        <v>20.5</v>
      </c>
      <c r="AM610" s="35">
        <v>19</v>
      </c>
      <c r="AN610" s="35">
        <v>19.7</v>
      </c>
      <c r="AO610" s="35">
        <v>19</v>
      </c>
      <c r="AP610" s="35">
        <v>20.2</v>
      </c>
      <c r="AQ610" s="35">
        <v>19</v>
      </c>
      <c r="AR610" s="35">
        <v>20.8</v>
      </c>
      <c r="AS610" s="35">
        <v>19</v>
      </c>
      <c r="AT610" s="35">
        <v>20</v>
      </c>
      <c r="AU610" s="35">
        <v>19</v>
      </c>
      <c r="AV610" s="35">
        <v>20.8</v>
      </c>
      <c r="AW610" s="35">
        <v>19</v>
      </c>
      <c r="AX610" s="35">
        <v>21</v>
      </c>
      <c r="AY610" s="35">
        <v>20</v>
      </c>
      <c r="AZ610" s="35">
        <v>21.5</v>
      </c>
      <c r="BA610" s="35">
        <v>20</v>
      </c>
      <c r="BB610" s="35">
        <v>30.1</v>
      </c>
      <c r="BC610" s="35">
        <v>40</v>
      </c>
      <c r="BD610" s="35">
        <v>29.3</v>
      </c>
      <c r="BE610" s="35">
        <v>40</v>
      </c>
      <c r="BF610" s="35">
        <v>21.8</v>
      </c>
      <c r="BG610" s="35">
        <v>20</v>
      </c>
    </row>
    <row r="611" spans="1:59" x14ac:dyDescent="0.35">
      <c r="A611" s="36">
        <v>46059.884722222225</v>
      </c>
      <c r="B611" s="35">
        <v>4</v>
      </c>
      <c r="C611" s="35">
        <v>2</v>
      </c>
      <c r="D611" s="35">
        <v>4.3</v>
      </c>
      <c r="E611" s="35">
        <v>2.2000000000000002</v>
      </c>
      <c r="F611" s="35">
        <v>3</v>
      </c>
      <c r="G611" s="35">
        <v>2</v>
      </c>
      <c r="H611" s="35">
        <v>3.3</v>
      </c>
      <c r="I611" s="35">
        <v>2</v>
      </c>
      <c r="J611" s="35">
        <v>2.9</v>
      </c>
      <c r="K611" s="35">
        <v>2</v>
      </c>
      <c r="L611" s="35">
        <v>3.4</v>
      </c>
      <c r="M611" s="35">
        <v>2</v>
      </c>
      <c r="N611" s="35">
        <v>2.7</v>
      </c>
      <c r="O611" s="35">
        <v>3</v>
      </c>
      <c r="P611" s="35">
        <v>3</v>
      </c>
      <c r="Q611" s="35">
        <v>2</v>
      </c>
      <c r="R611" s="35">
        <v>2.4</v>
      </c>
      <c r="S611" s="35">
        <v>2</v>
      </c>
      <c r="T611" s="35">
        <v>2</v>
      </c>
      <c r="U611" s="35">
        <v>2</v>
      </c>
      <c r="V611" s="35">
        <v>10.4</v>
      </c>
      <c r="W611" s="35">
        <v>9</v>
      </c>
      <c r="X611" s="35">
        <v>8.4</v>
      </c>
      <c r="Y611" s="35">
        <v>9</v>
      </c>
      <c r="Z611" s="35">
        <v>8.8000000000000007</v>
      </c>
      <c r="AA611" s="35">
        <v>9</v>
      </c>
      <c r="AB611" s="35">
        <v>10.6</v>
      </c>
      <c r="AC611" s="35">
        <v>9</v>
      </c>
      <c r="AD611" s="35">
        <v>20.399999999999999</v>
      </c>
      <c r="AE611" s="35">
        <v>19</v>
      </c>
      <c r="AF611" s="35">
        <v>19.8</v>
      </c>
      <c r="AG611" s="35">
        <v>19</v>
      </c>
      <c r="AH611" s="35">
        <v>18.399999999999999</v>
      </c>
      <c r="AI611" s="35">
        <v>19</v>
      </c>
      <c r="AJ611" s="35">
        <v>19.399999999999999</v>
      </c>
      <c r="AK611" s="35">
        <v>19</v>
      </c>
      <c r="AL611" s="35">
        <v>20.2</v>
      </c>
      <c r="AM611" s="35">
        <v>19</v>
      </c>
      <c r="AN611" s="35">
        <v>19</v>
      </c>
      <c r="AO611" s="35">
        <v>19</v>
      </c>
      <c r="AP611" s="35">
        <v>20.2</v>
      </c>
      <c r="AQ611" s="35">
        <v>19</v>
      </c>
      <c r="AR611" s="35">
        <v>20.8</v>
      </c>
      <c r="AS611" s="35">
        <v>19</v>
      </c>
      <c r="AT611" s="35">
        <v>20.100000000000001</v>
      </c>
      <c r="AU611" s="35">
        <v>19</v>
      </c>
      <c r="AV611" s="35">
        <v>20.8</v>
      </c>
      <c r="AW611" s="35">
        <v>19</v>
      </c>
      <c r="AX611" s="35">
        <v>21</v>
      </c>
      <c r="AY611" s="35">
        <v>20</v>
      </c>
      <c r="AZ611" s="35">
        <v>21.5</v>
      </c>
      <c r="BA611" s="35">
        <v>20</v>
      </c>
      <c r="BB611" s="35">
        <v>30.1</v>
      </c>
      <c r="BC611" s="35">
        <v>40</v>
      </c>
      <c r="BD611" s="35">
        <v>29.2</v>
      </c>
      <c r="BE611" s="35">
        <v>40</v>
      </c>
      <c r="BF611" s="35">
        <v>21.8</v>
      </c>
      <c r="BG611" s="35">
        <v>20</v>
      </c>
    </row>
    <row r="612" spans="1:59" x14ac:dyDescent="0.35">
      <c r="A612" s="36">
        <v>46059.885416666664</v>
      </c>
      <c r="B612" s="35">
        <v>2.8</v>
      </c>
      <c r="C612" s="35">
        <v>2</v>
      </c>
      <c r="D612" s="35">
        <v>3.1</v>
      </c>
      <c r="E612" s="35">
        <v>2.2000000000000002</v>
      </c>
      <c r="F612" s="35">
        <v>3.4</v>
      </c>
      <c r="G612" s="35">
        <v>2</v>
      </c>
      <c r="H612" s="35">
        <v>3.5</v>
      </c>
      <c r="I612" s="35">
        <v>2</v>
      </c>
      <c r="J612" s="35">
        <v>2.9</v>
      </c>
      <c r="K612" s="35">
        <v>2</v>
      </c>
      <c r="L612" s="35">
        <v>2.8</v>
      </c>
      <c r="M612" s="35">
        <v>2</v>
      </c>
      <c r="N612" s="35">
        <v>1.2</v>
      </c>
      <c r="O612" s="35">
        <v>3</v>
      </c>
      <c r="P612" s="35">
        <v>2</v>
      </c>
      <c r="Q612" s="35">
        <v>2</v>
      </c>
      <c r="R612" s="35">
        <v>2.6</v>
      </c>
      <c r="S612" s="35">
        <v>2</v>
      </c>
      <c r="T612" s="35">
        <v>2.2999999999999998</v>
      </c>
      <c r="U612" s="35">
        <v>2</v>
      </c>
      <c r="V612" s="35">
        <v>10.8</v>
      </c>
      <c r="W612" s="35">
        <v>9</v>
      </c>
      <c r="X612" s="35">
        <v>8.1999999999999993</v>
      </c>
      <c r="Y612" s="35">
        <v>9</v>
      </c>
      <c r="Z612" s="35">
        <v>8.8000000000000007</v>
      </c>
      <c r="AA612" s="35">
        <v>9</v>
      </c>
      <c r="AB612" s="35">
        <v>10.8</v>
      </c>
      <c r="AC612" s="35">
        <v>9</v>
      </c>
      <c r="AD612" s="35">
        <v>20.5</v>
      </c>
      <c r="AE612" s="35">
        <v>19</v>
      </c>
      <c r="AF612" s="35">
        <v>19.899999999999999</v>
      </c>
      <c r="AG612" s="35">
        <v>19</v>
      </c>
      <c r="AH612" s="35">
        <v>18.7</v>
      </c>
      <c r="AI612" s="35">
        <v>19</v>
      </c>
      <c r="AJ612" s="35">
        <v>19.5</v>
      </c>
      <c r="AK612" s="35">
        <v>19</v>
      </c>
      <c r="AL612" s="35">
        <v>20</v>
      </c>
      <c r="AM612" s="35">
        <v>19</v>
      </c>
      <c r="AN612" s="35">
        <v>18.600000000000001</v>
      </c>
      <c r="AO612" s="35">
        <v>19</v>
      </c>
      <c r="AP612" s="35">
        <v>20.2</v>
      </c>
      <c r="AQ612" s="35">
        <v>19</v>
      </c>
      <c r="AR612" s="35">
        <v>20.8</v>
      </c>
      <c r="AS612" s="35">
        <v>19</v>
      </c>
      <c r="AT612" s="35">
        <v>20.2</v>
      </c>
      <c r="AU612" s="35">
        <v>19</v>
      </c>
      <c r="AV612" s="35">
        <v>20.8</v>
      </c>
      <c r="AW612" s="35">
        <v>19</v>
      </c>
      <c r="AX612" s="35">
        <v>21</v>
      </c>
      <c r="AY612" s="35">
        <v>20</v>
      </c>
      <c r="AZ612" s="35">
        <v>21.5</v>
      </c>
      <c r="BA612" s="35">
        <v>20</v>
      </c>
      <c r="BB612" s="35">
        <v>30.1</v>
      </c>
      <c r="BC612" s="35">
        <v>40</v>
      </c>
      <c r="BD612" s="35">
        <v>29.2</v>
      </c>
      <c r="BE612" s="35">
        <v>40</v>
      </c>
      <c r="BF612" s="35">
        <v>21.8</v>
      </c>
      <c r="BG612" s="35">
        <v>20</v>
      </c>
    </row>
    <row r="613" spans="1:59" x14ac:dyDescent="0.35">
      <c r="A613" s="36">
        <v>46059.886111111111</v>
      </c>
      <c r="B613" s="35">
        <v>1.6</v>
      </c>
      <c r="C613" s="35">
        <v>2</v>
      </c>
      <c r="D613" s="35">
        <v>1.9</v>
      </c>
      <c r="E613" s="35">
        <v>2.2000000000000002</v>
      </c>
      <c r="F613" s="35">
        <v>3.6</v>
      </c>
      <c r="G613" s="35">
        <v>2</v>
      </c>
      <c r="H613" s="35">
        <v>3.8</v>
      </c>
      <c r="I613" s="35">
        <v>2</v>
      </c>
      <c r="J613" s="35">
        <v>2.9</v>
      </c>
      <c r="K613" s="35">
        <v>2</v>
      </c>
      <c r="L613" s="35">
        <v>2.2000000000000002</v>
      </c>
      <c r="M613" s="35">
        <v>2</v>
      </c>
      <c r="N613" s="35">
        <v>1</v>
      </c>
      <c r="O613" s="35">
        <v>3</v>
      </c>
      <c r="P613" s="35">
        <v>1.8</v>
      </c>
      <c r="Q613" s="35">
        <v>2</v>
      </c>
      <c r="R613" s="35">
        <v>2.8</v>
      </c>
      <c r="S613" s="35">
        <v>2</v>
      </c>
      <c r="T613" s="35">
        <v>2.5</v>
      </c>
      <c r="U613" s="35">
        <v>2</v>
      </c>
      <c r="V613" s="35">
        <v>10.6</v>
      </c>
      <c r="W613" s="35">
        <v>9</v>
      </c>
      <c r="X613" s="35">
        <v>8.1999999999999993</v>
      </c>
      <c r="Y613" s="35">
        <v>9</v>
      </c>
      <c r="Z613" s="35">
        <v>9</v>
      </c>
      <c r="AA613" s="35">
        <v>9</v>
      </c>
      <c r="AB613" s="35">
        <v>10.9</v>
      </c>
      <c r="AC613" s="35">
        <v>9</v>
      </c>
      <c r="AD613" s="35">
        <v>20.5</v>
      </c>
      <c r="AE613" s="35">
        <v>19</v>
      </c>
      <c r="AF613" s="35">
        <v>19.899999999999999</v>
      </c>
      <c r="AG613" s="35">
        <v>19</v>
      </c>
      <c r="AH613" s="35">
        <v>18.899999999999999</v>
      </c>
      <c r="AI613" s="35">
        <v>19</v>
      </c>
      <c r="AJ613" s="35">
        <v>19.600000000000001</v>
      </c>
      <c r="AK613" s="35">
        <v>19</v>
      </c>
      <c r="AL613" s="35">
        <v>19.8</v>
      </c>
      <c r="AM613" s="35">
        <v>19</v>
      </c>
      <c r="AN613" s="35">
        <v>18.600000000000001</v>
      </c>
      <c r="AO613" s="35">
        <v>19</v>
      </c>
      <c r="AP613" s="35">
        <v>20.2</v>
      </c>
      <c r="AQ613" s="35">
        <v>19</v>
      </c>
      <c r="AR613" s="35">
        <v>20.8</v>
      </c>
      <c r="AS613" s="35">
        <v>19</v>
      </c>
      <c r="AT613" s="35">
        <v>20.3</v>
      </c>
      <c r="AU613" s="35">
        <v>19</v>
      </c>
      <c r="AV613" s="35">
        <v>20.8</v>
      </c>
      <c r="AW613" s="35">
        <v>19</v>
      </c>
      <c r="AX613" s="35">
        <v>21.1</v>
      </c>
      <c r="AY613" s="35">
        <v>20</v>
      </c>
      <c r="AZ613" s="35">
        <v>21.5</v>
      </c>
      <c r="BA613" s="35">
        <v>20</v>
      </c>
      <c r="BB613" s="35">
        <v>30</v>
      </c>
      <c r="BC613" s="35">
        <v>40</v>
      </c>
      <c r="BD613" s="35">
        <v>29.2</v>
      </c>
      <c r="BE613" s="35">
        <v>40</v>
      </c>
      <c r="BF613" s="35">
        <v>21.8</v>
      </c>
      <c r="BG613" s="35">
        <v>20</v>
      </c>
    </row>
    <row r="614" spans="1:59" x14ac:dyDescent="0.35">
      <c r="A614" s="36">
        <v>46059.886805555558</v>
      </c>
      <c r="B614" s="35">
        <v>1.6</v>
      </c>
      <c r="C614" s="35">
        <v>2</v>
      </c>
      <c r="D614" s="35">
        <v>2</v>
      </c>
      <c r="E614" s="35">
        <v>2.2000000000000002</v>
      </c>
      <c r="F614" s="35">
        <v>3.8</v>
      </c>
      <c r="G614" s="35">
        <v>2</v>
      </c>
      <c r="H614" s="35">
        <v>4</v>
      </c>
      <c r="I614" s="35">
        <v>2</v>
      </c>
      <c r="J614" s="35">
        <v>2.9</v>
      </c>
      <c r="K614" s="35">
        <v>2</v>
      </c>
      <c r="L614" s="35">
        <v>2.1</v>
      </c>
      <c r="M614" s="35">
        <v>2</v>
      </c>
      <c r="N614" s="35">
        <v>1.2</v>
      </c>
      <c r="O614" s="35">
        <v>3</v>
      </c>
      <c r="P614" s="35">
        <v>2</v>
      </c>
      <c r="Q614" s="35">
        <v>2</v>
      </c>
      <c r="R614" s="35">
        <v>3</v>
      </c>
      <c r="S614" s="35">
        <v>2</v>
      </c>
      <c r="T614" s="35">
        <v>2.7</v>
      </c>
      <c r="U614" s="35">
        <v>2</v>
      </c>
      <c r="V614" s="35">
        <v>9.3000000000000007</v>
      </c>
      <c r="W614" s="35">
        <v>9</v>
      </c>
      <c r="X614" s="35">
        <v>8.4</v>
      </c>
      <c r="Y614" s="35">
        <v>9</v>
      </c>
      <c r="Z614" s="35">
        <v>9.4</v>
      </c>
      <c r="AA614" s="35">
        <v>9</v>
      </c>
      <c r="AB614" s="35">
        <v>11</v>
      </c>
      <c r="AC614" s="35">
        <v>9</v>
      </c>
      <c r="AD614" s="35">
        <v>20.5</v>
      </c>
      <c r="AE614" s="35">
        <v>19</v>
      </c>
      <c r="AF614" s="35">
        <v>20</v>
      </c>
      <c r="AG614" s="35">
        <v>19</v>
      </c>
      <c r="AH614" s="35">
        <v>19.100000000000001</v>
      </c>
      <c r="AI614" s="35">
        <v>19</v>
      </c>
      <c r="AJ614" s="35">
        <v>19.7</v>
      </c>
      <c r="AK614" s="35">
        <v>19</v>
      </c>
      <c r="AL614" s="35">
        <v>19.7</v>
      </c>
      <c r="AM614" s="35">
        <v>19</v>
      </c>
      <c r="AN614" s="35">
        <v>18.8</v>
      </c>
      <c r="AO614" s="35">
        <v>19</v>
      </c>
      <c r="AP614" s="35">
        <v>20.3</v>
      </c>
      <c r="AQ614" s="35">
        <v>19</v>
      </c>
      <c r="AR614" s="35">
        <v>20.8</v>
      </c>
      <c r="AS614" s="35">
        <v>19</v>
      </c>
      <c r="AT614" s="35">
        <v>20.399999999999999</v>
      </c>
      <c r="AU614" s="35">
        <v>19</v>
      </c>
      <c r="AV614" s="35">
        <v>20.9</v>
      </c>
      <c r="AW614" s="35">
        <v>19</v>
      </c>
      <c r="AX614" s="35">
        <v>21.1</v>
      </c>
      <c r="AY614" s="35">
        <v>20</v>
      </c>
      <c r="AZ614" s="35">
        <v>21.5</v>
      </c>
      <c r="BA614" s="35">
        <v>20</v>
      </c>
      <c r="BB614" s="35">
        <v>30</v>
      </c>
      <c r="BC614" s="35">
        <v>40</v>
      </c>
      <c r="BD614" s="35">
        <v>29.2</v>
      </c>
      <c r="BE614" s="35">
        <v>40</v>
      </c>
      <c r="BF614" s="35">
        <v>21.8</v>
      </c>
      <c r="BG614" s="35">
        <v>20</v>
      </c>
    </row>
    <row r="615" spans="1:59" x14ac:dyDescent="0.35">
      <c r="A615" s="36">
        <v>46059.887499999997</v>
      </c>
      <c r="B615" s="35">
        <v>2</v>
      </c>
      <c r="C615" s="35">
        <v>2</v>
      </c>
      <c r="D615" s="35">
        <v>2.5</v>
      </c>
      <c r="E615" s="35">
        <v>2.2000000000000002</v>
      </c>
      <c r="F615" s="35">
        <v>3.2</v>
      </c>
      <c r="G615" s="35">
        <v>2</v>
      </c>
      <c r="H615" s="35">
        <v>2.9</v>
      </c>
      <c r="I615" s="35">
        <v>2</v>
      </c>
      <c r="J615" s="35">
        <v>18.3</v>
      </c>
      <c r="K615" s="35">
        <v>2</v>
      </c>
      <c r="L615" s="35">
        <v>2.1</v>
      </c>
      <c r="M615" s="35">
        <v>2</v>
      </c>
      <c r="N615" s="35">
        <v>1.7</v>
      </c>
      <c r="O615" s="35">
        <v>3</v>
      </c>
      <c r="P615" s="35">
        <v>2.2999999999999998</v>
      </c>
      <c r="Q615" s="35">
        <v>2</v>
      </c>
      <c r="R615" s="35">
        <v>3.2</v>
      </c>
      <c r="S615" s="35">
        <v>2</v>
      </c>
      <c r="T615" s="35">
        <v>2.9</v>
      </c>
      <c r="U615" s="35">
        <v>2</v>
      </c>
      <c r="V615" s="35">
        <v>8.3000000000000007</v>
      </c>
      <c r="W615" s="35">
        <v>9</v>
      </c>
      <c r="X615" s="35">
        <v>8.6999999999999993</v>
      </c>
      <c r="Y615" s="35">
        <v>9</v>
      </c>
      <c r="Z615" s="35">
        <v>9.6</v>
      </c>
      <c r="AA615" s="35">
        <v>9</v>
      </c>
      <c r="AB615" s="35">
        <v>9.6</v>
      </c>
      <c r="AC615" s="35">
        <v>9</v>
      </c>
      <c r="AD615" s="35">
        <v>20.5</v>
      </c>
      <c r="AE615" s="35">
        <v>19</v>
      </c>
      <c r="AF615" s="35">
        <v>20</v>
      </c>
      <c r="AG615" s="35">
        <v>19</v>
      </c>
      <c r="AH615" s="35">
        <v>19.2</v>
      </c>
      <c r="AI615" s="35">
        <v>19</v>
      </c>
      <c r="AJ615" s="35">
        <v>19.8</v>
      </c>
      <c r="AK615" s="35">
        <v>19</v>
      </c>
      <c r="AL615" s="35">
        <v>19.5</v>
      </c>
      <c r="AM615" s="35">
        <v>19</v>
      </c>
      <c r="AN615" s="35">
        <v>19.100000000000001</v>
      </c>
      <c r="AO615" s="35">
        <v>19</v>
      </c>
      <c r="AP615" s="35">
        <v>20.3</v>
      </c>
      <c r="AQ615" s="35">
        <v>19</v>
      </c>
      <c r="AR615" s="35">
        <v>20.8</v>
      </c>
      <c r="AS615" s="35">
        <v>19</v>
      </c>
      <c r="AT615" s="35">
        <v>20.5</v>
      </c>
      <c r="AU615" s="35">
        <v>19</v>
      </c>
      <c r="AV615" s="35">
        <v>20.9</v>
      </c>
      <c r="AW615" s="35">
        <v>19</v>
      </c>
      <c r="AX615" s="35">
        <v>21.1</v>
      </c>
      <c r="AY615" s="35">
        <v>20</v>
      </c>
      <c r="AZ615" s="35">
        <v>21.5</v>
      </c>
      <c r="BA615" s="35">
        <v>20</v>
      </c>
      <c r="BB615" s="35">
        <v>30</v>
      </c>
      <c r="BC615" s="35">
        <v>40</v>
      </c>
      <c r="BD615" s="35">
        <v>29.2</v>
      </c>
      <c r="BE615" s="35">
        <v>40</v>
      </c>
      <c r="BF615" s="35">
        <v>21.8</v>
      </c>
      <c r="BG615" s="35">
        <v>20</v>
      </c>
    </row>
    <row r="616" spans="1:59" x14ac:dyDescent="0.35">
      <c r="A616" s="36">
        <v>46059.888194444444</v>
      </c>
      <c r="B616" s="35">
        <v>2.4</v>
      </c>
      <c r="C616" s="35">
        <v>2</v>
      </c>
      <c r="D616" s="35">
        <v>2.9</v>
      </c>
      <c r="E616" s="35">
        <v>2.2000000000000002</v>
      </c>
      <c r="F616" s="35">
        <v>3.1</v>
      </c>
      <c r="G616" s="35">
        <v>2</v>
      </c>
      <c r="H616" s="35">
        <v>2.5</v>
      </c>
      <c r="I616" s="35">
        <v>2</v>
      </c>
      <c r="J616" s="35">
        <v>11.1</v>
      </c>
      <c r="K616" s="35">
        <v>2</v>
      </c>
      <c r="L616" s="35">
        <v>2</v>
      </c>
      <c r="M616" s="35">
        <v>2</v>
      </c>
      <c r="N616" s="35">
        <v>2.1</v>
      </c>
      <c r="O616" s="35">
        <v>3</v>
      </c>
      <c r="P616" s="35">
        <v>2.5</v>
      </c>
      <c r="Q616" s="35">
        <v>2</v>
      </c>
      <c r="R616" s="35">
        <v>3.3</v>
      </c>
      <c r="S616" s="35">
        <v>2</v>
      </c>
      <c r="T616" s="35">
        <v>3</v>
      </c>
      <c r="U616" s="35">
        <v>2</v>
      </c>
      <c r="V616" s="35">
        <v>8.4</v>
      </c>
      <c r="W616" s="35">
        <v>9</v>
      </c>
      <c r="X616" s="35">
        <v>8.9</v>
      </c>
      <c r="Y616" s="35">
        <v>9</v>
      </c>
      <c r="Z616" s="35">
        <v>9.8000000000000007</v>
      </c>
      <c r="AA616" s="35">
        <v>9</v>
      </c>
      <c r="AB616" s="35">
        <v>8.1</v>
      </c>
      <c r="AC616" s="35">
        <v>9</v>
      </c>
      <c r="AD616" s="35">
        <v>20.5</v>
      </c>
      <c r="AE616" s="35">
        <v>19</v>
      </c>
      <c r="AF616" s="35">
        <v>20.100000000000001</v>
      </c>
      <c r="AG616" s="35">
        <v>19</v>
      </c>
      <c r="AH616" s="35">
        <v>19.399999999999999</v>
      </c>
      <c r="AI616" s="35">
        <v>19</v>
      </c>
      <c r="AJ616" s="35">
        <v>19.899999999999999</v>
      </c>
      <c r="AK616" s="35">
        <v>19</v>
      </c>
      <c r="AL616" s="35">
        <v>19.399999999999999</v>
      </c>
      <c r="AM616" s="35">
        <v>19</v>
      </c>
      <c r="AN616" s="35">
        <v>19.3</v>
      </c>
      <c r="AO616" s="35">
        <v>19</v>
      </c>
      <c r="AP616" s="35">
        <v>20.3</v>
      </c>
      <c r="AQ616" s="35">
        <v>19</v>
      </c>
      <c r="AR616" s="35">
        <v>20.8</v>
      </c>
      <c r="AS616" s="35">
        <v>19</v>
      </c>
      <c r="AT616" s="35">
        <v>20.6</v>
      </c>
      <c r="AU616" s="35">
        <v>19</v>
      </c>
      <c r="AV616" s="35">
        <v>20.9</v>
      </c>
      <c r="AW616" s="35">
        <v>19</v>
      </c>
      <c r="AX616" s="35">
        <v>21.1</v>
      </c>
      <c r="AY616" s="35">
        <v>20</v>
      </c>
      <c r="AZ616" s="35">
        <v>21.5</v>
      </c>
      <c r="BA616" s="35">
        <v>20</v>
      </c>
      <c r="BB616" s="35">
        <v>30</v>
      </c>
      <c r="BC616" s="35">
        <v>40</v>
      </c>
      <c r="BD616" s="35">
        <v>29.2</v>
      </c>
      <c r="BE616" s="35">
        <v>40</v>
      </c>
      <c r="BF616" s="35">
        <v>21.8</v>
      </c>
      <c r="BG616" s="35">
        <v>20</v>
      </c>
    </row>
    <row r="617" spans="1:59" x14ac:dyDescent="0.35">
      <c r="A617" s="36">
        <v>46059.888888888891</v>
      </c>
      <c r="B617" s="35">
        <v>2.8</v>
      </c>
      <c r="C617" s="35">
        <v>2</v>
      </c>
      <c r="D617" s="35">
        <v>3.3</v>
      </c>
      <c r="E617" s="35">
        <v>2.2000000000000002</v>
      </c>
      <c r="F617" s="35">
        <v>3.1</v>
      </c>
      <c r="G617" s="35">
        <v>2</v>
      </c>
      <c r="H617" s="35">
        <v>2.6</v>
      </c>
      <c r="I617" s="35">
        <v>2</v>
      </c>
      <c r="J617" s="35">
        <v>5.8</v>
      </c>
      <c r="K617" s="35">
        <v>2</v>
      </c>
      <c r="L617" s="35">
        <v>2.2000000000000002</v>
      </c>
      <c r="M617" s="35">
        <v>2</v>
      </c>
      <c r="N617" s="35">
        <v>2.6</v>
      </c>
      <c r="O617" s="35">
        <v>3</v>
      </c>
      <c r="P617" s="35">
        <v>2.8</v>
      </c>
      <c r="Q617" s="35">
        <v>2</v>
      </c>
      <c r="R617" s="35">
        <v>3.4</v>
      </c>
      <c r="S617" s="35">
        <v>2</v>
      </c>
      <c r="T617" s="35">
        <v>3.1</v>
      </c>
      <c r="U617" s="35">
        <v>2</v>
      </c>
      <c r="V617" s="35">
        <v>9.1</v>
      </c>
      <c r="W617" s="35">
        <v>9</v>
      </c>
      <c r="X617" s="35">
        <v>9</v>
      </c>
      <c r="Y617" s="35">
        <v>9</v>
      </c>
      <c r="Z617" s="35">
        <v>9.9</v>
      </c>
      <c r="AA617" s="35">
        <v>9</v>
      </c>
      <c r="AB617" s="35">
        <v>8</v>
      </c>
      <c r="AC617" s="35">
        <v>9</v>
      </c>
      <c r="AD617" s="35">
        <v>20.5</v>
      </c>
      <c r="AE617" s="35">
        <v>19</v>
      </c>
      <c r="AF617" s="35">
        <v>20.100000000000001</v>
      </c>
      <c r="AG617" s="35">
        <v>19</v>
      </c>
      <c r="AH617" s="35">
        <v>19.5</v>
      </c>
      <c r="AI617" s="35">
        <v>19</v>
      </c>
      <c r="AJ617" s="35">
        <v>20</v>
      </c>
      <c r="AK617" s="35">
        <v>19</v>
      </c>
      <c r="AL617" s="35">
        <v>19.2</v>
      </c>
      <c r="AM617" s="35">
        <v>19</v>
      </c>
      <c r="AN617" s="35">
        <v>19.399999999999999</v>
      </c>
      <c r="AO617" s="35">
        <v>19</v>
      </c>
      <c r="AP617" s="35">
        <v>20.3</v>
      </c>
      <c r="AQ617" s="35">
        <v>19</v>
      </c>
      <c r="AR617" s="35">
        <v>20.8</v>
      </c>
      <c r="AS617" s="35">
        <v>19</v>
      </c>
      <c r="AT617" s="35">
        <v>20.6</v>
      </c>
      <c r="AU617" s="35">
        <v>19</v>
      </c>
      <c r="AV617" s="35">
        <v>20.9</v>
      </c>
      <c r="AW617" s="35">
        <v>19</v>
      </c>
      <c r="AX617" s="35">
        <v>21.1</v>
      </c>
      <c r="AY617" s="35">
        <v>20</v>
      </c>
      <c r="AZ617" s="35">
        <v>21.5</v>
      </c>
      <c r="BA617" s="35">
        <v>20</v>
      </c>
      <c r="BB617" s="35">
        <v>30</v>
      </c>
      <c r="BC617" s="35">
        <v>40</v>
      </c>
      <c r="BD617" s="35">
        <v>29.2</v>
      </c>
      <c r="BE617" s="35">
        <v>40</v>
      </c>
      <c r="BF617" s="35">
        <v>21.8</v>
      </c>
      <c r="BG617" s="35">
        <v>20</v>
      </c>
    </row>
    <row r="618" spans="1:59" x14ac:dyDescent="0.35">
      <c r="A618" s="36">
        <v>46059.88958333333</v>
      </c>
      <c r="B618" s="35">
        <v>3.2</v>
      </c>
      <c r="C618" s="35">
        <v>2</v>
      </c>
      <c r="D618" s="35">
        <v>3.6</v>
      </c>
      <c r="E618" s="35">
        <v>2.2000000000000002</v>
      </c>
      <c r="F618" s="35">
        <v>3.4</v>
      </c>
      <c r="G618" s="35">
        <v>2</v>
      </c>
      <c r="H618" s="35">
        <v>3</v>
      </c>
      <c r="I618" s="35">
        <v>2</v>
      </c>
      <c r="J618" s="35">
        <v>4</v>
      </c>
      <c r="K618" s="35">
        <v>2</v>
      </c>
      <c r="L618" s="35">
        <v>2.2999999999999998</v>
      </c>
      <c r="M618" s="35">
        <v>2</v>
      </c>
      <c r="N618" s="35">
        <v>2.9</v>
      </c>
      <c r="O618" s="35">
        <v>3</v>
      </c>
      <c r="P618" s="35">
        <v>3</v>
      </c>
      <c r="Q618" s="35">
        <v>2</v>
      </c>
      <c r="R618" s="35">
        <v>3.5</v>
      </c>
      <c r="S618" s="35">
        <v>2</v>
      </c>
      <c r="T618" s="35">
        <v>3.3</v>
      </c>
      <c r="U618" s="35">
        <v>2</v>
      </c>
      <c r="V618" s="35">
        <v>9.8000000000000007</v>
      </c>
      <c r="W618" s="35">
        <v>9</v>
      </c>
      <c r="X618" s="35">
        <v>9.1999999999999993</v>
      </c>
      <c r="Y618" s="35">
        <v>9</v>
      </c>
      <c r="Z618" s="35">
        <v>10.1</v>
      </c>
      <c r="AA618" s="35">
        <v>9</v>
      </c>
      <c r="AB618" s="35">
        <v>8.4</v>
      </c>
      <c r="AC618" s="35">
        <v>9</v>
      </c>
      <c r="AD618" s="35">
        <v>20.6</v>
      </c>
      <c r="AE618" s="35">
        <v>19</v>
      </c>
      <c r="AF618" s="35">
        <v>20.2</v>
      </c>
      <c r="AG618" s="35">
        <v>19</v>
      </c>
      <c r="AH618" s="35">
        <v>19.600000000000001</v>
      </c>
      <c r="AI618" s="35">
        <v>19</v>
      </c>
      <c r="AJ618" s="35">
        <v>20.100000000000001</v>
      </c>
      <c r="AK618" s="35">
        <v>19</v>
      </c>
      <c r="AL618" s="35">
        <v>19</v>
      </c>
      <c r="AM618" s="35">
        <v>19</v>
      </c>
      <c r="AN618" s="35">
        <v>19.600000000000001</v>
      </c>
      <c r="AO618" s="35">
        <v>19</v>
      </c>
      <c r="AP618" s="35">
        <v>20.399999999999999</v>
      </c>
      <c r="AQ618" s="35">
        <v>19</v>
      </c>
      <c r="AR618" s="35">
        <v>20.8</v>
      </c>
      <c r="AS618" s="35">
        <v>19</v>
      </c>
      <c r="AT618" s="35">
        <v>20.7</v>
      </c>
      <c r="AU618" s="35">
        <v>19</v>
      </c>
      <c r="AV618" s="35">
        <v>21</v>
      </c>
      <c r="AW618" s="35">
        <v>19</v>
      </c>
      <c r="AX618" s="35">
        <v>21</v>
      </c>
      <c r="AY618" s="35">
        <v>20</v>
      </c>
      <c r="AZ618" s="35">
        <v>21.5</v>
      </c>
      <c r="BA618" s="35">
        <v>20</v>
      </c>
      <c r="BB618" s="35">
        <v>30</v>
      </c>
      <c r="BC618" s="35">
        <v>40</v>
      </c>
      <c r="BD618" s="35">
        <v>29.2</v>
      </c>
      <c r="BE618" s="35">
        <v>40</v>
      </c>
      <c r="BF618" s="35">
        <v>21.9</v>
      </c>
      <c r="BG618" s="35">
        <v>20</v>
      </c>
    </row>
    <row r="619" spans="1:59" x14ac:dyDescent="0.35">
      <c r="A619" s="36">
        <v>46059.890277777777</v>
      </c>
      <c r="B619" s="35">
        <v>3.5</v>
      </c>
      <c r="C619" s="35">
        <v>2</v>
      </c>
      <c r="D619" s="35">
        <v>4</v>
      </c>
      <c r="E619" s="35">
        <v>2.2000000000000002</v>
      </c>
      <c r="F619" s="35">
        <v>3.7</v>
      </c>
      <c r="G619" s="35">
        <v>2</v>
      </c>
      <c r="H619" s="35">
        <v>3.2</v>
      </c>
      <c r="I619" s="35">
        <v>2</v>
      </c>
      <c r="J619" s="35">
        <v>3.4</v>
      </c>
      <c r="K619" s="35">
        <v>2</v>
      </c>
      <c r="L619" s="35">
        <v>2.4</v>
      </c>
      <c r="M619" s="35">
        <v>2</v>
      </c>
      <c r="N619" s="35">
        <v>3.2</v>
      </c>
      <c r="O619" s="35">
        <v>3</v>
      </c>
      <c r="P619" s="35">
        <v>3.2</v>
      </c>
      <c r="Q619" s="35">
        <v>2</v>
      </c>
      <c r="R619" s="35">
        <v>3.7</v>
      </c>
      <c r="S619" s="35">
        <v>2</v>
      </c>
      <c r="T619" s="35">
        <v>3.4</v>
      </c>
      <c r="U619" s="35">
        <v>2</v>
      </c>
      <c r="V619" s="35">
        <v>10.3</v>
      </c>
      <c r="W619" s="35">
        <v>9</v>
      </c>
      <c r="X619" s="35">
        <v>9.4</v>
      </c>
      <c r="Y619" s="35">
        <v>9</v>
      </c>
      <c r="Z619" s="35">
        <v>10.199999999999999</v>
      </c>
      <c r="AA619" s="35">
        <v>9</v>
      </c>
      <c r="AB619" s="35">
        <v>8.9</v>
      </c>
      <c r="AC619" s="35">
        <v>9</v>
      </c>
      <c r="AD619" s="35">
        <v>20.6</v>
      </c>
      <c r="AE619" s="35">
        <v>19</v>
      </c>
      <c r="AF619" s="35">
        <v>20.2</v>
      </c>
      <c r="AG619" s="35">
        <v>19</v>
      </c>
      <c r="AH619" s="35">
        <v>19.7</v>
      </c>
      <c r="AI619" s="35">
        <v>19</v>
      </c>
      <c r="AJ619" s="35">
        <v>20.2</v>
      </c>
      <c r="AK619" s="35">
        <v>19</v>
      </c>
      <c r="AL619" s="35">
        <v>19</v>
      </c>
      <c r="AM619" s="35">
        <v>19</v>
      </c>
      <c r="AN619" s="35">
        <v>19.7</v>
      </c>
      <c r="AO619" s="35">
        <v>19</v>
      </c>
      <c r="AP619" s="35">
        <v>20.399999999999999</v>
      </c>
      <c r="AQ619" s="35">
        <v>19</v>
      </c>
      <c r="AR619" s="35">
        <v>20.8</v>
      </c>
      <c r="AS619" s="35">
        <v>19</v>
      </c>
      <c r="AT619" s="35">
        <v>20.8</v>
      </c>
      <c r="AU619" s="35">
        <v>19</v>
      </c>
      <c r="AV619" s="35">
        <v>19.399999999999999</v>
      </c>
      <c r="AW619" s="35">
        <v>19</v>
      </c>
      <c r="AX619" s="35">
        <v>21</v>
      </c>
      <c r="AY619" s="35">
        <v>20</v>
      </c>
      <c r="AZ619" s="35">
        <v>21.5</v>
      </c>
      <c r="BA619" s="35">
        <v>20</v>
      </c>
      <c r="BB619" s="35">
        <v>30</v>
      </c>
      <c r="BC619" s="35">
        <v>40</v>
      </c>
      <c r="BD619" s="35">
        <v>29.2</v>
      </c>
      <c r="BE619" s="35">
        <v>40</v>
      </c>
      <c r="BF619" s="35">
        <v>21.9</v>
      </c>
      <c r="BG619" s="35">
        <v>20</v>
      </c>
    </row>
    <row r="620" spans="1:59" x14ac:dyDescent="0.35">
      <c r="A620" s="36">
        <v>46059.890972222223</v>
      </c>
      <c r="B620" s="35">
        <v>3.7</v>
      </c>
      <c r="C620" s="35">
        <v>2</v>
      </c>
      <c r="D620" s="35">
        <v>4.2</v>
      </c>
      <c r="E620" s="35">
        <v>2.2000000000000002</v>
      </c>
      <c r="F620" s="35">
        <v>3.7</v>
      </c>
      <c r="G620" s="35">
        <v>2</v>
      </c>
      <c r="H620" s="35">
        <v>3.2</v>
      </c>
      <c r="I620" s="35">
        <v>2</v>
      </c>
      <c r="J620" s="35">
        <v>2.5</v>
      </c>
      <c r="K620" s="35">
        <v>2</v>
      </c>
      <c r="L620" s="35">
        <v>2.4</v>
      </c>
      <c r="M620" s="35">
        <v>2</v>
      </c>
      <c r="N620" s="35">
        <v>3.5</v>
      </c>
      <c r="O620" s="35">
        <v>3</v>
      </c>
      <c r="P620" s="35">
        <v>3.4</v>
      </c>
      <c r="Q620" s="35">
        <v>2</v>
      </c>
      <c r="R620" s="35">
        <v>3.8</v>
      </c>
      <c r="S620" s="35">
        <v>2</v>
      </c>
      <c r="T620" s="35">
        <v>3.5</v>
      </c>
      <c r="U620" s="35">
        <v>2</v>
      </c>
      <c r="V620" s="35">
        <v>10.8</v>
      </c>
      <c r="W620" s="35">
        <v>9</v>
      </c>
      <c r="X620" s="35">
        <v>9.5</v>
      </c>
      <c r="Y620" s="35">
        <v>9</v>
      </c>
      <c r="Z620" s="35">
        <v>10.3</v>
      </c>
      <c r="AA620" s="35">
        <v>9</v>
      </c>
      <c r="AB620" s="35">
        <v>9.3000000000000007</v>
      </c>
      <c r="AC620" s="35">
        <v>9</v>
      </c>
      <c r="AD620" s="35">
        <v>20.6</v>
      </c>
      <c r="AE620" s="35">
        <v>19</v>
      </c>
      <c r="AF620" s="35">
        <v>20.3</v>
      </c>
      <c r="AG620" s="35">
        <v>19</v>
      </c>
      <c r="AH620" s="35">
        <v>19.8</v>
      </c>
      <c r="AI620" s="35">
        <v>19</v>
      </c>
      <c r="AJ620" s="35">
        <v>20.2</v>
      </c>
      <c r="AK620" s="35">
        <v>19</v>
      </c>
      <c r="AL620" s="35">
        <v>19.2</v>
      </c>
      <c r="AM620" s="35">
        <v>19</v>
      </c>
      <c r="AN620" s="35">
        <v>19.8</v>
      </c>
      <c r="AO620" s="35">
        <v>19</v>
      </c>
      <c r="AP620" s="35">
        <v>20.399999999999999</v>
      </c>
      <c r="AQ620" s="35">
        <v>19</v>
      </c>
      <c r="AR620" s="35">
        <v>20.8</v>
      </c>
      <c r="AS620" s="35">
        <v>19</v>
      </c>
      <c r="AT620" s="35">
        <v>20.9</v>
      </c>
      <c r="AU620" s="35">
        <v>19</v>
      </c>
      <c r="AV620" s="35">
        <v>17.399999999999999</v>
      </c>
      <c r="AW620" s="35">
        <v>19</v>
      </c>
      <c r="AX620" s="35">
        <v>21</v>
      </c>
      <c r="AY620" s="35">
        <v>20</v>
      </c>
      <c r="AZ620" s="35">
        <v>21.5</v>
      </c>
      <c r="BA620" s="35">
        <v>20</v>
      </c>
      <c r="BB620" s="35">
        <v>30</v>
      </c>
      <c r="BC620" s="35">
        <v>40</v>
      </c>
      <c r="BD620" s="35">
        <v>29.2</v>
      </c>
      <c r="BE620" s="35">
        <v>40</v>
      </c>
      <c r="BF620" s="35">
        <v>21.9</v>
      </c>
      <c r="BG620" s="35">
        <v>20</v>
      </c>
    </row>
    <row r="621" spans="1:59" x14ac:dyDescent="0.35">
      <c r="A621" s="36">
        <v>46059.89166666667</v>
      </c>
      <c r="B621" s="35">
        <v>3.6</v>
      </c>
      <c r="C621" s="35">
        <v>2</v>
      </c>
      <c r="D621" s="35">
        <v>4</v>
      </c>
      <c r="E621" s="35">
        <v>2.2000000000000002</v>
      </c>
      <c r="F621" s="35">
        <v>3.8</v>
      </c>
      <c r="G621" s="35">
        <v>2</v>
      </c>
      <c r="H621" s="35">
        <v>3.2</v>
      </c>
      <c r="I621" s="35">
        <v>2</v>
      </c>
      <c r="J621" s="35">
        <v>1.8</v>
      </c>
      <c r="K621" s="35">
        <v>2</v>
      </c>
      <c r="L621" s="35">
        <v>2.1</v>
      </c>
      <c r="M621" s="35">
        <v>2</v>
      </c>
      <c r="N621" s="35">
        <v>3.8</v>
      </c>
      <c r="O621" s="35">
        <v>3</v>
      </c>
      <c r="P621" s="35">
        <v>3.5</v>
      </c>
      <c r="Q621" s="35">
        <v>2</v>
      </c>
      <c r="R621" s="35">
        <v>3.9</v>
      </c>
      <c r="S621" s="35">
        <v>2</v>
      </c>
      <c r="T621" s="35">
        <v>3.6</v>
      </c>
      <c r="U621" s="35">
        <v>2</v>
      </c>
      <c r="V621" s="35">
        <v>11.1</v>
      </c>
      <c r="W621" s="35">
        <v>9</v>
      </c>
      <c r="X621" s="35">
        <v>9.6</v>
      </c>
      <c r="Y621" s="35">
        <v>9</v>
      </c>
      <c r="Z621" s="35">
        <v>10.4</v>
      </c>
      <c r="AA621" s="35">
        <v>9</v>
      </c>
      <c r="AB621" s="35">
        <v>9.6</v>
      </c>
      <c r="AC621" s="35">
        <v>9</v>
      </c>
      <c r="AD621" s="35">
        <v>20.6</v>
      </c>
      <c r="AE621" s="35">
        <v>19</v>
      </c>
      <c r="AF621" s="35">
        <v>20.3</v>
      </c>
      <c r="AG621" s="35">
        <v>19</v>
      </c>
      <c r="AH621" s="35">
        <v>19.8</v>
      </c>
      <c r="AI621" s="35">
        <v>19</v>
      </c>
      <c r="AJ621" s="35">
        <v>20.3</v>
      </c>
      <c r="AK621" s="35">
        <v>19</v>
      </c>
      <c r="AL621" s="35">
        <v>19.5</v>
      </c>
      <c r="AM621" s="35">
        <v>19</v>
      </c>
      <c r="AN621" s="35">
        <v>19.899999999999999</v>
      </c>
      <c r="AO621" s="35">
        <v>19</v>
      </c>
      <c r="AP621" s="35">
        <v>20.399999999999999</v>
      </c>
      <c r="AQ621" s="35">
        <v>19</v>
      </c>
      <c r="AR621" s="35">
        <v>20.8</v>
      </c>
      <c r="AS621" s="35">
        <v>19</v>
      </c>
      <c r="AT621" s="35">
        <v>21</v>
      </c>
      <c r="AU621" s="35">
        <v>19</v>
      </c>
      <c r="AV621" s="35">
        <v>17.2</v>
      </c>
      <c r="AW621" s="35">
        <v>19</v>
      </c>
      <c r="AX621" s="35">
        <v>21</v>
      </c>
      <c r="AY621" s="35">
        <v>20</v>
      </c>
      <c r="AZ621" s="35">
        <v>21.5</v>
      </c>
      <c r="BA621" s="35">
        <v>20</v>
      </c>
      <c r="BB621" s="35">
        <v>30</v>
      </c>
      <c r="BC621" s="35">
        <v>40</v>
      </c>
      <c r="BD621" s="35">
        <v>29.1</v>
      </c>
      <c r="BE621" s="35">
        <v>40</v>
      </c>
      <c r="BF621" s="35">
        <v>21.9</v>
      </c>
      <c r="BG621" s="35">
        <v>20</v>
      </c>
    </row>
    <row r="622" spans="1:59" x14ac:dyDescent="0.35">
      <c r="A622" s="36">
        <v>46059.892361111109</v>
      </c>
      <c r="B622" s="35">
        <v>3.6</v>
      </c>
      <c r="C622" s="35">
        <v>2</v>
      </c>
      <c r="D622" s="35">
        <v>4</v>
      </c>
      <c r="E622" s="35">
        <v>2.2000000000000002</v>
      </c>
      <c r="F622" s="35">
        <v>3.9</v>
      </c>
      <c r="G622" s="35">
        <v>2</v>
      </c>
      <c r="H622" s="35">
        <v>3.4</v>
      </c>
      <c r="I622" s="35">
        <v>2</v>
      </c>
      <c r="J622" s="35">
        <v>1.8</v>
      </c>
      <c r="K622" s="35">
        <v>2</v>
      </c>
      <c r="L622" s="35">
        <v>2.4</v>
      </c>
      <c r="M622" s="35">
        <v>2</v>
      </c>
      <c r="N622" s="35">
        <v>4</v>
      </c>
      <c r="O622" s="35">
        <v>3</v>
      </c>
      <c r="P622" s="35">
        <v>3.7</v>
      </c>
      <c r="Q622" s="35">
        <v>2</v>
      </c>
      <c r="R622" s="35">
        <v>4</v>
      </c>
      <c r="S622" s="35">
        <v>2</v>
      </c>
      <c r="T622" s="35">
        <v>3.7</v>
      </c>
      <c r="U622" s="35">
        <v>2</v>
      </c>
      <c r="V622" s="35">
        <v>9.1999999999999993</v>
      </c>
      <c r="W622" s="35">
        <v>9</v>
      </c>
      <c r="X622" s="35">
        <v>9.6999999999999993</v>
      </c>
      <c r="Y622" s="35">
        <v>9</v>
      </c>
      <c r="Z622" s="35">
        <v>10.5</v>
      </c>
      <c r="AA622" s="35">
        <v>9</v>
      </c>
      <c r="AB622" s="35">
        <v>9.8000000000000007</v>
      </c>
      <c r="AC622" s="35">
        <v>9</v>
      </c>
      <c r="AD622" s="35">
        <v>20.7</v>
      </c>
      <c r="AE622" s="35">
        <v>19</v>
      </c>
      <c r="AF622" s="35">
        <v>20.3</v>
      </c>
      <c r="AG622" s="35">
        <v>19</v>
      </c>
      <c r="AH622" s="35">
        <v>19.899999999999999</v>
      </c>
      <c r="AI622" s="35">
        <v>19</v>
      </c>
      <c r="AJ622" s="35">
        <v>20.399999999999999</v>
      </c>
      <c r="AK622" s="35">
        <v>19</v>
      </c>
      <c r="AL622" s="35">
        <v>19.7</v>
      </c>
      <c r="AM622" s="35">
        <v>19</v>
      </c>
      <c r="AN622" s="35">
        <v>20</v>
      </c>
      <c r="AO622" s="35">
        <v>19</v>
      </c>
      <c r="AP622" s="35">
        <v>20.399999999999999</v>
      </c>
      <c r="AQ622" s="35">
        <v>19</v>
      </c>
      <c r="AR622" s="35">
        <v>20.8</v>
      </c>
      <c r="AS622" s="35">
        <v>19</v>
      </c>
      <c r="AT622" s="35">
        <v>20.6</v>
      </c>
      <c r="AU622" s="35">
        <v>19</v>
      </c>
      <c r="AV622" s="35">
        <v>17.2</v>
      </c>
      <c r="AW622" s="35">
        <v>19</v>
      </c>
      <c r="AX622" s="35">
        <v>21</v>
      </c>
      <c r="AY622" s="35">
        <v>20</v>
      </c>
      <c r="AZ622" s="35">
        <v>21.5</v>
      </c>
      <c r="BA622" s="35">
        <v>20</v>
      </c>
      <c r="BB622" s="35">
        <v>30</v>
      </c>
      <c r="BC622" s="35">
        <v>40</v>
      </c>
      <c r="BD622" s="35">
        <v>29.1</v>
      </c>
      <c r="BE622" s="35">
        <v>40</v>
      </c>
      <c r="BF622" s="35">
        <v>21.9</v>
      </c>
      <c r="BG622" s="35">
        <v>20</v>
      </c>
    </row>
    <row r="623" spans="1:59" x14ac:dyDescent="0.35">
      <c r="A623" s="36">
        <v>46059.893055555556</v>
      </c>
      <c r="B623" s="35">
        <v>3.9</v>
      </c>
      <c r="C623" s="35">
        <v>2</v>
      </c>
      <c r="D623" s="35">
        <v>4.2</v>
      </c>
      <c r="E623" s="35">
        <v>2.2000000000000002</v>
      </c>
      <c r="F623" s="35">
        <v>4</v>
      </c>
      <c r="G623" s="35">
        <v>2</v>
      </c>
      <c r="H623" s="35">
        <v>3.6</v>
      </c>
      <c r="I623" s="35">
        <v>2</v>
      </c>
      <c r="J623" s="35">
        <v>2.1</v>
      </c>
      <c r="K623" s="35">
        <v>2</v>
      </c>
      <c r="L623" s="35">
        <v>2.7</v>
      </c>
      <c r="M623" s="35">
        <v>2</v>
      </c>
      <c r="N623" s="35">
        <v>4.0999999999999996</v>
      </c>
      <c r="O623" s="35">
        <v>3</v>
      </c>
      <c r="P623" s="35">
        <v>3.8</v>
      </c>
      <c r="Q623" s="35">
        <v>2</v>
      </c>
      <c r="R623" s="35">
        <v>3.1</v>
      </c>
      <c r="S623" s="35">
        <v>2</v>
      </c>
      <c r="T623" s="35">
        <v>2.5</v>
      </c>
      <c r="U623" s="35">
        <v>2</v>
      </c>
      <c r="V623" s="35">
        <v>7.5</v>
      </c>
      <c r="W623" s="35">
        <v>9</v>
      </c>
      <c r="X623" s="35">
        <v>9.9</v>
      </c>
      <c r="Y623" s="35">
        <v>9</v>
      </c>
      <c r="Z623" s="35">
        <v>10.5</v>
      </c>
      <c r="AA623" s="35">
        <v>9</v>
      </c>
      <c r="AB623" s="35">
        <v>10</v>
      </c>
      <c r="AC623" s="35">
        <v>9</v>
      </c>
      <c r="AD623" s="35">
        <v>20.7</v>
      </c>
      <c r="AE623" s="35">
        <v>19</v>
      </c>
      <c r="AF623" s="35">
        <v>20.399999999999999</v>
      </c>
      <c r="AG623" s="35">
        <v>19</v>
      </c>
      <c r="AH623" s="35">
        <v>20</v>
      </c>
      <c r="AI623" s="35">
        <v>19</v>
      </c>
      <c r="AJ623" s="35">
        <v>20.399999999999999</v>
      </c>
      <c r="AK623" s="35">
        <v>19</v>
      </c>
      <c r="AL623" s="35">
        <v>19.899999999999999</v>
      </c>
      <c r="AM623" s="35">
        <v>19</v>
      </c>
      <c r="AN623" s="35">
        <v>20.100000000000001</v>
      </c>
      <c r="AO623" s="35">
        <v>19</v>
      </c>
      <c r="AP623" s="35">
        <v>20.5</v>
      </c>
      <c r="AQ623" s="35">
        <v>19</v>
      </c>
      <c r="AR623" s="35">
        <v>20.8</v>
      </c>
      <c r="AS623" s="35">
        <v>19</v>
      </c>
      <c r="AT623" s="35">
        <v>19</v>
      </c>
      <c r="AU623" s="35">
        <v>19</v>
      </c>
      <c r="AV623" s="35">
        <v>17.5</v>
      </c>
      <c r="AW623" s="35">
        <v>19</v>
      </c>
      <c r="AX623" s="35">
        <v>21</v>
      </c>
      <c r="AY623" s="35">
        <v>20</v>
      </c>
      <c r="AZ623" s="35">
        <v>21.5</v>
      </c>
      <c r="BA623" s="35">
        <v>20</v>
      </c>
      <c r="BB623" s="35">
        <v>30</v>
      </c>
      <c r="BC623" s="35">
        <v>40</v>
      </c>
      <c r="BD623" s="35">
        <v>29.1</v>
      </c>
      <c r="BE623" s="35">
        <v>40</v>
      </c>
      <c r="BF623" s="35">
        <v>21.9</v>
      </c>
      <c r="BG623" s="35">
        <v>20</v>
      </c>
    </row>
    <row r="624" spans="1:59" x14ac:dyDescent="0.35">
      <c r="A624" s="36">
        <v>46059.893750000003</v>
      </c>
      <c r="B624" s="35">
        <v>4</v>
      </c>
      <c r="C624" s="35">
        <v>2</v>
      </c>
      <c r="D624" s="35">
        <v>4.4000000000000004</v>
      </c>
      <c r="E624" s="35">
        <v>2.2000000000000002</v>
      </c>
      <c r="F624" s="35">
        <v>2.2000000000000002</v>
      </c>
      <c r="G624" s="35">
        <v>2</v>
      </c>
      <c r="H624" s="35">
        <v>1.6</v>
      </c>
      <c r="I624" s="35">
        <v>2</v>
      </c>
      <c r="J624" s="35">
        <v>2.2999999999999998</v>
      </c>
      <c r="K624" s="35">
        <v>2</v>
      </c>
      <c r="L624" s="35">
        <v>3</v>
      </c>
      <c r="M624" s="35">
        <v>2</v>
      </c>
      <c r="N624" s="35">
        <v>4.3</v>
      </c>
      <c r="O624" s="35">
        <v>3</v>
      </c>
      <c r="P624" s="35">
        <v>3.9</v>
      </c>
      <c r="Q624" s="35">
        <v>2</v>
      </c>
      <c r="R624" s="35">
        <v>2</v>
      </c>
      <c r="S624" s="35">
        <v>2</v>
      </c>
      <c r="T624" s="35">
        <v>1.2</v>
      </c>
      <c r="U624" s="35">
        <v>2</v>
      </c>
      <c r="V624" s="35">
        <v>7.9</v>
      </c>
      <c r="W624" s="35">
        <v>9</v>
      </c>
      <c r="X624" s="35">
        <v>10</v>
      </c>
      <c r="Y624" s="35">
        <v>9</v>
      </c>
      <c r="Z624" s="35">
        <v>10.6</v>
      </c>
      <c r="AA624" s="35">
        <v>9</v>
      </c>
      <c r="AB624" s="35">
        <v>10.199999999999999</v>
      </c>
      <c r="AC624" s="35">
        <v>9</v>
      </c>
      <c r="AD624" s="35">
        <v>20.7</v>
      </c>
      <c r="AE624" s="35">
        <v>19</v>
      </c>
      <c r="AF624" s="35">
        <v>20.399999999999999</v>
      </c>
      <c r="AG624" s="35">
        <v>19</v>
      </c>
      <c r="AH624" s="35">
        <v>20</v>
      </c>
      <c r="AI624" s="35">
        <v>19</v>
      </c>
      <c r="AJ624" s="35">
        <v>20.5</v>
      </c>
      <c r="AK624" s="35">
        <v>19</v>
      </c>
      <c r="AL624" s="35">
        <v>20.100000000000001</v>
      </c>
      <c r="AM624" s="35">
        <v>19</v>
      </c>
      <c r="AN624" s="35">
        <v>20.2</v>
      </c>
      <c r="AO624" s="35">
        <v>19</v>
      </c>
      <c r="AP624" s="35">
        <v>20.5</v>
      </c>
      <c r="AQ624" s="35">
        <v>19</v>
      </c>
      <c r="AR624" s="35">
        <v>20.8</v>
      </c>
      <c r="AS624" s="35">
        <v>19</v>
      </c>
      <c r="AT624" s="35">
        <v>17.899999999999999</v>
      </c>
      <c r="AU624" s="35">
        <v>19</v>
      </c>
      <c r="AV624" s="35">
        <v>17.7</v>
      </c>
      <c r="AW624" s="35">
        <v>19</v>
      </c>
      <c r="AX624" s="35">
        <v>21</v>
      </c>
      <c r="AY624" s="35">
        <v>20</v>
      </c>
      <c r="AZ624" s="35">
        <v>21.5</v>
      </c>
      <c r="BA624" s="35">
        <v>20</v>
      </c>
      <c r="BB624" s="35">
        <v>29.9</v>
      </c>
      <c r="BC624" s="35">
        <v>40</v>
      </c>
      <c r="BD624" s="35">
        <v>29.1</v>
      </c>
      <c r="BE624" s="35">
        <v>40</v>
      </c>
      <c r="BF624" s="35">
        <v>21.9</v>
      </c>
      <c r="BG624" s="35">
        <v>20</v>
      </c>
    </row>
    <row r="625" spans="1:59" x14ac:dyDescent="0.35">
      <c r="A625" s="36">
        <v>46059.894444444442</v>
      </c>
      <c r="B625" s="35">
        <v>2.8</v>
      </c>
      <c r="C625" s="35">
        <v>2</v>
      </c>
      <c r="D625" s="35">
        <v>3</v>
      </c>
      <c r="E625" s="35">
        <v>2.2000000000000002</v>
      </c>
      <c r="F625" s="35">
        <v>1.4</v>
      </c>
      <c r="G625" s="35">
        <v>2</v>
      </c>
      <c r="H625" s="35">
        <v>1.4</v>
      </c>
      <c r="I625" s="35">
        <v>2</v>
      </c>
      <c r="J625" s="35">
        <v>2.7</v>
      </c>
      <c r="K625" s="35">
        <v>2</v>
      </c>
      <c r="L625" s="35">
        <v>3.4</v>
      </c>
      <c r="M625" s="35">
        <v>2</v>
      </c>
      <c r="N625" s="35">
        <v>3.2</v>
      </c>
      <c r="O625" s="35">
        <v>3</v>
      </c>
      <c r="P625" s="35">
        <v>3.5</v>
      </c>
      <c r="Q625" s="35">
        <v>2</v>
      </c>
      <c r="R625" s="35">
        <v>1.6</v>
      </c>
      <c r="S625" s="35">
        <v>2</v>
      </c>
      <c r="T625" s="35">
        <v>1.1000000000000001</v>
      </c>
      <c r="U625" s="35">
        <v>2</v>
      </c>
      <c r="V625" s="35">
        <v>8.6999999999999993</v>
      </c>
      <c r="W625" s="35">
        <v>9</v>
      </c>
      <c r="X625" s="35">
        <v>10</v>
      </c>
      <c r="Y625" s="35">
        <v>9</v>
      </c>
      <c r="Z625" s="35">
        <v>10.7</v>
      </c>
      <c r="AA625" s="35">
        <v>9</v>
      </c>
      <c r="AB625" s="35">
        <v>10.4</v>
      </c>
      <c r="AC625" s="35">
        <v>9</v>
      </c>
      <c r="AD625" s="35">
        <v>20.7</v>
      </c>
      <c r="AE625" s="35">
        <v>19</v>
      </c>
      <c r="AF625" s="35">
        <v>20.399999999999999</v>
      </c>
      <c r="AG625" s="35">
        <v>19</v>
      </c>
      <c r="AH625" s="35">
        <v>20.100000000000001</v>
      </c>
      <c r="AI625" s="35">
        <v>19</v>
      </c>
      <c r="AJ625" s="35">
        <v>20.6</v>
      </c>
      <c r="AK625" s="35">
        <v>19</v>
      </c>
      <c r="AL625" s="35">
        <v>20.3</v>
      </c>
      <c r="AM625" s="35">
        <v>19</v>
      </c>
      <c r="AN625" s="35">
        <v>20.3</v>
      </c>
      <c r="AO625" s="35">
        <v>19</v>
      </c>
      <c r="AP625" s="35">
        <v>20.5</v>
      </c>
      <c r="AQ625" s="35">
        <v>19</v>
      </c>
      <c r="AR625" s="35">
        <v>20.8</v>
      </c>
      <c r="AS625" s="35">
        <v>19</v>
      </c>
      <c r="AT625" s="35">
        <v>17.8</v>
      </c>
      <c r="AU625" s="35">
        <v>19</v>
      </c>
      <c r="AV625" s="35">
        <v>17.899999999999999</v>
      </c>
      <c r="AW625" s="35">
        <v>19</v>
      </c>
      <c r="AX625" s="35">
        <v>21</v>
      </c>
      <c r="AY625" s="35">
        <v>20</v>
      </c>
      <c r="AZ625" s="35">
        <v>21.5</v>
      </c>
      <c r="BA625" s="35">
        <v>20</v>
      </c>
      <c r="BB625" s="35">
        <v>29.9</v>
      </c>
      <c r="BC625" s="35">
        <v>40</v>
      </c>
      <c r="BD625" s="35">
        <v>29.1</v>
      </c>
      <c r="BE625" s="35">
        <v>40</v>
      </c>
      <c r="BF625" s="35">
        <v>21.9</v>
      </c>
      <c r="BG625" s="35">
        <v>20</v>
      </c>
    </row>
    <row r="626" spans="1:59" x14ac:dyDescent="0.35">
      <c r="A626" s="36">
        <v>46059.895138888889</v>
      </c>
      <c r="B626" s="35">
        <v>1.7</v>
      </c>
      <c r="C626" s="35">
        <v>2</v>
      </c>
      <c r="D626" s="35">
        <v>2</v>
      </c>
      <c r="E626" s="35">
        <v>2.2000000000000002</v>
      </c>
      <c r="F626" s="35">
        <v>1.5</v>
      </c>
      <c r="G626" s="35">
        <v>2</v>
      </c>
      <c r="H626" s="35">
        <v>1.6</v>
      </c>
      <c r="I626" s="35">
        <v>2</v>
      </c>
      <c r="J626" s="35">
        <v>3</v>
      </c>
      <c r="K626" s="35">
        <v>2</v>
      </c>
      <c r="L626" s="35">
        <v>3.6</v>
      </c>
      <c r="M626" s="35">
        <v>2</v>
      </c>
      <c r="N626" s="35">
        <v>1.7</v>
      </c>
      <c r="O626" s="35">
        <v>3</v>
      </c>
      <c r="P626" s="35">
        <v>2.2999999999999998</v>
      </c>
      <c r="Q626" s="35">
        <v>2</v>
      </c>
      <c r="R626" s="35">
        <v>1.6</v>
      </c>
      <c r="S626" s="35">
        <v>2</v>
      </c>
      <c r="T626" s="35">
        <v>1.1000000000000001</v>
      </c>
      <c r="U626" s="35">
        <v>2</v>
      </c>
      <c r="V626" s="35">
        <v>9.4</v>
      </c>
      <c r="W626" s="35">
        <v>9</v>
      </c>
      <c r="X626" s="35">
        <v>10.1</v>
      </c>
      <c r="Y626" s="35">
        <v>9</v>
      </c>
      <c r="Z626" s="35">
        <v>10.8</v>
      </c>
      <c r="AA626" s="35">
        <v>9</v>
      </c>
      <c r="AB626" s="35">
        <v>10.5</v>
      </c>
      <c r="AC626" s="35">
        <v>9</v>
      </c>
      <c r="AD626" s="35">
        <v>20.8</v>
      </c>
      <c r="AE626" s="35">
        <v>19</v>
      </c>
      <c r="AF626" s="35">
        <v>20.5</v>
      </c>
      <c r="AG626" s="35">
        <v>19</v>
      </c>
      <c r="AH626" s="35">
        <v>20.2</v>
      </c>
      <c r="AI626" s="35">
        <v>19</v>
      </c>
      <c r="AJ626" s="35">
        <v>20.6</v>
      </c>
      <c r="AK626" s="35">
        <v>19</v>
      </c>
      <c r="AL626" s="35">
        <v>20.5</v>
      </c>
      <c r="AM626" s="35">
        <v>19</v>
      </c>
      <c r="AN626" s="35">
        <v>20.399999999999999</v>
      </c>
      <c r="AO626" s="35">
        <v>19</v>
      </c>
      <c r="AP626" s="35">
        <v>20.5</v>
      </c>
      <c r="AQ626" s="35">
        <v>19</v>
      </c>
      <c r="AR626" s="35">
        <v>20.8</v>
      </c>
      <c r="AS626" s="35">
        <v>19</v>
      </c>
      <c r="AT626" s="35">
        <v>17.899999999999999</v>
      </c>
      <c r="AU626" s="35">
        <v>19</v>
      </c>
      <c r="AV626" s="35">
        <v>18.100000000000001</v>
      </c>
      <c r="AW626" s="35">
        <v>19</v>
      </c>
      <c r="AX626" s="35">
        <v>21</v>
      </c>
      <c r="AY626" s="35">
        <v>20</v>
      </c>
      <c r="AZ626" s="35">
        <v>21.5</v>
      </c>
      <c r="BA626" s="35">
        <v>20</v>
      </c>
      <c r="BB626" s="35">
        <v>29.9</v>
      </c>
      <c r="BC626" s="35">
        <v>40</v>
      </c>
      <c r="BD626" s="35">
        <v>29.1</v>
      </c>
      <c r="BE626" s="35">
        <v>40</v>
      </c>
      <c r="BF626" s="35">
        <v>21.9</v>
      </c>
      <c r="BG626" s="35">
        <v>20</v>
      </c>
    </row>
    <row r="627" spans="1:59" x14ac:dyDescent="0.35">
      <c r="A627" s="36">
        <v>46059.895833333336</v>
      </c>
      <c r="B627" s="35">
        <v>1.7</v>
      </c>
      <c r="C627" s="35">
        <v>2</v>
      </c>
      <c r="D627" s="35">
        <v>2</v>
      </c>
      <c r="E627" s="35">
        <v>2.2000000000000002</v>
      </c>
      <c r="F627" s="35">
        <v>1.9</v>
      </c>
      <c r="G627" s="35">
        <v>2</v>
      </c>
      <c r="H627" s="35">
        <v>2.1</v>
      </c>
      <c r="I627" s="35">
        <v>2</v>
      </c>
      <c r="J627" s="35">
        <v>3.3</v>
      </c>
      <c r="K627" s="35">
        <v>2</v>
      </c>
      <c r="L627" s="35">
        <v>3.9</v>
      </c>
      <c r="M627" s="35">
        <v>2</v>
      </c>
      <c r="N627" s="35">
        <v>1.5</v>
      </c>
      <c r="O627" s="35">
        <v>3</v>
      </c>
      <c r="P627" s="35">
        <v>2</v>
      </c>
      <c r="Q627" s="35">
        <v>2</v>
      </c>
      <c r="R627" s="35">
        <v>1.7</v>
      </c>
      <c r="S627" s="35">
        <v>2</v>
      </c>
      <c r="T627" s="35">
        <v>1.4</v>
      </c>
      <c r="U627" s="35">
        <v>2</v>
      </c>
      <c r="V627" s="35">
        <v>10</v>
      </c>
      <c r="W627" s="35">
        <v>9</v>
      </c>
      <c r="X627" s="35">
        <v>10.199999999999999</v>
      </c>
      <c r="Y627" s="35">
        <v>9</v>
      </c>
      <c r="Z627" s="35">
        <v>10.8</v>
      </c>
      <c r="AA627" s="35">
        <v>9</v>
      </c>
      <c r="AB627" s="35">
        <v>10.7</v>
      </c>
      <c r="AC627" s="35">
        <v>9</v>
      </c>
      <c r="AD627" s="35">
        <v>20.8</v>
      </c>
      <c r="AE627" s="35">
        <v>19</v>
      </c>
      <c r="AF627" s="35">
        <v>20.5</v>
      </c>
      <c r="AG627" s="35">
        <v>19</v>
      </c>
      <c r="AH627" s="35">
        <v>20.3</v>
      </c>
      <c r="AI627" s="35">
        <v>19</v>
      </c>
      <c r="AJ627" s="35">
        <v>20.7</v>
      </c>
      <c r="AK627" s="35">
        <v>19</v>
      </c>
      <c r="AL627" s="35">
        <v>20.7</v>
      </c>
      <c r="AM627" s="35">
        <v>19</v>
      </c>
      <c r="AN627" s="35">
        <v>20.399999999999999</v>
      </c>
      <c r="AO627" s="35">
        <v>19</v>
      </c>
      <c r="AP627" s="35">
        <v>20.5</v>
      </c>
      <c r="AQ627" s="35">
        <v>19</v>
      </c>
      <c r="AR627" s="35">
        <v>20.8</v>
      </c>
      <c r="AS627" s="35">
        <v>19</v>
      </c>
      <c r="AT627" s="35">
        <v>18.2</v>
      </c>
      <c r="AU627" s="35">
        <v>19</v>
      </c>
      <c r="AV627" s="35">
        <v>18.3</v>
      </c>
      <c r="AW627" s="35">
        <v>19</v>
      </c>
      <c r="AX627" s="35">
        <v>20.9</v>
      </c>
      <c r="AY627" s="35">
        <v>20</v>
      </c>
      <c r="AZ627" s="35">
        <v>21.5</v>
      </c>
      <c r="BA627" s="35">
        <v>20</v>
      </c>
      <c r="BB627" s="35">
        <v>29.9</v>
      </c>
      <c r="BC627" s="35">
        <v>40</v>
      </c>
      <c r="BD627" s="35">
        <v>29.1</v>
      </c>
      <c r="BE627" s="35">
        <v>40</v>
      </c>
      <c r="BF627" s="35">
        <v>21.9</v>
      </c>
      <c r="BG627" s="35">
        <v>20</v>
      </c>
    </row>
    <row r="628" spans="1:59" x14ac:dyDescent="0.35">
      <c r="A628" s="36">
        <v>46059.896527777775</v>
      </c>
      <c r="B628" s="35">
        <v>2.1</v>
      </c>
      <c r="C628" s="35">
        <v>2</v>
      </c>
      <c r="D628" s="35">
        <v>2.5</v>
      </c>
      <c r="E628" s="35">
        <v>2.2000000000000002</v>
      </c>
      <c r="F628" s="35">
        <v>2.2000000000000002</v>
      </c>
      <c r="G628" s="35">
        <v>2</v>
      </c>
      <c r="H628" s="35">
        <v>2.6</v>
      </c>
      <c r="I628" s="35">
        <v>2</v>
      </c>
      <c r="J628" s="35">
        <v>3.5</v>
      </c>
      <c r="K628" s="35">
        <v>2</v>
      </c>
      <c r="L628" s="35">
        <v>3.7</v>
      </c>
      <c r="M628" s="35">
        <v>2</v>
      </c>
      <c r="N628" s="35">
        <v>1.5</v>
      </c>
      <c r="O628" s="35">
        <v>3</v>
      </c>
      <c r="P628" s="35">
        <v>2</v>
      </c>
      <c r="Q628" s="35">
        <v>2</v>
      </c>
      <c r="R628" s="35">
        <v>2</v>
      </c>
      <c r="S628" s="35">
        <v>2</v>
      </c>
      <c r="T628" s="35">
        <v>1.8</v>
      </c>
      <c r="U628" s="35">
        <v>2</v>
      </c>
      <c r="V628" s="35">
        <v>10.4</v>
      </c>
      <c r="W628" s="35">
        <v>9</v>
      </c>
      <c r="X628" s="35">
        <v>10.3</v>
      </c>
      <c r="Y628" s="35">
        <v>9</v>
      </c>
      <c r="Z628" s="35">
        <v>10.9</v>
      </c>
      <c r="AA628" s="35">
        <v>9</v>
      </c>
      <c r="AB628" s="35">
        <v>10.8</v>
      </c>
      <c r="AC628" s="35">
        <v>9</v>
      </c>
      <c r="AD628" s="35">
        <v>20.8</v>
      </c>
      <c r="AE628" s="35">
        <v>19</v>
      </c>
      <c r="AF628" s="35">
        <v>20.6</v>
      </c>
      <c r="AG628" s="35">
        <v>19</v>
      </c>
      <c r="AH628" s="35">
        <v>20.3</v>
      </c>
      <c r="AI628" s="35">
        <v>19</v>
      </c>
      <c r="AJ628" s="35">
        <v>20.8</v>
      </c>
      <c r="AK628" s="35">
        <v>19</v>
      </c>
      <c r="AL628" s="35">
        <v>20.8</v>
      </c>
      <c r="AM628" s="35">
        <v>19</v>
      </c>
      <c r="AN628" s="35">
        <v>20.6</v>
      </c>
      <c r="AO628" s="35">
        <v>19</v>
      </c>
      <c r="AP628" s="35">
        <v>20.5</v>
      </c>
      <c r="AQ628" s="35">
        <v>19</v>
      </c>
      <c r="AR628" s="35">
        <v>20.8</v>
      </c>
      <c r="AS628" s="35">
        <v>19</v>
      </c>
      <c r="AT628" s="35">
        <v>18.399999999999999</v>
      </c>
      <c r="AU628" s="35">
        <v>19</v>
      </c>
      <c r="AV628" s="35">
        <v>18.399999999999999</v>
      </c>
      <c r="AW628" s="35">
        <v>19</v>
      </c>
      <c r="AX628" s="35">
        <v>20.9</v>
      </c>
      <c r="AY628" s="35">
        <v>20</v>
      </c>
      <c r="AZ628" s="35">
        <v>21.5</v>
      </c>
      <c r="BA628" s="35">
        <v>20</v>
      </c>
      <c r="BB628" s="35">
        <v>29.9</v>
      </c>
      <c r="BC628" s="35">
        <v>40</v>
      </c>
      <c r="BD628" s="35">
        <v>29.1</v>
      </c>
      <c r="BE628" s="35">
        <v>40</v>
      </c>
      <c r="BF628" s="35">
        <v>21.9</v>
      </c>
      <c r="BG628" s="35">
        <v>20</v>
      </c>
    </row>
    <row r="629" spans="1:59" x14ac:dyDescent="0.35">
      <c r="A629" s="36">
        <v>46059.897222222222</v>
      </c>
      <c r="B629" s="35">
        <v>2.5</v>
      </c>
      <c r="C629" s="35">
        <v>2</v>
      </c>
      <c r="D629" s="35">
        <v>2.9</v>
      </c>
      <c r="E629" s="35">
        <v>2.2000000000000002</v>
      </c>
      <c r="F629" s="35">
        <v>2.7</v>
      </c>
      <c r="G629" s="35">
        <v>2</v>
      </c>
      <c r="H629" s="35">
        <v>3</v>
      </c>
      <c r="I629" s="35">
        <v>2</v>
      </c>
      <c r="J629" s="35">
        <v>3</v>
      </c>
      <c r="K629" s="35">
        <v>2</v>
      </c>
      <c r="L629" s="35">
        <v>2.8</v>
      </c>
      <c r="M629" s="35">
        <v>2</v>
      </c>
      <c r="N629" s="35">
        <v>1.9</v>
      </c>
      <c r="O629" s="35">
        <v>3</v>
      </c>
      <c r="P629" s="35">
        <v>2.4</v>
      </c>
      <c r="Q629" s="35">
        <v>2</v>
      </c>
      <c r="R629" s="35">
        <v>2.2999999999999998</v>
      </c>
      <c r="S629" s="35">
        <v>2</v>
      </c>
      <c r="T629" s="35">
        <v>2.1</v>
      </c>
      <c r="U629" s="35">
        <v>2</v>
      </c>
      <c r="V629" s="35">
        <v>10.9</v>
      </c>
      <c r="W629" s="35">
        <v>9</v>
      </c>
      <c r="X629" s="35">
        <v>10.3</v>
      </c>
      <c r="Y629" s="35">
        <v>9</v>
      </c>
      <c r="Z629" s="35">
        <v>10.9</v>
      </c>
      <c r="AA629" s="35">
        <v>9</v>
      </c>
      <c r="AB629" s="35">
        <v>10.9</v>
      </c>
      <c r="AC629" s="35">
        <v>9</v>
      </c>
      <c r="AD629" s="35">
        <v>20.8</v>
      </c>
      <c r="AE629" s="35">
        <v>19</v>
      </c>
      <c r="AF629" s="35">
        <v>20.6</v>
      </c>
      <c r="AG629" s="35">
        <v>19</v>
      </c>
      <c r="AH629" s="35">
        <v>20.399999999999999</v>
      </c>
      <c r="AI629" s="35">
        <v>19</v>
      </c>
      <c r="AJ629" s="35">
        <v>20.8</v>
      </c>
      <c r="AK629" s="35">
        <v>19</v>
      </c>
      <c r="AL629" s="35">
        <v>20.9</v>
      </c>
      <c r="AM629" s="35">
        <v>19</v>
      </c>
      <c r="AN629" s="35">
        <v>20.6</v>
      </c>
      <c r="AO629" s="35">
        <v>19</v>
      </c>
      <c r="AP629" s="35">
        <v>20.5</v>
      </c>
      <c r="AQ629" s="35">
        <v>19</v>
      </c>
      <c r="AR629" s="35">
        <v>20.8</v>
      </c>
      <c r="AS629" s="35">
        <v>19</v>
      </c>
      <c r="AT629" s="35">
        <v>18.600000000000001</v>
      </c>
      <c r="AU629" s="35">
        <v>19</v>
      </c>
      <c r="AV629" s="35">
        <v>18.600000000000001</v>
      </c>
      <c r="AW629" s="35">
        <v>19</v>
      </c>
      <c r="AX629" s="35">
        <v>20.9</v>
      </c>
      <c r="AY629" s="35">
        <v>20</v>
      </c>
      <c r="AZ629" s="35">
        <v>21.5</v>
      </c>
      <c r="BA629" s="35">
        <v>20</v>
      </c>
      <c r="BB629" s="35">
        <v>29.9</v>
      </c>
      <c r="BC629" s="35">
        <v>40</v>
      </c>
      <c r="BD629" s="35">
        <v>29.1</v>
      </c>
      <c r="BE629" s="35">
        <v>40</v>
      </c>
      <c r="BF629" s="35">
        <v>21.9</v>
      </c>
      <c r="BG629" s="35">
        <v>20</v>
      </c>
    </row>
    <row r="630" spans="1:59" x14ac:dyDescent="0.35">
      <c r="A630" s="36">
        <v>46059.897916666669</v>
      </c>
      <c r="B630" s="35">
        <v>2.9</v>
      </c>
      <c r="C630" s="35">
        <v>2</v>
      </c>
      <c r="D630" s="35">
        <v>3.3</v>
      </c>
      <c r="E630" s="35">
        <v>2.2000000000000002</v>
      </c>
      <c r="F630" s="35">
        <v>3.1</v>
      </c>
      <c r="G630" s="35">
        <v>2</v>
      </c>
      <c r="H630" s="35">
        <v>3.3</v>
      </c>
      <c r="I630" s="35">
        <v>2</v>
      </c>
      <c r="J630" s="35">
        <v>2.2999999999999998</v>
      </c>
      <c r="K630" s="35">
        <v>2</v>
      </c>
      <c r="L630" s="35">
        <v>1.7</v>
      </c>
      <c r="M630" s="35">
        <v>2</v>
      </c>
      <c r="N630" s="35">
        <v>2.2000000000000002</v>
      </c>
      <c r="O630" s="35">
        <v>3</v>
      </c>
      <c r="P630" s="35">
        <v>2.8</v>
      </c>
      <c r="Q630" s="35">
        <v>2</v>
      </c>
      <c r="R630" s="35">
        <v>2.6</v>
      </c>
      <c r="S630" s="35">
        <v>2</v>
      </c>
      <c r="T630" s="35">
        <v>2.2999999999999998</v>
      </c>
      <c r="U630" s="35">
        <v>2</v>
      </c>
      <c r="V630" s="35">
        <v>10.8</v>
      </c>
      <c r="W630" s="35">
        <v>9</v>
      </c>
      <c r="X630" s="35">
        <v>10.4</v>
      </c>
      <c r="Y630" s="35">
        <v>9</v>
      </c>
      <c r="Z630" s="35">
        <v>10.9</v>
      </c>
      <c r="AA630" s="35">
        <v>9</v>
      </c>
      <c r="AB630" s="35">
        <v>11</v>
      </c>
      <c r="AC630" s="35">
        <v>9</v>
      </c>
      <c r="AD630" s="35">
        <v>20.9</v>
      </c>
      <c r="AE630" s="35">
        <v>19</v>
      </c>
      <c r="AF630" s="35">
        <v>20.6</v>
      </c>
      <c r="AG630" s="35">
        <v>19</v>
      </c>
      <c r="AH630" s="35">
        <v>20.399999999999999</v>
      </c>
      <c r="AI630" s="35">
        <v>19</v>
      </c>
      <c r="AJ630" s="35">
        <v>20.9</v>
      </c>
      <c r="AK630" s="35">
        <v>19</v>
      </c>
      <c r="AL630" s="35">
        <v>21</v>
      </c>
      <c r="AM630" s="35">
        <v>19</v>
      </c>
      <c r="AN630" s="35">
        <v>20.7</v>
      </c>
      <c r="AO630" s="35">
        <v>19</v>
      </c>
      <c r="AP630" s="35">
        <v>20.5</v>
      </c>
      <c r="AQ630" s="35">
        <v>19</v>
      </c>
      <c r="AR630" s="35">
        <v>20.8</v>
      </c>
      <c r="AS630" s="35">
        <v>19</v>
      </c>
      <c r="AT630" s="35">
        <v>18.8</v>
      </c>
      <c r="AU630" s="35">
        <v>19</v>
      </c>
      <c r="AV630" s="35">
        <v>18.8</v>
      </c>
      <c r="AW630" s="35">
        <v>19</v>
      </c>
      <c r="AX630" s="35">
        <v>20.9</v>
      </c>
      <c r="AY630" s="35">
        <v>20</v>
      </c>
      <c r="AZ630" s="35">
        <v>21.5</v>
      </c>
      <c r="BA630" s="35">
        <v>20</v>
      </c>
      <c r="BB630" s="35">
        <v>29.9</v>
      </c>
      <c r="BC630" s="35">
        <v>40</v>
      </c>
      <c r="BD630" s="35">
        <v>29</v>
      </c>
      <c r="BE630" s="35">
        <v>40</v>
      </c>
      <c r="BF630" s="35">
        <v>21.9</v>
      </c>
      <c r="BG630" s="35">
        <v>20</v>
      </c>
    </row>
    <row r="631" spans="1:59" x14ac:dyDescent="0.35">
      <c r="A631" s="36">
        <v>46059.898611111108</v>
      </c>
      <c r="B631" s="35">
        <v>3.2</v>
      </c>
      <c r="C631" s="35">
        <v>2</v>
      </c>
      <c r="D631" s="35">
        <v>3.7</v>
      </c>
      <c r="E631" s="35">
        <v>2.2000000000000002</v>
      </c>
      <c r="F631" s="35">
        <v>3.3</v>
      </c>
      <c r="G631" s="35">
        <v>2</v>
      </c>
      <c r="H631" s="35">
        <v>3.6</v>
      </c>
      <c r="I631" s="35">
        <v>2</v>
      </c>
      <c r="J631" s="35">
        <v>2.2999999999999998</v>
      </c>
      <c r="K631" s="35">
        <v>2</v>
      </c>
      <c r="L631" s="35">
        <v>1.7</v>
      </c>
      <c r="M631" s="35">
        <v>2</v>
      </c>
      <c r="N631" s="35">
        <v>2.6</v>
      </c>
      <c r="O631" s="35">
        <v>3</v>
      </c>
      <c r="P631" s="35">
        <v>3</v>
      </c>
      <c r="Q631" s="35">
        <v>2</v>
      </c>
      <c r="R631" s="35">
        <v>2.8</v>
      </c>
      <c r="S631" s="35">
        <v>2</v>
      </c>
      <c r="T631" s="35">
        <v>2.6</v>
      </c>
      <c r="U631" s="35">
        <v>2</v>
      </c>
      <c r="V631" s="35">
        <v>9.5</v>
      </c>
      <c r="W631" s="35">
        <v>9</v>
      </c>
      <c r="X631" s="35">
        <v>10.5</v>
      </c>
      <c r="Y631" s="35">
        <v>9</v>
      </c>
      <c r="Z631" s="35">
        <v>10.9</v>
      </c>
      <c r="AA631" s="35">
        <v>9</v>
      </c>
      <c r="AB631" s="35">
        <v>10.6</v>
      </c>
      <c r="AC631" s="35">
        <v>9</v>
      </c>
      <c r="AD631" s="35">
        <v>20.9</v>
      </c>
      <c r="AE631" s="35">
        <v>19</v>
      </c>
      <c r="AF631" s="35">
        <v>20.6</v>
      </c>
      <c r="AG631" s="35">
        <v>19</v>
      </c>
      <c r="AH631" s="35">
        <v>20.5</v>
      </c>
      <c r="AI631" s="35">
        <v>19</v>
      </c>
      <c r="AJ631" s="35">
        <v>20.9</v>
      </c>
      <c r="AK631" s="35">
        <v>19</v>
      </c>
      <c r="AL631" s="35">
        <v>20.8</v>
      </c>
      <c r="AM631" s="35">
        <v>19</v>
      </c>
      <c r="AN631" s="35">
        <v>20.8</v>
      </c>
      <c r="AO631" s="35">
        <v>19</v>
      </c>
      <c r="AP631" s="35">
        <v>20.6</v>
      </c>
      <c r="AQ631" s="35">
        <v>19</v>
      </c>
      <c r="AR631" s="35">
        <v>20.8</v>
      </c>
      <c r="AS631" s="35">
        <v>19</v>
      </c>
      <c r="AT631" s="35">
        <v>19</v>
      </c>
      <c r="AU631" s="35">
        <v>19</v>
      </c>
      <c r="AV631" s="35">
        <v>19</v>
      </c>
      <c r="AW631" s="35">
        <v>19</v>
      </c>
      <c r="AX631" s="35">
        <v>20.9</v>
      </c>
      <c r="AY631" s="35">
        <v>20</v>
      </c>
      <c r="AZ631" s="35">
        <v>21.5</v>
      </c>
      <c r="BA631" s="35">
        <v>20</v>
      </c>
      <c r="BB631" s="35">
        <v>29.8</v>
      </c>
      <c r="BC631" s="35">
        <v>40</v>
      </c>
      <c r="BD631" s="35">
        <v>29</v>
      </c>
      <c r="BE631" s="35">
        <v>40</v>
      </c>
      <c r="BF631" s="35">
        <v>21.9</v>
      </c>
      <c r="BG631" s="35">
        <v>20</v>
      </c>
    </row>
    <row r="632" spans="1:59" x14ac:dyDescent="0.35">
      <c r="A632" s="36">
        <v>46059.9</v>
      </c>
      <c r="B632" s="35">
        <v>3.8</v>
      </c>
      <c r="C632" s="35">
        <v>2</v>
      </c>
      <c r="D632" s="35">
        <v>4.2</v>
      </c>
      <c r="E632" s="35">
        <v>2.2000000000000002</v>
      </c>
      <c r="F632" s="35">
        <v>3.8</v>
      </c>
      <c r="G632" s="35">
        <v>2</v>
      </c>
      <c r="H632" s="35">
        <v>3.8</v>
      </c>
      <c r="I632" s="35">
        <v>2</v>
      </c>
      <c r="J632" s="35">
        <v>2.9</v>
      </c>
      <c r="K632" s="35">
        <v>2</v>
      </c>
      <c r="L632" s="35">
        <v>2.5</v>
      </c>
      <c r="M632" s="35">
        <v>2</v>
      </c>
      <c r="N632" s="35">
        <v>3.3</v>
      </c>
      <c r="O632" s="35">
        <v>3</v>
      </c>
      <c r="P632" s="35">
        <v>3.5</v>
      </c>
      <c r="Q632" s="35">
        <v>2</v>
      </c>
      <c r="R632" s="35">
        <v>3.2</v>
      </c>
      <c r="S632" s="35">
        <v>2</v>
      </c>
      <c r="T632" s="35">
        <v>2.9</v>
      </c>
      <c r="U632" s="35">
        <v>2</v>
      </c>
      <c r="V632" s="35">
        <v>8.8000000000000007</v>
      </c>
      <c r="W632" s="35">
        <v>9</v>
      </c>
      <c r="X632" s="35">
        <v>10.6</v>
      </c>
      <c r="Y632" s="35">
        <v>9</v>
      </c>
      <c r="Z632" s="35">
        <v>9.5</v>
      </c>
      <c r="AA632" s="35">
        <v>9</v>
      </c>
      <c r="AB632" s="35">
        <v>8.4</v>
      </c>
      <c r="AC632" s="35">
        <v>9</v>
      </c>
      <c r="AD632" s="35">
        <v>20.9</v>
      </c>
      <c r="AE632" s="35">
        <v>19</v>
      </c>
      <c r="AF632" s="35">
        <v>20.7</v>
      </c>
      <c r="AG632" s="35">
        <v>19</v>
      </c>
      <c r="AH632" s="35">
        <v>20.6</v>
      </c>
      <c r="AI632" s="35">
        <v>19</v>
      </c>
      <c r="AJ632" s="35">
        <v>19.600000000000001</v>
      </c>
      <c r="AK632" s="35">
        <v>19</v>
      </c>
      <c r="AL632" s="35">
        <v>20.100000000000001</v>
      </c>
      <c r="AM632" s="35">
        <v>19</v>
      </c>
      <c r="AN632" s="35">
        <v>20.9</v>
      </c>
      <c r="AO632" s="35">
        <v>19</v>
      </c>
      <c r="AP632" s="35">
        <v>20.6</v>
      </c>
      <c r="AQ632" s="35">
        <v>19</v>
      </c>
      <c r="AR632" s="35">
        <v>20.8</v>
      </c>
      <c r="AS632" s="35">
        <v>19</v>
      </c>
      <c r="AT632" s="35">
        <v>19.2</v>
      </c>
      <c r="AU632" s="35">
        <v>19</v>
      </c>
      <c r="AV632" s="35">
        <v>19.3</v>
      </c>
      <c r="AW632" s="35">
        <v>19</v>
      </c>
      <c r="AX632" s="35">
        <v>20.9</v>
      </c>
      <c r="AY632" s="35">
        <v>20</v>
      </c>
      <c r="AZ632" s="35">
        <v>21.5</v>
      </c>
      <c r="BA632" s="35">
        <v>20</v>
      </c>
      <c r="BB632" s="35">
        <v>29.8</v>
      </c>
      <c r="BC632" s="35">
        <v>40</v>
      </c>
      <c r="BD632" s="35">
        <v>29</v>
      </c>
      <c r="BE632" s="35">
        <v>40</v>
      </c>
      <c r="BF632" s="35">
        <v>21.9</v>
      </c>
      <c r="BG632" s="35">
        <v>20</v>
      </c>
    </row>
    <row r="633" spans="1:59" x14ac:dyDescent="0.35">
      <c r="A633" s="36">
        <v>46059.900694444441</v>
      </c>
      <c r="B633" s="35">
        <v>3.8</v>
      </c>
      <c r="C633" s="35">
        <v>2</v>
      </c>
      <c r="D633" s="35">
        <v>4</v>
      </c>
      <c r="E633" s="35">
        <v>2.2000000000000002</v>
      </c>
      <c r="F633" s="35">
        <v>3.2</v>
      </c>
      <c r="G633" s="35">
        <v>2</v>
      </c>
      <c r="H633" s="35">
        <v>2.9</v>
      </c>
      <c r="I633" s="35">
        <v>2</v>
      </c>
      <c r="J633" s="35">
        <v>3.3</v>
      </c>
      <c r="K633" s="35">
        <v>2</v>
      </c>
      <c r="L633" s="35">
        <v>2.9</v>
      </c>
      <c r="M633" s="35">
        <v>2</v>
      </c>
      <c r="N633" s="35">
        <v>3.5</v>
      </c>
      <c r="O633" s="35">
        <v>3</v>
      </c>
      <c r="P633" s="35">
        <v>3.6</v>
      </c>
      <c r="Q633" s="35">
        <v>2</v>
      </c>
      <c r="R633" s="35">
        <v>3.3</v>
      </c>
      <c r="S633" s="35">
        <v>2</v>
      </c>
      <c r="T633" s="35">
        <v>3.1</v>
      </c>
      <c r="U633" s="35">
        <v>2</v>
      </c>
      <c r="V633" s="35">
        <v>9.4</v>
      </c>
      <c r="W633" s="35">
        <v>9</v>
      </c>
      <c r="X633" s="35">
        <v>10.7</v>
      </c>
      <c r="Y633" s="35">
        <v>9</v>
      </c>
      <c r="Z633" s="35">
        <v>8.6999999999999993</v>
      </c>
      <c r="AA633" s="35">
        <v>9</v>
      </c>
      <c r="AB633" s="35">
        <v>8.1999999999999993</v>
      </c>
      <c r="AC633" s="35">
        <v>9</v>
      </c>
      <c r="AD633" s="35">
        <v>21</v>
      </c>
      <c r="AE633" s="35">
        <v>19</v>
      </c>
      <c r="AF633" s="35">
        <v>20.7</v>
      </c>
      <c r="AG633" s="35">
        <v>19</v>
      </c>
      <c r="AH633" s="35">
        <v>20.6</v>
      </c>
      <c r="AI633" s="35">
        <v>19</v>
      </c>
      <c r="AJ633" s="35">
        <v>17.899999999999999</v>
      </c>
      <c r="AK633" s="35">
        <v>19</v>
      </c>
      <c r="AL633" s="35">
        <v>19.899999999999999</v>
      </c>
      <c r="AM633" s="35">
        <v>19</v>
      </c>
      <c r="AN633" s="35">
        <v>21</v>
      </c>
      <c r="AO633" s="35">
        <v>19</v>
      </c>
      <c r="AP633" s="35">
        <v>20.6</v>
      </c>
      <c r="AQ633" s="35">
        <v>19</v>
      </c>
      <c r="AR633" s="35">
        <v>20.8</v>
      </c>
      <c r="AS633" s="35">
        <v>19</v>
      </c>
      <c r="AT633" s="35">
        <v>19.399999999999999</v>
      </c>
      <c r="AU633" s="35">
        <v>19</v>
      </c>
      <c r="AV633" s="35">
        <v>19.399999999999999</v>
      </c>
      <c r="AW633" s="35">
        <v>19</v>
      </c>
      <c r="AX633" s="35">
        <v>20.9</v>
      </c>
      <c r="AY633" s="35">
        <v>20</v>
      </c>
      <c r="AZ633" s="35">
        <v>21.5</v>
      </c>
      <c r="BA633" s="35">
        <v>20</v>
      </c>
      <c r="BB633" s="35">
        <v>29.8</v>
      </c>
      <c r="BC633" s="35">
        <v>40</v>
      </c>
      <c r="BD633" s="35">
        <v>29</v>
      </c>
      <c r="BE633" s="35">
        <v>40</v>
      </c>
      <c r="BF633" s="35">
        <v>21.9</v>
      </c>
      <c r="BG633" s="35">
        <v>20</v>
      </c>
    </row>
    <row r="634" spans="1:59" x14ac:dyDescent="0.35">
      <c r="A634" s="36">
        <v>46059.901388888888</v>
      </c>
      <c r="B634" s="35">
        <v>3.8</v>
      </c>
      <c r="C634" s="35">
        <v>2</v>
      </c>
      <c r="D634" s="35">
        <v>4</v>
      </c>
      <c r="E634" s="35">
        <v>2.2000000000000002</v>
      </c>
      <c r="F634" s="35">
        <v>3.2</v>
      </c>
      <c r="G634" s="35">
        <v>2</v>
      </c>
      <c r="H634" s="35">
        <v>2.9</v>
      </c>
      <c r="I634" s="35">
        <v>2</v>
      </c>
      <c r="J634" s="35">
        <v>3.6</v>
      </c>
      <c r="K634" s="35">
        <v>2</v>
      </c>
      <c r="L634" s="35">
        <v>3.3</v>
      </c>
      <c r="M634" s="35">
        <v>2</v>
      </c>
      <c r="N634" s="35">
        <v>3.8</v>
      </c>
      <c r="O634" s="35">
        <v>3</v>
      </c>
      <c r="P634" s="35">
        <v>3.8</v>
      </c>
      <c r="Q634" s="35">
        <v>2</v>
      </c>
      <c r="R634" s="35">
        <v>3.4</v>
      </c>
      <c r="S634" s="35">
        <v>2</v>
      </c>
      <c r="T634" s="35">
        <v>3.2</v>
      </c>
      <c r="U634" s="35">
        <v>2</v>
      </c>
      <c r="V634" s="35">
        <v>10</v>
      </c>
      <c r="W634" s="35">
        <v>9</v>
      </c>
      <c r="X634" s="35">
        <v>10.7</v>
      </c>
      <c r="Y634" s="35">
        <v>9</v>
      </c>
      <c r="Z634" s="35">
        <v>8.6999999999999993</v>
      </c>
      <c r="AA634" s="35">
        <v>9</v>
      </c>
      <c r="AB634" s="35">
        <v>8.6999999999999993</v>
      </c>
      <c r="AC634" s="35">
        <v>9</v>
      </c>
      <c r="AD634" s="35">
        <v>20.8</v>
      </c>
      <c r="AE634" s="35">
        <v>19</v>
      </c>
      <c r="AF634" s="35">
        <v>20.8</v>
      </c>
      <c r="AG634" s="35">
        <v>19</v>
      </c>
      <c r="AH634" s="35">
        <v>20.7</v>
      </c>
      <c r="AI634" s="35">
        <v>19</v>
      </c>
      <c r="AJ634" s="35">
        <v>17.8</v>
      </c>
      <c r="AK634" s="35">
        <v>19</v>
      </c>
      <c r="AL634" s="35">
        <v>19.8</v>
      </c>
      <c r="AM634" s="35">
        <v>19</v>
      </c>
      <c r="AN634" s="35">
        <v>21</v>
      </c>
      <c r="AO634" s="35">
        <v>19</v>
      </c>
      <c r="AP634" s="35">
        <v>20.6</v>
      </c>
      <c r="AQ634" s="35">
        <v>19</v>
      </c>
      <c r="AR634" s="35">
        <v>20.8</v>
      </c>
      <c r="AS634" s="35">
        <v>19</v>
      </c>
      <c r="AT634" s="35">
        <v>19.5</v>
      </c>
      <c r="AU634" s="35">
        <v>19</v>
      </c>
      <c r="AV634" s="35">
        <v>19.5</v>
      </c>
      <c r="AW634" s="35">
        <v>19</v>
      </c>
      <c r="AX634" s="35">
        <v>20.9</v>
      </c>
      <c r="AY634" s="35">
        <v>20</v>
      </c>
      <c r="AZ634" s="35">
        <v>21.5</v>
      </c>
      <c r="BA634" s="35">
        <v>20</v>
      </c>
      <c r="BB634" s="35">
        <v>29.8</v>
      </c>
      <c r="BC634" s="35">
        <v>40</v>
      </c>
      <c r="BD634" s="35">
        <v>29</v>
      </c>
      <c r="BE634" s="35">
        <v>40</v>
      </c>
      <c r="BF634" s="35">
        <v>21.9</v>
      </c>
      <c r="BG634" s="35">
        <v>20</v>
      </c>
    </row>
    <row r="635" spans="1:59" x14ac:dyDescent="0.35">
      <c r="A635" s="36">
        <v>46059.902777777781</v>
      </c>
      <c r="B635" s="35">
        <v>3.8</v>
      </c>
      <c r="C635" s="35">
        <v>2</v>
      </c>
      <c r="D635" s="35">
        <v>4.0999999999999996</v>
      </c>
      <c r="E635" s="35">
        <v>2.2000000000000002</v>
      </c>
      <c r="F635" s="35">
        <v>3.4</v>
      </c>
      <c r="G635" s="35">
        <v>2</v>
      </c>
      <c r="H635" s="35">
        <v>2.8</v>
      </c>
      <c r="I635" s="35">
        <v>2</v>
      </c>
      <c r="J635" s="35">
        <v>3.9</v>
      </c>
      <c r="K635" s="35">
        <v>2</v>
      </c>
      <c r="L635" s="35">
        <v>3.8</v>
      </c>
      <c r="M635" s="35">
        <v>2</v>
      </c>
      <c r="N635" s="35">
        <v>3.3</v>
      </c>
      <c r="O635" s="35">
        <v>3</v>
      </c>
      <c r="P635" s="35">
        <v>3.6</v>
      </c>
      <c r="Q635" s="35">
        <v>2</v>
      </c>
      <c r="R635" s="35">
        <v>3.7</v>
      </c>
      <c r="S635" s="35">
        <v>2</v>
      </c>
      <c r="T635" s="35">
        <v>3.4</v>
      </c>
      <c r="U635" s="35">
        <v>2</v>
      </c>
      <c r="V635" s="35">
        <v>10.9</v>
      </c>
      <c r="W635" s="35">
        <v>9</v>
      </c>
      <c r="X635" s="35">
        <v>10.8</v>
      </c>
      <c r="Y635" s="35">
        <v>9</v>
      </c>
      <c r="Z635" s="35">
        <v>9.1999999999999993</v>
      </c>
      <c r="AA635" s="35">
        <v>9</v>
      </c>
      <c r="AB635" s="35">
        <v>9.4</v>
      </c>
      <c r="AC635" s="35">
        <v>9</v>
      </c>
      <c r="AD635" s="35">
        <v>20</v>
      </c>
      <c r="AE635" s="35">
        <v>19</v>
      </c>
      <c r="AF635" s="35">
        <v>20.8</v>
      </c>
      <c r="AG635" s="35">
        <v>19</v>
      </c>
      <c r="AH635" s="35">
        <v>20.8</v>
      </c>
      <c r="AI635" s="35">
        <v>19</v>
      </c>
      <c r="AJ635" s="35">
        <v>18.3</v>
      </c>
      <c r="AK635" s="35">
        <v>19</v>
      </c>
      <c r="AL635" s="35">
        <v>19.7</v>
      </c>
      <c r="AM635" s="35">
        <v>19</v>
      </c>
      <c r="AN635" s="35">
        <v>19.7</v>
      </c>
      <c r="AO635" s="35">
        <v>19</v>
      </c>
      <c r="AP635" s="35">
        <v>20.6</v>
      </c>
      <c r="AQ635" s="35">
        <v>19</v>
      </c>
      <c r="AR635" s="35">
        <v>20.8</v>
      </c>
      <c r="AS635" s="35">
        <v>19</v>
      </c>
      <c r="AT635" s="35">
        <v>19.7</v>
      </c>
      <c r="AU635" s="35">
        <v>19</v>
      </c>
      <c r="AV635" s="35">
        <v>19.8</v>
      </c>
      <c r="AW635" s="35">
        <v>19</v>
      </c>
      <c r="AX635" s="35">
        <v>20.9</v>
      </c>
      <c r="AY635" s="35">
        <v>20</v>
      </c>
      <c r="AZ635" s="35">
        <v>21.5</v>
      </c>
      <c r="BA635" s="35">
        <v>20</v>
      </c>
      <c r="BB635" s="35">
        <v>29.8</v>
      </c>
      <c r="BC635" s="35">
        <v>40</v>
      </c>
      <c r="BD635" s="35">
        <v>29</v>
      </c>
      <c r="BE635" s="35">
        <v>40</v>
      </c>
      <c r="BF635" s="35">
        <v>21.9</v>
      </c>
      <c r="BG635" s="35">
        <v>20</v>
      </c>
    </row>
    <row r="636" spans="1:59" x14ac:dyDescent="0.35">
      <c r="A636" s="36">
        <v>46059.90347222222</v>
      </c>
      <c r="B636" s="35">
        <v>3.2</v>
      </c>
      <c r="C636" s="35">
        <v>2</v>
      </c>
      <c r="D636" s="35">
        <v>3.5</v>
      </c>
      <c r="E636" s="35">
        <v>2.2000000000000002</v>
      </c>
      <c r="F636" s="35">
        <v>3.7</v>
      </c>
      <c r="G636" s="35">
        <v>2</v>
      </c>
      <c r="H636" s="35">
        <v>3.2</v>
      </c>
      <c r="I636" s="35">
        <v>2</v>
      </c>
      <c r="J636" s="35">
        <v>3.4</v>
      </c>
      <c r="K636" s="35">
        <v>2</v>
      </c>
      <c r="L636" s="35">
        <v>3.6</v>
      </c>
      <c r="M636" s="35">
        <v>2</v>
      </c>
      <c r="N636" s="35">
        <v>2.4</v>
      </c>
      <c r="O636" s="35">
        <v>3</v>
      </c>
      <c r="P636" s="35">
        <v>2.8</v>
      </c>
      <c r="Q636" s="35">
        <v>2</v>
      </c>
      <c r="R636" s="35">
        <v>3.8</v>
      </c>
      <c r="S636" s="35">
        <v>2</v>
      </c>
      <c r="T636" s="35">
        <v>3.6</v>
      </c>
      <c r="U636" s="35">
        <v>2</v>
      </c>
      <c r="V636" s="35">
        <v>10.199999999999999</v>
      </c>
      <c r="W636" s="35">
        <v>9</v>
      </c>
      <c r="X636" s="35">
        <v>10.9</v>
      </c>
      <c r="Y636" s="35">
        <v>9</v>
      </c>
      <c r="Z636" s="35">
        <v>9.5</v>
      </c>
      <c r="AA636" s="35">
        <v>9</v>
      </c>
      <c r="AB636" s="35">
        <v>9.8000000000000007</v>
      </c>
      <c r="AC636" s="35">
        <v>9</v>
      </c>
      <c r="AD636" s="35">
        <v>19.8</v>
      </c>
      <c r="AE636" s="35">
        <v>19</v>
      </c>
      <c r="AF636" s="35">
        <v>20.8</v>
      </c>
      <c r="AG636" s="35">
        <v>19</v>
      </c>
      <c r="AH636" s="35">
        <v>20.8</v>
      </c>
      <c r="AI636" s="35">
        <v>19</v>
      </c>
      <c r="AJ636" s="35">
        <v>18.5</v>
      </c>
      <c r="AK636" s="35">
        <v>19</v>
      </c>
      <c r="AL636" s="35">
        <v>19.600000000000001</v>
      </c>
      <c r="AM636" s="35">
        <v>19</v>
      </c>
      <c r="AN636" s="35">
        <v>19.3</v>
      </c>
      <c r="AO636" s="35">
        <v>19</v>
      </c>
      <c r="AP636" s="35">
        <v>20.6</v>
      </c>
      <c r="AQ636" s="35">
        <v>19</v>
      </c>
      <c r="AR636" s="35">
        <v>20.8</v>
      </c>
      <c r="AS636" s="35">
        <v>19</v>
      </c>
      <c r="AT636" s="35">
        <v>19.8</v>
      </c>
      <c r="AU636" s="35">
        <v>19</v>
      </c>
      <c r="AV636" s="35">
        <v>19.8</v>
      </c>
      <c r="AW636" s="35">
        <v>19</v>
      </c>
      <c r="AX636" s="35">
        <v>20.9</v>
      </c>
      <c r="AY636" s="35">
        <v>20</v>
      </c>
      <c r="AZ636" s="35">
        <v>21.5</v>
      </c>
      <c r="BA636" s="35">
        <v>20</v>
      </c>
      <c r="BB636" s="35">
        <v>29.8</v>
      </c>
      <c r="BC636" s="35">
        <v>40</v>
      </c>
      <c r="BD636" s="35">
        <v>29</v>
      </c>
      <c r="BE636" s="35">
        <v>40</v>
      </c>
      <c r="BF636" s="35">
        <v>21.9</v>
      </c>
      <c r="BG636" s="35">
        <v>20</v>
      </c>
    </row>
    <row r="637" spans="1:59" x14ac:dyDescent="0.35">
      <c r="A637" s="36">
        <v>46059.904166666667</v>
      </c>
      <c r="B637" s="35">
        <v>2.2000000000000002</v>
      </c>
      <c r="C637" s="35">
        <v>2</v>
      </c>
      <c r="D637" s="35">
        <v>2.5</v>
      </c>
      <c r="E637" s="35">
        <v>2.2000000000000002</v>
      </c>
      <c r="F637" s="35">
        <v>3.8</v>
      </c>
      <c r="G637" s="35">
        <v>2</v>
      </c>
      <c r="H637" s="35">
        <v>3.3</v>
      </c>
      <c r="I637" s="35">
        <v>2</v>
      </c>
      <c r="J637" s="35">
        <v>2.7</v>
      </c>
      <c r="K637" s="35">
        <v>2</v>
      </c>
      <c r="L637" s="35">
        <v>3.1</v>
      </c>
      <c r="M637" s="35">
        <v>2</v>
      </c>
      <c r="N637" s="35">
        <v>1.3</v>
      </c>
      <c r="O637" s="35">
        <v>3</v>
      </c>
      <c r="P637" s="35">
        <v>2</v>
      </c>
      <c r="Q637" s="35">
        <v>2</v>
      </c>
      <c r="R637" s="35">
        <v>3.9</v>
      </c>
      <c r="S637" s="35">
        <v>2</v>
      </c>
      <c r="T637" s="35">
        <v>3.6</v>
      </c>
      <c r="U637" s="35">
        <v>2</v>
      </c>
      <c r="V637" s="35">
        <v>8.1</v>
      </c>
      <c r="W637" s="35">
        <v>9</v>
      </c>
      <c r="X637" s="35">
        <v>10.9</v>
      </c>
      <c r="Y637" s="35">
        <v>9</v>
      </c>
      <c r="Z637" s="35">
        <v>9.6999999999999993</v>
      </c>
      <c r="AA637" s="35">
        <v>9</v>
      </c>
      <c r="AB637" s="35">
        <v>10</v>
      </c>
      <c r="AC637" s="35">
        <v>9</v>
      </c>
      <c r="AD637" s="35">
        <v>19.399999999999999</v>
      </c>
      <c r="AE637" s="35">
        <v>19</v>
      </c>
      <c r="AF637" s="35">
        <v>20.9</v>
      </c>
      <c r="AG637" s="35">
        <v>19</v>
      </c>
      <c r="AH637" s="35">
        <v>20.8</v>
      </c>
      <c r="AI637" s="35">
        <v>19</v>
      </c>
      <c r="AJ637" s="35">
        <v>18.7</v>
      </c>
      <c r="AK637" s="35">
        <v>19</v>
      </c>
      <c r="AL637" s="35">
        <v>19.600000000000001</v>
      </c>
      <c r="AM637" s="35">
        <v>19</v>
      </c>
      <c r="AN637" s="35">
        <v>18.899999999999999</v>
      </c>
      <c r="AO637" s="35">
        <v>19</v>
      </c>
      <c r="AP637" s="35">
        <v>20.6</v>
      </c>
      <c r="AQ637" s="35">
        <v>19</v>
      </c>
      <c r="AR637" s="35">
        <v>20.8</v>
      </c>
      <c r="AS637" s="35">
        <v>19</v>
      </c>
      <c r="AT637" s="35">
        <v>19.899999999999999</v>
      </c>
      <c r="AU637" s="35">
        <v>19</v>
      </c>
      <c r="AV637" s="35">
        <v>19.899999999999999</v>
      </c>
      <c r="AW637" s="35">
        <v>19</v>
      </c>
      <c r="AX637" s="35">
        <v>20.9</v>
      </c>
      <c r="AY637" s="35">
        <v>20</v>
      </c>
      <c r="AZ637" s="35">
        <v>21.5</v>
      </c>
      <c r="BA637" s="35">
        <v>20</v>
      </c>
      <c r="BB637" s="35">
        <v>29.8</v>
      </c>
      <c r="BC637" s="35">
        <v>40</v>
      </c>
      <c r="BD637" s="35">
        <v>29</v>
      </c>
      <c r="BE637" s="35">
        <v>40</v>
      </c>
      <c r="BF637" s="35">
        <v>21.9</v>
      </c>
      <c r="BG637" s="35">
        <v>20</v>
      </c>
    </row>
    <row r="638" spans="1:59" x14ac:dyDescent="0.35">
      <c r="A638" s="36">
        <v>46059.904861111114</v>
      </c>
      <c r="B638" s="35">
        <v>1.6</v>
      </c>
      <c r="C638" s="35">
        <v>2</v>
      </c>
      <c r="D638" s="35">
        <v>2</v>
      </c>
      <c r="E638" s="35">
        <v>2.2000000000000002</v>
      </c>
      <c r="F638" s="35">
        <v>3.9</v>
      </c>
      <c r="G638" s="35">
        <v>2</v>
      </c>
      <c r="H638" s="35">
        <v>3.3</v>
      </c>
      <c r="I638" s="35">
        <v>2</v>
      </c>
      <c r="J638" s="35">
        <v>1.9</v>
      </c>
      <c r="K638" s="35">
        <v>2</v>
      </c>
      <c r="L638" s="35">
        <v>2.6</v>
      </c>
      <c r="M638" s="35">
        <v>2</v>
      </c>
      <c r="N638" s="35">
        <v>1.1000000000000001</v>
      </c>
      <c r="O638" s="35">
        <v>3</v>
      </c>
      <c r="P638" s="35">
        <v>1.8</v>
      </c>
      <c r="Q638" s="35">
        <v>2</v>
      </c>
      <c r="R638" s="35">
        <v>3.7</v>
      </c>
      <c r="S638" s="35">
        <v>2</v>
      </c>
      <c r="T638" s="35">
        <v>3.2</v>
      </c>
      <c r="U638" s="35">
        <v>2</v>
      </c>
      <c r="V638" s="35">
        <v>7.5</v>
      </c>
      <c r="W638" s="35">
        <v>9</v>
      </c>
      <c r="X638" s="35">
        <v>10.9</v>
      </c>
      <c r="Y638" s="35">
        <v>9</v>
      </c>
      <c r="Z638" s="35">
        <v>9.9</v>
      </c>
      <c r="AA638" s="35">
        <v>9</v>
      </c>
      <c r="AB638" s="35">
        <v>10.199999999999999</v>
      </c>
      <c r="AC638" s="35">
        <v>9</v>
      </c>
      <c r="AD638" s="35">
        <v>19.399999999999999</v>
      </c>
      <c r="AE638" s="35">
        <v>19</v>
      </c>
      <c r="AF638" s="35">
        <v>20.9</v>
      </c>
      <c r="AG638" s="35">
        <v>19</v>
      </c>
      <c r="AH638" s="35">
        <v>20.9</v>
      </c>
      <c r="AI638" s="35">
        <v>19</v>
      </c>
      <c r="AJ638" s="35">
        <v>18.899999999999999</v>
      </c>
      <c r="AK638" s="35">
        <v>19</v>
      </c>
      <c r="AL638" s="35">
        <v>19.5</v>
      </c>
      <c r="AM638" s="35">
        <v>19</v>
      </c>
      <c r="AN638" s="35">
        <v>18.899999999999999</v>
      </c>
      <c r="AO638" s="35">
        <v>19</v>
      </c>
      <c r="AP638" s="35">
        <v>20.7</v>
      </c>
      <c r="AQ638" s="35">
        <v>19</v>
      </c>
      <c r="AR638" s="35">
        <v>20.8</v>
      </c>
      <c r="AS638" s="35">
        <v>19</v>
      </c>
      <c r="AT638" s="35">
        <v>20</v>
      </c>
      <c r="AU638" s="35">
        <v>19</v>
      </c>
      <c r="AV638" s="35">
        <v>20</v>
      </c>
      <c r="AW638" s="35">
        <v>19</v>
      </c>
      <c r="AX638" s="35">
        <v>20.9</v>
      </c>
      <c r="AY638" s="35">
        <v>20</v>
      </c>
      <c r="AZ638" s="35">
        <v>21.5</v>
      </c>
      <c r="BA638" s="35">
        <v>20</v>
      </c>
      <c r="BB638" s="35">
        <v>29.8</v>
      </c>
      <c r="BC638" s="35">
        <v>40</v>
      </c>
      <c r="BD638" s="35">
        <v>29</v>
      </c>
      <c r="BE638" s="35">
        <v>40</v>
      </c>
      <c r="BF638" s="35">
        <v>21.9</v>
      </c>
      <c r="BG638" s="35">
        <v>20</v>
      </c>
    </row>
    <row r="639" spans="1:59" x14ac:dyDescent="0.35">
      <c r="A639" s="36">
        <v>46059.905555555553</v>
      </c>
      <c r="B639" s="35">
        <v>1.7</v>
      </c>
      <c r="C639" s="35">
        <v>2</v>
      </c>
      <c r="D639" s="35">
        <v>2.2999999999999998</v>
      </c>
      <c r="E639" s="35">
        <v>2.2000000000000002</v>
      </c>
      <c r="F639" s="35">
        <v>4</v>
      </c>
      <c r="G639" s="35">
        <v>2</v>
      </c>
      <c r="H639" s="35">
        <v>3.4</v>
      </c>
      <c r="I639" s="35">
        <v>2</v>
      </c>
      <c r="J639" s="35">
        <v>1.9</v>
      </c>
      <c r="K639" s="35">
        <v>2</v>
      </c>
      <c r="L639" s="35">
        <v>2.5</v>
      </c>
      <c r="M639" s="35">
        <v>2</v>
      </c>
      <c r="N639" s="35">
        <v>1.3</v>
      </c>
      <c r="O639" s="35">
        <v>3</v>
      </c>
      <c r="P639" s="35">
        <v>2</v>
      </c>
      <c r="Q639" s="35">
        <v>2</v>
      </c>
      <c r="R639" s="35">
        <v>2.6</v>
      </c>
      <c r="S639" s="35">
        <v>2</v>
      </c>
      <c r="T639" s="35">
        <v>2</v>
      </c>
      <c r="U639" s="35">
        <v>2</v>
      </c>
      <c r="V639" s="35">
        <v>8</v>
      </c>
      <c r="W639" s="35">
        <v>9</v>
      </c>
      <c r="X639" s="35">
        <v>10.8</v>
      </c>
      <c r="Y639" s="35">
        <v>9</v>
      </c>
      <c r="Z639" s="35">
        <v>10</v>
      </c>
      <c r="AA639" s="35">
        <v>9</v>
      </c>
      <c r="AB639" s="35">
        <v>10.4</v>
      </c>
      <c r="AC639" s="35">
        <v>9</v>
      </c>
      <c r="AD639" s="35">
        <v>19</v>
      </c>
      <c r="AE639" s="35">
        <v>19</v>
      </c>
      <c r="AF639" s="35">
        <v>20.9</v>
      </c>
      <c r="AG639" s="35">
        <v>19</v>
      </c>
      <c r="AH639" s="35">
        <v>20.9</v>
      </c>
      <c r="AI639" s="35">
        <v>19</v>
      </c>
      <c r="AJ639" s="35">
        <v>19.100000000000001</v>
      </c>
      <c r="AK639" s="35">
        <v>19</v>
      </c>
      <c r="AL639" s="35">
        <v>19.399999999999999</v>
      </c>
      <c r="AM639" s="35">
        <v>19</v>
      </c>
      <c r="AN639" s="35">
        <v>19.100000000000001</v>
      </c>
      <c r="AO639" s="35">
        <v>19</v>
      </c>
      <c r="AP639" s="35">
        <v>20.7</v>
      </c>
      <c r="AQ639" s="35">
        <v>19</v>
      </c>
      <c r="AR639" s="35">
        <v>20.8</v>
      </c>
      <c r="AS639" s="35">
        <v>19</v>
      </c>
      <c r="AT639" s="35">
        <v>20.100000000000001</v>
      </c>
      <c r="AU639" s="35">
        <v>19</v>
      </c>
      <c r="AV639" s="35">
        <v>20.100000000000001</v>
      </c>
      <c r="AW639" s="35">
        <v>19</v>
      </c>
      <c r="AX639" s="35">
        <v>20.9</v>
      </c>
      <c r="AY639" s="35">
        <v>20</v>
      </c>
      <c r="AZ639" s="35">
        <v>21.5</v>
      </c>
      <c r="BA639" s="35">
        <v>20</v>
      </c>
      <c r="BB639" s="35">
        <v>29.8</v>
      </c>
      <c r="BC639" s="35">
        <v>40</v>
      </c>
      <c r="BD639" s="35">
        <v>28.9</v>
      </c>
      <c r="BE639" s="35">
        <v>40</v>
      </c>
      <c r="BF639" s="35">
        <v>21.9</v>
      </c>
      <c r="BG639" s="35">
        <v>20</v>
      </c>
    </row>
    <row r="640" spans="1:59" x14ac:dyDescent="0.35">
      <c r="A640" s="36">
        <v>46059.90625</v>
      </c>
      <c r="B640" s="35">
        <v>2.1</v>
      </c>
      <c r="C640" s="35">
        <v>2</v>
      </c>
      <c r="D640" s="35">
        <v>2.8</v>
      </c>
      <c r="E640" s="35">
        <v>2.2000000000000002</v>
      </c>
      <c r="F640" s="35">
        <v>3.1</v>
      </c>
      <c r="G640" s="35">
        <v>2</v>
      </c>
      <c r="H640" s="35">
        <v>2.5</v>
      </c>
      <c r="I640" s="35">
        <v>2</v>
      </c>
      <c r="J640" s="35">
        <v>2.1</v>
      </c>
      <c r="K640" s="35">
        <v>2</v>
      </c>
      <c r="L640" s="35">
        <v>2.8</v>
      </c>
      <c r="M640" s="35">
        <v>2</v>
      </c>
      <c r="N640" s="35">
        <v>1.7</v>
      </c>
      <c r="O640" s="35">
        <v>3</v>
      </c>
      <c r="P640" s="35">
        <v>2.4</v>
      </c>
      <c r="Q640" s="35">
        <v>2</v>
      </c>
      <c r="R640" s="35">
        <v>1.9</v>
      </c>
      <c r="S640" s="35">
        <v>2</v>
      </c>
      <c r="T640" s="35">
        <v>1.2</v>
      </c>
      <c r="U640" s="35">
        <v>2</v>
      </c>
      <c r="V640" s="35">
        <v>8.8000000000000007</v>
      </c>
      <c r="W640" s="35">
        <v>9</v>
      </c>
      <c r="X640" s="35">
        <v>10</v>
      </c>
      <c r="Y640" s="35">
        <v>9</v>
      </c>
      <c r="Z640" s="35">
        <v>10.199999999999999</v>
      </c>
      <c r="AA640" s="35">
        <v>9</v>
      </c>
      <c r="AB640" s="35">
        <v>10.6</v>
      </c>
      <c r="AC640" s="35">
        <v>9</v>
      </c>
      <c r="AD640" s="35">
        <v>18.8</v>
      </c>
      <c r="AE640" s="35">
        <v>19</v>
      </c>
      <c r="AF640" s="35">
        <v>20.9</v>
      </c>
      <c r="AG640" s="35">
        <v>19</v>
      </c>
      <c r="AH640" s="35">
        <v>20.9</v>
      </c>
      <c r="AI640" s="35">
        <v>19</v>
      </c>
      <c r="AJ640" s="35">
        <v>19.2</v>
      </c>
      <c r="AK640" s="35">
        <v>19</v>
      </c>
      <c r="AL640" s="35">
        <v>19.3</v>
      </c>
      <c r="AM640" s="35">
        <v>19</v>
      </c>
      <c r="AN640" s="35">
        <v>19.3</v>
      </c>
      <c r="AO640" s="35">
        <v>19</v>
      </c>
      <c r="AP640" s="35">
        <v>20.7</v>
      </c>
      <c r="AQ640" s="35">
        <v>19</v>
      </c>
      <c r="AR640" s="35">
        <v>20.8</v>
      </c>
      <c r="AS640" s="35">
        <v>19</v>
      </c>
      <c r="AT640" s="35">
        <v>20.2</v>
      </c>
      <c r="AU640" s="35">
        <v>19</v>
      </c>
      <c r="AV640" s="35">
        <v>20.100000000000001</v>
      </c>
      <c r="AW640" s="35">
        <v>19</v>
      </c>
      <c r="AX640" s="35">
        <v>20.9</v>
      </c>
      <c r="AY640" s="35">
        <v>20</v>
      </c>
      <c r="AZ640" s="35">
        <v>21.5</v>
      </c>
      <c r="BA640" s="35">
        <v>20</v>
      </c>
      <c r="BB640" s="35">
        <v>29.7</v>
      </c>
      <c r="BC640" s="35">
        <v>40</v>
      </c>
      <c r="BD640" s="35">
        <v>28.9</v>
      </c>
      <c r="BE640" s="35">
        <v>40</v>
      </c>
      <c r="BF640" s="35">
        <v>21.9</v>
      </c>
      <c r="BG640" s="35">
        <v>20</v>
      </c>
    </row>
    <row r="641" spans="1:59" x14ac:dyDescent="0.35">
      <c r="A641" s="36">
        <v>46059.906944444447</v>
      </c>
      <c r="B641" s="35">
        <v>2.5</v>
      </c>
      <c r="C641" s="35">
        <v>2</v>
      </c>
      <c r="D641" s="35">
        <v>3.1</v>
      </c>
      <c r="E641" s="35">
        <v>2.2000000000000002</v>
      </c>
      <c r="F641" s="35">
        <v>1.2</v>
      </c>
      <c r="G641" s="35">
        <v>2</v>
      </c>
      <c r="H641" s="35">
        <v>1.3</v>
      </c>
      <c r="I641" s="35">
        <v>2</v>
      </c>
      <c r="J641" s="35">
        <v>2.2999999999999998</v>
      </c>
      <c r="K641" s="35">
        <v>2</v>
      </c>
      <c r="L641" s="35">
        <v>3.1</v>
      </c>
      <c r="M641" s="35">
        <v>2</v>
      </c>
      <c r="N641" s="35">
        <v>2.1</v>
      </c>
      <c r="O641" s="35">
        <v>3</v>
      </c>
      <c r="P641" s="35">
        <v>2.6</v>
      </c>
      <c r="Q641" s="35">
        <v>2</v>
      </c>
      <c r="R641" s="35">
        <v>1.7</v>
      </c>
      <c r="S641" s="35">
        <v>2</v>
      </c>
      <c r="T641" s="35">
        <v>1.2</v>
      </c>
      <c r="U641" s="35">
        <v>2</v>
      </c>
      <c r="V641" s="35">
        <v>9.6999999999999993</v>
      </c>
      <c r="W641" s="35">
        <v>9</v>
      </c>
      <c r="X641" s="35">
        <v>8.8000000000000007</v>
      </c>
      <c r="Y641" s="35">
        <v>9</v>
      </c>
      <c r="Z641" s="35">
        <v>10.3</v>
      </c>
      <c r="AA641" s="35">
        <v>9</v>
      </c>
      <c r="AB641" s="35">
        <v>10.7</v>
      </c>
      <c r="AC641" s="35">
        <v>9</v>
      </c>
      <c r="AD641" s="35">
        <v>18.8</v>
      </c>
      <c r="AE641" s="35">
        <v>19</v>
      </c>
      <c r="AF641" s="35">
        <v>21</v>
      </c>
      <c r="AG641" s="35">
        <v>19</v>
      </c>
      <c r="AH641" s="35">
        <v>20.5</v>
      </c>
      <c r="AI641" s="35">
        <v>19</v>
      </c>
      <c r="AJ641" s="35">
        <v>19.3</v>
      </c>
      <c r="AK641" s="35">
        <v>19</v>
      </c>
      <c r="AL641" s="35">
        <v>19.2</v>
      </c>
      <c r="AM641" s="35">
        <v>19</v>
      </c>
      <c r="AN641" s="35">
        <v>19.399999999999999</v>
      </c>
      <c r="AO641" s="35">
        <v>19</v>
      </c>
      <c r="AP641" s="35">
        <v>20.7</v>
      </c>
      <c r="AQ641" s="35">
        <v>19</v>
      </c>
      <c r="AR641" s="35">
        <v>20.8</v>
      </c>
      <c r="AS641" s="35">
        <v>19</v>
      </c>
      <c r="AT641" s="35">
        <v>20.3</v>
      </c>
      <c r="AU641" s="35">
        <v>19</v>
      </c>
      <c r="AV641" s="35">
        <v>20.2</v>
      </c>
      <c r="AW641" s="35">
        <v>19</v>
      </c>
      <c r="AX641" s="35">
        <v>20.9</v>
      </c>
      <c r="AY641" s="35">
        <v>20</v>
      </c>
      <c r="AZ641" s="35">
        <v>21.5</v>
      </c>
      <c r="BA641" s="35">
        <v>20</v>
      </c>
      <c r="BB641" s="35">
        <v>29.7</v>
      </c>
      <c r="BC641" s="35">
        <v>40</v>
      </c>
      <c r="BD641" s="35">
        <v>28.9</v>
      </c>
      <c r="BE641" s="35">
        <v>40</v>
      </c>
      <c r="BF641" s="35">
        <v>21.9</v>
      </c>
      <c r="BG641" s="35">
        <v>20</v>
      </c>
    </row>
    <row r="642" spans="1:59" x14ac:dyDescent="0.35">
      <c r="A642" s="36">
        <v>46059.907638888886</v>
      </c>
      <c r="B642" s="35">
        <v>2.9</v>
      </c>
      <c r="C642" s="35">
        <v>2</v>
      </c>
      <c r="D642" s="35">
        <v>3.4</v>
      </c>
      <c r="E642" s="35">
        <v>2.2000000000000002</v>
      </c>
      <c r="F642" s="35">
        <v>1.2</v>
      </c>
      <c r="G642" s="35">
        <v>2</v>
      </c>
      <c r="H642" s="35">
        <v>1.4</v>
      </c>
      <c r="I642" s="35">
        <v>2</v>
      </c>
      <c r="J642" s="35">
        <v>2.5</v>
      </c>
      <c r="K642" s="35">
        <v>2</v>
      </c>
      <c r="L642" s="35">
        <v>3.4</v>
      </c>
      <c r="M642" s="35">
        <v>2</v>
      </c>
      <c r="N642" s="35">
        <v>2.4</v>
      </c>
      <c r="O642" s="35">
        <v>3</v>
      </c>
      <c r="P642" s="35">
        <v>2.8</v>
      </c>
      <c r="Q642" s="35">
        <v>2</v>
      </c>
      <c r="R642" s="35">
        <v>1.7</v>
      </c>
      <c r="S642" s="35">
        <v>2</v>
      </c>
      <c r="T642" s="35">
        <v>1.3</v>
      </c>
      <c r="U642" s="35">
        <v>2</v>
      </c>
      <c r="V642" s="35">
        <v>10.199999999999999</v>
      </c>
      <c r="W642" s="35">
        <v>9</v>
      </c>
      <c r="X642" s="35">
        <v>8.3000000000000007</v>
      </c>
      <c r="Y642" s="35">
        <v>9</v>
      </c>
      <c r="Z642" s="35">
        <v>10.4</v>
      </c>
      <c r="AA642" s="35">
        <v>9</v>
      </c>
      <c r="AB642" s="35">
        <v>10.9</v>
      </c>
      <c r="AC642" s="35">
        <v>9</v>
      </c>
      <c r="AD642" s="35">
        <v>19</v>
      </c>
      <c r="AE642" s="35">
        <v>19</v>
      </c>
      <c r="AF642" s="35">
        <v>20.8</v>
      </c>
      <c r="AG642" s="35">
        <v>19</v>
      </c>
      <c r="AH642" s="35">
        <v>19.2</v>
      </c>
      <c r="AI642" s="35">
        <v>19</v>
      </c>
      <c r="AJ642" s="35">
        <v>19.5</v>
      </c>
      <c r="AK642" s="35">
        <v>19</v>
      </c>
      <c r="AL642" s="35">
        <v>19.100000000000001</v>
      </c>
      <c r="AM642" s="35">
        <v>19</v>
      </c>
      <c r="AN642" s="35">
        <v>19.600000000000001</v>
      </c>
      <c r="AO642" s="35">
        <v>19</v>
      </c>
      <c r="AP642" s="35">
        <v>20.7</v>
      </c>
      <c r="AQ642" s="35">
        <v>19</v>
      </c>
      <c r="AR642" s="35">
        <v>20.8</v>
      </c>
      <c r="AS642" s="35">
        <v>19</v>
      </c>
      <c r="AT642" s="35">
        <v>20.3</v>
      </c>
      <c r="AU642" s="35">
        <v>19</v>
      </c>
      <c r="AV642" s="35">
        <v>20.3</v>
      </c>
      <c r="AW642" s="35">
        <v>19</v>
      </c>
      <c r="AX642" s="35">
        <v>20.9</v>
      </c>
      <c r="AY642" s="35">
        <v>20</v>
      </c>
      <c r="AZ642" s="35">
        <v>21.6</v>
      </c>
      <c r="BA642" s="35">
        <v>20</v>
      </c>
      <c r="BB642" s="35">
        <v>29.7</v>
      </c>
      <c r="BC642" s="35">
        <v>40</v>
      </c>
      <c r="BD642" s="35">
        <v>28.9</v>
      </c>
      <c r="BE642" s="35">
        <v>40</v>
      </c>
      <c r="BF642" s="35">
        <v>21.9</v>
      </c>
      <c r="BG642" s="35">
        <v>20</v>
      </c>
    </row>
    <row r="643" spans="1:59" x14ac:dyDescent="0.35">
      <c r="A643" s="36">
        <v>46059.908333333333</v>
      </c>
      <c r="B643" s="35">
        <v>3.2</v>
      </c>
      <c r="C643" s="35">
        <v>2</v>
      </c>
      <c r="D643" s="35">
        <v>3.8</v>
      </c>
      <c r="E643" s="35">
        <v>2.2000000000000002</v>
      </c>
      <c r="F643" s="35">
        <v>1.5</v>
      </c>
      <c r="G643" s="35">
        <v>2</v>
      </c>
      <c r="H643" s="35">
        <v>1.8</v>
      </c>
      <c r="I643" s="35">
        <v>2</v>
      </c>
      <c r="J643" s="35">
        <v>2.6</v>
      </c>
      <c r="K643" s="35">
        <v>2</v>
      </c>
      <c r="L643" s="35">
        <v>3.7</v>
      </c>
      <c r="M643" s="35">
        <v>2</v>
      </c>
      <c r="N643" s="35">
        <v>2.8</v>
      </c>
      <c r="O643" s="35">
        <v>3</v>
      </c>
      <c r="P643" s="35">
        <v>3</v>
      </c>
      <c r="Q643" s="35">
        <v>2</v>
      </c>
      <c r="R643" s="35">
        <v>1.9</v>
      </c>
      <c r="S643" s="35">
        <v>2</v>
      </c>
      <c r="T643" s="35">
        <v>1.6</v>
      </c>
      <c r="U643" s="35">
        <v>2</v>
      </c>
      <c r="V643" s="35">
        <v>10.6</v>
      </c>
      <c r="W643" s="35">
        <v>9</v>
      </c>
      <c r="X643" s="35">
        <v>8.3000000000000007</v>
      </c>
      <c r="Y643" s="35">
        <v>9</v>
      </c>
      <c r="Z643" s="35">
        <v>10.5</v>
      </c>
      <c r="AA643" s="35">
        <v>9</v>
      </c>
      <c r="AB643" s="35">
        <v>11</v>
      </c>
      <c r="AC643" s="35">
        <v>9</v>
      </c>
      <c r="AD643" s="35">
        <v>19.2</v>
      </c>
      <c r="AE643" s="35">
        <v>19</v>
      </c>
      <c r="AF643" s="35">
        <v>20.399999999999999</v>
      </c>
      <c r="AG643" s="35">
        <v>19</v>
      </c>
      <c r="AH643" s="35">
        <v>19</v>
      </c>
      <c r="AI643" s="35">
        <v>19</v>
      </c>
      <c r="AJ643" s="35">
        <v>19.600000000000001</v>
      </c>
      <c r="AK643" s="35">
        <v>19</v>
      </c>
      <c r="AL643" s="35">
        <v>19.100000000000001</v>
      </c>
      <c r="AM643" s="35">
        <v>19</v>
      </c>
      <c r="AN643" s="35">
        <v>19.7</v>
      </c>
      <c r="AO643" s="35">
        <v>19</v>
      </c>
      <c r="AP643" s="35">
        <v>20.7</v>
      </c>
      <c r="AQ643" s="35">
        <v>19</v>
      </c>
      <c r="AR643" s="35">
        <v>20.8</v>
      </c>
      <c r="AS643" s="35">
        <v>19</v>
      </c>
      <c r="AT643" s="35">
        <v>20.399999999999999</v>
      </c>
      <c r="AU643" s="35">
        <v>19</v>
      </c>
      <c r="AV643" s="35">
        <v>20.3</v>
      </c>
      <c r="AW643" s="35">
        <v>19</v>
      </c>
      <c r="AX643" s="35">
        <v>20.9</v>
      </c>
      <c r="AY643" s="35">
        <v>20</v>
      </c>
      <c r="AZ643" s="35">
        <v>21.6</v>
      </c>
      <c r="BA643" s="35">
        <v>20</v>
      </c>
      <c r="BB643" s="35">
        <v>29.7</v>
      </c>
      <c r="BC643" s="35">
        <v>40</v>
      </c>
      <c r="BD643" s="35">
        <v>28.9</v>
      </c>
      <c r="BE643" s="35">
        <v>40</v>
      </c>
      <c r="BF643" s="35">
        <v>21.9</v>
      </c>
      <c r="BG643" s="35">
        <v>20</v>
      </c>
    </row>
    <row r="644" spans="1:59" x14ac:dyDescent="0.35">
      <c r="A644" s="36">
        <v>46059.90902777778</v>
      </c>
      <c r="B644" s="35">
        <v>3.5</v>
      </c>
      <c r="C644" s="35">
        <v>2</v>
      </c>
      <c r="D644" s="35">
        <v>4</v>
      </c>
      <c r="E644" s="35">
        <v>2.2000000000000002</v>
      </c>
      <c r="F644" s="35">
        <v>2</v>
      </c>
      <c r="G644" s="35">
        <v>2</v>
      </c>
      <c r="H644" s="35">
        <v>2.1</v>
      </c>
      <c r="I644" s="35">
        <v>2</v>
      </c>
      <c r="J644" s="35">
        <v>2.8</v>
      </c>
      <c r="K644" s="35">
        <v>2</v>
      </c>
      <c r="L644" s="35">
        <v>3.9</v>
      </c>
      <c r="M644" s="35">
        <v>2</v>
      </c>
      <c r="N644" s="35">
        <v>3</v>
      </c>
      <c r="O644" s="35">
        <v>3</v>
      </c>
      <c r="P644" s="35">
        <v>3.2</v>
      </c>
      <c r="Q644" s="35">
        <v>2</v>
      </c>
      <c r="R644" s="35">
        <v>2.2000000000000002</v>
      </c>
      <c r="S644" s="35">
        <v>2</v>
      </c>
      <c r="T644" s="35">
        <v>1.9</v>
      </c>
      <c r="U644" s="35">
        <v>2</v>
      </c>
      <c r="V644" s="35">
        <v>11</v>
      </c>
      <c r="W644" s="35">
        <v>9</v>
      </c>
      <c r="X644" s="35">
        <v>8.3000000000000007</v>
      </c>
      <c r="Y644" s="35">
        <v>9</v>
      </c>
      <c r="Z644" s="35">
        <v>10.6</v>
      </c>
      <c r="AA644" s="35">
        <v>9</v>
      </c>
      <c r="AB644" s="35">
        <v>10.199999999999999</v>
      </c>
      <c r="AC644" s="35">
        <v>9</v>
      </c>
      <c r="AD644" s="35">
        <v>19.3</v>
      </c>
      <c r="AE644" s="35">
        <v>19</v>
      </c>
      <c r="AF644" s="35">
        <v>19.399999999999999</v>
      </c>
      <c r="AG644" s="35">
        <v>19</v>
      </c>
      <c r="AH644" s="35">
        <v>19</v>
      </c>
      <c r="AI644" s="35">
        <v>19</v>
      </c>
      <c r="AJ644" s="35">
        <v>19.7</v>
      </c>
      <c r="AK644" s="35">
        <v>19</v>
      </c>
      <c r="AL644" s="35">
        <v>19.2</v>
      </c>
      <c r="AM644" s="35">
        <v>19</v>
      </c>
      <c r="AN644" s="35">
        <v>19.8</v>
      </c>
      <c r="AO644" s="35">
        <v>19</v>
      </c>
      <c r="AP644" s="35">
        <v>20.7</v>
      </c>
      <c r="AQ644" s="35">
        <v>19</v>
      </c>
      <c r="AR644" s="35">
        <v>20.8</v>
      </c>
      <c r="AS644" s="35">
        <v>19</v>
      </c>
      <c r="AT644" s="35">
        <v>20.5</v>
      </c>
      <c r="AU644" s="35">
        <v>19</v>
      </c>
      <c r="AV644" s="35">
        <v>20.399999999999999</v>
      </c>
      <c r="AW644" s="35">
        <v>19</v>
      </c>
      <c r="AX644" s="35">
        <v>20.9</v>
      </c>
      <c r="AY644" s="35">
        <v>20</v>
      </c>
      <c r="AZ644" s="35">
        <v>21.6</v>
      </c>
      <c r="BA644" s="35">
        <v>20</v>
      </c>
      <c r="BB644" s="35">
        <v>29.7</v>
      </c>
      <c r="BC644" s="35">
        <v>40</v>
      </c>
      <c r="BD644" s="35">
        <v>28.9</v>
      </c>
      <c r="BE644" s="35">
        <v>40</v>
      </c>
      <c r="BF644" s="35">
        <v>21.9</v>
      </c>
      <c r="BG644" s="35">
        <v>20</v>
      </c>
    </row>
    <row r="645" spans="1:59" x14ac:dyDescent="0.35">
      <c r="A645" s="36">
        <v>46059.909722222219</v>
      </c>
      <c r="B645" s="35">
        <v>3.6</v>
      </c>
      <c r="C645" s="35">
        <v>2</v>
      </c>
      <c r="D645" s="35">
        <v>4.0999999999999996</v>
      </c>
      <c r="E645" s="35">
        <v>2.2000000000000002</v>
      </c>
      <c r="F645" s="35">
        <v>2.4</v>
      </c>
      <c r="G645" s="35">
        <v>2</v>
      </c>
      <c r="H645" s="35">
        <v>2.5</v>
      </c>
      <c r="I645" s="35">
        <v>2</v>
      </c>
      <c r="J645" s="35">
        <v>3</v>
      </c>
      <c r="K645" s="35">
        <v>2</v>
      </c>
      <c r="L645" s="35">
        <v>3.6</v>
      </c>
      <c r="M645" s="35">
        <v>2</v>
      </c>
      <c r="N645" s="35">
        <v>3.2</v>
      </c>
      <c r="O645" s="35">
        <v>3</v>
      </c>
      <c r="P645" s="35">
        <v>3.4</v>
      </c>
      <c r="Q645" s="35">
        <v>2</v>
      </c>
      <c r="R645" s="35">
        <v>2.4</v>
      </c>
      <c r="S645" s="35">
        <v>2</v>
      </c>
      <c r="T645" s="35">
        <v>2.2000000000000002</v>
      </c>
      <c r="U645" s="35">
        <v>2</v>
      </c>
      <c r="V645" s="35">
        <v>9.9</v>
      </c>
      <c r="W645" s="35">
        <v>9</v>
      </c>
      <c r="X645" s="35">
        <v>8.5</v>
      </c>
      <c r="Y645" s="35">
        <v>9</v>
      </c>
      <c r="Z645" s="35">
        <v>10.7</v>
      </c>
      <c r="AA645" s="35">
        <v>9</v>
      </c>
      <c r="AB645" s="35">
        <v>8.5</v>
      </c>
      <c r="AC645" s="35">
        <v>9</v>
      </c>
      <c r="AD645" s="35">
        <v>19.399999999999999</v>
      </c>
      <c r="AE645" s="35">
        <v>19</v>
      </c>
      <c r="AF645" s="35">
        <v>18.7</v>
      </c>
      <c r="AG645" s="35">
        <v>19</v>
      </c>
      <c r="AH645" s="35">
        <v>19.100000000000001</v>
      </c>
      <c r="AI645" s="35">
        <v>19</v>
      </c>
      <c r="AJ645" s="35">
        <v>19.8</v>
      </c>
      <c r="AK645" s="35">
        <v>19</v>
      </c>
      <c r="AL645" s="35">
        <v>19.2</v>
      </c>
      <c r="AM645" s="35">
        <v>19</v>
      </c>
      <c r="AN645" s="35">
        <v>19.899999999999999</v>
      </c>
      <c r="AO645" s="35">
        <v>19</v>
      </c>
      <c r="AP645" s="35">
        <v>20.7</v>
      </c>
      <c r="AQ645" s="35">
        <v>19</v>
      </c>
      <c r="AR645" s="35">
        <v>20.8</v>
      </c>
      <c r="AS645" s="35">
        <v>19</v>
      </c>
      <c r="AT645" s="35">
        <v>20.6</v>
      </c>
      <c r="AU645" s="35">
        <v>19</v>
      </c>
      <c r="AV645" s="35">
        <v>20.399999999999999</v>
      </c>
      <c r="AW645" s="35">
        <v>19</v>
      </c>
      <c r="AX645" s="35">
        <v>20.8</v>
      </c>
      <c r="AY645" s="35">
        <v>20</v>
      </c>
      <c r="AZ645" s="35">
        <v>21.6</v>
      </c>
      <c r="BA645" s="35">
        <v>20</v>
      </c>
      <c r="BB645" s="35">
        <v>29.6</v>
      </c>
      <c r="BC645" s="35">
        <v>40</v>
      </c>
      <c r="BD645" s="35">
        <v>28.9</v>
      </c>
      <c r="BE645" s="35">
        <v>40</v>
      </c>
      <c r="BF645" s="35">
        <v>21.9</v>
      </c>
      <c r="BG645" s="35">
        <v>20</v>
      </c>
    </row>
    <row r="646" spans="1:59" x14ac:dyDescent="0.35">
      <c r="A646" s="36">
        <v>46059.910416666666</v>
      </c>
      <c r="B646" s="35">
        <v>3.6</v>
      </c>
      <c r="C646" s="35">
        <v>2</v>
      </c>
      <c r="D646" s="35">
        <v>4</v>
      </c>
      <c r="E646" s="35">
        <v>2.2000000000000002</v>
      </c>
      <c r="F646" s="35">
        <v>2.7</v>
      </c>
      <c r="G646" s="35">
        <v>2</v>
      </c>
      <c r="H646" s="35">
        <v>2.9</v>
      </c>
      <c r="I646" s="35">
        <v>2</v>
      </c>
      <c r="J646" s="35">
        <v>2.7</v>
      </c>
      <c r="K646" s="35">
        <v>2</v>
      </c>
      <c r="L646" s="35">
        <v>2.6</v>
      </c>
      <c r="M646" s="35">
        <v>2</v>
      </c>
      <c r="N646" s="35">
        <v>3.4</v>
      </c>
      <c r="O646" s="35">
        <v>3</v>
      </c>
      <c r="P646" s="35">
        <v>3.6</v>
      </c>
      <c r="Q646" s="35">
        <v>2</v>
      </c>
      <c r="R646" s="35">
        <v>2.7</v>
      </c>
      <c r="S646" s="35">
        <v>2</v>
      </c>
      <c r="T646" s="35">
        <v>2.4</v>
      </c>
      <c r="U646" s="35">
        <v>2</v>
      </c>
      <c r="V646" s="35">
        <v>7.9</v>
      </c>
      <c r="W646" s="35">
        <v>9</v>
      </c>
      <c r="X646" s="35">
        <v>8.6999999999999993</v>
      </c>
      <c r="Y646" s="35">
        <v>9</v>
      </c>
      <c r="Z646" s="35">
        <v>10.8</v>
      </c>
      <c r="AA646" s="35">
        <v>9</v>
      </c>
      <c r="AB646" s="35">
        <v>8</v>
      </c>
      <c r="AC646" s="35">
        <v>9</v>
      </c>
      <c r="AD646" s="35">
        <v>19.5</v>
      </c>
      <c r="AE646" s="35">
        <v>19</v>
      </c>
      <c r="AF646" s="35">
        <v>18.5</v>
      </c>
      <c r="AG646" s="35">
        <v>19</v>
      </c>
      <c r="AH646" s="35">
        <v>19.3</v>
      </c>
      <c r="AI646" s="35">
        <v>19</v>
      </c>
      <c r="AJ646" s="35">
        <v>19.899999999999999</v>
      </c>
      <c r="AK646" s="35">
        <v>19</v>
      </c>
      <c r="AL646" s="35">
        <v>19.2</v>
      </c>
      <c r="AM646" s="35">
        <v>19</v>
      </c>
      <c r="AN646" s="35">
        <v>20</v>
      </c>
      <c r="AO646" s="35">
        <v>19</v>
      </c>
      <c r="AP646" s="35">
        <v>20.7</v>
      </c>
      <c r="AQ646" s="35">
        <v>19</v>
      </c>
      <c r="AR646" s="35">
        <v>20.8</v>
      </c>
      <c r="AS646" s="35">
        <v>19</v>
      </c>
      <c r="AT646" s="35">
        <v>20.6</v>
      </c>
      <c r="AU646" s="35">
        <v>19</v>
      </c>
      <c r="AV646" s="35">
        <v>20.5</v>
      </c>
      <c r="AW646" s="35">
        <v>19</v>
      </c>
      <c r="AX646" s="35">
        <v>20.8</v>
      </c>
      <c r="AY646" s="35">
        <v>20</v>
      </c>
      <c r="AZ646" s="35">
        <v>21.6</v>
      </c>
      <c r="BA646" s="35">
        <v>20</v>
      </c>
      <c r="BB646" s="35">
        <v>29.6</v>
      </c>
      <c r="BC646" s="35">
        <v>40</v>
      </c>
      <c r="BD646" s="35">
        <v>28.9</v>
      </c>
      <c r="BE646" s="35">
        <v>40</v>
      </c>
      <c r="BF646" s="35">
        <v>21.9</v>
      </c>
      <c r="BG646" s="35">
        <v>20</v>
      </c>
    </row>
    <row r="647" spans="1:59" x14ac:dyDescent="0.35">
      <c r="A647" s="36">
        <v>46059.911111111112</v>
      </c>
      <c r="B647" s="35">
        <v>3.7</v>
      </c>
      <c r="C647" s="35">
        <v>2</v>
      </c>
      <c r="D647" s="35">
        <v>4</v>
      </c>
      <c r="E647" s="35">
        <v>2.2000000000000002</v>
      </c>
      <c r="F647" s="35">
        <v>2.9</v>
      </c>
      <c r="G647" s="35">
        <v>2</v>
      </c>
      <c r="H647" s="35">
        <v>3.2</v>
      </c>
      <c r="I647" s="35">
        <v>2</v>
      </c>
      <c r="J647" s="35">
        <v>2.2999999999999998</v>
      </c>
      <c r="K647" s="35">
        <v>2</v>
      </c>
      <c r="L647" s="35">
        <v>2</v>
      </c>
      <c r="M647" s="35">
        <v>2</v>
      </c>
      <c r="N647" s="35">
        <v>3.6</v>
      </c>
      <c r="O647" s="35">
        <v>3</v>
      </c>
      <c r="P647" s="35">
        <v>3.7</v>
      </c>
      <c r="Q647" s="35">
        <v>2</v>
      </c>
      <c r="R647" s="35">
        <v>2.9</v>
      </c>
      <c r="S647" s="35">
        <v>2</v>
      </c>
      <c r="T647" s="35">
        <v>2.6</v>
      </c>
      <c r="U647" s="35">
        <v>2</v>
      </c>
      <c r="V647" s="35">
        <v>7.7</v>
      </c>
      <c r="W647" s="35">
        <v>9</v>
      </c>
      <c r="X647" s="35">
        <v>8.9</v>
      </c>
      <c r="Y647" s="35">
        <v>9</v>
      </c>
      <c r="Z647" s="35">
        <v>10.9</v>
      </c>
      <c r="AA647" s="35">
        <v>9</v>
      </c>
      <c r="AB647" s="35">
        <v>8.3000000000000007</v>
      </c>
      <c r="AC647" s="35">
        <v>9</v>
      </c>
      <c r="AD647" s="35">
        <v>19.600000000000001</v>
      </c>
      <c r="AE647" s="35">
        <v>19</v>
      </c>
      <c r="AF647" s="35">
        <v>18.5</v>
      </c>
      <c r="AG647" s="35">
        <v>19</v>
      </c>
      <c r="AH647" s="35">
        <v>19.399999999999999</v>
      </c>
      <c r="AI647" s="35">
        <v>19</v>
      </c>
      <c r="AJ647" s="35">
        <v>20</v>
      </c>
      <c r="AK647" s="35">
        <v>19</v>
      </c>
      <c r="AL647" s="35">
        <v>19</v>
      </c>
      <c r="AM647" s="35">
        <v>19</v>
      </c>
      <c r="AN647" s="35">
        <v>20.100000000000001</v>
      </c>
      <c r="AO647" s="35">
        <v>19</v>
      </c>
      <c r="AP647" s="35">
        <v>20.7</v>
      </c>
      <c r="AQ647" s="35">
        <v>19</v>
      </c>
      <c r="AR647" s="35">
        <v>20.8</v>
      </c>
      <c r="AS647" s="35">
        <v>19</v>
      </c>
      <c r="AT647" s="35">
        <v>20.7</v>
      </c>
      <c r="AU647" s="35">
        <v>19</v>
      </c>
      <c r="AV647" s="35">
        <v>20.5</v>
      </c>
      <c r="AW647" s="35">
        <v>19</v>
      </c>
      <c r="AX647" s="35">
        <v>20.8</v>
      </c>
      <c r="AY647" s="35">
        <v>20</v>
      </c>
      <c r="AZ647" s="35">
        <v>21.6</v>
      </c>
      <c r="BA647" s="35">
        <v>20</v>
      </c>
      <c r="BB647" s="35">
        <v>29.6</v>
      </c>
      <c r="BC647" s="35">
        <v>40</v>
      </c>
      <c r="BD647" s="35">
        <v>28.9</v>
      </c>
      <c r="BE647" s="35">
        <v>40</v>
      </c>
      <c r="BF647" s="35">
        <v>21.9</v>
      </c>
      <c r="BG647" s="35">
        <v>20</v>
      </c>
    </row>
    <row r="648" spans="1:59" x14ac:dyDescent="0.35">
      <c r="A648" s="36">
        <v>46059.911805555559</v>
      </c>
      <c r="B648" s="35">
        <v>3.9</v>
      </c>
      <c r="C648" s="35">
        <v>2</v>
      </c>
      <c r="D648" s="35">
        <v>4.3</v>
      </c>
      <c r="E648" s="35">
        <v>2.2000000000000002</v>
      </c>
      <c r="F648" s="35">
        <v>3.2</v>
      </c>
      <c r="G648" s="35">
        <v>2</v>
      </c>
      <c r="H648" s="35">
        <v>3.5</v>
      </c>
      <c r="I648" s="35">
        <v>2</v>
      </c>
      <c r="J648" s="35">
        <v>2</v>
      </c>
      <c r="K648" s="35">
        <v>2</v>
      </c>
      <c r="L648" s="35">
        <v>1.8</v>
      </c>
      <c r="M648" s="35">
        <v>2</v>
      </c>
      <c r="N648" s="35">
        <v>3.8</v>
      </c>
      <c r="O648" s="35">
        <v>3</v>
      </c>
      <c r="P648" s="35">
        <v>3.8</v>
      </c>
      <c r="Q648" s="35">
        <v>2</v>
      </c>
      <c r="R648" s="35">
        <v>3.1</v>
      </c>
      <c r="S648" s="35">
        <v>2</v>
      </c>
      <c r="T648" s="35">
        <v>2.8</v>
      </c>
      <c r="U648" s="35">
        <v>2</v>
      </c>
      <c r="V648" s="35">
        <v>8.5</v>
      </c>
      <c r="W648" s="35">
        <v>9</v>
      </c>
      <c r="X648" s="35">
        <v>9.1</v>
      </c>
      <c r="Y648" s="35">
        <v>9</v>
      </c>
      <c r="Z648" s="35">
        <v>10.9</v>
      </c>
      <c r="AA648" s="35">
        <v>9</v>
      </c>
      <c r="AB648" s="35">
        <v>8.8000000000000007</v>
      </c>
      <c r="AC648" s="35">
        <v>9</v>
      </c>
      <c r="AD648" s="35">
        <v>19.7</v>
      </c>
      <c r="AE648" s="35">
        <v>19</v>
      </c>
      <c r="AF648" s="35">
        <v>18.5</v>
      </c>
      <c r="AG648" s="35">
        <v>19</v>
      </c>
      <c r="AH648" s="35">
        <v>19.600000000000001</v>
      </c>
      <c r="AI648" s="35">
        <v>19</v>
      </c>
      <c r="AJ648" s="35">
        <v>20</v>
      </c>
      <c r="AK648" s="35">
        <v>19</v>
      </c>
      <c r="AL648" s="35">
        <v>19</v>
      </c>
      <c r="AM648" s="35">
        <v>19</v>
      </c>
      <c r="AN648" s="35">
        <v>20.2</v>
      </c>
      <c r="AO648" s="35">
        <v>19</v>
      </c>
      <c r="AP648" s="35">
        <v>20.7</v>
      </c>
      <c r="AQ648" s="35">
        <v>19</v>
      </c>
      <c r="AR648" s="35">
        <v>20.8</v>
      </c>
      <c r="AS648" s="35">
        <v>19</v>
      </c>
      <c r="AT648" s="35">
        <v>20.8</v>
      </c>
      <c r="AU648" s="35">
        <v>19</v>
      </c>
      <c r="AV648" s="35">
        <v>20.5</v>
      </c>
      <c r="AW648" s="35">
        <v>19</v>
      </c>
      <c r="AX648" s="35">
        <v>20.7</v>
      </c>
      <c r="AY648" s="35">
        <v>20</v>
      </c>
      <c r="AZ648" s="35">
        <v>21.6</v>
      </c>
      <c r="BA648" s="35">
        <v>20</v>
      </c>
      <c r="BB648" s="35">
        <v>29.6</v>
      </c>
      <c r="BC648" s="35">
        <v>40</v>
      </c>
      <c r="BD648" s="35">
        <v>28.8</v>
      </c>
      <c r="BE648" s="35">
        <v>40</v>
      </c>
      <c r="BF648" s="35">
        <v>21.9</v>
      </c>
      <c r="BG648" s="35">
        <v>20</v>
      </c>
    </row>
    <row r="649" spans="1:59" x14ac:dyDescent="0.35">
      <c r="A649" s="36">
        <v>46059.912499999999</v>
      </c>
      <c r="B649" s="35">
        <v>3.9</v>
      </c>
      <c r="C649" s="35">
        <v>2</v>
      </c>
      <c r="D649" s="35">
        <v>4.2</v>
      </c>
      <c r="E649" s="35">
        <v>2.2000000000000002</v>
      </c>
      <c r="F649" s="35">
        <v>3.4</v>
      </c>
      <c r="G649" s="35">
        <v>2</v>
      </c>
      <c r="H649" s="35">
        <v>3.7</v>
      </c>
      <c r="I649" s="35">
        <v>2</v>
      </c>
      <c r="J649" s="35">
        <v>2.1</v>
      </c>
      <c r="K649" s="35">
        <v>2</v>
      </c>
      <c r="L649" s="35">
        <v>2</v>
      </c>
      <c r="M649" s="35">
        <v>2</v>
      </c>
      <c r="N649" s="35">
        <v>4</v>
      </c>
      <c r="O649" s="35">
        <v>3</v>
      </c>
      <c r="P649" s="35">
        <v>4</v>
      </c>
      <c r="Q649" s="35">
        <v>2</v>
      </c>
      <c r="R649" s="35">
        <v>3.2</v>
      </c>
      <c r="S649" s="35">
        <v>2</v>
      </c>
      <c r="T649" s="35">
        <v>3</v>
      </c>
      <c r="U649" s="35">
        <v>2</v>
      </c>
      <c r="V649" s="35">
        <v>9.1999999999999993</v>
      </c>
      <c r="W649" s="35">
        <v>9</v>
      </c>
      <c r="X649" s="35">
        <v>9.3000000000000007</v>
      </c>
      <c r="Y649" s="35">
        <v>9</v>
      </c>
      <c r="Z649" s="35">
        <v>11</v>
      </c>
      <c r="AA649" s="35">
        <v>9</v>
      </c>
      <c r="AB649" s="35">
        <v>9.1999999999999993</v>
      </c>
      <c r="AC649" s="35">
        <v>9</v>
      </c>
      <c r="AD649" s="35">
        <v>19.7</v>
      </c>
      <c r="AE649" s="35">
        <v>19</v>
      </c>
      <c r="AF649" s="35">
        <v>18.5</v>
      </c>
      <c r="AG649" s="35">
        <v>19</v>
      </c>
      <c r="AH649" s="35">
        <v>19.7</v>
      </c>
      <c r="AI649" s="35">
        <v>19</v>
      </c>
      <c r="AJ649" s="35">
        <v>20.100000000000001</v>
      </c>
      <c r="AK649" s="35">
        <v>19</v>
      </c>
      <c r="AL649" s="35">
        <v>19.2</v>
      </c>
      <c r="AM649" s="35">
        <v>19</v>
      </c>
      <c r="AN649" s="35">
        <v>20.3</v>
      </c>
      <c r="AO649" s="35">
        <v>19</v>
      </c>
      <c r="AP649" s="35">
        <v>20.7</v>
      </c>
      <c r="AQ649" s="35">
        <v>19</v>
      </c>
      <c r="AR649" s="35">
        <v>20.8</v>
      </c>
      <c r="AS649" s="35">
        <v>19</v>
      </c>
      <c r="AT649" s="35">
        <v>20.9</v>
      </c>
      <c r="AU649" s="35">
        <v>19</v>
      </c>
      <c r="AV649" s="35">
        <v>20.6</v>
      </c>
      <c r="AW649" s="35">
        <v>19</v>
      </c>
      <c r="AX649" s="35">
        <v>20.7</v>
      </c>
      <c r="AY649" s="35">
        <v>20</v>
      </c>
      <c r="AZ649" s="35">
        <v>21.6</v>
      </c>
      <c r="BA649" s="35">
        <v>20</v>
      </c>
      <c r="BB649" s="35">
        <v>29.6</v>
      </c>
      <c r="BC649" s="35">
        <v>40</v>
      </c>
      <c r="BD649" s="35">
        <v>28.8</v>
      </c>
      <c r="BE649" s="35">
        <v>40</v>
      </c>
      <c r="BF649" s="35">
        <v>21.9</v>
      </c>
      <c r="BG649" s="35">
        <v>20</v>
      </c>
    </row>
    <row r="650" spans="1:59" x14ac:dyDescent="0.35">
      <c r="A650" s="36">
        <v>46059.913194444445</v>
      </c>
      <c r="B650" s="35">
        <v>2.9</v>
      </c>
      <c r="C650" s="35">
        <v>2</v>
      </c>
      <c r="D650" s="35">
        <v>3.2</v>
      </c>
      <c r="E650" s="35">
        <v>2.2000000000000002</v>
      </c>
      <c r="F650" s="35">
        <v>3.6</v>
      </c>
      <c r="G650" s="35">
        <v>2</v>
      </c>
      <c r="H650" s="35">
        <v>4</v>
      </c>
      <c r="I650" s="35">
        <v>2</v>
      </c>
      <c r="J650" s="35">
        <v>2.4</v>
      </c>
      <c r="K650" s="35">
        <v>2</v>
      </c>
      <c r="L650" s="35">
        <v>2.4</v>
      </c>
      <c r="M650" s="35">
        <v>2</v>
      </c>
      <c r="N650" s="35">
        <v>3</v>
      </c>
      <c r="O650" s="35">
        <v>3</v>
      </c>
      <c r="P650" s="35">
        <v>3.3</v>
      </c>
      <c r="Q650" s="35">
        <v>2</v>
      </c>
      <c r="R650" s="35">
        <v>3.4</v>
      </c>
      <c r="S650" s="35">
        <v>2</v>
      </c>
      <c r="T650" s="35">
        <v>3.1</v>
      </c>
      <c r="U650" s="35">
        <v>2</v>
      </c>
      <c r="V650" s="35">
        <v>9.8000000000000007</v>
      </c>
      <c r="W650" s="35">
        <v>9</v>
      </c>
      <c r="X650" s="35">
        <v>9.4</v>
      </c>
      <c r="Y650" s="35">
        <v>9</v>
      </c>
      <c r="Z650" s="35">
        <v>10.4</v>
      </c>
      <c r="AA650" s="35">
        <v>9</v>
      </c>
      <c r="AB650" s="35">
        <v>9.6</v>
      </c>
      <c r="AC650" s="35">
        <v>9</v>
      </c>
      <c r="AD650" s="35">
        <v>19.8</v>
      </c>
      <c r="AE650" s="35">
        <v>19</v>
      </c>
      <c r="AF650" s="35">
        <v>18.600000000000001</v>
      </c>
      <c r="AG650" s="35">
        <v>19</v>
      </c>
      <c r="AH650" s="35">
        <v>19.8</v>
      </c>
      <c r="AI650" s="35">
        <v>19</v>
      </c>
      <c r="AJ650" s="35">
        <v>20.2</v>
      </c>
      <c r="AK650" s="35">
        <v>19</v>
      </c>
      <c r="AL650" s="35">
        <v>19.5</v>
      </c>
      <c r="AM650" s="35">
        <v>19</v>
      </c>
      <c r="AN650" s="35">
        <v>20.399999999999999</v>
      </c>
      <c r="AO650" s="35">
        <v>19</v>
      </c>
      <c r="AP650" s="35">
        <v>20.7</v>
      </c>
      <c r="AQ650" s="35">
        <v>19</v>
      </c>
      <c r="AR650" s="35">
        <v>20.8</v>
      </c>
      <c r="AS650" s="35">
        <v>19</v>
      </c>
      <c r="AT650" s="35">
        <v>20.9</v>
      </c>
      <c r="AU650" s="35">
        <v>19</v>
      </c>
      <c r="AV650" s="35">
        <v>20.6</v>
      </c>
      <c r="AW650" s="35">
        <v>19</v>
      </c>
      <c r="AX650" s="35">
        <v>20.7</v>
      </c>
      <c r="AY650" s="35">
        <v>20</v>
      </c>
      <c r="AZ650" s="35">
        <v>21.6</v>
      </c>
      <c r="BA650" s="35">
        <v>20</v>
      </c>
      <c r="BB650" s="35">
        <v>29.6</v>
      </c>
      <c r="BC650" s="35">
        <v>40</v>
      </c>
      <c r="BD650" s="35">
        <v>28.8</v>
      </c>
      <c r="BE650" s="35">
        <v>40</v>
      </c>
      <c r="BF650" s="35">
        <v>21.9</v>
      </c>
      <c r="BG650" s="35">
        <v>20</v>
      </c>
    </row>
    <row r="651" spans="1:59" x14ac:dyDescent="0.35">
      <c r="A651" s="36">
        <v>46059.913888888892</v>
      </c>
      <c r="B651" s="35">
        <v>2</v>
      </c>
      <c r="C651" s="35">
        <v>2</v>
      </c>
      <c r="D651" s="35">
        <v>2.2999999999999998</v>
      </c>
      <c r="E651" s="35">
        <v>2.2000000000000002</v>
      </c>
      <c r="F651" s="35">
        <v>3.4</v>
      </c>
      <c r="G651" s="35">
        <v>2</v>
      </c>
      <c r="H651" s="35">
        <v>3.1</v>
      </c>
      <c r="I651" s="35">
        <v>2</v>
      </c>
      <c r="J651" s="35">
        <v>2.7</v>
      </c>
      <c r="K651" s="35">
        <v>2</v>
      </c>
      <c r="L651" s="35">
        <v>2.8</v>
      </c>
      <c r="M651" s="35">
        <v>2</v>
      </c>
      <c r="N651" s="35">
        <v>1.5</v>
      </c>
      <c r="O651" s="35">
        <v>3</v>
      </c>
      <c r="P651" s="35">
        <v>2.2999999999999998</v>
      </c>
      <c r="Q651" s="35">
        <v>2</v>
      </c>
      <c r="R651" s="35">
        <v>3.5</v>
      </c>
      <c r="S651" s="35">
        <v>2</v>
      </c>
      <c r="T651" s="35">
        <v>3.2</v>
      </c>
      <c r="U651" s="35">
        <v>2</v>
      </c>
      <c r="V651" s="35">
        <v>10.5</v>
      </c>
      <c r="W651" s="35">
        <v>9</v>
      </c>
      <c r="X651" s="35">
        <v>9.6</v>
      </c>
      <c r="Y651" s="35">
        <v>9</v>
      </c>
      <c r="Z651" s="35">
        <v>9.1999999999999993</v>
      </c>
      <c r="AA651" s="35">
        <v>9</v>
      </c>
      <c r="AB651" s="35">
        <v>9.9</v>
      </c>
      <c r="AC651" s="35">
        <v>9</v>
      </c>
      <c r="AD651" s="35">
        <v>19.8</v>
      </c>
      <c r="AE651" s="35">
        <v>19</v>
      </c>
      <c r="AF651" s="35">
        <v>18.600000000000001</v>
      </c>
      <c r="AG651" s="35">
        <v>19</v>
      </c>
      <c r="AH651" s="35">
        <v>19.899999999999999</v>
      </c>
      <c r="AI651" s="35">
        <v>19</v>
      </c>
      <c r="AJ651" s="35">
        <v>20.3</v>
      </c>
      <c r="AK651" s="35">
        <v>19</v>
      </c>
      <c r="AL651" s="35">
        <v>19.7</v>
      </c>
      <c r="AM651" s="35">
        <v>19</v>
      </c>
      <c r="AN651" s="35">
        <v>20.5</v>
      </c>
      <c r="AO651" s="35">
        <v>19</v>
      </c>
      <c r="AP651" s="35">
        <v>20.7</v>
      </c>
      <c r="AQ651" s="35">
        <v>19</v>
      </c>
      <c r="AR651" s="35">
        <v>20.8</v>
      </c>
      <c r="AS651" s="35">
        <v>19</v>
      </c>
      <c r="AT651" s="35">
        <v>21</v>
      </c>
      <c r="AU651" s="35">
        <v>19</v>
      </c>
      <c r="AV651" s="35">
        <v>20.7</v>
      </c>
      <c r="AW651" s="35">
        <v>19</v>
      </c>
      <c r="AX651" s="35">
        <v>20.8</v>
      </c>
      <c r="AY651" s="35">
        <v>20</v>
      </c>
      <c r="AZ651" s="35">
        <v>21.6</v>
      </c>
      <c r="BA651" s="35">
        <v>20</v>
      </c>
      <c r="BB651" s="35">
        <v>29.6</v>
      </c>
      <c r="BC651" s="35">
        <v>40</v>
      </c>
      <c r="BD651" s="35">
        <v>28.8</v>
      </c>
      <c r="BE651" s="35">
        <v>40</v>
      </c>
      <c r="BF651" s="35">
        <v>21.9</v>
      </c>
      <c r="BG651" s="35">
        <v>20</v>
      </c>
    </row>
    <row r="652" spans="1:59" x14ac:dyDescent="0.35">
      <c r="A652" s="36">
        <v>46059.914583333331</v>
      </c>
      <c r="B652" s="35">
        <v>1.6</v>
      </c>
      <c r="C652" s="35">
        <v>2</v>
      </c>
      <c r="D652" s="35">
        <v>2</v>
      </c>
      <c r="E652" s="35">
        <v>2.2000000000000002</v>
      </c>
      <c r="F652" s="35">
        <v>3.2</v>
      </c>
      <c r="G652" s="35">
        <v>2</v>
      </c>
      <c r="H652" s="35">
        <v>2.6</v>
      </c>
      <c r="I652" s="35">
        <v>2</v>
      </c>
      <c r="J652" s="35">
        <v>3</v>
      </c>
      <c r="K652" s="35">
        <v>2</v>
      </c>
      <c r="L652" s="35">
        <v>3.2</v>
      </c>
      <c r="M652" s="35">
        <v>2</v>
      </c>
      <c r="N652" s="35">
        <v>0.8</v>
      </c>
      <c r="O652" s="35">
        <v>3</v>
      </c>
      <c r="P652" s="35">
        <v>1.8</v>
      </c>
      <c r="Q652" s="35">
        <v>2</v>
      </c>
      <c r="R652" s="35">
        <v>3.7</v>
      </c>
      <c r="S652" s="35">
        <v>2</v>
      </c>
      <c r="T652" s="35">
        <v>3.4</v>
      </c>
      <c r="U652" s="35">
        <v>2</v>
      </c>
      <c r="V652" s="35">
        <v>10.9</v>
      </c>
      <c r="W652" s="35">
        <v>9</v>
      </c>
      <c r="X652" s="35">
        <v>9.8000000000000007</v>
      </c>
      <c r="Y652" s="35">
        <v>9</v>
      </c>
      <c r="Z652" s="35">
        <v>8.6</v>
      </c>
      <c r="AA652" s="35">
        <v>9</v>
      </c>
      <c r="AB652" s="35">
        <v>10.199999999999999</v>
      </c>
      <c r="AC652" s="35">
        <v>9</v>
      </c>
      <c r="AD652" s="35">
        <v>19.899999999999999</v>
      </c>
      <c r="AE652" s="35">
        <v>19</v>
      </c>
      <c r="AF652" s="35">
        <v>18.7</v>
      </c>
      <c r="AG652" s="35">
        <v>19</v>
      </c>
      <c r="AH652" s="35">
        <v>20</v>
      </c>
      <c r="AI652" s="35">
        <v>19</v>
      </c>
      <c r="AJ652" s="35">
        <v>20.399999999999999</v>
      </c>
      <c r="AK652" s="35">
        <v>19</v>
      </c>
      <c r="AL652" s="35">
        <v>19.899999999999999</v>
      </c>
      <c r="AM652" s="35">
        <v>19</v>
      </c>
      <c r="AN652" s="35">
        <v>20.6</v>
      </c>
      <c r="AO652" s="35">
        <v>19</v>
      </c>
      <c r="AP652" s="35">
        <v>20.8</v>
      </c>
      <c r="AQ652" s="35">
        <v>19</v>
      </c>
      <c r="AR652" s="35">
        <v>20.8</v>
      </c>
      <c r="AS652" s="35">
        <v>19</v>
      </c>
      <c r="AT652" s="35">
        <v>19.899999999999999</v>
      </c>
      <c r="AU652" s="35">
        <v>19</v>
      </c>
      <c r="AV652" s="35">
        <v>20.7</v>
      </c>
      <c r="AW652" s="35">
        <v>19</v>
      </c>
      <c r="AX652" s="35">
        <v>20.8</v>
      </c>
      <c r="AY652" s="35">
        <v>20</v>
      </c>
      <c r="AZ652" s="35">
        <v>21.6</v>
      </c>
      <c r="BA652" s="35">
        <v>20</v>
      </c>
      <c r="BB652" s="35">
        <v>29.6</v>
      </c>
      <c r="BC652" s="35">
        <v>40</v>
      </c>
      <c r="BD652" s="35">
        <v>28.8</v>
      </c>
      <c r="BE652" s="35">
        <v>40</v>
      </c>
      <c r="BF652" s="35">
        <v>21.9</v>
      </c>
      <c r="BG652" s="35">
        <v>20</v>
      </c>
    </row>
    <row r="653" spans="1:59" x14ac:dyDescent="0.35">
      <c r="A653" s="36">
        <v>46059.915277777778</v>
      </c>
      <c r="B653" s="35">
        <v>1.9</v>
      </c>
      <c r="C653" s="35">
        <v>2</v>
      </c>
      <c r="D653" s="35">
        <v>2.4</v>
      </c>
      <c r="E653" s="35">
        <v>2.2000000000000002</v>
      </c>
      <c r="F653" s="35">
        <v>3.2</v>
      </c>
      <c r="G653" s="35">
        <v>2</v>
      </c>
      <c r="H653" s="35">
        <v>2.6</v>
      </c>
      <c r="I653" s="35">
        <v>2</v>
      </c>
      <c r="J653" s="35">
        <v>3.3</v>
      </c>
      <c r="K653" s="35">
        <v>2</v>
      </c>
      <c r="L653" s="35">
        <v>3.5</v>
      </c>
      <c r="M653" s="35">
        <v>2</v>
      </c>
      <c r="N653" s="35">
        <v>1</v>
      </c>
      <c r="O653" s="35">
        <v>3</v>
      </c>
      <c r="P653" s="35">
        <v>1.8</v>
      </c>
      <c r="Q653" s="35">
        <v>2</v>
      </c>
      <c r="R653" s="35">
        <v>3.8</v>
      </c>
      <c r="S653" s="35">
        <v>2</v>
      </c>
      <c r="T653" s="35">
        <v>3.5</v>
      </c>
      <c r="U653" s="35">
        <v>2</v>
      </c>
      <c r="V653" s="35">
        <v>10.7</v>
      </c>
      <c r="W653" s="35">
        <v>9</v>
      </c>
      <c r="X653" s="35">
        <v>9.9</v>
      </c>
      <c r="Y653" s="35">
        <v>9</v>
      </c>
      <c r="Z653" s="35">
        <v>8.6999999999999993</v>
      </c>
      <c r="AA653" s="35">
        <v>9</v>
      </c>
      <c r="AB653" s="35">
        <v>10.4</v>
      </c>
      <c r="AC653" s="35">
        <v>9</v>
      </c>
      <c r="AD653" s="35">
        <v>19.899999999999999</v>
      </c>
      <c r="AE653" s="35">
        <v>19</v>
      </c>
      <c r="AF653" s="35">
        <v>18.8</v>
      </c>
      <c r="AG653" s="35">
        <v>19</v>
      </c>
      <c r="AH653" s="35">
        <v>20.100000000000001</v>
      </c>
      <c r="AI653" s="35">
        <v>19</v>
      </c>
      <c r="AJ653" s="35">
        <v>20.399999999999999</v>
      </c>
      <c r="AK653" s="35">
        <v>19</v>
      </c>
      <c r="AL653" s="35">
        <v>20.100000000000001</v>
      </c>
      <c r="AM653" s="35">
        <v>19</v>
      </c>
      <c r="AN653" s="35">
        <v>20.6</v>
      </c>
      <c r="AO653" s="35">
        <v>19</v>
      </c>
      <c r="AP653" s="35">
        <v>20.8</v>
      </c>
      <c r="AQ653" s="35">
        <v>19</v>
      </c>
      <c r="AR653" s="35">
        <v>20.8</v>
      </c>
      <c r="AS653" s="35">
        <v>19</v>
      </c>
      <c r="AT653" s="35">
        <v>18.3</v>
      </c>
      <c r="AU653" s="35">
        <v>19</v>
      </c>
      <c r="AV653" s="35">
        <v>20.7</v>
      </c>
      <c r="AW653" s="35">
        <v>19</v>
      </c>
      <c r="AX653" s="35">
        <v>20.9</v>
      </c>
      <c r="AY653" s="35">
        <v>20</v>
      </c>
      <c r="AZ653" s="35">
        <v>21.6</v>
      </c>
      <c r="BA653" s="35">
        <v>20</v>
      </c>
      <c r="BB653" s="35">
        <v>29.6</v>
      </c>
      <c r="BC653" s="35">
        <v>40</v>
      </c>
      <c r="BD653" s="35">
        <v>28.8</v>
      </c>
      <c r="BE653" s="35">
        <v>40</v>
      </c>
      <c r="BF653" s="35">
        <v>21.9</v>
      </c>
      <c r="BG653" s="35">
        <v>20</v>
      </c>
    </row>
    <row r="654" spans="1:59" x14ac:dyDescent="0.35">
      <c r="A654" s="36">
        <v>46059.915972222225</v>
      </c>
      <c r="B654" s="35">
        <v>2.2999999999999998</v>
      </c>
      <c r="C654" s="35">
        <v>2</v>
      </c>
      <c r="D654" s="35">
        <v>2.7</v>
      </c>
      <c r="E654" s="35">
        <v>2.2000000000000002</v>
      </c>
      <c r="F654" s="35">
        <v>3.3</v>
      </c>
      <c r="G654" s="35">
        <v>2</v>
      </c>
      <c r="H654" s="35">
        <v>2.8</v>
      </c>
      <c r="I654" s="35">
        <v>2</v>
      </c>
      <c r="J654" s="35">
        <v>3.6</v>
      </c>
      <c r="K654" s="35">
        <v>2</v>
      </c>
      <c r="L654" s="35">
        <v>3.8</v>
      </c>
      <c r="M654" s="35">
        <v>2</v>
      </c>
      <c r="N654" s="35">
        <v>1.2</v>
      </c>
      <c r="O654" s="35">
        <v>3</v>
      </c>
      <c r="P654" s="35">
        <v>2</v>
      </c>
      <c r="Q654" s="35">
        <v>2</v>
      </c>
      <c r="R654" s="35">
        <v>3.9</v>
      </c>
      <c r="S654" s="35">
        <v>2</v>
      </c>
      <c r="T654" s="35">
        <v>3.6</v>
      </c>
      <c r="U654" s="35">
        <v>2</v>
      </c>
      <c r="V654" s="35">
        <v>8.6999999999999993</v>
      </c>
      <c r="W654" s="35">
        <v>9</v>
      </c>
      <c r="X654" s="35">
        <v>10</v>
      </c>
      <c r="Y654" s="35">
        <v>9</v>
      </c>
      <c r="Z654" s="35">
        <v>9</v>
      </c>
      <c r="AA654" s="35">
        <v>9</v>
      </c>
      <c r="AB654" s="35">
        <v>10.6</v>
      </c>
      <c r="AC654" s="35">
        <v>9</v>
      </c>
      <c r="AD654" s="35">
        <v>20</v>
      </c>
      <c r="AE654" s="35">
        <v>19</v>
      </c>
      <c r="AF654" s="35">
        <v>19</v>
      </c>
      <c r="AG654" s="35">
        <v>19</v>
      </c>
      <c r="AH654" s="35">
        <v>20.2</v>
      </c>
      <c r="AI654" s="35">
        <v>19</v>
      </c>
      <c r="AJ654" s="35">
        <v>20.5</v>
      </c>
      <c r="AK654" s="35">
        <v>19</v>
      </c>
      <c r="AL654" s="35">
        <v>20.3</v>
      </c>
      <c r="AM654" s="35">
        <v>19</v>
      </c>
      <c r="AN654" s="35">
        <v>20.7</v>
      </c>
      <c r="AO654" s="35">
        <v>19</v>
      </c>
      <c r="AP654" s="35">
        <v>20.8</v>
      </c>
      <c r="AQ654" s="35">
        <v>19</v>
      </c>
      <c r="AR654" s="35">
        <v>20.8</v>
      </c>
      <c r="AS654" s="35">
        <v>19</v>
      </c>
      <c r="AT654" s="35">
        <v>17.899999999999999</v>
      </c>
      <c r="AU654" s="35">
        <v>19</v>
      </c>
      <c r="AV654" s="35">
        <v>20.7</v>
      </c>
      <c r="AW654" s="35">
        <v>19</v>
      </c>
      <c r="AX654" s="35">
        <v>20.9</v>
      </c>
      <c r="AY654" s="35">
        <v>20</v>
      </c>
      <c r="AZ654" s="35">
        <v>21.6</v>
      </c>
      <c r="BA654" s="35">
        <v>20</v>
      </c>
      <c r="BB654" s="35">
        <v>29.6</v>
      </c>
      <c r="BC654" s="35">
        <v>40</v>
      </c>
      <c r="BD654" s="35">
        <v>28.8</v>
      </c>
      <c r="BE654" s="35">
        <v>40</v>
      </c>
      <c r="BF654" s="35">
        <v>21.9</v>
      </c>
      <c r="BG654" s="35">
        <v>20</v>
      </c>
    </row>
    <row r="655" spans="1:59" x14ac:dyDescent="0.35">
      <c r="A655" s="36">
        <v>46059.916666666664</v>
      </c>
      <c r="B655" s="35">
        <v>2.7</v>
      </c>
      <c r="C655" s="35">
        <v>2</v>
      </c>
      <c r="D655" s="35">
        <v>3.1</v>
      </c>
      <c r="E655" s="35">
        <v>2.2000000000000002</v>
      </c>
      <c r="F655" s="35">
        <v>3.5</v>
      </c>
      <c r="G655" s="35">
        <v>2</v>
      </c>
      <c r="H655" s="35">
        <v>3.1</v>
      </c>
      <c r="I655" s="35">
        <v>2</v>
      </c>
      <c r="J655" s="35">
        <v>3.8</v>
      </c>
      <c r="K655" s="35">
        <v>2</v>
      </c>
      <c r="L655" s="35">
        <v>4</v>
      </c>
      <c r="M655" s="35">
        <v>2</v>
      </c>
      <c r="N655" s="35">
        <v>1.6</v>
      </c>
      <c r="O655" s="35">
        <v>3</v>
      </c>
      <c r="P655" s="35">
        <v>2.2999999999999998</v>
      </c>
      <c r="Q655" s="35">
        <v>2</v>
      </c>
      <c r="R655" s="35">
        <v>3.7</v>
      </c>
      <c r="S655" s="35">
        <v>2</v>
      </c>
      <c r="T655" s="35">
        <v>3.2</v>
      </c>
      <c r="U655" s="35">
        <v>2</v>
      </c>
      <c r="V655" s="35">
        <v>7.5</v>
      </c>
      <c r="W655" s="35">
        <v>9</v>
      </c>
      <c r="X655" s="35">
        <v>10.1</v>
      </c>
      <c r="Y655" s="35">
        <v>9</v>
      </c>
      <c r="Z655" s="35">
        <v>9.4</v>
      </c>
      <c r="AA655" s="35">
        <v>9</v>
      </c>
      <c r="AB655" s="35">
        <v>10.8</v>
      </c>
      <c r="AC655" s="35">
        <v>9</v>
      </c>
      <c r="AD655" s="35">
        <v>20</v>
      </c>
      <c r="AE655" s="35">
        <v>19</v>
      </c>
      <c r="AF655" s="35">
        <v>19</v>
      </c>
      <c r="AG655" s="35">
        <v>19</v>
      </c>
      <c r="AH655" s="35">
        <v>20.3</v>
      </c>
      <c r="AI655" s="35">
        <v>19</v>
      </c>
      <c r="AJ655" s="35">
        <v>20.6</v>
      </c>
      <c r="AK655" s="35">
        <v>19</v>
      </c>
      <c r="AL655" s="35">
        <v>20.5</v>
      </c>
      <c r="AM655" s="35">
        <v>19</v>
      </c>
      <c r="AN655" s="35">
        <v>20.8</v>
      </c>
      <c r="AO655" s="35">
        <v>19</v>
      </c>
      <c r="AP655" s="35">
        <v>20.8</v>
      </c>
      <c r="AQ655" s="35">
        <v>19</v>
      </c>
      <c r="AR655" s="35">
        <v>20.8</v>
      </c>
      <c r="AS655" s="35">
        <v>19</v>
      </c>
      <c r="AT655" s="35">
        <v>17.899999999999999</v>
      </c>
      <c r="AU655" s="35">
        <v>19</v>
      </c>
      <c r="AV655" s="35">
        <v>20.8</v>
      </c>
      <c r="AW655" s="35">
        <v>19</v>
      </c>
      <c r="AX655" s="35">
        <v>20.9</v>
      </c>
      <c r="AY655" s="35">
        <v>20</v>
      </c>
      <c r="AZ655" s="35">
        <v>21.6</v>
      </c>
      <c r="BA655" s="35">
        <v>20</v>
      </c>
      <c r="BB655" s="35">
        <v>29.5</v>
      </c>
      <c r="BC655" s="35">
        <v>40</v>
      </c>
      <c r="BD655" s="35">
        <v>28.8</v>
      </c>
      <c r="BE655" s="35">
        <v>40</v>
      </c>
      <c r="BF655" s="35">
        <v>21.9</v>
      </c>
      <c r="BG655" s="35">
        <v>20</v>
      </c>
    </row>
    <row r="656" spans="1:59" x14ac:dyDescent="0.35">
      <c r="A656" s="36">
        <v>46059.917361111111</v>
      </c>
      <c r="B656" s="35">
        <v>3</v>
      </c>
      <c r="C656" s="35">
        <v>2</v>
      </c>
      <c r="D656" s="35">
        <v>3.5</v>
      </c>
      <c r="E656" s="35">
        <v>2.2000000000000002</v>
      </c>
      <c r="F656" s="35">
        <v>3.7</v>
      </c>
      <c r="G656" s="35">
        <v>2</v>
      </c>
      <c r="H656" s="35">
        <v>3.3</v>
      </c>
      <c r="I656" s="35">
        <v>2</v>
      </c>
      <c r="J656" s="35">
        <v>3.7</v>
      </c>
      <c r="K656" s="35">
        <v>2</v>
      </c>
      <c r="L656" s="35">
        <v>3.4</v>
      </c>
      <c r="M656" s="35">
        <v>2</v>
      </c>
      <c r="N656" s="35">
        <v>2.1</v>
      </c>
      <c r="O656" s="35">
        <v>3</v>
      </c>
      <c r="P656" s="35">
        <v>2.6</v>
      </c>
      <c r="Q656" s="35">
        <v>2</v>
      </c>
      <c r="R656" s="35">
        <v>2.7</v>
      </c>
      <c r="S656" s="35">
        <v>2</v>
      </c>
      <c r="T656" s="35">
        <v>2</v>
      </c>
      <c r="U656" s="35">
        <v>2</v>
      </c>
      <c r="V656" s="35">
        <v>7.8</v>
      </c>
      <c r="W656" s="35">
        <v>9</v>
      </c>
      <c r="X656" s="35">
        <v>10.1</v>
      </c>
      <c r="Y656" s="35">
        <v>9</v>
      </c>
      <c r="Z656" s="35">
        <v>9.6</v>
      </c>
      <c r="AA656" s="35">
        <v>9</v>
      </c>
      <c r="AB656" s="35">
        <v>11</v>
      </c>
      <c r="AC656" s="35">
        <v>9</v>
      </c>
      <c r="AD656" s="35">
        <v>20</v>
      </c>
      <c r="AE656" s="35">
        <v>19</v>
      </c>
      <c r="AF656" s="35">
        <v>19.100000000000001</v>
      </c>
      <c r="AG656" s="35">
        <v>19</v>
      </c>
      <c r="AH656" s="35">
        <v>20.3</v>
      </c>
      <c r="AI656" s="35">
        <v>19</v>
      </c>
      <c r="AJ656" s="35">
        <v>20.6</v>
      </c>
      <c r="AK656" s="35">
        <v>19</v>
      </c>
      <c r="AL656" s="35">
        <v>20.6</v>
      </c>
      <c r="AM656" s="35">
        <v>19</v>
      </c>
      <c r="AN656" s="35">
        <v>20.9</v>
      </c>
      <c r="AO656" s="35">
        <v>19</v>
      </c>
      <c r="AP656" s="35">
        <v>20.8</v>
      </c>
      <c r="AQ656" s="35">
        <v>19</v>
      </c>
      <c r="AR656" s="35">
        <v>20.8</v>
      </c>
      <c r="AS656" s="35">
        <v>19</v>
      </c>
      <c r="AT656" s="35">
        <v>18.100000000000001</v>
      </c>
      <c r="AU656" s="35">
        <v>19</v>
      </c>
      <c r="AV656" s="35">
        <v>20.8</v>
      </c>
      <c r="AW656" s="35">
        <v>19</v>
      </c>
      <c r="AX656" s="35">
        <v>20.9</v>
      </c>
      <c r="AY656" s="35">
        <v>20</v>
      </c>
      <c r="AZ656" s="35">
        <v>21.6</v>
      </c>
      <c r="BA656" s="35">
        <v>20</v>
      </c>
      <c r="BB656" s="35">
        <v>29.5</v>
      </c>
      <c r="BC656" s="35">
        <v>40</v>
      </c>
      <c r="BD656" s="35">
        <v>28.8</v>
      </c>
      <c r="BE656" s="35">
        <v>40</v>
      </c>
      <c r="BF656" s="35">
        <v>21.9</v>
      </c>
      <c r="BG656" s="35">
        <v>20</v>
      </c>
    </row>
    <row r="657" spans="1:59" x14ac:dyDescent="0.35">
      <c r="A657" s="36">
        <v>46059.918055555558</v>
      </c>
      <c r="B657" s="35">
        <v>3.3</v>
      </c>
      <c r="C657" s="35">
        <v>2</v>
      </c>
      <c r="D657" s="35">
        <v>3.8</v>
      </c>
      <c r="E657" s="35">
        <v>2.2000000000000002</v>
      </c>
      <c r="F657" s="35">
        <v>3.8</v>
      </c>
      <c r="G657" s="35">
        <v>2</v>
      </c>
      <c r="H657" s="35">
        <v>3.4</v>
      </c>
      <c r="I657" s="35">
        <v>2</v>
      </c>
      <c r="J657" s="35">
        <v>3</v>
      </c>
      <c r="K657" s="35">
        <v>2</v>
      </c>
      <c r="L657" s="35">
        <v>2.2999999999999998</v>
      </c>
      <c r="M657" s="35">
        <v>2</v>
      </c>
      <c r="N657" s="35">
        <v>2.4</v>
      </c>
      <c r="O657" s="35">
        <v>3</v>
      </c>
      <c r="P657" s="35">
        <v>2.8</v>
      </c>
      <c r="Q657" s="35">
        <v>2</v>
      </c>
      <c r="R657" s="35">
        <v>1.8</v>
      </c>
      <c r="S657" s="35">
        <v>2</v>
      </c>
      <c r="T657" s="35">
        <v>1.1000000000000001</v>
      </c>
      <c r="U657" s="35">
        <v>2</v>
      </c>
      <c r="V657" s="35">
        <v>8.6</v>
      </c>
      <c r="W657" s="35">
        <v>9</v>
      </c>
      <c r="X657" s="35">
        <v>10.199999999999999</v>
      </c>
      <c r="Y657" s="35">
        <v>9</v>
      </c>
      <c r="Z657" s="35">
        <v>9.9</v>
      </c>
      <c r="AA657" s="35">
        <v>9</v>
      </c>
      <c r="AB657" s="35">
        <v>10.6</v>
      </c>
      <c r="AC657" s="35">
        <v>9</v>
      </c>
      <c r="AD657" s="35">
        <v>20.100000000000001</v>
      </c>
      <c r="AE657" s="35">
        <v>19</v>
      </c>
      <c r="AF657" s="35">
        <v>19.2</v>
      </c>
      <c r="AG657" s="35">
        <v>19</v>
      </c>
      <c r="AH657" s="35">
        <v>20.399999999999999</v>
      </c>
      <c r="AI657" s="35">
        <v>19</v>
      </c>
      <c r="AJ657" s="35">
        <v>20.7</v>
      </c>
      <c r="AK657" s="35">
        <v>19</v>
      </c>
      <c r="AL657" s="35">
        <v>20.7</v>
      </c>
      <c r="AM657" s="35">
        <v>19</v>
      </c>
      <c r="AN657" s="35">
        <v>21</v>
      </c>
      <c r="AO657" s="35">
        <v>19</v>
      </c>
      <c r="AP657" s="35">
        <v>20.8</v>
      </c>
      <c r="AQ657" s="35">
        <v>19</v>
      </c>
      <c r="AR657" s="35">
        <v>20.8</v>
      </c>
      <c r="AS657" s="35">
        <v>19</v>
      </c>
      <c r="AT657" s="35">
        <v>18.399999999999999</v>
      </c>
      <c r="AU657" s="35">
        <v>19</v>
      </c>
      <c r="AV657" s="35">
        <v>20.9</v>
      </c>
      <c r="AW657" s="35">
        <v>19</v>
      </c>
      <c r="AX657" s="35">
        <v>20.9</v>
      </c>
      <c r="AY657" s="35">
        <v>20</v>
      </c>
      <c r="AZ657" s="35">
        <v>21.6</v>
      </c>
      <c r="BA657" s="35">
        <v>20</v>
      </c>
      <c r="BB657" s="35">
        <v>29.5</v>
      </c>
      <c r="BC657" s="35">
        <v>40</v>
      </c>
      <c r="BD657" s="35">
        <v>28.8</v>
      </c>
      <c r="BE657" s="35">
        <v>40</v>
      </c>
      <c r="BF657" s="35">
        <v>21.9</v>
      </c>
      <c r="BG657" s="35">
        <v>20</v>
      </c>
    </row>
    <row r="658" spans="1:59" x14ac:dyDescent="0.35">
      <c r="A658" s="36">
        <v>46059.918749999997</v>
      </c>
      <c r="B658" s="35">
        <v>3.6</v>
      </c>
      <c r="C658" s="35">
        <v>2</v>
      </c>
      <c r="D658" s="35">
        <v>4.0999999999999996</v>
      </c>
      <c r="E658" s="35">
        <v>2.2000000000000002</v>
      </c>
      <c r="F658" s="35">
        <v>3.9</v>
      </c>
      <c r="G658" s="35">
        <v>2</v>
      </c>
      <c r="H658" s="35">
        <v>3.4</v>
      </c>
      <c r="I658" s="35">
        <v>2</v>
      </c>
      <c r="J658" s="35">
        <v>2.6</v>
      </c>
      <c r="K658" s="35">
        <v>2</v>
      </c>
      <c r="L658" s="35">
        <v>1.7</v>
      </c>
      <c r="M658" s="35">
        <v>2</v>
      </c>
      <c r="N658" s="35">
        <v>2.7</v>
      </c>
      <c r="O658" s="35">
        <v>3</v>
      </c>
      <c r="P658" s="35">
        <v>3</v>
      </c>
      <c r="Q658" s="35">
        <v>2</v>
      </c>
      <c r="R658" s="35">
        <v>1.6</v>
      </c>
      <c r="S658" s="35">
        <v>2</v>
      </c>
      <c r="T658" s="35">
        <v>1.1000000000000001</v>
      </c>
      <c r="U658" s="35">
        <v>2</v>
      </c>
      <c r="V658" s="35">
        <v>9.3000000000000007</v>
      </c>
      <c r="W658" s="35">
        <v>9</v>
      </c>
      <c r="X658" s="35">
        <v>10.3</v>
      </c>
      <c r="Y658" s="35">
        <v>9</v>
      </c>
      <c r="Z658" s="35">
        <v>10</v>
      </c>
      <c r="AA658" s="35">
        <v>9</v>
      </c>
      <c r="AB658" s="35">
        <v>9</v>
      </c>
      <c r="AC658" s="35">
        <v>9</v>
      </c>
      <c r="AD658" s="35">
        <v>20.100000000000001</v>
      </c>
      <c r="AE658" s="35">
        <v>19</v>
      </c>
      <c r="AF658" s="35">
        <v>19.3</v>
      </c>
      <c r="AG658" s="35">
        <v>19</v>
      </c>
      <c r="AH658" s="35">
        <v>20.399999999999999</v>
      </c>
      <c r="AI658" s="35">
        <v>19</v>
      </c>
      <c r="AJ658" s="35">
        <v>20.8</v>
      </c>
      <c r="AK658" s="35">
        <v>19</v>
      </c>
      <c r="AL658" s="35">
        <v>20.9</v>
      </c>
      <c r="AM658" s="35">
        <v>19</v>
      </c>
      <c r="AN658" s="35">
        <v>20.9</v>
      </c>
      <c r="AO658" s="35">
        <v>19</v>
      </c>
      <c r="AP658" s="35">
        <v>20.8</v>
      </c>
      <c r="AQ658" s="35">
        <v>19</v>
      </c>
      <c r="AR658" s="35">
        <v>20.8</v>
      </c>
      <c r="AS658" s="35">
        <v>19</v>
      </c>
      <c r="AT658" s="35">
        <v>18.600000000000001</v>
      </c>
      <c r="AU658" s="35">
        <v>19</v>
      </c>
      <c r="AV658" s="35">
        <v>20.9</v>
      </c>
      <c r="AW658" s="35">
        <v>19</v>
      </c>
      <c r="AX658" s="35">
        <v>20.9</v>
      </c>
      <c r="AY658" s="35">
        <v>20</v>
      </c>
      <c r="AZ658" s="35">
        <v>21.7</v>
      </c>
      <c r="BA658" s="35">
        <v>20</v>
      </c>
      <c r="BB658" s="35">
        <v>29.5</v>
      </c>
      <c r="BC658" s="35">
        <v>40</v>
      </c>
      <c r="BD658" s="35">
        <v>28.8</v>
      </c>
      <c r="BE658" s="35">
        <v>40</v>
      </c>
      <c r="BF658" s="35">
        <v>21.9</v>
      </c>
      <c r="BG658" s="35">
        <v>20</v>
      </c>
    </row>
    <row r="659" spans="1:59" x14ac:dyDescent="0.35">
      <c r="A659" s="36">
        <v>46059.919444444444</v>
      </c>
      <c r="B659" s="35">
        <v>3.7</v>
      </c>
      <c r="C659" s="35">
        <v>2</v>
      </c>
      <c r="D659" s="35">
        <v>4.0999999999999996</v>
      </c>
      <c r="E659" s="35">
        <v>2.2000000000000002</v>
      </c>
      <c r="F659" s="35">
        <v>3.9</v>
      </c>
      <c r="G659" s="35">
        <v>2</v>
      </c>
      <c r="H659" s="35">
        <v>3.5</v>
      </c>
      <c r="I659" s="35">
        <v>2</v>
      </c>
      <c r="J659" s="35">
        <v>2.6</v>
      </c>
      <c r="K659" s="35">
        <v>2</v>
      </c>
      <c r="L659" s="35">
        <v>1.9</v>
      </c>
      <c r="M659" s="35">
        <v>2</v>
      </c>
      <c r="N659" s="35">
        <v>3</v>
      </c>
      <c r="O659" s="35">
        <v>3</v>
      </c>
      <c r="P659" s="35">
        <v>3.2</v>
      </c>
      <c r="Q659" s="35">
        <v>2</v>
      </c>
      <c r="R659" s="35">
        <v>1.6</v>
      </c>
      <c r="S659" s="35">
        <v>2</v>
      </c>
      <c r="T659" s="35">
        <v>1.3</v>
      </c>
      <c r="U659" s="35">
        <v>2</v>
      </c>
      <c r="V659" s="35">
        <v>9.9</v>
      </c>
      <c r="W659" s="35">
        <v>9</v>
      </c>
      <c r="X659" s="35">
        <v>10.4</v>
      </c>
      <c r="Y659" s="35">
        <v>9</v>
      </c>
      <c r="Z659" s="35">
        <v>10.199999999999999</v>
      </c>
      <c r="AA659" s="35">
        <v>9</v>
      </c>
      <c r="AB659" s="35">
        <v>8.1999999999999993</v>
      </c>
      <c r="AC659" s="35">
        <v>9</v>
      </c>
      <c r="AD659" s="35">
        <v>20.100000000000001</v>
      </c>
      <c r="AE659" s="35">
        <v>19</v>
      </c>
      <c r="AF659" s="35">
        <v>19.3</v>
      </c>
      <c r="AG659" s="35">
        <v>19</v>
      </c>
      <c r="AH659" s="35">
        <v>20.5</v>
      </c>
      <c r="AI659" s="35">
        <v>19</v>
      </c>
      <c r="AJ659" s="35">
        <v>20.8</v>
      </c>
      <c r="AK659" s="35">
        <v>19</v>
      </c>
      <c r="AL659" s="35">
        <v>21</v>
      </c>
      <c r="AM659" s="35">
        <v>19</v>
      </c>
      <c r="AN659" s="35">
        <v>20.3</v>
      </c>
      <c r="AO659" s="35">
        <v>19</v>
      </c>
      <c r="AP659" s="35">
        <v>20.8</v>
      </c>
      <c r="AQ659" s="35">
        <v>19</v>
      </c>
      <c r="AR659" s="35">
        <v>20.8</v>
      </c>
      <c r="AS659" s="35">
        <v>19</v>
      </c>
      <c r="AT659" s="35">
        <v>18.7</v>
      </c>
      <c r="AU659" s="35">
        <v>19</v>
      </c>
      <c r="AV659" s="35">
        <v>20.9</v>
      </c>
      <c r="AW659" s="35">
        <v>19</v>
      </c>
      <c r="AX659" s="35">
        <v>20.9</v>
      </c>
      <c r="AY659" s="35">
        <v>20</v>
      </c>
      <c r="AZ659" s="35">
        <v>21.7</v>
      </c>
      <c r="BA659" s="35">
        <v>20</v>
      </c>
      <c r="BB659" s="35">
        <v>29.5</v>
      </c>
      <c r="BC659" s="35">
        <v>40</v>
      </c>
      <c r="BD659" s="35">
        <v>28.7</v>
      </c>
      <c r="BE659" s="35">
        <v>40</v>
      </c>
      <c r="BF659" s="35">
        <v>21.9</v>
      </c>
      <c r="BG659" s="35">
        <v>20</v>
      </c>
    </row>
    <row r="660" spans="1:59" x14ac:dyDescent="0.35">
      <c r="A660" s="36">
        <v>46059.920138888891</v>
      </c>
      <c r="B660" s="35">
        <v>3.6</v>
      </c>
      <c r="C660" s="35">
        <v>2</v>
      </c>
      <c r="D660" s="35">
        <v>4</v>
      </c>
      <c r="E660" s="35">
        <v>2.2000000000000002</v>
      </c>
      <c r="F660" s="35">
        <v>3.5</v>
      </c>
      <c r="G660" s="35">
        <v>2</v>
      </c>
      <c r="H660" s="35">
        <v>3.6</v>
      </c>
      <c r="I660" s="35">
        <v>2</v>
      </c>
      <c r="J660" s="35">
        <v>2.8</v>
      </c>
      <c r="K660" s="35">
        <v>2</v>
      </c>
      <c r="L660" s="35">
        <v>2.2999999999999998</v>
      </c>
      <c r="M660" s="35">
        <v>2</v>
      </c>
      <c r="N660" s="35">
        <v>3.2</v>
      </c>
      <c r="O660" s="35">
        <v>3</v>
      </c>
      <c r="P660" s="35">
        <v>3.4</v>
      </c>
      <c r="Q660" s="35">
        <v>2</v>
      </c>
      <c r="R660" s="35">
        <v>1.8</v>
      </c>
      <c r="S660" s="35">
        <v>2</v>
      </c>
      <c r="T660" s="35">
        <v>1.5</v>
      </c>
      <c r="U660" s="35">
        <v>2</v>
      </c>
      <c r="V660" s="35">
        <v>10.4</v>
      </c>
      <c r="W660" s="35">
        <v>9</v>
      </c>
      <c r="X660" s="35">
        <v>10.5</v>
      </c>
      <c r="Y660" s="35">
        <v>9</v>
      </c>
      <c r="Z660" s="35">
        <v>10.4</v>
      </c>
      <c r="AA660" s="35">
        <v>9</v>
      </c>
      <c r="AB660" s="35">
        <v>8.4</v>
      </c>
      <c r="AC660" s="35">
        <v>9</v>
      </c>
      <c r="AD660" s="35">
        <v>20.2</v>
      </c>
      <c r="AE660" s="35">
        <v>19</v>
      </c>
      <c r="AF660" s="35">
        <v>19.399999999999999</v>
      </c>
      <c r="AG660" s="35">
        <v>19</v>
      </c>
      <c r="AH660" s="35">
        <v>20.6</v>
      </c>
      <c r="AI660" s="35">
        <v>19</v>
      </c>
      <c r="AJ660" s="35">
        <v>20.9</v>
      </c>
      <c r="AK660" s="35">
        <v>19</v>
      </c>
      <c r="AL660" s="35">
        <v>21</v>
      </c>
      <c r="AM660" s="35">
        <v>19</v>
      </c>
      <c r="AN660" s="35">
        <v>19.7</v>
      </c>
      <c r="AO660" s="35">
        <v>19</v>
      </c>
      <c r="AP660" s="35">
        <v>20.8</v>
      </c>
      <c r="AQ660" s="35">
        <v>19</v>
      </c>
      <c r="AR660" s="35">
        <v>20.8</v>
      </c>
      <c r="AS660" s="35">
        <v>19</v>
      </c>
      <c r="AT660" s="35">
        <v>18.899999999999999</v>
      </c>
      <c r="AU660" s="35">
        <v>19</v>
      </c>
      <c r="AV660" s="35">
        <v>20.9</v>
      </c>
      <c r="AW660" s="35">
        <v>19</v>
      </c>
      <c r="AX660" s="35">
        <v>20.9</v>
      </c>
      <c r="AY660" s="35">
        <v>20</v>
      </c>
      <c r="AZ660" s="35">
        <v>21.7</v>
      </c>
      <c r="BA660" s="35">
        <v>20</v>
      </c>
      <c r="BB660" s="35">
        <v>29.5</v>
      </c>
      <c r="BC660" s="35">
        <v>40</v>
      </c>
      <c r="BD660" s="35">
        <v>28.7</v>
      </c>
      <c r="BE660" s="35">
        <v>40</v>
      </c>
      <c r="BF660" s="35">
        <v>21.9</v>
      </c>
      <c r="BG660" s="35">
        <v>20</v>
      </c>
    </row>
    <row r="661" spans="1:59" x14ac:dyDescent="0.35">
      <c r="A661" s="36">
        <v>46059.92083333333</v>
      </c>
      <c r="B661" s="35">
        <v>3.7</v>
      </c>
      <c r="C661" s="35">
        <v>2</v>
      </c>
      <c r="D661" s="35">
        <v>4.0999999999999996</v>
      </c>
      <c r="E661" s="35">
        <v>2.2000000000000002</v>
      </c>
      <c r="F661" s="35">
        <v>2.1</v>
      </c>
      <c r="G661" s="35">
        <v>2</v>
      </c>
      <c r="H661" s="35">
        <v>3</v>
      </c>
      <c r="I661" s="35">
        <v>2</v>
      </c>
      <c r="J661" s="35">
        <v>3.1</v>
      </c>
      <c r="K661" s="35">
        <v>2</v>
      </c>
      <c r="L661" s="35">
        <v>2.7</v>
      </c>
      <c r="M661" s="35">
        <v>2</v>
      </c>
      <c r="N661" s="35">
        <v>3.5</v>
      </c>
      <c r="O661" s="35">
        <v>3</v>
      </c>
      <c r="P661" s="35">
        <v>3.6</v>
      </c>
      <c r="Q661" s="35">
        <v>2</v>
      </c>
      <c r="R661" s="35">
        <v>2.2000000000000002</v>
      </c>
      <c r="S661" s="35">
        <v>2</v>
      </c>
      <c r="T661" s="35">
        <v>1.9</v>
      </c>
      <c r="U661" s="35">
        <v>2</v>
      </c>
      <c r="V661" s="35">
        <v>10.9</v>
      </c>
      <c r="W661" s="35">
        <v>9</v>
      </c>
      <c r="X661" s="35">
        <v>10.5</v>
      </c>
      <c r="Y661" s="35">
        <v>9</v>
      </c>
      <c r="Z661" s="35">
        <v>10.5</v>
      </c>
      <c r="AA661" s="35">
        <v>9</v>
      </c>
      <c r="AB661" s="35">
        <v>8.9</v>
      </c>
      <c r="AC661" s="35">
        <v>9</v>
      </c>
      <c r="AD661" s="35">
        <v>20.2</v>
      </c>
      <c r="AE661" s="35">
        <v>19</v>
      </c>
      <c r="AF661" s="35">
        <v>19.5</v>
      </c>
      <c r="AG661" s="35">
        <v>19</v>
      </c>
      <c r="AH661" s="35">
        <v>20.6</v>
      </c>
      <c r="AI661" s="35">
        <v>19</v>
      </c>
      <c r="AJ661" s="35">
        <v>20.9</v>
      </c>
      <c r="AK661" s="35">
        <v>19</v>
      </c>
      <c r="AL661" s="35">
        <v>20.6</v>
      </c>
      <c r="AM661" s="35">
        <v>19</v>
      </c>
      <c r="AN661" s="35">
        <v>19</v>
      </c>
      <c r="AO661" s="35">
        <v>19</v>
      </c>
      <c r="AP661" s="35">
        <v>20.8</v>
      </c>
      <c r="AQ661" s="35">
        <v>19</v>
      </c>
      <c r="AR661" s="35">
        <v>20.8</v>
      </c>
      <c r="AS661" s="35">
        <v>19</v>
      </c>
      <c r="AT661" s="35">
        <v>19.100000000000001</v>
      </c>
      <c r="AU661" s="35">
        <v>19</v>
      </c>
      <c r="AV661" s="35">
        <v>21</v>
      </c>
      <c r="AW661" s="35">
        <v>19</v>
      </c>
      <c r="AX661" s="35">
        <v>20.9</v>
      </c>
      <c r="AY661" s="35">
        <v>20</v>
      </c>
      <c r="AZ661" s="35">
        <v>21.7</v>
      </c>
      <c r="BA661" s="35">
        <v>20</v>
      </c>
      <c r="BB661" s="35">
        <v>29.5</v>
      </c>
      <c r="BC661" s="35">
        <v>40</v>
      </c>
      <c r="BD661" s="35">
        <v>28.7</v>
      </c>
      <c r="BE661" s="35">
        <v>40</v>
      </c>
      <c r="BF661" s="35">
        <v>21.9</v>
      </c>
      <c r="BG661" s="35">
        <v>20</v>
      </c>
    </row>
    <row r="662" spans="1:59" x14ac:dyDescent="0.35">
      <c r="A662" s="36">
        <v>46059.921527777777</v>
      </c>
      <c r="B662" s="35">
        <v>4</v>
      </c>
      <c r="C662" s="35">
        <v>2</v>
      </c>
      <c r="D662" s="35">
        <v>4.3</v>
      </c>
      <c r="E662" s="35">
        <v>2.2000000000000002</v>
      </c>
      <c r="F662" s="35">
        <v>1.8</v>
      </c>
      <c r="G662" s="35">
        <v>2</v>
      </c>
      <c r="H662" s="35">
        <v>2.9</v>
      </c>
      <c r="I662" s="35">
        <v>2</v>
      </c>
      <c r="J662" s="35">
        <v>3.4</v>
      </c>
      <c r="K662" s="35">
        <v>2</v>
      </c>
      <c r="L662" s="35">
        <v>3.1</v>
      </c>
      <c r="M662" s="35">
        <v>2</v>
      </c>
      <c r="N662" s="35">
        <v>3.7</v>
      </c>
      <c r="O662" s="35">
        <v>3</v>
      </c>
      <c r="P662" s="35">
        <v>3.7</v>
      </c>
      <c r="Q662" s="35">
        <v>2</v>
      </c>
      <c r="R662" s="35">
        <v>2.4</v>
      </c>
      <c r="S662" s="35">
        <v>2</v>
      </c>
      <c r="T662" s="35">
        <v>2.2000000000000002</v>
      </c>
      <c r="U662" s="35">
        <v>2</v>
      </c>
      <c r="V662" s="35">
        <v>10.6</v>
      </c>
      <c r="W662" s="35">
        <v>9</v>
      </c>
      <c r="X662" s="35">
        <v>10.6</v>
      </c>
      <c r="Y662" s="35">
        <v>9</v>
      </c>
      <c r="Z662" s="35">
        <v>10.6</v>
      </c>
      <c r="AA662" s="35">
        <v>9</v>
      </c>
      <c r="AB662" s="35">
        <v>9.3000000000000007</v>
      </c>
      <c r="AC662" s="35">
        <v>9</v>
      </c>
      <c r="AD662" s="35">
        <v>20.2</v>
      </c>
      <c r="AE662" s="35">
        <v>19</v>
      </c>
      <c r="AF662" s="35">
        <v>19.5</v>
      </c>
      <c r="AG662" s="35">
        <v>19</v>
      </c>
      <c r="AH662" s="35">
        <v>20.7</v>
      </c>
      <c r="AI662" s="35">
        <v>19</v>
      </c>
      <c r="AJ662" s="35">
        <v>21</v>
      </c>
      <c r="AK662" s="35">
        <v>19</v>
      </c>
      <c r="AL662" s="35">
        <v>20.399999999999999</v>
      </c>
      <c r="AM662" s="35">
        <v>19</v>
      </c>
      <c r="AN662" s="35">
        <v>18.899999999999999</v>
      </c>
      <c r="AO662" s="35">
        <v>19</v>
      </c>
      <c r="AP662" s="35">
        <v>20.8</v>
      </c>
      <c r="AQ662" s="35">
        <v>19</v>
      </c>
      <c r="AR662" s="35">
        <v>20.8</v>
      </c>
      <c r="AS662" s="35">
        <v>19</v>
      </c>
      <c r="AT662" s="35">
        <v>19.2</v>
      </c>
      <c r="AU662" s="35">
        <v>19</v>
      </c>
      <c r="AV662" s="35">
        <v>20.2</v>
      </c>
      <c r="AW662" s="35">
        <v>19</v>
      </c>
      <c r="AX662" s="35">
        <v>20.9</v>
      </c>
      <c r="AY662" s="35">
        <v>20</v>
      </c>
      <c r="AZ662" s="35">
        <v>21.7</v>
      </c>
      <c r="BA662" s="35">
        <v>20</v>
      </c>
      <c r="BB662" s="35">
        <v>29.5</v>
      </c>
      <c r="BC662" s="35">
        <v>40</v>
      </c>
      <c r="BD662" s="35">
        <v>28.7</v>
      </c>
      <c r="BE662" s="35">
        <v>40</v>
      </c>
      <c r="BF662" s="35">
        <v>21.9</v>
      </c>
      <c r="BG662" s="35">
        <v>20</v>
      </c>
    </row>
    <row r="663" spans="1:59" x14ac:dyDescent="0.35">
      <c r="A663" s="36">
        <v>46059.922222222223</v>
      </c>
      <c r="B663" s="35">
        <v>3.5</v>
      </c>
      <c r="C663" s="35">
        <v>2</v>
      </c>
      <c r="D663" s="35">
        <v>3.6</v>
      </c>
      <c r="E663" s="35">
        <v>2.2000000000000002</v>
      </c>
      <c r="F663" s="35">
        <v>2.1</v>
      </c>
      <c r="G663" s="35">
        <v>2</v>
      </c>
      <c r="H663" s="35">
        <v>2.9</v>
      </c>
      <c r="I663" s="35">
        <v>2</v>
      </c>
      <c r="J663" s="35">
        <v>3.6</v>
      </c>
      <c r="K663" s="35">
        <v>2</v>
      </c>
      <c r="L663" s="35">
        <v>3.4</v>
      </c>
      <c r="M663" s="35">
        <v>2</v>
      </c>
      <c r="N663" s="35">
        <v>3.9</v>
      </c>
      <c r="O663" s="35">
        <v>3</v>
      </c>
      <c r="P663" s="35">
        <v>3.8</v>
      </c>
      <c r="Q663" s="35">
        <v>2</v>
      </c>
      <c r="R663" s="35">
        <v>2.6</v>
      </c>
      <c r="S663" s="35">
        <v>2</v>
      </c>
      <c r="T663" s="35">
        <v>2.4</v>
      </c>
      <c r="U663" s="35">
        <v>2</v>
      </c>
      <c r="V663" s="35">
        <v>9.1</v>
      </c>
      <c r="W663" s="35">
        <v>9</v>
      </c>
      <c r="X663" s="35">
        <v>10.7</v>
      </c>
      <c r="Y663" s="35">
        <v>9</v>
      </c>
      <c r="Z663" s="35">
        <v>10.7</v>
      </c>
      <c r="AA663" s="35">
        <v>9</v>
      </c>
      <c r="AB663" s="35">
        <v>9.8000000000000007</v>
      </c>
      <c r="AC663" s="35">
        <v>9</v>
      </c>
      <c r="AD663" s="35">
        <v>20.2</v>
      </c>
      <c r="AE663" s="35">
        <v>19</v>
      </c>
      <c r="AF663" s="35">
        <v>19.600000000000001</v>
      </c>
      <c r="AG663" s="35">
        <v>19</v>
      </c>
      <c r="AH663" s="35">
        <v>20.7</v>
      </c>
      <c r="AI663" s="35">
        <v>19</v>
      </c>
      <c r="AJ663" s="35">
        <v>19.399999999999999</v>
      </c>
      <c r="AK663" s="35">
        <v>19</v>
      </c>
      <c r="AL663" s="35">
        <v>20.2</v>
      </c>
      <c r="AM663" s="35">
        <v>19</v>
      </c>
      <c r="AN663" s="35">
        <v>18.899999999999999</v>
      </c>
      <c r="AO663" s="35">
        <v>19</v>
      </c>
      <c r="AP663" s="35">
        <v>20.8</v>
      </c>
      <c r="AQ663" s="35">
        <v>19</v>
      </c>
      <c r="AR663" s="35">
        <v>20.8</v>
      </c>
      <c r="AS663" s="35">
        <v>19</v>
      </c>
      <c r="AT663" s="35">
        <v>19.3</v>
      </c>
      <c r="AU663" s="35">
        <v>19</v>
      </c>
      <c r="AV663" s="35">
        <v>18.2</v>
      </c>
      <c r="AW663" s="35">
        <v>19</v>
      </c>
      <c r="AX663" s="35">
        <v>20.9</v>
      </c>
      <c r="AY663" s="35">
        <v>20</v>
      </c>
      <c r="AZ663" s="35">
        <v>21.7</v>
      </c>
      <c r="BA663" s="35">
        <v>20</v>
      </c>
      <c r="BB663" s="35">
        <v>29.5</v>
      </c>
      <c r="BC663" s="35">
        <v>40</v>
      </c>
      <c r="BD663" s="35">
        <v>28.7</v>
      </c>
      <c r="BE663" s="35">
        <v>40</v>
      </c>
      <c r="BF663" s="35">
        <v>21.9</v>
      </c>
      <c r="BG663" s="35">
        <v>20</v>
      </c>
    </row>
    <row r="664" spans="1:59" x14ac:dyDescent="0.35">
      <c r="A664" s="36">
        <v>46059.92291666667</v>
      </c>
      <c r="B664" s="35">
        <v>2.1</v>
      </c>
      <c r="C664" s="35">
        <v>2</v>
      </c>
      <c r="D664" s="35">
        <v>2.4</v>
      </c>
      <c r="E664" s="35">
        <v>2.2000000000000002</v>
      </c>
      <c r="F664" s="35">
        <v>2.5</v>
      </c>
      <c r="G664" s="35">
        <v>2</v>
      </c>
      <c r="H664" s="35">
        <v>3</v>
      </c>
      <c r="I664" s="35">
        <v>2</v>
      </c>
      <c r="J664" s="35">
        <v>3.7</v>
      </c>
      <c r="K664" s="35">
        <v>2</v>
      </c>
      <c r="L664" s="35">
        <v>3.7</v>
      </c>
      <c r="M664" s="35">
        <v>2</v>
      </c>
      <c r="N664" s="35">
        <v>4</v>
      </c>
      <c r="O664" s="35">
        <v>3</v>
      </c>
      <c r="P664" s="35">
        <v>3.9</v>
      </c>
      <c r="Q664" s="35">
        <v>2</v>
      </c>
      <c r="R664" s="35">
        <v>2.8</v>
      </c>
      <c r="S664" s="35">
        <v>2</v>
      </c>
      <c r="T664" s="35">
        <v>2.6</v>
      </c>
      <c r="U664" s="35">
        <v>2</v>
      </c>
      <c r="V664" s="35">
        <v>7.7</v>
      </c>
      <c r="W664" s="35">
        <v>9</v>
      </c>
      <c r="X664" s="35">
        <v>10.7</v>
      </c>
      <c r="Y664" s="35">
        <v>9</v>
      </c>
      <c r="Z664" s="35">
        <v>10.8</v>
      </c>
      <c r="AA664" s="35">
        <v>9</v>
      </c>
      <c r="AB664" s="35">
        <v>10</v>
      </c>
      <c r="AC664" s="35">
        <v>9</v>
      </c>
      <c r="AD664" s="35">
        <v>20.2</v>
      </c>
      <c r="AE664" s="35">
        <v>19</v>
      </c>
      <c r="AF664" s="35">
        <v>19.7</v>
      </c>
      <c r="AG664" s="35">
        <v>19</v>
      </c>
      <c r="AH664" s="35">
        <v>20.7</v>
      </c>
      <c r="AI664" s="35">
        <v>19</v>
      </c>
      <c r="AJ664" s="35">
        <v>18.2</v>
      </c>
      <c r="AK664" s="35">
        <v>19</v>
      </c>
      <c r="AL664" s="35">
        <v>20</v>
      </c>
      <c r="AM664" s="35">
        <v>19</v>
      </c>
      <c r="AN664" s="35">
        <v>19.2</v>
      </c>
      <c r="AO664" s="35">
        <v>19</v>
      </c>
      <c r="AP664" s="35">
        <v>20.8</v>
      </c>
      <c r="AQ664" s="35">
        <v>19</v>
      </c>
      <c r="AR664" s="35">
        <v>20.8</v>
      </c>
      <c r="AS664" s="35">
        <v>19</v>
      </c>
      <c r="AT664" s="35">
        <v>19.399999999999999</v>
      </c>
      <c r="AU664" s="35">
        <v>19</v>
      </c>
      <c r="AV664" s="35">
        <v>17.5</v>
      </c>
      <c r="AW664" s="35">
        <v>19</v>
      </c>
      <c r="AX664" s="35">
        <v>20.9</v>
      </c>
      <c r="AY664" s="35">
        <v>20</v>
      </c>
      <c r="AZ664" s="35">
        <v>21.7</v>
      </c>
      <c r="BA664" s="35">
        <v>20</v>
      </c>
      <c r="BB664" s="35">
        <v>29.5</v>
      </c>
      <c r="BC664" s="35">
        <v>40</v>
      </c>
      <c r="BD664" s="35">
        <v>28.7</v>
      </c>
      <c r="BE664" s="35">
        <v>40</v>
      </c>
      <c r="BF664" s="35">
        <v>21.9</v>
      </c>
      <c r="BG664" s="35">
        <v>20</v>
      </c>
    </row>
    <row r="665" spans="1:59" x14ac:dyDescent="0.35">
      <c r="A665" s="36">
        <v>46059.923611111109</v>
      </c>
      <c r="B665" s="35">
        <v>1.8</v>
      </c>
      <c r="C665" s="35">
        <v>2</v>
      </c>
      <c r="D665" s="35">
        <v>2.1</v>
      </c>
      <c r="E665" s="35">
        <v>2.2000000000000002</v>
      </c>
      <c r="F665" s="35">
        <v>2.9</v>
      </c>
      <c r="G665" s="35">
        <v>2</v>
      </c>
      <c r="H665" s="35">
        <v>3</v>
      </c>
      <c r="I665" s="35">
        <v>2</v>
      </c>
      <c r="J665" s="35">
        <v>3.9</v>
      </c>
      <c r="K665" s="35">
        <v>2</v>
      </c>
      <c r="L665" s="35">
        <v>4</v>
      </c>
      <c r="M665" s="35">
        <v>2</v>
      </c>
      <c r="N665" s="35">
        <v>3.5</v>
      </c>
      <c r="O665" s="35">
        <v>3</v>
      </c>
      <c r="P665" s="35">
        <v>3.6</v>
      </c>
      <c r="Q665" s="35">
        <v>2</v>
      </c>
      <c r="R665" s="35">
        <v>3</v>
      </c>
      <c r="S665" s="35">
        <v>2</v>
      </c>
      <c r="T665" s="35">
        <v>2.8</v>
      </c>
      <c r="U665" s="35">
        <v>2</v>
      </c>
      <c r="V665" s="35">
        <v>7.9</v>
      </c>
      <c r="W665" s="35">
        <v>9</v>
      </c>
      <c r="X665" s="35">
        <v>10.8</v>
      </c>
      <c r="Y665" s="35">
        <v>9</v>
      </c>
      <c r="Z665" s="35">
        <v>10.8</v>
      </c>
      <c r="AA665" s="35">
        <v>9</v>
      </c>
      <c r="AB665" s="35">
        <v>10.199999999999999</v>
      </c>
      <c r="AC665" s="35">
        <v>9</v>
      </c>
      <c r="AD665" s="35">
        <v>20.2</v>
      </c>
      <c r="AE665" s="35">
        <v>19</v>
      </c>
      <c r="AF665" s="35">
        <v>19.8</v>
      </c>
      <c r="AG665" s="35">
        <v>19</v>
      </c>
      <c r="AH665" s="35">
        <v>20.8</v>
      </c>
      <c r="AI665" s="35">
        <v>19</v>
      </c>
      <c r="AJ665" s="35">
        <v>18.100000000000001</v>
      </c>
      <c r="AK665" s="35">
        <v>19</v>
      </c>
      <c r="AL665" s="35">
        <v>19.899999999999999</v>
      </c>
      <c r="AM665" s="35">
        <v>19</v>
      </c>
      <c r="AN665" s="35">
        <v>19.399999999999999</v>
      </c>
      <c r="AO665" s="35">
        <v>19</v>
      </c>
      <c r="AP665" s="35">
        <v>20.8</v>
      </c>
      <c r="AQ665" s="35">
        <v>19</v>
      </c>
      <c r="AR665" s="35">
        <v>20.8</v>
      </c>
      <c r="AS665" s="35">
        <v>19</v>
      </c>
      <c r="AT665" s="35">
        <v>19.5</v>
      </c>
      <c r="AU665" s="35">
        <v>19</v>
      </c>
      <c r="AV665" s="35">
        <v>17.399999999999999</v>
      </c>
      <c r="AW665" s="35">
        <v>19</v>
      </c>
      <c r="AX665" s="35">
        <v>20.9</v>
      </c>
      <c r="AY665" s="35">
        <v>20</v>
      </c>
      <c r="AZ665" s="35">
        <v>21.8</v>
      </c>
      <c r="BA665" s="35">
        <v>20</v>
      </c>
      <c r="BB665" s="35">
        <v>29.4</v>
      </c>
      <c r="BC665" s="35">
        <v>40</v>
      </c>
      <c r="BD665" s="35">
        <v>28.7</v>
      </c>
      <c r="BE665" s="35">
        <v>40</v>
      </c>
      <c r="BF665" s="35">
        <v>21.9</v>
      </c>
      <c r="BG665" s="35">
        <v>20</v>
      </c>
    </row>
    <row r="666" spans="1:59" x14ac:dyDescent="0.35">
      <c r="A666" s="36">
        <v>46059.924305555556</v>
      </c>
      <c r="B666" s="35">
        <v>2.1</v>
      </c>
      <c r="C666" s="35">
        <v>2</v>
      </c>
      <c r="D666" s="35">
        <v>2.4</v>
      </c>
      <c r="E666" s="35">
        <v>2.2000000000000002</v>
      </c>
      <c r="F666" s="35">
        <v>3.2</v>
      </c>
      <c r="G666" s="35">
        <v>2</v>
      </c>
      <c r="H666" s="35">
        <v>3</v>
      </c>
      <c r="I666" s="35">
        <v>2</v>
      </c>
      <c r="J666" s="35">
        <v>3.4</v>
      </c>
      <c r="K666" s="35">
        <v>2</v>
      </c>
      <c r="L666" s="35">
        <v>3.3</v>
      </c>
      <c r="M666" s="35">
        <v>2</v>
      </c>
      <c r="N666" s="35">
        <v>2.4</v>
      </c>
      <c r="O666" s="35">
        <v>3</v>
      </c>
      <c r="P666" s="35">
        <v>2.8</v>
      </c>
      <c r="Q666" s="35">
        <v>2</v>
      </c>
      <c r="R666" s="35">
        <v>3.2</v>
      </c>
      <c r="S666" s="35">
        <v>2</v>
      </c>
      <c r="T666" s="35">
        <v>2.9</v>
      </c>
      <c r="U666" s="35">
        <v>2</v>
      </c>
      <c r="V666" s="35">
        <v>8.6</v>
      </c>
      <c r="W666" s="35">
        <v>9</v>
      </c>
      <c r="X666" s="35">
        <v>10.8</v>
      </c>
      <c r="Y666" s="35">
        <v>9</v>
      </c>
      <c r="Z666" s="35">
        <v>10.9</v>
      </c>
      <c r="AA666" s="35">
        <v>9</v>
      </c>
      <c r="AB666" s="35">
        <v>10.4</v>
      </c>
      <c r="AC666" s="35">
        <v>9</v>
      </c>
      <c r="AD666" s="35">
        <v>20.2</v>
      </c>
      <c r="AE666" s="35">
        <v>19</v>
      </c>
      <c r="AF666" s="35">
        <v>19.8</v>
      </c>
      <c r="AG666" s="35">
        <v>19</v>
      </c>
      <c r="AH666" s="35">
        <v>20.8</v>
      </c>
      <c r="AI666" s="35">
        <v>19</v>
      </c>
      <c r="AJ666" s="35">
        <v>18.2</v>
      </c>
      <c r="AK666" s="35">
        <v>19</v>
      </c>
      <c r="AL666" s="35">
        <v>19.600000000000001</v>
      </c>
      <c r="AM666" s="35">
        <v>19</v>
      </c>
      <c r="AN666" s="35">
        <v>19.600000000000001</v>
      </c>
      <c r="AO666" s="35">
        <v>19</v>
      </c>
      <c r="AP666" s="35">
        <v>20.8</v>
      </c>
      <c r="AQ666" s="35">
        <v>19</v>
      </c>
      <c r="AR666" s="35">
        <v>20.8</v>
      </c>
      <c r="AS666" s="35">
        <v>19</v>
      </c>
      <c r="AT666" s="35">
        <v>19.600000000000001</v>
      </c>
      <c r="AU666" s="35">
        <v>19</v>
      </c>
      <c r="AV666" s="35">
        <v>17.399999999999999</v>
      </c>
      <c r="AW666" s="35">
        <v>19</v>
      </c>
      <c r="AX666" s="35">
        <v>21</v>
      </c>
      <c r="AY666" s="35">
        <v>20</v>
      </c>
      <c r="AZ666" s="35">
        <v>21.8</v>
      </c>
      <c r="BA666" s="35">
        <v>20</v>
      </c>
      <c r="BB666" s="35">
        <v>29.4</v>
      </c>
      <c r="BC666" s="35">
        <v>40</v>
      </c>
      <c r="BD666" s="35">
        <v>28.7</v>
      </c>
      <c r="BE666" s="35">
        <v>40</v>
      </c>
      <c r="BF666" s="35">
        <v>21.9</v>
      </c>
      <c r="BG666" s="35">
        <v>20</v>
      </c>
    </row>
    <row r="667" spans="1:59" x14ac:dyDescent="0.35">
      <c r="A667" s="36">
        <v>46059.925000000003</v>
      </c>
      <c r="B667" s="35">
        <v>2.6</v>
      </c>
      <c r="C667" s="35">
        <v>2</v>
      </c>
      <c r="D667" s="35">
        <v>2.8</v>
      </c>
      <c r="E667" s="35">
        <v>2.2000000000000002</v>
      </c>
      <c r="F667" s="35">
        <v>3.7</v>
      </c>
      <c r="G667" s="35">
        <v>2</v>
      </c>
      <c r="H667" s="35">
        <v>3</v>
      </c>
      <c r="I667" s="35">
        <v>2</v>
      </c>
      <c r="J667" s="35">
        <v>1.9</v>
      </c>
      <c r="K667" s="35">
        <v>2</v>
      </c>
      <c r="L667" s="35">
        <v>1.8</v>
      </c>
      <c r="M667" s="35">
        <v>2</v>
      </c>
      <c r="N667" s="35">
        <v>1</v>
      </c>
      <c r="O667" s="35">
        <v>3</v>
      </c>
      <c r="P667" s="35">
        <v>1.9</v>
      </c>
      <c r="Q667" s="35">
        <v>2</v>
      </c>
      <c r="R667" s="35">
        <v>3.3</v>
      </c>
      <c r="S667" s="35">
        <v>2</v>
      </c>
      <c r="T667" s="35">
        <v>3.1</v>
      </c>
      <c r="U667" s="35">
        <v>2</v>
      </c>
      <c r="V667" s="35">
        <v>9.4</v>
      </c>
      <c r="W667" s="35">
        <v>9</v>
      </c>
      <c r="X667" s="35">
        <v>10.9</v>
      </c>
      <c r="Y667" s="35">
        <v>9</v>
      </c>
      <c r="Z667" s="35">
        <v>10.9</v>
      </c>
      <c r="AA667" s="35">
        <v>9</v>
      </c>
      <c r="AB667" s="35">
        <v>10.5</v>
      </c>
      <c r="AC667" s="35">
        <v>9</v>
      </c>
      <c r="AD667" s="35">
        <v>20.2</v>
      </c>
      <c r="AE667" s="35">
        <v>19</v>
      </c>
      <c r="AF667" s="35">
        <v>19.899999999999999</v>
      </c>
      <c r="AG667" s="35">
        <v>19</v>
      </c>
      <c r="AH667" s="35">
        <v>20.9</v>
      </c>
      <c r="AI667" s="35">
        <v>19</v>
      </c>
      <c r="AJ667" s="35">
        <v>18.5</v>
      </c>
      <c r="AK667" s="35">
        <v>19</v>
      </c>
      <c r="AL667" s="35">
        <v>19.5</v>
      </c>
      <c r="AM667" s="35">
        <v>19</v>
      </c>
      <c r="AN667" s="35">
        <v>19.8</v>
      </c>
      <c r="AO667" s="35">
        <v>19</v>
      </c>
      <c r="AP667" s="35">
        <v>20.8</v>
      </c>
      <c r="AQ667" s="35">
        <v>19</v>
      </c>
      <c r="AR667" s="35">
        <v>20.8</v>
      </c>
      <c r="AS667" s="35">
        <v>19</v>
      </c>
      <c r="AT667" s="35">
        <v>19.7</v>
      </c>
      <c r="AU667" s="35">
        <v>19</v>
      </c>
      <c r="AV667" s="35">
        <v>17.600000000000001</v>
      </c>
      <c r="AW667" s="35">
        <v>19</v>
      </c>
      <c r="AX667" s="35">
        <v>21.1</v>
      </c>
      <c r="AY667" s="35">
        <v>20</v>
      </c>
      <c r="AZ667" s="35">
        <v>21.8</v>
      </c>
      <c r="BA667" s="35">
        <v>20</v>
      </c>
      <c r="BB667" s="35">
        <v>29.4</v>
      </c>
      <c r="BC667" s="35">
        <v>40</v>
      </c>
      <c r="BD667" s="35">
        <v>28.7</v>
      </c>
      <c r="BE667" s="35">
        <v>40</v>
      </c>
      <c r="BF667" s="35">
        <v>21.9</v>
      </c>
      <c r="BG667" s="35">
        <v>20</v>
      </c>
    </row>
    <row r="668" spans="1:59" x14ac:dyDescent="0.35">
      <c r="A668" s="36">
        <v>46059.925694444442</v>
      </c>
      <c r="B668" s="35">
        <v>2.9</v>
      </c>
      <c r="C668" s="35">
        <v>2</v>
      </c>
      <c r="D668" s="35">
        <v>3.2</v>
      </c>
      <c r="E668" s="35">
        <v>2.2000000000000002</v>
      </c>
      <c r="F668" s="35">
        <v>3.7</v>
      </c>
      <c r="G668" s="35">
        <v>2</v>
      </c>
      <c r="H668" s="35">
        <v>3</v>
      </c>
      <c r="I668" s="35">
        <v>2</v>
      </c>
      <c r="J668" s="35">
        <v>1.7</v>
      </c>
      <c r="K668" s="35">
        <v>2</v>
      </c>
      <c r="L668" s="35">
        <v>1.8</v>
      </c>
      <c r="M668" s="35">
        <v>2</v>
      </c>
      <c r="N668" s="35">
        <v>0.9</v>
      </c>
      <c r="O668" s="35">
        <v>3</v>
      </c>
      <c r="P668" s="35">
        <v>1.8</v>
      </c>
      <c r="Q668" s="35">
        <v>2</v>
      </c>
      <c r="R668" s="35">
        <v>3.5</v>
      </c>
      <c r="S668" s="35">
        <v>2</v>
      </c>
      <c r="T668" s="35">
        <v>3.2</v>
      </c>
      <c r="U668" s="35">
        <v>2</v>
      </c>
      <c r="V668" s="35">
        <v>10</v>
      </c>
      <c r="W668" s="35">
        <v>9</v>
      </c>
      <c r="X668" s="35">
        <v>10.9</v>
      </c>
      <c r="Y668" s="35">
        <v>9</v>
      </c>
      <c r="Z668" s="35">
        <v>11</v>
      </c>
      <c r="AA668" s="35">
        <v>9</v>
      </c>
      <c r="AB668" s="35">
        <v>10.7</v>
      </c>
      <c r="AC668" s="35">
        <v>9</v>
      </c>
      <c r="AD668" s="35">
        <v>20.3</v>
      </c>
      <c r="AE668" s="35">
        <v>19</v>
      </c>
      <c r="AF668" s="35">
        <v>19.899999999999999</v>
      </c>
      <c r="AG668" s="35">
        <v>19</v>
      </c>
      <c r="AH668" s="35">
        <v>20.9</v>
      </c>
      <c r="AI668" s="35">
        <v>19</v>
      </c>
      <c r="AJ668" s="35">
        <v>18.7</v>
      </c>
      <c r="AK668" s="35">
        <v>19</v>
      </c>
      <c r="AL668" s="35">
        <v>19.3</v>
      </c>
      <c r="AM668" s="35">
        <v>19</v>
      </c>
      <c r="AN668" s="35">
        <v>19.899999999999999</v>
      </c>
      <c r="AO668" s="35">
        <v>19</v>
      </c>
      <c r="AP668" s="35">
        <v>20.8</v>
      </c>
      <c r="AQ668" s="35">
        <v>19</v>
      </c>
      <c r="AR668" s="35">
        <v>20.8</v>
      </c>
      <c r="AS668" s="35">
        <v>19</v>
      </c>
      <c r="AT668" s="35">
        <v>19.8</v>
      </c>
      <c r="AU668" s="35">
        <v>19</v>
      </c>
      <c r="AV668" s="35">
        <v>17.899999999999999</v>
      </c>
      <c r="AW668" s="35">
        <v>19</v>
      </c>
      <c r="AX668" s="35">
        <v>21.1</v>
      </c>
      <c r="AY668" s="35">
        <v>20</v>
      </c>
      <c r="AZ668" s="35">
        <v>21.8</v>
      </c>
      <c r="BA668" s="35">
        <v>20</v>
      </c>
      <c r="BB668" s="35">
        <v>29.4</v>
      </c>
      <c r="BC668" s="35">
        <v>40</v>
      </c>
      <c r="BD668" s="35">
        <v>28.7</v>
      </c>
      <c r="BE668" s="35">
        <v>40</v>
      </c>
      <c r="BF668" s="35">
        <v>21.9</v>
      </c>
      <c r="BG668" s="35">
        <v>20</v>
      </c>
    </row>
    <row r="669" spans="1:59" x14ac:dyDescent="0.35">
      <c r="A669" s="36">
        <v>46059.926388888889</v>
      </c>
      <c r="B669" s="35">
        <v>3.2</v>
      </c>
      <c r="C669" s="35">
        <v>2</v>
      </c>
      <c r="D669" s="35">
        <v>3.6</v>
      </c>
      <c r="E669" s="35">
        <v>2.2000000000000002</v>
      </c>
      <c r="F669" s="35">
        <v>2.2999999999999998</v>
      </c>
      <c r="G669" s="35">
        <v>2</v>
      </c>
      <c r="H669" s="35">
        <v>3</v>
      </c>
      <c r="I669" s="35">
        <v>2</v>
      </c>
      <c r="J669" s="35">
        <v>1.7</v>
      </c>
      <c r="K669" s="35">
        <v>2</v>
      </c>
      <c r="L669" s="35">
        <v>2</v>
      </c>
      <c r="M669" s="35">
        <v>2</v>
      </c>
      <c r="N669" s="35">
        <v>1.3</v>
      </c>
      <c r="O669" s="35">
        <v>3</v>
      </c>
      <c r="P669" s="35">
        <v>1.9</v>
      </c>
      <c r="Q669" s="35">
        <v>2</v>
      </c>
      <c r="R669" s="35">
        <v>3.6</v>
      </c>
      <c r="S669" s="35">
        <v>2</v>
      </c>
      <c r="T669" s="35">
        <v>3.3</v>
      </c>
      <c r="U669" s="35">
        <v>2</v>
      </c>
      <c r="V669" s="35">
        <v>10.5</v>
      </c>
      <c r="W669" s="35">
        <v>9</v>
      </c>
      <c r="X669" s="35">
        <v>11</v>
      </c>
      <c r="Y669" s="35">
        <v>9</v>
      </c>
      <c r="Z669" s="35">
        <v>10.4</v>
      </c>
      <c r="AA669" s="35">
        <v>9</v>
      </c>
      <c r="AB669" s="35">
        <v>10.8</v>
      </c>
      <c r="AC669" s="35">
        <v>9</v>
      </c>
      <c r="AD669" s="35">
        <v>20.3</v>
      </c>
      <c r="AE669" s="35">
        <v>19</v>
      </c>
      <c r="AF669" s="35">
        <v>20</v>
      </c>
      <c r="AG669" s="35">
        <v>19</v>
      </c>
      <c r="AH669" s="35">
        <v>20.9</v>
      </c>
      <c r="AI669" s="35">
        <v>19</v>
      </c>
      <c r="AJ669" s="35">
        <v>18.899999999999999</v>
      </c>
      <c r="AK669" s="35">
        <v>19</v>
      </c>
      <c r="AL669" s="35">
        <v>19.2</v>
      </c>
      <c r="AM669" s="35">
        <v>19</v>
      </c>
      <c r="AN669" s="35">
        <v>20</v>
      </c>
      <c r="AO669" s="35">
        <v>19</v>
      </c>
      <c r="AP669" s="35">
        <v>20.8</v>
      </c>
      <c r="AQ669" s="35">
        <v>19</v>
      </c>
      <c r="AR669" s="35">
        <v>20.8</v>
      </c>
      <c r="AS669" s="35">
        <v>19</v>
      </c>
      <c r="AT669" s="35">
        <v>19.899999999999999</v>
      </c>
      <c r="AU669" s="35">
        <v>19</v>
      </c>
      <c r="AV669" s="35">
        <v>18.100000000000001</v>
      </c>
      <c r="AW669" s="35">
        <v>19</v>
      </c>
      <c r="AX669" s="35">
        <v>21</v>
      </c>
      <c r="AY669" s="35">
        <v>20</v>
      </c>
      <c r="AZ669" s="35">
        <v>21.8</v>
      </c>
      <c r="BA669" s="35">
        <v>20</v>
      </c>
      <c r="BB669" s="35">
        <v>29.4</v>
      </c>
      <c r="BC669" s="35">
        <v>40</v>
      </c>
      <c r="BD669" s="35">
        <v>28.7</v>
      </c>
      <c r="BE669" s="35">
        <v>40</v>
      </c>
      <c r="BF669" s="35">
        <v>21.9</v>
      </c>
      <c r="BG669" s="35">
        <v>20</v>
      </c>
    </row>
    <row r="670" spans="1:59" x14ac:dyDescent="0.35">
      <c r="A670" s="36">
        <v>46059.927083333336</v>
      </c>
      <c r="B670" s="35">
        <v>3.6</v>
      </c>
      <c r="C670" s="35">
        <v>2</v>
      </c>
      <c r="D670" s="35">
        <v>4</v>
      </c>
      <c r="E670" s="35">
        <v>2.2000000000000002</v>
      </c>
      <c r="F670" s="35">
        <v>2</v>
      </c>
      <c r="G670" s="35">
        <v>2</v>
      </c>
      <c r="H670" s="35">
        <v>3</v>
      </c>
      <c r="I670" s="35">
        <v>2</v>
      </c>
      <c r="J670" s="35">
        <v>1.9</v>
      </c>
      <c r="K670" s="35">
        <v>2</v>
      </c>
      <c r="L670" s="35">
        <v>2.2999999999999998</v>
      </c>
      <c r="M670" s="35">
        <v>2</v>
      </c>
      <c r="N670" s="35">
        <v>1.6</v>
      </c>
      <c r="O670" s="35">
        <v>3</v>
      </c>
      <c r="P670" s="35">
        <v>2.2000000000000002</v>
      </c>
      <c r="Q670" s="35">
        <v>2</v>
      </c>
      <c r="R670" s="35">
        <v>3.7</v>
      </c>
      <c r="S670" s="35">
        <v>2</v>
      </c>
      <c r="T670" s="35">
        <v>3.5</v>
      </c>
      <c r="U670" s="35">
        <v>2</v>
      </c>
      <c r="V670" s="35">
        <v>10.9</v>
      </c>
      <c r="W670" s="35">
        <v>9</v>
      </c>
      <c r="X670" s="35">
        <v>10.8</v>
      </c>
      <c r="Y670" s="35">
        <v>9</v>
      </c>
      <c r="Z670" s="35">
        <v>9.5</v>
      </c>
      <c r="AA670" s="35">
        <v>9</v>
      </c>
      <c r="AB670" s="35">
        <v>10.9</v>
      </c>
      <c r="AC670" s="35">
        <v>9</v>
      </c>
      <c r="AD670" s="35">
        <v>20.3</v>
      </c>
      <c r="AE670" s="35">
        <v>19</v>
      </c>
      <c r="AF670" s="35">
        <v>20</v>
      </c>
      <c r="AG670" s="35">
        <v>19</v>
      </c>
      <c r="AH670" s="35">
        <v>20.399999999999999</v>
      </c>
      <c r="AI670" s="35">
        <v>19</v>
      </c>
      <c r="AJ670" s="35">
        <v>19.100000000000001</v>
      </c>
      <c r="AK670" s="35">
        <v>19</v>
      </c>
      <c r="AL670" s="35">
        <v>19</v>
      </c>
      <c r="AM670" s="35">
        <v>19</v>
      </c>
      <c r="AN670" s="35">
        <v>20.100000000000001</v>
      </c>
      <c r="AO670" s="35">
        <v>19</v>
      </c>
      <c r="AP670" s="35">
        <v>20.9</v>
      </c>
      <c r="AQ670" s="35">
        <v>19</v>
      </c>
      <c r="AR670" s="35">
        <v>20.8</v>
      </c>
      <c r="AS670" s="35">
        <v>19</v>
      </c>
      <c r="AT670" s="35">
        <v>20</v>
      </c>
      <c r="AU670" s="35">
        <v>19</v>
      </c>
      <c r="AV670" s="35">
        <v>18.2</v>
      </c>
      <c r="AW670" s="35">
        <v>19</v>
      </c>
      <c r="AX670" s="35">
        <v>21.1</v>
      </c>
      <c r="AY670" s="35">
        <v>20</v>
      </c>
      <c r="AZ670" s="35">
        <v>21.8</v>
      </c>
      <c r="BA670" s="35">
        <v>20</v>
      </c>
      <c r="BB670" s="35">
        <v>29.4</v>
      </c>
      <c r="BC670" s="35">
        <v>40</v>
      </c>
      <c r="BD670" s="35">
        <v>28.6</v>
      </c>
      <c r="BE670" s="35">
        <v>40</v>
      </c>
      <c r="BF670" s="35">
        <v>17.2</v>
      </c>
      <c r="BG670" s="35">
        <v>20</v>
      </c>
    </row>
    <row r="671" spans="1:59" x14ac:dyDescent="0.35">
      <c r="A671" s="36">
        <v>46059.927777777775</v>
      </c>
      <c r="B671" s="35">
        <v>3.8</v>
      </c>
      <c r="C671" s="35">
        <v>2</v>
      </c>
      <c r="D671" s="35">
        <v>4.2</v>
      </c>
      <c r="E671" s="35">
        <v>2.2000000000000002</v>
      </c>
      <c r="F671" s="35">
        <v>2.6</v>
      </c>
      <c r="G671" s="35">
        <v>2</v>
      </c>
      <c r="H671" s="35">
        <v>3</v>
      </c>
      <c r="I671" s="35">
        <v>2</v>
      </c>
      <c r="J671" s="35">
        <v>2.1</v>
      </c>
      <c r="K671" s="35">
        <v>2</v>
      </c>
      <c r="L671" s="35">
        <v>2.7</v>
      </c>
      <c r="M671" s="35">
        <v>2</v>
      </c>
      <c r="N671" s="35">
        <v>2</v>
      </c>
      <c r="O671" s="35">
        <v>3</v>
      </c>
      <c r="P671" s="35">
        <v>2.4</v>
      </c>
      <c r="Q671" s="35">
        <v>2</v>
      </c>
      <c r="R671" s="35">
        <v>3.8</v>
      </c>
      <c r="S671" s="35">
        <v>2</v>
      </c>
      <c r="T671" s="35">
        <v>3.6</v>
      </c>
      <c r="U671" s="35">
        <v>2</v>
      </c>
      <c r="V671" s="35">
        <v>10</v>
      </c>
      <c r="W671" s="35">
        <v>9</v>
      </c>
      <c r="X671" s="35">
        <v>10</v>
      </c>
      <c r="Y671" s="35">
        <v>9</v>
      </c>
      <c r="Z671" s="35">
        <v>8.8000000000000007</v>
      </c>
      <c r="AA671" s="35">
        <v>9</v>
      </c>
      <c r="AB671" s="35">
        <v>11</v>
      </c>
      <c r="AC671" s="35">
        <v>9</v>
      </c>
      <c r="AD671" s="35">
        <v>20.3</v>
      </c>
      <c r="AE671" s="35">
        <v>19</v>
      </c>
      <c r="AF671" s="35">
        <v>20.100000000000001</v>
      </c>
      <c r="AG671" s="35">
        <v>19</v>
      </c>
      <c r="AH671" s="35">
        <v>19.2</v>
      </c>
      <c r="AI671" s="35">
        <v>19</v>
      </c>
      <c r="AJ671" s="35">
        <v>19.2</v>
      </c>
      <c r="AK671" s="35">
        <v>19</v>
      </c>
      <c r="AL671" s="35">
        <v>19</v>
      </c>
      <c r="AM671" s="35">
        <v>19</v>
      </c>
      <c r="AN671" s="35">
        <v>20.2</v>
      </c>
      <c r="AO671" s="35">
        <v>19</v>
      </c>
      <c r="AP671" s="35">
        <v>20.9</v>
      </c>
      <c r="AQ671" s="35">
        <v>19</v>
      </c>
      <c r="AR671" s="35">
        <v>20.8</v>
      </c>
      <c r="AS671" s="35">
        <v>19</v>
      </c>
      <c r="AT671" s="35">
        <v>20.100000000000001</v>
      </c>
      <c r="AU671" s="35">
        <v>19</v>
      </c>
      <c r="AV671" s="35">
        <v>18.399999999999999</v>
      </c>
      <c r="AW671" s="35">
        <v>19</v>
      </c>
      <c r="AX671" s="35">
        <v>21.1</v>
      </c>
      <c r="AY671" s="35">
        <v>20</v>
      </c>
      <c r="AZ671" s="35">
        <v>21.8</v>
      </c>
      <c r="BA671" s="35">
        <v>20</v>
      </c>
      <c r="BB671" s="35">
        <v>29.4</v>
      </c>
      <c r="BC671" s="35">
        <v>40</v>
      </c>
      <c r="BD671" s="35">
        <v>28.6</v>
      </c>
      <c r="BE671" s="35">
        <v>40</v>
      </c>
      <c r="BF671" s="35">
        <v>18.2</v>
      </c>
      <c r="BG671" s="35">
        <v>20</v>
      </c>
    </row>
    <row r="672" spans="1:59" x14ac:dyDescent="0.35">
      <c r="A672" s="36">
        <v>46059.928472222222</v>
      </c>
      <c r="B672" s="35">
        <v>3.8</v>
      </c>
      <c r="C672" s="35">
        <v>2</v>
      </c>
      <c r="D672" s="35">
        <v>4.0999999999999996</v>
      </c>
      <c r="E672" s="35">
        <v>2.2000000000000002</v>
      </c>
      <c r="F672" s="35">
        <v>3.3</v>
      </c>
      <c r="G672" s="35">
        <v>2</v>
      </c>
      <c r="H672" s="35">
        <v>3</v>
      </c>
      <c r="I672" s="35">
        <v>2</v>
      </c>
      <c r="J672" s="35">
        <v>2.4</v>
      </c>
      <c r="K672" s="35">
        <v>2</v>
      </c>
      <c r="L672" s="35">
        <v>2.9</v>
      </c>
      <c r="M672" s="35">
        <v>2</v>
      </c>
      <c r="N672" s="35">
        <v>2.2999999999999998</v>
      </c>
      <c r="O672" s="35">
        <v>3</v>
      </c>
      <c r="P672" s="35">
        <v>2.7</v>
      </c>
      <c r="Q672" s="35">
        <v>2</v>
      </c>
      <c r="R672" s="35">
        <v>3.9</v>
      </c>
      <c r="S672" s="35">
        <v>2</v>
      </c>
      <c r="T672" s="35">
        <v>3.7</v>
      </c>
      <c r="U672" s="35">
        <v>2</v>
      </c>
      <c r="V672" s="35">
        <v>8.1</v>
      </c>
      <c r="W672" s="35">
        <v>9</v>
      </c>
      <c r="X672" s="35">
        <v>8.6999999999999993</v>
      </c>
      <c r="Y672" s="35">
        <v>9</v>
      </c>
      <c r="Z672" s="35">
        <v>8.6999999999999993</v>
      </c>
      <c r="AA672" s="35">
        <v>9</v>
      </c>
      <c r="AB672" s="35">
        <v>10.5</v>
      </c>
      <c r="AC672" s="35">
        <v>9</v>
      </c>
      <c r="AD672" s="35">
        <v>20.3</v>
      </c>
      <c r="AE672" s="35">
        <v>19</v>
      </c>
      <c r="AF672" s="35">
        <v>20.100000000000001</v>
      </c>
      <c r="AG672" s="35">
        <v>19</v>
      </c>
      <c r="AH672" s="35">
        <v>18</v>
      </c>
      <c r="AI672" s="35">
        <v>19</v>
      </c>
      <c r="AJ672" s="35">
        <v>19.3</v>
      </c>
      <c r="AK672" s="35">
        <v>19</v>
      </c>
      <c r="AL672" s="35">
        <v>19.2</v>
      </c>
      <c r="AM672" s="35">
        <v>19</v>
      </c>
      <c r="AN672" s="35">
        <v>20.2</v>
      </c>
      <c r="AO672" s="35">
        <v>19</v>
      </c>
      <c r="AP672" s="35">
        <v>20.9</v>
      </c>
      <c r="AQ672" s="35">
        <v>19</v>
      </c>
      <c r="AR672" s="35">
        <v>20.8</v>
      </c>
      <c r="AS672" s="35">
        <v>19</v>
      </c>
      <c r="AT672" s="35">
        <v>20.2</v>
      </c>
      <c r="AU672" s="35">
        <v>19</v>
      </c>
      <c r="AV672" s="35">
        <v>18.5</v>
      </c>
      <c r="AW672" s="35">
        <v>19</v>
      </c>
      <c r="AX672" s="35">
        <v>21.1</v>
      </c>
      <c r="AY672" s="35">
        <v>20</v>
      </c>
      <c r="AZ672" s="35">
        <v>21.8</v>
      </c>
      <c r="BA672" s="35">
        <v>20</v>
      </c>
      <c r="BB672" s="35">
        <v>29.4</v>
      </c>
      <c r="BC672" s="35">
        <v>40</v>
      </c>
      <c r="BD672" s="35">
        <v>28.6</v>
      </c>
      <c r="BE672" s="35">
        <v>40</v>
      </c>
      <c r="BF672" s="35">
        <v>18.7</v>
      </c>
      <c r="BG672" s="35">
        <v>20</v>
      </c>
    </row>
    <row r="673" spans="1:59" x14ac:dyDescent="0.35">
      <c r="A673" s="36">
        <v>46059.929166666669</v>
      </c>
      <c r="B673" s="35">
        <v>3.9</v>
      </c>
      <c r="C673" s="35">
        <v>2</v>
      </c>
      <c r="D673" s="35">
        <v>4.2</v>
      </c>
      <c r="E673" s="35">
        <v>2.2000000000000002</v>
      </c>
      <c r="F673" s="35">
        <v>3.7</v>
      </c>
      <c r="G673" s="35">
        <v>2</v>
      </c>
      <c r="H673" s="35">
        <v>3</v>
      </c>
      <c r="I673" s="35">
        <v>2</v>
      </c>
      <c r="J673" s="35">
        <v>2.6</v>
      </c>
      <c r="K673" s="35">
        <v>2</v>
      </c>
      <c r="L673" s="35">
        <v>3.2</v>
      </c>
      <c r="M673" s="35">
        <v>2</v>
      </c>
      <c r="N673" s="35">
        <v>2.6</v>
      </c>
      <c r="O673" s="35">
        <v>3</v>
      </c>
      <c r="P673" s="35">
        <v>2.9</v>
      </c>
      <c r="Q673" s="35">
        <v>2</v>
      </c>
      <c r="R673" s="35">
        <v>3.6</v>
      </c>
      <c r="S673" s="35">
        <v>2</v>
      </c>
      <c r="T673" s="35">
        <v>3.2</v>
      </c>
      <c r="U673" s="35">
        <v>2</v>
      </c>
      <c r="V673" s="35">
        <v>8</v>
      </c>
      <c r="W673" s="35">
        <v>9</v>
      </c>
      <c r="X673" s="35">
        <v>8.4</v>
      </c>
      <c r="Y673" s="35">
        <v>9</v>
      </c>
      <c r="Z673" s="35">
        <v>8.9</v>
      </c>
      <c r="AA673" s="35">
        <v>9</v>
      </c>
      <c r="AB673" s="35">
        <v>9.8000000000000007</v>
      </c>
      <c r="AC673" s="35">
        <v>9</v>
      </c>
      <c r="AD673" s="35">
        <v>20.399999999999999</v>
      </c>
      <c r="AE673" s="35">
        <v>19</v>
      </c>
      <c r="AF673" s="35">
        <v>20.2</v>
      </c>
      <c r="AG673" s="35">
        <v>19</v>
      </c>
      <c r="AH673" s="35">
        <v>18</v>
      </c>
      <c r="AI673" s="35">
        <v>19</v>
      </c>
      <c r="AJ673" s="35">
        <v>19.5</v>
      </c>
      <c r="AK673" s="35">
        <v>19</v>
      </c>
      <c r="AL673" s="35">
        <v>19.5</v>
      </c>
      <c r="AM673" s="35">
        <v>19</v>
      </c>
      <c r="AN673" s="35">
        <v>20.3</v>
      </c>
      <c r="AO673" s="35">
        <v>19</v>
      </c>
      <c r="AP673" s="35">
        <v>20.9</v>
      </c>
      <c r="AQ673" s="35">
        <v>19</v>
      </c>
      <c r="AR673" s="35">
        <v>20.8</v>
      </c>
      <c r="AS673" s="35">
        <v>19</v>
      </c>
      <c r="AT673" s="35">
        <v>20.3</v>
      </c>
      <c r="AU673" s="35">
        <v>19</v>
      </c>
      <c r="AV673" s="35">
        <v>18.7</v>
      </c>
      <c r="AW673" s="35">
        <v>19</v>
      </c>
      <c r="AX673" s="35">
        <v>21.1</v>
      </c>
      <c r="AY673" s="35">
        <v>20</v>
      </c>
      <c r="AZ673" s="35">
        <v>21.8</v>
      </c>
      <c r="BA673" s="35">
        <v>20</v>
      </c>
      <c r="BB673" s="35">
        <v>29.4</v>
      </c>
      <c r="BC673" s="35">
        <v>40</v>
      </c>
      <c r="BD673" s="35">
        <v>28.6</v>
      </c>
      <c r="BE673" s="35">
        <v>40</v>
      </c>
      <c r="BF673" s="35">
        <v>19.2</v>
      </c>
      <c r="BG673" s="35">
        <v>20</v>
      </c>
    </row>
    <row r="674" spans="1:59" x14ac:dyDescent="0.35">
      <c r="A674" s="36">
        <v>46059.929861111108</v>
      </c>
      <c r="B674" s="35">
        <v>4</v>
      </c>
      <c r="C674" s="35">
        <v>2</v>
      </c>
      <c r="D674" s="35">
        <v>4.0999999999999996</v>
      </c>
      <c r="E674" s="35">
        <v>2.2000000000000002</v>
      </c>
      <c r="F674" s="35">
        <v>4.4000000000000004</v>
      </c>
      <c r="G674" s="35">
        <v>2</v>
      </c>
      <c r="H674" s="35">
        <v>3</v>
      </c>
      <c r="I674" s="35">
        <v>2</v>
      </c>
      <c r="J674" s="35">
        <v>2.8</v>
      </c>
      <c r="K674" s="35">
        <v>2</v>
      </c>
      <c r="L674" s="35">
        <v>3.5</v>
      </c>
      <c r="M674" s="35">
        <v>2</v>
      </c>
      <c r="N674" s="35">
        <v>2.9</v>
      </c>
      <c r="O674" s="35">
        <v>3</v>
      </c>
      <c r="P674" s="35">
        <v>3.2</v>
      </c>
      <c r="Q674" s="35">
        <v>2</v>
      </c>
      <c r="R674" s="35">
        <v>2.7</v>
      </c>
      <c r="S674" s="35">
        <v>2</v>
      </c>
      <c r="T674" s="35">
        <v>2</v>
      </c>
      <c r="U674" s="35">
        <v>2</v>
      </c>
      <c r="V674" s="35">
        <v>8.6999999999999993</v>
      </c>
      <c r="W674" s="35">
        <v>9</v>
      </c>
      <c r="X674" s="35">
        <v>8.4</v>
      </c>
      <c r="Y674" s="35">
        <v>9</v>
      </c>
      <c r="Z674" s="35">
        <v>9.1999999999999993</v>
      </c>
      <c r="AA674" s="35">
        <v>9</v>
      </c>
      <c r="AB674" s="35">
        <v>9.1999999999999993</v>
      </c>
      <c r="AC674" s="35">
        <v>9</v>
      </c>
      <c r="AD674" s="35">
        <v>20.399999999999999</v>
      </c>
      <c r="AE674" s="35">
        <v>19</v>
      </c>
      <c r="AF674" s="35">
        <v>20.2</v>
      </c>
      <c r="AG674" s="35">
        <v>19</v>
      </c>
      <c r="AH674" s="35">
        <v>18.3</v>
      </c>
      <c r="AI674" s="35">
        <v>19</v>
      </c>
      <c r="AJ674" s="35">
        <v>19.600000000000001</v>
      </c>
      <c r="AK674" s="35">
        <v>19</v>
      </c>
      <c r="AL674" s="35">
        <v>19.7</v>
      </c>
      <c r="AM674" s="35">
        <v>19</v>
      </c>
      <c r="AN674" s="35">
        <v>20.399999999999999</v>
      </c>
      <c r="AO674" s="35">
        <v>19</v>
      </c>
      <c r="AP674" s="35">
        <v>20.9</v>
      </c>
      <c r="AQ674" s="35">
        <v>19</v>
      </c>
      <c r="AR674" s="35">
        <v>20.8</v>
      </c>
      <c r="AS674" s="35">
        <v>19</v>
      </c>
      <c r="AT674" s="35">
        <v>20.399999999999999</v>
      </c>
      <c r="AU674" s="35">
        <v>19</v>
      </c>
      <c r="AV674" s="35">
        <v>18.899999999999999</v>
      </c>
      <c r="AW674" s="35">
        <v>19</v>
      </c>
      <c r="AX674" s="35">
        <v>21.1</v>
      </c>
      <c r="AY674" s="35">
        <v>20</v>
      </c>
      <c r="AZ674" s="35">
        <v>21.8</v>
      </c>
      <c r="BA674" s="35">
        <v>20</v>
      </c>
      <c r="BB674" s="35">
        <v>29.4</v>
      </c>
      <c r="BC674" s="35">
        <v>40</v>
      </c>
      <c r="BD674" s="35">
        <v>28.6</v>
      </c>
      <c r="BE674" s="35">
        <v>40</v>
      </c>
      <c r="BF674" s="35">
        <v>19.5</v>
      </c>
      <c r="BG674" s="35">
        <v>20</v>
      </c>
    </row>
    <row r="675" spans="1:59" x14ac:dyDescent="0.35">
      <c r="A675" s="36">
        <v>46059.930555555555</v>
      </c>
      <c r="B675" s="35">
        <v>2.5</v>
      </c>
      <c r="C675" s="35">
        <v>2</v>
      </c>
      <c r="D675" s="35">
        <v>2.8</v>
      </c>
      <c r="E675" s="35">
        <v>2.2000000000000002</v>
      </c>
      <c r="F675" s="35">
        <v>4.4000000000000004</v>
      </c>
      <c r="G675" s="35">
        <v>2</v>
      </c>
      <c r="H675" s="35">
        <v>3</v>
      </c>
      <c r="I675" s="35">
        <v>2</v>
      </c>
      <c r="J675" s="35">
        <v>2.9</v>
      </c>
      <c r="K675" s="35">
        <v>2</v>
      </c>
      <c r="L675" s="35">
        <v>3.7</v>
      </c>
      <c r="M675" s="35">
        <v>2</v>
      </c>
      <c r="N675" s="35">
        <v>3.2</v>
      </c>
      <c r="O675" s="35">
        <v>3</v>
      </c>
      <c r="P675" s="35">
        <v>3.4</v>
      </c>
      <c r="Q675" s="35">
        <v>2</v>
      </c>
      <c r="R675" s="35">
        <v>1.7</v>
      </c>
      <c r="S675" s="35">
        <v>2</v>
      </c>
      <c r="T675" s="35">
        <v>1.1000000000000001</v>
      </c>
      <c r="U675" s="35">
        <v>2</v>
      </c>
      <c r="V675" s="35">
        <v>9.4</v>
      </c>
      <c r="W675" s="35">
        <v>9</v>
      </c>
      <c r="X675" s="35">
        <v>8.5</v>
      </c>
      <c r="Y675" s="35">
        <v>9</v>
      </c>
      <c r="Z675" s="35">
        <v>9.4</v>
      </c>
      <c r="AA675" s="35">
        <v>9</v>
      </c>
      <c r="AB675" s="35">
        <v>8.5</v>
      </c>
      <c r="AC675" s="35">
        <v>9</v>
      </c>
      <c r="AD675" s="35">
        <v>20.399999999999999</v>
      </c>
      <c r="AE675" s="35">
        <v>19</v>
      </c>
      <c r="AF675" s="35">
        <v>20.3</v>
      </c>
      <c r="AG675" s="35">
        <v>19</v>
      </c>
      <c r="AH675" s="35">
        <v>18.600000000000001</v>
      </c>
      <c r="AI675" s="35">
        <v>19</v>
      </c>
      <c r="AJ675" s="35">
        <v>19.7</v>
      </c>
      <c r="AK675" s="35">
        <v>19</v>
      </c>
      <c r="AL675" s="35">
        <v>19.899999999999999</v>
      </c>
      <c r="AM675" s="35">
        <v>19</v>
      </c>
      <c r="AN675" s="35">
        <v>20.5</v>
      </c>
      <c r="AO675" s="35">
        <v>19</v>
      </c>
      <c r="AP675" s="35">
        <v>20.9</v>
      </c>
      <c r="AQ675" s="35">
        <v>19</v>
      </c>
      <c r="AR675" s="35">
        <v>20.8</v>
      </c>
      <c r="AS675" s="35">
        <v>19</v>
      </c>
      <c r="AT675" s="35">
        <v>20.5</v>
      </c>
      <c r="AU675" s="35">
        <v>19</v>
      </c>
      <c r="AV675" s="35">
        <v>19.100000000000001</v>
      </c>
      <c r="AW675" s="35">
        <v>19</v>
      </c>
      <c r="AX675" s="35">
        <v>21.1</v>
      </c>
      <c r="AY675" s="35">
        <v>20</v>
      </c>
      <c r="AZ675" s="35">
        <v>21.8</v>
      </c>
      <c r="BA675" s="35">
        <v>20</v>
      </c>
      <c r="BB675" s="35">
        <v>29.4</v>
      </c>
      <c r="BC675" s="35">
        <v>40</v>
      </c>
      <c r="BD675" s="35">
        <v>28.6</v>
      </c>
      <c r="BE675" s="35">
        <v>40</v>
      </c>
      <c r="BF675" s="35">
        <v>19.899999999999999</v>
      </c>
      <c r="BG675" s="35">
        <v>20</v>
      </c>
    </row>
    <row r="676" spans="1:59" x14ac:dyDescent="0.35">
      <c r="A676" s="36">
        <v>46059.931250000001</v>
      </c>
      <c r="B676" s="35">
        <v>1.5</v>
      </c>
      <c r="C676" s="35">
        <v>2</v>
      </c>
      <c r="D676" s="35">
        <v>2</v>
      </c>
      <c r="E676" s="35">
        <v>2.2000000000000002</v>
      </c>
      <c r="F676" s="35">
        <v>4.5</v>
      </c>
      <c r="G676" s="35">
        <v>2</v>
      </c>
      <c r="H676" s="35">
        <v>3</v>
      </c>
      <c r="I676" s="35">
        <v>2</v>
      </c>
      <c r="J676" s="35">
        <v>3.2</v>
      </c>
      <c r="K676" s="35">
        <v>2</v>
      </c>
      <c r="L676" s="35">
        <v>3.9</v>
      </c>
      <c r="M676" s="35">
        <v>2</v>
      </c>
      <c r="N676" s="35">
        <v>3.4</v>
      </c>
      <c r="O676" s="35">
        <v>3</v>
      </c>
      <c r="P676" s="35">
        <v>3.5</v>
      </c>
      <c r="Q676" s="35">
        <v>2</v>
      </c>
      <c r="R676" s="35">
        <v>1.6</v>
      </c>
      <c r="S676" s="35">
        <v>2</v>
      </c>
      <c r="T676" s="35">
        <v>1.1000000000000001</v>
      </c>
      <c r="U676" s="35">
        <v>2</v>
      </c>
      <c r="V676" s="35">
        <v>9.9</v>
      </c>
      <c r="W676" s="35">
        <v>9</v>
      </c>
      <c r="X676" s="35">
        <v>8.6999999999999993</v>
      </c>
      <c r="Y676" s="35">
        <v>9</v>
      </c>
      <c r="Z676" s="35">
        <v>9.6999999999999993</v>
      </c>
      <c r="AA676" s="35">
        <v>9</v>
      </c>
      <c r="AB676" s="35">
        <v>8.5</v>
      </c>
      <c r="AC676" s="35">
        <v>9</v>
      </c>
      <c r="AD676" s="35">
        <v>20.399999999999999</v>
      </c>
      <c r="AE676" s="35">
        <v>19</v>
      </c>
      <c r="AF676" s="35">
        <v>20.3</v>
      </c>
      <c r="AG676" s="35">
        <v>19</v>
      </c>
      <c r="AH676" s="35">
        <v>18.8</v>
      </c>
      <c r="AI676" s="35">
        <v>19</v>
      </c>
      <c r="AJ676" s="35">
        <v>19.8</v>
      </c>
      <c r="AK676" s="35">
        <v>19</v>
      </c>
      <c r="AL676" s="35">
        <v>20.2</v>
      </c>
      <c r="AM676" s="35">
        <v>19</v>
      </c>
      <c r="AN676" s="35">
        <v>20.6</v>
      </c>
      <c r="AO676" s="35">
        <v>19</v>
      </c>
      <c r="AP676" s="35">
        <v>20.9</v>
      </c>
      <c r="AQ676" s="35">
        <v>19</v>
      </c>
      <c r="AR676" s="35">
        <v>20.8</v>
      </c>
      <c r="AS676" s="35">
        <v>19</v>
      </c>
      <c r="AT676" s="35">
        <v>20.5</v>
      </c>
      <c r="AU676" s="35">
        <v>19</v>
      </c>
      <c r="AV676" s="35">
        <v>19.2</v>
      </c>
      <c r="AW676" s="35">
        <v>19</v>
      </c>
      <c r="AX676" s="35">
        <v>21.1</v>
      </c>
      <c r="AY676" s="35">
        <v>20</v>
      </c>
      <c r="AZ676" s="35">
        <v>21.9</v>
      </c>
      <c r="BA676" s="35">
        <v>20</v>
      </c>
      <c r="BB676" s="35">
        <v>29.4</v>
      </c>
      <c r="BC676" s="35">
        <v>40</v>
      </c>
      <c r="BD676" s="35">
        <v>28.6</v>
      </c>
      <c r="BE676" s="35">
        <v>40</v>
      </c>
      <c r="BF676" s="35">
        <v>20.3</v>
      </c>
      <c r="BG676" s="35">
        <v>20</v>
      </c>
    </row>
    <row r="677" spans="1:59" x14ac:dyDescent="0.35">
      <c r="A677" s="36">
        <v>46059.931944444441</v>
      </c>
      <c r="B677" s="35">
        <v>1.6</v>
      </c>
      <c r="C677" s="35">
        <v>2</v>
      </c>
      <c r="D677" s="35">
        <v>2.2000000000000002</v>
      </c>
      <c r="E677" s="35">
        <v>2.2000000000000002</v>
      </c>
      <c r="F677" s="35">
        <v>5</v>
      </c>
      <c r="G677" s="35">
        <v>2</v>
      </c>
      <c r="H677" s="35">
        <v>3</v>
      </c>
      <c r="I677" s="35">
        <v>2</v>
      </c>
      <c r="J677" s="35">
        <v>3.3</v>
      </c>
      <c r="K677" s="35">
        <v>2</v>
      </c>
      <c r="L677" s="35">
        <v>3.5</v>
      </c>
      <c r="M677" s="35">
        <v>2</v>
      </c>
      <c r="N677" s="35">
        <v>3.6</v>
      </c>
      <c r="O677" s="35">
        <v>3</v>
      </c>
      <c r="P677" s="35">
        <v>3.7</v>
      </c>
      <c r="Q677" s="35">
        <v>2</v>
      </c>
      <c r="R677" s="35">
        <v>1.7</v>
      </c>
      <c r="S677" s="35">
        <v>2</v>
      </c>
      <c r="T677" s="35">
        <v>1.2</v>
      </c>
      <c r="U677" s="35">
        <v>2</v>
      </c>
      <c r="V677" s="35">
        <v>10.4</v>
      </c>
      <c r="W677" s="35">
        <v>9</v>
      </c>
      <c r="X677" s="35">
        <v>8.9</v>
      </c>
      <c r="Y677" s="35">
        <v>9</v>
      </c>
      <c r="Z677" s="35">
        <v>9.8000000000000007</v>
      </c>
      <c r="AA677" s="35">
        <v>9</v>
      </c>
      <c r="AB677" s="35">
        <v>8.9</v>
      </c>
      <c r="AC677" s="35">
        <v>9</v>
      </c>
      <c r="AD677" s="35">
        <v>20.5</v>
      </c>
      <c r="AE677" s="35">
        <v>19</v>
      </c>
      <c r="AF677" s="35">
        <v>20.3</v>
      </c>
      <c r="AG677" s="35">
        <v>19</v>
      </c>
      <c r="AH677" s="35">
        <v>19</v>
      </c>
      <c r="AI677" s="35">
        <v>19</v>
      </c>
      <c r="AJ677" s="35">
        <v>19.899999999999999</v>
      </c>
      <c r="AK677" s="35">
        <v>19</v>
      </c>
      <c r="AL677" s="35">
        <v>20.399999999999999</v>
      </c>
      <c r="AM677" s="35">
        <v>19</v>
      </c>
      <c r="AN677" s="35">
        <v>20.7</v>
      </c>
      <c r="AO677" s="35">
        <v>19</v>
      </c>
      <c r="AP677" s="35">
        <v>20.9</v>
      </c>
      <c r="AQ677" s="35">
        <v>19</v>
      </c>
      <c r="AR677" s="35">
        <v>20.8</v>
      </c>
      <c r="AS677" s="35">
        <v>19</v>
      </c>
      <c r="AT677" s="35">
        <v>20.6</v>
      </c>
      <c r="AU677" s="35">
        <v>19</v>
      </c>
      <c r="AV677" s="35">
        <v>19.399999999999999</v>
      </c>
      <c r="AW677" s="35">
        <v>19</v>
      </c>
      <c r="AX677" s="35">
        <v>21.1</v>
      </c>
      <c r="AY677" s="35">
        <v>20</v>
      </c>
      <c r="AZ677" s="35">
        <v>21.9</v>
      </c>
      <c r="BA677" s="35">
        <v>20</v>
      </c>
      <c r="BB677" s="35">
        <v>29.4</v>
      </c>
      <c r="BC677" s="35">
        <v>40</v>
      </c>
      <c r="BD677" s="35">
        <v>28.6</v>
      </c>
      <c r="BE677" s="35">
        <v>40</v>
      </c>
      <c r="BF677" s="35">
        <v>20.6</v>
      </c>
      <c r="BG677" s="35">
        <v>20</v>
      </c>
    </row>
    <row r="678" spans="1:59" x14ac:dyDescent="0.35">
      <c r="A678" s="36">
        <v>46059.933333333334</v>
      </c>
      <c r="B678" s="35">
        <v>2.4</v>
      </c>
      <c r="C678" s="35">
        <v>2</v>
      </c>
      <c r="D678" s="35">
        <v>2.9</v>
      </c>
      <c r="E678" s="35">
        <v>2.2000000000000002</v>
      </c>
      <c r="F678" s="35">
        <v>5.5</v>
      </c>
      <c r="G678" s="35">
        <v>2</v>
      </c>
      <c r="H678" s="35">
        <v>3</v>
      </c>
      <c r="I678" s="35">
        <v>2</v>
      </c>
      <c r="J678" s="35">
        <v>2.2999999999999998</v>
      </c>
      <c r="K678" s="35">
        <v>2</v>
      </c>
      <c r="L678" s="35">
        <v>1.9</v>
      </c>
      <c r="M678" s="35">
        <v>2</v>
      </c>
      <c r="N678" s="35">
        <v>4</v>
      </c>
      <c r="O678" s="35">
        <v>3</v>
      </c>
      <c r="P678" s="35">
        <v>3.9</v>
      </c>
      <c r="Q678" s="35">
        <v>2</v>
      </c>
      <c r="R678" s="35">
        <v>2.2000000000000002</v>
      </c>
      <c r="S678" s="35">
        <v>2</v>
      </c>
      <c r="T678" s="35">
        <v>1.8</v>
      </c>
      <c r="U678" s="35">
        <v>2</v>
      </c>
      <c r="V678" s="35">
        <v>10.8</v>
      </c>
      <c r="W678" s="35">
        <v>9</v>
      </c>
      <c r="X678" s="35">
        <v>9.3000000000000007</v>
      </c>
      <c r="Y678" s="35">
        <v>9</v>
      </c>
      <c r="Z678" s="35">
        <v>10.1</v>
      </c>
      <c r="AA678" s="35">
        <v>9</v>
      </c>
      <c r="AB678" s="35">
        <v>9.6</v>
      </c>
      <c r="AC678" s="35">
        <v>9</v>
      </c>
      <c r="AD678" s="35">
        <v>20.5</v>
      </c>
      <c r="AE678" s="35">
        <v>19</v>
      </c>
      <c r="AF678" s="35">
        <v>20.399999999999999</v>
      </c>
      <c r="AG678" s="35">
        <v>19</v>
      </c>
      <c r="AH678" s="35">
        <v>19.3</v>
      </c>
      <c r="AI678" s="35">
        <v>19</v>
      </c>
      <c r="AJ678" s="35">
        <v>20.100000000000001</v>
      </c>
      <c r="AK678" s="35">
        <v>19</v>
      </c>
      <c r="AL678" s="35">
        <v>20.7</v>
      </c>
      <c r="AM678" s="35">
        <v>19</v>
      </c>
      <c r="AN678" s="35">
        <v>20.8</v>
      </c>
      <c r="AO678" s="35">
        <v>19</v>
      </c>
      <c r="AP678" s="35">
        <v>20.9</v>
      </c>
      <c r="AQ678" s="35">
        <v>19</v>
      </c>
      <c r="AR678" s="35">
        <v>20.8</v>
      </c>
      <c r="AS678" s="35">
        <v>19</v>
      </c>
      <c r="AT678" s="35">
        <v>20.8</v>
      </c>
      <c r="AU678" s="35">
        <v>19</v>
      </c>
      <c r="AV678" s="35">
        <v>19.600000000000001</v>
      </c>
      <c r="AW678" s="35">
        <v>19</v>
      </c>
      <c r="AX678" s="35">
        <v>21</v>
      </c>
      <c r="AY678" s="35">
        <v>20</v>
      </c>
      <c r="AZ678" s="35">
        <v>21.9</v>
      </c>
      <c r="BA678" s="35">
        <v>20</v>
      </c>
      <c r="BB678" s="35">
        <v>29.4</v>
      </c>
      <c r="BC678" s="35">
        <v>40</v>
      </c>
      <c r="BD678" s="35">
        <v>28.6</v>
      </c>
      <c r="BE678" s="35">
        <v>40</v>
      </c>
      <c r="BF678" s="35">
        <v>21.1</v>
      </c>
      <c r="BG678" s="35">
        <v>20</v>
      </c>
    </row>
    <row r="679" spans="1:59" x14ac:dyDescent="0.35">
      <c r="A679" s="36">
        <v>46059.934027777781</v>
      </c>
      <c r="B679" s="35">
        <v>2.8</v>
      </c>
      <c r="C679" s="35">
        <v>2</v>
      </c>
      <c r="D679" s="35">
        <v>3.3</v>
      </c>
      <c r="E679" s="35">
        <v>2.2000000000000002</v>
      </c>
      <c r="F679" s="35">
        <v>5.4</v>
      </c>
      <c r="G679" s="35">
        <v>2</v>
      </c>
      <c r="H679" s="35">
        <v>3</v>
      </c>
      <c r="I679" s="35">
        <v>2</v>
      </c>
      <c r="J679" s="35">
        <v>2.1</v>
      </c>
      <c r="K679" s="35">
        <v>2</v>
      </c>
      <c r="L679" s="35">
        <v>1.8</v>
      </c>
      <c r="M679" s="35">
        <v>2</v>
      </c>
      <c r="N679" s="35">
        <v>3.5</v>
      </c>
      <c r="O679" s="35">
        <v>3</v>
      </c>
      <c r="P679" s="35">
        <v>3.9</v>
      </c>
      <c r="Q679" s="35">
        <v>2</v>
      </c>
      <c r="R679" s="35">
        <v>2.5</v>
      </c>
      <c r="S679" s="35">
        <v>2</v>
      </c>
      <c r="T679" s="35">
        <v>2.1</v>
      </c>
      <c r="U679" s="35">
        <v>2</v>
      </c>
      <c r="V679" s="35">
        <v>9.1</v>
      </c>
      <c r="W679" s="35">
        <v>9</v>
      </c>
      <c r="X679" s="35">
        <v>9.4</v>
      </c>
      <c r="Y679" s="35">
        <v>9</v>
      </c>
      <c r="Z679" s="35">
        <v>10.199999999999999</v>
      </c>
      <c r="AA679" s="35">
        <v>9</v>
      </c>
      <c r="AB679" s="35">
        <v>9.8000000000000007</v>
      </c>
      <c r="AC679" s="35">
        <v>9</v>
      </c>
      <c r="AD679" s="35">
        <v>20.5</v>
      </c>
      <c r="AE679" s="35">
        <v>19</v>
      </c>
      <c r="AF679" s="35">
        <v>20.399999999999999</v>
      </c>
      <c r="AG679" s="35">
        <v>19</v>
      </c>
      <c r="AH679" s="35">
        <v>19.399999999999999</v>
      </c>
      <c r="AI679" s="35">
        <v>19</v>
      </c>
      <c r="AJ679" s="35">
        <v>20.2</v>
      </c>
      <c r="AK679" s="35">
        <v>19</v>
      </c>
      <c r="AL679" s="35">
        <v>20.8</v>
      </c>
      <c r="AM679" s="35">
        <v>19</v>
      </c>
      <c r="AN679" s="35">
        <v>20.9</v>
      </c>
      <c r="AO679" s="35">
        <v>19</v>
      </c>
      <c r="AP679" s="35">
        <v>20.9</v>
      </c>
      <c r="AQ679" s="35">
        <v>19</v>
      </c>
      <c r="AR679" s="35">
        <v>20.8</v>
      </c>
      <c r="AS679" s="35">
        <v>19</v>
      </c>
      <c r="AT679" s="35">
        <v>20.8</v>
      </c>
      <c r="AU679" s="35">
        <v>19</v>
      </c>
      <c r="AV679" s="35">
        <v>19.7</v>
      </c>
      <c r="AW679" s="35">
        <v>19</v>
      </c>
      <c r="AX679" s="35">
        <v>21</v>
      </c>
      <c r="AY679" s="35">
        <v>20</v>
      </c>
      <c r="AZ679" s="35">
        <v>21.9</v>
      </c>
      <c r="BA679" s="35">
        <v>20</v>
      </c>
      <c r="BB679" s="35">
        <v>29.4</v>
      </c>
      <c r="BC679" s="35">
        <v>40</v>
      </c>
      <c r="BD679" s="35">
        <v>28.6</v>
      </c>
      <c r="BE679" s="35">
        <v>40</v>
      </c>
      <c r="BF679" s="35">
        <v>21.3</v>
      </c>
      <c r="BG679" s="35">
        <v>20</v>
      </c>
    </row>
    <row r="680" spans="1:59" x14ac:dyDescent="0.35">
      <c r="A680" s="36">
        <v>46059.93472222222</v>
      </c>
      <c r="B680" s="35">
        <v>3.1</v>
      </c>
      <c r="C680" s="35">
        <v>2</v>
      </c>
      <c r="D680" s="35">
        <v>3.6</v>
      </c>
      <c r="E680" s="35">
        <v>2.2000000000000002</v>
      </c>
      <c r="F680" s="35">
        <v>5.5</v>
      </c>
      <c r="G680" s="35">
        <v>2</v>
      </c>
      <c r="H680" s="35">
        <v>3</v>
      </c>
      <c r="I680" s="35">
        <v>2</v>
      </c>
      <c r="J680" s="35">
        <v>2.2999999999999998</v>
      </c>
      <c r="K680" s="35">
        <v>2</v>
      </c>
      <c r="L680" s="35">
        <v>2</v>
      </c>
      <c r="M680" s="35">
        <v>2</v>
      </c>
      <c r="N680" s="35">
        <v>2.1</v>
      </c>
      <c r="O680" s="35">
        <v>3</v>
      </c>
      <c r="P680" s="35">
        <v>2.6</v>
      </c>
      <c r="Q680" s="35">
        <v>2</v>
      </c>
      <c r="R680" s="35">
        <v>2.7</v>
      </c>
      <c r="S680" s="35">
        <v>2</v>
      </c>
      <c r="T680" s="35">
        <v>2.4</v>
      </c>
      <c r="U680" s="35">
        <v>2</v>
      </c>
      <c r="V680" s="35">
        <v>8</v>
      </c>
      <c r="W680" s="35">
        <v>9</v>
      </c>
      <c r="X680" s="35">
        <v>9.6</v>
      </c>
      <c r="Y680" s="35">
        <v>9</v>
      </c>
      <c r="Z680" s="35">
        <v>10.3</v>
      </c>
      <c r="AA680" s="35">
        <v>9</v>
      </c>
      <c r="AB680" s="35">
        <v>10</v>
      </c>
      <c r="AC680" s="35">
        <v>9</v>
      </c>
      <c r="AD680" s="35">
        <v>20.6</v>
      </c>
      <c r="AE680" s="35">
        <v>19</v>
      </c>
      <c r="AF680" s="35">
        <v>20.5</v>
      </c>
      <c r="AG680" s="35">
        <v>19</v>
      </c>
      <c r="AH680" s="35">
        <v>19.5</v>
      </c>
      <c r="AI680" s="35">
        <v>19</v>
      </c>
      <c r="AJ680" s="35">
        <v>20.2</v>
      </c>
      <c r="AK680" s="35">
        <v>19</v>
      </c>
      <c r="AL680" s="35">
        <v>20.9</v>
      </c>
      <c r="AM680" s="35">
        <v>19</v>
      </c>
      <c r="AN680" s="35">
        <v>20.9</v>
      </c>
      <c r="AO680" s="35">
        <v>19</v>
      </c>
      <c r="AP680" s="35">
        <v>20.9</v>
      </c>
      <c r="AQ680" s="35">
        <v>19</v>
      </c>
      <c r="AR680" s="35">
        <v>20.8</v>
      </c>
      <c r="AS680" s="35">
        <v>19</v>
      </c>
      <c r="AT680" s="35">
        <v>20.9</v>
      </c>
      <c r="AU680" s="35">
        <v>19</v>
      </c>
      <c r="AV680" s="35">
        <v>19.8</v>
      </c>
      <c r="AW680" s="35">
        <v>19</v>
      </c>
      <c r="AX680" s="35">
        <v>21</v>
      </c>
      <c r="AY680" s="35">
        <v>20</v>
      </c>
      <c r="AZ680" s="35">
        <v>21.9</v>
      </c>
      <c r="BA680" s="35">
        <v>20</v>
      </c>
      <c r="BB680" s="35">
        <v>29.4</v>
      </c>
      <c r="BC680" s="35">
        <v>40</v>
      </c>
      <c r="BD680" s="35">
        <v>28.6</v>
      </c>
      <c r="BE680" s="35">
        <v>40</v>
      </c>
      <c r="BF680" s="35">
        <v>21.4</v>
      </c>
      <c r="BG680" s="35">
        <v>20</v>
      </c>
    </row>
    <row r="681" spans="1:59" x14ac:dyDescent="0.35">
      <c r="A681" s="36">
        <v>46059.935416666667</v>
      </c>
      <c r="B681" s="35">
        <v>3.4</v>
      </c>
      <c r="C681" s="35">
        <v>2</v>
      </c>
      <c r="D681" s="35">
        <v>3.9</v>
      </c>
      <c r="E681" s="35">
        <v>2.2000000000000002</v>
      </c>
      <c r="F681" s="35">
        <v>5.8</v>
      </c>
      <c r="G681" s="35">
        <v>2</v>
      </c>
      <c r="H681" s="35">
        <v>7.4</v>
      </c>
      <c r="I681" s="35">
        <v>2</v>
      </c>
      <c r="J681" s="35">
        <v>2.5</v>
      </c>
      <c r="K681" s="35">
        <v>2</v>
      </c>
      <c r="L681" s="35">
        <v>2.2999999999999998</v>
      </c>
      <c r="M681" s="35">
        <v>2</v>
      </c>
      <c r="N681" s="35">
        <v>1.6</v>
      </c>
      <c r="O681" s="35">
        <v>3</v>
      </c>
      <c r="P681" s="35">
        <v>2</v>
      </c>
      <c r="Q681" s="35">
        <v>2</v>
      </c>
      <c r="R681" s="35">
        <v>2.9</v>
      </c>
      <c r="S681" s="35">
        <v>2</v>
      </c>
      <c r="T681" s="35">
        <v>2.6</v>
      </c>
      <c r="U681" s="35">
        <v>2</v>
      </c>
      <c r="V681" s="35">
        <v>8.5</v>
      </c>
      <c r="W681" s="35">
        <v>9</v>
      </c>
      <c r="X681" s="35">
        <v>9.8000000000000007</v>
      </c>
      <c r="Y681" s="35">
        <v>9</v>
      </c>
      <c r="Z681" s="35">
        <v>10.4</v>
      </c>
      <c r="AA681" s="35">
        <v>9</v>
      </c>
      <c r="AB681" s="35">
        <v>10.199999999999999</v>
      </c>
      <c r="AC681" s="35">
        <v>9</v>
      </c>
      <c r="AD681" s="35">
        <v>20.6</v>
      </c>
      <c r="AE681" s="35">
        <v>19</v>
      </c>
      <c r="AF681" s="35">
        <v>20.5</v>
      </c>
      <c r="AG681" s="35">
        <v>19</v>
      </c>
      <c r="AH681" s="35">
        <v>19.600000000000001</v>
      </c>
      <c r="AI681" s="35">
        <v>19</v>
      </c>
      <c r="AJ681" s="35">
        <v>20.3</v>
      </c>
      <c r="AK681" s="35">
        <v>19</v>
      </c>
      <c r="AL681" s="35">
        <v>21</v>
      </c>
      <c r="AM681" s="35">
        <v>19</v>
      </c>
      <c r="AN681" s="35">
        <v>21</v>
      </c>
      <c r="AO681" s="35">
        <v>19</v>
      </c>
      <c r="AP681" s="35">
        <v>20.9</v>
      </c>
      <c r="AQ681" s="35">
        <v>19</v>
      </c>
      <c r="AR681" s="35">
        <v>20.8</v>
      </c>
      <c r="AS681" s="35">
        <v>19</v>
      </c>
      <c r="AT681" s="35">
        <v>21</v>
      </c>
      <c r="AU681" s="35">
        <v>19</v>
      </c>
      <c r="AV681" s="35">
        <v>19.899999999999999</v>
      </c>
      <c r="AW681" s="35">
        <v>19</v>
      </c>
      <c r="AX681" s="35">
        <v>21</v>
      </c>
      <c r="AY681" s="35">
        <v>20</v>
      </c>
      <c r="AZ681" s="35">
        <v>21.9</v>
      </c>
      <c r="BA681" s="35">
        <v>20</v>
      </c>
      <c r="BB681" s="35">
        <v>29.4</v>
      </c>
      <c r="BC681" s="35">
        <v>40</v>
      </c>
      <c r="BD681" s="35">
        <v>28.6</v>
      </c>
      <c r="BE681" s="35">
        <v>40</v>
      </c>
      <c r="BF681" s="35">
        <v>21.4</v>
      </c>
      <c r="BG681" s="35">
        <v>20</v>
      </c>
    </row>
    <row r="682" spans="1:59" x14ac:dyDescent="0.35">
      <c r="A682" s="36">
        <v>46059.936111111114</v>
      </c>
      <c r="B682" s="35">
        <v>3.7</v>
      </c>
      <c r="C682" s="35">
        <v>2</v>
      </c>
      <c r="D682" s="35">
        <v>4.2</v>
      </c>
      <c r="E682" s="35">
        <v>2.2000000000000002</v>
      </c>
      <c r="F682" s="35">
        <v>4.2</v>
      </c>
      <c r="G682" s="35">
        <v>2</v>
      </c>
      <c r="H682" s="35">
        <v>7</v>
      </c>
      <c r="I682" s="35">
        <v>2</v>
      </c>
      <c r="J682" s="35">
        <v>2.7</v>
      </c>
      <c r="K682" s="35">
        <v>2</v>
      </c>
      <c r="L682" s="35">
        <v>2.7</v>
      </c>
      <c r="M682" s="35">
        <v>2</v>
      </c>
      <c r="N682" s="35">
        <v>1.6</v>
      </c>
      <c r="O682" s="35">
        <v>3</v>
      </c>
      <c r="P682" s="35">
        <v>2</v>
      </c>
      <c r="Q682" s="35">
        <v>2</v>
      </c>
      <c r="R682" s="35">
        <v>3</v>
      </c>
      <c r="S682" s="35">
        <v>2</v>
      </c>
      <c r="T682" s="35">
        <v>2.8</v>
      </c>
      <c r="U682" s="35">
        <v>2</v>
      </c>
      <c r="V682" s="35">
        <v>9.3000000000000007</v>
      </c>
      <c r="W682" s="35">
        <v>9</v>
      </c>
      <c r="X682" s="35">
        <v>9.9</v>
      </c>
      <c r="Y682" s="35">
        <v>9</v>
      </c>
      <c r="Z682" s="35">
        <v>10.5</v>
      </c>
      <c r="AA682" s="35">
        <v>9</v>
      </c>
      <c r="AB682" s="35">
        <v>10.4</v>
      </c>
      <c r="AC682" s="35">
        <v>9</v>
      </c>
      <c r="AD682" s="35">
        <v>20.6</v>
      </c>
      <c r="AE682" s="35">
        <v>19</v>
      </c>
      <c r="AF682" s="35">
        <v>20.5</v>
      </c>
      <c r="AG682" s="35">
        <v>19</v>
      </c>
      <c r="AH682" s="35">
        <v>19.600000000000001</v>
      </c>
      <c r="AI682" s="35">
        <v>19</v>
      </c>
      <c r="AJ682" s="35">
        <v>20.399999999999999</v>
      </c>
      <c r="AK682" s="35">
        <v>19</v>
      </c>
      <c r="AL682" s="35">
        <v>20.7</v>
      </c>
      <c r="AM682" s="35">
        <v>19</v>
      </c>
      <c r="AN682" s="35">
        <v>20.8</v>
      </c>
      <c r="AO682" s="35">
        <v>19</v>
      </c>
      <c r="AP682" s="35">
        <v>20.9</v>
      </c>
      <c r="AQ682" s="35">
        <v>19</v>
      </c>
      <c r="AR682" s="35">
        <v>20.8</v>
      </c>
      <c r="AS682" s="35">
        <v>19</v>
      </c>
      <c r="AT682" s="35">
        <v>20.399999999999999</v>
      </c>
      <c r="AU682" s="35">
        <v>19</v>
      </c>
      <c r="AV682" s="35">
        <v>20</v>
      </c>
      <c r="AW682" s="35">
        <v>19</v>
      </c>
      <c r="AX682" s="35">
        <v>21</v>
      </c>
      <c r="AY682" s="35">
        <v>20</v>
      </c>
      <c r="AZ682" s="35">
        <v>21.9</v>
      </c>
      <c r="BA682" s="35">
        <v>20</v>
      </c>
      <c r="BB682" s="35">
        <v>29.4</v>
      </c>
      <c r="BC682" s="35">
        <v>40</v>
      </c>
      <c r="BD682" s="35">
        <v>28.6</v>
      </c>
      <c r="BE682" s="35">
        <v>40</v>
      </c>
      <c r="BF682" s="35">
        <v>21.5</v>
      </c>
      <c r="BG682" s="35">
        <v>20</v>
      </c>
    </row>
    <row r="683" spans="1:59" x14ac:dyDescent="0.35">
      <c r="A683" s="36">
        <v>46059.936805555553</v>
      </c>
      <c r="B683" s="35">
        <v>3.6</v>
      </c>
      <c r="C683" s="35">
        <v>2</v>
      </c>
      <c r="D683" s="35">
        <v>4</v>
      </c>
      <c r="E683" s="35">
        <v>2.2000000000000002</v>
      </c>
      <c r="F683" s="35">
        <v>2.7</v>
      </c>
      <c r="G683" s="35">
        <v>2</v>
      </c>
      <c r="H683" s="35">
        <v>5.4</v>
      </c>
      <c r="I683" s="35">
        <v>2</v>
      </c>
      <c r="J683" s="35">
        <v>2.9</v>
      </c>
      <c r="K683" s="35">
        <v>2</v>
      </c>
      <c r="L683" s="35">
        <v>3</v>
      </c>
      <c r="M683" s="35">
        <v>2</v>
      </c>
      <c r="N683" s="35">
        <v>1.8</v>
      </c>
      <c r="O683" s="35">
        <v>3</v>
      </c>
      <c r="P683" s="35">
        <v>2.4</v>
      </c>
      <c r="Q683" s="35">
        <v>2</v>
      </c>
      <c r="R683" s="35">
        <v>3.2</v>
      </c>
      <c r="S683" s="35">
        <v>2</v>
      </c>
      <c r="T683" s="35">
        <v>2.9</v>
      </c>
      <c r="U683" s="35">
        <v>2</v>
      </c>
      <c r="V683" s="35">
        <v>9.9</v>
      </c>
      <c r="W683" s="35">
        <v>9</v>
      </c>
      <c r="X683" s="35">
        <v>10</v>
      </c>
      <c r="Y683" s="35">
        <v>9</v>
      </c>
      <c r="Z683" s="35">
        <v>10.6</v>
      </c>
      <c r="AA683" s="35">
        <v>9</v>
      </c>
      <c r="AB683" s="35">
        <v>10.6</v>
      </c>
      <c r="AC683" s="35">
        <v>9</v>
      </c>
      <c r="AD683" s="35">
        <v>20.6</v>
      </c>
      <c r="AE683" s="35">
        <v>19</v>
      </c>
      <c r="AF683" s="35">
        <v>20.6</v>
      </c>
      <c r="AG683" s="35">
        <v>19</v>
      </c>
      <c r="AH683" s="35">
        <v>19.7</v>
      </c>
      <c r="AI683" s="35">
        <v>19</v>
      </c>
      <c r="AJ683" s="35">
        <v>20.5</v>
      </c>
      <c r="AK683" s="35">
        <v>19</v>
      </c>
      <c r="AL683" s="35">
        <v>20.399999999999999</v>
      </c>
      <c r="AM683" s="35">
        <v>19</v>
      </c>
      <c r="AN683" s="35">
        <v>19.899999999999999</v>
      </c>
      <c r="AO683" s="35">
        <v>19</v>
      </c>
      <c r="AP683" s="35">
        <v>20.9</v>
      </c>
      <c r="AQ683" s="35">
        <v>19</v>
      </c>
      <c r="AR683" s="35">
        <v>20.8</v>
      </c>
      <c r="AS683" s="35">
        <v>19</v>
      </c>
      <c r="AT683" s="35">
        <v>18.8</v>
      </c>
      <c r="AU683" s="35">
        <v>19</v>
      </c>
      <c r="AV683" s="35">
        <v>20</v>
      </c>
      <c r="AW683" s="35">
        <v>19</v>
      </c>
      <c r="AX683" s="35">
        <v>21.1</v>
      </c>
      <c r="AY683" s="35">
        <v>20</v>
      </c>
      <c r="AZ683" s="35">
        <v>21.9</v>
      </c>
      <c r="BA683" s="35">
        <v>20</v>
      </c>
      <c r="BB683" s="35">
        <v>29.4</v>
      </c>
      <c r="BC683" s="35">
        <v>40</v>
      </c>
      <c r="BD683" s="35">
        <v>28.5</v>
      </c>
      <c r="BE683" s="35">
        <v>40</v>
      </c>
      <c r="BF683" s="35">
        <v>21.5</v>
      </c>
      <c r="BG683" s="35">
        <v>20</v>
      </c>
    </row>
    <row r="684" spans="1:59" x14ac:dyDescent="0.35">
      <c r="A684" s="36">
        <v>46059.9375</v>
      </c>
      <c r="B684" s="35">
        <v>3.6</v>
      </c>
      <c r="C684" s="35">
        <v>2</v>
      </c>
      <c r="D684" s="35">
        <v>4</v>
      </c>
      <c r="E684" s="35">
        <v>2.2000000000000002</v>
      </c>
      <c r="F684" s="35">
        <v>2.5</v>
      </c>
      <c r="G684" s="35">
        <v>2</v>
      </c>
      <c r="H684" s="35">
        <v>3.3</v>
      </c>
      <c r="I684" s="35">
        <v>2</v>
      </c>
      <c r="J684" s="35">
        <v>3.2</v>
      </c>
      <c r="K684" s="35">
        <v>2</v>
      </c>
      <c r="L684" s="35">
        <v>3.4</v>
      </c>
      <c r="M684" s="35">
        <v>2</v>
      </c>
      <c r="N684" s="35">
        <v>2.2000000000000002</v>
      </c>
      <c r="O684" s="35">
        <v>3</v>
      </c>
      <c r="P684" s="35">
        <v>2.8</v>
      </c>
      <c r="Q684" s="35">
        <v>2</v>
      </c>
      <c r="R684" s="35">
        <v>3.3</v>
      </c>
      <c r="S684" s="35">
        <v>2</v>
      </c>
      <c r="T684" s="35">
        <v>3.1</v>
      </c>
      <c r="U684" s="35">
        <v>2</v>
      </c>
      <c r="V684" s="35">
        <v>10.4</v>
      </c>
      <c r="W684" s="35">
        <v>9</v>
      </c>
      <c r="X684" s="35">
        <v>10</v>
      </c>
      <c r="Y684" s="35">
        <v>9</v>
      </c>
      <c r="Z684" s="35">
        <v>10.7</v>
      </c>
      <c r="AA684" s="35">
        <v>9</v>
      </c>
      <c r="AB684" s="35">
        <v>10.7</v>
      </c>
      <c r="AC684" s="35">
        <v>9</v>
      </c>
      <c r="AD684" s="35">
        <v>20.7</v>
      </c>
      <c r="AE684" s="35">
        <v>19</v>
      </c>
      <c r="AF684" s="35">
        <v>20.6</v>
      </c>
      <c r="AG684" s="35">
        <v>19</v>
      </c>
      <c r="AH684" s="35">
        <v>19.8</v>
      </c>
      <c r="AI684" s="35">
        <v>19</v>
      </c>
      <c r="AJ684" s="35">
        <v>20.6</v>
      </c>
      <c r="AK684" s="35">
        <v>19</v>
      </c>
      <c r="AL684" s="35">
        <v>20.3</v>
      </c>
      <c r="AM684" s="35">
        <v>19</v>
      </c>
      <c r="AN684" s="35">
        <v>19.600000000000001</v>
      </c>
      <c r="AO684" s="35">
        <v>19</v>
      </c>
      <c r="AP684" s="35">
        <v>20.9</v>
      </c>
      <c r="AQ684" s="35">
        <v>19</v>
      </c>
      <c r="AR684" s="35">
        <v>20.8</v>
      </c>
      <c r="AS684" s="35">
        <v>19</v>
      </c>
      <c r="AT684" s="35">
        <v>18.3</v>
      </c>
      <c r="AU684" s="35">
        <v>19</v>
      </c>
      <c r="AV684" s="35">
        <v>20.100000000000001</v>
      </c>
      <c r="AW684" s="35">
        <v>19</v>
      </c>
      <c r="AX684" s="35">
        <v>21.1</v>
      </c>
      <c r="AY684" s="35">
        <v>20</v>
      </c>
      <c r="AZ684" s="35">
        <v>21.9</v>
      </c>
      <c r="BA684" s="35">
        <v>20</v>
      </c>
      <c r="BB684" s="35">
        <v>29.4</v>
      </c>
      <c r="BC684" s="35">
        <v>40</v>
      </c>
      <c r="BD684" s="35">
        <v>28.5</v>
      </c>
      <c r="BE684" s="35">
        <v>40</v>
      </c>
      <c r="BF684" s="35">
        <v>21.6</v>
      </c>
      <c r="BG684" s="35">
        <v>20</v>
      </c>
    </row>
    <row r="685" spans="1:59" x14ac:dyDescent="0.35">
      <c r="A685" s="36">
        <v>46059.938194444447</v>
      </c>
      <c r="B685" s="35">
        <v>3.8</v>
      </c>
      <c r="C685" s="35">
        <v>2</v>
      </c>
      <c r="D685" s="35">
        <v>4.0999999999999996</v>
      </c>
      <c r="E685" s="35">
        <v>2.2000000000000002</v>
      </c>
      <c r="F685" s="35">
        <v>2</v>
      </c>
      <c r="G685" s="35">
        <v>2</v>
      </c>
      <c r="H685" s="35">
        <v>2</v>
      </c>
      <c r="I685" s="35">
        <v>2</v>
      </c>
      <c r="J685" s="35">
        <v>3.5</v>
      </c>
      <c r="K685" s="35">
        <v>2</v>
      </c>
      <c r="L685" s="35">
        <v>3.7</v>
      </c>
      <c r="M685" s="35">
        <v>2</v>
      </c>
      <c r="N685" s="35">
        <v>2.6</v>
      </c>
      <c r="O685" s="35">
        <v>3</v>
      </c>
      <c r="P685" s="35">
        <v>3</v>
      </c>
      <c r="Q685" s="35">
        <v>2</v>
      </c>
      <c r="R685" s="35">
        <v>3.5</v>
      </c>
      <c r="S685" s="35">
        <v>2</v>
      </c>
      <c r="T685" s="35">
        <v>3.2</v>
      </c>
      <c r="U685" s="35">
        <v>2</v>
      </c>
      <c r="V685" s="35">
        <v>10.8</v>
      </c>
      <c r="W685" s="35">
        <v>9</v>
      </c>
      <c r="X685" s="35">
        <v>10.1</v>
      </c>
      <c r="Y685" s="35">
        <v>9</v>
      </c>
      <c r="Z685" s="35">
        <v>10.7</v>
      </c>
      <c r="AA685" s="35">
        <v>9</v>
      </c>
      <c r="AB685" s="35">
        <v>10.8</v>
      </c>
      <c r="AC685" s="35">
        <v>9</v>
      </c>
      <c r="AD685" s="35">
        <v>20.7</v>
      </c>
      <c r="AE685" s="35">
        <v>19</v>
      </c>
      <c r="AF685" s="35">
        <v>20.6</v>
      </c>
      <c r="AG685" s="35">
        <v>19</v>
      </c>
      <c r="AH685" s="35">
        <v>19.899999999999999</v>
      </c>
      <c r="AI685" s="35">
        <v>19</v>
      </c>
      <c r="AJ685" s="35">
        <v>20.6</v>
      </c>
      <c r="AK685" s="35">
        <v>19</v>
      </c>
      <c r="AL685" s="35">
        <v>20</v>
      </c>
      <c r="AM685" s="35">
        <v>19</v>
      </c>
      <c r="AN685" s="35">
        <v>19.100000000000001</v>
      </c>
      <c r="AO685" s="35">
        <v>19</v>
      </c>
      <c r="AP685" s="35">
        <v>20.9</v>
      </c>
      <c r="AQ685" s="35">
        <v>19</v>
      </c>
      <c r="AR685" s="35">
        <v>20.8</v>
      </c>
      <c r="AS685" s="35">
        <v>19</v>
      </c>
      <c r="AT685" s="35">
        <v>18.3</v>
      </c>
      <c r="AU685" s="35">
        <v>19</v>
      </c>
      <c r="AV685" s="35">
        <v>20.2</v>
      </c>
      <c r="AW685" s="35">
        <v>19</v>
      </c>
      <c r="AX685" s="35">
        <v>21.1</v>
      </c>
      <c r="AY685" s="35">
        <v>20</v>
      </c>
      <c r="AZ685" s="35">
        <v>21.9</v>
      </c>
      <c r="BA685" s="35">
        <v>20</v>
      </c>
      <c r="BB685" s="35">
        <v>29.4</v>
      </c>
      <c r="BC685" s="35">
        <v>40</v>
      </c>
      <c r="BD685" s="35">
        <v>28.5</v>
      </c>
      <c r="BE685" s="35">
        <v>40</v>
      </c>
      <c r="BF685" s="35">
        <v>21.6</v>
      </c>
      <c r="BG685" s="35">
        <v>20</v>
      </c>
    </row>
    <row r="686" spans="1:59" x14ac:dyDescent="0.35">
      <c r="A686" s="36">
        <v>46059.938888888886</v>
      </c>
      <c r="B686" s="35">
        <v>4</v>
      </c>
      <c r="C686" s="35">
        <v>2</v>
      </c>
      <c r="D686" s="35">
        <v>4.3</v>
      </c>
      <c r="E686" s="35">
        <v>2.2000000000000002</v>
      </c>
      <c r="F686" s="35">
        <v>1.5</v>
      </c>
      <c r="G686" s="35">
        <v>2</v>
      </c>
      <c r="H686" s="35">
        <v>1.5</v>
      </c>
      <c r="I686" s="35">
        <v>2</v>
      </c>
      <c r="J686" s="35">
        <v>3.7</v>
      </c>
      <c r="K686" s="35">
        <v>2</v>
      </c>
      <c r="L686" s="35">
        <v>3.9</v>
      </c>
      <c r="M686" s="35">
        <v>2</v>
      </c>
      <c r="N686" s="35">
        <v>2.9</v>
      </c>
      <c r="O686" s="35">
        <v>3</v>
      </c>
      <c r="P686" s="35">
        <v>3.3</v>
      </c>
      <c r="Q686" s="35">
        <v>2</v>
      </c>
      <c r="R686" s="35">
        <v>3.6</v>
      </c>
      <c r="S686" s="35">
        <v>2</v>
      </c>
      <c r="T686" s="35">
        <v>3.3</v>
      </c>
      <c r="U686" s="35">
        <v>2</v>
      </c>
      <c r="V686" s="35">
        <v>10.8</v>
      </c>
      <c r="W686" s="35">
        <v>9</v>
      </c>
      <c r="X686" s="35">
        <v>10.199999999999999</v>
      </c>
      <c r="Y686" s="35">
        <v>9</v>
      </c>
      <c r="Z686" s="35">
        <v>10.8</v>
      </c>
      <c r="AA686" s="35">
        <v>9</v>
      </c>
      <c r="AB686" s="35">
        <v>10.9</v>
      </c>
      <c r="AC686" s="35">
        <v>9</v>
      </c>
      <c r="AD686" s="35">
        <v>20.7</v>
      </c>
      <c r="AE686" s="35">
        <v>19</v>
      </c>
      <c r="AF686" s="35">
        <v>20.6</v>
      </c>
      <c r="AG686" s="35">
        <v>19</v>
      </c>
      <c r="AH686" s="35">
        <v>20</v>
      </c>
      <c r="AI686" s="35">
        <v>19</v>
      </c>
      <c r="AJ686" s="35">
        <v>20.7</v>
      </c>
      <c r="AK686" s="35">
        <v>19</v>
      </c>
      <c r="AL686" s="35">
        <v>19.8</v>
      </c>
      <c r="AM686" s="35">
        <v>19</v>
      </c>
      <c r="AN686" s="35">
        <v>18.600000000000001</v>
      </c>
      <c r="AO686" s="35">
        <v>19</v>
      </c>
      <c r="AP686" s="35">
        <v>20.9</v>
      </c>
      <c r="AQ686" s="35">
        <v>19</v>
      </c>
      <c r="AR686" s="35">
        <v>20.8</v>
      </c>
      <c r="AS686" s="35">
        <v>19</v>
      </c>
      <c r="AT686" s="35">
        <v>18.399999999999999</v>
      </c>
      <c r="AU686" s="35">
        <v>19</v>
      </c>
      <c r="AV686" s="35">
        <v>20.2</v>
      </c>
      <c r="AW686" s="35">
        <v>19</v>
      </c>
      <c r="AX686" s="35">
        <v>21.1</v>
      </c>
      <c r="AY686" s="35">
        <v>20</v>
      </c>
      <c r="AZ686" s="35">
        <v>21.9</v>
      </c>
      <c r="BA686" s="35">
        <v>20</v>
      </c>
      <c r="BB686" s="35">
        <v>29.4</v>
      </c>
      <c r="BC686" s="35">
        <v>40</v>
      </c>
      <c r="BD686" s="35">
        <v>28.5</v>
      </c>
      <c r="BE686" s="35">
        <v>40</v>
      </c>
      <c r="BF686" s="35">
        <v>21.6</v>
      </c>
      <c r="BG686" s="35">
        <v>20</v>
      </c>
    </row>
    <row r="687" spans="1:59" x14ac:dyDescent="0.35">
      <c r="A687" s="36">
        <v>46059.939583333333</v>
      </c>
      <c r="B687" s="35">
        <v>3</v>
      </c>
      <c r="C687" s="35">
        <v>2</v>
      </c>
      <c r="D687" s="35">
        <v>3.4</v>
      </c>
      <c r="E687" s="35">
        <v>2.2000000000000002</v>
      </c>
      <c r="F687" s="35">
        <v>1.7</v>
      </c>
      <c r="G687" s="35">
        <v>2</v>
      </c>
      <c r="H687" s="35">
        <v>1.8</v>
      </c>
      <c r="I687" s="35">
        <v>2</v>
      </c>
      <c r="J687" s="35">
        <v>3.8</v>
      </c>
      <c r="K687" s="35">
        <v>2</v>
      </c>
      <c r="L687" s="35">
        <v>3.6</v>
      </c>
      <c r="M687" s="35">
        <v>2</v>
      </c>
      <c r="N687" s="35">
        <v>3.2</v>
      </c>
      <c r="O687" s="35">
        <v>3</v>
      </c>
      <c r="P687" s="35">
        <v>3.5</v>
      </c>
      <c r="Q687" s="35">
        <v>2</v>
      </c>
      <c r="R687" s="35">
        <v>3.7</v>
      </c>
      <c r="S687" s="35">
        <v>2</v>
      </c>
      <c r="T687" s="35">
        <v>3.5</v>
      </c>
      <c r="U687" s="35">
        <v>2</v>
      </c>
      <c r="V687" s="35">
        <v>8.9</v>
      </c>
      <c r="W687" s="35">
        <v>9</v>
      </c>
      <c r="X687" s="35">
        <v>10.3</v>
      </c>
      <c r="Y687" s="35">
        <v>9</v>
      </c>
      <c r="Z687" s="35">
        <v>10.9</v>
      </c>
      <c r="AA687" s="35">
        <v>9</v>
      </c>
      <c r="AB687" s="35">
        <v>11</v>
      </c>
      <c r="AC687" s="35">
        <v>9</v>
      </c>
      <c r="AD687" s="35">
        <v>20.7</v>
      </c>
      <c r="AE687" s="35">
        <v>19</v>
      </c>
      <c r="AF687" s="35">
        <v>20.7</v>
      </c>
      <c r="AG687" s="35">
        <v>19</v>
      </c>
      <c r="AH687" s="35">
        <v>20.100000000000001</v>
      </c>
      <c r="AI687" s="35">
        <v>19</v>
      </c>
      <c r="AJ687" s="35">
        <v>20.7</v>
      </c>
      <c r="AK687" s="35">
        <v>19</v>
      </c>
      <c r="AL687" s="35">
        <v>19.7</v>
      </c>
      <c r="AM687" s="35">
        <v>19</v>
      </c>
      <c r="AN687" s="35">
        <v>18.600000000000001</v>
      </c>
      <c r="AO687" s="35">
        <v>19</v>
      </c>
      <c r="AP687" s="35">
        <v>20.9</v>
      </c>
      <c r="AQ687" s="35">
        <v>19</v>
      </c>
      <c r="AR687" s="35">
        <v>20.8</v>
      </c>
      <c r="AS687" s="35">
        <v>19</v>
      </c>
      <c r="AT687" s="35">
        <v>18.600000000000001</v>
      </c>
      <c r="AU687" s="35">
        <v>19</v>
      </c>
      <c r="AV687" s="35">
        <v>20.3</v>
      </c>
      <c r="AW687" s="35">
        <v>19</v>
      </c>
      <c r="AX687" s="35">
        <v>21.1</v>
      </c>
      <c r="AY687" s="35">
        <v>20</v>
      </c>
      <c r="AZ687" s="35">
        <v>21.9</v>
      </c>
      <c r="BA687" s="35">
        <v>20</v>
      </c>
      <c r="BB687" s="35">
        <v>29.4</v>
      </c>
      <c r="BC687" s="35">
        <v>40</v>
      </c>
      <c r="BD687" s="35">
        <v>28.5</v>
      </c>
      <c r="BE687" s="35">
        <v>40</v>
      </c>
      <c r="BF687" s="35">
        <v>21.7</v>
      </c>
      <c r="BG687" s="35">
        <v>20</v>
      </c>
    </row>
    <row r="688" spans="1:59" x14ac:dyDescent="0.35">
      <c r="A688" s="36">
        <v>46059.94027777778</v>
      </c>
      <c r="B688" s="35">
        <v>2</v>
      </c>
      <c r="C688" s="35">
        <v>2</v>
      </c>
      <c r="D688" s="35">
        <v>2.5</v>
      </c>
      <c r="E688" s="35">
        <v>2.2000000000000002</v>
      </c>
      <c r="F688" s="35">
        <v>2.1</v>
      </c>
      <c r="G688" s="35">
        <v>2</v>
      </c>
      <c r="H688" s="35">
        <v>2.5</v>
      </c>
      <c r="I688" s="35">
        <v>2</v>
      </c>
      <c r="J688" s="35">
        <v>3.2</v>
      </c>
      <c r="K688" s="35">
        <v>2</v>
      </c>
      <c r="L688" s="35">
        <v>2.7</v>
      </c>
      <c r="M688" s="35">
        <v>2</v>
      </c>
      <c r="N688" s="35">
        <v>3.5</v>
      </c>
      <c r="O688" s="35">
        <v>3</v>
      </c>
      <c r="P688" s="35">
        <v>3.7</v>
      </c>
      <c r="Q688" s="35">
        <v>2</v>
      </c>
      <c r="R688" s="35">
        <v>3.9</v>
      </c>
      <c r="S688" s="35">
        <v>2</v>
      </c>
      <c r="T688" s="35">
        <v>3.5</v>
      </c>
      <c r="U688" s="35">
        <v>2</v>
      </c>
      <c r="V688" s="35">
        <v>7.8</v>
      </c>
      <c r="W688" s="35">
        <v>9</v>
      </c>
      <c r="X688" s="35">
        <v>10.4</v>
      </c>
      <c r="Y688" s="35">
        <v>9</v>
      </c>
      <c r="Z688" s="35">
        <v>10.9</v>
      </c>
      <c r="AA688" s="35">
        <v>9</v>
      </c>
      <c r="AB688" s="35">
        <v>9.5</v>
      </c>
      <c r="AC688" s="35">
        <v>9</v>
      </c>
      <c r="AD688" s="35">
        <v>20.8</v>
      </c>
      <c r="AE688" s="35">
        <v>19</v>
      </c>
      <c r="AF688" s="35">
        <v>20.7</v>
      </c>
      <c r="AG688" s="35">
        <v>19</v>
      </c>
      <c r="AH688" s="35">
        <v>20.100000000000001</v>
      </c>
      <c r="AI688" s="35">
        <v>19</v>
      </c>
      <c r="AJ688" s="35">
        <v>20.8</v>
      </c>
      <c r="AK688" s="35">
        <v>19</v>
      </c>
      <c r="AL688" s="35">
        <v>19.5</v>
      </c>
      <c r="AM688" s="35">
        <v>19</v>
      </c>
      <c r="AN688" s="35">
        <v>18.8</v>
      </c>
      <c r="AO688" s="35">
        <v>19</v>
      </c>
      <c r="AP688" s="35">
        <v>20.9</v>
      </c>
      <c r="AQ688" s="35">
        <v>19</v>
      </c>
      <c r="AR688" s="35">
        <v>20.8</v>
      </c>
      <c r="AS688" s="35">
        <v>19</v>
      </c>
      <c r="AT688" s="35">
        <v>18.8</v>
      </c>
      <c r="AU688" s="35">
        <v>19</v>
      </c>
      <c r="AV688" s="35">
        <v>20.3</v>
      </c>
      <c r="AW688" s="35">
        <v>19</v>
      </c>
      <c r="AX688" s="35">
        <v>21.1</v>
      </c>
      <c r="AY688" s="35">
        <v>20</v>
      </c>
      <c r="AZ688" s="35">
        <v>22</v>
      </c>
      <c r="BA688" s="35">
        <v>20</v>
      </c>
      <c r="BB688" s="35">
        <v>29.3</v>
      </c>
      <c r="BC688" s="35">
        <v>40</v>
      </c>
      <c r="BD688" s="35">
        <v>28.5</v>
      </c>
      <c r="BE688" s="35">
        <v>40</v>
      </c>
      <c r="BF688" s="35">
        <v>21.7</v>
      </c>
      <c r="BG688" s="35">
        <v>20</v>
      </c>
    </row>
    <row r="689" spans="1:59" x14ac:dyDescent="0.35">
      <c r="A689" s="36">
        <v>46059.940972222219</v>
      </c>
      <c r="B689" s="35">
        <v>1.6</v>
      </c>
      <c r="C689" s="35">
        <v>2</v>
      </c>
      <c r="D689" s="35">
        <v>2.1</v>
      </c>
      <c r="E689" s="35">
        <v>2.2000000000000002</v>
      </c>
      <c r="F689" s="35">
        <v>2.7</v>
      </c>
      <c r="G689" s="35">
        <v>2</v>
      </c>
      <c r="H689" s="35">
        <v>3.1</v>
      </c>
      <c r="I689" s="35">
        <v>2</v>
      </c>
      <c r="J689" s="35">
        <v>2.5</v>
      </c>
      <c r="K689" s="35">
        <v>2</v>
      </c>
      <c r="L689" s="35">
        <v>1.7</v>
      </c>
      <c r="M689" s="35">
        <v>2</v>
      </c>
      <c r="N689" s="35">
        <v>3.7</v>
      </c>
      <c r="O689" s="35">
        <v>3</v>
      </c>
      <c r="P689" s="35">
        <v>3.8</v>
      </c>
      <c r="Q689" s="35">
        <v>2</v>
      </c>
      <c r="R689" s="35">
        <v>3.9</v>
      </c>
      <c r="S689" s="35">
        <v>2</v>
      </c>
      <c r="T689" s="35">
        <v>3.5</v>
      </c>
      <c r="U689" s="35">
        <v>2</v>
      </c>
      <c r="V689" s="35">
        <v>8.1</v>
      </c>
      <c r="W689" s="35">
        <v>9</v>
      </c>
      <c r="X689" s="35">
        <v>10.4</v>
      </c>
      <c r="Y689" s="35">
        <v>9</v>
      </c>
      <c r="Z689" s="35">
        <v>11</v>
      </c>
      <c r="AA689" s="35">
        <v>9</v>
      </c>
      <c r="AB689" s="35">
        <v>7.8</v>
      </c>
      <c r="AC689" s="35">
        <v>9</v>
      </c>
      <c r="AD689" s="35">
        <v>20.8</v>
      </c>
      <c r="AE689" s="35">
        <v>19</v>
      </c>
      <c r="AF689" s="35">
        <v>20.7</v>
      </c>
      <c r="AG689" s="35">
        <v>19</v>
      </c>
      <c r="AH689" s="35">
        <v>20.2</v>
      </c>
      <c r="AI689" s="35">
        <v>19</v>
      </c>
      <c r="AJ689" s="35">
        <v>20.9</v>
      </c>
      <c r="AK689" s="35">
        <v>19</v>
      </c>
      <c r="AL689" s="35">
        <v>19.3</v>
      </c>
      <c r="AM689" s="35">
        <v>19</v>
      </c>
      <c r="AN689" s="35">
        <v>19.100000000000001</v>
      </c>
      <c r="AO689" s="35">
        <v>19</v>
      </c>
      <c r="AP689" s="35">
        <v>20.9</v>
      </c>
      <c r="AQ689" s="35">
        <v>19</v>
      </c>
      <c r="AR689" s="35">
        <v>20.8</v>
      </c>
      <c r="AS689" s="35">
        <v>19</v>
      </c>
      <c r="AT689" s="35">
        <v>19</v>
      </c>
      <c r="AU689" s="35">
        <v>19</v>
      </c>
      <c r="AV689" s="35">
        <v>20.399999999999999</v>
      </c>
      <c r="AW689" s="35">
        <v>19</v>
      </c>
      <c r="AX689" s="35">
        <v>21.2</v>
      </c>
      <c r="AY689" s="35">
        <v>20</v>
      </c>
      <c r="AZ689" s="35">
        <v>22</v>
      </c>
      <c r="BA689" s="35">
        <v>20</v>
      </c>
      <c r="BB689" s="35">
        <v>29.3</v>
      </c>
      <c r="BC689" s="35">
        <v>40</v>
      </c>
      <c r="BD689" s="35">
        <v>28.5</v>
      </c>
      <c r="BE689" s="35">
        <v>40</v>
      </c>
      <c r="BF689" s="35">
        <v>21.7</v>
      </c>
      <c r="BG689" s="35">
        <v>20</v>
      </c>
    </row>
    <row r="690" spans="1:59" x14ac:dyDescent="0.35">
      <c r="A690" s="36">
        <v>46059.941666666666</v>
      </c>
      <c r="B690" s="35">
        <v>1.9</v>
      </c>
      <c r="C690" s="35">
        <v>2</v>
      </c>
      <c r="D690" s="35">
        <v>2.5</v>
      </c>
      <c r="E690" s="35">
        <v>2.2000000000000002</v>
      </c>
      <c r="F690" s="35">
        <v>3.2</v>
      </c>
      <c r="G690" s="35">
        <v>2</v>
      </c>
      <c r="H690" s="35">
        <v>3.6</v>
      </c>
      <c r="I690" s="35">
        <v>2</v>
      </c>
      <c r="J690" s="35">
        <v>2.4</v>
      </c>
      <c r="K690" s="35">
        <v>2</v>
      </c>
      <c r="L690" s="35">
        <v>1.7</v>
      </c>
      <c r="M690" s="35">
        <v>2</v>
      </c>
      <c r="N690" s="35">
        <v>3.9</v>
      </c>
      <c r="O690" s="35">
        <v>3</v>
      </c>
      <c r="P690" s="35">
        <v>4</v>
      </c>
      <c r="Q690" s="35">
        <v>2</v>
      </c>
      <c r="R690" s="35">
        <v>3.3</v>
      </c>
      <c r="S690" s="35">
        <v>2</v>
      </c>
      <c r="T690" s="35">
        <v>3.5</v>
      </c>
      <c r="U690" s="35">
        <v>2</v>
      </c>
      <c r="V690" s="35">
        <v>8.9</v>
      </c>
      <c r="W690" s="35">
        <v>9</v>
      </c>
      <c r="X690" s="35">
        <v>10.5</v>
      </c>
      <c r="Y690" s="35">
        <v>9</v>
      </c>
      <c r="Z690" s="35">
        <v>10.199999999999999</v>
      </c>
      <c r="AA690" s="35">
        <v>9</v>
      </c>
      <c r="AB690" s="35">
        <v>7.7</v>
      </c>
      <c r="AC690" s="35">
        <v>9</v>
      </c>
      <c r="AD690" s="35">
        <v>20.8</v>
      </c>
      <c r="AE690" s="35">
        <v>19</v>
      </c>
      <c r="AF690" s="35">
        <v>20.8</v>
      </c>
      <c r="AG690" s="35">
        <v>19</v>
      </c>
      <c r="AH690" s="35">
        <v>20.2</v>
      </c>
      <c r="AI690" s="35">
        <v>19</v>
      </c>
      <c r="AJ690" s="35">
        <v>20.9</v>
      </c>
      <c r="AK690" s="35">
        <v>19</v>
      </c>
      <c r="AL690" s="35">
        <v>19.100000000000001</v>
      </c>
      <c r="AM690" s="35">
        <v>19</v>
      </c>
      <c r="AN690" s="35">
        <v>19.3</v>
      </c>
      <c r="AO690" s="35">
        <v>19</v>
      </c>
      <c r="AP690" s="35">
        <v>20.9</v>
      </c>
      <c r="AQ690" s="35">
        <v>19</v>
      </c>
      <c r="AR690" s="35">
        <v>20.8</v>
      </c>
      <c r="AS690" s="35">
        <v>19</v>
      </c>
      <c r="AT690" s="35">
        <v>19.2</v>
      </c>
      <c r="AU690" s="35">
        <v>19</v>
      </c>
      <c r="AV690" s="35">
        <v>20.399999999999999</v>
      </c>
      <c r="AW690" s="35">
        <v>19</v>
      </c>
      <c r="AX690" s="35">
        <v>21.2</v>
      </c>
      <c r="AY690" s="35">
        <v>20</v>
      </c>
      <c r="AZ690" s="35">
        <v>22</v>
      </c>
      <c r="BA690" s="35">
        <v>20</v>
      </c>
      <c r="BB690" s="35">
        <v>29.3</v>
      </c>
      <c r="BC690" s="35">
        <v>40</v>
      </c>
      <c r="BD690" s="35">
        <v>28.5</v>
      </c>
      <c r="BE690" s="35">
        <v>40</v>
      </c>
      <c r="BF690" s="35">
        <v>21.7</v>
      </c>
      <c r="BG690" s="35">
        <v>20</v>
      </c>
    </row>
    <row r="691" spans="1:59" x14ac:dyDescent="0.35">
      <c r="A691" s="36">
        <v>46059.942361111112</v>
      </c>
      <c r="B691" s="35">
        <v>2.2999999999999998</v>
      </c>
      <c r="C691" s="35">
        <v>2</v>
      </c>
      <c r="D691" s="35">
        <v>2.9</v>
      </c>
      <c r="E691" s="35">
        <v>2.2000000000000002</v>
      </c>
      <c r="F691" s="35">
        <v>3.6</v>
      </c>
      <c r="G691" s="35">
        <v>2</v>
      </c>
      <c r="H691" s="35">
        <v>4</v>
      </c>
      <c r="I691" s="35">
        <v>2</v>
      </c>
      <c r="J691" s="35">
        <v>2.4</v>
      </c>
      <c r="K691" s="35">
        <v>2</v>
      </c>
      <c r="L691" s="35">
        <v>1.9</v>
      </c>
      <c r="M691" s="35">
        <v>2</v>
      </c>
      <c r="N691" s="35">
        <v>3.2</v>
      </c>
      <c r="O691" s="35">
        <v>3</v>
      </c>
      <c r="P691" s="35">
        <v>3.5</v>
      </c>
      <c r="Q691" s="35">
        <v>2</v>
      </c>
      <c r="R691" s="35">
        <v>2.4</v>
      </c>
      <c r="S691" s="35">
        <v>2</v>
      </c>
      <c r="T691" s="35">
        <v>3.5</v>
      </c>
      <c r="U691" s="35">
        <v>2</v>
      </c>
      <c r="V691" s="35">
        <v>9.8000000000000007</v>
      </c>
      <c r="W691" s="35">
        <v>9</v>
      </c>
      <c r="X691" s="35">
        <v>10.6</v>
      </c>
      <c r="Y691" s="35">
        <v>9</v>
      </c>
      <c r="Z691" s="35">
        <v>9.5</v>
      </c>
      <c r="AA691" s="35">
        <v>9</v>
      </c>
      <c r="AB691" s="35">
        <v>8.1</v>
      </c>
      <c r="AC691" s="35">
        <v>9</v>
      </c>
      <c r="AD691" s="35">
        <v>20.8</v>
      </c>
      <c r="AE691" s="35">
        <v>19</v>
      </c>
      <c r="AF691" s="35">
        <v>20.8</v>
      </c>
      <c r="AG691" s="35">
        <v>19</v>
      </c>
      <c r="AH691" s="35">
        <v>20.3</v>
      </c>
      <c r="AI691" s="35">
        <v>19</v>
      </c>
      <c r="AJ691" s="35">
        <v>21</v>
      </c>
      <c r="AK691" s="35">
        <v>19</v>
      </c>
      <c r="AL691" s="35">
        <v>19</v>
      </c>
      <c r="AM691" s="35">
        <v>19</v>
      </c>
      <c r="AN691" s="35">
        <v>19.399999999999999</v>
      </c>
      <c r="AO691" s="35">
        <v>19</v>
      </c>
      <c r="AP691" s="35">
        <v>20.9</v>
      </c>
      <c r="AQ691" s="35">
        <v>19</v>
      </c>
      <c r="AR691" s="35">
        <v>20.8</v>
      </c>
      <c r="AS691" s="35">
        <v>19</v>
      </c>
      <c r="AT691" s="35">
        <v>19.3</v>
      </c>
      <c r="AU691" s="35">
        <v>19</v>
      </c>
      <c r="AV691" s="35">
        <v>20.5</v>
      </c>
      <c r="AW691" s="35">
        <v>19</v>
      </c>
      <c r="AX691" s="35">
        <v>21.2</v>
      </c>
      <c r="AY691" s="35">
        <v>20</v>
      </c>
      <c r="AZ691" s="35">
        <v>22</v>
      </c>
      <c r="BA691" s="35">
        <v>20</v>
      </c>
      <c r="BB691" s="35">
        <v>29.3</v>
      </c>
      <c r="BC691" s="35">
        <v>40</v>
      </c>
      <c r="BD691" s="35">
        <v>28.5</v>
      </c>
      <c r="BE691" s="35">
        <v>40</v>
      </c>
      <c r="BF691" s="35">
        <v>21.7</v>
      </c>
      <c r="BG691" s="35">
        <v>20</v>
      </c>
    </row>
    <row r="692" spans="1:59" x14ac:dyDescent="0.35">
      <c r="A692" s="36">
        <v>46059.943055555559</v>
      </c>
      <c r="B692" s="35">
        <v>2.8</v>
      </c>
      <c r="C692" s="35">
        <v>2</v>
      </c>
      <c r="D692" s="35">
        <v>3.2</v>
      </c>
      <c r="E692" s="35">
        <v>2.2000000000000002</v>
      </c>
      <c r="F692" s="35">
        <v>3.5</v>
      </c>
      <c r="G692" s="35">
        <v>2</v>
      </c>
      <c r="H692" s="35">
        <v>3.3</v>
      </c>
      <c r="I692" s="35">
        <v>2</v>
      </c>
      <c r="J692" s="35">
        <v>2.7</v>
      </c>
      <c r="K692" s="35">
        <v>2</v>
      </c>
      <c r="L692" s="35">
        <v>2.2999999999999998</v>
      </c>
      <c r="M692" s="35">
        <v>2</v>
      </c>
      <c r="N692" s="35">
        <v>1.8</v>
      </c>
      <c r="O692" s="35">
        <v>3</v>
      </c>
      <c r="P692" s="35">
        <v>2.5</v>
      </c>
      <c r="Q692" s="35">
        <v>2</v>
      </c>
      <c r="R692" s="35">
        <v>1.8</v>
      </c>
      <c r="S692" s="35">
        <v>2</v>
      </c>
      <c r="T692" s="35">
        <v>3.5</v>
      </c>
      <c r="U692" s="35">
        <v>2</v>
      </c>
      <c r="V692" s="35">
        <v>10.3</v>
      </c>
      <c r="W692" s="35">
        <v>9</v>
      </c>
      <c r="X692" s="35">
        <v>10.7</v>
      </c>
      <c r="Y692" s="35">
        <v>9</v>
      </c>
      <c r="Z692" s="35">
        <v>9</v>
      </c>
      <c r="AA692" s="35">
        <v>9</v>
      </c>
      <c r="AB692" s="35">
        <v>8.8000000000000007</v>
      </c>
      <c r="AC692" s="35">
        <v>9</v>
      </c>
      <c r="AD692" s="35">
        <v>20.9</v>
      </c>
      <c r="AE692" s="35">
        <v>19</v>
      </c>
      <c r="AF692" s="35">
        <v>20.8</v>
      </c>
      <c r="AG692" s="35">
        <v>19</v>
      </c>
      <c r="AH692" s="35">
        <v>20.399999999999999</v>
      </c>
      <c r="AI692" s="35">
        <v>19</v>
      </c>
      <c r="AJ692" s="35">
        <v>19.5</v>
      </c>
      <c r="AK692" s="35">
        <v>19</v>
      </c>
      <c r="AL692" s="35">
        <v>19</v>
      </c>
      <c r="AM692" s="35">
        <v>19</v>
      </c>
      <c r="AN692" s="35">
        <v>19.600000000000001</v>
      </c>
      <c r="AO692" s="35">
        <v>19</v>
      </c>
      <c r="AP692" s="35">
        <v>20.9</v>
      </c>
      <c r="AQ692" s="35">
        <v>19</v>
      </c>
      <c r="AR692" s="35">
        <v>20.8</v>
      </c>
      <c r="AS692" s="35">
        <v>19</v>
      </c>
      <c r="AT692" s="35">
        <v>19.399999999999999</v>
      </c>
      <c r="AU692" s="35">
        <v>19</v>
      </c>
      <c r="AV692" s="35">
        <v>20.5</v>
      </c>
      <c r="AW692" s="35">
        <v>19</v>
      </c>
      <c r="AX692" s="35">
        <v>21.2</v>
      </c>
      <c r="AY692" s="35">
        <v>20</v>
      </c>
      <c r="AZ692" s="35">
        <v>21.9</v>
      </c>
      <c r="BA692" s="35">
        <v>20</v>
      </c>
      <c r="BB692" s="35">
        <v>29.3</v>
      </c>
      <c r="BC692" s="35">
        <v>40</v>
      </c>
      <c r="BD692" s="35">
        <v>28.5</v>
      </c>
      <c r="BE692" s="35">
        <v>40</v>
      </c>
      <c r="BF692" s="35">
        <v>21.7</v>
      </c>
      <c r="BG692" s="35">
        <v>20</v>
      </c>
    </row>
    <row r="693" spans="1:59" x14ac:dyDescent="0.35">
      <c r="A693" s="36">
        <v>46059.943749999999</v>
      </c>
      <c r="B693" s="35">
        <v>3.1</v>
      </c>
      <c r="C693" s="35">
        <v>2</v>
      </c>
      <c r="D693" s="35">
        <v>3.5</v>
      </c>
      <c r="E693" s="35">
        <v>2.2000000000000002</v>
      </c>
      <c r="F693" s="35">
        <v>3.4</v>
      </c>
      <c r="G693" s="35">
        <v>2</v>
      </c>
      <c r="H693" s="35">
        <v>3</v>
      </c>
      <c r="I693" s="35">
        <v>2</v>
      </c>
      <c r="J693" s="35">
        <v>3</v>
      </c>
      <c r="K693" s="35">
        <v>2</v>
      </c>
      <c r="L693" s="35">
        <v>2.7</v>
      </c>
      <c r="M693" s="35">
        <v>2</v>
      </c>
      <c r="N693" s="35">
        <v>1</v>
      </c>
      <c r="O693" s="35">
        <v>3</v>
      </c>
      <c r="P693" s="35">
        <v>1.7</v>
      </c>
      <c r="Q693" s="35">
        <v>2</v>
      </c>
      <c r="R693" s="35">
        <v>1.7</v>
      </c>
      <c r="S693" s="35">
        <v>2</v>
      </c>
      <c r="T693" s="35">
        <v>3.5</v>
      </c>
      <c r="U693" s="35">
        <v>2</v>
      </c>
      <c r="V693" s="35">
        <v>10.8</v>
      </c>
      <c r="W693" s="35">
        <v>9</v>
      </c>
      <c r="X693" s="35">
        <v>10.7</v>
      </c>
      <c r="Y693" s="35">
        <v>9</v>
      </c>
      <c r="Z693" s="35">
        <v>8.9</v>
      </c>
      <c r="AA693" s="35">
        <v>9</v>
      </c>
      <c r="AB693" s="35">
        <v>9.1999999999999993</v>
      </c>
      <c r="AC693" s="35">
        <v>9</v>
      </c>
      <c r="AD693" s="35">
        <v>20.9</v>
      </c>
      <c r="AE693" s="35">
        <v>19</v>
      </c>
      <c r="AF693" s="35">
        <v>20.8</v>
      </c>
      <c r="AG693" s="35">
        <v>19</v>
      </c>
      <c r="AH693" s="35">
        <v>20.399999999999999</v>
      </c>
      <c r="AI693" s="35">
        <v>19</v>
      </c>
      <c r="AJ693" s="35">
        <v>17.899999999999999</v>
      </c>
      <c r="AK693" s="35">
        <v>19</v>
      </c>
      <c r="AL693" s="35">
        <v>19.3</v>
      </c>
      <c r="AM693" s="35">
        <v>19</v>
      </c>
      <c r="AN693" s="35">
        <v>19.7</v>
      </c>
      <c r="AO693" s="35">
        <v>19</v>
      </c>
      <c r="AP693" s="35">
        <v>20.9</v>
      </c>
      <c r="AQ693" s="35">
        <v>19</v>
      </c>
      <c r="AR693" s="35">
        <v>20.8</v>
      </c>
      <c r="AS693" s="35">
        <v>19</v>
      </c>
      <c r="AT693" s="35">
        <v>19.5</v>
      </c>
      <c r="AU693" s="35">
        <v>19</v>
      </c>
      <c r="AV693" s="35">
        <v>20.6</v>
      </c>
      <c r="AW693" s="35">
        <v>19</v>
      </c>
      <c r="AX693" s="35">
        <v>21.2</v>
      </c>
      <c r="AY693" s="35">
        <v>20</v>
      </c>
      <c r="AZ693" s="35">
        <v>21.9</v>
      </c>
      <c r="BA693" s="35">
        <v>20</v>
      </c>
      <c r="BB693" s="35">
        <v>29.3</v>
      </c>
      <c r="BC693" s="35">
        <v>40</v>
      </c>
      <c r="BD693" s="35">
        <v>28.4</v>
      </c>
      <c r="BE693" s="35">
        <v>40</v>
      </c>
      <c r="BF693" s="35">
        <v>21.8</v>
      </c>
      <c r="BG693" s="35">
        <v>20</v>
      </c>
    </row>
    <row r="694" spans="1:59" x14ac:dyDescent="0.35">
      <c r="A694" s="36">
        <v>46059.944444444445</v>
      </c>
      <c r="B694" s="35">
        <v>3.4</v>
      </c>
      <c r="C694" s="35">
        <v>2</v>
      </c>
      <c r="D694" s="35">
        <v>3.9</v>
      </c>
      <c r="E694" s="35">
        <v>2.2000000000000002</v>
      </c>
      <c r="F694" s="35">
        <v>3.4</v>
      </c>
      <c r="G694" s="35">
        <v>2</v>
      </c>
      <c r="H694" s="35">
        <v>3</v>
      </c>
      <c r="I694" s="35">
        <v>2</v>
      </c>
      <c r="J694" s="35">
        <v>3.2</v>
      </c>
      <c r="K694" s="35">
        <v>2</v>
      </c>
      <c r="L694" s="35">
        <v>3</v>
      </c>
      <c r="M694" s="35">
        <v>2</v>
      </c>
      <c r="N694" s="35">
        <v>1</v>
      </c>
      <c r="O694" s="35">
        <v>3</v>
      </c>
      <c r="P694" s="35">
        <v>1.8</v>
      </c>
      <c r="Q694" s="35">
        <v>2</v>
      </c>
      <c r="R694" s="35">
        <v>2.1</v>
      </c>
      <c r="S694" s="35">
        <v>2</v>
      </c>
      <c r="T694" s="35">
        <v>3.5</v>
      </c>
      <c r="U694" s="35">
        <v>2</v>
      </c>
      <c r="V694" s="35">
        <v>11</v>
      </c>
      <c r="W694" s="35">
        <v>9</v>
      </c>
      <c r="X694" s="35">
        <v>10.8</v>
      </c>
      <c r="Y694" s="35">
        <v>9</v>
      </c>
      <c r="Z694" s="35">
        <v>8.9</v>
      </c>
      <c r="AA694" s="35">
        <v>9</v>
      </c>
      <c r="AB694" s="35">
        <v>9.6</v>
      </c>
      <c r="AC694" s="35">
        <v>9</v>
      </c>
      <c r="AD694" s="35">
        <v>20.9</v>
      </c>
      <c r="AE694" s="35">
        <v>19</v>
      </c>
      <c r="AF694" s="35">
        <v>20.9</v>
      </c>
      <c r="AG694" s="35">
        <v>19</v>
      </c>
      <c r="AH694" s="35">
        <v>20.5</v>
      </c>
      <c r="AI694" s="35">
        <v>19</v>
      </c>
      <c r="AJ694" s="35">
        <v>17.8</v>
      </c>
      <c r="AK694" s="35">
        <v>19</v>
      </c>
      <c r="AL694" s="35">
        <v>19.600000000000001</v>
      </c>
      <c r="AM694" s="35">
        <v>19</v>
      </c>
      <c r="AN694" s="35">
        <v>19.8</v>
      </c>
      <c r="AO694" s="35">
        <v>19</v>
      </c>
      <c r="AP694" s="35">
        <v>20.9</v>
      </c>
      <c r="AQ694" s="35">
        <v>19</v>
      </c>
      <c r="AR694" s="35">
        <v>20.8</v>
      </c>
      <c r="AS694" s="35">
        <v>19</v>
      </c>
      <c r="AT694" s="35">
        <v>19.600000000000001</v>
      </c>
      <c r="AU694" s="35">
        <v>19</v>
      </c>
      <c r="AV694" s="35">
        <v>20.6</v>
      </c>
      <c r="AW694" s="35">
        <v>19</v>
      </c>
      <c r="AX694" s="35">
        <v>21.2</v>
      </c>
      <c r="AY694" s="35">
        <v>20</v>
      </c>
      <c r="AZ694" s="35">
        <v>21.9</v>
      </c>
      <c r="BA694" s="35">
        <v>20</v>
      </c>
      <c r="BB694" s="35">
        <v>29.3</v>
      </c>
      <c r="BC694" s="35">
        <v>40</v>
      </c>
      <c r="BD694" s="35">
        <v>28.4</v>
      </c>
      <c r="BE694" s="35">
        <v>40</v>
      </c>
      <c r="BF694" s="35">
        <v>21.8</v>
      </c>
      <c r="BG694" s="35">
        <v>20</v>
      </c>
    </row>
    <row r="695" spans="1:59" x14ac:dyDescent="0.35">
      <c r="A695" s="36">
        <v>46059.945138888892</v>
      </c>
      <c r="B695" s="35">
        <v>3.7</v>
      </c>
      <c r="C695" s="35">
        <v>2</v>
      </c>
      <c r="D695" s="35">
        <v>4.2</v>
      </c>
      <c r="E695" s="35">
        <v>2.2000000000000002</v>
      </c>
      <c r="F695" s="35">
        <v>3.6</v>
      </c>
      <c r="G695" s="35">
        <v>2</v>
      </c>
      <c r="H695" s="35">
        <v>3.2</v>
      </c>
      <c r="I695" s="35">
        <v>2</v>
      </c>
      <c r="J695" s="35">
        <v>3.5</v>
      </c>
      <c r="K695" s="35">
        <v>2</v>
      </c>
      <c r="L695" s="35">
        <v>3.4</v>
      </c>
      <c r="M695" s="35">
        <v>2</v>
      </c>
      <c r="N695" s="35">
        <v>1.4</v>
      </c>
      <c r="O695" s="35">
        <v>3</v>
      </c>
      <c r="P695" s="35">
        <v>2.1</v>
      </c>
      <c r="Q695" s="35">
        <v>2</v>
      </c>
      <c r="R695" s="35">
        <v>2.8</v>
      </c>
      <c r="S695" s="35">
        <v>2</v>
      </c>
      <c r="T695" s="35">
        <v>3.5</v>
      </c>
      <c r="U695" s="35">
        <v>2</v>
      </c>
      <c r="V695" s="35">
        <v>8.6999999999999993</v>
      </c>
      <c r="W695" s="35">
        <v>9</v>
      </c>
      <c r="X695" s="35">
        <v>10.8</v>
      </c>
      <c r="Y695" s="35">
        <v>9</v>
      </c>
      <c r="Z695" s="35">
        <v>9.3000000000000007</v>
      </c>
      <c r="AA695" s="35">
        <v>9</v>
      </c>
      <c r="AB695" s="35">
        <v>9.9</v>
      </c>
      <c r="AC695" s="35">
        <v>9</v>
      </c>
      <c r="AD695" s="35">
        <v>20.9</v>
      </c>
      <c r="AE695" s="35">
        <v>19</v>
      </c>
      <c r="AF695" s="35">
        <v>20.9</v>
      </c>
      <c r="AG695" s="35">
        <v>19</v>
      </c>
      <c r="AH695" s="35">
        <v>20.5</v>
      </c>
      <c r="AI695" s="35">
        <v>19</v>
      </c>
      <c r="AJ695" s="35">
        <v>18</v>
      </c>
      <c r="AK695" s="35">
        <v>19</v>
      </c>
      <c r="AL695" s="35">
        <v>19.899999999999999</v>
      </c>
      <c r="AM695" s="35">
        <v>19</v>
      </c>
      <c r="AN695" s="35">
        <v>19.899999999999999</v>
      </c>
      <c r="AO695" s="35">
        <v>19</v>
      </c>
      <c r="AP695" s="35">
        <v>20.9</v>
      </c>
      <c r="AQ695" s="35">
        <v>19</v>
      </c>
      <c r="AR695" s="35">
        <v>20.8</v>
      </c>
      <c r="AS695" s="35">
        <v>19</v>
      </c>
      <c r="AT695" s="35">
        <v>19.7</v>
      </c>
      <c r="AU695" s="35">
        <v>19</v>
      </c>
      <c r="AV695" s="35">
        <v>20.6</v>
      </c>
      <c r="AW695" s="35">
        <v>19</v>
      </c>
      <c r="AX695" s="35">
        <v>21.2</v>
      </c>
      <c r="AY695" s="35">
        <v>20</v>
      </c>
      <c r="AZ695" s="35">
        <v>21.9</v>
      </c>
      <c r="BA695" s="35">
        <v>20</v>
      </c>
      <c r="BB695" s="35">
        <v>29.3</v>
      </c>
      <c r="BC695" s="35">
        <v>40</v>
      </c>
      <c r="BD695" s="35">
        <v>28.4</v>
      </c>
      <c r="BE695" s="35">
        <v>40</v>
      </c>
      <c r="BF695" s="35">
        <v>21.8</v>
      </c>
      <c r="BG695" s="35">
        <v>20</v>
      </c>
    </row>
    <row r="696" spans="1:59" x14ac:dyDescent="0.35">
      <c r="A696" s="36">
        <v>46059.945833333331</v>
      </c>
      <c r="B696" s="35">
        <v>3.7</v>
      </c>
      <c r="C696" s="35">
        <v>2</v>
      </c>
      <c r="D696" s="35">
        <v>4.0999999999999996</v>
      </c>
      <c r="E696" s="35">
        <v>2.2000000000000002</v>
      </c>
      <c r="F696" s="35">
        <v>3.8</v>
      </c>
      <c r="G696" s="35">
        <v>2</v>
      </c>
      <c r="H696" s="35">
        <v>3.5</v>
      </c>
      <c r="I696" s="35">
        <v>2</v>
      </c>
      <c r="J696" s="35">
        <v>3.7</v>
      </c>
      <c r="K696" s="35">
        <v>2</v>
      </c>
      <c r="L696" s="35">
        <v>3.6</v>
      </c>
      <c r="M696" s="35">
        <v>2</v>
      </c>
      <c r="N696" s="35">
        <v>1.8</v>
      </c>
      <c r="O696" s="35">
        <v>3</v>
      </c>
      <c r="P696" s="35">
        <v>2.4</v>
      </c>
      <c r="Q696" s="35">
        <v>2</v>
      </c>
      <c r="R696" s="35">
        <v>3.7</v>
      </c>
      <c r="S696" s="35">
        <v>2</v>
      </c>
      <c r="T696" s="35">
        <v>3.5</v>
      </c>
      <c r="U696" s="35">
        <v>2</v>
      </c>
      <c r="V696" s="35">
        <v>7.4</v>
      </c>
      <c r="W696" s="35">
        <v>9</v>
      </c>
      <c r="X696" s="35">
        <v>10.9</v>
      </c>
      <c r="Y696" s="35">
        <v>9</v>
      </c>
      <c r="Z696" s="35">
        <v>9.5</v>
      </c>
      <c r="AA696" s="35">
        <v>9</v>
      </c>
      <c r="AB696" s="35">
        <v>10.1</v>
      </c>
      <c r="AC696" s="35">
        <v>9</v>
      </c>
      <c r="AD696" s="35">
        <v>20.9</v>
      </c>
      <c r="AE696" s="35">
        <v>19</v>
      </c>
      <c r="AF696" s="35">
        <v>20.9</v>
      </c>
      <c r="AG696" s="35">
        <v>19</v>
      </c>
      <c r="AH696" s="35">
        <v>20.6</v>
      </c>
      <c r="AI696" s="35">
        <v>19</v>
      </c>
      <c r="AJ696" s="35">
        <v>18.3</v>
      </c>
      <c r="AK696" s="35">
        <v>19</v>
      </c>
      <c r="AL696" s="35">
        <v>20.100000000000001</v>
      </c>
      <c r="AM696" s="35">
        <v>19</v>
      </c>
      <c r="AN696" s="35">
        <v>20</v>
      </c>
      <c r="AO696" s="35">
        <v>19</v>
      </c>
      <c r="AP696" s="35">
        <v>20.9</v>
      </c>
      <c r="AQ696" s="35">
        <v>19</v>
      </c>
      <c r="AR696" s="35">
        <v>20.8</v>
      </c>
      <c r="AS696" s="35">
        <v>19</v>
      </c>
      <c r="AT696" s="35">
        <v>19.8</v>
      </c>
      <c r="AU696" s="35">
        <v>19</v>
      </c>
      <c r="AV696" s="35">
        <v>20.7</v>
      </c>
      <c r="AW696" s="35">
        <v>19</v>
      </c>
      <c r="AX696" s="35">
        <v>21.2</v>
      </c>
      <c r="AY696" s="35">
        <v>20</v>
      </c>
      <c r="AZ696" s="35">
        <v>21.9</v>
      </c>
      <c r="BA696" s="35">
        <v>20</v>
      </c>
      <c r="BB696" s="35">
        <v>29.3</v>
      </c>
      <c r="BC696" s="35">
        <v>40</v>
      </c>
      <c r="BD696" s="35">
        <v>28.4</v>
      </c>
      <c r="BE696" s="35">
        <v>40</v>
      </c>
      <c r="BF696" s="35">
        <v>21.8</v>
      </c>
      <c r="BG696" s="35">
        <v>20</v>
      </c>
    </row>
    <row r="697" spans="1:59" x14ac:dyDescent="0.35">
      <c r="A697" s="36">
        <v>46059.946527777778</v>
      </c>
      <c r="B697" s="35">
        <v>3.7</v>
      </c>
      <c r="C697" s="35">
        <v>2</v>
      </c>
      <c r="D697" s="35">
        <v>4</v>
      </c>
      <c r="E697" s="35">
        <v>2.2000000000000002</v>
      </c>
      <c r="F697" s="35">
        <v>4</v>
      </c>
      <c r="G697" s="35">
        <v>2</v>
      </c>
      <c r="H697" s="35">
        <v>3.6</v>
      </c>
      <c r="I697" s="35">
        <v>2</v>
      </c>
      <c r="J697" s="35">
        <v>3.9</v>
      </c>
      <c r="K697" s="35">
        <v>2</v>
      </c>
      <c r="L697" s="35">
        <v>3.9</v>
      </c>
      <c r="M697" s="35">
        <v>2</v>
      </c>
      <c r="N697" s="35">
        <v>2.1</v>
      </c>
      <c r="O697" s="35">
        <v>3</v>
      </c>
      <c r="P697" s="35">
        <v>2.6</v>
      </c>
      <c r="Q697" s="35">
        <v>2</v>
      </c>
      <c r="R697" s="35">
        <v>3.4</v>
      </c>
      <c r="S697" s="35">
        <v>2</v>
      </c>
      <c r="T697" s="35">
        <v>3.5</v>
      </c>
      <c r="U697" s="35">
        <v>2</v>
      </c>
      <c r="V697" s="35">
        <v>7.7</v>
      </c>
      <c r="W697" s="35">
        <v>9</v>
      </c>
      <c r="X697" s="35">
        <v>10.9</v>
      </c>
      <c r="Y697" s="35">
        <v>9</v>
      </c>
      <c r="Z697" s="35">
        <v>9.6999999999999993</v>
      </c>
      <c r="AA697" s="35">
        <v>9</v>
      </c>
      <c r="AB697" s="35">
        <v>10.4</v>
      </c>
      <c r="AC697" s="35">
        <v>9</v>
      </c>
      <c r="AD697" s="35">
        <v>21</v>
      </c>
      <c r="AE697" s="35">
        <v>19</v>
      </c>
      <c r="AF697" s="35">
        <v>20.9</v>
      </c>
      <c r="AG697" s="35">
        <v>19</v>
      </c>
      <c r="AH697" s="35">
        <v>20.6</v>
      </c>
      <c r="AI697" s="35">
        <v>19</v>
      </c>
      <c r="AJ697" s="35">
        <v>18.5</v>
      </c>
      <c r="AK697" s="35">
        <v>19</v>
      </c>
      <c r="AL697" s="35">
        <v>20.3</v>
      </c>
      <c r="AM697" s="35">
        <v>19</v>
      </c>
      <c r="AN697" s="35">
        <v>20.100000000000001</v>
      </c>
      <c r="AO697" s="35">
        <v>19</v>
      </c>
      <c r="AP697" s="35">
        <v>20.9</v>
      </c>
      <c r="AQ697" s="35">
        <v>19</v>
      </c>
      <c r="AR697" s="35">
        <v>20.8</v>
      </c>
      <c r="AS697" s="35">
        <v>19</v>
      </c>
      <c r="AT697" s="35">
        <v>20</v>
      </c>
      <c r="AU697" s="35">
        <v>19</v>
      </c>
      <c r="AV697" s="35">
        <v>20.7</v>
      </c>
      <c r="AW697" s="35">
        <v>19</v>
      </c>
      <c r="AX697" s="35">
        <v>21.2</v>
      </c>
      <c r="AY697" s="35">
        <v>20</v>
      </c>
      <c r="AZ697" s="35">
        <v>21.9</v>
      </c>
      <c r="BA697" s="35">
        <v>20</v>
      </c>
      <c r="BB697" s="35">
        <v>29.3</v>
      </c>
      <c r="BC697" s="35">
        <v>40</v>
      </c>
      <c r="BD697" s="35">
        <v>28.4</v>
      </c>
      <c r="BE697" s="35">
        <v>40</v>
      </c>
      <c r="BF697" s="35">
        <v>21.8</v>
      </c>
      <c r="BG697" s="35">
        <v>20</v>
      </c>
    </row>
    <row r="698" spans="1:59" x14ac:dyDescent="0.35">
      <c r="A698" s="36">
        <v>46059.947222222225</v>
      </c>
      <c r="B698" s="35">
        <v>3.9</v>
      </c>
      <c r="C698" s="35">
        <v>2</v>
      </c>
      <c r="D698" s="35">
        <v>4.2</v>
      </c>
      <c r="E698" s="35">
        <v>2.2000000000000002</v>
      </c>
      <c r="F698" s="35">
        <v>3.3</v>
      </c>
      <c r="G698" s="35">
        <v>2</v>
      </c>
      <c r="H698" s="35">
        <v>2.9</v>
      </c>
      <c r="I698" s="35">
        <v>2</v>
      </c>
      <c r="J698" s="35">
        <v>3.7</v>
      </c>
      <c r="K698" s="35">
        <v>2</v>
      </c>
      <c r="L698" s="35">
        <v>3.6</v>
      </c>
      <c r="M698" s="35">
        <v>2</v>
      </c>
      <c r="N698" s="35">
        <v>2.5</v>
      </c>
      <c r="O698" s="35">
        <v>3</v>
      </c>
      <c r="P698" s="35">
        <v>2.9</v>
      </c>
      <c r="Q698" s="35">
        <v>2</v>
      </c>
      <c r="R698" s="35">
        <v>3.4</v>
      </c>
      <c r="S698" s="35">
        <v>2</v>
      </c>
      <c r="T698" s="35">
        <v>3.5</v>
      </c>
      <c r="U698" s="35">
        <v>2</v>
      </c>
      <c r="V698" s="35">
        <v>8.5</v>
      </c>
      <c r="W698" s="35">
        <v>9</v>
      </c>
      <c r="X698" s="35">
        <v>11</v>
      </c>
      <c r="Y698" s="35">
        <v>9</v>
      </c>
      <c r="Z698" s="35">
        <v>9.9</v>
      </c>
      <c r="AA698" s="35">
        <v>9</v>
      </c>
      <c r="AB698" s="35">
        <v>10.6</v>
      </c>
      <c r="AC698" s="35">
        <v>9</v>
      </c>
      <c r="AD698" s="35">
        <v>20.5</v>
      </c>
      <c r="AE698" s="35">
        <v>19</v>
      </c>
      <c r="AF698" s="35">
        <v>20.9</v>
      </c>
      <c r="AG698" s="35">
        <v>19</v>
      </c>
      <c r="AH698" s="35">
        <v>20.7</v>
      </c>
      <c r="AI698" s="35">
        <v>19</v>
      </c>
      <c r="AJ698" s="35">
        <v>18.7</v>
      </c>
      <c r="AK698" s="35">
        <v>19</v>
      </c>
      <c r="AL698" s="35">
        <v>20.399999999999999</v>
      </c>
      <c r="AM698" s="35">
        <v>19</v>
      </c>
      <c r="AN698" s="35">
        <v>20.2</v>
      </c>
      <c r="AO698" s="35">
        <v>19</v>
      </c>
      <c r="AP698" s="35">
        <v>19.8</v>
      </c>
      <c r="AQ698" s="35">
        <v>19</v>
      </c>
      <c r="AR698" s="35">
        <v>20.8</v>
      </c>
      <c r="AS698" s="35">
        <v>19</v>
      </c>
      <c r="AT698" s="35">
        <v>20.100000000000001</v>
      </c>
      <c r="AU698" s="35">
        <v>19</v>
      </c>
      <c r="AV698" s="35">
        <v>20.8</v>
      </c>
      <c r="AW698" s="35">
        <v>19</v>
      </c>
      <c r="AX698" s="35">
        <v>21.2</v>
      </c>
      <c r="AY698" s="35">
        <v>20</v>
      </c>
      <c r="AZ698" s="35">
        <v>21.9</v>
      </c>
      <c r="BA698" s="35">
        <v>20</v>
      </c>
      <c r="BB698" s="35">
        <v>29.3</v>
      </c>
      <c r="BC698" s="35">
        <v>40</v>
      </c>
      <c r="BD698" s="35">
        <v>28.4</v>
      </c>
      <c r="BE698" s="35">
        <v>40</v>
      </c>
      <c r="BF698" s="35">
        <v>21.8</v>
      </c>
      <c r="BG698" s="35">
        <v>20</v>
      </c>
    </row>
    <row r="699" spans="1:59" x14ac:dyDescent="0.35">
      <c r="A699" s="36">
        <v>46059.947916666664</v>
      </c>
      <c r="B699" s="35">
        <v>3.9</v>
      </c>
      <c r="C699" s="35">
        <v>2</v>
      </c>
      <c r="D699" s="35">
        <v>4</v>
      </c>
      <c r="E699" s="35">
        <v>2.2000000000000002</v>
      </c>
      <c r="F699" s="35">
        <v>2.1</v>
      </c>
      <c r="G699" s="35">
        <v>2</v>
      </c>
      <c r="H699" s="35">
        <v>1.8</v>
      </c>
      <c r="I699" s="35">
        <v>2</v>
      </c>
      <c r="J699" s="35">
        <v>2.5</v>
      </c>
      <c r="K699" s="35">
        <v>2</v>
      </c>
      <c r="L699" s="35">
        <v>2.5</v>
      </c>
      <c r="M699" s="35">
        <v>2</v>
      </c>
      <c r="N699" s="35">
        <v>2.8</v>
      </c>
      <c r="O699" s="35">
        <v>3</v>
      </c>
      <c r="P699" s="35">
        <v>3.1</v>
      </c>
      <c r="Q699" s="35">
        <v>2</v>
      </c>
      <c r="R699" s="35">
        <v>3.3</v>
      </c>
      <c r="S699" s="35">
        <v>2</v>
      </c>
      <c r="T699" s="35">
        <v>3.5</v>
      </c>
      <c r="U699" s="35">
        <v>2</v>
      </c>
      <c r="V699" s="35">
        <v>9.3000000000000007</v>
      </c>
      <c r="W699" s="35">
        <v>9</v>
      </c>
      <c r="X699" s="35">
        <v>10.5</v>
      </c>
      <c r="Y699" s="35">
        <v>9</v>
      </c>
      <c r="Z699" s="35">
        <v>10.1</v>
      </c>
      <c r="AA699" s="35">
        <v>9</v>
      </c>
      <c r="AB699" s="35">
        <v>10.8</v>
      </c>
      <c r="AC699" s="35">
        <v>9</v>
      </c>
      <c r="AD699" s="35">
        <v>20.100000000000001</v>
      </c>
      <c r="AE699" s="35">
        <v>19</v>
      </c>
      <c r="AF699" s="35">
        <v>21</v>
      </c>
      <c r="AG699" s="35">
        <v>19</v>
      </c>
      <c r="AH699" s="35">
        <v>20.7</v>
      </c>
      <c r="AI699" s="35">
        <v>19</v>
      </c>
      <c r="AJ699" s="35">
        <v>18.899999999999999</v>
      </c>
      <c r="AK699" s="35">
        <v>19</v>
      </c>
      <c r="AL699" s="35">
        <v>20.6</v>
      </c>
      <c r="AM699" s="35">
        <v>19</v>
      </c>
      <c r="AN699" s="35">
        <v>20.3</v>
      </c>
      <c r="AO699" s="35">
        <v>19</v>
      </c>
      <c r="AP699" s="35">
        <v>19</v>
      </c>
      <c r="AQ699" s="35">
        <v>19</v>
      </c>
      <c r="AR699" s="35">
        <v>20.8</v>
      </c>
      <c r="AS699" s="35">
        <v>19</v>
      </c>
      <c r="AT699" s="35">
        <v>20.2</v>
      </c>
      <c r="AU699" s="35">
        <v>19</v>
      </c>
      <c r="AV699" s="35">
        <v>20.8</v>
      </c>
      <c r="AW699" s="35">
        <v>19</v>
      </c>
      <c r="AX699" s="35">
        <v>21.2</v>
      </c>
      <c r="AY699" s="35">
        <v>20</v>
      </c>
      <c r="AZ699" s="35">
        <v>21.9</v>
      </c>
      <c r="BA699" s="35">
        <v>20</v>
      </c>
      <c r="BB699" s="35">
        <v>29.3</v>
      </c>
      <c r="BC699" s="35">
        <v>40</v>
      </c>
      <c r="BD699" s="35">
        <v>28.4</v>
      </c>
      <c r="BE699" s="35">
        <v>40</v>
      </c>
      <c r="BF699" s="35">
        <v>21.8</v>
      </c>
      <c r="BG699" s="35">
        <v>20</v>
      </c>
    </row>
    <row r="700" spans="1:59" x14ac:dyDescent="0.35">
      <c r="A700" s="36">
        <v>46059.948611111111</v>
      </c>
      <c r="B700" s="35">
        <v>2.6</v>
      </c>
      <c r="C700" s="35">
        <v>2</v>
      </c>
      <c r="D700" s="35">
        <v>2.9</v>
      </c>
      <c r="E700" s="35">
        <v>2.2000000000000002</v>
      </c>
      <c r="F700" s="35">
        <v>1.7</v>
      </c>
      <c r="G700" s="35">
        <v>2</v>
      </c>
      <c r="H700" s="35">
        <v>1.8</v>
      </c>
      <c r="I700" s="35">
        <v>2</v>
      </c>
      <c r="J700" s="35">
        <v>1.7</v>
      </c>
      <c r="K700" s="35">
        <v>2</v>
      </c>
      <c r="L700" s="35">
        <v>1.8</v>
      </c>
      <c r="M700" s="35">
        <v>2</v>
      </c>
      <c r="N700" s="35">
        <v>3.1</v>
      </c>
      <c r="O700" s="35">
        <v>3</v>
      </c>
      <c r="P700" s="35">
        <v>3.3</v>
      </c>
      <c r="Q700" s="35">
        <v>2</v>
      </c>
      <c r="R700" s="35">
        <v>3</v>
      </c>
      <c r="S700" s="35">
        <v>2</v>
      </c>
      <c r="T700" s="35">
        <v>3.5</v>
      </c>
      <c r="U700" s="35">
        <v>2</v>
      </c>
      <c r="V700" s="35">
        <v>9.8000000000000007</v>
      </c>
      <c r="W700" s="35">
        <v>9</v>
      </c>
      <c r="X700" s="35">
        <v>9.6999999999999993</v>
      </c>
      <c r="Y700" s="35">
        <v>9</v>
      </c>
      <c r="Z700" s="35">
        <v>10.3</v>
      </c>
      <c r="AA700" s="35">
        <v>9</v>
      </c>
      <c r="AB700" s="35">
        <v>10.9</v>
      </c>
      <c r="AC700" s="35">
        <v>9</v>
      </c>
      <c r="AD700" s="35">
        <v>20.100000000000001</v>
      </c>
      <c r="AE700" s="35">
        <v>19</v>
      </c>
      <c r="AF700" s="35">
        <v>20.9</v>
      </c>
      <c r="AG700" s="35">
        <v>19</v>
      </c>
      <c r="AH700" s="35">
        <v>20.8</v>
      </c>
      <c r="AI700" s="35">
        <v>19</v>
      </c>
      <c r="AJ700" s="35">
        <v>19.100000000000001</v>
      </c>
      <c r="AK700" s="35">
        <v>19</v>
      </c>
      <c r="AL700" s="35">
        <v>20.7</v>
      </c>
      <c r="AM700" s="35">
        <v>19</v>
      </c>
      <c r="AN700" s="35">
        <v>20.3</v>
      </c>
      <c r="AO700" s="35">
        <v>19</v>
      </c>
      <c r="AP700" s="35">
        <v>18.899999999999999</v>
      </c>
      <c r="AQ700" s="35">
        <v>19</v>
      </c>
      <c r="AR700" s="35">
        <v>20.8</v>
      </c>
      <c r="AS700" s="35">
        <v>19</v>
      </c>
      <c r="AT700" s="35">
        <v>20.2</v>
      </c>
      <c r="AU700" s="35">
        <v>19</v>
      </c>
      <c r="AV700" s="35">
        <v>20.8</v>
      </c>
      <c r="AW700" s="35">
        <v>19</v>
      </c>
      <c r="AX700" s="35">
        <v>21.2</v>
      </c>
      <c r="AY700" s="35">
        <v>20</v>
      </c>
      <c r="AZ700" s="35">
        <v>21.9</v>
      </c>
      <c r="BA700" s="35">
        <v>20</v>
      </c>
      <c r="BB700" s="35">
        <v>29.2</v>
      </c>
      <c r="BC700" s="35">
        <v>40</v>
      </c>
      <c r="BD700" s="35">
        <v>28.4</v>
      </c>
      <c r="BE700" s="35">
        <v>40</v>
      </c>
      <c r="BF700" s="35">
        <v>21.8</v>
      </c>
      <c r="BG700" s="35">
        <v>20</v>
      </c>
    </row>
    <row r="701" spans="1:59" x14ac:dyDescent="0.35">
      <c r="A701" s="36">
        <v>46059.949305555558</v>
      </c>
      <c r="B701" s="35">
        <v>1.5</v>
      </c>
      <c r="C701" s="35">
        <v>2</v>
      </c>
      <c r="D701" s="35">
        <v>1.9</v>
      </c>
      <c r="E701" s="35">
        <v>2.2000000000000002</v>
      </c>
      <c r="F701" s="35">
        <v>2</v>
      </c>
      <c r="G701" s="35">
        <v>2</v>
      </c>
      <c r="H701" s="35">
        <v>2.2999999999999998</v>
      </c>
      <c r="I701" s="35">
        <v>2</v>
      </c>
      <c r="J701" s="35">
        <v>1.7</v>
      </c>
      <c r="K701" s="35">
        <v>2</v>
      </c>
      <c r="L701" s="35">
        <v>2</v>
      </c>
      <c r="M701" s="35">
        <v>2</v>
      </c>
      <c r="N701" s="35">
        <v>3.3</v>
      </c>
      <c r="O701" s="35">
        <v>3</v>
      </c>
      <c r="P701" s="35">
        <v>3.5</v>
      </c>
      <c r="Q701" s="35">
        <v>2</v>
      </c>
      <c r="R701" s="35">
        <v>2.6</v>
      </c>
      <c r="S701" s="35">
        <v>2</v>
      </c>
      <c r="T701" s="35">
        <v>3.5</v>
      </c>
      <c r="U701" s="35">
        <v>2</v>
      </c>
      <c r="V701" s="35">
        <v>10.5</v>
      </c>
      <c r="W701" s="35">
        <v>9</v>
      </c>
      <c r="X701" s="35">
        <v>8.5</v>
      </c>
      <c r="Y701" s="35">
        <v>9</v>
      </c>
      <c r="Z701" s="35">
        <v>10.4</v>
      </c>
      <c r="AA701" s="35">
        <v>9</v>
      </c>
      <c r="AB701" s="35">
        <v>10.8</v>
      </c>
      <c r="AC701" s="35">
        <v>9</v>
      </c>
      <c r="AD701" s="35">
        <v>19.7</v>
      </c>
      <c r="AE701" s="35">
        <v>19</v>
      </c>
      <c r="AF701" s="35">
        <v>20.100000000000001</v>
      </c>
      <c r="AG701" s="35">
        <v>19</v>
      </c>
      <c r="AH701" s="35">
        <v>20.8</v>
      </c>
      <c r="AI701" s="35">
        <v>19</v>
      </c>
      <c r="AJ701" s="35">
        <v>19.2</v>
      </c>
      <c r="AK701" s="35">
        <v>19</v>
      </c>
      <c r="AL701" s="35">
        <v>20.8</v>
      </c>
      <c r="AM701" s="35">
        <v>19</v>
      </c>
      <c r="AN701" s="35">
        <v>20.399999999999999</v>
      </c>
      <c r="AO701" s="35">
        <v>19</v>
      </c>
      <c r="AP701" s="35">
        <v>18.8</v>
      </c>
      <c r="AQ701" s="35">
        <v>19</v>
      </c>
      <c r="AR701" s="35">
        <v>20.8</v>
      </c>
      <c r="AS701" s="35">
        <v>19</v>
      </c>
      <c r="AT701" s="35">
        <v>20.3</v>
      </c>
      <c r="AU701" s="35">
        <v>19</v>
      </c>
      <c r="AV701" s="35">
        <v>20.8</v>
      </c>
      <c r="AW701" s="35">
        <v>19</v>
      </c>
      <c r="AX701" s="35">
        <v>21.2</v>
      </c>
      <c r="AY701" s="35">
        <v>20</v>
      </c>
      <c r="AZ701" s="35">
        <v>21.9</v>
      </c>
      <c r="BA701" s="35">
        <v>20</v>
      </c>
      <c r="BB701" s="35">
        <v>29.2</v>
      </c>
      <c r="BC701" s="35">
        <v>40</v>
      </c>
      <c r="BD701" s="35">
        <v>28.4</v>
      </c>
      <c r="BE701" s="35">
        <v>40</v>
      </c>
      <c r="BF701" s="35">
        <v>21.8</v>
      </c>
      <c r="BG701" s="35">
        <v>20</v>
      </c>
    </row>
    <row r="702" spans="1:59" x14ac:dyDescent="0.35">
      <c r="A702" s="36">
        <v>46059.95</v>
      </c>
      <c r="B702" s="35">
        <v>1.6</v>
      </c>
      <c r="C702" s="35">
        <v>2</v>
      </c>
      <c r="D702" s="35">
        <v>2.1</v>
      </c>
      <c r="E702" s="35">
        <v>2.2000000000000002</v>
      </c>
      <c r="F702" s="35">
        <v>2.5</v>
      </c>
      <c r="G702" s="35">
        <v>2</v>
      </c>
      <c r="H702" s="35">
        <v>2.7</v>
      </c>
      <c r="I702" s="35">
        <v>2</v>
      </c>
      <c r="J702" s="35">
        <v>1.9</v>
      </c>
      <c r="K702" s="35">
        <v>2</v>
      </c>
      <c r="L702" s="35">
        <v>2.2999999999999998</v>
      </c>
      <c r="M702" s="35">
        <v>2</v>
      </c>
      <c r="N702" s="35">
        <v>3.5</v>
      </c>
      <c r="O702" s="35">
        <v>3</v>
      </c>
      <c r="P702" s="35">
        <v>3.7</v>
      </c>
      <c r="Q702" s="35">
        <v>2</v>
      </c>
      <c r="R702" s="35">
        <v>2.5</v>
      </c>
      <c r="S702" s="35">
        <v>2</v>
      </c>
      <c r="T702" s="35">
        <v>3.5</v>
      </c>
      <c r="U702" s="35">
        <v>2</v>
      </c>
      <c r="V702" s="35">
        <v>10.9</v>
      </c>
      <c r="W702" s="35">
        <v>9</v>
      </c>
      <c r="X702" s="35">
        <v>8.1999999999999993</v>
      </c>
      <c r="Y702" s="35">
        <v>9</v>
      </c>
      <c r="Z702" s="35">
        <v>10.6</v>
      </c>
      <c r="AA702" s="35">
        <v>9</v>
      </c>
      <c r="AB702" s="35">
        <v>9.4</v>
      </c>
      <c r="AC702" s="35">
        <v>9</v>
      </c>
      <c r="AD702" s="35">
        <v>19.2</v>
      </c>
      <c r="AE702" s="35">
        <v>19</v>
      </c>
      <c r="AF702" s="35">
        <v>19.3</v>
      </c>
      <c r="AG702" s="35">
        <v>19</v>
      </c>
      <c r="AH702" s="35">
        <v>20.8</v>
      </c>
      <c r="AI702" s="35">
        <v>19</v>
      </c>
      <c r="AJ702" s="35">
        <v>19.3</v>
      </c>
      <c r="AK702" s="35">
        <v>19</v>
      </c>
      <c r="AL702" s="35">
        <v>20.9</v>
      </c>
      <c r="AM702" s="35">
        <v>19</v>
      </c>
      <c r="AN702" s="35">
        <v>20.5</v>
      </c>
      <c r="AO702" s="35">
        <v>19</v>
      </c>
      <c r="AP702" s="35">
        <v>18.8</v>
      </c>
      <c r="AQ702" s="35">
        <v>19</v>
      </c>
      <c r="AR702" s="35">
        <v>20.8</v>
      </c>
      <c r="AS702" s="35">
        <v>19</v>
      </c>
      <c r="AT702" s="35">
        <v>20.399999999999999</v>
      </c>
      <c r="AU702" s="35">
        <v>19</v>
      </c>
      <c r="AV702" s="35">
        <v>20.9</v>
      </c>
      <c r="AW702" s="35">
        <v>19</v>
      </c>
      <c r="AX702" s="35">
        <v>21.2</v>
      </c>
      <c r="AY702" s="35">
        <v>20</v>
      </c>
      <c r="AZ702" s="35">
        <v>21.9</v>
      </c>
      <c r="BA702" s="35">
        <v>20</v>
      </c>
      <c r="BB702" s="35">
        <v>29.2</v>
      </c>
      <c r="BC702" s="35">
        <v>40</v>
      </c>
      <c r="BD702" s="35">
        <v>28.4</v>
      </c>
      <c r="BE702" s="35">
        <v>40</v>
      </c>
      <c r="BF702" s="35">
        <v>21.8</v>
      </c>
      <c r="BG702" s="35">
        <v>20</v>
      </c>
    </row>
    <row r="703" spans="1:59" x14ac:dyDescent="0.35">
      <c r="A703" s="36">
        <v>46059.950694444444</v>
      </c>
      <c r="B703" s="35">
        <v>2</v>
      </c>
      <c r="C703" s="35">
        <v>2</v>
      </c>
      <c r="D703" s="35">
        <v>2.4</v>
      </c>
      <c r="E703" s="35">
        <v>2.2000000000000002</v>
      </c>
      <c r="F703" s="35">
        <v>2.9</v>
      </c>
      <c r="G703" s="35">
        <v>2</v>
      </c>
      <c r="H703" s="35">
        <v>3.1</v>
      </c>
      <c r="I703" s="35">
        <v>2</v>
      </c>
      <c r="J703" s="35">
        <v>2.2000000000000002</v>
      </c>
      <c r="K703" s="35">
        <v>2</v>
      </c>
      <c r="L703" s="35">
        <v>2.6</v>
      </c>
      <c r="M703" s="35">
        <v>2</v>
      </c>
      <c r="N703" s="35">
        <v>3.7</v>
      </c>
      <c r="O703" s="35">
        <v>3</v>
      </c>
      <c r="P703" s="35">
        <v>3.8</v>
      </c>
      <c r="Q703" s="35">
        <v>2</v>
      </c>
      <c r="R703" s="35">
        <v>2.8</v>
      </c>
      <c r="S703" s="35">
        <v>2</v>
      </c>
      <c r="T703" s="35">
        <v>3.5</v>
      </c>
      <c r="U703" s="35">
        <v>2</v>
      </c>
      <c r="V703" s="35">
        <v>11.3</v>
      </c>
      <c r="W703" s="35">
        <v>9</v>
      </c>
      <c r="X703" s="35">
        <v>8.1999999999999993</v>
      </c>
      <c r="Y703" s="35">
        <v>9</v>
      </c>
      <c r="Z703" s="35">
        <v>10.7</v>
      </c>
      <c r="AA703" s="35">
        <v>9</v>
      </c>
      <c r="AB703" s="35">
        <v>9</v>
      </c>
      <c r="AC703" s="35">
        <v>9</v>
      </c>
      <c r="AD703" s="35">
        <v>18.899999999999999</v>
      </c>
      <c r="AE703" s="35">
        <v>19</v>
      </c>
      <c r="AF703" s="35">
        <v>18.399999999999999</v>
      </c>
      <c r="AG703" s="35">
        <v>19</v>
      </c>
      <c r="AH703" s="35">
        <v>20.9</v>
      </c>
      <c r="AI703" s="35">
        <v>19</v>
      </c>
      <c r="AJ703" s="35">
        <v>19.399999999999999</v>
      </c>
      <c r="AK703" s="35">
        <v>19</v>
      </c>
      <c r="AL703" s="35">
        <v>21</v>
      </c>
      <c r="AM703" s="35">
        <v>19</v>
      </c>
      <c r="AN703" s="35">
        <v>20.6</v>
      </c>
      <c r="AO703" s="35">
        <v>19</v>
      </c>
      <c r="AP703" s="35">
        <v>18.899999999999999</v>
      </c>
      <c r="AQ703" s="35">
        <v>19</v>
      </c>
      <c r="AR703" s="35">
        <v>20.8</v>
      </c>
      <c r="AS703" s="35">
        <v>19</v>
      </c>
      <c r="AT703" s="35">
        <v>20.5</v>
      </c>
      <c r="AU703" s="35">
        <v>19</v>
      </c>
      <c r="AV703" s="35">
        <v>20.9</v>
      </c>
      <c r="AW703" s="35">
        <v>19</v>
      </c>
      <c r="AX703" s="35">
        <v>21.3</v>
      </c>
      <c r="AY703" s="35">
        <v>20</v>
      </c>
      <c r="AZ703" s="35">
        <v>21.9</v>
      </c>
      <c r="BA703" s="35">
        <v>20</v>
      </c>
      <c r="BB703" s="35">
        <v>29.2</v>
      </c>
      <c r="BC703" s="35">
        <v>40</v>
      </c>
      <c r="BD703" s="35">
        <v>28.4</v>
      </c>
      <c r="BE703" s="35">
        <v>40</v>
      </c>
      <c r="BF703" s="35">
        <v>21.8</v>
      </c>
      <c r="BG703" s="35">
        <v>20</v>
      </c>
    </row>
    <row r="704" spans="1:59" x14ac:dyDescent="0.35">
      <c r="A704" s="36">
        <v>46059.951388888891</v>
      </c>
      <c r="B704" s="35">
        <v>2.4</v>
      </c>
      <c r="C704" s="35">
        <v>2</v>
      </c>
      <c r="D704" s="35">
        <v>2.9</v>
      </c>
      <c r="E704" s="35">
        <v>2.2000000000000002</v>
      </c>
      <c r="F704" s="35">
        <v>3.3</v>
      </c>
      <c r="G704" s="35">
        <v>2</v>
      </c>
      <c r="H704" s="35">
        <v>3.5</v>
      </c>
      <c r="I704" s="35">
        <v>2</v>
      </c>
      <c r="J704" s="35">
        <v>2.5</v>
      </c>
      <c r="K704" s="35">
        <v>2</v>
      </c>
      <c r="L704" s="35">
        <v>3</v>
      </c>
      <c r="M704" s="35">
        <v>2</v>
      </c>
      <c r="N704" s="35">
        <v>3.9</v>
      </c>
      <c r="O704" s="35">
        <v>3</v>
      </c>
      <c r="P704" s="35">
        <v>3.9</v>
      </c>
      <c r="Q704" s="35">
        <v>2</v>
      </c>
      <c r="R704" s="35">
        <v>3.2</v>
      </c>
      <c r="S704" s="35">
        <v>2</v>
      </c>
      <c r="T704" s="35">
        <v>3.5</v>
      </c>
      <c r="U704" s="35">
        <v>2</v>
      </c>
      <c r="V704" s="35">
        <v>10.7</v>
      </c>
      <c r="W704" s="35">
        <v>9</v>
      </c>
      <c r="X704" s="35">
        <v>8.3000000000000007</v>
      </c>
      <c r="Y704" s="35">
        <v>9</v>
      </c>
      <c r="Z704" s="35">
        <v>10.8</v>
      </c>
      <c r="AA704" s="35">
        <v>9</v>
      </c>
      <c r="AB704" s="35">
        <v>8.9</v>
      </c>
      <c r="AC704" s="35">
        <v>9</v>
      </c>
      <c r="AD704" s="35">
        <v>19</v>
      </c>
      <c r="AE704" s="35">
        <v>19</v>
      </c>
      <c r="AF704" s="35">
        <v>18.3</v>
      </c>
      <c r="AG704" s="35">
        <v>19</v>
      </c>
      <c r="AH704" s="35">
        <v>20.9</v>
      </c>
      <c r="AI704" s="35">
        <v>19</v>
      </c>
      <c r="AJ704" s="35">
        <v>19.600000000000001</v>
      </c>
      <c r="AK704" s="35">
        <v>19</v>
      </c>
      <c r="AL704" s="35">
        <v>20.7</v>
      </c>
      <c r="AM704" s="35">
        <v>19</v>
      </c>
      <c r="AN704" s="35">
        <v>20.6</v>
      </c>
      <c r="AO704" s="35">
        <v>19</v>
      </c>
      <c r="AP704" s="35">
        <v>19</v>
      </c>
      <c r="AQ704" s="35">
        <v>19</v>
      </c>
      <c r="AR704" s="35">
        <v>20.8</v>
      </c>
      <c r="AS704" s="35">
        <v>19</v>
      </c>
      <c r="AT704" s="35">
        <v>20.6</v>
      </c>
      <c r="AU704" s="35">
        <v>19</v>
      </c>
      <c r="AV704" s="35">
        <v>20.9</v>
      </c>
      <c r="AW704" s="35">
        <v>19</v>
      </c>
      <c r="AX704" s="35">
        <v>21.3</v>
      </c>
      <c r="AY704" s="35">
        <v>20</v>
      </c>
      <c r="AZ704" s="35">
        <v>21.9</v>
      </c>
      <c r="BA704" s="35">
        <v>20</v>
      </c>
      <c r="BB704" s="35">
        <v>29.2</v>
      </c>
      <c r="BC704" s="35">
        <v>40</v>
      </c>
      <c r="BD704" s="35">
        <v>28.4</v>
      </c>
      <c r="BE704" s="35">
        <v>40</v>
      </c>
      <c r="BF704" s="35">
        <v>21.8</v>
      </c>
      <c r="BG704" s="35">
        <v>20</v>
      </c>
    </row>
    <row r="705" spans="1:59" x14ac:dyDescent="0.35">
      <c r="A705" s="36">
        <v>46059.95208333333</v>
      </c>
      <c r="B705" s="35">
        <v>2.8</v>
      </c>
      <c r="C705" s="35">
        <v>2</v>
      </c>
      <c r="D705" s="35">
        <v>3.3</v>
      </c>
      <c r="E705" s="35">
        <v>2.2000000000000002</v>
      </c>
      <c r="F705" s="35">
        <v>3.7</v>
      </c>
      <c r="G705" s="35">
        <v>2</v>
      </c>
      <c r="H705" s="35">
        <v>3.9</v>
      </c>
      <c r="I705" s="35">
        <v>2</v>
      </c>
      <c r="J705" s="35">
        <v>2.6</v>
      </c>
      <c r="K705" s="35">
        <v>2</v>
      </c>
      <c r="L705" s="35">
        <v>3.3</v>
      </c>
      <c r="M705" s="35">
        <v>2</v>
      </c>
      <c r="N705" s="35">
        <v>3.4</v>
      </c>
      <c r="O705" s="35">
        <v>3</v>
      </c>
      <c r="P705" s="35">
        <v>3.7</v>
      </c>
      <c r="Q705" s="35">
        <v>2</v>
      </c>
      <c r="R705" s="35">
        <v>3.3</v>
      </c>
      <c r="S705" s="35">
        <v>2</v>
      </c>
      <c r="T705" s="35">
        <v>3.5</v>
      </c>
      <c r="U705" s="35">
        <v>2</v>
      </c>
      <c r="V705" s="35">
        <v>8.8000000000000007</v>
      </c>
      <c r="W705" s="35">
        <v>9</v>
      </c>
      <c r="X705" s="35">
        <v>8.6</v>
      </c>
      <c r="Y705" s="35">
        <v>9</v>
      </c>
      <c r="Z705" s="35">
        <v>10.9</v>
      </c>
      <c r="AA705" s="35">
        <v>9</v>
      </c>
      <c r="AB705" s="35">
        <v>9.1</v>
      </c>
      <c r="AC705" s="35">
        <v>9</v>
      </c>
      <c r="AD705" s="35">
        <v>19.2</v>
      </c>
      <c r="AE705" s="35">
        <v>19</v>
      </c>
      <c r="AF705" s="35">
        <v>18.3</v>
      </c>
      <c r="AG705" s="35">
        <v>19</v>
      </c>
      <c r="AH705" s="35">
        <v>20.9</v>
      </c>
      <c r="AI705" s="35">
        <v>19</v>
      </c>
      <c r="AJ705" s="35">
        <v>19.7</v>
      </c>
      <c r="AK705" s="35">
        <v>19</v>
      </c>
      <c r="AL705" s="35">
        <v>20.3</v>
      </c>
      <c r="AM705" s="35">
        <v>19</v>
      </c>
      <c r="AN705" s="35">
        <v>20.7</v>
      </c>
      <c r="AO705" s="35">
        <v>19</v>
      </c>
      <c r="AP705" s="35">
        <v>19.2</v>
      </c>
      <c r="AQ705" s="35">
        <v>19</v>
      </c>
      <c r="AR705" s="35">
        <v>20.8</v>
      </c>
      <c r="AS705" s="35">
        <v>19</v>
      </c>
      <c r="AT705" s="35">
        <v>20.7</v>
      </c>
      <c r="AU705" s="35">
        <v>19</v>
      </c>
      <c r="AV705" s="35">
        <v>20.9</v>
      </c>
      <c r="AW705" s="35">
        <v>19</v>
      </c>
      <c r="AX705" s="35">
        <v>21.3</v>
      </c>
      <c r="AY705" s="35">
        <v>20</v>
      </c>
      <c r="AZ705" s="35">
        <v>21.9</v>
      </c>
      <c r="BA705" s="35">
        <v>20</v>
      </c>
      <c r="BB705" s="35">
        <v>29.2</v>
      </c>
      <c r="BC705" s="35">
        <v>40</v>
      </c>
      <c r="BD705" s="35">
        <v>28.4</v>
      </c>
      <c r="BE705" s="35">
        <v>40</v>
      </c>
      <c r="BF705" s="35">
        <v>21.8</v>
      </c>
      <c r="BG705" s="35">
        <v>20</v>
      </c>
    </row>
    <row r="706" spans="1:59" x14ac:dyDescent="0.35">
      <c r="A706" s="36">
        <v>46059.952777777777</v>
      </c>
      <c r="B706" s="35">
        <v>3.1</v>
      </c>
      <c r="C706" s="35">
        <v>2</v>
      </c>
      <c r="D706" s="35">
        <v>3.6</v>
      </c>
      <c r="E706" s="35">
        <v>2.2000000000000002</v>
      </c>
      <c r="F706" s="35">
        <v>3.5</v>
      </c>
      <c r="G706" s="35">
        <v>2</v>
      </c>
      <c r="H706" s="35">
        <v>3.4</v>
      </c>
      <c r="I706" s="35">
        <v>2</v>
      </c>
      <c r="J706" s="35">
        <v>2.7</v>
      </c>
      <c r="K706" s="35">
        <v>2</v>
      </c>
      <c r="L706" s="35">
        <v>3.5</v>
      </c>
      <c r="M706" s="35">
        <v>2</v>
      </c>
      <c r="N706" s="35">
        <v>1.8</v>
      </c>
      <c r="O706" s="35">
        <v>3</v>
      </c>
      <c r="P706" s="35">
        <v>2.5</v>
      </c>
      <c r="Q706" s="35">
        <v>2</v>
      </c>
      <c r="R706" s="35">
        <v>2.9</v>
      </c>
      <c r="S706" s="35">
        <v>2</v>
      </c>
      <c r="T706" s="35">
        <v>3.9</v>
      </c>
      <c r="U706" s="35">
        <v>2</v>
      </c>
      <c r="V706" s="35">
        <v>8.4</v>
      </c>
      <c r="W706" s="35">
        <v>9</v>
      </c>
      <c r="X706" s="35">
        <v>8.8000000000000007</v>
      </c>
      <c r="Y706" s="35">
        <v>9</v>
      </c>
      <c r="Z706" s="35">
        <v>10.9</v>
      </c>
      <c r="AA706" s="35">
        <v>9</v>
      </c>
      <c r="AB706" s="35">
        <v>9.5</v>
      </c>
      <c r="AC706" s="35">
        <v>9</v>
      </c>
      <c r="AD706" s="35">
        <v>19.3</v>
      </c>
      <c r="AE706" s="35">
        <v>19</v>
      </c>
      <c r="AF706" s="35">
        <v>18.3</v>
      </c>
      <c r="AG706" s="35">
        <v>19</v>
      </c>
      <c r="AH706" s="35">
        <v>20.9</v>
      </c>
      <c r="AI706" s="35">
        <v>19</v>
      </c>
      <c r="AJ706" s="35">
        <v>19.8</v>
      </c>
      <c r="AK706" s="35">
        <v>19</v>
      </c>
      <c r="AL706" s="35">
        <v>20</v>
      </c>
      <c r="AM706" s="35">
        <v>19</v>
      </c>
      <c r="AN706" s="35">
        <v>20.8</v>
      </c>
      <c r="AO706" s="35">
        <v>19</v>
      </c>
      <c r="AP706" s="35">
        <v>19.3</v>
      </c>
      <c r="AQ706" s="35">
        <v>19</v>
      </c>
      <c r="AR706" s="35">
        <v>20.8</v>
      </c>
      <c r="AS706" s="35">
        <v>19</v>
      </c>
      <c r="AT706" s="35">
        <v>20.7</v>
      </c>
      <c r="AU706" s="35">
        <v>19</v>
      </c>
      <c r="AV706" s="35">
        <v>21</v>
      </c>
      <c r="AW706" s="35">
        <v>19</v>
      </c>
      <c r="AX706" s="35">
        <v>21.3</v>
      </c>
      <c r="AY706" s="35">
        <v>20</v>
      </c>
      <c r="AZ706" s="35">
        <v>21.9</v>
      </c>
      <c r="BA706" s="35">
        <v>20</v>
      </c>
      <c r="BB706" s="35">
        <v>29.2</v>
      </c>
      <c r="BC706" s="35">
        <v>40</v>
      </c>
      <c r="BD706" s="35">
        <v>28.4</v>
      </c>
      <c r="BE706" s="35">
        <v>40</v>
      </c>
      <c r="BF706" s="35">
        <v>21.8</v>
      </c>
      <c r="BG706" s="35">
        <v>20</v>
      </c>
    </row>
    <row r="707" spans="1:59" x14ac:dyDescent="0.35">
      <c r="A707" s="36">
        <v>46059.953472222223</v>
      </c>
      <c r="B707" s="35">
        <v>3.4</v>
      </c>
      <c r="C707" s="35">
        <v>2</v>
      </c>
      <c r="D707" s="35">
        <v>3.9</v>
      </c>
      <c r="E707" s="35">
        <v>2.2000000000000002</v>
      </c>
      <c r="F707" s="35">
        <v>3.2</v>
      </c>
      <c r="G707" s="35">
        <v>2</v>
      </c>
      <c r="H707" s="35">
        <v>3</v>
      </c>
      <c r="I707" s="35">
        <v>2</v>
      </c>
      <c r="J707" s="35">
        <v>3.1</v>
      </c>
      <c r="K707" s="35">
        <v>2</v>
      </c>
      <c r="L707" s="35">
        <v>3.7</v>
      </c>
      <c r="M707" s="35">
        <v>2</v>
      </c>
      <c r="N707" s="35">
        <v>1.6</v>
      </c>
      <c r="O707" s="35">
        <v>3</v>
      </c>
      <c r="P707" s="35">
        <v>2</v>
      </c>
      <c r="Q707" s="35">
        <v>2</v>
      </c>
      <c r="R707" s="35">
        <v>2.8</v>
      </c>
      <c r="S707" s="35">
        <v>2</v>
      </c>
      <c r="T707" s="35">
        <v>3.6</v>
      </c>
      <c r="U707" s="35">
        <v>2</v>
      </c>
      <c r="V707" s="35">
        <v>9</v>
      </c>
      <c r="W707" s="35">
        <v>9</v>
      </c>
      <c r="X707" s="35">
        <v>9</v>
      </c>
      <c r="Y707" s="35">
        <v>9</v>
      </c>
      <c r="Z707" s="35">
        <v>11</v>
      </c>
      <c r="AA707" s="35">
        <v>9</v>
      </c>
      <c r="AB707" s="35">
        <v>9.9</v>
      </c>
      <c r="AC707" s="35">
        <v>9</v>
      </c>
      <c r="AD707" s="35">
        <v>19.399999999999999</v>
      </c>
      <c r="AE707" s="35">
        <v>19</v>
      </c>
      <c r="AF707" s="35">
        <v>18.3</v>
      </c>
      <c r="AG707" s="35">
        <v>19</v>
      </c>
      <c r="AH707" s="35">
        <v>19.899999999999999</v>
      </c>
      <c r="AI707" s="35">
        <v>19</v>
      </c>
      <c r="AJ707" s="35">
        <v>19.899999999999999</v>
      </c>
      <c r="AK707" s="35">
        <v>19</v>
      </c>
      <c r="AL707" s="35">
        <v>19.8</v>
      </c>
      <c r="AM707" s="35">
        <v>19</v>
      </c>
      <c r="AN707" s="35">
        <v>20.9</v>
      </c>
      <c r="AO707" s="35">
        <v>19</v>
      </c>
      <c r="AP707" s="35">
        <v>19.399999999999999</v>
      </c>
      <c r="AQ707" s="35">
        <v>19</v>
      </c>
      <c r="AR707" s="35">
        <v>20.8</v>
      </c>
      <c r="AS707" s="35">
        <v>19</v>
      </c>
      <c r="AT707" s="35">
        <v>20.8</v>
      </c>
      <c r="AU707" s="35">
        <v>19</v>
      </c>
      <c r="AV707" s="35">
        <v>19.600000000000001</v>
      </c>
      <c r="AW707" s="35">
        <v>19</v>
      </c>
      <c r="AX707" s="35">
        <v>21.3</v>
      </c>
      <c r="AY707" s="35">
        <v>20</v>
      </c>
      <c r="AZ707" s="35">
        <v>21.9</v>
      </c>
      <c r="BA707" s="35">
        <v>20</v>
      </c>
      <c r="BB707" s="35">
        <v>29.2</v>
      </c>
      <c r="BC707" s="35">
        <v>40</v>
      </c>
      <c r="BD707" s="35">
        <v>28.4</v>
      </c>
      <c r="BE707" s="35">
        <v>40</v>
      </c>
      <c r="BF707" s="35">
        <v>21.8</v>
      </c>
      <c r="BG707" s="35">
        <v>20</v>
      </c>
    </row>
    <row r="708" spans="1:59" x14ac:dyDescent="0.35">
      <c r="A708" s="36">
        <v>46059.95416666667</v>
      </c>
      <c r="B708" s="35">
        <v>3.7</v>
      </c>
      <c r="C708" s="35">
        <v>2</v>
      </c>
      <c r="D708" s="35">
        <v>4.2</v>
      </c>
      <c r="E708" s="35">
        <v>2.2000000000000002</v>
      </c>
      <c r="F708" s="35">
        <v>3.2</v>
      </c>
      <c r="G708" s="35">
        <v>2</v>
      </c>
      <c r="H708" s="35">
        <v>2.9</v>
      </c>
      <c r="I708" s="35">
        <v>2</v>
      </c>
      <c r="J708" s="35">
        <v>3.2</v>
      </c>
      <c r="K708" s="35">
        <v>2</v>
      </c>
      <c r="L708" s="35">
        <v>3.9</v>
      </c>
      <c r="M708" s="35">
        <v>2</v>
      </c>
      <c r="N708" s="35">
        <v>1.7</v>
      </c>
      <c r="O708" s="35">
        <v>3</v>
      </c>
      <c r="P708" s="35">
        <v>2.1</v>
      </c>
      <c r="Q708" s="35">
        <v>2</v>
      </c>
      <c r="R708" s="35">
        <v>2.7</v>
      </c>
      <c r="S708" s="35">
        <v>2</v>
      </c>
      <c r="T708" s="35">
        <v>2.8</v>
      </c>
      <c r="U708" s="35">
        <v>2</v>
      </c>
      <c r="V708" s="35">
        <v>9.6999999999999993</v>
      </c>
      <c r="W708" s="35">
        <v>9</v>
      </c>
      <c r="X708" s="35">
        <v>9.1999999999999993</v>
      </c>
      <c r="Y708" s="35">
        <v>9</v>
      </c>
      <c r="Z708" s="35">
        <v>10.1</v>
      </c>
      <c r="AA708" s="35">
        <v>9</v>
      </c>
      <c r="AB708" s="35">
        <v>10.199999999999999</v>
      </c>
      <c r="AC708" s="35">
        <v>9</v>
      </c>
      <c r="AD708" s="35">
        <v>19.5</v>
      </c>
      <c r="AE708" s="35">
        <v>19</v>
      </c>
      <c r="AF708" s="35">
        <v>18.399999999999999</v>
      </c>
      <c r="AG708" s="35">
        <v>19</v>
      </c>
      <c r="AH708" s="35">
        <v>19.100000000000001</v>
      </c>
      <c r="AI708" s="35">
        <v>19</v>
      </c>
      <c r="AJ708" s="35">
        <v>20</v>
      </c>
      <c r="AK708" s="35">
        <v>19</v>
      </c>
      <c r="AL708" s="35">
        <v>19.8</v>
      </c>
      <c r="AM708" s="35">
        <v>19</v>
      </c>
      <c r="AN708" s="35">
        <v>20.9</v>
      </c>
      <c r="AO708" s="35">
        <v>19</v>
      </c>
      <c r="AP708" s="35">
        <v>19.5</v>
      </c>
      <c r="AQ708" s="35">
        <v>19</v>
      </c>
      <c r="AR708" s="35">
        <v>20.8</v>
      </c>
      <c r="AS708" s="35">
        <v>19</v>
      </c>
      <c r="AT708" s="35">
        <v>20.9</v>
      </c>
      <c r="AU708" s="35">
        <v>19</v>
      </c>
      <c r="AV708" s="35">
        <v>18.7</v>
      </c>
      <c r="AW708" s="35">
        <v>19</v>
      </c>
      <c r="AX708" s="35">
        <v>21.2</v>
      </c>
      <c r="AY708" s="35">
        <v>20</v>
      </c>
      <c r="AZ708" s="35">
        <v>21.9</v>
      </c>
      <c r="BA708" s="35">
        <v>20</v>
      </c>
      <c r="BB708" s="35">
        <v>29.2</v>
      </c>
      <c r="BC708" s="35">
        <v>40</v>
      </c>
      <c r="BD708" s="35">
        <v>28.4</v>
      </c>
      <c r="BE708" s="35">
        <v>40</v>
      </c>
      <c r="BF708" s="35">
        <v>21.8</v>
      </c>
      <c r="BG708" s="35">
        <v>20</v>
      </c>
    </row>
    <row r="709" spans="1:59" x14ac:dyDescent="0.35">
      <c r="A709" s="36">
        <v>46059.954861111109</v>
      </c>
      <c r="B709" s="35">
        <v>3.7</v>
      </c>
      <c r="C709" s="35">
        <v>2</v>
      </c>
      <c r="D709" s="35">
        <v>4</v>
      </c>
      <c r="E709" s="35">
        <v>2.2000000000000002</v>
      </c>
      <c r="F709" s="35">
        <v>3.2</v>
      </c>
      <c r="G709" s="35">
        <v>2</v>
      </c>
      <c r="H709" s="35">
        <v>2.8</v>
      </c>
      <c r="I709" s="35">
        <v>2</v>
      </c>
      <c r="J709" s="35">
        <v>3.2</v>
      </c>
      <c r="K709" s="35">
        <v>2</v>
      </c>
      <c r="L709" s="35">
        <v>3.3</v>
      </c>
      <c r="M709" s="35">
        <v>2</v>
      </c>
      <c r="N709" s="35">
        <v>2</v>
      </c>
      <c r="O709" s="35">
        <v>3</v>
      </c>
      <c r="P709" s="35">
        <v>2.5</v>
      </c>
      <c r="Q709" s="35">
        <v>2</v>
      </c>
      <c r="R709" s="35">
        <v>1.7</v>
      </c>
      <c r="S709" s="35">
        <v>2</v>
      </c>
      <c r="T709" s="35">
        <v>1.8</v>
      </c>
      <c r="U709" s="35">
        <v>2</v>
      </c>
      <c r="V709" s="35">
        <v>10.199999999999999</v>
      </c>
      <c r="W709" s="35">
        <v>9</v>
      </c>
      <c r="X709" s="35">
        <v>9.4</v>
      </c>
      <c r="Y709" s="35">
        <v>9</v>
      </c>
      <c r="Z709" s="35">
        <v>9</v>
      </c>
      <c r="AA709" s="35">
        <v>9</v>
      </c>
      <c r="AB709" s="35">
        <v>10.5</v>
      </c>
      <c r="AC709" s="35">
        <v>9</v>
      </c>
      <c r="AD709" s="35">
        <v>19.600000000000001</v>
      </c>
      <c r="AE709" s="35">
        <v>19</v>
      </c>
      <c r="AF709" s="35">
        <v>18.5</v>
      </c>
      <c r="AG709" s="35">
        <v>19</v>
      </c>
      <c r="AH709" s="35">
        <v>18.5</v>
      </c>
      <c r="AI709" s="35">
        <v>19</v>
      </c>
      <c r="AJ709" s="35">
        <v>20</v>
      </c>
      <c r="AK709" s="35">
        <v>19</v>
      </c>
      <c r="AL709" s="35">
        <v>19.7</v>
      </c>
      <c r="AM709" s="35">
        <v>19</v>
      </c>
      <c r="AN709" s="35">
        <v>21</v>
      </c>
      <c r="AO709" s="35">
        <v>19</v>
      </c>
      <c r="AP709" s="35">
        <v>19.600000000000001</v>
      </c>
      <c r="AQ709" s="35">
        <v>19</v>
      </c>
      <c r="AR709" s="35">
        <v>20.8</v>
      </c>
      <c r="AS709" s="35">
        <v>19</v>
      </c>
      <c r="AT709" s="35">
        <v>21</v>
      </c>
      <c r="AU709" s="35">
        <v>19</v>
      </c>
      <c r="AV709" s="35">
        <v>18.600000000000001</v>
      </c>
      <c r="AW709" s="35">
        <v>19</v>
      </c>
      <c r="AX709" s="35">
        <v>21.2</v>
      </c>
      <c r="AY709" s="35">
        <v>20</v>
      </c>
      <c r="AZ709" s="35">
        <v>21.9</v>
      </c>
      <c r="BA709" s="35">
        <v>20</v>
      </c>
      <c r="BB709" s="35">
        <v>29.2</v>
      </c>
      <c r="BC709" s="35">
        <v>40</v>
      </c>
      <c r="BD709" s="35">
        <v>28.4</v>
      </c>
      <c r="BE709" s="35">
        <v>40</v>
      </c>
      <c r="BF709" s="35">
        <v>21.8</v>
      </c>
      <c r="BG709" s="35">
        <v>20</v>
      </c>
    </row>
    <row r="710" spans="1:59" x14ac:dyDescent="0.35">
      <c r="A710" s="36">
        <v>46059.955555555556</v>
      </c>
      <c r="B710" s="35">
        <v>3.7</v>
      </c>
      <c r="C710" s="35">
        <v>2</v>
      </c>
      <c r="D710" s="35">
        <v>4</v>
      </c>
      <c r="E710" s="35">
        <v>2.2000000000000002</v>
      </c>
      <c r="F710" s="35">
        <v>3.2</v>
      </c>
      <c r="G710" s="35">
        <v>2</v>
      </c>
      <c r="H710" s="35">
        <v>2.7</v>
      </c>
      <c r="I710" s="35">
        <v>2</v>
      </c>
      <c r="J710" s="35">
        <v>2.5</v>
      </c>
      <c r="K710" s="35">
        <v>2</v>
      </c>
      <c r="L710" s="35">
        <v>2</v>
      </c>
      <c r="M710" s="35">
        <v>2</v>
      </c>
      <c r="N710" s="35">
        <v>2.2999999999999998</v>
      </c>
      <c r="O710" s="35">
        <v>3</v>
      </c>
      <c r="P710" s="35">
        <v>2.7</v>
      </c>
      <c r="Q710" s="35">
        <v>2</v>
      </c>
      <c r="R710" s="35">
        <v>1.6</v>
      </c>
      <c r="S710" s="35">
        <v>2</v>
      </c>
      <c r="T710" s="35">
        <v>1.6</v>
      </c>
      <c r="U710" s="35">
        <v>2</v>
      </c>
      <c r="V710" s="35">
        <v>10.7</v>
      </c>
      <c r="W710" s="35">
        <v>9</v>
      </c>
      <c r="X710" s="35">
        <v>9.5</v>
      </c>
      <c r="Y710" s="35">
        <v>9</v>
      </c>
      <c r="Z710" s="35">
        <v>8.6</v>
      </c>
      <c r="AA710" s="35">
        <v>9</v>
      </c>
      <c r="AB710" s="35">
        <v>10.7</v>
      </c>
      <c r="AC710" s="35">
        <v>9</v>
      </c>
      <c r="AD710" s="35">
        <v>19.7</v>
      </c>
      <c r="AE710" s="35">
        <v>19</v>
      </c>
      <c r="AF710" s="35">
        <v>18.600000000000001</v>
      </c>
      <c r="AG710" s="35">
        <v>19</v>
      </c>
      <c r="AH710" s="35">
        <v>18.5</v>
      </c>
      <c r="AI710" s="35">
        <v>19</v>
      </c>
      <c r="AJ710" s="35">
        <v>20.100000000000001</v>
      </c>
      <c r="AK710" s="35">
        <v>19</v>
      </c>
      <c r="AL710" s="35">
        <v>19.600000000000001</v>
      </c>
      <c r="AM710" s="35">
        <v>19</v>
      </c>
      <c r="AN710" s="35">
        <v>20.6</v>
      </c>
      <c r="AO710" s="35">
        <v>19</v>
      </c>
      <c r="AP710" s="35">
        <v>19.7</v>
      </c>
      <c r="AQ710" s="35">
        <v>19</v>
      </c>
      <c r="AR710" s="35">
        <v>20.8</v>
      </c>
      <c r="AS710" s="35">
        <v>19</v>
      </c>
      <c r="AT710" s="35">
        <v>20.7</v>
      </c>
      <c r="AU710" s="35">
        <v>19</v>
      </c>
      <c r="AV710" s="35">
        <v>18.600000000000001</v>
      </c>
      <c r="AW710" s="35">
        <v>19</v>
      </c>
      <c r="AX710" s="35">
        <v>21.2</v>
      </c>
      <c r="AY710" s="35">
        <v>20</v>
      </c>
      <c r="AZ710" s="35">
        <v>21.9</v>
      </c>
      <c r="BA710" s="35">
        <v>20</v>
      </c>
      <c r="BB710" s="35">
        <v>29.2</v>
      </c>
      <c r="BC710" s="35">
        <v>40</v>
      </c>
      <c r="BD710" s="35">
        <v>28.3</v>
      </c>
      <c r="BE710" s="35">
        <v>40</v>
      </c>
      <c r="BF710" s="35">
        <v>21.8</v>
      </c>
      <c r="BG710" s="35">
        <v>20</v>
      </c>
    </row>
    <row r="711" spans="1:59" x14ac:dyDescent="0.35">
      <c r="A711" s="36">
        <v>46059.956250000003</v>
      </c>
      <c r="B711" s="35">
        <v>3.8</v>
      </c>
      <c r="C711" s="35">
        <v>2</v>
      </c>
      <c r="D711" s="35">
        <v>4.0999999999999996</v>
      </c>
      <c r="E711" s="35">
        <v>2.2000000000000002</v>
      </c>
      <c r="F711" s="35">
        <v>3.4</v>
      </c>
      <c r="G711" s="35">
        <v>2</v>
      </c>
      <c r="H711" s="35">
        <v>2.8</v>
      </c>
      <c r="I711" s="35">
        <v>2</v>
      </c>
      <c r="J711" s="35">
        <v>2.4</v>
      </c>
      <c r="K711" s="35">
        <v>2</v>
      </c>
      <c r="L711" s="35">
        <v>1.8</v>
      </c>
      <c r="M711" s="35">
        <v>2</v>
      </c>
      <c r="N711" s="35">
        <v>2.6</v>
      </c>
      <c r="O711" s="35">
        <v>3</v>
      </c>
      <c r="P711" s="35">
        <v>3</v>
      </c>
      <c r="Q711" s="35">
        <v>2</v>
      </c>
      <c r="R711" s="35">
        <v>1.6</v>
      </c>
      <c r="S711" s="35">
        <v>2</v>
      </c>
      <c r="T711" s="35">
        <v>1.9</v>
      </c>
      <c r="U711" s="35">
        <v>2</v>
      </c>
      <c r="V711" s="35">
        <v>10.7</v>
      </c>
      <c r="W711" s="35">
        <v>9</v>
      </c>
      <c r="X711" s="35">
        <v>9.6999999999999993</v>
      </c>
      <c r="Y711" s="35">
        <v>9</v>
      </c>
      <c r="Z711" s="35">
        <v>8.6999999999999993</v>
      </c>
      <c r="AA711" s="35">
        <v>9</v>
      </c>
      <c r="AB711" s="35">
        <v>10.9</v>
      </c>
      <c r="AC711" s="35">
        <v>9</v>
      </c>
      <c r="AD711" s="35">
        <v>19.8</v>
      </c>
      <c r="AE711" s="35">
        <v>19</v>
      </c>
      <c r="AF711" s="35">
        <v>18.7</v>
      </c>
      <c r="AG711" s="35">
        <v>19</v>
      </c>
      <c r="AH711" s="35">
        <v>18.7</v>
      </c>
      <c r="AI711" s="35">
        <v>19</v>
      </c>
      <c r="AJ711" s="35">
        <v>20.2</v>
      </c>
      <c r="AK711" s="35">
        <v>19</v>
      </c>
      <c r="AL711" s="35">
        <v>19.600000000000001</v>
      </c>
      <c r="AM711" s="35">
        <v>19</v>
      </c>
      <c r="AN711" s="35">
        <v>20.3</v>
      </c>
      <c r="AO711" s="35">
        <v>19</v>
      </c>
      <c r="AP711" s="35">
        <v>19.8</v>
      </c>
      <c r="AQ711" s="35">
        <v>19</v>
      </c>
      <c r="AR711" s="35">
        <v>20.8</v>
      </c>
      <c r="AS711" s="35">
        <v>19</v>
      </c>
      <c r="AT711" s="35">
        <v>19.600000000000001</v>
      </c>
      <c r="AU711" s="35">
        <v>19</v>
      </c>
      <c r="AV711" s="35">
        <v>18.7</v>
      </c>
      <c r="AW711" s="35">
        <v>19</v>
      </c>
      <c r="AX711" s="35">
        <v>21.2</v>
      </c>
      <c r="AY711" s="35">
        <v>20</v>
      </c>
      <c r="AZ711" s="35">
        <v>21.9</v>
      </c>
      <c r="BA711" s="35">
        <v>20</v>
      </c>
      <c r="BB711" s="35">
        <v>29.2</v>
      </c>
      <c r="BC711" s="35">
        <v>40</v>
      </c>
      <c r="BD711" s="35">
        <v>28.3</v>
      </c>
      <c r="BE711" s="35">
        <v>40</v>
      </c>
      <c r="BF711" s="35">
        <v>21.9</v>
      </c>
      <c r="BG711" s="35">
        <v>20</v>
      </c>
    </row>
    <row r="712" spans="1:59" x14ac:dyDescent="0.35">
      <c r="A712" s="36">
        <v>46059.956944444442</v>
      </c>
      <c r="B712" s="35">
        <v>3.9</v>
      </c>
      <c r="C712" s="35">
        <v>2</v>
      </c>
      <c r="D712" s="35">
        <v>4.4000000000000004</v>
      </c>
      <c r="E712" s="35">
        <v>2.2000000000000002</v>
      </c>
      <c r="F712" s="35">
        <v>3.5</v>
      </c>
      <c r="G712" s="35">
        <v>2</v>
      </c>
      <c r="H712" s="35">
        <v>2.9</v>
      </c>
      <c r="I712" s="35">
        <v>2</v>
      </c>
      <c r="J712" s="35">
        <v>2.4</v>
      </c>
      <c r="K712" s="35">
        <v>2</v>
      </c>
      <c r="L712" s="35">
        <v>2</v>
      </c>
      <c r="M712" s="35">
        <v>2</v>
      </c>
      <c r="N712" s="35">
        <v>2.9</v>
      </c>
      <c r="O712" s="35">
        <v>3</v>
      </c>
      <c r="P712" s="35">
        <v>3.2</v>
      </c>
      <c r="Q712" s="35">
        <v>2</v>
      </c>
      <c r="R712" s="35">
        <v>1.9</v>
      </c>
      <c r="S712" s="35">
        <v>2</v>
      </c>
      <c r="T712" s="35">
        <v>2.2999999999999998</v>
      </c>
      <c r="U712" s="35">
        <v>2</v>
      </c>
      <c r="V712" s="35">
        <v>8.6999999999999993</v>
      </c>
      <c r="W712" s="35">
        <v>9</v>
      </c>
      <c r="X712" s="35">
        <v>9.8000000000000007</v>
      </c>
      <c r="Y712" s="35">
        <v>9</v>
      </c>
      <c r="Z712" s="35">
        <v>9.1999999999999993</v>
      </c>
      <c r="AA712" s="35">
        <v>9</v>
      </c>
      <c r="AB712" s="35">
        <v>11</v>
      </c>
      <c r="AC712" s="35">
        <v>9</v>
      </c>
      <c r="AD712" s="35">
        <v>19.8</v>
      </c>
      <c r="AE712" s="35">
        <v>19</v>
      </c>
      <c r="AF712" s="35">
        <v>18.8</v>
      </c>
      <c r="AG712" s="35">
        <v>19</v>
      </c>
      <c r="AH712" s="35">
        <v>18.899999999999999</v>
      </c>
      <c r="AI712" s="35">
        <v>19</v>
      </c>
      <c r="AJ712" s="35">
        <v>20.3</v>
      </c>
      <c r="AK712" s="35">
        <v>19</v>
      </c>
      <c r="AL712" s="35">
        <v>19.5</v>
      </c>
      <c r="AM712" s="35">
        <v>19</v>
      </c>
      <c r="AN712" s="35">
        <v>19.600000000000001</v>
      </c>
      <c r="AO712" s="35">
        <v>19</v>
      </c>
      <c r="AP712" s="35">
        <v>19.8</v>
      </c>
      <c r="AQ712" s="35">
        <v>19</v>
      </c>
      <c r="AR712" s="35">
        <v>20.8</v>
      </c>
      <c r="AS712" s="35">
        <v>19</v>
      </c>
      <c r="AT712" s="35">
        <v>18.2</v>
      </c>
      <c r="AU712" s="35">
        <v>19</v>
      </c>
      <c r="AV712" s="35">
        <v>18.8</v>
      </c>
      <c r="AW712" s="35">
        <v>19</v>
      </c>
      <c r="AX712" s="35">
        <v>21.2</v>
      </c>
      <c r="AY712" s="35">
        <v>20</v>
      </c>
      <c r="AZ712" s="35">
        <v>21.9</v>
      </c>
      <c r="BA712" s="35">
        <v>20</v>
      </c>
      <c r="BB712" s="35">
        <v>29.2</v>
      </c>
      <c r="BC712" s="35">
        <v>40</v>
      </c>
      <c r="BD712" s="35">
        <v>28.3</v>
      </c>
      <c r="BE712" s="35">
        <v>40</v>
      </c>
      <c r="BF712" s="35">
        <v>21.9</v>
      </c>
      <c r="BG712" s="35">
        <v>20</v>
      </c>
    </row>
    <row r="713" spans="1:59" x14ac:dyDescent="0.35">
      <c r="A713" s="36">
        <v>46059.957638888889</v>
      </c>
      <c r="B713" s="35">
        <v>4.0999999999999996</v>
      </c>
      <c r="C713" s="35">
        <v>2</v>
      </c>
      <c r="D713" s="35">
        <v>4.3</v>
      </c>
      <c r="E713" s="35">
        <v>2.2000000000000002</v>
      </c>
      <c r="F713" s="35">
        <v>3.7</v>
      </c>
      <c r="G713" s="35">
        <v>2</v>
      </c>
      <c r="H713" s="35">
        <v>3.1</v>
      </c>
      <c r="I713" s="35">
        <v>2</v>
      </c>
      <c r="J713" s="35">
        <v>2.6</v>
      </c>
      <c r="K713" s="35">
        <v>2</v>
      </c>
      <c r="L713" s="35">
        <v>2.4</v>
      </c>
      <c r="M713" s="35">
        <v>2</v>
      </c>
      <c r="N713" s="35">
        <v>3.1</v>
      </c>
      <c r="O713" s="35">
        <v>3</v>
      </c>
      <c r="P713" s="35">
        <v>3.4</v>
      </c>
      <c r="Q713" s="35">
        <v>2</v>
      </c>
      <c r="R713" s="35">
        <v>2.2999999999999998</v>
      </c>
      <c r="S713" s="35">
        <v>2</v>
      </c>
      <c r="T713" s="35">
        <v>2.8</v>
      </c>
      <c r="U713" s="35">
        <v>2</v>
      </c>
      <c r="V713" s="35">
        <v>7.4</v>
      </c>
      <c r="W713" s="35">
        <v>9</v>
      </c>
      <c r="X713" s="35">
        <v>9.9</v>
      </c>
      <c r="Y713" s="35">
        <v>9</v>
      </c>
      <c r="Z713" s="35">
        <v>9.4</v>
      </c>
      <c r="AA713" s="35">
        <v>9</v>
      </c>
      <c r="AB713" s="35">
        <v>9.5</v>
      </c>
      <c r="AC713" s="35">
        <v>9</v>
      </c>
      <c r="AD713" s="35">
        <v>19.899999999999999</v>
      </c>
      <c r="AE713" s="35">
        <v>19</v>
      </c>
      <c r="AF713" s="35">
        <v>18.899999999999999</v>
      </c>
      <c r="AG713" s="35">
        <v>19</v>
      </c>
      <c r="AH713" s="35">
        <v>19.100000000000001</v>
      </c>
      <c r="AI713" s="35">
        <v>19</v>
      </c>
      <c r="AJ713" s="35">
        <v>20.3</v>
      </c>
      <c r="AK713" s="35">
        <v>19</v>
      </c>
      <c r="AL713" s="35">
        <v>19.5</v>
      </c>
      <c r="AM713" s="35">
        <v>19</v>
      </c>
      <c r="AN713" s="35">
        <v>19.5</v>
      </c>
      <c r="AO713" s="35">
        <v>19</v>
      </c>
      <c r="AP713" s="35">
        <v>19.899999999999999</v>
      </c>
      <c r="AQ713" s="35">
        <v>19</v>
      </c>
      <c r="AR713" s="35">
        <v>20.8</v>
      </c>
      <c r="AS713" s="35">
        <v>19</v>
      </c>
      <c r="AT713" s="35">
        <v>18.100000000000001</v>
      </c>
      <c r="AU713" s="35">
        <v>19</v>
      </c>
      <c r="AV713" s="35">
        <v>19</v>
      </c>
      <c r="AW713" s="35">
        <v>19</v>
      </c>
      <c r="AX713" s="35">
        <v>21.2</v>
      </c>
      <c r="AY713" s="35">
        <v>20</v>
      </c>
      <c r="AZ713" s="35">
        <v>21.9</v>
      </c>
      <c r="BA713" s="35">
        <v>20</v>
      </c>
      <c r="BB713" s="35">
        <v>29.1</v>
      </c>
      <c r="BC713" s="35">
        <v>40</v>
      </c>
      <c r="BD713" s="35">
        <v>28.3</v>
      </c>
      <c r="BE713" s="35">
        <v>40</v>
      </c>
      <c r="BF713" s="35">
        <v>21.9</v>
      </c>
      <c r="BG713" s="35">
        <v>20</v>
      </c>
    </row>
    <row r="714" spans="1:59" x14ac:dyDescent="0.35">
      <c r="A714" s="36">
        <v>46059.958333333336</v>
      </c>
      <c r="B714" s="35">
        <v>3.6</v>
      </c>
      <c r="C714" s="35">
        <v>2</v>
      </c>
      <c r="D714" s="35">
        <v>3.7</v>
      </c>
      <c r="E714" s="35">
        <v>2.2000000000000002</v>
      </c>
      <c r="F714" s="35">
        <v>3.8</v>
      </c>
      <c r="G714" s="35">
        <v>2</v>
      </c>
      <c r="H714" s="35">
        <v>3.4</v>
      </c>
      <c r="I714" s="35">
        <v>2</v>
      </c>
      <c r="J714" s="35">
        <v>2.8</v>
      </c>
      <c r="K714" s="35">
        <v>2</v>
      </c>
      <c r="L714" s="35">
        <v>2.8</v>
      </c>
      <c r="M714" s="35">
        <v>2</v>
      </c>
      <c r="N714" s="35">
        <v>3.4</v>
      </c>
      <c r="O714" s="35">
        <v>3</v>
      </c>
      <c r="P714" s="35">
        <v>3.6</v>
      </c>
      <c r="Q714" s="35">
        <v>2</v>
      </c>
      <c r="R714" s="35">
        <v>2.4</v>
      </c>
      <c r="S714" s="35">
        <v>2</v>
      </c>
      <c r="T714" s="35">
        <v>3.1</v>
      </c>
      <c r="U714" s="35">
        <v>2</v>
      </c>
      <c r="V714" s="35">
        <v>7.8</v>
      </c>
      <c r="W714" s="35">
        <v>9</v>
      </c>
      <c r="X714" s="35">
        <v>10</v>
      </c>
      <c r="Y714" s="35">
        <v>9</v>
      </c>
      <c r="Z714" s="35">
        <v>9.6999999999999993</v>
      </c>
      <c r="AA714" s="35">
        <v>9</v>
      </c>
      <c r="AB714" s="35">
        <v>8.4</v>
      </c>
      <c r="AC714" s="35">
        <v>9</v>
      </c>
      <c r="AD714" s="35">
        <v>20</v>
      </c>
      <c r="AE714" s="35">
        <v>19</v>
      </c>
      <c r="AF714" s="35">
        <v>19</v>
      </c>
      <c r="AG714" s="35">
        <v>19</v>
      </c>
      <c r="AH714" s="35">
        <v>19.3</v>
      </c>
      <c r="AI714" s="35">
        <v>19</v>
      </c>
      <c r="AJ714" s="35">
        <v>20.399999999999999</v>
      </c>
      <c r="AK714" s="35">
        <v>19</v>
      </c>
      <c r="AL714" s="35">
        <v>19.5</v>
      </c>
      <c r="AM714" s="35">
        <v>19</v>
      </c>
      <c r="AN714" s="35">
        <v>19.2</v>
      </c>
      <c r="AO714" s="35">
        <v>19</v>
      </c>
      <c r="AP714" s="35">
        <v>19.899999999999999</v>
      </c>
      <c r="AQ714" s="35">
        <v>19</v>
      </c>
      <c r="AR714" s="35">
        <v>20.8</v>
      </c>
      <c r="AS714" s="35">
        <v>19</v>
      </c>
      <c r="AT714" s="35">
        <v>18.100000000000001</v>
      </c>
      <c r="AU714" s="35">
        <v>19</v>
      </c>
      <c r="AV714" s="35">
        <v>19.2</v>
      </c>
      <c r="AW714" s="35">
        <v>19</v>
      </c>
      <c r="AX714" s="35">
        <v>21.2</v>
      </c>
      <c r="AY714" s="35">
        <v>20</v>
      </c>
      <c r="AZ714" s="35">
        <v>21.9</v>
      </c>
      <c r="BA714" s="35">
        <v>20</v>
      </c>
      <c r="BB714" s="35">
        <v>29.1</v>
      </c>
      <c r="BC714" s="35">
        <v>40</v>
      </c>
      <c r="BD714" s="35">
        <v>28.3</v>
      </c>
      <c r="BE714" s="35">
        <v>40</v>
      </c>
      <c r="BF714" s="35">
        <v>21.9</v>
      </c>
      <c r="BG714" s="35">
        <v>20</v>
      </c>
    </row>
    <row r="715" spans="1:59" x14ac:dyDescent="0.35">
      <c r="A715" s="36">
        <v>46059.959027777775</v>
      </c>
      <c r="B715" s="35">
        <v>3.3</v>
      </c>
      <c r="C715" s="35">
        <v>2</v>
      </c>
      <c r="D715" s="35">
        <v>3.5</v>
      </c>
      <c r="E715" s="35">
        <v>2.2000000000000002</v>
      </c>
      <c r="F715" s="35">
        <v>4</v>
      </c>
      <c r="G715" s="35">
        <v>2</v>
      </c>
      <c r="H715" s="35">
        <v>3.6</v>
      </c>
      <c r="I715" s="35">
        <v>2</v>
      </c>
      <c r="J715" s="35">
        <v>3.1</v>
      </c>
      <c r="K715" s="35">
        <v>2</v>
      </c>
      <c r="L715" s="35">
        <v>3.2</v>
      </c>
      <c r="M715" s="35">
        <v>2</v>
      </c>
      <c r="N715" s="35">
        <v>3.6</v>
      </c>
      <c r="O715" s="35">
        <v>3</v>
      </c>
      <c r="P715" s="35">
        <v>3.7</v>
      </c>
      <c r="Q715" s="35">
        <v>2</v>
      </c>
      <c r="R715" s="35">
        <v>2.7</v>
      </c>
      <c r="S715" s="35">
        <v>2</v>
      </c>
      <c r="T715" s="35">
        <v>3.5</v>
      </c>
      <c r="U715" s="35">
        <v>2</v>
      </c>
      <c r="V715" s="35">
        <v>8.6</v>
      </c>
      <c r="W715" s="35">
        <v>9</v>
      </c>
      <c r="X715" s="35">
        <v>10.1</v>
      </c>
      <c r="Y715" s="35">
        <v>9</v>
      </c>
      <c r="Z715" s="35">
        <v>9.9</v>
      </c>
      <c r="AA715" s="35">
        <v>9</v>
      </c>
      <c r="AB715" s="35">
        <v>8.3000000000000007</v>
      </c>
      <c r="AC715" s="35">
        <v>9</v>
      </c>
      <c r="AD715" s="35">
        <v>20</v>
      </c>
      <c r="AE715" s="35">
        <v>19</v>
      </c>
      <c r="AF715" s="35">
        <v>19</v>
      </c>
      <c r="AG715" s="35">
        <v>19</v>
      </c>
      <c r="AH715" s="35">
        <v>19.399999999999999</v>
      </c>
      <c r="AI715" s="35">
        <v>19</v>
      </c>
      <c r="AJ715" s="35">
        <v>20.5</v>
      </c>
      <c r="AK715" s="35">
        <v>19</v>
      </c>
      <c r="AL715" s="35">
        <v>19.3</v>
      </c>
      <c r="AM715" s="35">
        <v>19</v>
      </c>
      <c r="AN715" s="35">
        <v>18.7</v>
      </c>
      <c r="AO715" s="35">
        <v>19</v>
      </c>
      <c r="AP715" s="35">
        <v>20</v>
      </c>
      <c r="AQ715" s="35">
        <v>19</v>
      </c>
      <c r="AR715" s="35">
        <v>20.8</v>
      </c>
      <c r="AS715" s="35">
        <v>19</v>
      </c>
      <c r="AT715" s="35">
        <v>18.2</v>
      </c>
      <c r="AU715" s="35">
        <v>19</v>
      </c>
      <c r="AV715" s="35">
        <v>19.3</v>
      </c>
      <c r="AW715" s="35">
        <v>19</v>
      </c>
      <c r="AX715" s="35">
        <v>21.2</v>
      </c>
      <c r="AY715" s="35">
        <v>20</v>
      </c>
      <c r="AZ715" s="35">
        <v>21.9</v>
      </c>
      <c r="BA715" s="35">
        <v>20</v>
      </c>
      <c r="BB715" s="35">
        <v>29.1</v>
      </c>
      <c r="BC715" s="35">
        <v>40</v>
      </c>
      <c r="BD715" s="35">
        <v>28.3</v>
      </c>
      <c r="BE715" s="35">
        <v>40</v>
      </c>
      <c r="BF715" s="35">
        <v>21.9</v>
      </c>
      <c r="BG715" s="35">
        <v>20</v>
      </c>
    </row>
    <row r="716" spans="1:59" x14ac:dyDescent="0.35">
      <c r="A716" s="36">
        <v>46059.959722222222</v>
      </c>
      <c r="B716" s="35">
        <v>3.1</v>
      </c>
      <c r="C716" s="35">
        <v>2</v>
      </c>
      <c r="D716" s="35">
        <v>3.3</v>
      </c>
      <c r="E716" s="35">
        <v>2.2000000000000002</v>
      </c>
      <c r="F716" s="35">
        <v>3</v>
      </c>
      <c r="G716" s="35">
        <v>2</v>
      </c>
      <c r="H716" s="35">
        <v>2.5</v>
      </c>
      <c r="I716" s="35">
        <v>2</v>
      </c>
      <c r="J716" s="35">
        <v>3.4</v>
      </c>
      <c r="K716" s="35">
        <v>2</v>
      </c>
      <c r="L716" s="35">
        <v>3.5</v>
      </c>
      <c r="M716" s="35">
        <v>2</v>
      </c>
      <c r="N716" s="35">
        <v>3.8</v>
      </c>
      <c r="O716" s="35">
        <v>3</v>
      </c>
      <c r="P716" s="35">
        <v>3.9</v>
      </c>
      <c r="Q716" s="35">
        <v>2</v>
      </c>
      <c r="R716" s="35">
        <v>2.9</v>
      </c>
      <c r="S716" s="35">
        <v>2</v>
      </c>
      <c r="T716" s="35">
        <v>3.9</v>
      </c>
      <c r="U716" s="35">
        <v>2</v>
      </c>
      <c r="V716" s="35">
        <v>9.4</v>
      </c>
      <c r="W716" s="35">
        <v>9</v>
      </c>
      <c r="X716" s="35">
        <v>10.199999999999999</v>
      </c>
      <c r="Y716" s="35">
        <v>9</v>
      </c>
      <c r="Z716" s="35">
        <v>10</v>
      </c>
      <c r="AA716" s="35">
        <v>9</v>
      </c>
      <c r="AB716" s="35">
        <v>8.6999999999999993</v>
      </c>
      <c r="AC716" s="35">
        <v>9</v>
      </c>
      <c r="AD716" s="35">
        <v>20.100000000000001</v>
      </c>
      <c r="AE716" s="35">
        <v>19</v>
      </c>
      <c r="AF716" s="35">
        <v>19.100000000000001</v>
      </c>
      <c r="AG716" s="35">
        <v>19</v>
      </c>
      <c r="AH716" s="35">
        <v>19.5</v>
      </c>
      <c r="AI716" s="35">
        <v>19</v>
      </c>
      <c r="AJ716" s="35">
        <v>20.5</v>
      </c>
      <c r="AK716" s="35">
        <v>19</v>
      </c>
      <c r="AL716" s="35">
        <v>19.2</v>
      </c>
      <c r="AM716" s="35">
        <v>19</v>
      </c>
      <c r="AN716" s="35">
        <v>18.7</v>
      </c>
      <c r="AO716" s="35">
        <v>19</v>
      </c>
      <c r="AP716" s="35">
        <v>20</v>
      </c>
      <c r="AQ716" s="35">
        <v>19</v>
      </c>
      <c r="AR716" s="35">
        <v>20.8</v>
      </c>
      <c r="AS716" s="35">
        <v>19</v>
      </c>
      <c r="AT716" s="35">
        <v>18.399999999999999</v>
      </c>
      <c r="AU716" s="35">
        <v>19</v>
      </c>
      <c r="AV716" s="35">
        <v>19.399999999999999</v>
      </c>
      <c r="AW716" s="35">
        <v>19</v>
      </c>
      <c r="AX716" s="35">
        <v>21.2</v>
      </c>
      <c r="AY716" s="35">
        <v>20</v>
      </c>
      <c r="AZ716" s="35">
        <v>21.9</v>
      </c>
      <c r="BA716" s="35">
        <v>20</v>
      </c>
      <c r="BB716" s="35">
        <v>29.1</v>
      </c>
      <c r="BC716" s="35">
        <v>40</v>
      </c>
      <c r="BD716" s="35">
        <v>28.3</v>
      </c>
      <c r="BE716" s="35">
        <v>40</v>
      </c>
      <c r="BF716" s="35">
        <v>21.9</v>
      </c>
      <c r="BG716" s="35">
        <v>20</v>
      </c>
    </row>
    <row r="717" spans="1:59" x14ac:dyDescent="0.35">
      <c r="A717" s="36">
        <v>46059.960416666669</v>
      </c>
      <c r="B717" s="35">
        <v>2.5</v>
      </c>
      <c r="C717" s="35">
        <v>2</v>
      </c>
      <c r="D717" s="35">
        <v>2.7</v>
      </c>
      <c r="E717" s="35">
        <v>2.2000000000000002</v>
      </c>
      <c r="F717" s="35">
        <v>1.3</v>
      </c>
      <c r="G717" s="35">
        <v>2</v>
      </c>
      <c r="H717" s="35">
        <v>1.4</v>
      </c>
      <c r="I717" s="35">
        <v>2</v>
      </c>
      <c r="J717" s="35">
        <v>3.6</v>
      </c>
      <c r="K717" s="35">
        <v>2</v>
      </c>
      <c r="L717" s="35">
        <v>3.7</v>
      </c>
      <c r="M717" s="35">
        <v>2</v>
      </c>
      <c r="N717" s="35">
        <v>3.9</v>
      </c>
      <c r="O717" s="35">
        <v>3</v>
      </c>
      <c r="P717" s="35">
        <v>4</v>
      </c>
      <c r="Q717" s="35">
        <v>2</v>
      </c>
      <c r="R717" s="35">
        <v>2.9</v>
      </c>
      <c r="S717" s="35">
        <v>2</v>
      </c>
      <c r="T717" s="35">
        <v>3.5</v>
      </c>
      <c r="U717" s="35">
        <v>2</v>
      </c>
      <c r="V717" s="35">
        <v>10</v>
      </c>
      <c r="W717" s="35">
        <v>9</v>
      </c>
      <c r="X717" s="35">
        <v>10.3</v>
      </c>
      <c r="Y717" s="35">
        <v>9</v>
      </c>
      <c r="Z717" s="35">
        <v>10.1</v>
      </c>
      <c r="AA717" s="35">
        <v>9</v>
      </c>
      <c r="AB717" s="35">
        <v>9.1</v>
      </c>
      <c r="AC717" s="35">
        <v>9</v>
      </c>
      <c r="AD717" s="35">
        <v>20.100000000000001</v>
      </c>
      <c r="AE717" s="35">
        <v>19</v>
      </c>
      <c r="AF717" s="35">
        <v>19.2</v>
      </c>
      <c r="AG717" s="35">
        <v>19</v>
      </c>
      <c r="AH717" s="35">
        <v>19.600000000000001</v>
      </c>
      <c r="AI717" s="35">
        <v>19</v>
      </c>
      <c r="AJ717" s="35">
        <v>20.6</v>
      </c>
      <c r="AK717" s="35">
        <v>19</v>
      </c>
      <c r="AL717" s="35">
        <v>19</v>
      </c>
      <c r="AM717" s="35">
        <v>19</v>
      </c>
      <c r="AN717" s="35">
        <v>18.899999999999999</v>
      </c>
      <c r="AO717" s="35">
        <v>19</v>
      </c>
      <c r="AP717" s="35">
        <v>20.100000000000001</v>
      </c>
      <c r="AQ717" s="35">
        <v>19</v>
      </c>
      <c r="AR717" s="35">
        <v>20.8</v>
      </c>
      <c r="AS717" s="35">
        <v>19</v>
      </c>
      <c r="AT717" s="35">
        <v>18.7</v>
      </c>
      <c r="AU717" s="35">
        <v>19</v>
      </c>
      <c r="AV717" s="35">
        <v>19.600000000000001</v>
      </c>
      <c r="AW717" s="35">
        <v>19</v>
      </c>
      <c r="AX717" s="35">
        <v>21.2</v>
      </c>
      <c r="AY717" s="35">
        <v>20</v>
      </c>
      <c r="AZ717" s="35">
        <v>21.9</v>
      </c>
      <c r="BA717" s="35">
        <v>20</v>
      </c>
      <c r="BB717" s="35">
        <v>29.1</v>
      </c>
      <c r="BC717" s="35">
        <v>40</v>
      </c>
      <c r="BD717" s="35">
        <v>28.3</v>
      </c>
      <c r="BE717" s="35">
        <v>40</v>
      </c>
      <c r="BF717" s="35">
        <v>21.9</v>
      </c>
      <c r="BG717" s="35">
        <v>20</v>
      </c>
    </row>
    <row r="718" spans="1:59" x14ac:dyDescent="0.35">
      <c r="A718" s="36">
        <v>46059.961111111108</v>
      </c>
      <c r="B718" s="35">
        <v>1.6</v>
      </c>
      <c r="C718" s="35">
        <v>2</v>
      </c>
      <c r="D718" s="35">
        <v>2</v>
      </c>
      <c r="E718" s="35">
        <v>2.2000000000000002</v>
      </c>
      <c r="F718" s="35">
        <v>1.3</v>
      </c>
      <c r="G718" s="35">
        <v>2</v>
      </c>
      <c r="H718" s="35">
        <v>1.4</v>
      </c>
      <c r="I718" s="35">
        <v>2</v>
      </c>
      <c r="J718" s="35">
        <v>3.7</v>
      </c>
      <c r="K718" s="35">
        <v>2</v>
      </c>
      <c r="L718" s="35">
        <v>4</v>
      </c>
      <c r="M718" s="35">
        <v>2</v>
      </c>
      <c r="N718" s="35">
        <v>2.2999999999999998</v>
      </c>
      <c r="O718" s="35">
        <v>3</v>
      </c>
      <c r="P718" s="35">
        <v>3</v>
      </c>
      <c r="Q718" s="35">
        <v>2</v>
      </c>
      <c r="R718" s="35">
        <v>1.2</v>
      </c>
      <c r="S718" s="35">
        <v>2</v>
      </c>
      <c r="T718" s="35">
        <v>1.9</v>
      </c>
      <c r="U718" s="35">
        <v>2</v>
      </c>
      <c r="V718" s="35">
        <v>10.4</v>
      </c>
      <c r="W718" s="35">
        <v>9</v>
      </c>
      <c r="X718" s="35">
        <v>10.4</v>
      </c>
      <c r="Y718" s="35">
        <v>9</v>
      </c>
      <c r="Z718" s="35">
        <v>10.3</v>
      </c>
      <c r="AA718" s="35">
        <v>9</v>
      </c>
      <c r="AB718" s="35">
        <v>9.5</v>
      </c>
      <c r="AC718" s="35">
        <v>9</v>
      </c>
      <c r="AD718" s="35">
        <v>20.100000000000001</v>
      </c>
      <c r="AE718" s="35">
        <v>19</v>
      </c>
      <c r="AF718" s="35">
        <v>19.3</v>
      </c>
      <c r="AG718" s="35">
        <v>19</v>
      </c>
      <c r="AH718" s="35">
        <v>19.7</v>
      </c>
      <c r="AI718" s="35">
        <v>19</v>
      </c>
      <c r="AJ718" s="35">
        <v>20.7</v>
      </c>
      <c r="AK718" s="35">
        <v>19</v>
      </c>
      <c r="AL718" s="35">
        <v>19</v>
      </c>
      <c r="AM718" s="35">
        <v>19</v>
      </c>
      <c r="AN718" s="35">
        <v>19.2</v>
      </c>
      <c r="AO718" s="35">
        <v>19</v>
      </c>
      <c r="AP718" s="35">
        <v>20.100000000000001</v>
      </c>
      <c r="AQ718" s="35">
        <v>19</v>
      </c>
      <c r="AR718" s="35">
        <v>20.8</v>
      </c>
      <c r="AS718" s="35">
        <v>19</v>
      </c>
      <c r="AT718" s="35">
        <v>18.8</v>
      </c>
      <c r="AU718" s="35">
        <v>19</v>
      </c>
      <c r="AV718" s="35">
        <v>19.7</v>
      </c>
      <c r="AW718" s="35">
        <v>19</v>
      </c>
      <c r="AX718" s="35">
        <v>21.2</v>
      </c>
      <c r="AY718" s="35">
        <v>20</v>
      </c>
      <c r="AZ718" s="35">
        <v>21.9</v>
      </c>
      <c r="BA718" s="35">
        <v>20</v>
      </c>
      <c r="BB718" s="35">
        <v>29.1</v>
      </c>
      <c r="BC718" s="35">
        <v>40</v>
      </c>
      <c r="BD718" s="35">
        <v>28.3</v>
      </c>
      <c r="BE718" s="35">
        <v>40</v>
      </c>
      <c r="BF718" s="35">
        <v>21.9</v>
      </c>
      <c r="BG718" s="35">
        <v>20</v>
      </c>
    </row>
    <row r="719" spans="1:59" x14ac:dyDescent="0.35">
      <c r="A719" s="36">
        <v>46059.961805555555</v>
      </c>
      <c r="B719" s="35">
        <v>1.6</v>
      </c>
      <c r="C719" s="35">
        <v>2</v>
      </c>
      <c r="D719" s="35">
        <v>2.2000000000000002</v>
      </c>
      <c r="E719" s="35">
        <v>2.2000000000000002</v>
      </c>
      <c r="F719" s="35">
        <v>1.5</v>
      </c>
      <c r="G719" s="35">
        <v>2</v>
      </c>
      <c r="H719" s="35">
        <v>1.7</v>
      </c>
      <c r="I719" s="35">
        <v>2</v>
      </c>
      <c r="J719" s="35">
        <v>3.7</v>
      </c>
      <c r="K719" s="35">
        <v>2</v>
      </c>
      <c r="L719" s="35">
        <v>3.4</v>
      </c>
      <c r="M719" s="35">
        <v>2</v>
      </c>
      <c r="N719" s="35">
        <v>1.2</v>
      </c>
      <c r="O719" s="35">
        <v>3</v>
      </c>
      <c r="P719" s="35">
        <v>1.9</v>
      </c>
      <c r="Q719" s="35">
        <v>2</v>
      </c>
      <c r="R719" s="35">
        <v>0.9</v>
      </c>
      <c r="S719" s="35">
        <v>2</v>
      </c>
      <c r="T719" s="35">
        <v>1.5</v>
      </c>
      <c r="U719" s="35">
        <v>2</v>
      </c>
      <c r="V719" s="35">
        <v>10.9</v>
      </c>
      <c r="W719" s="35">
        <v>9</v>
      </c>
      <c r="X719" s="35">
        <v>10.4</v>
      </c>
      <c r="Y719" s="35">
        <v>9</v>
      </c>
      <c r="Z719" s="35">
        <v>10.4</v>
      </c>
      <c r="AA719" s="35">
        <v>9</v>
      </c>
      <c r="AB719" s="35">
        <v>9.8000000000000007</v>
      </c>
      <c r="AC719" s="35">
        <v>9</v>
      </c>
      <c r="AD719" s="35">
        <v>20.2</v>
      </c>
      <c r="AE719" s="35">
        <v>19</v>
      </c>
      <c r="AF719" s="35">
        <v>19.3</v>
      </c>
      <c r="AG719" s="35">
        <v>19</v>
      </c>
      <c r="AH719" s="35">
        <v>19.8</v>
      </c>
      <c r="AI719" s="35">
        <v>19</v>
      </c>
      <c r="AJ719" s="35">
        <v>20.7</v>
      </c>
      <c r="AK719" s="35">
        <v>19</v>
      </c>
      <c r="AL719" s="35">
        <v>19.2</v>
      </c>
      <c r="AM719" s="35">
        <v>19</v>
      </c>
      <c r="AN719" s="35">
        <v>19.399999999999999</v>
      </c>
      <c r="AO719" s="35">
        <v>19</v>
      </c>
      <c r="AP719" s="35">
        <v>20.100000000000001</v>
      </c>
      <c r="AQ719" s="35">
        <v>19</v>
      </c>
      <c r="AR719" s="35">
        <v>20.8</v>
      </c>
      <c r="AS719" s="35">
        <v>19</v>
      </c>
      <c r="AT719" s="35">
        <v>19</v>
      </c>
      <c r="AU719" s="35">
        <v>19</v>
      </c>
      <c r="AV719" s="35">
        <v>19.8</v>
      </c>
      <c r="AW719" s="35">
        <v>19</v>
      </c>
      <c r="AX719" s="35">
        <v>21.2</v>
      </c>
      <c r="AY719" s="35">
        <v>20</v>
      </c>
      <c r="AZ719" s="35">
        <v>21.9</v>
      </c>
      <c r="BA719" s="35">
        <v>20</v>
      </c>
      <c r="BB719" s="35">
        <v>29.1</v>
      </c>
      <c r="BC719" s="35">
        <v>40</v>
      </c>
      <c r="BD719" s="35">
        <v>28.3</v>
      </c>
      <c r="BE719" s="35">
        <v>40</v>
      </c>
      <c r="BF719" s="35">
        <v>21.9</v>
      </c>
      <c r="BG719" s="35">
        <v>20</v>
      </c>
    </row>
    <row r="720" spans="1:59" x14ac:dyDescent="0.35">
      <c r="A720" s="36">
        <v>46059.962500000001</v>
      </c>
      <c r="B720" s="35">
        <v>2</v>
      </c>
      <c r="C720" s="35">
        <v>2</v>
      </c>
      <c r="D720" s="35">
        <v>2.5</v>
      </c>
      <c r="E720" s="35">
        <v>2.2000000000000002</v>
      </c>
      <c r="F720" s="35">
        <v>1.9</v>
      </c>
      <c r="G720" s="35">
        <v>2</v>
      </c>
      <c r="H720" s="35">
        <v>2.2000000000000002</v>
      </c>
      <c r="I720" s="35">
        <v>2</v>
      </c>
      <c r="J720" s="35">
        <v>3.2</v>
      </c>
      <c r="K720" s="35">
        <v>2</v>
      </c>
      <c r="L720" s="35">
        <v>2.6</v>
      </c>
      <c r="M720" s="35">
        <v>2</v>
      </c>
      <c r="N720" s="35">
        <v>1.2</v>
      </c>
      <c r="O720" s="35">
        <v>3</v>
      </c>
      <c r="P720" s="35">
        <v>1.9</v>
      </c>
      <c r="Q720" s="35">
        <v>2</v>
      </c>
      <c r="R720" s="35">
        <v>1</v>
      </c>
      <c r="S720" s="35">
        <v>2</v>
      </c>
      <c r="T720" s="35">
        <v>1.5</v>
      </c>
      <c r="U720" s="35">
        <v>2</v>
      </c>
      <c r="V720" s="35">
        <v>10.7</v>
      </c>
      <c r="W720" s="35">
        <v>9</v>
      </c>
      <c r="X720" s="35">
        <v>10.5</v>
      </c>
      <c r="Y720" s="35">
        <v>9</v>
      </c>
      <c r="Z720" s="35">
        <v>10.5</v>
      </c>
      <c r="AA720" s="35">
        <v>9</v>
      </c>
      <c r="AB720" s="35">
        <v>10</v>
      </c>
      <c r="AC720" s="35">
        <v>9</v>
      </c>
      <c r="AD720" s="35">
        <v>20.2</v>
      </c>
      <c r="AE720" s="35">
        <v>19</v>
      </c>
      <c r="AF720" s="35">
        <v>19.399999999999999</v>
      </c>
      <c r="AG720" s="35">
        <v>19</v>
      </c>
      <c r="AH720" s="35">
        <v>19.899999999999999</v>
      </c>
      <c r="AI720" s="35">
        <v>19</v>
      </c>
      <c r="AJ720" s="35">
        <v>20.8</v>
      </c>
      <c r="AK720" s="35">
        <v>19</v>
      </c>
      <c r="AL720" s="35">
        <v>19.399999999999999</v>
      </c>
      <c r="AM720" s="35">
        <v>19</v>
      </c>
      <c r="AN720" s="35">
        <v>19.5</v>
      </c>
      <c r="AO720" s="35">
        <v>19</v>
      </c>
      <c r="AP720" s="35">
        <v>20.2</v>
      </c>
      <c r="AQ720" s="35">
        <v>19</v>
      </c>
      <c r="AR720" s="35">
        <v>20.8</v>
      </c>
      <c r="AS720" s="35">
        <v>19</v>
      </c>
      <c r="AT720" s="35">
        <v>19.2</v>
      </c>
      <c r="AU720" s="35">
        <v>19</v>
      </c>
      <c r="AV720" s="35">
        <v>19.899999999999999</v>
      </c>
      <c r="AW720" s="35">
        <v>19</v>
      </c>
      <c r="AX720" s="35">
        <v>21.2</v>
      </c>
      <c r="AY720" s="35">
        <v>20</v>
      </c>
      <c r="AZ720" s="35">
        <v>21.8</v>
      </c>
      <c r="BA720" s="35">
        <v>20</v>
      </c>
      <c r="BB720" s="35">
        <v>29.1</v>
      </c>
      <c r="BC720" s="35">
        <v>40</v>
      </c>
      <c r="BD720" s="35">
        <v>28.3</v>
      </c>
      <c r="BE720" s="35">
        <v>40</v>
      </c>
      <c r="BF720" s="35">
        <v>21.9</v>
      </c>
      <c r="BG720" s="35">
        <v>20</v>
      </c>
    </row>
    <row r="721" spans="1:59" x14ac:dyDescent="0.35">
      <c r="A721" s="36">
        <v>46059.963194444441</v>
      </c>
      <c r="B721" s="35">
        <v>2.4</v>
      </c>
      <c r="C721" s="35">
        <v>2</v>
      </c>
      <c r="D721" s="35">
        <v>2.9</v>
      </c>
      <c r="E721" s="35">
        <v>2.2000000000000002</v>
      </c>
      <c r="F721" s="35">
        <v>2.4</v>
      </c>
      <c r="G721" s="35">
        <v>2</v>
      </c>
      <c r="H721" s="35">
        <v>2.6</v>
      </c>
      <c r="I721" s="35">
        <v>2</v>
      </c>
      <c r="J721" s="35">
        <v>2.6</v>
      </c>
      <c r="K721" s="35">
        <v>2</v>
      </c>
      <c r="L721" s="35">
        <v>1.8</v>
      </c>
      <c r="M721" s="35">
        <v>2</v>
      </c>
      <c r="N721" s="35">
        <v>1.6</v>
      </c>
      <c r="O721" s="35">
        <v>3</v>
      </c>
      <c r="P721" s="35">
        <v>2.2000000000000002</v>
      </c>
      <c r="Q721" s="35">
        <v>2</v>
      </c>
      <c r="R721" s="35">
        <v>1.4</v>
      </c>
      <c r="S721" s="35">
        <v>2</v>
      </c>
      <c r="T721" s="35">
        <v>1.7</v>
      </c>
      <c r="U721" s="35">
        <v>2</v>
      </c>
      <c r="V721" s="35">
        <v>8.5</v>
      </c>
      <c r="W721" s="35">
        <v>9</v>
      </c>
      <c r="X721" s="35">
        <v>10.6</v>
      </c>
      <c r="Y721" s="35">
        <v>9</v>
      </c>
      <c r="Z721" s="35">
        <v>10.5</v>
      </c>
      <c r="AA721" s="35">
        <v>9</v>
      </c>
      <c r="AB721" s="35">
        <v>10.199999999999999</v>
      </c>
      <c r="AC721" s="35">
        <v>9</v>
      </c>
      <c r="AD721" s="35">
        <v>20.2</v>
      </c>
      <c r="AE721" s="35">
        <v>19</v>
      </c>
      <c r="AF721" s="35">
        <v>19.5</v>
      </c>
      <c r="AG721" s="35">
        <v>19</v>
      </c>
      <c r="AH721" s="35">
        <v>19.899999999999999</v>
      </c>
      <c r="AI721" s="35">
        <v>19</v>
      </c>
      <c r="AJ721" s="35">
        <v>20.9</v>
      </c>
      <c r="AK721" s="35">
        <v>19</v>
      </c>
      <c r="AL721" s="35">
        <v>19.7</v>
      </c>
      <c r="AM721" s="35">
        <v>19</v>
      </c>
      <c r="AN721" s="35">
        <v>19.7</v>
      </c>
      <c r="AO721" s="35">
        <v>19</v>
      </c>
      <c r="AP721" s="35">
        <v>20.2</v>
      </c>
      <c r="AQ721" s="35">
        <v>19</v>
      </c>
      <c r="AR721" s="35">
        <v>20.8</v>
      </c>
      <c r="AS721" s="35">
        <v>19</v>
      </c>
      <c r="AT721" s="35">
        <v>19.3</v>
      </c>
      <c r="AU721" s="35">
        <v>19</v>
      </c>
      <c r="AV721" s="35">
        <v>20</v>
      </c>
      <c r="AW721" s="35">
        <v>19</v>
      </c>
      <c r="AX721" s="35">
        <v>21.2</v>
      </c>
      <c r="AY721" s="35">
        <v>20</v>
      </c>
      <c r="AZ721" s="35">
        <v>21.8</v>
      </c>
      <c r="BA721" s="35">
        <v>20</v>
      </c>
      <c r="BB721" s="35">
        <v>29.1</v>
      </c>
      <c r="BC721" s="35">
        <v>40</v>
      </c>
      <c r="BD721" s="35">
        <v>28.2</v>
      </c>
      <c r="BE721" s="35">
        <v>40</v>
      </c>
      <c r="BF721" s="35">
        <v>21.9</v>
      </c>
      <c r="BG721" s="35">
        <v>20</v>
      </c>
    </row>
    <row r="722" spans="1:59" x14ac:dyDescent="0.35">
      <c r="A722" s="36">
        <v>46059.963888888888</v>
      </c>
      <c r="B722" s="35">
        <v>2.7</v>
      </c>
      <c r="C722" s="35">
        <v>2</v>
      </c>
      <c r="D722" s="35">
        <v>3.2</v>
      </c>
      <c r="E722" s="35">
        <v>2.2000000000000002</v>
      </c>
      <c r="F722" s="35">
        <v>2.9</v>
      </c>
      <c r="G722" s="35">
        <v>2</v>
      </c>
      <c r="H722" s="35">
        <v>2.9</v>
      </c>
      <c r="I722" s="35">
        <v>2</v>
      </c>
      <c r="J722" s="35">
        <v>2.6</v>
      </c>
      <c r="K722" s="35">
        <v>2</v>
      </c>
      <c r="L722" s="35">
        <v>1.7</v>
      </c>
      <c r="M722" s="35">
        <v>2</v>
      </c>
      <c r="N722" s="35">
        <v>1.9</v>
      </c>
      <c r="O722" s="35">
        <v>3</v>
      </c>
      <c r="P722" s="35">
        <v>2.5</v>
      </c>
      <c r="Q722" s="35">
        <v>2</v>
      </c>
      <c r="R722" s="35">
        <v>1.7</v>
      </c>
      <c r="S722" s="35">
        <v>2</v>
      </c>
      <c r="T722" s="35">
        <v>1.9</v>
      </c>
      <c r="U722" s="35">
        <v>2</v>
      </c>
      <c r="V722" s="35">
        <v>7.7</v>
      </c>
      <c r="W722" s="35">
        <v>9</v>
      </c>
      <c r="X722" s="35">
        <v>10.6</v>
      </c>
      <c r="Y722" s="35">
        <v>9</v>
      </c>
      <c r="Z722" s="35">
        <v>10.7</v>
      </c>
      <c r="AA722" s="35">
        <v>9</v>
      </c>
      <c r="AB722" s="35">
        <v>10.4</v>
      </c>
      <c r="AC722" s="35">
        <v>9</v>
      </c>
      <c r="AD722" s="35">
        <v>20.3</v>
      </c>
      <c r="AE722" s="35">
        <v>19</v>
      </c>
      <c r="AF722" s="35">
        <v>19.5</v>
      </c>
      <c r="AG722" s="35">
        <v>19</v>
      </c>
      <c r="AH722" s="35">
        <v>20</v>
      </c>
      <c r="AI722" s="35">
        <v>19</v>
      </c>
      <c r="AJ722" s="35">
        <v>20.9</v>
      </c>
      <c r="AK722" s="35">
        <v>19</v>
      </c>
      <c r="AL722" s="35">
        <v>19.899999999999999</v>
      </c>
      <c r="AM722" s="35">
        <v>19</v>
      </c>
      <c r="AN722" s="35">
        <v>19.8</v>
      </c>
      <c r="AO722" s="35">
        <v>19</v>
      </c>
      <c r="AP722" s="35">
        <v>20.2</v>
      </c>
      <c r="AQ722" s="35">
        <v>19</v>
      </c>
      <c r="AR722" s="35">
        <v>20.8</v>
      </c>
      <c r="AS722" s="35">
        <v>19</v>
      </c>
      <c r="AT722" s="35">
        <v>19.399999999999999</v>
      </c>
      <c r="AU722" s="35">
        <v>19</v>
      </c>
      <c r="AV722" s="35">
        <v>20.100000000000001</v>
      </c>
      <c r="AW722" s="35">
        <v>19</v>
      </c>
      <c r="AX722" s="35">
        <v>21.2</v>
      </c>
      <c r="AY722" s="35">
        <v>20</v>
      </c>
      <c r="AZ722" s="35">
        <v>21.8</v>
      </c>
      <c r="BA722" s="35">
        <v>20</v>
      </c>
      <c r="BB722" s="35">
        <v>29.1</v>
      </c>
      <c r="BC722" s="35">
        <v>40</v>
      </c>
      <c r="BD722" s="35">
        <v>28.2</v>
      </c>
      <c r="BE722" s="35">
        <v>40</v>
      </c>
      <c r="BF722" s="35">
        <v>21.9</v>
      </c>
      <c r="BG722" s="35">
        <v>20</v>
      </c>
    </row>
    <row r="723" spans="1:59" x14ac:dyDescent="0.35">
      <c r="A723" s="36">
        <v>46059.964583333334</v>
      </c>
      <c r="B723" s="35">
        <v>3</v>
      </c>
      <c r="C723" s="35">
        <v>2</v>
      </c>
      <c r="D723" s="35">
        <v>3.5</v>
      </c>
      <c r="E723" s="35">
        <v>2.2000000000000002</v>
      </c>
      <c r="F723" s="35">
        <v>3.1</v>
      </c>
      <c r="G723" s="35">
        <v>2</v>
      </c>
      <c r="H723" s="35">
        <v>3.2</v>
      </c>
      <c r="I723" s="35">
        <v>2</v>
      </c>
      <c r="J723" s="35">
        <v>2.6</v>
      </c>
      <c r="K723" s="35">
        <v>2</v>
      </c>
      <c r="L723" s="35">
        <v>2</v>
      </c>
      <c r="M723" s="35">
        <v>2</v>
      </c>
      <c r="N723" s="35">
        <v>2.2999999999999998</v>
      </c>
      <c r="O723" s="35">
        <v>3</v>
      </c>
      <c r="P723" s="35">
        <v>2.9</v>
      </c>
      <c r="Q723" s="35">
        <v>2</v>
      </c>
      <c r="R723" s="35">
        <v>2</v>
      </c>
      <c r="S723" s="35">
        <v>2</v>
      </c>
      <c r="T723" s="35">
        <v>2.2000000000000002</v>
      </c>
      <c r="U723" s="35">
        <v>2</v>
      </c>
      <c r="V723" s="35">
        <v>8.1</v>
      </c>
      <c r="W723" s="35">
        <v>9</v>
      </c>
      <c r="X723" s="35">
        <v>10.7</v>
      </c>
      <c r="Y723" s="35">
        <v>9</v>
      </c>
      <c r="Z723" s="35">
        <v>10.7</v>
      </c>
      <c r="AA723" s="35">
        <v>9</v>
      </c>
      <c r="AB723" s="35">
        <v>10.6</v>
      </c>
      <c r="AC723" s="35">
        <v>9</v>
      </c>
      <c r="AD723" s="35">
        <v>20.3</v>
      </c>
      <c r="AE723" s="35">
        <v>19</v>
      </c>
      <c r="AF723" s="35">
        <v>19.600000000000001</v>
      </c>
      <c r="AG723" s="35">
        <v>19</v>
      </c>
      <c r="AH723" s="35">
        <v>20.100000000000001</v>
      </c>
      <c r="AI723" s="35">
        <v>19</v>
      </c>
      <c r="AJ723" s="35">
        <v>21</v>
      </c>
      <c r="AK723" s="35">
        <v>19</v>
      </c>
      <c r="AL723" s="35">
        <v>20.100000000000001</v>
      </c>
      <c r="AM723" s="35">
        <v>19</v>
      </c>
      <c r="AN723" s="35">
        <v>19.899999999999999</v>
      </c>
      <c r="AO723" s="35">
        <v>19</v>
      </c>
      <c r="AP723" s="35">
        <v>20.3</v>
      </c>
      <c r="AQ723" s="35">
        <v>19</v>
      </c>
      <c r="AR723" s="35">
        <v>20.8</v>
      </c>
      <c r="AS723" s="35">
        <v>19</v>
      </c>
      <c r="AT723" s="35">
        <v>19.5</v>
      </c>
      <c r="AU723" s="35">
        <v>19</v>
      </c>
      <c r="AV723" s="35">
        <v>20.2</v>
      </c>
      <c r="AW723" s="35">
        <v>19</v>
      </c>
      <c r="AX723" s="35">
        <v>21.2</v>
      </c>
      <c r="AY723" s="35">
        <v>20</v>
      </c>
      <c r="AZ723" s="35">
        <v>21.8</v>
      </c>
      <c r="BA723" s="35">
        <v>20</v>
      </c>
      <c r="BB723" s="35">
        <v>29.1</v>
      </c>
      <c r="BC723" s="35">
        <v>40</v>
      </c>
      <c r="BD723" s="35">
        <v>28.2</v>
      </c>
      <c r="BE723" s="35">
        <v>40</v>
      </c>
      <c r="BF723" s="35">
        <v>21.9</v>
      </c>
      <c r="BG723" s="35">
        <v>20</v>
      </c>
    </row>
    <row r="724" spans="1:59" x14ac:dyDescent="0.35">
      <c r="A724" s="36">
        <v>46059.965277777781</v>
      </c>
      <c r="B724" s="35">
        <v>3.3</v>
      </c>
      <c r="C724" s="35">
        <v>2</v>
      </c>
      <c r="D724" s="35">
        <v>3.8</v>
      </c>
      <c r="E724" s="35">
        <v>2.2000000000000002</v>
      </c>
      <c r="F724" s="35">
        <v>3.4</v>
      </c>
      <c r="G724" s="35">
        <v>2</v>
      </c>
      <c r="H724" s="35">
        <v>3.5</v>
      </c>
      <c r="I724" s="35">
        <v>2</v>
      </c>
      <c r="J724" s="35">
        <v>2.9</v>
      </c>
      <c r="K724" s="35">
        <v>2</v>
      </c>
      <c r="L724" s="35">
        <v>2.4</v>
      </c>
      <c r="M724" s="35">
        <v>2</v>
      </c>
      <c r="N724" s="35">
        <v>2.6</v>
      </c>
      <c r="O724" s="35">
        <v>3</v>
      </c>
      <c r="P724" s="35">
        <v>3.1</v>
      </c>
      <c r="Q724" s="35">
        <v>2</v>
      </c>
      <c r="R724" s="35">
        <v>2.2999999999999998</v>
      </c>
      <c r="S724" s="35">
        <v>2</v>
      </c>
      <c r="T724" s="35">
        <v>2.4</v>
      </c>
      <c r="U724" s="35">
        <v>2</v>
      </c>
      <c r="V724" s="35">
        <v>8.9</v>
      </c>
      <c r="W724" s="35">
        <v>9</v>
      </c>
      <c r="X724" s="35">
        <v>10.7</v>
      </c>
      <c r="Y724" s="35">
        <v>9</v>
      </c>
      <c r="Z724" s="35">
        <v>10.8</v>
      </c>
      <c r="AA724" s="35">
        <v>9</v>
      </c>
      <c r="AB724" s="35">
        <v>10.7</v>
      </c>
      <c r="AC724" s="35">
        <v>9</v>
      </c>
      <c r="AD724" s="35">
        <v>20.3</v>
      </c>
      <c r="AE724" s="35">
        <v>19</v>
      </c>
      <c r="AF724" s="35">
        <v>19.7</v>
      </c>
      <c r="AG724" s="35">
        <v>19</v>
      </c>
      <c r="AH724" s="35">
        <v>20.2</v>
      </c>
      <c r="AI724" s="35">
        <v>19</v>
      </c>
      <c r="AJ724" s="35">
        <v>20.5</v>
      </c>
      <c r="AK724" s="35">
        <v>19</v>
      </c>
      <c r="AL724" s="35">
        <v>20.3</v>
      </c>
      <c r="AM724" s="35">
        <v>19</v>
      </c>
      <c r="AN724" s="35">
        <v>19.899999999999999</v>
      </c>
      <c r="AO724" s="35">
        <v>19</v>
      </c>
      <c r="AP724" s="35">
        <v>20.3</v>
      </c>
      <c r="AQ724" s="35">
        <v>19</v>
      </c>
      <c r="AR724" s="35">
        <v>20.8</v>
      </c>
      <c r="AS724" s="35">
        <v>19</v>
      </c>
      <c r="AT724" s="35">
        <v>19.600000000000001</v>
      </c>
      <c r="AU724" s="35">
        <v>19</v>
      </c>
      <c r="AV724" s="35">
        <v>20.3</v>
      </c>
      <c r="AW724" s="35">
        <v>19</v>
      </c>
      <c r="AX724" s="35">
        <v>21.2</v>
      </c>
      <c r="AY724" s="35">
        <v>20</v>
      </c>
      <c r="AZ724" s="35">
        <v>21.8</v>
      </c>
      <c r="BA724" s="35">
        <v>20</v>
      </c>
      <c r="BB724" s="35">
        <v>29.1</v>
      </c>
      <c r="BC724" s="35">
        <v>40</v>
      </c>
      <c r="BD724" s="35">
        <v>28.2</v>
      </c>
      <c r="BE724" s="35">
        <v>40</v>
      </c>
      <c r="BF724" s="35">
        <v>21.9</v>
      </c>
      <c r="BG724" s="35">
        <v>20</v>
      </c>
    </row>
    <row r="725" spans="1:59" x14ac:dyDescent="0.35">
      <c r="A725" s="36">
        <v>46059.96597222222</v>
      </c>
      <c r="B725" s="35">
        <v>3.6</v>
      </c>
      <c r="C725" s="35">
        <v>2</v>
      </c>
      <c r="D725" s="35">
        <v>4.0999999999999996</v>
      </c>
      <c r="E725" s="35">
        <v>2.2000000000000002</v>
      </c>
      <c r="F725" s="35">
        <v>3.7</v>
      </c>
      <c r="G725" s="35">
        <v>2</v>
      </c>
      <c r="H725" s="35">
        <v>3.7</v>
      </c>
      <c r="I725" s="35">
        <v>2</v>
      </c>
      <c r="J725" s="35">
        <v>3.1</v>
      </c>
      <c r="K725" s="35">
        <v>2</v>
      </c>
      <c r="L725" s="35">
        <v>2.8</v>
      </c>
      <c r="M725" s="35">
        <v>2</v>
      </c>
      <c r="N725" s="35">
        <v>2.9</v>
      </c>
      <c r="O725" s="35">
        <v>3</v>
      </c>
      <c r="P725" s="35">
        <v>3.3</v>
      </c>
      <c r="Q725" s="35">
        <v>2</v>
      </c>
      <c r="R725" s="35">
        <v>2.5</v>
      </c>
      <c r="S725" s="35">
        <v>2</v>
      </c>
      <c r="T725" s="35">
        <v>2.6</v>
      </c>
      <c r="U725" s="35">
        <v>2</v>
      </c>
      <c r="V725" s="35">
        <v>9.6</v>
      </c>
      <c r="W725" s="35">
        <v>9</v>
      </c>
      <c r="X725" s="35">
        <v>10.8</v>
      </c>
      <c r="Y725" s="35">
        <v>9</v>
      </c>
      <c r="Z725" s="35">
        <v>10.8</v>
      </c>
      <c r="AA725" s="35">
        <v>9</v>
      </c>
      <c r="AB725" s="35">
        <v>10.9</v>
      </c>
      <c r="AC725" s="35">
        <v>9</v>
      </c>
      <c r="AD725" s="35">
        <v>20.399999999999999</v>
      </c>
      <c r="AE725" s="35">
        <v>19</v>
      </c>
      <c r="AF725" s="35">
        <v>19.7</v>
      </c>
      <c r="AG725" s="35">
        <v>19</v>
      </c>
      <c r="AH725" s="35">
        <v>20.2</v>
      </c>
      <c r="AI725" s="35">
        <v>19</v>
      </c>
      <c r="AJ725" s="35">
        <v>18.3</v>
      </c>
      <c r="AK725" s="35">
        <v>19</v>
      </c>
      <c r="AL725" s="35">
        <v>20.5</v>
      </c>
      <c r="AM725" s="35">
        <v>19</v>
      </c>
      <c r="AN725" s="35">
        <v>20</v>
      </c>
      <c r="AO725" s="35">
        <v>19</v>
      </c>
      <c r="AP725" s="35">
        <v>20.3</v>
      </c>
      <c r="AQ725" s="35">
        <v>19</v>
      </c>
      <c r="AR725" s="35">
        <v>20.8</v>
      </c>
      <c r="AS725" s="35">
        <v>19</v>
      </c>
      <c r="AT725" s="35">
        <v>19.7</v>
      </c>
      <c r="AU725" s="35">
        <v>19</v>
      </c>
      <c r="AV725" s="35">
        <v>20.3</v>
      </c>
      <c r="AW725" s="35">
        <v>19</v>
      </c>
      <c r="AX725" s="35">
        <v>21.2</v>
      </c>
      <c r="AY725" s="35">
        <v>20</v>
      </c>
      <c r="AZ725" s="35">
        <v>21.8</v>
      </c>
      <c r="BA725" s="35">
        <v>20</v>
      </c>
      <c r="BB725" s="35">
        <v>29.1</v>
      </c>
      <c r="BC725" s="35">
        <v>40</v>
      </c>
      <c r="BD725" s="35">
        <v>28.2</v>
      </c>
      <c r="BE725" s="35">
        <v>40</v>
      </c>
      <c r="BF725" s="35">
        <v>21.9</v>
      </c>
      <c r="BG725" s="35">
        <v>20</v>
      </c>
    </row>
    <row r="726" spans="1:59" x14ac:dyDescent="0.35">
      <c r="A726" s="36">
        <v>46059.966666666667</v>
      </c>
      <c r="B726" s="35">
        <v>3.7</v>
      </c>
      <c r="C726" s="35">
        <v>2</v>
      </c>
      <c r="D726" s="35">
        <v>4</v>
      </c>
      <c r="E726" s="35">
        <v>2.2000000000000002</v>
      </c>
      <c r="F726" s="35">
        <v>3.8</v>
      </c>
      <c r="G726" s="35">
        <v>2</v>
      </c>
      <c r="H726" s="35">
        <v>3.9</v>
      </c>
      <c r="I726" s="35">
        <v>2</v>
      </c>
      <c r="J726" s="35">
        <v>3.3</v>
      </c>
      <c r="K726" s="35">
        <v>2</v>
      </c>
      <c r="L726" s="35">
        <v>3</v>
      </c>
      <c r="M726" s="35">
        <v>2</v>
      </c>
      <c r="N726" s="35">
        <v>3.2</v>
      </c>
      <c r="O726" s="35">
        <v>3</v>
      </c>
      <c r="P726" s="35">
        <v>3.5</v>
      </c>
      <c r="Q726" s="35">
        <v>2</v>
      </c>
      <c r="R726" s="35">
        <v>2.7</v>
      </c>
      <c r="S726" s="35">
        <v>2</v>
      </c>
      <c r="T726" s="35">
        <v>2.8</v>
      </c>
      <c r="U726" s="35">
        <v>2</v>
      </c>
      <c r="V726" s="35">
        <v>10.1</v>
      </c>
      <c r="W726" s="35">
        <v>9</v>
      </c>
      <c r="X726" s="35">
        <v>10.8</v>
      </c>
      <c r="Y726" s="35">
        <v>9</v>
      </c>
      <c r="Z726" s="35">
        <v>10.9</v>
      </c>
      <c r="AA726" s="35">
        <v>9</v>
      </c>
      <c r="AB726" s="35">
        <v>10.9</v>
      </c>
      <c r="AC726" s="35">
        <v>9</v>
      </c>
      <c r="AD726" s="35">
        <v>20.399999999999999</v>
      </c>
      <c r="AE726" s="35">
        <v>19</v>
      </c>
      <c r="AF726" s="35">
        <v>19.8</v>
      </c>
      <c r="AG726" s="35">
        <v>19</v>
      </c>
      <c r="AH726" s="35">
        <v>20.3</v>
      </c>
      <c r="AI726" s="35">
        <v>19</v>
      </c>
      <c r="AJ726" s="35">
        <v>17.7</v>
      </c>
      <c r="AK726" s="35">
        <v>19</v>
      </c>
      <c r="AL726" s="35">
        <v>20.6</v>
      </c>
      <c r="AM726" s="35">
        <v>19</v>
      </c>
      <c r="AN726" s="35">
        <v>20.100000000000001</v>
      </c>
      <c r="AO726" s="35">
        <v>19</v>
      </c>
      <c r="AP726" s="35">
        <v>20.3</v>
      </c>
      <c r="AQ726" s="35">
        <v>19</v>
      </c>
      <c r="AR726" s="35">
        <v>20.8</v>
      </c>
      <c r="AS726" s="35">
        <v>19</v>
      </c>
      <c r="AT726" s="35">
        <v>19.8</v>
      </c>
      <c r="AU726" s="35">
        <v>19</v>
      </c>
      <c r="AV726" s="35">
        <v>20.399999999999999</v>
      </c>
      <c r="AW726" s="35">
        <v>19</v>
      </c>
      <c r="AX726" s="35">
        <v>21.2</v>
      </c>
      <c r="AY726" s="35">
        <v>20</v>
      </c>
      <c r="AZ726" s="35">
        <v>21.8</v>
      </c>
      <c r="BA726" s="35">
        <v>20</v>
      </c>
      <c r="BB726" s="35">
        <v>29.1</v>
      </c>
      <c r="BC726" s="35">
        <v>40</v>
      </c>
      <c r="BD726" s="35">
        <v>28.2</v>
      </c>
      <c r="BE726" s="35">
        <v>40</v>
      </c>
      <c r="BF726" s="35">
        <v>21.9</v>
      </c>
      <c r="BG726" s="35">
        <v>20</v>
      </c>
    </row>
    <row r="727" spans="1:59" x14ac:dyDescent="0.35">
      <c r="A727" s="36">
        <v>46059.967361111114</v>
      </c>
      <c r="B727" s="35">
        <v>3.7</v>
      </c>
      <c r="C727" s="35">
        <v>2</v>
      </c>
      <c r="D727" s="35">
        <v>4</v>
      </c>
      <c r="E727" s="35">
        <v>2.2000000000000002</v>
      </c>
      <c r="F727" s="35">
        <v>3.6</v>
      </c>
      <c r="G727" s="35">
        <v>2</v>
      </c>
      <c r="H727" s="35">
        <v>3.5</v>
      </c>
      <c r="I727" s="35">
        <v>2</v>
      </c>
      <c r="J727" s="35">
        <v>3.5</v>
      </c>
      <c r="K727" s="35">
        <v>2</v>
      </c>
      <c r="L727" s="35">
        <v>3.4</v>
      </c>
      <c r="M727" s="35">
        <v>2</v>
      </c>
      <c r="N727" s="35">
        <v>3.5</v>
      </c>
      <c r="O727" s="35">
        <v>3</v>
      </c>
      <c r="P727" s="35">
        <v>3.6</v>
      </c>
      <c r="Q727" s="35">
        <v>2</v>
      </c>
      <c r="R727" s="35">
        <v>2.9</v>
      </c>
      <c r="S727" s="35">
        <v>2</v>
      </c>
      <c r="T727" s="35">
        <v>2.9</v>
      </c>
      <c r="U727" s="35">
        <v>2</v>
      </c>
      <c r="V727" s="35">
        <v>10.6</v>
      </c>
      <c r="W727" s="35">
        <v>9</v>
      </c>
      <c r="X727" s="35">
        <v>10.9</v>
      </c>
      <c r="Y727" s="35">
        <v>9</v>
      </c>
      <c r="Z727" s="35">
        <v>10.9</v>
      </c>
      <c r="AA727" s="35">
        <v>9</v>
      </c>
      <c r="AB727" s="35">
        <v>10.9</v>
      </c>
      <c r="AC727" s="35">
        <v>9</v>
      </c>
      <c r="AD727" s="35">
        <v>20.399999999999999</v>
      </c>
      <c r="AE727" s="35">
        <v>19</v>
      </c>
      <c r="AF727" s="35">
        <v>19.899999999999999</v>
      </c>
      <c r="AG727" s="35">
        <v>19</v>
      </c>
      <c r="AH727" s="35">
        <v>20.399999999999999</v>
      </c>
      <c r="AI727" s="35">
        <v>19</v>
      </c>
      <c r="AJ727" s="35">
        <v>17.8</v>
      </c>
      <c r="AK727" s="35">
        <v>19</v>
      </c>
      <c r="AL727" s="35">
        <v>20.7</v>
      </c>
      <c r="AM727" s="35">
        <v>19</v>
      </c>
      <c r="AN727" s="35">
        <v>20.2</v>
      </c>
      <c r="AO727" s="35">
        <v>19</v>
      </c>
      <c r="AP727" s="35">
        <v>20.3</v>
      </c>
      <c r="AQ727" s="35">
        <v>19</v>
      </c>
      <c r="AR727" s="35">
        <v>20.8</v>
      </c>
      <c r="AS727" s="35">
        <v>19</v>
      </c>
      <c r="AT727" s="35">
        <v>19.899999999999999</v>
      </c>
      <c r="AU727" s="35">
        <v>19</v>
      </c>
      <c r="AV727" s="35">
        <v>20.399999999999999</v>
      </c>
      <c r="AW727" s="35">
        <v>19</v>
      </c>
      <c r="AX727" s="35">
        <v>21.1</v>
      </c>
      <c r="AY727" s="35">
        <v>20</v>
      </c>
      <c r="AZ727" s="35">
        <v>21.8</v>
      </c>
      <c r="BA727" s="35">
        <v>20</v>
      </c>
      <c r="BB727" s="35">
        <v>29.1</v>
      </c>
      <c r="BC727" s="35">
        <v>40</v>
      </c>
      <c r="BD727" s="35">
        <v>28.2</v>
      </c>
      <c r="BE727" s="35">
        <v>40</v>
      </c>
      <c r="BF727" s="35">
        <v>21.9</v>
      </c>
      <c r="BG727" s="35">
        <v>20</v>
      </c>
    </row>
    <row r="728" spans="1:59" x14ac:dyDescent="0.35">
      <c r="A728" s="36">
        <v>46059.968055555553</v>
      </c>
      <c r="B728" s="35">
        <v>3.8</v>
      </c>
      <c r="C728" s="35">
        <v>2</v>
      </c>
      <c r="D728" s="35">
        <v>4.0999999999999996</v>
      </c>
      <c r="E728" s="35">
        <v>2.2000000000000002</v>
      </c>
      <c r="F728" s="35">
        <v>3.2</v>
      </c>
      <c r="G728" s="35">
        <v>2</v>
      </c>
      <c r="H728" s="35">
        <v>2.5</v>
      </c>
      <c r="I728" s="35">
        <v>2</v>
      </c>
      <c r="J728" s="35">
        <v>3.7</v>
      </c>
      <c r="K728" s="35">
        <v>2</v>
      </c>
      <c r="L728" s="35">
        <v>3.6</v>
      </c>
      <c r="M728" s="35">
        <v>2</v>
      </c>
      <c r="N728" s="35">
        <v>3.7</v>
      </c>
      <c r="O728" s="35">
        <v>3</v>
      </c>
      <c r="P728" s="35">
        <v>3.8</v>
      </c>
      <c r="Q728" s="35">
        <v>2</v>
      </c>
      <c r="R728" s="35">
        <v>3</v>
      </c>
      <c r="S728" s="35">
        <v>2</v>
      </c>
      <c r="T728" s="35">
        <v>3</v>
      </c>
      <c r="U728" s="35">
        <v>2</v>
      </c>
      <c r="V728" s="35">
        <v>11</v>
      </c>
      <c r="W728" s="35">
        <v>9</v>
      </c>
      <c r="X728" s="35">
        <v>10.9</v>
      </c>
      <c r="Y728" s="35">
        <v>9</v>
      </c>
      <c r="Z728" s="35">
        <v>11</v>
      </c>
      <c r="AA728" s="35">
        <v>9</v>
      </c>
      <c r="AB728" s="35">
        <v>9.5</v>
      </c>
      <c r="AC728" s="35">
        <v>9</v>
      </c>
      <c r="AD728" s="35">
        <v>20.399999999999999</v>
      </c>
      <c r="AE728" s="35">
        <v>19</v>
      </c>
      <c r="AF728" s="35">
        <v>19.899999999999999</v>
      </c>
      <c r="AG728" s="35">
        <v>19</v>
      </c>
      <c r="AH728" s="35">
        <v>20.399999999999999</v>
      </c>
      <c r="AI728" s="35">
        <v>19</v>
      </c>
      <c r="AJ728" s="35">
        <v>18.100000000000001</v>
      </c>
      <c r="AK728" s="35">
        <v>19</v>
      </c>
      <c r="AL728" s="35">
        <v>20.8</v>
      </c>
      <c r="AM728" s="35">
        <v>19</v>
      </c>
      <c r="AN728" s="35">
        <v>20.3</v>
      </c>
      <c r="AO728" s="35">
        <v>19</v>
      </c>
      <c r="AP728" s="35">
        <v>20.3</v>
      </c>
      <c r="AQ728" s="35">
        <v>19</v>
      </c>
      <c r="AR728" s="35">
        <v>20.8</v>
      </c>
      <c r="AS728" s="35">
        <v>19</v>
      </c>
      <c r="AT728" s="35">
        <v>20</v>
      </c>
      <c r="AU728" s="35">
        <v>19</v>
      </c>
      <c r="AV728" s="35">
        <v>20.5</v>
      </c>
      <c r="AW728" s="35">
        <v>19</v>
      </c>
      <c r="AX728" s="35">
        <v>21.1</v>
      </c>
      <c r="AY728" s="35">
        <v>20</v>
      </c>
      <c r="AZ728" s="35">
        <v>21.8</v>
      </c>
      <c r="BA728" s="35">
        <v>20</v>
      </c>
      <c r="BB728" s="35">
        <v>29.1</v>
      </c>
      <c r="BC728" s="35">
        <v>40</v>
      </c>
      <c r="BD728" s="35">
        <v>28.2</v>
      </c>
      <c r="BE728" s="35">
        <v>40</v>
      </c>
      <c r="BF728" s="35">
        <v>21.9</v>
      </c>
      <c r="BG728" s="35">
        <v>20</v>
      </c>
    </row>
    <row r="729" spans="1:59" x14ac:dyDescent="0.35">
      <c r="A729" s="36">
        <v>46059.96875</v>
      </c>
      <c r="B729" s="35">
        <v>4</v>
      </c>
      <c r="C729" s="35">
        <v>2</v>
      </c>
      <c r="D729" s="35">
        <v>4.3</v>
      </c>
      <c r="E729" s="35">
        <v>2.2000000000000002</v>
      </c>
      <c r="F729" s="35">
        <v>3.1</v>
      </c>
      <c r="G729" s="35">
        <v>2</v>
      </c>
      <c r="H729" s="35">
        <v>2.5</v>
      </c>
      <c r="I729" s="35">
        <v>2</v>
      </c>
      <c r="J729" s="35">
        <v>4</v>
      </c>
      <c r="K729" s="35">
        <v>2</v>
      </c>
      <c r="L729" s="35">
        <v>3.9</v>
      </c>
      <c r="M729" s="35">
        <v>2</v>
      </c>
      <c r="N729" s="35">
        <v>3.8</v>
      </c>
      <c r="O729" s="35">
        <v>3</v>
      </c>
      <c r="P729" s="35">
        <v>3.9</v>
      </c>
      <c r="Q729" s="35">
        <v>2</v>
      </c>
      <c r="R729" s="35">
        <v>3.2</v>
      </c>
      <c r="S729" s="35">
        <v>2</v>
      </c>
      <c r="T729" s="35">
        <v>3.1</v>
      </c>
      <c r="U729" s="35">
        <v>2</v>
      </c>
      <c r="V729" s="35">
        <v>10.1</v>
      </c>
      <c r="W729" s="35">
        <v>9</v>
      </c>
      <c r="X729" s="35">
        <v>11</v>
      </c>
      <c r="Y729" s="35">
        <v>9</v>
      </c>
      <c r="Z729" s="35">
        <v>10.1</v>
      </c>
      <c r="AA729" s="35">
        <v>9</v>
      </c>
      <c r="AB729" s="35">
        <v>8.4</v>
      </c>
      <c r="AC729" s="35">
        <v>9</v>
      </c>
      <c r="AD729" s="35">
        <v>20.5</v>
      </c>
      <c r="AE729" s="35">
        <v>19</v>
      </c>
      <c r="AF729" s="35">
        <v>19.899999999999999</v>
      </c>
      <c r="AG729" s="35">
        <v>19</v>
      </c>
      <c r="AH729" s="35">
        <v>20.5</v>
      </c>
      <c r="AI729" s="35">
        <v>19</v>
      </c>
      <c r="AJ729" s="35">
        <v>18.3</v>
      </c>
      <c r="AK729" s="35">
        <v>19</v>
      </c>
      <c r="AL729" s="35">
        <v>20.9</v>
      </c>
      <c r="AM729" s="35">
        <v>19</v>
      </c>
      <c r="AN729" s="35">
        <v>20.399999999999999</v>
      </c>
      <c r="AO729" s="35">
        <v>19</v>
      </c>
      <c r="AP729" s="35">
        <v>20.3</v>
      </c>
      <c r="AQ729" s="35">
        <v>19</v>
      </c>
      <c r="AR729" s="35">
        <v>20.8</v>
      </c>
      <c r="AS729" s="35">
        <v>19</v>
      </c>
      <c r="AT729" s="35">
        <v>20.100000000000001</v>
      </c>
      <c r="AU729" s="35">
        <v>19</v>
      </c>
      <c r="AV729" s="35">
        <v>20.5</v>
      </c>
      <c r="AW729" s="35">
        <v>19</v>
      </c>
      <c r="AX729" s="35">
        <v>21.1</v>
      </c>
      <c r="AY729" s="35">
        <v>20</v>
      </c>
      <c r="AZ729" s="35">
        <v>21.8</v>
      </c>
      <c r="BA729" s="35">
        <v>20</v>
      </c>
      <c r="BB729" s="35">
        <v>29</v>
      </c>
      <c r="BC729" s="35">
        <v>40</v>
      </c>
      <c r="BD729" s="35">
        <v>28.2</v>
      </c>
      <c r="BE729" s="35">
        <v>40</v>
      </c>
      <c r="BF729" s="35">
        <v>21.9</v>
      </c>
      <c r="BG729" s="35">
        <v>20</v>
      </c>
    </row>
    <row r="730" spans="1:59" x14ac:dyDescent="0.35">
      <c r="A730" s="36">
        <v>46059.969444444447</v>
      </c>
      <c r="B730" s="35">
        <v>3.9</v>
      </c>
      <c r="C730" s="35">
        <v>2</v>
      </c>
      <c r="D730" s="35">
        <v>4</v>
      </c>
      <c r="E730" s="35">
        <v>2.2000000000000002</v>
      </c>
      <c r="F730" s="35">
        <v>3.1</v>
      </c>
      <c r="G730" s="35">
        <v>2</v>
      </c>
      <c r="H730" s="35">
        <v>2.5</v>
      </c>
      <c r="I730" s="35">
        <v>2</v>
      </c>
      <c r="J730" s="35">
        <v>3.6</v>
      </c>
      <c r="K730" s="35">
        <v>2</v>
      </c>
      <c r="L730" s="35">
        <v>3.9</v>
      </c>
      <c r="M730" s="35">
        <v>2</v>
      </c>
      <c r="N730" s="35">
        <v>3.9</v>
      </c>
      <c r="O730" s="35">
        <v>3</v>
      </c>
      <c r="P730" s="35">
        <v>4</v>
      </c>
      <c r="Q730" s="35">
        <v>2</v>
      </c>
      <c r="R730" s="35">
        <v>3.4</v>
      </c>
      <c r="S730" s="35">
        <v>2</v>
      </c>
      <c r="T730" s="35">
        <v>3.3</v>
      </c>
      <c r="U730" s="35">
        <v>2</v>
      </c>
      <c r="V730" s="35">
        <v>8</v>
      </c>
      <c r="W730" s="35">
        <v>9</v>
      </c>
      <c r="X730" s="35">
        <v>10.6</v>
      </c>
      <c r="Y730" s="35">
        <v>9</v>
      </c>
      <c r="Z730" s="35">
        <v>9.1999999999999993</v>
      </c>
      <c r="AA730" s="35">
        <v>9</v>
      </c>
      <c r="AB730" s="35">
        <v>8.3000000000000007</v>
      </c>
      <c r="AC730" s="35">
        <v>9</v>
      </c>
      <c r="AD730" s="35">
        <v>20.5</v>
      </c>
      <c r="AE730" s="35">
        <v>19</v>
      </c>
      <c r="AF730" s="35">
        <v>20</v>
      </c>
      <c r="AG730" s="35">
        <v>19</v>
      </c>
      <c r="AH730" s="35">
        <v>20.5</v>
      </c>
      <c r="AI730" s="35">
        <v>19</v>
      </c>
      <c r="AJ730" s="35">
        <v>18.600000000000001</v>
      </c>
      <c r="AK730" s="35">
        <v>19</v>
      </c>
      <c r="AL730" s="35">
        <v>21</v>
      </c>
      <c r="AM730" s="35">
        <v>19</v>
      </c>
      <c r="AN730" s="35">
        <v>20.5</v>
      </c>
      <c r="AO730" s="35">
        <v>19</v>
      </c>
      <c r="AP730" s="35">
        <v>20.399999999999999</v>
      </c>
      <c r="AQ730" s="35">
        <v>19</v>
      </c>
      <c r="AR730" s="35">
        <v>20.8</v>
      </c>
      <c r="AS730" s="35">
        <v>19</v>
      </c>
      <c r="AT730" s="35">
        <v>20.2</v>
      </c>
      <c r="AU730" s="35">
        <v>19</v>
      </c>
      <c r="AV730" s="35">
        <v>20.6</v>
      </c>
      <c r="AW730" s="35">
        <v>19</v>
      </c>
      <c r="AX730" s="35">
        <v>21.1</v>
      </c>
      <c r="AY730" s="35">
        <v>20</v>
      </c>
      <c r="AZ730" s="35">
        <v>21.8</v>
      </c>
      <c r="BA730" s="35">
        <v>20</v>
      </c>
      <c r="BB730" s="35">
        <v>29</v>
      </c>
      <c r="BC730" s="35">
        <v>40</v>
      </c>
      <c r="BD730" s="35">
        <v>28.2</v>
      </c>
      <c r="BE730" s="35">
        <v>40</v>
      </c>
      <c r="BF730" s="35">
        <v>21.9</v>
      </c>
      <c r="BG730" s="35">
        <v>20</v>
      </c>
    </row>
    <row r="731" spans="1:59" x14ac:dyDescent="0.35">
      <c r="A731" s="36">
        <v>46059.970138888886</v>
      </c>
      <c r="B731" s="35">
        <v>3</v>
      </c>
      <c r="C731" s="35">
        <v>2</v>
      </c>
      <c r="D731" s="35">
        <v>3.1</v>
      </c>
      <c r="E731" s="35">
        <v>2.2000000000000002</v>
      </c>
      <c r="F731" s="35">
        <v>3.1</v>
      </c>
      <c r="G731" s="35">
        <v>2</v>
      </c>
      <c r="H731" s="35">
        <v>2.5</v>
      </c>
      <c r="I731" s="35">
        <v>2</v>
      </c>
      <c r="J731" s="35">
        <v>2.5</v>
      </c>
      <c r="K731" s="35">
        <v>2</v>
      </c>
      <c r="L731" s="35">
        <v>3.4</v>
      </c>
      <c r="M731" s="35">
        <v>2</v>
      </c>
      <c r="N731" s="35">
        <v>2.2000000000000002</v>
      </c>
      <c r="O731" s="35">
        <v>3</v>
      </c>
      <c r="P731" s="35">
        <v>2.9</v>
      </c>
      <c r="Q731" s="35">
        <v>2</v>
      </c>
      <c r="R731" s="35">
        <v>3.5</v>
      </c>
      <c r="S731" s="35">
        <v>2</v>
      </c>
      <c r="T731" s="35">
        <v>3.4</v>
      </c>
      <c r="U731" s="35">
        <v>2</v>
      </c>
      <c r="V731" s="35">
        <v>7.6</v>
      </c>
      <c r="W731" s="35">
        <v>9</v>
      </c>
      <c r="X731" s="35">
        <v>9.6</v>
      </c>
      <c r="Y731" s="35">
        <v>9</v>
      </c>
      <c r="Z731" s="35">
        <v>8.6999999999999993</v>
      </c>
      <c r="AA731" s="35">
        <v>9</v>
      </c>
      <c r="AB731" s="35">
        <v>8.6999999999999993</v>
      </c>
      <c r="AC731" s="35">
        <v>9</v>
      </c>
      <c r="AD731" s="35">
        <v>20.5</v>
      </c>
      <c r="AE731" s="35">
        <v>19</v>
      </c>
      <c r="AF731" s="35">
        <v>20</v>
      </c>
      <c r="AG731" s="35">
        <v>19</v>
      </c>
      <c r="AH731" s="35">
        <v>20.6</v>
      </c>
      <c r="AI731" s="35">
        <v>19</v>
      </c>
      <c r="AJ731" s="35">
        <v>18.7</v>
      </c>
      <c r="AK731" s="35">
        <v>19</v>
      </c>
      <c r="AL731" s="35">
        <v>20.7</v>
      </c>
      <c r="AM731" s="35">
        <v>19</v>
      </c>
      <c r="AN731" s="35">
        <v>20.5</v>
      </c>
      <c r="AO731" s="35">
        <v>19</v>
      </c>
      <c r="AP731" s="35">
        <v>20.399999999999999</v>
      </c>
      <c r="AQ731" s="35">
        <v>19</v>
      </c>
      <c r="AR731" s="35">
        <v>20.8</v>
      </c>
      <c r="AS731" s="35">
        <v>19</v>
      </c>
      <c r="AT731" s="35">
        <v>20.3</v>
      </c>
      <c r="AU731" s="35">
        <v>19</v>
      </c>
      <c r="AV731" s="35">
        <v>20.6</v>
      </c>
      <c r="AW731" s="35">
        <v>19</v>
      </c>
      <c r="AX731" s="35">
        <v>21.1</v>
      </c>
      <c r="AY731" s="35">
        <v>20</v>
      </c>
      <c r="AZ731" s="35">
        <v>21.9</v>
      </c>
      <c r="BA731" s="35">
        <v>20</v>
      </c>
      <c r="BB731" s="35">
        <v>29</v>
      </c>
      <c r="BC731" s="35">
        <v>40</v>
      </c>
      <c r="BD731" s="35">
        <v>28.2</v>
      </c>
      <c r="BE731" s="35">
        <v>40</v>
      </c>
      <c r="BF731" s="35">
        <v>21.9</v>
      </c>
      <c r="BG731" s="35">
        <v>20</v>
      </c>
    </row>
    <row r="732" spans="1:59" x14ac:dyDescent="0.35">
      <c r="A732" s="36">
        <v>46059.970833333333</v>
      </c>
      <c r="B732" s="35">
        <v>1.8</v>
      </c>
      <c r="C732" s="35">
        <v>2</v>
      </c>
      <c r="D732" s="35">
        <v>1.9</v>
      </c>
      <c r="E732" s="35">
        <v>2.2000000000000002</v>
      </c>
      <c r="F732" s="35">
        <v>3.2</v>
      </c>
      <c r="G732" s="35">
        <v>2</v>
      </c>
      <c r="H732" s="35">
        <v>2.6</v>
      </c>
      <c r="I732" s="35">
        <v>2</v>
      </c>
      <c r="J732" s="35">
        <v>1.9</v>
      </c>
      <c r="K732" s="35">
        <v>2</v>
      </c>
      <c r="L732" s="35">
        <v>2.7</v>
      </c>
      <c r="M732" s="35">
        <v>2</v>
      </c>
      <c r="N732" s="35">
        <v>0.9</v>
      </c>
      <c r="O732" s="35">
        <v>3</v>
      </c>
      <c r="P732" s="35">
        <v>1.8</v>
      </c>
      <c r="Q732" s="35">
        <v>2</v>
      </c>
      <c r="R732" s="35">
        <v>3.6</v>
      </c>
      <c r="S732" s="35">
        <v>2</v>
      </c>
      <c r="T732" s="35">
        <v>3.5</v>
      </c>
      <c r="U732" s="35">
        <v>2</v>
      </c>
      <c r="V732" s="35">
        <v>8.4</v>
      </c>
      <c r="W732" s="35">
        <v>9</v>
      </c>
      <c r="X732" s="35">
        <v>8.4</v>
      </c>
      <c r="Y732" s="35">
        <v>9</v>
      </c>
      <c r="Z732" s="35">
        <v>8.8000000000000007</v>
      </c>
      <c r="AA732" s="35">
        <v>9</v>
      </c>
      <c r="AB732" s="35">
        <v>9.1</v>
      </c>
      <c r="AC732" s="35">
        <v>9</v>
      </c>
      <c r="AD732" s="35">
        <v>20.5</v>
      </c>
      <c r="AE732" s="35">
        <v>19</v>
      </c>
      <c r="AF732" s="35">
        <v>20.100000000000001</v>
      </c>
      <c r="AG732" s="35">
        <v>19</v>
      </c>
      <c r="AH732" s="35">
        <v>20.6</v>
      </c>
      <c r="AI732" s="35">
        <v>19</v>
      </c>
      <c r="AJ732" s="35">
        <v>18.899999999999999</v>
      </c>
      <c r="AK732" s="35">
        <v>19</v>
      </c>
      <c r="AL732" s="35">
        <v>20.3</v>
      </c>
      <c r="AM732" s="35">
        <v>19</v>
      </c>
      <c r="AN732" s="35">
        <v>20.6</v>
      </c>
      <c r="AO732" s="35">
        <v>19</v>
      </c>
      <c r="AP732" s="35">
        <v>20.399999999999999</v>
      </c>
      <c r="AQ732" s="35">
        <v>19</v>
      </c>
      <c r="AR732" s="35">
        <v>20.8</v>
      </c>
      <c r="AS732" s="35">
        <v>19</v>
      </c>
      <c r="AT732" s="35">
        <v>20.399999999999999</v>
      </c>
      <c r="AU732" s="35">
        <v>19</v>
      </c>
      <c r="AV732" s="35">
        <v>20.7</v>
      </c>
      <c r="AW732" s="35">
        <v>19</v>
      </c>
      <c r="AX732" s="35">
        <v>21.1</v>
      </c>
      <c r="AY732" s="35">
        <v>20</v>
      </c>
      <c r="AZ732" s="35">
        <v>21.9</v>
      </c>
      <c r="BA732" s="35">
        <v>20</v>
      </c>
      <c r="BB732" s="35">
        <v>29</v>
      </c>
      <c r="BC732" s="35">
        <v>40</v>
      </c>
      <c r="BD732" s="35">
        <v>28.2</v>
      </c>
      <c r="BE732" s="35">
        <v>40</v>
      </c>
      <c r="BF732" s="35">
        <v>21.9</v>
      </c>
      <c r="BG732" s="35">
        <v>20</v>
      </c>
    </row>
    <row r="733" spans="1:59" x14ac:dyDescent="0.35">
      <c r="A733" s="36">
        <v>46059.97152777778</v>
      </c>
      <c r="B733" s="35">
        <v>1.6</v>
      </c>
      <c r="C733" s="35">
        <v>2</v>
      </c>
      <c r="D733" s="35">
        <v>1.9</v>
      </c>
      <c r="E733" s="35">
        <v>2.2000000000000002</v>
      </c>
      <c r="F733" s="35">
        <v>3.2</v>
      </c>
      <c r="G733" s="35">
        <v>2</v>
      </c>
      <c r="H733" s="35">
        <v>2.6</v>
      </c>
      <c r="I733" s="35">
        <v>2</v>
      </c>
      <c r="J733" s="35">
        <v>1.9</v>
      </c>
      <c r="K733" s="35">
        <v>2</v>
      </c>
      <c r="L733" s="35">
        <v>2.7</v>
      </c>
      <c r="M733" s="35">
        <v>2</v>
      </c>
      <c r="N733" s="35">
        <v>0.9</v>
      </c>
      <c r="O733" s="35">
        <v>3</v>
      </c>
      <c r="P733" s="35">
        <v>1.7</v>
      </c>
      <c r="Q733" s="35">
        <v>2</v>
      </c>
      <c r="R733" s="35">
        <v>3.8</v>
      </c>
      <c r="S733" s="35">
        <v>2</v>
      </c>
      <c r="T733" s="35">
        <v>3.6</v>
      </c>
      <c r="U733" s="35">
        <v>2</v>
      </c>
      <c r="V733" s="35">
        <v>9.1999999999999993</v>
      </c>
      <c r="W733" s="35">
        <v>9</v>
      </c>
      <c r="X733" s="35">
        <v>8.1999999999999993</v>
      </c>
      <c r="Y733" s="35">
        <v>9</v>
      </c>
      <c r="Z733" s="35">
        <v>9.1</v>
      </c>
      <c r="AA733" s="35">
        <v>9</v>
      </c>
      <c r="AB733" s="35">
        <v>9.6</v>
      </c>
      <c r="AC733" s="35">
        <v>9</v>
      </c>
      <c r="AD733" s="35">
        <v>20.6</v>
      </c>
      <c r="AE733" s="35">
        <v>19</v>
      </c>
      <c r="AF733" s="35">
        <v>20.100000000000001</v>
      </c>
      <c r="AG733" s="35">
        <v>19</v>
      </c>
      <c r="AH733" s="35">
        <v>20.7</v>
      </c>
      <c r="AI733" s="35">
        <v>19</v>
      </c>
      <c r="AJ733" s="35">
        <v>19.100000000000001</v>
      </c>
      <c r="AK733" s="35">
        <v>19</v>
      </c>
      <c r="AL733" s="35">
        <v>20.100000000000001</v>
      </c>
      <c r="AM733" s="35">
        <v>19</v>
      </c>
      <c r="AN733" s="35">
        <v>20.7</v>
      </c>
      <c r="AO733" s="35">
        <v>19</v>
      </c>
      <c r="AP733" s="35">
        <v>20.399999999999999</v>
      </c>
      <c r="AQ733" s="35">
        <v>19</v>
      </c>
      <c r="AR733" s="35">
        <v>20.8</v>
      </c>
      <c r="AS733" s="35">
        <v>19</v>
      </c>
      <c r="AT733" s="35">
        <v>20.5</v>
      </c>
      <c r="AU733" s="35">
        <v>19</v>
      </c>
      <c r="AV733" s="35">
        <v>20.7</v>
      </c>
      <c r="AW733" s="35">
        <v>19</v>
      </c>
      <c r="AX733" s="35">
        <v>21.1</v>
      </c>
      <c r="AY733" s="35">
        <v>20</v>
      </c>
      <c r="AZ733" s="35">
        <v>21.9</v>
      </c>
      <c r="BA733" s="35">
        <v>20</v>
      </c>
      <c r="BB733" s="35">
        <v>29</v>
      </c>
      <c r="BC733" s="35">
        <v>40</v>
      </c>
      <c r="BD733" s="35">
        <v>28.2</v>
      </c>
      <c r="BE733" s="35">
        <v>40</v>
      </c>
      <c r="BF733" s="35">
        <v>21.9</v>
      </c>
      <c r="BG733" s="35">
        <v>20</v>
      </c>
    </row>
    <row r="734" spans="1:59" x14ac:dyDescent="0.35">
      <c r="A734" s="36">
        <v>46059.972222222219</v>
      </c>
      <c r="B734" s="35">
        <v>1.7</v>
      </c>
      <c r="C734" s="35">
        <v>2</v>
      </c>
      <c r="D734" s="35">
        <v>2.2000000000000002</v>
      </c>
      <c r="E734" s="35">
        <v>2.2000000000000002</v>
      </c>
      <c r="F734" s="35">
        <v>3.3</v>
      </c>
      <c r="G734" s="35">
        <v>2</v>
      </c>
      <c r="H734" s="35">
        <v>2.6</v>
      </c>
      <c r="I734" s="35">
        <v>2</v>
      </c>
      <c r="J734" s="35">
        <v>1.9</v>
      </c>
      <c r="K734" s="35">
        <v>2</v>
      </c>
      <c r="L734" s="35">
        <v>2.9</v>
      </c>
      <c r="M734" s="35">
        <v>2</v>
      </c>
      <c r="N734" s="35">
        <v>1.1000000000000001</v>
      </c>
      <c r="O734" s="35">
        <v>3</v>
      </c>
      <c r="P734" s="35">
        <v>1.9</v>
      </c>
      <c r="Q734" s="35">
        <v>2</v>
      </c>
      <c r="R734" s="35">
        <v>3.9</v>
      </c>
      <c r="S734" s="35">
        <v>2</v>
      </c>
      <c r="T734" s="35">
        <v>3.7</v>
      </c>
      <c r="U734" s="35">
        <v>2</v>
      </c>
      <c r="V734" s="35">
        <v>9.8000000000000007</v>
      </c>
      <c r="W734" s="35">
        <v>9</v>
      </c>
      <c r="X734" s="35">
        <v>8.1999999999999993</v>
      </c>
      <c r="Y734" s="35">
        <v>9</v>
      </c>
      <c r="Z734" s="35">
        <v>9.3000000000000007</v>
      </c>
      <c r="AA734" s="35">
        <v>9</v>
      </c>
      <c r="AB734" s="35">
        <v>9.8000000000000007</v>
      </c>
      <c r="AC734" s="35">
        <v>9</v>
      </c>
      <c r="AD734" s="35">
        <v>20.6</v>
      </c>
      <c r="AE734" s="35">
        <v>19</v>
      </c>
      <c r="AF734" s="35">
        <v>20.2</v>
      </c>
      <c r="AG734" s="35">
        <v>19</v>
      </c>
      <c r="AH734" s="35">
        <v>20.7</v>
      </c>
      <c r="AI734" s="35">
        <v>19</v>
      </c>
      <c r="AJ734" s="35">
        <v>19.3</v>
      </c>
      <c r="AK734" s="35">
        <v>19</v>
      </c>
      <c r="AL734" s="35">
        <v>19.899999999999999</v>
      </c>
      <c r="AM734" s="35">
        <v>19</v>
      </c>
      <c r="AN734" s="35">
        <v>20.7</v>
      </c>
      <c r="AO734" s="35">
        <v>19</v>
      </c>
      <c r="AP734" s="35">
        <v>20.399999999999999</v>
      </c>
      <c r="AQ734" s="35">
        <v>19</v>
      </c>
      <c r="AR734" s="35">
        <v>20.8</v>
      </c>
      <c r="AS734" s="35">
        <v>19</v>
      </c>
      <c r="AT734" s="35">
        <v>20.6</v>
      </c>
      <c r="AU734" s="35">
        <v>19</v>
      </c>
      <c r="AV734" s="35">
        <v>20.7</v>
      </c>
      <c r="AW734" s="35">
        <v>19</v>
      </c>
      <c r="AX734" s="35">
        <v>21.1</v>
      </c>
      <c r="AY734" s="35">
        <v>20</v>
      </c>
      <c r="AZ734" s="35">
        <v>21.9</v>
      </c>
      <c r="BA734" s="35">
        <v>20</v>
      </c>
      <c r="BB734" s="35">
        <v>29</v>
      </c>
      <c r="BC734" s="35">
        <v>40</v>
      </c>
      <c r="BD734" s="35">
        <v>28.2</v>
      </c>
      <c r="BE734" s="35">
        <v>40</v>
      </c>
      <c r="BF734" s="35">
        <v>21.9</v>
      </c>
      <c r="BG734" s="35">
        <v>20</v>
      </c>
    </row>
    <row r="735" spans="1:59" x14ac:dyDescent="0.35">
      <c r="A735" s="36">
        <v>46059.972916666666</v>
      </c>
      <c r="B735" s="35">
        <v>2.1</v>
      </c>
      <c r="C735" s="35">
        <v>2</v>
      </c>
      <c r="D735" s="35">
        <v>2.6</v>
      </c>
      <c r="E735" s="35">
        <v>2.2000000000000002</v>
      </c>
      <c r="F735" s="35">
        <v>3.4</v>
      </c>
      <c r="G735" s="35">
        <v>2</v>
      </c>
      <c r="H735" s="35">
        <v>2.8</v>
      </c>
      <c r="I735" s="35">
        <v>2</v>
      </c>
      <c r="J735" s="35">
        <v>2.1</v>
      </c>
      <c r="K735" s="35">
        <v>2</v>
      </c>
      <c r="L735" s="35">
        <v>3.1</v>
      </c>
      <c r="M735" s="35">
        <v>2</v>
      </c>
      <c r="N735" s="35">
        <v>1.5</v>
      </c>
      <c r="O735" s="35">
        <v>3</v>
      </c>
      <c r="P735" s="35">
        <v>2.2000000000000002</v>
      </c>
      <c r="Q735" s="35">
        <v>2</v>
      </c>
      <c r="R735" s="35">
        <v>4</v>
      </c>
      <c r="S735" s="35">
        <v>2</v>
      </c>
      <c r="T735" s="35">
        <v>3.6</v>
      </c>
      <c r="U735" s="35">
        <v>2</v>
      </c>
      <c r="V735" s="35">
        <v>10.3</v>
      </c>
      <c r="W735" s="35">
        <v>9</v>
      </c>
      <c r="X735" s="35">
        <v>8.3000000000000007</v>
      </c>
      <c r="Y735" s="35">
        <v>9</v>
      </c>
      <c r="Z735" s="35">
        <v>9.6</v>
      </c>
      <c r="AA735" s="35">
        <v>9</v>
      </c>
      <c r="AB735" s="35">
        <v>10.1</v>
      </c>
      <c r="AC735" s="35">
        <v>9</v>
      </c>
      <c r="AD735" s="35">
        <v>20.6</v>
      </c>
      <c r="AE735" s="35">
        <v>19</v>
      </c>
      <c r="AF735" s="35">
        <v>20.2</v>
      </c>
      <c r="AG735" s="35">
        <v>19</v>
      </c>
      <c r="AH735" s="35">
        <v>20.8</v>
      </c>
      <c r="AI735" s="35">
        <v>19</v>
      </c>
      <c r="AJ735" s="35">
        <v>19.399999999999999</v>
      </c>
      <c r="AK735" s="35">
        <v>19</v>
      </c>
      <c r="AL735" s="35">
        <v>19.5</v>
      </c>
      <c r="AM735" s="35">
        <v>19</v>
      </c>
      <c r="AN735" s="35">
        <v>20.8</v>
      </c>
      <c r="AO735" s="35">
        <v>19</v>
      </c>
      <c r="AP735" s="35">
        <v>20.399999999999999</v>
      </c>
      <c r="AQ735" s="35">
        <v>19</v>
      </c>
      <c r="AR735" s="35">
        <v>20.8</v>
      </c>
      <c r="AS735" s="35">
        <v>19</v>
      </c>
      <c r="AT735" s="35">
        <v>20.6</v>
      </c>
      <c r="AU735" s="35">
        <v>19</v>
      </c>
      <c r="AV735" s="35">
        <v>20.8</v>
      </c>
      <c r="AW735" s="35">
        <v>19</v>
      </c>
      <c r="AX735" s="35">
        <v>21.1</v>
      </c>
      <c r="AY735" s="35">
        <v>20</v>
      </c>
      <c r="AZ735" s="35">
        <v>21.9</v>
      </c>
      <c r="BA735" s="35">
        <v>20</v>
      </c>
      <c r="BB735" s="35">
        <v>29</v>
      </c>
      <c r="BC735" s="35">
        <v>40</v>
      </c>
      <c r="BD735" s="35">
        <v>28.2</v>
      </c>
      <c r="BE735" s="35">
        <v>40</v>
      </c>
      <c r="BF735" s="35">
        <v>21.9</v>
      </c>
      <c r="BG735" s="35">
        <v>20</v>
      </c>
    </row>
    <row r="736" spans="1:59" x14ac:dyDescent="0.35">
      <c r="A736" s="36">
        <v>46059.973611111112</v>
      </c>
      <c r="B736" s="35">
        <v>2.5</v>
      </c>
      <c r="C736" s="35">
        <v>2</v>
      </c>
      <c r="D736" s="35">
        <v>3</v>
      </c>
      <c r="E736" s="35">
        <v>2.2000000000000002</v>
      </c>
      <c r="F736" s="35">
        <v>3.5</v>
      </c>
      <c r="G736" s="35">
        <v>2</v>
      </c>
      <c r="H736" s="35">
        <v>3</v>
      </c>
      <c r="I736" s="35">
        <v>2</v>
      </c>
      <c r="J736" s="35">
        <v>2.4</v>
      </c>
      <c r="K736" s="35">
        <v>2</v>
      </c>
      <c r="L736" s="35">
        <v>3.4</v>
      </c>
      <c r="M736" s="35">
        <v>2</v>
      </c>
      <c r="N736" s="35">
        <v>1.8</v>
      </c>
      <c r="O736" s="35">
        <v>3</v>
      </c>
      <c r="P736" s="35">
        <v>2.4</v>
      </c>
      <c r="Q736" s="35">
        <v>2</v>
      </c>
      <c r="R736" s="35">
        <v>3</v>
      </c>
      <c r="S736" s="35">
        <v>2</v>
      </c>
      <c r="T736" s="35">
        <v>2.5</v>
      </c>
      <c r="U736" s="35">
        <v>2</v>
      </c>
      <c r="V736" s="35">
        <v>10.8</v>
      </c>
      <c r="W736" s="35">
        <v>9</v>
      </c>
      <c r="X736" s="35">
        <v>8.6</v>
      </c>
      <c r="Y736" s="35">
        <v>9</v>
      </c>
      <c r="Z736" s="35">
        <v>9.8000000000000007</v>
      </c>
      <c r="AA736" s="35">
        <v>9</v>
      </c>
      <c r="AB736" s="35">
        <v>10.199999999999999</v>
      </c>
      <c r="AC736" s="35">
        <v>9</v>
      </c>
      <c r="AD736" s="35">
        <v>20.6</v>
      </c>
      <c r="AE736" s="35">
        <v>19</v>
      </c>
      <c r="AF736" s="35">
        <v>20.3</v>
      </c>
      <c r="AG736" s="35">
        <v>19</v>
      </c>
      <c r="AH736" s="35">
        <v>20.8</v>
      </c>
      <c r="AI736" s="35">
        <v>19</v>
      </c>
      <c r="AJ736" s="35">
        <v>19.5</v>
      </c>
      <c r="AK736" s="35">
        <v>19</v>
      </c>
      <c r="AL736" s="35">
        <v>19.399999999999999</v>
      </c>
      <c r="AM736" s="35">
        <v>19</v>
      </c>
      <c r="AN736" s="35">
        <v>20.9</v>
      </c>
      <c r="AO736" s="35">
        <v>19</v>
      </c>
      <c r="AP736" s="35">
        <v>20.399999999999999</v>
      </c>
      <c r="AQ736" s="35">
        <v>19</v>
      </c>
      <c r="AR736" s="35">
        <v>20.8</v>
      </c>
      <c r="AS736" s="35">
        <v>19</v>
      </c>
      <c r="AT736" s="35">
        <v>20.7</v>
      </c>
      <c r="AU736" s="35">
        <v>19</v>
      </c>
      <c r="AV736" s="35">
        <v>20.8</v>
      </c>
      <c r="AW736" s="35">
        <v>19</v>
      </c>
      <c r="AX736" s="35">
        <v>21</v>
      </c>
      <c r="AY736" s="35">
        <v>20</v>
      </c>
      <c r="AZ736" s="35">
        <v>21.9</v>
      </c>
      <c r="BA736" s="35">
        <v>20</v>
      </c>
      <c r="BB736" s="35">
        <v>29</v>
      </c>
      <c r="BC736" s="35">
        <v>40</v>
      </c>
      <c r="BD736" s="35">
        <v>28.2</v>
      </c>
      <c r="BE736" s="35">
        <v>40</v>
      </c>
      <c r="BF736" s="35">
        <v>21.9</v>
      </c>
      <c r="BG736" s="35">
        <v>20</v>
      </c>
    </row>
    <row r="737" spans="1:59" x14ac:dyDescent="0.35">
      <c r="A737" s="36">
        <v>46059.974305555559</v>
      </c>
      <c r="B737" s="35">
        <v>2.8</v>
      </c>
      <c r="C737" s="35">
        <v>2</v>
      </c>
      <c r="D737" s="35">
        <v>3.3</v>
      </c>
      <c r="E737" s="35">
        <v>2.2000000000000002</v>
      </c>
      <c r="F737" s="35">
        <v>3.6</v>
      </c>
      <c r="G737" s="35">
        <v>2</v>
      </c>
      <c r="H737" s="35">
        <v>3.1</v>
      </c>
      <c r="I737" s="35">
        <v>2</v>
      </c>
      <c r="J737" s="35">
        <v>2.6</v>
      </c>
      <c r="K737" s="35">
        <v>2</v>
      </c>
      <c r="L737" s="35">
        <v>3.6</v>
      </c>
      <c r="M737" s="35">
        <v>2</v>
      </c>
      <c r="N737" s="35">
        <v>2.1</v>
      </c>
      <c r="O737" s="35">
        <v>3</v>
      </c>
      <c r="P737" s="35">
        <v>2.7</v>
      </c>
      <c r="Q737" s="35">
        <v>2</v>
      </c>
      <c r="R737" s="35">
        <v>2.2000000000000002</v>
      </c>
      <c r="S737" s="35">
        <v>2</v>
      </c>
      <c r="T737" s="35">
        <v>1.5</v>
      </c>
      <c r="U737" s="35">
        <v>2</v>
      </c>
      <c r="V737" s="35">
        <v>11</v>
      </c>
      <c r="W737" s="35">
        <v>9</v>
      </c>
      <c r="X737" s="35">
        <v>8.8000000000000007</v>
      </c>
      <c r="Y737" s="35">
        <v>9</v>
      </c>
      <c r="Z737" s="35">
        <v>9.9</v>
      </c>
      <c r="AA737" s="35">
        <v>9</v>
      </c>
      <c r="AB737" s="35">
        <v>10.4</v>
      </c>
      <c r="AC737" s="35">
        <v>9</v>
      </c>
      <c r="AD737" s="35">
        <v>20.6</v>
      </c>
      <c r="AE737" s="35">
        <v>19</v>
      </c>
      <c r="AF737" s="35">
        <v>20.3</v>
      </c>
      <c r="AG737" s="35">
        <v>19</v>
      </c>
      <c r="AH737" s="35">
        <v>20.9</v>
      </c>
      <c r="AI737" s="35">
        <v>19</v>
      </c>
      <c r="AJ737" s="35">
        <v>19.600000000000001</v>
      </c>
      <c r="AK737" s="35">
        <v>19</v>
      </c>
      <c r="AL737" s="35">
        <v>19.2</v>
      </c>
      <c r="AM737" s="35">
        <v>19</v>
      </c>
      <c r="AN737" s="35">
        <v>20.9</v>
      </c>
      <c r="AO737" s="35">
        <v>19</v>
      </c>
      <c r="AP737" s="35">
        <v>20.399999999999999</v>
      </c>
      <c r="AQ737" s="35">
        <v>19</v>
      </c>
      <c r="AR737" s="35">
        <v>20.8</v>
      </c>
      <c r="AS737" s="35">
        <v>19</v>
      </c>
      <c r="AT737" s="35">
        <v>20.8</v>
      </c>
      <c r="AU737" s="35">
        <v>19</v>
      </c>
      <c r="AV737" s="35">
        <v>20.8</v>
      </c>
      <c r="AW737" s="35">
        <v>19</v>
      </c>
      <c r="AX737" s="35">
        <v>21</v>
      </c>
      <c r="AY737" s="35">
        <v>20</v>
      </c>
      <c r="AZ737" s="35">
        <v>21.9</v>
      </c>
      <c r="BA737" s="35">
        <v>20</v>
      </c>
      <c r="BB737" s="35">
        <v>29</v>
      </c>
      <c r="BC737" s="35">
        <v>40</v>
      </c>
      <c r="BD737" s="35">
        <v>28.2</v>
      </c>
      <c r="BE737" s="35">
        <v>40</v>
      </c>
      <c r="BF737" s="35">
        <v>21.9</v>
      </c>
      <c r="BG737" s="35">
        <v>20</v>
      </c>
    </row>
    <row r="738" spans="1:59" x14ac:dyDescent="0.35">
      <c r="A738" s="36">
        <v>46059.974999999999</v>
      </c>
      <c r="B738" s="35">
        <v>3.1</v>
      </c>
      <c r="C738" s="35">
        <v>2</v>
      </c>
      <c r="D738" s="35">
        <v>3.6</v>
      </c>
      <c r="E738" s="35">
        <v>2.2000000000000002</v>
      </c>
      <c r="F738" s="35">
        <v>3.6</v>
      </c>
      <c r="G738" s="35">
        <v>2</v>
      </c>
      <c r="H738" s="35">
        <v>3</v>
      </c>
      <c r="I738" s="35">
        <v>2</v>
      </c>
      <c r="J738" s="35">
        <v>2.8</v>
      </c>
      <c r="K738" s="35">
        <v>2</v>
      </c>
      <c r="L738" s="35">
        <v>3.9</v>
      </c>
      <c r="M738" s="35">
        <v>2</v>
      </c>
      <c r="N738" s="35">
        <v>2.5</v>
      </c>
      <c r="O738" s="35">
        <v>3</v>
      </c>
      <c r="P738" s="35">
        <v>2.9</v>
      </c>
      <c r="Q738" s="35">
        <v>2</v>
      </c>
      <c r="R738" s="35">
        <v>1.7</v>
      </c>
      <c r="S738" s="35">
        <v>2</v>
      </c>
      <c r="T738" s="35">
        <v>1.1000000000000001</v>
      </c>
      <c r="U738" s="35">
        <v>2</v>
      </c>
      <c r="V738" s="35">
        <v>9.5</v>
      </c>
      <c r="W738" s="35">
        <v>9</v>
      </c>
      <c r="X738" s="35">
        <v>9</v>
      </c>
      <c r="Y738" s="35">
        <v>9</v>
      </c>
      <c r="Z738" s="35">
        <v>10</v>
      </c>
      <c r="AA738" s="35">
        <v>9</v>
      </c>
      <c r="AB738" s="35">
        <v>10.6</v>
      </c>
      <c r="AC738" s="35">
        <v>9</v>
      </c>
      <c r="AD738" s="35">
        <v>20.6</v>
      </c>
      <c r="AE738" s="35">
        <v>19</v>
      </c>
      <c r="AF738" s="35">
        <v>20.3</v>
      </c>
      <c r="AG738" s="35">
        <v>19</v>
      </c>
      <c r="AH738" s="35">
        <v>20.9</v>
      </c>
      <c r="AI738" s="35">
        <v>19</v>
      </c>
      <c r="AJ738" s="35">
        <v>19.7</v>
      </c>
      <c r="AK738" s="35">
        <v>19</v>
      </c>
      <c r="AL738" s="35">
        <v>19.100000000000001</v>
      </c>
      <c r="AM738" s="35">
        <v>19</v>
      </c>
      <c r="AN738" s="35">
        <v>21</v>
      </c>
      <c r="AO738" s="35">
        <v>19</v>
      </c>
      <c r="AP738" s="35">
        <v>20.399999999999999</v>
      </c>
      <c r="AQ738" s="35">
        <v>19</v>
      </c>
      <c r="AR738" s="35">
        <v>20.8</v>
      </c>
      <c r="AS738" s="35">
        <v>19</v>
      </c>
      <c r="AT738" s="35">
        <v>20.9</v>
      </c>
      <c r="AU738" s="35">
        <v>19</v>
      </c>
      <c r="AV738" s="35">
        <v>20.9</v>
      </c>
      <c r="AW738" s="35">
        <v>19</v>
      </c>
      <c r="AX738" s="35">
        <v>21</v>
      </c>
      <c r="AY738" s="35">
        <v>20</v>
      </c>
      <c r="AZ738" s="35">
        <v>21.9</v>
      </c>
      <c r="BA738" s="35">
        <v>20</v>
      </c>
      <c r="BB738" s="35">
        <v>29</v>
      </c>
      <c r="BC738" s="35">
        <v>40</v>
      </c>
      <c r="BD738" s="35">
        <v>28.1</v>
      </c>
      <c r="BE738" s="35">
        <v>40</v>
      </c>
      <c r="BF738" s="35">
        <v>21.9</v>
      </c>
      <c r="BG738" s="35">
        <v>20</v>
      </c>
    </row>
    <row r="739" spans="1:59" x14ac:dyDescent="0.35">
      <c r="A739" s="36">
        <v>46059.975694444445</v>
      </c>
      <c r="B739" s="35">
        <v>3.4</v>
      </c>
      <c r="C739" s="35">
        <v>2</v>
      </c>
      <c r="D739" s="35">
        <v>3.9</v>
      </c>
      <c r="E739" s="35">
        <v>2.2000000000000002</v>
      </c>
      <c r="F739" s="35">
        <v>3.6</v>
      </c>
      <c r="G739" s="35">
        <v>2</v>
      </c>
      <c r="H739" s="35">
        <v>2.8</v>
      </c>
      <c r="I739" s="35">
        <v>2</v>
      </c>
      <c r="J739" s="35">
        <v>2.9</v>
      </c>
      <c r="K739" s="35">
        <v>2</v>
      </c>
      <c r="L739" s="35">
        <v>3.8</v>
      </c>
      <c r="M739" s="35">
        <v>2</v>
      </c>
      <c r="N739" s="35">
        <v>2.8</v>
      </c>
      <c r="O739" s="35">
        <v>3</v>
      </c>
      <c r="P739" s="35">
        <v>3.1</v>
      </c>
      <c r="Q739" s="35">
        <v>2</v>
      </c>
      <c r="R739" s="35">
        <v>1.7</v>
      </c>
      <c r="S739" s="35">
        <v>2</v>
      </c>
      <c r="T739" s="35">
        <v>1.1000000000000001</v>
      </c>
      <c r="U739" s="35">
        <v>2</v>
      </c>
      <c r="V739" s="35">
        <v>9</v>
      </c>
      <c r="W739" s="35">
        <v>9</v>
      </c>
      <c r="X739" s="35">
        <v>9.1999999999999993</v>
      </c>
      <c r="Y739" s="35">
        <v>9</v>
      </c>
      <c r="Z739" s="35">
        <v>10.199999999999999</v>
      </c>
      <c r="AA739" s="35">
        <v>9</v>
      </c>
      <c r="AB739" s="35">
        <v>10.7</v>
      </c>
      <c r="AC739" s="35">
        <v>9</v>
      </c>
      <c r="AD739" s="35">
        <v>20.6</v>
      </c>
      <c r="AE739" s="35">
        <v>19</v>
      </c>
      <c r="AF739" s="35">
        <v>20.399999999999999</v>
      </c>
      <c r="AG739" s="35">
        <v>19</v>
      </c>
      <c r="AH739" s="35">
        <v>20.9</v>
      </c>
      <c r="AI739" s="35">
        <v>19</v>
      </c>
      <c r="AJ739" s="35">
        <v>19.8</v>
      </c>
      <c r="AK739" s="35">
        <v>19</v>
      </c>
      <c r="AL739" s="35">
        <v>19</v>
      </c>
      <c r="AM739" s="35">
        <v>19</v>
      </c>
      <c r="AN739" s="35">
        <v>20.399999999999999</v>
      </c>
      <c r="AO739" s="35">
        <v>19</v>
      </c>
      <c r="AP739" s="35">
        <v>20.5</v>
      </c>
      <c r="AQ739" s="35">
        <v>19</v>
      </c>
      <c r="AR739" s="35">
        <v>20.8</v>
      </c>
      <c r="AS739" s="35">
        <v>19</v>
      </c>
      <c r="AT739" s="35">
        <v>21</v>
      </c>
      <c r="AU739" s="35">
        <v>19</v>
      </c>
      <c r="AV739" s="35">
        <v>20.9</v>
      </c>
      <c r="AW739" s="35">
        <v>19</v>
      </c>
      <c r="AX739" s="35">
        <v>21</v>
      </c>
      <c r="AY739" s="35">
        <v>20</v>
      </c>
      <c r="AZ739" s="35">
        <v>21.8</v>
      </c>
      <c r="BA739" s="35">
        <v>20</v>
      </c>
      <c r="BB739" s="35">
        <v>29</v>
      </c>
      <c r="BC739" s="35">
        <v>40</v>
      </c>
      <c r="BD739" s="35">
        <v>28.1</v>
      </c>
      <c r="BE739" s="35">
        <v>40</v>
      </c>
      <c r="BF739" s="35">
        <v>21.9</v>
      </c>
      <c r="BG739" s="35">
        <v>20</v>
      </c>
    </row>
    <row r="740" spans="1:59" x14ac:dyDescent="0.35">
      <c r="A740" s="36">
        <v>46059.976388888892</v>
      </c>
      <c r="B740" s="35">
        <v>3.6</v>
      </c>
      <c r="C740" s="35">
        <v>2</v>
      </c>
      <c r="D740" s="35">
        <v>4.0999999999999996</v>
      </c>
      <c r="E740" s="35">
        <v>2.2000000000000002</v>
      </c>
      <c r="F740" s="35">
        <v>3.6</v>
      </c>
      <c r="G740" s="35">
        <v>2</v>
      </c>
      <c r="H740" s="35">
        <v>3</v>
      </c>
      <c r="I740" s="35">
        <v>2</v>
      </c>
      <c r="J740" s="35">
        <v>2.6</v>
      </c>
      <c r="K740" s="35">
        <v>2</v>
      </c>
      <c r="L740" s="35">
        <v>2.7</v>
      </c>
      <c r="M740" s="35">
        <v>2</v>
      </c>
      <c r="N740" s="35">
        <v>3</v>
      </c>
      <c r="O740" s="35">
        <v>3</v>
      </c>
      <c r="P740" s="35">
        <v>3.3</v>
      </c>
      <c r="Q740" s="35">
        <v>2</v>
      </c>
      <c r="R740" s="35">
        <v>1.7</v>
      </c>
      <c r="S740" s="35">
        <v>2</v>
      </c>
      <c r="T740" s="35">
        <v>1.4</v>
      </c>
      <c r="U740" s="35">
        <v>2</v>
      </c>
      <c r="V740" s="35">
        <v>8.6</v>
      </c>
      <c r="W740" s="35">
        <v>9</v>
      </c>
      <c r="X740" s="35">
        <v>9.3000000000000007</v>
      </c>
      <c r="Y740" s="35">
        <v>9</v>
      </c>
      <c r="Z740" s="35">
        <v>10.3</v>
      </c>
      <c r="AA740" s="35">
        <v>9</v>
      </c>
      <c r="AB740" s="35">
        <v>10.8</v>
      </c>
      <c r="AC740" s="35">
        <v>9</v>
      </c>
      <c r="AD740" s="35">
        <v>20.6</v>
      </c>
      <c r="AE740" s="35">
        <v>19</v>
      </c>
      <c r="AF740" s="35">
        <v>20.399999999999999</v>
      </c>
      <c r="AG740" s="35">
        <v>19</v>
      </c>
      <c r="AH740" s="35">
        <v>21</v>
      </c>
      <c r="AI740" s="35">
        <v>19</v>
      </c>
      <c r="AJ740" s="35">
        <v>19.899999999999999</v>
      </c>
      <c r="AK740" s="35">
        <v>19</v>
      </c>
      <c r="AL740" s="35">
        <v>19.100000000000001</v>
      </c>
      <c r="AM740" s="35">
        <v>19</v>
      </c>
      <c r="AN740" s="35">
        <v>19.8</v>
      </c>
      <c r="AO740" s="35">
        <v>19</v>
      </c>
      <c r="AP740" s="35">
        <v>20.5</v>
      </c>
      <c r="AQ740" s="35">
        <v>19</v>
      </c>
      <c r="AR740" s="35">
        <v>20.8</v>
      </c>
      <c r="AS740" s="35">
        <v>19</v>
      </c>
      <c r="AT740" s="35">
        <v>20.5</v>
      </c>
      <c r="AU740" s="35">
        <v>19</v>
      </c>
      <c r="AV740" s="35">
        <v>20.9</v>
      </c>
      <c r="AW740" s="35">
        <v>19</v>
      </c>
      <c r="AX740" s="35">
        <v>21</v>
      </c>
      <c r="AY740" s="35">
        <v>20</v>
      </c>
      <c r="AZ740" s="35">
        <v>21.8</v>
      </c>
      <c r="BA740" s="35">
        <v>20</v>
      </c>
      <c r="BB740" s="35">
        <v>29</v>
      </c>
      <c r="BC740" s="35">
        <v>40</v>
      </c>
      <c r="BD740" s="35">
        <v>28.1</v>
      </c>
      <c r="BE740" s="35">
        <v>40</v>
      </c>
      <c r="BF740" s="35">
        <v>17.399999999999999</v>
      </c>
      <c r="BG740" s="35">
        <v>20</v>
      </c>
    </row>
    <row r="741" spans="1:59" x14ac:dyDescent="0.35">
      <c r="A741" s="36">
        <v>46059.977083333331</v>
      </c>
      <c r="B741" s="35">
        <v>3.7</v>
      </c>
      <c r="C741" s="35">
        <v>2</v>
      </c>
      <c r="D741" s="35">
        <v>4</v>
      </c>
      <c r="E741" s="35">
        <v>2.2000000000000002</v>
      </c>
      <c r="F741" s="35">
        <v>3.8</v>
      </c>
      <c r="G741" s="35">
        <v>2</v>
      </c>
      <c r="H741" s="35">
        <v>3.3</v>
      </c>
      <c r="I741" s="35">
        <v>2</v>
      </c>
      <c r="J741" s="35">
        <v>2.4</v>
      </c>
      <c r="K741" s="35">
        <v>2</v>
      </c>
      <c r="L741" s="35">
        <v>2.1</v>
      </c>
      <c r="M741" s="35">
        <v>2</v>
      </c>
      <c r="N741" s="35">
        <v>3.2</v>
      </c>
      <c r="O741" s="35">
        <v>3</v>
      </c>
      <c r="P741" s="35">
        <v>3.4</v>
      </c>
      <c r="Q741" s="35">
        <v>2</v>
      </c>
      <c r="R741" s="35">
        <v>2</v>
      </c>
      <c r="S741" s="35">
        <v>2</v>
      </c>
      <c r="T741" s="35">
        <v>1.6</v>
      </c>
      <c r="U741" s="35">
        <v>2</v>
      </c>
      <c r="V741" s="35">
        <v>9.1999999999999993</v>
      </c>
      <c r="W741" s="35">
        <v>9</v>
      </c>
      <c r="X741" s="35">
        <v>9.5</v>
      </c>
      <c r="Y741" s="35">
        <v>9</v>
      </c>
      <c r="Z741" s="35">
        <v>10.4</v>
      </c>
      <c r="AA741" s="35">
        <v>9</v>
      </c>
      <c r="AB741" s="35">
        <v>10.9</v>
      </c>
      <c r="AC741" s="35">
        <v>9</v>
      </c>
      <c r="AD741" s="35">
        <v>20.6</v>
      </c>
      <c r="AE741" s="35">
        <v>19</v>
      </c>
      <c r="AF741" s="35">
        <v>20.399999999999999</v>
      </c>
      <c r="AG741" s="35">
        <v>19</v>
      </c>
      <c r="AH741" s="35">
        <v>19.8</v>
      </c>
      <c r="AI741" s="35">
        <v>19</v>
      </c>
      <c r="AJ741" s="35">
        <v>20</v>
      </c>
      <c r="AK741" s="35">
        <v>19</v>
      </c>
      <c r="AL741" s="35">
        <v>19.399999999999999</v>
      </c>
      <c r="AM741" s="35">
        <v>19</v>
      </c>
      <c r="AN741" s="35">
        <v>19</v>
      </c>
      <c r="AO741" s="35">
        <v>19</v>
      </c>
      <c r="AP741" s="35">
        <v>20.5</v>
      </c>
      <c r="AQ741" s="35">
        <v>19</v>
      </c>
      <c r="AR741" s="35">
        <v>20.8</v>
      </c>
      <c r="AS741" s="35">
        <v>19</v>
      </c>
      <c r="AT741" s="35">
        <v>18.899999999999999</v>
      </c>
      <c r="AU741" s="35">
        <v>19</v>
      </c>
      <c r="AV741" s="35">
        <v>20.9</v>
      </c>
      <c r="AW741" s="35">
        <v>19</v>
      </c>
      <c r="AX741" s="35">
        <v>21.1</v>
      </c>
      <c r="AY741" s="35">
        <v>20</v>
      </c>
      <c r="AZ741" s="35">
        <v>21.8</v>
      </c>
      <c r="BA741" s="35">
        <v>20</v>
      </c>
      <c r="BB741" s="35">
        <v>29</v>
      </c>
      <c r="BC741" s="35">
        <v>40</v>
      </c>
      <c r="BD741" s="35">
        <v>28.1</v>
      </c>
      <c r="BE741" s="35">
        <v>40</v>
      </c>
      <c r="BF741" s="35">
        <v>18</v>
      </c>
      <c r="BG741" s="35">
        <v>20</v>
      </c>
    </row>
    <row r="742" spans="1:59" x14ac:dyDescent="0.35">
      <c r="A742" s="36">
        <v>46059.977777777778</v>
      </c>
      <c r="B742" s="35">
        <v>3.7</v>
      </c>
      <c r="C742" s="35">
        <v>2</v>
      </c>
      <c r="D742" s="35">
        <v>4</v>
      </c>
      <c r="E742" s="35">
        <v>2.2000000000000002</v>
      </c>
      <c r="F742" s="35">
        <v>3.9</v>
      </c>
      <c r="G742" s="35">
        <v>2</v>
      </c>
      <c r="H742" s="35">
        <v>3.3</v>
      </c>
      <c r="I742" s="35">
        <v>2</v>
      </c>
      <c r="J742" s="35">
        <v>2.2999999999999998</v>
      </c>
      <c r="K742" s="35">
        <v>2</v>
      </c>
      <c r="L742" s="35">
        <v>2</v>
      </c>
      <c r="M742" s="35">
        <v>2</v>
      </c>
      <c r="N742" s="35">
        <v>3.4</v>
      </c>
      <c r="O742" s="35">
        <v>3</v>
      </c>
      <c r="P742" s="35">
        <v>3.6</v>
      </c>
      <c r="Q742" s="35">
        <v>2</v>
      </c>
      <c r="R742" s="35">
        <v>2.2999999999999998</v>
      </c>
      <c r="S742" s="35">
        <v>2</v>
      </c>
      <c r="T742" s="35">
        <v>1.9</v>
      </c>
      <c r="U742" s="35">
        <v>2</v>
      </c>
      <c r="V742" s="35">
        <v>9.8000000000000007</v>
      </c>
      <c r="W742" s="35">
        <v>9</v>
      </c>
      <c r="X742" s="35">
        <v>9.6</v>
      </c>
      <c r="Y742" s="35">
        <v>9</v>
      </c>
      <c r="Z742" s="35">
        <v>10.5</v>
      </c>
      <c r="AA742" s="35">
        <v>9</v>
      </c>
      <c r="AB742" s="35">
        <v>11</v>
      </c>
      <c r="AC742" s="35">
        <v>9</v>
      </c>
      <c r="AD742" s="35">
        <v>20.6</v>
      </c>
      <c r="AE742" s="35">
        <v>19</v>
      </c>
      <c r="AF742" s="35">
        <v>20.5</v>
      </c>
      <c r="AG742" s="35">
        <v>19</v>
      </c>
      <c r="AH742" s="35">
        <v>18.2</v>
      </c>
      <c r="AI742" s="35">
        <v>19</v>
      </c>
      <c r="AJ742" s="35">
        <v>20.100000000000001</v>
      </c>
      <c r="AK742" s="35">
        <v>19</v>
      </c>
      <c r="AL742" s="35">
        <v>19.600000000000001</v>
      </c>
      <c r="AM742" s="35">
        <v>19</v>
      </c>
      <c r="AN742" s="35">
        <v>18.600000000000001</v>
      </c>
      <c r="AO742" s="35">
        <v>19</v>
      </c>
      <c r="AP742" s="35">
        <v>20.5</v>
      </c>
      <c r="AQ742" s="35">
        <v>19</v>
      </c>
      <c r="AR742" s="35">
        <v>20.8</v>
      </c>
      <c r="AS742" s="35">
        <v>19</v>
      </c>
      <c r="AT742" s="35">
        <v>17.899999999999999</v>
      </c>
      <c r="AU742" s="35">
        <v>19</v>
      </c>
      <c r="AV742" s="35">
        <v>20.9</v>
      </c>
      <c r="AW742" s="35">
        <v>19</v>
      </c>
      <c r="AX742" s="35">
        <v>21.1</v>
      </c>
      <c r="AY742" s="35">
        <v>20</v>
      </c>
      <c r="AZ742" s="35">
        <v>21.8</v>
      </c>
      <c r="BA742" s="35">
        <v>20</v>
      </c>
      <c r="BB742" s="35">
        <v>29</v>
      </c>
      <c r="BC742" s="35">
        <v>40</v>
      </c>
      <c r="BD742" s="35">
        <v>28.1</v>
      </c>
      <c r="BE742" s="35">
        <v>40</v>
      </c>
      <c r="BF742" s="35">
        <v>18.600000000000001</v>
      </c>
      <c r="BG742" s="35">
        <v>20</v>
      </c>
    </row>
    <row r="743" spans="1:59" x14ac:dyDescent="0.35">
      <c r="A743" s="36">
        <v>46059.978472222225</v>
      </c>
      <c r="B743" s="35">
        <v>3.8</v>
      </c>
      <c r="C743" s="35">
        <v>2</v>
      </c>
      <c r="D743" s="35">
        <v>4.0999999999999996</v>
      </c>
      <c r="E743" s="35">
        <v>2.2000000000000002</v>
      </c>
      <c r="F743" s="35">
        <v>3.9</v>
      </c>
      <c r="G743" s="35">
        <v>2</v>
      </c>
      <c r="H743" s="35">
        <v>3</v>
      </c>
      <c r="I743" s="35">
        <v>2</v>
      </c>
      <c r="J743" s="35">
        <v>2.4</v>
      </c>
      <c r="K743" s="35">
        <v>2</v>
      </c>
      <c r="L743" s="35">
        <v>2.2000000000000002</v>
      </c>
      <c r="M743" s="35">
        <v>2</v>
      </c>
      <c r="N743" s="35">
        <v>3.6</v>
      </c>
      <c r="O743" s="35">
        <v>3</v>
      </c>
      <c r="P743" s="35">
        <v>3.7</v>
      </c>
      <c r="Q743" s="35">
        <v>2</v>
      </c>
      <c r="R743" s="35">
        <v>2.5</v>
      </c>
      <c r="S743" s="35">
        <v>2</v>
      </c>
      <c r="T743" s="35">
        <v>2.2000000000000002</v>
      </c>
      <c r="U743" s="35">
        <v>2</v>
      </c>
      <c r="V743" s="35">
        <v>10.3</v>
      </c>
      <c r="W743" s="35">
        <v>9</v>
      </c>
      <c r="X743" s="35">
        <v>9.6999999999999993</v>
      </c>
      <c r="Y743" s="35">
        <v>9</v>
      </c>
      <c r="Z743" s="35">
        <v>10.6</v>
      </c>
      <c r="AA743" s="35">
        <v>9</v>
      </c>
      <c r="AB743" s="35">
        <v>9.1</v>
      </c>
      <c r="AC743" s="35">
        <v>9</v>
      </c>
      <c r="AD743" s="35">
        <v>20.6</v>
      </c>
      <c r="AE743" s="35">
        <v>19</v>
      </c>
      <c r="AF743" s="35">
        <v>20.5</v>
      </c>
      <c r="AG743" s="35">
        <v>19</v>
      </c>
      <c r="AH743" s="35">
        <v>18</v>
      </c>
      <c r="AI743" s="35">
        <v>19</v>
      </c>
      <c r="AJ743" s="35">
        <v>20.100000000000001</v>
      </c>
      <c r="AK743" s="35">
        <v>19</v>
      </c>
      <c r="AL743" s="35">
        <v>19.8</v>
      </c>
      <c r="AM743" s="35">
        <v>19</v>
      </c>
      <c r="AN743" s="35">
        <v>18.600000000000001</v>
      </c>
      <c r="AO743" s="35">
        <v>19</v>
      </c>
      <c r="AP743" s="35">
        <v>20.5</v>
      </c>
      <c r="AQ743" s="35">
        <v>19</v>
      </c>
      <c r="AR743" s="35">
        <v>20.8</v>
      </c>
      <c r="AS743" s="35">
        <v>19</v>
      </c>
      <c r="AT743" s="35">
        <v>17.899999999999999</v>
      </c>
      <c r="AU743" s="35">
        <v>19</v>
      </c>
      <c r="AV743" s="35">
        <v>20.8</v>
      </c>
      <c r="AW743" s="35">
        <v>19</v>
      </c>
      <c r="AX743" s="35">
        <v>21.1</v>
      </c>
      <c r="AY743" s="35">
        <v>20</v>
      </c>
      <c r="AZ743" s="35">
        <v>21.8</v>
      </c>
      <c r="BA743" s="35">
        <v>20</v>
      </c>
      <c r="BB743" s="35">
        <v>29</v>
      </c>
      <c r="BC743" s="35">
        <v>40</v>
      </c>
      <c r="BD743" s="35">
        <v>28.1</v>
      </c>
      <c r="BE743" s="35">
        <v>40</v>
      </c>
      <c r="BF743" s="35">
        <v>19.100000000000001</v>
      </c>
      <c r="BG743" s="35">
        <v>20</v>
      </c>
    </row>
    <row r="744" spans="1:59" x14ac:dyDescent="0.35">
      <c r="A744" s="36">
        <v>46059.979166666664</v>
      </c>
      <c r="B744" s="35">
        <v>4</v>
      </c>
      <c r="C744" s="35">
        <v>2</v>
      </c>
      <c r="D744" s="35">
        <v>4.3</v>
      </c>
      <c r="E744" s="35">
        <v>2.2000000000000002</v>
      </c>
      <c r="F744" s="35">
        <v>3.9</v>
      </c>
      <c r="G744" s="35">
        <v>2</v>
      </c>
      <c r="H744" s="35">
        <v>3</v>
      </c>
      <c r="I744" s="35">
        <v>2</v>
      </c>
      <c r="J744" s="35">
        <v>2.6</v>
      </c>
      <c r="K744" s="35">
        <v>2</v>
      </c>
      <c r="L744" s="35">
        <v>2.5</v>
      </c>
      <c r="M744" s="35">
        <v>2</v>
      </c>
      <c r="N744" s="35">
        <v>3.8</v>
      </c>
      <c r="O744" s="35">
        <v>3</v>
      </c>
      <c r="P744" s="35">
        <v>3.8</v>
      </c>
      <c r="Q744" s="35">
        <v>2</v>
      </c>
      <c r="R744" s="35">
        <v>2.7</v>
      </c>
      <c r="S744" s="35">
        <v>2</v>
      </c>
      <c r="T744" s="35">
        <v>2.4</v>
      </c>
      <c r="U744" s="35">
        <v>2</v>
      </c>
      <c r="V744" s="35">
        <v>10.7</v>
      </c>
      <c r="W744" s="35">
        <v>9</v>
      </c>
      <c r="X744" s="35">
        <v>9.9</v>
      </c>
      <c r="Y744" s="35">
        <v>9</v>
      </c>
      <c r="Z744" s="35">
        <v>10.7</v>
      </c>
      <c r="AA744" s="35">
        <v>9</v>
      </c>
      <c r="AB744" s="35">
        <v>7.9</v>
      </c>
      <c r="AC744" s="35">
        <v>9</v>
      </c>
      <c r="AD744" s="35">
        <v>20.6</v>
      </c>
      <c r="AE744" s="35">
        <v>19</v>
      </c>
      <c r="AF744" s="35">
        <v>20.5</v>
      </c>
      <c r="AG744" s="35">
        <v>19</v>
      </c>
      <c r="AH744" s="35">
        <v>18.100000000000001</v>
      </c>
      <c r="AI744" s="35">
        <v>19</v>
      </c>
      <c r="AJ744" s="35">
        <v>20.2</v>
      </c>
      <c r="AK744" s="35">
        <v>19</v>
      </c>
      <c r="AL744" s="35">
        <v>20</v>
      </c>
      <c r="AM744" s="35">
        <v>19</v>
      </c>
      <c r="AN744" s="35">
        <v>18.899999999999999</v>
      </c>
      <c r="AO744" s="35">
        <v>19</v>
      </c>
      <c r="AP744" s="35">
        <v>20.5</v>
      </c>
      <c r="AQ744" s="35">
        <v>19</v>
      </c>
      <c r="AR744" s="35">
        <v>20.8</v>
      </c>
      <c r="AS744" s="35">
        <v>19</v>
      </c>
      <c r="AT744" s="35">
        <v>17.899999999999999</v>
      </c>
      <c r="AU744" s="35">
        <v>19</v>
      </c>
      <c r="AV744" s="35">
        <v>18.7</v>
      </c>
      <c r="AW744" s="35">
        <v>19</v>
      </c>
      <c r="AX744" s="35">
        <v>21.1</v>
      </c>
      <c r="AY744" s="35">
        <v>20</v>
      </c>
      <c r="AZ744" s="35">
        <v>21.8</v>
      </c>
      <c r="BA744" s="35">
        <v>20</v>
      </c>
      <c r="BB744" s="35">
        <v>29</v>
      </c>
      <c r="BC744" s="35">
        <v>40</v>
      </c>
      <c r="BD744" s="35">
        <v>28.1</v>
      </c>
      <c r="BE744" s="35">
        <v>40</v>
      </c>
      <c r="BF744" s="35">
        <v>19.399999999999999</v>
      </c>
      <c r="BG744" s="35">
        <v>20</v>
      </c>
    </row>
    <row r="745" spans="1:59" x14ac:dyDescent="0.35">
      <c r="A745" s="36">
        <v>46059.979861111111</v>
      </c>
      <c r="B745" s="35">
        <v>3.4</v>
      </c>
      <c r="C745" s="35">
        <v>2</v>
      </c>
      <c r="D745" s="35">
        <v>3.6</v>
      </c>
      <c r="E745" s="35">
        <v>2.2000000000000002</v>
      </c>
      <c r="F745" s="35">
        <v>3.9</v>
      </c>
      <c r="G745" s="35">
        <v>2</v>
      </c>
      <c r="H745" s="35">
        <v>3</v>
      </c>
      <c r="I745" s="35">
        <v>2</v>
      </c>
      <c r="J745" s="35">
        <v>2.8</v>
      </c>
      <c r="K745" s="35">
        <v>2</v>
      </c>
      <c r="L745" s="35">
        <v>2.9</v>
      </c>
      <c r="M745" s="35">
        <v>2</v>
      </c>
      <c r="N745" s="35">
        <v>3.9</v>
      </c>
      <c r="O745" s="35">
        <v>3</v>
      </c>
      <c r="P745" s="35">
        <v>3.9</v>
      </c>
      <c r="Q745" s="35">
        <v>2</v>
      </c>
      <c r="R745" s="35">
        <v>2.8</v>
      </c>
      <c r="S745" s="35">
        <v>2</v>
      </c>
      <c r="T745" s="35">
        <v>2.6</v>
      </c>
      <c r="U745" s="35">
        <v>2</v>
      </c>
      <c r="V745" s="35">
        <v>11</v>
      </c>
      <c r="W745" s="35">
        <v>9</v>
      </c>
      <c r="X745" s="35">
        <v>9.9</v>
      </c>
      <c r="Y745" s="35">
        <v>9</v>
      </c>
      <c r="Z745" s="35">
        <v>10.7</v>
      </c>
      <c r="AA745" s="35">
        <v>9</v>
      </c>
      <c r="AB745" s="35">
        <v>7.9</v>
      </c>
      <c r="AC745" s="35">
        <v>9</v>
      </c>
      <c r="AD745" s="35">
        <v>20.6</v>
      </c>
      <c r="AE745" s="35">
        <v>19</v>
      </c>
      <c r="AF745" s="35">
        <v>20.5</v>
      </c>
      <c r="AG745" s="35">
        <v>19</v>
      </c>
      <c r="AH745" s="35">
        <v>18.399999999999999</v>
      </c>
      <c r="AI745" s="35">
        <v>19</v>
      </c>
      <c r="AJ745" s="35">
        <v>20.3</v>
      </c>
      <c r="AK745" s="35">
        <v>19</v>
      </c>
      <c r="AL745" s="35">
        <v>20.3</v>
      </c>
      <c r="AM745" s="35">
        <v>19</v>
      </c>
      <c r="AN745" s="35">
        <v>19.2</v>
      </c>
      <c r="AO745" s="35">
        <v>19</v>
      </c>
      <c r="AP745" s="35">
        <v>20.5</v>
      </c>
      <c r="AQ745" s="35">
        <v>19</v>
      </c>
      <c r="AR745" s="35">
        <v>20.8</v>
      </c>
      <c r="AS745" s="35">
        <v>19</v>
      </c>
      <c r="AT745" s="35">
        <v>18.100000000000001</v>
      </c>
      <c r="AU745" s="35">
        <v>19</v>
      </c>
      <c r="AV745" s="35">
        <v>17.399999999999999</v>
      </c>
      <c r="AW745" s="35">
        <v>19</v>
      </c>
      <c r="AX745" s="35">
        <v>21.1</v>
      </c>
      <c r="AY745" s="35">
        <v>20</v>
      </c>
      <c r="AZ745" s="35">
        <v>21.8</v>
      </c>
      <c r="BA745" s="35">
        <v>20</v>
      </c>
      <c r="BB745" s="35">
        <v>29</v>
      </c>
      <c r="BC745" s="35">
        <v>40</v>
      </c>
      <c r="BD745" s="35">
        <v>28.1</v>
      </c>
      <c r="BE745" s="35">
        <v>40</v>
      </c>
      <c r="BF745" s="35">
        <v>19.7</v>
      </c>
      <c r="BG745" s="35">
        <v>20</v>
      </c>
    </row>
    <row r="746" spans="1:59" x14ac:dyDescent="0.35">
      <c r="A746" s="36">
        <v>46059.980555555558</v>
      </c>
      <c r="B746" s="35">
        <v>2.5</v>
      </c>
      <c r="C746" s="35">
        <v>2</v>
      </c>
      <c r="D746" s="35">
        <v>2.9</v>
      </c>
      <c r="E746" s="35">
        <v>2.2000000000000002</v>
      </c>
      <c r="F746" s="35">
        <v>3.9</v>
      </c>
      <c r="G746" s="35">
        <v>2</v>
      </c>
      <c r="H746" s="35">
        <v>3.4</v>
      </c>
      <c r="I746" s="35">
        <v>2</v>
      </c>
      <c r="J746" s="35">
        <v>3.1</v>
      </c>
      <c r="K746" s="35">
        <v>2</v>
      </c>
      <c r="L746" s="35">
        <v>3.2</v>
      </c>
      <c r="M746" s="35">
        <v>2</v>
      </c>
      <c r="N746" s="35">
        <v>4</v>
      </c>
      <c r="O746" s="35">
        <v>3</v>
      </c>
      <c r="P746" s="35">
        <v>4</v>
      </c>
      <c r="Q746" s="35">
        <v>2</v>
      </c>
      <c r="R746" s="35">
        <v>3</v>
      </c>
      <c r="S746" s="35">
        <v>2</v>
      </c>
      <c r="T746" s="35">
        <v>2.8</v>
      </c>
      <c r="U746" s="35">
        <v>2</v>
      </c>
      <c r="V746" s="35">
        <v>9.1999999999999993</v>
      </c>
      <c r="W746" s="35">
        <v>9</v>
      </c>
      <c r="X746" s="35">
        <v>10</v>
      </c>
      <c r="Y746" s="35">
        <v>9</v>
      </c>
      <c r="Z746" s="35">
        <v>10.8</v>
      </c>
      <c r="AA746" s="35">
        <v>9</v>
      </c>
      <c r="AB746" s="35">
        <v>8.4</v>
      </c>
      <c r="AC746" s="35">
        <v>9</v>
      </c>
      <c r="AD746" s="35">
        <v>20.6</v>
      </c>
      <c r="AE746" s="35">
        <v>19</v>
      </c>
      <c r="AF746" s="35">
        <v>20.6</v>
      </c>
      <c r="AG746" s="35">
        <v>19</v>
      </c>
      <c r="AH746" s="35">
        <v>18.600000000000001</v>
      </c>
      <c r="AI746" s="35">
        <v>19</v>
      </c>
      <c r="AJ746" s="35">
        <v>20.399999999999999</v>
      </c>
      <c r="AK746" s="35">
        <v>19</v>
      </c>
      <c r="AL746" s="35">
        <v>20.399999999999999</v>
      </c>
      <c r="AM746" s="35">
        <v>19</v>
      </c>
      <c r="AN746" s="35">
        <v>19.399999999999999</v>
      </c>
      <c r="AO746" s="35">
        <v>19</v>
      </c>
      <c r="AP746" s="35">
        <v>20.5</v>
      </c>
      <c r="AQ746" s="35">
        <v>19</v>
      </c>
      <c r="AR746" s="35">
        <v>20.8</v>
      </c>
      <c r="AS746" s="35">
        <v>19</v>
      </c>
      <c r="AT746" s="35">
        <v>18.399999999999999</v>
      </c>
      <c r="AU746" s="35">
        <v>19</v>
      </c>
      <c r="AV746" s="35">
        <v>17.3</v>
      </c>
      <c r="AW746" s="35">
        <v>19</v>
      </c>
      <c r="AX746" s="35">
        <v>21.1</v>
      </c>
      <c r="AY746" s="35">
        <v>20</v>
      </c>
      <c r="AZ746" s="35">
        <v>21.8</v>
      </c>
      <c r="BA746" s="35">
        <v>20</v>
      </c>
      <c r="BB746" s="35">
        <v>29</v>
      </c>
      <c r="BC746" s="35">
        <v>40</v>
      </c>
      <c r="BD746" s="35">
        <v>28.1</v>
      </c>
      <c r="BE746" s="35">
        <v>40</v>
      </c>
      <c r="BF746" s="35">
        <v>20.100000000000001</v>
      </c>
      <c r="BG746" s="35">
        <v>20</v>
      </c>
    </row>
    <row r="747" spans="1:59" x14ac:dyDescent="0.35">
      <c r="A747" s="36">
        <v>46059.981944444444</v>
      </c>
      <c r="B747" s="35">
        <v>1.8</v>
      </c>
      <c r="C747" s="35">
        <v>2</v>
      </c>
      <c r="D747" s="35">
        <v>2.1</v>
      </c>
      <c r="E747" s="35">
        <v>2.2000000000000002</v>
      </c>
      <c r="F747" s="35">
        <v>1.5</v>
      </c>
      <c r="G747" s="35">
        <v>2</v>
      </c>
      <c r="H747" s="35">
        <v>1.6</v>
      </c>
      <c r="I747" s="35">
        <v>2</v>
      </c>
      <c r="J747" s="35">
        <v>3.6</v>
      </c>
      <c r="K747" s="35">
        <v>2</v>
      </c>
      <c r="L747" s="35">
        <v>3.8</v>
      </c>
      <c r="M747" s="35">
        <v>2</v>
      </c>
      <c r="N747" s="35">
        <v>1</v>
      </c>
      <c r="O747" s="35">
        <v>3</v>
      </c>
      <c r="P747" s="35">
        <v>1.8</v>
      </c>
      <c r="Q747" s="35">
        <v>2</v>
      </c>
      <c r="R747" s="35">
        <v>3.3</v>
      </c>
      <c r="S747" s="35">
        <v>2</v>
      </c>
      <c r="T747" s="35">
        <v>3</v>
      </c>
      <c r="U747" s="35">
        <v>2</v>
      </c>
      <c r="V747" s="35">
        <v>7.5</v>
      </c>
      <c r="W747" s="35">
        <v>9</v>
      </c>
      <c r="X747" s="35">
        <v>10.199999999999999</v>
      </c>
      <c r="Y747" s="35">
        <v>9</v>
      </c>
      <c r="Z747" s="35">
        <v>10.9</v>
      </c>
      <c r="AA747" s="35">
        <v>9</v>
      </c>
      <c r="AB747" s="35">
        <v>9.3000000000000007</v>
      </c>
      <c r="AC747" s="35">
        <v>9</v>
      </c>
      <c r="AD747" s="35">
        <v>20.7</v>
      </c>
      <c r="AE747" s="35">
        <v>19</v>
      </c>
      <c r="AF747" s="35">
        <v>20.6</v>
      </c>
      <c r="AG747" s="35">
        <v>19</v>
      </c>
      <c r="AH747" s="35">
        <v>19</v>
      </c>
      <c r="AI747" s="35">
        <v>19</v>
      </c>
      <c r="AJ747" s="35">
        <v>20.5</v>
      </c>
      <c r="AK747" s="35">
        <v>19</v>
      </c>
      <c r="AL747" s="35">
        <v>20.7</v>
      </c>
      <c r="AM747" s="35">
        <v>19</v>
      </c>
      <c r="AN747" s="35">
        <v>19.7</v>
      </c>
      <c r="AO747" s="35">
        <v>19</v>
      </c>
      <c r="AP747" s="35">
        <v>20.5</v>
      </c>
      <c r="AQ747" s="35">
        <v>19</v>
      </c>
      <c r="AR747" s="35">
        <v>20.8</v>
      </c>
      <c r="AS747" s="35">
        <v>19</v>
      </c>
      <c r="AT747" s="35">
        <v>18.7</v>
      </c>
      <c r="AU747" s="35">
        <v>19</v>
      </c>
      <c r="AV747" s="35">
        <v>17.600000000000001</v>
      </c>
      <c r="AW747" s="35">
        <v>19</v>
      </c>
      <c r="AX747" s="35">
        <v>21.1</v>
      </c>
      <c r="AY747" s="35">
        <v>20</v>
      </c>
      <c r="AZ747" s="35">
        <v>21.8</v>
      </c>
      <c r="BA747" s="35">
        <v>20</v>
      </c>
      <c r="BB747" s="35">
        <v>29</v>
      </c>
      <c r="BC747" s="35">
        <v>40</v>
      </c>
      <c r="BD747" s="35">
        <v>28.1</v>
      </c>
      <c r="BE747" s="35">
        <v>40</v>
      </c>
      <c r="BF747" s="35">
        <v>20.7</v>
      </c>
      <c r="BG747" s="35">
        <v>20</v>
      </c>
    </row>
    <row r="748" spans="1:59" x14ac:dyDescent="0.35">
      <c r="A748" s="36">
        <v>46059.982638888891</v>
      </c>
      <c r="B748" s="35">
        <v>2.1</v>
      </c>
      <c r="C748" s="35">
        <v>2</v>
      </c>
      <c r="D748" s="35">
        <v>2.5</v>
      </c>
      <c r="E748" s="35">
        <v>2.2000000000000002</v>
      </c>
      <c r="F748" s="35">
        <v>1.5</v>
      </c>
      <c r="G748" s="35">
        <v>2</v>
      </c>
      <c r="H748" s="35">
        <v>1.6</v>
      </c>
      <c r="I748" s="35">
        <v>2</v>
      </c>
      <c r="J748" s="35">
        <v>3.8</v>
      </c>
      <c r="K748" s="35">
        <v>2</v>
      </c>
      <c r="L748" s="35">
        <v>4</v>
      </c>
      <c r="M748" s="35">
        <v>2</v>
      </c>
      <c r="N748" s="35">
        <v>0.9</v>
      </c>
      <c r="O748" s="35">
        <v>3</v>
      </c>
      <c r="P748" s="35">
        <v>1.7</v>
      </c>
      <c r="Q748" s="35">
        <v>2</v>
      </c>
      <c r="R748" s="35">
        <v>3.4</v>
      </c>
      <c r="S748" s="35">
        <v>2</v>
      </c>
      <c r="T748" s="35">
        <v>3.2</v>
      </c>
      <c r="U748" s="35">
        <v>2</v>
      </c>
      <c r="V748" s="35">
        <v>8.3000000000000007</v>
      </c>
      <c r="W748" s="35">
        <v>9</v>
      </c>
      <c r="X748" s="35">
        <v>10.3</v>
      </c>
      <c r="Y748" s="35">
        <v>9</v>
      </c>
      <c r="Z748" s="35">
        <v>10.9</v>
      </c>
      <c r="AA748" s="35">
        <v>9</v>
      </c>
      <c r="AB748" s="35">
        <v>9.6</v>
      </c>
      <c r="AC748" s="35">
        <v>9</v>
      </c>
      <c r="AD748" s="35">
        <v>20.7</v>
      </c>
      <c r="AE748" s="35">
        <v>19</v>
      </c>
      <c r="AF748" s="35">
        <v>20.7</v>
      </c>
      <c r="AG748" s="35">
        <v>19</v>
      </c>
      <c r="AH748" s="35">
        <v>19.100000000000001</v>
      </c>
      <c r="AI748" s="35">
        <v>19</v>
      </c>
      <c r="AJ748" s="35">
        <v>20.6</v>
      </c>
      <c r="AK748" s="35">
        <v>19</v>
      </c>
      <c r="AL748" s="35">
        <v>20.8</v>
      </c>
      <c r="AM748" s="35">
        <v>19</v>
      </c>
      <c r="AN748" s="35">
        <v>19.8</v>
      </c>
      <c r="AO748" s="35">
        <v>19</v>
      </c>
      <c r="AP748" s="35">
        <v>20.5</v>
      </c>
      <c r="AQ748" s="35">
        <v>19</v>
      </c>
      <c r="AR748" s="35">
        <v>20.8</v>
      </c>
      <c r="AS748" s="35">
        <v>19</v>
      </c>
      <c r="AT748" s="35">
        <v>18.899999999999999</v>
      </c>
      <c r="AU748" s="35">
        <v>19</v>
      </c>
      <c r="AV748" s="35">
        <v>17.8</v>
      </c>
      <c r="AW748" s="35">
        <v>19</v>
      </c>
      <c r="AX748" s="35">
        <v>21.1</v>
      </c>
      <c r="AY748" s="35">
        <v>20</v>
      </c>
      <c r="AZ748" s="35">
        <v>21.8</v>
      </c>
      <c r="BA748" s="35">
        <v>20</v>
      </c>
      <c r="BB748" s="35">
        <v>29</v>
      </c>
      <c r="BC748" s="35">
        <v>40</v>
      </c>
      <c r="BD748" s="35">
        <v>28.1</v>
      </c>
      <c r="BE748" s="35">
        <v>40</v>
      </c>
      <c r="BF748" s="35">
        <v>20.9</v>
      </c>
      <c r="BG748" s="35">
        <v>20</v>
      </c>
    </row>
    <row r="749" spans="1:59" x14ac:dyDescent="0.35">
      <c r="A749" s="36">
        <v>46059.98333333333</v>
      </c>
      <c r="B749" s="35">
        <v>2.5</v>
      </c>
      <c r="C749" s="35">
        <v>2</v>
      </c>
      <c r="D749" s="35">
        <v>2.9</v>
      </c>
      <c r="E749" s="35">
        <v>2.2000000000000002</v>
      </c>
      <c r="F749" s="35">
        <v>1.8</v>
      </c>
      <c r="G749" s="35">
        <v>2</v>
      </c>
      <c r="H749" s="35">
        <v>2</v>
      </c>
      <c r="I749" s="35">
        <v>2</v>
      </c>
      <c r="J749" s="35">
        <v>3.7</v>
      </c>
      <c r="K749" s="35">
        <v>2</v>
      </c>
      <c r="L749" s="35">
        <v>3.4</v>
      </c>
      <c r="M749" s="35">
        <v>2</v>
      </c>
      <c r="N749" s="35">
        <v>1.1000000000000001</v>
      </c>
      <c r="O749" s="35">
        <v>3</v>
      </c>
      <c r="P749" s="35">
        <v>1.9</v>
      </c>
      <c r="Q749" s="35">
        <v>2</v>
      </c>
      <c r="R749" s="35">
        <v>3.5</v>
      </c>
      <c r="S749" s="35">
        <v>2</v>
      </c>
      <c r="T749" s="35">
        <v>3.3</v>
      </c>
      <c r="U749" s="35">
        <v>2</v>
      </c>
      <c r="V749" s="35">
        <v>9.1</v>
      </c>
      <c r="W749" s="35">
        <v>9</v>
      </c>
      <c r="X749" s="35">
        <v>10.3</v>
      </c>
      <c r="Y749" s="35">
        <v>9</v>
      </c>
      <c r="Z749" s="35">
        <v>10.9</v>
      </c>
      <c r="AA749" s="35">
        <v>9</v>
      </c>
      <c r="AB749" s="35">
        <v>9.8000000000000007</v>
      </c>
      <c r="AC749" s="35">
        <v>9</v>
      </c>
      <c r="AD749" s="35">
        <v>20.7</v>
      </c>
      <c r="AE749" s="35">
        <v>19</v>
      </c>
      <c r="AF749" s="35">
        <v>20.7</v>
      </c>
      <c r="AG749" s="35">
        <v>19</v>
      </c>
      <c r="AH749" s="35">
        <v>19.3</v>
      </c>
      <c r="AI749" s="35">
        <v>19</v>
      </c>
      <c r="AJ749" s="35">
        <v>20.6</v>
      </c>
      <c r="AK749" s="35">
        <v>19</v>
      </c>
      <c r="AL749" s="35">
        <v>20.9</v>
      </c>
      <c r="AM749" s="35">
        <v>19</v>
      </c>
      <c r="AN749" s="35">
        <v>19.899999999999999</v>
      </c>
      <c r="AO749" s="35">
        <v>19</v>
      </c>
      <c r="AP749" s="35">
        <v>20.5</v>
      </c>
      <c r="AQ749" s="35">
        <v>19</v>
      </c>
      <c r="AR749" s="35">
        <v>20.8</v>
      </c>
      <c r="AS749" s="35">
        <v>19</v>
      </c>
      <c r="AT749" s="35">
        <v>19.100000000000001</v>
      </c>
      <c r="AU749" s="35">
        <v>19</v>
      </c>
      <c r="AV749" s="35">
        <v>18</v>
      </c>
      <c r="AW749" s="35">
        <v>19</v>
      </c>
      <c r="AX749" s="35">
        <v>21.1</v>
      </c>
      <c r="AY749" s="35">
        <v>20</v>
      </c>
      <c r="AZ749" s="35">
        <v>21.8</v>
      </c>
      <c r="BA749" s="35">
        <v>20</v>
      </c>
      <c r="BB749" s="35">
        <v>29</v>
      </c>
      <c r="BC749" s="35">
        <v>40</v>
      </c>
      <c r="BD749" s="35">
        <v>28</v>
      </c>
      <c r="BE749" s="35">
        <v>40</v>
      </c>
      <c r="BF749" s="35">
        <v>21.1</v>
      </c>
      <c r="BG749" s="35">
        <v>20</v>
      </c>
    </row>
    <row r="750" spans="1:59" x14ac:dyDescent="0.35">
      <c r="A750" s="36">
        <v>46059.984027777777</v>
      </c>
      <c r="B750" s="35">
        <v>2.9</v>
      </c>
      <c r="C750" s="35">
        <v>2</v>
      </c>
      <c r="D750" s="35">
        <v>3.3</v>
      </c>
      <c r="E750" s="35">
        <v>2.2000000000000002</v>
      </c>
      <c r="F750" s="35">
        <v>2.2000000000000002</v>
      </c>
      <c r="G750" s="35">
        <v>2</v>
      </c>
      <c r="H750" s="35">
        <v>2.5</v>
      </c>
      <c r="I750" s="35">
        <v>2</v>
      </c>
      <c r="J750" s="35">
        <v>3.1</v>
      </c>
      <c r="K750" s="35">
        <v>2</v>
      </c>
      <c r="L750" s="35">
        <v>2.7</v>
      </c>
      <c r="M750" s="35">
        <v>2</v>
      </c>
      <c r="N750" s="35">
        <v>1.4</v>
      </c>
      <c r="O750" s="35">
        <v>3</v>
      </c>
      <c r="P750" s="35">
        <v>2.2000000000000002</v>
      </c>
      <c r="Q750" s="35">
        <v>2</v>
      </c>
      <c r="R750" s="35">
        <v>3.6</v>
      </c>
      <c r="S750" s="35">
        <v>2</v>
      </c>
      <c r="T750" s="35">
        <v>3.4</v>
      </c>
      <c r="U750" s="35">
        <v>2</v>
      </c>
      <c r="V750" s="35">
        <v>9.9</v>
      </c>
      <c r="W750" s="35">
        <v>9</v>
      </c>
      <c r="X750" s="35">
        <v>10.4</v>
      </c>
      <c r="Y750" s="35">
        <v>9</v>
      </c>
      <c r="Z750" s="35">
        <v>9.8000000000000007</v>
      </c>
      <c r="AA750" s="35">
        <v>9</v>
      </c>
      <c r="AB750" s="35">
        <v>10</v>
      </c>
      <c r="AC750" s="35">
        <v>9</v>
      </c>
      <c r="AD750" s="35">
        <v>20.7</v>
      </c>
      <c r="AE750" s="35">
        <v>19</v>
      </c>
      <c r="AF750" s="35">
        <v>20.7</v>
      </c>
      <c r="AG750" s="35">
        <v>19</v>
      </c>
      <c r="AH750" s="35">
        <v>19.399999999999999</v>
      </c>
      <c r="AI750" s="35">
        <v>19</v>
      </c>
      <c r="AJ750" s="35">
        <v>20.7</v>
      </c>
      <c r="AK750" s="35">
        <v>19</v>
      </c>
      <c r="AL750" s="35">
        <v>21</v>
      </c>
      <c r="AM750" s="35">
        <v>19</v>
      </c>
      <c r="AN750" s="35">
        <v>20</v>
      </c>
      <c r="AO750" s="35">
        <v>19</v>
      </c>
      <c r="AP750" s="35">
        <v>20.5</v>
      </c>
      <c r="AQ750" s="35">
        <v>19</v>
      </c>
      <c r="AR750" s="35">
        <v>20.8</v>
      </c>
      <c r="AS750" s="35">
        <v>19</v>
      </c>
      <c r="AT750" s="35">
        <v>19.2</v>
      </c>
      <c r="AU750" s="35">
        <v>19</v>
      </c>
      <c r="AV750" s="35">
        <v>18.2</v>
      </c>
      <c r="AW750" s="35">
        <v>19</v>
      </c>
      <c r="AX750" s="35">
        <v>21.1</v>
      </c>
      <c r="AY750" s="35">
        <v>20</v>
      </c>
      <c r="AZ750" s="35">
        <v>21.8</v>
      </c>
      <c r="BA750" s="35">
        <v>20</v>
      </c>
      <c r="BB750" s="35">
        <v>29</v>
      </c>
      <c r="BC750" s="35">
        <v>40</v>
      </c>
      <c r="BD750" s="35">
        <v>28</v>
      </c>
      <c r="BE750" s="35">
        <v>40</v>
      </c>
      <c r="BF750" s="35">
        <v>21.3</v>
      </c>
      <c r="BG750" s="35">
        <v>20</v>
      </c>
    </row>
    <row r="751" spans="1:59" x14ac:dyDescent="0.35">
      <c r="A751" s="36">
        <v>46059.984722222223</v>
      </c>
      <c r="B751" s="35">
        <v>3.2</v>
      </c>
      <c r="C751" s="35">
        <v>2</v>
      </c>
      <c r="D751" s="35">
        <v>3.6</v>
      </c>
      <c r="E751" s="35">
        <v>2.2000000000000002</v>
      </c>
      <c r="F751" s="35">
        <v>2.7</v>
      </c>
      <c r="G751" s="35">
        <v>2</v>
      </c>
      <c r="H751" s="35">
        <v>2.9</v>
      </c>
      <c r="I751" s="35">
        <v>2</v>
      </c>
      <c r="J751" s="35">
        <v>2.6</v>
      </c>
      <c r="K751" s="35">
        <v>2</v>
      </c>
      <c r="L751" s="35">
        <v>1.9</v>
      </c>
      <c r="M751" s="35">
        <v>2</v>
      </c>
      <c r="N751" s="35">
        <v>1.8</v>
      </c>
      <c r="O751" s="35">
        <v>3</v>
      </c>
      <c r="P751" s="35">
        <v>2.4</v>
      </c>
      <c r="Q751" s="35">
        <v>2</v>
      </c>
      <c r="R751" s="35">
        <v>3.7</v>
      </c>
      <c r="S751" s="35">
        <v>2</v>
      </c>
      <c r="T751" s="35">
        <v>3.5</v>
      </c>
      <c r="U751" s="35">
        <v>2</v>
      </c>
      <c r="V751" s="35">
        <v>10.4</v>
      </c>
      <c r="W751" s="35">
        <v>9</v>
      </c>
      <c r="X751" s="35">
        <v>10.5</v>
      </c>
      <c r="Y751" s="35">
        <v>9</v>
      </c>
      <c r="Z751" s="35">
        <v>8.6999999999999993</v>
      </c>
      <c r="AA751" s="35">
        <v>9</v>
      </c>
      <c r="AB751" s="35">
        <v>10.199999999999999</v>
      </c>
      <c r="AC751" s="35">
        <v>9</v>
      </c>
      <c r="AD751" s="35">
        <v>20.8</v>
      </c>
      <c r="AE751" s="35">
        <v>19</v>
      </c>
      <c r="AF751" s="35">
        <v>20.7</v>
      </c>
      <c r="AG751" s="35">
        <v>19</v>
      </c>
      <c r="AH751" s="35">
        <v>19.399999999999999</v>
      </c>
      <c r="AI751" s="35">
        <v>19</v>
      </c>
      <c r="AJ751" s="35">
        <v>20.7</v>
      </c>
      <c r="AK751" s="35">
        <v>19</v>
      </c>
      <c r="AL751" s="35">
        <v>20.8</v>
      </c>
      <c r="AM751" s="35">
        <v>19</v>
      </c>
      <c r="AN751" s="35">
        <v>20</v>
      </c>
      <c r="AO751" s="35">
        <v>19</v>
      </c>
      <c r="AP751" s="35">
        <v>20.5</v>
      </c>
      <c r="AQ751" s="35">
        <v>19</v>
      </c>
      <c r="AR751" s="35">
        <v>20.8</v>
      </c>
      <c r="AS751" s="35">
        <v>19</v>
      </c>
      <c r="AT751" s="35">
        <v>19.3</v>
      </c>
      <c r="AU751" s="35">
        <v>19</v>
      </c>
      <c r="AV751" s="35">
        <v>18.399999999999999</v>
      </c>
      <c r="AW751" s="35">
        <v>19</v>
      </c>
      <c r="AX751" s="35">
        <v>21.1</v>
      </c>
      <c r="AY751" s="35">
        <v>20</v>
      </c>
      <c r="AZ751" s="35">
        <v>21.8</v>
      </c>
      <c r="BA751" s="35">
        <v>20</v>
      </c>
      <c r="BB751" s="35">
        <v>29</v>
      </c>
      <c r="BC751" s="35">
        <v>40</v>
      </c>
      <c r="BD751" s="35">
        <v>28</v>
      </c>
      <c r="BE751" s="35">
        <v>40</v>
      </c>
      <c r="BF751" s="35">
        <v>21.4</v>
      </c>
      <c r="BG751" s="35">
        <v>20</v>
      </c>
    </row>
    <row r="752" spans="1:59" x14ac:dyDescent="0.35">
      <c r="A752" s="36">
        <v>46059.98541666667</v>
      </c>
      <c r="B752" s="35">
        <v>3.5</v>
      </c>
      <c r="C752" s="35">
        <v>2</v>
      </c>
      <c r="D752" s="35">
        <v>3.9</v>
      </c>
      <c r="E752" s="35">
        <v>2.2000000000000002</v>
      </c>
      <c r="F752" s="35">
        <v>3</v>
      </c>
      <c r="G752" s="35">
        <v>2</v>
      </c>
      <c r="H752" s="35">
        <v>3.2</v>
      </c>
      <c r="I752" s="35">
        <v>2</v>
      </c>
      <c r="J752" s="35">
        <v>2.4</v>
      </c>
      <c r="K752" s="35">
        <v>2</v>
      </c>
      <c r="L752" s="35">
        <v>1.7</v>
      </c>
      <c r="M752" s="35">
        <v>2</v>
      </c>
      <c r="N752" s="35">
        <v>2.2000000000000002</v>
      </c>
      <c r="O752" s="35">
        <v>3</v>
      </c>
      <c r="P752" s="35">
        <v>2.6</v>
      </c>
      <c r="Q752" s="35">
        <v>2</v>
      </c>
      <c r="R752" s="35">
        <v>3.8</v>
      </c>
      <c r="S752" s="35">
        <v>2</v>
      </c>
      <c r="T752" s="35">
        <v>3.6</v>
      </c>
      <c r="U752" s="35">
        <v>2</v>
      </c>
      <c r="V752" s="35">
        <v>10.8</v>
      </c>
      <c r="W752" s="35">
        <v>9</v>
      </c>
      <c r="X752" s="35">
        <v>10.5</v>
      </c>
      <c r="Y752" s="35">
        <v>9</v>
      </c>
      <c r="Z752" s="35">
        <v>8.6999999999999993</v>
      </c>
      <c r="AA752" s="35">
        <v>9</v>
      </c>
      <c r="AB752" s="35">
        <v>10.4</v>
      </c>
      <c r="AC752" s="35">
        <v>9</v>
      </c>
      <c r="AD752" s="35">
        <v>20.8</v>
      </c>
      <c r="AE752" s="35">
        <v>19</v>
      </c>
      <c r="AF752" s="35">
        <v>20.8</v>
      </c>
      <c r="AG752" s="35">
        <v>19</v>
      </c>
      <c r="AH752" s="35">
        <v>19.5</v>
      </c>
      <c r="AI752" s="35">
        <v>19</v>
      </c>
      <c r="AJ752" s="35">
        <v>20.8</v>
      </c>
      <c r="AK752" s="35">
        <v>19</v>
      </c>
      <c r="AL752" s="35">
        <v>20.5</v>
      </c>
      <c r="AM752" s="35">
        <v>19</v>
      </c>
      <c r="AN752" s="35">
        <v>20.100000000000001</v>
      </c>
      <c r="AO752" s="35">
        <v>19</v>
      </c>
      <c r="AP752" s="35">
        <v>20.5</v>
      </c>
      <c r="AQ752" s="35">
        <v>19</v>
      </c>
      <c r="AR752" s="35">
        <v>20.8</v>
      </c>
      <c r="AS752" s="35">
        <v>19</v>
      </c>
      <c r="AT752" s="35">
        <v>19.399999999999999</v>
      </c>
      <c r="AU752" s="35">
        <v>19</v>
      </c>
      <c r="AV752" s="35">
        <v>18.5</v>
      </c>
      <c r="AW752" s="35">
        <v>19</v>
      </c>
      <c r="AX752" s="35">
        <v>21.1</v>
      </c>
      <c r="AY752" s="35">
        <v>20</v>
      </c>
      <c r="AZ752" s="35">
        <v>21.8</v>
      </c>
      <c r="BA752" s="35">
        <v>20</v>
      </c>
      <c r="BB752" s="35">
        <v>28.9</v>
      </c>
      <c r="BC752" s="35">
        <v>40</v>
      </c>
      <c r="BD752" s="35">
        <v>28</v>
      </c>
      <c r="BE752" s="35">
        <v>40</v>
      </c>
      <c r="BF752" s="35">
        <v>21.4</v>
      </c>
      <c r="BG752" s="35">
        <v>20</v>
      </c>
    </row>
    <row r="753" spans="1:59" x14ac:dyDescent="0.35">
      <c r="A753" s="36">
        <v>46059.986805555556</v>
      </c>
      <c r="B753" s="35">
        <v>3.7</v>
      </c>
      <c r="C753" s="35">
        <v>2</v>
      </c>
      <c r="D753" s="35">
        <v>4</v>
      </c>
      <c r="E753" s="35">
        <v>2.2000000000000002</v>
      </c>
      <c r="F753" s="35">
        <v>3.5</v>
      </c>
      <c r="G753" s="35">
        <v>2</v>
      </c>
      <c r="H753" s="35">
        <v>3.6</v>
      </c>
      <c r="I753" s="35">
        <v>2</v>
      </c>
      <c r="J753" s="35">
        <v>2.7</v>
      </c>
      <c r="K753" s="35">
        <v>2</v>
      </c>
      <c r="L753" s="35">
        <v>2.2999999999999998</v>
      </c>
      <c r="M753" s="35">
        <v>2</v>
      </c>
      <c r="N753" s="35">
        <v>2.8</v>
      </c>
      <c r="O753" s="35">
        <v>3</v>
      </c>
      <c r="P753" s="35">
        <v>2.6</v>
      </c>
      <c r="Q753" s="35">
        <v>2</v>
      </c>
      <c r="R753" s="35">
        <v>3.5</v>
      </c>
      <c r="S753" s="35">
        <v>2</v>
      </c>
      <c r="T753" s="35">
        <v>2.9</v>
      </c>
      <c r="U753" s="35">
        <v>2</v>
      </c>
      <c r="V753" s="35">
        <v>9.1999999999999993</v>
      </c>
      <c r="W753" s="35">
        <v>9</v>
      </c>
      <c r="X753" s="35">
        <v>10.7</v>
      </c>
      <c r="Y753" s="35">
        <v>9</v>
      </c>
      <c r="Z753" s="35">
        <v>9.1999999999999993</v>
      </c>
      <c r="AA753" s="35">
        <v>9</v>
      </c>
      <c r="AB753" s="35">
        <v>10.7</v>
      </c>
      <c r="AC753" s="35">
        <v>9</v>
      </c>
      <c r="AD753" s="35">
        <v>20.8</v>
      </c>
      <c r="AE753" s="35">
        <v>19</v>
      </c>
      <c r="AF753" s="35">
        <v>20.8</v>
      </c>
      <c r="AG753" s="35">
        <v>19</v>
      </c>
      <c r="AH753" s="35">
        <v>19.7</v>
      </c>
      <c r="AI753" s="35">
        <v>19</v>
      </c>
      <c r="AJ753" s="35">
        <v>20.9</v>
      </c>
      <c r="AK753" s="35">
        <v>19</v>
      </c>
      <c r="AL753" s="35">
        <v>19.8</v>
      </c>
      <c r="AM753" s="35">
        <v>19</v>
      </c>
      <c r="AN753" s="35">
        <v>20.3</v>
      </c>
      <c r="AO753" s="35">
        <v>19</v>
      </c>
      <c r="AP753" s="35">
        <v>20.5</v>
      </c>
      <c r="AQ753" s="35">
        <v>19</v>
      </c>
      <c r="AR753" s="35">
        <v>20.8</v>
      </c>
      <c r="AS753" s="35">
        <v>19</v>
      </c>
      <c r="AT753" s="35">
        <v>19.600000000000001</v>
      </c>
      <c r="AU753" s="35">
        <v>19</v>
      </c>
      <c r="AV753" s="35">
        <v>18.8</v>
      </c>
      <c r="AW753" s="35">
        <v>19</v>
      </c>
      <c r="AX753" s="35">
        <v>21.1</v>
      </c>
      <c r="AY753" s="35">
        <v>20</v>
      </c>
      <c r="AZ753" s="35">
        <v>21.8</v>
      </c>
      <c r="BA753" s="35">
        <v>20</v>
      </c>
      <c r="BB753" s="35">
        <v>28.9</v>
      </c>
      <c r="BC753" s="35">
        <v>40</v>
      </c>
      <c r="BD753" s="35">
        <v>28</v>
      </c>
      <c r="BE753" s="35">
        <v>40</v>
      </c>
      <c r="BF753" s="35">
        <v>21.5</v>
      </c>
      <c r="BG753" s="35">
        <v>20</v>
      </c>
    </row>
    <row r="754" spans="1:59" x14ac:dyDescent="0.35">
      <c r="A754" s="36">
        <v>46059.987500000003</v>
      </c>
      <c r="B754" s="35">
        <v>3.7</v>
      </c>
      <c r="C754" s="35">
        <v>2</v>
      </c>
      <c r="D754" s="35">
        <v>4</v>
      </c>
      <c r="E754" s="35">
        <v>2.2000000000000002</v>
      </c>
      <c r="F754" s="35">
        <v>3.8</v>
      </c>
      <c r="G754" s="35">
        <v>2</v>
      </c>
      <c r="H754" s="35">
        <v>3.8</v>
      </c>
      <c r="I754" s="35">
        <v>2</v>
      </c>
      <c r="J754" s="35">
        <v>2.9</v>
      </c>
      <c r="K754" s="35">
        <v>2</v>
      </c>
      <c r="L754" s="35">
        <v>2.6</v>
      </c>
      <c r="M754" s="35">
        <v>2</v>
      </c>
      <c r="N754" s="35">
        <v>3</v>
      </c>
      <c r="O754" s="35">
        <v>3</v>
      </c>
      <c r="P754" s="35">
        <v>2.6</v>
      </c>
      <c r="Q754" s="35">
        <v>2</v>
      </c>
      <c r="R754" s="35">
        <v>2.1</v>
      </c>
      <c r="S754" s="35">
        <v>2</v>
      </c>
      <c r="T754" s="35">
        <v>1.5</v>
      </c>
      <c r="U754" s="35">
        <v>2</v>
      </c>
      <c r="V754" s="35">
        <v>7.7</v>
      </c>
      <c r="W754" s="35">
        <v>9</v>
      </c>
      <c r="X754" s="35">
        <v>10.7</v>
      </c>
      <c r="Y754" s="35">
        <v>9</v>
      </c>
      <c r="Z754" s="35">
        <v>9.4</v>
      </c>
      <c r="AA754" s="35">
        <v>9</v>
      </c>
      <c r="AB754" s="35">
        <v>10.8</v>
      </c>
      <c r="AC754" s="35">
        <v>9</v>
      </c>
      <c r="AD754" s="35">
        <v>20.8</v>
      </c>
      <c r="AE754" s="35">
        <v>19</v>
      </c>
      <c r="AF754" s="35">
        <v>20.8</v>
      </c>
      <c r="AG754" s="35">
        <v>19</v>
      </c>
      <c r="AH754" s="35">
        <v>19.8</v>
      </c>
      <c r="AI754" s="35">
        <v>19</v>
      </c>
      <c r="AJ754" s="35">
        <v>21</v>
      </c>
      <c r="AK754" s="35">
        <v>19</v>
      </c>
      <c r="AL754" s="35">
        <v>19.5</v>
      </c>
      <c r="AM754" s="35">
        <v>19</v>
      </c>
      <c r="AN754" s="35">
        <v>20.399999999999999</v>
      </c>
      <c r="AO754" s="35">
        <v>19</v>
      </c>
      <c r="AP754" s="35">
        <v>20.6</v>
      </c>
      <c r="AQ754" s="35">
        <v>19</v>
      </c>
      <c r="AR754" s="35">
        <v>20.8</v>
      </c>
      <c r="AS754" s="35">
        <v>19</v>
      </c>
      <c r="AT754" s="35">
        <v>19.7</v>
      </c>
      <c r="AU754" s="35">
        <v>19</v>
      </c>
      <c r="AV754" s="35">
        <v>19</v>
      </c>
      <c r="AW754" s="35">
        <v>19</v>
      </c>
      <c r="AX754" s="35">
        <v>21.1</v>
      </c>
      <c r="AY754" s="35">
        <v>20</v>
      </c>
      <c r="AZ754" s="35">
        <v>21.8</v>
      </c>
      <c r="BA754" s="35">
        <v>20</v>
      </c>
      <c r="BB754" s="35">
        <v>28.9</v>
      </c>
      <c r="BC754" s="35">
        <v>40</v>
      </c>
      <c r="BD754" s="35">
        <v>28</v>
      </c>
      <c r="BE754" s="35">
        <v>40</v>
      </c>
      <c r="BF754" s="35">
        <v>21.6</v>
      </c>
      <c r="BG754" s="35">
        <v>20</v>
      </c>
    </row>
    <row r="755" spans="1:59" x14ac:dyDescent="0.35">
      <c r="A755" s="36">
        <v>46059.988194444442</v>
      </c>
      <c r="B755" s="35">
        <v>3.9</v>
      </c>
      <c r="C755" s="35">
        <v>2</v>
      </c>
      <c r="D755" s="35">
        <v>4.0999999999999996</v>
      </c>
      <c r="E755" s="35">
        <v>2.2000000000000002</v>
      </c>
      <c r="F755" s="35">
        <v>4</v>
      </c>
      <c r="G755" s="35">
        <v>2</v>
      </c>
      <c r="H755" s="35">
        <v>4</v>
      </c>
      <c r="I755" s="35">
        <v>2</v>
      </c>
      <c r="J755" s="35">
        <v>3.2</v>
      </c>
      <c r="K755" s="35">
        <v>2</v>
      </c>
      <c r="L755" s="35">
        <v>2.9</v>
      </c>
      <c r="M755" s="35">
        <v>2</v>
      </c>
      <c r="N755" s="35">
        <v>3.2</v>
      </c>
      <c r="O755" s="35">
        <v>3</v>
      </c>
      <c r="P755" s="35">
        <v>2.6</v>
      </c>
      <c r="Q755" s="35">
        <v>2</v>
      </c>
      <c r="R755" s="35">
        <v>1.9</v>
      </c>
      <c r="S755" s="35">
        <v>2</v>
      </c>
      <c r="T755" s="35">
        <v>1.2</v>
      </c>
      <c r="U755" s="35">
        <v>2</v>
      </c>
      <c r="V755" s="35">
        <v>7.7</v>
      </c>
      <c r="W755" s="35">
        <v>9</v>
      </c>
      <c r="X755" s="35">
        <v>10.8</v>
      </c>
      <c r="Y755" s="35">
        <v>9</v>
      </c>
      <c r="Z755" s="35">
        <v>9.6</v>
      </c>
      <c r="AA755" s="35">
        <v>9</v>
      </c>
      <c r="AB755" s="35">
        <v>10.9</v>
      </c>
      <c r="AC755" s="35">
        <v>9</v>
      </c>
      <c r="AD755" s="35">
        <v>20.9</v>
      </c>
      <c r="AE755" s="35">
        <v>19</v>
      </c>
      <c r="AF755" s="35">
        <v>20.9</v>
      </c>
      <c r="AG755" s="35">
        <v>19</v>
      </c>
      <c r="AH755" s="35">
        <v>19.899999999999999</v>
      </c>
      <c r="AI755" s="35">
        <v>19</v>
      </c>
      <c r="AJ755" s="35">
        <v>19.8</v>
      </c>
      <c r="AK755" s="35">
        <v>19</v>
      </c>
      <c r="AL755" s="35">
        <v>19.399999999999999</v>
      </c>
      <c r="AM755" s="35">
        <v>19</v>
      </c>
      <c r="AN755" s="35">
        <v>20.5</v>
      </c>
      <c r="AO755" s="35">
        <v>19</v>
      </c>
      <c r="AP755" s="35">
        <v>20.6</v>
      </c>
      <c r="AQ755" s="35">
        <v>19</v>
      </c>
      <c r="AR755" s="35">
        <v>20.8</v>
      </c>
      <c r="AS755" s="35">
        <v>19</v>
      </c>
      <c r="AT755" s="35">
        <v>19.8</v>
      </c>
      <c r="AU755" s="35">
        <v>19</v>
      </c>
      <c r="AV755" s="35">
        <v>19.100000000000001</v>
      </c>
      <c r="AW755" s="35">
        <v>19</v>
      </c>
      <c r="AX755" s="35">
        <v>21.1</v>
      </c>
      <c r="AY755" s="35">
        <v>20</v>
      </c>
      <c r="AZ755" s="35">
        <v>21.8</v>
      </c>
      <c r="BA755" s="35">
        <v>20</v>
      </c>
      <c r="BB755" s="35">
        <v>28.9</v>
      </c>
      <c r="BC755" s="35">
        <v>40</v>
      </c>
      <c r="BD755" s="35">
        <v>28</v>
      </c>
      <c r="BE755" s="35">
        <v>40</v>
      </c>
      <c r="BF755" s="35">
        <v>21.6</v>
      </c>
      <c r="BG755" s="35">
        <v>20</v>
      </c>
    </row>
    <row r="756" spans="1:59" x14ac:dyDescent="0.35">
      <c r="A756" s="36">
        <v>46059.988888888889</v>
      </c>
      <c r="B756" s="35">
        <v>4</v>
      </c>
      <c r="C756" s="35">
        <v>2</v>
      </c>
      <c r="D756" s="35">
        <v>4.3</v>
      </c>
      <c r="E756" s="35">
        <v>2.2000000000000002</v>
      </c>
      <c r="F756" s="35">
        <v>3.3</v>
      </c>
      <c r="G756" s="35">
        <v>2</v>
      </c>
      <c r="H756" s="35">
        <v>3.1</v>
      </c>
      <c r="I756" s="35">
        <v>2</v>
      </c>
      <c r="J756" s="35">
        <v>3.4</v>
      </c>
      <c r="K756" s="35">
        <v>2</v>
      </c>
      <c r="L756" s="35">
        <v>3.3</v>
      </c>
      <c r="M756" s="35">
        <v>2</v>
      </c>
      <c r="N756" s="35">
        <v>3.4</v>
      </c>
      <c r="O756" s="35">
        <v>3</v>
      </c>
      <c r="P756" s="35">
        <v>2.6</v>
      </c>
      <c r="Q756" s="35">
        <v>2</v>
      </c>
      <c r="R756" s="35">
        <v>1.9</v>
      </c>
      <c r="S756" s="35">
        <v>2</v>
      </c>
      <c r="T756" s="35">
        <v>1.3</v>
      </c>
      <c r="U756" s="35">
        <v>2</v>
      </c>
      <c r="V756" s="35">
        <v>8.5</v>
      </c>
      <c r="W756" s="35">
        <v>9</v>
      </c>
      <c r="X756" s="35">
        <v>10.8</v>
      </c>
      <c r="Y756" s="35">
        <v>9</v>
      </c>
      <c r="Z756" s="35">
        <v>9.8000000000000007</v>
      </c>
      <c r="AA756" s="35">
        <v>9</v>
      </c>
      <c r="AB756" s="35">
        <v>11</v>
      </c>
      <c r="AC756" s="35">
        <v>9</v>
      </c>
      <c r="AD756" s="35">
        <v>20.9</v>
      </c>
      <c r="AE756" s="35">
        <v>19</v>
      </c>
      <c r="AF756" s="35">
        <v>20.9</v>
      </c>
      <c r="AG756" s="35">
        <v>19</v>
      </c>
      <c r="AH756" s="35">
        <v>20</v>
      </c>
      <c r="AI756" s="35">
        <v>19</v>
      </c>
      <c r="AJ756" s="35">
        <v>18</v>
      </c>
      <c r="AK756" s="35">
        <v>19</v>
      </c>
      <c r="AL756" s="35">
        <v>19.3</v>
      </c>
      <c r="AM756" s="35">
        <v>19</v>
      </c>
      <c r="AN756" s="35">
        <v>20.6</v>
      </c>
      <c r="AO756" s="35">
        <v>19</v>
      </c>
      <c r="AP756" s="35">
        <v>20.6</v>
      </c>
      <c r="AQ756" s="35">
        <v>19</v>
      </c>
      <c r="AR756" s="35">
        <v>20.8</v>
      </c>
      <c r="AS756" s="35">
        <v>19</v>
      </c>
      <c r="AT756" s="35">
        <v>20</v>
      </c>
      <c r="AU756" s="35">
        <v>19</v>
      </c>
      <c r="AV756" s="35">
        <v>19.3</v>
      </c>
      <c r="AW756" s="35">
        <v>19</v>
      </c>
      <c r="AX756" s="35">
        <v>21.1</v>
      </c>
      <c r="AY756" s="35">
        <v>20</v>
      </c>
      <c r="AZ756" s="35">
        <v>21.8</v>
      </c>
      <c r="BA756" s="35">
        <v>20</v>
      </c>
      <c r="BB756" s="35">
        <v>28.9</v>
      </c>
      <c r="BC756" s="35">
        <v>40</v>
      </c>
      <c r="BD756" s="35">
        <v>28</v>
      </c>
      <c r="BE756" s="35">
        <v>40</v>
      </c>
      <c r="BF756" s="35">
        <v>21.6</v>
      </c>
      <c r="BG756" s="35">
        <v>20</v>
      </c>
    </row>
    <row r="757" spans="1:59" x14ac:dyDescent="0.35">
      <c r="A757" s="36">
        <v>46059.989583333336</v>
      </c>
      <c r="B757" s="35">
        <v>3.5</v>
      </c>
      <c r="C757" s="35">
        <v>2</v>
      </c>
      <c r="D757" s="35">
        <v>3.6</v>
      </c>
      <c r="E757" s="35">
        <v>2.2000000000000002</v>
      </c>
      <c r="F757" s="35">
        <v>1.7</v>
      </c>
      <c r="G757" s="35">
        <v>2</v>
      </c>
      <c r="H757" s="35">
        <v>1.5</v>
      </c>
      <c r="I757" s="35">
        <v>2</v>
      </c>
      <c r="J757" s="35">
        <v>3.7</v>
      </c>
      <c r="K757" s="35">
        <v>2</v>
      </c>
      <c r="L757" s="35">
        <v>3.6</v>
      </c>
      <c r="M757" s="35">
        <v>2</v>
      </c>
      <c r="N757" s="35">
        <v>3.6</v>
      </c>
      <c r="O757" s="35">
        <v>3</v>
      </c>
      <c r="P757" s="35">
        <v>2.6</v>
      </c>
      <c r="Q757" s="35">
        <v>2</v>
      </c>
      <c r="R757" s="35">
        <v>2.1</v>
      </c>
      <c r="S757" s="35">
        <v>2</v>
      </c>
      <c r="T757" s="35">
        <v>1.5</v>
      </c>
      <c r="U757" s="35">
        <v>2</v>
      </c>
      <c r="V757" s="35">
        <v>9.3000000000000007</v>
      </c>
      <c r="W757" s="35">
        <v>9</v>
      </c>
      <c r="X757" s="35">
        <v>10.9</v>
      </c>
      <c r="Y757" s="35">
        <v>9</v>
      </c>
      <c r="Z757" s="35">
        <v>10</v>
      </c>
      <c r="AA757" s="35">
        <v>9</v>
      </c>
      <c r="AB757" s="35">
        <v>9.6999999999999993</v>
      </c>
      <c r="AC757" s="35">
        <v>9</v>
      </c>
      <c r="AD757" s="35">
        <v>20.9</v>
      </c>
      <c r="AE757" s="35">
        <v>19</v>
      </c>
      <c r="AF757" s="35">
        <v>20.9</v>
      </c>
      <c r="AG757" s="35">
        <v>19</v>
      </c>
      <c r="AH757" s="35">
        <v>20</v>
      </c>
      <c r="AI757" s="35">
        <v>19</v>
      </c>
      <c r="AJ757" s="35">
        <v>17.899999999999999</v>
      </c>
      <c r="AK757" s="35">
        <v>19</v>
      </c>
      <c r="AL757" s="35">
        <v>19.2</v>
      </c>
      <c r="AM757" s="35">
        <v>19</v>
      </c>
      <c r="AN757" s="35">
        <v>20.6</v>
      </c>
      <c r="AO757" s="35">
        <v>19</v>
      </c>
      <c r="AP757" s="35">
        <v>20.6</v>
      </c>
      <c r="AQ757" s="35">
        <v>19</v>
      </c>
      <c r="AR757" s="35">
        <v>20.8</v>
      </c>
      <c r="AS757" s="35">
        <v>19</v>
      </c>
      <c r="AT757" s="35">
        <v>20.100000000000001</v>
      </c>
      <c r="AU757" s="35">
        <v>19</v>
      </c>
      <c r="AV757" s="35">
        <v>19.399999999999999</v>
      </c>
      <c r="AW757" s="35">
        <v>19</v>
      </c>
      <c r="AX757" s="35">
        <v>21.1</v>
      </c>
      <c r="AY757" s="35">
        <v>20</v>
      </c>
      <c r="AZ757" s="35">
        <v>21.8</v>
      </c>
      <c r="BA757" s="35">
        <v>20</v>
      </c>
      <c r="BB757" s="35">
        <v>28.9</v>
      </c>
      <c r="BC757" s="35">
        <v>40</v>
      </c>
      <c r="BD757" s="35">
        <v>28</v>
      </c>
      <c r="BE757" s="35">
        <v>40</v>
      </c>
      <c r="BF757" s="35">
        <v>21.6</v>
      </c>
      <c r="BG757" s="35">
        <v>20</v>
      </c>
    </row>
    <row r="758" spans="1:59" x14ac:dyDescent="0.35">
      <c r="A758" s="36">
        <v>46059.990277777775</v>
      </c>
      <c r="B758" s="35">
        <v>1.9</v>
      </c>
      <c r="C758" s="35">
        <v>2</v>
      </c>
      <c r="D758" s="35">
        <v>2.2000000000000002</v>
      </c>
      <c r="E758" s="35">
        <v>2.2000000000000002</v>
      </c>
      <c r="F758" s="35">
        <v>1.2</v>
      </c>
      <c r="G758" s="35">
        <v>2</v>
      </c>
      <c r="H758" s="35">
        <v>1.4</v>
      </c>
      <c r="I758" s="35">
        <v>2</v>
      </c>
      <c r="J758" s="35">
        <v>3.9</v>
      </c>
      <c r="K758" s="35">
        <v>2</v>
      </c>
      <c r="L758" s="35">
        <v>3.8</v>
      </c>
      <c r="M758" s="35">
        <v>2</v>
      </c>
      <c r="N758" s="35">
        <v>3.7</v>
      </c>
      <c r="O758" s="35">
        <v>3</v>
      </c>
      <c r="P758" s="35">
        <v>2.6</v>
      </c>
      <c r="Q758" s="35">
        <v>2</v>
      </c>
      <c r="R758" s="35">
        <v>2.4</v>
      </c>
      <c r="S758" s="35">
        <v>2</v>
      </c>
      <c r="T758" s="35">
        <v>1.8</v>
      </c>
      <c r="U758" s="35">
        <v>2</v>
      </c>
      <c r="V758" s="35">
        <v>9.9</v>
      </c>
      <c r="W758" s="35">
        <v>9</v>
      </c>
      <c r="X758" s="35">
        <v>10.9</v>
      </c>
      <c r="Y758" s="35">
        <v>9</v>
      </c>
      <c r="Z758" s="35">
        <v>10.1</v>
      </c>
      <c r="AA758" s="35">
        <v>9</v>
      </c>
      <c r="AB758" s="35">
        <v>8.1</v>
      </c>
      <c r="AC758" s="35">
        <v>9</v>
      </c>
      <c r="AD758" s="35">
        <v>20.9</v>
      </c>
      <c r="AE758" s="35">
        <v>19</v>
      </c>
      <c r="AF758" s="35">
        <v>20.9</v>
      </c>
      <c r="AG758" s="35">
        <v>19</v>
      </c>
      <c r="AH758" s="35">
        <v>20.100000000000001</v>
      </c>
      <c r="AI758" s="35">
        <v>19</v>
      </c>
      <c r="AJ758" s="35">
        <v>17.899999999999999</v>
      </c>
      <c r="AK758" s="35">
        <v>19</v>
      </c>
      <c r="AL758" s="35">
        <v>19.100000000000001</v>
      </c>
      <c r="AM758" s="35">
        <v>19</v>
      </c>
      <c r="AN758" s="35">
        <v>20.7</v>
      </c>
      <c r="AO758" s="35">
        <v>19</v>
      </c>
      <c r="AP758" s="35">
        <v>20.6</v>
      </c>
      <c r="AQ758" s="35">
        <v>19</v>
      </c>
      <c r="AR758" s="35">
        <v>20.8</v>
      </c>
      <c r="AS758" s="35">
        <v>19</v>
      </c>
      <c r="AT758" s="35">
        <v>20.100000000000001</v>
      </c>
      <c r="AU758" s="35">
        <v>19</v>
      </c>
      <c r="AV758" s="35">
        <v>19.5</v>
      </c>
      <c r="AW758" s="35">
        <v>19</v>
      </c>
      <c r="AX758" s="35">
        <v>21.1</v>
      </c>
      <c r="AY758" s="35">
        <v>20</v>
      </c>
      <c r="AZ758" s="35">
        <v>21.8</v>
      </c>
      <c r="BA758" s="35">
        <v>20</v>
      </c>
      <c r="BB758" s="35">
        <v>28.9</v>
      </c>
      <c r="BC758" s="35">
        <v>40</v>
      </c>
      <c r="BD758" s="35">
        <v>28</v>
      </c>
      <c r="BE758" s="35">
        <v>40</v>
      </c>
      <c r="BF758" s="35">
        <v>21.6</v>
      </c>
      <c r="BG758" s="35">
        <v>20</v>
      </c>
    </row>
    <row r="759" spans="1:59" x14ac:dyDescent="0.35">
      <c r="A759" s="36">
        <v>46059.990972222222</v>
      </c>
      <c r="B759" s="35">
        <v>1.5</v>
      </c>
      <c r="C759" s="35">
        <v>2</v>
      </c>
      <c r="D759" s="35">
        <v>1.8</v>
      </c>
      <c r="E759" s="35">
        <v>2.2000000000000002</v>
      </c>
      <c r="F759" s="35">
        <v>1.3</v>
      </c>
      <c r="G759" s="35">
        <v>2</v>
      </c>
      <c r="H759" s="35">
        <v>1.6</v>
      </c>
      <c r="I759" s="35">
        <v>2</v>
      </c>
      <c r="J759" s="35">
        <v>3.9</v>
      </c>
      <c r="K759" s="35">
        <v>2</v>
      </c>
      <c r="L759" s="35">
        <v>3.9</v>
      </c>
      <c r="M759" s="35">
        <v>2</v>
      </c>
      <c r="N759" s="35">
        <v>3.9</v>
      </c>
      <c r="O759" s="35">
        <v>3</v>
      </c>
      <c r="P759" s="35">
        <v>2.6</v>
      </c>
      <c r="Q759" s="35">
        <v>2</v>
      </c>
      <c r="R759" s="35">
        <v>2.5</v>
      </c>
      <c r="S759" s="35">
        <v>2</v>
      </c>
      <c r="T759" s="35">
        <v>2.1</v>
      </c>
      <c r="U759" s="35">
        <v>2</v>
      </c>
      <c r="V759" s="35">
        <v>10.5</v>
      </c>
      <c r="W759" s="35">
        <v>9</v>
      </c>
      <c r="X759" s="35">
        <v>10.9</v>
      </c>
      <c r="Y759" s="35">
        <v>9</v>
      </c>
      <c r="Z759" s="35">
        <v>10.199999999999999</v>
      </c>
      <c r="AA759" s="35">
        <v>9</v>
      </c>
      <c r="AB759" s="35">
        <v>8</v>
      </c>
      <c r="AC759" s="35">
        <v>9</v>
      </c>
      <c r="AD759" s="35">
        <v>20.9</v>
      </c>
      <c r="AE759" s="35">
        <v>19</v>
      </c>
      <c r="AF759" s="35">
        <v>20.9</v>
      </c>
      <c r="AG759" s="35">
        <v>19</v>
      </c>
      <c r="AH759" s="35">
        <v>20.100000000000001</v>
      </c>
      <c r="AI759" s="35">
        <v>19</v>
      </c>
      <c r="AJ759" s="35">
        <v>18.2</v>
      </c>
      <c r="AK759" s="35">
        <v>19</v>
      </c>
      <c r="AL759" s="35">
        <v>19</v>
      </c>
      <c r="AM759" s="35">
        <v>19</v>
      </c>
      <c r="AN759" s="35">
        <v>20.8</v>
      </c>
      <c r="AO759" s="35">
        <v>19</v>
      </c>
      <c r="AP759" s="35">
        <v>20.6</v>
      </c>
      <c r="AQ759" s="35">
        <v>19</v>
      </c>
      <c r="AR759" s="35">
        <v>20.8</v>
      </c>
      <c r="AS759" s="35">
        <v>19</v>
      </c>
      <c r="AT759" s="35">
        <v>20.2</v>
      </c>
      <c r="AU759" s="35">
        <v>19</v>
      </c>
      <c r="AV759" s="35">
        <v>19.600000000000001</v>
      </c>
      <c r="AW759" s="35">
        <v>19</v>
      </c>
      <c r="AX759" s="35">
        <v>21.1</v>
      </c>
      <c r="AY759" s="35">
        <v>20</v>
      </c>
      <c r="AZ759" s="35">
        <v>21.8</v>
      </c>
      <c r="BA759" s="35">
        <v>20</v>
      </c>
      <c r="BB759" s="35">
        <v>28.9</v>
      </c>
      <c r="BC759" s="35">
        <v>40</v>
      </c>
      <c r="BD759" s="35">
        <v>28</v>
      </c>
      <c r="BE759" s="35">
        <v>40</v>
      </c>
      <c r="BF759" s="35">
        <v>21.7</v>
      </c>
      <c r="BG759" s="35">
        <v>20</v>
      </c>
    </row>
    <row r="760" spans="1:59" x14ac:dyDescent="0.35">
      <c r="A760" s="36">
        <v>46059.991666666669</v>
      </c>
      <c r="B760" s="35">
        <v>1.8</v>
      </c>
      <c r="C760" s="35">
        <v>2</v>
      </c>
      <c r="D760" s="35">
        <v>2.2000000000000002</v>
      </c>
      <c r="E760" s="35">
        <v>2.2000000000000002</v>
      </c>
      <c r="F760" s="35">
        <v>1.6</v>
      </c>
      <c r="G760" s="35">
        <v>2</v>
      </c>
      <c r="H760" s="35">
        <v>2.1</v>
      </c>
      <c r="I760" s="35">
        <v>2</v>
      </c>
      <c r="J760" s="35">
        <v>3.1</v>
      </c>
      <c r="K760" s="35">
        <v>2</v>
      </c>
      <c r="L760" s="35">
        <v>3.5</v>
      </c>
      <c r="M760" s="35">
        <v>2</v>
      </c>
      <c r="N760" s="35">
        <v>4</v>
      </c>
      <c r="O760" s="35">
        <v>3</v>
      </c>
      <c r="P760" s="35">
        <v>2.6</v>
      </c>
      <c r="Q760" s="35">
        <v>2</v>
      </c>
      <c r="R760" s="35">
        <v>2.7</v>
      </c>
      <c r="S760" s="35">
        <v>2</v>
      </c>
      <c r="T760" s="35">
        <v>2.4</v>
      </c>
      <c r="U760" s="35">
        <v>2</v>
      </c>
      <c r="V760" s="35">
        <v>10.9</v>
      </c>
      <c r="W760" s="35">
        <v>9</v>
      </c>
      <c r="X760" s="35">
        <v>10.7</v>
      </c>
      <c r="Y760" s="35">
        <v>9</v>
      </c>
      <c r="Z760" s="35">
        <v>10.4</v>
      </c>
      <c r="AA760" s="35">
        <v>9</v>
      </c>
      <c r="AB760" s="35">
        <v>8.3000000000000007</v>
      </c>
      <c r="AC760" s="35">
        <v>9</v>
      </c>
      <c r="AD760" s="35">
        <v>21</v>
      </c>
      <c r="AE760" s="35">
        <v>19</v>
      </c>
      <c r="AF760" s="35">
        <v>21</v>
      </c>
      <c r="AG760" s="35">
        <v>19</v>
      </c>
      <c r="AH760" s="35">
        <v>20.2</v>
      </c>
      <c r="AI760" s="35">
        <v>19</v>
      </c>
      <c r="AJ760" s="35">
        <v>18.5</v>
      </c>
      <c r="AK760" s="35">
        <v>19</v>
      </c>
      <c r="AL760" s="35">
        <v>19</v>
      </c>
      <c r="AM760" s="35">
        <v>19</v>
      </c>
      <c r="AN760" s="35">
        <v>20.8</v>
      </c>
      <c r="AO760" s="35">
        <v>19</v>
      </c>
      <c r="AP760" s="35">
        <v>20.6</v>
      </c>
      <c r="AQ760" s="35">
        <v>19</v>
      </c>
      <c r="AR760" s="35">
        <v>20.8</v>
      </c>
      <c r="AS760" s="35">
        <v>19</v>
      </c>
      <c r="AT760" s="35">
        <v>20.3</v>
      </c>
      <c r="AU760" s="35">
        <v>19</v>
      </c>
      <c r="AV760" s="35">
        <v>19.7</v>
      </c>
      <c r="AW760" s="35">
        <v>19</v>
      </c>
      <c r="AX760" s="35">
        <v>21.1</v>
      </c>
      <c r="AY760" s="35">
        <v>20</v>
      </c>
      <c r="AZ760" s="35">
        <v>21.8</v>
      </c>
      <c r="BA760" s="35">
        <v>20</v>
      </c>
      <c r="BB760" s="35">
        <v>28.9</v>
      </c>
      <c r="BC760" s="35">
        <v>40</v>
      </c>
      <c r="BD760" s="35">
        <v>28</v>
      </c>
      <c r="BE760" s="35">
        <v>40</v>
      </c>
      <c r="BF760" s="35">
        <v>21.7</v>
      </c>
      <c r="BG760" s="35">
        <v>20</v>
      </c>
    </row>
    <row r="761" spans="1:59" x14ac:dyDescent="0.35">
      <c r="A761" s="36">
        <v>46059.992361111108</v>
      </c>
      <c r="B761" s="35">
        <v>2.2000000000000002</v>
      </c>
      <c r="C761" s="35">
        <v>2</v>
      </c>
      <c r="D761" s="35">
        <v>2.6</v>
      </c>
      <c r="E761" s="35">
        <v>2.2000000000000002</v>
      </c>
      <c r="F761" s="35">
        <v>2</v>
      </c>
      <c r="G761" s="35">
        <v>2</v>
      </c>
      <c r="H761" s="35">
        <v>2.5</v>
      </c>
      <c r="I761" s="35">
        <v>2</v>
      </c>
      <c r="J761" s="35">
        <v>2.5</v>
      </c>
      <c r="K761" s="35">
        <v>2</v>
      </c>
      <c r="L761" s="35">
        <v>3.1</v>
      </c>
      <c r="M761" s="35">
        <v>2</v>
      </c>
      <c r="N761" s="35">
        <v>4.2</v>
      </c>
      <c r="O761" s="35">
        <v>3</v>
      </c>
      <c r="P761" s="35">
        <v>2.6</v>
      </c>
      <c r="Q761" s="35">
        <v>2</v>
      </c>
      <c r="R761" s="35">
        <v>2.9</v>
      </c>
      <c r="S761" s="35">
        <v>2</v>
      </c>
      <c r="T761" s="35">
        <v>2.6</v>
      </c>
      <c r="U761" s="35">
        <v>2</v>
      </c>
      <c r="V761" s="35">
        <v>10.3</v>
      </c>
      <c r="W761" s="35">
        <v>9</v>
      </c>
      <c r="X761" s="35">
        <v>9.9</v>
      </c>
      <c r="Y761" s="35">
        <v>9</v>
      </c>
      <c r="Z761" s="35">
        <v>10.4</v>
      </c>
      <c r="AA761" s="35">
        <v>9</v>
      </c>
      <c r="AB761" s="35">
        <v>8.9</v>
      </c>
      <c r="AC761" s="35">
        <v>9</v>
      </c>
      <c r="AD761" s="35">
        <v>20.3</v>
      </c>
      <c r="AE761" s="35">
        <v>19</v>
      </c>
      <c r="AF761" s="35">
        <v>20.9</v>
      </c>
      <c r="AG761" s="35">
        <v>19</v>
      </c>
      <c r="AH761" s="35">
        <v>20.3</v>
      </c>
      <c r="AI761" s="35">
        <v>19</v>
      </c>
      <c r="AJ761" s="35">
        <v>18.7</v>
      </c>
      <c r="AK761" s="35">
        <v>19</v>
      </c>
      <c r="AL761" s="35">
        <v>19.3</v>
      </c>
      <c r="AM761" s="35">
        <v>19</v>
      </c>
      <c r="AN761" s="35">
        <v>20.9</v>
      </c>
      <c r="AO761" s="35">
        <v>19</v>
      </c>
      <c r="AP761" s="35">
        <v>20.6</v>
      </c>
      <c r="AQ761" s="35">
        <v>19</v>
      </c>
      <c r="AR761" s="35">
        <v>20.8</v>
      </c>
      <c r="AS761" s="35">
        <v>19</v>
      </c>
      <c r="AT761" s="35">
        <v>20.399999999999999</v>
      </c>
      <c r="AU761" s="35">
        <v>19</v>
      </c>
      <c r="AV761" s="35">
        <v>19.8</v>
      </c>
      <c r="AW761" s="35">
        <v>19</v>
      </c>
      <c r="AX761" s="35">
        <v>21.1</v>
      </c>
      <c r="AY761" s="35">
        <v>20</v>
      </c>
      <c r="AZ761" s="35">
        <v>21.8</v>
      </c>
      <c r="BA761" s="35">
        <v>20</v>
      </c>
      <c r="BB761" s="35">
        <v>28.9</v>
      </c>
      <c r="BC761" s="35">
        <v>40</v>
      </c>
      <c r="BD761" s="35">
        <v>28</v>
      </c>
      <c r="BE761" s="35">
        <v>40</v>
      </c>
      <c r="BF761" s="35">
        <v>21.7</v>
      </c>
      <c r="BG761" s="35">
        <v>20</v>
      </c>
    </row>
    <row r="762" spans="1:59" x14ac:dyDescent="0.35">
      <c r="A762" s="36">
        <v>46059.993055555555</v>
      </c>
      <c r="B762" s="35">
        <v>2.6</v>
      </c>
      <c r="C762" s="35">
        <v>2</v>
      </c>
      <c r="D762" s="35">
        <v>2.9</v>
      </c>
      <c r="E762" s="35">
        <v>2.2000000000000002</v>
      </c>
      <c r="F762" s="35">
        <v>2.4</v>
      </c>
      <c r="G762" s="35">
        <v>2</v>
      </c>
      <c r="H762" s="35">
        <v>2.7</v>
      </c>
      <c r="I762" s="35">
        <v>2</v>
      </c>
      <c r="J762" s="35">
        <v>1.7</v>
      </c>
      <c r="K762" s="35">
        <v>2</v>
      </c>
      <c r="L762" s="35">
        <v>2.5</v>
      </c>
      <c r="M762" s="35">
        <v>2</v>
      </c>
      <c r="N762" s="35">
        <v>4.3</v>
      </c>
      <c r="O762" s="35">
        <v>3</v>
      </c>
      <c r="P762" s="35">
        <v>2.6</v>
      </c>
      <c r="Q762" s="35">
        <v>2</v>
      </c>
      <c r="R762" s="35">
        <v>3</v>
      </c>
      <c r="S762" s="35">
        <v>2</v>
      </c>
      <c r="T762" s="35">
        <v>2.7</v>
      </c>
      <c r="U762" s="35">
        <v>2</v>
      </c>
      <c r="V762" s="35">
        <v>8</v>
      </c>
      <c r="W762" s="35">
        <v>9</v>
      </c>
      <c r="X762" s="35">
        <v>8.9</v>
      </c>
      <c r="Y762" s="35">
        <v>9</v>
      </c>
      <c r="Z762" s="35">
        <v>10.5</v>
      </c>
      <c r="AA762" s="35">
        <v>9</v>
      </c>
      <c r="AB762" s="35">
        <v>9.3000000000000007</v>
      </c>
      <c r="AC762" s="35">
        <v>9</v>
      </c>
      <c r="AD762" s="35">
        <v>19.7</v>
      </c>
      <c r="AE762" s="35">
        <v>19</v>
      </c>
      <c r="AF762" s="35">
        <v>19.600000000000001</v>
      </c>
      <c r="AG762" s="35">
        <v>19</v>
      </c>
      <c r="AH762" s="35">
        <v>20.399999999999999</v>
      </c>
      <c r="AI762" s="35">
        <v>19</v>
      </c>
      <c r="AJ762" s="35">
        <v>18.899999999999999</v>
      </c>
      <c r="AK762" s="35">
        <v>19</v>
      </c>
      <c r="AL762" s="35">
        <v>19.5</v>
      </c>
      <c r="AM762" s="35">
        <v>19</v>
      </c>
      <c r="AN762" s="35">
        <v>21</v>
      </c>
      <c r="AO762" s="35">
        <v>19</v>
      </c>
      <c r="AP762" s="35">
        <v>20.6</v>
      </c>
      <c r="AQ762" s="35">
        <v>19</v>
      </c>
      <c r="AR762" s="35">
        <v>20.8</v>
      </c>
      <c r="AS762" s="35">
        <v>19</v>
      </c>
      <c r="AT762" s="35">
        <v>20.5</v>
      </c>
      <c r="AU762" s="35">
        <v>19</v>
      </c>
      <c r="AV762" s="35">
        <v>19.899999999999999</v>
      </c>
      <c r="AW762" s="35">
        <v>19</v>
      </c>
      <c r="AX762" s="35">
        <v>21</v>
      </c>
      <c r="AY762" s="35">
        <v>20</v>
      </c>
      <c r="AZ762" s="35">
        <v>21.8</v>
      </c>
      <c r="BA762" s="35">
        <v>20</v>
      </c>
      <c r="BB762" s="35">
        <v>28.9</v>
      </c>
      <c r="BC762" s="35">
        <v>40</v>
      </c>
      <c r="BD762" s="35">
        <v>27.9</v>
      </c>
      <c r="BE762" s="35">
        <v>40</v>
      </c>
      <c r="BF762" s="35">
        <v>21.7</v>
      </c>
      <c r="BG762" s="35">
        <v>20</v>
      </c>
    </row>
    <row r="763" spans="1:59" x14ac:dyDescent="0.35">
      <c r="A763" s="36">
        <v>46059.993750000001</v>
      </c>
      <c r="B763" s="35">
        <v>2.9</v>
      </c>
      <c r="C763" s="35">
        <v>2</v>
      </c>
      <c r="D763" s="35">
        <v>3.1</v>
      </c>
      <c r="E763" s="35">
        <v>2.2000000000000002</v>
      </c>
      <c r="F763" s="35">
        <v>2.7</v>
      </c>
      <c r="G763" s="35">
        <v>2</v>
      </c>
      <c r="H763" s="35">
        <v>3</v>
      </c>
      <c r="I763" s="35">
        <v>2</v>
      </c>
      <c r="J763" s="35">
        <v>1.7</v>
      </c>
      <c r="K763" s="35">
        <v>2</v>
      </c>
      <c r="L763" s="35">
        <v>2.6</v>
      </c>
      <c r="M763" s="35">
        <v>2</v>
      </c>
      <c r="N763" s="35">
        <v>4.5999999999999996</v>
      </c>
      <c r="O763" s="35">
        <v>3</v>
      </c>
      <c r="P763" s="35">
        <v>2.6</v>
      </c>
      <c r="Q763" s="35">
        <v>2</v>
      </c>
      <c r="R763" s="35">
        <v>3.2</v>
      </c>
      <c r="S763" s="35">
        <v>2</v>
      </c>
      <c r="T763" s="35">
        <v>2.9</v>
      </c>
      <c r="U763" s="35">
        <v>2</v>
      </c>
      <c r="V763" s="35">
        <v>7.5</v>
      </c>
      <c r="W763" s="35">
        <v>9</v>
      </c>
      <c r="X763" s="35">
        <v>8.1999999999999993</v>
      </c>
      <c r="Y763" s="35">
        <v>9</v>
      </c>
      <c r="Z763" s="35">
        <v>10.6</v>
      </c>
      <c r="AA763" s="35">
        <v>9</v>
      </c>
      <c r="AB763" s="35">
        <v>9.6</v>
      </c>
      <c r="AC763" s="35">
        <v>9</v>
      </c>
      <c r="AD763" s="35">
        <v>19.2</v>
      </c>
      <c r="AE763" s="35">
        <v>19</v>
      </c>
      <c r="AF763" s="35">
        <v>18.899999999999999</v>
      </c>
      <c r="AG763" s="35">
        <v>19</v>
      </c>
      <c r="AH763" s="35">
        <v>20.399999999999999</v>
      </c>
      <c r="AI763" s="35">
        <v>19</v>
      </c>
      <c r="AJ763" s="35">
        <v>19.100000000000001</v>
      </c>
      <c r="AK763" s="35">
        <v>19</v>
      </c>
      <c r="AL763" s="35">
        <v>19.8</v>
      </c>
      <c r="AM763" s="35">
        <v>19</v>
      </c>
      <c r="AN763" s="35">
        <v>20.9</v>
      </c>
      <c r="AO763" s="35">
        <v>19</v>
      </c>
      <c r="AP763" s="35">
        <v>20.6</v>
      </c>
      <c r="AQ763" s="35">
        <v>19</v>
      </c>
      <c r="AR763" s="35">
        <v>20.8</v>
      </c>
      <c r="AS763" s="35">
        <v>19</v>
      </c>
      <c r="AT763" s="35">
        <v>20.6</v>
      </c>
      <c r="AU763" s="35">
        <v>19</v>
      </c>
      <c r="AV763" s="35">
        <v>19.899999999999999</v>
      </c>
      <c r="AW763" s="35">
        <v>19</v>
      </c>
      <c r="AX763" s="35">
        <v>21</v>
      </c>
      <c r="AY763" s="35">
        <v>20</v>
      </c>
      <c r="AZ763" s="35">
        <v>21.8</v>
      </c>
      <c r="BA763" s="35">
        <v>20</v>
      </c>
      <c r="BB763" s="35">
        <v>28.9</v>
      </c>
      <c r="BC763" s="35">
        <v>40</v>
      </c>
      <c r="BD763" s="35">
        <v>27.9</v>
      </c>
      <c r="BE763" s="35">
        <v>40</v>
      </c>
      <c r="BF763" s="35">
        <v>21.8</v>
      </c>
      <c r="BG763" s="35">
        <v>20</v>
      </c>
    </row>
    <row r="764" spans="1:59" x14ac:dyDescent="0.35">
      <c r="A764" s="36">
        <v>46059.994444444441</v>
      </c>
      <c r="B764" s="35">
        <v>3.1</v>
      </c>
      <c r="C764" s="35">
        <v>2</v>
      </c>
      <c r="D764" s="35">
        <v>3.4</v>
      </c>
      <c r="E764" s="35">
        <v>2.2000000000000002</v>
      </c>
      <c r="F764" s="35">
        <v>3</v>
      </c>
      <c r="G764" s="35">
        <v>2</v>
      </c>
      <c r="H764" s="35">
        <v>3.3</v>
      </c>
      <c r="I764" s="35">
        <v>2</v>
      </c>
      <c r="J764" s="35">
        <v>1.8</v>
      </c>
      <c r="K764" s="35">
        <v>2</v>
      </c>
      <c r="L764" s="35">
        <v>2.8</v>
      </c>
      <c r="M764" s="35">
        <v>2</v>
      </c>
      <c r="N764" s="35">
        <v>4.9000000000000004</v>
      </c>
      <c r="O764" s="35">
        <v>3</v>
      </c>
      <c r="P764" s="35">
        <v>2.6</v>
      </c>
      <c r="Q764" s="35">
        <v>2</v>
      </c>
      <c r="R764" s="35">
        <v>3.3</v>
      </c>
      <c r="S764" s="35">
        <v>2</v>
      </c>
      <c r="T764" s="35">
        <v>3</v>
      </c>
      <c r="U764" s="35">
        <v>2</v>
      </c>
      <c r="V764" s="35">
        <v>8.1</v>
      </c>
      <c r="W764" s="35">
        <v>9</v>
      </c>
      <c r="X764" s="35">
        <v>8.1999999999999993</v>
      </c>
      <c r="Y764" s="35">
        <v>9</v>
      </c>
      <c r="Z764" s="35">
        <v>10.7</v>
      </c>
      <c r="AA764" s="35">
        <v>9</v>
      </c>
      <c r="AB764" s="35">
        <v>9.8000000000000007</v>
      </c>
      <c r="AC764" s="35">
        <v>9</v>
      </c>
      <c r="AD764" s="35">
        <v>18.899999999999999</v>
      </c>
      <c r="AE764" s="35">
        <v>19</v>
      </c>
      <c r="AF764" s="35">
        <v>18.5</v>
      </c>
      <c r="AG764" s="35">
        <v>19</v>
      </c>
      <c r="AH764" s="35">
        <v>20.399999999999999</v>
      </c>
      <c r="AI764" s="35">
        <v>19</v>
      </c>
      <c r="AJ764" s="35">
        <v>19.3</v>
      </c>
      <c r="AK764" s="35">
        <v>19</v>
      </c>
      <c r="AL764" s="35">
        <v>20</v>
      </c>
      <c r="AM764" s="35">
        <v>19</v>
      </c>
      <c r="AN764" s="35">
        <v>19.7</v>
      </c>
      <c r="AO764" s="35">
        <v>19</v>
      </c>
      <c r="AP764" s="35">
        <v>20.6</v>
      </c>
      <c r="AQ764" s="35">
        <v>19</v>
      </c>
      <c r="AR764" s="35">
        <v>20.8</v>
      </c>
      <c r="AS764" s="35">
        <v>19</v>
      </c>
      <c r="AT764" s="35">
        <v>20.6</v>
      </c>
      <c r="AU764" s="35">
        <v>19</v>
      </c>
      <c r="AV764" s="35">
        <v>20</v>
      </c>
      <c r="AW764" s="35">
        <v>19</v>
      </c>
      <c r="AX764" s="35">
        <v>21</v>
      </c>
      <c r="AY764" s="35">
        <v>20</v>
      </c>
      <c r="AZ764" s="35">
        <v>21.8</v>
      </c>
      <c r="BA764" s="35">
        <v>20</v>
      </c>
      <c r="BB764" s="35">
        <v>28.9</v>
      </c>
      <c r="BC764" s="35">
        <v>40</v>
      </c>
      <c r="BD764" s="35">
        <v>27.9</v>
      </c>
      <c r="BE764" s="35">
        <v>40</v>
      </c>
      <c r="BF764" s="35">
        <v>21.8</v>
      </c>
      <c r="BG764" s="35">
        <v>20</v>
      </c>
    </row>
    <row r="765" spans="1:59" x14ac:dyDescent="0.35">
      <c r="A765" s="36">
        <v>46059.995138888888</v>
      </c>
      <c r="B765" s="35">
        <v>3.4</v>
      </c>
      <c r="C765" s="35">
        <v>2</v>
      </c>
      <c r="D765" s="35">
        <v>3.7</v>
      </c>
      <c r="E765" s="35">
        <v>2.2000000000000002</v>
      </c>
      <c r="F765" s="35">
        <v>3.2</v>
      </c>
      <c r="G765" s="35">
        <v>2</v>
      </c>
      <c r="H765" s="35">
        <v>3.5</v>
      </c>
      <c r="I765" s="35">
        <v>2</v>
      </c>
      <c r="J765" s="35">
        <v>2</v>
      </c>
      <c r="K765" s="35">
        <v>2</v>
      </c>
      <c r="L765" s="35">
        <v>3</v>
      </c>
      <c r="M765" s="35">
        <v>2</v>
      </c>
      <c r="N765" s="35">
        <v>4.9000000000000004</v>
      </c>
      <c r="O765" s="35">
        <v>3</v>
      </c>
      <c r="P765" s="35">
        <v>2.6</v>
      </c>
      <c r="Q765" s="35">
        <v>2</v>
      </c>
      <c r="R765" s="35">
        <v>3.4</v>
      </c>
      <c r="S765" s="35">
        <v>2</v>
      </c>
      <c r="T765" s="35">
        <v>3.1</v>
      </c>
      <c r="U765" s="35">
        <v>2</v>
      </c>
      <c r="V765" s="35">
        <v>8.9</v>
      </c>
      <c r="W765" s="35">
        <v>9</v>
      </c>
      <c r="X765" s="35">
        <v>8.1999999999999993</v>
      </c>
      <c r="Y765" s="35">
        <v>9</v>
      </c>
      <c r="Z765" s="35">
        <v>10.7</v>
      </c>
      <c r="AA765" s="35">
        <v>9</v>
      </c>
      <c r="AB765" s="35">
        <v>10</v>
      </c>
      <c r="AC765" s="35">
        <v>9</v>
      </c>
      <c r="AD765" s="35">
        <v>18.899999999999999</v>
      </c>
      <c r="AE765" s="35">
        <v>19</v>
      </c>
      <c r="AF765" s="35">
        <v>18.399999999999999</v>
      </c>
      <c r="AG765" s="35">
        <v>19</v>
      </c>
      <c r="AH765" s="35">
        <v>20.5</v>
      </c>
      <c r="AI765" s="35">
        <v>19</v>
      </c>
      <c r="AJ765" s="35">
        <v>19.399999999999999</v>
      </c>
      <c r="AK765" s="35">
        <v>19</v>
      </c>
      <c r="AL765" s="35">
        <v>20.2</v>
      </c>
      <c r="AM765" s="35">
        <v>19</v>
      </c>
      <c r="AN765" s="35">
        <v>19.100000000000001</v>
      </c>
      <c r="AO765" s="35">
        <v>19</v>
      </c>
      <c r="AP765" s="35">
        <v>20.6</v>
      </c>
      <c r="AQ765" s="35">
        <v>19</v>
      </c>
      <c r="AR765" s="35">
        <v>20.8</v>
      </c>
      <c r="AS765" s="35">
        <v>19</v>
      </c>
      <c r="AT765" s="35">
        <v>20.7</v>
      </c>
      <c r="AU765" s="35">
        <v>19</v>
      </c>
      <c r="AV765" s="35">
        <v>20.100000000000001</v>
      </c>
      <c r="AW765" s="35">
        <v>19</v>
      </c>
      <c r="AX765" s="35">
        <v>21</v>
      </c>
      <c r="AY765" s="35">
        <v>20</v>
      </c>
      <c r="AZ765" s="35">
        <v>21.8</v>
      </c>
      <c r="BA765" s="35">
        <v>20</v>
      </c>
      <c r="BB765" s="35">
        <v>28.9</v>
      </c>
      <c r="BC765" s="35">
        <v>40</v>
      </c>
      <c r="BD765" s="35">
        <v>27.9</v>
      </c>
      <c r="BE765" s="35">
        <v>40</v>
      </c>
      <c r="BF765" s="35">
        <v>21.8</v>
      </c>
      <c r="BG765" s="35">
        <v>20</v>
      </c>
    </row>
    <row r="766" spans="1:59" x14ac:dyDescent="0.35">
      <c r="A766" s="36">
        <v>46059.995833333334</v>
      </c>
      <c r="B766" s="35">
        <v>3.6</v>
      </c>
      <c r="C766" s="35">
        <v>2</v>
      </c>
      <c r="D766" s="35">
        <v>4</v>
      </c>
      <c r="E766" s="35">
        <v>2.2000000000000002</v>
      </c>
      <c r="F766" s="35">
        <v>3.4</v>
      </c>
      <c r="G766" s="35">
        <v>2</v>
      </c>
      <c r="H766" s="35">
        <v>3.7</v>
      </c>
      <c r="I766" s="35">
        <v>2</v>
      </c>
      <c r="J766" s="35">
        <v>2.2999999999999998</v>
      </c>
      <c r="K766" s="35">
        <v>2</v>
      </c>
      <c r="L766" s="35">
        <v>3.3</v>
      </c>
      <c r="M766" s="35">
        <v>2</v>
      </c>
      <c r="N766" s="35">
        <v>4</v>
      </c>
      <c r="O766" s="35">
        <v>3</v>
      </c>
      <c r="P766" s="35">
        <v>2.6</v>
      </c>
      <c r="Q766" s="35">
        <v>2</v>
      </c>
      <c r="R766" s="35">
        <v>3.5</v>
      </c>
      <c r="S766" s="35">
        <v>2</v>
      </c>
      <c r="T766" s="35">
        <v>3.3</v>
      </c>
      <c r="U766" s="35">
        <v>2</v>
      </c>
      <c r="V766" s="35">
        <v>9.6</v>
      </c>
      <c r="W766" s="35">
        <v>9</v>
      </c>
      <c r="X766" s="35">
        <v>8.4</v>
      </c>
      <c r="Y766" s="35">
        <v>9</v>
      </c>
      <c r="Z766" s="35">
        <v>10.8</v>
      </c>
      <c r="AA766" s="35">
        <v>9</v>
      </c>
      <c r="AB766" s="35">
        <v>10.199999999999999</v>
      </c>
      <c r="AC766" s="35">
        <v>9</v>
      </c>
      <c r="AD766" s="35">
        <v>19.100000000000001</v>
      </c>
      <c r="AE766" s="35">
        <v>19</v>
      </c>
      <c r="AF766" s="35">
        <v>18.399999999999999</v>
      </c>
      <c r="AG766" s="35">
        <v>19</v>
      </c>
      <c r="AH766" s="35">
        <v>20.5</v>
      </c>
      <c r="AI766" s="35">
        <v>19</v>
      </c>
      <c r="AJ766" s="35">
        <v>19.5</v>
      </c>
      <c r="AK766" s="35">
        <v>19</v>
      </c>
      <c r="AL766" s="35">
        <v>20.3</v>
      </c>
      <c r="AM766" s="35">
        <v>19</v>
      </c>
      <c r="AN766" s="35">
        <v>19</v>
      </c>
      <c r="AO766" s="35">
        <v>19</v>
      </c>
      <c r="AP766" s="35">
        <v>20.6</v>
      </c>
      <c r="AQ766" s="35">
        <v>19</v>
      </c>
      <c r="AR766" s="35">
        <v>20.8</v>
      </c>
      <c r="AS766" s="35">
        <v>19</v>
      </c>
      <c r="AT766" s="35">
        <v>20.8</v>
      </c>
      <c r="AU766" s="35">
        <v>19</v>
      </c>
      <c r="AV766" s="35">
        <v>20.2</v>
      </c>
      <c r="AW766" s="35">
        <v>19</v>
      </c>
      <c r="AX766" s="35">
        <v>21</v>
      </c>
      <c r="AY766" s="35">
        <v>20</v>
      </c>
      <c r="AZ766" s="35">
        <v>21.8</v>
      </c>
      <c r="BA766" s="35">
        <v>20</v>
      </c>
      <c r="BB766" s="35">
        <v>28.9</v>
      </c>
      <c r="BC766" s="35">
        <v>40</v>
      </c>
      <c r="BD766" s="35">
        <v>27.9</v>
      </c>
      <c r="BE766" s="35">
        <v>40</v>
      </c>
      <c r="BF766" s="35">
        <v>21.8</v>
      </c>
      <c r="BG766" s="35">
        <v>20</v>
      </c>
    </row>
    <row r="767" spans="1:59" x14ac:dyDescent="0.35">
      <c r="A767" s="36">
        <v>46059.996527777781</v>
      </c>
      <c r="B767" s="35">
        <v>3.8</v>
      </c>
      <c r="C767" s="35">
        <v>2</v>
      </c>
      <c r="D767" s="35">
        <v>4.2</v>
      </c>
      <c r="E767" s="35">
        <v>2.2000000000000002</v>
      </c>
      <c r="F767" s="35">
        <v>3.6</v>
      </c>
      <c r="G767" s="35">
        <v>2</v>
      </c>
      <c r="H767" s="35">
        <v>3.9</v>
      </c>
      <c r="I767" s="35">
        <v>2</v>
      </c>
      <c r="J767" s="35">
        <v>2.4</v>
      </c>
      <c r="K767" s="35">
        <v>2</v>
      </c>
      <c r="L767" s="35">
        <v>3.5</v>
      </c>
      <c r="M767" s="35">
        <v>2</v>
      </c>
      <c r="N767" s="35">
        <v>3</v>
      </c>
      <c r="O767" s="35">
        <v>3</v>
      </c>
      <c r="P767" s="35">
        <v>2.6</v>
      </c>
      <c r="Q767" s="35">
        <v>2</v>
      </c>
      <c r="R767" s="35">
        <v>3.6</v>
      </c>
      <c r="S767" s="35">
        <v>2</v>
      </c>
      <c r="T767" s="35">
        <v>3.4</v>
      </c>
      <c r="U767" s="35">
        <v>2</v>
      </c>
      <c r="V767" s="35">
        <v>10.1</v>
      </c>
      <c r="W767" s="35">
        <v>9</v>
      </c>
      <c r="X767" s="35">
        <v>8.6</v>
      </c>
      <c r="Y767" s="35">
        <v>9</v>
      </c>
      <c r="Z767" s="35">
        <v>10.9</v>
      </c>
      <c r="AA767" s="35">
        <v>9</v>
      </c>
      <c r="AB767" s="35">
        <v>10.4</v>
      </c>
      <c r="AC767" s="35">
        <v>9</v>
      </c>
      <c r="AD767" s="35">
        <v>19.3</v>
      </c>
      <c r="AE767" s="35">
        <v>19</v>
      </c>
      <c r="AF767" s="35">
        <v>18.399999999999999</v>
      </c>
      <c r="AG767" s="35">
        <v>19</v>
      </c>
      <c r="AH767" s="35">
        <v>20.6</v>
      </c>
      <c r="AI767" s="35">
        <v>19</v>
      </c>
      <c r="AJ767" s="35">
        <v>19.600000000000001</v>
      </c>
      <c r="AK767" s="35">
        <v>19</v>
      </c>
      <c r="AL767" s="35">
        <v>20.5</v>
      </c>
      <c r="AM767" s="35">
        <v>19</v>
      </c>
      <c r="AN767" s="35">
        <v>19.100000000000001</v>
      </c>
      <c r="AO767" s="35">
        <v>19</v>
      </c>
      <c r="AP767" s="35">
        <v>20.6</v>
      </c>
      <c r="AQ767" s="35">
        <v>19</v>
      </c>
      <c r="AR767" s="35">
        <v>20.8</v>
      </c>
      <c r="AS767" s="35">
        <v>19</v>
      </c>
      <c r="AT767" s="35">
        <v>20.9</v>
      </c>
      <c r="AU767" s="35">
        <v>19</v>
      </c>
      <c r="AV767" s="35">
        <v>20.2</v>
      </c>
      <c r="AW767" s="35">
        <v>19</v>
      </c>
      <c r="AX767" s="35">
        <v>21</v>
      </c>
      <c r="AY767" s="35">
        <v>20</v>
      </c>
      <c r="AZ767" s="35">
        <v>21.8</v>
      </c>
      <c r="BA767" s="35">
        <v>20</v>
      </c>
      <c r="BB767" s="35">
        <v>28.8</v>
      </c>
      <c r="BC767" s="35">
        <v>40</v>
      </c>
      <c r="BD767" s="35">
        <v>27.9</v>
      </c>
      <c r="BE767" s="35">
        <v>40</v>
      </c>
      <c r="BF767" s="35">
        <v>21.8</v>
      </c>
      <c r="BG767" s="35">
        <v>20</v>
      </c>
    </row>
    <row r="768" spans="1:59" x14ac:dyDescent="0.35">
      <c r="A768" s="36">
        <v>46059.99722222222</v>
      </c>
      <c r="B768" s="35">
        <v>3.6</v>
      </c>
      <c r="C768" s="35">
        <v>2</v>
      </c>
      <c r="D768" s="35">
        <v>4</v>
      </c>
      <c r="E768" s="35">
        <v>2.2000000000000002</v>
      </c>
      <c r="F768" s="35">
        <v>3.4</v>
      </c>
      <c r="G768" s="35">
        <v>2</v>
      </c>
      <c r="H768" s="35">
        <v>3.3</v>
      </c>
      <c r="I768" s="35">
        <v>2</v>
      </c>
      <c r="J768" s="35">
        <v>2.6</v>
      </c>
      <c r="K768" s="35">
        <v>2</v>
      </c>
      <c r="L768" s="35">
        <v>3.8</v>
      </c>
      <c r="M768" s="35">
        <v>2</v>
      </c>
      <c r="N768" s="35">
        <v>2.6</v>
      </c>
      <c r="O768" s="35">
        <v>3</v>
      </c>
      <c r="P768" s="35">
        <v>2.6</v>
      </c>
      <c r="Q768" s="35">
        <v>2</v>
      </c>
      <c r="R768" s="35">
        <v>3.8</v>
      </c>
      <c r="S768" s="35">
        <v>2</v>
      </c>
      <c r="T768" s="35">
        <v>3.5</v>
      </c>
      <c r="U768" s="35">
        <v>2</v>
      </c>
      <c r="V768" s="35">
        <v>10.6</v>
      </c>
      <c r="W768" s="35">
        <v>9</v>
      </c>
      <c r="X768" s="35">
        <v>8.8000000000000007</v>
      </c>
      <c r="Y768" s="35">
        <v>9</v>
      </c>
      <c r="Z768" s="35">
        <v>10.9</v>
      </c>
      <c r="AA768" s="35">
        <v>9</v>
      </c>
      <c r="AB768" s="35">
        <v>10.5</v>
      </c>
      <c r="AC768" s="35">
        <v>9</v>
      </c>
      <c r="AD768" s="35">
        <v>19.399999999999999</v>
      </c>
      <c r="AE768" s="35">
        <v>19</v>
      </c>
      <c r="AF768" s="35">
        <v>18.5</v>
      </c>
      <c r="AG768" s="35">
        <v>19</v>
      </c>
      <c r="AH768" s="35">
        <v>20.6</v>
      </c>
      <c r="AI768" s="35">
        <v>19</v>
      </c>
      <c r="AJ768" s="35">
        <v>19.7</v>
      </c>
      <c r="AK768" s="35">
        <v>19</v>
      </c>
      <c r="AL768" s="35">
        <v>20.6</v>
      </c>
      <c r="AM768" s="35">
        <v>19</v>
      </c>
      <c r="AN768" s="35">
        <v>19.3</v>
      </c>
      <c r="AO768" s="35">
        <v>19</v>
      </c>
      <c r="AP768" s="35">
        <v>20.6</v>
      </c>
      <c r="AQ768" s="35">
        <v>19</v>
      </c>
      <c r="AR768" s="35">
        <v>20.8</v>
      </c>
      <c r="AS768" s="35">
        <v>19</v>
      </c>
      <c r="AT768" s="35">
        <v>20.9</v>
      </c>
      <c r="AU768" s="35">
        <v>19</v>
      </c>
      <c r="AV768" s="35">
        <v>20.3</v>
      </c>
      <c r="AW768" s="35">
        <v>19</v>
      </c>
      <c r="AX768" s="35">
        <v>21</v>
      </c>
      <c r="AY768" s="35">
        <v>20</v>
      </c>
      <c r="AZ768" s="35">
        <v>21.8</v>
      </c>
      <c r="BA768" s="35">
        <v>20</v>
      </c>
      <c r="BB768" s="35">
        <v>28.8</v>
      </c>
      <c r="BC768" s="35">
        <v>40</v>
      </c>
      <c r="BD768" s="35">
        <v>27.9</v>
      </c>
      <c r="BE768" s="35">
        <v>40</v>
      </c>
      <c r="BF768" s="35">
        <v>21.8</v>
      </c>
      <c r="BG768" s="35">
        <v>20</v>
      </c>
    </row>
    <row r="769" spans="1:59" x14ac:dyDescent="0.35">
      <c r="A769" s="36">
        <v>46059.997916666667</v>
      </c>
      <c r="B769" s="35">
        <v>3.6</v>
      </c>
      <c r="C769" s="35">
        <v>2</v>
      </c>
      <c r="D769" s="35">
        <v>4</v>
      </c>
      <c r="E769" s="35">
        <v>2.2000000000000002</v>
      </c>
      <c r="F769" s="35">
        <v>3</v>
      </c>
      <c r="G769" s="35">
        <v>2</v>
      </c>
      <c r="H769" s="35">
        <v>2.5</v>
      </c>
      <c r="I769" s="35">
        <v>2</v>
      </c>
      <c r="J769" s="35">
        <v>2.9</v>
      </c>
      <c r="K769" s="35">
        <v>2</v>
      </c>
      <c r="L769" s="35">
        <v>3.9</v>
      </c>
      <c r="M769" s="35">
        <v>2</v>
      </c>
      <c r="N769" s="35">
        <v>3</v>
      </c>
      <c r="O769" s="35">
        <v>3</v>
      </c>
      <c r="P769" s="35">
        <v>24.1</v>
      </c>
      <c r="Q769" s="35">
        <v>2</v>
      </c>
      <c r="R769" s="35">
        <v>3.9</v>
      </c>
      <c r="S769" s="35">
        <v>2</v>
      </c>
      <c r="T769" s="35">
        <v>3.6</v>
      </c>
      <c r="U769" s="35">
        <v>2</v>
      </c>
      <c r="V769" s="35">
        <v>11</v>
      </c>
      <c r="W769" s="35">
        <v>9</v>
      </c>
      <c r="X769" s="35">
        <v>9</v>
      </c>
      <c r="Y769" s="35">
        <v>9</v>
      </c>
      <c r="Z769" s="35">
        <v>10.9</v>
      </c>
      <c r="AA769" s="35">
        <v>9</v>
      </c>
      <c r="AB769" s="35">
        <v>10.7</v>
      </c>
      <c r="AC769" s="35">
        <v>9</v>
      </c>
      <c r="AD769" s="35">
        <v>19.5</v>
      </c>
      <c r="AE769" s="35">
        <v>19</v>
      </c>
      <c r="AF769" s="35">
        <v>18.600000000000001</v>
      </c>
      <c r="AG769" s="35">
        <v>19</v>
      </c>
      <c r="AH769" s="35">
        <v>20.7</v>
      </c>
      <c r="AI769" s="35">
        <v>19</v>
      </c>
      <c r="AJ769" s="35">
        <v>19.8</v>
      </c>
      <c r="AK769" s="35">
        <v>19</v>
      </c>
      <c r="AL769" s="35">
        <v>20.7</v>
      </c>
      <c r="AM769" s="35">
        <v>19</v>
      </c>
      <c r="AN769" s="35">
        <v>19.399999999999999</v>
      </c>
      <c r="AO769" s="35">
        <v>19</v>
      </c>
      <c r="AP769" s="35">
        <v>20.6</v>
      </c>
      <c r="AQ769" s="35">
        <v>19</v>
      </c>
      <c r="AR769" s="35">
        <v>20.8</v>
      </c>
      <c r="AS769" s="35">
        <v>19</v>
      </c>
      <c r="AT769" s="35">
        <v>21</v>
      </c>
      <c r="AU769" s="35">
        <v>19</v>
      </c>
      <c r="AV769" s="35">
        <v>20.3</v>
      </c>
      <c r="AW769" s="35">
        <v>19</v>
      </c>
      <c r="AX769" s="35">
        <v>21</v>
      </c>
      <c r="AY769" s="35">
        <v>20</v>
      </c>
      <c r="AZ769" s="35">
        <v>21.8</v>
      </c>
      <c r="BA769" s="35">
        <v>20</v>
      </c>
      <c r="BB769" s="35">
        <v>28.8</v>
      </c>
      <c r="BC769" s="35">
        <v>40</v>
      </c>
      <c r="BD769" s="35">
        <v>27.9</v>
      </c>
      <c r="BE769" s="35">
        <v>40</v>
      </c>
      <c r="BF769" s="35">
        <v>21.8</v>
      </c>
      <c r="BG769" s="35">
        <v>20</v>
      </c>
    </row>
    <row r="770" spans="1:59" x14ac:dyDescent="0.35">
      <c r="A770" s="36">
        <v>46059.998611111114</v>
      </c>
      <c r="B770" s="35">
        <v>3.9</v>
      </c>
      <c r="C770" s="35">
        <v>2</v>
      </c>
      <c r="D770" s="35">
        <v>4.2</v>
      </c>
      <c r="E770" s="35">
        <v>2.2000000000000002</v>
      </c>
      <c r="F770" s="35">
        <v>2.9</v>
      </c>
      <c r="G770" s="35">
        <v>2</v>
      </c>
      <c r="H770" s="35">
        <v>2.5</v>
      </c>
      <c r="I770" s="35">
        <v>2</v>
      </c>
      <c r="J770" s="35">
        <v>3.1</v>
      </c>
      <c r="K770" s="35">
        <v>2</v>
      </c>
      <c r="L770" s="35">
        <v>3.8</v>
      </c>
      <c r="M770" s="35">
        <v>2</v>
      </c>
      <c r="N770" s="35">
        <v>3.8</v>
      </c>
      <c r="O770" s="35">
        <v>3</v>
      </c>
      <c r="P770" s="35">
        <v>19.600000000000001</v>
      </c>
      <c r="Q770" s="35">
        <v>2</v>
      </c>
      <c r="R770" s="35">
        <v>3.9</v>
      </c>
      <c r="S770" s="35">
        <v>2</v>
      </c>
      <c r="T770" s="35">
        <v>3.7</v>
      </c>
      <c r="U770" s="35">
        <v>2</v>
      </c>
      <c r="V770" s="35">
        <v>9.6999999999999993</v>
      </c>
      <c r="W770" s="35">
        <v>9</v>
      </c>
      <c r="X770" s="35">
        <v>9.1999999999999993</v>
      </c>
      <c r="Y770" s="35">
        <v>9</v>
      </c>
      <c r="Z770" s="35">
        <v>10.8</v>
      </c>
      <c r="AA770" s="35">
        <v>9</v>
      </c>
      <c r="AB770" s="35">
        <v>10.8</v>
      </c>
      <c r="AC770" s="35">
        <v>9</v>
      </c>
      <c r="AD770" s="35">
        <v>19.600000000000001</v>
      </c>
      <c r="AE770" s="35">
        <v>19</v>
      </c>
      <c r="AF770" s="35">
        <v>18.7</v>
      </c>
      <c r="AG770" s="35">
        <v>19</v>
      </c>
      <c r="AH770" s="35">
        <v>20.7</v>
      </c>
      <c r="AI770" s="35">
        <v>19</v>
      </c>
      <c r="AJ770" s="35">
        <v>19.899999999999999</v>
      </c>
      <c r="AK770" s="35">
        <v>19</v>
      </c>
      <c r="AL770" s="35">
        <v>20.9</v>
      </c>
      <c r="AM770" s="35">
        <v>19</v>
      </c>
      <c r="AN770" s="35">
        <v>19.600000000000001</v>
      </c>
      <c r="AO770" s="35">
        <v>19</v>
      </c>
      <c r="AP770" s="35">
        <v>20.6</v>
      </c>
      <c r="AQ770" s="35">
        <v>19</v>
      </c>
      <c r="AR770" s="35">
        <v>20.8</v>
      </c>
      <c r="AS770" s="35">
        <v>19</v>
      </c>
      <c r="AT770" s="35">
        <v>20.2</v>
      </c>
      <c r="AU770" s="35">
        <v>19</v>
      </c>
      <c r="AV770" s="35">
        <v>20.399999999999999</v>
      </c>
      <c r="AW770" s="35">
        <v>19</v>
      </c>
      <c r="AX770" s="35">
        <v>21</v>
      </c>
      <c r="AY770" s="35">
        <v>20</v>
      </c>
      <c r="AZ770" s="35">
        <v>21.8</v>
      </c>
      <c r="BA770" s="35">
        <v>20</v>
      </c>
      <c r="BB770" s="35">
        <v>28.8</v>
      </c>
      <c r="BC770" s="35">
        <v>40</v>
      </c>
      <c r="BD770" s="35">
        <v>27.9</v>
      </c>
      <c r="BE770" s="35">
        <v>40</v>
      </c>
      <c r="BF770" s="35">
        <v>21.8</v>
      </c>
      <c r="BG770" s="35">
        <v>20</v>
      </c>
    </row>
    <row r="771" spans="1:59" x14ac:dyDescent="0.35">
      <c r="A771" s="36">
        <v>46059.999305555553</v>
      </c>
      <c r="B771" s="35">
        <v>4</v>
      </c>
      <c r="C771" s="35">
        <v>2</v>
      </c>
      <c r="D771" s="35">
        <v>4.3</v>
      </c>
      <c r="E771" s="35">
        <v>2.2000000000000002</v>
      </c>
      <c r="F771" s="35">
        <v>2.9</v>
      </c>
      <c r="G771" s="35">
        <v>2</v>
      </c>
      <c r="H771" s="35">
        <v>2.5</v>
      </c>
      <c r="I771" s="35">
        <v>2</v>
      </c>
      <c r="J771" s="35">
        <v>2.7</v>
      </c>
      <c r="K771" s="35">
        <v>2</v>
      </c>
      <c r="L771" s="35">
        <v>2.7</v>
      </c>
      <c r="M771" s="35">
        <v>2</v>
      </c>
      <c r="N771" s="35">
        <v>4.5</v>
      </c>
      <c r="O771" s="35">
        <v>3</v>
      </c>
      <c r="P771" s="35">
        <v>13.4</v>
      </c>
      <c r="Q771" s="35">
        <v>2</v>
      </c>
      <c r="R771" s="35">
        <v>3.8</v>
      </c>
      <c r="S771" s="35">
        <v>2</v>
      </c>
      <c r="T771" s="35">
        <v>3.3</v>
      </c>
      <c r="U771" s="35">
        <v>2</v>
      </c>
      <c r="V771" s="35">
        <v>7.9</v>
      </c>
      <c r="W771" s="35">
        <v>9</v>
      </c>
      <c r="X771" s="35">
        <v>9.4</v>
      </c>
      <c r="Y771" s="35">
        <v>9</v>
      </c>
      <c r="Z771" s="35">
        <v>9.8000000000000007</v>
      </c>
      <c r="AA771" s="35">
        <v>9</v>
      </c>
      <c r="AB771" s="35">
        <v>10.9</v>
      </c>
      <c r="AC771" s="35">
        <v>9</v>
      </c>
      <c r="AD771" s="35">
        <v>19.7</v>
      </c>
      <c r="AE771" s="35">
        <v>19</v>
      </c>
      <c r="AF771" s="35">
        <v>18.8</v>
      </c>
      <c r="AG771" s="35">
        <v>19</v>
      </c>
      <c r="AH771" s="35">
        <v>20.8</v>
      </c>
      <c r="AI771" s="35">
        <v>19</v>
      </c>
      <c r="AJ771" s="35">
        <v>20</v>
      </c>
      <c r="AK771" s="35">
        <v>19</v>
      </c>
      <c r="AL771" s="35">
        <v>20.9</v>
      </c>
      <c r="AM771" s="35">
        <v>19</v>
      </c>
      <c r="AN771" s="35">
        <v>19.7</v>
      </c>
      <c r="AO771" s="35">
        <v>19</v>
      </c>
      <c r="AP771" s="35">
        <v>20.6</v>
      </c>
      <c r="AQ771" s="35">
        <v>19</v>
      </c>
      <c r="AR771" s="35">
        <v>20.8</v>
      </c>
      <c r="AS771" s="35">
        <v>19</v>
      </c>
      <c r="AT771" s="35">
        <v>19.100000000000001</v>
      </c>
      <c r="AU771" s="35">
        <v>19</v>
      </c>
      <c r="AV771" s="35">
        <v>20.399999999999999</v>
      </c>
      <c r="AW771" s="35">
        <v>19</v>
      </c>
      <c r="AX771" s="35">
        <v>21</v>
      </c>
      <c r="AY771" s="35">
        <v>20</v>
      </c>
      <c r="AZ771" s="35">
        <v>21.8</v>
      </c>
      <c r="BA771" s="35">
        <v>20</v>
      </c>
      <c r="BB771" s="35">
        <v>28.8</v>
      </c>
      <c r="BC771" s="35">
        <v>40</v>
      </c>
      <c r="BD771" s="35">
        <v>27.9</v>
      </c>
      <c r="BE771" s="35">
        <v>40</v>
      </c>
      <c r="BF771" s="35">
        <v>21.9</v>
      </c>
      <c r="BG771" s="35">
        <v>20</v>
      </c>
    </row>
    <row r="772" spans="1:59" x14ac:dyDescent="0.35">
      <c r="A772" s="2"/>
    </row>
    <row r="773" spans="1:59" x14ac:dyDescent="0.35">
      <c r="A773" s="2"/>
    </row>
    <row r="774" spans="1:59" x14ac:dyDescent="0.35">
      <c r="A774" s="2"/>
    </row>
    <row r="775" spans="1:59" x14ac:dyDescent="0.35">
      <c r="A775" s="2"/>
    </row>
    <row r="776" spans="1:59" x14ac:dyDescent="0.35">
      <c r="A776" s="2"/>
    </row>
    <row r="777" spans="1:59" x14ac:dyDescent="0.35">
      <c r="A777" s="2"/>
    </row>
    <row r="778" spans="1:59" x14ac:dyDescent="0.35">
      <c r="A778" s="2"/>
    </row>
    <row r="779" spans="1:59" x14ac:dyDescent="0.35">
      <c r="A779" s="2"/>
    </row>
    <row r="780" spans="1:59" x14ac:dyDescent="0.35">
      <c r="A780" s="2"/>
    </row>
    <row r="781" spans="1:59" x14ac:dyDescent="0.35">
      <c r="A781" s="2"/>
    </row>
    <row r="782" spans="1:59" x14ac:dyDescent="0.35">
      <c r="A782" s="2"/>
    </row>
    <row r="783" spans="1:59" x14ac:dyDescent="0.35">
      <c r="A783" s="2"/>
    </row>
    <row r="784" spans="1:59" x14ac:dyDescent="0.35">
      <c r="A784" s="2"/>
    </row>
    <row r="785" spans="1:1" x14ac:dyDescent="0.35">
      <c r="A785" s="2"/>
    </row>
    <row r="786" spans="1:1" x14ac:dyDescent="0.35">
      <c r="A786" s="2"/>
    </row>
    <row r="787" spans="1:1" x14ac:dyDescent="0.35">
      <c r="A787" s="2"/>
    </row>
    <row r="788" spans="1:1" x14ac:dyDescent="0.35">
      <c r="A788" s="2"/>
    </row>
    <row r="789" spans="1:1" x14ac:dyDescent="0.35">
      <c r="A789" s="2"/>
    </row>
    <row r="790" spans="1:1" x14ac:dyDescent="0.35">
      <c r="A790" s="2"/>
    </row>
    <row r="791" spans="1:1" x14ac:dyDescent="0.35">
      <c r="A791" s="2"/>
    </row>
    <row r="792" spans="1:1" x14ac:dyDescent="0.35">
      <c r="A792" s="2"/>
    </row>
    <row r="793" spans="1:1" x14ac:dyDescent="0.35">
      <c r="A793" s="2"/>
    </row>
    <row r="794" spans="1:1" x14ac:dyDescent="0.35">
      <c r="A794" s="2"/>
    </row>
    <row r="795" spans="1:1" x14ac:dyDescent="0.35">
      <c r="A795" s="2"/>
    </row>
    <row r="796" spans="1:1" x14ac:dyDescent="0.35">
      <c r="A796" s="2"/>
    </row>
    <row r="797" spans="1:1" x14ac:dyDescent="0.35">
      <c r="A797" s="2"/>
    </row>
    <row r="798" spans="1:1" x14ac:dyDescent="0.35">
      <c r="A798" s="2"/>
    </row>
    <row r="799" spans="1:1" x14ac:dyDescent="0.35">
      <c r="A799" s="2"/>
    </row>
    <row r="800" spans="1:1" x14ac:dyDescent="0.35">
      <c r="A800" s="2"/>
    </row>
    <row r="801" spans="1:1" x14ac:dyDescent="0.35">
      <c r="A801" s="2"/>
    </row>
    <row r="802" spans="1:1" x14ac:dyDescent="0.35">
      <c r="A802" s="2"/>
    </row>
    <row r="803" spans="1:1" x14ac:dyDescent="0.35">
      <c r="A803" s="2"/>
    </row>
    <row r="804" spans="1:1" x14ac:dyDescent="0.35">
      <c r="A804" s="2"/>
    </row>
    <row r="805" spans="1:1" x14ac:dyDescent="0.35">
      <c r="A805" s="2"/>
    </row>
    <row r="806" spans="1:1" x14ac:dyDescent="0.35">
      <c r="A806" s="2"/>
    </row>
    <row r="807" spans="1:1" x14ac:dyDescent="0.35">
      <c r="A807" s="2"/>
    </row>
    <row r="808" spans="1:1" x14ac:dyDescent="0.35">
      <c r="A808" s="2"/>
    </row>
    <row r="809" spans="1:1" x14ac:dyDescent="0.35">
      <c r="A809" s="2"/>
    </row>
    <row r="810" spans="1:1" x14ac:dyDescent="0.35">
      <c r="A810" s="2"/>
    </row>
    <row r="811" spans="1:1" x14ac:dyDescent="0.35">
      <c r="A811" s="2"/>
    </row>
    <row r="812" spans="1:1" x14ac:dyDescent="0.35">
      <c r="A812" s="2"/>
    </row>
    <row r="813" spans="1:1" x14ac:dyDescent="0.35">
      <c r="A813" s="2"/>
    </row>
    <row r="814" spans="1:1" x14ac:dyDescent="0.35">
      <c r="A814" s="2"/>
    </row>
    <row r="815" spans="1:1" x14ac:dyDescent="0.35">
      <c r="A815" s="2"/>
    </row>
    <row r="816" spans="1:1" x14ac:dyDescent="0.35">
      <c r="A816" s="2"/>
    </row>
    <row r="817" spans="1:1" x14ac:dyDescent="0.35">
      <c r="A817" s="2"/>
    </row>
    <row r="818" spans="1:1" x14ac:dyDescent="0.35">
      <c r="A818" s="2"/>
    </row>
    <row r="819" spans="1:1" x14ac:dyDescent="0.35">
      <c r="A819" s="2"/>
    </row>
    <row r="820" spans="1:1" x14ac:dyDescent="0.35">
      <c r="A820" s="2"/>
    </row>
    <row r="821" spans="1:1" x14ac:dyDescent="0.35">
      <c r="A821" s="2"/>
    </row>
    <row r="822" spans="1:1" x14ac:dyDescent="0.35">
      <c r="A822" s="2"/>
    </row>
    <row r="823" spans="1:1" x14ac:dyDescent="0.35">
      <c r="A823" s="2"/>
    </row>
    <row r="824" spans="1:1" x14ac:dyDescent="0.35">
      <c r="A824" s="2"/>
    </row>
    <row r="825" spans="1:1" x14ac:dyDescent="0.35">
      <c r="A825" s="2"/>
    </row>
    <row r="826" spans="1:1" x14ac:dyDescent="0.35">
      <c r="A826" s="2"/>
    </row>
    <row r="827" spans="1:1" x14ac:dyDescent="0.35">
      <c r="A827" s="2"/>
    </row>
    <row r="828" spans="1:1" x14ac:dyDescent="0.35">
      <c r="A828" s="2"/>
    </row>
    <row r="829" spans="1:1" x14ac:dyDescent="0.35">
      <c r="A829" s="2"/>
    </row>
    <row r="830" spans="1:1" x14ac:dyDescent="0.35">
      <c r="A830" s="2"/>
    </row>
    <row r="831" spans="1:1" x14ac:dyDescent="0.35">
      <c r="A831" s="2"/>
    </row>
    <row r="832" spans="1:1" x14ac:dyDescent="0.35">
      <c r="A832" s="2"/>
    </row>
    <row r="833" spans="1:1" x14ac:dyDescent="0.35">
      <c r="A833" s="2"/>
    </row>
    <row r="834" spans="1:1" x14ac:dyDescent="0.35">
      <c r="A834" s="2"/>
    </row>
    <row r="835" spans="1:1" x14ac:dyDescent="0.35">
      <c r="A835" s="2"/>
    </row>
    <row r="836" spans="1:1" x14ac:dyDescent="0.35">
      <c r="A836" s="2"/>
    </row>
    <row r="837" spans="1:1" x14ac:dyDescent="0.35">
      <c r="A837" s="2"/>
    </row>
    <row r="838" spans="1:1" x14ac:dyDescent="0.35">
      <c r="A838" s="2"/>
    </row>
    <row r="839" spans="1:1" x14ac:dyDescent="0.35">
      <c r="A839" s="2"/>
    </row>
    <row r="840" spans="1:1" x14ac:dyDescent="0.35">
      <c r="A840" s="2"/>
    </row>
    <row r="841" spans="1:1" x14ac:dyDescent="0.35">
      <c r="A841" s="2"/>
    </row>
    <row r="842" spans="1:1" x14ac:dyDescent="0.35">
      <c r="A842" s="2"/>
    </row>
    <row r="843" spans="1:1" x14ac:dyDescent="0.35">
      <c r="A843" s="2"/>
    </row>
    <row r="844" spans="1:1" x14ac:dyDescent="0.35">
      <c r="A844" s="2"/>
    </row>
    <row r="845" spans="1:1" x14ac:dyDescent="0.35">
      <c r="A845" s="2"/>
    </row>
    <row r="846" spans="1:1" x14ac:dyDescent="0.35">
      <c r="A846" s="2"/>
    </row>
    <row r="847" spans="1:1" x14ac:dyDescent="0.35">
      <c r="A847" s="2"/>
    </row>
    <row r="848" spans="1:1" x14ac:dyDescent="0.35">
      <c r="A848" s="2"/>
    </row>
    <row r="849" spans="1:1" x14ac:dyDescent="0.35">
      <c r="A849" s="2"/>
    </row>
    <row r="850" spans="1:1" x14ac:dyDescent="0.35">
      <c r="A850" s="2"/>
    </row>
    <row r="851" spans="1:1" x14ac:dyDescent="0.35">
      <c r="A851" s="2"/>
    </row>
    <row r="852" spans="1:1" x14ac:dyDescent="0.35">
      <c r="A852" s="2"/>
    </row>
    <row r="853" spans="1:1" x14ac:dyDescent="0.35">
      <c r="A853" s="2"/>
    </row>
    <row r="854" spans="1:1" x14ac:dyDescent="0.35">
      <c r="A854" s="2"/>
    </row>
    <row r="855" spans="1:1" x14ac:dyDescent="0.35">
      <c r="A855" s="2"/>
    </row>
    <row r="856" spans="1:1" x14ac:dyDescent="0.35">
      <c r="A856" s="2"/>
    </row>
    <row r="857" spans="1:1" x14ac:dyDescent="0.35">
      <c r="A857" s="2"/>
    </row>
    <row r="858" spans="1:1" x14ac:dyDescent="0.35">
      <c r="A858" s="2"/>
    </row>
    <row r="859" spans="1:1" x14ac:dyDescent="0.35">
      <c r="A859" s="2"/>
    </row>
    <row r="860" spans="1:1" x14ac:dyDescent="0.35">
      <c r="A860" s="2"/>
    </row>
    <row r="861" spans="1:1" x14ac:dyDescent="0.35">
      <c r="A861" s="2"/>
    </row>
    <row r="862" spans="1:1" x14ac:dyDescent="0.35">
      <c r="A862" s="2"/>
    </row>
    <row r="863" spans="1:1" x14ac:dyDescent="0.35">
      <c r="A863" s="2"/>
    </row>
    <row r="864" spans="1:1" x14ac:dyDescent="0.35">
      <c r="A864" s="2"/>
    </row>
    <row r="865" spans="1:1" x14ac:dyDescent="0.35">
      <c r="A865" s="2"/>
    </row>
    <row r="866" spans="1:1" x14ac:dyDescent="0.35">
      <c r="A866" s="2"/>
    </row>
    <row r="867" spans="1:1" x14ac:dyDescent="0.35">
      <c r="A867" s="2"/>
    </row>
    <row r="868" spans="1:1" x14ac:dyDescent="0.35">
      <c r="A868" s="2"/>
    </row>
    <row r="869" spans="1:1" x14ac:dyDescent="0.35">
      <c r="A869" s="2"/>
    </row>
    <row r="870" spans="1:1" x14ac:dyDescent="0.35">
      <c r="A870" s="2"/>
    </row>
    <row r="871" spans="1:1" x14ac:dyDescent="0.35">
      <c r="A871" s="2"/>
    </row>
    <row r="872" spans="1:1" x14ac:dyDescent="0.35">
      <c r="A872" s="2"/>
    </row>
    <row r="873" spans="1:1" x14ac:dyDescent="0.35">
      <c r="A873" s="2"/>
    </row>
    <row r="874" spans="1:1" x14ac:dyDescent="0.35">
      <c r="A874" s="2"/>
    </row>
    <row r="875" spans="1:1" x14ac:dyDescent="0.35">
      <c r="A875" s="2"/>
    </row>
    <row r="876" spans="1:1" x14ac:dyDescent="0.35">
      <c r="A876" s="2"/>
    </row>
    <row r="877" spans="1:1" x14ac:dyDescent="0.35">
      <c r="A877" s="2"/>
    </row>
    <row r="878" spans="1:1" x14ac:dyDescent="0.35">
      <c r="A878" s="2"/>
    </row>
    <row r="879" spans="1:1" x14ac:dyDescent="0.35">
      <c r="A879" s="2"/>
    </row>
    <row r="880" spans="1:1" x14ac:dyDescent="0.35">
      <c r="A880" s="2"/>
    </row>
    <row r="881" spans="1:1" x14ac:dyDescent="0.35">
      <c r="A881" s="2"/>
    </row>
    <row r="882" spans="1:1" x14ac:dyDescent="0.35">
      <c r="A882" s="2"/>
    </row>
    <row r="883" spans="1:1" x14ac:dyDescent="0.35">
      <c r="A883" s="2"/>
    </row>
    <row r="884" spans="1:1" x14ac:dyDescent="0.35">
      <c r="A884" s="2"/>
    </row>
    <row r="885" spans="1:1" x14ac:dyDescent="0.35">
      <c r="A885" s="2"/>
    </row>
    <row r="886" spans="1:1" x14ac:dyDescent="0.35">
      <c r="A886" s="2"/>
    </row>
    <row r="887" spans="1:1" x14ac:dyDescent="0.35">
      <c r="A887" s="2"/>
    </row>
    <row r="888" spans="1:1" x14ac:dyDescent="0.35">
      <c r="A888" s="2"/>
    </row>
    <row r="889" spans="1:1" x14ac:dyDescent="0.35">
      <c r="A889" s="2"/>
    </row>
    <row r="890" spans="1:1" x14ac:dyDescent="0.35">
      <c r="A890" s="2"/>
    </row>
    <row r="891" spans="1:1" x14ac:dyDescent="0.35">
      <c r="A891" s="2"/>
    </row>
    <row r="892" spans="1:1" x14ac:dyDescent="0.35">
      <c r="A892" s="2"/>
    </row>
    <row r="893" spans="1:1" x14ac:dyDescent="0.35">
      <c r="A893" s="2"/>
    </row>
    <row r="894" spans="1:1" x14ac:dyDescent="0.35">
      <c r="A894" s="2"/>
    </row>
    <row r="895" spans="1:1" x14ac:dyDescent="0.35">
      <c r="A895" s="2"/>
    </row>
    <row r="896" spans="1:1" x14ac:dyDescent="0.35">
      <c r="A896" s="2"/>
    </row>
    <row r="897" spans="1:1" x14ac:dyDescent="0.35">
      <c r="A897" s="2"/>
    </row>
    <row r="898" spans="1:1" x14ac:dyDescent="0.35">
      <c r="A898" s="2"/>
    </row>
    <row r="899" spans="1:1" x14ac:dyDescent="0.35">
      <c r="A899" s="2"/>
    </row>
    <row r="900" spans="1:1" x14ac:dyDescent="0.35">
      <c r="A900" s="2"/>
    </row>
    <row r="901" spans="1:1" x14ac:dyDescent="0.35">
      <c r="A901" s="2"/>
    </row>
    <row r="902" spans="1:1" x14ac:dyDescent="0.35">
      <c r="A902" s="2"/>
    </row>
    <row r="903" spans="1:1" x14ac:dyDescent="0.35">
      <c r="A903" s="2"/>
    </row>
    <row r="904" spans="1:1" x14ac:dyDescent="0.35">
      <c r="A904" s="2"/>
    </row>
    <row r="905" spans="1:1" x14ac:dyDescent="0.35">
      <c r="A905" s="2"/>
    </row>
    <row r="906" spans="1:1" x14ac:dyDescent="0.35">
      <c r="A906" s="2"/>
    </row>
    <row r="907" spans="1:1" x14ac:dyDescent="0.35">
      <c r="A907" s="2"/>
    </row>
    <row r="908" spans="1:1" x14ac:dyDescent="0.35">
      <c r="A908" s="2"/>
    </row>
    <row r="909" spans="1:1" x14ac:dyDescent="0.35">
      <c r="A909" s="2"/>
    </row>
    <row r="910" spans="1:1" x14ac:dyDescent="0.35">
      <c r="A910" s="2"/>
    </row>
    <row r="911" spans="1:1" x14ac:dyDescent="0.35">
      <c r="A911" s="2"/>
    </row>
    <row r="912" spans="1:1" x14ac:dyDescent="0.35">
      <c r="A912" s="2"/>
    </row>
    <row r="913" spans="1:1" x14ac:dyDescent="0.35">
      <c r="A913" s="2"/>
    </row>
    <row r="914" spans="1:1" x14ac:dyDescent="0.35">
      <c r="A914" s="2"/>
    </row>
    <row r="915" spans="1:1" x14ac:dyDescent="0.35">
      <c r="A915" s="2"/>
    </row>
    <row r="916" spans="1:1" x14ac:dyDescent="0.35">
      <c r="A916" s="2"/>
    </row>
    <row r="917" spans="1:1" x14ac:dyDescent="0.35">
      <c r="A917" s="2"/>
    </row>
    <row r="918" spans="1:1" x14ac:dyDescent="0.35">
      <c r="A918" s="2"/>
    </row>
    <row r="919" spans="1:1" x14ac:dyDescent="0.35">
      <c r="A919" s="2"/>
    </row>
    <row r="920" spans="1:1" x14ac:dyDescent="0.35">
      <c r="A920" s="2"/>
    </row>
    <row r="921" spans="1:1" x14ac:dyDescent="0.35">
      <c r="A921" s="2"/>
    </row>
    <row r="922" spans="1:1" x14ac:dyDescent="0.35">
      <c r="A922" s="2"/>
    </row>
    <row r="923" spans="1:1" x14ac:dyDescent="0.35">
      <c r="A923" s="2"/>
    </row>
    <row r="924" spans="1:1" x14ac:dyDescent="0.35">
      <c r="A924" s="2"/>
    </row>
    <row r="925" spans="1:1" x14ac:dyDescent="0.35">
      <c r="A925" s="2"/>
    </row>
    <row r="926" spans="1:1" x14ac:dyDescent="0.35">
      <c r="A926" s="2"/>
    </row>
    <row r="927" spans="1:1" x14ac:dyDescent="0.35">
      <c r="A927" s="2"/>
    </row>
    <row r="928" spans="1:1" x14ac:dyDescent="0.35">
      <c r="A928" s="2"/>
    </row>
    <row r="929" spans="1:1" x14ac:dyDescent="0.35">
      <c r="A929" s="2"/>
    </row>
    <row r="930" spans="1:1" x14ac:dyDescent="0.35">
      <c r="A930" s="2"/>
    </row>
    <row r="931" spans="1:1" x14ac:dyDescent="0.35">
      <c r="A931" s="2"/>
    </row>
    <row r="932" spans="1:1" x14ac:dyDescent="0.35">
      <c r="A932" s="2"/>
    </row>
    <row r="933" spans="1:1" x14ac:dyDescent="0.35">
      <c r="A933" s="2"/>
    </row>
    <row r="934" spans="1:1" x14ac:dyDescent="0.35">
      <c r="A934" s="2"/>
    </row>
    <row r="935" spans="1:1" x14ac:dyDescent="0.35">
      <c r="A935" s="2"/>
    </row>
    <row r="936" spans="1:1" x14ac:dyDescent="0.35">
      <c r="A936" s="2"/>
    </row>
    <row r="937" spans="1:1" x14ac:dyDescent="0.35">
      <c r="A937" s="2"/>
    </row>
    <row r="938" spans="1:1" x14ac:dyDescent="0.35">
      <c r="A938" s="2"/>
    </row>
    <row r="939" spans="1:1" x14ac:dyDescent="0.35">
      <c r="A939" s="2"/>
    </row>
    <row r="940" spans="1:1" x14ac:dyDescent="0.35">
      <c r="A940" s="2"/>
    </row>
    <row r="941" spans="1:1" x14ac:dyDescent="0.35">
      <c r="A941" s="2"/>
    </row>
    <row r="942" spans="1:1" x14ac:dyDescent="0.35">
      <c r="A942" s="2"/>
    </row>
    <row r="943" spans="1:1" x14ac:dyDescent="0.35">
      <c r="A943" s="2"/>
    </row>
    <row r="944" spans="1:1" x14ac:dyDescent="0.35">
      <c r="A944" s="2"/>
    </row>
    <row r="945" spans="1:1" x14ac:dyDescent="0.35">
      <c r="A945" s="2"/>
    </row>
    <row r="946" spans="1:1" x14ac:dyDescent="0.35">
      <c r="A946" s="2"/>
    </row>
    <row r="947" spans="1:1" x14ac:dyDescent="0.35">
      <c r="A947" s="2"/>
    </row>
    <row r="948" spans="1:1" x14ac:dyDescent="0.35">
      <c r="A948" s="2"/>
    </row>
    <row r="949" spans="1:1" x14ac:dyDescent="0.35">
      <c r="A949" s="2"/>
    </row>
    <row r="950" spans="1:1" x14ac:dyDescent="0.35">
      <c r="A950" s="2"/>
    </row>
    <row r="951" spans="1:1" x14ac:dyDescent="0.35">
      <c r="A951" s="2"/>
    </row>
    <row r="952" spans="1:1" x14ac:dyDescent="0.35">
      <c r="A952" s="2"/>
    </row>
    <row r="953" spans="1:1" x14ac:dyDescent="0.35">
      <c r="A953" s="2"/>
    </row>
    <row r="954" spans="1:1" x14ac:dyDescent="0.35">
      <c r="A954" s="2"/>
    </row>
    <row r="955" spans="1:1" x14ac:dyDescent="0.35">
      <c r="A955" s="2"/>
    </row>
    <row r="956" spans="1:1" x14ac:dyDescent="0.35">
      <c r="A956" s="2"/>
    </row>
    <row r="957" spans="1:1" x14ac:dyDescent="0.35">
      <c r="A957" s="2"/>
    </row>
    <row r="958" spans="1:1" x14ac:dyDescent="0.35">
      <c r="A958" s="2"/>
    </row>
    <row r="959" spans="1:1" x14ac:dyDescent="0.35">
      <c r="A959" s="2"/>
    </row>
    <row r="960" spans="1:1" x14ac:dyDescent="0.35">
      <c r="A960" s="2"/>
    </row>
    <row r="961" spans="1:1" x14ac:dyDescent="0.35">
      <c r="A961" s="2"/>
    </row>
    <row r="962" spans="1:1" x14ac:dyDescent="0.35">
      <c r="A962" s="2"/>
    </row>
    <row r="963" spans="1:1" x14ac:dyDescent="0.35">
      <c r="A963" s="2"/>
    </row>
    <row r="964" spans="1:1" x14ac:dyDescent="0.35">
      <c r="A964" s="2"/>
    </row>
    <row r="965" spans="1:1" x14ac:dyDescent="0.35">
      <c r="A965" s="2"/>
    </row>
    <row r="966" spans="1:1" x14ac:dyDescent="0.35">
      <c r="A966" s="2"/>
    </row>
    <row r="967" spans="1:1" x14ac:dyDescent="0.35">
      <c r="A967" s="2"/>
    </row>
    <row r="968" spans="1:1" x14ac:dyDescent="0.35">
      <c r="A968" s="2"/>
    </row>
    <row r="969" spans="1:1" x14ac:dyDescent="0.35">
      <c r="A969" s="2"/>
    </row>
    <row r="970" spans="1:1" x14ac:dyDescent="0.35">
      <c r="A970" s="2"/>
    </row>
    <row r="971" spans="1:1" x14ac:dyDescent="0.35">
      <c r="A971" s="2"/>
    </row>
    <row r="972" spans="1:1" x14ac:dyDescent="0.35">
      <c r="A972" s="2"/>
    </row>
    <row r="973" spans="1:1" x14ac:dyDescent="0.35">
      <c r="A973" s="2"/>
    </row>
    <row r="974" spans="1:1" x14ac:dyDescent="0.35">
      <c r="A974" s="2"/>
    </row>
    <row r="975" spans="1:1" x14ac:dyDescent="0.35">
      <c r="A975" s="2"/>
    </row>
    <row r="976" spans="1:1" x14ac:dyDescent="0.35">
      <c r="A976" s="2"/>
    </row>
    <row r="977" spans="1:1" x14ac:dyDescent="0.35">
      <c r="A977" s="2"/>
    </row>
    <row r="978" spans="1:1" x14ac:dyDescent="0.35">
      <c r="A978" s="2"/>
    </row>
    <row r="979" spans="1:1" x14ac:dyDescent="0.35">
      <c r="A979" s="2"/>
    </row>
    <row r="980" spans="1:1" x14ac:dyDescent="0.35">
      <c r="A980" s="2"/>
    </row>
    <row r="981" spans="1:1" x14ac:dyDescent="0.35">
      <c r="A981" s="2"/>
    </row>
    <row r="982" spans="1:1" x14ac:dyDescent="0.35">
      <c r="A982" s="2"/>
    </row>
    <row r="983" spans="1:1" x14ac:dyDescent="0.35">
      <c r="A983" s="2"/>
    </row>
    <row r="984" spans="1:1" x14ac:dyDescent="0.35">
      <c r="A984" s="2"/>
    </row>
    <row r="985" spans="1:1" x14ac:dyDescent="0.35">
      <c r="A985" s="2"/>
    </row>
    <row r="986" spans="1:1" x14ac:dyDescent="0.35">
      <c r="A986" s="2"/>
    </row>
    <row r="987" spans="1:1" x14ac:dyDescent="0.35">
      <c r="A987" s="2"/>
    </row>
    <row r="988" spans="1:1" x14ac:dyDescent="0.35">
      <c r="A988" s="2"/>
    </row>
    <row r="989" spans="1:1" x14ac:dyDescent="0.35">
      <c r="A989" s="2"/>
    </row>
    <row r="990" spans="1:1" x14ac:dyDescent="0.35">
      <c r="A990" s="2"/>
    </row>
    <row r="991" spans="1:1" x14ac:dyDescent="0.35">
      <c r="A991" s="2"/>
    </row>
    <row r="992" spans="1:1" x14ac:dyDescent="0.35">
      <c r="A992" s="2"/>
    </row>
    <row r="993" spans="1:1" x14ac:dyDescent="0.35">
      <c r="A993" s="2"/>
    </row>
    <row r="994" spans="1:1" x14ac:dyDescent="0.35">
      <c r="A994" s="2"/>
    </row>
    <row r="995" spans="1:1" x14ac:dyDescent="0.35">
      <c r="A995" s="2"/>
    </row>
    <row r="996" spans="1:1" x14ac:dyDescent="0.35">
      <c r="A996" s="2"/>
    </row>
    <row r="997" spans="1:1" x14ac:dyDescent="0.35">
      <c r="A997" s="2"/>
    </row>
    <row r="998" spans="1:1" x14ac:dyDescent="0.35">
      <c r="A998" s="2"/>
    </row>
    <row r="999" spans="1:1" x14ac:dyDescent="0.35">
      <c r="A999" s="2"/>
    </row>
    <row r="1000" spans="1:1" x14ac:dyDescent="0.35">
      <c r="A1000" s="2"/>
    </row>
    <row r="1001" spans="1:1" x14ac:dyDescent="0.35">
      <c r="A1001" s="2"/>
    </row>
    <row r="1002" spans="1:1" x14ac:dyDescent="0.35">
      <c r="A1002" s="2"/>
    </row>
    <row r="1003" spans="1:1" x14ac:dyDescent="0.35">
      <c r="A1003" s="2"/>
    </row>
    <row r="1004" spans="1:1" x14ac:dyDescent="0.35">
      <c r="A1004" s="2"/>
    </row>
    <row r="1005" spans="1:1" x14ac:dyDescent="0.35">
      <c r="A1005" s="2"/>
    </row>
    <row r="1006" spans="1:1" x14ac:dyDescent="0.35">
      <c r="A1006" s="2"/>
    </row>
    <row r="1007" spans="1:1" x14ac:dyDescent="0.35">
      <c r="A1007" s="2"/>
    </row>
    <row r="1008" spans="1:1" x14ac:dyDescent="0.35">
      <c r="A1008" s="2"/>
    </row>
    <row r="1009" spans="1:1" x14ac:dyDescent="0.35">
      <c r="A1009" s="2"/>
    </row>
    <row r="1010" spans="1:1" x14ac:dyDescent="0.35">
      <c r="A1010" s="2"/>
    </row>
    <row r="1011" spans="1:1" x14ac:dyDescent="0.35">
      <c r="A1011" s="2"/>
    </row>
    <row r="1012" spans="1:1" x14ac:dyDescent="0.35">
      <c r="A1012" s="2"/>
    </row>
    <row r="1013" spans="1:1" x14ac:dyDescent="0.35">
      <c r="A1013" s="2"/>
    </row>
    <row r="1014" spans="1:1" x14ac:dyDescent="0.35">
      <c r="A1014" s="2"/>
    </row>
    <row r="1015" spans="1:1" x14ac:dyDescent="0.35">
      <c r="A1015" s="2"/>
    </row>
    <row r="1016" spans="1:1" x14ac:dyDescent="0.35">
      <c r="A1016" s="2"/>
    </row>
    <row r="1017" spans="1:1" x14ac:dyDescent="0.35">
      <c r="A1017" s="2"/>
    </row>
    <row r="1018" spans="1:1" x14ac:dyDescent="0.35">
      <c r="A1018" s="2"/>
    </row>
    <row r="1019" spans="1:1" x14ac:dyDescent="0.35">
      <c r="A1019" s="2"/>
    </row>
    <row r="1020" spans="1:1" x14ac:dyDescent="0.35">
      <c r="A1020" s="2"/>
    </row>
    <row r="1021" spans="1:1" x14ac:dyDescent="0.35">
      <c r="A1021" s="2"/>
    </row>
    <row r="1022" spans="1:1" x14ac:dyDescent="0.35">
      <c r="A1022" s="2"/>
    </row>
    <row r="1023" spans="1:1" x14ac:dyDescent="0.35">
      <c r="A1023" s="2"/>
    </row>
    <row r="1024" spans="1:1" x14ac:dyDescent="0.35">
      <c r="A1024" s="2"/>
    </row>
    <row r="1025" spans="1:1" x14ac:dyDescent="0.35">
      <c r="A1025" s="2"/>
    </row>
    <row r="1026" spans="1:1" x14ac:dyDescent="0.35">
      <c r="A1026" s="2"/>
    </row>
    <row r="1027" spans="1:1" x14ac:dyDescent="0.35">
      <c r="A1027" s="2"/>
    </row>
    <row r="1028" spans="1:1" x14ac:dyDescent="0.35">
      <c r="A1028" s="2"/>
    </row>
    <row r="1029" spans="1:1" x14ac:dyDescent="0.35">
      <c r="A1029" s="2"/>
    </row>
    <row r="1030" spans="1:1" x14ac:dyDescent="0.35">
      <c r="A1030" s="2"/>
    </row>
    <row r="1031" spans="1:1" x14ac:dyDescent="0.35">
      <c r="A1031" s="2"/>
    </row>
    <row r="1032" spans="1:1" x14ac:dyDescent="0.35">
      <c r="A1032" s="2"/>
    </row>
    <row r="1033" spans="1:1" x14ac:dyDescent="0.35">
      <c r="A1033" s="2"/>
    </row>
    <row r="1034" spans="1:1" x14ac:dyDescent="0.35">
      <c r="A1034" s="2"/>
    </row>
    <row r="1035" spans="1:1" x14ac:dyDescent="0.35">
      <c r="A1035" s="2"/>
    </row>
    <row r="1036" spans="1:1" x14ac:dyDescent="0.35">
      <c r="A1036" s="2"/>
    </row>
    <row r="1037" spans="1:1" x14ac:dyDescent="0.35">
      <c r="A1037" s="2"/>
    </row>
    <row r="1038" spans="1:1" x14ac:dyDescent="0.35">
      <c r="A1038" s="2"/>
    </row>
    <row r="1039" spans="1:1" x14ac:dyDescent="0.35">
      <c r="A1039" s="2"/>
    </row>
    <row r="1040" spans="1:1" x14ac:dyDescent="0.35">
      <c r="A1040" s="2"/>
    </row>
    <row r="1041" spans="1:1" x14ac:dyDescent="0.35">
      <c r="A1041" s="2"/>
    </row>
    <row r="1042" spans="1:1" x14ac:dyDescent="0.35">
      <c r="A1042" s="2"/>
    </row>
    <row r="1043" spans="1:1" x14ac:dyDescent="0.35">
      <c r="A1043" s="2"/>
    </row>
    <row r="1044" spans="1:1" x14ac:dyDescent="0.35">
      <c r="A1044" s="2"/>
    </row>
    <row r="1045" spans="1:1" x14ac:dyDescent="0.35">
      <c r="A1045" s="2"/>
    </row>
    <row r="1046" spans="1:1" x14ac:dyDescent="0.35">
      <c r="A1046" s="2"/>
    </row>
    <row r="1047" spans="1:1" x14ac:dyDescent="0.35">
      <c r="A1047" s="2"/>
    </row>
    <row r="1048" spans="1:1" x14ac:dyDescent="0.35">
      <c r="A1048" s="2"/>
    </row>
    <row r="1049" spans="1:1" x14ac:dyDescent="0.35">
      <c r="A1049" s="2"/>
    </row>
    <row r="1050" spans="1:1" x14ac:dyDescent="0.35">
      <c r="A1050" s="2"/>
    </row>
    <row r="1051" spans="1:1" x14ac:dyDescent="0.35">
      <c r="A1051" s="2"/>
    </row>
    <row r="1052" spans="1:1" x14ac:dyDescent="0.35">
      <c r="A1052" s="2"/>
    </row>
    <row r="1053" spans="1:1" x14ac:dyDescent="0.35">
      <c r="A1053" s="2"/>
    </row>
    <row r="1054" spans="1:1" x14ac:dyDescent="0.35">
      <c r="A1054" s="2"/>
    </row>
    <row r="1055" spans="1:1" x14ac:dyDescent="0.35">
      <c r="A1055" s="2"/>
    </row>
    <row r="1056" spans="1:1" x14ac:dyDescent="0.35">
      <c r="A1056" s="2"/>
    </row>
    <row r="1057" spans="1:1" x14ac:dyDescent="0.35">
      <c r="A1057" s="2"/>
    </row>
    <row r="1058" spans="1:1" x14ac:dyDescent="0.35">
      <c r="A1058" s="2"/>
    </row>
    <row r="1059" spans="1:1" x14ac:dyDescent="0.35">
      <c r="A1059" s="2"/>
    </row>
    <row r="1060" spans="1:1" x14ac:dyDescent="0.35">
      <c r="A1060" s="2"/>
    </row>
    <row r="1061" spans="1:1" x14ac:dyDescent="0.35">
      <c r="A1061" s="2"/>
    </row>
    <row r="1062" spans="1:1" x14ac:dyDescent="0.35">
      <c r="A1062" s="2"/>
    </row>
    <row r="1063" spans="1:1" x14ac:dyDescent="0.35">
      <c r="A1063" s="2"/>
    </row>
    <row r="1064" spans="1:1" x14ac:dyDescent="0.35">
      <c r="A1064" s="2"/>
    </row>
    <row r="1065" spans="1:1" x14ac:dyDescent="0.35">
      <c r="A1065" s="2"/>
    </row>
    <row r="1066" spans="1:1" x14ac:dyDescent="0.35">
      <c r="A1066" s="2"/>
    </row>
    <row r="1067" spans="1:1" x14ac:dyDescent="0.35">
      <c r="A1067" s="2"/>
    </row>
    <row r="1068" spans="1:1" x14ac:dyDescent="0.35">
      <c r="A1068" s="2"/>
    </row>
    <row r="1069" spans="1:1" x14ac:dyDescent="0.35">
      <c r="A1069" s="2"/>
    </row>
    <row r="1070" spans="1:1" x14ac:dyDescent="0.35">
      <c r="A1070" s="2"/>
    </row>
    <row r="1071" spans="1:1" x14ac:dyDescent="0.35">
      <c r="A1071" s="2"/>
    </row>
    <row r="1072" spans="1:1" x14ac:dyDescent="0.35">
      <c r="A1072" s="2"/>
    </row>
    <row r="1073" spans="1:59" x14ac:dyDescent="0.35">
      <c r="A1073" s="2"/>
    </row>
    <row r="1074" spans="1:59" x14ac:dyDescent="0.35">
      <c r="A1074" s="2"/>
    </row>
    <row r="1075" spans="1:59" x14ac:dyDescent="0.35">
      <c r="A1075" s="2"/>
    </row>
    <row r="1076" spans="1:59" x14ac:dyDescent="0.35">
      <c r="A1076" s="2"/>
    </row>
    <row r="1077" spans="1:59" x14ac:dyDescent="0.35">
      <c r="A1077" s="2"/>
    </row>
    <row r="1078" spans="1:59" x14ac:dyDescent="0.35">
      <c r="A1078" s="2"/>
    </row>
    <row r="1079" spans="1:59" x14ac:dyDescent="0.35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5"/>
      <c r="AP1079" s="15"/>
      <c r="AQ1079" s="15"/>
      <c r="AR1079" s="15"/>
      <c r="AS1079" s="15"/>
      <c r="AT1079" s="15"/>
      <c r="AU1079" s="15"/>
      <c r="AV1079" s="15"/>
      <c r="AW1079" s="15"/>
      <c r="AX1079" s="15"/>
      <c r="AY1079" s="15"/>
      <c r="AZ1079" s="15"/>
      <c r="BA1079" s="15"/>
      <c r="BB1079" s="15"/>
      <c r="BC1079" s="15"/>
      <c r="BD1079" s="15"/>
      <c r="BE1079" s="15"/>
      <c r="BF1079" s="15"/>
      <c r="BG1079" s="15"/>
    </row>
    <row r="1080" spans="1:59" x14ac:dyDescent="0.35">
      <c r="A1080" s="15"/>
      <c r="B1080" s="15"/>
      <c r="C1080" s="15"/>
      <c r="D1080" s="15"/>
      <c r="E1080" s="15"/>
      <c r="F1080" s="15"/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5"/>
      <c r="AP1080" s="15"/>
      <c r="AQ1080" s="15"/>
      <c r="AR1080" s="15"/>
      <c r="AS1080" s="15"/>
      <c r="AT1080" s="15"/>
      <c r="AU1080" s="15"/>
      <c r="AV1080" s="15"/>
      <c r="AW1080" s="15"/>
      <c r="AX1080" s="15"/>
      <c r="AY1080" s="15"/>
      <c r="AZ1080" s="15"/>
      <c r="BA1080" s="15"/>
      <c r="BB1080" s="15"/>
      <c r="BC1080" s="15"/>
      <c r="BD1080" s="15"/>
      <c r="BE1080" s="15"/>
      <c r="BF1080" s="15"/>
      <c r="BG1080" s="15"/>
    </row>
    <row r="1081" spans="1:59" x14ac:dyDescent="0.35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5"/>
      <c r="AP1081" s="15"/>
      <c r="AQ1081" s="15"/>
      <c r="AR1081" s="15"/>
      <c r="AS1081" s="15"/>
      <c r="AT1081" s="15"/>
      <c r="AU1081" s="15"/>
      <c r="AV1081" s="15"/>
      <c r="AW1081" s="15"/>
      <c r="AX1081" s="15"/>
      <c r="AY1081" s="15"/>
      <c r="AZ1081" s="15"/>
      <c r="BA1081" s="15"/>
      <c r="BB1081" s="15"/>
      <c r="BC1081" s="15"/>
      <c r="BD1081" s="15"/>
      <c r="BE1081" s="15"/>
      <c r="BF1081" s="15"/>
      <c r="BG1081" s="15"/>
    </row>
    <row r="1082" spans="1:59" x14ac:dyDescent="0.35">
      <c r="A1082" s="15"/>
      <c r="B1082" s="15"/>
      <c r="C1082" s="15"/>
      <c r="D1082" s="15"/>
      <c r="E1082" s="15"/>
      <c r="F1082" s="15"/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5"/>
      <c r="AP1082" s="15"/>
      <c r="AQ1082" s="15"/>
      <c r="AR1082" s="15"/>
      <c r="AS1082" s="15"/>
      <c r="AT1082" s="15"/>
      <c r="AU1082" s="15"/>
      <c r="AV1082" s="15"/>
      <c r="AW1082" s="15"/>
      <c r="AX1082" s="15"/>
      <c r="AY1082" s="15"/>
      <c r="AZ1082" s="15"/>
      <c r="BA1082" s="15"/>
      <c r="BB1082" s="15"/>
      <c r="BC1082" s="15"/>
      <c r="BD1082" s="15"/>
      <c r="BE1082" s="15"/>
      <c r="BF1082" s="15"/>
      <c r="BG1082" s="15"/>
    </row>
    <row r="1083" spans="1:59" x14ac:dyDescent="0.35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  <c r="BC1083" s="15"/>
      <c r="BD1083" s="15"/>
      <c r="BE1083" s="15"/>
      <c r="BF1083" s="15"/>
      <c r="BG1083" s="15"/>
    </row>
    <row r="1084" spans="1:59" x14ac:dyDescent="0.35">
      <c r="A1084" s="15"/>
      <c r="B1084" s="15"/>
      <c r="C1084" s="15"/>
      <c r="D1084" s="15"/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5"/>
      <c r="AP1084" s="15"/>
      <c r="AQ1084" s="15"/>
      <c r="AR1084" s="15"/>
      <c r="AS1084" s="15"/>
      <c r="AT1084" s="15"/>
      <c r="AU1084" s="15"/>
      <c r="AV1084" s="15"/>
      <c r="AW1084" s="15"/>
      <c r="AX1084" s="15"/>
      <c r="AY1084" s="15"/>
      <c r="AZ1084" s="15"/>
      <c r="BA1084" s="15"/>
      <c r="BB1084" s="15"/>
      <c r="BC1084" s="15"/>
      <c r="BD1084" s="15"/>
      <c r="BE1084" s="15"/>
      <c r="BF1084" s="15"/>
      <c r="BG1084" s="15"/>
    </row>
    <row r="1085" spans="1:59" x14ac:dyDescent="0.35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  <c r="BC1085" s="15"/>
      <c r="BD1085" s="15"/>
      <c r="BE1085" s="15"/>
      <c r="BF1085" s="15"/>
      <c r="BG1085" s="15"/>
    </row>
    <row r="1086" spans="1:59" x14ac:dyDescent="0.35">
      <c r="A1086" s="15"/>
      <c r="B1086" s="15"/>
      <c r="C1086" s="15"/>
      <c r="D1086" s="15"/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5"/>
      <c r="AP1086" s="15"/>
      <c r="AQ1086" s="15"/>
      <c r="AR1086" s="15"/>
      <c r="AS1086" s="15"/>
      <c r="AT1086" s="15"/>
      <c r="AU1086" s="15"/>
      <c r="AV1086" s="15"/>
      <c r="AW1086" s="15"/>
      <c r="AX1086" s="15"/>
      <c r="AY1086" s="15"/>
      <c r="AZ1086" s="15"/>
      <c r="BA1086" s="15"/>
      <c r="BB1086" s="15"/>
      <c r="BC1086" s="15"/>
      <c r="BD1086" s="15"/>
      <c r="BE1086" s="15"/>
      <c r="BF1086" s="15"/>
      <c r="BG1086" s="15"/>
    </row>
    <row r="1087" spans="1:59" x14ac:dyDescent="0.35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5"/>
      <c r="AP1087" s="15"/>
      <c r="AQ1087" s="15"/>
      <c r="AR1087" s="15"/>
      <c r="AS1087" s="15"/>
      <c r="AT1087" s="15"/>
      <c r="AU1087" s="15"/>
      <c r="AV1087" s="15"/>
      <c r="AW1087" s="15"/>
      <c r="AX1087" s="15"/>
      <c r="AY1087" s="15"/>
      <c r="AZ1087" s="15"/>
      <c r="BA1087" s="15"/>
      <c r="BB1087" s="15"/>
      <c r="BC1087" s="15"/>
      <c r="BD1087" s="15"/>
      <c r="BE1087" s="15"/>
      <c r="BF1087" s="15"/>
      <c r="BG1087" s="15"/>
    </row>
    <row r="1088" spans="1:59" x14ac:dyDescent="0.35">
      <c r="A1088" s="15"/>
      <c r="B1088" s="15"/>
      <c r="C1088" s="15"/>
      <c r="D1088" s="15"/>
      <c r="E1088" s="15"/>
      <c r="F1088" s="15"/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5"/>
      <c r="AP1088" s="15"/>
      <c r="AQ1088" s="15"/>
      <c r="AR1088" s="15"/>
      <c r="AS1088" s="15"/>
      <c r="AT1088" s="15"/>
      <c r="AU1088" s="15"/>
      <c r="AV1088" s="15"/>
      <c r="AW1088" s="15"/>
      <c r="AX1088" s="15"/>
      <c r="AY1088" s="15"/>
      <c r="AZ1088" s="15"/>
      <c r="BA1088" s="15"/>
      <c r="BB1088" s="15"/>
      <c r="BC1088" s="15"/>
      <c r="BD1088" s="15"/>
      <c r="BE1088" s="15"/>
      <c r="BF1088" s="15"/>
      <c r="BG1088" s="15"/>
    </row>
    <row r="1089" spans="1:59" x14ac:dyDescent="0.35">
      <c r="A1089" s="15"/>
      <c r="B1089" s="15"/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5"/>
      <c r="AP1089" s="15"/>
      <c r="AQ1089" s="15"/>
      <c r="AR1089" s="15"/>
      <c r="AS1089" s="15"/>
      <c r="AT1089" s="15"/>
      <c r="AU1089" s="15"/>
      <c r="AV1089" s="15"/>
      <c r="AW1089" s="15"/>
      <c r="AX1089" s="15"/>
      <c r="AY1089" s="15"/>
      <c r="AZ1089" s="15"/>
      <c r="BA1089" s="15"/>
      <c r="BB1089" s="15"/>
      <c r="BC1089" s="15"/>
      <c r="BD1089" s="15"/>
      <c r="BE1089" s="15"/>
      <c r="BF1089" s="15"/>
      <c r="BG1089" s="15"/>
    </row>
    <row r="1090" spans="1:59" x14ac:dyDescent="0.35">
      <c r="A1090" s="15"/>
      <c r="B1090" s="15"/>
      <c r="C1090" s="15"/>
      <c r="D1090" s="15"/>
      <c r="E1090" s="15"/>
      <c r="F1090" s="15"/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5"/>
      <c r="AP1090" s="15"/>
      <c r="AQ1090" s="15"/>
      <c r="AR1090" s="15"/>
      <c r="AS1090" s="15"/>
      <c r="AT1090" s="15"/>
      <c r="AU1090" s="15"/>
      <c r="AV1090" s="15"/>
      <c r="AW1090" s="15"/>
      <c r="AX1090" s="15"/>
      <c r="AY1090" s="15"/>
      <c r="AZ1090" s="15"/>
      <c r="BA1090" s="15"/>
      <c r="BB1090" s="15"/>
      <c r="BC1090" s="15"/>
      <c r="BD1090" s="15"/>
      <c r="BE1090" s="15"/>
      <c r="BF1090" s="15"/>
      <c r="BG1090" s="15"/>
    </row>
    <row r="1091" spans="1:59" x14ac:dyDescent="0.35">
      <c r="A1091" s="15"/>
      <c r="B1091" s="15"/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5"/>
      <c r="AP1091" s="15"/>
      <c r="AQ1091" s="15"/>
      <c r="AR1091" s="15"/>
      <c r="AS1091" s="15"/>
      <c r="AT1091" s="15"/>
      <c r="AU1091" s="15"/>
      <c r="AV1091" s="15"/>
      <c r="AW1091" s="15"/>
      <c r="AX1091" s="15"/>
      <c r="AY1091" s="15"/>
      <c r="AZ1091" s="15"/>
      <c r="BA1091" s="15"/>
      <c r="BB1091" s="15"/>
      <c r="BC1091" s="15"/>
      <c r="BD1091" s="15"/>
      <c r="BE1091" s="15"/>
      <c r="BF1091" s="15"/>
      <c r="BG1091" s="15"/>
    </row>
    <row r="1092" spans="1:59" x14ac:dyDescent="0.35">
      <c r="A1092" s="15"/>
      <c r="B1092" s="15"/>
      <c r="C1092" s="15"/>
      <c r="D1092" s="15"/>
      <c r="E1092" s="15"/>
      <c r="F1092" s="15"/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5"/>
      <c r="AP1092" s="15"/>
      <c r="AQ1092" s="15"/>
      <c r="AR1092" s="15"/>
      <c r="AS1092" s="15"/>
      <c r="AT1092" s="15"/>
      <c r="AU1092" s="15"/>
      <c r="AV1092" s="15"/>
      <c r="AW1092" s="15"/>
      <c r="AX1092" s="15"/>
      <c r="AY1092" s="15"/>
      <c r="AZ1092" s="15"/>
      <c r="BA1092" s="15"/>
      <c r="BB1092" s="15"/>
      <c r="BC1092" s="15"/>
      <c r="BD1092" s="15"/>
      <c r="BE1092" s="15"/>
      <c r="BF1092" s="15"/>
      <c r="BG1092" s="15"/>
    </row>
    <row r="1093" spans="1:59" x14ac:dyDescent="0.35">
      <c r="A1093" s="15"/>
      <c r="B1093" s="15"/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5"/>
      <c r="AP1093" s="15"/>
      <c r="AQ1093" s="15"/>
      <c r="AR1093" s="15"/>
      <c r="AS1093" s="15"/>
      <c r="AT1093" s="15"/>
      <c r="AU1093" s="15"/>
      <c r="AV1093" s="15"/>
      <c r="AW1093" s="15"/>
      <c r="AX1093" s="15"/>
      <c r="AY1093" s="15"/>
      <c r="AZ1093" s="15"/>
      <c r="BA1093" s="15"/>
      <c r="BB1093" s="15"/>
      <c r="BC1093" s="15"/>
      <c r="BD1093" s="15"/>
      <c r="BE1093" s="15"/>
      <c r="BF1093" s="15"/>
      <c r="BG1093" s="15"/>
    </row>
  </sheetData>
  <phoneticPr fontId="6" type="noConversion"/>
  <conditionalFormatting sqref="B2:BG1078">
    <cfRule type="expression" dxfId="2" priority="10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BA00-242B-4884-A758-BF9BBFFED023}">
  <dimension ref="A1:BB1093"/>
  <sheetViews>
    <sheetView topLeftCell="AD712" zoomScale="55" zoomScaleNormal="55" workbookViewId="0">
      <selection activeCell="A2" sqref="A2:BB771"/>
    </sheetView>
  </sheetViews>
  <sheetFormatPr defaultRowHeight="14.5" x14ac:dyDescent="0.35"/>
  <cols>
    <col min="2" max="54" width="8.6328125" customWidth="1"/>
  </cols>
  <sheetData>
    <row r="1" spans="1:54" x14ac:dyDescent="0.35">
      <c r="A1" t="s">
        <v>0</v>
      </c>
      <c r="B1" t="s">
        <v>345</v>
      </c>
      <c r="C1" t="s">
        <v>347</v>
      </c>
      <c r="D1" t="s">
        <v>346</v>
      </c>
      <c r="E1" t="s">
        <v>348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337</v>
      </c>
      <c r="AB1" t="s">
        <v>338</v>
      </c>
      <c r="AC1" t="s">
        <v>339</v>
      </c>
      <c r="AD1" t="s">
        <v>162</v>
      </c>
      <c r="AE1" t="s">
        <v>163</v>
      </c>
      <c r="AF1" t="s">
        <v>164</v>
      </c>
      <c r="AG1" t="s">
        <v>165</v>
      </c>
      <c r="AH1" t="s">
        <v>166</v>
      </c>
      <c r="AI1" t="s">
        <v>167</v>
      </c>
      <c r="AJ1" t="s">
        <v>168</v>
      </c>
      <c r="AK1" t="s">
        <v>169</v>
      </c>
      <c r="AL1" t="s">
        <v>170</v>
      </c>
      <c r="AM1" t="s">
        <v>171</v>
      </c>
      <c r="AN1" t="s">
        <v>172</v>
      </c>
      <c r="AO1" t="s">
        <v>173</v>
      </c>
      <c r="AP1" t="s">
        <v>174</v>
      </c>
      <c r="AQ1" t="s">
        <v>175</v>
      </c>
      <c r="AR1" t="s">
        <v>176</v>
      </c>
      <c r="AS1" t="s">
        <v>177</v>
      </c>
      <c r="AT1" t="s">
        <v>178</v>
      </c>
      <c r="AU1" t="s">
        <v>179</v>
      </c>
      <c r="AV1" t="s">
        <v>180</v>
      </c>
      <c r="AW1" t="s">
        <v>181</v>
      </c>
      <c r="AX1" t="s">
        <v>182</v>
      </c>
      <c r="AY1" t="s">
        <v>183</v>
      </c>
      <c r="AZ1" t="s">
        <v>184</v>
      </c>
      <c r="BA1" t="s">
        <v>185</v>
      </c>
      <c r="BB1" t="s">
        <v>186</v>
      </c>
    </row>
    <row r="2" spans="1:54" x14ac:dyDescent="0.35">
      <c r="A2" s="1">
        <v>46059.011111111111</v>
      </c>
      <c r="B2">
        <v>17.5</v>
      </c>
      <c r="C2">
        <v>3</v>
      </c>
      <c r="D2">
        <v>15.7</v>
      </c>
      <c r="E2">
        <v>2</v>
      </c>
      <c r="F2">
        <v>4.3</v>
      </c>
      <c r="G2">
        <v>9.1999999999999993</v>
      </c>
      <c r="H2">
        <v>0</v>
      </c>
      <c r="I2">
        <v>11.8</v>
      </c>
      <c r="J2">
        <v>7.9</v>
      </c>
      <c r="K2">
        <v>0</v>
      </c>
      <c r="L2">
        <v>10.1</v>
      </c>
      <c r="M2">
        <v>15.2</v>
      </c>
      <c r="N2">
        <v>0</v>
      </c>
      <c r="O2">
        <v>8.4</v>
      </c>
      <c r="P2">
        <v>2.2999999999999998</v>
      </c>
      <c r="Q2">
        <v>0</v>
      </c>
      <c r="R2">
        <v>2.8</v>
      </c>
      <c r="S2">
        <v>9.4</v>
      </c>
      <c r="T2">
        <v>0</v>
      </c>
      <c r="U2">
        <v>-17.2</v>
      </c>
      <c r="V2">
        <v>6.9</v>
      </c>
      <c r="W2">
        <v>-22</v>
      </c>
      <c r="X2">
        <v>-13.1</v>
      </c>
      <c r="Y2">
        <v>-17.2</v>
      </c>
      <c r="Z2">
        <v>-22</v>
      </c>
      <c r="AA2">
        <v>-4.9000000000000004</v>
      </c>
      <c r="AB2">
        <v>-6.9</v>
      </c>
      <c r="AC2">
        <v>-5</v>
      </c>
      <c r="AD2">
        <v>2.9</v>
      </c>
      <c r="AE2">
        <v>0.1</v>
      </c>
      <c r="AF2">
        <v>0</v>
      </c>
      <c r="AG2">
        <v>11.9</v>
      </c>
      <c r="AH2">
        <v>10</v>
      </c>
      <c r="AI2">
        <v>9.6</v>
      </c>
      <c r="AJ2">
        <v>10</v>
      </c>
      <c r="AK2">
        <v>11.9</v>
      </c>
      <c r="AL2">
        <v>10</v>
      </c>
      <c r="AM2">
        <v>12.2</v>
      </c>
      <c r="AN2">
        <v>9</v>
      </c>
      <c r="AO2">
        <v>10.6</v>
      </c>
      <c r="AP2">
        <v>10</v>
      </c>
      <c r="AQ2">
        <v>10.5</v>
      </c>
      <c r="AR2">
        <v>10</v>
      </c>
      <c r="AS2">
        <v>10.1</v>
      </c>
      <c r="AT2">
        <v>10</v>
      </c>
      <c r="AU2">
        <v>19.3</v>
      </c>
      <c r="AV2">
        <v>19</v>
      </c>
      <c r="AW2">
        <v>19.2</v>
      </c>
      <c r="AX2">
        <v>19</v>
      </c>
      <c r="AY2">
        <v>10.4</v>
      </c>
      <c r="AZ2">
        <v>10</v>
      </c>
      <c r="BA2">
        <v>11.9</v>
      </c>
      <c r="BB2">
        <v>10</v>
      </c>
    </row>
    <row r="3" spans="1:54" x14ac:dyDescent="0.35">
      <c r="A3" s="1">
        <v>46059.011805555558</v>
      </c>
      <c r="B3">
        <v>17.5</v>
      </c>
      <c r="C3">
        <v>3</v>
      </c>
      <c r="D3">
        <v>15.7</v>
      </c>
      <c r="E3">
        <v>2</v>
      </c>
      <c r="F3">
        <v>4.3</v>
      </c>
      <c r="G3">
        <v>9.1999999999999993</v>
      </c>
      <c r="H3">
        <v>0</v>
      </c>
      <c r="I3">
        <v>11.8</v>
      </c>
      <c r="J3">
        <v>7.9</v>
      </c>
      <c r="K3">
        <v>0</v>
      </c>
      <c r="L3">
        <v>10.1</v>
      </c>
      <c r="M3">
        <v>15.2</v>
      </c>
      <c r="N3">
        <v>0</v>
      </c>
      <c r="O3">
        <v>8.4</v>
      </c>
      <c r="P3">
        <v>2.2999999999999998</v>
      </c>
      <c r="Q3">
        <v>0</v>
      </c>
      <c r="R3">
        <v>2.8</v>
      </c>
      <c r="S3">
        <v>9.4</v>
      </c>
      <c r="T3">
        <v>0</v>
      </c>
      <c r="U3">
        <v>-17.2</v>
      </c>
      <c r="V3">
        <v>7.8</v>
      </c>
      <c r="W3">
        <v>-22</v>
      </c>
      <c r="X3">
        <v>-13</v>
      </c>
      <c r="Y3">
        <v>-17.5</v>
      </c>
      <c r="Z3">
        <v>-22</v>
      </c>
      <c r="AA3">
        <v>-5.2</v>
      </c>
      <c r="AB3">
        <v>-6.2</v>
      </c>
      <c r="AC3">
        <v>-5</v>
      </c>
      <c r="AD3">
        <v>2.9</v>
      </c>
      <c r="AE3">
        <v>0.1</v>
      </c>
      <c r="AF3">
        <v>0</v>
      </c>
      <c r="AG3">
        <v>12</v>
      </c>
      <c r="AH3">
        <v>10</v>
      </c>
      <c r="AI3">
        <v>9.9</v>
      </c>
      <c r="AJ3">
        <v>10</v>
      </c>
      <c r="AK3">
        <v>12</v>
      </c>
      <c r="AL3">
        <v>10</v>
      </c>
      <c r="AM3">
        <v>12.2</v>
      </c>
      <c r="AN3">
        <v>9</v>
      </c>
      <c r="AO3">
        <v>9.8000000000000007</v>
      </c>
      <c r="AP3">
        <v>10</v>
      </c>
      <c r="AQ3">
        <v>10.8</v>
      </c>
      <c r="AR3">
        <v>10</v>
      </c>
      <c r="AS3">
        <v>10.4</v>
      </c>
      <c r="AT3">
        <v>10</v>
      </c>
      <c r="AU3">
        <v>19.2</v>
      </c>
      <c r="AV3">
        <v>19</v>
      </c>
      <c r="AW3">
        <v>19</v>
      </c>
      <c r="AX3">
        <v>19</v>
      </c>
      <c r="AY3">
        <v>10.7</v>
      </c>
      <c r="AZ3">
        <v>10</v>
      </c>
      <c r="BA3">
        <v>12</v>
      </c>
      <c r="BB3">
        <v>10</v>
      </c>
    </row>
    <row r="4" spans="1:54" x14ac:dyDescent="0.35">
      <c r="A4" s="1">
        <v>46059.438888888886</v>
      </c>
      <c r="B4">
        <v>19.899999999999999</v>
      </c>
      <c r="C4">
        <v>3</v>
      </c>
      <c r="D4">
        <v>18.399999999999999</v>
      </c>
      <c r="E4">
        <v>2</v>
      </c>
      <c r="F4">
        <v>6.5</v>
      </c>
      <c r="G4">
        <v>9.6999999999999993</v>
      </c>
      <c r="H4">
        <v>0</v>
      </c>
      <c r="I4">
        <v>13.5</v>
      </c>
      <c r="J4">
        <v>9.9</v>
      </c>
      <c r="K4">
        <v>0</v>
      </c>
      <c r="L4">
        <v>11.6</v>
      </c>
      <c r="M4">
        <v>14.9</v>
      </c>
      <c r="N4">
        <v>0</v>
      </c>
      <c r="O4">
        <v>11.4</v>
      </c>
      <c r="P4">
        <v>7.1</v>
      </c>
      <c r="Q4">
        <v>0</v>
      </c>
      <c r="R4">
        <v>8</v>
      </c>
      <c r="S4">
        <v>11</v>
      </c>
      <c r="T4">
        <v>0</v>
      </c>
      <c r="U4">
        <v>-17.2</v>
      </c>
      <c r="V4">
        <v>-19.5</v>
      </c>
      <c r="W4">
        <v>-22</v>
      </c>
      <c r="X4">
        <v>-17.5</v>
      </c>
      <c r="Y4">
        <v>-15.1</v>
      </c>
      <c r="Z4">
        <v>-22</v>
      </c>
      <c r="AA4">
        <v>-2.4</v>
      </c>
      <c r="AB4">
        <v>-2.5</v>
      </c>
      <c r="AC4">
        <v>-5</v>
      </c>
      <c r="AD4">
        <v>7.3</v>
      </c>
      <c r="AE4">
        <v>5.6</v>
      </c>
      <c r="AF4">
        <v>0</v>
      </c>
      <c r="AG4">
        <v>11.6</v>
      </c>
      <c r="AH4">
        <v>10</v>
      </c>
      <c r="AI4">
        <v>11.8</v>
      </c>
      <c r="AJ4">
        <v>10</v>
      </c>
      <c r="AK4">
        <v>9.1</v>
      </c>
      <c r="AL4">
        <v>10</v>
      </c>
      <c r="AM4">
        <v>12.5</v>
      </c>
      <c r="AN4">
        <v>9</v>
      </c>
      <c r="AO4">
        <v>10</v>
      </c>
      <c r="AP4">
        <v>10</v>
      </c>
      <c r="AQ4">
        <v>10.3</v>
      </c>
      <c r="AR4">
        <v>10</v>
      </c>
      <c r="AS4">
        <v>11.7</v>
      </c>
      <c r="AT4">
        <v>10</v>
      </c>
      <c r="AU4">
        <v>18.7</v>
      </c>
      <c r="AV4">
        <v>19</v>
      </c>
      <c r="AW4">
        <v>20</v>
      </c>
      <c r="AX4">
        <v>19</v>
      </c>
      <c r="AY4">
        <v>11.6</v>
      </c>
      <c r="AZ4">
        <v>10</v>
      </c>
      <c r="BA4">
        <v>10.5</v>
      </c>
      <c r="BB4">
        <v>10</v>
      </c>
    </row>
    <row r="5" spans="1:54" x14ac:dyDescent="0.35">
      <c r="A5" s="1">
        <v>46059.439583333333</v>
      </c>
      <c r="B5">
        <v>19.899999999999999</v>
      </c>
      <c r="C5">
        <v>3</v>
      </c>
      <c r="D5">
        <v>18.5</v>
      </c>
      <c r="E5">
        <v>2</v>
      </c>
      <c r="F5">
        <v>6.5</v>
      </c>
      <c r="G5">
        <v>9.6999999999999993</v>
      </c>
      <c r="H5">
        <v>0</v>
      </c>
      <c r="I5">
        <v>13.5</v>
      </c>
      <c r="J5">
        <v>9.9</v>
      </c>
      <c r="K5">
        <v>0</v>
      </c>
      <c r="L5">
        <v>11.6</v>
      </c>
      <c r="M5">
        <v>14.9</v>
      </c>
      <c r="N5">
        <v>0</v>
      </c>
      <c r="O5">
        <v>11.4</v>
      </c>
      <c r="P5">
        <v>7.1</v>
      </c>
      <c r="Q5">
        <v>0</v>
      </c>
      <c r="R5">
        <v>8</v>
      </c>
      <c r="S5">
        <v>11</v>
      </c>
      <c r="T5">
        <v>0</v>
      </c>
      <c r="U5">
        <v>-17.3</v>
      </c>
      <c r="V5">
        <v>-19.399999999999999</v>
      </c>
      <c r="W5">
        <v>-22</v>
      </c>
      <c r="X5">
        <v>-17.7</v>
      </c>
      <c r="Y5">
        <v>-15.3</v>
      </c>
      <c r="Z5">
        <v>-22</v>
      </c>
      <c r="AA5">
        <v>-1.9</v>
      </c>
      <c r="AB5">
        <v>-1.8</v>
      </c>
      <c r="AC5">
        <v>-5</v>
      </c>
      <c r="AD5">
        <v>7.3</v>
      </c>
      <c r="AE5">
        <v>5.7</v>
      </c>
      <c r="AF5">
        <v>0</v>
      </c>
      <c r="AG5">
        <v>11.7</v>
      </c>
      <c r="AH5">
        <v>10</v>
      </c>
      <c r="AI5">
        <v>11.9</v>
      </c>
      <c r="AJ5">
        <v>10</v>
      </c>
      <c r="AK5">
        <v>9.3000000000000007</v>
      </c>
      <c r="AL5">
        <v>10</v>
      </c>
      <c r="AM5">
        <v>12.4</v>
      </c>
      <c r="AN5">
        <v>9</v>
      </c>
      <c r="AO5">
        <v>10.7</v>
      </c>
      <c r="AP5">
        <v>10</v>
      </c>
      <c r="AQ5">
        <v>10.4</v>
      </c>
      <c r="AR5">
        <v>10</v>
      </c>
      <c r="AS5">
        <v>11.9</v>
      </c>
      <c r="AT5">
        <v>10</v>
      </c>
      <c r="AU5">
        <v>18.7</v>
      </c>
      <c r="AV5">
        <v>19</v>
      </c>
      <c r="AW5">
        <v>20</v>
      </c>
      <c r="AX5">
        <v>19</v>
      </c>
      <c r="AY5">
        <v>11.9</v>
      </c>
      <c r="AZ5">
        <v>10</v>
      </c>
      <c r="BA5">
        <v>10.9</v>
      </c>
      <c r="BB5">
        <v>10</v>
      </c>
    </row>
    <row r="6" spans="1:54" x14ac:dyDescent="0.35">
      <c r="A6" s="1">
        <v>46059.44027777778</v>
      </c>
      <c r="B6">
        <v>19.899999999999999</v>
      </c>
      <c r="C6">
        <v>3</v>
      </c>
      <c r="D6">
        <v>18.5</v>
      </c>
      <c r="E6">
        <v>2</v>
      </c>
      <c r="F6">
        <v>6.5</v>
      </c>
      <c r="G6">
        <v>9.6999999999999993</v>
      </c>
      <c r="H6">
        <v>0</v>
      </c>
      <c r="I6">
        <v>13.5</v>
      </c>
      <c r="J6">
        <v>9.9</v>
      </c>
      <c r="K6">
        <v>0</v>
      </c>
      <c r="L6">
        <v>11.6</v>
      </c>
      <c r="M6">
        <v>14.9</v>
      </c>
      <c r="N6">
        <v>0</v>
      </c>
      <c r="O6">
        <v>11.4</v>
      </c>
      <c r="P6">
        <v>7.2</v>
      </c>
      <c r="Q6">
        <v>0</v>
      </c>
      <c r="R6">
        <v>8</v>
      </c>
      <c r="S6">
        <v>11</v>
      </c>
      <c r="T6">
        <v>0</v>
      </c>
      <c r="U6">
        <v>-17.5</v>
      </c>
      <c r="V6">
        <v>-19.899999999999999</v>
      </c>
      <c r="W6">
        <v>-22</v>
      </c>
      <c r="X6">
        <v>-17.899999999999999</v>
      </c>
      <c r="Y6">
        <v>-15.4</v>
      </c>
      <c r="Z6">
        <v>-22</v>
      </c>
      <c r="AA6">
        <v>-1.9</v>
      </c>
      <c r="AB6">
        <v>-1.4</v>
      </c>
      <c r="AC6">
        <v>-5</v>
      </c>
      <c r="AD6">
        <v>7.3</v>
      </c>
      <c r="AE6">
        <v>5.7</v>
      </c>
      <c r="AF6">
        <v>0</v>
      </c>
      <c r="AG6">
        <v>11.8</v>
      </c>
      <c r="AH6">
        <v>10</v>
      </c>
      <c r="AI6">
        <v>11.9</v>
      </c>
      <c r="AJ6">
        <v>10</v>
      </c>
      <c r="AK6">
        <v>9.9</v>
      </c>
      <c r="AL6">
        <v>10</v>
      </c>
      <c r="AM6">
        <v>12.4</v>
      </c>
      <c r="AN6">
        <v>9</v>
      </c>
      <c r="AO6">
        <v>11.3</v>
      </c>
      <c r="AP6">
        <v>10</v>
      </c>
      <c r="AQ6">
        <v>10.4</v>
      </c>
      <c r="AR6">
        <v>10</v>
      </c>
      <c r="AS6">
        <v>12</v>
      </c>
      <c r="AT6">
        <v>10</v>
      </c>
      <c r="AU6">
        <v>18.7</v>
      </c>
      <c r="AV6">
        <v>19</v>
      </c>
      <c r="AW6">
        <v>20</v>
      </c>
      <c r="AX6">
        <v>19</v>
      </c>
      <c r="AY6">
        <v>12</v>
      </c>
      <c r="AZ6">
        <v>10</v>
      </c>
      <c r="BA6">
        <v>11.2</v>
      </c>
      <c r="BB6">
        <v>10</v>
      </c>
    </row>
    <row r="7" spans="1:54" x14ac:dyDescent="0.35">
      <c r="A7" s="1">
        <v>46059.440972222219</v>
      </c>
      <c r="B7">
        <v>19.899999999999999</v>
      </c>
      <c r="C7">
        <v>3</v>
      </c>
      <c r="D7">
        <v>18.5</v>
      </c>
      <c r="E7">
        <v>2</v>
      </c>
      <c r="F7">
        <v>6.5</v>
      </c>
      <c r="G7">
        <v>9.6999999999999993</v>
      </c>
      <c r="H7">
        <v>0</v>
      </c>
      <c r="I7">
        <v>13.5</v>
      </c>
      <c r="J7">
        <v>9.9</v>
      </c>
      <c r="K7">
        <v>0</v>
      </c>
      <c r="L7">
        <v>11.6</v>
      </c>
      <c r="M7">
        <v>14.9</v>
      </c>
      <c r="N7">
        <v>0</v>
      </c>
      <c r="O7">
        <v>11.4</v>
      </c>
      <c r="P7">
        <v>7.2</v>
      </c>
      <c r="Q7">
        <v>0</v>
      </c>
      <c r="R7">
        <v>8</v>
      </c>
      <c r="S7">
        <v>11</v>
      </c>
      <c r="T7">
        <v>0</v>
      </c>
      <c r="U7">
        <v>-17.7</v>
      </c>
      <c r="V7">
        <v>-19.7</v>
      </c>
      <c r="W7">
        <v>-22</v>
      </c>
      <c r="X7">
        <v>-18</v>
      </c>
      <c r="Y7">
        <v>-15.5</v>
      </c>
      <c r="Z7">
        <v>-22</v>
      </c>
      <c r="AA7">
        <v>-1.9</v>
      </c>
      <c r="AB7">
        <v>-0.6</v>
      </c>
      <c r="AC7">
        <v>-5</v>
      </c>
      <c r="AD7">
        <v>7.4</v>
      </c>
      <c r="AE7">
        <v>5.7</v>
      </c>
      <c r="AF7">
        <v>0</v>
      </c>
      <c r="AG7">
        <v>11.9</v>
      </c>
      <c r="AH7">
        <v>10</v>
      </c>
      <c r="AI7">
        <v>11.8</v>
      </c>
      <c r="AJ7">
        <v>10</v>
      </c>
      <c r="AK7">
        <v>10.3</v>
      </c>
      <c r="AL7">
        <v>10</v>
      </c>
      <c r="AM7">
        <v>12.4</v>
      </c>
      <c r="AN7">
        <v>9</v>
      </c>
      <c r="AO7">
        <v>11.6</v>
      </c>
      <c r="AP7">
        <v>10</v>
      </c>
      <c r="AQ7">
        <v>10.4</v>
      </c>
      <c r="AR7">
        <v>10</v>
      </c>
      <c r="AS7">
        <v>9.5</v>
      </c>
      <c r="AT7">
        <v>10</v>
      </c>
      <c r="AU7">
        <v>18.7</v>
      </c>
      <c r="AV7">
        <v>19</v>
      </c>
      <c r="AW7">
        <v>20</v>
      </c>
      <c r="AX7">
        <v>19</v>
      </c>
      <c r="AY7">
        <v>11.2</v>
      </c>
      <c r="AZ7">
        <v>10</v>
      </c>
      <c r="BA7">
        <v>11.5</v>
      </c>
      <c r="BB7">
        <v>10</v>
      </c>
    </row>
    <row r="8" spans="1:54" x14ac:dyDescent="0.35">
      <c r="A8" s="1">
        <v>46059.441666666666</v>
      </c>
      <c r="B8">
        <v>19.899999999999999</v>
      </c>
      <c r="C8">
        <v>3</v>
      </c>
      <c r="D8">
        <v>18.5</v>
      </c>
      <c r="E8">
        <v>2</v>
      </c>
      <c r="F8">
        <v>6.5</v>
      </c>
      <c r="G8">
        <v>9.6999999999999993</v>
      </c>
      <c r="H8">
        <v>0</v>
      </c>
      <c r="I8">
        <v>13.5</v>
      </c>
      <c r="J8">
        <v>9.9</v>
      </c>
      <c r="K8">
        <v>0</v>
      </c>
      <c r="L8">
        <v>11.6</v>
      </c>
      <c r="M8">
        <v>14.9</v>
      </c>
      <c r="N8">
        <v>0</v>
      </c>
      <c r="O8">
        <v>11.4</v>
      </c>
      <c r="P8">
        <v>7.2</v>
      </c>
      <c r="Q8">
        <v>0</v>
      </c>
      <c r="R8">
        <v>8</v>
      </c>
      <c r="S8">
        <v>11</v>
      </c>
      <c r="T8">
        <v>0</v>
      </c>
      <c r="U8">
        <v>-17</v>
      </c>
      <c r="V8">
        <v>-18.899999999999999</v>
      </c>
      <c r="W8">
        <v>-22</v>
      </c>
      <c r="X8">
        <v>-18.100000000000001</v>
      </c>
      <c r="Y8">
        <v>-15.6</v>
      </c>
      <c r="Z8">
        <v>-22</v>
      </c>
      <c r="AA8">
        <v>-1.9</v>
      </c>
      <c r="AB8">
        <v>-0.1</v>
      </c>
      <c r="AC8">
        <v>-5</v>
      </c>
      <c r="AD8">
        <v>7.4</v>
      </c>
      <c r="AE8">
        <v>5.7</v>
      </c>
      <c r="AF8">
        <v>0</v>
      </c>
      <c r="AG8">
        <v>12</v>
      </c>
      <c r="AH8">
        <v>10</v>
      </c>
      <c r="AI8">
        <v>9.9</v>
      </c>
      <c r="AJ8">
        <v>10</v>
      </c>
      <c r="AK8">
        <v>10.6</v>
      </c>
      <c r="AL8">
        <v>10</v>
      </c>
      <c r="AM8">
        <v>12.4</v>
      </c>
      <c r="AN8">
        <v>9</v>
      </c>
      <c r="AO8">
        <v>11.7</v>
      </c>
      <c r="AP8">
        <v>10</v>
      </c>
      <c r="AQ8">
        <v>10.4</v>
      </c>
      <c r="AR8">
        <v>10</v>
      </c>
      <c r="AS8">
        <v>8</v>
      </c>
      <c r="AT8">
        <v>10</v>
      </c>
      <c r="AU8">
        <v>18.7</v>
      </c>
      <c r="AV8">
        <v>19</v>
      </c>
      <c r="AW8">
        <v>20</v>
      </c>
      <c r="AX8">
        <v>19</v>
      </c>
      <c r="AY8">
        <v>10.3</v>
      </c>
      <c r="AZ8">
        <v>10</v>
      </c>
      <c r="BA8">
        <v>11.8</v>
      </c>
      <c r="BB8">
        <v>10</v>
      </c>
    </row>
    <row r="9" spans="1:54" x14ac:dyDescent="0.35">
      <c r="A9" s="1">
        <v>46059.442361111112</v>
      </c>
      <c r="B9">
        <v>19.899999999999999</v>
      </c>
      <c r="C9">
        <v>3</v>
      </c>
      <c r="D9">
        <v>18.5</v>
      </c>
      <c r="E9">
        <v>2</v>
      </c>
      <c r="F9">
        <v>6.5</v>
      </c>
      <c r="G9">
        <v>9.6999999999999993</v>
      </c>
      <c r="H9">
        <v>0</v>
      </c>
      <c r="I9">
        <v>13.5</v>
      </c>
      <c r="J9">
        <v>9.9</v>
      </c>
      <c r="K9">
        <v>0</v>
      </c>
      <c r="L9">
        <v>11.6</v>
      </c>
      <c r="M9">
        <v>14.9</v>
      </c>
      <c r="N9">
        <v>0</v>
      </c>
      <c r="O9">
        <v>11.4</v>
      </c>
      <c r="P9">
        <v>7.2</v>
      </c>
      <c r="Q9">
        <v>0</v>
      </c>
      <c r="R9">
        <v>8</v>
      </c>
      <c r="S9">
        <v>11</v>
      </c>
      <c r="T9">
        <v>0</v>
      </c>
      <c r="U9">
        <v>-16.3</v>
      </c>
      <c r="V9">
        <v>-17.899999999999999</v>
      </c>
      <c r="W9">
        <v>-22</v>
      </c>
      <c r="X9">
        <v>-16.899999999999999</v>
      </c>
      <c r="Y9">
        <v>-15.6</v>
      </c>
      <c r="Z9">
        <v>-22</v>
      </c>
      <c r="AA9">
        <v>-1.9</v>
      </c>
      <c r="AB9">
        <v>0.1</v>
      </c>
      <c r="AC9">
        <v>-5</v>
      </c>
      <c r="AD9">
        <v>7.4</v>
      </c>
      <c r="AE9">
        <v>5.7</v>
      </c>
      <c r="AF9">
        <v>0</v>
      </c>
      <c r="AG9">
        <v>11.9</v>
      </c>
      <c r="AH9">
        <v>10</v>
      </c>
      <c r="AI9">
        <v>8.6999999999999993</v>
      </c>
      <c r="AJ9">
        <v>10</v>
      </c>
      <c r="AK9">
        <v>10.8</v>
      </c>
      <c r="AL9">
        <v>10</v>
      </c>
      <c r="AM9">
        <v>12.4</v>
      </c>
      <c r="AN9">
        <v>9</v>
      </c>
      <c r="AO9">
        <v>11.9</v>
      </c>
      <c r="AP9">
        <v>10</v>
      </c>
      <c r="AQ9">
        <v>10.3</v>
      </c>
      <c r="AR9">
        <v>10</v>
      </c>
      <c r="AS9">
        <v>8</v>
      </c>
      <c r="AT9">
        <v>10</v>
      </c>
      <c r="AU9">
        <v>18.7</v>
      </c>
      <c r="AV9">
        <v>19</v>
      </c>
      <c r="AW9">
        <v>20</v>
      </c>
      <c r="AX9">
        <v>19</v>
      </c>
      <c r="AY9">
        <v>9.6999999999999993</v>
      </c>
      <c r="AZ9">
        <v>10</v>
      </c>
      <c r="BA9">
        <v>12</v>
      </c>
      <c r="BB9">
        <v>10</v>
      </c>
    </row>
    <row r="10" spans="1:54" x14ac:dyDescent="0.35">
      <c r="A10" s="1">
        <v>46059.443055555559</v>
      </c>
      <c r="B10">
        <v>19.899999999999999</v>
      </c>
      <c r="C10">
        <v>3</v>
      </c>
      <c r="D10">
        <v>18.5</v>
      </c>
      <c r="E10">
        <v>2</v>
      </c>
      <c r="F10">
        <v>6.5</v>
      </c>
      <c r="G10">
        <v>9.6999999999999993</v>
      </c>
      <c r="H10">
        <v>0</v>
      </c>
      <c r="I10">
        <v>13.5</v>
      </c>
      <c r="J10">
        <v>9.9</v>
      </c>
      <c r="K10">
        <v>0</v>
      </c>
      <c r="L10">
        <v>11.6</v>
      </c>
      <c r="M10">
        <v>14.9</v>
      </c>
      <c r="N10">
        <v>0</v>
      </c>
      <c r="O10">
        <v>11.4</v>
      </c>
      <c r="P10">
        <v>7.2</v>
      </c>
      <c r="Q10">
        <v>0</v>
      </c>
      <c r="R10">
        <v>8</v>
      </c>
      <c r="S10">
        <v>11</v>
      </c>
      <c r="T10">
        <v>0</v>
      </c>
      <c r="U10">
        <v>-16.7</v>
      </c>
      <c r="V10">
        <v>-18.8</v>
      </c>
      <c r="W10">
        <v>-22</v>
      </c>
      <c r="X10">
        <v>-17</v>
      </c>
      <c r="Y10">
        <v>-15.6</v>
      </c>
      <c r="Z10">
        <v>-22</v>
      </c>
      <c r="AA10">
        <v>-1.9</v>
      </c>
      <c r="AB10">
        <v>0.2</v>
      </c>
      <c r="AC10">
        <v>-5</v>
      </c>
      <c r="AD10">
        <v>7.4</v>
      </c>
      <c r="AE10">
        <v>5.7</v>
      </c>
      <c r="AF10">
        <v>0</v>
      </c>
      <c r="AG10">
        <v>11</v>
      </c>
      <c r="AH10">
        <v>10</v>
      </c>
      <c r="AI10">
        <v>8.6</v>
      </c>
      <c r="AJ10">
        <v>10</v>
      </c>
      <c r="AK10">
        <v>11</v>
      </c>
      <c r="AL10">
        <v>10</v>
      </c>
      <c r="AM10">
        <v>12.4</v>
      </c>
      <c r="AN10">
        <v>9</v>
      </c>
      <c r="AO10">
        <v>12</v>
      </c>
      <c r="AP10">
        <v>10</v>
      </c>
      <c r="AQ10">
        <v>10.3</v>
      </c>
      <c r="AR10">
        <v>10</v>
      </c>
      <c r="AS10">
        <v>8.6999999999999993</v>
      </c>
      <c r="AT10">
        <v>10</v>
      </c>
      <c r="AU10">
        <v>18.7</v>
      </c>
      <c r="AV10">
        <v>19</v>
      </c>
      <c r="AW10">
        <v>20</v>
      </c>
      <c r="AX10">
        <v>19</v>
      </c>
      <c r="AY10">
        <v>9.8000000000000007</v>
      </c>
      <c r="AZ10">
        <v>10</v>
      </c>
      <c r="BA10">
        <v>11.9</v>
      </c>
      <c r="BB10">
        <v>10</v>
      </c>
    </row>
    <row r="11" spans="1:54" x14ac:dyDescent="0.35">
      <c r="A11" s="1">
        <v>46059.443749999999</v>
      </c>
      <c r="B11">
        <v>20</v>
      </c>
      <c r="C11">
        <v>3</v>
      </c>
      <c r="D11">
        <v>18.5</v>
      </c>
      <c r="E11">
        <v>2</v>
      </c>
      <c r="F11">
        <v>6.5</v>
      </c>
      <c r="G11">
        <v>9.6999999999999993</v>
      </c>
      <c r="H11">
        <v>0</v>
      </c>
      <c r="I11">
        <v>13.5</v>
      </c>
      <c r="J11">
        <v>9.9</v>
      </c>
      <c r="K11">
        <v>0</v>
      </c>
      <c r="L11">
        <v>11.6</v>
      </c>
      <c r="M11">
        <v>14.9</v>
      </c>
      <c r="N11">
        <v>0</v>
      </c>
      <c r="O11">
        <v>11.4</v>
      </c>
      <c r="P11">
        <v>7.2</v>
      </c>
      <c r="Q11">
        <v>0</v>
      </c>
      <c r="R11">
        <v>8</v>
      </c>
      <c r="S11">
        <v>11</v>
      </c>
      <c r="T11">
        <v>0</v>
      </c>
      <c r="U11">
        <v>-17.100000000000001</v>
      </c>
      <c r="V11">
        <v>-19.3</v>
      </c>
      <c r="W11">
        <v>-22</v>
      </c>
      <c r="X11">
        <v>-17.399999999999999</v>
      </c>
      <c r="Y11">
        <v>-15.6</v>
      </c>
      <c r="Z11">
        <v>-22</v>
      </c>
      <c r="AA11">
        <v>-1.9</v>
      </c>
      <c r="AB11">
        <v>1.3</v>
      </c>
      <c r="AC11">
        <v>-5</v>
      </c>
      <c r="AD11">
        <v>7.4</v>
      </c>
      <c r="AE11">
        <v>5.7</v>
      </c>
      <c r="AF11">
        <v>0</v>
      </c>
      <c r="AG11">
        <v>10.1</v>
      </c>
      <c r="AH11">
        <v>10</v>
      </c>
      <c r="AI11">
        <v>8.8000000000000007</v>
      </c>
      <c r="AJ11">
        <v>10</v>
      </c>
      <c r="AK11">
        <v>11.1</v>
      </c>
      <c r="AL11">
        <v>10</v>
      </c>
      <c r="AM11">
        <v>12.5</v>
      </c>
      <c r="AN11">
        <v>9</v>
      </c>
      <c r="AO11">
        <v>10.9</v>
      </c>
      <c r="AP11">
        <v>10</v>
      </c>
      <c r="AQ11">
        <v>10.199999999999999</v>
      </c>
      <c r="AR11">
        <v>10</v>
      </c>
      <c r="AS11">
        <v>9.3000000000000007</v>
      </c>
      <c r="AT11">
        <v>10</v>
      </c>
      <c r="AU11">
        <v>18.7</v>
      </c>
      <c r="AV11">
        <v>19</v>
      </c>
      <c r="AW11">
        <v>20</v>
      </c>
      <c r="AX11">
        <v>19</v>
      </c>
      <c r="AY11">
        <v>10.1</v>
      </c>
      <c r="AZ11">
        <v>10</v>
      </c>
      <c r="BA11">
        <v>11</v>
      </c>
      <c r="BB11">
        <v>10</v>
      </c>
    </row>
    <row r="12" spans="1:54" x14ac:dyDescent="0.35">
      <c r="A12" s="1">
        <v>46059.444444444445</v>
      </c>
      <c r="B12">
        <v>20</v>
      </c>
      <c r="C12">
        <v>3</v>
      </c>
      <c r="D12">
        <v>18.5</v>
      </c>
      <c r="E12">
        <v>2</v>
      </c>
      <c r="F12">
        <v>6.5</v>
      </c>
      <c r="G12">
        <v>9.6999999999999993</v>
      </c>
      <c r="H12">
        <v>0</v>
      </c>
      <c r="I12">
        <v>13.5</v>
      </c>
      <c r="J12">
        <v>9.9</v>
      </c>
      <c r="K12">
        <v>0</v>
      </c>
      <c r="L12">
        <v>11.6</v>
      </c>
      <c r="M12">
        <v>14.9</v>
      </c>
      <c r="N12">
        <v>0</v>
      </c>
      <c r="O12">
        <v>11.4</v>
      </c>
      <c r="P12">
        <v>7.2</v>
      </c>
      <c r="Q12">
        <v>0</v>
      </c>
      <c r="R12">
        <v>8</v>
      </c>
      <c r="S12">
        <v>11</v>
      </c>
      <c r="T12">
        <v>0</v>
      </c>
      <c r="U12">
        <v>-17.399999999999999</v>
      </c>
      <c r="V12">
        <v>-19.5</v>
      </c>
      <c r="W12">
        <v>-22</v>
      </c>
      <c r="X12">
        <v>-17.7</v>
      </c>
      <c r="Y12">
        <v>-15.7</v>
      </c>
      <c r="Z12">
        <v>-22</v>
      </c>
      <c r="AA12">
        <v>-1.9</v>
      </c>
      <c r="AB12">
        <v>6.4</v>
      </c>
      <c r="AC12">
        <v>-5</v>
      </c>
      <c r="AD12">
        <v>7.4</v>
      </c>
      <c r="AE12">
        <v>5.7</v>
      </c>
      <c r="AF12">
        <v>0</v>
      </c>
      <c r="AG12">
        <v>9.6</v>
      </c>
      <c r="AH12">
        <v>10</v>
      </c>
      <c r="AI12">
        <v>9.1999999999999993</v>
      </c>
      <c r="AJ12">
        <v>10</v>
      </c>
      <c r="AK12">
        <v>11.2</v>
      </c>
      <c r="AL12">
        <v>10</v>
      </c>
      <c r="AM12">
        <v>12.5</v>
      </c>
      <c r="AN12">
        <v>9</v>
      </c>
      <c r="AO12">
        <v>10.1</v>
      </c>
      <c r="AP12">
        <v>10</v>
      </c>
      <c r="AQ12">
        <v>10.199999999999999</v>
      </c>
      <c r="AR12">
        <v>10</v>
      </c>
      <c r="AS12">
        <v>9.8000000000000007</v>
      </c>
      <c r="AT12">
        <v>10</v>
      </c>
      <c r="AU12">
        <v>18.7</v>
      </c>
      <c r="AV12">
        <v>19</v>
      </c>
      <c r="AW12">
        <v>20.100000000000001</v>
      </c>
      <c r="AX12">
        <v>19</v>
      </c>
      <c r="AY12">
        <v>10.5</v>
      </c>
      <c r="AZ12">
        <v>10</v>
      </c>
      <c r="BA12">
        <v>10.3</v>
      </c>
      <c r="BB12">
        <v>10</v>
      </c>
    </row>
    <row r="13" spans="1:54" x14ac:dyDescent="0.35">
      <c r="A13" s="1">
        <v>46059.445138888892</v>
      </c>
      <c r="B13">
        <v>20</v>
      </c>
      <c r="C13">
        <v>3</v>
      </c>
      <c r="D13">
        <v>18.5</v>
      </c>
      <c r="E13">
        <v>2</v>
      </c>
      <c r="F13">
        <v>6.5</v>
      </c>
      <c r="G13">
        <v>9.6999999999999993</v>
      </c>
      <c r="H13">
        <v>0</v>
      </c>
      <c r="I13">
        <v>13.5</v>
      </c>
      <c r="J13">
        <v>9.9</v>
      </c>
      <c r="K13">
        <v>0</v>
      </c>
      <c r="L13">
        <v>11.6</v>
      </c>
      <c r="M13">
        <v>14.9</v>
      </c>
      <c r="N13">
        <v>0</v>
      </c>
      <c r="O13">
        <v>11.4</v>
      </c>
      <c r="P13">
        <v>7.2</v>
      </c>
      <c r="Q13">
        <v>0</v>
      </c>
      <c r="R13">
        <v>8</v>
      </c>
      <c r="S13">
        <v>11</v>
      </c>
      <c r="T13">
        <v>0</v>
      </c>
      <c r="U13">
        <v>-17.5</v>
      </c>
      <c r="V13">
        <v>-20</v>
      </c>
      <c r="W13">
        <v>-22</v>
      </c>
      <c r="X13">
        <v>-17.899999999999999</v>
      </c>
      <c r="Y13">
        <v>-15.8</v>
      </c>
      <c r="Z13">
        <v>-22</v>
      </c>
      <c r="AA13">
        <v>-1.9</v>
      </c>
      <c r="AB13">
        <v>12.5</v>
      </c>
      <c r="AC13">
        <v>-5</v>
      </c>
      <c r="AD13">
        <v>7.4</v>
      </c>
      <c r="AE13">
        <v>5.7</v>
      </c>
      <c r="AF13">
        <v>0</v>
      </c>
      <c r="AG13">
        <v>9.6</v>
      </c>
      <c r="AH13">
        <v>10</v>
      </c>
      <c r="AI13">
        <v>9.4</v>
      </c>
      <c r="AJ13">
        <v>10</v>
      </c>
      <c r="AK13">
        <v>11.2</v>
      </c>
      <c r="AL13">
        <v>10</v>
      </c>
      <c r="AM13">
        <v>12.5</v>
      </c>
      <c r="AN13">
        <v>9</v>
      </c>
      <c r="AO13">
        <v>9.9</v>
      </c>
      <c r="AP13">
        <v>10</v>
      </c>
      <c r="AQ13">
        <v>10.199999999999999</v>
      </c>
      <c r="AR13">
        <v>10</v>
      </c>
      <c r="AS13">
        <v>10.199999999999999</v>
      </c>
      <c r="AT13">
        <v>10</v>
      </c>
      <c r="AU13">
        <v>18.7</v>
      </c>
      <c r="AV13">
        <v>19</v>
      </c>
      <c r="AW13">
        <v>20.2</v>
      </c>
      <c r="AX13">
        <v>19</v>
      </c>
      <c r="AY13">
        <v>10.9</v>
      </c>
      <c r="AZ13">
        <v>10</v>
      </c>
      <c r="BA13">
        <v>9.6999999999999993</v>
      </c>
      <c r="BB13">
        <v>10</v>
      </c>
    </row>
    <row r="14" spans="1:54" x14ac:dyDescent="0.35">
      <c r="A14" s="1">
        <v>46059.445833333331</v>
      </c>
      <c r="B14">
        <v>20</v>
      </c>
      <c r="C14">
        <v>3</v>
      </c>
      <c r="D14">
        <v>18.5</v>
      </c>
      <c r="E14">
        <v>2</v>
      </c>
      <c r="F14">
        <v>6.5</v>
      </c>
      <c r="G14">
        <v>9.6999999999999993</v>
      </c>
      <c r="H14">
        <v>0</v>
      </c>
      <c r="I14">
        <v>13.5</v>
      </c>
      <c r="J14">
        <v>9.9</v>
      </c>
      <c r="K14">
        <v>0</v>
      </c>
      <c r="L14">
        <v>11.6</v>
      </c>
      <c r="M14">
        <v>14.9</v>
      </c>
      <c r="N14">
        <v>0</v>
      </c>
      <c r="O14">
        <v>11.5</v>
      </c>
      <c r="P14">
        <v>7.2</v>
      </c>
      <c r="Q14">
        <v>0</v>
      </c>
      <c r="R14">
        <v>8</v>
      </c>
      <c r="S14">
        <v>11</v>
      </c>
      <c r="T14">
        <v>0</v>
      </c>
      <c r="U14">
        <v>-17.7</v>
      </c>
      <c r="V14">
        <v>-19.8</v>
      </c>
      <c r="W14">
        <v>-22</v>
      </c>
      <c r="X14">
        <v>-18.100000000000001</v>
      </c>
      <c r="Y14">
        <v>-15.9</v>
      </c>
      <c r="Z14">
        <v>-22</v>
      </c>
      <c r="AA14">
        <v>-1.9</v>
      </c>
      <c r="AB14">
        <v>19.600000000000001</v>
      </c>
      <c r="AC14">
        <v>-5</v>
      </c>
      <c r="AD14">
        <v>7.4</v>
      </c>
      <c r="AE14">
        <v>5.7</v>
      </c>
      <c r="AF14">
        <v>0</v>
      </c>
      <c r="AG14">
        <v>9.9</v>
      </c>
      <c r="AH14">
        <v>10</v>
      </c>
      <c r="AI14">
        <v>9.6999999999999993</v>
      </c>
      <c r="AJ14">
        <v>10</v>
      </c>
      <c r="AK14">
        <v>11.3</v>
      </c>
      <c r="AL14">
        <v>10</v>
      </c>
      <c r="AM14">
        <v>12.5</v>
      </c>
      <c r="AN14">
        <v>9</v>
      </c>
      <c r="AO14">
        <v>10.9</v>
      </c>
      <c r="AP14">
        <v>10</v>
      </c>
      <c r="AQ14">
        <v>10.199999999999999</v>
      </c>
      <c r="AR14">
        <v>10</v>
      </c>
      <c r="AS14">
        <v>10.5</v>
      </c>
      <c r="AT14">
        <v>10</v>
      </c>
      <c r="AU14">
        <v>18.7</v>
      </c>
      <c r="AV14">
        <v>19</v>
      </c>
      <c r="AW14">
        <v>20.100000000000001</v>
      </c>
      <c r="AX14">
        <v>19</v>
      </c>
      <c r="AY14">
        <v>11.1</v>
      </c>
      <c r="AZ14">
        <v>10</v>
      </c>
      <c r="BA14">
        <v>9.6999999999999993</v>
      </c>
      <c r="BB14">
        <v>10</v>
      </c>
    </row>
    <row r="15" spans="1:54" x14ac:dyDescent="0.35">
      <c r="A15" s="1">
        <v>46059.446527777778</v>
      </c>
      <c r="B15">
        <v>20</v>
      </c>
      <c r="C15">
        <v>3</v>
      </c>
      <c r="D15">
        <v>18.5</v>
      </c>
      <c r="E15">
        <v>2</v>
      </c>
      <c r="F15">
        <v>6.5</v>
      </c>
      <c r="G15">
        <v>9.6999999999999993</v>
      </c>
      <c r="H15">
        <v>0</v>
      </c>
      <c r="I15">
        <v>13.5</v>
      </c>
      <c r="J15">
        <v>9.9</v>
      </c>
      <c r="K15">
        <v>0</v>
      </c>
      <c r="L15">
        <v>11.6</v>
      </c>
      <c r="M15">
        <v>14.9</v>
      </c>
      <c r="N15">
        <v>0</v>
      </c>
      <c r="O15">
        <v>11.5</v>
      </c>
      <c r="P15">
        <v>7.2</v>
      </c>
      <c r="Q15">
        <v>0</v>
      </c>
      <c r="R15">
        <v>8</v>
      </c>
      <c r="S15">
        <v>11</v>
      </c>
      <c r="T15">
        <v>0</v>
      </c>
      <c r="U15">
        <v>-17.899999999999999</v>
      </c>
      <c r="V15">
        <v>-20.2</v>
      </c>
      <c r="W15">
        <v>-22</v>
      </c>
      <c r="X15">
        <v>-18.2</v>
      </c>
      <c r="Y15">
        <v>-16</v>
      </c>
      <c r="Z15">
        <v>-22</v>
      </c>
      <c r="AA15">
        <v>-1.9</v>
      </c>
      <c r="AB15">
        <v>25.5</v>
      </c>
      <c r="AC15">
        <v>-5</v>
      </c>
      <c r="AD15">
        <v>7.4</v>
      </c>
      <c r="AE15">
        <v>5.7</v>
      </c>
      <c r="AF15">
        <v>0</v>
      </c>
      <c r="AG15">
        <v>10.3</v>
      </c>
      <c r="AH15">
        <v>10</v>
      </c>
      <c r="AI15">
        <v>9.9</v>
      </c>
      <c r="AJ15">
        <v>10</v>
      </c>
      <c r="AK15">
        <v>11.4</v>
      </c>
      <c r="AL15">
        <v>10</v>
      </c>
      <c r="AM15">
        <v>12.4</v>
      </c>
      <c r="AN15">
        <v>9</v>
      </c>
      <c r="AO15">
        <v>11.5</v>
      </c>
      <c r="AP15">
        <v>10</v>
      </c>
      <c r="AQ15">
        <v>10.3</v>
      </c>
      <c r="AR15">
        <v>10</v>
      </c>
      <c r="AS15">
        <v>10.8</v>
      </c>
      <c r="AT15">
        <v>10</v>
      </c>
      <c r="AU15">
        <v>18.7</v>
      </c>
      <c r="AV15">
        <v>19</v>
      </c>
      <c r="AW15">
        <v>20.100000000000001</v>
      </c>
      <c r="AX15">
        <v>19</v>
      </c>
      <c r="AY15">
        <v>11.4</v>
      </c>
      <c r="AZ15">
        <v>10</v>
      </c>
      <c r="BA15">
        <v>10.1</v>
      </c>
      <c r="BB15">
        <v>10</v>
      </c>
    </row>
    <row r="16" spans="1:54" x14ac:dyDescent="0.35">
      <c r="A16" s="1">
        <v>46059.447222222225</v>
      </c>
      <c r="B16">
        <v>20</v>
      </c>
      <c r="C16">
        <v>3</v>
      </c>
      <c r="D16">
        <v>18.5</v>
      </c>
      <c r="E16">
        <v>2</v>
      </c>
      <c r="F16">
        <v>6.6</v>
      </c>
      <c r="G16">
        <v>9.6999999999999993</v>
      </c>
      <c r="H16">
        <v>0</v>
      </c>
      <c r="I16">
        <v>13.5</v>
      </c>
      <c r="J16">
        <v>9.9</v>
      </c>
      <c r="K16">
        <v>0</v>
      </c>
      <c r="L16">
        <v>11.6</v>
      </c>
      <c r="M16">
        <v>14.9</v>
      </c>
      <c r="N16">
        <v>0</v>
      </c>
      <c r="O16">
        <v>11.5</v>
      </c>
      <c r="P16">
        <v>7.2</v>
      </c>
      <c r="Q16">
        <v>0</v>
      </c>
      <c r="R16">
        <v>8</v>
      </c>
      <c r="S16">
        <v>11.1</v>
      </c>
      <c r="T16">
        <v>0</v>
      </c>
      <c r="U16">
        <v>-18</v>
      </c>
      <c r="V16">
        <v>-20.100000000000001</v>
      </c>
      <c r="W16">
        <v>-22</v>
      </c>
      <c r="X16">
        <v>-18.399999999999999</v>
      </c>
      <c r="Y16">
        <v>-16.100000000000001</v>
      </c>
      <c r="Z16">
        <v>-22</v>
      </c>
      <c r="AA16">
        <v>-1.9</v>
      </c>
      <c r="AB16">
        <v>28</v>
      </c>
      <c r="AC16">
        <v>-5</v>
      </c>
      <c r="AD16">
        <v>7.4</v>
      </c>
      <c r="AE16">
        <v>5.8</v>
      </c>
      <c r="AF16">
        <v>0</v>
      </c>
      <c r="AG16">
        <v>10.5</v>
      </c>
      <c r="AH16">
        <v>10</v>
      </c>
      <c r="AI16">
        <v>10.199999999999999</v>
      </c>
      <c r="AJ16">
        <v>10</v>
      </c>
      <c r="AK16">
        <v>11.5</v>
      </c>
      <c r="AL16">
        <v>10</v>
      </c>
      <c r="AM16">
        <v>12.4</v>
      </c>
      <c r="AN16">
        <v>9</v>
      </c>
      <c r="AO16">
        <v>11.7</v>
      </c>
      <c r="AP16">
        <v>10</v>
      </c>
      <c r="AQ16">
        <v>10.199999999999999</v>
      </c>
      <c r="AR16">
        <v>10</v>
      </c>
      <c r="AS16">
        <v>11</v>
      </c>
      <c r="AT16">
        <v>10</v>
      </c>
      <c r="AU16">
        <v>18.7</v>
      </c>
      <c r="AV16">
        <v>19</v>
      </c>
      <c r="AW16">
        <v>20.100000000000001</v>
      </c>
      <c r="AX16">
        <v>19</v>
      </c>
      <c r="AY16">
        <v>11.6</v>
      </c>
      <c r="AZ16">
        <v>10</v>
      </c>
      <c r="BA16">
        <v>10.6</v>
      </c>
      <c r="BB16">
        <v>10</v>
      </c>
    </row>
    <row r="17" spans="1:54" x14ac:dyDescent="0.35">
      <c r="A17" s="1">
        <v>46059.447916666664</v>
      </c>
      <c r="B17">
        <v>20</v>
      </c>
      <c r="C17">
        <v>3</v>
      </c>
      <c r="D17">
        <v>18.5</v>
      </c>
      <c r="E17">
        <v>2</v>
      </c>
      <c r="F17">
        <v>6.6</v>
      </c>
      <c r="G17">
        <v>9.8000000000000007</v>
      </c>
      <c r="H17">
        <v>0</v>
      </c>
      <c r="I17">
        <v>13.5</v>
      </c>
      <c r="J17">
        <v>9.9</v>
      </c>
      <c r="K17">
        <v>0</v>
      </c>
      <c r="L17">
        <v>11.6</v>
      </c>
      <c r="M17">
        <v>14.9</v>
      </c>
      <c r="N17">
        <v>0</v>
      </c>
      <c r="O17">
        <v>11.5</v>
      </c>
      <c r="P17">
        <v>7.2</v>
      </c>
      <c r="Q17">
        <v>0</v>
      </c>
      <c r="R17">
        <v>8</v>
      </c>
      <c r="S17">
        <v>11.1</v>
      </c>
      <c r="T17">
        <v>0</v>
      </c>
      <c r="U17">
        <v>-18.100000000000001</v>
      </c>
      <c r="V17">
        <v>-20.3</v>
      </c>
      <c r="W17">
        <v>-22</v>
      </c>
      <c r="X17">
        <v>-18.5</v>
      </c>
      <c r="Y17">
        <v>-16.2</v>
      </c>
      <c r="Z17">
        <v>-22</v>
      </c>
      <c r="AA17">
        <v>-1.9</v>
      </c>
      <c r="AB17">
        <v>29.5</v>
      </c>
      <c r="AC17">
        <v>-5</v>
      </c>
      <c r="AD17">
        <v>7.4</v>
      </c>
      <c r="AE17">
        <v>5.8</v>
      </c>
      <c r="AF17">
        <v>0</v>
      </c>
      <c r="AG17">
        <v>10.8</v>
      </c>
      <c r="AH17">
        <v>10</v>
      </c>
      <c r="AI17">
        <v>10.4</v>
      </c>
      <c r="AJ17">
        <v>10</v>
      </c>
      <c r="AK17">
        <v>11.6</v>
      </c>
      <c r="AL17">
        <v>10</v>
      </c>
      <c r="AM17">
        <v>12.4</v>
      </c>
      <c r="AN17">
        <v>9</v>
      </c>
      <c r="AO17">
        <v>11.8</v>
      </c>
      <c r="AP17">
        <v>10</v>
      </c>
      <c r="AQ17">
        <v>10.199999999999999</v>
      </c>
      <c r="AR17">
        <v>10</v>
      </c>
      <c r="AS17">
        <v>11.2</v>
      </c>
      <c r="AT17">
        <v>10</v>
      </c>
      <c r="AU17">
        <v>18.7</v>
      </c>
      <c r="AV17">
        <v>19</v>
      </c>
      <c r="AW17">
        <v>20.100000000000001</v>
      </c>
      <c r="AX17">
        <v>19</v>
      </c>
      <c r="AY17">
        <v>11.8</v>
      </c>
      <c r="AZ17">
        <v>10</v>
      </c>
      <c r="BA17">
        <v>10.9</v>
      </c>
      <c r="BB17">
        <v>10</v>
      </c>
    </row>
    <row r="18" spans="1:54" x14ac:dyDescent="0.35">
      <c r="A18" s="1">
        <v>46059.448611111111</v>
      </c>
      <c r="B18">
        <v>20</v>
      </c>
      <c r="C18">
        <v>3</v>
      </c>
      <c r="D18">
        <v>18.5</v>
      </c>
      <c r="E18">
        <v>2</v>
      </c>
      <c r="F18">
        <v>6.6</v>
      </c>
      <c r="G18">
        <v>9.8000000000000007</v>
      </c>
      <c r="H18">
        <v>0</v>
      </c>
      <c r="I18">
        <v>13.5</v>
      </c>
      <c r="J18">
        <v>9.9</v>
      </c>
      <c r="K18">
        <v>0</v>
      </c>
      <c r="L18">
        <v>11.6</v>
      </c>
      <c r="M18">
        <v>14.9</v>
      </c>
      <c r="N18">
        <v>0</v>
      </c>
      <c r="O18">
        <v>11.5</v>
      </c>
      <c r="P18">
        <v>7.2</v>
      </c>
      <c r="Q18">
        <v>0</v>
      </c>
      <c r="R18">
        <v>8</v>
      </c>
      <c r="S18">
        <v>11.1</v>
      </c>
      <c r="T18">
        <v>0</v>
      </c>
      <c r="U18">
        <v>-17.8</v>
      </c>
      <c r="V18">
        <v>-19.399999999999999</v>
      </c>
      <c r="W18">
        <v>-22</v>
      </c>
      <c r="X18">
        <v>-18.600000000000001</v>
      </c>
      <c r="Y18">
        <v>-16.3</v>
      </c>
      <c r="Z18">
        <v>-22</v>
      </c>
      <c r="AA18">
        <v>-1.9</v>
      </c>
      <c r="AB18">
        <v>30.7</v>
      </c>
      <c r="AC18">
        <v>-5</v>
      </c>
      <c r="AD18">
        <v>7.4</v>
      </c>
      <c r="AE18">
        <v>5.8</v>
      </c>
      <c r="AF18">
        <v>0</v>
      </c>
      <c r="AG18">
        <v>11</v>
      </c>
      <c r="AH18">
        <v>10</v>
      </c>
      <c r="AI18">
        <v>10.5</v>
      </c>
      <c r="AJ18">
        <v>10</v>
      </c>
      <c r="AK18">
        <v>11.6</v>
      </c>
      <c r="AL18">
        <v>10</v>
      </c>
      <c r="AM18">
        <v>12.4</v>
      </c>
      <c r="AN18">
        <v>9</v>
      </c>
      <c r="AO18">
        <v>12</v>
      </c>
      <c r="AP18">
        <v>10</v>
      </c>
      <c r="AQ18">
        <v>10.199999999999999</v>
      </c>
      <c r="AR18">
        <v>10</v>
      </c>
      <c r="AS18">
        <v>11.4</v>
      </c>
      <c r="AT18">
        <v>10</v>
      </c>
      <c r="AU18">
        <v>18.7</v>
      </c>
      <c r="AV18">
        <v>19</v>
      </c>
      <c r="AW18">
        <v>20.100000000000001</v>
      </c>
      <c r="AX18">
        <v>19</v>
      </c>
      <c r="AY18">
        <v>12</v>
      </c>
      <c r="AZ18">
        <v>10</v>
      </c>
      <c r="BA18">
        <v>11.2</v>
      </c>
      <c r="BB18">
        <v>10</v>
      </c>
    </row>
    <row r="19" spans="1:54" x14ac:dyDescent="0.35">
      <c r="A19" s="1">
        <v>46059.449305555558</v>
      </c>
      <c r="B19">
        <v>20</v>
      </c>
      <c r="C19">
        <v>3</v>
      </c>
      <c r="D19">
        <v>18.5</v>
      </c>
      <c r="E19">
        <v>2</v>
      </c>
      <c r="F19">
        <v>6.6</v>
      </c>
      <c r="G19">
        <v>9.8000000000000007</v>
      </c>
      <c r="H19">
        <v>0</v>
      </c>
      <c r="I19">
        <v>13.5</v>
      </c>
      <c r="J19">
        <v>9.9</v>
      </c>
      <c r="K19">
        <v>0</v>
      </c>
      <c r="L19">
        <v>11.6</v>
      </c>
      <c r="M19">
        <v>14.9</v>
      </c>
      <c r="N19">
        <v>0</v>
      </c>
      <c r="O19">
        <v>11.5</v>
      </c>
      <c r="P19">
        <v>7.2</v>
      </c>
      <c r="Q19">
        <v>0</v>
      </c>
      <c r="R19">
        <v>8</v>
      </c>
      <c r="S19">
        <v>11.1</v>
      </c>
      <c r="T19">
        <v>0</v>
      </c>
      <c r="U19">
        <v>-17.2</v>
      </c>
      <c r="V19">
        <v>-18.7</v>
      </c>
      <c r="W19">
        <v>-22</v>
      </c>
      <c r="X19">
        <v>-18</v>
      </c>
      <c r="Y19">
        <v>-16.3</v>
      </c>
      <c r="Z19">
        <v>-22</v>
      </c>
      <c r="AA19">
        <v>-1.9</v>
      </c>
      <c r="AB19">
        <v>31</v>
      </c>
      <c r="AC19">
        <v>-5</v>
      </c>
      <c r="AD19">
        <v>7.4</v>
      </c>
      <c r="AE19">
        <v>5.8</v>
      </c>
      <c r="AF19">
        <v>0</v>
      </c>
      <c r="AG19">
        <v>11.1</v>
      </c>
      <c r="AH19">
        <v>10</v>
      </c>
      <c r="AI19">
        <v>10.7</v>
      </c>
      <c r="AJ19">
        <v>10</v>
      </c>
      <c r="AK19">
        <v>11.7</v>
      </c>
      <c r="AL19">
        <v>10</v>
      </c>
      <c r="AM19">
        <v>12.5</v>
      </c>
      <c r="AN19">
        <v>9</v>
      </c>
      <c r="AO19">
        <v>11</v>
      </c>
      <c r="AP19">
        <v>10</v>
      </c>
      <c r="AQ19">
        <v>10.3</v>
      </c>
      <c r="AR19">
        <v>10</v>
      </c>
      <c r="AS19">
        <v>11.6</v>
      </c>
      <c r="AT19">
        <v>10</v>
      </c>
      <c r="AU19">
        <v>18.7</v>
      </c>
      <c r="AV19">
        <v>19</v>
      </c>
      <c r="AW19">
        <v>20.100000000000001</v>
      </c>
      <c r="AX19">
        <v>19</v>
      </c>
      <c r="AY19">
        <v>11.5</v>
      </c>
      <c r="AZ19">
        <v>10</v>
      </c>
      <c r="BA19">
        <v>11.5</v>
      </c>
      <c r="BB19">
        <v>10</v>
      </c>
    </row>
    <row r="20" spans="1:54" x14ac:dyDescent="0.35">
      <c r="A20" s="1">
        <v>46059.45</v>
      </c>
      <c r="B20">
        <v>20</v>
      </c>
      <c r="C20">
        <v>3</v>
      </c>
      <c r="D20">
        <v>18.5</v>
      </c>
      <c r="E20">
        <v>2</v>
      </c>
      <c r="F20">
        <v>6.6</v>
      </c>
      <c r="G20">
        <v>9.8000000000000007</v>
      </c>
      <c r="H20">
        <v>0</v>
      </c>
      <c r="I20">
        <v>13.5</v>
      </c>
      <c r="J20">
        <v>9.9</v>
      </c>
      <c r="K20">
        <v>0</v>
      </c>
      <c r="L20">
        <v>11.6</v>
      </c>
      <c r="M20">
        <v>14.9</v>
      </c>
      <c r="N20">
        <v>0</v>
      </c>
      <c r="O20">
        <v>11.5</v>
      </c>
      <c r="P20">
        <v>7.2</v>
      </c>
      <c r="Q20">
        <v>0</v>
      </c>
      <c r="R20">
        <v>8</v>
      </c>
      <c r="S20">
        <v>11.1</v>
      </c>
      <c r="T20">
        <v>0</v>
      </c>
      <c r="U20">
        <v>-15.7</v>
      </c>
      <c r="V20">
        <v>-18</v>
      </c>
      <c r="W20">
        <v>-22</v>
      </c>
      <c r="X20">
        <v>-16.7</v>
      </c>
      <c r="Y20">
        <v>-16.3</v>
      </c>
      <c r="Z20">
        <v>-22</v>
      </c>
      <c r="AA20">
        <v>-1.9</v>
      </c>
      <c r="AB20">
        <v>29.4</v>
      </c>
      <c r="AC20">
        <v>-5</v>
      </c>
      <c r="AD20">
        <v>7.4</v>
      </c>
      <c r="AE20">
        <v>5.8</v>
      </c>
      <c r="AF20">
        <v>0</v>
      </c>
      <c r="AG20">
        <v>11.3</v>
      </c>
      <c r="AH20">
        <v>10</v>
      </c>
      <c r="AI20">
        <v>10.8</v>
      </c>
      <c r="AJ20">
        <v>10</v>
      </c>
      <c r="AK20">
        <v>11.7</v>
      </c>
      <c r="AL20">
        <v>10</v>
      </c>
      <c r="AM20">
        <v>12.5</v>
      </c>
      <c r="AN20">
        <v>9</v>
      </c>
      <c r="AO20">
        <v>10.4</v>
      </c>
      <c r="AP20">
        <v>10</v>
      </c>
      <c r="AQ20">
        <v>10.3</v>
      </c>
      <c r="AR20">
        <v>10</v>
      </c>
      <c r="AS20">
        <v>11.8</v>
      </c>
      <c r="AT20">
        <v>10</v>
      </c>
      <c r="AU20">
        <v>18.7</v>
      </c>
      <c r="AV20">
        <v>19</v>
      </c>
      <c r="AW20">
        <v>20</v>
      </c>
      <c r="AX20">
        <v>19</v>
      </c>
      <c r="AY20">
        <v>10.5</v>
      </c>
      <c r="AZ20">
        <v>10</v>
      </c>
      <c r="BA20">
        <v>11.8</v>
      </c>
      <c r="BB20">
        <v>10</v>
      </c>
    </row>
    <row r="21" spans="1:54" x14ac:dyDescent="0.35">
      <c r="A21" s="1">
        <v>46059.450694444444</v>
      </c>
      <c r="B21">
        <v>20</v>
      </c>
      <c r="C21">
        <v>3</v>
      </c>
      <c r="D21">
        <v>18.5</v>
      </c>
      <c r="E21">
        <v>2</v>
      </c>
      <c r="F21">
        <v>6.6</v>
      </c>
      <c r="G21">
        <v>9.8000000000000007</v>
      </c>
      <c r="H21">
        <v>0</v>
      </c>
      <c r="I21">
        <v>13.5</v>
      </c>
      <c r="J21">
        <v>9.9</v>
      </c>
      <c r="K21">
        <v>0</v>
      </c>
      <c r="L21">
        <v>11.6</v>
      </c>
      <c r="M21">
        <v>14.9</v>
      </c>
      <c r="N21">
        <v>0</v>
      </c>
      <c r="O21">
        <v>11.5</v>
      </c>
      <c r="P21">
        <v>7.3</v>
      </c>
      <c r="Q21">
        <v>0</v>
      </c>
      <c r="R21">
        <v>8</v>
      </c>
      <c r="S21">
        <v>11.1</v>
      </c>
      <c r="T21">
        <v>0</v>
      </c>
      <c r="U21">
        <v>-16.3</v>
      </c>
      <c r="V21">
        <v>-18.399999999999999</v>
      </c>
      <c r="W21">
        <v>-22</v>
      </c>
      <c r="X21">
        <v>-16.8</v>
      </c>
      <c r="Y21">
        <v>-16.3</v>
      </c>
      <c r="Z21">
        <v>-22</v>
      </c>
      <c r="AA21">
        <v>23.7</v>
      </c>
      <c r="AB21">
        <v>27</v>
      </c>
      <c r="AC21">
        <v>-5</v>
      </c>
      <c r="AD21">
        <v>7.4</v>
      </c>
      <c r="AE21">
        <v>5.8</v>
      </c>
      <c r="AF21">
        <v>0</v>
      </c>
      <c r="AG21">
        <v>11.4</v>
      </c>
      <c r="AH21">
        <v>10</v>
      </c>
      <c r="AI21">
        <v>10.9</v>
      </c>
      <c r="AJ21">
        <v>10</v>
      </c>
      <c r="AK21">
        <v>11.8</v>
      </c>
      <c r="AL21">
        <v>10</v>
      </c>
      <c r="AM21">
        <v>12.5</v>
      </c>
      <c r="AN21">
        <v>9</v>
      </c>
      <c r="AO21">
        <v>9.9</v>
      </c>
      <c r="AP21">
        <v>10</v>
      </c>
      <c r="AQ21">
        <v>10.5</v>
      </c>
      <c r="AR21">
        <v>10</v>
      </c>
      <c r="AS21">
        <v>12</v>
      </c>
      <c r="AT21">
        <v>10</v>
      </c>
      <c r="AU21">
        <v>18.7</v>
      </c>
      <c r="AV21">
        <v>19</v>
      </c>
      <c r="AW21">
        <v>20</v>
      </c>
      <c r="AX21">
        <v>19</v>
      </c>
      <c r="AY21">
        <v>9.6999999999999993</v>
      </c>
      <c r="AZ21">
        <v>10</v>
      </c>
      <c r="BA21">
        <v>12</v>
      </c>
      <c r="BB21">
        <v>10</v>
      </c>
    </row>
    <row r="22" spans="1:54" x14ac:dyDescent="0.35">
      <c r="A22" s="1">
        <v>46059.451388888891</v>
      </c>
      <c r="B22">
        <v>20</v>
      </c>
      <c r="C22">
        <v>3</v>
      </c>
      <c r="D22">
        <v>18.5</v>
      </c>
      <c r="E22">
        <v>2</v>
      </c>
      <c r="F22">
        <v>6.6</v>
      </c>
      <c r="G22">
        <v>9.8000000000000007</v>
      </c>
      <c r="H22">
        <v>0</v>
      </c>
      <c r="I22">
        <v>13.5</v>
      </c>
      <c r="J22">
        <v>9.9</v>
      </c>
      <c r="K22">
        <v>0</v>
      </c>
      <c r="L22">
        <v>11.6</v>
      </c>
      <c r="M22">
        <v>14.9</v>
      </c>
      <c r="N22">
        <v>0</v>
      </c>
      <c r="O22">
        <v>11.5</v>
      </c>
      <c r="P22">
        <v>7.3</v>
      </c>
      <c r="Q22">
        <v>0</v>
      </c>
      <c r="R22">
        <v>8</v>
      </c>
      <c r="S22">
        <v>11.1</v>
      </c>
      <c r="T22">
        <v>0</v>
      </c>
      <c r="U22">
        <v>-16.899999999999999</v>
      </c>
      <c r="V22">
        <v>-19.5</v>
      </c>
      <c r="W22">
        <v>-22</v>
      </c>
      <c r="X22">
        <v>-17.3</v>
      </c>
      <c r="Y22">
        <v>-16.3</v>
      </c>
      <c r="Z22">
        <v>-22</v>
      </c>
      <c r="AA22">
        <v>19.600000000000001</v>
      </c>
      <c r="AB22">
        <v>16.3</v>
      </c>
      <c r="AC22">
        <v>-5</v>
      </c>
      <c r="AD22">
        <v>7.4</v>
      </c>
      <c r="AE22">
        <v>5.8</v>
      </c>
      <c r="AF22">
        <v>0</v>
      </c>
      <c r="AG22">
        <v>11.5</v>
      </c>
      <c r="AH22">
        <v>10</v>
      </c>
      <c r="AI22">
        <v>11</v>
      </c>
      <c r="AJ22">
        <v>10</v>
      </c>
      <c r="AK22">
        <v>11.8</v>
      </c>
      <c r="AL22">
        <v>10</v>
      </c>
      <c r="AM22">
        <v>12.5</v>
      </c>
      <c r="AN22">
        <v>9</v>
      </c>
      <c r="AO22">
        <v>11</v>
      </c>
      <c r="AP22">
        <v>10</v>
      </c>
      <c r="AQ22">
        <v>10.5</v>
      </c>
      <c r="AR22">
        <v>10</v>
      </c>
      <c r="AS22">
        <v>10.6</v>
      </c>
      <c r="AT22">
        <v>10</v>
      </c>
      <c r="AU22">
        <v>18.7</v>
      </c>
      <c r="AV22">
        <v>19</v>
      </c>
      <c r="AW22">
        <v>20</v>
      </c>
      <c r="AX22">
        <v>19</v>
      </c>
      <c r="AY22">
        <v>9.6</v>
      </c>
      <c r="AZ22">
        <v>10</v>
      </c>
      <c r="BA22">
        <v>11.8</v>
      </c>
      <c r="BB22">
        <v>10</v>
      </c>
    </row>
    <row r="23" spans="1:54" x14ac:dyDescent="0.35">
      <c r="A23" s="1">
        <v>46059.45208333333</v>
      </c>
      <c r="B23">
        <v>20</v>
      </c>
      <c r="C23">
        <v>3</v>
      </c>
      <c r="D23">
        <v>18.5</v>
      </c>
      <c r="E23">
        <v>2</v>
      </c>
      <c r="F23">
        <v>6.6</v>
      </c>
      <c r="G23">
        <v>9.8000000000000007</v>
      </c>
      <c r="H23">
        <v>0</v>
      </c>
      <c r="I23">
        <v>13.5</v>
      </c>
      <c r="J23">
        <v>9.9</v>
      </c>
      <c r="K23">
        <v>0</v>
      </c>
      <c r="L23">
        <v>11.6</v>
      </c>
      <c r="M23">
        <v>14.9</v>
      </c>
      <c r="N23">
        <v>0</v>
      </c>
      <c r="O23">
        <v>11.5</v>
      </c>
      <c r="P23">
        <v>7.3</v>
      </c>
      <c r="Q23">
        <v>0</v>
      </c>
      <c r="R23">
        <v>8.1</v>
      </c>
      <c r="S23">
        <v>11.1</v>
      </c>
      <c r="T23">
        <v>0</v>
      </c>
      <c r="U23">
        <v>-17.3</v>
      </c>
      <c r="V23">
        <v>-19.399999999999999</v>
      </c>
      <c r="W23">
        <v>-22</v>
      </c>
      <c r="X23">
        <v>-17.7</v>
      </c>
      <c r="Y23">
        <v>-16.3</v>
      </c>
      <c r="Z23">
        <v>-22</v>
      </c>
      <c r="AA23">
        <v>13.2</v>
      </c>
      <c r="AB23">
        <v>9.3000000000000007</v>
      </c>
      <c r="AC23">
        <v>-5</v>
      </c>
      <c r="AD23">
        <v>7.4</v>
      </c>
      <c r="AE23">
        <v>5.8</v>
      </c>
      <c r="AF23">
        <v>0</v>
      </c>
      <c r="AG23">
        <v>11.6</v>
      </c>
      <c r="AH23">
        <v>10</v>
      </c>
      <c r="AI23">
        <v>11.2</v>
      </c>
      <c r="AJ23">
        <v>10</v>
      </c>
      <c r="AK23">
        <v>11.9</v>
      </c>
      <c r="AL23">
        <v>10</v>
      </c>
      <c r="AM23">
        <v>12.5</v>
      </c>
      <c r="AN23">
        <v>9</v>
      </c>
      <c r="AO23">
        <v>11.5</v>
      </c>
      <c r="AP23">
        <v>10</v>
      </c>
      <c r="AQ23">
        <v>10.5</v>
      </c>
      <c r="AR23">
        <v>10</v>
      </c>
      <c r="AS23">
        <v>8.3000000000000007</v>
      </c>
      <c r="AT23">
        <v>10</v>
      </c>
      <c r="AU23">
        <v>18.7</v>
      </c>
      <c r="AV23">
        <v>19</v>
      </c>
      <c r="AW23">
        <v>19.899999999999999</v>
      </c>
      <c r="AX23">
        <v>19</v>
      </c>
      <c r="AY23">
        <v>10</v>
      </c>
      <c r="AZ23">
        <v>10</v>
      </c>
      <c r="BA23">
        <v>11</v>
      </c>
      <c r="BB23">
        <v>10</v>
      </c>
    </row>
    <row r="24" spans="1:54" x14ac:dyDescent="0.35">
      <c r="A24" s="1">
        <v>46059.452777777777</v>
      </c>
      <c r="B24">
        <v>20</v>
      </c>
      <c r="C24">
        <v>3</v>
      </c>
      <c r="D24">
        <v>18.5</v>
      </c>
      <c r="E24">
        <v>2</v>
      </c>
      <c r="F24">
        <v>6.6</v>
      </c>
      <c r="G24">
        <v>9.8000000000000007</v>
      </c>
      <c r="H24">
        <v>0</v>
      </c>
      <c r="I24">
        <v>13.5</v>
      </c>
      <c r="J24">
        <v>9.9</v>
      </c>
      <c r="K24">
        <v>0</v>
      </c>
      <c r="L24">
        <v>11.6</v>
      </c>
      <c r="M24">
        <v>14.9</v>
      </c>
      <c r="N24">
        <v>0</v>
      </c>
      <c r="O24">
        <v>11.5</v>
      </c>
      <c r="P24">
        <v>7.3</v>
      </c>
      <c r="Q24">
        <v>0</v>
      </c>
      <c r="R24">
        <v>8.1</v>
      </c>
      <c r="S24">
        <v>11.1</v>
      </c>
      <c r="T24">
        <v>0</v>
      </c>
      <c r="U24">
        <v>-17.600000000000001</v>
      </c>
      <c r="V24">
        <v>-19.899999999999999</v>
      </c>
      <c r="W24">
        <v>-22</v>
      </c>
      <c r="X24">
        <v>-17.899999999999999</v>
      </c>
      <c r="Y24">
        <v>-16.3</v>
      </c>
      <c r="Z24">
        <v>-22</v>
      </c>
      <c r="AA24">
        <v>6.6</v>
      </c>
      <c r="AB24">
        <v>6.5</v>
      </c>
      <c r="AC24">
        <v>-5</v>
      </c>
      <c r="AD24">
        <v>7.4</v>
      </c>
      <c r="AE24">
        <v>5.8</v>
      </c>
      <c r="AF24">
        <v>0</v>
      </c>
      <c r="AG24">
        <v>11.7</v>
      </c>
      <c r="AH24">
        <v>10</v>
      </c>
      <c r="AI24">
        <v>11.3</v>
      </c>
      <c r="AJ24">
        <v>10</v>
      </c>
      <c r="AK24">
        <v>12</v>
      </c>
      <c r="AL24">
        <v>10</v>
      </c>
      <c r="AM24">
        <v>12.5</v>
      </c>
      <c r="AN24">
        <v>9</v>
      </c>
      <c r="AO24">
        <v>11.8</v>
      </c>
      <c r="AP24">
        <v>10</v>
      </c>
      <c r="AQ24">
        <v>10.5</v>
      </c>
      <c r="AR24">
        <v>10</v>
      </c>
      <c r="AS24">
        <v>8.1</v>
      </c>
      <c r="AT24">
        <v>10</v>
      </c>
      <c r="AU24">
        <v>18.7</v>
      </c>
      <c r="AV24">
        <v>19</v>
      </c>
      <c r="AW24">
        <v>19.899999999999999</v>
      </c>
      <c r="AX24">
        <v>19</v>
      </c>
      <c r="AY24">
        <v>10.4</v>
      </c>
      <c r="AZ24">
        <v>10</v>
      </c>
      <c r="BA24">
        <v>10.3</v>
      </c>
      <c r="BB24">
        <v>10</v>
      </c>
    </row>
    <row r="25" spans="1:54" x14ac:dyDescent="0.35">
      <c r="A25" s="1">
        <v>46059.453472222223</v>
      </c>
      <c r="B25">
        <v>20</v>
      </c>
      <c r="C25">
        <v>3</v>
      </c>
      <c r="D25">
        <v>18.5</v>
      </c>
      <c r="E25">
        <v>2</v>
      </c>
      <c r="F25">
        <v>6.6</v>
      </c>
      <c r="G25">
        <v>9.8000000000000007</v>
      </c>
      <c r="H25">
        <v>0</v>
      </c>
      <c r="I25">
        <v>13.5</v>
      </c>
      <c r="J25">
        <v>9.9</v>
      </c>
      <c r="K25">
        <v>0</v>
      </c>
      <c r="L25">
        <v>11.6</v>
      </c>
      <c r="M25">
        <v>14.9</v>
      </c>
      <c r="N25">
        <v>0</v>
      </c>
      <c r="O25">
        <v>11.5</v>
      </c>
      <c r="P25">
        <v>7.3</v>
      </c>
      <c r="Q25">
        <v>0</v>
      </c>
      <c r="R25">
        <v>8.1</v>
      </c>
      <c r="S25">
        <v>11.1</v>
      </c>
      <c r="T25">
        <v>0</v>
      </c>
      <c r="U25">
        <v>-17.8</v>
      </c>
      <c r="V25">
        <v>-19.899999999999999</v>
      </c>
      <c r="W25">
        <v>-22</v>
      </c>
      <c r="X25">
        <v>-18.100000000000001</v>
      </c>
      <c r="Y25">
        <v>-16.3</v>
      </c>
      <c r="Z25">
        <v>-22</v>
      </c>
      <c r="AA25">
        <v>4.8</v>
      </c>
      <c r="AB25">
        <v>4.8</v>
      </c>
      <c r="AC25">
        <v>-5</v>
      </c>
      <c r="AD25">
        <v>7.4</v>
      </c>
      <c r="AE25">
        <v>5.8</v>
      </c>
      <c r="AF25">
        <v>0</v>
      </c>
      <c r="AG25">
        <v>11.8</v>
      </c>
      <c r="AH25">
        <v>10</v>
      </c>
      <c r="AI25">
        <v>11.4</v>
      </c>
      <c r="AJ25">
        <v>10</v>
      </c>
      <c r="AK25">
        <v>11.2</v>
      </c>
      <c r="AL25">
        <v>10</v>
      </c>
      <c r="AM25">
        <v>12.5</v>
      </c>
      <c r="AN25">
        <v>9</v>
      </c>
      <c r="AO25">
        <v>12</v>
      </c>
      <c r="AP25">
        <v>10</v>
      </c>
      <c r="AQ25">
        <v>10.5</v>
      </c>
      <c r="AR25">
        <v>10</v>
      </c>
      <c r="AS25">
        <v>8.6</v>
      </c>
      <c r="AT25">
        <v>10</v>
      </c>
      <c r="AU25">
        <v>18.7</v>
      </c>
      <c r="AV25">
        <v>19</v>
      </c>
      <c r="AW25">
        <v>19.899999999999999</v>
      </c>
      <c r="AX25">
        <v>19</v>
      </c>
      <c r="AY25">
        <v>10.8</v>
      </c>
      <c r="AZ25">
        <v>10</v>
      </c>
      <c r="BA25">
        <v>9.6999999999999993</v>
      </c>
      <c r="BB25">
        <v>10</v>
      </c>
    </row>
    <row r="26" spans="1:54" x14ac:dyDescent="0.35">
      <c r="A26" s="1">
        <v>46059.45416666667</v>
      </c>
      <c r="B26">
        <v>20</v>
      </c>
      <c r="C26">
        <v>3</v>
      </c>
      <c r="D26">
        <v>18.600000000000001</v>
      </c>
      <c r="E26">
        <v>2</v>
      </c>
      <c r="F26">
        <v>6.6</v>
      </c>
      <c r="G26">
        <v>9.8000000000000007</v>
      </c>
      <c r="H26">
        <v>0</v>
      </c>
      <c r="I26">
        <v>13.5</v>
      </c>
      <c r="J26">
        <v>9.9</v>
      </c>
      <c r="K26">
        <v>0</v>
      </c>
      <c r="L26">
        <v>11.6</v>
      </c>
      <c r="M26">
        <v>14.9</v>
      </c>
      <c r="N26">
        <v>0</v>
      </c>
      <c r="O26">
        <v>11.5</v>
      </c>
      <c r="P26">
        <v>7.3</v>
      </c>
      <c r="Q26">
        <v>0</v>
      </c>
      <c r="R26">
        <v>8.1</v>
      </c>
      <c r="S26">
        <v>11.1</v>
      </c>
      <c r="T26">
        <v>0</v>
      </c>
      <c r="U26">
        <v>-17.899999999999999</v>
      </c>
      <c r="V26">
        <v>-20.2</v>
      </c>
      <c r="W26">
        <v>-22</v>
      </c>
      <c r="X26">
        <v>-18.3</v>
      </c>
      <c r="Y26">
        <v>-16.3</v>
      </c>
      <c r="Z26">
        <v>-22</v>
      </c>
      <c r="AA26">
        <v>3.5</v>
      </c>
      <c r="AB26">
        <v>3.2</v>
      </c>
      <c r="AC26">
        <v>-5</v>
      </c>
      <c r="AD26">
        <v>7.4</v>
      </c>
      <c r="AE26">
        <v>5.9</v>
      </c>
      <c r="AF26">
        <v>0</v>
      </c>
      <c r="AG26">
        <v>11.9</v>
      </c>
      <c r="AH26">
        <v>10</v>
      </c>
      <c r="AI26">
        <v>11.5</v>
      </c>
      <c r="AJ26">
        <v>10</v>
      </c>
      <c r="AK26">
        <v>9.5</v>
      </c>
      <c r="AL26">
        <v>10</v>
      </c>
      <c r="AM26">
        <v>12.5</v>
      </c>
      <c r="AN26">
        <v>9</v>
      </c>
      <c r="AO26">
        <v>11.6</v>
      </c>
      <c r="AP26">
        <v>10</v>
      </c>
      <c r="AQ26">
        <v>10.5</v>
      </c>
      <c r="AR26">
        <v>10</v>
      </c>
      <c r="AS26">
        <v>9.1999999999999993</v>
      </c>
      <c r="AT26">
        <v>10</v>
      </c>
      <c r="AU26">
        <v>18.7</v>
      </c>
      <c r="AV26">
        <v>19</v>
      </c>
      <c r="AW26">
        <v>19.899999999999999</v>
      </c>
      <c r="AX26">
        <v>19</v>
      </c>
      <c r="AY26">
        <v>11</v>
      </c>
      <c r="AZ26">
        <v>10</v>
      </c>
      <c r="BA26">
        <v>9.6999999999999993</v>
      </c>
      <c r="BB26">
        <v>10</v>
      </c>
    </row>
    <row r="27" spans="1:54" x14ac:dyDescent="0.35">
      <c r="A27" s="1">
        <v>46059.463888888888</v>
      </c>
      <c r="B27">
        <v>20</v>
      </c>
      <c r="C27">
        <v>3</v>
      </c>
      <c r="D27">
        <v>18.600000000000001</v>
      </c>
      <c r="E27">
        <v>2</v>
      </c>
      <c r="F27">
        <v>6.6</v>
      </c>
      <c r="G27">
        <v>9.8000000000000007</v>
      </c>
      <c r="H27">
        <v>0</v>
      </c>
      <c r="I27">
        <v>13.5</v>
      </c>
      <c r="J27">
        <v>9.9</v>
      </c>
      <c r="K27">
        <v>0</v>
      </c>
      <c r="L27">
        <v>11.6</v>
      </c>
      <c r="M27">
        <v>14.9</v>
      </c>
      <c r="N27">
        <v>0</v>
      </c>
      <c r="O27">
        <v>11.5</v>
      </c>
      <c r="P27">
        <v>7.3</v>
      </c>
      <c r="Q27">
        <v>0</v>
      </c>
      <c r="R27">
        <v>8.1</v>
      </c>
      <c r="S27">
        <v>11.1</v>
      </c>
      <c r="T27">
        <v>0</v>
      </c>
      <c r="U27">
        <v>-18</v>
      </c>
      <c r="V27">
        <v>-20.399999999999999</v>
      </c>
      <c r="W27">
        <v>-22</v>
      </c>
      <c r="X27">
        <v>-18.399999999999999</v>
      </c>
      <c r="Y27">
        <v>-16.399999999999999</v>
      </c>
      <c r="Z27">
        <v>-22</v>
      </c>
      <c r="AA27">
        <v>2.5</v>
      </c>
      <c r="AB27">
        <v>1.8</v>
      </c>
      <c r="AC27">
        <v>-5</v>
      </c>
      <c r="AD27">
        <v>7.5</v>
      </c>
      <c r="AE27">
        <v>5.9</v>
      </c>
      <c r="AF27">
        <v>0</v>
      </c>
      <c r="AG27">
        <v>12</v>
      </c>
      <c r="AH27">
        <v>10</v>
      </c>
      <c r="AI27">
        <v>11.5</v>
      </c>
      <c r="AJ27">
        <v>10</v>
      </c>
      <c r="AK27">
        <v>9.1</v>
      </c>
      <c r="AL27">
        <v>10</v>
      </c>
      <c r="AM27">
        <v>12.5</v>
      </c>
      <c r="AN27">
        <v>9</v>
      </c>
      <c r="AO27">
        <v>10.6</v>
      </c>
      <c r="AP27">
        <v>10</v>
      </c>
      <c r="AQ27">
        <v>10.5</v>
      </c>
      <c r="AR27">
        <v>10</v>
      </c>
      <c r="AS27">
        <v>9.6</v>
      </c>
      <c r="AT27">
        <v>10</v>
      </c>
      <c r="AU27">
        <v>18.7</v>
      </c>
      <c r="AV27">
        <v>19</v>
      </c>
      <c r="AW27">
        <v>19.899999999999999</v>
      </c>
      <c r="AX27">
        <v>19</v>
      </c>
      <c r="AY27">
        <v>11.3</v>
      </c>
      <c r="AZ27">
        <v>10</v>
      </c>
      <c r="BA27">
        <v>10.1</v>
      </c>
      <c r="BB27">
        <v>10</v>
      </c>
    </row>
    <row r="28" spans="1:54" x14ac:dyDescent="0.35">
      <c r="A28" s="1">
        <v>46059.464583333334</v>
      </c>
      <c r="B28">
        <v>20</v>
      </c>
      <c r="C28">
        <v>3</v>
      </c>
      <c r="D28">
        <v>18.600000000000001</v>
      </c>
      <c r="E28">
        <v>2</v>
      </c>
      <c r="F28">
        <v>6.7</v>
      </c>
      <c r="G28">
        <v>9.9</v>
      </c>
      <c r="H28">
        <v>0</v>
      </c>
      <c r="I28">
        <v>13.5</v>
      </c>
      <c r="J28">
        <v>9.9</v>
      </c>
      <c r="K28">
        <v>0</v>
      </c>
      <c r="L28">
        <v>11.7</v>
      </c>
      <c r="M28">
        <v>14.9</v>
      </c>
      <c r="N28">
        <v>0</v>
      </c>
      <c r="O28">
        <v>11.6</v>
      </c>
      <c r="P28">
        <v>7.4</v>
      </c>
      <c r="Q28">
        <v>0</v>
      </c>
      <c r="R28">
        <v>8.1</v>
      </c>
      <c r="S28">
        <v>11.3</v>
      </c>
      <c r="T28">
        <v>0</v>
      </c>
      <c r="U28">
        <v>-17.600000000000001</v>
      </c>
      <c r="V28">
        <v>-20</v>
      </c>
      <c r="W28">
        <v>-22</v>
      </c>
      <c r="X28">
        <v>-18</v>
      </c>
      <c r="Y28">
        <v>-16.2</v>
      </c>
      <c r="Z28">
        <v>-22</v>
      </c>
      <c r="AA28">
        <v>-1.4</v>
      </c>
      <c r="AB28">
        <v>-2.1</v>
      </c>
      <c r="AC28">
        <v>40.5</v>
      </c>
      <c r="AD28">
        <v>7.6</v>
      </c>
      <c r="AE28">
        <v>6</v>
      </c>
      <c r="AF28">
        <v>0</v>
      </c>
      <c r="AG28">
        <v>11.6</v>
      </c>
      <c r="AH28">
        <v>10</v>
      </c>
      <c r="AI28">
        <v>10.199999999999999</v>
      </c>
      <c r="AJ28">
        <v>10</v>
      </c>
      <c r="AK28">
        <v>11.5</v>
      </c>
      <c r="AL28">
        <v>10</v>
      </c>
      <c r="AM28">
        <v>12.5</v>
      </c>
      <c r="AN28">
        <v>9</v>
      </c>
      <c r="AO28">
        <v>11.7</v>
      </c>
      <c r="AP28">
        <v>10</v>
      </c>
      <c r="AQ28">
        <v>10.4</v>
      </c>
      <c r="AR28">
        <v>10</v>
      </c>
      <c r="AS28">
        <v>8.9</v>
      </c>
      <c r="AT28">
        <v>10</v>
      </c>
      <c r="AU28">
        <v>18.899999999999999</v>
      </c>
      <c r="AV28">
        <v>19</v>
      </c>
      <c r="AW28">
        <v>20.100000000000001</v>
      </c>
      <c r="AX28">
        <v>19</v>
      </c>
      <c r="AY28">
        <v>11.7</v>
      </c>
      <c r="AZ28">
        <v>10</v>
      </c>
      <c r="BA28">
        <v>10.9</v>
      </c>
      <c r="BB28">
        <v>10</v>
      </c>
    </row>
    <row r="29" spans="1:54" x14ac:dyDescent="0.35">
      <c r="A29" s="1">
        <v>46059.465277777781</v>
      </c>
      <c r="B29">
        <v>20</v>
      </c>
      <c r="C29">
        <v>3</v>
      </c>
      <c r="D29">
        <v>18.600000000000001</v>
      </c>
      <c r="E29">
        <v>2</v>
      </c>
      <c r="F29">
        <v>6.7</v>
      </c>
      <c r="G29">
        <v>9.9</v>
      </c>
      <c r="H29">
        <v>0</v>
      </c>
      <c r="I29">
        <v>13.5</v>
      </c>
      <c r="J29">
        <v>9.9</v>
      </c>
      <c r="K29">
        <v>0</v>
      </c>
      <c r="L29">
        <v>11.7</v>
      </c>
      <c r="M29">
        <v>14.9</v>
      </c>
      <c r="N29">
        <v>0</v>
      </c>
      <c r="O29">
        <v>11.6</v>
      </c>
      <c r="P29">
        <v>7.4</v>
      </c>
      <c r="Q29">
        <v>0</v>
      </c>
      <c r="R29">
        <v>8.1</v>
      </c>
      <c r="S29">
        <v>11.3</v>
      </c>
      <c r="T29">
        <v>0</v>
      </c>
      <c r="U29">
        <v>-17.8</v>
      </c>
      <c r="V29">
        <v>-20.100000000000001</v>
      </c>
      <c r="W29">
        <v>-22</v>
      </c>
      <c r="X29">
        <v>-18.100000000000001</v>
      </c>
      <c r="Y29">
        <v>-16.3</v>
      </c>
      <c r="Z29">
        <v>-22</v>
      </c>
      <c r="AA29">
        <v>-0.8</v>
      </c>
      <c r="AB29">
        <v>-1.5</v>
      </c>
      <c r="AC29">
        <v>40.5</v>
      </c>
      <c r="AD29">
        <v>7.6</v>
      </c>
      <c r="AE29">
        <v>6</v>
      </c>
      <c r="AF29">
        <v>0</v>
      </c>
      <c r="AG29">
        <v>11.7</v>
      </c>
      <c r="AH29">
        <v>10</v>
      </c>
      <c r="AI29">
        <v>10.4</v>
      </c>
      <c r="AJ29">
        <v>10</v>
      </c>
      <c r="AK29">
        <v>11.6</v>
      </c>
      <c r="AL29">
        <v>10</v>
      </c>
      <c r="AM29">
        <v>12.5</v>
      </c>
      <c r="AN29">
        <v>9</v>
      </c>
      <c r="AO29">
        <v>11.9</v>
      </c>
      <c r="AP29">
        <v>10</v>
      </c>
      <c r="AQ29">
        <v>10.3</v>
      </c>
      <c r="AR29">
        <v>10</v>
      </c>
      <c r="AS29">
        <v>9.5</v>
      </c>
      <c r="AT29">
        <v>10</v>
      </c>
      <c r="AU29">
        <v>18.8</v>
      </c>
      <c r="AV29">
        <v>19</v>
      </c>
      <c r="AW29">
        <v>20</v>
      </c>
      <c r="AX29">
        <v>19</v>
      </c>
      <c r="AY29">
        <v>11.9</v>
      </c>
      <c r="AZ29">
        <v>10</v>
      </c>
      <c r="BA29">
        <v>11.2</v>
      </c>
      <c r="BB29">
        <v>10</v>
      </c>
    </row>
    <row r="30" spans="1:54" x14ac:dyDescent="0.35">
      <c r="A30" s="1">
        <v>46059.46597222222</v>
      </c>
      <c r="B30">
        <v>20</v>
      </c>
      <c r="C30">
        <v>3</v>
      </c>
      <c r="D30">
        <v>18.600000000000001</v>
      </c>
      <c r="E30">
        <v>2</v>
      </c>
      <c r="F30">
        <v>6.7</v>
      </c>
      <c r="G30">
        <v>9.9</v>
      </c>
      <c r="H30">
        <v>0</v>
      </c>
      <c r="I30">
        <v>13.5</v>
      </c>
      <c r="J30">
        <v>9.9</v>
      </c>
      <c r="K30">
        <v>0</v>
      </c>
      <c r="L30">
        <v>11.7</v>
      </c>
      <c r="M30">
        <v>14.9</v>
      </c>
      <c r="N30">
        <v>0</v>
      </c>
      <c r="O30">
        <v>11.6</v>
      </c>
      <c r="P30">
        <v>7.4</v>
      </c>
      <c r="Q30">
        <v>0</v>
      </c>
      <c r="R30">
        <v>8.1</v>
      </c>
      <c r="S30">
        <v>11.3</v>
      </c>
      <c r="T30">
        <v>0</v>
      </c>
      <c r="U30">
        <v>-17.899999999999999</v>
      </c>
      <c r="V30">
        <v>-20.2</v>
      </c>
      <c r="W30">
        <v>-22</v>
      </c>
      <c r="X30">
        <v>-18.2</v>
      </c>
      <c r="Y30">
        <v>-16.3</v>
      </c>
      <c r="Z30">
        <v>-22</v>
      </c>
      <c r="AA30">
        <v>-0.4</v>
      </c>
      <c r="AB30">
        <v>-1</v>
      </c>
      <c r="AC30">
        <v>40.5</v>
      </c>
      <c r="AD30">
        <v>7.6</v>
      </c>
      <c r="AE30">
        <v>6</v>
      </c>
      <c r="AF30">
        <v>0</v>
      </c>
      <c r="AG30">
        <v>11.8</v>
      </c>
      <c r="AH30">
        <v>10</v>
      </c>
      <c r="AI30">
        <v>10.6</v>
      </c>
      <c r="AJ30">
        <v>10</v>
      </c>
      <c r="AK30">
        <v>11.7</v>
      </c>
      <c r="AL30">
        <v>10</v>
      </c>
      <c r="AM30">
        <v>12.5</v>
      </c>
      <c r="AN30">
        <v>9</v>
      </c>
      <c r="AO30">
        <v>12</v>
      </c>
      <c r="AP30">
        <v>10</v>
      </c>
      <c r="AQ30">
        <v>9.9</v>
      </c>
      <c r="AR30">
        <v>10</v>
      </c>
      <c r="AS30">
        <v>9.9</v>
      </c>
      <c r="AT30">
        <v>10</v>
      </c>
      <c r="AU30">
        <v>18.8</v>
      </c>
      <c r="AV30">
        <v>19</v>
      </c>
      <c r="AW30">
        <v>20</v>
      </c>
      <c r="AX30">
        <v>19</v>
      </c>
      <c r="AY30">
        <v>12</v>
      </c>
      <c r="AZ30">
        <v>10</v>
      </c>
      <c r="BA30">
        <v>11.5</v>
      </c>
      <c r="BB30">
        <v>10</v>
      </c>
    </row>
    <row r="31" spans="1:54" x14ac:dyDescent="0.35">
      <c r="A31" s="1">
        <v>46059.466666666667</v>
      </c>
      <c r="B31">
        <v>20</v>
      </c>
      <c r="C31">
        <v>3</v>
      </c>
      <c r="D31">
        <v>18.600000000000001</v>
      </c>
      <c r="E31">
        <v>2</v>
      </c>
      <c r="F31">
        <v>6.7</v>
      </c>
      <c r="G31">
        <v>9.9</v>
      </c>
      <c r="H31">
        <v>0</v>
      </c>
      <c r="I31">
        <v>13.5</v>
      </c>
      <c r="J31">
        <v>9.9</v>
      </c>
      <c r="K31">
        <v>0</v>
      </c>
      <c r="L31">
        <v>11.7</v>
      </c>
      <c r="M31">
        <v>14.9</v>
      </c>
      <c r="N31">
        <v>0</v>
      </c>
      <c r="O31">
        <v>11.6</v>
      </c>
      <c r="P31">
        <v>7.4</v>
      </c>
      <c r="Q31">
        <v>0</v>
      </c>
      <c r="R31">
        <v>8.1</v>
      </c>
      <c r="S31">
        <v>11.3</v>
      </c>
      <c r="T31">
        <v>0</v>
      </c>
      <c r="U31">
        <v>-17.899999999999999</v>
      </c>
      <c r="V31">
        <v>-20.100000000000001</v>
      </c>
      <c r="W31">
        <v>-22</v>
      </c>
      <c r="X31">
        <v>-18.2</v>
      </c>
      <c r="Y31">
        <v>-16.399999999999999</v>
      </c>
      <c r="Z31">
        <v>-22</v>
      </c>
      <c r="AA31">
        <v>-0.1</v>
      </c>
      <c r="AB31">
        <v>-0.7</v>
      </c>
      <c r="AC31">
        <v>40.5</v>
      </c>
      <c r="AD31">
        <v>7.6</v>
      </c>
      <c r="AE31">
        <v>6</v>
      </c>
      <c r="AF31">
        <v>0</v>
      </c>
      <c r="AG31">
        <v>11.9</v>
      </c>
      <c r="AH31">
        <v>10</v>
      </c>
      <c r="AI31">
        <v>10.7</v>
      </c>
      <c r="AJ31">
        <v>10</v>
      </c>
      <c r="AK31">
        <v>11.8</v>
      </c>
      <c r="AL31">
        <v>10</v>
      </c>
      <c r="AM31">
        <v>12.5</v>
      </c>
      <c r="AN31">
        <v>9</v>
      </c>
      <c r="AO31">
        <v>11.2</v>
      </c>
      <c r="AP31">
        <v>10</v>
      </c>
      <c r="AQ31">
        <v>10.199999999999999</v>
      </c>
      <c r="AR31">
        <v>10</v>
      </c>
      <c r="AS31">
        <v>10.3</v>
      </c>
      <c r="AT31">
        <v>10</v>
      </c>
      <c r="AU31">
        <v>18.8</v>
      </c>
      <c r="AV31">
        <v>19</v>
      </c>
      <c r="AW31">
        <v>20</v>
      </c>
      <c r="AX31">
        <v>19</v>
      </c>
      <c r="AY31">
        <v>11.3</v>
      </c>
      <c r="AZ31">
        <v>10</v>
      </c>
      <c r="BA31">
        <v>11.8</v>
      </c>
      <c r="BB31">
        <v>10</v>
      </c>
    </row>
    <row r="32" spans="1:54" x14ac:dyDescent="0.35">
      <c r="A32" s="1">
        <v>46059.467361111114</v>
      </c>
      <c r="B32">
        <v>20</v>
      </c>
      <c r="C32">
        <v>3</v>
      </c>
      <c r="D32">
        <v>18.600000000000001</v>
      </c>
      <c r="E32">
        <v>2</v>
      </c>
      <c r="F32">
        <v>6.7</v>
      </c>
      <c r="G32">
        <v>9.9</v>
      </c>
      <c r="H32">
        <v>0</v>
      </c>
      <c r="I32">
        <v>13.5</v>
      </c>
      <c r="J32">
        <v>9.9</v>
      </c>
      <c r="K32">
        <v>0</v>
      </c>
      <c r="L32">
        <v>11.7</v>
      </c>
      <c r="M32">
        <v>14.9</v>
      </c>
      <c r="N32">
        <v>0</v>
      </c>
      <c r="O32">
        <v>11.6</v>
      </c>
      <c r="P32">
        <v>7.4</v>
      </c>
      <c r="Q32">
        <v>0</v>
      </c>
      <c r="R32">
        <v>8.1</v>
      </c>
      <c r="S32">
        <v>11.3</v>
      </c>
      <c r="T32">
        <v>0</v>
      </c>
      <c r="U32">
        <v>-18</v>
      </c>
      <c r="V32">
        <v>-20.6</v>
      </c>
      <c r="W32">
        <v>-22</v>
      </c>
      <c r="X32">
        <v>-18.3</v>
      </c>
      <c r="Y32">
        <v>-16.5</v>
      </c>
      <c r="Z32">
        <v>-22</v>
      </c>
      <c r="AA32">
        <v>0.2</v>
      </c>
      <c r="AB32">
        <v>-0.5</v>
      </c>
      <c r="AC32">
        <v>40.5</v>
      </c>
      <c r="AD32">
        <v>7.6</v>
      </c>
      <c r="AE32">
        <v>6</v>
      </c>
      <c r="AF32">
        <v>0</v>
      </c>
      <c r="AG32">
        <v>12</v>
      </c>
      <c r="AH32">
        <v>10</v>
      </c>
      <c r="AI32">
        <v>10.9</v>
      </c>
      <c r="AJ32">
        <v>10</v>
      </c>
      <c r="AK32">
        <v>11.8</v>
      </c>
      <c r="AL32">
        <v>10</v>
      </c>
      <c r="AM32">
        <v>12.5</v>
      </c>
      <c r="AN32">
        <v>9</v>
      </c>
      <c r="AO32">
        <v>10.6</v>
      </c>
      <c r="AP32">
        <v>10</v>
      </c>
      <c r="AQ32">
        <v>11</v>
      </c>
      <c r="AR32">
        <v>10</v>
      </c>
      <c r="AS32">
        <v>10.6</v>
      </c>
      <c r="AT32">
        <v>10</v>
      </c>
      <c r="AU32">
        <v>18.8</v>
      </c>
      <c r="AV32">
        <v>19</v>
      </c>
      <c r="AW32">
        <v>19.8</v>
      </c>
      <c r="AX32">
        <v>19</v>
      </c>
      <c r="AY32">
        <v>10.199999999999999</v>
      </c>
      <c r="AZ32">
        <v>10</v>
      </c>
      <c r="BA32">
        <v>12</v>
      </c>
      <c r="BB32">
        <v>10</v>
      </c>
    </row>
    <row r="33" spans="1:54" x14ac:dyDescent="0.35">
      <c r="A33" s="1">
        <v>46059.468055555553</v>
      </c>
      <c r="B33">
        <v>20</v>
      </c>
      <c r="C33">
        <v>3</v>
      </c>
      <c r="D33">
        <v>18.600000000000001</v>
      </c>
      <c r="E33">
        <v>2</v>
      </c>
      <c r="F33">
        <v>6.7</v>
      </c>
      <c r="G33">
        <v>9.9</v>
      </c>
      <c r="H33">
        <v>0</v>
      </c>
      <c r="I33">
        <v>13.5</v>
      </c>
      <c r="J33">
        <v>9.9</v>
      </c>
      <c r="K33">
        <v>0</v>
      </c>
      <c r="L33">
        <v>11.7</v>
      </c>
      <c r="M33">
        <v>14.9</v>
      </c>
      <c r="N33">
        <v>0</v>
      </c>
      <c r="O33">
        <v>11.6</v>
      </c>
      <c r="P33">
        <v>7.4</v>
      </c>
      <c r="Q33">
        <v>0</v>
      </c>
      <c r="R33">
        <v>8.1</v>
      </c>
      <c r="S33">
        <v>11.3</v>
      </c>
      <c r="T33">
        <v>0</v>
      </c>
      <c r="U33">
        <v>-18.100000000000001</v>
      </c>
      <c r="V33">
        <v>-20.3</v>
      </c>
      <c r="W33">
        <v>-22</v>
      </c>
      <c r="X33">
        <v>-18.399999999999999</v>
      </c>
      <c r="Y33">
        <v>-16.600000000000001</v>
      </c>
      <c r="Z33">
        <v>-22</v>
      </c>
      <c r="AA33">
        <v>0.3</v>
      </c>
      <c r="AB33">
        <v>-0.3</v>
      </c>
      <c r="AC33">
        <v>40.5</v>
      </c>
      <c r="AD33">
        <v>7.6</v>
      </c>
      <c r="AE33">
        <v>6</v>
      </c>
      <c r="AF33">
        <v>0</v>
      </c>
      <c r="AG33">
        <v>11.6</v>
      </c>
      <c r="AH33">
        <v>10</v>
      </c>
      <c r="AI33">
        <v>11</v>
      </c>
      <c r="AJ33">
        <v>10</v>
      </c>
      <c r="AK33">
        <v>11.8</v>
      </c>
      <c r="AL33">
        <v>10</v>
      </c>
      <c r="AM33">
        <v>12.5</v>
      </c>
      <c r="AN33">
        <v>9</v>
      </c>
      <c r="AO33">
        <v>10.5</v>
      </c>
      <c r="AP33">
        <v>10</v>
      </c>
      <c r="AQ33">
        <v>11.8</v>
      </c>
      <c r="AR33">
        <v>10</v>
      </c>
      <c r="AS33">
        <v>10.8</v>
      </c>
      <c r="AT33">
        <v>10</v>
      </c>
      <c r="AU33">
        <v>18.8</v>
      </c>
      <c r="AV33">
        <v>19</v>
      </c>
      <c r="AW33">
        <v>19.8</v>
      </c>
      <c r="AX33">
        <v>19</v>
      </c>
      <c r="AY33">
        <v>9.6999999999999993</v>
      </c>
      <c r="AZ33">
        <v>10</v>
      </c>
      <c r="BA33">
        <v>11.8</v>
      </c>
      <c r="BB33">
        <v>10</v>
      </c>
    </row>
    <row r="34" spans="1:54" x14ac:dyDescent="0.35">
      <c r="A34" s="1">
        <v>46059.46875</v>
      </c>
      <c r="B34">
        <v>20</v>
      </c>
      <c r="C34">
        <v>3</v>
      </c>
      <c r="D34">
        <v>18.7</v>
      </c>
      <c r="E34">
        <v>2</v>
      </c>
      <c r="F34">
        <v>6.7</v>
      </c>
      <c r="G34">
        <v>9.9</v>
      </c>
      <c r="H34">
        <v>0</v>
      </c>
      <c r="I34">
        <v>13.5</v>
      </c>
      <c r="J34">
        <v>9.9</v>
      </c>
      <c r="K34">
        <v>0</v>
      </c>
      <c r="L34">
        <v>11.7</v>
      </c>
      <c r="M34">
        <v>14.9</v>
      </c>
      <c r="N34">
        <v>0</v>
      </c>
      <c r="O34">
        <v>11.6</v>
      </c>
      <c r="P34">
        <v>7.4</v>
      </c>
      <c r="Q34">
        <v>0</v>
      </c>
      <c r="R34">
        <v>8.1</v>
      </c>
      <c r="S34">
        <v>11.3</v>
      </c>
      <c r="T34">
        <v>0</v>
      </c>
      <c r="U34">
        <v>-18.100000000000001</v>
      </c>
      <c r="V34">
        <v>-20.7</v>
      </c>
      <c r="W34">
        <v>-22</v>
      </c>
      <c r="X34">
        <v>-18.399999999999999</v>
      </c>
      <c r="Y34">
        <v>-16.600000000000001</v>
      </c>
      <c r="Z34">
        <v>-22</v>
      </c>
      <c r="AA34">
        <v>0.5</v>
      </c>
      <c r="AB34">
        <v>-0.1</v>
      </c>
      <c r="AC34">
        <v>40.5</v>
      </c>
      <c r="AD34">
        <v>7.6</v>
      </c>
      <c r="AE34">
        <v>6</v>
      </c>
      <c r="AF34">
        <v>0</v>
      </c>
      <c r="AG34">
        <v>10.9</v>
      </c>
      <c r="AH34">
        <v>10</v>
      </c>
      <c r="AI34">
        <v>11.1</v>
      </c>
      <c r="AJ34">
        <v>10</v>
      </c>
      <c r="AK34">
        <v>11.8</v>
      </c>
      <c r="AL34">
        <v>10</v>
      </c>
      <c r="AM34">
        <v>12.5</v>
      </c>
      <c r="AN34">
        <v>9</v>
      </c>
      <c r="AO34">
        <v>10.4</v>
      </c>
      <c r="AP34">
        <v>10</v>
      </c>
      <c r="AQ34">
        <v>12.3</v>
      </c>
      <c r="AR34">
        <v>10</v>
      </c>
      <c r="AS34">
        <v>11.1</v>
      </c>
      <c r="AT34">
        <v>10</v>
      </c>
      <c r="AU34">
        <v>18.7</v>
      </c>
      <c r="AV34">
        <v>19</v>
      </c>
      <c r="AW34">
        <v>19.899999999999999</v>
      </c>
      <c r="AX34">
        <v>19</v>
      </c>
      <c r="AY34">
        <v>9.6999999999999993</v>
      </c>
      <c r="AZ34">
        <v>10</v>
      </c>
      <c r="BA34">
        <v>11.1</v>
      </c>
      <c r="BB34">
        <v>10</v>
      </c>
    </row>
    <row r="35" spans="1:54" x14ac:dyDescent="0.35">
      <c r="A35" s="1">
        <v>46059.469444444447</v>
      </c>
      <c r="B35">
        <v>20.100000000000001</v>
      </c>
      <c r="C35">
        <v>3</v>
      </c>
      <c r="D35">
        <v>18.7</v>
      </c>
      <c r="E35">
        <v>2</v>
      </c>
      <c r="F35">
        <v>6.7</v>
      </c>
      <c r="G35">
        <v>9.9</v>
      </c>
      <c r="H35">
        <v>0</v>
      </c>
      <c r="I35">
        <v>13.5</v>
      </c>
      <c r="J35">
        <v>9.9</v>
      </c>
      <c r="K35">
        <v>0</v>
      </c>
      <c r="L35">
        <v>11.7</v>
      </c>
      <c r="M35">
        <v>14.9</v>
      </c>
      <c r="N35">
        <v>0</v>
      </c>
      <c r="O35">
        <v>11.6</v>
      </c>
      <c r="P35">
        <v>7.4</v>
      </c>
      <c r="Q35">
        <v>0</v>
      </c>
      <c r="R35">
        <v>8.1</v>
      </c>
      <c r="S35">
        <v>11.3</v>
      </c>
      <c r="T35">
        <v>0</v>
      </c>
      <c r="U35">
        <v>-18.2</v>
      </c>
      <c r="V35">
        <v>-20.5</v>
      </c>
      <c r="W35">
        <v>-22</v>
      </c>
      <c r="X35">
        <v>-18.5</v>
      </c>
      <c r="Y35">
        <v>-16.7</v>
      </c>
      <c r="Z35">
        <v>-22</v>
      </c>
      <c r="AA35">
        <v>0.5</v>
      </c>
      <c r="AB35">
        <v>0</v>
      </c>
      <c r="AC35">
        <v>40.5</v>
      </c>
      <c r="AD35">
        <v>7.6</v>
      </c>
      <c r="AE35">
        <v>6</v>
      </c>
      <c r="AF35">
        <v>0</v>
      </c>
      <c r="AG35">
        <v>10.199999999999999</v>
      </c>
      <c r="AH35">
        <v>10</v>
      </c>
      <c r="AI35">
        <v>11.2</v>
      </c>
      <c r="AJ35">
        <v>10</v>
      </c>
      <c r="AK35">
        <v>11.9</v>
      </c>
      <c r="AL35">
        <v>10</v>
      </c>
      <c r="AM35">
        <v>12.5</v>
      </c>
      <c r="AN35">
        <v>9</v>
      </c>
      <c r="AO35">
        <v>10.4</v>
      </c>
      <c r="AP35">
        <v>10</v>
      </c>
      <c r="AQ35">
        <v>12.3</v>
      </c>
      <c r="AR35">
        <v>10</v>
      </c>
      <c r="AS35">
        <v>11.3</v>
      </c>
      <c r="AT35">
        <v>10</v>
      </c>
      <c r="AU35">
        <v>18.7</v>
      </c>
      <c r="AV35">
        <v>19</v>
      </c>
      <c r="AW35">
        <v>19.899999999999999</v>
      </c>
      <c r="AX35">
        <v>19</v>
      </c>
      <c r="AY35">
        <v>10.199999999999999</v>
      </c>
      <c r="AZ35">
        <v>10</v>
      </c>
      <c r="BA35">
        <v>10.199999999999999</v>
      </c>
      <c r="BB35">
        <v>10</v>
      </c>
    </row>
    <row r="36" spans="1:54" x14ac:dyDescent="0.35">
      <c r="A36" s="1">
        <v>46059.470138888886</v>
      </c>
      <c r="B36">
        <v>20.100000000000001</v>
      </c>
      <c r="C36">
        <v>3</v>
      </c>
      <c r="D36">
        <v>18.7</v>
      </c>
      <c r="E36">
        <v>2</v>
      </c>
      <c r="F36">
        <v>6.7</v>
      </c>
      <c r="G36">
        <v>9.9</v>
      </c>
      <c r="H36">
        <v>0</v>
      </c>
      <c r="I36">
        <v>13.5</v>
      </c>
      <c r="J36">
        <v>9.9</v>
      </c>
      <c r="K36">
        <v>0</v>
      </c>
      <c r="L36">
        <v>11.7</v>
      </c>
      <c r="M36">
        <v>14.9</v>
      </c>
      <c r="N36">
        <v>0</v>
      </c>
      <c r="O36">
        <v>11.6</v>
      </c>
      <c r="P36">
        <v>7.4</v>
      </c>
      <c r="Q36">
        <v>0</v>
      </c>
      <c r="R36">
        <v>8.1</v>
      </c>
      <c r="S36">
        <v>11.3</v>
      </c>
      <c r="T36">
        <v>0</v>
      </c>
      <c r="U36">
        <v>-18.3</v>
      </c>
      <c r="V36">
        <v>-20.6</v>
      </c>
      <c r="W36">
        <v>-22</v>
      </c>
      <c r="X36">
        <v>-18.600000000000001</v>
      </c>
      <c r="Y36">
        <v>-16.8</v>
      </c>
      <c r="Z36">
        <v>-22</v>
      </c>
      <c r="AA36">
        <v>0.6</v>
      </c>
      <c r="AB36">
        <v>0</v>
      </c>
      <c r="AC36">
        <v>40.5</v>
      </c>
      <c r="AD36">
        <v>7.6</v>
      </c>
      <c r="AE36">
        <v>6</v>
      </c>
      <c r="AF36">
        <v>0</v>
      </c>
      <c r="AG36">
        <v>9.9</v>
      </c>
      <c r="AH36">
        <v>10</v>
      </c>
      <c r="AI36">
        <v>11.3</v>
      </c>
      <c r="AJ36">
        <v>10</v>
      </c>
      <c r="AK36">
        <v>11.9</v>
      </c>
      <c r="AL36">
        <v>10</v>
      </c>
      <c r="AM36">
        <v>12.5</v>
      </c>
      <c r="AN36">
        <v>9</v>
      </c>
      <c r="AO36">
        <v>10.4</v>
      </c>
      <c r="AP36">
        <v>10</v>
      </c>
      <c r="AQ36">
        <v>12</v>
      </c>
      <c r="AR36">
        <v>10</v>
      </c>
      <c r="AS36">
        <v>11.5</v>
      </c>
      <c r="AT36">
        <v>10</v>
      </c>
      <c r="AU36">
        <v>18.7</v>
      </c>
      <c r="AV36">
        <v>19</v>
      </c>
      <c r="AW36">
        <v>19.899999999999999</v>
      </c>
      <c r="AX36">
        <v>19</v>
      </c>
      <c r="AY36">
        <v>10.5</v>
      </c>
      <c r="AZ36">
        <v>10</v>
      </c>
      <c r="BA36">
        <v>9.6999999999999993</v>
      </c>
      <c r="BB36">
        <v>10</v>
      </c>
    </row>
    <row r="37" spans="1:54" x14ac:dyDescent="0.35">
      <c r="A37" s="1">
        <v>46059.470833333333</v>
      </c>
      <c r="B37">
        <v>20.100000000000001</v>
      </c>
      <c r="C37">
        <v>3</v>
      </c>
      <c r="D37">
        <v>18.7</v>
      </c>
      <c r="E37">
        <v>2</v>
      </c>
      <c r="F37">
        <v>6.7</v>
      </c>
      <c r="G37">
        <v>9.9</v>
      </c>
      <c r="H37">
        <v>0</v>
      </c>
      <c r="I37">
        <v>13.5</v>
      </c>
      <c r="J37">
        <v>9.9</v>
      </c>
      <c r="K37">
        <v>0</v>
      </c>
      <c r="L37">
        <v>11.7</v>
      </c>
      <c r="M37">
        <v>14.9</v>
      </c>
      <c r="N37">
        <v>0</v>
      </c>
      <c r="O37">
        <v>11.6</v>
      </c>
      <c r="P37">
        <v>7.4</v>
      </c>
      <c r="Q37">
        <v>0</v>
      </c>
      <c r="R37">
        <v>8.1</v>
      </c>
      <c r="S37">
        <v>11.3</v>
      </c>
      <c r="T37">
        <v>0</v>
      </c>
      <c r="U37">
        <v>-18.3</v>
      </c>
      <c r="V37">
        <v>-20.7</v>
      </c>
      <c r="W37">
        <v>-22</v>
      </c>
      <c r="X37">
        <v>-18.600000000000001</v>
      </c>
      <c r="Y37">
        <v>-16.8</v>
      </c>
      <c r="Z37">
        <v>-22</v>
      </c>
      <c r="AA37">
        <v>0.7</v>
      </c>
      <c r="AB37">
        <v>0.1</v>
      </c>
      <c r="AC37">
        <v>40.5</v>
      </c>
      <c r="AD37">
        <v>7.7</v>
      </c>
      <c r="AE37">
        <v>6</v>
      </c>
      <c r="AF37">
        <v>0</v>
      </c>
      <c r="AG37">
        <v>9.9</v>
      </c>
      <c r="AH37">
        <v>10</v>
      </c>
      <c r="AI37">
        <v>11.4</v>
      </c>
      <c r="AJ37">
        <v>10</v>
      </c>
      <c r="AK37">
        <v>12</v>
      </c>
      <c r="AL37">
        <v>10</v>
      </c>
      <c r="AM37">
        <v>12.5</v>
      </c>
      <c r="AN37">
        <v>9</v>
      </c>
      <c r="AO37">
        <v>10.6</v>
      </c>
      <c r="AP37">
        <v>10</v>
      </c>
      <c r="AQ37">
        <v>11.9</v>
      </c>
      <c r="AR37">
        <v>10</v>
      </c>
      <c r="AS37">
        <v>11.7</v>
      </c>
      <c r="AT37">
        <v>10</v>
      </c>
      <c r="AU37">
        <v>18.7</v>
      </c>
      <c r="AV37">
        <v>19</v>
      </c>
      <c r="AW37">
        <v>19.899999999999999</v>
      </c>
      <c r="AX37">
        <v>19</v>
      </c>
      <c r="AY37">
        <v>10.8</v>
      </c>
      <c r="AZ37">
        <v>10</v>
      </c>
      <c r="BA37">
        <v>9.6999999999999993</v>
      </c>
      <c r="BB37">
        <v>10</v>
      </c>
    </row>
    <row r="38" spans="1:54" x14ac:dyDescent="0.35">
      <c r="A38" s="1">
        <v>46059.47152777778</v>
      </c>
      <c r="B38">
        <v>20.100000000000001</v>
      </c>
      <c r="C38">
        <v>3</v>
      </c>
      <c r="D38">
        <v>18.7</v>
      </c>
      <c r="E38">
        <v>2</v>
      </c>
      <c r="F38">
        <v>6.7</v>
      </c>
      <c r="G38">
        <v>9.9</v>
      </c>
      <c r="H38">
        <v>0</v>
      </c>
      <c r="I38">
        <v>13.5</v>
      </c>
      <c r="J38">
        <v>9.9</v>
      </c>
      <c r="K38">
        <v>0</v>
      </c>
      <c r="L38">
        <v>11.7</v>
      </c>
      <c r="M38">
        <v>14.9</v>
      </c>
      <c r="N38">
        <v>0</v>
      </c>
      <c r="O38">
        <v>11.6</v>
      </c>
      <c r="P38">
        <v>7.4</v>
      </c>
      <c r="Q38">
        <v>0</v>
      </c>
      <c r="R38">
        <v>8.1</v>
      </c>
      <c r="S38">
        <v>11.3</v>
      </c>
      <c r="T38">
        <v>0</v>
      </c>
      <c r="U38">
        <v>-18.399999999999999</v>
      </c>
      <c r="V38">
        <v>-20.7</v>
      </c>
      <c r="W38">
        <v>-22</v>
      </c>
      <c r="X38">
        <v>-18.7</v>
      </c>
      <c r="Y38">
        <v>-16.899999999999999</v>
      </c>
      <c r="Z38">
        <v>-22</v>
      </c>
      <c r="AA38">
        <v>0.8</v>
      </c>
      <c r="AB38">
        <v>0.1</v>
      </c>
      <c r="AC38">
        <v>40.5</v>
      </c>
      <c r="AD38">
        <v>7.7</v>
      </c>
      <c r="AE38">
        <v>6</v>
      </c>
      <c r="AF38">
        <v>0</v>
      </c>
      <c r="AG38">
        <v>10.199999999999999</v>
      </c>
      <c r="AH38">
        <v>10</v>
      </c>
      <c r="AI38">
        <v>11.5</v>
      </c>
      <c r="AJ38">
        <v>10</v>
      </c>
      <c r="AK38">
        <v>11.2</v>
      </c>
      <c r="AL38">
        <v>10</v>
      </c>
      <c r="AM38">
        <v>12.5</v>
      </c>
      <c r="AN38">
        <v>9</v>
      </c>
      <c r="AO38">
        <v>10.6</v>
      </c>
      <c r="AP38">
        <v>10</v>
      </c>
      <c r="AQ38">
        <v>11.9</v>
      </c>
      <c r="AR38">
        <v>10</v>
      </c>
      <c r="AS38">
        <v>11.9</v>
      </c>
      <c r="AT38">
        <v>10</v>
      </c>
      <c r="AU38">
        <v>18.7</v>
      </c>
      <c r="AV38">
        <v>19</v>
      </c>
      <c r="AW38">
        <v>19.899999999999999</v>
      </c>
      <c r="AX38">
        <v>19</v>
      </c>
      <c r="AY38">
        <v>11.1</v>
      </c>
      <c r="AZ38">
        <v>10</v>
      </c>
      <c r="BA38">
        <v>10.199999999999999</v>
      </c>
      <c r="BB38">
        <v>10</v>
      </c>
    </row>
    <row r="39" spans="1:54" x14ac:dyDescent="0.35">
      <c r="A39" s="1">
        <v>46059.472222222219</v>
      </c>
      <c r="B39">
        <v>20.100000000000001</v>
      </c>
      <c r="C39">
        <v>3</v>
      </c>
      <c r="D39">
        <v>18.7</v>
      </c>
      <c r="E39">
        <v>2</v>
      </c>
      <c r="F39">
        <v>6.7</v>
      </c>
      <c r="G39">
        <v>10</v>
      </c>
      <c r="H39">
        <v>0</v>
      </c>
      <c r="I39">
        <v>13.5</v>
      </c>
      <c r="J39">
        <v>9.9</v>
      </c>
      <c r="K39">
        <v>0</v>
      </c>
      <c r="L39">
        <v>11.7</v>
      </c>
      <c r="M39">
        <v>14.9</v>
      </c>
      <c r="N39">
        <v>0</v>
      </c>
      <c r="O39">
        <v>11.6</v>
      </c>
      <c r="P39">
        <v>7.4</v>
      </c>
      <c r="Q39">
        <v>0</v>
      </c>
      <c r="R39">
        <v>8.1</v>
      </c>
      <c r="S39">
        <v>11.3</v>
      </c>
      <c r="T39">
        <v>0</v>
      </c>
      <c r="U39">
        <v>-18.5</v>
      </c>
      <c r="V39">
        <v>-21.2</v>
      </c>
      <c r="W39">
        <v>-22</v>
      </c>
      <c r="X39">
        <v>-18.8</v>
      </c>
      <c r="Y39">
        <v>-17</v>
      </c>
      <c r="Z39">
        <v>-22</v>
      </c>
      <c r="AA39">
        <v>1</v>
      </c>
      <c r="AB39">
        <v>0.1</v>
      </c>
      <c r="AC39">
        <v>40.5</v>
      </c>
      <c r="AD39">
        <v>7.7</v>
      </c>
      <c r="AE39">
        <v>6</v>
      </c>
      <c r="AF39">
        <v>0</v>
      </c>
      <c r="AG39">
        <v>10.4</v>
      </c>
      <c r="AH39">
        <v>10</v>
      </c>
      <c r="AI39">
        <v>11.6</v>
      </c>
      <c r="AJ39">
        <v>10</v>
      </c>
      <c r="AK39">
        <v>10.4</v>
      </c>
      <c r="AL39">
        <v>10</v>
      </c>
      <c r="AM39">
        <v>12.5</v>
      </c>
      <c r="AN39">
        <v>9</v>
      </c>
      <c r="AO39">
        <v>10.4</v>
      </c>
      <c r="AP39">
        <v>10</v>
      </c>
      <c r="AQ39">
        <v>12</v>
      </c>
      <c r="AR39">
        <v>10</v>
      </c>
      <c r="AS39">
        <v>12</v>
      </c>
      <c r="AT39">
        <v>10</v>
      </c>
      <c r="AU39">
        <v>18.7</v>
      </c>
      <c r="AV39">
        <v>19</v>
      </c>
      <c r="AW39">
        <v>19.8</v>
      </c>
      <c r="AX39">
        <v>19</v>
      </c>
      <c r="AY39">
        <v>11.4</v>
      </c>
      <c r="AZ39">
        <v>10</v>
      </c>
      <c r="BA39">
        <v>10.6</v>
      </c>
      <c r="BB39">
        <v>10</v>
      </c>
    </row>
    <row r="40" spans="1:54" x14ac:dyDescent="0.35">
      <c r="A40" s="1">
        <v>46059.472916666666</v>
      </c>
      <c r="B40">
        <v>20.2</v>
      </c>
      <c r="C40">
        <v>3</v>
      </c>
      <c r="D40">
        <v>18.7</v>
      </c>
      <c r="E40">
        <v>2</v>
      </c>
      <c r="F40">
        <v>6.7</v>
      </c>
      <c r="G40">
        <v>10</v>
      </c>
      <c r="H40">
        <v>0</v>
      </c>
      <c r="I40">
        <v>13.5</v>
      </c>
      <c r="J40">
        <v>9.9</v>
      </c>
      <c r="K40">
        <v>0</v>
      </c>
      <c r="L40">
        <v>11.7</v>
      </c>
      <c r="M40">
        <v>14.9</v>
      </c>
      <c r="N40">
        <v>0</v>
      </c>
      <c r="O40">
        <v>11.6</v>
      </c>
      <c r="P40">
        <v>7.4</v>
      </c>
      <c r="Q40">
        <v>0</v>
      </c>
      <c r="R40">
        <v>8.1</v>
      </c>
      <c r="S40">
        <v>11.3</v>
      </c>
      <c r="T40">
        <v>0</v>
      </c>
      <c r="U40">
        <v>-18.5</v>
      </c>
      <c r="V40">
        <v>-20.9</v>
      </c>
      <c r="W40">
        <v>-22</v>
      </c>
      <c r="X40">
        <v>-18.899999999999999</v>
      </c>
      <c r="Y40">
        <v>-17.100000000000001</v>
      </c>
      <c r="Z40">
        <v>-22</v>
      </c>
      <c r="AA40">
        <v>1.6</v>
      </c>
      <c r="AB40">
        <v>0.1</v>
      </c>
      <c r="AC40">
        <v>40.5</v>
      </c>
      <c r="AD40">
        <v>7.7</v>
      </c>
      <c r="AE40">
        <v>6</v>
      </c>
      <c r="AF40">
        <v>0</v>
      </c>
      <c r="AG40">
        <v>10.7</v>
      </c>
      <c r="AH40">
        <v>10</v>
      </c>
      <c r="AI40">
        <v>11.7</v>
      </c>
      <c r="AJ40">
        <v>10</v>
      </c>
      <c r="AK40">
        <v>10</v>
      </c>
      <c r="AL40">
        <v>10</v>
      </c>
      <c r="AM40">
        <v>12.4</v>
      </c>
      <c r="AN40">
        <v>9</v>
      </c>
      <c r="AO40">
        <v>10.3</v>
      </c>
      <c r="AP40">
        <v>10</v>
      </c>
      <c r="AQ40">
        <v>11.8</v>
      </c>
      <c r="AR40">
        <v>10</v>
      </c>
      <c r="AS40">
        <v>10</v>
      </c>
      <c r="AT40">
        <v>10</v>
      </c>
      <c r="AU40">
        <v>18.7</v>
      </c>
      <c r="AV40">
        <v>19</v>
      </c>
      <c r="AW40">
        <v>19.8</v>
      </c>
      <c r="AX40">
        <v>19</v>
      </c>
      <c r="AY40">
        <v>11.6</v>
      </c>
      <c r="AZ40">
        <v>10</v>
      </c>
      <c r="BA40">
        <v>10.9</v>
      </c>
      <c r="BB40">
        <v>10</v>
      </c>
    </row>
    <row r="41" spans="1:54" x14ac:dyDescent="0.35">
      <c r="A41" s="1">
        <v>46059.473611111112</v>
      </c>
      <c r="B41">
        <v>20.2</v>
      </c>
      <c r="C41">
        <v>3</v>
      </c>
      <c r="D41">
        <v>18.7</v>
      </c>
      <c r="E41">
        <v>2</v>
      </c>
      <c r="F41">
        <v>6.7</v>
      </c>
      <c r="G41">
        <v>10</v>
      </c>
      <c r="H41">
        <v>0</v>
      </c>
      <c r="I41">
        <v>13.5</v>
      </c>
      <c r="J41">
        <v>9.9</v>
      </c>
      <c r="K41">
        <v>0</v>
      </c>
      <c r="L41">
        <v>11.7</v>
      </c>
      <c r="M41">
        <v>14.9</v>
      </c>
      <c r="N41">
        <v>0</v>
      </c>
      <c r="O41">
        <v>11.6</v>
      </c>
      <c r="P41">
        <v>7.4</v>
      </c>
      <c r="Q41">
        <v>0</v>
      </c>
      <c r="R41">
        <v>8.1</v>
      </c>
      <c r="S41">
        <v>11.3</v>
      </c>
      <c r="T41">
        <v>0</v>
      </c>
      <c r="U41">
        <v>-18.600000000000001</v>
      </c>
      <c r="V41">
        <v>-21.2</v>
      </c>
      <c r="W41">
        <v>-22</v>
      </c>
      <c r="X41">
        <v>-18.899999999999999</v>
      </c>
      <c r="Y41">
        <v>-17.2</v>
      </c>
      <c r="Z41">
        <v>-22</v>
      </c>
      <c r="AA41">
        <v>1.9</v>
      </c>
      <c r="AB41">
        <v>0.1</v>
      </c>
      <c r="AC41">
        <v>40.5</v>
      </c>
      <c r="AD41">
        <v>7.7</v>
      </c>
      <c r="AE41">
        <v>6</v>
      </c>
      <c r="AF41">
        <v>0</v>
      </c>
      <c r="AG41">
        <v>10.9</v>
      </c>
      <c r="AH41">
        <v>10</v>
      </c>
      <c r="AI41">
        <v>11.8</v>
      </c>
      <c r="AJ41">
        <v>10</v>
      </c>
      <c r="AK41">
        <v>10</v>
      </c>
      <c r="AL41">
        <v>10</v>
      </c>
      <c r="AM41">
        <v>12.4</v>
      </c>
      <c r="AN41">
        <v>9</v>
      </c>
      <c r="AO41">
        <v>10</v>
      </c>
      <c r="AP41">
        <v>10</v>
      </c>
      <c r="AQ41">
        <v>11.8</v>
      </c>
      <c r="AR41">
        <v>10</v>
      </c>
      <c r="AS41">
        <v>8.3000000000000007</v>
      </c>
      <c r="AT41">
        <v>10</v>
      </c>
      <c r="AU41">
        <v>18.7</v>
      </c>
      <c r="AV41">
        <v>19</v>
      </c>
      <c r="AW41">
        <v>19.8</v>
      </c>
      <c r="AX41">
        <v>19</v>
      </c>
      <c r="AY41">
        <v>11.8</v>
      </c>
      <c r="AZ41">
        <v>10</v>
      </c>
      <c r="BA41">
        <v>11.3</v>
      </c>
      <c r="BB41">
        <v>10</v>
      </c>
    </row>
    <row r="42" spans="1:54" x14ac:dyDescent="0.35">
      <c r="A42" s="1">
        <v>46059.474305555559</v>
      </c>
      <c r="B42">
        <v>20.2</v>
      </c>
      <c r="C42">
        <v>3</v>
      </c>
      <c r="D42">
        <v>18.7</v>
      </c>
      <c r="E42">
        <v>2</v>
      </c>
      <c r="F42">
        <v>6.7</v>
      </c>
      <c r="G42">
        <v>10</v>
      </c>
      <c r="H42">
        <v>0</v>
      </c>
      <c r="I42">
        <v>13.5</v>
      </c>
      <c r="J42">
        <v>9.9</v>
      </c>
      <c r="K42">
        <v>0</v>
      </c>
      <c r="L42">
        <v>11.7</v>
      </c>
      <c r="M42">
        <v>14.9</v>
      </c>
      <c r="N42">
        <v>0</v>
      </c>
      <c r="O42">
        <v>11.6</v>
      </c>
      <c r="P42">
        <v>7.5</v>
      </c>
      <c r="Q42">
        <v>0</v>
      </c>
      <c r="R42">
        <v>8.1</v>
      </c>
      <c r="S42">
        <v>11.3</v>
      </c>
      <c r="T42">
        <v>0</v>
      </c>
      <c r="U42">
        <v>-18.600000000000001</v>
      </c>
      <c r="V42">
        <v>-21</v>
      </c>
      <c r="W42">
        <v>-22</v>
      </c>
      <c r="X42">
        <v>-18.899999999999999</v>
      </c>
      <c r="Y42">
        <v>-17.2</v>
      </c>
      <c r="Z42">
        <v>-22</v>
      </c>
      <c r="AA42">
        <v>2.4</v>
      </c>
      <c r="AB42">
        <v>0.1</v>
      </c>
      <c r="AC42">
        <v>40.5</v>
      </c>
      <c r="AD42">
        <v>8</v>
      </c>
      <c r="AE42">
        <v>6.1</v>
      </c>
      <c r="AF42">
        <v>0</v>
      </c>
      <c r="AG42">
        <v>11</v>
      </c>
      <c r="AH42">
        <v>10</v>
      </c>
      <c r="AI42">
        <v>11.8</v>
      </c>
      <c r="AJ42">
        <v>10</v>
      </c>
      <c r="AK42">
        <v>10.199999999999999</v>
      </c>
      <c r="AL42">
        <v>10</v>
      </c>
      <c r="AM42">
        <v>12.4</v>
      </c>
      <c r="AN42">
        <v>9</v>
      </c>
      <c r="AO42">
        <v>10.6</v>
      </c>
      <c r="AP42">
        <v>10</v>
      </c>
      <c r="AQ42">
        <v>11.8</v>
      </c>
      <c r="AR42">
        <v>10</v>
      </c>
      <c r="AS42">
        <v>8.1</v>
      </c>
      <c r="AT42">
        <v>10</v>
      </c>
      <c r="AU42">
        <v>18.7</v>
      </c>
      <c r="AV42">
        <v>19</v>
      </c>
      <c r="AW42">
        <v>19.8</v>
      </c>
      <c r="AX42">
        <v>19</v>
      </c>
      <c r="AY42">
        <v>12</v>
      </c>
      <c r="AZ42">
        <v>10</v>
      </c>
      <c r="BA42">
        <v>11.5</v>
      </c>
      <c r="BB42">
        <v>10</v>
      </c>
    </row>
    <row r="43" spans="1:54" x14ac:dyDescent="0.35">
      <c r="A43" s="1">
        <v>46059.474999999999</v>
      </c>
      <c r="B43">
        <v>20.2</v>
      </c>
      <c r="C43">
        <v>3</v>
      </c>
      <c r="D43">
        <v>18.7</v>
      </c>
      <c r="E43">
        <v>2</v>
      </c>
      <c r="F43">
        <v>6.7</v>
      </c>
      <c r="G43">
        <v>10</v>
      </c>
      <c r="H43">
        <v>0</v>
      </c>
      <c r="I43">
        <v>13.5</v>
      </c>
      <c r="J43">
        <v>9.9</v>
      </c>
      <c r="K43">
        <v>0</v>
      </c>
      <c r="L43">
        <v>11.7</v>
      </c>
      <c r="M43">
        <v>14.9</v>
      </c>
      <c r="N43">
        <v>0</v>
      </c>
      <c r="O43">
        <v>11.6</v>
      </c>
      <c r="P43">
        <v>7.5</v>
      </c>
      <c r="Q43">
        <v>0</v>
      </c>
      <c r="R43">
        <v>8.1999999999999993</v>
      </c>
      <c r="S43">
        <v>11.3</v>
      </c>
      <c r="T43">
        <v>0</v>
      </c>
      <c r="U43">
        <v>-18.600000000000001</v>
      </c>
      <c r="V43">
        <v>-21</v>
      </c>
      <c r="W43">
        <v>-22</v>
      </c>
      <c r="X43">
        <v>-18.899999999999999</v>
      </c>
      <c r="Y43">
        <v>-17.3</v>
      </c>
      <c r="Z43">
        <v>-22</v>
      </c>
      <c r="AA43">
        <v>2.6</v>
      </c>
      <c r="AB43">
        <v>0.1</v>
      </c>
      <c r="AC43">
        <v>40.5</v>
      </c>
      <c r="AD43">
        <v>8.1</v>
      </c>
      <c r="AE43">
        <v>6.1</v>
      </c>
      <c r="AF43">
        <v>0</v>
      </c>
      <c r="AG43">
        <v>11.2</v>
      </c>
      <c r="AH43">
        <v>10</v>
      </c>
      <c r="AI43">
        <v>11.9</v>
      </c>
      <c r="AJ43">
        <v>10</v>
      </c>
      <c r="AK43">
        <v>10.5</v>
      </c>
      <c r="AL43">
        <v>10</v>
      </c>
      <c r="AM43">
        <v>12.4</v>
      </c>
      <c r="AN43">
        <v>9</v>
      </c>
      <c r="AO43">
        <v>11.2</v>
      </c>
      <c r="AP43">
        <v>10</v>
      </c>
      <c r="AQ43">
        <v>11.6</v>
      </c>
      <c r="AR43">
        <v>10</v>
      </c>
      <c r="AS43">
        <v>8.6999999999999993</v>
      </c>
      <c r="AT43">
        <v>10</v>
      </c>
      <c r="AU43">
        <v>18.600000000000001</v>
      </c>
      <c r="AV43">
        <v>19</v>
      </c>
      <c r="AW43">
        <v>19.8</v>
      </c>
      <c r="AX43">
        <v>19</v>
      </c>
      <c r="AY43">
        <v>11.5</v>
      </c>
      <c r="AZ43">
        <v>10</v>
      </c>
      <c r="BA43">
        <v>11.8</v>
      </c>
      <c r="BB43">
        <v>10</v>
      </c>
    </row>
    <row r="44" spans="1:54" x14ac:dyDescent="0.35">
      <c r="A44" s="1">
        <v>46059.475694444445</v>
      </c>
      <c r="B44">
        <v>20.2</v>
      </c>
      <c r="C44">
        <v>3</v>
      </c>
      <c r="D44">
        <v>18.7</v>
      </c>
      <c r="E44">
        <v>2</v>
      </c>
      <c r="F44">
        <v>6.8</v>
      </c>
      <c r="G44">
        <v>10</v>
      </c>
      <c r="H44">
        <v>0</v>
      </c>
      <c r="I44">
        <v>13.5</v>
      </c>
      <c r="J44">
        <v>9.9</v>
      </c>
      <c r="K44">
        <v>0</v>
      </c>
      <c r="L44">
        <v>11.7</v>
      </c>
      <c r="M44">
        <v>14.9</v>
      </c>
      <c r="N44">
        <v>0</v>
      </c>
      <c r="O44">
        <v>11.6</v>
      </c>
      <c r="P44">
        <v>7.5</v>
      </c>
      <c r="Q44">
        <v>0</v>
      </c>
      <c r="R44">
        <v>8.1999999999999993</v>
      </c>
      <c r="S44">
        <v>11.3</v>
      </c>
      <c r="T44">
        <v>0</v>
      </c>
      <c r="U44">
        <v>-18.600000000000001</v>
      </c>
      <c r="V44">
        <v>-21.4</v>
      </c>
      <c r="W44">
        <v>-22</v>
      </c>
      <c r="X44">
        <v>-19</v>
      </c>
      <c r="Y44">
        <v>-17.3</v>
      </c>
      <c r="Z44">
        <v>-22</v>
      </c>
      <c r="AA44">
        <v>2.8</v>
      </c>
      <c r="AB44">
        <v>0.1</v>
      </c>
      <c r="AC44">
        <v>40.5</v>
      </c>
      <c r="AD44">
        <v>8.4</v>
      </c>
      <c r="AE44">
        <v>6.1</v>
      </c>
      <c r="AF44">
        <v>0</v>
      </c>
      <c r="AG44">
        <v>11.3</v>
      </c>
      <c r="AH44">
        <v>10</v>
      </c>
      <c r="AI44">
        <v>12</v>
      </c>
      <c r="AJ44">
        <v>10</v>
      </c>
      <c r="AK44">
        <v>10.8</v>
      </c>
      <c r="AL44">
        <v>10</v>
      </c>
      <c r="AM44">
        <v>12.4</v>
      </c>
      <c r="AN44">
        <v>9</v>
      </c>
      <c r="AO44">
        <v>11.6</v>
      </c>
      <c r="AP44">
        <v>10</v>
      </c>
      <c r="AQ44">
        <v>11.2</v>
      </c>
      <c r="AR44">
        <v>10</v>
      </c>
      <c r="AS44">
        <v>9.3000000000000007</v>
      </c>
      <c r="AT44">
        <v>10</v>
      </c>
      <c r="AU44">
        <v>18.600000000000001</v>
      </c>
      <c r="AV44">
        <v>19</v>
      </c>
      <c r="AW44">
        <v>19.8</v>
      </c>
      <c r="AX44">
        <v>19</v>
      </c>
      <c r="AY44">
        <v>10.6</v>
      </c>
      <c r="AZ44">
        <v>10</v>
      </c>
      <c r="BA44">
        <v>12</v>
      </c>
      <c r="BB44">
        <v>10</v>
      </c>
    </row>
    <row r="45" spans="1:54" x14ac:dyDescent="0.35">
      <c r="A45" s="1">
        <v>46059.476388888892</v>
      </c>
      <c r="B45">
        <v>20.2</v>
      </c>
      <c r="C45">
        <v>3</v>
      </c>
      <c r="D45">
        <v>18.7</v>
      </c>
      <c r="E45">
        <v>2</v>
      </c>
      <c r="F45">
        <v>6.8</v>
      </c>
      <c r="G45">
        <v>10</v>
      </c>
      <c r="H45">
        <v>0</v>
      </c>
      <c r="I45">
        <v>13.5</v>
      </c>
      <c r="J45">
        <v>9.9</v>
      </c>
      <c r="K45">
        <v>0</v>
      </c>
      <c r="L45">
        <v>11.7</v>
      </c>
      <c r="M45">
        <v>14.9</v>
      </c>
      <c r="N45">
        <v>0</v>
      </c>
      <c r="O45">
        <v>11.6</v>
      </c>
      <c r="P45">
        <v>7.5</v>
      </c>
      <c r="Q45">
        <v>0</v>
      </c>
      <c r="R45">
        <v>8.1999999999999993</v>
      </c>
      <c r="S45">
        <v>11.3</v>
      </c>
      <c r="T45">
        <v>0</v>
      </c>
      <c r="U45">
        <v>-17.7</v>
      </c>
      <c r="V45">
        <v>-19</v>
      </c>
      <c r="W45">
        <v>-22</v>
      </c>
      <c r="X45">
        <v>-18.8</v>
      </c>
      <c r="Y45">
        <v>-17.399999999999999</v>
      </c>
      <c r="Z45">
        <v>-22</v>
      </c>
      <c r="AA45">
        <v>3</v>
      </c>
      <c r="AB45">
        <v>0.1</v>
      </c>
      <c r="AC45">
        <v>40.5</v>
      </c>
      <c r="AD45">
        <v>8.4</v>
      </c>
      <c r="AE45">
        <v>6.2</v>
      </c>
      <c r="AF45">
        <v>0</v>
      </c>
      <c r="AG45">
        <v>11.5</v>
      </c>
      <c r="AH45">
        <v>10</v>
      </c>
      <c r="AI45">
        <v>11</v>
      </c>
      <c r="AJ45">
        <v>10</v>
      </c>
      <c r="AK45">
        <v>11</v>
      </c>
      <c r="AL45">
        <v>10</v>
      </c>
      <c r="AM45">
        <v>12.4</v>
      </c>
      <c r="AN45">
        <v>9</v>
      </c>
      <c r="AO45">
        <v>11.8</v>
      </c>
      <c r="AP45">
        <v>10</v>
      </c>
      <c r="AQ45">
        <v>11</v>
      </c>
      <c r="AR45">
        <v>10</v>
      </c>
      <c r="AS45">
        <v>9.8000000000000007</v>
      </c>
      <c r="AT45">
        <v>10</v>
      </c>
      <c r="AU45">
        <v>18.600000000000001</v>
      </c>
      <c r="AV45">
        <v>19</v>
      </c>
      <c r="AW45">
        <v>19.7</v>
      </c>
      <c r="AX45">
        <v>19</v>
      </c>
      <c r="AY45">
        <v>9.8000000000000007</v>
      </c>
      <c r="AZ45">
        <v>10</v>
      </c>
      <c r="BA45">
        <v>11.9</v>
      </c>
      <c r="BB45">
        <v>10</v>
      </c>
    </row>
    <row r="46" spans="1:54" x14ac:dyDescent="0.35">
      <c r="A46" s="1">
        <v>46059.477083333331</v>
      </c>
      <c r="B46">
        <v>20.2</v>
      </c>
      <c r="C46">
        <v>3</v>
      </c>
      <c r="D46">
        <v>18.7</v>
      </c>
      <c r="E46">
        <v>2</v>
      </c>
      <c r="F46">
        <v>6.8</v>
      </c>
      <c r="G46">
        <v>10</v>
      </c>
      <c r="H46">
        <v>0</v>
      </c>
      <c r="I46">
        <v>13.5</v>
      </c>
      <c r="J46">
        <v>9.9</v>
      </c>
      <c r="K46">
        <v>0</v>
      </c>
      <c r="L46">
        <v>11.7</v>
      </c>
      <c r="M46">
        <v>14.9</v>
      </c>
      <c r="N46">
        <v>0</v>
      </c>
      <c r="O46">
        <v>11.6</v>
      </c>
      <c r="P46">
        <v>7.5</v>
      </c>
      <c r="Q46">
        <v>0</v>
      </c>
      <c r="R46">
        <v>8.1999999999999993</v>
      </c>
      <c r="S46">
        <v>11.3</v>
      </c>
      <c r="T46">
        <v>0</v>
      </c>
      <c r="U46">
        <v>-15.2</v>
      </c>
      <c r="V46">
        <v>-16.2</v>
      </c>
      <c r="W46">
        <v>-22</v>
      </c>
      <c r="X46">
        <v>-17.100000000000001</v>
      </c>
      <c r="Y46">
        <v>-17.399999999999999</v>
      </c>
      <c r="Z46">
        <v>-22</v>
      </c>
      <c r="AA46">
        <v>3.2</v>
      </c>
      <c r="AB46">
        <v>0.2</v>
      </c>
      <c r="AC46">
        <v>40.5</v>
      </c>
      <c r="AD46">
        <v>8.4</v>
      </c>
      <c r="AE46">
        <v>6.3</v>
      </c>
      <c r="AF46">
        <v>0</v>
      </c>
      <c r="AG46">
        <v>11.6</v>
      </c>
      <c r="AH46">
        <v>10</v>
      </c>
      <c r="AI46">
        <v>9</v>
      </c>
      <c r="AJ46">
        <v>10</v>
      </c>
      <c r="AK46">
        <v>11.2</v>
      </c>
      <c r="AL46">
        <v>10</v>
      </c>
      <c r="AM46">
        <v>12.5</v>
      </c>
      <c r="AN46">
        <v>9</v>
      </c>
      <c r="AO46">
        <v>12</v>
      </c>
      <c r="AP46">
        <v>10</v>
      </c>
      <c r="AQ46">
        <v>10.8</v>
      </c>
      <c r="AR46">
        <v>10</v>
      </c>
      <c r="AS46">
        <v>10.199999999999999</v>
      </c>
      <c r="AT46">
        <v>10</v>
      </c>
      <c r="AU46">
        <v>18.600000000000001</v>
      </c>
      <c r="AV46">
        <v>19</v>
      </c>
      <c r="AW46">
        <v>19.7</v>
      </c>
      <c r="AX46">
        <v>19</v>
      </c>
      <c r="AY46">
        <v>9.6999999999999993</v>
      </c>
      <c r="AZ46">
        <v>10</v>
      </c>
      <c r="BA46">
        <v>10.9</v>
      </c>
      <c r="BB46">
        <v>10</v>
      </c>
    </row>
    <row r="47" spans="1:54" x14ac:dyDescent="0.35">
      <c r="A47" s="1">
        <v>46059.477777777778</v>
      </c>
      <c r="B47">
        <v>20.2</v>
      </c>
      <c r="C47">
        <v>3</v>
      </c>
      <c r="D47">
        <v>18.7</v>
      </c>
      <c r="E47">
        <v>2</v>
      </c>
      <c r="F47">
        <v>6.8</v>
      </c>
      <c r="G47">
        <v>10</v>
      </c>
      <c r="H47">
        <v>0</v>
      </c>
      <c r="I47">
        <v>13.5</v>
      </c>
      <c r="J47">
        <v>9.9</v>
      </c>
      <c r="K47">
        <v>0</v>
      </c>
      <c r="L47">
        <v>11.7</v>
      </c>
      <c r="M47">
        <v>14.9</v>
      </c>
      <c r="N47">
        <v>0</v>
      </c>
      <c r="O47">
        <v>11.6</v>
      </c>
      <c r="P47">
        <v>7.5</v>
      </c>
      <c r="Q47">
        <v>0</v>
      </c>
      <c r="R47">
        <v>8.1999999999999993</v>
      </c>
      <c r="S47">
        <v>11.3</v>
      </c>
      <c r="T47">
        <v>0</v>
      </c>
      <c r="U47">
        <v>-14.8</v>
      </c>
      <c r="V47">
        <v>-16.899999999999999</v>
      </c>
      <c r="W47">
        <v>-22</v>
      </c>
      <c r="X47">
        <v>-16.399999999999999</v>
      </c>
      <c r="Y47">
        <v>-17.100000000000001</v>
      </c>
      <c r="Z47">
        <v>-22</v>
      </c>
      <c r="AA47">
        <v>3.4</v>
      </c>
      <c r="AB47">
        <v>0.2</v>
      </c>
      <c r="AC47">
        <v>40.5</v>
      </c>
      <c r="AD47">
        <v>8.4</v>
      </c>
      <c r="AE47">
        <v>6.3</v>
      </c>
      <c r="AF47">
        <v>0</v>
      </c>
      <c r="AG47">
        <v>11.7</v>
      </c>
      <c r="AH47">
        <v>10</v>
      </c>
      <c r="AI47">
        <v>8.6</v>
      </c>
      <c r="AJ47">
        <v>10</v>
      </c>
      <c r="AK47">
        <v>11.3</v>
      </c>
      <c r="AL47">
        <v>10</v>
      </c>
      <c r="AM47">
        <v>12.6</v>
      </c>
      <c r="AN47">
        <v>9</v>
      </c>
      <c r="AO47">
        <v>11.1</v>
      </c>
      <c r="AP47">
        <v>10</v>
      </c>
      <c r="AQ47">
        <v>10.4</v>
      </c>
      <c r="AR47">
        <v>10</v>
      </c>
      <c r="AS47">
        <v>10.5</v>
      </c>
      <c r="AT47">
        <v>10</v>
      </c>
      <c r="AU47">
        <v>18.600000000000001</v>
      </c>
      <c r="AV47">
        <v>19</v>
      </c>
      <c r="AW47">
        <v>19.7</v>
      </c>
      <c r="AX47">
        <v>19</v>
      </c>
      <c r="AY47">
        <v>10</v>
      </c>
      <c r="AZ47">
        <v>10</v>
      </c>
      <c r="BA47">
        <v>10.3</v>
      </c>
      <c r="BB47">
        <v>10</v>
      </c>
    </row>
    <row r="48" spans="1:54" x14ac:dyDescent="0.35">
      <c r="A48" s="1">
        <v>46059.478472222225</v>
      </c>
      <c r="B48">
        <v>20.2</v>
      </c>
      <c r="C48">
        <v>3</v>
      </c>
      <c r="D48">
        <v>18.7</v>
      </c>
      <c r="E48">
        <v>2</v>
      </c>
      <c r="F48">
        <v>6.8</v>
      </c>
      <c r="G48">
        <v>10</v>
      </c>
      <c r="H48">
        <v>0</v>
      </c>
      <c r="I48">
        <v>13.5</v>
      </c>
      <c r="J48">
        <v>9.9</v>
      </c>
      <c r="K48">
        <v>0</v>
      </c>
      <c r="L48">
        <v>11.7</v>
      </c>
      <c r="M48">
        <v>14.9</v>
      </c>
      <c r="N48">
        <v>0</v>
      </c>
      <c r="O48">
        <v>11.6</v>
      </c>
      <c r="P48">
        <v>7.5</v>
      </c>
      <c r="Q48">
        <v>0</v>
      </c>
      <c r="R48">
        <v>8.1999999999999993</v>
      </c>
      <c r="S48">
        <v>11.3</v>
      </c>
      <c r="T48">
        <v>0</v>
      </c>
      <c r="U48">
        <v>-15.3</v>
      </c>
      <c r="V48">
        <v>-18.100000000000001</v>
      </c>
      <c r="W48">
        <v>-22</v>
      </c>
      <c r="X48">
        <v>-16.5</v>
      </c>
      <c r="Y48">
        <v>-16.899999999999999</v>
      </c>
      <c r="Z48">
        <v>-22</v>
      </c>
      <c r="AA48">
        <v>3.6</v>
      </c>
      <c r="AB48">
        <v>0.2</v>
      </c>
      <c r="AC48">
        <v>40.5</v>
      </c>
      <c r="AD48">
        <v>8.4</v>
      </c>
      <c r="AE48">
        <v>6.4</v>
      </c>
      <c r="AF48">
        <v>0</v>
      </c>
      <c r="AG48">
        <v>11.8</v>
      </c>
      <c r="AH48">
        <v>10</v>
      </c>
      <c r="AI48">
        <v>8.5</v>
      </c>
      <c r="AJ48">
        <v>10</v>
      </c>
      <c r="AK48">
        <v>11.4</v>
      </c>
      <c r="AL48">
        <v>10</v>
      </c>
      <c r="AM48">
        <v>12.6</v>
      </c>
      <c r="AN48">
        <v>9</v>
      </c>
      <c r="AO48">
        <v>10.4</v>
      </c>
      <c r="AP48">
        <v>10</v>
      </c>
      <c r="AQ48">
        <v>10.4</v>
      </c>
      <c r="AR48">
        <v>10</v>
      </c>
      <c r="AS48">
        <v>10.8</v>
      </c>
      <c r="AT48">
        <v>10</v>
      </c>
      <c r="AU48">
        <v>18.600000000000001</v>
      </c>
      <c r="AV48">
        <v>19</v>
      </c>
      <c r="AW48">
        <v>19.8</v>
      </c>
      <c r="AX48">
        <v>19</v>
      </c>
      <c r="AY48">
        <v>10.4</v>
      </c>
      <c r="AZ48">
        <v>10</v>
      </c>
      <c r="BA48">
        <v>9.6999999999999993</v>
      </c>
      <c r="BB48">
        <v>10</v>
      </c>
    </row>
    <row r="49" spans="1:54" x14ac:dyDescent="0.35">
      <c r="A49" s="1">
        <v>46059.479166666664</v>
      </c>
      <c r="B49">
        <v>20.2</v>
      </c>
      <c r="C49">
        <v>3</v>
      </c>
      <c r="D49">
        <v>18.7</v>
      </c>
      <c r="E49">
        <v>2</v>
      </c>
      <c r="F49">
        <v>6.8</v>
      </c>
      <c r="G49">
        <v>10</v>
      </c>
      <c r="H49">
        <v>0</v>
      </c>
      <c r="I49">
        <v>13.5</v>
      </c>
      <c r="J49">
        <v>9.9</v>
      </c>
      <c r="K49">
        <v>0</v>
      </c>
      <c r="L49">
        <v>11.7</v>
      </c>
      <c r="M49">
        <v>14.9</v>
      </c>
      <c r="N49">
        <v>0</v>
      </c>
      <c r="O49">
        <v>11.6</v>
      </c>
      <c r="P49">
        <v>7.5</v>
      </c>
      <c r="Q49">
        <v>0</v>
      </c>
      <c r="R49">
        <v>8.1999999999999993</v>
      </c>
      <c r="S49">
        <v>11.3</v>
      </c>
      <c r="T49">
        <v>0</v>
      </c>
      <c r="U49">
        <v>-13.2</v>
      </c>
      <c r="V49">
        <v>-15.3</v>
      </c>
      <c r="W49">
        <v>-22</v>
      </c>
      <c r="X49">
        <v>-14.7</v>
      </c>
      <c r="Y49">
        <v>-16.5</v>
      </c>
      <c r="Z49">
        <v>-22</v>
      </c>
      <c r="AA49">
        <v>6</v>
      </c>
      <c r="AB49">
        <v>0.2</v>
      </c>
      <c r="AC49">
        <v>40.5</v>
      </c>
      <c r="AD49">
        <v>8.4</v>
      </c>
      <c r="AE49">
        <v>6.4</v>
      </c>
      <c r="AF49">
        <v>0</v>
      </c>
      <c r="AG49">
        <v>11.9</v>
      </c>
      <c r="AH49">
        <v>10</v>
      </c>
      <c r="AI49">
        <v>8.9</v>
      </c>
      <c r="AJ49">
        <v>10</v>
      </c>
      <c r="AK49">
        <v>11.4</v>
      </c>
      <c r="AL49">
        <v>10</v>
      </c>
      <c r="AM49">
        <v>12.6</v>
      </c>
      <c r="AN49">
        <v>9</v>
      </c>
      <c r="AO49">
        <v>10</v>
      </c>
      <c r="AP49">
        <v>10</v>
      </c>
      <c r="AQ49">
        <v>10.4</v>
      </c>
      <c r="AR49">
        <v>10</v>
      </c>
      <c r="AS49">
        <v>11</v>
      </c>
      <c r="AT49">
        <v>10</v>
      </c>
      <c r="AU49">
        <v>18.600000000000001</v>
      </c>
      <c r="AV49">
        <v>19</v>
      </c>
      <c r="AW49">
        <v>19.899999999999999</v>
      </c>
      <c r="AX49">
        <v>19</v>
      </c>
      <c r="AY49">
        <v>10.8</v>
      </c>
      <c r="AZ49">
        <v>10</v>
      </c>
      <c r="BA49">
        <v>9.6999999999999993</v>
      </c>
      <c r="BB49">
        <v>10</v>
      </c>
    </row>
    <row r="50" spans="1:54" x14ac:dyDescent="0.35">
      <c r="A50" s="1">
        <v>46059.479861111111</v>
      </c>
      <c r="B50">
        <v>20.2</v>
      </c>
      <c r="C50">
        <v>3</v>
      </c>
      <c r="D50">
        <v>18.7</v>
      </c>
      <c r="E50">
        <v>2</v>
      </c>
      <c r="F50">
        <v>6.8</v>
      </c>
      <c r="G50">
        <v>10</v>
      </c>
      <c r="H50">
        <v>0</v>
      </c>
      <c r="I50">
        <v>13.5</v>
      </c>
      <c r="J50">
        <v>9.9</v>
      </c>
      <c r="K50">
        <v>0</v>
      </c>
      <c r="L50">
        <v>11.7</v>
      </c>
      <c r="M50">
        <v>14.9</v>
      </c>
      <c r="N50">
        <v>0</v>
      </c>
      <c r="O50">
        <v>12</v>
      </c>
      <c r="P50">
        <v>7.5</v>
      </c>
      <c r="Q50">
        <v>0</v>
      </c>
      <c r="R50">
        <v>8.1999999999999993</v>
      </c>
      <c r="S50">
        <v>11.3</v>
      </c>
      <c r="T50">
        <v>0</v>
      </c>
      <c r="U50">
        <v>-14.2</v>
      </c>
      <c r="V50">
        <v>-17</v>
      </c>
      <c r="W50">
        <v>-22</v>
      </c>
      <c r="X50">
        <v>-15</v>
      </c>
      <c r="Y50">
        <v>-16.100000000000001</v>
      </c>
      <c r="Z50">
        <v>-22</v>
      </c>
      <c r="AA50">
        <v>7.8</v>
      </c>
      <c r="AB50">
        <v>0.2</v>
      </c>
      <c r="AC50">
        <v>40.5</v>
      </c>
      <c r="AD50">
        <v>8.4</v>
      </c>
      <c r="AE50">
        <v>6.4</v>
      </c>
      <c r="AF50">
        <v>0</v>
      </c>
      <c r="AG50">
        <v>12</v>
      </c>
      <c r="AH50">
        <v>10</v>
      </c>
      <c r="AI50">
        <v>9.1999999999999993</v>
      </c>
      <c r="AJ50">
        <v>10</v>
      </c>
      <c r="AK50">
        <v>11.5</v>
      </c>
      <c r="AL50">
        <v>10</v>
      </c>
      <c r="AM50">
        <v>12.6</v>
      </c>
      <c r="AN50">
        <v>9</v>
      </c>
      <c r="AO50">
        <v>10.7</v>
      </c>
      <c r="AP50">
        <v>10</v>
      </c>
      <c r="AQ50">
        <v>10.5</v>
      </c>
      <c r="AR50">
        <v>10</v>
      </c>
      <c r="AS50">
        <v>11.2</v>
      </c>
      <c r="AT50">
        <v>10</v>
      </c>
      <c r="AU50">
        <v>18.600000000000001</v>
      </c>
      <c r="AV50">
        <v>19</v>
      </c>
      <c r="AW50">
        <v>19.899999999999999</v>
      </c>
      <c r="AX50">
        <v>19</v>
      </c>
      <c r="AY50">
        <v>11</v>
      </c>
      <c r="AZ50">
        <v>10</v>
      </c>
      <c r="BA50">
        <v>10.199999999999999</v>
      </c>
      <c r="BB50">
        <v>10</v>
      </c>
    </row>
    <row r="51" spans="1:54" x14ac:dyDescent="0.35">
      <c r="A51" s="1">
        <v>46059.480555555558</v>
      </c>
      <c r="B51">
        <v>20.2</v>
      </c>
      <c r="C51">
        <v>3</v>
      </c>
      <c r="D51">
        <v>18.7</v>
      </c>
      <c r="E51">
        <v>2</v>
      </c>
      <c r="F51">
        <v>6.8</v>
      </c>
      <c r="G51">
        <v>10</v>
      </c>
      <c r="H51">
        <v>0</v>
      </c>
      <c r="I51">
        <v>13.5</v>
      </c>
      <c r="J51">
        <v>9.9</v>
      </c>
      <c r="K51">
        <v>0</v>
      </c>
      <c r="L51">
        <v>11.7</v>
      </c>
      <c r="M51">
        <v>14.9</v>
      </c>
      <c r="N51">
        <v>0</v>
      </c>
      <c r="O51">
        <v>12</v>
      </c>
      <c r="P51">
        <v>7.5</v>
      </c>
      <c r="Q51">
        <v>0</v>
      </c>
      <c r="R51">
        <v>8.1999999999999993</v>
      </c>
      <c r="S51">
        <v>11.3</v>
      </c>
      <c r="T51">
        <v>0</v>
      </c>
      <c r="U51">
        <v>-13.3</v>
      </c>
      <c r="V51">
        <v>-16.2</v>
      </c>
      <c r="W51">
        <v>-22</v>
      </c>
      <c r="X51">
        <v>-14.7</v>
      </c>
      <c r="Y51">
        <v>-15.9</v>
      </c>
      <c r="Z51">
        <v>-22</v>
      </c>
      <c r="AA51">
        <v>8.5</v>
      </c>
      <c r="AB51">
        <v>0.2</v>
      </c>
      <c r="AC51">
        <v>40.5</v>
      </c>
      <c r="AD51">
        <v>8.3000000000000007</v>
      </c>
      <c r="AE51">
        <v>6.4</v>
      </c>
      <c r="AF51">
        <v>0</v>
      </c>
      <c r="AG51">
        <v>11.7</v>
      </c>
      <c r="AH51">
        <v>10</v>
      </c>
      <c r="AI51">
        <v>9.5</v>
      </c>
      <c r="AJ51">
        <v>10</v>
      </c>
      <c r="AK51">
        <v>11.5</v>
      </c>
      <c r="AL51">
        <v>10</v>
      </c>
      <c r="AM51">
        <v>12.6</v>
      </c>
      <c r="AN51">
        <v>9</v>
      </c>
      <c r="AO51">
        <v>11.3</v>
      </c>
      <c r="AP51">
        <v>10</v>
      </c>
      <c r="AQ51">
        <v>10.5</v>
      </c>
      <c r="AR51">
        <v>10</v>
      </c>
      <c r="AS51">
        <v>11.4</v>
      </c>
      <c r="AT51">
        <v>10</v>
      </c>
      <c r="AU51">
        <v>18.600000000000001</v>
      </c>
      <c r="AV51">
        <v>19</v>
      </c>
      <c r="AW51">
        <v>19.899999999999999</v>
      </c>
      <c r="AX51">
        <v>19</v>
      </c>
      <c r="AY51">
        <v>11.3</v>
      </c>
      <c r="AZ51">
        <v>10</v>
      </c>
      <c r="BA51">
        <v>10.6</v>
      </c>
      <c r="BB51">
        <v>10</v>
      </c>
    </row>
    <row r="52" spans="1:54" x14ac:dyDescent="0.35">
      <c r="A52" s="1">
        <v>46059.481249999997</v>
      </c>
      <c r="B52">
        <v>20.2</v>
      </c>
      <c r="C52">
        <v>3</v>
      </c>
      <c r="D52">
        <v>18.7</v>
      </c>
      <c r="E52">
        <v>2</v>
      </c>
      <c r="F52">
        <v>6.8</v>
      </c>
      <c r="G52">
        <v>10</v>
      </c>
      <c r="H52">
        <v>0</v>
      </c>
      <c r="I52">
        <v>13.5</v>
      </c>
      <c r="J52">
        <v>9.9</v>
      </c>
      <c r="K52">
        <v>0</v>
      </c>
      <c r="L52">
        <v>11.7</v>
      </c>
      <c r="M52">
        <v>14.9</v>
      </c>
      <c r="N52">
        <v>0</v>
      </c>
      <c r="O52">
        <v>12</v>
      </c>
      <c r="P52">
        <v>7.5</v>
      </c>
      <c r="Q52">
        <v>0</v>
      </c>
      <c r="R52">
        <v>8.1999999999999993</v>
      </c>
      <c r="S52">
        <v>11.3</v>
      </c>
      <c r="T52">
        <v>0</v>
      </c>
      <c r="U52">
        <v>-14.8</v>
      </c>
      <c r="V52">
        <v>-17.5</v>
      </c>
      <c r="W52">
        <v>-22</v>
      </c>
      <c r="X52">
        <v>-15.4</v>
      </c>
      <c r="Y52">
        <v>-15.7</v>
      </c>
      <c r="Z52">
        <v>-22</v>
      </c>
      <c r="AA52">
        <v>8.8000000000000007</v>
      </c>
      <c r="AB52">
        <v>0.2</v>
      </c>
      <c r="AC52">
        <v>40.5</v>
      </c>
      <c r="AD52">
        <v>8.3000000000000007</v>
      </c>
      <c r="AE52">
        <v>6.4</v>
      </c>
      <c r="AF52">
        <v>0</v>
      </c>
      <c r="AG52">
        <v>10.9</v>
      </c>
      <c r="AH52">
        <v>10</v>
      </c>
      <c r="AI52">
        <v>9.8000000000000007</v>
      </c>
      <c r="AJ52">
        <v>10</v>
      </c>
      <c r="AK52">
        <v>11.6</v>
      </c>
      <c r="AL52">
        <v>10</v>
      </c>
      <c r="AM52">
        <v>12.6</v>
      </c>
      <c r="AN52">
        <v>9</v>
      </c>
      <c r="AO52">
        <v>11.6</v>
      </c>
      <c r="AP52">
        <v>10</v>
      </c>
      <c r="AQ52">
        <v>10.5</v>
      </c>
      <c r="AR52">
        <v>10</v>
      </c>
      <c r="AS52">
        <v>11.6</v>
      </c>
      <c r="AT52">
        <v>10</v>
      </c>
      <c r="AU52">
        <v>18.600000000000001</v>
      </c>
      <c r="AV52">
        <v>19</v>
      </c>
      <c r="AW52">
        <v>19.899999999999999</v>
      </c>
      <c r="AX52">
        <v>19</v>
      </c>
      <c r="AY52">
        <v>11.6</v>
      </c>
      <c r="AZ52">
        <v>10</v>
      </c>
      <c r="BA52">
        <v>10.9</v>
      </c>
      <c r="BB52">
        <v>10</v>
      </c>
    </row>
    <row r="53" spans="1:54" x14ac:dyDescent="0.35">
      <c r="A53" s="1">
        <v>46059.481944444444</v>
      </c>
      <c r="B53">
        <v>20.2</v>
      </c>
      <c r="C53">
        <v>3</v>
      </c>
      <c r="D53">
        <v>18.7</v>
      </c>
      <c r="E53">
        <v>2</v>
      </c>
      <c r="F53">
        <v>6.8</v>
      </c>
      <c r="G53">
        <v>10</v>
      </c>
      <c r="H53">
        <v>0</v>
      </c>
      <c r="I53">
        <v>13.5</v>
      </c>
      <c r="J53">
        <v>9.9</v>
      </c>
      <c r="K53">
        <v>0</v>
      </c>
      <c r="L53">
        <v>11.7</v>
      </c>
      <c r="M53">
        <v>14.9</v>
      </c>
      <c r="N53">
        <v>0</v>
      </c>
      <c r="O53">
        <v>12</v>
      </c>
      <c r="P53">
        <v>7.5</v>
      </c>
      <c r="Q53">
        <v>0</v>
      </c>
      <c r="R53">
        <v>8.1999999999999993</v>
      </c>
      <c r="S53">
        <v>11.3</v>
      </c>
      <c r="T53">
        <v>0</v>
      </c>
      <c r="U53">
        <v>-15.7</v>
      </c>
      <c r="V53">
        <v>-18.2</v>
      </c>
      <c r="W53">
        <v>-22</v>
      </c>
      <c r="X53">
        <v>-16.100000000000001</v>
      </c>
      <c r="Y53">
        <v>-15.7</v>
      </c>
      <c r="Z53">
        <v>-22</v>
      </c>
      <c r="AA53">
        <v>9.3000000000000007</v>
      </c>
      <c r="AB53">
        <v>0.2</v>
      </c>
      <c r="AC53">
        <v>40.5</v>
      </c>
      <c r="AD53">
        <v>8.3000000000000007</v>
      </c>
      <c r="AE53">
        <v>6.4</v>
      </c>
      <c r="AF53">
        <v>0</v>
      </c>
      <c r="AG53">
        <v>10.1</v>
      </c>
      <c r="AH53">
        <v>10</v>
      </c>
      <c r="AI53">
        <v>10</v>
      </c>
      <c r="AJ53">
        <v>10</v>
      </c>
      <c r="AK53">
        <v>11.7</v>
      </c>
      <c r="AL53">
        <v>10</v>
      </c>
      <c r="AM53">
        <v>12.6</v>
      </c>
      <c r="AN53">
        <v>9</v>
      </c>
      <c r="AO53">
        <v>11.8</v>
      </c>
      <c r="AP53">
        <v>10</v>
      </c>
      <c r="AQ53">
        <v>10.5</v>
      </c>
      <c r="AR53">
        <v>10</v>
      </c>
      <c r="AS53">
        <v>11.8</v>
      </c>
      <c r="AT53">
        <v>10</v>
      </c>
      <c r="AU53">
        <v>18.600000000000001</v>
      </c>
      <c r="AV53">
        <v>19</v>
      </c>
      <c r="AW53">
        <v>19.8</v>
      </c>
      <c r="AX53">
        <v>19</v>
      </c>
      <c r="AY53">
        <v>11.7</v>
      </c>
      <c r="AZ53">
        <v>10</v>
      </c>
      <c r="BA53">
        <v>11.2</v>
      </c>
      <c r="BB53">
        <v>10</v>
      </c>
    </row>
    <row r="54" spans="1:54" x14ac:dyDescent="0.35">
      <c r="A54" s="1">
        <v>46059.482638888891</v>
      </c>
      <c r="B54">
        <v>20.2</v>
      </c>
      <c r="C54">
        <v>3</v>
      </c>
      <c r="D54">
        <v>18.7</v>
      </c>
      <c r="E54">
        <v>2</v>
      </c>
      <c r="F54">
        <v>6.8</v>
      </c>
      <c r="G54">
        <v>10</v>
      </c>
      <c r="H54">
        <v>0</v>
      </c>
      <c r="I54">
        <v>13.5</v>
      </c>
      <c r="J54">
        <v>9.9</v>
      </c>
      <c r="K54">
        <v>0</v>
      </c>
      <c r="L54">
        <v>11.7</v>
      </c>
      <c r="M54">
        <v>14.9</v>
      </c>
      <c r="N54">
        <v>0</v>
      </c>
      <c r="O54">
        <v>12</v>
      </c>
      <c r="P54">
        <v>7.6</v>
      </c>
      <c r="Q54">
        <v>0</v>
      </c>
      <c r="R54">
        <v>8.1999999999999993</v>
      </c>
      <c r="S54">
        <v>11.3</v>
      </c>
      <c r="T54">
        <v>0</v>
      </c>
      <c r="U54">
        <v>-16.3</v>
      </c>
      <c r="V54">
        <v>-19</v>
      </c>
      <c r="W54">
        <v>-22</v>
      </c>
      <c r="X54">
        <v>-16.600000000000001</v>
      </c>
      <c r="Y54">
        <v>-15.6</v>
      </c>
      <c r="Z54">
        <v>-22</v>
      </c>
      <c r="AA54">
        <v>9.8000000000000007</v>
      </c>
      <c r="AB54">
        <v>0.3</v>
      </c>
      <c r="AC54">
        <v>40.5</v>
      </c>
      <c r="AD54">
        <v>8.1999999999999993</v>
      </c>
      <c r="AE54">
        <v>6.4</v>
      </c>
      <c r="AF54">
        <v>0</v>
      </c>
      <c r="AG54">
        <v>9.6</v>
      </c>
      <c r="AH54">
        <v>10</v>
      </c>
      <c r="AI54">
        <v>10.199999999999999</v>
      </c>
      <c r="AJ54">
        <v>10</v>
      </c>
      <c r="AK54">
        <v>11.9</v>
      </c>
      <c r="AL54">
        <v>10</v>
      </c>
      <c r="AM54">
        <v>12.6</v>
      </c>
      <c r="AN54">
        <v>9</v>
      </c>
      <c r="AO54">
        <v>12</v>
      </c>
      <c r="AP54">
        <v>10</v>
      </c>
      <c r="AQ54">
        <v>10.4</v>
      </c>
      <c r="AR54">
        <v>10</v>
      </c>
      <c r="AS54">
        <v>12</v>
      </c>
      <c r="AT54">
        <v>10</v>
      </c>
      <c r="AU54">
        <v>18.600000000000001</v>
      </c>
      <c r="AV54">
        <v>19</v>
      </c>
      <c r="AW54">
        <v>19.8</v>
      </c>
      <c r="AX54">
        <v>19</v>
      </c>
      <c r="AY54">
        <v>11.9</v>
      </c>
      <c r="AZ54">
        <v>10</v>
      </c>
      <c r="BA54">
        <v>11.6</v>
      </c>
      <c r="BB54">
        <v>10</v>
      </c>
    </row>
    <row r="55" spans="1:54" x14ac:dyDescent="0.35">
      <c r="A55" s="1">
        <v>46059.48333333333</v>
      </c>
      <c r="B55">
        <v>20.2</v>
      </c>
      <c r="C55">
        <v>3</v>
      </c>
      <c r="D55">
        <v>18.7</v>
      </c>
      <c r="E55">
        <v>2</v>
      </c>
      <c r="F55">
        <v>6.8</v>
      </c>
      <c r="G55">
        <v>10.1</v>
      </c>
      <c r="H55">
        <v>0</v>
      </c>
      <c r="I55">
        <v>13.5</v>
      </c>
      <c r="J55">
        <v>9.9</v>
      </c>
      <c r="K55">
        <v>0</v>
      </c>
      <c r="L55">
        <v>11.7</v>
      </c>
      <c r="M55">
        <v>14.9</v>
      </c>
      <c r="N55">
        <v>0</v>
      </c>
      <c r="O55">
        <v>12</v>
      </c>
      <c r="P55">
        <v>7.6</v>
      </c>
      <c r="Q55">
        <v>0</v>
      </c>
      <c r="R55">
        <v>8.1999999999999993</v>
      </c>
      <c r="S55">
        <v>11.3</v>
      </c>
      <c r="T55">
        <v>0</v>
      </c>
      <c r="U55">
        <v>-16.2</v>
      </c>
      <c r="V55">
        <v>-18.600000000000001</v>
      </c>
      <c r="W55">
        <v>-22</v>
      </c>
      <c r="X55">
        <v>-17.2</v>
      </c>
      <c r="Y55">
        <v>-15.6</v>
      </c>
      <c r="Z55">
        <v>-22</v>
      </c>
      <c r="AA55">
        <v>10.1</v>
      </c>
      <c r="AB55">
        <v>0.5</v>
      </c>
      <c r="AC55">
        <v>40.5</v>
      </c>
      <c r="AD55">
        <v>8.1999999999999993</v>
      </c>
      <c r="AE55">
        <v>6.5</v>
      </c>
      <c r="AF55">
        <v>0</v>
      </c>
      <c r="AG55">
        <v>9.6</v>
      </c>
      <c r="AH55">
        <v>10</v>
      </c>
      <c r="AI55">
        <v>10.4</v>
      </c>
      <c r="AJ55">
        <v>10</v>
      </c>
      <c r="AK55">
        <v>12</v>
      </c>
      <c r="AL55">
        <v>10</v>
      </c>
      <c r="AM55">
        <v>12.6</v>
      </c>
      <c r="AN55">
        <v>9</v>
      </c>
      <c r="AO55">
        <v>11.1</v>
      </c>
      <c r="AP55">
        <v>10</v>
      </c>
      <c r="AQ55">
        <v>10.3</v>
      </c>
      <c r="AR55">
        <v>10</v>
      </c>
      <c r="AS55">
        <v>10.9</v>
      </c>
      <c r="AT55">
        <v>10</v>
      </c>
      <c r="AU55">
        <v>18.600000000000001</v>
      </c>
      <c r="AV55">
        <v>19</v>
      </c>
      <c r="AW55">
        <v>19.8</v>
      </c>
      <c r="AX55">
        <v>19</v>
      </c>
      <c r="AY55">
        <v>11.8</v>
      </c>
      <c r="AZ55">
        <v>10</v>
      </c>
      <c r="BA55">
        <v>11.8</v>
      </c>
      <c r="BB55">
        <v>10</v>
      </c>
    </row>
    <row r="56" spans="1:54" x14ac:dyDescent="0.35">
      <c r="A56" s="1">
        <v>46059.484027777777</v>
      </c>
      <c r="B56">
        <v>20.2</v>
      </c>
      <c r="C56">
        <v>3</v>
      </c>
      <c r="D56">
        <v>18.8</v>
      </c>
      <c r="E56">
        <v>2</v>
      </c>
      <c r="F56">
        <v>6.8</v>
      </c>
      <c r="G56">
        <v>10.1</v>
      </c>
      <c r="H56">
        <v>0</v>
      </c>
      <c r="I56">
        <v>13.5</v>
      </c>
      <c r="J56">
        <v>9.9</v>
      </c>
      <c r="K56">
        <v>0</v>
      </c>
      <c r="L56">
        <v>11.7</v>
      </c>
      <c r="M56">
        <v>14.9</v>
      </c>
      <c r="N56">
        <v>0</v>
      </c>
      <c r="O56">
        <v>12</v>
      </c>
      <c r="P56">
        <v>7.6</v>
      </c>
      <c r="Q56">
        <v>0</v>
      </c>
      <c r="R56">
        <v>8.1999999999999993</v>
      </c>
      <c r="S56">
        <v>11.3</v>
      </c>
      <c r="T56">
        <v>0</v>
      </c>
      <c r="U56">
        <v>-15.7</v>
      </c>
      <c r="V56">
        <v>-17.600000000000001</v>
      </c>
      <c r="W56">
        <v>-22</v>
      </c>
      <c r="X56">
        <v>-16.5</v>
      </c>
      <c r="Y56">
        <v>-15.6</v>
      </c>
      <c r="Z56">
        <v>-22</v>
      </c>
      <c r="AA56">
        <v>10.4</v>
      </c>
      <c r="AB56">
        <v>1.1000000000000001</v>
      </c>
      <c r="AC56">
        <v>40.5</v>
      </c>
      <c r="AD56">
        <v>8.1999999999999993</v>
      </c>
      <c r="AE56">
        <v>6.5</v>
      </c>
      <c r="AF56">
        <v>0</v>
      </c>
      <c r="AG56">
        <v>9.9</v>
      </c>
      <c r="AH56">
        <v>10</v>
      </c>
      <c r="AI56">
        <v>10.6</v>
      </c>
      <c r="AJ56">
        <v>10</v>
      </c>
      <c r="AK56">
        <v>10.9</v>
      </c>
      <c r="AL56">
        <v>10</v>
      </c>
      <c r="AM56">
        <v>12.6</v>
      </c>
      <c r="AN56">
        <v>9</v>
      </c>
      <c r="AO56">
        <v>10.4</v>
      </c>
      <c r="AP56">
        <v>10</v>
      </c>
      <c r="AQ56">
        <v>10.4</v>
      </c>
      <c r="AR56">
        <v>10</v>
      </c>
      <c r="AS56">
        <v>8.3000000000000007</v>
      </c>
      <c r="AT56">
        <v>10</v>
      </c>
      <c r="AU56">
        <v>18.600000000000001</v>
      </c>
      <c r="AV56">
        <v>19</v>
      </c>
      <c r="AW56">
        <v>19.8</v>
      </c>
      <c r="AX56">
        <v>19</v>
      </c>
      <c r="AY56">
        <v>10.7</v>
      </c>
      <c r="AZ56">
        <v>10</v>
      </c>
      <c r="BA56">
        <v>12</v>
      </c>
      <c r="BB56">
        <v>10</v>
      </c>
    </row>
    <row r="57" spans="1:54" x14ac:dyDescent="0.35">
      <c r="A57" s="1">
        <v>46059.484722222223</v>
      </c>
      <c r="B57">
        <v>20.2</v>
      </c>
      <c r="C57">
        <v>3</v>
      </c>
      <c r="D57">
        <v>18.8</v>
      </c>
      <c r="E57">
        <v>2</v>
      </c>
      <c r="F57">
        <v>6.8</v>
      </c>
      <c r="G57">
        <v>10.1</v>
      </c>
      <c r="H57">
        <v>0</v>
      </c>
      <c r="I57">
        <v>13.5</v>
      </c>
      <c r="J57">
        <v>9.9</v>
      </c>
      <c r="K57">
        <v>0</v>
      </c>
      <c r="L57">
        <v>11.7</v>
      </c>
      <c r="M57">
        <v>14.9</v>
      </c>
      <c r="N57">
        <v>0</v>
      </c>
      <c r="O57">
        <v>12</v>
      </c>
      <c r="P57">
        <v>7.6</v>
      </c>
      <c r="Q57">
        <v>0</v>
      </c>
      <c r="R57">
        <v>8.1999999999999993</v>
      </c>
      <c r="S57">
        <v>11.3</v>
      </c>
      <c r="T57">
        <v>0</v>
      </c>
      <c r="U57">
        <v>-12.4</v>
      </c>
      <c r="V57">
        <v>-14</v>
      </c>
      <c r="W57">
        <v>-22</v>
      </c>
      <c r="X57">
        <v>-14.4</v>
      </c>
      <c r="Y57">
        <v>-15.5</v>
      </c>
      <c r="Z57">
        <v>-22</v>
      </c>
      <c r="AA57">
        <v>10.5</v>
      </c>
      <c r="AB57">
        <v>1.8</v>
      </c>
      <c r="AC57">
        <v>40.5</v>
      </c>
      <c r="AD57">
        <v>8.1999999999999993</v>
      </c>
      <c r="AE57">
        <v>6.5</v>
      </c>
      <c r="AF57">
        <v>0</v>
      </c>
      <c r="AG57">
        <v>10.3</v>
      </c>
      <c r="AH57">
        <v>10</v>
      </c>
      <c r="AI57">
        <v>10.7</v>
      </c>
      <c r="AJ57">
        <v>10</v>
      </c>
      <c r="AK57">
        <v>9.4</v>
      </c>
      <c r="AL57">
        <v>10</v>
      </c>
      <c r="AM57">
        <v>12.6</v>
      </c>
      <c r="AN57">
        <v>9</v>
      </c>
      <c r="AO57">
        <v>10</v>
      </c>
      <c r="AP57">
        <v>10</v>
      </c>
      <c r="AQ57">
        <v>10.6</v>
      </c>
      <c r="AR57">
        <v>10</v>
      </c>
      <c r="AS57">
        <v>8</v>
      </c>
      <c r="AT57">
        <v>10</v>
      </c>
      <c r="AU57">
        <v>18.600000000000001</v>
      </c>
      <c r="AV57">
        <v>19</v>
      </c>
      <c r="AW57">
        <v>19.7</v>
      </c>
      <c r="AX57">
        <v>19</v>
      </c>
      <c r="AY57">
        <v>9.9</v>
      </c>
      <c r="AZ57">
        <v>10</v>
      </c>
      <c r="BA57">
        <v>11.7</v>
      </c>
      <c r="BB57">
        <v>10</v>
      </c>
    </row>
    <row r="58" spans="1:54" x14ac:dyDescent="0.35">
      <c r="A58" s="1">
        <v>46059.48541666667</v>
      </c>
      <c r="B58">
        <v>20.2</v>
      </c>
      <c r="C58">
        <v>3</v>
      </c>
      <c r="D58">
        <v>18.8</v>
      </c>
      <c r="E58">
        <v>2</v>
      </c>
      <c r="F58">
        <v>6.8</v>
      </c>
      <c r="G58">
        <v>10.1</v>
      </c>
      <c r="H58">
        <v>0</v>
      </c>
      <c r="I58">
        <v>13.5</v>
      </c>
      <c r="J58">
        <v>9.9</v>
      </c>
      <c r="K58">
        <v>0</v>
      </c>
      <c r="L58">
        <v>11.7</v>
      </c>
      <c r="M58">
        <v>14.9</v>
      </c>
      <c r="N58">
        <v>0</v>
      </c>
      <c r="O58">
        <v>12</v>
      </c>
      <c r="P58">
        <v>7.6</v>
      </c>
      <c r="Q58">
        <v>0</v>
      </c>
      <c r="R58">
        <v>8.1999999999999993</v>
      </c>
      <c r="S58">
        <v>11.3</v>
      </c>
      <c r="T58">
        <v>0</v>
      </c>
      <c r="U58">
        <v>-10</v>
      </c>
      <c r="V58">
        <v>-11.7</v>
      </c>
      <c r="W58">
        <v>-22</v>
      </c>
      <c r="X58">
        <v>-11.3</v>
      </c>
      <c r="Y58">
        <v>-14.8</v>
      </c>
      <c r="Z58">
        <v>-22</v>
      </c>
      <c r="AA58">
        <v>10.8</v>
      </c>
      <c r="AB58">
        <v>2.2000000000000002</v>
      </c>
      <c r="AC58">
        <v>40.5</v>
      </c>
      <c r="AD58">
        <v>8.1999999999999993</v>
      </c>
      <c r="AE58">
        <v>6.5</v>
      </c>
      <c r="AF58">
        <v>0</v>
      </c>
      <c r="AG58">
        <v>10.6</v>
      </c>
      <c r="AH58">
        <v>10</v>
      </c>
      <c r="AI58">
        <v>10.9</v>
      </c>
      <c r="AJ58">
        <v>10</v>
      </c>
      <c r="AK58">
        <v>9.1999999999999993</v>
      </c>
      <c r="AL58">
        <v>10</v>
      </c>
      <c r="AM58">
        <v>12.6</v>
      </c>
      <c r="AN58">
        <v>9</v>
      </c>
      <c r="AO58">
        <v>10.6</v>
      </c>
      <c r="AP58">
        <v>10</v>
      </c>
      <c r="AQ58">
        <v>10.6</v>
      </c>
      <c r="AR58">
        <v>10</v>
      </c>
      <c r="AS58">
        <v>8.6</v>
      </c>
      <c r="AT58">
        <v>10</v>
      </c>
      <c r="AU58">
        <v>18.600000000000001</v>
      </c>
      <c r="AV58">
        <v>19</v>
      </c>
      <c r="AW58">
        <v>19.7</v>
      </c>
      <c r="AX58">
        <v>19</v>
      </c>
      <c r="AY58">
        <v>9.6999999999999993</v>
      </c>
      <c r="AZ58">
        <v>10</v>
      </c>
      <c r="BA58">
        <v>10.9</v>
      </c>
      <c r="BB58">
        <v>10</v>
      </c>
    </row>
    <row r="59" spans="1:54" x14ac:dyDescent="0.35">
      <c r="A59" s="1">
        <v>46059.486111111109</v>
      </c>
      <c r="B59">
        <v>20.2</v>
      </c>
      <c r="C59">
        <v>3</v>
      </c>
      <c r="D59">
        <v>18.8</v>
      </c>
      <c r="E59">
        <v>2</v>
      </c>
      <c r="F59">
        <v>6.8</v>
      </c>
      <c r="G59">
        <v>10.1</v>
      </c>
      <c r="H59">
        <v>0</v>
      </c>
      <c r="I59">
        <v>13.5</v>
      </c>
      <c r="J59">
        <v>9.9</v>
      </c>
      <c r="K59">
        <v>0</v>
      </c>
      <c r="L59">
        <v>11.7</v>
      </c>
      <c r="M59">
        <v>14.9</v>
      </c>
      <c r="N59">
        <v>0</v>
      </c>
      <c r="O59">
        <v>12</v>
      </c>
      <c r="P59">
        <v>7.6</v>
      </c>
      <c r="Q59">
        <v>0</v>
      </c>
      <c r="R59">
        <v>8.3000000000000007</v>
      </c>
      <c r="S59">
        <v>11.3</v>
      </c>
      <c r="T59">
        <v>0</v>
      </c>
      <c r="U59">
        <v>-6.9</v>
      </c>
      <c r="V59">
        <v>-9.1</v>
      </c>
      <c r="W59">
        <v>-22</v>
      </c>
      <c r="X59">
        <v>-9.1</v>
      </c>
      <c r="Y59">
        <v>-14</v>
      </c>
      <c r="Z59">
        <v>-22</v>
      </c>
      <c r="AA59">
        <v>11</v>
      </c>
      <c r="AB59">
        <v>2.5</v>
      </c>
      <c r="AC59">
        <v>40.5</v>
      </c>
      <c r="AD59">
        <v>8.1999999999999993</v>
      </c>
      <c r="AE59">
        <v>6.5</v>
      </c>
      <c r="AF59">
        <v>0</v>
      </c>
      <c r="AG59">
        <v>10.8</v>
      </c>
      <c r="AH59">
        <v>10</v>
      </c>
      <c r="AI59">
        <v>11</v>
      </c>
      <c r="AJ59">
        <v>10</v>
      </c>
      <c r="AK59">
        <v>9.5</v>
      </c>
      <c r="AL59">
        <v>10</v>
      </c>
      <c r="AM59">
        <v>12.6</v>
      </c>
      <c r="AN59">
        <v>9</v>
      </c>
      <c r="AO59">
        <v>11.2</v>
      </c>
      <c r="AP59">
        <v>10</v>
      </c>
      <c r="AQ59">
        <v>10.7</v>
      </c>
      <c r="AR59">
        <v>10</v>
      </c>
      <c r="AS59">
        <v>9.1</v>
      </c>
      <c r="AT59">
        <v>10</v>
      </c>
      <c r="AU59">
        <v>18.600000000000001</v>
      </c>
      <c r="AV59">
        <v>19</v>
      </c>
      <c r="AW59">
        <v>19.7</v>
      </c>
      <c r="AX59">
        <v>19</v>
      </c>
      <c r="AY59">
        <v>9.9</v>
      </c>
      <c r="AZ59">
        <v>10</v>
      </c>
      <c r="BA59">
        <v>10.1</v>
      </c>
      <c r="BB59">
        <v>10</v>
      </c>
    </row>
    <row r="60" spans="1:54" x14ac:dyDescent="0.35">
      <c r="A60" s="1">
        <v>46059.486805555556</v>
      </c>
      <c r="B60">
        <v>20.2</v>
      </c>
      <c r="C60">
        <v>3</v>
      </c>
      <c r="D60">
        <v>18.8</v>
      </c>
      <c r="E60">
        <v>2</v>
      </c>
      <c r="F60">
        <v>6.8</v>
      </c>
      <c r="G60">
        <v>10.1</v>
      </c>
      <c r="H60">
        <v>0</v>
      </c>
      <c r="I60">
        <v>13.5</v>
      </c>
      <c r="J60">
        <v>9.9</v>
      </c>
      <c r="K60">
        <v>0</v>
      </c>
      <c r="L60">
        <v>11.7</v>
      </c>
      <c r="M60">
        <v>14.9</v>
      </c>
      <c r="N60">
        <v>0</v>
      </c>
      <c r="O60">
        <v>12</v>
      </c>
      <c r="P60">
        <v>7.6</v>
      </c>
      <c r="Q60">
        <v>0</v>
      </c>
      <c r="R60">
        <v>8.3000000000000007</v>
      </c>
      <c r="S60">
        <v>11.4</v>
      </c>
      <c r="T60">
        <v>0</v>
      </c>
      <c r="U60">
        <v>-8.5</v>
      </c>
      <c r="V60">
        <v>-11.9</v>
      </c>
      <c r="W60">
        <v>-22</v>
      </c>
      <c r="X60">
        <v>-9.6</v>
      </c>
      <c r="Y60">
        <v>-13.1</v>
      </c>
      <c r="Z60">
        <v>-22</v>
      </c>
      <c r="AA60">
        <v>11.3</v>
      </c>
      <c r="AB60">
        <v>2.9</v>
      </c>
      <c r="AC60">
        <v>40.5</v>
      </c>
      <c r="AD60">
        <v>8.1999999999999993</v>
      </c>
      <c r="AE60">
        <v>6.5</v>
      </c>
      <c r="AF60">
        <v>0</v>
      </c>
      <c r="AG60">
        <v>11</v>
      </c>
      <c r="AH60">
        <v>10</v>
      </c>
      <c r="AI60">
        <v>11.1</v>
      </c>
      <c r="AJ60">
        <v>10</v>
      </c>
      <c r="AK60">
        <v>10.1</v>
      </c>
      <c r="AL60">
        <v>10</v>
      </c>
      <c r="AM60">
        <v>12.6</v>
      </c>
      <c r="AN60">
        <v>9</v>
      </c>
      <c r="AO60">
        <v>11.5</v>
      </c>
      <c r="AP60">
        <v>10</v>
      </c>
      <c r="AQ60">
        <v>10.8</v>
      </c>
      <c r="AR60">
        <v>10</v>
      </c>
      <c r="AS60">
        <v>9.6</v>
      </c>
      <c r="AT60">
        <v>10</v>
      </c>
      <c r="AU60">
        <v>18.600000000000001</v>
      </c>
      <c r="AV60">
        <v>19</v>
      </c>
      <c r="AW60">
        <v>19.7</v>
      </c>
      <c r="AX60">
        <v>19</v>
      </c>
      <c r="AY60">
        <v>10.3</v>
      </c>
      <c r="AZ60">
        <v>10</v>
      </c>
      <c r="BA60">
        <v>9.6999999999999993</v>
      </c>
      <c r="BB60">
        <v>10</v>
      </c>
    </row>
    <row r="61" spans="1:54" x14ac:dyDescent="0.35">
      <c r="A61" s="1">
        <v>46059.487500000003</v>
      </c>
      <c r="B61">
        <v>20.2</v>
      </c>
      <c r="C61">
        <v>3</v>
      </c>
      <c r="D61">
        <v>18.8</v>
      </c>
      <c r="E61">
        <v>2</v>
      </c>
      <c r="F61">
        <v>6.8</v>
      </c>
      <c r="G61">
        <v>10.1</v>
      </c>
      <c r="H61">
        <v>0</v>
      </c>
      <c r="I61">
        <v>13.5</v>
      </c>
      <c r="J61">
        <v>9.9</v>
      </c>
      <c r="K61">
        <v>0</v>
      </c>
      <c r="L61">
        <v>11.7</v>
      </c>
      <c r="M61">
        <v>14.9</v>
      </c>
      <c r="N61">
        <v>0</v>
      </c>
      <c r="O61">
        <v>12</v>
      </c>
      <c r="P61">
        <v>7.6</v>
      </c>
      <c r="Q61">
        <v>0</v>
      </c>
      <c r="R61">
        <v>8.3000000000000007</v>
      </c>
      <c r="S61">
        <v>11.4</v>
      </c>
      <c r="T61">
        <v>0</v>
      </c>
      <c r="U61">
        <v>-10.4</v>
      </c>
      <c r="V61">
        <v>-14</v>
      </c>
      <c r="W61">
        <v>-22</v>
      </c>
      <c r="X61">
        <v>-11.1</v>
      </c>
      <c r="Y61">
        <v>-12.7</v>
      </c>
      <c r="Z61">
        <v>-22</v>
      </c>
      <c r="AA61">
        <v>11.6</v>
      </c>
      <c r="AB61">
        <v>3.4</v>
      </c>
      <c r="AC61">
        <v>40.5</v>
      </c>
      <c r="AD61">
        <v>8.1999999999999993</v>
      </c>
      <c r="AE61">
        <v>6.5</v>
      </c>
      <c r="AF61">
        <v>0</v>
      </c>
      <c r="AG61">
        <v>11.1</v>
      </c>
      <c r="AH61">
        <v>10</v>
      </c>
      <c r="AI61">
        <v>11.2</v>
      </c>
      <c r="AJ61">
        <v>10</v>
      </c>
      <c r="AK61">
        <v>10.4</v>
      </c>
      <c r="AL61">
        <v>10</v>
      </c>
      <c r="AM61">
        <v>12.6</v>
      </c>
      <c r="AN61">
        <v>9</v>
      </c>
      <c r="AO61">
        <v>11.7</v>
      </c>
      <c r="AP61">
        <v>10</v>
      </c>
      <c r="AQ61">
        <v>10.6</v>
      </c>
      <c r="AR61">
        <v>10</v>
      </c>
      <c r="AS61">
        <v>10.1</v>
      </c>
      <c r="AT61">
        <v>10</v>
      </c>
      <c r="AU61">
        <v>18.600000000000001</v>
      </c>
      <c r="AV61">
        <v>19</v>
      </c>
      <c r="AW61">
        <v>19.600000000000001</v>
      </c>
      <c r="AX61">
        <v>19</v>
      </c>
      <c r="AY61">
        <v>10.6</v>
      </c>
      <c r="AZ61">
        <v>10</v>
      </c>
      <c r="BA61">
        <v>9.6999999999999993</v>
      </c>
      <c r="BB61">
        <v>10</v>
      </c>
    </row>
    <row r="62" spans="1:54" x14ac:dyDescent="0.35">
      <c r="A62" s="1">
        <v>46059.488194444442</v>
      </c>
      <c r="B62">
        <v>20.2</v>
      </c>
      <c r="C62">
        <v>3</v>
      </c>
      <c r="D62">
        <v>18.8</v>
      </c>
      <c r="E62">
        <v>2</v>
      </c>
      <c r="F62">
        <v>6.8</v>
      </c>
      <c r="G62">
        <v>10.1</v>
      </c>
      <c r="H62">
        <v>0</v>
      </c>
      <c r="I62">
        <v>13.5</v>
      </c>
      <c r="J62">
        <v>9.9</v>
      </c>
      <c r="K62">
        <v>0</v>
      </c>
      <c r="L62">
        <v>11.7</v>
      </c>
      <c r="M62">
        <v>14.9</v>
      </c>
      <c r="N62">
        <v>0</v>
      </c>
      <c r="O62">
        <v>12</v>
      </c>
      <c r="P62">
        <v>7.6</v>
      </c>
      <c r="Q62">
        <v>0</v>
      </c>
      <c r="R62">
        <v>8.3000000000000007</v>
      </c>
      <c r="S62">
        <v>11.4</v>
      </c>
      <c r="T62">
        <v>0</v>
      </c>
      <c r="U62">
        <v>-11.6</v>
      </c>
      <c r="V62">
        <v>-15.2</v>
      </c>
      <c r="W62">
        <v>-22</v>
      </c>
      <c r="X62">
        <v>-12.2</v>
      </c>
      <c r="Y62">
        <v>-12.5</v>
      </c>
      <c r="Z62">
        <v>-22</v>
      </c>
      <c r="AA62">
        <v>11.6</v>
      </c>
      <c r="AB62">
        <v>3.9</v>
      </c>
      <c r="AC62">
        <v>40.5</v>
      </c>
      <c r="AD62">
        <v>8.1999999999999993</v>
      </c>
      <c r="AE62">
        <v>6.5</v>
      </c>
      <c r="AF62">
        <v>0</v>
      </c>
      <c r="AG62">
        <v>11.3</v>
      </c>
      <c r="AH62">
        <v>10</v>
      </c>
      <c r="AI62">
        <v>11.3</v>
      </c>
      <c r="AJ62">
        <v>10</v>
      </c>
      <c r="AK62">
        <v>10.6</v>
      </c>
      <c r="AL62">
        <v>10</v>
      </c>
      <c r="AM62">
        <v>12.6</v>
      </c>
      <c r="AN62">
        <v>9</v>
      </c>
      <c r="AO62">
        <v>12</v>
      </c>
      <c r="AP62">
        <v>10</v>
      </c>
      <c r="AQ62">
        <v>10.3</v>
      </c>
      <c r="AR62">
        <v>10</v>
      </c>
      <c r="AS62">
        <v>10.4</v>
      </c>
      <c r="AT62">
        <v>10</v>
      </c>
      <c r="AU62">
        <v>18.600000000000001</v>
      </c>
      <c r="AV62">
        <v>19</v>
      </c>
      <c r="AW62">
        <v>19.600000000000001</v>
      </c>
      <c r="AX62">
        <v>19</v>
      </c>
      <c r="AY62">
        <v>11</v>
      </c>
      <c r="AZ62">
        <v>10</v>
      </c>
      <c r="BA62">
        <v>10.199999999999999</v>
      </c>
      <c r="BB62">
        <v>10</v>
      </c>
    </row>
    <row r="63" spans="1:54" x14ac:dyDescent="0.35">
      <c r="A63" s="1">
        <v>46059.488888888889</v>
      </c>
      <c r="B63">
        <v>20.3</v>
      </c>
      <c r="C63">
        <v>3</v>
      </c>
      <c r="D63">
        <v>18.8</v>
      </c>
      <c r="E63">
        <v>2</v>
      </c>
      <c r="F63">
        <v>6.9</v>
      </c>
      <c r="G63">
        <v>10.1</v>
      </c>
      <c r="H63">
        <v>0</v>
      </c>
      <c r="I63">
        <v>13.5</v>
      </c>
      <c r="J63">
        <v>9.9</v>
      </c>
      <c r="K63">
        <v>0</v>
      </c>
      <c r="L63">
        <v>11.7</v>
      </c>
      <c r="M63">
        <v>14.9</v>
      </c>
      <c r="N63">
        <v>0</v>
      </c>
      <c r="O63">
        <v>12</v>
      </c>
      <c r="P63">
        <v>7.6</v>
      </c>
      <c r="Q63">
        <v>0</v>
      </c>
      <c r="R63">
        <v>8.3000000000000007</v>
      </c>
      <c r="S63">
        <v>11.4</v>
      </c>
      <c r="T63">
        <v>0</v>
      </c>
      <c r="U63">
        <v>-12.8</v>
      </c>
      <c r="V63">
        <v>-16.399999999999999</v>
      </c>
      <c r="W63">
        <v>-22</v>
      </c>
      <c r="X63">
        <v>-13.4</v>
      </c>
      <c r="Y63">
        <v>-12.5</v>
      </c>
      <c r="Z63">
        <v>-22</v>
      </c>
      <c r="AA63">
        <v>11.6</v>
      </c>
      <c r="AB63">
        <v>4.3</v>
      </c>
      <c r="AC63">
        <v>40.5</v>
      </c>
      <c r="AD63">
        <v>8.1999999999999993</v>
      </c>
      <c r="AE63">
        <v>6.5</v>
      </c>
      <c r="AF63">
        <v>0</v>
      </c>
      <c r="AG63">
        <v>11.4</v>
      </c>
      <c r="AH63">
        <v>10</v>
      </c>
      <c r="AI63">
        <v>11.4</v>
      </c>
      <c r="AJ63">
        <v>10</v>
      </c>
      <c r="AK63">
        <v>10.9</v>
      </c>
      <c r="AL63">
        <v>10</v>
      </c>
      <c r="AM63">
        <v>12.7</v>
      </c>
      <c r="AN63">
        <v>9</v>
      </c>
      <c r="AO63">
        <v>11.5</v>
      </c>
      <c r="AP63">
        <v>10</v>
      </c>
      <c r="AQ63">
        <v>10</v>
      </c>
      <c r="AR63">
        <v>10</v>
      </c>
      <c r="AS63">
        <v>10.7</v>
      </c>
      <c r="AT63">
        <v>10</v>
      </c>
      <c r="AU63">
        <v>18.600000000000001</v>
      </c>
      <c r="AV63">
        <v>19</v>
      </c>
      <c r="AW63">
        <v>19.600000000000001</v>
      </c>
      <c r="AX63">
        <v>19</v>
      </c>
      <c r="AY63">
        <v>11.2</v>
      </c>
      <c r="AZ63">
        <v>10</v>
      </c>
      <c r="BA63">
        <v>10.6</v>
      </c>
      <c r="BB63">
        <v>10</v>
      </c>
    </row>
    <row r="64" spans="1:54" x14ac:dyDescent="0.35">
      <c r="A64" s="1">
        <v>46059.489583333336</v>
      </c>
      <c r="B64">
        <v>20.3</v>
      </c>
      <c r="C64">
        <v>3</v>
      </c>
      <c r="D64">
        <v>18.8</v>
      </c>
      <c r="E64">
        <v>2</v>
      </c>
      <c r="F64">
        <v>6.9</v>
      </c>
      <c r="G64">
        <v>10.1</v>
      </c>
      <c r="H64">
        <v>0</v>
      </c>
      <c r="I64">
        <v>13.5</v>
      </c>
      <c r="J64">
        <v>10</v>
      </c>
      <c r="K64">
        <v>0</v>
      </c>
      <c r="L64">
        <v>11.7</v>
      </c>
      <c r="M64">
        <v>14.9</v>
      </c>
      <c r="N64">
        <v>0</v>
      </c>
      <c r="O64">
        <v>12</v>
      </c>
      <c r="P64">
        <v>7.6</v>
      </c>
      <c r="Q64">
        <v>0</v>
      </c>
      <c r="R64">
        <v>8.3000000000000007</v>
      </c>
      <c r="S64">
        <v>11.4</v>
      </c>
      <c r="T64">
        <v>0</v>
      </c>
      <c r="U64">
        <v>-13.6</v>
      </c>
      <c r="V64">
        <v>-17.100000000000001</v>
      </c>
      <c r="W64">
        <v>-22</v>
      </c>
      <c r="X64">
        <v>-14.1</v>
      </c>
      <c r="Y64">
        <v>-12.5</v>
      </c>
      <c r="Z64">
        <v>-22</v>
      </c>
      <c r="AA64">
        <v>11.9</v>
      </c>
      <c r="AB64">
        <v>4.8</v>
      </c>
      <c r="AC64">
        <v>40.5</v>
      </c>
      <c r="AD64">
        <v>8.1999999999999993</v>
      </c>
      <c r="AE64">
        <v>6.5</v>
      </c>
      <c r="AF64">
        <v>0</v>
      </c>
      <c r="AG64">
        <v>11.6</v>
      </c>
      <c r="AH64">
        <v>10</v>
      </c>
      <c r="AI64">
        <v>11.5</v>
      </c>
      <c r="AJ64">
        <v>10</v>
      </c>
      <c r="AK64">
        <v>11</v>
      </c>
      <c r="AL64">
        <v>10</v>
      </c>
      <c r="AM64">
        <v>12.7</v>
      </c>
      <c r="AN64">
        <v>9</v>
      </c>
      <c r="AO64">
        <v>10.5</v>
      </c>
      <c r="AP64">
        <v>10</v>
      </c>
      <c r="AQ64">
        <v>10.4</v>
      </c>
      <c r="AR64">
        <v>10</v>
      </c>
      <c r="AS64">
        <v>10.9</v>
      </c>
      <c r="AT64">
        <v>10</v>
      </c>
      <c r="AU64">
        <v>18.600000000000001</v>
      </c>
      <c r="AV64">
        <v>19</v>
      </c>
      <c r="AW64">
        <v>19.8</v>
      </c>
      <c r="AX64">
        <v>19</v>
      </c>
      <c r="AY64">
        <v>11.5</v>
      </c>
      <c r="AZ64">
        <v>10</v>
      </c>
      <c r="BA64">
        <v>10.9</v>
      </c>
      <c r="BB64">
        <v>10</v>
      </c>
    </row>
    <row r="65" spans="1:54" x14ac:dyDescent="0.35">
      <c r="A65" s="1">
        <v>46059.490277777775</v>
      </c>
      <c r="B65">
        <v>20.3</v>
      </c>
      <c r="C65">
        <v>3</v>
      </c>
      <c r="D65">
        <v>18.8</v>
      </c>
      <c r="E65">
        <v>2</v>
      </c>
      <c r="F65">
        <v>6.9</v>
      </c>
      <c r="G65">
        <v>10.1</v>
      </c>
      <c r="H65">
        <v>0</v>
      </c>
      <c r="I65">
        <v>13.5</v>
      </c>
      <c r="J65">
        <v>10</v>
      </c>
      <c r="K65">
        <v>0</v>
      </c>
      <c r="L65">
        <v>11.7</v>
      </c>
      <c r="M65">
        <v>14.9</v>
      </c>
      <c r="N65">
        <v>0</v>
      </c>
      <c r="O65">
        <v>12</v>
      </c>
      <c r="P65">
        <v>7.6</v>
      </c>
      <c r="Q65">
        <v>0</v>
      </c>
      <c r="R65">
        <v>8.3000000000000007</v>
      </c>
      <c r="S65">
        <v>11.4</v>
      </c>
      <c r="T65">
        <v>0</v>
      </c>
      <c r="U65">
        <v>-14.2</v>
      </c>
      <c r="V65">
        <v>-17.7</v>
      </c>
      <c r="W65">
        <v>-22</v>
      </c>
      <c r="X65">
        <v>-14.8</v>
      </c>
      <c r="Y65">
        <v>-12.5</v>
      </c>
      <c r="Z65">
        <v>-22</v>
      </c>
      <c r="AA65">
        <v>11.9</v>
      </c>
      <c r="AB65">
        <v>5.2</v>
      </c>
      <c r="AC65">
        <v>40.5</v>
      </c>
      <c r="AD65">
        <v>8.1999999999999993</v>
      </c>
      <c r="AE65">
        <v>6.5</v>
      </c>
      <c r="AF65">
        <v>0</v>
      </c>
      <c r="AG65">
        <v>11.7</v>
      </c>
      <c r="AH65">
        <v>10</v>
      </c>
      <c r="AI65">
        <v>11.6</v>
      </c>
      <c r="AJ65">
        <v>10</v>
      </c>
      <c r="AK65">
        <v>11.1</v>
      </c>
      <c r="AL65">
        <v>10</v>
      </c>
      <c r="AM65">
        <v>12.7</v>
      </c>
      <c r="AN65">
        <v>9</v>
      </c>
      <c r="AO65">
        <v>10.4</v>
      </c>
      <c r="AP65">
        <v>10</v>
      </c>
      <c r="AQ65">
        <v>11.5</v>
      </c>
      <c r="AR65">
        <v>10</v>
      </c>
      <c r="AS65">
        <v>11.2</v>
      </c>
      <c r="AT65">
        <v>10</v>
      </c>
      <c r="AU65">
        <v>18.600000000000001</v>
      </c>
      <c r="AV65">
        <v>19</v>
      </c>
      <c r="AW65">
        <v>19.7</v>
      </c>
      <c r="AX65">
        <v>19</v>
      </c>
      <c r="AY65">
        <v>11.7</v>
      </c>
      <c r="AZ65">
        <v>10</v>
      </c>
      <c r="BA65">
        <v>11.3</v>
      </c>
      <c r="BB65">
        <v>10</v>
      </c>
    </row>
    <row r="66" spans="1:54" x14ac:dyDescent="0.35">
      <c r="A66" s="1">
        <v>46059.490972222222</v>
      </c>
      <c r="B66">
        <v>20.3</v>
      </c>
      <c r="C66">
        <v>3</v>
      </c>
      <c r="D66">
        <v>18.8</v>
      </c>
      <c r="E66">
        <v>2</v>
      </c>
      <c r="F66">
        <v>6.9</v>
      </c>
      <c r="G66">
        <v>10.1</v>
      </c>
      <c r="H66">
        <v>0</v>
      </c>
      <c r="I66">
        <v>13.5</v>
      </c>
      <c r="J66">
        <v>10</v>
      </c>
      <c r="K66">
        <v>0</v>
      </c>
      <c r="L66">
        <v>11.7</v>
      </c>
      <c r="M66">
        <v>14.9</v>
      </c>
      <c r="N66">
        <v>0</v>
      </c>
      <c r="O66">
        <v>12</v>
      </c>
      <c r="P66">
        <v>7.6</v>
      </c>
      <c r="Q66">
        <v>0</v>
      </c>
      <c r="R66">
        <v>8.3000000000000007</v>
      </c>
      <c r="S66">
        <v>11.4</v>
      </c>
      <c r="T66">
        <v>0</v>
      </c>
      <c r="U66">
        <v>-14.9</v>
      </c>
      <c r="V66">
        <v>-18.3</v>
      </c>
      <c r="W66">
        <v>-22</v>
      </c>
      <c r="X66">
        <v>-15.5</v>
      </c>
      <c r="Y66">
        <v>-12.7</v>
      </c>
      <c r="Z66">
        <v>-22</v>
      </c>
      <c r="AA66">
        <v>11.9</v>
      </c>
      <c r="AB66">
        <v>5.6</v>
      </c>
      <c r="AC66">
        <v>40.5</v>
      </c>
      <c r="AD66">
        <v>8.1999999999999993</v>
      </c>
      <c r="AE66">
        <v>6.5</v>
      </c>
      <c r="AF66">
        <v>0</v>
      </c>
      <c r="AG66">
        <v>11.8</v>
      </c>
      <c r="AH66">
        <v>10</v>
      </c>
      <c r="AI66">
        <v>11.7</v>
      </c>
      <c r="AJ66">
        <v>10</v>
      </c>
      <c r="AK66">
        <v>11.2</v>
      </c>
      <c r="AL66">
        <v>10</v>
      </c>
      <c r="AM66">
        <v>12.7</v>
      </c>
      <c r="AN66">
        <v>9</v>
      </c>
      <c r="AO66">
        <v>10.4</v>
      </c>
      <c r="AP66">
        <v>10</v>
      </c>
      <c r="AQ66">
        <v>12.2</v>
      </c>
      <c r="AR66">
        <v>10</v>
      </c>
      <c r="AS66">
        <v>11.4</v>
      </c>
      <c r="AT66">
        <v>10</v>
      </c>
      <c r="AU66">
        <v>18.600000000000001</v>
      </c>
      <c r="AV66">
        <v>19</v>
      </c>
      <c r="AW66">
        <v>19.7</v>
      </c>
      <c r="AX66">
        <v>19</v>
      </c>
      <c r="AY66">
        <v>11.9</v>
      </c>
      <c r="AZ66">
        <v>10</v>
      </c>
      <c r="BA66">
        <v>11.5</v>
      </c>
      <c r="BB66">
        <v>10</v>
      </c>
    </row>
    <row r="67" spans="1:54" x14ac:dyDescent="0.35">
      <c r="A67" s="1">
        <v>46059.491666666669</v>
      </c>
      <c r="B67">
        <v>20.3</v>
      </c>
      <c r="C67">
        <v>3</v>
      </c>
      <c r="D67">
        <v>18.8</v>
      </c>
      <c r="E67">
        <v>2</v>
      </c>
      <c r="F67">
        <v>6.9</v>
      </c>
      <c r="G67">
        <v>10.1</v>
      </c>
      <c r="H67">
        <v>0</v>
      </c>
      <c r="I67">
        <v>13.5</v>
      </c>
      <c r="J67">
        <v>10</v>
      </c>
      <c r="K67">
        <v>0</v>
      </c>
      <c r="L67">
        <v>11.7</v>
      </c>
      <c r="M67">
        <v>14.9</v>
      </c>
      <c r="N67">
        <v>0</v>
      </c>
      <c r="O67">
        <v>12</v>
      </c>
      <c r="P67">
        <v>7.6</v>
      </c>
      <c r="Q67">
        <v>0</v>
      </c>
      <c r="R67">
        <v>8.3000000000000007</v>
      </c>
      <c r="S67">
        <v>11.4</v>
      </c>
      <c r="T67">
        <v>0</v>
      </c>
      <c r="U67">
        <v>-15.4</v>
      </c>
      <c r="V67">
        <v>-18.7</v>
      </c>
      <c r="W67">
        <v>-22</v>
      </c>
      <c r="X67">
        <v>-15.9</v>
      </c>
      <c r="Y67">
        <v>-12.9</v>
      </c>
      <c r="Z67">
        <v>-22</v>
      </c>
      <c r="AA67">
        <v>12</v>
      </c>
      <c r="AB67">
        <v>6</v>
      </c>
      <c r="AC67">
        <v>40.5</v>
      </c>
      <c r="AD67">
        <v>8.1999999999999993</v>
      </c>
      <c r="AE67">
        <v>6.5</v>
      </c>
      <c r="AF67">
        <v>0</v>
      </c>
      <c r="AG67">
        <v>11.9</v>
      </c>
      <c r="AH67">
        <v>10</v>
      </c>
      <c r="AI67">
        <v>11.8</v>
      </c>
      <c r="AJ67">
        <v>10</v>
      </c>
      <c r="AK67">
        <v>11.2</v>
      </c>
      <c r="AL67">
        <v>10</v>
      </c>
      <c r="AM67">
        <v>12.7</v>
      </c>
      <c r="AN67">
        <v>9</v>
      </c>
      <c r="AO67">
        <v>10.4</v>
      </c>
      <c r="AP67">
        <v>10</v>
      </c>
      <c r="AQ67">
        <v>12.2</v>
      </c>
      <c r="AR67">
        <v>10</v>
      </c>
      <c r="AS67">
        <v>11.6</v>
      </c>
      <c r="AT67">
        <v>10</v>
      </c>
      <c r="AU67">
        <v>18.600000000000001</v>
      </c>
      <c r="AV67">
        <v>19</v>
      </c>
      <c r="AW67">
        <v>19.7</v>
      </c>
      <c r="AX67">
        <v>19</v>
      </c>
      <c r="AY67">
        <v>12</v>
      </c>
      <c r="AZ67">
        <v>10</v>
      </c>
      <c r="BA67">
        <v>11.8</v>
      </c>
      <c r="BB67">
        <v>10</v>
      </c>
    </row>
    <row r="68" spans="1:54" x14ac:dyDescent="0.35">
      <c r="A68" s="1">
        <v>46059.492361111108</v>
      </c>
      <c r="B68">
        <v>20.3</v>
      </c>
      <c r="C68">
        <v>3</v>
      </c>
      <c r="D68">
        <v>18.8</v>
      </c>
      <c r="E68">
        <v>2</v>
      </c>
      <c r="F68">
        <v>6.9</v>
      </c>
      <c r="G68">
        <v>10.1</v>
      </c>
      <c r="H68">
        <v>0</v>
      </c>
      <c r="I68">
        <v>13.5</v>
      </c>
      <c r="J68">
        <v>10</v>
      </c>
      <c r="K68">
        <v>0</v>
      </c>
      <c r="L68">
        <v>11.7</v>
      </c>
      <c r="M68">
        <v>14.9</v>
      </c>
      <c r="N68">
        <v>0</v>
      </c>
      <c r="O68">
        <v>12</v>
      </c>
      <c r="P68">
        <v>7.7</v>
      </c>
      <c r="Q68">
        <v>0</v>
      </c>
      <c r="R68">
        <v>8.3000000000000007</v>
      </c>
      <c r="S68">
        <v>11.4</v>
      </c>
      <c r="T68">
        <v>0</v>
      </c>
      <c r="U68">
        <v>-15.7</v>
      </c>
      <c r="V68">
        <v>-18.7</v>
      </c>
      <c r="W68">
        <v>-22</v>
      </c>
      <c r="X68">
        <v>-16.3</v>
      </c>
      <c r="Y68">
        <v>-13.1</v>
      </c>
      <c r="Z68">
        <v>-22</v>
      </c>
      <c r="AA68">
        <v>12.2</v>
      </c>
      <c r="AB68">
        <v>6.3</v>
      </c>
      <c r="AC68">
        <v>40.5</v>
      </c>
      <c r="AD68">
        <v>8.1999999999999993</v>
      </c>
      <c r="AE68">
        <v>6.5</v>
      </c>
      <c r="AF68">
        <v>0</v>
      </c>
      <c r="AG68">
        <v>12</v>
      </c>
      <c r="AH68">
        <v>10</v>
      </c>
      <c r="AI68">
        <v>11.9</v>
      </c>
      <c r="AJ68">
        <v>10</v>
      </c>
      <c r="AK68">
        <v>11.3</v>
      </c>
      <c r="AL68">
        <v>10</v>
      </c>
      <c r="AM68">
        <v>12.7</v>
      </c>
      <c r="AN68">
        <v>9</v>
      </c>
      <c r="AO68">
        <v>10.4</v>
      </c>
      <c r="AP68">
        <v>10</v>
      </c>
      <c r="AQ68">
        <v>12.2</v>
      </c>
      <c r="AR68">
        <v>10</v>
      </c>
      <c r="AS68">
        <v>11.8</v>
      </c>
      <c r="AT68">
        <v>10</v>
      </c>
      <c r="AU68">
        <v>18.600000000000001</v>
      </c>
      <c r="AV68">
        <v>19</v>
      </c>
      <c r="AW68">
        <v>19.7</v>
      </c>
      <c r="AX68">
        <v>19</v>
      </c>
      <c r="AY68">
        <v>11.2</v>
      </c>
      <c r="AZ68">
        <v>10</v>
      </c>
      <c r="BA68">
        <v>12</v>
      </c>
      <c r="BB68">
        <v>10</v>
      </c>
    </row>
    <row r="69" spans="1:54" x14ac:dyDescent="0.35">
      <c r="A69" s="1">
        <v>46059.493055555555</v>
      </c>
      <c r="B69">
        <v>20.3</v>
      </c>
      <c r="C69">
        <v>3</v>
      </c>
      <c r="D69">
        <v>18.8</v>
      </c>
      <c r="E69">
        <v>2</v>
      </c>
      <c r="F69">
        <v>6.9</v>
      </c>
      <c r="G69">
        <v>10.199999999999999</v>
      </c>
      <c r="H69">
        <v>0</v>
      </c>
      <c r="I69">
        <v>13.5</v>
      </c>
      <c r="J69">
        <v>10</v>
      </c>
      <c r="K69">
        <v>0</v>
      </c>
      <c r="L69">
        <v>11.7</v>
      </c>
      <c r="M69">
        <v>14.9</v>
      </c>
      <c r="N69">
        <v>0</v>
      </c>
      <c r="O69">
        <v>12</v>
      </c>
      <c r="P69">
        <v>7.7</v>
      </c>
      <c r="Q69">
        <v>0</v>
      </c>
      <c r="R69">
        <v>8.3000000000000007</v>
      </c>
      <c r="S69">
        <v>11.4</v>
      </c>
      <c r="T69">
        <v>0</v>
      </c>
      <c r="U69">
        <v>-16.2</v>
      </c>
      <c r="V69">
        <v>-19.3</v>
      </c>
      <c r="W69">
        <v>-22</v>
      </c>
      <c r="X69">
        <v>-16.600000000000001</v>
      </c>
      <c r="Y69">
        <v>-13.3</v>
      </c>
      <c r="Z69">
        <v>-22</v>
      </c>
      <c r="AA69">
        <v>12.4</v>
      </c>
      <c r="AB69">
        <v>6.6</v>
      </c>
      <c r="AC69">
        <v>40.5</v>
      </c>
      <c r="AD69">
        <v>8.1999999999999993</v>
      </c>
      <c r="AE69">
        <v>6.5</v>
      </c>
      <c r="AF69">
        <v>0</v>
      </c>
      <c r="AG69">
        <v>12</v>
      </c>
      <c r="AH69">
        <v>10</v>
      </c>
      <c r="AI69">
        <v>11.9</v>
      </c>
      <c r="AJ69">
        <v>10</v>
      </c>
      <c r="AK69">
        <v>11.4</v>
      </c>
      <c r="AL69">
        <v>10</v>
      </c>
      <c r="AM69">
        <v>12.7</v>
      </c>
      <c r="AN69">
        <v>9</v>
      </c>
      <c r="AO69">
        <v>10.7</v>
      </c>
      <c r="AP69">
        <v>10</v>
      </c>
      <c r="AQ69">
        <v>11.9</v>
      </c>
      <c r="AR69">
        <v>10</v>
      </c>
      <c r="AS69">
        <v>12</v>
      </c>
      <c r="AT69">
        <v>10</v>
      </c>
      <c r="AU69">
        <v>18.5</v>
      </c>
      <c r="AV69">
        <v>19</v>
      </c>
      <c r="AW69">
        <v>19.7</v>
      </c>
      <c r="AX69">
        <v>19</v>
      </c>
      <c r="AY69">
        <v>10.4</v>
      </c>
      <c r="AZ69">
        <v>10</v>
      </c>
      <c r="BA69">
        <v>11.7</v>
      </c>
      <c r="BB69">
        <v>10</v>
      </c>
    </row>
    <row r="70" spans="1:54" x14ac:dyDescent="0.35">
      <c r="A70" s="1">
        <v>46059.493750000001</v>
      </c>
      <c r="B70">
        <v>20.3</v>
      </c>
      <c r="C70">
        <v>3</v>
      </c>
      <c r="D70">
        <v>18.899999999999999</v>
      </c>
      <c r="E70">
        <v>2</v>
      </c>
      <c r="F70">
        <v>6.9</v>
      </c>
      <c r="G70">
        <v>10.199999999999999</v>
      </c>
      <c r="H70">
        <v>0</v>
      </c>
      <c r="I70">
        <v>13.5</v>
      </c>
      <c r="J70">
        <v>10</v>
      </c>
      <c r="K70">
        <v>0</v>
      </c>
      <c r="L70">
        <v>11.7</v>
      </c>
      <c r="M70">
        <v>14.9</v>
      </c>
      <c r="N70">
        <v>0</v>
      </c>
      <c r="O70">
        <v>12</v>
      </c>
      <c r="P70">
        <v>7.7</v>
      </c>
      <c r="Q70">
        <v>0</v>
      </c>
      <c r="R70">
        <v>8.3000000000000007</v>
      </c>
      <c r="S70">
        <v>11.4</v>
      </c>
      <c r="T70">
        <v>0</v>
      </c>
      <c r="U70">
        <v>-16.399999999999999</v>
      </c>
      <c r="V70">
        <v>-19.2</v>
      </c>
      <c r="W70">
        <v>-22</v>
      </c>
      <c r="X70">
        <v>-16.899999999999999</v>
      </c>
      <c r="Y70">
        <v>-13.5</v>
      </c>
      <c r="Z70">
        <v>-22</v>
      </c>
      <c r="AA70">
        <v>12.4</v>
      </c>
      <c r="AB70">
        <v>6.9</v>
      </c>
      <c r="AC70">
        <v>40.5</v>
      </c>
      <c r="AD70">
        <v>8.1999999999999993</v>
      </c>
      <c r="AE70">
        <v>6.5</v>
      </c>
      <c r="AF70">
        <v>0</v>
      </c>
      <c r="AG70">
        <v>11.3</v>
      </c>
      <c r="AH70">
        <v>10</v>
      </c>
      <c r="AI70">
        <v>12</v>
      </c>
      <c r="AJ70">
        <v>10</v>
      </c>
      <c r="AK70">
        <v>11.4</v>
      </c>
      <c r="AL70">
        <v>10</v>
      </c>
      <c r="AM70">
        <v>12.7</v>
      </c>
      <c r="AN70">
        <v>9</v>
      </c>
      <c r="AO70">
        <v>11</v>
      </c>
      <c r="AP70">
        <v>10</v>
      </c>
      <c r="AQ70">
        <v>11.9</v>
      </c>
      <c r="AR70">
        <v>10</v>
      </c>
      <c r="AS70">
        <v>11.4</v>
      </c>
      <c r="AT70">
        <v>10</v>
      </c>
      <c r="AU70">
        <v>18.5</v>
      </c>
      <c r="AV70">
        <v>19</v>
      </c>
      <c r="AW70">
        <v>19.7</v>
      </c>
      <c r="AX70">
        <v>19</v>
      </c>
      <c r="AY70">
        <v>9.6999999999999993</v>
      </c>
      <c r="AZ70">
        <v>10</v>
      </c>
      <c r="BA70">
        <v>10.8</v>
      </c>
      <c r="BB70">
        <v>10</v>
      </c>
    </row>
    <row r="71" spans="1:54" x14ac:dyDescent="0.35">
      <c r="A71" s="1">
        <v>46059.494444444441</v>
      </c>
      <c r="B71">
        <v>20.3</v>
      </c>
      <c r="C71">
        <v>3</v>
      </c>
      <c r="D71">
        <v>18.899999999999999</v>
      </c>
      <c r="E71">
        <v>2</v>
      </c>
      <c r="F71">
        <v>6.9</v>
      </c>
      <c r="G71">
        <v>10.199999999999999</v>
      </c>
      <c r="H71">
        <v>0</v>
      </c>
      <c r="I71">
        <v>13.5</v>
      </c>
      <c r="J71">
        <v>10</v>
      </c>
      <c r="K71">
        <v>0</v>
      </c>
      <c r="L71">
        <v>11.7</v>
      </c>
      <c r="M71">
        <v>15</v>
      </c>
      <c r="N71">
        <v>0</v>
      </c>
      <c r="O71">
        <v>12</v>
      </c>
      <c r="P71">
        <v>7.7</v>
      </c>
      <c r="Q71">
        <v>0</v>
      </c>
      <c r="R71">
        <v>8.3000000000000007</v>
      </c>
      <c r="S71">
        <v>11.4</v>
      </c>
      <c r="T71">
        <v>0</v>
      </c>
      <c r="U71">
        <v>-16.7</v>
      </c>
      <c r="V71">
        <v>-20</v>
      </c>
      <c r="W71">
        <v>-22</v>
      </c>
      <c r="X71">
        <v>-17.100000000000001</v>
      </c>
      <c r="Y71">
        <v>-13.7</v>
      </c>
      <c r="Z71">
        <v>-22</v>
      </c>
      <c r="AA71">
        <v>12.4</v>
      </c>
      <c r="AB71">
        <v>7.2</v>
      </c>
      <c r="AC71">
        <v>40.5</v>
      </c>
      <c r="AD71">
        <v>8.1999999999999993</v>
      </c>
      <c r="AE71">
        <v>6.5</v>
      </c>
      <c r="AF71">
        <v>0</v>
      </c>
      <c r="AG71">
        <v>10.6</v>
      </c>
      <c r="AH71">
        <v>10</v>
      </c>
      <c r="AI71">
        <v>10.9</v>
      </c>
      <c r="AJ71">
        <v>10</v>
      </c>
      <c r="AK71">
        <v>11.6</v>
      </c>
      <c r="AL71">
        <v>10</v>
      </c>
      <c r="AM71">
        <v>12.7</v>
      </c>
      <c r="AN71">
        <v>9</v>
      </c>
      <c r="AO71">
        <v>11</v>
      </c>
      <c r="AP71">
        <v>10</v>
      </c>
      <c r="AQ71">
        <v>12</v>
      </c>
      <c r="AR71">
        <v>10</v>
      </c>
      <c r="AS71">
        <v>9.6999999999999993</v>
      </c>
      <c r="AT71">
        <v>10</v>
      </c>
      <c r="AU71">
        <v>18.5</v>
      </c>
      <c r="AV71">
        <v>19</v>
      </c>
      <c r="AW71">
        <v>19.8</v>
      </c>
      <c r="AX71">
        <v>19</v>
      </c>
      <c r="AY71">
        <v>9.6999999999999993</v>
      </c>
      <c r="AZ71">
        <v>10</v>
      </c>
      <c r="BA71">
        <v>10.199999999999999</v>
      </c>
      <c r="BB71">
        <v>10</v>
      </c>
    </row>
    <row r="72" spans="1:54" x14ac:dyDescent="0.35">
      <c r="A72" s="1">
        <v>46059.495138888888</v>
      </c>
      <c r="B72">
        <v>20.3</v>
      </c>
      <c r="C72">
        <v>3</v>
      </c>
      <c r="D72">
        <v>18.899999999999999</v>
      </c>
      <c r="E72">
        <v>2</v>
      </c>
      <c r="F72">
        <v>6.9</v>
      </c>
      <c r="G72">
        <v>10.199999999999999</v>
      </c>
      <c r="H72">
        <v>0</v>
      </c>
      <c r="I72">
        <v>13.6</v>
      </c>
      <c r="J72">
        <v>10</v>
      </c>
      <c r="K72">
        <v>0</v>
      </c>
      <c r="L72">
        <v>11.8</v>
      </c>
      <c r="M72">
        <v>15</v>
      </c>
      <c r="N72">
        <v>0</v>
      </c>
      <c r="O72">
        <v>12</v>
      </c>
      <c r="P72">
        <v>7.7</v>
      </c>
      <c r="Q72">
        <v>0</v>
      </c>
      <c r="R72">
        <v>8.3000000000000007</v>
      </c>
      <c r="S72">
        <v>11.4</v>
      </c>
      <c r="T72">
        <v>0</v>
      </c>
      <c r="U72">
        <v>-17</v>
      </c>
      <c r="V72">
        <v>-19.7</v>
      </c>
      <c r="W72">
        <v>-22</v>
      </c>
      <c r="X72">
        <v>-17.5</v>
      </c>
      <c r="Y72">
        <v>-13.9</v>
      </c>
      <c r="Z72">
        <v>-22</v>
      </c>
      <c r="AA72">
        <v>12.5</v>
      </c>
      <c r="AB72">
        <v>7.5</v>
      </c>
      <c r="AC72">
        <v>40.5</v>
      </c>
      <c r="AD72">
        <v>8.1999999999999993</v>
      </c>
      <c r="AE72">
        <v>6.5</v>
      </c>
      <c r="AF72">
        <v>0</v>
      </c>
      <c r="AG72">
        <v>10.3</v>
      </c>
      <c r="AH72">
        <v>10</v>
      </c>
      <c r="AI72">
        <v>10</v>
      </c>
      <c r="AJ72">
        <v>10</v>
      </c>
      <c r="AK72">
        <v>11.6</v>
      </c>
      <c r="AL72">
        <v>10</v>
      </c>
      <c r="AM72">
        <v>12.7</v>
      </c>
      <c r="AN72">
        <v>9</v>
      </c>
      <c r="AO72">
        <v>11</v>
      </c>
      <c r="AP72">
        <v>10</v>
      </c>
      <c r="AQ72">
        <v>12.3</v>
      </c>
      <c r="AR72">
        <v>10</v>
      </c>
      <c r="AS72">
        <v>8.6999999999999993</v>
      </c>
      <c r="AT72">
        <v>10</v>
      </c>
      <c r="AU72">
        <v>18.5</v>
      </c>
      <c r="AV72">
        <v>19</v>
      </c>
      <c r="AW72">
        <v>19.8</v>
      </c>
      <c r="AX72">
        <v>19</v>
      </c>
      <c r="AY72">
        <v>10.1</v>
      </c>
      <c r="AZ72">
        <v>10</v>
      </c>
      <c r="BA72">
        <v>9.6999999999999993</v>
      </c>
      <c r="BB72">
        <v>10</v>
      </c>
    </row>
    <row r="73" spans="1:54" x14ac:dyDescent="0.35">
      <c r="A73" s="1">
        <v>46059.495833333334</v>
      </c>
      <c r="B73">
        <v>20.3</v>
      </c>
      <c r="C73">
        <v>3</v>
      </c>
      <c r="D73">
        <v>18.899999999999999</v>
      </c>
      <c r="E73">
        <v>2</v>
      </c>
      <c r="F73">
        <v>6.9</v>
      </c>
      <c r="G73">
        <v>10.199999999999999</v>
      </c>
      <c r="H73">
        <v>0</v>
      </c>
      <c r="I73">
        <v>13.6</v>
      </c>
      <c r="J73">
        <v>10</v>
      </c>
      <c r="K73">
        <v>0</v>
      </c>
      <c r="L73">
        <v>11.8</v>
      </c>
      <c r="M73">
        <v>15</v>
      </c>
      <c r="N73">
        <v>0</v>
      </c>
      <c r="O73">
        <v>12</v>
      </c>
      <c r="P73">
        <v>7.7</v>
      </c>
      <c r="Q73">
        <v>0</v>
      </c>
      <c r="R73">
        <v>8.3000000000000007</v>
      </c>
      <c r="S73">
        <v>11.4</v>
      </c>
      <c r="T73">
        <v>0</v>
      </c>
      <c r="U73">
        <v>-17.2</v>
      </c>
      <c r="V73">
        <v>-20.2</v>
      </c>
      <c r="W73">
        <v>-22</v>
      </c>
      <c r="X73">
        <v>-17.8</v>
      </c>
      <c r="Y73">
        <v>-14.1</v>
      </c>
      <c r="Z73">
        <v>-22</v>
      </c>
      <c r="AA73">
        <v>12.5</v>
      </c>
      <c r="AB73">
        <v>7.8</v>
      </c>
      <c r="AC73">
        <v>40.5</v>
      </c>
      <c r="AD73">
        <v>8.1999999999999993</v>
      </c>
      <c r="AE73">
        <v>6.5</v>
      </c>
      <c r="AF73">
        <v>0</v>
      </c>
      <c r="AG73">
        <v>10.199999999999999</v>
      </c>
      <c r="AH73">
        <v>10</v>
      </c>
      <c r="AI73">
        <v>9.5</v>
      </c>
      <c r="AJ73">
        <v>10</v>
      </c>
      <c r="AK73">
        <v>11.7</v>
      </c>
      <c r="AL73">
        <v>10</v>
      </c>
      <c r="AM73">
        <v>12.7</v>
      </c>
      <c r="AN73">
        <v>9</v>
      </c>
      <c r="AO73">
        <v>10.8</v>
      </c>
      <c r="AP73">
        <v>10</v>
      </c>
      <c r="AQ73">
        <v>12.5</v>
      </c>
      <c r="AR73">
        <v>10</v>
      </c>
      <c r="AS73">
        <v>8.6999999999999993</v>
      </c>
      <c r="AT73">
        <v>10</v>
      </c>
      <c r="AU73">
        <v>18.5</v>
      </c>
      <c r="AV73">
        <v>19</v>
      </c>
      <c r="AW73">
        <v>19.8</v>
      </c>
      <c r="AX73">
        <v>19</v>
      </c>
      <c r="AY73">
        <v>10.5</v>
      </c>
      <c r="AZ73">
        <v>10</v>
      </c>
      <c r="BA73">
        <v>9.8000000000000007</v>
      </c>
      <c r="BB73">
        <v>10</v>
      </c>
    </row>
    <row r="74" spans="1:54" x14ac:dyDescent="0.35">
      <c r="A74" s="1">
        <v>46059.496527777781</v>
      </c>
      <c r="B74">
        <v>20.3</v>
      </c>
      <c r="C74">
        <v>3</v>
      </c>
      <c r="D74">
        <v>18.899999999999999</v>
      </c>
      <c r="E74">
        <v>2</v>
      </c>
      <c r="F74">
        <v>6.9</v>
      </c>
      <c r="G74">
        <v>10.199999999999999</v>
      </c>
      <c r="H74">
        <v>0</v>
      </c>
      <c r="I74">
        <v>13.6</v>
      </c>
      <c r="J74">
        <v>10</v>
      </c>
      <c r="K74">
        <v>0</v>
      </c>
      <c r="L74">
        <v>11.8</v>
      </c>
      <c r="M74">
        <v>15</v>
      </c>
      <c r="N74">
        <v>0</v>
      </c>
      <c r="O74">
        <v>12</v>
      </c>
      <c r="P74">
        <v>7.7</v>
      </c>
      <c r="Q74">
        <v>0</v>
      </c>
      <c r="R74">
        <v>8.3000000000000007</v>
      </c>
      <c r="S74">
        <v>11.5</v>
      </c>
      <c r="T74">
        <v>0</v>
      </c>
      <c r="U74">
        <v>-17.5</v>
      </c>
      <c r="V74">
        <v>-20.2</v>
      </c>
      <c r="W74">
        <v>-22</v>
      </c>
      <c r="X74">
        <v>-17.899999999999999</v>
      </c>
      <c r="Y74">
        <v>-14.3</v>
      </c>
      <c r="Z74">
        <v>-22</v>
      </c>
      <c r="AA74">
        <v>12.5</v>
      </c>
      <c r="AB74">
        <v>8</v>
      </c>
      <c r="AC74">
        <v>40.5</v>
      </c>
      <c r="AD74">
        <v>8.1999999999999993</v>
      </c>
      <c r="AE74">
        <v>6.5</v>
      </c>
      <c r="AF74">
        <v>0</v>
      </c>
      <c r="AG74">
        <v>10.1</v>
      </c>
      <c r="AH74">
        <v>10</v>
      </c>
      <c r="AI74">
        <v>9.5</v>
      </c>
      <c r="AJ74">
        <v>10</v>
      </c>
      <c r="AK74">
        <v>11.8</v>
      </c>
      <c r="AL74">
        <v>10</v>
      </c>
      <c r="AM74">
        <v>12.7</v>
      </c>
      <c r="AN74">
        <v>9</v>
      </c>
      <c r="AO74">
        <v>10.6</v>
      </c>
      <c r="AP74">
        <v>10</v>
      </c>
      <c r="AQ74">
        <v>12.5</v>
      </c>
      <c r="AR74">
        <v>10</v>
      </c>
      <c r="AS74">
        <v>9.3000000000000007</v>
      </c>
      <c r="AT74">
        <v>10</v>
      </c>
      <c r="AU74">
        <v>18.5</v>
      </c>
      <c r="AV74">
        <v>19</v>
      </c>
      <c r="AW74">
        <v>19.899999999999999</v>
      </c>
      <c r="AX74">
        <v>19</v>
      </c>
      <c r="AY74">
        <v>10.8</v>
      </c>
      <c r="AZ74">
        <v>10</v>
      </c>
      <c r="BA74">
        <v>10.199999999999999</v>
      </c>
      <c r="BB74">
        <v>10</v>
      </c>
    </row>
    <row r="75" spans="1:54" x14ac:dyDescent="0.35">
      <c r="A75" s="1">
        <v>46059.49722222222</v>
      </c>
      <c r="B75">
        <v>20.3</v>
      </c>
      <c r="C75">
        <v>3</v>
      </c>
      <c r="D75">
        <v>18.899999999999999</v>
      </c>
      <c r="E75">
        <v>2</v>
      </c>
      <c r="F75">
        <v>6.9</v>
      </c>
      <c r="G75">
        <v>10.199999999999999</v>
      </c>
      <c r="H75">
        <v>0</v>
      </c>
      <c r="I75">
        <v>13.6</v>
      </c>
      <c r="J75">
        <v>10</v>
      </c>
      <c r="K75">
        <v>0</v>
      </c>
      <c r="L75">
        <v>11.8</v>
      </c>
      <c r="M75">
        <v>15</v>
      </c>
      <c r="N75">
        <v>0</v>
      </c>
      <c r="O75">
        <v>12</v>
      </c>
      <c r="P75">
        <v>7.7</v>
      </c>
      <c r="Q75">
        <v>0</v>
      </c>
      <c r="R75">
        <v>8.3000000000000007</v>
      </c>
      <c r="S75">
        <v>11.5</v>
      </c>
      <c r="T75">
        <v>0</v>
      </c>
      <c r="U75">
        <v>-17.5</v>
      </c>
      <c r="V75">
        <v>-20.399999999999999</v>
      </c>
      <c r="W75">
        <v>-22</v>
      </c>
      <c r="X75">
        <v>-18</v>
      </c>
      <c r="Y75">
        <v>-14.5</v>
      </c>
      <c r="Z75">
        <v>-22</v>
      </c>
      <c r="AA75">
        <v>12.4</v>
      </c>
      <c r="AB75">
        <v>8.1999999999999993</v>
      </c>
      <c r="AC75">
        <v>40.5</v>
      </c>
      <c r="AD75">
        <v>8.1999999999999993</v>
      </c>
      <c r="AE75">
        <v>6.5</v>
      </c>
      <c r="AF75">
        <v>0</v>
      </c>
      <c r="AG75">
        <v>9.9</v>
      </c>
      <c r="AH75">
        <v>10</v>
      </c>
      <c r="AI75">
        <v>9.6</v>
      </c>
      <c r="AJ75">
        <v>10</v>
      </c>
      <c r="AK75">
        <v>11.8</v>
      </c>
      <c r="AL75">
        <v>10</v>
      </c>
      <c r="AM75">
        <v>12.7</v>
      </c>
      <c r="AN75">
        <v>9</v>
      </c>
      <c r="AO75">
        <v>10.5</v>
      </c>
      <c r="AP75">
        <v>10</v>
      </c>
      <c r="AQ75">
        <v>12.4</v>
      </c>
      <c r="AR75">
        <v>10</v>
      </c>
      <c r="AS75">
        <v>9.8000000000000007</v>
      </c>
      <c r="AT75">
        <v>10</v>
      </c>
      <c r="AU75">
        <v>18.5</v>
      </c>
      <c r="AV75">
        <v>19</v>
      </c>
      <c r="AW75">
        <v>19.899999999999999</v>
      </c>
      <c r="AX75">
        <v>19</v>
      </c>
      <c r="AY75">
        <v>11.1</v>
      </c>
      <c r="AZ75">
        <v>10</v>
      </c>
      <c r="BA75">
        <v>10.6</v>
      </c>
      <c r="BB75">
        <v>10</v>
      </c>
    </row>
    <row r="76" spans="1:54" x14ac:dyDescent="0.35">
      <c r="A76" s="1">
        <v>46059.497916666667</v>
      </c>
      <c r="B76">
        <v>20.3</v>
      </c>
      <c r="C76">
        <v>3</v>
      </c>
      <c r="D76">
        <v>18.899999999999999</v>
      </c>
      <c r="E76">
        <v>2</v>
      </c>
      <c r="F76">
        <v>6.9</v>
      </c>
      <c r="G76">
        <v>10.199999999999999</v>
      </c>
      <c r="H76">
        <v>0</v>
      </c>
      <c r="I76">
        <v>13.6</v>
      </c>
      <c r="J76">
        <v>10</v>
      </c>
      <c r="K76">
        <v>0</v>
      </c>
      <c r="L76">
        <v>11.8</v>
      </c>
      <c r="M76">
        <v>15</v>
      </c>
      <c r="N76">
        <v>0</v>
      </c>
      <c r="O76">
        <v>12</v>
      </c>
      <c r="P76">
        <v>7.7</v>
      </c>
      <c r="Q76">
        <v>0</v>
      </c>
      <c r="R76">
        <v>8.4</v>
      </c>
      <c r="S76">
        <v>11.5</v>
      </c>
      <c r="T76">
        <v>0</v>
      </c>
      <c r="U76">
        <v>-17.600000000000001</v>
      </c>
      <c r="V76">
        <v>-20.5</v>
      </c>
      <c r="W76">
        <v>-22</v>
      </c>
      <c r="X76">
        <v>-18</v>
      </c>
      <c r="Y76">
        <v>-14.6</v>
      </c>
      <c r="Z76">
        <v>-22</v>
      </c>
      <c r="AA76">
        <v>12.1</v>
      </c>
      <c r="AB76">
        <v>8.4</v>
      </c>
      <c r="AC76">
        <v>40.5</v>
      </c>
      <c r="AD76">
        <v>8.1999999999999993</v>
      </c>
      <c r="AE76">
        <v>6.5</v>
      </c>
      <c r="AF76">
        <v>0</v>
      </c>
      <c r="AG76">
        <v>9.9</v>
      </c>
      <c r="AH76">
        <v>10</v>
      </c>
      <c r="AI76">
        <v>9.9</v>
      </c>
      <c r="AJ76">
        <v>10</v>
      </c>
      <c r="AK76">
        <v>11.9</v>
      </c>
      <c r="AL76">
        <v>10</v>
      </c>
      <c r="AM76">
        <v>12.7</v>
      </c>
      <c r="AN76">
        <v>9</v>
      </c>
      <c r="AO76">
        <v>10.4</v>
      </c>
      <c r="AP76">
        <v>10</v>
      </c>
      <c r="AQ76">
        <v>12.3</v>
      </c>
      <c r="AR76">
        <v>10</v>
      </c>
      <c r="AS76">
        <v>10.199999999999999</v>
      </c>
      <c r="AT76">
        <v>10</v>
      </c>
      <c r="AU76">
        <v>18.5</v>
      </c>
      <c r="AV76">
        <v>19</v>
      </c>
      <c r="AW76">
        <v>19.899999999999999</v>
      </c>
      <c r="AX76">
        <v>19</v>
      </c>
      <c r="AY76">
        <v>11.4</v>
      </c>
      <c r="AZ76">
        <v>10</v>
      </c>
      <c r="BA76">
        <v>11</v>
      </c>
      <c r="BB76">
        <v>10</v>
      </c>
    </row>
    <row r="77" spans="1:54" x14ac:dyDescent="0.35">
      <c r="A77" s="1">
        <v>46059.498611111114</v>
      </c>
      <c r="B77">
        <v>20.3</v>
      </c>
      <c r="C77">
        <v>3</v>
      </c>
      <c r="D77">
        <v>18.899999999999999</v>
      </c>
      <c r="E77">
        <v>2</v>
      </c>
      <c r="F77">
        <v>6.9</v>
      </c>
      <c r="G77">
        <v>10.199999999999999</v>
      </c>
      <c r="H77">
        <v>0</v>
      </c>
      <c r="I77">
        <v>13.6</v>
      </c>
      <c r="J77">
        <v>10</v>
      </c>
      <c r="K77">
        <v>0</v>
      </c>
      <c r="L77">
        <v>11.8</v>
      </c>
      <c r="M77">
        <v>15</v>
      </c>
      <c r="N77">
        <v>0</v>
      </c>
      <c r="O77">
        <v>12</v>
      </c>
      <c r="P77">
        <v>7.7</v>
      </c>
      <c r="Q77">
        <v>0</v>
      </c>
      <c r="R77">
        <v>8.4</v>
      </c>
      <c r="S77">
        <v>11.5</v>
      </c>
      <c r="T77">
        <v>0</v>
      </c>
      <c r="U77">
        <v>-17.7</v>
      </c>
      <c r="V77">
        <v>-20.399999999999999</v>
      </c>
      <c r="W77">
        <v>-22</v>
      </c>
      <c r="X77">
        <v>-18</v>
      </c>
      <c r="Y77">
        <v>-14.8</v>
      </c>
      <c r="Z77">
        <v>-22</v>
      </c>
      <c r="AA77">
        <v>11.9</v>
      </c>
      <c r="AB77">
        <v>8.5</v>
      </c>
      <c r="AC77">
        <v>40.5</v>
      </c>
      <c r="AD77">
        <v>8.1999999999999993</v>
      </c>
      <c r="AE77">
        <v>6.5</v>
      </c>
      <c r="AF77">
        <v>0</v>
      </c>
      <c r="AG77">
        <v>10.199999999999999</v>
      </c>
      <c r="AH77">
        <v>10</v>
      </c>
      <c r="AI77">
        <v>10.199999999999999</v>
      </c>
      <c r="AJ77">
        <v>10</v>
      </c>
      <c r="AK77">
        <v>11.9</v>
      </c>
      <c r="AL77">
        <v>10</v>
      </c>
      <c r="AM77">
        <v>12.7</v>
      </c>
      <c r="AN77">
        <v>9</v>
      </c>
      <c r="AO77">
        <v>10.4</v>
      </c>
      <c r="AP77">
        <v>10</v>
      </c>
      <c r="AQ77">
        <v>12.2</v>
      </c>
      <c r="AR77">
        <v>10</v>
      </c>
      <c r="AS77">
        <v>10.5</v>
      </c>
      <c r="AT77">
        <v>10</v>
      </c>
      <c r="AU77">
        <v>18.5</v>
      </c>
      <c r="AV77">
        <v>19</v>
      </c>
      <c r="AW77">
        <v>19.899999999999999</v>
      </c>
      <c r="AX77">
        <v>19</v>
      </c>
      <c r="AY77">
        <v>11.6</v>
      </c>
      <c r="AZ77">
        <v>10</v>
      </c>
      <c r="BA77">
        <v>11.3</v>
      </c>
      <c r="BB77">
        <v>10</v>
      </c>
    </row>
    <row r="78" spans="1:54" x14ac:dyDescent="0.35">
      <c r="A78" s="1">
        <v>46059.499305555553</v>
      </c>
      <c r="B78">
        <v>20.399999999999999</v>
      </c>
      <c r="C78">
        <v>3</v>
      </c>
      <c r="D78">
        <v>18.899999999999999</v>
      </c>
      <c r="E78">
        <v>2</v>
      </c>
      <c r="F78">
        <v>6.9</v>
      </c>
      <c r="G78">
        <v>10.199999999999999</v>
      </c>
      <c r="H78">
        <v>0</v>
      </c>
      <c r="I78">
        <v>13.6</v>
      </c>
      <c r="J78">
        <v>10</v>
      </c>
      <c r="K78">
        <v>0</v>
      </c>
      <c r="L78">
        <v>11.8</v>
      </c>
      <c r="M78">
        <v>15</v>
      </c>
      <c r="N78">
        <v>0</v>
      </c>
      <c r="O78">
        <v>12</v>
      </c>
      <c r="P78">
        <v>7.7</v>
      </c>
      <c r="Q78">
        <v>0</v>
      </c>
      <c r="R78">
        <v>8.4</v>
      </c>
      <c r="S78">
        <v>11.5</v>
      </c>
      <c r="T78">
        <v>0</v>
      </c>
      <c r="U78">
        <v>-17.7</v>
      </c>
      <c r="V78">
        <v>-20.9</v>
      </c>
      <c r="W78">
        <v>-22</v>
      </c>
      <c r="X78">
        <v>-18.100000000000001</v>
      </c>
      <c r="Y78">
        <v>-14.9</v>
      </c>
      <c r="Z78">
        <v>-22</v>
      </c>
      <c r="AA78">
        <v>11.7</v>
      </c>
      <c r="AB78">
        <v>8.6999999999999993</v>
      </c>
      <c r="AC78">
        <v>40.5</v>
      </c>
      <c r="AD78">
        <v>8.1999999999999993</v>
      </c>
      <c r="AE78">
        <v>6.5</v>
      </c>
      <c r="AF78">
        <v>0</v>
      </c>
      <c r="AG78">
        <v>10.5</v>
      </c>
      <c r="AH78">
        <v>10</v>
      </c>
      <c r="AI78">
        <v>10.4</v>
      </c>
      <c r="AJ78">
        <v>10</v>
      </c>
      <c r="AK78">
        <v>12</v>
      </c>
      <c r="AL78">
        <v>10</v>
      </c>
      <c r="AM78">
        <v>12.7</v>
      </c>
      <c r="AN78">
        <v>9</v>
      </c>
      <c r="AO78">
        <v>10.3</v>
      </c>
      <c r="AP78">
        <v>10</v>
      </c>
      <c r="AQ78">
        <v>12</v>
      </c>
      <c r="AR78">
        <v>10</v>
      </c>
      <c r="AS78">
        <v>10.9</v>
      </c>
      <c r="AT78">
        <v>10</v>
      </c>
      <c r="AU78">
        <v>18.600000000000001</v>
      </c>
      <c r="AV78">
        <v>19</v>
      </c>
      <c r="AW78">
        <v>19.899999999999999</v>
      </c>
      <c r="AX78">
        <v>19</v>
      </c>
      <c r="AY78">
        <v>11.8</v>
      </c>
      <c r="AZ78">
        <v>10</v>
      </c>
      <c r="BA78">
        <v>11.5</v>
      </c>
      <c r="BB78">
        <v>10</v>
      </c>
    </row>
    <row r="79" spans="1:54" x14ac:dyDescent="0.35">
      <c r="A79" s="1">
        <v>46059.5</v>
      </c>
      <c r="B79">
        <v>20.399999999999999</v>
      </c>
      <c r="C79">
        <v>3</v>
      </c>
      <c r="D79">
        <v>18.899999999999999</v>
      </c>
      <c r="E79">
        <v>2</v>
      </c>
      <c r="F79">
        <v>6.9</v>
      </c>
      <c r="G79">
        <v>10.199999999999999</v>
      </c>
      <c r="H79">
        <v>0</v>
      </c>
      <c r="I79">
        <v>13.6</v>
      </c>
      <c r="J79">
        <v>10</v>
      </c>
      <c r="K79">
        <v>0</v>
      </c>
      <c r="L79">
        <v>11.8</v>
      </c>
      <c r="M79">
        <v>15</v>
      </c>
      <c r="N79">
        <v>0</v>
      </c>
      <c r="O79">
        <v>12.1</v>
      </c>
      <c r="P79">
        <v>7.7</v>
      </c>
      <c r="Q79">
        <v>0</v>
      </c>
      <c r="R79">
        <v>8.4</v>
      </c>
      <c r="S79">
        <v>11.5</v>
      </c>
      <c r="T79">
        <v>0</v>
      </c>
      <c r="U79">
        <v>-17.8</v>
      </c>
      <c r="V79">
        <v>-20.6</v>
      </c>
      <c r="W79">
        <v>-22</v>
      </c>
      <c r="X79">
        <v>-18.2</v>
      </c>
      <c r="Y79">
        <v>-15</v>
      </c>
      <c r="Z79">
        <v>-22</v>
      </c>
      <c r="AA79">
        <v>11.5</v>
      </c>
      <c r="AB79">
        <v>8.8000000000000007</v>
      </c>
      <c r="AC79">
        <v>40.5</v>
      </c>
      <c r="AD79">
        <v>8.1999999999999993</v>
      </c>
      <c r="AE79">
        <v>6.5</v>
      </c>
      <c r="AF79">
        <v>0</v>
      </c>
      <c r="AG79">
        <v>10.7</v>
      </c>
      <c r="AH79">
        <v>10</v>
      </c>
      <c r="AI79">
        <v>10.6</v>
      </c>
      <c r="AJ79">
        <v>10</v>
      </c>
      <c r="AK79">
        <v>11</v>
      </c>
      <c r="AL79">
        <v>10</v>
      </c>
      <c r="AM79">
        <v>12.6</v>
      </c>
      <c r="AN79">
        <v>9</v>
      </c>
      <c r="AO79">
        <v>10.199999999999999</v>
      </c>
      <c r="AP79">
        <v>10</v>
      </c>
      <c r="AQ79">
        <v>11.9</v>
      </c>
      <c r="AR79">
        <v>10</v>
      </c>
      <c r="AS79">
        <v>11.1</v>
      </c>
      <c r="AT79">
        <v>10</v>
      </c>
      <c r="AU79">
        <v>18.600000000000001</v>
      </c>
      <c r="AV79">
        <v>19</v>
      </c>
      <c r="AW79">
        <v>19.899999999999999</v>
      </c>
      <c r="AX79">
        <v>19</v>
      </c>
      <c r="AY79">
        <v>12</v>
      </c>
      <c r="AZ79">
        <v>10</v>
      </c>
      <c r="BA79">
        <v>11.8</v>
      </c>
      <c r="BB79">
        <v>10</v>
      </c>
    </row>
    <row r="80" spans="1:54" x14ac:dyDescent="0.35">
      <c r="A80" s="1">
        <v>46059.500694444447</v>
      </c>
      <c r="B80">
        <v>20.399999999999999</v>
      </c>
      <c r="C80">
        <v>3</v>
      </c>
      <c r="D80">
        <v>18.899999999999999</v>
      </c>
      <c r="E80">
        <v>2</v>
      </c>
      <c r="F80">
        <v>6.9</v>
      </c>
      <c r="G80">
        <v>10.199999999999999</v>
      </c>
      <c r="H80">
        <v>0</v>
      </c>
      <c r="I80">
        <v>13.6</v>
      </c>
      <c r="J80">
        <v>10</v>
      </c>
      <c r="K80">
        <v>0</v>
      </c>
      <c r="L80">
        <v>11.8</v>
      </c>
      <c r="M80">
        <v>15</v>
      </c>
      <c r="N80">
        <v>0</v>
      </c>
      <c r="O80">
        <v>12.1</v>
      </c>
      <c r="P80">
        <v>7.7</v>
      </c>
      <c r="Q80">
        <v>0</v>
      </c>
      <c r="R80">
        <v>8.4</v>
      </c>
      <c r="S80">
        <v>11.5</v>
      </c>
      <c r="T80">
        <v>0</v>
      </c>
      <c r="U80">
        <v>-17.7</v>
      </c>
      <c r="V80">
        <v>-18.399999999999999</v>
      </c>
      <c r="W80">
        <v>-22</v>
      </c>
      <c r="X80">
        <v>-18</v>
      </c>
      <c r="Y80">
        <v>-15.1</v>
      </c>
      <c r="Z80">
        <v>-22</v>
      </c>
      <c r="AA80">
        <v>11.3</v>
      </c>
      <c r="AB80">
        <v>8.9</v>
      </c>
      <c r="AC80">
        <v>40.5</v>
      </c>
      <c r="AD80">
        <v>8.1999999999999993</v>
      </c>
      <c r="AE80">
        <v>6.5</v>
      </c>
      <c r="AF80">
        <v>0</v>
      </c>
      <c r="AG80">
        <v>10.9</v>
      </c>
      <c r="AH80">
        <v>10</v>
      </c>
      <c r="AI80">
        <v>10.7</v>
      </c>
      <c r="AJ80">
        <v>10</v>
      </c>
      <c r="AK80">
        <v>9.6</v>
      </c>
      <c r="AL80">
        <v>10</v>
      </c>
      <c r="AM80">
        <v>12.6</v>
      </c>
      <c r="AN80">
        <v>9</v>
      </c>
      <c r="AO80">
        <v>10.1</v>
      </c>
      <c r="AP80">
        <v>10</v>
      </c>
      <c r="AQ80">
        <v>11.8</v>
      </c>
      <c r="AR80">
        <v>10</v>
      </c>
      <c r="AS80">
        <v>11.3</v>
      </c>
      <c r="AT80">
        <v>10</v>
      </c>
      <c r="AU80">
        <v>18.600000000000001</v>
      </c>
      <c r="AV80">
        <v>19</v>
      </c>
      <c r="AW80">
        <v>19.8</v>
      </c>
      <c r="AX80">
        <v>19</v>
      </c>
      <c r="AY80">
        <v>11.6</v>
      </c>
      <c r="AZ80">
        <v>10</v>
      </c>
      <c r="BA80">
        <v>12</v>
      </c>
      <c r="BB80">
        <v>10</v>
      </c>
    </row>
    <row r="81" spans="1:54" x14ac:dyDescent="0.35">
      <c r="A81" s="1">
        <v>46059.501388888886</v>
      </c>
      <c r="B81">
        <v>20.399999999999999</v>
      </c>
      <c r="C81">
        <v>3</v>
      </c>
      <c r="D81">
        <v>18.899999999999999</v>
      </c>
      <c r="E81">
        <v>2</v>
      </c>
      <c r="F81">
        <v>6.9</v>
      </c>
      <c r="G81">
        <v>10.199999999999999</v>
      </c>
      <c r="H81">
        <v>0</v>
      </c>
      <c r="I81">
        <v>13.6</v>
      </c>
      <c r="J81">
        <v>10</v>
      </c>
      <c r="K81">
        <v>0</v>
      </c>
      <c r="L81">
        <v>11.8</v>
      </c>
      <c r="M81">
        <v>15</v>
      </c>
      <c r="N81">
        <v>0</v>
      </c>
      <c r="O81">
        <v>12.1</v>
      </c>
      <c r="P81">
        <v>7.7</v>
      </c>
      <c r="Q81">
        <v>0</v>
      </c>
      <c r="R81">
        <v>8.4</v>
      </c>
      <c r="S81">
        <v>11.5</v>
      </c>
      <c r="T81">
        <v>0</v>
      </c>
      <c r="U81">
        <v>-17</v>
      </c>
      <c r="V81">
        <v>-17.100000000000001</v>
      </c>
      <c r="W81">
        <v>-22</v>
      </c>
      <c r="X81">
        <v>-17.100000000000001</v>
      </c>
      <c r="Y81">
        <v>-15.1</v>
      </c>
      <c r="Z81">
        <v>-22</v>
      </c>
      <c r="AA81">
        <v>11.2</v>
      </c>
      <c r="AB81">
        <v>9</v>
      </c>
      <c r="AC81">
        <v>40.5</v>
      </c>
      <c r="AD81">
        <v>8.1999999999999993</v>
      </c>
      <c r="AE81">
        <v>6.5</v>
      </c>
      <c r="AF81">
        <v>0</v>
      </c>
      <c r="AG81">
        <v>11</v>
      </c>
      <c r="AH81">
        <v>10</v>
      </c>
      <c r="AI81">
        <v>10.8</v>
      </c>
      <c r="AJ81">
        <v>10</v>
      </c>
      <c r="AK81">
        <v>9.5</v>
      </c>
      <c r="AL81">
        <v>10</v>
      </c>
      <c r="AM81">
        <v>12.6</v>
      </c>
      <c r="AN81">
        <v>9</v>
      </c>
      <c r="AO81">
        <v>10.4</v>
      </c>
      <c r="AP81">
        <v>10</v>
      </c>
      <c r="AQ81">
        <v>11.6</v>
      </c>
      <c r="AR81">
        <v>10</v>
      </c>
      <c r="AS81">
        <v>11.5</v>
      </c>
      <c r="AT81">
        <v>10</v>
      </c>
      <c r="AU81">
        <v>18.600000000000001</v>
      </c>
      <c r="AV81">
        <v>19</v>
      </c>
      <c r="AW81">
        <v>19.7</v>
      </c>
      <c r="AX81">
        <v>19</v>
      </c>
      <c r="AY81">
        <v>10.6</v>
      </c>
      <c r="AZ81">
        <v>10</v>
      </c>
      <c r="BA81">
        <v>11.7</v>
      </c>
      <c r="BB81">
        <v>10</v>
      </c>
    </row>
    <row r="82" spans="1:54" x14ac:dyDescent="0.35">
      <c r="A82" s="1">
        <v>46059.502083333333</v>
      </c>
      <c r="B82">
        <v>20.399999999999999</v>
      </c>
      <c r="C82">
        <v>3</v>
      </c>
      <c r="D82">
        <v>18.899999999999999</v>
      </c>
      <c r="E82">
        <v>2</v>
      </c>
      <c r="F82">
        <v>6.9</v>
      </c>
      <c r="G82">
        <v>10.199999999999999</v>
      </c>
      <c r="H82">
        <v>0</v>
      </c>
      <c r="I82">
        <v>13.6</v>
      </c>
      <c r="J82">
        <v>10</v>
      </c>
      <c r="K82">
        <v>0</v>
      </c>
      <c r="L82">
        <v>11.8</v>
      </c>
      <c r="M82">
        <v>15</v>
      </c>
      <c r="N82">
        <v>0</v>
      </c>
      <c r="O82">
        <v>12.1</v>
      </c>
      <c r="P82">
        <v>7.7</v>
      </c>
      <c r="Q82">
        <v>0</v>
      </c>
      <c r="R82">
        <v>8.4</v>
      </c>
      <c r="S82">
        <v>11.5</v>
      </c>
      <c r="T82">
        <v>0</v>
      </c>
      <c r="U82">
        <v>-16.2</v>
      </c>
      <c r="V82">
        <v>-16</v>
      </c>
      <c r="W82">
        <v>-22</v>
      </c>
      <c r="X82">
        <v>-16.2</v>
      </c>
      <c r="Y82">
        <v>-15.1</v>
      </c>
      <c r="Z82">
        <v>-22</v>
      </c>
      <c r="AA82">
        <v>11.2</v>
      </c>
      <c r="AB82">
        <v>9.1</v>
      </c>
      <c r="AC82">
        <v>40.5</v>
      </c>
      <c r="AD82">
        <v>8.1999999999999993</v>
      </c>
      <c r="AE82">
        <v>6.5</v>
      </c>
      <c r="AF82">
        <v>0</v>
      </c>
      <c r="AG82">
        <v>11.2</v>
      </c>
      <c r="AH82">
        <v>10</v>
      </c>
      <c r="AI82">
        <v>11</v>
      </c>
      <c r="AJ82">
        <v>10</v>
      </c>
      <c r="AK82">
        <v>9.9</v>
      </c>
      <c r="AL82">
        <v>10</v>
      </c>
      <c r="AM82">
        <v>12.5</v>
      </c>
      <c r="AN82">
        <v>9</v>
      </c>
      <c r="AO82">
        <v>11.2</v>
      </c>
      <c r="AP82">
        <v>10</v>
      </c>
      <c r="AQ82">
        <v>11.5</v>
      </c>
      <c r="AR82">
        <v>10</v>
      </c>
      <c r="AS82">
        <v>11.7</v>
      </c>
      <c r="AT82">
        <v>10</v>
      </c>
      <c r="AU82">
        <v>18.600000000000001</v>
      </c>
      <c r="AV82">
        <v>19</v>
      </c>
      <c r="AW82">
        <v>19.7</v>
      </c>
      <c r="AX82">
        <v>19</v>
      </c>
      <c r="AY82">
        <v>9.8000000000000007</v>
      </c>
      <c r="AZ82">
        <v>10</v>
      </c>
      <c r="BA82">
        <v>10.9</v>
      </c>
      <c r="BB82">
        <v>10</v>
      </c>
    </row>
    <row r="83" spans="1:54" x14ac:dyDescent="0.35">
      <c r="A83" s="1">
        <v>46059.50277777778</v>
      </c>
      <c r="B83">
        <v>20.399999999999999</v>
      </c>
      <c r="C83">
        <v>3</v>
      </c>
      <c r="D83">
        <v>19</v>
      </c>
      <c r="E83">
        <v>2</v>
      </c>
      <c r="F83">
        <v>7</v>
      </c>
      <c r="G83">
        <v>10.3</v>
      </c>
      <c r="H83">
        <v>0</v>
      </c>
      <c r="I83">
        <v>13.6</v>
      </c>
      <c r="J83">
        <v>10</v>
      </c>
      <c r="K83">
        <v>0</v>
      </c>
      <c r="L83">
        <v>11.8</v>
      </c>
      <c r="M83">
        <v>15</v>
      </c>
      <c r="N83">
        <v>0</v>
      </c>
      <c r="O83">
        <v>12.1</v>
      </c>
      <c r="P83">
        <v>7.8</v>
      </c>
      <c r="Q83">
        <v>0</v>
      </c>
      <c r="R83">
        <v>8.4</v>
      </c>
      <c r="S83">
        <v>11.5</v>
      </c>
      <c r="T83">
        <v>0</v>
      </c>
      <c r="U83">
        <v>-16.2</v>
      </c>
      <c r="V83">
        <v>-14.8</v>
      </c>
      <c r="W83">
        <v>-22</v>
      </c>
      <c r="X83">
        <v>-14.4</v>
      </c>
      <c r="Y83">
        <v>-13.4</v>
      </c>
      <c r="Z83">
        <v>-22</v>
      </c>
      <c r="AA83">
        <v>11.2</v>
      </c>
      <c r="AB83">
        <v>9.3000000000000007</v>
      </c>
      <c r="AC83">
        <v>40.5</v>
      </c>
      <c r="AD83">
        <v>8.1999999999999993</v>
      </c>
      <c r="AE83">
        <v>6.5</v>
      </c>
      <c r="AF83">
        <v>0</v>
      </c>
      <c r="AG83">
        <v>11.3</v>
      </c>
      <c r="AH83">
        <v>10</v>
      </c>
      <c r="AI83">
        <v>11.1</v>
      </c>
      <c r="AJ83">
        <v>10</v>
      </c>
      <c r="AK83">
        <v>10.3</v>
      </c>
      <c r="AL83">
        <v>10</v>
      </c>
      <c r="AM83">
        <v>12.5</v>
      </c>
      <c r="AN83">
        <v>9</v>
      </c>
      <c r="AO83">
        <v>11.5</v>
      </c>
      <c r="AP83">
        <v>10</v>
      </c>
      <c r="AQ83">
        <v>11.2</v>
      </c>
      <c r="AR83">
        <v>10</v>
      </c>
      <c r="AS83">
        <v>11.9</v>
      </c>
      <c r="AT83">
        <v>10</v>
      </c>
      <c r="AU83">
        <v>18.600000000000001</v>
      </c>
      <c r="AV83">
        <v>19</v>
      </c>
      <c r="AW83">
        <v>19.7</v>
      </c>
      <c r="AX83">
        <v>19</v>
      </c>
      <c r="AY83">
        <v>9.6999999999999993</v>
      </c>
      <c r="AZ83">
        <v>10</v>
      </c>
      <c r="BA83">
        <v>10.3</v>
      </c>
      <c r="BB83">
        <v>10</v>
      </c>
    </row>
    <row r="84" spans="1:54" x14ac:dyDescent="0.35">
      <c r="A84" s="1">
        <v>46059.503472222219</v>
      </c>
      <c r="B84">
        <v>20.399999999999999</v>
      </c>
      <c r="C84">
        <v>3</v>
      </c>
      <c r="D84">
        <v>19</v>
      </c>
      <c r="E84">
        <v>2</v>
      </c>
      <c r="F84">
        <v>7</v>
      </c>
      <c r="G84">
        <v>10.3</v>
      </c>
      <c r="H84">
        <v>0</v>
      </c>
      <c r="I84">
        <v>13.6</v>
      </c>
      <c r="J84">
        <v>10</v>
      </c>
      <c r="K84">
        <v>0</v>
      </c>
      <c r="L84">
        <v>11.8</v>
      </c>
      <c r="M84">
        <v>15</v>
      </c>
      <c r="N84">
        <v>0</v>
      </c>
      <c r="O84">
        <v>12.1</v>
      </c>
      <c r="P84">
        <v>7.8</v>
      </c>
      <c r="Q84">
        <v>0</v>
      </c>
      <c r="R84">
        <v>8.4</v>
      </c>
      <c r="S84">
        <v>11.5</v>
      </c>
      <c r="T84">
        <v>0</v>
      </c>
      <c r="U84">
        <v>-16.2</v>
      </c>
      <c r="V84">
        <v>-12.4</v>
      </c>
      <c r="W84">
        <v>-22</v>
      </c>
      <c r="X84">
        <v>-13.4</v>
      </c>
      <c r="Y84">
        <v>-13.9</v>
      </c>
      <c r="Z84">
        <v>-22</v>
      </c>
      <c r="AA84">
        <v>11.2</v>
      </c>
      <c r="AB84">
        <v>9.3000000000000007</v>
      </c>
      <c r="AC84">
        <v>40.5</v>
      </c>
      <c r="AD84">
        <v>8.1999999999999993</v>
      </c>
      <c r="AE84">
        <v>6.5</v>
      </c>
      <c r="AF84">
        <v>0</v>
      </c>
      <c r="AG84">
        <v>11.4</v>
      </c>
      <c r="AH84">
        <v>10</v>
      </c>
      <c r="AI84">
        <v>11.2</v>
      </c>
      <c r="AJ84">
        <v>10</v>
      </c>
      <c r="AK84">
        <v>10.6</v>
      </c>
      <c r="AL84">
        <v>10</v>
      </c>
      <c r="AM84">
        <v>12.6</v>
      </c>
      <c r="AN84">
        <v>9</v>
      </c>
      <c r="AO84">
        <v>11.9</v>
      </c>
      <c r="AP84">
        <v>10</v>
      </c>
      <c r="AQ84">
        <v>11.2</v>
      </c>
      <c r="AR84">
        <v>10</v>
      </c>
      <c r="AS84">
        <v>11.5</v>
      </c>
      <c r="AT84">
        <v>10</v>
      </c>
      <c r="AU84">
        <v>18.600000000000001</v>
      </c>
      <c r="AV84">
        <v>19</v>
      </c>
      <c r="AW84">
        <v>19.7</v>
      </c>
      <c r="AX84">
        <v>19</v>
      </c>
      <c r="AY84">
        <v>10</v>
      </c>
      <c r="AZ84">
        <v>10</v>
      </c>
      <c r="BA84">
        <v>9.6999999999999993</v>
      </c>
      <c r="BB84">
        <v>10</v>
      </c>
    </row>
    <row r="85" spans="1:54" x14ac:dyDescent="0.35">
      <c r="A85" s="1">
        <v>46059.504166666666</v>
      </c>
      <c r="B85">
        <v>20.399999999999999</v>
      </c>
      <c r="C85">
        <v>3</v>
      </c>
      <c r="D85">
        <v>19</v>
      </c>
      <c r="E85">
        <v>2</v>
      </c>
      <c r="F85">
        <v>7</v>
      </c>
      <c r="G85">
        <v>10.3</v>
      </c>
      <c r="H85">
        <v>0</v>
      </c>
      <c r="I85">
        <v>13.6</v>
      </c>
      <c r="J85">
        <v>10</v>
      </c>
      <c r="K85">
        <v>0</v>
      </c>
      <c r="L85">
        <v>11.8</v>
      </c>
      <c r="M85">
        <v>15</v>
      </c>
      <c r="N85">
        <v>0</v>
      </c>
      <c r="O85">
        <v>12.1</v>
      </c>
      <c r="P85">
        <v>7.8</v>
      </c>
      <c r="Q85">
        <v>0</v>
      </c>
      <c r="R85">
        <v>8.4</v>
      </c>
      <c r="S85">
        <v>11.5</v>
      </c>
      <c r="T85">
        <v>0</v>
      </c>
      <c r="U85">
        <v>-16.2</v>
      </c>
      <c r="V85">
        <v>-9.6999999999999993</v>
      </c>
      <c r="W85">
        <v>-22</v>
      </c>
      <c r="X85">
        <v>-12.9</v>
      </c>
      <c r="Y85">
        <v>-14</v>
      </c>
      <c r="Z85">
        <v>-22</v>
      </c>
      <c r="AA85">
        <v>11.2</v>
      </c>
      <c r="AB85">
        <v>9.4</v>
      </c>
      <c r="AC85">
        <v>40.5</v>
      </c>
      <c r="AD85">
        <v>8.1999999999999993</v>
      </c>
      <c r="AE85">
        <v>6.5</v>
      </c>
      <c r="AF85">
        <v>0</v>
      </c>
      <c r="AG85">
        <v>11.6</v>
      </c>
      <c r="AH85">
        <v>10</v>
      </c>
      <c r="AI85">
        <v>11.3</v>
      </c>
      <c r="AJ85">
        <v>10</v>
      </c>
      <c r="AK85">
        <v>10.9</v>
      </c>
      <c r="AL85">
        <v>10</v>
      </c>
      <c r="AM85">
        <v>12.6</v>
      </c>
      <c r="AN85">
        <v>9</v>
      </c>
      <c r="AO85">
        <v>12</v>
      </c>
      <c r="AP85">
        <v>10</v>
      </c>
      <c r="AQ85">
        <v>11.2</v>
      </c>
      <c r="AR85">
        <v>10</v>
      </c>
      <c r="AS85">
        <v>9.1999999999999993</v>
      </c>
      <c r="AT85">
        <v>10</v>
      </c>
      <c r="AU85">
        <v>18.600000000000001</v>
      </c>
      <c r="AV85">
        <v>19</v>
      </c>
      <c r="AW85">
        <v>19.7</v>
      </c>
      <c r="AX85">
        <v>19</v>
      </c>
      <c r="AY85">
        <v>10.4</v>
      </c>
      <c r="AZ85">
        <v>10</v>
      </c>
      <c r="BA85">
        <v>9.8000000000000007</v>
      </c>
      <c r="BB85">
        <v>10</v>
      </c>
    </row>
    <row r="86" spans="1:54" x14ac:dyDescent="0.35">
      <c r="A86" s="1">
        <v>46059.504861111112</v>
      </c>
      <c r="B86">
        <v>20.399999999999999</v>
      </c>
      <c r="C86">
        <v>3</v>
      </c>
      <c r="D86">
        <v>19</v>
      </c>
      <c r="E86">
        <v>2</v>
      </c>
      <c r="F86">
        <v>7</v>
      </c>
      <c r="G86">
        <v>10.3</v>
      </c>
      <c r="H86">
        <v>0</v>
      </c>
      <c r="I86">
        <v>13.6</v>
      </c>
      <c r="J86">
        <v>10</v>
      </c>
      <c r="K86">
        <v>0</v>
      </c>
      <c r="L86">
        <v>11.8</v>
      </c>
      <c r="M86">
        <v>15</v>
      </c>
      <c r="N86">
        <v>0</v>
      </c>
      <c r="O86">
        <v>12.1</v>
      </c>
      <c r="P86">
        <v>7.8</v>
      </c>
      <c r="Q86">
        <v>0</v>
      </c>
      <c r="R86">
        <v>8.4</v>
      </c>
      <c r="S86">
        <v>11.5</v>
      </c>
      <c r="T86">
        <v>0</v>
      </c>
      <c r="U86">
        <v>-16.2</v>
      </c>
      <c r="V86">
        <v>-5.5</v>
      </c>
      <c r="W86">
        <v>-22</v>
      </c>
      <c r="X86">
        <v>-12.5</v>
      </c>
      <c r="Y86">
        <v>-14</v>
      </c>
      <c r="Z86">
        <v>-22</v>
      </c>
      <c r="AA86">
        <v>11.2</v>
      </c>
      <c r="AB86">
        <v>9.5</v>
      </c>
      <c r="AC86">
        <v>40.5</v>
      </c>
      <c r="AD86">
        <v>8.1999999999999993</v>
      </c>
      <c r="AE86">
        <v>6.5</v>
      </c>
      <c r="AF86">
        <v>0</v>
      </c>
      <c r="AG86">
        <v>11.7</v>
      </c>
      <c r="AH86">
        <v>10</v>
      </c>
      <c r="AI86">
        <v>11.4</v>
      </c>
      <c r="AJ86">
        <v>10</v>
      </c>
      <c r="AK86">
        <v>11</v>
      </c>
      <c r="AL86">
        <v>10</v>
      </c>
      <c r="AM86">
        <v>12.7</v>
      </c>
      <c r="AN86">
        <v>9</v>
      </c>
      <c r="AO86">
        <v>11.1</v>
      </c>
      <c r="AP86">
        <v>10</v>
      </c>
      <c r="AQ86">
        <v>11.1</v>
      </c>
      <c r="AR86">
        <v>10</v>
      </c>
      <c r="AS86">
        <v>8.1</v>
      </c>
      <c r="AT86">
        <v>10</v>
      </c>
      <c r="AU86">
        <v>18.600000000000001</v>
      </c>
      <c r="AV86">
        <v>19</v>
      </c>
      <c r="AW86">
        <v>19.7</v>
      </c>
      <c r="AX86">
        <v>19</v>
      </c>
      <c r="AY86">
        <v>10.7</v>
      </c>
      <c r="AZ86">
        <v>10</v>
      </c>
      <c r="BA86">
        <v>10.199999999999999</v>
      </c>
      <c r="BB86">
        <v>10</v>
      </c>
    </row>
    <row r="87" spans="1:54" x14ac:dyDescent="0.35">
      <c r="A87" s="1">
        <v>46059.505555555559</v>
      </c>
      <c r="B87">
        <v>20.399999999999999</v>
      </c>
      <c r="C87">
        <v>3</v>
      </c>
      <c r="D87">
        <v>19</v>
      </c>
      <c r="E87">
        <v>2</v>
      </c>
      <c r="F87">
        <v>7</v>
      </c>
      <c r="G87">
        <v>10.3</v>
      </c>
      <c r="H87">
        <v>0</v>
      </c>
      <c r="I87">
        <v>13.6</v>
      </c>
      <c r="J87">
        <v>10</v>
      </c>
      <c r="K87">
        <v>0</v>
      </c>
      <c r="L87">
        <v>11.8</v>
      </c>
      <c r="M87">
        <v>15</v>
      </c>
      <c r="N87">
        <v>0</v>
      </c>
      <c r="O87">
        <v>12.1</v>
      </c>
      <c r="P87">
        <v>7.8</v>
      </c>
      <c r="Q87">
        <v>0</v>
      </c>
      <c r="R87">
        <v>8.4</v>
      </c>
      <c r="S87">
        <v>11.5</v>
      </c>
      <c r="T87">
        <v>0</v>
      </c>
      <c r="U87">
        <v>-16.2</v>
      </c>
      <c r="V87">
        <v>-3</v>
      </c>
      <c r="W87">
        <v>-22</v>
      </c>
      <c r="X87">
        <v>-12.2</v>
      </c>
      <c r="Y87">
        <v>-14</v>
      </c>
      <c r="Z87">
        <v>-22</v>
      </c>
      <c r="AA87">
        <v>11.1</v>
      </c>
      <c r="AB87">
        <v>9.5</v>
      </c>
      <c r="AC87">
        <v>40.5</v>
      </c>
      <c r="AD87">
        <v>8.1999999999999993</v>
      </c>
      <c r="AE87">
        <v>6.5</v>
      </c>
      <c r="AF87">
        <v>0</v>
      </c>
      <c r="AG87">
        <v>11.8</v>
      </c>
      <c r="AH87">
        <v>10</v>
      </c>
      <c r="AI87">
        <v>11.5</v>
      </c>
      <c r="AJ87">
        <v>10</v>
      </c>
      <c r="AK87">
        <v>11.1</v>
      </c>
      <c r="AL87">
        <v>10</v>
      </c>
      <c r="AM87">
        <v>12.7</v>
      </c>
      <c r="AN87">
        <v>9</v>
      </c>
      <c r="AO87">
        <v>10.5</v>
      </c>
      <c r="AP87">
        <v>10</v>
      </c>
      <c r="AQ87">
        <v>11.1</v>
      </c>
      <c r="AR87">
        <v>10</v>
      </c>
      <c r="AS87">
        <v>8.3000000000000007</v>
      </c>
      <c r="AT87">
        <v>10</v>
      </c>
      <c r="AU87">
        <v>18.600000000000001</v>
      </c>
      <c r="AV87">
        <v>19</v>
      </c>
      <c r="AW87">
        <v>19.7</v>
      </c>
      <c r="AX87">
        <v>19</v>
      </c>
      <c r="AY87">
        <v>11.1</v>
      </c>
      <c r="AZ87">
        <v>10</v>
      </c>
      <c r="BA87">
        <v>10.6</v>
      </c>
      <c r="BB87">
        <v>10</v>
      </c>
    </row>
    <row r="88" spans="1:54" x14ac:dyDescent="0.35">
      <c r="A88" s="1">
        <v>46059.506249999999</v>
      </c>
      <c r="B88">
        <v>20.399999999999999</v>
      </c>
      <c r="C88">
        <v>3</v>
      </c>
      <c r="D88">
        <v>19</v>
      </c>
      <c r="E88">
        <v>2</v>
      </c>
      <c r="F88">
        <v>7</v>
      </c>
      <c r="G88">
        <v>10.3</v>
      </c>
      <c r="H88">
        <v>0</v>
      </c>
      <c r="I88">
        <v>13.6</v>
      </c>
      <c r="J88">
        <v>10</v>
      </c>
      <c r="K88">
        <v>0</v>
      </c>
      <c r="L88">
        <v>11.8</v>
      </c>
      <c r="M88">
        <v>15</v>
      </c>
      <c r="N88">
        <v>0</v>
      </c>
      <c r="O88">
        <v>12.1</v>
      </c>
      <c r="P88">
        <v>7.8</v>
      </c>
      <c r="Q88">
        <v>0</v>
      </c>
      <c r="R88">
        <v>8.4</v>
      </c>
      <c r="S88">
        <v>11.6</v>
      </c>
      <c r="T88">
        <v>0</v>
      </c>
      <c r="U88">
        <v>-16.2</v>
      </c>
      <c r="V88">
        <v>-0.6</v>
      </c>
      <c r="W88">
        <v>-22</v>
      </c>
      <c r="X88">
        <v>-12</v>
      </c>
      <c r="Y88">
        <v>-14.2</v>
      </c>
      <c r="Z88">
        <v>-22</v>
      </c>
      <c r="AA88">
        <v>11</v>
      </c>
      <c r="AB88">
        <v>9.6</v>
      </c>
      <c r="AC88">
        <v>40.5</v>
      </c>
      <c r="AD88">
        <v>8.1999999999999993</v>
      </c>
      <c r="AE88">
        <v>6.5</v>
      </c>
      <c r="AF88">
        <v>0</v>
      </c>
      <c r="AG88">
        <v>11.9</v>
      </c>
      <c r="AH88">
        <v>10</v>
      </c>
      <c r="AI88">
        <v>11.6</v>
      </c>
      <c r="AJ88">
        <v>10</v>
      </c>
      <c r="AK88">
        <v>11.2</v>
      </c>
      <c r="AL88">
        <v>10</v>
      </c>
      <c r="AM88">
        <v>12.7</v>
      </c>
      <c r="AN88">
        <v>9</v>
      </c>
      <c r="AO88">
        <v>10.4</v>
      </c>
      <c r="AP88">
        <v>10</v>
      </c>
      <c r="AQ88">
        <v>11.1</v>
      </c>
      <c r="AR88">
        <v>10</v>
      </c>
      <c r="AS88">
        <v>8.9</v>
      </c>
      <c r="AT88">
        <v>10</v>
      </c>
      <c r="AU88">
        <v>18.600000000000001</v>
      </c>
      <c r="AV88">
        <v>19</v>
      </c>
      <c r="AW88">
        <v>19.7</v>
      </c>
      <c r="AX88">
        <v>19</v>
      </c>
      <c r="AY88">
        <v>11.3</v>
      </c>
      <c r="AZ88">
        <v>10</v>
      </c>
      <c r="BA88">
        <v>10.9</v>
      </c>
      <c r="BB88">
        <v>10</v>
      </c>
    </row>
    <row r="89" spans="1:54" x14ac:dyDescent="0.35">
      <c r="A89" s="1">
        <v>46059.506944444445</v>
      </c>
      <c r="B89">
        <v>20.399999999999999</v>
      </c>
      <c r="C89">
        <v>3</v>
      </c>
      <c r="D89">
        <v>19</v>
      </c>
      <c r="E89">
        <v>2</v>
      </c>
      <c r="F89">
        <v>7</v>
      </c>
      <c r="G89">
        <v>10.3</v>
      </c>
      <c r="H89">
        <v>0</v>
      </c>
      <c r="I89">
        <v>13.6</v>
      </c>
      <c r="J89">
        <v>10</v>
      </c>
      <c r="K89">
        <v>0</v>
      </c>
      <c r="L89">
        <v>11.8</v>
      </c>
      <c r="M89">
        <v>15</v>
      </c>
      <c r="N89">
        <v>0</v>
      </c>
      <c r="O89">
        <v>12.1</v>
      </c>
      <c r="P89">
        <v>7.8</v>
      </c>
      <c r="Q89">
        <v>0</v>
      </c>
      <c r="R89">
        <v>8.4</v>
      </c>
      <c r="S89">
        <v>11.6</v>
      </c>
      <c r="T89">
        <v>0</v>
      </c>
      <c r="U89">
        <v>-16.2</v>
      </c>
      <c r="V89">
        <v>0.2</v>
      </c>
      <c r="W89">
        <v>-22</v>
      </c>
      <c r="X89">
        <v>-11.8</v>
      </c>
      <c r="Y89">
        <v>-14.4</v>
      </c>
      <c r="Z89">
        <v>-22</v>
      </c>
      <c r="AA89">
        <v>10.8</v>
      </c>
      <c r="AB89">
        <v>9.6</v>
      </c>
      <c r="AC89">
        <v>40.5</v>
      </c>
      <c r="AD89">
        <v>8.1999999999999993</v>
      </c>
      <c r="AE89">
        <v>6.5</v>
      </c>
      <c r="AF89">
        <v>0</v>
      </c>
      <c r="AG89">
        <v>11.9</v>
      </c>
      <c r="AH89">
        <v>10</v>
      </c>
      <c r="AI89">
        <v>11.7</v>
      </c>
      <c r="AJ89">
        <v>10</v>
      </c>
      <c r="AK89">
        <v>11.2</v>
      </c>
      <c r="AL89">
        <v>10</v>
      </c>
      <c r="AM89">
        <v>12.7</v>
      </c>
      <c r="AN89">
        <v>9</v>
      </c>
      <c r="AO89">
        <v>10.3</v>
      </c>
      <c r="AP89">
        <v>10</v>
      </c>
      <c r="AQ89">
        <v>11.2</v>
      </c>
      <c r="AR89">
        <v>10</v>
      </c>
      <c r="AS89">
        <v>9.5</v>
      </c>
      <c r="AT89">
        <v>10</v>
      </c>
      <c r="AU89">
        <v>18.600000000000001</v>
      </c>
      <c r="AV89">
        <v>19</v>
      </c>
      <c r="AW89">
        <v>19.8</v>
      </c>
      <c r="AX89">
        <v>19</v>
      </c>
      <c r="AY89">
        <v>11.5</v>
      </c>
      <c r="AZ89">
        <v>10</v>
      </c>
      <c r="BA89">
        <v>11.2</v>
      </c>
      <c r="BB89">
        <v>10</v>
      </c>
    </row>
    <row r="90" spans="1:54" x14ac:dyDescent="0.35">
      <c r="A90" s="1">
        <v>46059.507638888892</v>
      </c>
      <c r="B90">
        <v>20.399999999999999</v>
      </c>
      <c r="C90">
        <v>3</v>
      </c>
      <c r="D90">
        <v>19</v>
      </c>
      <c r="E90">
        <v>2</v>
      </c>
      <c r="F90">
        <v>7</v>
      </c>
      <c r="G90">
        <v>10.3</v>
      </c>
      <c r="H90">
        <v>0</v>
      </c>
      <c r="I90">
        <v>13.6</v>
      </c>
      <c r="J90">
        <v>10</v>
      </c>
      <c r="K90">
        <v>0</v>
      </c>
      <c r="L90">
        <v>11.8</v>
      </c>
      <c r="M90">
        <v>15</v>
      </c>
      <c r="N90">
        <v>0</v>
      </c>
      <c r="O90">
        <v>12.1</v>
      </c>
      <c r="P90">
        <v>7.8</v>
      </c>
      <c r="Q90">
        <v>0</v>
      </c>
      <c r="R90">
        <v>8.4</v>
      </c>
      <c r="S90">
        <v>11.6</v>
      </c>
      <c r="T90">
        <v>0</v>
      </c>
      <c r="U90">
        <v>-16.2</v>
      </c>
      <c r="V90">
        <v>0.4</v>
      </c>
      <c r="W90">
        <v>-22</v>
      </c>
      <c r="X90">
        <v>-11.7</v>
      </c>
      <c r="Y90">
        <v>-14.6</v>
      </c>
      <c r="Z90">
        <v>-22</v>
      </c>
      <c r="AA90">
        <v>10.7</v>
      </c>
      <c r="AB90">
        <v>9.6999999999999993</v>
      </c>
      <c r="AC90">
        <v>40.5</v>
      </c>
      <c r="AD90">
        <v>8.1999999999999993</v>
      </c>
      <c r="AE90">
        <v>6.5</v>
      </c>
      <c r="AF90">
        <v>0</v>
      </c>
      <c r="AG90">
        <v>11.9</v>
      </c>
      <c r="AH90">
        <v>10</v>
      </c>
      <c r="AI90">
        <v>11.8</v>
      </c>
      <c r="AJ90">
        <v>10</v>
      </c>
      <c r="AK90">
        <v>11.2</v>
      </c>
      <c r="AL90">
        <v>10</v>
      </c>
      <c r="AM90">
        <v>12.7</v>
      </c>
      <c r="AN90">
        <v>9</v>
      </c>
      <c r="AO90">
        <v>10.199999999999999</v>
      </c>
      <c r="AP90">
        <v>10</v>
      </c>
      <c r="AQ90">
        <v>11.3</v>
      </c>
      <c r="AR90">
        <v>10</v>
      </c>
      <c r="AS90">
        <v>9.9</v>
      </c>
      <c r="AT90">
        <v>10</v>
      </c>
      <c r="AU90">
        <v>18.600000000000001</v>
      </c>
      <c r="AV90">
        <v>19</v>
      </c>
      <c r="AW90">
        <v>19.8</v>
      </c>
      <c r="AX90">
        <v>19</v>
      </c>
      <c r="AY90">
        <v>11.8</v>
      </c>
      <c r="AZ90">
        <v>10</v>
      </c>
      <c r="BA90">
        <v>11.5</v>
      </c>
      <c r="BB90">
        <v>10</v>
      </c>
    </row>
    <row r="91" spans="1:54" x14ac:dyDescent="0.35">
      <c r="A91" s="1">
        <v>46059.509027777778</v>
      </c>
      <c r="B91">
        <v>20.399999999999999</v>
      </c>
      <c r="C91">
        <v>3</v>
      </c>
      <c r="D91">
        <v>19</v>
      </c>
      <c r="E91">
        <v>2</v>
      </c>
      <c r="F91">
        <v>7</v>
      </c>
      <c r="G91">
        <v>10.3</v>
      </c>
      <c r="H91">
        <v>0</v>
      </c>
      <c r="I91">
        <v>13.7</v>
      </c>
      <c r="J91">
        <v>10</v>
      </c>
      <c r="K91">
        <v>0</v>
      </c>
      <c r="L91">
        <v>11.8</v>
      </c>
      <c r="M91">
        <v>15</v>
      </c>
      <c r="N91">
        <v>0</v>
      </c>
      <c r="O91">
        <v>12.2</v>
      </c>
      <c r="P91">
        <v>7.8</v>
      </c>
      <c r="Q91">
        <v>0</v>
      </c>
      <c r="R91">
        <v>8.4</v>
      </c>
      <c r="S91">
        <v>11.6</v>
      </c>
      <c r="T91">
        <v>0</v>
      </c>
      <c r="U91">
        <v>-16.2</v>
      </c>
      <c r="V91">
        <v>0.5</v>
      </c>
      <c r="W91">
        <v>-22</v>
      </c>
      <c r="X91">
        <v>-11.7</v>
      </c>
      <c r="Y91">
        <v>-15</v>
      </c>
      <c r="Z91">
        <v>-22</v>
      </c>
      <c r="AA91">
        <v>10.5</v>
      </c>
      <c r="AB91">
        <v>9.6999999999999993</v>
      </c>
      <c r="AC91">
        <v>40.5</v>
      </c>
      <c r="AD91">
        <v>8.1999999999999993</v>
      </c>
      <c r="AE91">
        <v>6.5</v>
      </c>
      <c r="AF91">
        <v>0</v>
      </c>
      <c r="AG91">
        <v>10.199999999999999</v>
      </c>
      <c r="AH91">
        <v>10</v>
      </c>
      <c r="AI91">
        <v>12</v>
      </c>
      <c r="AJ91">
        <v>10</v>
      </c>
      <c r="AK91">
        <v>11.2</v>
      </c>
      <c r="AL91">
        <v>10</v>
      </c>
      <c r="AM91">
        <v>12.7</v>
      </c>
      <c r="AN91">
        <v>9</v>
      </c>
      <c r="AO91">
        <v>10</v>
      </c>
      <c r="AP91">
        <v>10</v>
      </c>
      <c r="AQ91">
        <v>11.4</v>
      </c>
      <c r="AR91">
        <v>10</v>
      </c>
      <c r="AS91">
        <v>10.6</v>
      </c>
      <c r="AT91">
        <v>10</v>
      </c>
      <c r="AU91">
        <v>18.600000000000001</v>
      </c>
      <c r="AV91">
        <v>19</v>
      </c>
      <c r="AW91">
        <v>19.7</v>
      </c>
      <c r="AX91">
        <v>19</v>
      </c>
      <c r="AY91">
        <v>11.9</v>
      </c>
      <c r="AZ91">
        <v>10</v>
      </c>
      <c r="BA91">
        <v>12</v>
      </c>
      <c r="BB91">
        <v>10</v>
      </c>
    </row>
    <row r="92" spans="1:54" x14ac:dyDescent="0.35">
      <c r="A92" s="1">
        <v>46059.509722222225</v>
      </c>
      <c r="B92">
        <v>20.399999999999999</v>
      </c>
      <c r="C92">
        <v>3</v>
      </c>
      <c r="D92">
        <v>19</v>
      </c>
      <c r="E92">
        <v>2</v>
      </c>
      <c r="F92">
        <v>7</v>
      </c>
      <c r="G92">
        <v>10.3</v>
      </c>
      <c r="H92">
        <v>0</v>
      </c>
      <c r="I92">
        <v>13.7</v>
      </c>
      <c r="J92">
        <v>10</v>
      </c>
      <c r="K92">
        <v>0</v>
      </c>
      <c r="L92">
        <v>11.8</v>
      </c>
      <c r="M92">
        <v>15</v>
      </c>
      <c r="N92">
        <v>0</v>
      </c>
      <c r="O92">
        <v>12.2</v>
      </c>
      <c r="P92">
        <v>7.8</v>
      </c>
      <c r="Q92">
        <v>0</v>
      </c>
      <c r="R92">
        <v>8.4</v>
      </c>
      <c r="S92">
        <v>11.6</v>
      </c>
      <c r="T92">
        <v>0</v>
      </c>
      <c r="U92">
        <v>-16.2</v>
      </c>
      <c r="V92">
        <v>0.6</v>
      </c>
      <c r="W92">
        <v>-22</v>
      </c>
      <c r="X92">
        <v>-11.7</v>
      </c>
      <c r="Y92">
        <v>-15.1</v>
      </c>
      <c r="Z92">
        <v>-22</v>
      </c>
      <c r="AA92">
        <v>10.4</v>
      </c>
      <c r="AB92">
        <v>9.6999999999999993</v>
      </c>
      <c r="AC92">
        <v>40.5</v>
      </c>
      <c r="AD92">
        <v>8.1999999999999993</v>
      </c>
      <c r="AE92">
        <v>6.5</v>
      </c>
      <c r="AF92">
        <v>0</v>
      </c>
      <c r="AG92">
        <v>9.6</v>
      </c>
      <c r="AH92">
        <v>10</v>
      </c>
      <c r="AI92">
        <v>10.8</v>
      </c>
      <c r="AJ92">
        <v>10</v>
      </c>
      <c r="AK92">
        <v>11.3</v>
      </c>
      <c r="AL92">
        <v>10</v>
      </c>
      <c r="AM92">
        <v>12.7</v>
      </c>
      <c r="AN92">
        <v>9</v>
      </c>
      <c r="AO92">
        <v>10.6</v>
      </c>
      <c r="AP92">
        <v>10</v>
      </c>
      <c r="AQ92">
        <v>11.4</v>
      </c>
      <c r="AR92">
        <v>10</v>
      </c>
      <c r="AS92">
        <v>10.9</v>
      </c>
      <c r="AT92">
        <v>10</v>
      </c>
      <c r="AU92">
        <v>18.600000000000001</v>
      </c>
      <c r="AV92">
        <v>19</v>
      </c>
      <c r="AW92">
        <v>19.7</v>
      </c>
      <c r="AX92">
        <v>19</v>
      </c>
      <c r="AY92">
        <v>10.9</v>
      </c>
      <c r="AZ92">
        <v>10</v>
      </c>
      <c r="BA92">
        <v>11.7</v>
      </c>
      <c r="BB92">
        <v>10</v>
      </c>
    </row>
    <row r="93" spans="1:54" x14ac:dyDescent="0.35">
      <c r="A93" s="1">
        <v>46059.510416666664</v>
      </c>
      <c r="B93">
        <v>20.399999999999999</v>
      </c>
      <c r="C93">
        <v>3</v>
      </c>
      <c r="D93">
        <v>19</v>
      </c>
      <c r="E93">
        <v>2</v>
      </c>
      <c r="F93">
        <v>7</v>
      </c>
      <c r="G93">
        <v>10.3</v>
      </c>
      <c r="H93">
        <v>0</v>
      </c>
      <c r="I93">
        <v>13.7</v>
      </c>
      <c r="J93">
        <v>10</v>
      </c>
      <c r="K93">
        <v>0</v>
      </c>
      <c r="L93">
        <v>11.8</v>
      </c>
      <c r="M93">
        <v>15</v>
      </c>
      <c r="N93">
        <v>0</v>
      </c>
      <c r="O93">
        <v>12.2</v>
      </c>
      <c r="P93">
        <v>7.8</v>
      </c>
      <c r="Q93">
        <v>0</v>
      </c>
      <c r="R93">
        <v>8.4</v>
      </c>
      <c r="S93">
        <v>11.6</v>
      </c>
      <c r="T93">
        <v>0</v>
      </c>
      <c r="U93">
        <v>-16.2</v>
      </c>
      <c r="V93">
        <v>1.2</v>
      </c>
      <c r="W93">
        <v>-22</v>
      </c>
      <c r="X93">
        <v>-11.7</v>
      </c>
      <c r="Y93">
        <v>-15.4</v>
      </c>
      <c r="Z93">
        <v>-22</v>
      </c>
      <c r="AA93">
        <v>10.3</v>
      </c>
      <c r="AB93">
        <v>9.8000000000000007</v>
      </c>
      <c r="AC93">
        <v>40.5</v>
      </c>
      <c r="AD93">
        <v>8.1999999999999993</v>
      </c>
      <c r="AE93">
        <v>6.5</v>
      </c>
      <c r="AF93">
        <v>0</v>
      </c>
      <c r="AG93">
        <v>9.6</v>
      </c>
      <c r="AH93">
        <v>10</v>
      </c>
      <c r="AI93">
        <v>9.1999999999999993</v>
      </c>
      <c r="AJ93">
        <v>10</v>
      </c>
      <c r="AK93">
        <v>11.4</v>
      </c>
      <c r="AL93">
        <v>10</v>
      </c>
      <c r="AM93">
        <v>12.7</v>
      </c>
      <c r="AN93">
        <v>9</v>
      </c>
      <c r="AO93">
        <v>11.5</v>
      </c>
      <c r="AP93">
        <v>10</v>
      </c>
      <c r="AQ93">
        <v>11.4</v>
      </c>
      <c r="AR93">
        <v>10</v>
      </c>
      <c r="AS93">
        <v>11.1</v>
      </c>
      <c r="AT93">
        <v>10</v>
      </c>
      <c r="AU93">
        <v>18.600000000000001</v>
      </c>
      <c r="AV93">
        <v>19</v>
      </c>
      <c r="AW93">
        <v>19.7</v>
      </c>
      <c r="AX93">
        <v>19</v>
      </c>
      <c r="AY93">
        <v>10</v>
      </c>
      <c r="AZ93">
        <v>10</v>
      </c>
      <c r="BA93">
        <v>11</v>
      </c>
      <c r="BB93">
        <v>10</v>
      </c>
    </row>
    <row r="94" spans="1:54" x14ac:dyDescent="0.35">
      <c r="A94" s="1">
        <v>46059.511111111111</v>
      </c>
      <c r="B94">
        <v>20.399999999999999</v>
      </c>
      <c r="C94">
        <v>3</v>
      </c>
      <c r="D94">
        <v>19</v>
      </c>
      <c r="E94">
        <v>2</v>
      </c>
      <c r="F94">
        <v>7</v>
      </c>
      <c r="G94">
        <v>10.3</v>
      </c>
      <c r="H94">
        <v>0</v>
      </c>
      <c r="I94">
        <v>13.7</v>
      </c>
      <c r="J94">
        <v>10</v>
      </c>
      <c r="K94">
        <v>0</v>
      </c>
      <c r="L94">
        <v>11.8</v>
      </c>
      <c r="M94">
        <v>15</v>
      </c>
      <c r="N94">
        <v>0</v>
      </c>
      <c r="O94">
        <v>12.2</v>
      </c>
      <c r="P94">
        <v>7.8</v>
      </c>
      <c r="Q94">
        <v>0</v>
      </c>
      <c r="R94">
        <v>8.4</v>
      </c>
      <c r="S94">
        <v>11.6</v>
      </c>
      <c r="T94">
        <v>0</v>
      </c>
      <c r="U94">
        <v>-16.2</v>
      </c>
      <c r="V94">
        <v>2</v>
      </c>
      <c r="W94">
        <v>-22</v>
      </c>
      <c r="X94">
        <v>-11.7</v>
      </c>
      <c r="Y94">
        <v>-15.7</v>
      </c>
      <c r="Z94">
        <v>-22</v>
      </c>
      <c r="AA94">
        <v>10.199999999999999</v>
      </c>
      <c r="AB94">
        <v>9.8000000000000007</v>
      </c>
      <c r="AC94">
        <v>40.5</v>
      </c>
      <c r="AD94">
        <v>8.1999999999999993</v>
      </c>
      <c r="AE94">
        <v>6.5</v>
      </c>
      <c r="AF94">
        <v>0</v>
      </c>
      <c r="AG94">
        <v>9.9</v>
      </c>
      <c r="AH94">
        <v>10</v>
      </c>
      <c r="AI94">
        <v>8.8000000000000007</v>
      </c>
      <c r="AJ94">
        <v>10</v>
      </c>
      <c r="AK94">
        <v>11.5</v>
      </c>
      <c r="AL94">
        <v>10</v>
      </c>
      <c r="AM94">
        <v>12.7</v>
      </c>
      <c r="AN94">
        <v>9</v>
      </c>
      <c r="AO94">
        <v>11.7</v>
      </c>
      <c r="AP94">
        <v>10</v>
      </c>
      <c r="AQ94">
        <v>11.4</v>
      </c>
      <c r="AR94">
        <v>10</v>
      </c>
      <c r="AS94">
        <v>11.4</v>
      </c>
      <c r="AT94">
        <v>10</v>
      </c>
      <c r="AU94">
        <v>18.600000000000001</v>
      </c>
      <c r="AV94">
        <v>19</v>
      </c>
      <c r="AW94">
        <v>19.7</v>
      </c>
      <c r="AX94">
        <v>19</v>
      </c>
      <c r="AY94">
        <v>9.6999999999999993</v>
      </c>
      <c r="AZ94">
        <v>10</v>
      </c>
      <c r="BA94">
        <v>10.3</v>
      </c>
      <c r="BB94">
        <v>10</v>
      </c>
    </row>
    <row r="95" spans="1:54" x14ac:dyDescent="0.35">
      <c r="A95" s="1">
        <v>46059.511805555558</v>
      </c>
      <c r="B95">
        <v>20.399999999999999</v>
      </c>
      <c r="C95">
        <v>3</v>
      </c>
      <c r="D95">
        <v>19</v>
      </c>
      <c r="E95">
        <v>2</v>
      </c>
      <c r="F95">
        <v>7</v>
      </c>
      <c r="G95">
        <v>10.3</v>
      </c>
      <c r="H95">
        <v>0</v>
      </c>
      <c r="I95">
        <v>13.7</v>
      </c>
      <c r="J95">
        <v>10</v>
      </c>
      <c r="K95">
        <v>0</v>
      </c>
      <c r="L95">
        <v>11.8</v>
      </c>
      <c r="M95">
        <v>15</v>
      </c>
      <c r="N95">
        <v>0</v>
      </c>
      <c r="O95">
        <v>12.2</v>
      </c>
      <c r="P95">
        <v>7.8</v>
      </c>
      <c r="Q95">
        <v>0</v>
      </c>
      <c r="R95">
        <v>8.4</v>
      </c>
      <c r="S95">
        <v>11.6</v>
      </c>
      <c r="T95">
        <v>0</v>
      </c>
      <c r="U95">
        <v>-16.2</v>
      </c>
      <c r="V95">
        <v>3.3</v>
      </c>
      <c r="W95">
        <v>-22</v>
      </c>
      <c r="X95">
        <v>-11.7</v>
      </c>
      <c r="Y95">
        <v>-16</v>
      </c>
      <c r="Z95">
        <v>-22</v>
      </c>
      <c r="AA95">
        <v>10.199999999999999</v>
      </c>
      <c r="AB95">
        <v>9.8000000000000007</v>
      </c>
      <c r="AC95">
        <v>40.5</v>
      </c>
      <c r="AD95">
        <v>8.1999999999999993</v>
      </c>
      <c r="AE95">
        <v>6.5</v>
      </c>
      <c r="AF95">
        <v>0</v>
      </c>
      <c r="AG95">
        <v>10.3</v>
      </c>
      <c r="AH95">
        <v>10</v>
      </c>
      <c r="AI95">
        <v>8.9</v>
      </c>
      <c r="AJ95">
        <v>10</v>
      </c>
      <c r="AK95">
        <v>11.6</v>
      </c>
      <c r="AL95">
        <v>10</v>
      </c>
      <c r="AM95">
        <v>12.8</v>
      </c>
      <c r="AN95">
        <v>9</v>
      </c>
      <c r="AO95">
        <v>12.1</v>
      </c>
      <c r="AP95">
        <v>10</v>
      </c>
      <c r="AQ95">
        <v>11.4</v>
      </c>
      <c r="AR95">
        <v>10</v>
      </c>
      <c r="AS95">
        <v>11.5</v>
      </c>
      <c r="AT95">
        <v>10</v>
      </c>
      <c r="AU95">
        <v>18.600000000000001</v>
      </c>
      <c r="AV95">
        <v>19</v>
      </c>
      <c r="AW95">
        <v>19.7</v>
      </c>
      <c r="AX95">
        <v>19</v>
      </c>
      <c r="AY95">
        <v>9.9</v>
      </c>
      <c r="AZ95">
        <v>10</v>
      </c>
      <c r="BA95">
        <v>9.6999999999999993</v>
      </c>
      <c r="BB95">
        <v>10</v>
      </c>
    </row>
    <row r="96" spans="1:54" x14ac:dyDescent="0.35">
      <c r="A96" s="1">
        <v>46059.512499999997</v>
      </c>
      <c r="B96">
        <v>20.399999999999999</v>
      </c>
      <c r="C96">
        <v>3</v>
      </c>
      <c r="D96">
        <v>19</v>
      </c>
      <c r="E96">
        <v>2</v>
      </c>
      <c r="F96">
        <v>7</v>
      </c>
      <c r="G96">
        <v>10.3</v>
      </c>
      <c r="H96">
        <v>0</v>
      </c>
      <c r="I96">
        <v>13.7</v>
      </c>
      <c r="J96">
        <v>10</v>
      </c>
      <c r="K96">
        <v>0</v>
      </c>
      <c r="L96">
        <v>11.8</v>
      </c>
      <c r="M96">
        <v>15</v>
      </c>
      <c r="N96">
        <v>0</v>
      </c>
      <c r="O96">
        <v>12.2</v>
      </c>
      <c r="P96">
        <v>7.9</v>
      </c>
      <c r="Q96">
        <v>0</v>
      </c>
      <c r="R96">
        <v>8.4</v>
      </c>
      <c r="S96">
        <v>11.6</v>
      </c>
      <c r="T96">
        <v>0</v>
      </c>
      <c r="U96">
        <v>-16.2</v>
      </c>
      <c r="V96">
        <v>4.3</v>
      </c>
      <c r="W96">
        <v>-22</v>
      </c>
      <c r="X96">
        <v>-11.7</v>
      </c>
      <c r="Y96">
        <v>-16.399999999999999</v>
      </c>
      <c r="Z96">
        <v>-22</v>
      </c>
      <c r="AA96">
        <v>10.1</v>
      </c>
      <c r="AB96">
        <v>9.8000000000000007</v>
      </c>
      <c r="AC96">
        <v>40.5</v>
      </c>
      <c r="AD96">
        <v>8.1999999999999993</v>
      </c>
      <c r="AE96">
        <v>6.5</v>
      </c>
      <c r="AF96">
        <v>0</v>
      </c>
      <c r="AG96">
        <v>10.6</v>
      </c>
      <c r="AH96">
        <v>10</v>
      </c>
      <c r="AI96">
        <v>9.1999999999999993</v>
      </c>
      <c r="AJ96">
        <v>10</v>
      </c>
      <c r="AK96">
        <v>11.7</v>
      </c>
      <c r="AL96">
        <v>10</v>
      </c>
      <c r="AM96">
        <v>12.9</v>
      </c>
      <c r="AN96">
        <v>9</v>
      </c>
      <c r="AO96">
        <v>11.2</v>
      </c>
      <c r="AP96">
        <v>10</v>
      </c>
      <c r="AQ96">
        <v>11.4</v>
      </c>
      <c r="AR96">
        <v>10</v>
      </c>
      <c r="AS96">
        <v>11.8</v>
      </c>
      <c r="AT96">
        <v>10</v>
      </c>
      <c r="AU96">
        <v>18.600000000000001</v>
      </c>
      <c r="AV96">
        <v>19</v>
      </c>
      <c r="AW96">
        <v>19.7</v>
      </c>
      <c r="AX96">
        <v>19</v>
      </c>
      <c r="AY96">
        <v>10.3</v>
      </c>
      <c r="AZ96">
        <v>10</v>
      </c>
      <c r="BA96">
        <v>9.6999999999999993</v>
      </c>
      <c r="BB96">
        <v>10</v>
      </c>
    </row>
    <row r="97" spans="1:54" x14ac:dyDescent="0.35">
      <c r="A97" s="1">
        <v>46059.513194444444</v>
      </c>
      <c r="B97">
        <v>20.399999999999999</v>
      </c>
      <c r="C97">
        <v>3</v>
      </c>
      <c r="D97">
        <v>19.100000000000001</v>
      </c>
      <c r="E97">
        <v>2</v>
      </c>
      <c r="F97">
        <v>7</v>
      </c>
      <c r="G97">
        <v>10.4</v>
      </c>
      <c r="H97">
        <v>0</v>
      </c>
      <c r="I97">
        <v>13.7</v>
      </c>
      <c r="J97">
        <v>10</v>
      </c>
      <c r="K97">
        <v>0</v>
      </c>
      <c r="L97">
        <v>11.8</v>
      </c>
      <c r="M97">
        <v>15</v>
      </c>
      <c r="N97">
        <v>0</v>
      </c>
      <c r="O97">
        <v>12.2</v>
      </c>
      <c r="P97">
        <v>7.9</v>
      </c>
      <c r="Q97">
        <v>0</v>
      </c>
      <c r="R97">
        <v>8.4</v>
      </c>
      <c r="S97">
        <v>11.6</v>
      </c>
      <c r="T97">
        <v>0</v>
      </c>
      <c r="U97">
        <v>-16.2</v>
      </c>
      <c r="V97">
        <v>4.5</v>
      </c>
      <c r="W97">
        <v>-22</v>
      </c>
      <c r="X97">
        <v>-11.8</v>
      </c>
      <c r="Y97">
        <v>-16.8</v>
      </c>
      <c r="Z97">
        <v>-22</v>
      </c>
      <c r="AA97">
        <v>10</v>
      </c>
      <c r="AB97">
        <v>9.8000000000000007</v>
      </c>
      <c r="AC97">
        <v>40.5</v>
      </c>
      <c r="AD97">
        <v>8.1999999999999993</v>
      </c>
      <c r="AE97">
        <v>6.5</v>
      </c>
      <c r="AF97">
        <v>0</v>
      </c>
      <c r="AG97">
        <v>10.8</v>
      </c>
      <c r="AH97">
        <v>10</v>
      </c>
      <c r="AI97">
        <v>9.5</v>
      </c>
      <c r="AJ97">
        <v>10</v>
      </c>
      <c r="AK97">
        <v>11.8</v>
      </c>
      <c r="AL97">
        <v>10</v>
      </c>
      <c r="AM97">
        <v>12.9</v>
      </c>
      <c r="AN97">
        <v>9</v>
      </c>
      <c r="AO97">
        <v>10.7</v>
      </c>
      <c r="AP97">
        <v>10</v>
      </c>
      <c r="AQ97">
        <v>11.4</v>
      </c>
      <c r="AR97">
        <v>10</v>
      </c>
      <c r="AS97">
        <v>11.9</v>
      </c>
      <c r="AT97">
        <v>10</v>
      </c>
      <c r="AU97">
        <v>18.7</v>
      </c>
      <c r="AV97">
        <v>19</v>
      </c>
      <c r="AW97">
        <v>19.7</v>
      </c>
      <c r="AX97">
        <v>19</v>
      </c>
      <c r="AY97">
        <v>10.7</v>
      </c>
      <c r="AZ97">
        <v>10</v>
      </c>
      <c r="BA97">
        <v>10.199999999999999</v>
      </c>
      <c r="BB97">
        <v>10</v>
      </c>
    </row>
    <row r="98" spans="1:54" x14ac:dyDescent="0.35">
      <c r="A98" s="1">
        <v>46059.513888888891</v>
      </c>
      <c r="B98">
        <v>20.5</v>
      </c>
      <c r="C98">
        <v>3</v>
      </c>
      <c r="D98">
        <v>19.100000000000001</v>
      </c>
      <c r="E98">
        <v>2</v>
      </c>
      <c r="F98">
        <v>7</v>
      </c>
      <c r="G98">
        <v>10.4</v>
      </c>
      <c r="H98">
        <v>0</v>
      </c>
      <c r="I98">
        <v>13.7</v>
      </c>
      <c r="J98">
        <v>10</v>
      </c>
      <c r="K98">
        <v>0</v>
      </c>
      <c r="L98">
        <v>11.8</v>
      </c>
      <c r="M98">
        <v>15</v>
      </c>
      <c r="N98">
        <v>0</v>
      </c>
      <c r="O98">
        <v>12.2</v>
      </c>
      <c r="P98">
        <v>7.9</v>
      </c>
      <c r="Q98">
        <v>0</v>
      </c>
      <c r="R98">
        <v>8.4</v>
      </c>
      <c r="S98">
        <v>11.6</v>
      </c>
      <c r="T98">
        <v>0</v>
      </c>
      <c r="U98">
        <v>-16.2</v>
      </c>
      <c r="V98">
        <v>4.5999999999999996</v>
      </c>
      <c r="W98">
        <v>-22</v>
      </c>
      <c r="X98">
        <v>-11.8</v>
      </c>
      <c r="Y98">
        <v>-17.100000000000001</v>
      </c>
      <c r="Z98">
        <v>-22</v>
      </c>
      <c r="AA98">
        <v>10</v>
      </c>
      <c r="AB98">
        <v>9.8000000000000007</v>
      </c>
      <c r="AC98">
        <v>40.5</v>
      </c>
      <c r="AD98">
        <v>8.1999999999999993</v>
      </c>
      <c r="AE98">
        <v>6.5</v>
      </c>
      <c r="AF98">
        <v>0</v>
      </c>
      <c r="AG98">
        <v>11</v>
      </c>
      <c r="AH98">
        <v>10</v>
      </c>
      <c r="AI98">
        <v>9.8000000000000007</v>
      </c>
      <c r="AJ98">
        <v>10</v>
      </c>
      <c r="AK98">
        <v>11.8</v>
      </c>
      <c r="AL98">
        <v>10</v>
      </c>
      <c r="AM98">
        <v>12.9</v>
      </c>
      <c r="AN98">
        <v>9</v>
      </c>
      <c r="AO98">
        <v>10.5</v>
      </c>
      <c r="AP98">
        <v>10</v>
      </c>
      <c r="AQ98">
        <v>11.3</v>
      </c>
      <c r="AR98">
        <v>10</v>
      </c>
      <c r="AS98">
        <v>11.4</v>
      </c>
      <c r="AT98">
        <v>10</v>
      </c>
      <c r="AU98">
        <v>18.7</v>
      </c>
      <c r="AV98">
        <v>19</v>
      </c>
      <c r="AW98">
        <v>19.8</v>
      </c>
      <c r="AX98">
        <v>19</v>
      </c>
      <c r="AY98">
        <v>11</v>
      </c>
      <c r="AZ98">
        <v>10</v>
      </c>
      <c r="BA98">
        <v>10.6</v>
      </c>
      <c r="BB98">
        <v>10</v>
      </c>
    </row>
    <row r="99" spans="1:54" x14ac:dyDescent="0.35">
      <c r="A99" s="1">
        <v>46059.51458333333</v>
      </c>
      <c r="B99">
        <v>20.5</v>
      </c>
      <c r="C99">
        <v>3</v>
      </c>
      <c r="D99">
        <v>19.100000000000001</v>
      </c>
      <c r="E99">
        <v>2</v>
      </c>
      <c r="F99">
        <v>7.1</v>
      </c>
      <c r="G99">
        <v>10.4</v>
      </c>
      <c r="H99">
        <v>0</v>
      </c>
      <c r="I99">
        <v>13.7</v>
      </c>
      <c r="J99">
        <v>10</v>
      </c>
      <c r="K99">
        <v>0</v>
      </c>
      <c r="L99">
        <v>11.8</v>
      </c>
      <c r="M99">
        <v>15</v>
      </c>
      <c r="N99">
        <v>0</v>
      </c>
      <c r="O99">
        <v>12.2</v>
      </c>
      <c r="P99">
        <v>7.9</v>
      </c>
      <c r="Q99">
        <v>0</v>
      </c>
      <c r="R99">
        <v>8.4</v>
      </c>
      <c r="S99">
        <v>11.6</v>
      </c>
      <c r="T99">
        <v>0</v>
      </c>
      <c r="U99">
        <v>-16.2</v>
      </c>
      <c r="V99">
        <v>7.3</v>
      </c>
      <c r="W99">
        <v>-22</v>
      </c>
      <c r="X99">
        <v>-12</v>
      </c>
      <c r="Y99">
        <v>-17.5</v>
      </c>
      <c r="Z99">
        <v>-22</v>
      </c>
      <c r="AA99">
        <v>9.9</v>
      </c>
      <c r="AB99">
        <v>9.9</v>
      </c>
      <c r="AC99">
        <v>40.5</v>
      </c>
      <c r="AD99">
        <v>8.1999999999999993</v>
      </c>
      <c r="AE99">
        <v>6.5</v>
      </c>
      <c r="AF99">
        <v>0</v>
      </c>
      <c r="AG99">
        <v>11.2</v>
      </c>
      <c r="AH99">
        <v>10</v>
      </c>
      <c r="AI99">
        <v>10</v>
      </c>
      <c r="AJ99">
        <v>10</v>
      </c>
      <c r="AK99">
        <v>11.8</v>
      </c>
      <c r="AL99">
        <v>10</v>
      </c>
      <c r="AM99">
        <v>12.9</v>
      </c>
      <c r="AN99">
        <v>9</v>
      </c>
      <c r="AO99">
        <v>10.3</v>
      </c>
      <c r="AP99">
        <v>10</v>
      </c>
      <c r="AQ99">
        <v>11.3</v>
      </c>
      <c r="AR99">
        <v>10</v>
      </c>
      <c r="AS99">
        <v>8.6</v>
      </c>
      <c r="AT99">
        <v>10</v>
      </c>
      <c r="AU99">
        <v>18.7</v>
      </c>
      <c r="AV99">
        <v>19</v>
      </c>
      <c r="AW99">
        <v>19.8</v>
      </c>
      <c r="AX99">
        <v>19</v>
      </c>
      <c r="AY99">
        <v>11.2</v>
      </c>
      <c r="AZ99">
        <v>10</v>
      </c>
      <c r="BA99">
        <v>10.9</v>
      </c>
      <c r="BB99">
        <v>10</v>
      </c>
    </row>
    <row r="100" spans="1:54" x14ac:dyDescent="0.35">
      <c r="A100" s="1">
        <v>46059.515277777777</v>
      </c>
      <c r="B100">
        <v>20.5</v>
      </c>
      <c r="C100">
        <v>3</v>
      </c>
      <c r="D100">
        <v>19.100000000000001</v>
      </c>
      <c r="E100">
        <v>2</v>
      </c>
      <c r="F100">
        <v>7.1</v>
      </c>
      <c r="G100">
        <v>10.4</v>
      </c>
      <c r="H100">
        <v>0</v>
      </c>
      <c r="I100">
        <v>13.7</v>
      </c>
      <c r="J100">
        <v>10</v>
      </c>
      <c r="K100">
        <v>0</v>
      </c>
      <c r="L100">
        <v>11.8</v>
      </c>
      <c r="M100">
        <v>15.1</v>
      </c>
      <c r="N100">
        <v>0</v>
      </c>
      <c r="O100">
        <v>12.3</v>
      </c>
      <c r="P100">
        <v>7.9</v>
      </c>
      <c r="Q100">
        <v>0</v>
      </c>
      <c r="R100">
        <v>8.4</v>
      </c>
      <c r="S100">
        <v>11.6</v>
      </c>
      <c r="T100">
        <v>0</v>
      </c>
      <c r="U100">
        <v>-16.2</v>
      </c>
      <c r="V100">
        <v>8.3000000000000007</v>
      </c>
      <c r="W100">
        <v>-22</v>
      </c>
      <c r="X100">
        <v>-12.1</v>
      </c>
      <c r="Y100">
        <v>-17.899999999999999</v>
      </c>
      <c r="Z100">
        <v>-22</v>
      </c>
      <c r="AA100">
        <v>9.9</v>
      </c>
      <c r="AB100">
        <v>9.9</v>
      </c>
      <c r="AC100">
        <v>40.5</v>
      </c>
      <c r="AD100">
        <v>8.1999999999999993</v>
      </c>
      <c r="AE100">
        <v>6.5</v>
      </c>
      <c r="AF100">
        <v>0</v>
      </c>
      <c r="AG100">
        <v>11.3</v>
      </c>
      <c r="AH100">
        <v>10</v>
      </c>
      <c r="AI100">
        <v>10.199999999999999</v>
      </c>
      <c r="AJ100">
        <v>10</v>
      </c>
      <c r="AK100">
        <v>11.9</v>
      </c>
      <c r="AL100">
        <v>10</v>
      </c>
      <c r="AM100">
        <v>12.9</v>
      </c>
      <c r="AN100">
        <v>9</v>
      </c>
      <c r="AO100">
        <v>10.1</v>
      </c>
      <c r="AP100">
        <v>10</v>
      </c>
      <c r="AQ100">
        <v>11.4</v>
      </c>
      <c r="AR100">
        <v>10</v>
      </c>
      <c r="AS100">
        <v>8</v>
      </c>
      <c r="AT100">
        <v>10</v>
      </c>
      <c r="AU100">
        <v>18.7</v>
      </c>
      <c r="AV100">
        <v>19</v>
      </c>
      <c r="AW100">
        <v>19.899999999999999</v>
      </c>
      <c r="AX100">
        <v>19</v>
      </c>
      <c r="AY100">
        <v>11.5</v>
      </c>
      <c r="AZ100">
        <v>10</v>
      </c>
      <c r="BA100">
        <v>11.3</v>
      </c>
      <c r="BB100">
        <v>10</v>
      </c>
    </row>
    <row r="101" spans="1:54" x14ac:dyDescent="0.35">
      <c r="A101" s="1">
        <v>46059.515972222223</v>
      </c>
      <c r="B101">
        <v>20.5</v>
      </c>
      <c r="C101">
        <v>3</v>
      </c>
      <c r="D101">
        <v>19.100000000000001</v>
      </c>
      <c r="E101">
        <v>2</v>
      </c>
      <c r="F101">
        <v>7.1</v>
      </c>
      <c r="G101">
        <v>10.4</v>
      </c>
      <c r="H101">
        <v>0</v>
      </c>
      <c r="I101">
        <v>13.7</v>
      </c>
      <c r="J101">
        <v>10</v>
      </c>
      <c r="K101">
        <v>0</v>
      </c>
      <c r="L101">
        <v>11.8</v>
      </c>
      <c r="M101">
        <v>15.1</v>
      </c>
      <c r="N101">
        <v>0</v>
      </c>
      <c r="O101">
        <v>12.3</v>
      </c>
      <c r="P101">
        <v>7.9</v>
      </c>
      <c r="Q101">
        <v>0</v>
      </c>
      <c r="R101">
        <v>8.4</v>
      </c>
      <c r="S101">
        <v>11.6</v>
      </c>
      <c r="T101">
        <v>0</v>
      </c>
      <c r="U101">
        <v>-16.2</v>
      </c>
      <c r="V101">
        <v>10.1</v>
      </c>
      <c r="W101">
        <v>-22</v>
      </c>
      <c r="X101">
        <v>-12.3</v>
      </c>
      <c r="Y101">
        <v>-18.2</v>
      </c>
      <c r="Z101">
        <v>-22</v>
      </c>
      <c r="AA101">
        <v>9.8000000000000007</v>
      </c>
      <c r="AB101">
        <v>9.9</v>
      </c>
      <c r="AC101">
        <v>40.5</v>
      </c>
      <c r="AD101">
        <v>8.1999999999999993</v>
      </c>
      <c r="AE101">
        <v>6.5</v>
      </c>
      <c r="AF101">
        <v>0</v>
      </c>
      <c r="AG101">
        <v>11.4</v>
      </c>
      <c r="AH101">
        <v>10</v>
      </c>
      <c r="AI101">
        <v>10.4</v>
      </c>
      <c r="AJ101">
        <v>10</v>
      </c>
      <c r="AK101">
        <v>11.9</v>
      </c>
      <c r="AL101">
        <v>10</v>
      </c>
      <c r="AM101">
        <v>12.9</v>
      </c>
      <c r="AN101">
        <v>9</v>
      </c>
      <c r="AO101">
        <v>10.1</v>
      </c>
      <c r="AP101">
        <v>10</v>
      </c>
      <c r="AQ101">
        <v>11.4</v>
      </c>
      <c r="AR101">
        <v>10</v>
      </c>
      <c r="AS101">
        <v>8.3000000000000007</v>
      </c>
      <c r="AT101">
        <v>10</v>
      </c>
      <c r="AU101">
        <v>18.7</v>
      </c>
      <c r="AV101">
        <v>19</v>
      </c>
      <c r="AW101">
        <v>19.899999999999999</v>
      </c>
      <c r="AX101">
        <v>19</v>
      </c>
      <c r="AY101">
        <v>11.7</v>
      </c>
      <c r="AZ101">
        <v>10</v>
      </c>
      <c r="BA101">
        <v>11.6</v>
      </c>
      <c r="BB101">
        <v>10</v>
      </c>
    </row>
    <row r="102" spans="1:54" x14ac:dyDescent="0.35">
      <c r="A102" s="1">
        <v>46059.51666666667</v>
      </c>
      <c r="B102">
        <v>20.5</v>
      </c>
      <c r="C102">
        <v>3</v>
      </c>
      <c r="D102">
        <v>19.100000000000001</v>
      </c>
      <c r="E102">
        <v>2</v>
      </c>
      <c r="F102">
        <v>7.1</v>
      </c>
      <c r="G102">
        <v>10.4</v>
      </c>
      <c r="H102">
        <v>0</v>
      </c>
      <c r="I102">
        <v>13.7</v>
      </c>
      <c r="J102">
        <v>10</v>
      </c>
      <c r="K102">
        <v>0</v>
      </c>
      <c r="L102">
        <v>11.8</v>
      </c>
      <c r="M102">
        <v>15.1</v>
      </c>
      <c r="N102">
        <v>0</v>
      </c>
      <c r="O102">
        <v>12.3</v>
      </c>
      <c r="P102">
        <v>7.9</v>
      </c>
      <c r="Q102">
        <v>0</v>
      </c>
      <c r="R102">
        <v>8.4</v>
      </c>
      <c r="S102">
        <v>11.6</v>
      </c>
      <c r="T102">
        <v>0</v>
      </c>
      <c r="U102">
        <v>-16.2</v>
      </c>
      <c r="V102">
        <v>10.3</v>
      </c>
      <c r="W102">
        <v>-22</v>
      </c>
      <c r="X102">
        <v>-12.6</v>
      </c>
      <c r="Y102">
        <v>-18.5</v>
      </c>
      <c r="Z102">
        <v>-22</v>
      </c>
      <c r="AA102">
        <v>9.8000000000000007</v>
      </c>
      <c r="AB102">
        <v>9.9</v>
      </c>
      <c r="AC102">
        <v>40.5</v>
      </c>
      <c r="AD102">
        <v>8.1999999999999993</v>
      </c>
      <c r="AE102">
        <v>6.5</v>
      </c>
      <c r="AF102">
        <v>0</v>
      </c>
      <c r="AG102">
        <v>11.5</v>
      </c>
      <c r="AH102">
        <v>10</v>
      </c>
      <c r="AI102">
        <v>10.6</v>
      </c>
      <c r="AJ102">
        <v>10</v>
      </c>
      <c r="AK102">
        <v>11.9</v>
      </c>
      <c r="AL102">
        <v>10</v>
      </c>
      <c r="AM102">
        <v>12.9</v>
      </c>
      <c r="AN102">
        <v>9</v>
      </c>
      <c r="AO102">
        <v>10</v>
      </c>
      <c r="AP102">
        <v>10</v>
      </c>
      <c r="AQ102">
        <v>11.4</v>
      </c>
      <c r="AR102">
        <v>10</v>
      </c>
      <c r="AS102">
        <v>9</v>
      </c>
      <c r="AT102">
        <v>10</v>
      </c>
      <c r="AU102">
        <v>18.7</v>
      </c>
      <c r="AV102">
        <v>19</v>
      </c>
      <c r="AW102">
        <v>19.899999999999999</v>
      </c>
      <c r="AX102">
        <v>19</v>
      </c>
      <c r="AY102">
        <v>11.9</v>
      </c>
      <c r="AZ102">
        <v>10</v>
      </c>
      <c r="BA102">
        <v>11.8</v>
      </c>
      <c r="BB102">
        <v>10</v>
      </c>
    </row>
    <row r="103" spans="1:54" x14ac:dyDescent="0.35">
      <c r="A103" s="1">
        <v>46059.517361111109</v>
      </c>
      <c r="B103">
        <v>20.5</v>
      </c>
      <c r="C103">
        <v>3</v>
      </c>
      <c r="D103">
        <v>19.100000000000001</v>
      </c>
      <c r="E103">
        <v>2</v>
      </c>
      <c r="F103">
        <v>7.1</v>
      </c>
      <c r="G103">
        <v>10.4</v>
      </c>
      <c r="H103">
        <v>0</v>
      </c>
      <c r="I103">
        <v>13.7</v>
      </c>
      <c r="J103">
        <v>10</v>
      </c>
      <c r="K103">
        <v>0</v>
      </c>
      <c r="L103">
        <v>11.8</v>
      </c>
      <c r="M103">
        <v>15.1</v>
      </c>
      <c r="N103">
        <v>0</v>
      </c>
      <c r="O103">
        <v>12.3</v>
      </c>
      <c r="P103">
        <v>7.9</v>
      </c>
      <c r="Q103">
        <v>0</v>
      </c>
      <c r="R103">
        <v>8.4</v>
      </c>
      <c r="S103">
        <v>11.7</v>
      </c>
      <c r="T103">
        <v>0</v>
      </c>
      <c r="U103">
        <v>-16.2</v>
      </c>
      <c r="V103">
        <v>9.5</v>
      </c>
      <c r="W103">
        <v>-22</v>
      </c>
      <c r="X103">
        <v>-12.8</v>
      </c>
      <c r="Y103">
        <v>-18.8</v>
      </c>
      <c r="Z103">
        <v>-22</v>
      </c>
      <c r="AA103">
        <v>9.6999999999999993</v>
      </c>
      <c r="AB103">
        <v>9.9</v>
      </c>
      <c r="AC103">
        <v>40.5</v>
      </c>
      <c r="AD103">
        <v>8.1999999999999993</v>
      </c>
      <c r="AE103">
        <v>6.5</v>
      </c>
      <c r="AF103">
        <v>0</v>
      </c>
      <c r="AG103">
        <v>11.7</v>
      </c>
      <c r="AH103">
        <v>10</v>
      </c>
      <c r="AI103">
        <v>10.7</v>
      </c>
      <c r="AJ103">
        <v>10</v>
      </c>
      <c r="AK103">
        <v>11.9</v>
      </c>
      <c r="AL103">
        <v>10</v>
      </c>
      <c r="AM103">
        <v>12.8</v>
      </c>
      <c r="AN103">
        <v>9</v>
      </c>
      <c r="AO103">
        <v>10.9</v>
      </c>
      <c r="AP103">
        <v>10</v>
      </c>
      <c r="AQ103">
        <v>11.3</v>
      </c>
      <c r="AR103">
        <v>10</v>
      </c>
      <c r="AS103">
        <v>9.5</v>
      </c>
      <c r="AT103">
        <v>10</v>
      </c>
      <c r="AU103">
        <v>18.7</v>
      </c>
      <c r="AV103">
        <v>19</v>
      </c>
      <c r="AW103">
        <v>19.899999999999999</v>
      </c>
      <c r="AX103">
        <v>19</v>
      </c>
      <c r="AY103">
        <v>12</v>
      </c>
      <c r="AZ103">
        <v>10</v>
      </c>
      <c r="BA103">
        <v>12</v>
      </c>
      <c r="BB103">
        <v>10</v>
      </c>
    </row>
    <row r="104" spans="1:54" x14ac:dyDescent="0.35">
      <c r="A104" s="1">
        <v>46059.518055555556</v>
      </c>
      <c r="B104">
        <v>20.5</v>
      </c>
      <c r="C104">
        <v>3</v>
      </c>
      <c r="D104">
        <v>19.100000000000001</v>
      </c>
      <c r="E104">
        <v>2</v>
      </c>
      <c r="F104">
        <v>7.1</v>
      </c>
      <c r="G104">
        <v>10.4</v>
      </c>
      <c r="H104">
        <v>0</v>
      </c>
      <c r="I104">
        <v>13.7</v>
      </c>
      <c r="J104">
        <v>10</v>
      </c>
      <c r="K104">
        <v>0</v>
      </c>
      <c r="L104">
        <v>11.8</v>
      </c>
      <c r="M104">
        <v>15.1</v>
      </c>
      <c r="N104">
        <v>0</v>
      </c>
      <c r="O104">
        <v>12.3</v>
      </c>
      <c r="P104">
        <v>7.9</v>
      </c>
      <c r="Q104">
        <v>0</v>
      </c>
      <c r="R104">
        <v>8.4</v>
      </c>
      <c r="S104">
        <v>11.7</v>
      </c>
      <c r="T104">
        <v>0</v>
      </c>
      <c r="U104">
        <v>-16.2</v>
      </c>
      <c r="V104">
        <v>6.5</v>
      </c>
      <c r="W104">
        <v>-22</v>
      </c>
      <c r="X104">
        <v>-12.9</v>
      </c>
      <c r="Y104">
        <v>-18.8</v>
      </c>
      <c r="Z104">
        <v>-22</v>
      </c>
      <c r="AA104">
        <v>9.6999999999999993</v>
      </c>
      <c r="AB104">
        <v>9.9</v>
      </c>
      <c r="AC104">
        <v>40.5</v>
      </c>
      <c r="AD104">
        <v>8.1999999999999993</v>
      </c>
      <c r="AE104">
        <v>6.5</v>
      </c>
      <c r="AF104">
        <v>0</v>
      </c>
      <c r="AG104">
        <v>11.7</v>
      </c>
      <c r="AH104">
        <v>10</v>
      </c>
      <c r="AI104">
        <v>10.9</v>
      </c>
      <c r="AJ104">
        <v>10</v>
      </c>
      <c r="AK104">
        <v>12</v>
      </c>
      <c r="AL104">
        <v>10</v>
      </c>
      <c r="AM104">
        <v>12.8</v>
      </c>
      <c r="AN104">
        <v>9</v>
      </c>
      <c r="AO104">
        <v>11.6</v>
      </c>
      <c r="AP104">
        <v>10</v>
      </c>
      <c r="AQ104">
        <v>11.1</v>
      </c>
      <c r="AR104">
        <v>10</v>
      </c>
      <c r="AS104">
        <v>9.9</v>
      </c>
      <c r="AT104">
        <v>10</v>
      </c>
      <c r="AU104">
        <v>18.7</v>
      </c>
      <c r="AV104">
        <v>19</v>
      </c>
      <c r="AW104">
        <v>19.899999999999999</v>
      </c>
      <c r="AX104">
        <v>19</v>
      </c>
      <c r="AY104">
        <v>11.1</v>
      </c>
      <c r="AZ104">
        <v>10</v>
      </c>
      <c r="BA104">
        <v>11.6</v>
      </c>
      <c r="BB104">
        <v>10</v>
      </c>
    </row>
    <row r="105" spans="1:54" x14ac:dyDescent="0.35">
      <c r="A105" s="1">
        <v>46059.518750000003</v>
      </c>
      <c r="B105">
        <v>20.5</v>
      </c>
      <c r="C105">
        <v>3</v>
      </c>
      <c r="D105">
        <v>19.100000000000001</v>
      </c>
      <c r="E105">
        <v>2</v>
      </c>
      <c r="F105">
        <v>7.1</v>
      </c>
      <c r="G105">
        <v>10.4</v>
      </c>
      <c r="H105">
        <v>0</v>
      </c>
      <c r="I105">
        <v>13.7</v>
      </c>
      <c r="J105">
        <v>10</v>
      </c>
      <c r="K105">
        <v>0</v>
      </c>
      <c r="L105">
        <v>11.8</v>
      </c>
      <c r="M105">
        <v>15.1</v>
      </c>
      <c r="N105">
        <v>0</v>
      </c>
      <c r="O105">
        <v>12.3</v>
      </c>
      <c r="P105">
        <v>7.9</v>
      </c>
      <c r="Q105">
        <v>0</v>
      </c>
      <c r="R105">
        <v>8.4</v>
      </c>
      <c r="S105">
        <v>11.7</v>
      </c>
      <c r="T105">
        <v>0</v>
      </c>
      <c r="U105">
        <v>-16.2</v>
      </c>
      <c r="V105">
        <v>5.7</v>
      </c>
      <c r="W105">
        <v>-22</v>
      </c>
      <c r="X105">
        <v>-13</v>
      </c>
      <c r="Y105">
        <v>-18.899999999999999</v>
      </c>
      <c r="Z105">
        <v>-22</v>
      </c>
      <c r="AA105">
        <v>9.6999999999999993</v>
      </c>
      <c r="AB105">
        <v>9.9</v>
      </c>
      <c r="AC105">
        <v>40.5</v>
      </c>
      <c r="AD105">
        <v>8.1999999999999993</v>
      </c>
      <c r="AE105">
        <v>6.5</v>
      </c>
      <c r="AF105">
        <v>0</v>
      </c>
      <c r="AG105">
        <v>11.8</v>
      </c>
      <c r="AH105">
        <v>10</v>
      </c>
      <c r="AI105">
        <v>11</v>
      </c>
      <c r="AJ105">
        <v>10</v>
      </c>
      <c r="AK105">
        <v>11.1</v>
      </c>
      <c r="AL105">
        <v>10</v>
      </c>
      <c r="AM105">
        <v>12.8</v>
      </c>
      <c r="AN105">
        <v>9</v>
      </c>
      <c r="AO105">
        <v>12</v>
      </c>
      <c r="AP105">
        <v>10</v>
      </c>
      <c r="AQ105">
        <v>11</v>
      </c>
      <c r="AR105">
        <v>10</v>
      </c>
      <c r="AS105">
        <v>10.4</v>
      </c>
      <c r="AT105">
        <v>10</v>
      </c>
      <c r="AU105">
        <v>18.7</v>
      </c>
      <c r="AV105">
        <v>19</v>
      </c>
      <c r="AW105">
        <v>19.899999999999999</v>
      </c>
      <c r="AX105">
        <v>19</v>
      </c>
      <c r="AY105">
        <v>10.199999999999999</v>
      </c>
      <c r="AZ105">
        <v>10</v>
      </c>
      <c r="BA105">
        <v>10.9</v>
      </c>
      <c r="BB105">
        <v>10</v>
      </c>
    </row>
    <row r="106" spans="1:54" x14ac:dyDescent="0.35">
      <c r="A106" s="1">
        <v>46059.519444444442</v>
      </c>
      <c r="B106">
        <v>20.5</v>
      </c>
      <c r="C106">
        <v>3</v>
      </c>
      <c r="D106">
        <v>19.100000000000001</v>
      </c>
      <c r="E106">
        <v>2</v>
      </c>
      <c r="F106">
        <v>7.1</v>
      </c>
      <c r="G106">
        <v>10.4</v>
      </c>
      <c r="H106">
        <v>0</v>
      </c>
      <c r="I106">
        <v>13.7</v>
      </c>
      <c r="J106">
        <v>10</v>
      </c>
      <c r="K106">
        <v>0</v>
      </c>
      <c r="L106">
        <v>11.8</v>
      </c>
      <c r="M106">
        <v>15.1</v>
      </c>
      <c r="N106">
        <v>0</v>
      </c>
      <c r="O106">
        <v>12.3</v>
      </c>
      <c r="P106">
        <v>7.9</v>
      </c>
      <c r="Q106">
        <v>0</v>
      </c>
      <c r="R106">
        <v>8.4</v>
      </c>
      <c r="S106">
        <v>11.7</v>
      </c>
      <c r="T106">
        <v>0</v>
      </c>
      <c r="U106">
        <v>-11.7</v>
      </c>
      <c r="V106">
        <v>5.0999999999999996</v>
      </c>
      <c r="W106">
        <v>-22</v>
      </c>
      <c r="X106">
        <v>-13.1</v>
      </c>
      <c r="Y106">
        <v>-19.2</v>
      </c>
      <c r="Z106">
        <v>-22</v>
      </c>
      <c r="AA106">
        <v>9.6</v>
      </c>
      <c r="AB106">
        <v>9.9</v>
      </c>
      <c r="AC106">
        <v>40.5</v>
      </c>
      <c r="AD106">
        <v>8.1999999999999993</v>
      </c>
      <c r="AE106">
        <v>6.5</v>
      </c>
      <c r="AF106">
        <v>0</v>
      </c>
      <c r="AG106">
        <v>12</v>
      </c>
      <c r="AH106">
        <v>10</v>
      </c>
      <c r="AI106">
        <v>11.1</v>
      </c>
      <c r="AJ106">
        <v>10</v>
      </c>
      <c r="AK106">
        <v>9.8000000000000007</v>
      </c>
      <c r="AL106">
        <v>10</v>
      </c>
      <c r="AM106">
        <v>12.8</v>
      </c>
      <c r="AN106">
        <v>9</v>
      </c>
      <c r="AO106">
        <v>11.7</v>
      </c>
      <c r="AP106">
        <v>10</v>
      </c>
      <c r="AQ106">
        <v>11.2</v>
      </c>
      <c r="AR106">
        <v>10</v>
      </c>
      <c r="AS106">
        <v>10.6</v>
      </c>
      <c r="AT106">
        <v>10</v>
      </c>
      <c r="AU106">
        <v>18.7</v>
      </c>
      <c r="AV106">
        <v>19</v>
      </c>
      <c r="AW106">
        <v>19.899999999999999</v>
      </c>
      <c r="AX106">
        <v>19</v>
      </c>
      <c r="AY106">
        <v>9.6999999999999993</v>
      </c>
      <c r="AZ106">
        <v>10</v>
      </c>
      <c r="BA106">
        <v>10.1</v>
      </c>
      <c r="BB106">
        <v>10</v>
      </c>
    </row>
    <row r="107" spans="1:54" x14ac:dyDescent="0.35">
      <c r="A107" s="1">
        <v>46059.520138888889</v>
      </c>
      <c r="B107">
        <v>20.5</v>
      </c>
      <c r="C107">
        <v>3</v>
      </c>
      <c r="D107">
        <v>19.100000000000001</v>
      </c>
      <c r="E107">
        <v>2</v>
      </c>
      <c r="F107">
        <v>7.1</v>
      </c>
      <c r="G107">
        <v>10.4</v>
      </c>
      <c r="H107">
        <v>0</v>
      </c>
      <c r="I107">
        <v>13.7</v>
      </c>
      <c r="J107">
        <v>10</v>
      </c>
      <c r="K107">
        <v>0</v>
      </c>
      <c r="L107">
        <v>11.8</v>
      </c>
      <c r="M107">
        <v>15.1</v>
      </c>
      <c r="N107">
        <v>0</v>
      </c>
      <c r="O107">
        <v>12.3</v>
      </c>
      <c r="P107">
        <v>7.9</v>
      </c>
      <c r="Q107">
        <v>0</v>
      </c>
      <c r="R107">
        <v>8.4</v>
      </c>
      <c r="S107">
        <v>11.7</v>
      </c>
      <c r="T107">
        <v>0</v>
      </c>
      <c r="U107">
        <v>-11.9</v>
      </c>
      <c r="V107">
        <v>4.4000000000000004</v>
      </c>
      <c r="W107">
        <v>-22</v>
      </c>
      <c r="X107">
        <v>-13.3</v>
      </c>
      <c r="Y107">
        <v>-19.399999999999999</v>
      </c>
      <c r="Z107">
        <v>-22</v>
      </c>
      <c r="AA107">
        <v>9.6</v>
      </c>
      <c r="AB107">
        <v>9.9</v>
      </c>
      <c r="AC107">
        <v>40.5</v>
      </c>
      <c r="AD107">
        <v>8.1999999999999993</v>
      </c>
      <c r="AE107">
        <v>6.5</v>
      </c>
      <c r="AF107">
        <v>0</v>
      </c>
      <c r="AG107">
        <v>12</v>
      </c>
      <c r="AH107">
        <v>10</v>
      </c>
      <c r="AI107">
        <v>11.3</v>
      </c>
      <c r="AJ107">
        <v>10</v>
      </c>
      <c r="AK107">
        <v>9.5</v>
      </c>
      <c r="AL107">
        <v>10</v>
      </c>
      <c r="AM107">
        <v>12.9</v>
      </c>
      <c r="AN107">
        <v>9</v>
      </c>
      <c r="AO107">
        <v>10.6</v>
      </c>
      <c r="AP107">
        <v>10</v>
      </c>
      <c r="AQ107">
        <v>11.2</v>
      </c>
      <c r="AR107">
        <v>10</v>
      </c>
      <c r="AS107">
        <v>10.9</v>
      </c>
      <c r="AT107">
        <v>10</v>
      </c>
      <c r="AU107">
        <v>18.7</v>
      </c>
      <c r="AV107">
        <v>19</v>
      </c>
      <c r="AW107">
        <v>19.899999999999999</v>
      </c>
      <c r="AX107">
        <v>19</v>
      </c>
      <c r="AY107">
        <v>9.8000000000000007</v>
      </c>
      <c r="AZ107">
        <v>10</v>
      </c>
      <c r="BA107">
        <v>9.8000000000000007</v>
      </c>
      <c r="BB107">
        <v>10</v>
      </c>
    </row>
    <row r="108" spans="1:54" x14ac:dyDescent="0.35">
      <c r="A108" s="1">
        <v>46059.520833333336</v>
      </c>
      <c r="B108">
        <v>20.5</v>
      </c>
      <c r="C108">
        <v>3</v>
      </c>
      <c r="D108">
        <v>19.100000000000001</v>
      </c>
      <c r="E108">
        <v>2</v>
      </c>
      <c r="F108">
        <v>7.1</v>
      </c>
      <c r="G108">
        <v>10.4</v>
      </c>
      <c r="H108">
        <v>0</v>
      </c>
      <c r="I108">
        <v>13.7</v>
      </c>
      <c r="J108">
        <v>10</v>
      </c>
      <c r="K108">
        <v>0</v>
      </c>
      <c r="L108">
        <v>11.8</v>
      </c>
      <c r="M108">
        <v>15.1</v>
      </c>
      <c r="N108">
        <v>0</v>
      </c>
      <c r="O108">
        <v>12.3</v>
      </c>
      <c r="P108">
        <v>7.9</v>
      </c>
      <c r="Q108">
        <v>0</v>
      </c>
      <c r="R108">
        <v>8.4</v>
      </c>
      <c r="S108">
        <v>11.7</v>
      </c>
      <c r="T108">
        <v>0</v>
      </c>
      <c r="U108">
        <v>-12.1</v>
      </c>
      <c r="V108">
        <v>2.6</v>
      </c>
      <c r="W108">
        <v>-22</v>
      </c>
      <c r="X108">
        <v>-13.5</v>
      </c>
      <c r="Y108">
        <v>-19.600000000000001</v>
      </c>
      <c r="Z108">
        <v>-22</v>
      </c>
      <c r="AA108">
        <v>9.6</v>
      </c>
      <c r="AB108">
        <v>9.9</v>
      </c>
      <c r="AC108">
        <v>40.5</v>
      </c>
      <c r="AD108">
        <v>8.1999999999999993</v>
      </c>
      <c r="AE108">
        <v>6.5</v>
      </c>
      <c r="AF108">
        <v>0</v>
      </c>
      <c r="AG108">
        <v>11.2</v>
      </c>
      <c r="AH108">
        <v>10</v>
      </c>
      <c r="AI108">
        <v>11.4</v>
      </c>
      <c r="AJ108">
        <v>10</v>
      </c>
      <c r="AK108">
        <v>9.9</v>
      </c>
      <c r="AL108">
        <v>10</v>
      </c>
      <c r="AM108">
        <v>12.9</v>
      </c>
      <c r="AN108">
        <v>9</v>
      </c>
      <c r="AO108">
        <v>10.5</v>
      </c>
      <c r="AP108">
        <v>10</v>
      </c>
      <c r="AQ108">
        <v>11.2</v>
      </c>
      <c r="AR108">
        <v>10</v>
      </c>
      <c r="AS108">
        <v>11.2</v>
      </c>
      <c r="AT108">
        <v>10</v>
      </c>
      <c r="AU108">
        <v>18.7</v>
      </c>
      <c r="AV108">
        <v>19</v>
      </c>
      <c r="AW108">
        <v>19.8</v>
      </c>
      <c r="AX108">
        <v>19</v>
      </c>
      <c r="AY108">
        <v>10.199999999999999</v>
      </c>
      <c r="AZ108">
        <v>10</v>
      </c>
      <c r="BA108">
        <v>9.9</v>
      </c>
      <c r="BB108">
        <v>10</v>
      </c>
    </row>
    <row r="109" spans="1:54" x14ac:dyDescent="0.35">
      <c r="A109" s="1">
        <v>46059.521527777775</v>
      </c>
      <c r="B109">
        <v>20.5</v>
      </c>
      <c r="C109">
        <v>3</v>
      </c>
      <c r="D109">
        <v>19.100000000000001</v>
      </c>
      <c r="E109">
        <v>2</v>
      </c>
      <c r="F109">
        <v>7.1</v>
      </c>
      <c r="G109">
        <v>10.4</v>
      </c>
      <c r="H109">
        <v>0</v>
      </c>
      <c r="I109">
        <v>13.7</v>
      </c>
      <c r="J109">
        <v>10</v>
      </c>
      <c r="K109">
        <v>0</v>
      </c>
      <c r="L109">
        <v>11.8</v>
      </c>
      <c r="M109">
        <v>15.1</v>
      </c>
      <c r="N109">
        <v>0</v>
      </c>
      <c r="O109">
        <v>12.3</v>
      </c>
      <c r="P109">
        <v>7.9</v>
      </c>
      <c r="Q109">
        <v>0</v>
      </c>
      <c r="R109">
        <v>8.4</v>
      </c>
      <c r="S109">
        <v>11.7</v>
      </c>
      <c r="T109">
        <v>0</v>
      </c>
      <c r="U109">
        <v>-12.7</v>
      </c>
      <c r="V109">
        <v>2</v>
      </c>
      <c r="W109">
        <v>-22</v>
      </c>
      <c r="X109">
        <v>-13.8</v>
      </c>
      <c r="Y109">
        <v>-19.7</v>
      </c>
      <c r="Z109">
        <v>-22</v>
      </c>
      <c r="AA109">
        <v>9.6</v>
      </c>
      <c r="AB109">
        <v>9.9</v>
      </c>
      <c r="AC109">
        <v>40.5</v>
      </c>
      <c r="AD109">
        <v>8.1999999999999993</v>
      </c>
      <c r="AE109">
        <v>6.6</v>
      </c>
      <c r="AF109">
        <v>0</v>
      </c>
      <c r="AG109">
        <v>10.199999999999999</v>
      </c>
      <c r="AH109">
        <v>10</v>
      </c>
      <c r="AI109">
        <v>11.5</v>
      </c>
      <c r="AJ109">
        <v>10</v>
      </c>
      <c r="AK109">
        <v>10.3</v>
      </c>
      <c r="AL109">
        <v>10</v>
      </c>
      <c r="AM109">
        <v>12.9</v>
      </c>
      <c r="AN109">
        <v>9</v>
      </c>
      <c r="AO109">
        <v>10.5</v>
      </c>
      <c r="AP109">
        <v>10</v>
      </c>
      <c r="AQ109">
        <v>11.3</v>
      </c>
      <c r="AR109">
        <v>10</v>
      </c>
      <c r="AS109">
        <v>11.4</v>
      </c>
      <c r="AT109">
        <v>10</v>
      </c>
      <c r="AU109">
        <v>18.7</v>
      </c>
      <c r="AV109">
        <v>19</v>
      </c>
      <c r="AW109">
        <v>19.8</v>
      </c>
      <c r="AX109">
        <v>19</v>
      </c>
      <c r="AY109">
        <v>10.6</v>
      </c>
      <c r="AZ109">
        <v>10</v>
      </c>
      <c r="BA109">
        <v>10.3</v>
      </c>
      <c r="BB109">
        <v>10</v>
      </c>
    </row>
    <row r="110" spans="1:54" x14ac:dyDescent="0.35">
      <c r="A110" s="1">
        <v>46059.522222222222</v>
      </c>
      <c r="B110">
        <v>20.5</v>
      </c>
      <c r="C110">
        <v>3</v>
      </c>
      <c r="D110">
        <v>19.100000000000001</v>
      </c>
      <c r="E110">
        <v>2</v>
      </c>
      <c r="F110">
        <v>7.1</v>
      </c>
      <c r="G110">
        <v>10.4</v>
      </c>
      <c r="H110">
        <v>0</v>
      </c>
      <c r="I110">
        <v>13.7</v>
      </c>
      <c r="J110">
        <v>10</v>
      </c>
      <c r="K110">
        <v>0</v>
      </c>
      <c r="L110">
        <v>11.8</v>
      </c>
      <c r="M110">
        <v>15.1</v>
      </c>
      <c r="N110">
        <v>0</v>
      </c>
      <c r="O110">
        <v>12.3</v>
      </c>
      <c r="P110">
        <v>7.9</v>
      </c>
      <c r="Q110">
        <v>0</v>
      </c>
      <c r="R110">
        <v>8.5</v>
      </c>
      <c r="S110">
        <v>11.7</v>
      </c>
      <c r="T110">
        <v>0</v>
      </c>
      <c r="U110">
        <v>-13.1</v>
      </c>
      <c r="V110">
        <v>1.3</v>
      </c>
      <c r="W110">
        <v>-22</v>
      </c>
      <c r="X110">
        <v>-14</v>
      </c>
      <c r="Y110">
        <v>-19.899999999999999</v>
      </c>
      <c r="Z110">
        <v>-22</v>
      </c>
      <c r="AA110">
        <v>9.6</v>
      </c>
      <c r="AB110">
        <v>9.9</v>
      </c>
      <c r="AC110">
        <v>40.5</v>
      </c>
      <c r="AD110">
        <v>8.1999999999999993</v>
      </c>
      <c r="AE110">
        <v>6.6</v>
      </c>
      <c r="AF110">
        <v>0</v>
      </c>
      <c r="AG110">
        <v>9.6999999999999993</v>
      </c>
      <c r="AH110">
        <v>10</v>
      </c>
      <c r="AI110">
        <v>11.5</v>
      </c>
      <c r="AJ110">
        <v>10</v>
      </c>
      <c r="AK110">
        <v>10.6</v>
      </c>
      <c r="AL110">
        <v>10</v>
      </c>
      <c r="AM110">
        <v>12.9</v>
      </c>
      <c r="AN110">
        <v>9</v>
      </c>
      <c r="AO110">
        <v>10.3</v>
      </c>
      <c r="AP110">
        <v>10</v>
      </c>
      <c r="AQ110">
        <v>11.3</v>
      </c>
      <c r="AR110">
        <v>10</v>
      </c>
      <c r="AS110">
        <v>11.6</v>
      </c>
      <c r="AT110">
        <v>10</v>
      </c>
      <c r="AU110">
        <v>18.7</v>
      </c>
      <c r="AV110">
        <v>19</v>
      </c>
      <c r="AW110">
        <v>19.899999999999999</v>
      </c>
      <c r="AX110">
        <v>19</v>
      </c>
      <c r="AY110">
        <v>10.9</v>
      </c>
      <c r="AZ110">
        <v>10</v>
      </c>
      <c r="BA110">
        <v>10.7</v>
      </c>
      <c r="BB110">
        <v>10</v>
      </c>
    </row>
    <row r="111" spans="1:54" x14ac:dyDescent="0.35">
      <c r="A111" s="1">
        <v>46059.522916666669</v>
      </c>
      <c r="B111">
        <v>20.5</v>
      </c>
      <c r="C111">
        <v>3</v>
      </c>
      <c r="D111">
        <v>19.100000000000001</v>
      </c>
      <c r="E111">
        <v>2</v>
      </c>
      <c r="F111">
        <v>7.1</v>
      </c>
      <c r="G111">
        <v>10.4</v>
      </c>
      <c r="H111">
        <v>0</v>
      </c>
      <c r="I111">
        <v>13.8</v>
      </c>
      <c r="J111">
        <v>10</v>
      </c>
      <c r="K111">
        <v>0</v>
      </c>
      <c r="L111">
        <v>11.8</v>
      </c>
      <c r="M111">
        <v>15.1</v>
      </c>
      <c r="N111">
        <v>0</v>
      </c>
      <c r="O111">
        <v>12.3</v>
      </c>
      <c r="P111">
        <v>7.9</v>
      </c>
      <c r="Q111">
        <v>0</v>
      </c>
      <c r="R111">
        <v>8.6</v>
      </c>
      <c r="S111">
        <v>11.7</v>
      </c>
      <c r="T111">
        <v>0</v>
      </c>
      <c r="U111">
        <v>-13.7</v>
      </c>
      <c r="V111">
        <v>0.2</v>
      </c>
      <c r="W111">
        <v>-22</v>
      </c>
      <c r="X111">
        <v>-14.3</v>
      </c>
      <c r="Y111">
        <v>-20.3</v>
      </c>
      <c r="Z111">
        <v>-22</v>
      </c>
      <c r="AA111">
        <v>9.6</v>
      </c>
      <c r="AB111">
        <v>9.9</v>
      </c>
      <c r="AC111">
        <v>40.5</v>
      </c>
      <c r="AD111">
        <v>8.1999999999999993</v>
      </c>
      <c r="AE111">
        <v>6.6</v>
      </c>
      <c r="AF111">
        <v>0</v>
      </c>
      <c r="AG111">
        <v>9.6</v>
      </c>
      <c r="AH111">
        <v>10</v>
      </c>
      <c r="AI111">
        <v>11.6</v>
      </c>
      <c r="AJ111">
        <v>10</v>
      </c>
      <c r="AK111">
        <v>10.8</v>
      </c>
      <c r="AL111">
        <v>10</v>
      </c>
      <c r="AM111">
        <v>12.9</v>
      </c>
      <c r="AN111">
        <v>9</v>
      </c>
      <c r="AO111">
        <v>10.1</v>
      </c>
      <c r="AP111">
        <v>10</v>
      </c>
      <c r="AQ111">
        <v>11.4</v>
      </c>
      <c r="AR111">
        <v>10</v>
      </c>
      <c r="AS111">
        <v>11.8</v>
      </c>
      <c r="AT111">
        <v>10</v>
      </c>
      <c r="AU111">
        <v>18.7</v>
      </c>
      <c r="AV111">
        <v>19</v>
      </c>
      <c r="AW111">
        <v>19.899999999999999</v>
      </c>
      <c r="AX111">
        <v>19</v>
      </c>
      <c r="AY111">
        <v>11.2</v>
      </c>
      <c r="AZ111">
        <v>10</v>
      </c>
      <c r="BA111">
        <v>11.1</v>
      </c>
      <c r="BB111">
        <v>10</v>
      </c>
    </row>
    <row r="112" spans="1:54" x14ac:dyDescent="0.35">
      <c r="A112" s="1">
        <v>46059.524305555555</v>
      </c>
      <c r="B112">
        <v>20.5</v>
      </c>
      <c r="C112">
        <v>3</v>
      </c>
      <c r="D112">
        <v>19.100000000000001</v>
      </c>
      <c r="E112">
        <v>2</v>
      </c>
      <c r="F112">
        <v>7.1</v>
      </c>
      <c r="G112">
        <v>10.5</v>
      </c>
      <c r="H112">
        <v>0</v>
      </c>
      <c r="I112">
        <v>13.8</v>
      </c>
      <c r="J112">
        <v>10</v>
      </c>
      <c r="K112">
        <v>0</v>
      </c>
      <c r="L112">
        <v>11.8</v>
      </c>
      <c r="M112">
        <v>15.1</v>
      </c>
      <c r="N112">
        <v>0</v>
      </c>
      <c r="O112">
        <v>12.4</v>
      </c>
      <c r="P112">
        <v>8</v>
      </c>
      <c r="Q112">
        <v>0</v>
      </c>
      <c r="R112">
        <v>8.6</v>
      </c>
      <c r="S112">
        <v>11.7</v>
      </c>
      <c r="T112">
        <v>0</v>
      </c>
      <c r="U112">
        <v>-14.7</v>
      </c>
      <c r="V112">
        <v>-0.6</v>
      </c>
      <c r="W112">
        <v>-22</v>
      </c>
      <c r="X112">
        <v>-14.8</v>
      </c>
      <c r="Y112">
        <v>-20.7</v>
      </c>
      <c r="Z112">
        <v>-22</v>
      </c>
      <c r="AA112">
        <v>9.5</v>
      </c>
      <c r="AB112">
        <v>9.9</v>
      </c>
      <c r="AC112">
        <v>40.5</v>
      </c>
      <c r="AD112">
        <v>8.1999999999999993</v>
      </c>
      <c r="AE112">
        <v>6.6</v>
      </c>
      <c r="AF112">
        <v>0</v>
      </c>
      <c r="AG112">
        <v>10.3</v>
      </c>
      <c r="AH112">
        <v>10</v>
      </c>
      <c r="AI112">
        <v>11.8</v>
      </c>
      <c r="AJ112">
        <v>10</v>
      </c>
      <c r="AK112">
        <v>10.9</v>
      </c>
      <c r="AL112">
        <v>10</v>
      </c>
      <c r="AM112">
        <v>12.8</v>
      </c>
      <c r="AN112">
        <v>9</v>
      </c>
      <c r="AO112">
        <v>10.1</v>
      </c>
      <c r="AP112">
        <v>10</v>
      </c>
      <c r="AQ112">
        <v>11.4</v>
      </c>
      <c r="AR112">
        <v>10</v>
      </c>
      <c r="AS112">
        <v>11.1</v>
      </c>
      <c r="AT112">
        <v>10</v>
      </c>
      <c r="AU112">
        <v>18.7</v>
      </c>
      <c r="AV112">
        <v>19</v>
      </c>
      <c r="AW112">
        <v>19.899999999999999</v>
      </c>
      <c r="AX112">
        <v>19</v>
      </c>
      <c r="AY112">
        <v>11.7</v>
      </c>
      <c r="AZ112">
        <v>10</v>
      </c>
      <c r="BA112">
        <v>11.6</v>
      </c>
      <c r="BB112">
        <v>10</v>
      </c>
    </row>
    <row r="113" spans="1:54" x14ac:dyDescent="0.35">
      <c r="A113" s="1">
        <v>46059.525000000001</v>
      </c>
      <c r="B113">
        <v>20.5</v>
      </c>
      <c r="C113">
        <v>3</v>
      </c>
      <c r="D113">
        <v>19.100000000000001</v>
      </c>
      <c r="E113">
        <v>2</v>
      </c>
      <c r="F113">
        <v>7.1</v>
      </c>
      <c r="G113">
        <v>10.5</v>
      </c>
      <c r="H113">
        <v>0</v>
      </c>
      <c r="I113">
        <v>13.8</v>
      </c>
      <c r="J113">
        <v>10</v>
      </c>
      <c r="K113">
        <v>0</v>
      </c>
      <c r="L113">
        <v>11.9</v>
      </c>
      <c r="M113">
        <v>15.1</v>
      </c>
      <c r="N113">
        <v>0</v>
      </c>
      <c r="O113">
        <v>12.4</v>
      </c>
      <c r="P113">
        <v>8</v>
      </c>
      <c r="Q113">
        <v>0</v>
      </c>
      <c r="R113">
        <v>8.6</v>
      </c>
      <c r="S113">
        <v>11.7</v>
      </c>
      <c r="T113">
        <v>0</v>
      </c>
      <c r="U113">
        <v>-15</v>
      </c>
      <c r="V113">
        <v>-1.4</v>
      </c>
      <c r="W113">
        <v>-22</v>
      </c>
      <c r="X113">
        <v>-15</v>
      </c>
      <c r="Y113">
        <v>-21.1</v>
      </c>
      <c r="Z113">
        <v>-22</v>
      </c>
      <c r="AA113">
        <v>9.5</v>
      </c>
      <c r="AB113">
        <v>9.9</v>
      </c>
      <c r="AC113">
        <v>40.5</v>
      </c>
      <c r="AD113">
        <v>8.1999999999999993</v>
      </c>
      <c r="AE113">
        <v>6.6</v>
      </c>
      <c r="AF113">
        <v>0</v>
      </c>
      <c r="AG113">
        <v>10.6</v>
      </c>
      <c r="AH113">
        <v>10</v>
      </c>
      <c r="AI113">
        <v>11.9</v>
      </c>
      <c r="AJ113">
        <v>10</v>
      </c>
      <c r="AK113">
        <v>11</v>
      </c>
      <c r="AL113">
        <v>10</v>
      </c>
      <c r="AM113">
        <v>12.7</v>
      </c>
      <c r="AN113">
        <v>9</v>
      </c>
      <c r="AO113">
        <v>10</v>
      </c>
      <c r="AP113">
        <v>10</v>
      </c>
      <c r="AQ113">
        <v>11.3</v>
      </c>
      <c r="AR113">
        <v>10</v>
      </c>
      <c r="AS113">
        <v>8.8000000000000007</v>
      </c>
      <c r="AT113">
        <v>10</v>
      </c>
      <c r="AU113">
        <v>18.7</v>
      </c>
      <c r="AV113">
        <v>19</v>
      </c>
      <c r="AW113">
        <v>19.899999999999999</v>
      </c>
      <c r="AX113">
        <v>19</v>
      </c>
      <c r="AY113">
        <v>11.9</v>
      </c>
      <c r="AZ113">
        <v>10</v>
      </c>
      <c r="BA113">
        <v>11.9</v>
      </c>
      <c r="BB113">
        <v>10</v>
      </c>
    </row>
    <row r="114" spans="1:54" x14ac:dyDescent="0.35">
      <c r="A114" s="1">
        <v>46059.525694444441</v>
      </c>
      <c r="B114">
        <v>20.6</v>
      </c>
      <c r="C114">
        <v>3</v>
      </c>
      <c r="D114">
        <v>19.100000000000001</v>
      </c>
      <c r="E114">
        <v>2</v>
      </c>
      <c r="F114">
        <v>7.1</v>
      </c>
      <c r="G114">
        <v>10.5</v>
      </c>
      <c r="H114">
        <v>0</v>
      </c>
      <c r="I114">
        <v>13.8</v>
      </c>
      <c r="J114">
        <v>10</v>
      </c>
      <c r="K114">
        <v>0</v>
      </c>
      <c r="L114">
        <v>11.9</v>
      </c>
      <c r="M114">
        <v>15.1</v>
      </c>
      <c r="N114">
        <v>0</v>
      </c>
      <c r="O114">
        <v>12.4</v>
      </c>
      <c r="P114">
        <v>8</v>
      </c>
      <c r="Q114">
        <v>0</v>
      </c>
      <c r="R114">
        <v>8.6</v>
      </c>
      <c r="S114">
        <v>11.7</v>
      </c>
      <c r="T114">
        <v>0</v>
      </c>
      <c r="U114">
        <v>-15.3</v>
      </c>
      <c r="V114">
        <v>-2</v>
      </c>
      <c r="W114">
        <v>-22</v>
      </c>
      <c r="X114">
        <v>-15.1</v>
      </c>
      <c r="Y114">
        <v>-21.1</v>
      </c>
      <c r="Z114">
        <v>-22</v>
      </c>
      <c r="AA114">
        <v>9.5</v>
      </c>
      <c r="AB114">
        <v>9.9</v>
      </c>
      <c r="AC114">
        <v>40.5</v>
      </c>
      <c r="AD114">
        <v>8.1999999999999993</v>
      </c>
      <c r="AE114">
        <v>6.6</v>
      </c>
      <c r="AF114">
        <v>0</v>
      </c>
      <c r="AG114">
        <v>10.8</v>
      </c>
      <c r="AH114">
        <v>10</v>
      </c>
      <c r="AI114">
        <v>12</v>
      </c>
      <c r="AJ114">
        <v>10</v>
      </c>
      <c r="AK114">
        <v>11</v>
      </c>
      <c r="AL114">
        <v>10</v>
      </c>
      <c r="AM114">
        <v>12.6</v>
      </c>
      <c r="AN114">
        <v>9</v>
      </c>
      <c r="AO114">
        <v>10.6</v>
      </c>
      <c r="AP114">
        <v>10</v>
      </c>
      <c r="AQ114">
        <v>11.3</v>
      </c>
      <c r="AR114">
        <v>10</v>
      </c>
      <c r="AS114">
        <v>8.1</v>
      </c>
      <c r="AT114">
        <v>10</v>
      </c>
      <c r="AU114">
        <v>18.7</v>
      </c>
      <c r="AV114">
        <v>19</v>
      </c>
      <c r="AW114">
        <v>19.899999999999999</v>
      </c>
      <c r="AX114">
        <v>19</v>
      </c>
      <c r="AY114">
        <v>12</v>
      </c>
      <c r="AZ114">
        <v>10</v>
      </c>
      <c r="BA114">
        <v>12</v>
      </c>
      <c r="BB114">
        <v>10</v>
      </c>
    </row>
    <row r="115" spans="1:54" x14ac:dyDescent="0.35">
      <c r="A115" s="1">
        <v>46059.526388888888</v>
      </c>
      <c r="B115">
        <v>20.6</v>
      </c>
      <c r="C115">
        <v>3</v>
      </c>
      <c r="D115">
        <v>19.100000000000001</v>
      </c>
      <c r="E115">
        <v>2</v>
      </c>
      <c r="F115">
        <v>7.2</v>
      </c>
      <c r="G115">
        <v>10.5</v>
      </c>
      <c r="H115">
        <v>0</v>
      </c>
      <c r="I115">
        <v>13.8</v>
      </c>
      <c r="J115">
        <v>10</v>
      </c>
      <c r="K115">
        <v>0</v>
      </c>
      <c r="L115">
        <v>11.9</v>
      </c>
      <c r="M115">
        <v>15.1</v>
      </c>
      <c r="N115">
        <v>0</v>
      </c>
      <c r="O115">
        <v>12.4</v>
      </c>
      <c r="P115">
        <v>8</v>
      </c>
      <c r="Q115">
        <v>0</v>
      </c>
      <c r="R115">
        <v>8.6</v>
      </c>
      <c r="S115">
        <v>11.7</v>
      </c>
      <c r="T115">
        <v>0</v>
      </c>
      <c r="U115">
        <v>-15.6</v>
      </c>
      <c r="V115">
        <v>-2.7</v>
      </c>
      <c r="W115">
        <v>-22</v>
      </c>
      <c r="X115">
        <v>-15.4</v>
      </c>
      <c r="Y115">
        <v>-21.5</v>
      </c>
      <c r="Z115">
        <v>-22</v>
      </c>
      <c r="AA115">
        <v>9.5</v>
      </c>
      <c r="AB115">
        <v>9.9</v>
      </c>
      <c r="AC115">
        <v>40.5</v>
      </c>
      <c r="AD115">
        <v>8.1999999999999993</v>
      </c>
      <c r="AE115">
        <v>6.6</v>
      </c>
      <c r="AF115">
        <v>0</v>
      </c>
      <c r="AG115">
        <v>10.9</v>
      </c>
      <c r="AH115">
        <v>10</v>
      </c>
      <c r="AI115">
        <v>11.4</v>
      </c>
      <c r="AJ115">
        <v>10</v>
      </c>
      <c r="AK115">
        <v>11.1</v>
      </c>
      <c r="AL115">
        <v>10</v>
      </c>
      <c r="AM115">
        <v>12.6</v>
      </c>
      <c r="AN115">
        <v>9</v>
      </c>
      <c r="AO115">
        <v>11.3</v>
      </c>
      <c r="AP115">
        <v>10</v>
      </c>
      <c r="AQ115">
        <v>11.1</v>
      </c>
      <c r="AR115">
        <v>10</v>
      </c>
      <c r="AS115">
        <v>8.4</v>
      </c>
      <c r="AT115">
        <v>10</v>
      </c>
      <c r="AU115">
        <v>18.7</v>
      </c>
      <c r="AV115">
        <v>19</v>
      </c>
      <c r="AW115">
        <v>19.899999999999999</v>
      </c>
      <c r="AX115">
        <v>19</v>
      </c>
      <c r="AY115">
        <v>11.4</v>
      </c>
      <c r="AZ115">
        <v>10</v>
      </c>
      <c r="BA115">
        <v>11.5</v>
      </c>
      <c r="BB115">
        <v>10</v>
      </c>
    </row>
    <row r="116" spans="1:54" x14ac:dyDescent="0.35">
      <c r="A116" s="1">
        <v>46059.527083333334</v>
      </c>
      <c r="B116">
        <v>20.6</v>
      </c>
      <c r="C116">
        <v>3</v>
      </c>
      <c r="D116">
        <v>19.2</v>
      </c>
      <c r="E116">
        <v>2</v>
      </c>
      <c r="F116">
        <v>7.2</v>
      </c>
      <c r="G116">
        <v>10.5</v>
      </c>
      <c r="H116">
        <v>0</v>
      </c>
      <c r="I116">
        <v>13.8</v>
      </c>
      <c r="J116">
        <v>10</v>
      </c>
      <c r="K116">
        <v>0</v>
      </c>
      <c r="L116">
        <v>11.9</v>
      </c>
      <c r="M116">
        <v>15.1</v>
      </c>
      <c r="N116">
        <v>0</v>
      </c>
      <c r="O116">
        <v>12.4</v>
      </c>
      <c r="P116">
        <v>8</v>
      </c>
      <c r="Q116">
        <v>0</v>
      </c>
      <c r="R116">
        <v>8.6</v>
      </c>
      <c r="S116">
        <v>11.7</v>
      </c>
      <c r="T116">
        <v>0</v>
      </c>
      <c r="U116">
        <v>-15.7</v>
      </c>
      <c r="V116">
        <v>-3.5</v>
      </c>
      <c r="W116">
        <v>-22</v>
      </c>
      <c r="X116">
        <v>-15.5</v>
      </c>
      <c r="Y116">
        <v>-21.7</v>
      </c>
      <c r="Z116">
        <v>-22</v>
      </c>
      <c r="AA116">
        <v>9.5</v>
      </c>
      <c r="AB116">
        <v>9.9</v>
      </c>
      <c r="AC116">
        <v>40.5</v>
      </c>
      <c r="AD116">
        <v>8.1999999999999993</v>
      </c>
      <c r="AE116">
        <v>6.6</v>
      </c>
      <c r="AF116">
        <v>0</v>
      </c>
      <c r="AG116">
        <v>11.1</v>
      </c>
      <c r="AH116">
        <v>10</v>
      </c>
      <c r="AI116">
        <v>9.8000000000000007</v>
      </c>
      <c r="AJ116">
        <v>10</v>
      </c>
      <c r="AK116">
        <v>11.2</v>
      </c>
      <c r="AL116">
        <v>10</v>
      </c>
      <c r="AM116">
        <v>12.6</v>
      </c>
      <c r="AN116">
        <v>9</v>
      </c>
      <c r="AO116">
        <v>11.7</v>
      </c>
      <c r="AP116">
        <v>10</v>
      </c>
      <c r="AQ116">
        <v>11.1</v>
      </c>
      <c r="AR116">
        <v>10</v>
      </c>
      <c r="AS116">
        <v>9</v>
      </c>
      <c r="AT116">
        <v>10</v>
      </c>
      <c r="AU116">
        <v>18.7</v>
      </c>
      <c r="AV116">
        <v>19</v>
      </c>
      <c r="AW116">
        <v>19.899999999999999</v>
      </c>
      <c r="AX116">
        <v>19</v>
      </c>
      <c r="AY116">
        <v>10.4</v>
      </c>
      <c r="AZ116">
        <v>10</v>
      </c>
      <c r="BA116">
        <v>10.6</v>
      </c>
      <c r="BB116">
        <v>10</v>
      </c>
    </row>
    <row r="117" spans="1:54" x14ac:dyDescent="0.35">
      <c r="A117" s="1">
        <v>46059.527777777781</v>
      </c>
      <c r="B117">
        <v>20.6</v>
      </c>
      <c r="C117">
        <v>3</v>
      </c>
      <c r="D117">
        <v>19.2</v>
      </c>
      <c r="E117">
        <v>2</v>
      </c>
      <c r="F117">
        <v>7.2</v>
      </c>
      <c r="G117">
        <v>10.5</v>
      </c>
      <c r="H117">
        <v>0</v>
      </c>
      <c r="I117">
        <v>13.8</v>
      </c>
      <c r="J117">
        <v>10</v>
      </c>
      <c r="K117">
        <v>0</v>
      </c>
      <c r="L117">
        <v>11.9</v>
      </c>
      <c r="M117">
        <v>15.1</v>
      </c>
      <c r="N117">
        <v>0</v>
      </c>
      <c r="O117">
        <v>12.4</v>
      </c>
      <c r="P117">
        <v>8</v>
      </c>
      <c r="Q117">
        <v>0</v>
      </c>
      <c r="R117">
        <v>8.6</v>
      </c>
      <c r="S117">
        <v>11.7</v>
      </c>
      <c r="T117">
        <v>0</v>
      </c>
      <c r="U117">
        <v>-15.9</v>
      </c>
      <c r="V117">
        <v>-4.8</v>
      </c>
      <c r="W117">
        <v>-22</v>
      </c>
      <c r="X117">
        <v>-15.8</v>
      </c>
      <c r="Y117">
        <v>-21.7</v>
      </c>
      <c r="Z117">
        <v>-22</v>
      </c>
      <c r="AA117">
        <v>9.5</v>
      </c>
      <c r="AB117">
        <v>9.9</v>
      </c>
      <c r="AC117">
        <v>40.5</v>
      </c>
      <c r="AD117">
        <v>8.1999999999999993</v>
      </c>
      <c r="AE117">
        <v>6.6</v>
      </c>
      <c r="AF117">
        <v>0</v>
      </c>
      <c r="AG117">
        <v>11.3</v>
      </c>
      <c r="AH117">
        <v>10</v>
      </c>
      <c r="AI117">
        <v>8.6999999999999993</v>
      </c>
      <c r="AJ117">
        <v>10</v>
      </c>
      <c r="AK117">
        <v>11.4</v>
      </c>
      <c r="AL117">
        <v>10</v>
      </c>
      <c r="AM117">
        <v>12.6</v>
      </c>
      <c r="AN117">
        <v>9</v>
      </c>
      <c r="AO117">
        <v>11.9</v>
      </c>
      <c r="AP117">
        <v>10</v>
      </c>
      <c r="AQ117">
        <v>11.1</v>
      </c>
      <c r="AR117">
        <v>10</v>
      </c>
      <c r="AS117">
        <v>9.5</v>
      </c>
      <c r="AT117">
        <v>10</v>
      </c>
      <c r="AU117">
        <v>18.7</v>
      </c>
      <c r="AV117">
        <v>19</v>
      </c>
      <c r="AW117">
        <v>19.899999999999999</v>
      </c>
      <c r="AX117">
        <v>19</v>
      </c>
      <c r="AY117">
        <v>9.6999999999999993</v>
      </c>
      <c r="AZ117">
        <v>10</v>
      </c>
      <c r="BA117">
        <v>10</v>
      </c>
      <c r="BB117">
        <v>10</v>
      </c>
    </row>
    <row r="118" spans="1:54" x14ac:dyDescent="0.35">
      <c r="A118" s="1">
        <v>46059.52847222222</v>
      </c>
      <c r="B118">
        <v>20.6</v>
      </c>
      <c r="C118">
        <v>3</v>
      </c>
      <c r="D118">
        <v>19.2</v>
      </c>
      <c r="E118">
        <v>2</v>
      </c>
      <c r="F118">
        <v>7.2</v>
      </c>
      <c r="G118">
        <v>10.5</v>
      </c>
      <c r="H118">
        <v>0</v>
      </c>
      <c r="I118">
        <v>13.8</v>
      </c>
      <c r="J118">
        <v>10</v>
      </c>
      <c r="K118">
        <v>0</v>
      </c>
      <c r="L118">
        <v>11.9</v>
      </c>
      <c r="M118">
        <v>15.1</v>
      </c>
      <c r="N118">
        <v>0</v>
      </c>
      <c r="O118">
        <v>12.4</v>
      </c>
      <c r="P118">
        <v>8</v>
      </c>
      <c r="Q118">
        <v>0</v>
      </c>
      <c r="R118">
        <v>8.6</v>
      </c>
      <c r="S118">
        <v>11.7</v>
      </c>
      <c r="T118">
        <v>0</v>
      </c>
      <c r="U118">
        <v>-16</v>
      </c>
      <c r="V118">
        <v>-6</v>
      </c>
      <c r="W118">
        <v>-22</v>
      </c>
      <c r="X118">
        <v>-16</v>
      </c>
      <c r="Y118">
        <v>-22</v>
      </c>
      <c r="Z118">
        <v>-22</v>
      </c>
      <c r="AA118">
        <v>9.5</v>
      </c>
      <c r="AB118">
        <v>9.9</v>
      </c>
      <c r="AC118">
        <v>40.5</v>
      </c>
      <c r="AD118">
        <v>8.1999999999999993</v>
      </c>
      <c r="AE118">
        <v>6.6</v>
      </c>
      <c r="AF118">
        <v>0</v>
      </c>
      <c r="AG118">
        <v>11.4</v>
      </c>
      <c r="AH118">
        <v>10</v>
      </c>
      <c r="AI118">
        <v>8.6999999999999993</v>
      </c>
      <c r="AJ118">
        <v>10</v>
      </c>
      <c r="AK118">
        <v>11.5</v>
      </c>
      <c r="AL118">
        <v>10</v>
      </c>
      <c r="AM118">
        <v>12.7</v>
      </c>
      <c r="AN118">
        <v>9</v>
      </c>
      <c r="AO118">
        <v>12</v>
      </c>
      <c r="AP118">
        <v>10</v>
      </c>
      <c r="AQ118">
        <v>11.1</v>
      </c>
      <c r="AR118">
        <v>10</v>
      </c>
      <c r="AS118">
        <v>10</v>
      </c>
      <c r="AT118">
        <v>10</v>
      </c>
      <c r="AU118">
        <v>18.7</v>
      </c>
      <c r="AV118">
        <v>19</v>
      </c>
      <c r="AW118">
        <v>19.899999999999999</v>
      </c>
      <c r="AX118">
        <v>19</v>
      </c>
      <c r="AY118">
        <v>9.6999999999999993</v>
      </c>
      <c r="AZ118">
        <v>10</v>
      </c>
      <c r="BA118">
        <v>9.8000000000000007</v>
      </c>
      <c r="BB118">
        <v>10</v>
      </c>
    </row>
    <row r="119" spans="1:54" x14ac:dyDescent="0.35">
      <c r="A119" s="1">
        <v>46059.529166666667</v>
      </c>
      <c r="B119">
        <v>20.6</v>
      </c>
      <c r="C119">
        <v>3</v>
      </c>
      <c r="D119">
        <v>19.2</v>
      </c>
      <c r="E119">
        <v>2</v>
      </c>
      <c r="F119">
        <v>7.2</v>
      </c>
      <c r="G119">
        <v>10.5</v>
      </c>
      <c r="H119">
        <v>0</v>
      </c>
      <c r="I119">
        <v>13.8</v>
      </c>
      <c r="J119">
        <v>10</v>
      </c>
      <c r="K119">
        <v>0</v>
      </c>
      <c r="L119">
        <v>11.9</v>
      </c>
      <c r="M119">
        <v>15.1</v>
      </c>
      <c r="N119">
        <v>0</v>
      </c>
      <c r="O119">
        <v>12.4</v>
      </c>
      <c r="P119">
        <v>8</v>
      </c>
      <c r="Q119">
        <v>0</v>
      </c>
      <c r="R119">
        <v>8.6</v>
      </c>
      <c r="S119">
        <v>11.7</v>
      </c>
      <c r="T119">
        <v>0</v>
      </c>
      <c r="U119">
        <v>-16.3</v>
      </c>
      <c r="V119">
        <v>-6.7</v>
      </c>
      <c r="W119">
        <v>-22</v>
      </c>
      <c r="X119">
        <v>-16.100000000000001</v>
      </c>
      <c r="Y119">
        <v>-22.2</v>
      </c>
      <c r="Z119">
        <v>-22</v>
      </c>
      <c r="AA119">
        <v>9.5</v>
      </c>
      <c r="AB119">
        <v>9.9</v>
      </c>
      <c r="AC119">
        <v>40.5</v>
      </c>
      <c r="AD119">
        <v>8.1999999999999993</v>
      </c>
      <c r="AE119">
        <v>6.6</v>
      </c>
      <c r="AF119">
        <v>0</v>
      </c>
      <c r="AG119">
        <v>11.6</v>
      </c>
      <c r="AH119">
        <v>10</v>
      </c>
      <c r="AI119">
        <v>9</v>
      </c>
      <c r="AJ119">
        <v>10</v>
      </c>
      <c r="AK119">
        <v>11.5</v>
      </c>
      <c r="AL119">
        <v>10</v>
      </c>
      <c r="AM119">
        <v>12.8</v>
      </c>
      <c r="AN119">
        <v>9</v>
      </c>
      <c r="AO119">
        <v>11.1</v>
      </c>
      <c r="AP119">
        <v>10</v>
      </c>
      <c r="AQ119">
        <v>11</v>
      </c>
      <c r="AR119">
        <v>10</v>
      </c>
      <c r="AS119">
        <v>10.4</v>
      </c>
      <c r="AT119">
        <v>10</v>
      </c>
      <c r="AU119">
        <v>18.7</v>
      </c>
      <c r="AV119">
        <v>19</v>
      </c>
      <c r="AW119">
        <v>19.899999999999999</v>
      </c>
      <c r="AX119">
        <v>19</v>
      </c>
      <c r="AY119">
        <v>10.199999999999999</v>
      </c>
      <c r="AZ119">
        <v>10</v>
      </c>
      <c r="BA119">
        <v>10</v>
      </c>
      <c r="BB119">
        <v>10</v>
      </c>
    </row>
    <row r="120" spans="1:54" x14ac:dyDescent="0.35">
      <c r="A120" s="1">
        <v>46059.529861111114</v>
      </c>
      <c r="B120">
        <v>20.6</v>
      </c>
      <c r="C120">
        <v>3</v>
      </c>
      <c r="D120">
        <v>19.2</v>
      </c>
      <c r="E120">
        <v>2</v>
      </c>
      <c r="F120">
        <v>7.2</v>
      </c>
      <c r="G120">
        <v>10.5</v>
      </c>
      <c r="H120">
        <v>0</v>
      </c>
      <c r="I120">
        <v>13.8</v>
      </c>
      <c r="J120">
        <v>10</v>
      </c>
      <c r="K120">
        <v>0</v>
      </c>
      <c r="L120">
        <v>11.9</v>
      </c>
      <c r="M120">
        <v>15.1</v>
      </c>
      <c r="N120">
        <v>0</v>
      </c>
      <c r="O120">
        <v>12.4</v>
      </c>
      <c r="P120">
        <v>8</v>
      </c>
      <c r="Q120">
        <v>0</v>
      </c>
      <c r="R120">
        <v>8.6</v>
      </c>
      <c r="S120">
        <v>11.8</v>
      </c>
      <c r="T120">
        <v>0</v>
      </c>
      <c r="U120">
        <v>-16.600000000000001</v>
      </c>
      <c r="V120">
        <v>-7.6</v>
      </c>
      <c r="W120">
        <v>-22</v>
      </c>
      <c r="X120">
        <v>-16.3</v>
      </c>
      <c r="Y120">
        <v>-22.2</v>
      </c>
      <c r="Z120">
        <v>-22</v>
      </c>
      <c r="AA120">
        <v>9.5</v>
      </c>
      <c r="AB120">
        <v>9.9</v>
      </c>
      <c r="AC120">
        <v>40.5</v>
      </c>
      <c r="AD120">
        <v>8.1999999999999993</v>
      </c>
      <c r="AE120">
        <v>6.6</v>
      </c>
      <c r="AF120">
        <v>0</v>
      </c>
      <c r="AG120">
        <v>11.7</v>
      </c>
      <c r="AH120">
        <v>10</v>
      </c>
      <c r="AI120">
        <v>9.3000000000000007</v>
      </c>
      <c r="AJ120">
        <v>10</v>
      </c>
      <c r="AK120">
        <v>11.6</v>
      </c>
      <c r="AL120">
        <v>10</v>
      </c>
      <c r="AM120">
        <v>12.8</v>
      </c>
      <c r="AN120">
        <v>9</v>
      </c>
      <c r="AO120">
        <v>10.5</v>
      </c>
      <c r="AP120">
        <v>10</v>
      </c>
      <c r="AQ120">
        <v>10.9</v>
      </c>
      <c r="AR120">
        <v>10</v>
      </c>
      <c r="AS120">
        <v>10.6</v>
      </c>
      <c r="AT120">
        <v>10</v>
      </c>
      <c r="AU120">
        <v>18.7</v>
      </c>
      <c r="AV120">
        <v>19</v>
      </c>
      <c r="AW120">
        <v>19.899999999999999</v>
      </c>
      <c r="AX120">
        <v>19</v>
      </c>
      <c r="AY120">
        <v>10.5</v>
      </c>
      <c r="AZ120">
        <v>10</v>
      </c>
      <c r="BA120">
        <v>10.4</v>
      </c>
      <c r="BB120">
        <v>10</v>
      </c>
    </row>
    <row r="121" spans="1:54" x14ac:dyDescent="0.35">
      <c r="A121" s="1">
        <v>46059.530555555553</v>
      </c>
      <c r="B121">
        <v>20.6</v>
      </c>
      <c r="C121">
        <v>3</v>
      </c>
      <c r="D121">
        <v>19.2</v>
      </c>
      <c r="E121">
        <v>2</v>
      </c>
      <c r="F121">
        <v>7.2</v>
      </c>
      <c r="G121">
        <v>10.5</v>
      </c>
      <c r="H121">
        <v>0</v>
      </c>
      <c r="I121">
        <v>13.8</v>
      </c>
      <c r="J121">
        <v>10</v>
      </c>
      <c r="K121">
        <v>0</v>
      </c>
      <c r="L121">
        <v>11.9</v>
      </c>
      <c r="M121">
        <v>15.1</v>
      </c>
      <c r="N121">
        <v>0</v>
      </c>
      <c r="O121">
        <v>12.4</v>
      </c>
      <c r="P121">
        <v>8</v>
      </c>
      <c r="Q121">
        <v>0</v>
      </c>
      <c r="R121">
        <v>8.6</v>
      </c>
      <c r="S121">
        <v>11.8</v>
      </c>
      <c r="T121">
        <v>0</v>
      </c>
      <c r="U121">
        <v>-16.8</v>
      </c>
      <c r="V121">
        <v>-8.1999999999999993</v>
      </c>
      <c r="W121">
        <v>-22</v>
      </c>
      <c r="X121">
        <v>-16.399999999999999</v>
      </c>
      <c r="Y121">
        <v>-22.5</v>
      </c>
      <c r="Z121">
        <v>-22</v>
      </c>
      <c r="AA121">
        <v>9.5</v>
      </c>
      <c r="AB121">
        <v>9.9</v>
      </c>
      <c r="AC121">
        <v>40.5</v>
      </c>
      <c r="AD121">
        <v>8.1999999999999993</v>
      </c>
      <c r="AE121">
        <v>6.6</v>
      </c>
      <c r="AF121">
        <v>0</v>
      </c>
      <c r="AG121">
        <v>11.7</v>
      </c>
      <c r="AH121">
        <v>10</v>
      </c>
      <c r="AI121">
        <v>9.6</v>
      </c>
      <c r="AJ121">
        <v>10</v>
      </c>
      <c r="AK121">
        <v>11.6</v>
      </c>
      <c r="AL121">
        <v>10</v>
      </c>
      <c r="AM121">
        <v>12.8</v>
      </c>
      <c r="AN121">
        <v>9</v>
      </c>
      <c r="AO121">
        <v>10.3</v>
      </c>
      <c r="AP121">
        <v>10</v>
      </c>
      <c r="AQ121">
        <v>10.9</v>
      </c>
      <c r="AR121">
        <v>10</v>
      </c>
      <c r="AS121">
        <v>10.9</v>
      </c>
      <c r="AT121">
        <v>10</v>
      </c>
      <c r="AU121">
        <v>18.7</v>
      </c>
      <c r="AV121">
        <v>19</v>
      </c>
      <c r="AW121">
        <v>19.899999999999999</v>
      </c>
      <c r="AX121">
        <v>19</v>
      </c>
      <c r="AY121">
        <v>10.9</v>
      </c>
      <c r="AZ121">
        <v>10</v>
      </c>
      <c r="BA121">
        <v>10.8</v>
      </c>
      <c r="BB121">
        <v>10</v>
      </c>
    </row>
    <row r="122" spans="1:54" x14ac:dyDescent="0.35">
      <c r="A122" s="1">
        <v>46059.53125</v>
      </c>
      <c r="B122">
        <v>20.6</v>
      </c>
      <c r="C122">
        <v>3</v>
      </c>
      <c r="D122">
        <v>19.2</v>
      </c>
      <c r="E122">
        <v>2</v>
      </c>
      <c r="F122">
        <v>7.2</v>
      </c>
      <c r="G122">
        <v>10.5</v>
      </c>
      <c r="H122">
        <v>0</v>
      </c>
      <c r="I122">
        <v>13.8</v>
      </c>
      <c r="J122">
        <v>10.1</v>
      </c>
      <c r="K122">
        <v>0</v>
      </c>
      <c r="L122">
        <v>11.9</v>
      </c>
      <c r="M122">
        <v>15.1</v>
      </c>
      <c r="N122">
        <v>0</v>
      </c>
      <c r="O122">
        <v>12.4</v>
      </c>
      <c r="P122">
        <v>8</v>
      </c>
      <c r="Q122">
        <v>0</v>
      </c>
      <c r="R122">
        <v>8.6</v>
      </c>
      <c r="S122">
        <v>11.8</v>
      </c>
      <c r="T122">
        <v>0</v>
      </c>
      <c r="U122">
        <v>-17</v>
      </c>
      <c r="V122">
        <v>-8.9</v>
      </c>
      <c r="W122">
        <v>-22</v>
      </c>
      <c r="X122">
        <v>-16.600000000000001</v>
      </c>
      <c r="Y122">
        <v>-22.5</v>
      </c>
      <c r="Z122">
        <v>-22</v>
      </c>
      <c r="AA122">
        <v>9.5</v>
      </c>
      <c r="AB122">
        <v>9.9</v>
      </c>
      <c r="AC122">
        <v>40.5</v>
      </c>
      <c r="AD122">
        <v>8.1999999999999993</v>
      </c>
      <c r="AE122">
        <v>6.6</v>
      </c>
      <c r="AF122">
        <v>0</v>
      </c>
      <c r="AG122">
        <v>11.8</v>
      </c>
      <c r="AH122">
        <v>10</v>
      </c>
      <c r="AI122">
        <v>9.9</v>
      </c>
      <c r="AJ122">
        <v>10</v>
      </c>
      <c r="AK122">
        <v>11.6</v>
      </c>
      <c r="AL122">
        <v>10</v>
      </c>
      <c r="AM122">
        <v>12.8</v>
      </c>
      <c r="AN122">
        <v>9</v>
      </c>
      <c r="AO122">
        <v>10.199999999999999</v>
      </c>
      <c r="AP122">
        <v>10</v>
      </c>
      <c r="AQ122">
        <v>10.9</v>
      </c>
      <c r="AR122">
        <v>10</v>
      </c>
      <c r="AS122">
        <v>11.1</v>
      </c>
      <c r="AT122">
        <v>10</v>
      </c>
      <c r="AU122">
        <v>18.7</v>
      </c>
      <c r="AV122">
        <v>19</v>
      </c>
      <c r="AW122">
        <v>19.899999999999999</v>
      </c>
      <c r="AX122">
        <v>19</v>
      </c>
      <c r="AY122">
        <v>11.2</v>
      </c>
      <c r="AZ122">
        <v>10</v>
      </c>
      <c r="BA122">
        <v>11.1</v>
      </c>
      <c r="BB122">
        <v>10</v>
      </c>
    </row>
    <row r="123" spans="1:54" x14ac:dyDescent="0.35">
      <c r="A123" s="1">
        <v>46059.531944444447</v>
      </c>
      <c r="B123">
        <v>20.6</v>
      </c>
      <c r="C123">
        <v>3</v>
      </c>
      <c r="D123">
        <v>19.2</v>
      </c>
      <c r="E123">
        <v>2</v>
      </c>
      <c r="F123">
        <v>7.2</v>
      </c>
      <c r="G123">
        <v>10.5</v>
      </c>
      <c r="H123">
        <v>0</v>
      </c>
      <c r="I123">
        <v>13.8</v>
      </c>
      <c r="J123">
        <v>10.1</v>
      </c>
      <c r="K123">
        <v>0</v>
      </c>
      <c r="L123">
        <v>11.9</v>
      </c>
      <c r="M123">
        <v>15.1</v>
      </c>
      <c r="N123">
        <v>0</v>
      </c>
      <c r="O123">
        <v>12.4</v>
      </c>
      <c r="P123">
        <v>8</v>
      </c>
      <c r="Q123">
        <v>0</v>
      </c>
      <c r="R123">
        <v>8.6</v>
      </c>
      <c r="S123">
        <v>11.8</v>
      </c>
      <c r="T123">
        <v>0</v>
      </c>
      <c r="U123">
        <v>-17.2</v>
      </c>
      <c r="V123">
        <v>-9.8000000000000007</v>
      </c>
      <c r="W123">
        <v>-22</v>
      </c>
      <c r="X123">
        <v>-16.8</v>
      </c>
      <c r="Y123">
        <v>-22.9</v>
      </c>
      <c r="Z123">
        <v>-22</v>
      </c>
      <c r="AA123">
        <v>9.5</v>
      </c>
      <c r="AB123">
        <v>9.9</v>
      </c>
      <c r="AC123">
        <v>40.5</v>
      </c>
      <c r="AD123">
        <v>8.1999999999999993</v>
      </c>
      <c r="AE123">
        <v>6.6</v>
      </c>
      <c r="AF123">
        <v>0</v>
      </c>
      <c r="AG123">
        <v>11.9</v>
      </c>
      <c r="AH123">
        <v>10</v>
      </c>
      <c r="AI123">
        <v>10.1</v>
      </c>
      <c r="AJ123">
        <v>10</v>
      </c>
      <c r="AK123">
        <v>11.6</v>
      </c>
      <c r="AL123">
        <v>10</v>
      </c>
      <c r="AM123">
        <v>12.8</v>
      </c>
      <c r="AN123">
        <v>9</v>
      </c>
      <c r="AO123">
        <v>10</v>
      </c>
      <c r="AP123">
        <v>10</v>
      </c>
      <c r="AQ123">
        <v>11.2</v>
      </c>
      <c r="AR123">
        <v>10</v>
      </c>
      <c r="AS123">
        <v>11.4</v>
      </c>
      <c r="AT123">
        <v>10</v>
      </c>
      <c r="AU123">
        <v>18.7</v>
      </c>
      <c r="AV123">
        <v>19</v>
      </c>
      <c r="AW123">
        <v>19.8</v>
      </c>
      <c r="AX123">
        <v>19</v>
      </c>
      <c r="AY123">
        <v>11.4</v>
      </c>
      <c r="AZ123">
        <v>10</v>
      </c>
      <c r="BA123">
        <v>11.4</v>
      </c>
      <c r="BB123">
        <v>10</v>
      </c>
    </row>
    <row r="124" spans="1:54" x14ac:dyDescent="0.35">
      <c r="A124" s="1">
        <v>46059.532638888886</v>
      </c>
      <c r="B124">
        <v>20.6</v>
      </c>
      <c r="C124">
        <v>3</v>
      </c>
      <c r="D124">
        <v>19.2</v>
      </c>
      <c r="E124">
        <v>2</v>
      </c>
      <c r="F124">
        <v>7.2</v>
      </c>
      <c r="G124">
        <v>10.5</v>
      </c>
      <c r="H124">
        <v>0</v>
      </c>
      <c r="I124">
        <v>13.8</v>
      </c>
      <c r="J124">
        <v>10.1</v>
      </c>
      <c r="K124">
        <v>0</v>
      </c>
      <c r="L124">
        <v>11.9</v>
      </c>
      <c r="M124">
        <v>15.1</v>
      </c>
      <c r="N124">
        <v>0</v>
      </c>
      <c r="O124">
        <v>12.4</v>
      </c>
      <c r="P124">
        <v>8</v>
      </c>
      <c r="Q124">
        <v>0</v>
      </c>
      <c r="R124">
        <v>8.6</v>
      </c>
      <c r="S124">
        <v>11.8</v>
      </c>
      <c r="T124">
        <v>0</v>
      </c>
      <c r="U124">
        <v>-17.399999999999999</v>
      </c>
      <c r="V124">
        <v>-10.199999999999999</v>
      </c>
      <c r="W124">
        <v>-22</v>
      </c>
      <c r="X124">
        <v>-17</v>
      </c>
      <c r="Y124">
        <v>-22.9</v>
      </c>
      <c r="Z124">
        <v>-22</v>
      </c>
      <c r="AA124">
        <v>9.5</v>
      </c>
      <c r="AB124">
        <v>9.9</v>
      </c>
      <c r="AC124">
        <v>40.5</v>
      </c>
      <c r="AD124">
        <v>8.1999999999999993</v>
      </c>
      <c r="AE124">
        <v>6.6</v>
      </c>
      <c r="AF124">
        <v>0</v>
      </c>
      <c r="AG124">
        <v>12</v>
      </c>
      <c r="AH124">
        <v>10</v>
      </c>
      <c r="AI124">
        <v>10.3</v>
      </c>
      <c r="AJ124">
        <v>10</v>
      </c>
      <c r="AK124">
        <v>11.6</v>
      </c>
      <c r="AL124">
        <v>10</v>
      </c>
      <c r="AM124">
        <v>12.7</v>
      </c>
      <c r="AN124">
        <v>9</v>
      </c>
      <c r="AO124">
        <v>10.6</v>
      </c>
      <c r="AP124">
        <v>10</v>
      </c>
      <c r="AQ124">
        <v>11.3</v>
      </c>
      <c r="AR124">
        <v>10</v>
      </c>
      <c r="AS124">
        <v>11.6</v>
      </c>
      <c r="AT124">
        <v>10</v>
      </c>
      <c r="AU124">
        <v>18.7</v>
      </c>
      <c r="AV124">
        <v>19</v>
      </c>
      <c r="AW124">
        <v>19.8</v>
      </c>
      <c r="AX124">
        <v>19</v>
      </c>
      <c r="AY124">
        <v>11.7</v>
      </c>
      <c r="AZ124">
        <v>10</v>
      </c>
      <c r="BA124">
        <v>11.7</v>
      </c>
      <c r="BB124">
        <v>10</v>
      </c>
    </row>
    <row r="125" spans="1:54" x14ac:dyDescent="0.35">
      <c r="A125" s="1">
        <v>46059.533333333333</v>
      </c>
      <c r="B125">
        <v>20.6</v>
      </c>
      <c r="C125">
        <v>3</v>
      </c>
      <c r="D125">
        <v>19.2</v>
      </c>
      <c r="E125">
        <v>2</v>
      </c>
      <c r="F125">
        <v>7.2</v>
      </c>
      <c r="G125">
        <v>10.5</v>
      </c>
      <c r="H125">
        <v>0</v>
      </c>
      <c r="I125">
        <v>13.8</v>
      </c>
      <c r="J125">
        <v>10.1</v>
      </c>
      <c r="K125">
        <v>0</v>
      </c>
      <c r="L125">
        <v>11.9</v>
      </c>
      <c r="M125">
        <v>15.2</v>
      </c>
      <c r="N125">
        <v>0</v>
      </c>
      <c r="O125">
        <v>12.4</v>
      </c>
      <c r="P125">
        <v>8</v>
      </c>
      <c r="Q125">
        <v>0</v>
      </c>
      <c r="R125">
        <v>8.6</v>
      </c>
      <c r="S125">
        <v>11.8</v>
      </c>
      <c r="T125">
        <v>0</v>
      </c>
      <c r="U125">
        <v>-17.600000000000001</v>
      </c>
      <c r="V125">
        <v>-10.7</v>
      </c>
      <c r="W125">
        <v>-22</v>
      </c>
      <c r="X125">
        <v>-17.100000000000001</v>
      </c>
      <c r="Y125">
        <v>-23.2</v>
      </c>
      <c r="Z125">
        <v>-22</v>
      </c>
      <c r="AA125">
        <v>9.4</v>
      </c>
      <c r="AB125">
        <v>9.9</v>
      </c>
      <c r="AC125">
        <v>40.5</v>
      </c>
      <c r="AD125">
        <v>8.1999999999999993</v>
      </c>
      <c r="AE125">
        <v>6.6</v>
      </c>
      <c r="AF125">
        <v>0</v>
      </c>
      <c r="AG125">
        <v>11.5</v>
      </c>
      <c r="AH125">
        <v>10</v>
      </c>
      <c r="AI125">
        <v>10.5</v>
      </c>
      <c r="AJ125">
        <v>10</v>
      </c>
      <c r="AK125">
        <v>11.7</v>
      </c>
      <c r="AL125">
        <v>10</v>
      </c>
      <c r="AM125">
        <v>12.7</v>
      </c>
      <c r="AN125">
        <v>9</v>
      </c>
      <c r="AO125">
        <v>11.3</v>
      </c>
      <c r="AP125">
        <v>10</v>
      </c>
      <c r="AQ125">
        <v>11.3</v>
      </c>
      <c r="AR125">
        <v>10</v>
      </c>
      <c r="AS125">
        <v>11.7</v>
      </c>
      <c r="AT125">
        <v>10</v>
      </c>
      <c r="AU125">
        <v>18.7</v>
      </c>
      <c r="AV125">
        <v>19</v>
      </c>
      <c r="AW125">
        <v>19.8</v>
      </c>
      <c r="AX125">
        <v>19</v>
      </c>
      <c r="AY125">
        <v>11.8</v>
      </c>
      <c r="AZ125">
        <v>10</v>
      </c>
      <c r="BA125">
        <v>11.9</v>
      </c>
      <c r="BB125">
        <v>10</v>
      </c>
    </row>
    <row r="126" spans="1:54" x14ac:dyDescent="0.35">
      <c r="A126" s="1">
        <v>46059.53402777778</v>
      </c>
      <c r="B126">
        <v>20.6</v>
      </c>
      <c r="C126">
        <v>3</v>
      </c>
      <c r="D126">
        <v>19.2</v>
      </c>
      <c r="E126">
        <v>2</v>
      </c>
      <c r="F126">
        <v>7.2</v>
      </c>
      <c r="G126">
        <v>10.6</v>
      </c>
      <c r="H126">
        <v>0</v>
      </c>
      <c r="I126">
        <v>13.8</v>
      </c>
      <c r="J126">
        <v>10.1</v>
      </c>
      <c r="K126">
        <v>0</v>
      </c>
      <c r="L126">
        <v>11.9</v>
      </c>
      <c r="M126">
        <v>15.2</v>
      </c>
      <c r="N126">
        <v>0</v>
      </c>
      <c r="O126">
        <v>12.5</v>
      </c>
      <c r="P126">
        <v>8.1</v>
      </c>
      <c r="Q126">
        <v>0</v>
      </c>
      <c r="R126">
        <v>8.6</v>
      </c>
      <c r="S126">
        <v>11.8</v>
      </c>
      <c r="T126">
        <v>0</v>
      </c>
      <c r="U126">
        <v>-17.8</v>
      </c>
      <c r="V126">
        <v>-11.1</v>
      </c>
      <c r="W126">
        <v>-22</v>
      </c>
      <c r="X126">
        <v>-17.3</v>
      </c>
      <c r="Y126">
        <v>-23.3</v>
      </c>
      <c r="Z126">
        <v>-22</v>
      </c>
      <c r="AA126">
        <v>9.4</v>
      </c>
      <c r="AB126">
        <v>9.9</v>
      </c>
      <c r="AC126">
        <v>40.5</v>
      </c>
      <c r="AD126">
        <v>8.1999999999999993</v>
      </c>
      <c r="AE126">
        <v>6.6</v>
      </c>
      <c r="AF126">
        <v>0</v>
      </c>
      <c r="AG126">
        <v>10.7</v>
      </c>
      <c r="AH126">
        <v>10</v>
      </c>
      <c r="AI126">
        <v>10.6</v>
      </c>
      <c r="AJ126">
        <v>10</v>
      </c>
      <c r="AK126">
        <v>11.8</v>
      </c>
      <c r="AL126">
        <v>10</v>
      </c>
      <c r="AM126">
        <v>12.7</v>
      </c>
      <c r="AN126">
        <v>9</v>
      </c>
      <c r="AO126">
        <v>11.7</v>
      </c>
      <c r="AP126">
        <v>10</v>
      </c>
      <c r="AQ126">
        <v>11.3</v>
      </c>
      <c r="AR126">
        <v>10</v>
      </c>
      <c r="AS126">
        <v>11.9</v>
      </c>
      <c r="AT126">
        <v>10</v>
      </c>
      <c r="AU126">
        <v>18.7</v>
      </c>
      <c r="AV126">
        <v>19</v>
      </c>
      <c r="AW126">
        <v>19.8</v>
      </c>
      <c r="AX126">
        <v>19</v>
      </c>
      <c r="AY126">
        <v>12</v>
      </c>
      <c r="AZ126">
        <v>10</v>
      </c>
      <c r="BA126">
        <v>12</v>
      </c>
      <c r="BB126">
        <v>10</v>
      </c>
    </row>
    <row r="127" spans="1:54" x14ac:dyDescent="0.35">
      <c r="A127" s="1">
        <v>46059.534722222219</v>
      </c>
      <c r="B127">
        <v>20.6</v>
      </c>
      <c r="C127">
        <v>3</v>
      </c>
      <c r="D127">
        <v>19.2</v>
      </c>
      <c r="E127">
        <v>2</v>
      </c>
      <c r="F127">
        <v>7.2</v>
      </c>
      <c r="G127">
        <v>10.6</v>
      </c>
      <c r="H127">
        <v>0</v>
      </c>
      <c r="I127">
        <v>13.8</v>
      </c>
      <c r="J127">
        <v>10.1</v>
      </c>
      <c r="K127">
        <v>0</v>
      </c>
      <c r="L127">
        <v>11.9</v>
      </c>
      <c r="M127">
        <v>15.2</v>
      </c>
      <c r="N127">
        <v>0</v>
      </c>
      <c r="O127">
        <v>12.5</v>
      </c>
      <c r="P127">
        <v>8.1</v>
      </c>
      <c r="Q127">
        <v>0</v>
      </c>
      <c r="R127">
        <v>8.6</v>
      </c>
      <c r="S127">
        <v>11.8</v>
      </c>
      <c r="T127">
        <v>0</v>
      </c>
      <c r="U127">
        <v>-18</v>
      </c>
      <c r="V127">
        <v>-11.5</v>
      </c>
      <c r="W127">
        <v>-22</v>
      </c>
      <c r="X127">
        <v>-17.399999999999999</v>
      </c>
      <c r="Y127">
        <v>-23.5</v>
      </c>
      <c r="Z127">
        <v>-22</v>
      </c>
      <c r="AA127">
        <v>9.4</v>
      </c>
      <c r="AB127">
        <v>9.9</v>
      </c>
      <c r="AC127">
        <v>40.5</v>
      </c>
      <c r="AD127">
        <v>8.1999999999999993</v>
      </c>
      <c r="AE127">
        <v>6.6</v>
      </c>
      <c r="AF127">
        <v>0</v>
      </c>
      <c r="AG127">
        <v>9.9</v>
      </c>
      <c r="AH127">
        <v>10</v>
      </c>
      <c r="AI127">
        <v>10.8</v>
      </c>
      <c r="AJ127">
        <v>10</v>
      </c>
      <c r="AK127">
        <v>11.9</v>
      </c>
      <c r="AL127">
        <v>10</v>
      </c>
      <c r="AM127">
        <v>12.7</v>
      </c>
      <c r="AN127">
        <v>9</v>
      </c>
      <c r="AO127">
        <v>12</v>
      </c>
      <c r="AP127">
        <v>10</v>
      </c>
      <c r="AQ127">
        <v>11.2</v>
      </c>
      <c r="AR127">
        <v>10</v>
      </c>
      <c r="AS127">
        <v>11.2</v>
      </c>
      <c r="AT127">
        <v>10</v>
      </c>
      <c r="AU127">
        <v>18.7</v>
      </c>
      <c r="AV127">
        <v>19</v>
      </c>
      <c r="AW127">
        <v>19.8</v>
      </c>
      <c r="AX127">
        <v>19</v>
      </c>
      <c r="AY127">
        <v>11.4</v>
      </c>
      <c r="AZ127">
        <v>10</v>
      </c>
      <c r="BA127">
        <v>11.1</v>
      </c>
      <c r="BB127">
        <v>10</v>
      </c>
    </row>
    <row r="128" spans="1:54" x14ac:dyDescent="0.35">
      <c r="A128" s="1">
        <v>46059.536111111112</v>
      </c>
      <c r="B128">
        <v>20.6</v>
      </c>
      <c r="C128">
        <v>3</v>
      </c>
      <c r="D128">
        <v>19.2</v>
      </c>
      <c r="E128">
        <v>2</v>
      </c>
      <c r="F128">
        <v>7.2</v>
      </c>
      <c r="G128">
        <v>10.6</v>
      </c>
      <c r="H128">
        <v>0</v>
      </c>
      <c r="I128">
        <v>13.8</v>
      </c>
      <c r="J128">
        <v>10.1</v>
      </c>
      <c r="K128">
        <v>0</v>
      </c>
      <c r="L128">
        <v>11.9</v>
      </c>
      <c r="M128">
        <v>15.2</v>
      </c>
      <c r="N128">
        <v>0</v>
      </c>
      <c r="O128">
        <v>12.5</v>
      </c>
      <c r="P128">
        <v>8.1</v>
      </c>
      <c r="Q128">
        <v>0</v>
      </c>
      <c r="R128">
        <v>8.6999999999999993</v>
      </c>
      <c r="S128">
        <v>11.8</v>
      </c>
      <c r="T128">
        <v>0</v>
      </c>
      <c r="U128">
        <v>-18.2</v>
      </c>
      <c r="V128">
        <v>-12.5</v>
      </c>
      <c r="W128">
        <v>-22</v>
      </c>
      <c r="X128">
        <v>-17.7</v>
      </c>
      <c r="Y128">
        <v>-23.6</v>
      </c>
      <c r="Z128">
        <v>-22</v>
      </c>
      <c r="AA128">
        <v>9.4</v>
      </c>
      <c r="AB128">
        <v>9.9</v>
      </c>
      <c r="AC128">
        <v>40.5</v>
      </c>
      <c r="AD128">
        <v>8.1999999999999993</v>
      </c>
      <c r="AE128">
        <v>6.6</v>
      </c>
      <c r="AF128">
        <v>0</v>
      </c>
      <c r="AG128">
        <v>9.6999999999999993</v>
      </c>
      <c r="AH128">
        <v>10</v>
      </c>
      <c r="AI128">
        <v>11</v>
      </c>
      <c r="AJ128">
        <v>10</v>
      </c>
      <c r="AK128">
        <v>11.5</v>
      </c>
      <c r="AL128">
        <v>10</v>
      </c>
      <c r="AM128">
        <v>12.8</v>
      </c>
      <c r="AN128">
        <v>9</v>
      </c>
      <c r="AO128">
        <v>10.8</v>
      </c>
      <c r="AP128">
        <v>10</v>
      </c>
      <c r="AQ128">
        <v>10.8</v>
      </c>
      <c r="AR128">
        <v>10</v>
      </c>
      <c r="AS128">
        <v>8.1</v>
      </c>
      <c r="AT128">
        <v>10</v>
      </c>
      <c r="AU128">
        <v>18.7</v>
      </c>
      <c r="AV128">
        <v>19</v>
      </c>
      <c r="AW128">
        <v>19.8</v>
      </c>
      <c r="AX128">
        <v>19</v>
      </c>
      <c r="AY128">
        <v>9.8000000000000007</v>
      </c>
      <c r="AZ128">
        <v>10</v>
      </c>
      <c r="BA128">
        <v>9.8000000000000007</v>
      </c>
      <c r="BB128">
        <v>10</v>
      </c>
    </row>
    <row r="129" spans="1:54" x14ac:dyDescent="0.35">
      <c r="A129" s="1">
        <v>46059.536805555559</v>
      </c>
      <c r="B129">
        <v>20.6</v>
      </c>
      <c r="C129">
        <v>3</v>
      </c>
      <c r="D129">
        <v>19.2</v>
      </c>
      <c r="E129">
        <v>2</v>
      </c>
      <c r="F129">
        <v>7.2</v>
      </c>
      <c r="G129">
        <v>10.6</v>
      </c>
      <c r="H129">
        <v>0</v>
      </c>
      <c r="I129">
        <v>13.8</v>
      </c>
      <c r="J129">
        <v>10.1</v>
      </c>
      <c r="K129">
        <v>0</v>
      </c>
      <c r="L129">
        <v>11.9</v>
      </c>
      <c r="M129">
        <v>15.2</v>
      </c>
      <c r="N129">
        <v>0</v>
      </c>
      <c r="O129">
        <v>12.5</v>
      </c>
      <c r="P129">
        <v>8.1</v>
      </c>
      <c r="Q129">
        <v>0</v>
      </c>
      <c r="R129">
        <v>8.6999999999999993</v>
      </c>
      <c r="S129">
        <v>11.8</v>
      </c>
      <c r="T129">
        <v>0</v>
      </c>
      <c r="U129">
        <v>-18.3</v>
      </c>
      <c r="V129">
        <v>-13</v>
      </c>
      <c r="W129">
        <v>-22</v>
      </c>
      <c r="X129">
        <v>-17.8</v>
      </c>
      <c r="Y129">
        <v>-23.8</v>
      </c>
      <c r="Z129">
        <v>-22</v>
      </c>
      <c r="AA129">
        <v>9.4</v>
      </c>
      <c r="AB129">
        <v>9.9</v>
      </c>
      <c r="AC129">
        <v>40.5</v>
      </c>
      <c r="AD129">
        <v>8.1999999999999993</v>
      </c>
      <c r="AE129">
        <v>6.6</v>
      </c>
      <c r="AF129">
        <v>0</v>
      </c>
      <c r="AG129">
        <v>10.1</v>
      </c>
      <c r="AH129">
        <v>10</v>
      </c>
      <c r="AI129">
        <v>11.1</v>
      </c>
      <c r="AJ129">
        <v>10</v>
      </c>
      <c r="AK129">
        <v>10.199999999999999</v>
      </c>
      <c r="AL129">
        <v>10</v>
      </c>
      <c r="AM129">
        <v>12.8</v>
      </c>
      <c r="AN129">
        <v>9</v>
      </c>
      <c r="AO129">
        <v>10.5</v>
      </c>
      <c r="AP129">
        <v>10</v>
      </c>
      <c r="AQ129">
        <v>10.9</v>
      </c>
      <c r="AR129">
        <v>10</v>
      </c>
      <c r="AS129">
        <v>8.4</v>
      </c>
      <c r="AT129">
        <v>10</v>
      </c>
      <c r="AU129">
        <v>18.7</v>
      </c>
      <c r="AV129">
        <v>19</v>
      </c>
      <c r="AW129">
        <v>19.8</v>
      </c>
      <c r="AX129">
        <v>19</v>
      </c>
      <c r="AY129">
        <v>9.6999999999999993</v>
      </c>
      <c r="AZ129">
        <v>10</v>
      </c>
      <c r="BA129">
        <v>9.6999999999999993</v>
      </c>
      <c r="BB129">
        <v>10</v>
      </c>
    </row>
    <row r="130" spans="1:54" x14ac:dyDescent="0.35">
      <c r="A130" s="1">
        <v>46059.537499999999</v>
      </c>
      <c r="B130">
        <v>20.6</v>
      </c>
      <c r="C130">
        <v>3</v>
      </c>
      <c r="D130">
        <v>19.2</v>
      </c>
      <c r="E130">
        <v>2</v>
      </c>
      <c r="F130">
        <v>7.3</v>
      </c>
      <c r="G130">
        <v>10.6</v>
      </c>
      <c r="H130">
        <v>0</v>
      </c>
      <c r="I130">
        <v>13.9</v>
      </c>
      <c r="J130">
        <v>10.1</v>
      </c>
      <c r="K130">
        <v>0</v>
      </c>
      <c r="L130">
        <v>11.9</v>
      </c>
      <c r="M130">
        <v>15.2</v>
      </c>
      <c r="N130">
        <v>0</v>
      </c>
      <c r="O130">
        <v>12.5</v>
      </c>
      <c r="P130">
        <v>8.1</v>
      </c>
      <c r="Q130">
        <v>0</v>
      </c>
      <c r="R130">
        <v>8.6999999999999993</v>
      </c>
      <c r="S130">
        <v>11.8</v>
      </c>
      <c r="T130">
        <v>0</v>
      </c>
      <c r="U130">
        <v>-18.399999999999999</v>
      </c>
      <c r="V130">
        <v>-13.5</v>
      </c>
      <c r="W130">
        <v>-22</v>
      </c>
      <c r="X130">
        <v>-17.899999999999999</v>
      </c>
      <c r="Y130">
        <v>-23.8</v>
      </c>
      <c r="Z130">
        <v>-22</v>
      </c>
      <c r="AA130">
        <v>9.4</v>
      </c>
      <c r="AB130">
        <v>9.9</v>
      </c>
      <c r="AC130">
        <v>40.5</v>
      </c>
      <c r="AD130">
        <v>8.1999999999999993</v>
      </c>
      <c r="AE130">
        <v>6.6</v>
      </c>
      <c r="AF130">
        <v>0</v>
      </c>
      <c r="AG130">
        <v>10.4</v>
      </c>
      <c r="AH130">
        <v>10</v>
      </c>
      <c r="AI130">
        <v>11.3</v>
      </c>
      <c r="AJ130">
        <v>10</v>
      </c>
      <c r="AK130">
        <v>9.5</v>
      </c>
      <c r="AL130">
        <v>10</v>
      </c>
      <c r="AM130">
        <v>12.8</v>
      </c>
      <c r="AN130">
        <v>9</v>
      </c>
      <c r="AO130">
        <v>10.4</v>
      </c>
      <c r="AP130">
        <v>10</v>
      </c>
      <c r="AQ130">
        <v>10.9</v>
      </c>
      <c r="AR130">
        <v>10</v>
      </c>
      <c r="AS130">
        <v>9</v>
      </c>
      <c r="AT130">
        <v>10</v>
      </c>
      <c r="AU130">
        <v>18.7</v>
      </c>
      <c r="AV130">
        <v>19</v>
      </c>
      <c r="AW130">
        <v>19.8</v>
      </c>
      <c r="AX130">
        <v>19</v>
      </c>
      <c r="AY130">
        <v>10</v>
      </c>
      <c r="AZ130">
        <v>10</v>
      </c>
      <c r="BA130">
        <v>10.1</v>
      </c>
      <c r="BB130">
        <v>10</v>
      </c>
    </row>
    <row r="131" spans="1:54" x14ac:dyDescent="0.35">
      <c r="A131" s="1">
        <v>46059.538194444445</v>
      </c>
      <c r="B131">
        <v>20.6</v>
      </c>
      <c r="C131">
        <v>3</v>
      </c>
      <c r="D131">
        <v>19.2</v>
      </c>
      <c r="E131">
        <v>2</v>
      </c>
      <c r="F131">
        <v>7.3</v>
      </c>
      <c r="G131">
        <v>10.6</v>
      </c>
      <c r="H131">
        <v>0</v>
      </c>
      <c r="I131">
        <v>13.9</v>
      </c>
      <c r="J131">
        <v>10.1</v>
      </c>
      <c r="K131">
        <v>0</v>
      </c>
      <c r="L131">
        <v>11.9</v>
      </c>
      <c r="M131">
        <v>15.2</v>
      </c>
      <c r="N131">
        <v>0</v>
      </c>
      <c r="O131">
        <v>12.5</v>
      </c>
      <c r="P131">
        <v>8.1</v>
      </c>
      <c r="Q131">
        <v>0</v>
      </c>
      <c r="R131">
        <v>8.6999999999999993</v>
      </c>
      <c r="S131">
        <v>11.9</v>
      </c>
      <c r="T131">
        <v>0</v>
      </c>
      <c r="U131">
        <v>-18.600000000000001</v>
      </c>
      <c r="V131">
        <v>-13.7</v>
      </c>
      <c r="W131">
        <v>-22</v>
      </c>
      <c r="X131">
        <v>-18</v>
      </c>
      <c r="Y131">
        <v>-24.1</v>
      </c>
      <c r="Z131">
        <v>-22</v>
      </c>
      <c r="AA131">
        <v>9.4</v>
      </c>
      <c r="AB131">
        <v>9.9</v>
      </c>
      <c r="AC131">
        <v>40.5</v>
      </c>
      <c r="AD131">
        <v>8.1999999999999993</v>
      </c>
      <c r="AE131">
        <v>6.6</v>
      </c>
      <c r="AF131">
        <v>0</v>
      </c>
      <c r="AG131">
        <v>10.6</v>
      </c>
      <c r="AH131">
        <v>10</v>
      </c>
      <c r="AI131">
        <v>11.4</v>
      </c>
      <c r="AJ131">
        <v>10</v>
      </c>
      <c r="AK131">
        <v>9.6999999999999993</v>
      </c>
      <c r="AL131">
        <v>10</v>
      </c>
      <c r="AM131">
        <v>12.8</v>
      </c>
      <c r="AN131">
        <v>9</v>
      </c>
      <c r="AO131">
        <v>10.1</v>
      </c>
      <c r="AP131">
        <v>10</v>
      </c>
      <c r="AQ131">
        <v>11.1</v>
      </c>
      <c r="AR131">
        <v>10</v>
      </c>
      <c r="AS131">
        <v>9.6</v>
      </c>
      <c r="AT131">
        <v>10</v>
      </c>
      <c r="AU131">
        <v>18.7</v>
      </c>
      <c r="AV131">
        <v>19</v>
      </c>
      <c r="AW131">
        <v>19.8</v>
      </c>
      <c r="AX131">
        <v>19</v>
      </c>
      <c r="AY131">
        <v>10.4</v>
      </c>
      <c r="AZ131">
        <v>10</v>
      </c>
      <c r="BA131">
        <v>10.5</v>
      </c>
      <c r="BB131">
        <v>10</v>
      </c>
    </row>
    <row r="132" spans="1:54" x14ac:dyDescent="0.35">
      <c r="A132" s="1">
        <v>46059.538888888892</v>
      </c>
      <c r="B132">
        <v>20.6</v>
      </c>
      <c r="C132">
        <v>3</v>
      </c>
      <c r="D132">
        <v>19.2</v>
      </c>
      <c r="E132">
        <v>2</v>
      </c>
      <c r="F132">
        <v>7.3</v>
      </c>
      <c r="G132">
        <v>10.6</v>
      </c>
      <c r="H132">
        <v>0</v>
      </c>
      <c r="I132">
        <v>13.9</v>
      </c>
      <c r="J132">
        <v>10.1</v>
      </c>
      <c r="K132">
        <v>0</v>
      </c>
      <c r="L132">
        <v>11.9</v>
      </c>
      <c r="M132">
        <v>15.2</v>
      </c>
      <c r="N132">
        <v>0</v>
      </c>
      <c r="O132">
        <v>12.5</v>
      </c>
      <c r="P132">
        <v>8.1</v>
      </c>
      <c r="Q132">
        <v>0</v>
      </c>
      <c r="R132">
        <v>8.6999999999999993</v>
      </c>
      <c r="S132">
        <v>11.9</v>
      </c>
      <c r="T132">
        <v>0</v>
      </c>
      <c r="U132">
        <v>-18.7</v>
      </c>
      <c r="V132">
        <v>-14.1</v>
      </c>
      <c r="W132">
        <v>-22</v>
      </c>
      <c r="X132">
        <v>-18.100000000000001</v>
      </c>
      <c r="Y132">
        <v>-23.9</v>
      </c>
      <c r="Z132">
        <v>-22</v>
      </c>
      <c r="AA132">
        <v>9.4</v>
      </c>
      <c r="AB132">
        <v>9.9</v>
      </c>
      <c r="AC132">
        <v>40.5</v>
      </c>
      <c r="AD132">
        <v>8.1999999999999993</v>
      </c>
      <c r="AE132">
        <v>6.6</v>
      </c>
      <c r="AF132">
        <v>0</v>
      </c>
      <c r="AG132">
        <v>10.9</v>
      </c>
      <c r="AH132">
        <v>10</v>
      </c>
      <c r="AI132">
        <v>11.5</v>
      </c>
      <c r="AJ132">
        <v>10</v>
      </c>
      <c r="AK132">
        <v>10.1</v>
      </c>
      <c r="AL132">
        <v>10</v>
      </c>
      <c r="AM132">
        <v>12.8</v>
      </c>
      <c r="AN132">
        <v>9</v>
      </c>
      <c r="AO132">
        <v>10.3</v>
      </c>
      <c r="AP132">
        <v>10</v>
      </c>
      <c r="AQ132">
        <v>11.1</v>
      </c>
      <c r="AR132">
        <v>10</v>
      </c>
      <c r="AS132">
        <v>10</v>
      </c>
      <c r="AT132">
        <v>10</v>
      </c>
      <c r="AU132">
        <v>18.7</v>
      </c>
      <c r="AV132">
        <v>19</v>
      </c>
      <c r="AW132">
        <v>19.8</v>
      </c>
      <c r="AX132">
        <v>19</v>
      </c>
      <c r="AY132">
        <v>10.8</v>
      </c>
      <c r="AZ132">
        <v>10</v>
      </c>
      <c r="BA132">
        <v>10.9</v>
      </c>
      <c r="BB132">
        <v>10</v>
      </c>
    </row>
    <row r="133" spans="1:54" x14ac:dyDescent="0.35">
      <c r="A133" s="1">
        <v>46059.539583333331</v>
      </c>
      <c r="B133">
        <v>20.7</v>
      </c>
      <c r="C133">
        <v>3</v>
      </c>
      <c r="D133">
        <v>19.2</v>
      </c>
      <c r="E133">
        <v>2</v>
      </c>
      <c r="F133">
        <v>7.3</v>
      </c>
      <c r="G133">
        <v>10.6</v>
      </c>
      <c r="H133">
        <v>0</v>
      </c>
      <c r="I133">
        <v>13.9</v>
      </c>
      <c r="J133">
        <v>10.1</v>
      </c>
      <c r="K133">
        <v>0</v>
      </c>
      <c r="L133">
        <v>11.9</v>
      </c>
      <c r="M133">
        <v>15.2</v>
      </c>
      <c r="N133">
        <v>0</v>
      </c>
      <c r="O133">
        <v>12.5</v>
      </c>
      <c r="P133">
        <v>8.1</v>
      </c>
      <c r="Q133">
        <v>0</v>
      </c>
      <c r="R133">
        <v>8.6999999999999993</v>
      </c>
      <c r="S133">
        <v>11.9</v>
      </c>
      <c r="T133">
        <v>0</v>
      </c>
      <c r="U133">
        <v>-18.8</v>
      </c>
      <c r="V133">
        <v>-14.5</v>
      </c>
      <c r="W133">
        <v>-22</v>
      </c>
      <c r="X133">
        <v>-18.3</v>
      </c>
      <c r="Y133">
        <v>-24.2</v>
      </c>
      <c r="Z133">
        <v>-22</v>
      </c>
      <c r="AA133">
        <v>9.4</v>
      </c>
      <c r="AB133">
        <v>9.9</v>
      </c>
      <c r="AC133">
        <v>40.5</v>
      </c>
      <c r="AD133">
        <v>8.1999999999999993</v>
      </c>
      <c r="AE133">
        <v>6.6</v>
      </c>
      <c r="AF133">
        <v>0</v>
      </c>
      <c r="AG133">
        <v>11</v>
      </c>
      <c r="AH133">
        <v>10</v>
      </c>
      <c r="AI133">
        <v>11.6</v>
      </c>
      <c r="AJ133">
        <v>10</v>
      </c>
      <c r="AK133">
        <v>10.5</v>
      </c>
      <c r="AL133">
        <v>10</v>
      </c>
      <c r="AM133">
        <v>12.8</v>
      </c>
      <c r="AN133">
        <v>9</v>
      </c>
      <c r="AO133">
        <v>11.4</v>
      </c>
      <c r="AP133">
        <v>10</v>
      </c>
      <c r="AQ133">
        <v>11.1</v>
      </c>
      <c r="AR133">
        <v>10</v>
      </c>
      <c r="AS133">
        <v>10.4</v>
      </c>
      <c r="AT133">
        <v>10</v>
      </c>
      <c r="AU133">
        <v>18.7</v>
      </c>
      <c r="AV133">
        <v>19</v>
      </c>
      <c r="AW133">
        <v>19.8</v>
      </c>
      <c r="AX133">
        <v>19</v>
      </c>
      <c r="AY133">
        <v>11.1</v>
      </c>
      <c r="AZ133">
        <v>10</v>
      </c>
      <c r="BA133">
        <v>11.2</v>
      </c>
      <c r="BB133">
        <v>10</v>
      </c>
    </row>
    <row r="134" spans="1:54" x14ac:dyDescent="0.35">
      <c r="A134" s="1">
        <v>46059.540277777778</v>
      </c>
      <c r="B134">
        <v>20.7</v>
      </c>
      <c r="C134">
        <v>3</v>
      </c>
      <c r="D134">
        <v>19.3</v>
      </c>
      <c r="E134">
        <v>2</v>
      </c>
      <c r="F134">
        <v>7.3</v>
      </c>
      <c r="G134">
        <v>10.6</v>
      </c>
      <c r="H134">
        <v>0</v>
      </c>
      <c r="I134">
        <v>13.9</v>
      </c>
      <c r="J134">
        <v>10.1</v>
      </c>
      <c r="K134">
        <v>0</v>
      </c>
      <c r="L134">
        <v>11.9</v>
      </c>
      <c r="M134">
        <v>15.2</v>
      </c>
      <c r="N134">
        <v>0</v>
      </c>
      <c r="O134">
        <v>12.5</v>
      </c>
      <c r="P134">
        <v>8.1</v>
      </c>
      <c r="Q134">
        <v>0</v>
      </c>
      <c r="R134">
        <v>8.6999999999999993</v>
      </c>
      <c r="S134">
        <v>11.9</v>
      </c>
      <c r="T134">
        <v>0</v>
      </c>
      <c r="U134">
        <v>-18.899999999999999</v>
      </c>
      <c r="V134">
        <v>-14.9</v>
      </c>
      <c r="W134">
        <v>-22</v>
      </c>
      <c r="X134">
        <v>-18.3</v>
      </c>
      <c r="Y134">
        <v>-24.2</v>
      </c>
      <c r="Z134">
        <v>-22</v>
      </c>
      <c r="AA134">
        <v>9.4</v>
      </c>
      <c r="AB134">
        <v>9.9</v>
      </c>
      <c r="AC134">
        <v>40.5</v>
      </c>
      <c r="AD134">
        <v>8.1999999999999993</v>
      </c>
      <c r="AE134">
        <v>6.6</v>
      </c>
      <c r="AF134">
        <v>0</v>
      </c>
      <c r="AG134">
        <v>11.2</v>
      </c>
      <c r="AH134">
        <v>10</v>
      </c>
      <c r="AI134">
        <v>11.6</v>
      </c>
      <c r="AJ134">
        <v>10</v>
      </c>
      <c r="AK134">
        <v>10.7</v>
      </c>
      <c r="AL134">
        <v>10</v>
      </c>
      <c r="AM134">
        <v>12.8</v>
      </c>
      <c r="AN134">
        <v>9</v>
      </c>
      <c r="AO134">
        <v>11.8</v>
      </c>
      <c r="AP134">
        <v>10</v>
      </c>
      <c r="AQ134">
        <v>11</v>
      </c>
      <c r="AR134">
        <v>10</v>
      </c>
      <c r="AS134">
        <v>10.7</v>
      </c>
      <c r="AT134">
        <v>10</v>
      </c>
      <c r="AU134">
        <v>18.7</v>
      </c>
      <c r="AV134">
        <v>19</v>
      </c>
      <c r="AW134">
        <v>19.8</v>
      </c>
      <c r="AX134">
        <v>19</v>
      </c>
      <c r="AY134">
        <v>11.3</v>
      </c>
      <c r="AZ134">
        <v>10</v>
      </c>
      <c r="BA134">
        <v>11.5</v>
      </c>
      <c r="BB134">
        <v>10</v>
      </c>
    </row>
    <row r="135" spans="1:54" x14ac:dyDescent="0.35">
      <c r="A135" s="1">
        <v>46059.540972222225</v>
      </c>
      <c r="B135">
        <v>20.7</v>
      </c>
      <c r="C135">
        <v>3</v>
      </c>
      <c r="D135">
        <v>19.3</v>
      </c>
      <c r="E135">
        <v>2</v>
      </c>
      <c r="F135">
        <v>7.3</v>
      </c>
      <c r="G135">
        <v>10.6</v>
      </c>
      <c r="H135">
        <v>0</v>
      </c>
      <c r="I135">
        <v>13.9</v>
      </c>
      <c r="J135">
        <v>10.1</v>
      </c>
      <c r="K135">
        <v>0</v>
      </c>
      <c r="L135">
        <v>11.9</v>
      </c>
      <c r="M135">
        <v>15.2</v>
      </c>
      <c r="N135">
        <v>0</v>
      </c>
      <c r="O135">
        <v>12.6</v>
      </c>
      <c r="P135">
        <v>8.1</v>
      </c>
      <c r="Q135">
        <v>0</v>
      </c>
      <c r="R135">
        <v>8.6999999999999993</v>
      </c>
      <c r="S135">
        <v>11.9</v>
      </c>
      <c r="T135">
        <v>0</v>
      </c>
      <c r="U135">
        <v>-19</v>
      </c>
      <c r="V135">
        <v>-15.1</v>
      </c>
      <c r="W135">
        <v>-22</v>
      </c>
      <c r="X135">
        <v>-18.5</v>
      </c>
      <c r="Y135">
        <v>-24.4</v>
      </c>
      <c r="Z135">
        <v>-22</v>
      </c>
      <c r="AA135">
        <v>9.4</v>
      </c>
      <c r="AB135">
        <v>9.9</v>
      </c>
      <c r="AC135">
        <v>40.5</v>
      </c>
      <c r="AD135">
        <v>8.1999999999999993</v>
      </c>
      <c r="AE135">
        <v>6.6</v>
      </c>
      <c r="AF135">
        <v>0</v>
      </c>
      <c r="AG135">
        <v>11.3</v>
      </c>
      <c r="AH135">
        <v>10</v>
      </c>
      <c r="AI135">
        <v>11.7</v>
      </c>
      <c r="AJ135">
        <v>10</v>
      </c>
      <c r="AK135">
        <v>11</v>
      </c>
      <c r="AL135">
        <v>10</v>
      </c>
      <c r="AM135">
        <v>12.8</v>
      </c>
      <c r="AN135">
        <v>9</v>
      </c>
      <c r="AO135">
        <v>12</v>
      </c>
      <c r="AP135">
        <v>10</v>
      </c>
      <c r="AQ135">
        <v>11.1</v>
      </c>
      <c r="AR135">
        <v>10</v>
      </c>
      <c r="AS135">
        <v>10.9</v>
      </c>
      <c r="AT135">
        <v>10</v>
      </c>
      <c r="AU135">
        <v>18.7</v>
      </c>
      <c r="AV135">
        <v>19</v>
      </c>
      <c r="AW135">
        <v>19.8</v>
      </c>
      <c r="AX135">
        <v>19</v>
      </c>
      <c r="AY135">
        <v>11.6</v>
      </c>
      <c r="AZ135">
        <v>10</v>
      </c>
      <c r="BA135">
        <v>11.8</v>
      </c>
      <c r="BB135">
        <v>10</v>
      </c>
    </row>
    <row r="136" spans="1:54" x14ac:dyDescent="0.35">
      <c r="A136" s="1">
        <v>46059.541666666664</v>
      </c>
      <c r="B136">
        <v>20.7</v>
      </c>
      <c r="C136">
        <v>3</v>
      </c>
      <c r="D136">
        <v>19.3</v>
      </c>
      <c r="E136">
        <v>2</v>
      </c>
      <c r="F136">
        <v>7.3</v>
      </c>
      <c r="G136">
        <v>10.6</v>
      </c>
      <c r="H136">
        <v>0</v>
      </c>
      <c r="I136">
        <v>13.9</v>
      </c>
      <c r="J136">
        <v>10.1</v>
      </c>
      <c r="K136">
        <v>0</v>
      </c>
      <c r="L136">
        <v>11.9</v>
      </c>
      <c r="M136">
        <v>15.2</v>
      </c>
      <c r="N136">
        <v>0</v>
      </c>
      <c r="O136">
        <v>12.6</v>
      </c>
      <c r="P136">
        <v>8.1</v>
      </c>
      <c r="Q136">
        <v>0</v>
      </c>
      <c r="R136">
        <v>8.6999999999999993</v>
      </c>
      <c r="S136">
        <v>11.9</v>
      </c>
      <c r="T136">
        <v>0</v>
      </c>
      <c r="U136">
        <v>-19.100000000000001</v>
      </c>
      <c r="V136">
        <v>-15.4</v>
      </c>
      <c r="W136">
        <v>-22</v>
      </c>
      <c r="X136">
        <v>-18.5</v>
      </c>
      <c r="Y136">
        <v>-24.5</v>
      </c>
      <c r="Z136">
        <v>-22</v>
      </c>
      <c r="AA136">
        <v>9.4</v>
      </c>
      <c r="AB136">
        <v>9.9</v>
      </c>
      <c r="AC136">
        <v>40.5</v>
      </c>
      <c r="AD136">
        <v>8.1999999999999993</v>
      </c>
      <c r="AE136">
        <v>6.6</v>
      </c>
      <c r="AF136">
        <v>0</v>
      </c>
      <c r="AG136">
        <v>11.5</v>
      </c>
      <c r="AH136">
        <v>10</v>
      </c>
      <c r="AI136">
        <v>11.8</v>
      </c>
      <c r="AJ136">
        <v>10</v>
      </c>
      <c r="AK136">
        <v>11.1</v>
      </c>
      <c r="AL136">
        <v>10</v>
      </c>
      <c r="AM136">
        <v>12.9</v>
      </c>
      <c r="AN136">
        <v>9</v>
      </c>
      <c r="AO136">
        <v>11.2</v>
      </c>
      <c r="AP136">
        <v>10</v>
      </c>
      <c r="AQ136">
        <v>11.1</v>
      </c>
      <c r="AR136">
        <v>10</v>
      </c>
      <c r="AS136">
        <v>11.2</v>
      </c>
      <c r="AT136">
        <v>10</v>
      </c>
      <c r="AU136">
        <v>18.7</v>
      </c>
      <c r="AV136">
        <v>19</v>
      </c>
      <c r="AW136">
        <v>19.8</v>
      </c>
      <c r="AX136">
        <v>19</v>
      </c>
      <c r="AY136">
        <v>11.8</v>
      </c>
      <c r="AZ136">
        <v>10</v>
      </c>
      <c r="BA136">
        <v>12</v>
      </c>
      <c r="BB136">
        <v>10</v>
      </c>
    </row>
    <row r="137" spans="1:54" x14ac:dyDescent="0.35">
      <c r="A137" s="1">
        <v>46059.542361111111</v>
      </c>
      <c r="B137">
        <v>20.7</v>
      </c>
      <c r="C137">
        <v>3</v>
      </c>
      <c r="D137">
        <v>19.3</v>
      </c>
      <c r="E137">
        <v>2</v>
      </c>
      <c r="F137">
        <v>7.3</v>
      </c>
      <c r="G137">
        <v>10.6</v>
      </c>
      <c r="H137">
        <v>0</v>
      </c>
      <c r="I137">
        <v>13.9</v>
      </c>
      <c r="J137">
        <v>10.1</v>
      </c>
      <c r="K137">
        <v>0</v>
      </c>
      <c r="L137">
        <v>11.9</v>
      </c>
      <c r="M137">
        <v>15.2</v>
      </c>
      <c r="N137">
        <v>0</v>
      </c>
      <c r="O137">
        <v>12.6</v>
      </c>
      <c r="P137">
        <v>8.1</v>
      </c>
      <c r="Q137">
        <v>0</v>
      </c>
      <c r="R137">
        <v>8.6999999999999993</v>
      </c>
      <c r="S137">
        <v>11.9</v>
      </c>
      <c r="T137">
        <v>0</v>
      </c>
      <c r="U137">
        <v>-19.3</v>
      </c>
      <c r="V137">
        <v>-15.6</v>
      </c>
      <c r="W137">
        <v>-22</v>
      </c>
      <c r="X137">
        <v>-18.7</v>
      </c>
      <c r="Y137">
        <v>-24.5</v>
      </c>
      <c r="Z137">
        <v>-22</v>
      </c>
      <c r="AA137">
        <v>9.4</v>
      </c>
      <c r="AB137">
        <v>9.9</v>
      </c>
      <c r="AC137">
        <v>40.5</v>
      </c>
      <c r="AD137">
        <v>8.1999999999999993</v>
      </c>
      <c r="AE137">
        <v>6.6</v>
      </c>
      <c r="AF137">
        <v>0</v>
      </c>
      <c r="AG137">
        <v>11.6</v>
      </c>
      <c r="AH137">
        <v>10</v>
      </c>
      <c r="AI137">
        <v>11.9</v>
      </c>
      <c r="AJ137">
        <v>10</v>
      </c>
      <c r="AK137">
        <v>11.2</v>
      </c>
      <c r="AL137">
        <v>10</v>
      </c>
      <c r="AM137">
        <v>12.9</v>
      </c>
      <c r="AN137">
        <v>9</v>
      </c>
      <c r="AO137">
        <v>10.6</v>
      </c>
      <c r="AP137">
        <v>10</v>
      </c>
      <c r="AQ137">
        <v>11.1</v>
      </c>
      <c r="AR137">
        <v>10</v>
      </c>
      <c r="AS137">
        <v>11.4</v>
      </c>
      <c r="AT137">
        <v>10</v>
      </c>
      <c r="AU137">
        <v>18.7</v>
      </c>
      <c r="AV137">
        <v>19</v>
      </c>
      <c r="AW137">
        <v>19.8</v>
      </c>
      <c r="AX137">
        <v>19</v>
      </c>
      <c r="AY137">
        <v>12</v>
      </c>
      <c r="AZ137">
        <v>10</v>
      </c>
      <c r="BA137">
        <v>11.7</v>
      </c>
      <c r="BB137">
        <v>10</v>
      </c>
    </row>
    <row r="138" spans="1:54" x14ac:dyDescent="0.35">
      <c r="A138" s="1">
        <v>46059.543055555558</v>
      </c>
      <c r="B138">
        <v>20.7</v>
      </c>
      <c r="C138">
        <v>3</v>
      </c>
      <c r="D138">
        <v>19.3</v>
      </c>
      <c r="E138">
        <v>2</v>
      </c>
      <c r="F138">
        <v>7.3</v>
      </c>
      <c r="G138">
        <v>10.6</v>
      </c>
      <c r="H138">
        <v>0</v>
      </c>
      <c r="I138">
        <v>13.9</v>
      </c>
      <c r="J138">
        <v>10.1</v>
      </c>
      <c r="K138">
        <v>0</v>
      </c>
      <c r="L138">
        <v>11.9</v>
      </c>
      <c r="M138">
        <v>15.2</v>
      </c>
      <c r="N138">
        <v>0</v>
      </c>
      <c r="O138">
        <v>12.6</v>
      </c>
      <c r="P138">
        <v>8.1</v>
      </c>
      <c r="Q138">
        <v>0</v>
      </c>
      <c r="R138">
        <v>8.6999999999999993</v>
      </c>
      <c r="S138">
        <v>11.9</v>
      </c>
      <c r="T138">
        <v>0</v>
      </c>
      <c r="U138">
        <v>-19.399999999999999</v>
      </c>
      <c r="V138">
        <v>-15.9</v>
      </c>
      <c r="W138">
        <v>-22</v>
      </c>
      <c r="X138">
        <v>-18.8</v>
      </c>
      <c r="Y138">
        <v>-24.7</v>
      </c>
      <c r="Z138">
        <v>-22</v>
      </c>
      <c r="AA138">
        <v>10.5</v>
      </c>
      <c r="AB138">
        <v>9.9</v>
      </c>
      <c r="AC138">
        <v>40.5</v>
      </c>
      <c r="AD138">
        <v>8.1999999999999993</v>
      </c>
      <c r="AE138">
        <v>6.6</v>
      </c>
      <c r="AF138">
        <v>0</v>
      </c>
      <c r="AG138">
        <v>11.7</v>
      </c>
      <c r="AH138">
        <v>10</v>
      </c>
      <c r="AI138">
        <v>12</v>
      </c>
      <c r="AJ138">
        <v>10</v>
      </c>
      <c r="AK138">
        <v>11.3</v>
      </c>
      <c r="AL138">
        <v>10</v>
      </c>
      <c r="AM138">
        <v>12.9</v>
      </c>
      <c r="AN138">
        <v>9</v>
      </c>
      <c r="AO138">
        <v>10.3</v>
      </c>
      <c r="AP138">
        <v>10</v>
      </c>
      <c r="AQ138">
        <v>11.1</v>
      </c>
      <c r="AR138">
        <v>10</v>
      </c>
      <c r="AS138">
        <v>11.6</v>
      </c>
      <c r="AT138">
        <v>10</v>
      </c>
      <c r="AU138">
        <v>18.7</v>
      </c>
      <c r="AV138">
        <v>19</v>
      </c>
      <c r="AW138">
        <v>19.8</v>
      </c>
      <c r="AX138">
        <v>19</v>
      </c>
      <c r="AY138">
        <v>11.7</v>
      </c>
      <c r="AZ138">
        <v>10</v>
      </c>
      <c r="BA138">
        <v>11</v>
      </c>
      <c r="BB138">
        <v>10</v>
      </c>
    </row>
    <row r="139" spans="1:54" x14ac:dyDescent="0.35">
      <c r="A139" s="1">
        <v>46059.543749999997</v>
      </c>
      <c r="B139">
        <v>20.7</v>
      </c>
      <c r="C139">
        <v>3</v>
      </c>
      <c r="D139">
        <v>19.3</v>
      </c>
      <c r="E139">
        <v>2</v>
      </c>
      <c r="F139">
        <v>7.3</v>
      </c>
      <c r="G139">
        <v>10.6</v>
      </c>
      <c r="H139">
        <v>0</v>
      </c>
      <c r="I139">
        <v>13.9</v>
      </c>
      <c r="J139">
        <v>10.1</v>
      </c>
      <c r="K139">
        <v>0</v>
      </c>
      <c r="L139">
        <v>11.9</v>
      </c>
      <c r="M139">
        <v>15.2</v>
      </c>
      <c r="N139">
        <v>0</v>
      </c>
      <c r="O139">
        <v>12.6</v>
      </c>
      <c r="P139">
        <v>8.1</v>
      </c>
      <c r="Q139">
        <v>0</v>
      </c>
      <c r="R139">
        <v>8.6999999999999993</v>
      </c>
      <c r="S139">
        <v>11.9</v>
      </c>
      <c r="T139">
        <v>0</v>
      </c>
      <c r="U139">
        <v>-19.600000000000001</v>
      </c>
      <c r="V139">
        <v>-16.100000000000001</v>
      </c>
      <c r="W139">
        <v>-22</v>
      </c>
      <c r="X139">
        <v>-19.100000000000001</v>
      </c>
      <c r="Y139">
        <v>-24.8</v>
      </c>
      <c r="Z139">
        <v>-22</v>
      </c>
      <c r="AA139">
        <v>11.5</v>
      </c>
      <c r="AB139">
        <v>9.9</v>
      </c>
      <c r="AC139">
        <v>40.5</v>
      </c>
      <c r="AD139">
        <v>8.1999999999999993</v>
      </c>
      <c r="AE139">
        <v>6.6</v>
      </c>
      <c r="AF139">
        <v>0</v>
      </c>
      <c r="AG139">
        <v>11.8</v>
      </c>
      <c r="AH139">
        <v>10</v>
      </c>
      <c r="AI139">
        <v>11.2</v>
      </c>
      <c r="AJ139">
        <v>10</v>
      </c>
      <c r="AK139">
        <v>11.3</v>
      </c>
      <c r="AL139">
        <v>10</v>
      </c>
      <c r="AM139">
        <v>12.9</v>
      </c>
      <c r="AN139">
        <v>9</v>
      </c>
      <c r="AO139">
        <v>10.199999999999999</v>
      </c>
      <c r="AP139">
        <v>10</v>
      </c>
      <c r="AQ139">
        <v>11.2</v>
      </c>
      <c r="AR139">
        <v>10</v>
      </c>
      <c r="AS139">
        <v>11.8</v>
      </c>
      <c r="AT139">
        <v>10</v>
      </c>
      <c r="AU139">
        <v>18.7</v>
      </c>
      <c r="AV139">
        <v>19</v>
      </c>
      <c r="AW139">
        <v>19.8</v>
      </c>
      <c r="AX139">
        <v>19</v>
      </c>
      <c r="AY139">
        <v>10.8</v>
      </c>
      <c r="AZ139">
        <v>10</v>
      </c>
      <c r="BA139">
        <v>10.3</v>
      </c>
      <c r="BB139">
        <v>10</v>
      </c>
    </row>
    <row r="140" spans="1:54" x14ac:dyDescent="0.35">
      <c r="A140" s="1">
        <v>46059.544444444444</v>
      </c>
      <c r="B140">
        <v>20.7</v>
      </c>
      <c r="C140">
        <v>3</v>
      </c>
      <c r="D140">
        <v>19.3</v>
      </c>
      <c r="E140">
        <v>2</v>
      </c>
      <c r="F140">
        <v>7.3</v>
      </c>
      <c r="G140">
        <v>10.7</v>
      </c>
      <c r="H140">
        <v>0</v>
      </c>
      <c r="I140">
        <v>13.9</v>
      </c>
      <c r="J140">
        <v>10.1</v>
      </c>
      <c r="K140">
        <v>0</v>
      </c>
      <c r="L140">
        <v>11.9</v>
      </c>
      <c r="M140">
        <v>15.2</v>
      </c>
      <c r="N140">
        <v>0</v>
      </c>
      <c r="O140">
        <v>12.6</v>
      </c>
      <c r="P140">
        <v>8.1999999999999993</v>
      </c>
      <c r="Q140">
        <v>0</v>
      </c>
      <c r="R140">
        <v>8.6999999999999993</v>
      </c>
      <c r="S140">
        <v>11.9</v>
      </c>
      <c r="T140">
        <v>0</v>
      </c>
      <c r="U140">
        <v>-19.7</v>
      </c>
      <c r="V140">
        <v>-16.3</v>
      </c>
      <c r="W140">
        <v>-22</v>
      </c>
      <c r="X140">
        <v>-19.100000000000001</v>
      </c>
      <c r="Y140">
        <v>-23.7</v>
      </c>
      <c r="Z140">
        <v>-22</v>
      </c>
      <c r="AA140">
        <v>12.1</v>
      </c>
      <c r="AB140">
        <v>9.9</v>
      </c>
      <c r="AC140">
        <v>40.5</v>
      </c>
      <c r="AD140">
        <v>8.1999999999999993</v>
      </c>
      <c r="AE140">
        <v>6.6</v>
      </c>
      <c r="AF140">
        <v>0</v>
      </c>
      <c r="AG140">
        <v>11.9</v>
      </c>
      <c r="AH140">
        <v>10</v>
      </c>
      <c r="AI140">
        <v>9.6999999999999993</v>
      </c>
      <c r="AJ140">
        <v>10</v>
      </c>
      <c r="AK140">
        <v>11.3</v>
      </c>
      <c r="AL140">
        <v>10</v>
      </c>
      <c r="AM140">
        <v>12.9</v>
      </c>
      <c r="AN140">
        <v>9</v>
      </c>
      <c r="AO140">
        <v>10.199999999999999</v>
      </c>
      <c r="AP140">
        <v>10</v>
      </c>
      <c r="AQ140">
        <v>11.2</v>
      </c>
      <c r="AR140">
        <v>10</v>
      </c>
      <c r="AS140">
        <v>12</v>
      </c>
      <c r="AT140">
        <v>10</v>
      </c>
      <c r="AU140">
        <v>18.7</v>
      </c>
      <c r="AV140">
        <v>19</v>
      </c>
      <c r="AW140">
        <v>19.8</v>
      </c>
      <c r="AX140">
        <v>19</v>
      </c>
      <c r="AY140">
        <v>9.8000000000000007</v>
      </c>
      <c r="AZ140">
        <v>10</v>
      </c>
      <c r="BA140">
        <v>9.6999999999999993</v>
      </c>
      <c r="BB140">
        <v>10</v>
      </c>
    </row>
    <row r="141" spans="1:54" x14ac:dyDescent="0.35">
      <c r="A141" s="1">
        <v>46059.545138888891</v>
      </c>
      <c r="B141">
        <v>20.7</v>
      </c>
      <c r="C141">
        <v>3</v>
      </c>
      <c r="D141">
        <v>19.3</v>
      </c>
      <c r="E141">
        <v>2</v>
      </c>
      <c r="F141">
        <v>7.3</v>
      </c>
      <c r="G141">
        <v>10.7</v>
      </c>
      <c r="H141">
        <v>0</v>
      </c>
      <c r="I141">
        <v>13.9</v>
      </c>
      <c r="J141">
        <v>10.1</v>
      </c>
      <c r="K141">
        <v>0</v>
      </c>
      <c r="L141">
        <v>11.9</v>
      </c>
      <c r="M141">
        <v>15.2</v>
      </c>
      <c r="N141">
        <v>0</v>
      </c>
      <c r="O141">
        <v>12.6</v>
      </c>
      <c r="P141">
        <v>8.1999999999999993</v>
      </c>
      <c r="Q141">
        <v>0</v>
      </c>
      <c r="R141">
        <v>8.6999999999999993</v>
      </c>
      <c r="S141">
        <v>11.9</v>
      </c>
      <c r="T141">
        <v>0</v>
      </c>
      <c r="U141">
        <v>-19.2</v>
      </c>
      <c r="V141">
        <v>-16.3</v>
      </c>
      <c r="W141">
        <v>-22</v>
      </c>
      <c r="X141">
        <v>-18.7</v>
      </c>
      <c r="Y141">
        <v>-19.899999999999999</v>
      </c>
      <c r="Z141">
        <v>-22</v>
      </c>
      <c r="AA141">
        <v>12.7</v>
      </c>
      <c r="AB141">
        <v>10</v>
      </c>
      <c r="AC141">
        <v>40.5</v>
      </c>
      <c r="AD141">
        <v>8.1999999999999993</v>
      </c>
      <c r="AE141">
        <v>6.6</v>
      </c>
      <c r="AF141">
        <v>0</v>
      </c>
      <c r="AG141">
        <v>12</v>
      </c>
      <c r="AH141">
        <v>10</v>
      </c>
      <c r="AI141">
        <v>8.8000000000000007</v>
      </c>
      <c r="AJ141">
        <v>10</v>
      </c>
      <c r="AK141">
        <v>11.3</v>
      </c>
      <c r="AL141">
        <v>10</v>
      </c>
      <c r="AM141">
        <v>12.9</v>
      </c>
      <c r="AN141">
        <v>9</v>
      </c>
      <c r="AO141">
        <v>10.199999999999999</v>
      </c>
      <c r="AP141">
        <v>10</v>
      </c>
      <c r="AQ141">
        <v>11.2</v>
      </c>
      <c r="AR141">
        <v>10</v>
      </c>
      <c r="AS141">
        <v>11.1</v>
      </c>
      <c r="AT141">
        <v>10</v>
      </c>
      <c r="AU141">
        <v>18.7</v>
      </c>
      <c r="AV141">
        <v>19</v>
      </c>
      <c r="AW141">
        <v>19.8</v>
      </c>
      <c r="AX141">
        <v>19</v>
      </c>
      <c r="AY141">
        <v>9.6999999999999993</v>
      </c>
      <c r="AZ141">
        <v>10</v>
      </c>
      <c r="BA141">
        <v>9.6999999999999993</v>
      </c>
      <c r="BB141">
        <v>10</v>
      </c>
    </row>
    <row r="142" spans="1:54" x14ac:dyDescent="0.35">
      <c r="A142" s="1">
        <v>46059.54583333333</v>
      </c>
      <c r="B142">
        <v>20.7</v>
      </c>
      <c r="C142">
        <v>3</v>
      </c>
      <c r="D142">
        <v>19.3</v>
      </c>
      <c r="E142">
        <v>2</v>
      </c>
      <c r="F142">
        <v>7.3</v>
      </c>
      <c r="G142">
        <v>10.7</v>
      </c>
      <c r="H142">
        <v>0</v>
      </c>
      <c r="I142">
        <v>13.9</v>
      </c>
      <c r="J142">
        <v>10.1</v>
      </c>
      <c r="K142">
        <v>0</v>
      </c>
      <c r="L142">
        <v>11.9</v>
      </c>
      <c r="M142">
        <v>15.2</v>
      </c>
      <c r="N142">
        <v>0</v>
      </c>
      <c r="O142">
        <v>12.6</v>
      </c>
      <c r="P142">
        <v>8.1999999999999993</v>
      </c>
      <c r="Q142">
        <v>0</v>
      </c>
      <c r="R142">
        <v>8.6999999999999993</v>
      </c>
      <c r="S142">
        <v>11.9</v>
      </c>
      <c r="T142">
        <v>0</v>
      </c>
      <c r="U142">
        <v>-18.399999999999999</v>
      </c>
      <c r="V142">
        <v>-16.3</v>
      </c>
      <c r="W142">
        <v>-22</v>
      </c>
      <c r="X142">
        <v>-17.8</v>
      </c>
      <c r="Y142">
        <v>-18.3</v>
      </c>
      <c r="Z142">
        <v>-22</v>
      </c>
      <c r="AA142">
        <v>12.7</v>
      </c>
      <c r="AB142">
        <v>10.199999999999999</v>
      </c>
      <c r="AC142">
        <v>40.5</v>
      </c>
      <c r="AD142">
        <v>8.1999999999999993</v>
      </c>
      <c r="AE142">
        <v>6.6</v>
      </c>
      <c r="AF142">
        <v>0</v>
      </c>
      <c r="AG142">
        <v>11.8</v>
      </c>
      <c r="AH142">
        <v>10</v>
      </c>
      <c r="AI142">
        <v>8.8000000000000007</v>
      </c>
      <c r="AJ142">
        <v>10</v>
      </c>
      <c r="AK142">
        <v>11.4</v>
      </c>
      <c r="AL142">
        <v>10</v>
      </c>
      <c r="AM142">
        <v>12.9</v>
      </c>
      <c r="AN142">
        <v>9</v>
      </c>
      <c r="AO142">
        <v>10.199999999999999</v>
      </c>
      <c r="AP142">
        <v>10</v>
      </c>
      <c r="AQ142">
        <v>11.2</v>
      </c>
      <c r="AR142">
        <v>10</v>
      </c>
      <c r="AS142">
        <v>8.4</v>
      </c>
      <c r="AT142">
        <v>10</v>
      </c>
      <c r="AU142">
        <v>18.7</v>
      </c>
      <c r="AV142">
        <v>19</v>
      </c>
      <c r="AW142">
        <v>19.8</v>
      </c>
      <c r="AX142">
        <v>19</v>
      </c>
      <c r="AY142">
        <v>9.9</v>
      </c>
      <c r="AZ142">
        <v>10</v>
      </c>
      <c r="BA142">
        <v>10.199999999999999</v>
      </c>
      <c r="BB142">
        <v>10</v>
      </c>
    </row>
    <row r="143" spans="1:54" x14ac:dyDescent="0.35">
      <c r="A143" s="1">
        <v>46059.546527777777</v>
      </c>
      <c r="B143">
        <v>20.7</v>
      </c>
      <c r="C143">
        <v>3</v>
      </c>
      <c r="D143">
        <v>19.3</v>
      </c>
      <c r="E143">
        <v>2</v>
      </c>
      <c r="F143">
        <v>7.3</v>
      </c>
      <c r="G143">
        <v>10.7</v>
      </c>
      <c r="H143">
        <v>0</v>
      </c>
      <c r="I143">
        <v>13.9</v>
      </c>
      <c r="J143">
        <v>10.1</v>
      </c>
      <c r="K143">
        <v>0</v>
      </c>
      <c r="L143">
        <v>11.9</v>
      </c>
      <c r="M143">
        <v>15.2</v>
      </c>
      <c r="N143">
        <v>0</v>
      </c>
      <c r="O143">
        <v>12.6</v>
      </c>
      <c r="P143">
        <v>8.1999999999999993</v>
      </c>
      <c r="Q143">
        <v>0</v>
      </c>
      <c r="R143">
        <v>8.6999999999999993</v>
      </c>
      <c r="S143">
        <v>11.9</v>
      </c>
      <c r="T143">
        <v>0</v>
      </c>
      <c r="U143">
        <v>-17.2</v>
      </c>
      <c r="V143">
        <v>-15.6</v>
      </c>
      <c r="W143">
        <v>-22</v>
      </c>
      <c r="X143">
        <v>-17.399999999999999</v>
      </c>
      <c r="Y143">
        <v>-17.399999999999999</v>
      </c>
      <c r="Z143">
        <v>-22</v>
      </c>
      <c r="AA143">
        <v>13</v>
      </c>
      <c r="AB143">
        <v>10.4</v>
      </c>
      <c r="AC143">
        <v>40.5</v>
      </c>
      <c r="AD143">
        <v>8.1999999999999993</v>
      </c>
      <c r="AE143">
        <v>6.6</v>
      </c>
      <c r="AF143">
        <v>0</v>
      </c>
      <c r="AG143">
        <v>10.7</v>
      </c>
      <c r="AH143">
        <v>10</v>
      </c>
      <c r="AI143">
        <v>9.1</v>
      </c>
      <c r="AJ143">
        <v>10</v>
      </c>
      <c r="AK143">
        <v>11.4</v>
      </c>
      <c r="AL143">
        <v>10</v>
      </c>
      <c r="AM143">
        <v>12.9</v>
      </c>
      <c r="AN143">
        <v>9</v>
      </c>
      <c r="AO143">
        <v>10.199999999999999</v>
      </c>
      <c r="AP143">
        <v>10</v>
      </c>
      <c r="AQ143">
        <v>11.2</v>
      </c>
      <c r="AR143">
        <v>10</v>
      </c>
      <c r="AS143">
        <v>8</v>
      </c>
      <c r="AT143">
        <v>10</v>
      </c>
      <c r="AU143">
        <v>18.7</v>
      </c>
      <c r="AV143">
        <v>19</v>
      </c>
      <c r="AW143">
        <v>19.8</v>
      </c>
      <c r="AX143">
        <v>19</v>
      </c>
      <c r="AY143">
        <v>10.4</v>
      </c>
      <c r="AZ143">
        <v>10</v>
      </c>
      <c r="BA143">
        <v>10.6</v>
      </c>
      <c r="BB143">
        <v>10</v>
      </c>
    </row>
    <row r="144" spans="1:54" x14ac:dyDescent="0.35">
      <c r="A144" s="1">
        <v>46059.547222222223</v>
      </c>
      <c r="B144">
        <v>20.7</v>
      </c>
      <c r="C144">
        <v>3</v>
      </c>
      <c r="D144">
        <v>19.3</v>
      </c>
      <c r="E144">
        <v>2</v>
      </c>
      <c r="F144">
        <v>7.3</v>
      </c>
      <c r="G144">
        <v>10.7</v>
      </c>
      <c r="H144">
        <v>0</v>
      </c>
      <c r="I144">
        <v>13.9</v>
      </c>
      <c r="J144">
        <v>10.1</v>
      </c>
      <c r="K144">
        <v>0</v>
      </c>
      <c r="L144">
        <v>11.9</v>
      </c>
      <c r="M144">
        <v>15.2</v>
      </c>
      <c r="N144">
        <v>0</v>
      </c>
      <c r="O144">
        <v>12.6</v>
      </c>
      <c r="P144">
        <v>8.1999999999999993</v>
      </c>
      <c r="Q144">
        <v>0</v>
      </c>
      <c r="R144">
        <v>8.6999999999999993</v>
      </c>
      <c r="S144">
        <v>11.9</v>
      </c>
      <c r="T144">
        <v>0</v>
      </c>
      <c r="U144">
        <v>-15.4</v>
      </c>
      <c r="V144">
        <v>-14.7</v>
      </c>
      <c r="W144">
        <v>-22</v>
      </c>
      <c r="X144">
        <v>-17.399999999999999</v>
      </c>
      <c r="Y144">
        <v>-16</v>
      </c>
      <c r="Z144">
        <v>-22</v>
      </c>
      <c r="AA144">
        <v>13.2</v>
      </c>
      <c r="AB144">
        <v>10.4</v>
      </c>
      <c r="AC144">
        <v>40.5</v>
      </c>
      <c r="AD144">
        <v>8.3000000000000007</v>
      </c>
      <c r="AE144">
        <v>6.6</v>
      </c>
      <c r="AF144">
        <v>0</v>
      </c>
      <c r="AG144">
        <v>10</v>
      </c>
      <c r="AH144">
        <v>10</v>
      </c>
      <c r="AI144">
        <v>9.4</v>
      </c>
      <c r="AJ144">
        <v>10</v>
      </c>
      <c r="AK144">
        <v>11.4</v>
      </c>
      <c r="AL144">
        <v>10</v>
      </c>
      <c r="AM144">
        <v>12.9</v>
      </c>
      <c r="AN144">
        <v>9</v>
      </c>
      <c r="AO144">
        <v>10.199999999999999</v>
      </c>
      <c r="AP144">
        <v>10</v>
      </c>
      <c r="AQ144">
        <v>11.3</v>
      </c>
      <c r="AR144">
        <v>10</v>
      </c>
      <c r="AS144">
        <v>8.3000000000000007</v>
      </c>
      <c r="AT144">
        <v>10</v>
      </c>
      <c r="AU144">
        <v>18.7</v>
      </c>
      <c r="AV144">
        <v>19</v>
      </c>
      <c r="AW144">
        <v>19.8</v>
      </c>
      <c r="AX144">
        <v>19</v>
      </c>
      <c r="AY144">
        <v>10.7</v>
      </c>
      <c r="AZ144">
        <v>10</v>
      </c>
      <c r="BA144">
        <v>10.9</v>
      </c>
      <c r="BB144">
        <v>10</v>
      </c>
    </row>
    <row r="145" spans="1:54" x14ac:dyDescent="0.35">
      <c r="A145" s="1">
        <v>46059.54791666667</v>
      </c>
      <c r="B145">
        <v>20.7</v>
      </c>
      <c r="C145">
        <v>3</v>
      </c>
      <c r="D145">
        <v>19.3</v>
      </c>
      <c r="E145">
        <v>2</v>
      </c>
      <c r="F145">
        <v>7.3</v>
      </c>
      <c r="G145">
        <v>10.7</v>
      </c>
      <c r="H145">
        <v>0</v>
      </c>
      <c r="I145">
        <v>13.9</v>
      </c>
      <c r="J145">
        <v>10.1</v>
      </c>
      <c r="K145">
        <v>0</v>
      </c>
      <c r="L145">
        <v>11.9</v>
      </c>
      <c r="M145">
        <v>15.2</v>
      </c>
      <c r="N145">
        <v>0</v>
      </c>
      <c r="O145">
        <v>12.6</v>
      </c>
      <c r="P145">
        <v>8.1999999999999993</v>
      </c>
      <c r="Q145">
        <v>0</v>
      </c>
      <c r="R145">
        <v>8.6999999999999993</v>
      </c>
      <c r="S145">
        <v>11.9</v>
      </c>
      <c r="T145">
        <v>0</v>
      </c>
      <c r="U145">
        <v>-14.7</v>
      </c>
      <c r="V145">
        <v>-14.8</v>
      </c>
      <c r="W145">
        <v>-22</v>
      </c>
      <c r="X145">
        <v>-17.399999999999999</v>
      </c>
      <c r="Y145">
        <v>-13.8</v>
      </c>
      <c r="Z145">
        <v>-22</v>
      </c>
      <c r="AA145">
        <v>23</v>
      </c>
      <c r="AB145">
        <v>10.7</v>
      </c>
      <c r="AC145">
        <v>40.5</v>
      </c>
      <c r="AD145">
        <v>8.3000000000000007</v>
      </c>
      <c r="AE145">
        <v>6.6</v>
      </c>
      <c r="AF145">
        <v>0</v>
      </c>
      <c r="AG145">
        <v>9.6</v>
      </c>
      <c r="AH145">
        <v>10</v>
      </c>
      <c r="AI145">
        <v>9.6999999999999993</v>
      </c>
      <c r="AJ145">
        <v>10</v>
      </c>
      <c r="AK145">
        <v>11.5</v>
      </c>
      <c r="AL145">
        <v>10</v>
      </c>
      <c r="AM145">
        <v>12.9</v>
      </c>
      <c r="AN145">
        <v>9</v>
      </c>
      <c r="AO145">
        <v>10.199999999999999</v>
      </c>
      <c r="AP145">
        <v>10</v>
      </c>
      <c r="AQ145">
        <v>11.5</v>
      </c>
      <c r="AR145">
        <v>10</v>
      </c>
      <c r="AS145">
        <v>9</v>
      </c>
      <c r="AT145">
        <v>10</v>
      </c>
      <c r="AU145">
        <v>18.7</v>
      </c>
      <c r="AV145">
        <v>19</v>
      </c>
      <c r="AW145">
        <v>19.8</v>
      </c>
      <c r="AX145">
        <v>19</v>
      </c>
      <c r="AY145">
        <v>11</v>
      </c>
      <c r="AZ145">
        <v>10</v>
      </c>
      <c r="BA145">
        <v>11.2</v>
      </c>
      <c r="BB145">
        <v>10</v>
      </c>
    </row>
    <row r="146" spans="1:54" x14ac:dyDescent="0.35">
      <c r="A146" s="1">
        <v>46059.548611111109</v>
      </c>
      <c r="B146">
        <v>20.7</v>
      </c>
      <c r="C146">
        <v>3</v>
      </c>
      <c r="D146">
        <v>19.3</v>
      </c>
      <c r="E146">
        <v>2</v>
      </c>
      <c r="F146">
        <v>7.4</v>
      </c>
      <c r="G146">
        <v>10.7</v>
      </c>
      <c r="H146">
        <v>0</v>
      </c>
      <c r="I146">
        <v>14</v>
      </c>
      <c r="J146">
        <v>10.1</v>
      </c>
      <c r="K146">
        <v>0</v>
      </c>
      <c r="L146">
        <v>11.9</v>
      </c>
      <c r="M146">
        <v>15.2</v>
      </c>
      <c r="N146">
        <v>0</v>
      </c>
      <c r="O146">
        <v>12.6</v>
      </c>
      <c r="P146">
        <v>8.1999999999999993</v>
      </c>
      <c r="Q146">
        <v>0</v>
      </c>
      <c r="R146">
        <v>8.6999999999999993</v>
      </c>
      <c r="S146">
        <v>11.9</v>
      </c>
      <c r="T146">
        <v>0</v>
      </c>
      <c r="U146">
        <v>-14.5</v>
      </c>
      <c r="V146">
        <v>-15.3</v>
      </c>
      <c r="W146">
        <v>-22</v>
      </c>
      <c r="X146">
        <v>-17.399999999999999</v>
      </c>
      <c r="Y146">
        <v>-11.1</v>
      </c>
      <c r="Z146">
        <v>-22</v>
      </c>
      <c r="AA146">
        <v>22.6</v>
      </c>
      <c r="AB146">
        <v>11.4</v>
      </c>
      <c r="AC146">
        <v>40.5</v>
      </c>
      <c r="AD146">
        <v>8.3000000000000007</v>
      </c>
      <c r="AE146">
        <v>6.6</v>
      </c>
      <c r="AF146">
        <v>0</v>
      </c>
      <c r="AG146">
        <v>9.6999999999999993</v>
      </c>
      <c r="AH146">
        <v>10</v>
      </c>
      <c r="AI146">
        <v>10</v>
      </c>
      <c r="AJ146">
        <v>10</v>
      </c>
      <c r="AK146">
        <v>11.5</v>
      </c>
      <c r="AL146">
        <v>10</v>
      </c>
      <c r="AM146">
        <v>12.9</v>
      </c>
      <c r="AN146">
        <v>9</v>
      </c>
      <c r="AO146">
        <v>10.199999999999999</v>
      </c>
      <c r="AP146">
        <v>10</v>
      </c>
      <c r="AQ146">
        <v>11.6</v>
      </c>
      <c r="AR146">
        <v>10</v>
      </c>
      <c r="AS146">
        <v>9.5</v>
      </c>
      <c r="AT146">
        <v>10</v>
      </c>
      <c r="AU146">
        <v>18.7</v>
      </c>
      <c r="AV146">
        <v>19</v>
      </c>
      <c r="AW146">
        <v>19.8</v>
      </c>
      <c r="AX146">
        <v>19</v>
      </c>
      <c r="AY146">
        <v>11.3</v>
      </c>
      <c r="AZ146">
        <v>10</v>
      </c>
      <c r="BA146">
        <v>11.6</v>
      </c>
      <c r="BB146">
        <v>10</v>
      </c>
    </row>
    <row r="147" spans="1:54" x14ac:dyDescent="0.35">
      <c r="A147" s="1">
        <v>46059.549305555556</v>
      </c>
      <c r="B147">
        <v>20.7</v>
      </c>
      <c r="C147">
        <v>3</v>
      </c>
      <c r="D147">
        <v>19.3</v>
      </c>
      <c r="E147">
        <v>2</v>
      </c>
      <c r="F147">
        <v>7.4</v>
      </c>
      <c r="G147">
        <v>10.7</v>
      </c>
      <c r="H147">
        <v>0</v>
      </c>
      <c r="I147">
        <v>14</v>
      </c>
      <c r="J147">
        <v>10.1</v>
      </c>
      <c r="K147">
        <v>0</v>
      </c>
      <c r="L147">
        <v>11.9</v>
      </c>
      <c r="M147">
        <v>15.3</v>
      </c>
      <c r="N147">
        <v>0</v>
      </c>
      <c r="O147">
        <v>12.6</v>
      </c>
      <c r="P147">
        <v>8.1999999999999993</v>
      </c>
      <c r="Q147">
        <v>0</v>
      </c>
      <c r="R147">
        <v>8.8000000000000007</v>
      </c>
      <c r="S147">
        <v>11.9</v>
      </c>
      <c r="T147">
        <v>0</v>
      </c>
      <c r="U147">
        <v>-14.5</v>
      </c>
      <c r="V147">
        <v>-16.100000000000001</v>
      </c>
      <c r="W147">
        <v>-22</v>
      </c>
      <c r="X147">
        <v>-17.399999999999999</v>
      </c>
      <c r="Y147">
        <v>-7.4</v>
      </c>
      <c r="Z147">
        <v>-22</v>
      </c>
      <c r="AA147">
        <v>23.7</v>
      </c>
      <c r="AB147">
        <v>12.1</v>
      </c>
      <c r="AC147">
        <v>40.5</v>
      </c>
      <c r="AD147">
        <v>8.3000000000000007</v>
      </c>
      <c r="AE147">
        <v>6.7</v>
      </c>
      <c r="AF147">
        <v>0</v>
      </c>
      <c r="AG147">
        <v>10</v>
      </c>
      <c r="AH147">
        <v>10</v>
      </c>
      <c r="AI147">
        <v>10.199999999999999</v>
      </c>
      <c r="AJ147">
        <v>10</v>
      </c>
      <c r="AK147">
        <v>11.5</v>
      </c>
      <c r="AL147">
        <v>10</v>
      </c>
      <c r="AM147">
        <v>12.9</v>
      </c>
      <c r="AN147">
        <v>9</v>
      </c>
      <c r="AO147">
        <v>10</v>
      </c>
      <c r="AP147">
        <v>10</v>
      </c>
      <c r="AQ147">
        <v>11.6</v>
      </c>
      <c r="AR147">
        <v>10</v>
      </c>
      <c r="AS147">
        <v>10</v>
      </c>
      <c r="AT147">
        <v>10</v>
      </c>
      <c r="AU147">
        <v>18.7</v>
      </c>
      <c r="AV147">
        <v>19</v>
      </c>
      <c r="AW147">
        <v>19.7</v>
      </c>
      <c r="AX147">
        <v>19</v>
      </c>
      <c r="AY147">
        <v>11.5</v>
      </c>
      <c r="AZ147">
        <v>10</v>
      </c>
      <c r="BA147">
        <v>11.8</v>
      </c>
      <c r="BB147">
        <v>10</v>
      </c>
    </row>
    <row r="148" spans="1:54" x14ac:dyDescent="0.35">
      <c r="A148" s="1">
        <v>46059.55</v>
      </c>
      <c r="B148">
        <v>20.8</v>
      </c>
      <c r="C148">
        <v>3</v>
      </c>
      <c r="D148">
        <v>19.3</v>
      </c>
      <c r="E148">
        <v>2</v>
      </c>
      <c r="F148">
        <v>7.4</v>
      </c>
      <c r="G148">
        <v>10.7</v>
      </c>
      <c r="H148">
        <v>0</v>
      </c>
      <c r="I148">
        <v>14</v>
      </c>
      <c r="J148">
        <v>10.1</v>
      </c>
      <c r="K148">
        <v>0</v>
      </c>
      <c r="L148">
        <v>11.9</v>
      </c>
      <c r="M148">
        <v>15.3</v>
      </c>
      <c r="N148">
        <v>0</v>
      </c>
      <c r="O148">
        <v>12.6</v>
      </c>
      <c r="P148">
        <v>8.1999999999999993</v>
      </c>
      <c r="Q148">
        <v>0</v>
      </c>
      <c r="R148">
        <v>8.8000000000000007</v>
      </c>
      <c r="S148">
        <v>11.9</v>
      </c>
      <c r="T148">
        <v>0</v>
      </c>
      <c r="U148">
        <v>-14.8</v>
      </c>
      <c r="V148">
        <v>-16.600000000000001</v>
      </c>
      <c r="W148">
        <v>-22</v>
      </c>
      <c r="X148">
        <v>-17.399999999999999</v>
      </c>
      <c r="Y148">
        <v>-4.3</v>
      </c>
      <c r="Z148">
        <v>-22</v>
      </c>
      <c r="AA148">
        <v>23.2</v>
      </c>
      <c r="AB148">
        <v>12.7</v>
      </c>
      <c r="AC148">
        <v>40.5</v>
      </c>
      <c r="AD148">
        <v>8.3000000000000007</v>
      </c>
      <c r="AE148">
        <v>6.7</v>
      </c>
      <c r="AF148">
        <v>0</v>
      </c>
      <c r="AG148">
        <v>10.3</v>
      </c>
      <c r="AH148">
        <v>10</v>
      </c>
      <c r="AI148">
        <v>10.4</v>
      </c>
      <c r="AJ148">
        <v>10</v>
      </c>
      <c r="AK148">
        <v>11.6</v>
      </c>
      <c r="AL148">
        <v>10</v>
      </c>
      <c r="AM148">
        <v>12.8</v>
      </c>
      <c r="AN148">
        <v>9</v>
      </c>
      <c r="AO148">
        <v>10.6</v>
      </c>
      <c r="AP148">
        <v>10</v>
      </c>
      <c r="AQ148">
        <v>11.5</v>
      </c>
      <c r="AR148">
        <v>10</v>
      </c>
      <c r="AS148">
        <v>10.3</v>
      </c>
      <c r="AT148">
        <v>10</v>
      </c>
      <c r="AU148">
        <v>18.7</v>
      </c>
      <c r="AV148">
        <v>19</v>
      </c>
      <c r="AW148">
        <v>19.600000000000001</v>
      </c>
      <c r="AX148">
        <v>19</v>
      </c>
      <c r="AY148">
        <v>11.8</v>
      </c>
      <c r="AZ148">
        <v>10</v>
      </c>
      <c r="BA148">
        <v>12</v>
      </c>
      <c r="BB148">
        <v>10</v>
      </c>
    </row>
    <row r="149" spans="1:54" x14ac:dyDescent="0.35">
      <c r="A149" s="1">
        <v>46059.550694444442</v>
      </c>
      <c r="B149">
        <v>20.8</v>
      </c>
      <c r="C149">
        <v>3</v>
      </c>
      <c r="D149">
        <v>19.3</v>
      </c>
      <c r="E149">
        <v>2</v>
      </c>
      <c r="F149">
        <v>7.4</v>
      </c>
      <c r="G149">
        <v>10.7</v>
      </c>
      <c r="H149">
        <v>0</v>
      </c>
      <c r="I149">
        <v>14</v>
      </c>
      <c r="J149">
        <v>10.1</v>
      </c>
      <c r="K149">
        <v>0</v>
      </c>
      <c r="L149">
        <v>11.9</v>
      </c>
      <c r="M149">
        <v>15.3</v>
      </c>
      <c r="N149">
        <v>0</v>
      </c>
      <c r="O149">
        <v>12.6</v>
      </c>
      <c r="P149">
        <v>8.1999999999999993</v>
      </c>
      <c r="Q149">
        <v>0</v>
      </c>
      <c r="R149">
        <v>8.8000000000000007</v>
      </c>
      <c r="S149">
        <v>11.9</v>
      </c>
      <c r="T149">
        <v>0</v>
      </c>
      <c r="U149">
        <v>-15.1</v>
      </c>
      <c r="V149">
        <v>-17.100000000000001</v>
      </c>
      <c r="W149">
        <v>-22</v>
      </c>
      <c r="X149">
        <v>-17.399999999999999</v>
      </c>
      <c r="Y149">
        <v>-1.9</v>
      </c>
      <c r="Z149">
        <v>-22</v>
      </c>
      <c r="AA149">
        <v>22.7</v>
      </c>
      <c r="AB149">
        <v>13.3</v>
      </c>
      <c r="AC149">
        <v>40.5</v>
      </c>
      <c r="AD149">
        <v>8.3000000000000007</v>
      </c>
      <c r="AE149">
        <v>6.7</v>
      </c>
      <c r="AF149">
        <v>0</v>
      </c>
      <c r="AG149">
        <v>10.6</v>
      </c>
      <c r="AH149">
        <v>10</v>
      </c>
      <c r="AI149">
        <v>10.5</v>
      </c>
      <c r="AJ149">
        <v>10</v>
      </c>
      <c r="AK149">
        <v>11.7</v>
      </c>
      <c r="AL149">
        <v>10</v>
      </c>
      <c r="AM149">
        <v>12.8</v>
      </c>
      <c r="AN149">
        <v>9</v>
      </c>
      <c r="AO149">
        <v>11.3</v>
      </c>
      <c r="AP149">
        <v>10</v>
      </c>
      <c r="AQ149">
        <v>11.4</v>
      </c>
      <c r="AR149">
        <v>10</v>
      </c>
      <c r="AS149">
        <v>10.6</v>
      </c>
      <c r="AT149">
        <v>10</v>
      </c>
      <c r="AU149">
        <v>18.7</v>
      </c>
      <c r="AV149">
        <v>19</v>
      </c>
      <c r="AW149">
        <v>19.600000000000001</v>
      </c>
      <c r="AX149">
        <v>19</v>
      </c>
      <c r="AY149">
        <v>11.9</v>
      </c>
      <c r="AZ149">
        <v>10</v>
      </c>
      <c r="BA149">
        <v>11.7</v>
      </c>
      <c r="BB149">
        <v>10</v>
      </c>
    </row>
    <row r="150" spans="1:54" x14ac:dyDescent="0.35">
      <c r="A150" s="1">
        <v>46059.551388888889</v>
      </c>
      <c r="B150">
        <v>20.8</v>
      </c>
      <c r="C150">
        <v>3</v>
      </c>
      <c r="D150">
        <v>19.3</v>
      </c>
      <c r="E150">
        <v>2</v>
      </c>
      <c r="F150">
        <v>7.4</v>
      </c>
      <c r="G150">
        <v>10.7</v>
      </c>
      <c r="H150">
        <v>0</v>
      </c>
      <c r="I150">
        <v>14</v>
      </c>
      <c r="J150">
        <v>10.1</v>
      </c>
      <c r="K150">
        <v>0</v>
      </c>
      <c r="L150">
        <v>11.9</v>
      </c>
      <c r="M150">
        <v>15.3</v>
      </c>
      <c r="N150">
        <v>0</v>
      </c>
      <c r="O150">
        <v>12.6</v>
      </c>
      <c r="P150">
        <v>8.1999999999999993</v>
      </c>
      <c r="Q150">
        <v>0</v>
      </c>
      <c r="R150">
        <v>8.8000000000000007</v>
      </c>
      <c r="S150">
        <v>11.9</v>
      </c>
      <c r="T150">
        <v>0</v>
      </c>
      <c r="U150">
        <v>-15.4</v>
      </c>
      <c r="V150">
        <v>-17.600000000000001</v>
      </c>
      <c r="W150">
        <v>-22</v>
      </c>
      <c r="X150">
        <v>-17.399999999999999</v>
      </c>
      <c r="Y150">
        <v>-0.2</v>
      </c>
      <c r="Z150">
        <v>-22</v>
      </c>
      <c r="AA150">
        <v>22</v>
      </c>
      <c r="AB150">
        <v>14</v>
      </c>
      <c r="AC150">
        <v>40.5</v>
      </c>
      <c r="AD150">
        <v>8.3000000000000007</v>
      </c>
      <c r="AE150">
        <v>6.7</v>
      </c>
      <c r="AF150">
        <v>0</v>
      </c>
      <c r="AG150">
        <v>10.8</v>
      </c>
      <c r="AH150">
        <v>10</v>
      </c>
      <c r="AI150">
        <v>10.7</v>
      </c>
      <c r="AJ150">
        <v>10</v>
      </c>
      <c r="AK150">
        <v>11.7</v>
      </c>
      <c r="AL150">
        <v>10</v>
      </c>
      <c r="AM150">
        <v>12.8</v>
      </c>
      <c r="AN150">
        <v>9</v>
      </c>
      <c r="AO150">
        <v>11.8</v>
      </c>
      <c r="AP150">
        <v>10</v>
      </c>
      <c r="AQ150">
        <v>11.3</v>
      </c>
      <c r="AR150">
        <v>10</v>
      </c>
      <c r="AS150">
        <v>10.9</v>
      </c>
      <c r="AT150">
        <v>10</v>
      </c>
      <c r="AU150">
        <v>18.7</v>
      </c>
      <c r="AV150">
        <v>19</v>
      </c>
      <c r="AW150">
        <v>19.600000000000001</v>
      </c>
      <c r="AX150">
        <v>19</v>
      </c>
      <c r="AY150">
        <v>11.9</v>
      </c>
      <c r="AZ150">
        <v>10</v>
      </c>
      <c r="BA150">
        <v>10.9</v>
      </c>
      <c r="BB150">
        <v>10</v>
      </c>
    </row>
    <row r="151" spans="1:54" x14ac:dyDescent="0.35">
      <c r="A151" s="1">
        <v>46059.552083333336</v>
      </c>
      <c r="B151">
        <v>20.8</v>
      </c>
      <c r="C151">
        <v>3</v>
      </c>
      <c r="D151">
        <v>19.3</v>
      </c>
      <c r="E151">
        <v>2</v>
      </c>
      <c r="F151">
        <v>7.4</v>
      </c>
      <c r="G151">
        <v>10.7</v>
      </c>
      <c r="H151">
        <v>0</v>
      </c>
      <c r="I151">
        <v>14</v>
      </c>
      <c r="J151">
        <v>10.1</v>
      </c>
      <c r="K151">
        <v>0</v>
      </c>
      <c r="L151">
        <v>11.9</v>
      </c>
      <c r="M151">
        <v>15.3</v>
      </c>
      <c r="N151">
        <v>0</v>
      </c>
      <c r="O151">
        <v>12.6</v>
      </c>
      <c r="P151">
        <v>8.1999999999999993</v>
      </c>
      <c r="Q151">
        <v>0</v>
      </c>
      <c r="R151">
        <v>8.8000000000000007</v>
      </c>
      <c r="S151">
        <v>11.9</v>
      </c>
      <c r="T151">
        <v>0</v>
      </c>
      <c r="U151">
        <v>-15.7</v>
      </c>
      <c r="V151">
        <v>-17.600000000000001</v>
      </c>
      <c r="W151">
        <v>-22</v>
      </c>
      <c r="X151">
        <v>-17.399999999999999</v>
      </c>
      <c r="Y151">
        <v>0</v>
      </c>
      <c r="Z151">
        <v>-22</v>
      </c>
      <c r="AA151">
        <v>21.3</v>
      </c>
      <c r="AB151">
        <v>14.5</v>
      </c>
      <c r="AC151">
        <v>40.5</v>
      </c>
      <c r="AD151">
        <v>8.3000000000000007</v>
      </c>
      <c r="AE151">
        <v>6.7</v>
      </c>
      <c r="AF151">
        <v>0</v>
      </c>
      <c r="AG151">
        <v>11</v>
      </c>
      <c r="AH151">
        <v>10</v>
      </c>
      <c r="AI151">
        <v>10.8</v>
      </c>
      <c r="AJ151">
        <v>10</v>
      </c>
      <c r="AK151">
        <v>11.9</v>
      </c>
      <c r="AL151">
        <v>10</v>
      </c>
      <c r="AM151">
        <v>12.8</v>
      </c>
      <c r="AN151">
        <v>9</v>
      </c>
      <c r="AO151">
        <v>12</v>
      </c>
      <c r="AP151">
        <v>10</v>
      </c>
      <c r="AQ151">
        <v>11.1</v>
      </c>
      <c r="AR151">
        <v>10</v>
      </c>
      <c r="AS151">
        <v>11.1</v>
      </c>
      <c r="AT151">
        <v>10</v>
      </c>
      <c r="AU151">
        <v>18.7</v>
      </c>
      <c r="AV151">
        <v>19</v>
      </c>
      <c r="AW151">
        <v>19.8</v>
      </c>
      <c r="AX151">
        <v>19</v>
      </c>
      <c r="AY151">
        <v>10.9</v>
      </c>
      <c r="AZ151">
        <v>10</v>
      </c>
      <c r="BA151">
        <v>10.1</v>
      </c>
      <c r="BB151">
        <v>10</v>
      </c>
    </row>
    <row r="152" spans="1:54" x14ac:dyDescent="0.35">
      <c r="A152" s="1">
        <v>46059.552777777775</v>
      </c>
      <c r="B152">
        <v>20.8</v>
      </c>
      <c r="C152">
        <v>3</v>
      </c>
      <c r="D152">
        <v>19.3</v>
      </c>
      <c r="E152">
        <v>2</v>
      </c>
      <c r="F152">
        <v>7.4</v>
      </c>
      <c r="G152">
        <v>10.7</v>
      </c>
      <c r="H152">
        <v>0</v>
      </c>
      <c r="I152">
        <v>14</v>
      </c>
      <c r="J152">
        <v>10.1</v>
      </c>
      <c r="K152">
        <v>0</v>
      </c>
      <c r="L152">
        <v>11.9</v>
      </c>
      <c r="M152">
        <v>15.3</v>
      </c>
      <c r="N152">
        <v>0</v>
      </c>
      <c r="O152">
        <v>12.6</v>
      </c>
      <c r="P152">
        <v>8.1999999999999993</v>
      </c>
      <c r="Q152">
        <v>0</v>
      </c>
      <c r="R152">
        <v>8.8000000000000007</v>
      </c>
      <c r="S152">
        <v>11.9</v>
      </c>
      <c r="T152">
        <v>0</v>
      </c>
      <c r="U152">
        <v>-15.8</v>
      </c>
      <c r="V152">
        <v>-17.899999999999999</v>
      </c>
      <c r="W152">
        <v>-22</v>
      </c>
      <c r="X152">
        <v>-17.399999999999999</v>
      </c>
      <c r="Y152">
        <v>0.1</v>
      </c>
      <c r="Z152">
        <v>-22</v>
      </c>
      <c r="AA152">
        <v>20.8</v>
      </c>
      <c r="AB152">
        <v>14.8</v>
      </c>
      <c r="AC152">
        <v>40.5</v>
      </c>
      <c r="AD152">
        <v>8.3000000000000007</v>
      </c>
      <c r="AE152">
        <v>6.7</v>
      </c>
      <c r="AF152">
        <v>0</v>
      </c>
      <c r="AG152">
        <v>11.2</v>
      </c>
      <c r="AH152">
        <v>10</v>
      </c>
      <c r="AI152">
        <v>11</v>
      </c>
      <c r="AJ152">
        <v>10</v>
      </c>
      <c r="AK152">
        <v>12</v>
      </c>
      <c r="AL152">
        <v>10</v>
      </c>
      <c r="AM152">
        <v>12.8</v>
      </c>
      <c r="AN152">
        <v>9</v>
      </c>
      <c r="AO152">
        <v>11.7</v>
      </c>
      <c r="AP152">
        <v>10</v>
      </c>
      <c r="AQ152">
        <v>10.9</v>
      </c>
      <c r="AR152">
        <v>10</v>
      </c>
      <c r="AS152">
        <v>11.3</v>
      </c>
      <c r="AT152">
        <v>10</v>
      </c>
      <c r="AU152">
        <v>18.7</v>
      </c>
      <c r="AV152">
        <v>19</v>
      </c>
      <c r="AW152">
        <v>19.8</v>
      </c>
      <c r="AX152">
        <v>19</v>
      </c>
      <c r="AY152">
        <v>10.1</v>
      </c>
      <c r="AZ152">
        <v>10</v>
      </c>
      <c r="BA152">
        <v>9.6999999999999993</v>
      </c>
      <c r="BB152">
        <v>10</v>
      </c>
    </row>
    <row r="153" spans="1:54" x14ac:dyDescent="0.35">
      <c r="A153" s="1">
        <v>46059.553472222222</v>
      </c>
      <c r="B153">
        <v>20.8</v>
      </c>
      <c r="C153">
        <v>3</v>
      </c>
      <c r="D153">
        <v>19.3</v>
      </c>
      <c r="E153">
        <v>2</v>
      </c>
      <c r="F153">
        <v>7.4</v>
      </c>
      <c r="G153">
        <v>10.7</v>
      </c>
      <c r="H153">
        <v>0</v>
      </c>
      <c r="I153">
        <v>14</v>
      </c>
      <c r="J153">
        <v>10.1</v>
      </c>
      <c r="K153">
        <v>0</v>
      </c>
      <c r="L153">
        <v>11.9</v>
      </c>
      <c r="M153">
        <v>15.3</v>
      </c>
      <c r="N153">
        <v>0</v>
      </c>
      <c r="O153">
        <v>12.7</v>
      </c>
      <c r="P153">
        <v>8.1999999999999993</v>
      </c>
      <c r="Q153">
        <v>0</v>
      </c>
      <c r="R153">
        <v>8.8000000000000007</v>
      </c>
      <c r="S153">
        <v>11.9</v>
      </c>
      <c r="T153">
        <v>0</v>
      </c>
      <c r="U153">
        <v>-15.8</v>
      </c>
      <c r="V153">
        <v>-17.5</v>
      </c>
      <c r="W153">
        <v>-22</v>
      </c>
      <c r="X153">
        <v>-17.399999999999999</v>
      </c>
      <c r="Y153">
        <v>2.1</v>
      </c>
      <c r="Z153">
        <v>-22</v>
      </c>
      <c r="AA153">
        <v>20</v>
      </c>
      <c r="AB153">
        <v>15.1</v>
      </c>
      <c r="AC153">
        <v>40.5</v>
      </c>
      <c r="AD153">
        <v>8.3000000000000007</v>
      </c>
      <c r="AE153">
        <v>6.7</v>
      </c>
      <c r="AF153">
        <v>0</v>
      </c>
      <c r="AG153">
        <v>11.3</v>
      </c>
      <c r="AH153">
        <v>10</v>
      </c>
      <c r="AI153">
        <v>11.1</v>
      </c>
      <c r="AJ153">
        <v>10</v>
      </c>
      <c r="AK153">
        <v>11.3</v>
      </c>
      <c r="AL153">
        <v>10</v>
      </c>
      <c r="AM153">
        <v>12.8</v>
      </c>
      <c r="AN153">
        <v>9</v>
      </c>
      <c r="AO153">
        <v>10.6</v>
      </c>
      <c r="AP153">
        <v>10</v>
      </c>
      <c r="AQ153">
        <v>10.9</v>
      </c>
      <c r="AR153">
        <v>10</v>
      </c>
      <c r="AS153">
        <v>11.5</v>
      </c>
      <c r="AT153">
        <v>10</v>
      </c>
      <c r="AU153">
        <v>18.7</v>
      </c>
      <c r="AV153">
        <v>19</v>
      </c>
      <c r="AW153">
        <v>19.8</v>
      </c>
      <c r="AX153">
        <v>19</v>
      </c>
      <c r="AY153">
        <v>9.6999999999999993</v>
      </c>
      <c r="AZ153">
        <v>10</v>
      </c>
      <c r="BA153">
        <v>9.8000000000000007</v>
      </c>
      <c r="BB153">
        <v>10</v>
      </c>
    </row>
    <row r="154" spans="1:54" x14ac:dyDescent="0.35">
      <c r="A154" s="1">
        <v>46059.554166666669</v>
      </c>
      <c r="B154">
        <v>20.8</v>
      </c>
      <c r="C154">
        <v>3</v>
      </c>
      <c r="D154">
        <v>19.3</v>
      </c>
      <c r="E154">
        <v>2</v>
      </c>
      <c r="F154">
        <v>7.4</v>
      </c>
      <c r="G154">
        <v>10.7</v>
      </c>
      <c r="H154">
        <v>0</v>
      </c>
      <c r="I154">
        <v>14</v>
      </c>
      <c r="J154">
        <v>10.1</v>
      </c>
      <c r="K154">
        <v>0</v>
      </c>
      <c r="L154">
        <v>11.9</v>
      </c>
      <c r="M154">
        <v>15.3</v>
      </c>
      <c r="N154">
        <v>0</v>
      </c>
      <c r="O154">
        <v>12.7</v>
      </c>
      <c r="P154">
        <v>8.1999999999999993</v>
      </c>
      <c r="Q154">
        <v>0</v>
      </c>
      <c r="R154">
        <v>8.8000000000000007</v>
      </c>
      <c r="S154">
        <v>11.9</v>
      </c>
      <c r="T154">
        <v>0</v>
      </c>
      <c r="U154">
        <v>-15.7</v>
      </c>
      <c r="V154">
        <v>-17.3</v>
      </c>
      <c r="W154">
        <v>-22</v>
      </c>
      <c r="X154">
        <v>-17.399999999999999</v>
      </c>
      <c r="Y154">
        <v>5.5</v>
      </c>
      <c r="Z154">
        <v>-22</v>
      </c>
      <c r="AA154">
        <v>19.5</v>
      </c>
      <c r="AB154">
        <v>15.3</v>
      </c>
      <c r="AC154">
        <v>40.5</v>
      </c>
      <c r="AD154">
        <v>8.3000000000000007</v>
      </c>
      <c r="AE154">
        <v>6.7</v>
      </c>
      <c r="AF154">
        <v>0</v>
      </c>
      <c r="AG154">
        <v>11.5</v>
      </c>
      <c r="AH154">
        <v>10</v>
      </c>
      <c r="AI154">
        <v>11.2</v>
      </c>
      <c r="AJ154">
        <v>10</v>
      </c>
      <c r="AK154">
        <v>9.9</v>
      </c>
      <c r="AL154">
        <v>10</v>
      </c>
      <c r="AM154">
        <v>12.8</v>
      </c>
      <c r="AN154">
        <v>9</v>
      </c>
      <c r="AO154">
        <v>10.199999999999999</v>
      </c>
      <c r="AP154">
        <v>10</v>
      </c>
      <c r="AQ154">
        <v>10.9</v>
      </c>
      <c r="AR154">
        <v>10</v>
      </c>
      <c r="AS154">
        <v>11.7</v>
      </c>
      <c r="AT154">
        <v>10</v>
      </c>
      <c r="AU154">
        <v>18.7</v>
      </c>
      <c r="AV154">
        <v>19</v>
      </c>
      <c r="AW154">
        <v>19.7</v>
      </c>
      <c r="AX154">
        <v>19</v>
      </c>
      <c r="AY154">
        <v>9.9</v>
      </c>
      <c r="AZ154">
        <v>10</v>
      </c>
      <c r="BA154">
        <v>10.3</v>
      </c>
      <c r="BB154">
        <v>10</v>
      </c>
    </row>
    <row r="155" spans="1:54" x14ac:dyDescent="0.35">
      <c r="A155" s="1">
        <v>46059.554861111108</v>
      </c>
      <c r="B155">
        <v>20.8</v>
      </c>
      <c r="C155">
        <v>3</v>
      </c>
      <c r="D155">
        <v>19.3</v>
      </c>
      <c r="E155">
        <v>2</v>
      </c>
      <c r="F155">
        <v>7.4</v>
      </c>
      <c r="G155">
        <v>10.7</v>
      </c>
      <c r="H155">
        <v>0</v>
      </c>
      <c r="I155">
        <v>14</v>
      </c>
      <c r="J155">
        <v>10.1</v>
      </c>
      <c r="K155">
        <v>0</v>
      </c>
      <c r="L155">
        <v>12</v>
      </c>
      <c r="M155">
        <v>15.3</v>
      </c>
      <c r="N155">
        <v>0</v>
      </c>
      <c r="O155">
        <v>12.7</v>
      </c>
      <c r="P155">
        <v>8.3000000000000007</v>
      </c>
      <c r="Q155">
        <v>0</v>
      </c>
      <c r="R155">
        <v>8.8000000000000007</v>
      </c>
      <c r="S155">
        <v>11.9</v>
      </c>
      <c r="T155">
        <v>0</v>
      </c>
      <c r="U155">
        <v>-15.4</v>
      </c>
      <c r="V155">
        <v>-17.100000000000001</v>
      </c>
      <c r="W155">
        <v>-22</v>
      </c>
      <c r="X155">
        <v>-17.399999999999999</v>
      </c>
      <c r="Y155">
        <v>11.1</v>
      </c>
      <c r="Z155">
        <v>-22</v>
      </c>
      <c r="AA155">
        <v>19</v>
      </c>
      <c r="AB155">
        <v>15.6</v>
      </c>
      <c r="AC155">
        <v>40.5</v>
      </c>
      <c r="AD155">
        <v>8.3000000000000007</v>
      </c>
      <c r="AE155">
        <v>6.7</v>
      </c>
      <c r="AF155">
        <v>0</v>
      </c>
      <c r="AG155">
        <v>11.6</v>
      </c>
      <c r="AH155">
        <v>10</v>
      </c>
      <c r="AI155">
        <v>11.3</v>
      </c>
      <c r="AJ155">
        <v>10</v>
      </c>
      <c r="AK155">
        <v>9.4</v>
      </c>
      <c r="AL155">
        <v>10</v>
      </c>
      <c r="AM155">
        <v>12.8</v>
      </c>
      <c r="AN155">
        <v>9</v>
      </c>
      <c r="AO155">
        <v>10</v>
      </c>
      <c r="AP155">
        <v>10</v>
      </c>
      <c r="AQ155">
        <v>11</v>
      </c>
      <c r="AR155">
        <v>10</v>
      </c>
      <c r="AS155">
        <v>11.9</v>
      </c>
      <c r="AT155">
        <v>10</v>
      </c>
      <c r="AU155">
        <v>18.7</v>
      </c>
      <c r="AV155">
        <v>19</v>
      </c>
      <c r="AW155">
        <v>19.600000000000001</v>
      </c>
      <c r="AX155">
        <v>19</v>
      </c>
      <c r="AY155">
        <v>10.3</v>
      </c>
      <c r="AZ155">
        <v>10</v>
      </c>
      <c r="BA155">
        <v>10.7</v>
      </c>
      <c r="BB155">
        <v>10</v>
      </c>
    </row>
    <row r="156" spans="1:54" x14ac:dyDescent="0.35">
      <c r="A156" s="1">
        <v>46059.555555555555</v>
      </c>
      <c r="B156">
        <v>20.8</v>
      </c>
      <c r="C156">
        <v>3</v>
      </c>
      <c r="D156">
        <v>19.399999999999999</v>
      </c>
      <c r="E156">
        <v>2</v>
      </c>
      <c r="F156">
        <v>7.4</v>
      </c>
      <c r="G156">
        <v>10.8</v>
      </c>
      <c r="H156">
        <v>0</v>
      </c>
      <c r="I156">
        <v>14</v>
      </c>
      <c r="J156">
        <v>10.1</v>
      </c>
      <c r="K156">
        <v>0</v>
      </c>
      <c r="L156">
        <v>12</v>
      </c>
      <c r="M156">
        <v>15.3</v>
      </c>
      <c r="N156">
        <v>0</v>
      </c>
      <c r="O156">
        <v>12.7</v>
      </c>
      <c r="P156">
        <v>8.3000000000000007</v>
      </c>
      <c r="Q156">
        <v>0</v>
      </c>
      <c r="R156">
        <v>8.8000000000000007</v>
      </c>
      <c r="S156">
        <v>11.9</v>
      </c>
      <c r="T156">
        <v>0</v>
      </c>
      <c r="U156">
        <v>-15.2</v>
      </c>
      <c r="V156">
        <v>-16.899999999999999</v>
      </c>
      <c r="W156">
        <v>-22</v>
      </c>
      <c r="X156">
        <v>-17.399999999999999</v>
      </c>
      <c r="Y156">
        <v>13.7</v>
      </c>
      <c r="Z156">
        <v>-22</v>
      </c>
      <c r="AA156">
        <v>18.7</v>
      </c>
      <c r="AB156">
        <v>15.8</v>
      </c>
      <c r="AC156">
        <v>40.5</v>
      </c>
      <c r="AD156">
        <v>8.3000000000000007</v>
      </c>
      <c r="AE156">
        <v>6.7</v>
      </c>
      <c r="AF156">
        <v>0</v>
      </c>
      <c r="AG156">
        <v>11.7</v>
      </c>
      <c r="AH156">
        <v>10</v>
      </c>
      <c r="AI156">
        <v>11.4</v>
      </c>
      <c r="AJ156">
        <v>10</v>
      </c>
      <c r="AK156">
        <v>9.6999999999999993</v>
      </c>
      <c r="AL156">
        <v>10</v>
      </c>
      <c r="AM156">
        <v>12.7</v>
      </c>
      <c r="AN156">
        <v>9</v>
      </c>
      <c r="AO156">
        <v>10.7</v>
      </c>
      <c r="AP156">
        <v>10</v>
      </c>
      <c r="AQ156">
        <v>11</v>
      </c>
      <c r="AR156">
        <v>10</v>
      </c>
      <c r="AS156">
        <v>11.4</v>
      </c>
      <c r="AT156">
        <v>10</v>
      </c>
      <c r="AU156">
        <v>18.7</v>
      </c>
      <c r="AV156">
        <v>19</v>
      </c>
      <c r="AW156">
        <v>19.600000000000001</v>
      </c>
      <c r="AX156">
        <v>19</v>
      </c>
      <c r="AY156">
        <v>10.6</v>
      </c>
      <c r="AZ156">
        <v>10</v>
      </c>
      <c r="BA156">
        <v>11</v>
      </c>
      <c r="BB156">
        <v>10</v>
      </c>
    </row>
    <row r="157" spans="1:54" x14ac:dyDescent="0.35">
      <c r="A157" s="1">
        <v>46059.556250000001</v>
      </c>
      <c r="B157">
        <v>20.8</v>
      </c>
      <c r="C157">
        <v>3</v>
      </c>
      <c r="D157">
        <v>19.399999999999999</v>
      </c>
      <c r="E157">
        <v>2</v>
      </c>
      <c r="F157">
        <v>7.4</v>
      </c>
      <c r="G157">
        <v>10.8</v>
      </c>
      <c r="H157">
        <v>0</v>
      </c>
      <c r="I157">
        <v>14</v>
      </c>
      <c r="J157">
        <v>10.1</v>
      </c>
      <c r="K157">
        <v>0</v>
      </c>
      <c r="L157">
        <v>12</v>
      </c>
      <c r="M157">
        <v>15.3</v>
      </c>
      <c r="N157">
        <v>0</v>
      </c>
      <c r="O157">
        <v>12.7</v>
      </c>
      <c r="P157">
        <v>8.3000000000000007</v>
      </c>
      <c r="Q157">
        <v>0</v>
      </c>
      <c r="R157">
        <v>8.8000000000000007</v>
      </c>
      <c r="S157">
        <v>11.9</v>
      </c>
      <c r="T157">
        <v>0</v>
      </c>
      <c r="U157">
        <v>-14.9</v>
      </c>
      <c r="V157">
        <v>-16.7</v>
      </c>
      <c r="W157">
        <v>-22</v>
      </c>
      <c r="X157">
        <v>-17.399999999999999</v>
      </c>
      <c r="Y157">
        <v>15.1</v>
      </c>
      <c r="Z157">
        <v>-22</v>
      </c>
      <c r="AA157">
        <v>18.5</v>
      </c>
      <c r="AB157">
        <v>15.9</v>
      </c>
      <c r="AC157">
        <v>40.5</v>
      </c>
      <c r="AD157">
        <v>8.3000000000000007</v>
      </c>
      <c r="AE157">
        <v>6.7</v>
      </c>
      <c r="AF157">
        <v>0</v>
      </c>
      <c r="AG157">
        <v>11.8</v>
      </c>
      <c r="AH157">
        <v>10</v>
      </c>
      <c r="AI157">
        <v>11.5</v>
      </c>
      <c r="AJ157">
        <v>10</v>
      </c>
      <c r="AK157">
        <v>10.1</v>
      </c>
      <c r="AL157">
        <v>10</v>
      </c>
      <c r="AM157">
        <v>12.7</v>
      </c>
      <c r="AN157">
        <v>9</v>
      </c>
      <c r="AO157">
        <v>11.4</v>
      </c>
      <c r="AP157">
        <v>10</v>
      </c>
      <c r="AQ157">
        <v>11</v>
      </c>
      <c r="AR157">
        <v>10</v>
      </c>
      <c r="AS157">
        <v>9.1</v>
      </c>
      <c r="AT157">
        <v>10</v>
      </c>
      <c r="AU157">
        <v>18.7</v>
      </c>
      <c r="AV157">
        <v>19</v>
      </c>
      <c r="AW157">
        <v>19.5</v>
      </c>
      <c r="AX157">
        <v>19</v>
      </c>
      <c r="AY157">
        <v>11</v>
      </c>
      <c r="AZ157">
        <v>10</v>
      </c>
      <c r="BA157">
        <v>11.4</v>
      </c>
      <c r="BB157">
        <v>10</v>
      </c>
    </row>
    <row r="158" spans="1:54" x14ac:dyDescent="0.35">
      <c r="A158" s="1">
        <v>46059.556944444441</v>
      </c>
      <c r="B158">
        <v>20.8</v>
      </c>
      <c r="C158">
        <v>3</v>
      </c>
      <c r="D158">
        <v>19.399999999999999</v>
      </c>
      <c r="E158">
        <v>2</v>
      </c>
      <c r="F158">
        <v>7.4</v>
      </c>
      <c r="G158">
        <v>10.8</v>
      </c>
      <c r="H158">
        <v>0</v>
      </c>
      <c r="I158">
        <v>14</v>
      </c>
      <c r="J158">
        <v>10.1</v>
      </c>
      <c r="K158">
        <v>0</v>
      </c>
      <c r="L158">
        <v>12</v>
      </c>
      <c r="M158">
        <v>15.3</v>
      </c>
      <c r="N158">
        <v>0</v>
      </c>
      <c r="O158">
        <v>12.7</v>
      </c>
      <c r="P158">
        <v>8.3000000000000007</v>
      </c>
      <c r="Q158">
        <v>0</v>
      </c>
      <c r="R158">
        <v>8.8000000000000007</v>
      </c>
      <c r="S158">
        <v>12</v>
      </c>
      <c r="T158">
        <v>0</v>
      </c>
      <c r="U158">
        <v>-14.5</v>
      </c>
      <c r="V158">
        <v>-16.2</v>
      </c>
      <c r="W158">
        <v>-22</v>
      </c>
      <c r="X158">
        <v>-17.399999999999999</v>
      </c>
      <c r="Y158">
        <v>15.8</v>
      </c>
      <c r="Z158">
        <v>-22</v>
      </c>
      <c r="AA158">
        <v>18.399999999999999</v>
      </c>
      <c r="AB158">
        <v>16.100000000000001</v>
      </c>
      <c r="AC158">
        <v>40.5</v>
      </c>
      <c r="AD158">
        <v>8.3000000000000007</v>
      </c>
      <c r="AE158">
        <v>6.7</v>
      </c>
      <c r="AF158">
        <v>0</v>
      </c>
      <c r="AG158">
        <v>11.9</v>
      </c>
      <c r="AH158">
        <v>10</v>
      </c>
      <c r="AI158">
        <v>11.6</v>
      </c>
      <c r="AJ158">
        <v>10</v>
      </c>
      <c r="AK158">
        <v>10.5</v>
      </c>
      <c r="AL158">
        <v>10</v>
      </c>
      <c r="AM158">
        <v>12.7</v>
      </c>
      <c r="AN158">
        <v>9</v>
      </c>
      <c r="AO158">
        <v>11.8</v>
      </c>
      <c r="AP158">
        <v>10</v>
      </c>
      <c r="AQ158">
        <v>10.8</v>
      </c>
      <c r="AR158">
        <v>10</v>
      </c>
      <c r="AS158">
        <v>8.3000000000000007</v>
      </c>
      <c r="AT158">
        <v>10</v>
      </c>
      <c r="AU158">
        <v>18.600000000000001</v>
      </c>
      <c r="AV158">
        <v>19</v>
      </c>
      <c r="AW158">
        <v>19.5</v>
      </c>
      <c r="AX158">
        <v>19</v>
      </c>
      <c r="AY158">
        <v>11.2</v>
      </c>
      <c r="AZ158">
        <v>10</v>
      </c>
      <c r="BA158">
        <v>11.6</v>
      </c>
      <c r="BB158">
        <v>10</v>
      </c>
    </row>
    <row r="159" spans="1:54" x14ac:dyDescent="0.35">
      <c r="A159" s="1">
        <v>46059.557638888888</v>
      </c>
      <c r="B159">
        <v>20.8</v>
      </c>
      <c r="C159">
        <v>3</v>
      </c>
      <c r="D159">
        <v>19.399999999999999</v>
      </c>
      <c r="E159">
        <v>2</v>
      </c>
      <c r="F159">
        <v>7.4</v>
      </c>
      <c r="G159">
        <v>10.8</v>
      </c>
      <c r="H159">
        <v>0</v>
      </c>
      <c r="I159">
        <v>14</v>
      </c>
      <c r="J159">
        <v>10.199999999999999</v>
      </c>
      <c r="K159">
        <v>0</v>
      </c>
      <c r="L159">
        <v>12</v>
      </c>
      <c r="M159">
        <v>15.3</v>
      </c>
      <c r="N159">
        <v>0</v>
      </c>
      <c r="O159">
        <v>12.7</v>
      </c>
      <c r="P159">
        <v>8.3000000000000007</v>
      </c>
      <c r="Q159">
        <v>0</v>
      </c>
      <c r="R159">
        <v>8.8000000000000007</v>
      </c>
      <c r="S159">
        <v>12</v>
      </c>
      <c r="T159">
        <v>0</v>
      </c>
      <c r="U159">
        <v>-14.2</v>
      </c>
      <c r="V159">
        <v>-16.399999999999999</v>
      </c>
      <c r="W159">
        <v>-22</v>
      </c>
      <c r="X159">
        <v>-17.399999999999999</v>
      </c>
      <c r="Y159">
        <v>16.600000000000001</v>
      </c>
      <c r="Z159">
        <v>-22</v>
      </c>
      <c r="AA159">
        <v>18.2</v>
      </c>
      <c r="AB159">
        <v>16.2</v>
      </c>
      <c r="AC159">
        <v>40.5</v>
      </c>
      <c r="AD159">
        <v>8.3000000000000007</v>
      </c>
      <c r="AE159">
        <v>6.7</v>
      </c>
      <c r="AF159">
        <v>0</v>
      </c>
      <c r="AG159">
        <v>11.9</v>
      </c>
      <c r="AH159">
        <v>10</v>
      </c>
      <c r="AI159">
        <v>11.7</v>
      </c>
      <c r="AJ159">
        <v>10</v>
      </c>
      <c r="AK159">
        <v>10.8</v>
      </c>
      <c r="AL159">
        <v>10</v>
      </c>
      <c r="AM159">
        <v>12.7</v>
      </c>
      <c r="AN159">
        <v>9</v>
      </c>
      <c r="AO159">
        <v>12</v>
      </c>
      <c r="AP159">
        <v>10</v>
      </c>
      <c r="AQ159">
        <v>10.8</v>
      </c>
      <c r="AR159">
        <v>10</v>
      </c>
      <c r="AS159">
        <v>8.5</v>
      </c>
      <c r="AT159">
        <v>10</v>
      </c>
      <c r="AU159">
        <v>18.600000000000001</v>
      </c>
      <c r="AV159">
        <v>19</v>
      </c>
      <c r="AW159">
        <v>19.5</v>
      </c>
      <c r="AX159">
        <v>19</v>
      </c>
      <c r="AY159">
        <v>11.5</v>
      </c>
      <c r="AZ159">
        <v>10</v>
      </c>
      <c r="BA159">
        <v>11.8</v>
      </c>
      <c r="BB159">
        <v>10</v>
      </c>
    </row>
    <row r="160" spans="1:54" x14ac:dyDescent="0.35">
      <c r="A160" s="1">
        <v>46059.558333333334</v>
      </c>
      <c r="B160">
        <v>20.8</v>
      </c>
      <c r="C160">
        <v>3</v>
      </c>
      <c r="D160">
        <v>19.399999999999999</v>
      </c>
      <c r="E160">
        <v>2</v>
      </c>
      <c r="F160">
        <v>7.4</v>
      </c>
      <c r="G160">
        <v>10.8</v>
      </c>
      <c r="H160">
        <v>0</v>
      </c>
      <c r="I160">
        <v>14</v>
      </c>
      <c r="J160">
        <v>10.199999999999999</v>
      </c>
      <c r="K160">
        <v>0</v>
      </c>
      <c r="L160">
        <v>12</v>
      </c>
      <c r="M160">
        <v>15.3</v>
      </c>
      <c r="N160">
        <v>0</v>
      </c>
      <c r="O160">
        <v>12.7</v>
      </c>
      <c r="P160">
        <v>8.3000000000000007</v>
      </c>
      <c r="Q160">
        <v>0</v>
      </c>
      <c r="R160">
        <v>8.8000000000000007</v>
      </c>
      <c r="S160">
        <v>12</v>
      </c>
      <c r="T160">
        <v>0</v>
      </c>
      <c r="U160">
        <v>-14.1</v>
      </c>
      <c r="V160">
        <v>-15.9</v>
      </c>
      <c r="W160">
        <v>-22</v>
      </c>
      <c r="X160">
        <v>-17.399999999999999</v>
      </c>
      <c r="Y160">
        <v>16.3</v>
      </c>
      <c r="Z160">
        <v>-22</v>
      </c>
      <c r="AA160">
        <v>18.100000000000001</v>
      </c>
      <c r="AB160">
        <v>16.3</v>
      </c>
      <c r="AC160">
        <v>40.5</v>
      </c>
      <c r="AD160">
        <v>8.3000000000000007</v>
      </c>
      <c r="AE160">
        <v>6.7</v>
      </c>
      <c r="AF160">
        <v>0</v>
      </c>
      <c r="AG160">
        <v>11.9</v>
      </c>
      <c r="AH160">
        <v>10</v>
      </c>
      <c r="AI160">
        <v>11.8</v>
      </c>
      <c r="AJ160">
        <v>10</v>
      </c>
      <c r="AK160">
        <v>10.9</v>
      </c>
      <c r="AL160">
        <v>10</v>
      </c>
      <c r="AM160">
        <v>12.7</v>
      </c>
      <c r="AN160">
        <v>9</v>
      </c>
      <c r="AO160">
        <v>11.7</v>
      </c>
      <c r="AP160">
        <v>10</v>
      </c>
      <c r="AQ160">
        <v>10.7</v>
      </c>
      <c r="AR160">
        <v>10</v>
      </c>
      <c r="AS160">
        <v>9.1</v>
      </c>
      <c r="AT160">
        <v>10</v>
      </c>
      <c r="AU160">
        <v>18.600000000000001</v>
      </c>
      <c r="AV160">
        <v>19</v>
      </c>
      <c r="AW160">
        <v>19.5</v>
      </c>
      <c r="AX160">
        <v>19</v>
      </c>
      <c r="AY160">
        <v>11.7</v>
      </c>
      <c r="AZ160">
        <v>10</v>
      </c>
      <c r="BA160">
        <v>12</v>
      </c>
      <c r="BB160">
        <v>10</v>
      </c>
    </row>
    <row r="161" spans="1:54" x14ac:dyDescent="0.35">
      <c r="A161" s="1">
        <v>46059.559027777781</v>
      </c>
      <c r="B161">
        <v>20.8</v>
      </c>
      <c r="C161">
        <v>3</v>
      </c>
      <c r="D161">
        <v>19.399999999999999</v>
      </c>
      <c r="E161">
        <v>2</v>
      </c>
      <c r="F161">
        <v>7.4</v>
      </c>
      <c r="G161">
        <v>10.8</v>
      </c>
      <c r="H161">
        <v>0</v>
      </c>
      <c r="I161">
        <v>14</v>
      </c>
      <c r="J161">
        <v>10.199999999999999</v>
      </c>
      <c r="K161">
        <v>0</v>
      </c>
      <c r="L161">
        <v>12</v>
      </c>
      <c r="M161">
        <v>15.3</v>
      </c>
      <c r="N161">
        <v>0</v>
      </c>
      <c r="O161">
        <v>12.7</v>
      </c>
      <c r="P161">
        <v>8.3000000000000007</v>
      </c>
      <c r="Q161">
        <v>0</v>
      </c>
      <c r="R161">
        <v>8.8000000000000007</v>
      </c>
      <c r="S161">
        <v>12</v>
      </c>
      <c r="T161">
        <v>0</v>
      </c>
      <c r="U161">
        <v>-13.7</v>
      </c>
      <c r="V161">
        <v>-16</v>
      </c>
      <c r="W161">
        <v>-22</v>
      </c>
      <c r="X161">
        <v>-17.399999999999999</v>
      </c>
      <c r="Y161">
        <v>16.7</v>
      </c>
      <c r="Z161">
        <v>-22</v>
      </c>
      <c r="AA161">
        <v>17.899999999999999</v>
      </c>
      <c r="AB161">
        <v>16.399999999999999</v>
      </c>
      <c r="AC161">
        <v>40.5</v>
      </c>
      <c r="AD161">
        <v>8.3000000000000007</v>
      </c>
      <c r="AE161">
        <v>6.7</v>
      </c>
      <c r="AF161">
        <v>0</v>
      </c>
      <c r="AG161">
        <v>11.2</v>
      </c>
      <c r="AH161">
        <v>10</v>
      </c>
      <c r="AI161">
        <v>11.9</v>
      </c>
      <c r="AJ161">
        <v>10</v>
      </c>
      <c r="AK161">
        <v>11.1</v>
      </c>
      <c r="AL161">
        <v>10</v>
      </c>
      <c r="AM161">
        <v>12.7</v>
      </c>
      <c r="AN161">
        <v>9</v>
      </c>
      <c r="AO161">
        <v>10.7</v>
      </c>
      <c r="AP161">
        <v>10</v>
      </c>
      <c r="AQ161">
        <v>10.6</v>
      </c>
      <c r="AR161">
        <v>10</v>
      </c>
      <c r="AS161">
        <v>9.6</v>
      </c>
      <c r="AT161">
        <v>10</v>
      </c>
      <c r="AU161">
        <v>18.600000000000001</v>
      </c>
      <c r="AV161">
        <v>19</v>
      </c>
      <c r="AW161">
        <v>19.399999999999999</v>
      </c>
      <c r="AX161">
        <v>19</v>
      </c>
      <c r="AY161">
        <v>11.9</v>
      </c>
      <c r="AZ161">
        <v>10</v>
      </c>
      <c r="BA161">
        <v>11.5</v>
      </c>
      <c r="BB161">
        <v>10</v>
      </c>
    </row>
    <row r="162" spans="1:54" x14ac:dyDescent="0.35">
      <c r="A162" s="1">
        <v>46059.55972222222</v>
      </c>
      <c r="B162">
        <v>20.8</v>
      </c>
      <c r="C162">
        <v>3</v>
      </c>
      <c r="D162">
        <v>19.399999999999999</v>
      </c>
      <c r="E162">
        <v>2</v>
      </c>
      <c r="F162">
        <v>7.4</v>
      </c>
      <c r="G162">
        <v>10.8</v>
      </c>
      <c r="H162">
        <v>0</v>
      </c>
      <c r="I162">
        <v>14</v>
      </c>
      <c r="J162">
        <v>10.199999999999999</v>
      </c>
      <c r="K162">
        <v>0</v>
      </c>
      <c r="L162">
        <v>12</v>
      </c>
      <c r="M162">
        <v>15.3</v>
      </c>
      <c r="N162">
        <v>0</v>
      </c>
      <c r="O162">
        <v>12.7</v>
      </c>
      <c r="P162">
        <v>8.3000000000000007</v>
      </c>
      <c r="Q162">
        <v>0</v>
      </c>
      <c r="R162">
        <v>8.8000000000000007</v>
      </c>
      <c r="S162">
        <v>12</v>
      </c>
      <c r="T162">
        <v>0</v>
      </c>
      <c r="U162">
        <v>-13.5</v>
      </c>
      <c r="V162">
        <v>-15.4</v>
      </c>
      <c r="W162">
        <v>-22</v>
      </c>
      <c r="X162">
        <v>-17.399999999999999</v>
      </c>
      <c r="Y162">
        <v>17.5</v>
      </c>
      <c r="Z162">
        <v>-22</v>
      </c>
      <c r="AA162">
        <v>17.8</v>
      </c>
      <c r="AB162">
        <v>16.399999999999999</v>
      </c>
      <c r="AC162">
        <v>40.5</v>
      </c>
      <c r="AD162">
        <v>8.3000000000000007</v>
      </c>
      <c r="AE162">
        <v>6.7</v>
      </c>
      <c r="AF162">
        <v>0</v>
      </c>
      <c r="AG162">
        <v>10.4</v>
      </c>
      <c r="AH162">
        <v>10</v>
      </c>
      <c r="AI162">
        <v>11.9</v>
      </c>
      <c r="AJ162">
        <v>10</v>
      </c>
      <c r="AK162">
        <v>11.1</v>
      </c>
      <c r="AL162">
        <v>10</v>
      </c>
      <c r="AM162">
        <v>12.7</v>
      </c>
      <c r="AN162">
        <v>9</v>
      </c>
      <c r="AO162">
        <v>10.4</v>
      </c>
      <c r="AP162">
        <v>10</v>
      </c>
      <c r="AQ162">
        <v>10.7</v>
      </c>
      <c r="AR162">
        <v>10</v>
      </c>
      <c r="AS162">
        <v>10.1</v>
      </c>
      <c r="AT162">
        <v>10</v>
      </c>
      <c r="AU162">
        <v>18.600000000000001</v>
      </c>
      <c r="AV162">
        <v>19</v>
      </c>
      <c r="AW162">
        <v>19.399999999999999</v>
      </c>
      <c r="AX162">
        <v>19</v>
      </c>
      <c r="AY162">
        <v>12</v>
      </c>
      <c r="AZ162">
        <v>10</v>
      </c>
      <c r="BA162">
        <v>10.7</v>
      </c>
      <c r="BB162">
        <v>10</v>
      </c>
    </row>
    <row r="163" spans="1:54" x14ac:dyDescent="0.35">
      <c r="A163" s="1">
        <v>46059.560416666667</v>
      </c>
      <c r="B163">
        <v>20.8</v>
      </c>
      <c r="C163">
        <v>3</v>
      </c>
      <c r="D163">
        <v>19.399999999999999</v>
      </c>
      <c r="E163">
        <v>2</v>
      </c>
      <c r="F163">
        <v>7.4</v>
      </c>
      <c r="G163">
        <v>10.8</v>
      </c>
      <c r="H163">
        <v>0</v>
      </c>
      <c r="I163">
        <v>14</v>
      </c>
      <c r="J163">
        <v>10.199999999999999</v>
      </c>
      <c r="K163">
        <v>0</v>
      </c>
      <c r="L163">
        <v>12</v>
      </c>
      <c r="M163">
        <v>15.3</v>
      </c>
      <c r="N163">
        <v>0</v>
      </c>
      <c r="O163">
        <v>12.7</v>
      </c>
      <c r="P163">
        <v>8.3000000000000007</v>
      </c>
      <c r="Q163">
        <v>0</v>
      </c>
      <c r="R163">
        <v>8.8000000000000007</v>
      </c>
      <c r="S163">
        <v>12</v>
      </c>
      <c r="T163">
        <v>0</v>
      </c>
      <c r="U163">
        <v>-13.4</v>
      </c>
      <c r="V163">
        <v>-15.7</v>
      </c>
      <c r="W163">
        <v>-22</v>
      </c>
      <c r="X163">
        <v>-17.399999999999999</v>
      </c>
      <c r="Y163">
        <v>18.3</v>
      </c>
      <c r="Z163">
        <v>-22</v>
      </c>
      <c r="AA163">
        <v>17.600000000000001</v>
      </c>
      <c r="AB163">
        <v>16.399999999999999</v>
      </c>
      <c r="AC163">
        <v>40.5</v>
      </c>
      <c r="AD163">
        <v>8.3000000000000007</v>
      </c>
      <c r="AE163">
        <v>6.7</v>
      </c>
      <c r="AF163">
        <v>0</v>
      </c>
      <c r="AG163">
        <v>9.6999999999999993</v>
      </c>
      <c r="AH163">
        <v>10</v>
      </c>
      <c r="AI163">
        <v>11.7</v>
      </c>
      <c r="AJ163">
        <v>10</v>
      </c>
      <c r="AK163">
        <v>11.1</v>
      </c>
      <c r="AL163">
        <v>10</v>
      </c>
      <c r="AM163">
        <v>12.7</v>
      </c>
      <c r="AN163">
        <v>9</v>
      </c>
      <c r="AO163">
        <v>10.199999999999999</v>
      </c>
      <c r="AP163">
        <v>10</v>
      </c>
      <c r="AQ163">
        <v>10.7</v>
      </c>
      <c r="AR163">
        <v>10</v>
      </c>
      <c r="AS163">
        <v>10.4</v>
      </c>
      <c r="AT163">
        <v>10</v>
      </c>
      <c r="AU163">
        <v>18.600000000000001</v>
      </c>
      <c r="AV163">
        <v>19</v>
      </c>
      <c r="AW163">
        <v>19.399999999999999</v>
      </c>
      <c r="AX163">
        <v>19</v>
      </c>
      <c r="AY163">
        <v>11.1</v>
      </c>
      <c r="AZ163">
        <v>10</v>
      </c>
      <c r="BA163">
        <v>10</v>
      </c>
      <c r="BB163">
        <v>10</v>
      </c>
    </row>
    <row r="164" spans="1:54" x14ac:dyDescent="0.35">
      <c r="A164" s="1">
        <v>46059.561111111114</v>
      </c>
      <c r="B164">
        <v>20.8</v>
      </c>
      <c r="C164">
        <v>3</v>
      </c>
      <c r="D164">
        <v>19.399999999999999</v>
      </c>
      <c r="E164">
        <v>2</v>
      </c>
      <c r="F164">
        <v>7.4</v>
      </c>
      <c r="G164">
        <v>10.8</v>
      </c>
      <c r="H164">
        <v>0</v>
      </c>
      <c r="I164">
        <v>14</v>
      </c>
      <c r="J164">
        <v>10.199999999999999</v>
      </c>
      <c r="K164">
        <v>0</v>
      </c>
      <c r="L164">
        <v>12</v>
      </c>
      <c r="M164">
        <v>15.3</v>
      </c>
      <c r="N164">
        <v>0</v>
      </c>
      <c r="O164">
        <v>12.7</v>
      </c>
      <c r="P164">
        <v>8.3000000000000007</v>
      </c>
      <c r="Q164">
        <v>0</v>
      </c>
      <c r="R164">
        <v>8.8000000000000007</v>
      </c>
      <c r="S164">
        <v>12</v>
      </c>
      <c r="T164">
        <v>0</v>
      </c>
      <c r="U164">
        <v>-13.2</v>
      </c>
      <c r="V164">
        <v>-15.3</v>
      </c>
      <c r="W164">
        <v>-22</v>
      </c>
      <c r="X164">
        <v>-17.399999999999999</v>
      </c>
      <c r="Y164">
        <v>17.899999999999999</v>
      </c>
      <c r="Z164">
        <v>-22</v>
      </c>
      <c r="AA164">
        <v>17.5</v>
      </c>
      <c r="AB164">
        <v>16.5</v>
      </c>
      <c r="AC164">
        <v>40.5</v>
      </c>
      <c r="AD164">
        <v>8.3000000000000007</v>
      </c>
      <c r="AE164">
        <v>6.7</v>
      </c>
      <c r="AF164">
        <v>0</v>
      </c>
      <c r="AG164">
        <v>9.6999999999999993</v>
      </c>
      <c r="AH164">
        <v>10</v>
      </c>
      <c r="AI164">
        <v>10.3</v>
      </c>
      <c r="AJ164">
        <v>10</v>
      </c>
      <c r="AK164">
        <v>11.1</v>
      </c>
      <c r="AL164">
        <v>10</v>
      </c>
      <c r="AM164">
        <v>12.7</v>
      </c>
      <c r="AN164">
        <v>9</v>
      </c>
      <c r="AO164">
        <v>10</v>
      </c>
      <c r="AP164">
        <v>10</v>
      </c>
      <c r="AQ164">
        <v>10.7</v>
      </c>
      <c r="AR164">
        <v>10</v>
      </c>
      <c r="AS164">
        <v>10.7</v>
      </c>
      <c r="AT164">
        <v>10</v>
      </c>
      <c r="AU164">
        <v>18.600000000000001</v>
      </c>
      <c r="AV164">
        <v>19</v>
      </c>
      <c r="AW164">
        <v>19.399999999999999</v>
      </c>
      <c r="AX164">
        <v>19</v>
      </c>
      <c r="AY164">
        <v>10.199999999999999</v>
      </c>
      <c r="AZ164">
        <v>10</v>
      </c>
      <c r="BA164">
        <v>9.6999999999999993</v>
      </c>
      <c r="BB164">
        <v>10</v>
      </c>
    </row>
    <row r="165" spans="1:54" x14ac:dyDescent="0.35">
      <c r="A165" s="1">
        <v>46059.561805555553</v>
      </c>
      <c r="B165">
        <v>20.8</v>
      </c>
      <c r="C165">
        <v>3</v>
      </c>
      <c r="D165">
        <v>19.399999999999999</v>
      </c>
      <c r="E165">
        <v>2</v>
      </c>
      <c r="F165">
        <v>7.4</v>
      </c>
      <c r="G165">
        <v>10.8</v>
      </c>
      <c r="H165">
        <v>0</v>
      </c>
      <c r="I165">
        <v>14</v>
      </c>
      <c r="J165">
        <v>10.199999999999999</v>
      </c>
      <c r="K165">
        <v>0</v>
      </c>
      <c r="L165">
        <v>12</v>
      </c>
      <c r="M165">
        <v>15.3</v>
      </c>
      <c r="N165">
        <v>0</v>
      </c>
      <c r="O165">
        <v>12.8</v>
      </c>
      <c r="P165">
        <v>8.3000000000000007</v>
      </c>
      <c r="Q165">
        <v>0</v>
      </c>
      <c r="R165">
        <v>8.8000000000000007</v>
      </c>
      <c r="S165">
        <v>12</v>
      </c>
      <c r="T165">
        <v>0</v>
      </c>
      <c r="U165">
        <v>-13.2</v>
      </c>
      <c r="V165">
        <v>-15.5</v>
      </c>
      <c r="W165">
        <v>-22</v>
      </c>
      <c r="X165">
        <v>-17.399999999999999</v>
      </c>
      <c r="Y165">
        <v>16.899999999999999</v>
      </c>
      <c r="Z165">
        <v>-22</v>
      </c>
      <c r="AA165">
        <v>17.399999999999999</v>
      </c>
      <c r="AB165">
        <v>16.5</v>
      </c>
      <c r="AC165">
        <v>40.5</v>
      </c>
      <c r="AD165">
        <v>8.3000000000000007</v>
      </c>
      <c r="AE165">
        <v>6.7</v>
      </c>
      <c r="AF165">
        <v>0</v>
      </c>
      <c r="AG165">
        <v>9.9</v>
      </c>
      <c r="AH165">
        <v>10</v>
      </c>
      <c r="AI165">
        <v>8.9</v>
      </c>
      <c r="AJ165">
        <v>10</v>
      </c>
      <c r="AK165">
        <v>11.2</v>
      </c>
      <c r="AL165">
        <v>10</v>
      </c>
      <c r="AM165">
        <v>12.7</v>
      </c>
      <c r="AN165">
        <v>9</v>
      </c>
      <c r="AO165">
        <v>10.6</v>
      </c>
      <c r="AP165">
        <v>10</v>
      </c>
      <c r="AQ165">
        <v>10.7</v>
      </c>
      <c r="AR165">
        <v>10</v>
      </c>
      <c r="AS165">
        <v>11</v>
      </c>
      <c r="AT165">
        <v>10</v>
      </c>
      <c r="AU165">
        <v>18.600000000000001</v>
      </c>
      <c r="AV165">
        <v>19</v>
      </c>
      <c r="AW165">
        <v>19.399999999999999</v>
      </c>
      <c r="AX165">
        <v>19</v>
      </c>
      <c r="AY165">
        <v>9.6999999999999993</v>
      </c>
      <c r="AZ165">
        <v>10</v>
      </c>
      <c r="BA165">
        <v>9.9</v>
      </c>
      <c r="BB165">
        <v>10</v>
      </c>
    </row>
    <row r="166" spans="1:54" x14ac:dyDescent="0.35">
      <c r="A166" s="1">
        <v>46059.5625</v>
      </c>
      <c r="B166">
        <v>20.8</v>
      </c>
      <c r="C166">
        <v>3</v>
      </c>
      <c r="D166">
        <v>19.399999999999999</v>
      </c>
      <c r="E166">
        <v>2</v>
      </c>
      <c r="F166">
        <v>7.4</v>
      </c>
      <c r="G166">
        <v>10.8</v>
      </c>
      <c r="H166">
        <v>0</v>
      </c>
      <c r="I166">
        <v>14</v>
      </c>
      <c r="J166">
        <v>10.199999999999999</v>
      </c>
      <c r="K166">
        <v>0</v>
      </c>
      <c r="L166">
        <v>12</v>
      </c>
      <c r="M166">
        <v>15.3</v>
      </c>
      <c r="N166">
        <v>0</v>
      </c>
      <c r="O166">
        <v>12.8</v>
      </c>
      <c r="P166">
        <v>8.3000000000000007</v>
      </c>
      <c r="Q166">
        <v>0</v>
      </c>
      <c r="R166">
        <v>8.8000000000000007</v>
      </c>
      <c r="S166">
        <v>12</v>
      </c>
      <c r="T166">
        <v>0</v>
      </c>
      <c r="U166">
        <v>-13.2</v>
      </c>
      <c r="V166">
        <v>-15.2</v>
      </c>
      <c r="W166">
        <v>-22</v>
      </c>
      <c r="X166">
        <v>-17.399999999999999</v>
      </c>
      <c r="Y166">
        <v>15.6</v>
      </c>
      <c r="Z166">
        <v>-22</v>
      </c>
      <c r="AA166">
        <v>17.3</v>
      </c>
      <c r="AB166">
        <v>16.5</v>
      </c>
      <c r="AC166">
        <v>40.5</v>
      </c>
      <c r="AD166">
        <v>8.5</v>
      </c>
      <c r="AE166">
        <v>6.7</v>
      </c>
      <c r="AF166">
        <v>0</v>
      </c>
      <c r="AG166">
        <v>10.199999999999999</v>
      </c>
      <c r="AH166">
        <v>10</v>
      </c>
      <c r="AI166">
        <v>8.6999999999999993</v>
      </c>
      <c r="AJ166">
        <v>10</v>
      </c>
      <c r="AK166">
        <v>11.3</v>
      </c>
      <c r="AL166">
        <v>10</v>
      </c>
      <c r="AM166">
        <v>12.6</v>
      </c>
      <c r="AN166">
        <v>9</v>
      </c>
      <c r="AO166">
        <v>11.2</v>
      </c>
      <c r="AP166">
        <v>10</v>
      </c>
      <c r="AQ166">
        <v>10.7</v>
      </c>
      <c r="AR166">
        <v>10</v>
      </c>
      <c r="AS166">
        <v>11.2</v>
      </c>
      <c r="AT166">
        <v>10</v>
      </c>
      <c r="AU166">
        <v>18.5</v>
      </c>
      <c r="AV166">
        <v>19</v>
      </c>
      <c r="AW166">
        <v>19.5</v>
      </c>
      <c r="AX166">
        <v>19</v>
      </c>
      <c r="AY166">
        <v>9.8000000000000007</v>
      </c>
      <c r="AZ166">
        <v>10</v>
      </c>
      <c r="BA166">
        <v>10.4</v>
      </c>
      <c r="BB166">
        <v>10</v>
      </c>
    </row>
    <row r="167" spans="1:54" x14ac:dyDescent="0.35">
      <c r="A167" s="1">
        <v>46059.563194444447</v>
      </c>
      <c r="B167">
        <v>20.8</v>
      </c>
      <c r="C167">
        <v>3</v>
      </c>
      <c r="D167">
        <v>19.399999999999999</v>
      </c>
      <c r="E167">
        <v>2</v>
      </c>
      <c r="F167">
        <v>7.4</v>
      </c>
      <c r="G167">
        <v>10.8</v>
      </c>
      <c r="H167">
        <v>0</v>
      </c>
      <c r="I167">
        <v>14</v>
      </c>
      <c r="J167">
        <v>10.199999999999999</v>
      </c>
      <c r="K167">
        <v>0</v>
      </c>
      <c r="L167">
        <v>12</v>
      </c>
      <c r="M167">
        <v>15.3</v>
      </c>
      <c r="N167">
        <v>0</v>
      </c>
      <c r="O167">
        <v>12.8</v>
      </c>
      <c r="P167">
        <v>8.3000000000000007</v>
      </c>
      <c r="Q167">
        <v>0</v>
      </c>
      <c r="R167">
        <v>8.8000000000000007</v>
      </c>
      <c r="S167">
        <v>12</v>
      </c>
      <c r="T167">
        <v>0</v>
      </c>
      <c r="U167">
        <v>-13.2</v>
      </c>
      <c r="V167">
        <v>-15.5</v>
      </c>
      <c r="W167">
        <v>-22</v>
      </c>
      <c r="X167">
        <v>-17.399999999999999</v>
      </c>
      <c r="Y167">
        <v>13.3</v>
      </c>
      <c r="Z167">
        <v>-22</v>
      </c>
      <c r="AA167">
        <v>17.2</v>
      </c>
      <c r="AB167">
        <v>16.5</v>
      </c>
      <c r="AC167">
        <v>40.5</v>
      </c>
      <c r="AD167">
        <v>8.6</v>
      </c>
      <c r="AE167">
        <v>6.7</v>
      </c>
      <c r="AF167">
        <v>0</v>
      </c>
      <c r="AG167">
        <v>10.5</v>
      </c>
      <c r="AH167">
        <v>10</v>
      </c>
      <c r="AI167">
        <v>8.9</v>
      </c>
      <c r="AJ167">
        <v>10</v>
      </c>
      <c r="AK167">
        <v>11.4</v>
      </c>
      <c r="AL167">
        <v>10</v>
      </c>
      <c r="AM167">
        <v>12.6</v>
      </c>
      <c r="AN167">
        <v>9</v>
      </c>
      <c r="AO167">
        <v>11.7</v>
      </c>
      <c r="AP167">
        <v>10</v>
      </c>
      <c r="AQ167">
        <v>10.7</v>
      </c>
      <c r="AR167">
        <v>10</v>
      </c>
      <c r="AS167">
        <v>11.4</v>
      </c>
      <c r="AT167">
        <v>10</v>
      </c>
      <c r="AU167">
        <v>18.5</v>
      </c>
      <c r="AV167">
        <v>19</v>
      </c>
      <c r="AW167">
        <v>19.399999999999999</v>
      </c>
      <c r="AX167">
        <v>19</v>
      </c>
      <c r="AY167">
        <v>10.199999999999999</v>
      </c>
      <c r="AZ167">
        <v>10</v>
      </c>
      <c r="BA167">
        <v>10.7</v>
      </c>
      <c r="BB167">
        <v>10</v>
      </c>
    </row>
    <row r="168" spans="1:54" x14ac:dyDescent="0.35">
      <c r="A168" s="1">
        <v>46059.563888888886</v>
      </c>
      <c r="B168">
        <v>20.8</v>
      </c>
      <c r="C168">
        <v>3</v>
      </c>
      <c r="D168">
        <v>19.399999999999999</v>
      </c>
      <c r="E168">
        <v>2</v>
      </c>
      <c r="F168">
        <v>7.5</v>
      </c>
      <c r="G168">
        <v>10.8</v>
      </c>
      <c r="H168">
        <v>0</v>
      </c>
      <c r="I168">
        <v>14</v>
      </c>
      <c r="J168">
        <v>10.199999999999999</v>
      </c>
      <c r="K168">
        <v>0</v>
      </c>
      <c r="L168">
        <v>12</v>
      </c>
      <c r="M168">
        <v>15.3</v>
      </c>
      <c r="N168">
        <v>0</v>
      </c>
      <c r="O168">
        <v>12.8</v>
      </c>
      <c r="P168">
        <v>8.3000000000000007</v>
      </c>
      <c r="Q168">
        <v>0</v>
      </c>
      <c r="R168">
        <v>8.8000000000000007</v>
      </c>
      <c r="S168">
        <v>12</v>
      </c>
      <c r="T168">
        <v>0</v>
      </c>
      <c r="U168">
        <v>-13.2</v>
      </c>
      <c r="V168">
        <v>-15.2</v>
      </c>
      <c r="W168">
        <v>-22</v>
      </c>
      <c r="X168">
        <v>-9.4</v>
      </c>
      <c r="Y168">
        <v>11.9</v>
      </c>
      <c r="Z168">
        <v>-22</v>
      </c>
      <c r="AA168">
        <v>17.100000000000001</v>
      </c>
      <c r="AB168">
        <v>16.5</v>
      </c>
      <c r="AC168">
        <v>40.5</v>
      </c>
      <c r="AD168">
        <v>8.6</v>
      </c>
      <c r="AE168">
        <v>6.8</v>
      </c>
      <c r="AF168">
        <v>0</v>
      </c>
      <c r="AG168">
        <v>10.7</v>
      </c>
      <c r="AH168">
        <v>10</v>
      </c>
      <c r="AI168">
        <v>9.1999999999999993</v>
      </c>
      <c r="AJ168">
        <v>10</v>
      </c>
      <c r="AK168">
        <v>11.5</v>
      </c>
      <c r="AL168">
        <v>10</v>
      </c>
      <c r="AM168">
        <v>12.6</v>
      </c>
      <c r="AN168">
        <v>9</v>
      </c>
      <c r="AO168">
        <v>11.9</v>
      </c>
      <c r="AP168">
        <v>10</v>
      </c>
      <c r="AQ168">
        <v>10.7</v>
      </c>
      <c r="AR168">
        <v>10</v>
      </c>
      <c r="AS168">
        <v>11.6</v>
      </c>
      <c r="AT168">
        <v>10</v>
      </c>
      <c r="AU168">
        <v>18.5</v>
      </c>
      <c r="AV168">
        <v>19</v>
      </c>
      <c r="AW168">
        <v>19.399999999999999</v>
      </c>
      <c r="AX168">
        <v>19</v>
      </c>
      <c r="AY168">
        <v>10.6</v>
      </c>
      <c r="AZ168">
        <v>10</v>
      </c>
      <c r="BA168">
        <v>11.1</v>
      </c>
      <c r="BB168">
        <v>10</v>
      </c>
    </row>
    <row r="169" spans="1:54" x14ac:dyDescent="0.35">
      <c r="A169" s="1">
        <v>46059.564583333333</v>
      </c>
      <c r="B169">
        <v>20.8</v>
      </c>
      <c r="C169">
        <v>3</v>
      </c>
      <c r="D169">
        <v>19.399999999999999</v>
      </c>
      <c r="E169">
        <v>2</v>
      </c>
      <c r="F169">
        <v>7.5</v>
      </c>
      <c r="G169">
        <v>10.8</v>
      </c>
      <c r="H169">
        <v>0</v>
      </c>
      <c r="I169">
        <v>14</v>
      </c>
      <c r="J169">
        <v>10.199999999999999</v>
      </c>
      <c r="K169">
        <v>0</v>
      </c>
      <c r="L169">
        <v>12</v>
      </c>
      <c r="M169">
        <v>15.3</v>
      </c>
      <c r="N169">
        <v>0</v>
      </c>
      <c r="O169">
        <v>12.8</v>
      </c>
      <c r="P169">
        <v>8.4</v>
      </c>
      <c r="Q169">
        <v>0</v>
      </c>
      <c r="R169">
        <v>8.9</v>
      </c>
      <c r="S169">
        <v>12</v>
      </c>
      <c r="T169">
        <v>0</v>
      </c>
      <c r="U169">
        <v>-13.2</v>
      </c>
      <c r="V169">
        <v>-15.7</v>
      </c>
      <c r="W169">
        <v>-22</v>
      </c>
      <c r="X169">
        <v>-10</v>
      </c>
      <c r="Y169">
        <v>10.3</v>
      </c>
      <c r="Z169">
        <v>-22</v>
      </c>
      <c r="AA169">
        <v>17</v>
      </c>
      <c r="AB169">
        <v>16.5</v>
      </c>
      <c r="AC169">
        <v>40.5</v>
      </c>
      <c r="AD169">
        <v>8.6</v>
      </c>
      <c r="AE169">
        <v>6.8</v>
      </c>
      <c r="AF169">
        <v>0</v>
      </c>
      <c r="AG169">
        <v>11</v>
      </c>
      <c r="AH169">
        <v>10</v>
      </c>
      <c r="AI169">
        <v>9.6</v>
      </c>
      <c r="AJ169">
        <v>10</v>
      </c>
      <c r="AK169">
        <v>11.7</v>
      </c>
      <c r="AL169">
        <v>10</v>
      </c>
      <c r="AM169">
        <v>12.7</v>
      </c>
      <c r="AN169">
        <v>9</v>
      </c>
      <c r="AO169">
        <v>12</v>
      </c>
      <c r="AP169">
        <v>10</v>
      </c>
      <c r="AQ169">
        <v>10.6</v>
      </c>
      <c r="AR169">
        <v>10</v>
      </c>
      <c r="AS169">
        <v>11.8</v>
      </c>
      <c r="AT169">
        <v>10</v>
      </c>
      <c r="AU169">
        <v>18.5</v>
      </c>
      <c r="AV169">
        <v>19</v>
      </c>
      <c r="AW169">
        <v>19.5</v>
      </c>
      <c r="AX169">
        <v>19</v>
      </c>
      <c r="AY169">
        <v>10.9</v>
      </c>
      <c r="AZ169">
        <v>10</v>
      </c>
      <c r="BA169">
        <v>11.4</v>
      </c>
      <c r="BB169">
        <v>10</v>
      </c>
    </row>
    <row r="170" spans="1:54" x14ac:dyDescent="0.35">
      <c r="A170" s="1">
        <v>46059.56527777778</v>
      </c>
      <c r="B170">
        <v>20.8</v>
      </c>
      <c r="C170">
        <v>3</v>
      </c>
      <c r="D170">
        <v>19.399999999999999</v>
      </c>
      <c r="E170">
        <v>2</v>
      </c>
      <c r="F170">
        <v>7.5</v>
      </c>
      <c r="G170">
        <v>10.8</v>
      </c>
      <c r="H170">
        <v>0</v>
      </c>
      <c r="I170">
        <v>14</v>
      </c>
      <c r="J170">
        <v>10.199999999999999</v>
      </c>
      <c r="K170">
        <v>0</v>
      </c>
      <c r="L170">
        <v>12</v>
      </c>
      <c r="M170">
        <v>15.3</v>
      </c>
      <c r="N170">
        <v>0</v>
      </c>
      <c r="O170">
        <v>12.8</v>
      </c>
      <c r="P170">
        <v>8.4</v>
      </c>
      <c r="Q170">
        <v>0</v>
      </c>
      <c r="R170">
        <v>8.9</v>
      </c>
      <c r="S170">
        <v>12</v>
      </c>
      <c r="T170">
        <v>0</v>
      </c>
      <c r="U170">
        <v>-13.4</v>
      </c>
      <c r="V170">
        <v>-15.5</v>
      </c>
      <c r="W170">
        <v>-22</v>
      </c>
      <c r="X170">
        <v>-10.8</v>
      </c>
      <c r="Y170">
        <v>8.6</v>
      </c>
      <c r="Z170">
        <v>-22</v>
      </c>
      <c r="AA170">
        <v>16.899999999999999</v>
      </c>
      <c r="AB170">
        <v>16.5</v>
      </c>
      <c r="AC170">
        <v>40.5</v>
      </c>
      <c r="AD170">
        <v>8.6</v>
      </c>
      <c r="AE170">
        <v>6.8</v>
      </c>
      <c r="AF170">
        <v>0</v>
      </c>
      <c r="AG170">
        <v>11.1</v>
      </c>
      <c r="AH170">
        <v>10</v>
      </c>
      <c r="AI170">
        <v>9.8000000000000007</v>
      </c>
      <c r="AJ170">
        <v>10</v>
      </c>
      <c r="AK170">
        <v>11.9</v>
      </c>
      <c r="AL170">
        <v>10</v>
      </c>
      <c r="AM170">
        <v>12.8</v>
      </c>
      <c r="AN170">
        <v>9</v>
      </c>
      <c r="AO170">
        <v>10.8</v>
      </c>
      <c r="AP170">
        <v>10</v>
      </c>
      <c r="AQ170">
        <v>10.6</v>
      </c>
      <c r="AR170">
        <v>10</v>
      </c>
      <c r="AS170">
        <v>12</v>
      </c>
      <c r="AT170">
        <v>10</v>
      </c>
      <c r="AU170">
        <v>18.5</v>
      </c>
      <c r="AV170">
        <v>19</v>
      </c>
      <c r="AW170">
        <v>19.7</v>
      </c>
      <c r="AX170">
        <v>19</v>
      </c>
      <c r="AY170">
        <v>11.2</v>
      </c>
      <c r="AZ170">
        <v>10</v>
      </c>
      <c r="BA170">
        <v>11.6</v>
      </c>
      <c r="BB170">
        <v>10</v>
      </c>
    </row>
    <row r="171" spans="1:54" x14ac:dyDescent="0.35">
      <c r="A171" s="1">
        <v>46059.565972222219</v>
      </c>
      <c r="B171">
        <v>20.8</v>
      </c>
      <c r="C171">
        <v>3</v>
      </c>
      <c r="D171">
        <v>19.399999999999999</v>
      </c>
      <c r="E171">
        <v>2</v>
      </c>
      <c r="F171">
        <v>7.5</v>
      </c>
      <c r="G171">
        <v>10.8</v>
      </c>
      <c r="H171">
        <v>0</v>
      </c>
      <c r="I171">
        <v>14</v>
      </c>
      <c r="J171">
        <v>10.199999999999999</v>
      </c>
      <c r="K171">
        <v>0</v>
      </c>
      <c r="L171">
        <v>12</v>
      </c>
      <c r="M171">
        <v>15.3</v>
      </c>
      <c r="N171">
        <v>0</v>
      </c>
      <c r="O171">
        <v>12.8</v>
      </c>
      <c r="P171">
        <v>8.4</v>
      </c>
      <c r="Q171">
        <v>0</v>
      </c>
      <c r="R171">
        <v>8.9</v>
      </c>
      <c r="S171">
        <v>12</v>
      </c>
      <c r="T171">
        <v>0</v>
      </c>
      <c r="U171">
        <v>-13.6</v>
      </c>
      <c r="V171">
        <v>-16</v>
      </c>
      <c r="W171">
        <v>-22</v>
      </c>
      <c r="X171">
        <v>-11.1</v>
      </c>
      <c r="Y171">
        <v>7.3</v>
      </c>
      <c r="Z171">
        <v>-22</v>
      </c>
      <c r="AA171">
        <v>16.8</v>
      </c>
      <c r="AB171">
        <v>16.5</v>
      </c>
      <c r="AC171">
        <v>40.5</v>
      </c>
      <c r="AD171">
        <v>8.6</v>
      </c>
      <c r="AE171">
        <v>6.8</v>
      </c>
      <c r="AF171">
        <v>0</v>
      </c>
      <c r="AG171">
        <v>11.3</v>
      </c>
      <c r="AH171">
        <v>10</v>
      </c>
      <c r="AI171">
        <v>10</v>
      </c>
      <c r="AJ171">
        <v>10</v>
      </c>
      <c r="AK171">
        <v>12</v>
      </c>
      <c r="AL171">
        <v>10</v>
      </c>
      <c r="AM171">
        <v>12.8</v>
      </c>
      <c r="AN171">
        <v>9</v>
      </c>
      <c r="AO171">
        <v>10.4</v>
      </c>
      <c r="AP171">
        <v>10</v>
      </c>
      <c r="AQ171">
        <v>10.6</v>
      </c>
      <c r="AR171">
        <v>10</v>
      </c>
      <c r="AS171">
        <v>10.7</v>
      </c>
      <c r="AT171">
        <v>10</v>
      </c>
      <c r="AU171">
        <v>18.5</v>
      </c>
      <c r="AV171">
        <v>19</v>
      </c>
      <c r="AW171">
        <v>19.7</v>
      </c>
      <c r="AX171">
        <v>19</v>
      </c>
      <c r="AY171">
        <v>11.5</v>
      </c>
      <c r="AZ171">
        <v>10</v>
      </c>
      <c r="BA171">
        <v>11.9</v>
      </c>
      <c r="BB171">
        <v>10</v>
      </c>
    </row>
    <row r="172" spans="1:54" x14ac:dyDescent="0.35">
      <c r="A172" s="1">
        <v>46059.567361111112</v>
      </c>
      <c r="B172">
        <v>20.8</v>
      </c>
      <c r="C172">
        <v>3</v>
      </c>
      <c r="D172">
        <v>19.399999999999999</v>
      </c>
      <c r="E172">
        <v>2</v>
      </c>
      <c r="F172">
        <v>7.5</v>
      </c>
      <c r="G172">
        <v>10.9</v>
      </c>
      <c r="H172">
        <v>0</v>
      </c>
      <c r="I172">
        <v>14</v>
      </c>
      <c r="J172">
        <v>10.199999999999999</v>
      </c>
      <c r="K172">
        <v>0</v>
      </c>
      <c r="L172">
        <v>12</v>
      </c>
      <c r="M172">
        <v>15.3</v>
      </c>
      <c r="N172">
        <v>0</v>
      </c>
      <c r="O172">
        <v>12.8</v>
      </c>
      <c r="P172">
        <v>8.4</v>
      </c>
      <c r="Q172">
        <v>0</v>
      </c>
      <c r="R172">
        <v>8.9</v>
      </c>
      <c r="S172">
        <v>12</v>
      </c>
      <c r="T172">
        <v>0</v>
      </c>
      <c r="U172">
        <v>-13.9</v>
      </c>
      <c r="V172">
        <v>-16.3</v>
      </c>
      <c r="W172">
        <v>-22</v>
      </c>
      <c r="X172">
        <v>-12.3</v>
      </c>
      <c r="Y172">
        <v>5.3</v>
      </c>
      <c r="Z172">
        <v>-22</v>
      </c>
      <c r="AA172">
        <v>16.7</v>
      </c>
      <c r="AB172">
        <v>16.5</v>
      </c>
      <c r="AC172">
        <v>40.5</v>
      </c>
      <c r="AD172">
        <v>8.6</v>
      </c>
      <c r="AE172">
        <v>6.8</v>
      </c>
      <c r="AF172">
        <v>0</v>
      </c>
      <c r="AG172">
        <v>11.5</v>
      </c>
      <c r="AH172">
        <v>10</v>
      </c>
      <c r="AI172">
        <v>10.4</v>
      </c>
      <c r="AJ172">
        <v>10</v>
      </c>
      <c r="AK172">
        <v>10</v>
      </c>
      <c r="AL172">
        <v>10</v>
      </c>
      <c r="AM172">
        <v>12.8</v>
      </c>
      <c r="AN172">
        <v>9</v>
      </c>
      <c r="AO172">
        <v>10.199999999999999</v>
      </c>
      <c r="AP172">
        <v>10</v>
      </c>
      <c r="AQ172">
        <v>10.6</v>
      </c>
      <c r="AR172">
        <v>10</v>
      </c>
      <c r="AS172">
        <v>8</v>
      </c>
      <c r="AT172">
        <v>10</v>
      </c>
      <c r="AU172">
        <v>18.5</v>
      </c>
      <c r="AV172">
        <v>19</v>
      </c>
      <c r="AW172">
        <v>19.5</v>
      </c>
      <c r="AX172">
        <v>19</v>
      </c>
      <c r="AY172">
        <v>11.8</v>
      </c>
      <c r="AZ172">
        <v>10</v>
      </c>
      <c r="BA172">
        <v>11.4</v>
      </c>
      <c r="BB172">
        <v>10</v>
      </c>
    </row>
    <row r="173" spans="1:54" x14ac:dyDescent="0.35">
      <c r="A173" s="1">
        <v>46059.568055555559</v>
      </c>
      <c r="B173">
        <v>20.8</v>
      </c>
      <c r="C173">
        <v>3</v>
      </c>
      <c r="D173">
        <v>19.399999999999999</v>
      </c>
      <c r="E173">
        <v>2</v>
      </c>
      <c r="F173">
        <v>7.5</v>
      </c>
      <c r="G173">
        <v>10.9</v>
      </c>
      <c r="H173">
        <v>0</v>
      </c>
      <c r="I173">
        <v>14</v>
      </c>
      <c r="J173">
        <v>10.199999999999999</v>
      </c>
      <c r="K173">
        <v>0</v>
      </c>
      <c r="L173">
        <v>12</v>
      </c>
      <c r="M173">
        <v>15.3</v>
      </c>
      <c r="N173">
        <v>0</v>
      </c>
      <c r="O173">
        <v>12.8</v>
      </c>
      <c r="P173">
        <v>8.4</v>
      </c>
      <c r="Q173">
        <v>0</v>
      </c>
      <c r="R173">
        <v>8.9</v>
      </c>
      <c r="S173">
        <v>12.1</v>
      </c>
      <c r="T173">
        <v>0</v>
      </c>
      <c r="U173">
        <v>-14.1</v>
      </c>
      <c r="V173">
        <v>-16.100000000000001</v>
      </c>
      <c r="W173">
        <v>-22</v>
      </c>
      <c r="X173">
        <v>-12.6</v>
      </c>
      <c r="Y173">
        <v>4.3</v>
      </c>
      <c r="Z173">
        <v>-22</v>
      </c>
      <c r="AA173">
        <v>16.600000000000001</v>
      </c>
      <c r="AB173">
        <v>16.600000000000001</v>
      </c>
      <c r="AC173">
        <v>40.5</v>
      </c>
      <c r="AD173">
        <v>8.6</v>
      </c>
      <c r="AE173">
        <v>6.8</v>
      </c>
      <c r="AF173">
        <v>0</v>
      </c>
      <c r="AG173">
        <v>11.6</v>
      </c>
      <c r="AH173">
        <v>10</v>
      </c>
      <c r="AI173">
        <v>10.6</v>
      </c>
      <c r="AJ173">
        <v>10</v>
      </c>
      <c r="AK173">
        <v>9.5</v>
      </c>
      <c r="AL173">
        <v>10</v>
      </c>
      <c r="AM173">
        <v>12.8</v>
      </c>
      <c r="AN173">
        <v>9</v>
      </c>
      <c r="AO173">
        <v>10.1</v>
      </c>
      <c r="AP173">
        <v>10</v>
      </c>
      <c r="AQ173">
        <v>10.8</v>
      </c>
      <c r="AR173">
        <v>10</v>
      </c>
      <c r="AS173">
        <v>8.5</v>
      </c>
      <c r="AT173">
        <v>10</v>
      </c>
      <c r="AU173">
        <v>18.5</v>
      </c>
      <c r="AV173">
        <v>19</v>
      </c>
      <c r="AW173">
        <v>19.5</v>
      </c>
      <c r="AX173">
        <v>19</v>
      </c>
      <c r="AY173">
        <v>12</v>
      </c>
      <c r="AZ173">
        <v>10</v>
      </c>
      <c r="BA173">
        <v>10.5</v>
      </c>
      <c r="BB173">
        <v>10</v>
      </c>
    </row>
    <row r="174" spans="1:54" x14ac:dyDescent="0.35">
      <c r="A174" s="1">
        <v>46059.568749999999</v>
      </c>
      <c r="B174">
        <v>20.8</v>
      </c>
      <c r="C174">
        <v>3</v>
      </c>
      <c r="D174">
        <v>19.399999999999999</v>
      </c>
      <c r="E174">
        <v>2</v>
      </c>
      <c r="F174">
        <v>7.5</v>
      </c>
      <c r="G174">
        <v>10.9</v>
      </c>
      <c r="H174">
        <v>0</v>
      </c>
      <c r="I174">
        <v>14</v>
      </c>
      <c r="J174">
        <v>10.199999999999999</v>
      </c>
      <c r="K174">
        <v>0</v>
      </c>
      <c r="L174">
        <v>12</v>
      </c>
      <c r="M174">
        <v>15.3</v>
      </c>
      <c r="N174">
        <v>0</v>
      </c>
      <c r="O174">
        <v>12.8</v>
      </c>
      <c r="P174">
        <v>8.4</v>
      </c>
      <c r="Q174">
        <v>0</v>
      </c>
      <c r="R174">
        <v>8.9</v>
      </c>
      <c r="S174">
        <v>12.1</v>
      </c>
      <c r="T174">
        <v>0</v>
      </c>
      <c r="U174">
        <v>-14.4</v>
      </c>
      <c r="V174">
        <v>-16.7</v>
      </c>
      <c r="W174">
        <v>-22</v>
      </c>
      <c r="X174">
        <v>-13</v>
      </c>
      <c r="Y174">
        <v>3.3</v>
      </c>
      <c r="Z174">
        <v>-22</v>
      </c>
      <c r="AA174">
        <v>16.5</v>
      </c>
      <c r="AB174">
        <v>16.600000000000001</v>
      </c>
      <c r="AC174">
        <v>40.5</v>
      </c>
      <c r="AD174">
        <v>8.6</v>
      </c>
      <c r="AE174">
        <v>6.8</v>
      </c>
      <c r="AF174">
        <v>0</v>
      </c>
      <c r="AG174">
        <v>11.7</v>
      </c>
      <c r="AH174">
        <v>10</v>
      </c>
      <c r="AI174">
        <v>10.7</v>
      </c>
      <c r="AJ174">
        <v>10</v>
      </c>
      <c r="AK174">
        <v>9.9</v>
      </c>
      <c r="AL174">
        <v>10</v>
      </c>
      <c r="AM174">
        <v>12.8</v>
      </c>
      <c r="AN174">
        <v>9</v>
      </c>
      <c r="AO174">
        <v>10.5</v>
      </c>
      <c r="AP174">
        <v>10</v>
      </c>
      <c r="AQ174">
        <v>11</v>
      </c>
      <c r="AR174">
        <v>10</v>
      </c>
      <c r="AS174">
        <v>9.1</v>
      </c>
      <c r="AT174">
        <v>10</v>
      </c>
      <c r="AU174">
        <v>18.5</v>
      </c>
      <c r="AV174">
        <v>19</v>
      </c>
      <c r="AW174">
        <v>19.600000000000001</v>
      </c>
      <c r="AX174">
        <v>19</v>
      </c>
      <c r="AY174">
        <v>11.3</v>
      </c>
      <c r="AZ174">
        <v>10</v>
      </c>
      <c r="BA174">
        <v>9.9</v>
      </c>
      <c r="BB174">
        <v>10</v>
      </c>
    </row>
    <row r="175" spans="1:54" x14ac:dyDescent="0.35">
      <c r="A175" s="1">
        <v>46059.569444444445</v>
      </c>
      <c r="B175">
        <v>20.8</v>
      </c>
      <c r="C175">
        <v>3</v>
      </c>
      <c r="D175">
        <v>19.399999999999999</v>
      </c>
      <c r="E175">
        <v>2</v>
      </c>
      <c r="F175">
        <v>7.5</v>
      </c>
      <c r="G175">
        <v>10.9</v>
      </c>
      <c r="H175">
        <v>0</v>
      </c>
      <c r="I175">
        <v>14.1</v>
      </c>
      <c r="J175">
        <v>10.199999999999999</v>
      </c>
      <c r="K175">
        <v>0</v>
      </c>
      <c r="L175">
        <v>12</v>
      </c>
      <c r="M175">
        <v>15.4</v>
      </c>
      <c r="N175">
        <v>0</v>
      </c>
      <c r="O175">
        <v>12.9</v>
      </c>
      <c r="P175">
        <v>8.4</v>
      </c>
      <c r="Q175">
        <v>0</v>
      </c>
      <c r="R175">
        <v>8.9</v>
      </c>
      <c r="S175">
        <v>12.2</v>
      </c>
      <c r="T175">
        <v>0</v>
      </c>
      <c r="U175">
        <v>-14.6</v>
      </c>
      <c r="V175">
        <v>-16.600000000000001</v>
      </c>
      <c r="W175">
        <v>-22</v>
      </c>
      <c r="X175">
        <v>-13.4</v>
      </c>
      <c r="Y175">
        <v>2.5</v>
      </c>
      <c r="Z175">
        <v>-22</v>
      </c>
      <c r="AA175">
        <v>16.5</v>
      </c>
      <c r="AB175">
        <v>16.600000000000001</v>
      </c>
      <c r="AC175">
        <v>40.5</v>
      </c>
      <c r="AD175">
        <v>8.6</v>
      </c>
      <c r="AE175">
        <v>6.8</v>
      </c>
      <c r="AF175">
        <v>0</v>
      </c>
      <c r="AG175">
        <v>11.8</v>
      </c>
      <c r="AH175">
        <v>10</v>
      </c>
      <c r="AI175">
        <v>10.9</v>
      </c>
      <c r="AJ175">
        <v>10</v>
      </c>
      <c r="AK175">
        <v>10.3</v>
      </c>
      <c r="AL175">
        <v>10</v>
      </c>
      <c r="AM175">
        <v>12.8</v>
      </c>
      <c r="AN175">
        <v>9</v>
      </c>
      <c r="AO175">
        <v>11.3</v>
      </c>
      <c r="AP175">
        <v>10</v>
      </c>
      <c r="AQ175">
        <v>10.9</v>
      </c>
      <c r="AR175">
        <v>10</v>
      </c>
      <c r="AS175">
        <v>9.6</v>
      </c>
      <c r="AT175">
        <v>10</v>
      </c>
      <c r="AU175">
        <v>18.8</v>
      </c>
      <c r="AV175">
        <v>19</v>
      </c>
      <c r="AW175">
        <v>19.600000000000001</v>
      </c>
      <c r="AX175">
        <v>19</v>
      </c>
      <c r="AY175">
        <v>10.4</v>
      </c>
      <c r="AZ175">
        <v>10</v>
      </c>
      <c r="BA175">
        <v>9.6999999999999993</v>
      </c>
      <c r="BB175">
        <v>10</v>
      </c>
    </row>
    <row r="176" spans="1:54" x14ac:dyDescent="0.35">
      <c r="A176" s="1">
        <v>46059.570138888892</v>
      </c>
      <c r="B176">
        <v>20.8</v>
      </c>
      <c r="C176">
        <v>3</v>
      </c>
      <c r="D176">
        <v>19.399999999999999</v>
      </c>
      <c r="E176">
        <v>2</v>
      </c>
      <c r="F176">
        <v>7.5</v>
      </c>
      <c r="G176">
        <v>10.9</v>
      </c>
      <c r="H176">
        <v>0</v>
      </c>
      <c r="I176">
        <v>14.1</v>
      </c>
      <c r="J176">
        <v>10.199999999999999</v>
      </c>
      <c r="K176">
        <v>0</v>
      </c>
      <c r="L176">
        <v>12</v>
      </c>
      <c r="M176">
        <v>15.4</v>
      </c>
      <c r="N176">
        <v>0</v>
      </c>
      <c r="O176">
        <v>12.9</v>
      </c>
      <c r="P176">
        <v>8.4</v>
      </c>
      <c r="Q176">
        <v>0</v>
      </c>
      <c r="R176">
        <v>8.9</v>
      </c>
      <c r="S176">
        <v>12.2</v>
      </c>
      <c r="T176">
        <v>0</v>
      </c>
      <c r="U176">
        <v>-14.8</v>
      </c>
      <c r="V176">
        <v>-17.100000000000001</v>
      </c>
      <c r="W176">
        <v>-22</v>
      </c>
      <c r="X176">
        <v>-13.8</v>
      </c>
      <c r="Y176">
        <v>1.6</v>
      </c>
      <c r="Z176">
        <v>-22</v>
      </c>
      <c r="AA176">
        <v>16.399999999999999</v>
      </c>
      <c r="AB176">
        <v>16.600000000000001</v>
      </c>
      <c r="AC176">
        <v>40.5</v>
      </c>
      <c r="AD176">
        <v>8.6</v>
      </c>
      <c r="AE176">
        <v>6.8</v>
      </c>
      <c r="AF176">
        <v>0</v>
      </c>
      <c r="AG176">
        <v>11.9</v>
      </c>
      <c r="AH176">
        <v>10</v>
      </c>
      <c r="AI176">
        <v>11</v>
      </c>
      <c r="AJ176">
        <v>10</v>
      </c>
      <c r="AK176">
        <v>10.7</v>
      </c>
      <c r="AL176">
        <v>10</v>
      </c>
      <c r="AM176">
        <v>12.8</v>
      </c>
      <c r="AN176">
        <v>9</v>
      </c>
      <c r="AO176">
        <v>11.8</v>
      </c>
      <c r="AP176">
        <v>10</v>
      </c>
      <c r="AQ176">
        <v>10.9</v>
      </c>
      <c r="AR176">
        <v>10</v>
      </c>
      <c r="AS176">
        <v>10</v>
      </c>
      <c r="AT176">
        <v>10</v>
      </c>
      <c r="AU176">
        <v>18.899999999999999</v>
      </c>
      <c r="AV176">
        <v>19</v>
      </c>
      <c r="AW176">
        <v>19.600000000000001</v>
      </c>
      <c r="AX176">
        <v>19</v>
      </c>
      <c r="AY176">
        <v>9.6999999999999993</v>
      </c>
      <c r="AZ176">
        <v>10</v>
      </c>
      <c r="BA176">
        <v>10</v>
      </c>
      <c r="BB176">
        <v>10</v>
      </c>
    </row>
    <row r="177" spans="1:54" x14ac:dyDescent="0.35">
      <c r="A177" s="1">
        <v>46059.570833333331</v>
      </c>
      <c r="B177">
        <v>20.9</v>
      </c>
      <c r="C177">
        <v>3</v>
      </c>
      <c r="D177">
        <v>19.399999999999999</v>
      </c>
      <c r="E177">
        <v>2</v>
      </c>
      <c r="F177">
        <v>7.5</v>
      </c>
      <c r="G177">
        <v>11</v>
      </c>
      <c r="H177">
        <v>0</v>
      </c>
      <c r="I177">
        <v>14.1</v>
      </c>
      <c r="J177">
        <v>10.199999999999999</v>
      </c>
      <c r="K177">
        <v>0</v>
      </c>
      <c r="L177">
        <v>12</v>
      </c>
      <c r="M177">
        <v>15.4</v>
      </c>
      <c r="N177">
        <v>0</v>
      </c>
      <c r="O177">
        <v>12.9</v>
      </c>
      <c r="P177">
        <v>8.4</v>
      </c>
      <c r="Q177">
        <v>0</v>
      </c>
      <c r="R177">
        <v>8.9</v>
      </c>
      <c r="S177">
        <v>12.3</v>
      </c>
      <c r="T177">
        <v>0</v>
      </c>
      <c r="U177">
        <v>-15</v>
      </c>
      <c r="V177">
        <v>-17</v>
      </c>
      <c r="W177">
        <v>-22</v>
      </c>
      <c r="X177">
        <v>-14.1</v>
      </c>
      <c r="Y177">
        <v>0.6</v>
      </c>
      <c r="Z177">
        <v>-22</v>
      </c>
      <c r="AA177">
        <v>16.3</v>
      </c>
      <c r="AB177">
        <v>16.600000000000001</v>
      </c>
      <c r="AC177">
        <v>40.5</v>
      </c>
      <c r="AD177">
        <v>8.6</v>
      </c>
      <c r="AE177">
        <v>6.8</v>
      </c>
      <c r="AF177">
        <v>0</v>
      </c>
      <c r="AG177">
        <v>12</v>
      </c>
      <c r="AH177">
        <v>10</v>
      </c>
      <c r="AI177">
        <v>11.1</v>
      </c>
      <c r="AJ177">
        <v>10</v>
      </c>
      <c r="AK177">
        <v>11.1</v>
      </c>
      <c r="AL177">
        <v>10</v>
      </c>
      <c r="AM177">
        <v>12.8</v>
      </c>
      <c r="AN177">
        <v>9</v>
      </c>
      <c r="AO177">
        <v>12</v>
      </c>
      <c r="AP177">
        <v>10</v>
      </c>
      <c r="AQ177">
        <v>11.2</v>
      </c>
      <c r="AR177">
        <v>10</v>
      </c>
      <c r="AS177">
        <v>10.4</v>
      </c>
      <c r="AT177">
        <v>10</v>
      </c>
      <c r="AU177">
        <v>19</v>
      </c>
      <c r="AV177">
        <v>19</v>
      </c>
      <c r="AW177">
        <v>19.600000000000001</v>
      </c>
      <c r="AX177">
        <v>19</v>
      </c>
      <c r="AY177">
        <v>9.6999999999999993</v>
      </c>
      <c r="AZ177">
        <v>10</v>
      </c>
      <c r="BA177">
        <v>10.4</v>
      </c>
      <c r="BB177">
        <v>10</v>
      </c>
    </row>
    <row r="178" spans="1:54" x14ac:dyDescent="0.35">
      <c r="A178" s="1">
        <v>46059.571527777778</v>
      </c>
      <c r="B178">
        <v>20.9</v>
      </c>
      <c r="C178">
        <v>3</v>
      </c>
      <c r="D178">
        <v>19.399999999999999</v>
      </c>
      <c r="E178">
        <v>2</v>
      </c>
      <c r="F178">
        <v>7.5</v>
      </c>
      <c r="G178">
        <v>11</v>
      </c>
      <c r="H178">
        <v>0</v>
      </c>
      <c r="I178">
        <v>14.1</v>
      </c>
      <c r="J178">
        <v>10.199999999999999</v>
      </c>
      <c r="K178">
        <v>0</v>
      </c>
      <c r="L178">
        <v>12</v>
      </c>
      <c r="M178">
        <v>15.5</v>
      </c>
      <c r="N178">
        <v>0</v>
      </c>
      <c r="O178">
        <v>12.9</v>
      </c>
      <c r="P178">
        <v>8.4</v>
      </c>
      <c r="Q178">
        <v>0</v>
      </c>
      <c r="R178">
        <v>8.9</v>
      </c>
      <c r="S178">
        <v>12.3</v>
      </c>
      <c r="T178">
        <v>0</v>
      </c>
      <c r="U178">
        <v>-15.1</v>
      </c>
      <c r="V178">
        <v>-17.399999999999999</v>
      </c>
      <c r="W178">
        <v>-22</v>
      </c>
      <c r="X178">
        <v>-14.2</v>
      </c>
      <c r="Y178">
        <v>0</v>
      </c>
      <c r="Z178">
        <v>-22</v>
      </c>
      <c r="AA178">
        <v>16.3</v>
      </c>
      <c r="AB178">
        <v>16.600000000000001</v>
      </c>
      <c r="AC178">
        <v>40.5</v>
      </c>
      <c r="AD178">
        <v>8.6</v>
      </c>
      <c r="AE178">
        <v>6.8</v>
      </c>
      <c r="AF178">
        <v>0</v>
      </c>
      <c r="AG178">
        <v>11.5</v>
      </c>
      <c r="AH178">
        <v>10</v>
      </c>
      <c r="AI178">
        <v>11.2</v>
      </c>
      <c r="AJ178">
        <v>10</v>
      </c>
      <c r="AK178">
        <v>11.4</v>
      </c>
      <c r="AL178">
        <v>10</v>
      </c>
      <c r="AM178">
        <v>12.9</v>
      </c>
      <c r="AN178">
        <v>9</v>
      </c>
      <c r="AO178">
        <v>11.3</v>
      </c>
      <c r="AP178">
        <v>10</v>
      </c>
      <c r="AQ178">
        <v>11.2</v>
      </c>
      <c r="AR178">
        <v>10</v>
      </c>
      <c r="AS178">
        <v>10.7</v>
      </c>
      <c r="AT178">
        <v>10</v>
      </c>
      <c r="AU178">
        <v>19</v>
      </c>
      <c r="AV178">
        <v>19</v>
      </c>
      <c r="AW178">
        <v>19.600000000000001</v>
      </c>
      <c r="AX178">
        <v>19</v>
      </c>
      <c r="AY178">
        <v>10.199999999999999</v>
      </c>
      <c r="AZ178">
        <v>10</v>
      </c>
      <c r="BA178">
        <v>10.8</v>
      </c>
      <c r="BB178">
        <v>10</v>
      </c>
    </row>
    <row r="179" spans="1:54" x14ac:dyDescent="0.35">
      <c r="A179" s="1">
        <v>46059.572222222225</v>
      </c>
      <c r="B179">
        <v>20.9</v>
      </c>
      <c r="C179">
        <v>3</v>
      </c>
      <c r="D179">
        <v>19.399999999999999</v>
      </c>
      <c r="E179">
        <v>2</v>
      </c>
      <c r="F179">
        <v>7.5</v>
      </c>
      <c r="G179">
        <v>11</v>
      </c>
      <c r="H179">
        <v>0</v>
      </c>
      <c r="I179">
        <v>14.2</v>
      </c>
      <c r="J179">
        <v>10.199999999999999</v>
      </c>
      <c r="K179">
        <v>0</v>
      </c>
      <c r="L179">
        <v>12</v>
      </c>
      <c r="M179">
        <v>15.5</v>
      </c>
      <c r="N179">
        <v>0</v>
      </c>
      <c r="O179">
        <v>13</v>
      </c>
      <c r="P179">
        <v>8.4</v>
      </c>
      <c r="Q179">
        <v>0</v>
      </c>
      <c r="R179">
        <v>8.9</v>
      </c>
      <c r="S179">
        <v>12.3</v>
      </c>
      <c r="T179">
        <v>0</v>
      </c>
      <c r="U179">
        <v>-15.3</v>
      </c>
      <c r="V179">
        <v>-17.3</v>
      </c>
      <c r="W179">
        <v>-22</v>
      </c>
      <c r="X179">
        <v>-14.6</v>
      </c>
      <c r="Y179">
        <v>-0.1</v>
      </c>
      <c r="Z179">
        <v>-22</v>
      </c>
      <c r="AA179">
        <v>16.3</v>
      </c>
      <c r="AB179">
        <v>16.600000000000001</v>
      </c>
      <c r="AC179">
        <v>40.5</v>
      </c>
      <c r="AD179">
        <v>8.6</v>
      </c>
      <c r="AE179">
        <v>6.8</v>
      </c>
      <c r="AF179">
        <v>0</v>
      </c>
      <c r="AG179">
        <v>10.5</v>
      </c>
      <c r="AH179">
        <v>10</v>
      </c>
      <c r="AI179">
        <v>11.4</v>
      </c>
      <c r="AJ179">
        <v>10</v>
      </c>
      <c r="AK179">
        <v>11.5</v>
      </c>
      <c r="AL179">
        <v>10</v>
      </c>
      <c r="AM179">
        <v>12.9</v>
      </c>
      <c r="AN179">
        <v>9</v>
      </c>
      <c r="AO179">
        <v>10.8</v>
      </c>
      <c r="AP179">
        <v>10</v>
      </c>
      <c r="AQ179">
        <v>11.3</v>
      </c>
      <c r="AR179">
        <v>10</v>
      </c>
      <c r="AS179">
        <v>10.9</v>
      </c>
      <c r="AT179">
        <v>10</v>
      </c>
      <c r="AU179">
        <v>19</v>
      </c>
      <c r="AV179">
        <v>19</v>
      </c>
      <c r="AW179">
        <v>19.600000000000001</v>
      </c>
      <c r="AX179">
        <v>19</v>
      </c>
      <c r="AY179">
        <v>10.5</v>
      </c>
      <c r="AZ179">
        <v>10</v>
      </c>
      <c r="BA179">
        <v>11.2</v>
      </c>
      <c r="BB179">
        <v>10</v>
      </c>
    </row>
    <row r="180" spans="1:54" x14ac:dyDescent="0.35">
      <c r="A180" s="1">
        <v>46059.572916666664</v>
      </c>
      <c r="B180">
        <v>20.9</v>
      </c>
      <c r="C180">
        <v>3</v>
      </c>
      <c r="D180">
        <v>19.399999999999999</v>
      </c>
      <c r="E180">
        <v>2</v>
      </c>
      <c r="F180">
        <v>7.5</v>
      </c>
      <c r="G180">
        <v>11</v>
      </c>
      <c r="H180">
        <v>0</v>
      </c>
      <c r="I180">
        <v>14.2</v>
      </c>
      <c r="J180">
        <v>10.199999999999999</v>
      </c>
      <c r="K180">
        <v>0</v>
      </c>
      <c r="L180">
        <v>12</v>
      </c>
      <c r="M180">
        <v>15.5</v>
      </c>
      <c r="N180">
        <v>0</v>
      </c>
      <c r="O180">
        <v>13</v>
      </c>
      <c r="P180">
        <v>8.4</v>
      </c>
      <c r="Q180">
        <v>0</v>
      </c>
      <c r="R180">
        <v>8.9</v>
      </c>
      <c r="S180">
        <v>12.4</v>
      </c>
      <c r="T180">
        <v>0</v>
      </c>
      <c r="U180">
        <v>-15.5</v>
      </c>
      <c r="V180">
        <v>-17.8</v>
      </c>
      <c r="W180">
        <v>-22</v>
      </c>
      <c r="X180">
        <v>-14.8</v>
      </c>
      <c r="Y180">
        <v>-0.9</v>
      </c>
      <c r="Z180">
        <v>-22</v>
      </c>
      <c r="AA180">
        <v>16.2</v>
      </c>
      <c r="AB180">
        <v>16.600000000000001</v>
      </c>
      <c r="AC180">
        <v>40.5</v>
      </c>
      <c r="AD180">
        <v>8.5</v>
      </c>
      <c r="AE180">
        <v>6.8</v>
      </c>
      <c r="AF180">
        <v>0</v>
      </c>
      <c r="AG180">
        <v>9.8000000000000007</v>
      </c>
      <c r="AH180">
        <v>10</v>
      </c>
      <c r="AI180">
        <v>11.4</v>
      </c>
      <c r="AJ180">
        <v>10</v>
      </c>
      <c r="AK180">
        <v>11.6</v>
      </c>
      <c r="AL180">
        <v>10</v>
      </c>
      <c r="AM180">
        <v>12.9</v>
      </c>
      <c r="AN180">
        <v>9</v>
      </c>
      <c r="AO180">
        <v>10.6</v>
      </c>
      <c r="AP180">
        <v>10</v>
      </c>
      <c r="AQ180">
        <v>11.4</v>
      </c>
      <c r="AR180">
        <v>10</v>
      </c>
      <c r="AS180">
        <v>11.2</v>
      </c>
      <c r="AT180">
        <v>10</v>
      </c>
      <c r="AU180">
        <v>19.100000000000001</v>
      </c>
      <c r="AV180">
        <v>19</v>
      </c>
      <c r="AW180">
        <v>19.600000000000001</v>
      </c>
      <c r="AX180">
        <v>19</v>
      </c>
      <c r="AY180">
        <v>10.8</v>
      </c>
      <c r="AZ180">
        <v>10</v>
      </c>
      <c r="BA180">
        <v>11.4</v>
      </c>
      <c r="BB180">
        <v>10</v>
      </c>
    </row>
    <row r="181" spans="1:54" x14ac:dyDescent="0.35">
      <c r="A181" s="1">
        <v>46059.573611111111</v>
      </c>
      <c r="B181">
        <v>20.9</v>
      </c>
      <c r="C181">
        <v>3</v>
      </c>
      <c r="D181">
        <v>19.5</v>
      </c>
      <c r="E181">
        <v>2</v>
      </c>
      <c r="F181">
        <v>7.5</v>
      </c>
      <c r="G181">
        <v>11</v>
      </c>
      <c r="H181">
        <v>0</v>
      </c>
      <c r="I181">
        <v>14.2</v>
      </c>
      <c r="J181">
        <v>10.199999999999999</v>
      </c>
      <c r="K181">
        <v>0</v>
      </c>
      <c r="L181">
        <v>12</v>
      </c>
      <c r="M181">
        <v>15.5</v>
      </c>
      <c r="N181">
        <v>0</v>
      </c>
      <c r="O181">
        <v>13</v>
      </c>
      <c r="P181">
        <v>8.4</v>
      </c>
      <c r="Q181">
        <v>0</v>
      </c>
      <c r="R181">
        <v>8.9</v>
      </c>
      <c r="S181">
        <v>12.4</v>
      </c>
      <c r="T181">
        <v>0</v>
      </c>
      <c r="U181">
        <v>-15.7</v>
      </c>
      <c r="V181">
        <v>-17.600000000000001</v>
      </c>
      <c r="W181">
        <v>-22</v>
      </c>
      <c r="X181">
        <v>-15</v>
      </c>
      <c r="Y181">
        <v>-1.2</v>
      </c>
      <c r="Z181">
        <v>-22</v>
      </c>
      <c r="AA181">
        <v>16.2</v>
      </c>
      <c r="AB181">
        <v>16.600000000000001</v>
      </c>
      <c r="AC181">
        <v>40.5</v>
      </c>
      <c r="AD181">
        <v>8.5</v>
      </c>
      <c r="AE181">
        <v>6.8</v>
      </c>
      <c r="AF181">
        <v>0</v>
      </c>
      <c r="AG181">
        <v>9.6</v>
      </c>
      <c r="AH181">
        <v>10</v>
      </c>
      <c r="AI181">
        <v>11.5</v>
      </c>
      <c r="AJ181">
        <v>10</v>
      </c>
      <c r="AK181">
        <v>11.7</v>
      </c>
      <c r="AL181">
        <v>10</v>
      </c>
      <c r="AM181">
        <v>12.9</v>
      </c>
      <c r="AN181">
        <v>9</v>
      </c>
      <c r="AO181">
        <v>10.5</v>
      </c>
      <c r="AP181">
        <v>10</v>
      </c>
      <c r="AQ181">
        <v>11.6</v>
      </c>
      <c r="AR181">
        <v>10</v>
      </c>
      <c r="AS181">
        <v>11.4</v>
      </c>
      <c r="AT181">
        <v>10</v>
      </c>
      <c r="AU181">
        <v>19.100000000000001</v>
      </c>
      <c r="AV181">
        <v>19</v>
      </c>
      <c r="AW181">
        <v>19.600000000000001</v>
      </c>
      <c r="AX181">
        <v>19</v>
      </c>
      <c r="AY181">
        <v>11.1</v>
      </c>
      <c r="AZ181">
        <v>10</v>
      </c>
      <c r="BA181">
        <v>11.7</v>
      </c>
      <c r="BB181">
        <v>10</v>
      </c>
    </row>
    <row r="182" spans="1:54" x14ac:dyDescent="0.35">
      <c r="A182" s="1">
        <v>46059.574305555558</v>
      </c>
      <c r="B182">
        <v>20.9</v>
      </c>
      <c r="C182">
        <v>3</v>
      </c>
      <c r="D182">
        <v>19.5</v>
      </c>
      <c r="E182">
        <v>2</v>
      </c>
      <c r="F182">
        <v>7.5</v>
      </c>
      <c r="G182">
        <v>11</v>
      </c>
      <c r="H182">
        <v>0</v>
      </c>
      <c r="I182">
        <v>14.2</v>
      </c>
      <c r="J182">
        <v>10.199999999999999</v>
      </c>
      <c r="K182">
        <v>0</v>
      </c>
      <c r="L182">
        <v>12</v>
      </c>
      <c r="M182">
        <v>15.6</v>
      </c>
      <c r="N182">
        <v>0</v>
      </c>
      <c r="O182">
        <v>13</v>
      </c>
      <c r="P182">
        <v>8.4</v>
      </c>
      <c r="Q182">
        <v>0</v>
      </c>
      <c r="R182">
        <v>8.9</v>
      </c>
      <c r="S182">
        <v>12.4</v>
      </c>
      <c r="T182">
        <v>0</v>
      </c>
      <c r="U182">
        <v>-15.8</v>
      </c>
      <c r="V182">
        <v>-18.100000000000001</v>
      </c>
      <c r="W182">
        <v>-22</v>
      </c>
      <c r="X182">
        <v>-15.1</v>
      </c>
      <c r="Y182">
        <v>-1.4</v>
      </c>
      <c r="Z182">
        <v>-22</v>
      </c>
      <c r="AA182">
        <v>16.100000000000001</v>
      </c>
      <c r="AB182">
        <v>16.600000000000001</v>
      </c>
      <c r="AC182">
        <v>40.5</v>
      </c>
      <c r="AD182">
        <v>8.5</v>
      </c>
      <c r="AE182">
        <v>6.8</v>
      </c>
      <c r="AF182">
        <v>0</v>
      </c>
      <c r="AG182">
        <v>9.8000000000000007</v>
      </c>
      <c r="AH182">
        <v>10</v>
      </c>
      <c r="AI182">
        <v>11.6</v>
      </c>
      <c r="AJ182">
        <v>10</v>
      </c>
      <c r="AK182">
        <v>11.8</v>
      </c>
      <c r="AL182">
        <v>10</v>
      </c>
      <c r="AM182">
        <v>12.9</v>
      </c>
      <c r="AN182">
        <v>9</v>
      </c>
      <c r="AO182">
        <v>10.4</v>
      </c>
      <c r="AP182">
        <v>10</v>
      </c>
      <c r="AQ182">
        <v>12</v>
      </c>
      <c r="AR182">
        <v>10</v>
      </c>
      <c r="AS182">
        <v>11.5</v>
      </c>
      <c r="AT182">
        <v>10</v>
      </c>
      <c r="AU182">
        <v>19.2</v>
      </c>
      <c r="AV182">
        <v>19</v>
      </c>
      <c r="AW182">
        <v>19.600000000000001</v>
      </c>
      <c r="AX182">
        <v>19</v>
      </c>
      <c r="AY182">
        <v>11.4</v>
      </c>
      <c r="AZ182">
        <v>10</v>
      </c>
      <c r="BA182">
        <v>11.9</v>
      </c>
      <c r="BB182">
        <v>10</v>
      </c>
    </row>
    <row r="183" spans="1:54" x14ac:dyDescent="0.35">
      <c r="A183" s="1">
        <v>46059.574999999997</v>
      </c>
      <c r="B183">
        <v>20.9</v>
      </c>
      <c r="C183">
        <v>3</v>
      </c>
      <c r="D183">
        <v>19.5</v>
      </c>
      <c r="E183">
        <v>2</v>
      </c>
      <c r="F183">
        <v>7.5</v>
      </c>
      <c r="G183">
        <v>11.1</v>
      </c>
      <c r="H183">
        <v>0</v>
      </c>
      <c r="I183">
        <v>14.2</v>
      </c>
      <c r="J183">
        <v>10.199999999999999</v>
      </c>
      <c r="K183">
        <v>0</v>
      </c>
      <c r="L183">
        <v>12</v>
      </c>
      <c r="M183">
        <v>15.6</v>
      </c>
      <c r="N183">
        <v>0</v>
      </c>
      <c r="O183">
        <v>13</v>
      </c>
      <c r="P183">
        <v>8.4</v>
      </c>
      <c r="Q183">
        <v>0</v>
      </c>
      <c r="R183">
        <v>8.9</v>
      </c>
      <c r="S183">
        <v>12.4</v>
      </c>
      <c r="T183">
        <v>0</v>
      </c>
      <c r="U183">
        <v>-16</v>
      </c>
      <c r="V183">
        <v>-17.899999999999999</v>
      </c>
      <c r="W183">
        <v>-22</v>
      </c>
      <c r="X183">
        <v>-15.4</v>
      </c>
      <c r="Y183">
        <v>-1.9</v>
      </c>
      <c r="Z183">
        <v>-22</v>
      </c>
      <c r="AA183">
        <v>16.100000000000001</v>
      </c>
      <c r="AB183">
        <v>16.600000000000001</v>
      </c>
      <c r="AC183">
        <v>40.5</v>
      </c>
      <c r="AD183">
        <v>8.5</v>
      </c>
      <c r="AE183">
        <v>6.8</v>
      </c>
      <c r="AF183">
        <v>0</v>
      </c>
      <c r="AG183">
        <v>10.1</v>
      </c>
      <c r="AH183">
        <v>10</v>
      </c>
      <c r="AI183">
        <v>11.7</v>
      </c>
      <c r="AJ183">
        <v>10</v>
      </c>
      <c r="AK183">
        <v>11.9</v>
      </c>
      <c r="AL183">
        <v>10</v>
      </c>
      <c r="AM183">
        <v>12.9</v>
      </c>
      <c r="AN183">
        <v>9</v>
      </c>
      <c r="AO183">
        <v>10.4</v>
      </c>
      <c r="AP183">
        <v>10</v>
      </c>
      <c r="AQ183">
        <v>12.1</v>
      </c>
      <c r="AR183">
        <v>10</v>
      </c>
      <c r="AS183">
        <v>11.7</v>
      </c>
      <c r="AT183">
        <v>10</v>
      </c>
      <c r="AU183">
        <v>19.2</v>
      </c>
      <c r="AV183">
        <v>19</v>
      </c>
      <c r="AW183">
        <v>19.600000000000001</v>
      </c>
      <c r="AX183">
        <v>19</v>
      </c>
      <c r="AY183">
        <v>11.6</v>
      </c>
      <c r="AZ183">
        <v>10</v>
      </c>
      <c r="BA183">
        <v>12</v>
      </c>
      <c r="BB183">
        <v>10</v>
      </c>
    </row>
    <row r="184" spans="1:54" x14ac:dyDescent="0.35">
      <c r="A184" s="1">
        <v>46059.575694444444</v>
      </c>
      <c r="B184">
        <v>20.9</v>
      </c>
      <c r="C184">
        <v>3</v>
      </c>
      <c r="D184">
        <v>19.5</v>
      </c>
      <c r="E184">
        <v>2</v>
      </c>
      <c r="F184">
        <v>7.6</v>
      </c>
      <c r="G184">
        <v>11.1</v>
      </c>
      <c r="H184">
        <v>0</v>
      </c>
      <c r="I184">
        <v>14.2</v>
      </c>
      <c r="J184">
        <v>10.199999999999999</v>
      </c>
      <c r="K184">
        <v>0</v>
      </c>
      <c r="L184">
        <v>12</v>
      </c>
      <c r="M184">
        <v>15.6</v>
      </c>
      <c r="N184">
        <v>0</v>
      </c>
      <c r="O184">
        <v>13</v>
      </c>
      <c r="P184">
        <v>8.4</v>
      </c>
      <c r="Q184">
        <v>0</v>
      </c>
      <c r="R184">
        <v>8.9</v>
      </c>
      <c r="S184">
        <v>12.4</v>
      </c>
      <c r="T184">
        <v>0</v>
      </c>
      <c r="U184">
        <v>-16.100000000000001</v>
      </c>
      <c r="V184">
        <v>-18.399999999999999</v>
      </c>
      <c r="W184">
        <v>-22</v>
      </c>
      <c r="X184">
        <v>-15.8</v>
      </c>
      <c r="Y184">
        <v>-3.1</v>
      </c>
      <c r="Z184">
        <v>-22</v>
      </c>
      <c r="AA184">
        <v>16</v>
      </c>
      <c r="AB184">
        <v>16.5</v>
      </c>
      <c r="AC184">
        <v>40.5</v>
      </c>
      <c r="AD184">
        <v>8.5</v>
      </c>
      <c r="AE184">
        <v>6.8</v>
      </c>
      <c r="AF184">
        <v>0</v>
      </c>
      <c r="AG184">
        <v>10.4</v>
      </c>
      <c r="AH184">
        <v>10</v>
      </c>
      <c r="AI184">
        <v>11.8</v>
      </c>
      <c r="AJ184">
        <v>10</v>
      </c>
      <c r="AK184">
        <v>11.9</v>
      </c>
      <c r="AL184">
        <v>10</v>
      </c>
      <c r="AM184">
        <v>12.9</v>
      </c>
      <c r="AN184">
        <v>9</v>
      </c>
      <c r="AO184">
        <v>10.4</v>
      </c>
      <c r="AP184">
        <v>10</v>
      </c>
      <c r="AQ184">
        <v>12.1</v>
      </c>
      <c r="AR184">
        <v>10</v>
      </c>
      <c r="AS184">
        <v>11.9</v>
      </c>
      <c r="AT184">
        <v>10</v>
      </c>
      <c r="AU184">
        <v>19.2</v>
      </c>
      <c r="AV184">
        <v>19</v>
      </c>
      <c r="AW184">
        <v>19.7</v>
      </c>
      <c r="AX184">
        <v>19</v>
      </c>
      <c r="AY184">
        <v>11.8</v>
      </c>
      <c r="AZ184">
        <v>10</v>
      </c>
      <c r="BA184">
        <v>11.1</v>
      </c>
      <c r="BB184">
        <v>10</v>
      </c>
    </row>
    <row r="185" spans="1:54" x14ac:dyDescent="0.35">
      <c r="A185" s="1">
        <v>46059.576388888891</v>
      </c>
      <c r="B185">
        <v>20.9</v>
      </c>
      <c r="C185">
        <v>3</v>
      </c>
      <c r="D185">
        <v>19.5</v>
      </c>
      <c r="E185">
        <v>2</v>
      </c>
      <c r="F185">
        <v>7.6</v>
      </c>
      <c r="G185">
        <v>11.1</v>
      </c>
      <c r="H185">
        <v>0</v>
      </c>
      <c r="I185">
        <v>14.2</v>
      </c>
      <c r="J185">
        <v>10.199999999999999</v>
      </c>
      <c r="K185">
        <v>0</v>
      </c>
      <c r="L185">
        <v>12</v>
      </c>
      <c r="M185">
        <v>15.6</v>
      </c>
      <c r="N185">
        <v>0</v>
      </c>
      <c r="O185">
        <v>13</v>
      </c>
      <c r="P185">
        <v>8.4</v>
      </c>
      <c r="Q185">
        <v>0</v>
      </c>
      <c r="R185">
        <v>8.9</v>
      </c>
      <c r="S185">
        <v>12.4</v>
      </c>
      <c r="T185">
        <v>0</v>
      </c>
      <c r="U185">
        <v>-16.3</v>
      </c>
      <c r="V185">
        <v>-18.2</v>
      </c>
      <c r="W185">
        <v>-22</v>
      </c>
      <c r="X185">
        <v>-15.9</v>
      </c>
      <c r="Y185">
        <v>-4.4000000000000004</v>
      </c>
      <c r="Z185">
        <v>-22</v>
      </c>
      <c r="AA185">
        <v>16</v>
      </c>
      <c r="AB185">
        <v>16.5</v>
      </c>
      <c r="AC185">
        <v>40.5</v>
      </c>
      <c r="AD185">
        <v>8.5</v>
      </c>
      <c r="AE185">
        <v>6.8</v>
      </c>
      <c r="AF185">
        <v>0</v>
      </c>
      <c r="AG185">
        <v>10.7</v>
      </c>
      <c r="AH185">
        <v>10</v>
      </c>
      <c r="AI185">
        <v>11.9</v>
      </c>
      <c r="AJ185">
        <v>10</v>
      </c>
      <c r="AK185">
        <v>11.9</v>
      </c>
      <c r="AL185">
        <v>10</v>
      </c>
      <c r="AM185">
        <v>12.9</v>
      </c>
      <c r="AN185">
        <v>9</v>
      </c>
      <c r="AO185">
        <v>10.3</v>
      </c>
      <c r="AP185">
        <v>10</v>
      </c>
      <c r="AQ185">
        <v>12.1</v>
      </c>
      <c r="AR185">
        <v>10</v>
      </c>
      <c r="AS185">
        <v>11.7</v>
      </c>
      <c r="AT185">
        <v>10</v>
      </c>
      <c r="AU185">
        <v>19.2</v>
      </c>
      <c r="AV185">
        <v>19</v>
      </c>
      <c r="AW185">
        <v>19.7</v>
      </c>
      <c r="AX185">
        <v>19</v>
      </c>
      <c r="AY185">
        <v>12</v>
      </c>
      <c r="AZ185">
        <v>10</v>
      </c>
      <c r="BA185">
        <v>10.4</v>
      </c>
      <c r="BB185">
        <v>10</v>
      </c>
    </row>
    <row r="186" spans="1:54" x14ac:dyDescent="0.35">
      <c r="A186" s="1">
        <v>46059.57708333333</v>
      </c>
      <c r="B186">
        <v>20.9</v>
      </c>
      <c r="C186">
        <v>3</v>
      </c>
      <c r="D186">
        <v>19.5</v>
      </c>
      <c r="E186">
        <v>2</v>
      </c>
      <c r="F186">
        <v>7.6</v>
      </c>
      <c r="G186">
        <v>11.1</v>
      </c>
      <c r="H186">
        <v>0</v>
      </c>
      <c r="I186">
        <v>14.2</v>
      </c>
      <c r="J186">
        <v>10.199999999999999</v>
      </c>
      <c r="K186">
        <v>0</v>
      </c>
      <c r="L186">
        <v>12</v>
      </c>
      <c r="M186">
        <v>15.6</v>
      </c>
      <c r="N186">
        <v>0</v>
      </c>
      <c r="O186">
        <v>13.1</v>
      </c>
      <c r="P186">
        <v>8.5</v>
      </c>
      <c r="Q186">
        <v>0</v>
      </c>
      <c r="R186">
        <v>8.9</v>
      </c>
      <c r="S186">
        <v>12.5</v>
      </c>
      <c r="T186">
        <v>0</v>
      </c>
      <c r="U186">
        <v>-16.3</v>
      </c>
      <c r="V186">
        <v>-18.600000000000001</v>
      </c>
      <c r="W186">
        <v>-22</v>
      </c>
      <c r="X186">
        <v>-16</v>
      </c>
      <c r="Y186">
        <v>-5.3</v>
      </c>
      <c r="Z186">
        <v>-22</v>
      </c>
      <c r="AA186">
        <v>15.8</v>
      </c>
      <c r="AB186">
        <v>16.399999999999999</v>
      </c>
      <c r="AC186">
        <v>40.5</v>
      </c>
      <c r="AD186">
        <v>8.5</v>
      </c>
      <c r="AE186">
        <v>6.8</v>
      </c>
      <c r="AF186">
        <v>0</v>
      </c>
      <c r="AG186">
        <v>10.9</v>
      </c>
      <c r="AH186">
        <v>10</v>
      </c>
      <c r="AI186">
        <v>12</v>
      </c>
      <c r="AJ186">
        <v>10</v>
      </c>
      <c r="AK186">
        <v>11.9</v>
      </c>
      <c r="AL186">
        <v>10</v>
      </c>
      <c r="AM186">
        <v>12.9</v>
      </c>
      <c r="AN186">
        <v>9</v>
      </c>
      <c r="AO186">
        <v>10.199999999999999</v>
      </c>
      <c r="AP186">
        <v>10</v>
      </c>
      <c r="AQ186">
        <v>12.1</v>
      </c>
      <c r="AR186">
        <v>10</v>
      </c>
      <c r="AS186">
        <v>9</v>
      </c>
      <c r="AT186">
        <v>10</v>
      </c>
      <c r="AU186">
        <v>19.2</v>
      </c>
      <c r="AV186">
        <v>19</v>
      </c>
      <c r="AW186">
        <v>19.7</v>
      </c>
      <c r="AX186">
        <v>19</v>
      </c>
      <c r="AY186">
        <v>11.7</v>
      </c>
      <c r="AZ186">
        <v>10</v>
      </c>
      <c r="BA186">
        <v>9.9</v>
      </c>
      <c r="BB186">
        <v>10</v>
      </c>
    </row>
    <row r="187" spans="1:54" x14ac:dyDescent="0.35">
      <c r="A187" s="1">
        <v>46059.577777777777</v>
      </c>
      <c r="B187">
        <v>20.9</v>
      </c>
      <c r="C187">
        <v>3</v>
      </c>
      <c r="D187">
        <v>19.5</v>
      </c>
      <c r="E187">
        <v>2</v>
      </c>
      <c r="F187">
        <v>7.6</v>
      </c>
      <c r="G187">
        <v>11.1</v>
      </c>
      <c r="H187">
        <v>0</v>
      </c>
      <c r="I187">
        <v>14.2</v>
      </c>
      <c r="J187">
        <v>10.199999999999999</v>
      </c>
      <c r="K187">
        <v>0</v>
      </c>
      <c r="L187">
        <v>12.1</v>
      </c>
      <c r="M187">
        <v>15.6</v>
      </c>
      <c r="N187">
        <v>0</v>
      </c>
      <c r="O187">
        <v>13.1</v>
      </c>
      <c r="P187">
        <v>8.5</v>
      </c>
      <c r="Q187">
        <v>0</v>
      </c>
      <c r="R187">
        <v>8.9</v>
      </c>
      <c r="S187">
        <v>12.5</v>
      </c>
      <c r="T187">
        <v>0</v>
      </c>
      <c r="U187">
        <v>-16.3</v>
      </c>
      <c r="V187">
        <v>-18.3</v>
      </c>
      <c r="W187">
        <v>-22</v>
      </c>
      <c r="X187">
        <v>-16.2</v>
      </c>
      <c r="Y187">
        <v>-6</v>
      </c>
      <c r="Z187">
        <v>-22</v>
      </c>
      <c r="AA187">
        <v>15.8</v>
      </c>
      <c r="AB187">
        <v>16.399999999999999</v>
      </c>
      <c r="AC187">
        <v>40.5</v>
      </c>
      <c r="AD187">
        <v>8.5</v>
      </c>
      <c r="AE187">
        <v>6.8</v>
      </c>
      <c r="AF187">
        <v>0</v>
      </c>
      <c r="AG187">
        <v>11.1</v>
      </c>
      <c r="AH187">
        <v>10</v>
      </c>
      <c r="AI187">
        <v>11.3</v>
      </c>
      <c r="AJ187">
        <v>10</v>
      </c>
      <c r="AK187">
        <v>12</v>
      </c>
      <c r="AL187">
        <v>10</v>
      </c>
      <c r="AM187">
        <v>12.9</v>
      </c>
      <c r="AN187">
        <v>9</v>
      </c>
      <c r="AO187">
        <v>10.199999999999999</v>
      </c>
      <c r="AP187">
        <v>10</v>
      </c>
      <c r="AQ187">
        <v>12.1</v>
      </c>
      <c r="AR187">
        <v>10</v>
      </c>
      <c r="AS187">
        <v>8.1999999999999993</v>
      </c>
      <c r="AT187">
        <v>10</v>
      </c>
      <c r="AU187">
        <v>19</v>
      </c>
      <c r="AV187">
        <v>19</v>
      </c>
      <c r="AW187">
        <v>19.899999999999999</v>
      </c>
      <c r="AX187">
        <v>19</v>
      </c>
      <c r="AY187">
        <v>10.7</v>
      </c>
      <c r="AZ187">
        <v>10</v>
      </c>
      <c r="BA187">
        <v>9.8000000000000007</v>
      </c>
      <c r="BB187">
        <v>10</v>
      </c>
    </row>
    <row r="188" spans="1:54" x14ac:dyDescent="0.35">
      <c r="A188" s="1">
        <v>46059.578472222223</v>
      </c>
      <c r="B188">
        <v>20.9</v>
      </c>
      <c r="C188">
        <v>3</v>
      </c>
      <c r="D188">
        <v>19.5</v>
      </c>
      <c r="E188">
        <v>2</v>
      </c>
      <c r="F188">
        <v>7.6</v>
      </c>
      <c r="G188">
        <v>11.1</v>
      </c>
      <c r="H188">
        <v>0</v>
      </c>
      <c r="I188">
        <v>14.2</v>
      </c>
      <c r="J188">
        <v>10.199999999999999</v>
      </c>
      <c r="K188">
        <v>0</v>
      </c>
      <c r="L188">
        <v>12.1</v>
      </c>
      <c r="M188">
        <v>15.6</v>
      </c>
      <c r="N188">
        <v>0</v>
      </c>
      <c r="O188">
        <v>13.1</v>
      </c>
      <c r="P188">
        <v>8.5</v>
      </c>
      <c r="Q188">
        <v>0</v>
      </c>
      <c r="R188">
        <v>8.9</v>
      </c>
      <c r="S188">
        <v>12.5</v>
      </c>
      <c r="T188">
        <v>0</v>
      </c>
      <c r="U188">
        <v>-16.3</v>
      </c>
      <c r="V188">
        <v>-18.7</v>
      </c>
      <c r="W188">
        <v>-22</v>
      </c>
      <c r="X188">
        <v>-16.2</v>
      </c>
      <c r="Y188">
        <v>-6.8</v>
      </c>
      <c r="Z188">
        <v>-22</v>
      </c>
      <c r="AA188">
        <v>15.8</v>
      </c>
      <c r="AB188">
        <v>16.3</v>
      </c>
      <c r="AC188">
        <v>40.5</v>
      </c>
      <c r="AD188">
        <v>8.5</v>
      </c>
      <c r="AE188">
        <v>6.8</v>
      </c>
      <c r="AF188">
        <v>0</v>
      </c>
      <c r="AG188">
        <v>11.2</v>
      </c>
      <c r="AH188">
        <v>10</v>
      </c>
      <c r="AI188">
        <v>9.6999999999999993</v>
      </c>
      <c r="AJ188">
        <v>10</v>
      </c>
      <c r="AK188">
        <v>11.2</v>
      </c>
      <c r="AL188">
        <v>10</v>
      </c>
      <c r="AM188">
        <v>12.9</v>
      </c>
      <c r="AN188">
        <v>9</v>
      </c>
      <c r="AO188">
        <v>10.199999999999999</v>
      </c>
      <c r="AP188">
        <v>10</v>
      </c>
      <c r="AQ188">
        <v>12</v>
      </c>
      <c r="AR188">
        <v>10</v>
      </c>
      <c r="AS188">
        <v>8.4</v>
      </c>
      <c r="AT188">
        <v>10</v>
      </c>
      <c r="AU188">
        <v>18.899999999999999</v>
      </c>
      <c r="AV188">
        <v>19</v>
      </c>
      <c r="AW188">
        <v>19.899999999999999</v>
      </c>
      <c r="AX188">
        <v>19</v>
      </c>
      <c r="AY188">
        <v>9.9</v>
      </c>
      <c r="AZ188">
        <v>10</v>
      </c>
      <c r="BA188">
        <v>10.1</v>
      </c>
      <c r="BB188">
        <v>10</v>
      </c>
    </row>
    <row r="189" spans="1:54" x14ac:dyDescent="0.35">
      <c r="A189" s="1">
        <v>46059.57916666667</v>
      </c>
      <c r="B189">
        <v>20.9</v>
      </c>
      <c r="C189">
        <v>3</v>
      </c>
      <c r="D189">
        <v>19.5</v>
      </c>
      <c r="E189">
        <v>2</v>
      </c>
      <c r="F189">
        <v>7.6</v>
      </c>
      <c r="G189">
        <v>11.1</v>
      </c>
      <c r="H189">
        <v>0</v>
      </c>
      <c r="I189">
        <v>14.2</v>
      </c>
      <c r="J189">
        <v>10.199999999999999</v>
      </c>
      <c r="K189">
        <v>0</v>
      </c>
      <c r="L189">
        <v>12.1</v>
      </c>
      <c r="M189">
        <v>15.6</v>
      </c>
      <c r="N189">
        <v>0</v>
      </c>
      <c r="O189">
        <v>13.1</v>
      </c>
      <c r="P189">
        <v>8.5</v>
      </c>
      <c r="Q189">
        <v>0</v>
      </c>
      <c r="R189">
        <v>8.9</v>
      </c>
      <c r="S189">
        <v>12.5</v>
      </c>
      <c r="T189">
        <v>0</v>
      </c>
      <c r="U189">
        <v>-16.399999999999999</v>
      </c>
      <c r="V189">
        <v>-18.600000000000001</v>
      </c>
      <c r="W189">
        <v>-22</v>
      </c>
      <c r="X189">
        <v>-16.399999999999999</v>
      </c>
      <c r="Y189">
        <v>-7.2</v>
      </c>
      <c r="Z189">
        <v>-22</v>
      </c>
      <c r="AA189">
        <v>15.8</v>
      </c>
      <c r="AB189">
        <v>16.3</v>
      </c>
      <c r="AC189">
        <v>40.5</v>
      </c>
      <c r="AD189">
        <v>8.5</v>
      </c>
      <c r="AE189">
        <v>6.8</v>
      </c>
      <c r="AF189">
        <v>0</v>
      </c>
      <c r="AG189">
        <v>11.4</v>
      </c>
      <c r="AH189">
        <v>10</v>
      </c>
      <c r="AI189">
        <v>9</v>
      </c>
      <c r="AJ189">
        <v>10</v>
      </c>
      <c r="AK189">
        <v>10.1</v>
      </c>
      <c r="AL189">
        <v>10</v>
      </c>
      <c r="AM189">
        <v>12.9</v>
      </c>
      <c r="AN189">
        <v>9</v>
      </c>
      <c r="AO189">
        <v>10.199999999999999</v>
      </c>
      <c r="AP189">
        <v>10</v>
      </c>
      <c r="AQ189">
        <v>11.9</v>
      </c>
      <c r="AR189">
        <v>10</v>
      </c>
      <c r="AS189">
        <v>9.1</v>
      </c>
      <c r="AT189">
        <v>10</v>
      </c>
      <c r="AU189">
        <v>18.899999999999999</v>
      </c>
      <c r="AV189">
        <v>19</v>
      </c>
      <c r="AW189">
        <v>19.899999999999999</v>
      </c>
      <c r="AX189">
        <v>19</v>
      </c>
      <c r="AY189">
        <v>9.6999999999999993</v>
      </c>
      <c r="AZ189">
        <v>10</v>
      </c>
      <c r="BA189">
        <v>10.5</v>
      </c>
      <c r="BB189">
        <v>10</v>
      </c>
    </row>
    <row r="190" spans="1:54" x14ac:dyDescent="0.35">
      <c r="A190" s="1">
        <v>46059.579861111109</v>
      </c>
      <c r="B190">
        <v>20.9</v>
      </c>
      <c r="C190">
        <v>3</v>
      </c>
      <c r="D190">
        <v>19.5</v>
      </c>
      <c r="E190">
        <v>2</v>
      </c>
      <c r="F190">
        <v>7.6</v>
      </c>
      <c r="G190">
        <v>11.1</v>
      </c>
      <c r="H190">
        <v>0</v>
      </c>
      <c r="I190">
        <v>14.2</v>
      </c>
      <c r="J190">
        <v>10.199999999999999</v>
      </c>
      <c r="K190">
        <v>0</v>
      </c>
      <c r="L190">
        <v>12.1</v>
      </c>
      <c r="M190">
        <v>15.6</v>
      </c>
      <c r="N190">
        <v>0</v>
      </c>
      <c r="O190">
        <v>13.1</v>
      </c>
      <c r="P190">
        <v>8.5</v>
      </c>
      <c r="Q190">
        <v>0</v>
      </c>
      <c r="R190">
        <v>8.9</v>
      </c>
      <c r="S190">
        <v>12.5</v>
      </c>
      <c r="T190">
        <v>0</v>
      </c>
      <c r="U190">
        <v>-16.399999999999999</v>
      </c>
      <c r="V190">
        <v>-18.899999999999999</v>
      </c>
      <c r="W190">
        <v>-22</v>
      </c>
      <c r="X190">
        <v>-16.7</v>
      </c>
      <c r="Y190">
        <v>-7.7</v>
      </c>
      <c r="Z190">
        <v>-22</v>
      </c>
      <c r="AA190">
        <v>15.7</v>
      </c>
      <c r="AB190">
        <v>16.3</v>
      </c>
      <c r="AC190">
        <v>40.5</v>
      </c>
      <c r="AD190">
        <v>8.5</v>
      </c>
      <c r="AE190">
        <v>6.8</v>
      </c>
      <c r="AF190">
        <v>0</v>
      </c>
      <c r="AG190">
        <v>11.5</v>
      </c>
      <c r="AH190">
        <v>10</v>
      </c>
      <c r="AI190">
        <v>9</v>
      </c>
      <c r="AJ190">
        <v>10</v>
      </c>
      <c r="AK190">
        <v>9.5</v>
      </c>
      <c r="AL190">
        <v>10</v>
      </c>
      <c r="AM190">
        <v>12.9</v>
      </c>
      <c r="AN190">
        <v>9</v>
      </c>
      <c r="AO190">
        <v>10.199999999999999</v>
      </c>
      <c r="AP190">
        <v>10</v>
      </c>
      <c r="AQ190">
        <v>11.9</v>
      </c>
      <c r="AR190">
        <v>10</v>
      </c>
      <c r="AS190">
        <v>9.6</v>
      </c>
      <c r="AT190">
        <v>10</v>
      </c>
      <c r="AU190">
        <v>18.8</v>
      </c>
      <c r="AV190">
        <v>19</v>
      </c>
      <c r="AW190">
        <v>19.7</v>
      </c>
      <c r="AX190">
        <v>19</v>
      </c>
      <c r="AY190">
        <v>10</v>
      </c>
      <c r="AZ190">
        <v>10</v>
      </c>
      <c r="BA190">
        <v>10.9</v>
      </c>
      <c r="BB190">
        <v>10</v>
      </c>
    </row>
    <row r="191" spans="1:54" x14ac:dyDescent="0.35">
      <c r="A191" s="1">
        <v>46059.580555555556</v>
      </c>
      <c r="B191">
        <v>20.9</v>
      </c>
      <c r="C191">
        <v>3</v>
      </c>
      <c r="D191">
        <v>19.5</v>
      </c>
      <c r="E191">
        <v>2</v>
      </c>
      <c r="F191">
        <v>7.6</v>
      </c>
      <c r="G191">
        <v>11.1</v>
      </c>
      <c r="H191">
        <v>0</v>
      </c>
      <c r="I191">
        <v>14.2</v>
      </c>
      <c r="J191">
        <v>10.199999999999999</v>
      </c>
      <c r="K191">
        <v>0</v>
      </c>
      <c r="L191">
        <v>12.1</v>
      </c>
      <c r="M191">
        <v>15.6</v>
      </c>
      <c r="N191">
        <v>0</v>
      </c>
      <c r="O191">
        <v>13.1</v>
      </c>
      <c r="P191">
        <v>8.5</v>
      </c>
      <c r="Q191">
        <v>0</v>
      </c>
      <c r="R191">
        <v>8.9</v>
      </c>
      <c r="S191">
        <v>12.5</v>
      </c>
      <c r="T191">
        <v>0</v>
      </c>
      <c r="U191">
        <v>-16.600000000000001</v>
      </c>
      <c r="V191">
        <v>-19</v>
      </c>
      <c r="W191">
        <v>-22</v>
      </c>
      <c r="X191">
        <v>-16.899999999999999</v>
      </c>
      <c r="Y191">
        <v>-8.3000000000000007</v>
      </c>
      <c r="Z191">
        <v>-22</v>
      </c>
      <c r="AA191">
        <v>15.4</v>
      </c>
      <c r="AB191">
        <v>16.2</v>
      </c>
      <c r="AC191">
        <v>40.5</v>
      </c>
      <c r="AD191">
        <v>8.5</v>
      </c>
      <c r="AE191">
        <v>6.8</v>
      </c>
      <c r="AF191">
        <v>0</v>
      </c>
      <c r="AG191">
        <v>11.6</v>
      </c>
      <c r="AH191">
        <v>10</v>
      </c>
      <c r="AI191">
        <v>9.1999999999999993</v>
      </c>
      <c r="AJ191">
        <v>10</v>
      </c>
      <c r="AK191">
        <v>9.9</v>
      </c>
      <c r="AL191">
        <v>10</v>
      </c>
      <c r="AM191">
        <v>12.9</v>
      </c>
      <c r="AN191">
        <v>9</v>
      </c>
      <c r="AO191">
        <v>10</v>
      </c>
      <c r="AP191">
        <v>10</v>
      </c>
      <c r="AQ191">
        <v>11.9</v>
      </c>
      <c r="AR191">
        <v>10</v>
      </c>
      <c r="AS191">
        <v>10</v>
      </c>
      <c r="AT191">
        <v>10</v>
      </c>
      <c r="AU191">
        <v>18.8</v>
      </c>
      <c r="AV191">
        <v>19</v>
      </c>
      <c r="AW191">
        <v>19.7</v>
      </c>
      <c r="AX191">
        <v>19</v>
      </c>
      <c r="AY191">
        <v>10.4</v>
      </c>
      <c r="AZ191">
        <v>10</v>
      </c>
      <c r="BA191">
        <v>11.2</v>
      </c>
      <c r="BB191">
        <v>10</v>
      </c>
    </row>
    <row r="192" spans="1:54" x14ac:dyDescent="0.35">
      <c r="A192" s="1">
        <v>46059.581250000003</v>
      </c>
      <c r="B192">
        <v>21</v>
      </c>
      <c r="C192">
        <v>3</v>
      </c>
      <c r="D192">
        <v>19.5</v>
      </c>
      <c r="E192">
        <v>2</v>
      </c>
      <c r="F192">
        <v>7.6</v>
      </c>
      <c r="G192">
        <v>11.1</v>
      </c>
      <c r="H192">
        <v>0</v>
      </c>
      <c r="I192">
        <v>14.2</v>
      </c>
      <c r="J192">
        <v>10.199999999999999</v>
      </c>
      <c r="K192">
        <v>0</v>
      </c>
      <c r="L192">
        <v>12.1</v>
      </c>
      <c r="M192">
        <v>15.6</v>
      </c>
      <c r="N192">
        <v>0</v>
      </c>
      <c r="O192">
        <v>13.1</v>
      </c>
      <c r="P192">
        <v>8.5</v>
      </c>
      <c r="Q192">
        <v>0</v>
      </c>
      <c r="R192">
        <v>8.9</v>
      </c>
      <c r="S192">
        <v>12.5</v>
      </c>
      <c r="T192">
        <v>0</v>
      </c>
      <c r="U192">
        <v>-16.7</v>
      </c>
      <c r="V192">
        <v>-19.3</v>
      </c>
      <c r="W192">
        <v>-22</v>
      </c>
      <c r="X192">
        <v>-17</v>
      </c>
      <c r="Y192">
        <v>-8.8000000000000007</v>
      </c>
      <c r="Z192">
        <v>-22</v>
      </c>
      <c r="AA192">
        <v>15.4</v>
      </c>
      <c r="AB192">
        <v>16.2</v>
      </c>
      <c r="AC192">
        <v>40.5</v>
      </c>
      <c r="AD192">
        <v>8.5</v>
      </c>
      <c r="AE192">
        <v>6.8</v>
      </c>
      <c r="AF192">
        <v>0</v>
      </c>
      <c r="AG192">
        <v>11.7</v>
      </c>
      <c r="AH192">
        <v>10</v>
      </c>
      <c r="AI192">
        <v>9.5</v>
      </c>
      <c r="AJ192">
        <v>10</v>
      </c>
      <c r="AK192">
        <v>10.3</v>
      </c>
      <c r="AL192">
        <v>10</v>
      </c>
      <c r="AM192">
        <v>12.9</v>
      </c>
      <c r="AN192">
        <v>9</v>
      </c>
      <c r="AO192">
        <v>10.7</v>
      </c>
      <c r="AP192">
        <v>10</v>
      </c>
      <c r="AQ192">
        <v>11.7</v>
      </c>
      <c r="AR192">
        <v>10</v>
      </c>
      <c r="AS192">
        <v>10.4</v>
      </c>
      <c r="AT192">
        <v>10</v>
      </c>
      <c r="AU192">
        <v>18.600000000000001</v>
      </c>
      <c r="AV192">
        <v>19</v>
      </c>
      <c r="AW192">
        <v>19.5</v>
      </c>
      <c r="AX192">
        <v>19</v>
      </c>
      <c r="AY192">
        <v>10.7</v>
      </c>
      <c r="AZ192">
        <v>10</v>
      </c>
      <c r="BA192">
        <v>11.5</v>
      </c>
      <c r="BB192">
        <v>10</v>
      </c>
    </row>
    <row r="193" spans="1:54" x14ac:dyDescent="0.35">
      <c r="A193" s="1">
        <v>46059.581944444442</v>
      </c>
      <c r="B193">
        <v>21</v>
      </c>
      <c r="C193">
        <v>3</v>
      </c>
      <c r="D193">
        <v>19.5</v>
      </c>
      <c r="E193">
        <v>2</v>
      </c>
      <c r="F193">
        <v>7.6</v>
      </c>
      <c r="G193">
        <v>11.1</v>
      </c>
      <c r="H193">
        <v>0</v>
      </c>
      <c r="I193">
        <v>14.2</v>
      </c>
      <c r="J193">
        <v>10.199999999999999</v>
      </c>
      <c r="K193">
        <v>0</v>
      </c>
      <c r="L193">
        <v>12.1</v>
      </c>
      <c r="M193">
        <v>15.6</v>
      </c>
      <c r="N193">
        <v>0</v>
      </c>
      <c r="O193">
        <v>13.1</v>
      </c>
      <c r="P193">
        <v>8.5</v>
      </c>
      <c r="Q193">
        <v>0</v>
      </c>
      <c r="R193">
        <v>8.9</v>
      </c>
      <c r="S193">
        <v>12.5</v>
      </c>
      <c r="T193">
        <v>0</v>
      </c>
      <c r="U193">
        <v>-16.899999999999999</v>
      </c>
      <c r="V193">
        <v>-19.3</v>
      </c>
      <c r="W193">
        <v>-22</v>
      </c>
      <c r="X193">
        <v>-17.2</v>
      </c>
      <c r="Y193">
        <v>-9.1999999999999993</v>
      </c>
      <c r="Z193">
        <v>-22</v>
      </c>
      <c r="AA193">
        <v>15.4</v>
      </c>
      <c r="AB193">
        <v>16.100000000000001</v>
      </c>
      <c r="AC193">
        <v>40.5</v>
      </c>
      <c r="AD193">
        <v>8.5</v>
      </c>
      <c r="AE193">
        <v>6.8</v>
      </c>
      <c r="AF193">
        <v>0</v>
      </c>
      <c r="AG193">
        <v>11.8</v>
      </c>
      <c r="AH193">
        <v>10</v>
      </c>
      <c r="AI193">
        <v>9.8000000000000007</v>
      </c>
      <c r="AJ193">
        <v>10</v>
      </c>
      <c r="AK193">
        <v>10.6</v>
      </c>
      <c r="AL193">
        <v>10</v>
      </c>
      <c r="AM193">
        <v>12.8</v>
      </c>
      <c r="AN193">
        <v>9</v>
      </c>
      <c r="AO193">
        <v>11.4</v>
      </c>
      <c r="AP193">
        <v>10</v>
      </c>
      <c r="AQ193">
        <v>11.6</v>
      </c>
      <c r="AR193">
        <v>10</v>
      </c>
      <c r="AS193">
        <v>10.7</v>
      </c>
      <c r="AT193">
        <v>10</v>
      </c>
      <c r="AU193">
        <v>18.5</v>
      </c>
      <c r="AV193">
        <v>19</v>
      </c>
      <c r="AW193">
        <v>19.5</v>
      </c>
      <c r="AX193">
        <v>19</v>
      </c>
      <c r="AY193">
        <v>11</v>
      </c>
      <c r="AZ193">
        <v>10</v>
      </c>
      <c r="BA193">
        <v>11.8</v>
      </c>
      <c r="BB193">
        <v>10</v>
      </c>
    </row>
    <row r="194" spans="1:54" x14ac:dyDescent="0.35">
      <c r="A194" s="1">
        <v>46059.582638888889</v>
      </c>
      <c r="B194">
        <v>21</v>
      </c>
      <c r="C194">
        <v>3</v>
      </c>
      <c r="D194">
        <v>19.5</v>
      </c>
      <c r="E194">
        <v>2</v>
      </c>
      <c r="F194">
        <v>7.6</v>
      </c>
      <c r="G194">
        <v>11.1</v>
      </c>
      <c r="H194">
        <v>0</v>
      </c>
      <c r="I194">
        <v>14.2</v>
      </c>
      <c r="J194">
        <v>10.199999999999999</v>
      </c>
      <c r="K194">
        <v>0</v>
      </c>
      <c r="L194">
        <v>12.1</v>
      </c>
      <c r="M194">
        <v>15.6</v>
      </c>
      <c r="N194">
        <v>0</v>
      </c>
      <c r="O194">
        <v>13.1</v>
      </c>
      <c r="P194">
        <v>8.5</v>
      </c>
      <c r="Q194">
        <v>0</v>
      </c>
      <c r="R194">
        <v>9</v>
      </c>
      <c r="S194">
        <v>12.5</v>
      </c>
      <c r="T194">
        <v>0</v>
      </c>
      <c r="U194">
        <v>-17.100000000000001</v>
      </c>
      <c r="V194">
        <v>-19.3</v>
      </c>
      <c r="W194">
        <v>-22</v>
      </c>
      <c r="X194">
        <v>-17.399999999999999</v>
      </c>
      <c r="Y194">
        <v>-9.6999999999999993</v>
      </c>
      <c r="Z194">
        <v>-22</v>
      </c>
      <c r="AA194">
        <v>15.4</v>
      </c>
      <c r="AB194">
        <v>16.100000000000001</v>
      </c>
      <c r="AC194">
        <v>40.5</v>
      </c>
      <c r="AD194">
        <v>8.5</v>
      </c>
      <c r="AE194">
        <v>6.8</v>
      </c>
      <c r="AF194">
        <v>0</v>
      </c>
      <c r="AG194">
        <v>11.9</v>
      </c>
      <c r="AH194">
        <v>10</v>
      </c>
      <c r="AI194">
        <v>10</v>
      </c>
      <c r="AJ194">
        <v>10</v>
      </c>
      <c r="AK194">
        <v>10.9</v>
      </c>
      <c r="AL194">
        <v>10</v>
      </c>
      <c r="AM194">
        <v>12.8</v>
      </c>
      <c r="AN194">
        <v>9</v>
      </c>
      <c r="AO194">
        <v>11.9</v>
      </c>
      <c r="AP194">
        <v>10</v>
      </c>
      <c r="AQ194">
        <v>11.5</v>
      </c>
      <c r="AR194">
        <v>10</v>
      </c>
      <c r="AS194">
        <v>10.9</v>
      </c>
      <c r="AT194">
        <v>10</v>
      </c>
      <c r="AU194">
        <v>18.5</v>
      </c>
      <c r="AV194">
        <v>19</v>
      </c>
      <c r="AW194">
        <v>19.5</v>
      </c>
      <c r="AX194">
        <v>19</v>
      </c>
      <c r="AY194">
        <v>11.3</v>
      </c>
      <c r="AZ194">
        <v>10</v>
      </c>
      <c r="BA194">
        <v>12</v>
      </c>
      <c r="BB194">
        <v>10</v>
      </c>
    </row>
    <row r="195" spans="1:54" x14ac:dyDescent="0.35">
      <c r="A195" s="1">
        <v>46059.583333333336</v>
      </c>
      <c r="B195">
        <v>21</v>
      </c>
      <c r="C195">
        <v>3</v>
      </c>
      <c r="D195">
        <v>19.5</v>
      </c>
      <c r="E195">
        <v>2</v>
      </c>
      <c r="F195">
        <v>7.6</v>
      </c>
      <c r="G195">
        <v>11.1</v>
      </c>
      <c r="H195">
        <v>0</v>
      </c>
      <c r="I195">
        <v>14.2</v>
      </c>
      <c r="J195">
        <v>10.199999999999999</v>
      </c>
      <c r="K195">
        <v>0</v>
      </c>
      <c r="L195">
        <v>12.1</v>
      </c>
      <c r="M195">
        <v>15.6</v>
      </c>
      <c r="N195">
        <v>0</v>
      </c>
      <c r="O195">
        <v>13.1</v>
      </c>
      <c r="P195">
        <v>8.5</v>
      </c>
      <c r="Q195">
        <v>0</v>
      </c>
      <c r="R195">
        <v>9</v>
      </c>
      <c r="S195">
        <v>12.5</v>
      </c>
      <c r="T195">
        <v>0</v>
      </c>
      <c r="U195">
        <v>-17.2</v>
      </c>
      <c r="V195">
        <v>-19.399999999999999</v>
      </c>
      <c r="W195">
        <v>-22</v>
      </c>
      <c r="X195">
        <v>-17.399999999999999</v>
      </c>
      <c r="Y195">
        <v>-10</v>
      </c>
      <c r="Z195">
        <v>-22</v>
      </c>
      <c r="AA195">
        <v>15.4</v>
      </c>
      <c r="AB195">
        <v>16.100000000000001</v>
      </c>
      <c r="AC195">
        <v>40.5</v>
      </c>
      <c r="AD195">
        <v>8.5</v>
      </c>
      <c r="AE195">
        <v>6.8</v>
      </c>
      <c r="AF195">
        <v>0</v>
      </c>
      <c r="AG195">
        <v>12</v>
      </c>
      <c r="AH195">
        <v>10</v>
      </c>
      <c r="AI195">
        <v>10.199999999999999</v>
      </c>
      <c r="AJ195">
        <v>10</v>
      </c>
      <c r="AK195">
        <v>11.2</v>
      </c>
      <c r="AL195">
        <v>10</v>
      </c>
      <c r="AM195">
        <v>12.8</v>
      </c>
      <c r="AN195">
        <v>9</v>
      </c>
      <c r="AO195">
        <v>12.1</v>
      </c>
      <c r="AP195">
        <v>10</v>
      </c>
      <c r="AQ195">
        <v>11.5</v>
      </c>
      <c r="AR195">
        <v>10</v>
      </c>
      <c r="AS195">
        <v>11.2</v>
      </c>
      <c r="AT195">
        <v>10</v>
      </c>
      <c r="AU195">
        <v>18.7</v>
      </c>
      <c r="AV195">
        <v>19</v>
      </c>
      <c r="AW195">
        <v>19.5</v>
      </c>
      <c r="AX195">
        <v>19</v>
      </c>
      <c r="AY195">
        <v>11.5</v>
      </c>
      <c r="AZ195">
        <v>10</v>
      </c>
      <c r="BA195">
        <v>12</v>
      </c>
      <c r="BB195">
        <v>10</v>
      </c>
    </row>
    <row r="196" spans="1:54" x14ac:dyDescent="0.35">
      <c r="A196" s="1">
        <v>46059.584027777775</v>
      </c>
      <c r="B196">
        <v>21</v>
      </c>
      <c r="C196">
        <v>3</v>
      </c>
      <c r="D196">
        <v>19.600000000000001</v>
      </c>
      <c r="E196">
        <v>2</v>
      </c>
      <c r="F196">
        <v>7.6</v>
      </c>
      <c r="G196">
        <v>11.1</v>
      </c>
      <c r="H196">
        <v>0</v>
      </c>
      <c r="I196">
        <v>14.2</v>
      </c>
      <c r="J196">
        <v>10.199999999999999</v>
      </c>
      <c r="K196">
        <v>0</v>
      </c>
      <c r="L196">
        <v>12.1</v>
      </c>
      <c r="M196">
        <v>15.6</v>
      </c>
      <c r="N196">
        <v>0</v>
      </c>
      <c r="O196">
        <v>13.1</v>
      </c>
      <c r="P196">
        <v>8.5</v>
      </c>
      <c r="Q196">
        <v>0</v>
      </c>
      <c r="R196">
        <v>9</v>
      </c>
      <c r="S196">
        <v>12.5</v>
      </c>
      <c r="T196">
        <v>0</v>
      </c>
      <c r="U196">
        <v>-17.2</v>
      </c>
      <c r="V196">
        <v>-19.3</v>
      </c>
      <c r="W196">
        <v>-22</v>
      </c>
      <c r="X196">
        <v>-17.399999999999999</v>
      </c>
      <c r="Y196">
        <v>-10.4</v>
      </c>
      <c r="Z196">
        <v>-22</v>
      </c>
      <c r="AA196">
        <v>15.4</v>
      </c>
      <c r="AB196">
        <v>16</v>
      </c>
      <c r="AC196">
        <v>40.5</v>
      </c>
      <c r="AD196">
        <v>8.5</v>
      </c>
      <c r="AE196">
        <v>6.8</v>
      </c>
      <c r="AF196">
        <v>0</v>
      </c>
      <c r="AG196">
        <v>11.9</v>
      </c>
      <c r="AH196">
        <v>10</v>
      </c>
      <c r="AI196">
        <v>10.4</v>
      </c>
      <c r="AJ196">
        <v>10</v>
      </c>
      <c r="AK196">
        <v>11.3</v>
      </c>
      <c r="AL196">
        <v>10</v>
      </c>
      <c r="AM196">
        <v>12.9</v>
      </c>
      <c r="AN196">
        <v>9</v>
      </c>
      <c r="AO196">
        <v>11</v>
      </c>
      <c r="AP196">
        <v>10</v>
      </c>
      <c r="AQ196">
        <v>11.5</v>
      </c>
      <c r="AR196">
        <v>10</v>
      </c>
      <c r="AS196">
        <v>11.4</v>
      </c>
      <c r="AT196">
        <v>10</v>
      </c>
      <c r="AU196">
        <v>18.7</v>
      </c>
      <c r="AV196">
        <v>19</v>
      </c>
      <c r="AW196">
        <v>19.5</v>
      </c>
      <c r="AX196">
        <v>19</v>
      </c>
      <c r="AY196">
        <v>11.8</v>
      </c>
      <c r="AZ196">
        <v>10</v>
      </c>
      <c r="BA196">
        <v>11</v>
      </c>
      <c r="BB196">
        <v>10</v>
      </c>
    </row>
    <row r="197" spans="1:54" x14ac:dyDescent="0.35">
      <c r="A197" s="1">
        <v>46059.584722222222</v>
      </c>
      <c r="B197">
        <v>21</v>
      </c>
      <c r="C197">
        <v>3</v>
      </c>
      <c r="D197">
        <v>19.600000000000001</v>
      </c>
      <c r="E197">
        <v>2</v>
      </c>
      <c r="F197">
        <v>7.6</v>
      </c>
      <c r="G197">
        <v>11.1</v>
      </c>
      <c r="H197">
        <v>0</v>
      </c>
      <c r="I197">
        <v>14.2</v>
      </c>
      <c r="J197">
        <v>10.3</v>
      </c>
      <c r="K197">
        <v>0</v>
      </c>
      <c r="L197">
        <v>12.1</v>
      </c>
      <c r="M197">
        <v>15.6</v>
      </c>
      <c r="N197">
        <v>0</v>
      </c>
      <c r="O197">
        <v>13.1</v>
      </c>
      <c r="P197">
        <v>8.5</v>
      </c>
      <c r="Q197">
        <v>0</v>
      </c>
      <c r="R197">
        <v>9</v>
      </c>
      <c r="S197">
        <v>12.5</v>
      </c>
      <c r="T197">
        <v>0</v>
      </c>
      <c r="U197">
        <v>-17.3</v>
      </c>
      <c r="V197">
        <v>-19.7</v>
      </c>
      <c r="W197">
        <v>-22</v>
      </c>
      <c r="X197">
        <v>-17.5</v>
      </c>
      <c r="Y197">
        <v>-10.7</v>
      </c>
      <c r="Z197">
        <v>-22</v>
      </c>
      <c r="AA197">
        <v>15.4</v>
      </c>
      <c r="AB197">
        <v>16</v>
      </c>
      <c r="AC197">
        <v>40.5</v>
      </c>
      <c r="AD197">
        <v>8.5</v>
      </c>
      <c r="AE197">
        <v>6.8</v>
      </c>
      <c r="AF197">
        <v>0</v>
      </c>
      <c r="AG197">
        <v>11</v>
      </c>
      <c r="AH197">
        <v>10</v>
      </c>
      <c r="AI197">
        <v>10.6</v>
      </c>
      <c r="AJ197">
        <v>10</v>
      </c>
      <c r="AK197">
        <v>11.4</v>
      </c>
      <c r="AL197">
        <v>10</v>
      </c>
      <c r="AM197">
        <v>12.9</v>
      </c>
      <c r="AN197">
        <v>9</v>
      </c>
      <c r="AO197">
        <v>10.3</v>
      </c>
      <c r="AP197">
        <v>10</v>
      </c>
      <c r="AQ197">
        <v>11.5</v>
      </c>
      <c r="AR197">
        <v>10</v>
      </c>
      <c r="AS197">
        <v>11.6</v>
      </c>
      <c r="AT197">
        <v>10</v>
      </c>
      <c r="AU197">
        <v>18.7</v>
      </c>
      <c r="AV197">
        <v>19</v>
      </c>
      <c r="AW197">
        <v>19.5</v>
      </c>
      <c r="AX197">
        <v>19</v>
      </c>
      <c r="AY197">
        <v>11.9</v>
      </c>
      <c r="AZ197">
        <v>10</v>
      </c>
      <c r="BA197">
        <v>10.4</v>
      </c>
      <c r="BB197">
        <v>10</v>
      </c>
    </row>
    <row r="198" spans="1:54" x14ac:dyDescent="0.35">
      <c r="A198" s="1">
        <v>46059.585416666669</v>
      </c>
      <c r="B198">
        <v>21</v>
      </c>
      <c r="C198">
        <v>3</v>
      </c>
      <c r="D198">
        <v>19.600000000000001</v>
      </c>
      <c r="E198">
        <v>2</v>
      </c>
      <c r="F198">
        <v>7.6</v>
      </c>
      <c r="G198">
        <v>11.1</v>
      </c>
      <c r="H198">
        <v>0</v>
      </c>
      <c r="I198">
        <v>14.2</v>
      </c>
      <c r="J198">
        <v>10.3</v>
      </c>
      <c r="K198">
        <v>0</v>
      </c>
      <c r="L198">
        <v>12.1</v>
      </c>
      <c r="M198">
        <v>15.6</v>
      </c>
      <c r="N198">
        <v>0</v>
      </c>
      <c r="O198">
        <v>13.1</v>
      </c>
      <c r="P198">
        <v>8.5</v>
      </c>
      <c r="Q198">
        <v>0</v>
      </c>
      <c r="R198">
        <v>9</v>
      </c>
      <c r="S198">
        <v>12.5</v>
      </c>
      <c r="T198">
        <v>0</v>
      </c>
      <c r="U198">
        <v>-17.3</v>
      </c>
      <c r="V198">
        <v>-19.399999999999999</v>
      </c>
      <c r="W198">
        <v>-22</v>
      </c>
      <c r="X198">
        <v>-17.5</v>
      </c>
      <c r="Y198">
        <v>-11.1</v>
      </c>
      <c r="Z198">
        <v>-22</v>
      </c>
      <c r="AA198">
        <v>15.4</v>
      </c>
      <c r="AB198">
        <v>16</v>
      </c>
      <c r="AC198">
        <v>40.5</v>
      </c>
      <c r="AD198">
        <v>8.5</v>
      </c>
      <c r="AE198">
        <v>6.8</v>
      </c>
      <c r="AF198">
        <v>0</v>
      </c>
      <c r="AG198">
        <v>10.3</v>
      </c>
      <c r="AH198">
        <v>10</v>
      </c>
      <c r="AI198">
        <v>10.7</v>
      </c>
      <c r="AJ198">
        <v>10</v>
      </c>
      <c r="AK198">
        <v>11.4</v>
      </c>
      <c r="AL198">
        <v>10</v>
      </c>
      <c r="AM198">
        <v>13</v>
      </c>
      <c r="AN198">
        <v>9</v>
      </c>
      <c r="AO198">
        <v>10.3</v>
      </c>
      <c r="AP198">
        <v>10</v>
      </c>
      <c r="AQ198">
        <v>11.6</v>
      </c>
      <c r="AR198">
        <v>10</v>
      </c>
      <c r="AS198">
        <v>11.8</v>
      </c>
      <c r="AT198">
        <v>10</v>
      </c>
      <c r="AU198">
        <v>18.7</v>
      </c>
      <c r="AV198">
        <v>19</v>
      </c>
      <c r="AW198">
        <v>19.5</v>
      </c>
      <c r="AX198">
        <v>19</v>
      </c>
      <c r="AY198">
        <v>11.7</v>
      </c>
      <c r="AZ198">
        <v>10</v>
      </c>
      <c r="BA198">
        <v>9.8000000000000007</v>
      </c>
      <c r="BB198">
        <v>10</v>
      </c>
    </row>
    <row r="199" spans="1:54" x14ac:dyDescent="0.35">
      <c r="A199" s="1">
        <v>46059.586111111108</v>
      </c>
      <c r="B199">
        <v>21</v>
      </c>
      <c r="C199">
        <v>3</v>
      </c>
      <c r="D199">
        <v>19.600000000000001</v>
      </c>
      <c r="E199">
        <v>2</v>
      </c>
      <c r="F199">
        <v>7.6</v>
      </c>
      <c r="G199">
        <v>11.1</v>
      </c>
      <c r="H199">
        <v>0</v>
      </c>
      <c r="I199">
        <v>14.2</v>
      </c>
      <c r="J199">
        <v>10.3</v>
      </c>
      <c r="K199">
        <v>0</v>
      </c>
      <c r="L199">
        <v>12.1</v>
      </c>
      <c r="M199">
        <v>15.6</v>
      </c>
      <c r="N199">
        <v>0</v>
      </c>
      <c r="O199">
        <v>13.1</v>
      </c>
      <c r="P199">
        <v>8.5</v>
      </c>
      <c r="Q199">
        <v>0</v>
      </c>
      <c r="R199">
        <v>9</v>
      </c>
      <c r="S199">
        <v>12.5</v>
      </c>
      <c r="T199">
        <v>0</v>
      </c>
      <c r="U199">
        <v>-17.3</v>
      </c>
      <c r="V199">
        <v>-19.600000000000001</v>
      </c>
      <c r="W199">
        <v>-22</v>
      </c>
      <c r="X199">
        <v>-17.600000000000001</v>
      </c>
      <c r="Y199">
        <v>-11.4</v>
      </c>
      <c r="Z199">
        <v>-22</v>
      </c>
      <c r="AA199">
        <v>15.4</v>
      </c>
      <c r="AB199">
        <v>16</v>
      </c>
      <c r="AC199">
        <v>40.5</v>
      </c>
      <c r="AD199">
        <v>8.5</v>
      </c>
      <c r="AE199">
        <v>6.8</v>
      </c>
      <c r="AF199">
        <v>0</v>
      </c>
      <c r="AG199">
        <v>9.6999999999999993</v>
      </c>
      <c r="AH199">
        <v>10</v>
      </c>
      <c r="AI199">
        <v>10.9</v>
      </c>
      <c r="AJ199">
        <v>10</v>
      </c>
      <c r="AK199">
        <v>11.5</v>
      </c>
      <c r="AL199">
        <v>10</v>
      </c>
      <c r="AM199">
        <v>13</v>
      </c>
      <c r="AN199">
        <v>9</v>
      </c>
      <c r="AO199">
        <v>10.3</v>
      </c>
      <c r="AP199">
        <v>10</v>
      </c>
      <c r="AQ199">
        <v>11.5</v>
      </c>
      <c r="AR199">
        <v>10</v>
      </c>
      <c r="AS199">
        <v>11.9</v>
      </c>
      <c r="AT199">
        <v>10</v>
      </c>
      <c r="AU199">
        <v>18.7</v>
      </c>
      <c r="AV199">
        <v>19</v>
      </c>
      <c r="AW199">
        <v>19.5</v>
      </c>
      <c r="AX199">
        <v>19</v>
      </c>
      <c r="AY199">
        <v>10.8</v>
      </c>
      <c r="AZ199">
        <v>10</v>
      </c>
      <c r="BA199">
        <v>9.6999999999999993</v>
      </c>
      <c r="BB199">
        <v>10</v>
      </c>
    </row>
    <row r="200" spans="1:54" x14ac:dyDescent="0.35">
      <c r="A200" s="1">
        <v>46059.586805555555</v>
      </c>
      <c r="B200">
        <v>21</v>
      </c>
      <c r="C200">
        <v>3</v>
      </c>
      <c r="D200">
        <v>19.600000000000001</v>
      </c>
      <c r="E200">
        <v>2</v>
      </c>
      <c r="F200">
        <v>7.6</v>
      </c>
      <c r="G200">
        <v>11.1</v>
      </c>
      <c r="H200">
        <v>0</v>
      </c>
      <c r="I200">
        <v>14.2</v>
      </c>
      <c r="J200">
        <v>10.3</v>
      </c>
      <c r="K200">
        <v>0</v>
      </c>
      <c r="L200">
        <v>12.1</v>
      </c>
      <c r="M200">
        <v>15.6</v>
      </c>
      <c r="N200">
        <v>0</v>
      </c>
      <c r="O200">
        <v>13.1</v>
      </c>
      <c r="P200">
        <v>8.5</v>
      </c>
      <c r="Q200">
        <v>0</v>
      </c>
      <c r="R200">
        <v>9</v>
      </c>
      <c r="S200">
        <v>12.5</v>
      </c>
      <c r="T200">
        <v>0</v>
      </c>
      <c r="U200">
        <v>-17.399999999999999</v>
      </c>
      <c r="V200">
        <v>-19.3</v>
      </c>
      <c r="W200">
        <v>-22</v>
      </c>
      <c r="X200">
        <v>-17.7</v>
      </c>
      <c r="Y200">
        <v>-11.7</v>
      </c>
      <c r="Z200">
        <v>-22</v>
      </c>
      <c r="AA200">
        <v>15.4</v>
      </c>
      <c r="AB200">
        <v>16</v>
      </c>
      <c r="AC200">
        <v>40.5</v>
      </c>
      <c r="AD200">
        <v>8.5</v>
      </c>
      <c r="AE200">
        <v>6.8</v>
      </c>
      <c r="AF200">
        <v>0</v>
      </c>
      <c r="AG200">
        <v>9.6999999999999993</v>
      </c>
      <c r="AH200">
        <v>10</v>
      </c>
      <c r="AI200">
        <v>11</v>
      </c>
      <c r="AJ200">
        <v>10</v>
      </c>
      <c r="AK200">
        <v>11.5</v>
      </c>
      <c r="AL200">
        <v>10</v>
      </c>
      <c r="AM200">
        <v>13</v>
      </c>
      <c r="AN200">
        <v>9</v>
      </c>
      <c r="AO200">
        <v>10.199999999999999</v>
      </c>
      <c r="AP200">
        <v>10</v>
      </c>
      <c r="AQ200">
        <v>11.5</v>
      </c>
      <c r="AR200">
        <v>10</v>
      </c>
      <c r="AS200">
        <v>11.1</v>
      </c>
      <c r="AT200">
        <v>10</v>
      </c>
      <c r="AU200">
        <v>18.7</v>
      </c>
      <c r="AV200">
        <v>19</v>
      </c>
      <c r="AW200">
        <v>19.600000000000001</v>
      </c>
      <c r="AX200">
        <v>19</v>
      </c>
      <c r="AY200">
        <v>10</v>
      </c>
      <c r="AZ200">
        <v>10</v>
      </c>
      <c r="BA200">
        <v>10.1</v>
      </c>
      <c r="BB200">
        <v>10</v>
      </c>
    </row>
    <row r="201" spans="1:54" x14ac:dyDescent="0.35">
      <c r="A201" s="1">
        <v>46059.587500000001</v>
      </c>
      <c r="B201">
        <v>21</v>
      </c>
      <c r="C201">
        <v>3</v>
      </c>
      <c r="D201">
        <v>19.600000000000001</v>
      </c>
      <c r="E201">
        <v>2</v>
      </c>
      <c r="F201">
        <v>7.7</v>
      </c>
      <c r="G201">
        <v>11.1</v>
      </c>
      <c r="H201">
        <v>0</v>
      </c>
      <c r="I201">
        <v>14.2</v>
      </c>
      <c r="J201">
        <v>10.3</v>
      </c>
      <c r="K201">
        <v>0</v>
      </c>
      <c r="L201">
        <v>12.1</v>
      </c>
      <c r="M201">
        <v>15.6</v>
      </c>
      <c r="N201">
        <v>0</v>
      </c>
      <c r="O201">
        <v>13.1</v>
      </c>
      <c r="P201">
        <v>8.6</v>
      </c>
      <c r="Q201">
        <v>0</v>
      </c>
      <c r="R201">
        <v>9</v>
      </c>
      <c r="S201">
        <v>12.5</v>
      </c>
      <c r="T201">
        <v>0</v>
      </c>
      <c r="U201">
        <v>-17.399999999999999</v>
      </c>
      <c r="V201">
        <v>-19.8</v>
      </c>
      <c r="W201">
        <v>-22</v>
      </c>
      <c r="X201">
        <v>-17.7</v>
      </c>
      <c r="Y201">
        <v>-12</v>
      </c>
      <c r="Z201">
        <v>-22</v>
      </c>
      <c r="AA201">
        <v>15.4</v>
      </c>
      <c r="AB201">
        <v>15.9</v>
      </c>
      <c r="AC201">
        <v>40.5</v>
      </c>
      <c r="AD201">
        <v>8.5</v>
      </c>
      <c r="AE201">
        <v>6.8</v>
      </c>
      <c r="AF201">
        <v>0</v>
      </c>
      <c r="AG201">
        <v>9.9</v>
      </c>
      <c r="AH201">
        <v>10</v>
      </c>
      <c r="AI201">
        <v>11.1</v>
      </c>
      <c r="AJ201">
        <v>10</v>
      </c>
      <c r="AK201">
        <v>11.5</v>
      </c>
      <c r="AL201">
        <v>10</v>
      </c>
      <c r="AM201">
        <v>13</v>
      </c>
      <c r="AN201">
        <v>9</v>
      </c>
      <c r="AO201">
        <v>10.199999999999999</v>
      </c>
      <c r="AP201">
        <v>10</v>
      </c>
      <c r="AQ201">
        <v>11.5</v>
      </c>
      <c r="AR201">
        <v>10</v>
      </c>
      <c r="AS201">
        <v>8.6999999999999993</v>
      </c>
      <c r="AT201">
        <v>10</v>
      </c>
      <c r="AU201">
        <v>18.7</v>
      </c>
      <c r="AV201">
        <v>19</v>
      </c>
      <c r="AW201">
        <v>19.600000000000001</v>
      </c>
      <c r="AX201">
        <v>19</v>
      </c>
      <c r="AY201">
        <v>9.6999999999999993</v>
      </c>
      <c r="AZ201">
        <v>10</v>
      </c>
      <c r="BA201">
        <v>10.6</v>
      </c>
      <c r="BB201">
        <v>10</v>
      </c>
    </row>
    <row r="202" spans="1:54" x14ac:dyDescent="0.35">
      <c r="A202" s="1">
        <v>46059.588194444441</v>
      </c>
      <c r="B202">
        <v>21</v>
      </c>
      <c r="C202">
        <v>3</v>
      </c>
      <c r="D202">
        <v>19.600000000000001</v>
      </c>
      <c r="E202">
        <v>2</v>
      </c>
      <c r="F202">
        <v>7.7</v>
      </c>
      <c r="G202">
        <v>11.1</v>
      </c>
      <c r="H202">
        <v>0</v>
      </c>
      <c r="I202">
        <v>14.2</v>
      </c>
      <c r="J202">
        <v>10.3</v>
      </c>
      <c r="K202">
        <v>0</v>
      </c>
      <c r="L202">
        <v>12.1</v>
      </c>
      <c r="M202">
        <v>15.6</v>
      </c>
      <c r="N202">
        <v>0</v>
      </c>
      <c r="O202">
        <v>13.1</v>
      </c>
      <c r="P202">
        <v>8.6</v>
      </c>
      <c r="Q202">
        <v>0</v>
      </c>
      <c r="R202">
        <v>9</v>
      </c>
      <c r="S202">
        <v>12.5</v>
      </c>
      <c r="T202">
        <v>0</v>
      </c>
      <c r="U202">
        <v>-17.5</v>
      </c>
      <c r="V202">
        <v>-19.600000000000001</v>
      </c>
      <c r="W202">
        <v>-22</v>
      </c>
      <c r="X202">
        <v>-17.7</v>
      </c>
      <c r="Y202">
        <v>-12.2</v>
      </c>
      <c r="Z202">
        <v>-22</v>
      </c>
      <c r="AA202">
        <v>15.3</v>
      </c>
      <c r="AB202">
        <v>15.9</v>
      </c>
      <c r="AC202">
        <v>40.5</v>
      </c>
      <c r="AD202">
        <v>8.5</v>
      </c>
      <c r="AE202">
        <v>6.8</v>
      </c>
      <c r="AF202">
        <v>0</v>
      </c>
      <c r="AG202">
        <v>10.3</v>
      </c>
      <c r="AH202">
        <v>10</v>
      </c>
      <c r="AI202">
        <v>11.3</v>
      </c>
      <c r="AJ202">
        <v>10</v>
      </c>
      <c r="AK202">
        <v>11.6</v>
      </c>
      <c r="AL202">
        <v>10</v>
      </c>
      <c r="AM202">
        <v>13</v>
      </c>
      <c r="AN202">
        <v>9</v>
      </c>
      <c r="AO202">
        <v>10.199999999999999</v>
      </c>
      <c r="AP202">
        <v>10</v>
      </c>
      <c r="AQ202">
        <v>11.6</v>
      </c>
      <c r="AR202">
        <v>10</v>
      </c>
      <c r="AS202">
        <v>8</v>
      </c>
      <c r="AT202">
        <v>10</v>
      </c>
      <c r="AU202">
        <v>18.7</v>
      </c>
      <c r="AV202">
        <v>19</v>
      </c>
      <c r="AW202">
        <v>19.5</v>
      </c>
      <c r="AX202">
        <v>19</v>
      </c>
      <c r="AY202">
        <v>9.9</v>
      </c>
      <c r="AZ202">
        <v>10</v>
      </c>
      <c r="BA202">
        <v>10.9</v>
      </c>
      <c r="BB202">
        <v>10</v>
      </c>
    </row>
    <row r="203" spans="1:54" x14ac:dyDescent="0.35">
      <c r="A203" s="1">
        <v>46059.588888888888</v>
      </c>
      <c r="B203">
        <v>21</v>
      </c>
      <c r="C203">
        <v>3</v>
      </c>
      <c r="D203">
        <v>19.600000000000001</v>
      </c>
      <c r="E203">
        <v>2</v>
      </c>
      <c r="F203">
        <v>7.7</v>
      </c>
      <c r="G203">
        <v>11.1</v>
      </c>
      <c r="H203">
        <v>0</v>
      </c>
      <c r="I203">
        <v>14.2</v>
      </c>
      <c r="J203">
        <v>10.3</v>
      </c>
      <c r="K203">
        <v>0</v>
      </c>
      <c r="L203">
        <v>12.1</v>
      </c>
      <c r="M203">
        <v>15.6</v>
      </c>
      <c r="N203">
        <v>0</v>
      </c>
      <c r="O203">
        <v>13.1</v>
      </c>
      <c r="P203">
        <v>8.6</v>
      </c>
      <c r="Q203">
        <v>0</v>
      </c>
      <c r="R203">
        <v>9</v>
      </c>
      <c r="S203">
        <v>12.5</v>
      </c>
      <c r="T203">
        <v>0</v>
      </c>
      <c r="U203">
        <v>-17.5</v>
      </c>
      <c r="V203">
        <v>-19.600000000000001</v>
      </c>
      <c r="W203">
        <v>-22</v>
      </c>
      <c r="X203">
        <v>-17.8</v>
      </c>
      <c r="Y203">
        <v>-12.6</v>
      </c>
      <c r="Z203">
        <v>-22</v>
      </c>
      <c r="AA203">
        <v>15.3</v>
      </c>
      <c r="AB203">
        <v>15.9</v>
      </c>
      <c r="AC203">
        <v>40.5</v>
      </c>
      <c r="AD203">
        <v>8.5</v>
      </c>
      <c r="AE203">
        <v>6.8</v>
      </c>
      <c r="AF203">
        <v>0</v>
      </c>
      <c r="AG203">
        <v>10.6</v>
      </c>
      <c r="AH203">
        <v>10</v>
      </c>
      <c r="AI203">
        <v>11.4</v>
      </c>
      <c r="AJ203">
        <v>10</v>
      </c>
      <c r="AK203">
        <v>11.6</v>
      </c>
      <c r="AL203">
        <v>10</v>
      </c>
      <c r="AM203">
        <v>13</v>
      </c>
      <c r="AN203">
        <v>9</v>
      </c>
      <c r="AO203">
        <v>10.199999999999999</v>
      </c>
      <c r="AP203">
        <v>10</v>
      </c>
      <c r="AQ203">
        <v>11.6</v>
      </c>
      <c r="AR203">
        <v>10</v>
      </c>
      <c r="AS203">
        <v>8.4</v>
      </c>
      <c r="AT203">
        <v>10</v>
      </c>
      <c r="AU203">
        <v>18.7</v>
      </c>
      <c r="AV203">
        <v>19</v>
      </c>
      <c r="AW203">
        <v>19.5</v>
      </c>
      <c r="AX203">
        <v>19</v>
      </c>
      <c r="AY203">
        <v>10.3</v>
      </c>
      <c r="AZ203">
        <v>10</v>
      </c>
      <c r="BA203">
        <v>11.2</v>
      </c>
      <c r="BB203">
        <v>10</v>
      </c>
    </row>
    <row r="204" spans="1:54" x14ac:dyDescent="0.35">
      <c r="A204" s="1">
        <v>46059.589583333334</v>
      </c>
      <c r="B204">
        <v>21</v>
      </c>
      <c r="C204">
        <v>3</v>
      </c>
      <c r="D204">
        <v>19.600000000000001</v>
      </c>
      <c r="E204">
        <v>2</v>
      </c>
      <c r="F204">
        <v>7.7</v>
      </c>
      <c r="G204">
        <v>11.1</v>
      </c>
      <c r="H204">
        <v>0</v>
      </c>
      <c r="I204">
        <v>14.2</v>
      </c>
      <c r="J204">
        <v>10.3</v>
      </c>
      <c r="K204">
        <v>0</v>
      </c>
      <c r="L204">
        <v>12.1</v>
      </c>
      <c r="M204">
        <v>15.6</v>
      </c>
      <c r="N204">
        <v>0</v>
      </c>
      <c r="O204">
        <v>13.1</v>
      </c>
      <c r="P204">
        <v>8.6</v>
      </c>
      <c r="Q204">
        <v>0</v>
      </c>
      <c r="R204">
        <v>9</v>
      </c>
      <c r="S204">
        <v>12.5</v>
      </c>
      <c r="T204">
        <v>0</v>
      </c>
      <c r="U204">
        <v>-17.600000000000001</v>
      </c>
      <c r="V204">
        <v>-19.8</v>
      </c>
      <c r="W204">
        <v>-22</v>
      </c>
      <c r="X204">
        <v>-17.899999999999999</v>
      </c>
      <c r="Y204">
        <v>-12.8</v>
      </c>
      <c r="Z204">
        <v>-22</v>
      </c>
      <c r="AA204">
        <v>15.2</v>
      </c>
      <c r="AB204">
        <v>15.9</v>
      </c>
      <c r="AC204">
        <v>40.5</v>
      </c>
      <c r="AD204">
        <v>8.5</v>
      </c>
      <c r="AE204">
        <v>6.8</v>
      </c>
      <c r="AF204">
        <v>0</v>
      </c>
      <c r="AG204">
        <v>10.8</v>
      </c>
      <c r="AH204">
        <v>10</v>
      </c>
      <c r="AI204">
        <v>11.4</v>
      </c>
      <c r="AJ204">
        <v>10</v>
      </c>
      <c r="AK204">
        <v>11.6</v>
      </c>
      <c r="AL204">
        <v>10</v>
      </c>
      <c r="AM204">
        <v>13</v>
      </c>
      <c r="AN204">
        <v>9</v>
      </c>
      <c r="AO204">
        <v>10.1</v>
      </c>
      <c r="AP204">
        <v>10</v>
      </c>
      <c r="AQ204">
        <v>11.8</v>
      </c>
      <c r="AR204">
        <v>10</v>
      </c>
      <c r="AS204">
        <v>9</v>
      </c>
      <c r="AT204">
        <v>10</v>
      </c>
      <c r="AU204">
        <v>18.7</v>
      </c>
      <c r="AV204">
        <v>19</v>
      </c>
      <c r="AW204">
        <v>19.5</v>
      </c>
      <c r="AX204">
        <v>19</v>
      </c>
      <c r="AY204">
        <v>10.7</v>
      </c>
      <c r="AZ204">
        <v>10</v>
      </c>
      <c r="BA204">
        <v>11.5</v>
      </c>
      <c r="BB204">
        <v>10</v>
      </c>
    </row>
    <row r="205" spans="1:54" x14ac:dyDescent="0.35">
      <c r="A205" s="1">
        <v>46059.590277777781</v>
      </c>
      <c r="B205">
        <v>21</v>
      </c>
      <c r="C205">
        <v>3</v>
      </c>
      <c r="D205">
        <v>19.600000000000001</v>
      </c>
      <c r="E205">
        <v>2</v>
      </c>
      <c r="F205">
        <v>7.7</v>
      </c>
      <c r="G205">
        <v>11.1</v>
      </c>
      <c r="H205">
        <v>0</v>
      </c>
      <c r="I205">
        <v>14.2</v>
      </c>
      <c r="J205">
        <v>10.3</v>
      </c>
      <c r="K205">
        <v>0</v>
      </c>
      <c r="L205">
        <v>12.1</v>
      </c>
      <c r="M205">
        <v>15.6</v>
      </c>
      <c r="N205">
        <v>0</v>
      </c>
      <c r="O205">
        <v>13.1</v>
      </c>
      <c r="P205">
        <v>8.6</v>
      </c>
      <c r="Q205">
        <v>0</v>
      </c>
      <c r="R205">
        <v>9</v>
      </c>
      <c r="S205">
        <v>12.5</v>
      </c>
      <c r="T205">
        <v>0</v>
      </c>
      <c r="U205">
        <v>-17.7</v>
      </c>
      <c r="V205">
        <v>-19.8</v>
      </c>
      <c r="W205">
        <v>-22</v>
      </c>
      <c r="X205">
        <v>-18</v>
      </c>
      <c r="Y205">
        <v>-13</v>
      </c>
      <c r="Z205">
        <v>-22</v>
      </c>
      <c r="AA205">
        <v>15.2</v>
      </c>
      <c r="AB205">
        <v>15.8</v>
      </c>
      <c r="AC205">
        <v>40.5</v>
      </c>
      <c r="AD205">
        <v>8.5</v>
      </c>
      <c r="AE205">
        <v>6.8</v>
      </c>
      <c r="AF205">
        <v>0</v>
      </c>
      <c r="AG205">
        <v>11</v>
      </c>
      <c r="AH205">
        <v>10</v>
      </c>
      <c r="AI205">
        <v>11.6</v>
      </c>
      <c r="AJ205">
        <v>10</v>
      </c>
      <c r="AK205">
        <v>11.7</v>
      </c>
      <c r="AL205">
        <v>10</v>
      </c>
      <c r="AM205">
        <v>12.9</v>
      </c>
      <c r="AN205">
        <v>9</v>
      </c>
      <c r="AO205">
        <v>10</v>
      </c>
      <c r="AP205">
        <v>10</v>
      </c>
      <c r="AQ205">
        <v>11.9</v>
      </c>
      <c r="AR205">
        <v>10</v>
      </c>
      <c r="AS205">
        <v>9.5</v>
      </c>
      <c r="AT205">
        <v>10</v>
      </c>
      <c r="AU205">
        <v>18.7</v>
      </c>
      <c r="AV205">
        <v>19</v>
      </c>
      <c r="AW205">
        <v>19.5</v>
      </c>
      <c r="AX205">
        <v>19</v>
      </c>
      <c r="AY205">
        <v>11</v>
      </c>
      <c r="AZ205">
        <v>10</v>
      </c>
      <c r="BA205">
        <v>11.8</v>
      </c>
      <c r="BB205">
        <v>10</v>
      </c>
    </row>
    <row r="206" spans="1:54" x14ac:dyDescent="0.35">
      <c r="A206" s="1">
        <v>46059.591666666667</v>
      </c>
      <c r="B206">
        <v>21</v>
      </c>
      <c r="C206">
        <v>3</v>
      </c>
      <c r="D206">
        <v>19.600000000000001</v>
      </c>
      <c r="E206">
        <v>2</v>
      </c>
      <c r="F206">
        <v>7.7</v>
      </c>
      <c r="G206">
        <v>11.1</v>
      </c>
      <c r="H206">
        <v>0</v>
      </c>
      <c r="I206">
        <v>14.2</v>
      </c>
      <c r="J206">
        <v>10.3</v>
      </c>
      <c r="K206">
        <v>0</v>
      </c>
      <c r="L206">
        <v>12.1</v>
      </c>
      <c r="M206">
        <v>15.6</v>
      </c>
      <c r="N206">
        <v>0</v>
      </c>
      <c r="O206">
        <v>13.2</v>
      </c>
      <c r="P206">
        <v>8.6</v>
      </c>
      <c r="Q206">
        <v>0</v>
      </c>
      <c r="R206">
        <v>9</v>
      </c>
      <c r="S206">
        <v>12.5</v>
      </c>
      <c r="T206">
        <v>0</v>
      </c>
      <c r="U206">
        <v>-17.8</v>
      </c>
      <c r="V206">
        <v>-19.8</v>
      </c>
      <c r="W206">
        <v>-22</v>
      </c>
      <c r="X206">
        <v>-18.2</v>
      </c>
      <c r="Y206">
        <v>-13.5</v>
      </c>
      <c r="Z206">
        <v>-22</v>
      </c>
      <c r="AA206">
        <v>15.2</v>
      </c>
      <c r="AB206">
        <v>15.8</v>
      </c>
      <c r="AC206">
        <v>40.5</v>
      </c>
      <c r="AD206">
        <v>8.5</v>
      </c>
      <c r="AE206">
        <v>6.8</v>
      </c>
      <c r="AF206">
        <v>0</v>
      </c>
      <c r="AG206">
        <v>11.3</v>
      </c>
      <c r="AH206">
        <v>10</v>
      </c>
      <c r="AI206">
        <v>11.7</v>
      </c>
      <c r="AJ206">
        <v>10</v>
      </c>
      <c r="AK206">
        <v>11.8</v>
      </c>
      <c r="AL206">
        <v>10</v>
      </c>
      <c r="AM206">
        <v>12.8</v>
      </c>
      <c r="AN206">
        <v>9</v>
      </c>
      <c r="AO206">
        <v>11.7</v>
      </c>
      <c r="AP206">
        <v>10</v>
      </c>
      <c r="AQ206">
        <v>11.9</v>
      </c>
      <c r="AR206">
        <v>10</v>
      </c>
      <c r="AS206">
        <v>10.3</v>
      </c>
      <c r="AT206">
        <v>10</v>
      </c>
      <c r="AU206">
        <v>18.7</v>
      </c>
      <c r="AV206">
        <v>19</v>
      </c>
      <c r="AW206">
        <v>19.600000000000001</v>
      </c>
      <c r="AX206">
        <v>19</v>
      </c>
      <c r="AY206">
        <v>11.5</v>
      </c>
      <c r="AZ206">
        <v>10</v>
      </c>
      <c r="BA206">
        <v>11.7</v>
      </c>
      <c r="BB206">
        <v>10</v>
      </c>
    </row>
    <row r="207" spans="1:54" x14ac:dyDescent="0.35">
      <c r="A207" s="1">
        <v>46059.592361111114</v>
      </c>
      <c r="B207">
        <v>21</v>
      </c>
      <c r="C207">
        <v>3</v>
      </c>
      <c r="D207">
        <v>19.600000000000001</v>
      </c>
      <c r="E207">
        <v>2</v>
      </c>
      <c r="F207">
        <v>7.7</v>
      </c>
      <c r="G207">
        <v>11.2</v>
      </c>
      <c r="H207">
        <v>0</v>
      </c>
      <c r="I207">
        <v>14.3</v>
      </c>
      <c r="J207">
        <v>10.3</v>
      </c>
      <c r="K207">
        <v>0</v>
      </c>
      <c r="L207">
        <v>12.1</v>
      </c>
      <c r="M207">
        <v>15.6</v>
      </c>
      <c r="N207">
        <v>0</v>
      </c>
      <c r="O207">
        <v>13.2</v>
      </c>
      <c r="P207">
        <v>8.6</v>
      </c>
      <c r="Q207">
        <v>0</v>
      </c>
      <c r="R207">
        <v>9</v>
      </c>
      <c r="S207">
        <v>12.5</v>
      </c>
      <c r="T207">
        <v>0</v>
      </c>
      <c r="U207">
        <v>-17.899999999999999</v>
      </c>
      <c r="V207">
        <v>-20.2</v>
      </c>
      <c r="W207">
        <v>-22</v>
      </c>
      <c r="X207">
        <v>-18.3</v>
      </c>
      <c r="Y207">
        <v>-13.7</v>
      </c>
      <c r="Z207">
        <v>-22</v>
      </c>
      <c r="AA207">
        <v>15.1</v>
      </c>
      <c r="AB207">
        <v>15.7</v>
      </c>
      <c r="AC207">
        <v>40.5</v>
      </c>
      <c r="AD207">
        <v>8.5</v>
      </c>
      <c r="AE207">
        <v>6.8</v>
      </c>
      <c r="AF207">
        <v>0</v>
      </c>
      <c r="AG207">
        <v>11.4</v>
      </c>
      <c r="AH207">
        <v>10</v>
      </c>
      <c r="AI207">
        <v>11.8</v>
      </c>
      <c r="AJ207">
        <v>10</v>
      </c>
      <c r="AK207">
        <v>12</v>
      </c>
      <c r="AL207">
        <v>10</v>
      </c>
      <c r="AM207">
        <v>12.8</v>
      </c>
      <c r="AN207">
        <v>9</v>
      </c>
      <c r="AO207">
        <v>12</v>
      </c>
      <c r="AP207">
        <v>10</v>
      </c>
      <c r="AQ207">
        <v>11.9</v>
      </c>
      <c r="AR207">
        <v>10</v>
      </c>
      <c r="AS207">
        <v>10.6</v>
      </c>
      <c r="AT207">
        <v>10</v>
      </c>
      <c r="AU207">
        <v>18.8</v>
      </c>
      <c r="AV207">
        <v>19</v>
      </c>
      <c r="AW207">
        <v>19.600000000000001</v>
      </c>
      <c r="AX207">
        <v>19</v>
      </c>
      <c r="AY207">
        <v>11.7</v>
      </c>
      <c r="AZ207">
        <v>10</v>
      </c>
      <c r="BA207">
        <v>11</v>
      </c>
      <c r="BB207">
        <v>10</v>
      </c>
    </row>
    <row r="208" spans="1:54" x14ac:dyDescent="0.35">
      <c r="A208" s="1">
        <v>46059.593055555553</v>
      </c>
      <c r="B208">
        <v>21.1</v>
      </c>
      <c r="C208">
        <v>3</v>
      </c>
      <c r="D208">
        <v>19.600000000000001</v>
      </c>
      <c r="E208">
        <v>2</v>
      </c>
      <c r="F208">
        <v>7.7</v>
      </c>
      <c r="G208">
        <v>11.2</v>
      </c>
      <c r="H208">
        <v>0</v>
      </c>
      <c r="I208">
        <v>14.3</v>
      </c>
      <c r="J208">
        <v>10.3</v>
      </c>
      <c r="K208">
        <v>0</v>
      </c>
      <c r="L208">
        <v>12.1</v>
      </c>
      <c r="M208">
        <v>15.6</v>
      </c>
      <c r="N208">
        <v>0</v>
      </c>
      <c r="O208">
        <v>13.2</v>
      </c>
      <c r="P208">
        <v>8.6</v>
      </c>
      <c r="Q208">
        <v>0</v>
      </c>
      <c r="R208">
        <v>9</v>
      </c>
      <c r="S208">
        <v>12.5</v>
      </c>
      <c r="T208">
        <v>0</v>
      </c>
      <c r="U208">
        <v>-17.899999999999999</v>
      </c>
      <c r="V208">
        <v>-19.8</v>
      </c>
      <c r="W208">
        <v>-22</v>
      </c>
      <c r="X208">
        <v>-18.3</v>
      </c>
      <c r="Y208">
        <v>-13.9</v>
      </c>
      <c r="Z208">
        <v>-22</v>
      </c>
      <c r="AA208">
        <v>15.1</v>
      </c>
      <c r="AB208">
        <v>15.7</v>
      </c>
      <c r="AC208">
        <v>40.5</v>
      </c>
      <c r="AD208">
        <v>8.5</v>
      </c>
      <c r="AE208">
        <v>6.8</v>
      </c>
      <c r="AF208">
        <v>0</v>
      </c>
      <c r="AG208">
        <v>11.6</v>
      </c>
      <c r="AH208">
        <v>10</v>
      </c>
      <c r="AI208">
        <v>11.9</v>
      </c>
      <c r="AJ208">
        <v>10</v>
      </c>
      <c r="AK208">
        <v>11.5</v>
      </c>
      <c r="AL208">
        <v>10</v>
      </c>
      <c r="AM208">
        <v>12.8</v>
      </c>
      <c r="AN208">
        <v>9</v>
      </c>
      <c r="AO208">
        <v>11.6</v>
      </c>
      <c r="AP208">
        <v>10</v>
      </c>
      <c r="AQ208">
        <v>11.9</v>
      </c>
      <c r="AR208">
        <v>10</v>
      </c>
      <c r="AS208">
        <v>10.9</v>
      </c>
      <c r="AT208">
        <v>10</v>
      </c>
      <c r="AU208">
        <v>19</v>
      </c>
      <c r="AV208">
        <v>19</v>
      </c>
      <c r="AW208">
        <v>19.600000000000001</v>
      </c>
      <c r="AX208">
        <v>19</v>
      </c>
      <c r="AY208">
        <v>11.9</v>
      </c>
      <c r="AZ208">
        <v>10</v>
      </c>
      <c r="BA208">
        <v>10.3</v>
      </c>
      <c r="BB208">
        <v>10</v>
      </c>
    </row>
    <row r="209" spans="1:54" x14ac:dyDescent="0.35">
      <c r="A209" s="1">
        <v>46059.59375</v>
      </c>
      <c r="B209">
        <v>21.1</v>
      </c>
      <c r="C209">
        <v>3</v>
      </c>
      <c r="D209">
        <v>19.600000000000001</v>
      </c>
      <c r="E209">
        <v>2</v>
      </c>
      <c r="F209">
        <v>7.7</v>
      </c>
      <c r="G209">
        <v>11.2</v>
      </c>
      <c r="H209">
        <v>0</v>
      </c>
      <c r="I209">
        <v>14.3</v>
      </c>
      <c r="J209">
        <v>10.3</v>
      </c>
      <c r="K209">
        <v>0</v>
      </c>
      <c r="L209">
        <v>12.1</v>
      </c>
      <c r="M209">
        <v>15.6</v>
      </c>
      <c r="N209">
        <v>0</v>
      </c>
      <c r="O209">
        <v>13.2</v>
      </c>
      <c r="P209">
        <v>8.6</v>
      </c>
      <c r="Q209">
        <v>0</v>
      </c>
      <c r="R209">
        <v>9</v>
      </c>
      <c r="S209">
        <v>12.5</v>
      </c>
      <c r="T209">
        <v>0</v>
      </c>
      <c r="U209">
        <v>-17.899999999999999</v>
      </c>
      <c r="V209">
        <v>-20.3</v>
      </c>
      <c r="W209">
        <v>-22</v>
      </c>
      <c r="X209">
        <v>-18.3</v>
      </c>
      <c r="Y209">
        <v>-14.1</v>
      </c>
      <c r="Z209">
        <v>-22</v>
      </c>
      <c r="AA209">
        <v>15.1</v>
      </c>
      <c r="AB209">
        <v>15.7</v>
      </c>
      <c r="AC209">
        <v>40.5</v>
      </c>
      <c r="AD209">
        <v>8.5</v>
      </c>
      <c r="AE209">
        <v>6.8</v>
      </c>
      <c r="AF209">
        <v>0</v>
      </c>
      <c r="AG209">
        <v>11.7</v>
      </c>
      <c r="AH209">
        <v>10</v>
      </c>
      <c r="AI209">
        <v>12</v>
      </c>
      <c r="AJ209">
        <v>10</v>
      </c>
      <c r="AK209">
        <v>10.199999999999999</v>
      </c>
      <c r="AL209">
        <v>10</v>
      </c>
      <c r="AM209">
        <v>12.9</v>
      </c>
      <c r="AN209">
        <v>9</v>
      </c>
      <c r="AO209">
        <v>10.9</v>
      </c>
      <c r="AP209">
        <v>10</v>
      </c>
      <c r="AQ209">
        <v>11.8</v>
      </c>
      <c r="AR209">
        <v>10</v>
      </c>
      <c r="AS209">
        <v>11.1</v>
      </c>
      <c r="AT209">
        <v>10</v>
      </c>
      <c r="AU209">
        <v>19</v>
      </c>
      <c r="AV209">
        <v>19</v>
      </c>
      <c r="AW209">
        <v>19.600000000000001</v>
      </c>
      <c r="AX209">
        <v>19</v>
      </c>
      <c r="AY209">
        <v>12</v>
      </c>
      <c r="AZ209">
        <v>10</v>
      </c>
      <c r="BA209">
        <v>9.6999999999999993</v>
      </c>
      <c r="BB209">
        <v>10</v>
      </c>
    </row>
    <row r="210" spans="1:54" x14ac:dyDescent="0.35">
      <c r="A210" s="1">
        <v>46059.594444444447</v>
      </c>
      <c r="B210">
        <v>21.1</v>
      </c>
      <c r="C210">
        <v>3</v>
      </c>
      <c r="D210">
        <v>19.600000000000001</v>
      </c>
      <c r="E210">
        <v>2</v>
      </c>
      <c r="F210">
        <v>7.7</v>
      </c>
      <c r="G210">
        <v>11.2</v>
      </c>
      <c r="H210">
        <v>0</v>
      </c>
      <c r="I210">
        <v>14.3</v>
      </c>
      <c r="J210">
        <v>10.3</v>
      </c>
      <c r="K210">
        <v>0</v>
      </c>
      <c r="L210">
        <v>12.1</v>
      </c>
      <c r="M210">
        <v>15.6</v>
      </c>
      <c r="N210">
        <v>0</v>
      </c>
      <c r="O210">
        <v>13.2</v>
      </c>
      <c r="P210">
        <v>8.6</v>
      </c>
      <c r="Q210">
        <v>0</v>
      </c>
      <c r="R210">
        <v>9</v>
      </c>
      <c r="S210">
        <v>12.5</v>
      </c>
      <c r="T210">
        <v>0</v>
      </c>
      <c r="U210">
        <v>-18</v>
      </c>
      <c r="V210">
        <v>-20.100000000000001</v>
      </c>
      <c r="W210">
        <v>-22</v>
      </c>
      <c r="X210">
        <v>-18.399999999999999</v>
      </c>
      <c r="Y210">
        <v>-14.3</v>
      </c>
      <c r="Z210">
        <v>-22</v>
      </c>
      <c r="AA210">
        <v>15</v>
      </c>
      <c r="AB210">
        <v>15.6</v>
      </c>
      <c r="AC210">
        <v>40.5</v>
      </c>
      <c r="AD210">
        <v>8.5</v>
      </c>
      <c r="AE210">
        <v>6.8</v>
      </c>
      <c r="AF210">
        <v>0</v>
      </c>
      <c r="AG210">
        <v>11.8</v>
      </c>
      <c r="AH210">
        <v>10</v>
      </c>
      <c r="AI210">
        <v>11</v>
      </c>
      <c r="AJ210">
        <v>10</v>
      </c>
      <c r="AK210">
        <v>9.4</v>
      </c>
      <c r="AL210">
        <v>10</v>
      </c>
      <c r="AM210">
        <v>12.9</v>
      </c>
      <c r="AN210">
        <v>9</v>
      </c>
      <c r="AO210">
        <v>10.5</v>
      </c>
      <c r="AP210">
        <v>10</v>
      </c>
      <c r="AQ210">
        <v>11.7</v>
      </c>
      <c r="AR210">
        <v>10</v>
      </c>
      <c r="AS210">
        <v>11.3</v>
      </c>
      <c r="AT210">
        <v>10</v>
      </c>
      <c r="AU210">
        <v>18.899999999999999</v>
      </c>
      <c r="AV210">
        <v>19</v>
      </c>
      <c r="AW210">
        <v>19.600000000000001</v>
      </c>
      <c r="AX210">
        <v>19</v>
      </c>
      <c r="AY210">
        <v>11.1</v>
      </c>
      <c r="AZ210">
        <v>10</v>
      </c>
      <c r="BA210">
        <v>9.6999999999999993</v>
      </c>
      <c r="BB210">
        <v>10</v>
      </c>
    </row>
    <row r="211" spans="1:54" x14ac:dyDescent="0.35">
      <c r="A211" s="1">
        <v>46059.595138888886</v>
      </c>
      <c r="B211">
        <v>21.1</v>
      </c>
      <c r="C211">
        <v>3</v>
      </c>
      <c r="D211">
        <v>19.600000000000001</v>
      </c>
      <c r="E211">
        <v>2</v>
      </c>
      <c r="F211">
        <v>7.7</v>
      </c>
      <c r="G211">
        <v>11.2</v>
      </c>
      <c r="H211">
        <v>0</v>
      </c>
      <c r="I211">
        <v>14.3</v>
      </c>
      <c r="J211">
        <v>10.3</v>
      </c>
      <c r="K211">
        <v>0</v>
      </c>
      <c r="L211">
        <v>12.1</v>
      </c>
      <c r="M211">
        <v>15.6</v>
      </c>
      <c r="N211">
        <v>0</v>
      </c>
      <c r="O211">
        <v>13.2</v>
      </c>
      <c r="P211">
        <v>8.6</v>
      </c>
      <c r="Q211">
        <v>0</v>
      </c>
      <c r="R211">
        <v>9</v>
      </c>
      <c r="S211">
        <v>12.5</v>
      </c>
      <c r="T211">
        <v>0</v>
      </c>
      <c r="U211">
        <v>-18.100000000000001</v>
      </c>
      <c r="V211">
        <v>-20.2</v>
      </c>
      <c r="W211">
        <v>-22</v>
      </c>
      <c r="X211">
        <v>-18.5</v>
      </c>
      <c r="Y211">
        <v>-14.5</v>
      </c>
      <c r="Z211">
        <v>-22</v>
      </c>
      <c r="AA211">
        <v>15</v>
      </c>
      <c r="AB211">
        <v>15.6</v>
      </c>
      <c r="AC211">
        <v>40.5</v>
      </c>
      <c r="AD211">
        <v>8.5</v>
      </c>
      <c r="AE211">
        <v>6.9</v>
      </c>
      <c r="AF211">
        <v>0</v>
      </c>
      <c r="AG211">
        <v>11.9</v>
      </c>
      <c r="AH211">
        <v>10</v>
      </c>
      <c r="AI211">
        <v>9.6</v>
      </c>
      <c r="AJ211">
        <v>10</v>
      </c>
      <c r="AK211">
        <v>9.6</v>
      </c>
      <c r="AL211">
        <v>10</v>
      </c>
      <c r="AM211">
        <v>12.9</v>
      </c>
      <c r="AN211">
        <v>9</v>
      </c>
      <c r="AO211">
        <v>10.4</v>
      </c>
      <c r="AP211">
        <v>10</v>
      </c>
      <c r="AQ211">
        <v>11.9</v>
      </c>
      <c r="AR211">
        <v>10</v>
      </c>
      <c r="AS211">
        <v>11.5</v>
      </c>
      <c r="AT211">
        <v>10</v>
      </c>
      <c r="AU211">
        <v>18.899999999999999</v>
      </c>
      <c r="AV211">
        <v>19</v>
      </c>
      <c r="AW211">
        <v>19.600000000000001</v>
      </c>
      <c r="AX211">
        <v>19</v>
      </c>
      <c r="AY211">
        <v>10.1</v>
      </c>
      <c r="AZ211">
        <v>10</v>
      </c>
      <c r="BA211">
        <v>10.1</v>
      </c>
      <c r="BB211">
        <v>10</v>
      </c>
    </row>
    <row r="212" spans="1:54" x14ac:dyDescent="0.35">
      <c r="A212" s="1">
        <v>46059.59652777778</v>
      </c>
      <c r="B212">
        <v>21.1</v>
      </c>
      <c r="C212">
        <v>3</v>
      </c>
      <c r="D212">
        <v>19.600000000000001</v>
      </c>
      <c r="E212">
        <v>2</v>
      </c>
      <c r="F212">
        <v>7.7</v>
      </c>
      <c r="G212">
        <v>11.3</v>
      </c>
      <c r="H212">
        <v>0</v>
      </c>
      <c r="I212">
        <v>14.4</v>
      </c>
      <c r="J212">
        <v>10.3</v>
      </c>
      <c r="K212">
        <v>0</v>
      </c>
      <c r="L212">
        <v>12.1</v>
      </c>
      <c r="M212">
        <v>15.7</v>
      </c>
      <c r="N212">
        <v>0</v>
      </c>
      <c r="O212">
        <v>13.3</v>
      </c>
      <c r="P212">
        <v>8.6</v>
      </c>
      <c r="Q212">
        <v>0</v>
      </c>
      <c r="R212">
        <v>9</v>
      </c>
      <c r="S212">
        <v>12.6</v>
      </c>
      <c r="T212">
        <v>0</v>
      </c>
      <c r="U212">
        <v>-18.2</v>
      </c>
      <c r="V212">
        <v>-20.399999999999999</v>
      </c>
      <c r="W212">
        <v>-22</v>
      </c>
      <c r="X212">
        <v>-18.600000000000001</v>
      </c>
      <c r="Y212">
        <v>-14.9</v>
      </c>
      <c r="Z212">
        <v>-22</v>
      </c>
      <c r="AA212">
        <v>14.9</v>
      </c>
      <c r="AB212">
        <v>15.5</v>
      </c>
      <c r="AC212">
        <v>40.5</v>
      </c>
      <c r="AD212">
        <v>8.5</v>
      </c>
      <c r="AE212">
        <v>6.9</v>
      </c>
      <c r="AF212">
        <v>0</v>
      </c>
      <c r="AG212">
        <v>12</v>
      </c>
      <c r="AH212">
        <v>10</v>
      </c>
      <c r="AI212">
        <v>8.9</v>
      </c>
      <c r="AJ212">
        <v>10</v>
      </c>
      <c r="AK212">
        <v>10.4</v>
      </c>
      <c r="AL212">
        <v>10</v>
      </c>
      <c r="AM212">
        <v>12.8</v>
      </c>
      <c r="AN212">
        <v>9</v>
      </c>
      <c r="AO212">
        <v>10.1</v>
      </c>
      <c r="AP212">
        <v>10</v>
      </c>
      <c r="AQ212">
        <v>12.3</v>
      </c>
      <c r="AR212">
        <v>10</v>
      </c>
      <c r="AS212">
        <v>11.9</v>
      </c>
      <c r="AT212">
        <v>10</v>
      </c>
      <c r="AU212">
        <v>18.899999999999999</v>
      </c>
      <c r="AV212">
        <v>19</v>
      </c>
      <c r="AW212">
        <v>19.600000000000001</v>
      </c>
      <c r="AX212">
        <v>19</v>
      </c>
      <c r="AY212">
        <v>9.8000000000000007</v>
      </c>
      <c r="AZ212">
        <v>10</v>
      </c>
      <c r="BA212">
        <v>10.9</v>
      </c>
      <c r="BB212">
        <v>10</v>
      </c>
    </row>
    <row r="213" spans="1:54" x14ac:dyDescent="0.35">
      <c r="A213" s="1">
        <v>46059.597222222219</v>
      </c>
      <c r="B213">
        <v>21.1</v>
      </c>
      <c r="C213">
        <v>3</v>
      </c>
      <c r="D213">
        <v>19.600000000000001</v>
      </c>
      <c r="E213">
        <v>2</v>
      </c>
      <c r="F213">
        <v>7.7</v>
      </c>
      <c r="G213">
        <v>11.3</v>
      </c>
      <c r="H213">
        <v>0</v>
      </c>
      <c r="I213">
        <v>14.4</v>
      </c>
      <c r="J213">
        <v>10.3</v>
      </c>
      <c r="K213">
        <v>0</v>
      </c>
      <c r="L213">
        <v>12.1</v>
      </c>
      <c r="M213">
        <v>15.7</v>
      </c>
      <c r="N213">
        <v>0</v>
      </c>
      <c r="O213">
        <v>13.3</v>
      </c>
      <c r="P213">
        <v>8.6</v>
      </c>
      <c r="Q213">
        <v>0</v>
      </c>
      <c r="R213">
        <v>9</v>
      </c>
      <c r="S213">
        <v>12.6</v>
      </c>
      <c r="T213">
        <v>0</v>
      </c>
      <c r="U213">
        <v>-18.3</v>
      </c>
      <c r="V213">
        <v>-20.8</v>
      </c>
      <c r="W213">
        <v>-22</v>
      </c>
      <c r="X213">
        <v>-18.8</v>
      </c>
      <c r="Y213">
        <v>-15</v>
      </c>
      <c r="Z213">
        <v>-22</v>
      </c>
      <c r="AA213">
        <v>14.9</v>
      </c>
      <c r="AB213">
        <v>15.5</v>
      </c>
      <c r="AC213">
        <v>40.5</v>
      </c>
      <c r="AD213">
        <v>8.5</v>
      </c>
      <c r="AE213">
        <v>6.9</v>
      </c>
      <c r="AF213">
        <v>0</v>
      </c>
      <c r="AG213">
        <v>11.4</v>
      </c>
      <c r="AH213">
        <v>10</v>
      </c>
      <c r="AI213">
        <v>9.1</v>
      </c>
      <c r="AJ213">
        <v>10</v>
      </c>
      <c r="AK213">
        <v>10.6</v>
      </c>
      <c r="AL213">
        <v>10</v>
      </c>
      <c r="AM213">
        <v>12.8</v>
      </c>
      <c r="AN213">
        <v>9</v>
      </c>
      <c r="AO213">
        <v>10.1</v>
      </c>
      <c r="AP213">
        <v>10</v>
      </c>
      <c r="AQ213">
        <v>12.3</v>
      </c>
      <c r="AR213">
        <v>10</v>
      </c>
      <c r="AS213">
        <v>11.9</v>
      </c>
      <c r="AT213">
        <v>10</v>
      </c>
      <c r="AU213">
        <v>19</v>
      </c>
      <c r="AV213">
        <v>19</v>
      </c>
      <c r="AW213">
        <v>19.600000000000001</v>
      </c>
      <c r="AX213">
        <v>19</v>
      </c>
      <c r="AY213">
        <v>10.3</v>
      </c>
      <c r="AZ213">
        <v>10</v>
      </c>
      <c r="BA213">
        <v>11.2</v>
      </c>
      <c r="BB213">
        <v>10</v>
      </c>
    </row>
    <row r="214" spans="1:54" x14ac:dyDescent="0.35">
      <c r="A214" s="1">
        <v>46059.597916666666</v>
      </c>
      <c r="B214">
        <v>21.1</v>
      </c>
      <c r="C214">
        <v>3</v>
      </c>
      <c r="D214">
        <v>19.600000000000001</v>
      </c>
      <c r="E214">
        <v>2</v>
      </c>
      <c r="F214">
        <v>7.7</v>
      </c>
      <c r="G214">
        <v>11.3</v>
      </c>
      <c r="H214">
        <v>0</v>
      </c>
      <c r="I214">
        <v>14.4</v>
      </c>
      <c r="J214">
        <v>10.3</v>
      </c>
      <c r="K214">
        <v>0</v>
      </c>
      <c r="L214">
        <v>12.1</v>
      </c>
      <c r="M214">
        <v>15.7</v>
      </c>
      <c r="N214">
        <v>0</v>
      </c>
      <c r="O214">
        <v>13.3</v>
      </c>
      <c r="P214">
        <v>8.6999999999999993</v>
      </c>
      <c r="Q214">
        <v>0</v>
      </c>
      <c r="R214">
        <v>9.1</v>
      </c>
      <c r="S214">
        <v>12.6</v>
      </c>
      <c r="T214">
        <v>0</v>
      </c>
      <c r="U214">
        <v>-18.399999999999999</v>
      </c>
      <c r="V214">
        <v>-20.5</v>
      </c>
      <c r="W214">
        <v>-22</v>
      </c>
      <c r="X214">
        <v>-18.8</v>
      </c>
      <c r="Y214">
        <v>-15.2</v>
      </c>
      <c r="Z214">
        <v>-22</v>
      </c>
      <c r="AA214">
        <v>14.9</v>
      </c>
      <c r="AB214">
        <v>15.4</v>
      </c>
      <c r="AC214">
        <v>40.5</v>
      </c>
      <c r="AD214">
        <v>8.5</v>
      </c>
      <c r="AE214">
        <v>6.9</v>
      </c>
      <c r="AF214">
        <v>0</v>
      </c>
      <c r="AG214">
        <v>10.4</v>
      </c>
      <c r="AH214">
        <v>10</v>
      </c>
      <c r="AI214">
        <v>9.4</v>
      </c>
      <c r="AJ214">
        <v>10</v>
      </c>
      <c r="AK214">
        <v>10.8</v>
      </c>
      <c r="AL214">
        <v>10</v>
      </c>
      <c r="AM214">
        <v>12.8</v>
      </c>
      <c r="AN214">
        <v>9</v>
      </c>
      <c r="AO214">
        <v>10.1</v>
      </c>
      <c r="AP214">
        <v>10</v>
      </c>
      <c r="AQ214">
        <v>12.4</v>
      </c>
      <c r="AR214">
        <v>10</v>
      </c>
      <c r="AS214">
        <v>9.8000000000000007</v>
      </c>
      <c r="AT214">
        <v>10</v>
      </c>
      <c r="AU214">
        <v>19</v>
      </c>
      <c r="AV214">
        <v>19</v>
      </c>
      <c r="AW214">
        <v>19.600000000000001</v>
      </c>
      <c r="AX214">
        <v>19</v>
      </c>
      <c r="AY214">
        <v>10.6</v>
      </c>
      <c r="AZ214">
        <v>10</v>
      </c>
      <c r="BA214">
        <v>11.5</v>
      </c>
      <c r="BB214">
        <v>10</v>
      </c>
    </row>
    <row r="215" spans="1:54" x14ac:dyDescent="0.35">
      <c r="A215" s="1">
        <v>46059.598611111112</v>
      </c>
      <c r="B215">
        <v>21.1</v>
      </c>
      <c r="C215">
        <v>3</v>
      </c>
      <c r="D215">
        <v>19.600000000000001</v>
      </c>
      <c r="E215">
        <v>2</v>
      </c>
      <c r="F215">
        <v>7.7</v>
      </c>
      <c r="G215">
        <v>11.3</v>
      </c>
      <c r="H215">
        <v>0</v>
      </c>
      <c r="I215">
        <v>14.4</v>
      </c>
      <c r="J215">
        <v>10.3</v>
      </c>
      <c r="K215">
        <v>0</v>
      </c>
      <c r="L215">
        <v>12.1</v>
      </c>
      <c r="M215">
        <v>15.7</v>
      </c>
      <c r="N215">
        <v>0</v>
      </c>
      <c r="O215">
        <v>13.3</v>
      </c>
      <c r="P215">
        <v>8.6999999999999993</v>
      </c>
      <c r="Q215">
        <v>0</v>
      </c>
      <c r="R215">
        <v>9.1</v>
      </c>
      <c r="S215">
        <v>12.7</v>
      </c>
      <c r="T215">
        <v>0</v>
      </c>
      <c r="U215">
        <v>-18.5</v>
      </c>
      <c r="V215">
        <v>-20.9</v>
      </c>
      <c r="W215">
        <v>-22</v>
      </c>
      <c r="X215">
        <v>-18.899999999999999</v>
      </c>
      <c r="Y215">
        <v>-15.4</v>
      </c>
      <c r="Z215">
        <v>-22</v>
      </c>
      <c r="AA215">
        <v>14.8</v>
      </c>
      <c r="AB215">
        <v>15.4</v>
      </c>
      <c r="AC215">
        <v>40.5</v>
      </c>
      <c r="AD215">
        <v>8.5</v>
      </c>
      <c r="AE215">
        <v>6.9</v>
      </c>
      <c r="AF215">
        <v>0</v>
      </c>
      <c r="AG215">
        <v>9.8000000000000007</v>
      </c>
      <c r="AH215">
        <v>10</v>
      </c>
      <c r="AI215">
        <v>9.6999999999999993</v>
      </c>
      <c r="AJ215">
        <v>10</v>
      </c>
      <c r="AK215">
        <v>11</v>
      </c>
      <c r="AL215">
        <v>10</v>
      </c>
      <c r="AM215">
        <v>12.7</v>
      </c>
      <c r="AN215">
        <v>9</v>
      </c>
      <c r="AO215">
        <v>10.6</v>
      </c>
      <c r="AP215">
        <v>10</v>
      </c>
      <c r="AQ215">
        <v>12.6</v>
      </c>
      <c r="AR215">
        <v>10</v>
      </c>
      <c r="AS215">
        <v>8.1</v>
      </c>
      <c r="AT215">
        <v>10</v>
      </c>
      <c r="AU215">
        <v>19.100000000000001</v>
      </c>
      <c r="AV215">
        <v>19</v>
      </c>
      <c r="AW215">
        <v>19.600000000000001</v>
      </c>
      <c r="AX215">
        <v>19</v>
      </c>
      <c r="AY215">
        <v>10.9</v>
      </c>
      <c r="AZ215">
        <v>10</v>
      </c>
      <c r="BA215">
        <v>11.8</v>
      </c>
      <c r="BB215">
        <v>10</v>
      </c>
    </row>
    <row r="216" spans="1:54" x14ac:dyDescent="0.35">
      <c r="A216" s="1">
        <v>46059.599305555559</v>
      </c>
      <c r="B216">
        <v>21.1</v>
      </c>
      <c r="C216">
        <v>3</v>
      </c>
      <c r="D216">
        <v>19.600000000000001</v>
      </c>
      <c r="E216">
        <v>2</v>
      </c>
      <c r="F216">
        <v>7.7</v>
      </c>
      <c r="G216">
        <v>11.3</v>
      </c>
      <c r="H216">
        <v>0</v>
      </c>
      <c r="I216">
        <v>14.4</v>
      </c>
      <c r="J216">
        <v>10.3</v>
      </c>
      <c r="K216">
        <v>0</v>
      </c>
      <c r="L216">
        <v>12.1</v>
      </c>
      <c r="M216">
        <v>15.8</v>
      </c>
      <c r="N216">
        <v>0</v>
      </c>
      <c r="O216">
        <v>13.3</v>
      </c>
      <c r="P216">
        <v>8.6999999999999993</v>
      </c>
      <c r="Q216">
        <v>0</v>
      </c>
      <c r="R216">
        <v>9.1</v>
      </c>
      <c r="S216">
        <v>12.7</v>
      </c>
      <c r="T216">
        <v>0</v>
      </c>
      <c r="U216">
        <v>-18.5</v>
      </c>
      <c r="V216">
        <v>-20.6</v>
      </c>
      <c r="W216">
        <v>-22</v>
      </c>
      <c r="X216">
        <v>-18.899999999999999</v>
      </c>
      <c r="Y216">
        <v>-15.5</v>
      </c>
      <c r="Z216">
        <v>-22</v>
      </c>
      <c r="AA216">
        <v>14.8</v>
      </c>
      <c r="AB216">
        <v>15.3</v>
      </c>
      <c r="AC216">
        <v>40.5</v>
      </c>
      <c r="AD216">
        <v>8.5</v>
      </c>
      <c r="AE216">
        <v>6.9</v>
      </c>
      <c r="AF216">
        <v>0</v>
      </c>
      <c r="AG216">
        <v>9.6</v>
      </c>
      <c r="AH216">
        <v>10</v>
      </c>
      <c r="AI216">
        <v>9.9</v>
      </c>
      <c r="AJ216">
        <v>10</v>
      </c>
      <c r="AK216">
        <v>11.1</v>
      </c>
      <c r="AL216">
        <v>10</v>
      </c>
      <c r="AM216">
        <v>12.7</v>
      </c>
      <c r="AN216">
        <v>9</v>
      </c>
      <c r="AO216">
        <v>11.4</v>
      </c>
      <c r="AP216">
        <v>10</v>
      </c>
      <c r="AQ216">
        <v>12.5</v>
      </c>
      <c r="AR216">
        <v>10</v>
      </c>
      <c r="AS216">
        <v>8.1999999999999993</v>
      </c>
      <c r="AT216">
        <v>10</v>
      </c>
      <c r="AU216">
        <v>19.100000000000001</v>
      </c>
      <c r="AV216">
        <v>19</v>
      </c>
      <c r="AW216">
        <v>19.7</v>
      </c>
      <c r="AX216">
        <v>19</v>
      </c>
      <c r="AY216">
        <v>11.2</v>
      </c>
      <c r="AZ216">
        <v>10</v>
      </c>
      <c r="BA216">
        <v>12</v>
      </c>
      <c r="BB216">
        <v>10</v>
      </c>
    </row>
    <row r="217" spans="1:54" x14ac:dyDescent="0.35">
      <c r="A217" s="1">
        <v>46059.6</v>
      </c>
      <c r="B217">
        <v>21.1</v>
      </c>
      <c r="C217">
        <v>3</v>
      </c>
      <c r="D217">
        <v>19.600000000000001</v>
      </c>
      <c r="E217">
        <v>2</v>
      </c>
      <c r="F217">
        <v>7.7</v>
      </c>
      <c r="G217">
        <v>11.4</v>
      </c>
      <c r="H217">
        <v>0</v>
      </c>
      <c r="I217">
        <v>14.4</v>
      </c>
      <c r="J217">
        <v>10.3</v>
      </c>
      <c r="K217">
        <v>0</v>
      </c>
      <c r="L217">
        <v>12.1</v>
      </c>
      <c r="M217">
        <v>15.8</v>
      </c>
      <c r="N217">
        <v>0</v>
      </c>
      <c r="O217">
        <v>13.3</v>
      </c>
      <c r="P217">
        <v>8.6999999999999993</v>
      </c>
      <c r="Q217">
        <v>0</v>
      </c>
      <c r="R217">
        <v>9.1</v>
      </c>
      <c r="S217">
        <v>12.7</v>
      </c>
      <c r="T217">
        <v>0</v>
      </c>
      <c r="U217">
        <v>-18.5</v>
      </c>
      <c r="V217">
        <v>-20.8</v>
      </c>
      <c r="W217">
        <v>-22</v>
      </c>
      <c r="X217">
        <v>-18.899999999999999</v>
      </c>
      <c r="Y217">
        <v>-15.7</v>
      </c>
      <c r="Z217">
        <v>-22</v>
      </c>
      <c r="AA217">
        <v>14.7</v>
      </c>
      <c r="AB217">
        <v>15.3</v>
      </c>
      <c r="AC217">
        <v>40.5</v>
      </c>
      <c r="AD217">
        <v>8.5</v>
      </c>
      <c r="AE217">
        <v>6.9</v>
      </c>
      <c r="AF217">
        <v>0</v>
      </c>
      <c r="AG217">
        <v>9.9</v>
      </c>
      <c r="AH217">
        <v>10</v>
      </c>
      <c r="AI217">
        <v>10.199999999999999</v>
      </c>
      <c r="AJ217">
        <v>10</v>
      </c>
      <c r="AK217">
        <v>11.3</v>
      </c>
      <c r="AL217">
        <v>10</v>
      </c>
      <c r="AM217">
        <v>12.7</v>
      </c>
      <c r="AN217">
        <v>9</v>
      </c>
      <c r="AO217">
        <v>11.9</v>
      </c>
      <c r="AP217">
        <v>10</v>
      </c>
      <c r="AQ217">
        <v>12.5</v>
      </c>
      <c r="AR217">
        <v>10</v>
      </c>
      <c r="AS217">
        <v>8.8000000000000007</v>
      </c>
      <c r="AT217">
        <v>10</v>
      </c>
      <c r="AU217">
        <v>19.2</v>
      </c>
      <c r="AV217">
        <v>19</v>
      </c>
      <c r="AW217">
        <v>19.7</v>
      </c>
      <c r="AX217">
        <v>19</v>
      </c>
      <c r="AY217">
        <v>11.4</v>
      </c>
      <c r="AZ217">
        <v>10</v>
      </c>
      <c r="BA217">
        <v>11.8</v>
      </c>
      <c r="BB217">
        <v>10</v>
      </c>
    </row>
    <row r="218" spans="1:54" x14ac:dyDescent="0.35">
      <c r="A218" s="1">
        <v>46059.600694444445</v>
      </c>
      <c r="B218">
        <v>21.1</v>
      </c>
      <c r="C218">
        <v>3</v>
      </c>
      <c r="D218">
        <v>19.600000000000001</v>
      </c>
      <c r="E218">
        <v>2</v>
      </c>
      <c r="F218">
        <v>7.8</v>
      </c>
      <c r="G218">
        <v>11.4</v>
      </c>
      <c r="H218">
        <v>0</v>
      </c>
      <c r="I218">
        <v>14.4</v>
      </c>
      <c r="J218">
        <v>10.3</v>
      </c>
      <c r="K218">
        <v>0</v>
      </c>
      <c r="L218">
        <v>12.1</v>
      </c>
      <c r="M218">
        <v>15.8</v>
      </c>
      <c r="N218">
        <v>0</v>
      </c>
      <c r="O218">
        <v>13.3</v>
      </c>
      <c r="P218">
        <v>8.6999999999999993</v>
      </c>
      <c r="Q218">
        <v>0</v>
      </c>
      <c r="R218">
        <v>9.1</v>
      </c>
      <c r="S218">
        <v>12.7</v>
      </c>
      <c r="T218">
        <v>0</v>
      </c>
      <c r="U218">
        <v>-18.5</v>
      </c>
      <c r="V218">
        <v>-20.7</v>
      </c>
      <c r="W218">
        <v>-22</v>
      </c>
      <c r="X218">
        <v>-18.899999999999999</v>
      </c>
      <c r="Y218">
        <v>-15.8</v>
      </c>
      <c r="Z218">
        <v>-22</v>
      </c>
      <c r="AA218">
        <v>14.7</v>
      </c>
      <c r="AB218">
        <v>15.2</v>
      </c>
      <c r="AC218">
        <v>40.5</v>
      </c>
      <c r="AD218">
        <v>8.5</v>
      </c>
      <c r="AE218">
        <v>6.9</v>
      </c>
      <c r="AF218">
        <v>0</v>
      </c>
      <c r="AG218">
        <v>10.199999999999999</v>
      </c>
      <c r="AH218">
        <v>10</v>
      </c>
      <c r="AI218">
        <v>10.4</v>
      </c>
      <c r="AJ218">
        <v>10</v>
      </c>
      <c r="AK218">
        <v>11.5</v>
      </c>
      <c r="AL218">
        <v>10</v>
      </c>
      <c r="AM218">
        <v>12.9</v>
      </c>
      <c r="AN218">
        <v>9</v>
      </c>
      <c r="AO218">
        <v>11.9</v>
      </c>
      <c r="AP218">
        <v>10</v>
      </c>
      <c r="AQ218">
        <v>12.4</v>
      </c>
      <c r="AR218">
        <v>10</v>
      </c>
      <c r="AS218">
        <v>9.5</v>
      </c>
      <c r="AT218">
        <v>10</v>
      </c>
      <c r="AU218">
        <v>19.2</v>
      </c>
      <c r="AV218">
        <v>19</v>
      </c>
      <c r="AW218">
        <v>19.7</v>
      </c>
      <c r="AX218">
        <v>19</v>
      </c>
      <c r="AY218">
        <v>11.6</v>
      </c>
      <c r="AZ218">
        <v>10</v>
      </c>
      <c r="BA218">
        <v>11</v>
      </c>
      <c r="BB218">
        <v>10</v>
      </c>
    </row>
    <row r="219" spans="1:54" x14ac:dyDescent="0.35">
      <c r="A219" s="1">
        <v>46059.601388888892</v>
      </c>
      <c r="B219">
        <v>21.1</v>
      </c>
      <c r="C219">
        <v>3</v>
      </c>
      <c r="D219">
        <v>19.600000000000001</v>
      </c>
      <c r="E219">
        <v>2</v>
      </c>
      <c r="F219">
        <v>7.8</v>
      </c>
      <c r="G219">
        <v>11.4</v>
      </c>
      <c r="H219">
        <v>0</v>
      </c>
      <c r="I219">
        <v>14.4</v>
      </c>
      <c r="J219">
        <v>10.3</v>
      </c>
      <c r="K219">
        <v>0</v>
      </c>
      <c r="L219">
        <v>12.1</v>
      </c>
      <c r="M219">
        <v>15.8</v>
      </c>
      <c r="N219">
        <v>0</v>
      </c>
      <c r="O219">
        <v>13.3</v>
      </c>
      <c r="P219">
        <v>8.6999999999999993</v>
      </c>
      <c r="Q219">
        <v>0</v>
      </c>
      <c r="R219">
        <v>9.1</v>
      </c>
      <c r="S219">
        <v>12.7</v>
      </c>
      <c r="T219">
        <v>0</v>
      </c>
      <c r="U219">
        <v>-18.600000000000001</v>
      </c>
      <c r="V219">
        <v>-20.7</v>
      </c>
      <c r="W219">
        <v>-22</v>
      </c>
      <c r="X219">
        <v>-19</v>
      </c>
      <c r="Y219">
        <v>-15.9</v>
      </c>
      <c r="Z219">
        <v>-22</v>
      </c>
      <c r="AA219">
        <v>14.6</v>
      </c>
      <c r="AB219">
        <v>15.1</v>
      </c>
      <c r="AC219">
        <v>40.5</v>
      </c>
      <c r="AD219">
        <v>8.5</v>
      </c>
      <c r="AE219">
        <v>6.9</v>
      </c>
      <c r="AF219">
        <v>0</v>
      </c>
      <c r="AG219">
        <v>10.5</v>
      </c>
      <c r="AH219">
        <v>10</v>
      </c>
      <c r="AI219">
        <v>10.5</v>
      </c>
      <c r="AJ219">
        <v>10</v>
      </c>
      <c r="AK219">
        <v>11.6</v>
      </c>
      <c r="AL219">
        <v>10</v>
      </c>
      <c r="AM219">
        <v>13</v>
      </c>
      <c r="AN219">
        <v>9</v>
      </c>
      <c r="AO219">
        <v>11.2</v>
      </c>
      <c r="AP219">
        <v>10</v>
      </c>
      <c r="AQ219">
        <v>12.2</v>
      </c>
      <c r="AR219">
        <v>10</v>
      </c>
      <c r="AS219">
        <v>9.9</v>
      </c>
      <c r="AT219">
        <v>10</v>
      </c>
      <c r="AU219">
        <v>19.2</v>
      </c>
      <c r="AV219">
        <v>19</v>
      </c>
      <c r="AW219">
        <v>19.899999999999999</v>
      </c>
      <c r="AX219">
        <v>19</v>
      </c>
      <c r="AY219">
        <v>11.9</v>
      </c>
      <c r="AZ219">
        <v>10</v>
      </c>
      <c r="BA219">
        <v>10.199999999999999</v>
      </c>
      <c r="BB219">
        <v>10</v>
      </c>
    </row>
    <row r="220" spans="1:54" x14ac:dyDescent="0.35">
      <c r="A220" s="1">
        <v>46059.602083333331</v>
      </c>
      <c r="B220">
        <v>21.1</v>
      </c>
      <c r="C220">
        <v>3</v>
      </c>
      <c r="D220">
        <v>19.600000000000001</v>
      </c>
      <c r="E220">
        <v>2</v>
      </c>
      <c r="F220">
        <v>7.8</v>
      </c>
      <c r="G220">
        <v>11.4</v>
      </c>
      <c r="H220">
        <v>0</v>
      </c>
      <c r="I220">
        <v>14.4</v>
      </c>
      <c r="J220">
        <v>10.3</v>
      </c>
      <c r="K220">
        <v>0</v>
      </c>
      <c r="L220">
        <v>12.2</v>
      </c>
      <c r="M220">
        <v>15.8</v>
      </c>
      <c r="N220">
        <v>0</v>
      </c>
      <c r="O220">
        <v>13.3</v>
      </c>
      <c r="P220">
        <v>8.6999999999999993</v>
      </c>
      <c r="Q220">
        <v>0</v>
      </c>
      <c r="R220">
        <v>9.1</v>
      </c>
      <c r="S220">
        <v>12.7</v>
      </c>
      <c r="T220">
        <v>0</v>
      </c>
      <c r="U220">
        <v>-18.600000000000001</v>
      </c>
      <c r="V220">
        <v>-20.7</v>
      </c>
      <c r="W220">
        <v>-22</v>
      </c>
      <c r="X220">
        <v>-19</v>
      </c>
      <c r="Y220">
        <v>-16</v>
      </c>
      <c r="Z220">
        <v>-22</v>
      </c>
      <c r="AA220">
        <v>14.6</v>
      </c>
      <c r="AB220">
        <v>15.1</v>
      </c>
      <c r="AC220">
        <v>40.5</v>
      </c>
      <c r="AD220">
        <v>8.5</v>
      </c>
      <c r="AE220">
        <v>6.9</v>
      </c>
      <c r="AF220">
        <v>0</v>
      </c>
      <c r="AG220">
        <v>10.7</v>
      </c>
      <c r="AH220">
        <v>10</v>
      </c>
      <c r="AI220">
        <v>10.7</v>
      </c>
      <c r="AJ220">
        <v>10</v>
      </c>
      <c r="AK220">
        <v>11.7</v>
      </c>
      <c r="AL220">
        <v>10</v>
      </c>
      <c r="AM220">
        <v>13</v>
      </c>
      <c r="AN220">
        <v>9</v>
      </c>
      <c r="AO220">
        <v>10.6</v>
      </c>
      <c r="AP220">
        <v>10</v>
      </c>
      <c r="AQ220">
        <v>12.2</v>
      </c>
      <c r="AR220">
        <v>10</v>
      </c>
      <c r="AS220">
        <v>10.3</v>
      </c>
      <c r="AT220">
        <v>10</v>
      </c>
      <c r="AU220">
        <v>19.2</v>
      </c>
      <c r="AV220">
        <v>19</v>
      </c>
      <c r="AW220">
        <v>19.899999999999999</v>
      </c>
      <c r="AX220">
        <v>19</v>
      </c>
      <c r="AY220">
        <v>12</v>
      </c>
      <c r="AZ220">
        <v>10</v>
      </c>
      <c r="BA220">
        <v>9.6999999999999993</v>
      </c>
      <c r="BB220">
        <v>10</v>
      </c>
    </row>
    <row r="221" spans="1:54" x14ac:dyDescent="0.35">
      <c r="A221" s="1">
        <v>46059.602777777778</v>
      </c>
      <c r="B221">
        <v>21.1</v>
      </c>
      <c r="C221">
        <v>3</v>
      </c>
      <c r="D221">
        <v>19.600000000000001</v>
      </c>
      <c r="E221">
        <v>2</v>
      </c>
      <c r="F221">
        <v>7.8</v>
      </c>
      <c r="G221">
        <v>11.4</v>
      </c>
      <c r="H221">
        <v>0</v>
      </c>
      <c r="I221">
        <v>14.4</v>
      </c>
      <c r="J221">
        <v>10.3</v>
      </c>
      <c r="K221">
        <v>0</v>
      </c>
      <c r="L221">
        <v>12.2</v>
      </c>
      <c r="M221">
        <v>15.8</v>
      </c>
      <c r="N221">
        <v>0</v>
      </c>
      <c r="O221">
        <v>13.3</v>
      </c>
      <c r="P221">
        <v>8.6999999999999993</v>
      </c>
      <c r="Q221">
        <v>0</v>
      </c>
      <c r="R221">
        <v>9.1</v>
      </c>
      <c r="S221">
        <v>12.7</v>
      </c>
      <c r="T221">
        <v>0</v>
      </c>
      <c r="U221">
        <v>-18.600000000000001</v>
      </c>
      <c r="V221">
        <v>-20.6</v>
      </c>
      <c r="W221">
        <v>-22</v>
      </c>
      <c r="X221">
        <v>-19</v>
      </c>
      <c r="Y221">
        <v>-16.100000000000001</v>
      </c>
      <c r="Z221">
        <v>-22</v>
      </c>
      <c r="AA221">
        <v>14.5</v>
      </c>
      <c r="AB221">
        <v>15.1</v>
      </c>
      <c r="AC221">
        <v>40.5</v>
      </c>
      <c r="AD221">
        <v>8.5</v>
      </c>
      <c r="AE221">
        <v>6.9</v>
      </c>
      <c r="AF221">
        <v>0</v>
      </c>
      <c r="AG221">
        <v>10.9</v>
      </c>
      <c r="AH221">
        <v>10</v>
      </c>
      <c r="AI221">
        <v>10.8</v>
      </c>
      <c r="AJ221">
        <v>10</v>
      </c>
      <c r="AK221">
        <v>11.7</v>
      </c>
      <c r="AL221">
        <v>10</v>
      </c>
      <c r="AM221">
        <v>13</v>
      </c>
      <c r="AN221">
        <v>9</v>
      </c>
      <c r="AO221">
        <v>10.4</v>
      </c>
      <c r="AP221">
        <v>10</v>
      </c>
      <c r="AQ221">
        <v>12.1</v>
      </c>
      <c r="AR221">
        <v>10</v>
      </c>
      <c r="AS221">
        <v>10.6</v>
      </c>
      <c r="AT221">
        <v>10</v>
      </c>
      <c r="AU221">
        <v>19.2</v>
      </c>
      <c r="AV221">
        <v>19</v>
      </c>
      <c r="AW221">
        <v>19.899999999999999</v>
      </c>
      <c r="AX221">
        <v>19</v>
      </c>
      <c r="AY221">
        <v>11.5</v>
      </c>
      <c r="AZ221">
        <v>10</v>
      </c>
      <c r="BA221">
        <v>9.6999999999999993</v>
      </c>
      <c r="BB221">
        <v>10</v>
      </c>
    </row>
    <row r="222" spans="1:54" x14ac:dyDescent="0.35">
      <c r="A222" s="1">
        <v>46059.603472222225</v>
      </c>
      <c r="B222">
        <v>21.1</v>
      </c>
      <c r="C222">
        <v>3</v>
      </c>
      <c r="D222">
        <v>19.600000000000001</v>
      </c>
      <c r="E222">
        <v>2</v>
      </c>
      <c r="F222">
        <v>7.8</v>
      </c>
      <c r="G222">
        <v>11.4</v>
      </c>
      <c r="H222">
        <v>0</v>
      </c>
      <c r="I222">
        <v>14.4</v>
      </c>
      <c r="J222">
        <v>10.3</v>
      </c>
      <c r="K222">
        <v>0</v>
      </c>
      <c r="L222">
        <v>12.2</v>
      </c>
      <c r="M222">
        <v>15.8</v>
      </c>
      <c r="N222">
        <v>0</v>
      </c>
      <c r="O222">
        <v>13.4</v>
      </c>
      <c r="P222">
        <v>8.6999999999999993</v>
      </c>
      <c r="Q222">
        <v>0</v>
      </c>
      <c r="R222">
        <v>9.1</v>
      </c>
      <c r="S222">
        <v>12.7</v>
      </c>
      <c r="T222">
        <v>0</v>
      </c>
      <c r="U222">
        <v>-18.7</v>
      </c>
      <c r="V222">
        <v>-21.1</v>
      </c>
      <c r="W222">
        <v>-22</v>
      </c>
      <c r="X222">
        <v>-19.100000000000001</v>
      </c>
      <c r="Y222">
        <v>-16.2</v>
      </c>
      <c r="Z222">
        <v>-22</v>
      </c>
      <c r="AA222">
        <v>14.5</v>
      </c>
      <c r="AB222">
        <v>15</v>
      </c>
      <c r="AC222">
        <v>40.5</v>
      </c>
      <c r="AD222">
        <v>8.5</v>
      </c>
      <c r="AE222">
        <v>6.9</v>
      </c>
      <c r="AF222">
        <v>0</v>
      </c>
      <c r="AG222">
        <v>11.1</v>
      </c>
      <c r="AH222">
        <v>10</v>
      </c>
      <c r="AI222">
        <v>11</v>
      </c>
      <c r="AJ222">
        <v>10</v>
      </c>
      <c r="AK222">
        <v>11.8</v>
      </c>
      <c r="AL222">
        <v>10</v>
      </c>
      <c r="AM222">
        <v>13</v>
      </c>
      <c r="AN222">
        <v>9</v>
      </c>
      <c r="AO222">
        <v>10.4</v>
      </c>
      <c r="AP222">
        <v>10</v>
      </c>
      <c r="AQ222">
        <v>12.4</v>
      </c>
      <c r="AR222">
        <v>10</v>
      </c>
      <c r="AS222">
        <v>10.9</v>
      </c>
      <c r="AT222">
        <v>10</v>
      </c>
      <c r="AU222">
        <v>19.3</v>
      </c>
      <c r="AV222">
        <v>19</v>
      </c>
      <c r="AW222">
        <v>19.899999999999999</v>
      </c>
      <c r="AX222">
        <v>19</v>
      </c>
      <c r="AY222">
        <v>10.5</v>
      </c>
      <c r="AZ222">
        <v>10</v>
      </c>
      <c r="BA222">
        <v>10.199999999999999</v>
      </c>
      <c r="BB222">
        <v>10</v>
      </c>
    </row>
    <row r="223" spans="1:54" x14ac:dyDescent="0.35">
      <c r="A223" s="1">
        <v>46059.604166666664</v>
      </c>
      <c r="B223">
        <v>21.1</v>
      </c>
      <c r="C223">
        <v>3</v>
      </c>
      <c r="D223">
        <v>19.7</v>
      </c>
      <c r="E223">
        <v>2</v>
      </c>
      <c r="F223">
        <v>7.8</v>
      </c>
      <c r="G223">
        <v>11.4</v>
      </c>
      <c r="H223">
        <v>0</v>
      </c>
      <c r="I223">
        <v>14.4</v>
      </c>
      <c r="J223">
        <v>10.3</v>
      </c>
      <c r="K223">
        <v>0</v>
      </c>
      <c r="L223">
        <v>12.2</v>
      </c>
      <c r="M223">
        <v>15.8</v>
      </c>
      <c r="N223">
        <v>0</v>
      </c>
      <c r="O223">
        <v>13.4</v>
      </c>
      <c r="P223">
        <v>8.6999999999999993</v>
      </c>
      <c r="Q223">
        <v>0</v>
      </c>
      <c r="R223">
        <v>9.1</v>
      </c>
      <c r="S223">
        <v>12.7</v>
      </c>
      <c r="T223">
        <v>0</v>
      </c>
      <c r="U223">
        <v>-18.7</v>
      </c>
      <c r="V223">
        <v>-20.7</v>
      </c>
      <c r="W223">
        <v>-22</v>
      </c>
      <c r="X223">
        <v>-19.100000000000001</v>
      </c>
      <c r="Y223">
        <v>-16.3</v>
      </c>
      <c r="Z223">
        <v>-22</v>
      </c>
      <c r="AA223">
        <v>14.4</v>
      </c>
      <c r="AB223">
        <v>15</v>
      </c>
      <c r="AC223">
        <v>40.5</v>
      </c>
      <c r="AD223">
        <v>8.5</v>
      </c>
      <c r="AE223">
        <v>6.9</v>
      </c>
      <c r="AF223">
        <v>0</v>
      </c>
      <c r="AG223">
        <v>11.3</v>
      </c>
      <c r="AH223">
        <v>10</v>
      </c>
      <c r="AI223">
        <v>11.1</v>
      </c>
      <c r="AJ223">
        <v>10</v>
      </c>
      <c r="AK223">
        <v>11.8</v>
      </c>
      <c r="AL223">
        <v>10</v>
      </c>
      <c r="AM223">
        <v>13</v>
      </c>
      <c r="AN223">
        <v>9</v>
      </c>
      <c r="AO223">
        <v>10.3</v>
      </c>
      <c r="AP223">
        <v>10</v>
      </c>
      <c r="AQ223">
        <v>12.3</v>
      </c>
      <c r="AR223">
        <v>10</v>
      </c>
      <c r="AS223">
        <v>11.1</v>
      </c>
      <c r="AT223">
        <v>10</v>
      </c>
      <c r="AU223">
        <v>19.2</v>
      </c>
      <c r="AV223">
        <v>19</v>
      </c>
      <c r="AW223">
        <v>19.899999999999999</v>
      </c>
      <c r="AX223">
        <v>19</v>
      </c>
      <c r="AY223">
        <v>9.6999999999999993</v>
      </c>
      <c r="AZ223">
        <v>10</v>
      </c>
      <c r="BA223">
        <v>10.6</v>
      </c>
      <c r="BB223">
        <v>10</v>
      </c>
    </row>
    <row r="224" spans="1:54" x14ac:dyDescent="0.35">
      <c r="A224" s="1">
        <v>46059.604861111111</v>
      </c>
      <c r="B224">
        <v>21.1</v>
      </c>
      <c r="C224">
        <v>3</v>
      </c>
      <c r="D224">
        <v>19.7</v>
      </c>
      <c r="E224">
        <v>2</v>
      </c>
      <c r="F224">
        <v>7.8</v>
      </c>
      <c r="G224">
        <v>11.4</v>
      </c>
      <c r="H224">
        <v>0</v>
      </c>
      <c r="I224">
        <v>14.4</v>
      </c>
      <c r="J224">
        <v>10.3</v>
      </c>
      <c r="K224">
        <v>0</v>
      </c>
      <c r="L224">
        <v>12.2</v>
      </c>
      <c r="M224">
        <v>15.8</v>
      </c>
      <c r="N224">
        <v>0</v>
      </c>
      <c r="O224">
        <v>13.4</v>
      </c>
      <c r="P224">
        <v>8.6999999999999993</v>
      </c>
      <c r="Q224">
        <v>0</v>
      </c>
      <c r="R224">
        <v>9.1</v>
      </c>
      <c r="S224">
        <v>12.7</v>
      </c>
      <c r="T224">
        <v>0</v>
      </c>
      <c r="U224">
        <v>-18.7</v>
      </c>
      <c r="V224">
        <v>-20.9</v>
      </c>
      <c r="W224">
        <v>-22</v>
      </c>
      <c r="X224">
        <v>-19.100000000000001</v>
      </c>
      <c r="Y224">
        <v>-16.399999999999999</v>
      </c>
      <c r="Z224">
        <v>-22</v>
      </c>
      <c r="AA224">
        <v>14.4</v>
      </c>
      <c r="AB224">
        <v>14.9</v>
      </c>
      <c r="AC224">
        <v>40.5</v>
      </c>
      <c r="AD224">
        <v>8.5</v>
      </c>
      <c r="AE224">
        <v>6.9</v>
      </c>
      <c r="AF224">
        <v>0</v>
      </c>
      <c r="AG224">
        <v>11.4</v>
      </c>
      <c r="AH224">
        <v>10</v>
      </c>
      <c r="AI224">
        <v>11.2</v>
      </c>
      <c r="AJ224">
        <v>10</v>
      </c>
      <c r="AK224">
        <v>11.8</v>
      </c>
      <c r="AL224">
        <v>10</v>
      </c>
      <c r="AM224">
        <v>13</v>
      </c>
      <c r="AN224">
        <v>9</v>
      </c>
      <c r="AO224">
        <v>10.3</v>
      </c>
      <c r="AP224">
        <v>10</v>
      </c>
      <c r="AQ224">
        <v>12.1</v>
      </c>
      <c r="AR224">
        <v>10</v>
      </c>
      <c r="AS224">
        <v>11.3</v>
      </c>
      <c r="AT224">
        <v>10</v>
      </c>
      <c r="AU224">
        <v>19.100000000000001</v>
      </c>
      <c r="AV224">
        <v>19</v>
      </c>
      <c r="AW224">
        <v>19.899999999999999</v>
      </c>
      <c r="AX224">
        <v>19</v>
      </c>
      <c r="AY224">
        <v>9.6999999999999993</v>
      </c>
      <c r="AZ224">
        <v>10</v>
      </c>
      <c r="BA224">
        <v>10.9</v>
      </c>
      <c r="BB224">
        <v>10</v>
      </c>
    </row>
    <row r="225" spans="1:54" x14ac:dyDescent="0.35">
      <c r="A225" s="1">
        <v>46059.605555555558</v>
      </c>
      <c r="B225">
        <v>21.1</v>
      </c>
      <c r="C225">
        <v>3</v>
      </c>
      <c r="D225">
        <v>19.7</v>
      </c>
      <c r="E225">
        <v>2</v>
      </c>
      <c r="F225">
        <v>7.8</v>
      </c>
      <c r="G225">
        <v>11.4</v>
      </c>
      <c r="H225">
        <v>0</v>
      </c>
      <c r="I225">
        <v>14.4</v>
      </c>
      <c r="J225">
        <v>10.3</v>
      </c>
      <c r="K225">
        <v>0</v>
      </c>
      <c r="L225">
        <v>12.2</v>
      </c>
      <c r="M225">
        <v>15.8</v>
      </c>
      <c r="N225">
        <v>0</v>
      </c>
      <c r="O225">
        <v>13.4</v>
      </c>
      <c r="P225">
        <v>8.6999999999999993</v>
      </c>
      <c r="Q225">
        <v>0</v>
      </c>
      <c r="R225">
        <v>9.1</v>
      </c>
      <c r="S225">
        <v>12.7</v>
      </c>
      <c r="T225">
        <v>0</v>
      </c>
      <c r="U225">
        <v>-18.7</v>
      </c>
      <c r="V225">
        <v>-20.8</v>
      </c>
      <c r="W225">
        <v>-22</v>
      </c>
      <c r="X225">
        <v>-19.100000000000001</v>
      </c>
      <c r="Y225">
        <v>-16.5</v>
      </c>
      <c r="Z225">
        <v>-22</v>
      </c>
      <c r="AA225">
        <v>14.4</v>
      </c>
      <c r="AB225">
        <v>14.9</v>
      </c>
      <c r="AC225">
        <v>40.5</v>
      </c>
      <c r="AD225">
        <v>8.5</v>
      </c>
      <c r="AE225">
        <v>6.9</v>
      </c>
      <c r="AF225">
        <v>0</v>
      </c>
      <c r="AG225">
        <v>11.5</v>
      </c>
      <c r="AH225">
        <v>10</v>
      </c>
      <c r="AI225">
        <v>11.3</v>
      </c>
      <c r="AJ225">
        <v>10</v>
      </c>
      <c r="AK225">
        <v>11.9</v>
      </c>
      <c r="AL225">
        <v>10</v>
      </c>
      <c r="AM225">
        <v>13</v>
      </c>
      <c r="AN225">
        <v>9</v>
      </c>
      <c r="AO225">
        <v>10.199999999999999</v>
      </c>
      <c r="AP225">
        <v>10</v>
      </c>
      <c r="AQ225">
        <v>12</v>
      </c>
      <c r="AR225">
        <v>10</v>
      </c>
      <c r="AS225">
        <v>11.5</v>
      </c>
      <c r="AT225">
        <v>10</v>
      </c>
      <c r="AU225">
        <v>19</v>
      </c>
      <c r="AV225">
        <v>19</v>
      </c>
      <c r="AW225">
        <v>19.899999999999999</v>
      </c>
      <c r="AX225">
        <v>19</v>
      </c>
      <c r="AY225">
        <v>10.1</v>
      </c>
      <c r="AZ225">
        <v>10</v>
      </c>
      <c r="BA225">
        <v>11.3</v>
      </c>
      <c r="BB225">
        <v>10</v>
      </c>
    </row>
    <row r="226" spans="1:54" x14ac:dyDescent="0.35">
      <c r="A226" s="1">
        <v>46059.606249999997</v>
      </c>
      <c r="B226">
        <v>21.1</v>
      </c>
      <c r="C226">
        <v>3</v>
      </c>
      <c r="D226">
        <v>19.7</v>
      </c>
      <c r="E226">
        <v>2</v>
      </c>
      <c r="F226">
        <v>7.8</v>
      </c>
      <c r="G226">
        <v>11.4</v>
      </c>
      <c r="H226">
        <v>0</v>
      </c>
      <c r="I226">
        <v>14.4</v>
      </c>
      <c r="J226">
        <v>10.3</v>
      </c>
      <c r="K226">
        <v>0</v>
      </c>
      <c r="L226">
        <v>12.2</v>
      </c>
      <c r="M226">
        <v>15.8</v>
      </c>
      <c r="N226">
        <v>0</v>
      </c>
      <c r="O226">
        <v>13.4</v>
      </c>
      <c r="P226">
        <v>8.6999999999999993</v>
      </c>
      <c r="Q226">
        <v>0</v>
      </c>
      <c r="R226">
        <v>9.1</v>
      </c>
      <c r="S226">
        <v>12.7</v>
      </c>
      <c r="T226">
        <v>0</v>
      </c>
      <c r="U226">
        <v>-18.7</v>
      </c>
      <c r="V226">
        <v>-20.9</v>
      </c>
      <c r="W226">
        <v>-22</v>
      </c>
      <c r="X226">
        <v>-19.100000000000001</v>
      </c>
      <c r="Y226">
        <v>-16.5</v>
      </c>
      <c r="Z226">
        <v>-22</v>
      </c>
      <c r="AA226">
        <v>14.4</v>
      </c>
      <c r="AB226">
        <v>14.8</v>
      </c>
      <c r="AC226">
        <v>40.5</v>
      </c>
      <c r="AD226">
        <v>8.5</v>
      </c>
      <c r="AE226">
        <v>6.9</v>
      </c>
      <c r="AF226">
        <v>0</v>
      </c>
      <c r="AG226">
        <v>11.6</v>
      </c>
      <c r="AH226">
        <v>10</v>
      </c>
      <c r="AI226">
        <v>11.4</v>
      </c>
      <c r="AJ226">
        <v>10</v>
      </c>
      <c r="AK226">
        <v>11.9</v>
      </c>
      <c r="AL226">
        <v>10</v>
      </c>
      <c r="AM226">
        <v>13</v>
      </c>
      <c r="AN226">
        <v>9</v>
      </c>
      <c r="AO226">
        <v>10.199999999999999</v>
      </c>
      <c r="AP226">
        <v>10</v>
      </c>
      <c r="AQ226">
        <v>12</v>
      </c>
      <c r="AR226">
        <v>10</v>
      </c>
      <c r="AS226">
        <v>11.7</v>
      </c>
      <c r="AT226">
        <v>10</v>
      </c>
      <c r="AU226">
        <v>19</v>
      </c>
      <c r="AV226">
        <v>19</v>
      </c>
      <c r="AW226">
        <v>19.899999999999999</v>
      </c>
      <c r="AX226">
        <v>19</v>
      </c>
      <c r="AY226">
        <v>10.5</v>
      </c>
      <c r="AZ226">
        <v>10</v>
      </c>
      <c r="BA226">
        <v>11.6</v>
      </c>
      <c r="BB226">
        <v>10</v>
      </c>
    </row>
    <row r="227" spans="1:54" x14ac:dyDescent="0.35">
      <c r="A227" s="1">
        <v>46059.606944444444</v>
      </c>
      <c r="B227">
        <v>21.2</v>
      </c>
      <c r="C227">
        <v>3</v>
      </c>
      <c r="D227">
        <v>19.7</v>
      </c>
      <c r="E227">
        <v>2</v>
      </c>
      <c r="F227">
        <v>7.8</v>
      </c>
      <c r="G227">
        <v>11.4</v>
      </c>
      <c r="H227">
        <v>0</v>
      </c>
      <c r="I227">
        <v>14.4</v>
      </c>
      <c r="J227">
        <v>10.4</v>
      </c>
      <c r="K227">
        <v>0</v>
      </c>
      <c r="L227">
        <v>12.2</v>
      </c>
      <c r="M227">
        <v>15.8</v>
      </c>
      <c r="N227">
        <v>0</v>
      </c>
      <c r="O227">
        <v>13.4</v>
      </c>
      <c r="P227">
        <v>8.6999999999999993</v>
      </c>
      <c r="Q227">
        <v>0</v>
      </c>
      <c r="R227">
        <v>9.1</v>
      </c>
      <c r="S227">
        <v>12.7</v>
      </c>
      <c r="T227">
        <v>0</v>
      </c>
      <c r="U227">
        <v>-18.7</v>
      </c>
      <c r="V227">
        <v>-21</v>
      </c>
      <c r="W227">
        <v>-22</v>
      </c>
      <c r="X227">
        <v>-19.100000000000001</v>
      </c>
      <c r="Y227">
        <v>-16.600000000000001</v>
      </c>
      <c r="Z227">
        <v>-22</v>
      </c>
      <c r="AA227">
        <v>14.4</v>
      </c>
      <c r="AB227">
        <v>14.8</v>
      </c>
      <c r="AC227">
        <v>40.5</v>
      </c>
      <c r="AD227">
        <v>8.5</v>
      </c>
      <c r="AE227">
        <v>6.9</v>
      </c>
      <c r="AF227">
        <v>0</v>
      </c>
      <c r="AG227">
        <v>11.7</v>
      </c>
      <c r="AH227">
        <v>10</v>
      </c>
      <c r="AI227">
        <v>11.5</v>
      </c>
      <c r="AJ227">
        <v>10</v>
      </c>
      <c r="AK227">
        <v>10.6</v>
      </c>
      <c r="AL227">
        <v>10</v>
      </c>
      <c r="AM227">
        <v>13</v>
      </c>
      <c r="AN227">
        <v>9</v>
      </c>
      <c r="AO227">
        <v>10.199999999999999</v>
      </c>
      <c r="AP227">
        <v>10</v>
      </c>
      <c r="AQ227">
        <v>12</v>
      </c>
      <c r="AR227">
        <v>10</v>
      </c>
      <c r="AS227">
        <v>11.9</v>
      </c>
      <c r="AT227">
        <v>10</v>
      </c>
      <c r="AU227">
        <v>18.899999999999999</v>
      </c>
      <c r="AV227">
        <v>19</v>
      </c>
      <c r="AW227">
        <v>19.899999999999999</v>
      </c>
      <c r="AX227">
        <v>19</v>
      </c>
      <c r="AY227">
        <v>10.9</v>
      </c>
      <c r="AZ227">
        <v>10</v>
      </c>
      <c r="BA227">
        <v>11.8</v>
      </c>
      <c r="BB227">
        <v>10</v>
      </c>
    </row>
    <row r="228" spans="1:54" x14ac:dyDescent="0.35">
      <c r="A228" s="1">
        <v>46059.607638888891</v>
      </c>
      <c r="B228">
        <v>21.2</v>
      </c>
      <c r="C228">
        <v>3</v>
      </c>
      <c r="D228">
        <v>19.7</v>
      </c>
      <c r="E228">
        <v>2</v>
      </c>
      <c r="F228">
        <v>7.8</v>
      </c>
      <c r="G228">
        <v>11.4</v>
      </c>
      <c r="H228">
        <v>0</v>
      </c>
      <c r="I228">
        <v>14.4</v>
      </c>
      <c r="J228">
        <v>10.4</v>
      </c>
      <c r="K228">
        <v>0</v>
      </c>
      <c r="L228">
        <v>12.2</v>
      </c>
      <c r="M228">
        <v>15.8</v>
      </c>
      <c r="N228">
        <v>0</v>
      </c>
      <c r="O228">
        <v>13.4</v>
      </c>
      <c r="P228">
        <v>8.6999999999999993</v>
      </c>
      <c r="Q228">
        <v>0</v>
      </c>
      <c r="R228">
        <v>9.1</v>
      </c>
      <c r="S228">
        <v>12.7</v>
      </c>
      <c r="T228">
        <v>0</v>
      </c>
      <c r="U228">
        <v>-18.7</v>
      </c>
      <c r="V228">
        <v>-20.7</v>
      </c>
      <c r="W228">
        <v>-22</v>
      </c>
      <c r="X228">
        <v>-19.100000000000001</v>
      </c>
      <c r="Y228">
        <v>-16.7</v>
      </c>
      <c r="Z228">
        <v>-22</v>
      </c>
      <c r="AA228">
        <v>14.4</v>
      </c>
      <c r="AB228">
        <v>14.8</v>
      </c>
      <c r="AC228">
        <v>40.5</v>
      </c>
      <c r="AD228">
        <v>8.5</v>
      </c>
      <c r="AE228">
        <v>6.9</v>
      </c>
      <c r="AF228">
        <v>0</v>
      </c>
      <c r="AG228">
        <v>11.8</v>
      </c>
      <c r="AH228">
        <v>10</v>
      </c>
      <c r="AI228">
        <v>11.6</v>
      </c>
      <c r="AJ228">
        <v>10</v>
      </c>
      <c r="AK228">
        <v>9.6999999999999993</v>
      </c>
      <c r="AL228">
        <v>10</v>
      </c>
      <c r="AM228">
        <v>13</v>
      </c>
      <c r="AN228">
        <v>9</v>
      </c>
      <c r="AO228">
        <v>10.1</v>
      </c>
      <c r="AP228">
        <v>10</v>
      </c>
      <c r="AQ228">
        <v>12.1</v>
      </c>
      <c r="AR228">
        <v>10</v>
      </c>
      <c r="AS228">
        <v>11.9</v>
      </c>
      <c r="AT228">
        <v>10</v>
      </c>
      <c r="AU228">
        <v>18.8</v>
      </c>
      <c r="AV228">
        <v>19</v>
      </c>
      <c r="AW228">
        <v>19.899999999999999</v>
      </c>
      <c r="AX228">
        <v>19</v>
      </c>
      <c r="AY228">
        <v>11.1</v>
      </c>
      <c r="AZ228">
        <v>10</v>
      </c>
      <c r="BA228">
        <v>12</v>
      </c>
      <c r="BB228">
        <v>10</v>
      </c>
    </row>
    <row r="229" spans="1:54" x14ac:dyDescent="0.35">
      <c r="A229" s="1">
        <v>46059.60833333333</v>
      </c>
      <c r="B229">
        <v>21.2</v>
      </c>
      <c r="C229">
        <v>3</v>
      </c>
      <c r="D229">
        <v>19.7</v>
      </c>
      <c r="E229">
        <v>2</v>
      </c>
      <c r="F229">
        <v>7.8</v>
      </c>
      <c r="G229">
        <v>11.4</v>
      </c>
      <c r="H229">
        <v>0</v>
      </c>
      <c r="I229">
        <v>14.4</v>
      </c>
      <c r="J229">
        <v>10.4</v>
      </c>
      <c r="K229">
        <v>0</v>
      </c>
      <c r="L229">
        <v>12.2</v>
      </c>
      <c r="M229">
        <v>15.8</v>
      </c>
      <c r="N229">
        <v>0</v>
      </c>
      <c r="O229">
        <v>13.4</v>
      </c>
      <c r="P229">
        <v>8.6999999999999993</v>
      </c>
      <c r="Q229">
        <v>0</v>
      </c>
      <c r="R229">
        <v>9.1</v>
      </c>
      <c r="S229">
        <v>12.7</v>
      </c>
      <c r="T229">
        <v>0</v>
      </c>
      <c r="U229">
        <v>-18.7</v>
      </c>
      <c r="V229">
        <v>-21.1</v>
      </c>
      <c r="W229">
        <v>-22</v>
      </c>
      <c r="X229">
        <v>-19.100000000000001</v>
      </c>
      <c r="Y229">
        <v>-16.7</v>
      </c>
      <c r="Z229">
        <v>-22</v>
      </c>
      <c r="AA229">
        <v>14.4</v>
      </c>
      <c r="AB229">
        <v>14.7</v>
      </c>
      <c r="AC229">
        <v>40.5</v>
      </c>
      <c r="AD229">
        <v>8.6</v>
      </c>
      <c r="AE229">
        <v>6.9</v>
      </c>
      <c r="AF229">
        <v>0</v>
      </c>
      <c r="AG229">
        <v>11.9</v>
      </c>
      <c r="AH229">
        <v>10</v>
      </c>
      <c r="AI229">
        <v>11.7</v>
      </c>
      <c r="AJ229">
        <v>10</v>
      </c>
      <c r="AK229">
        <v>9.6999999999999993</v>
      </c>
      <c r="AL229">
        <v>10</v>
      </c>
      <c r="AM229">
        <v>13</v>
      </c>
      <c r="AN229">
        <v>9</v>
      </c>
      <c r="AO229">
        <v>10.1</v>
      </c>
      <c r="AP229">
        <v>10</v>
      </c>
      <c r="AQ229">
        <v>12.1</v>
      </c>
      <c r="AR229">
        <v>10</v>
      </c>
      <c r="AS229">
        <v>9.3000000000000007</v>
      </c>
      <c r="AT229">
        <v>10</v>
      </c>
      <c r="AU229">
        <v>18.8</v>
      </c>
      <c r="AV229">
        <v>19</v>
      </c>
      <c r="AW229">
        <v>19.899999999999999</v>
      </c>
      <c r="AX229">
        <v>19</v>
      </c>
      <c r="AY229">
        <v>11.4</v>
      </c>
      <c r="AZ229">
        <v>10</v>
      </c>
      <c r="BA229">
        <v>11.7</v>
      </c>
      <c r="BB229">
        <v>10</v>
      </c>
    </row>
    <row r="230" spans="1:54" x14ac:dyDescent="0.35">
      <c r="A230" s="1">
        <v>46059.609027777777</v>
      </c>
      <c r="B230">
        <v>21.2</v>
      </c>
      <c r="C230">
        <v>3</v>
      </c>
      <c r="D230">
        <v>19.7</v>
      </c>
      <c r="E230">
        <v>2</v>
      </c>
      <c r="F230">
        <v>7.8</v>
      </c>
      <c r="G230">
        <v>11.4</v>
      </c>
      <c r="H230">
        <v>0</v>
      </c>
      <c r="I230">
        <v>14.4</v>
      </c>
      <c r="J230">
        <v>10.4</v>
      </c>
      <c r="K230">
        <v>0</v>
      </c>
      <c r="L230">
        <v>12.2</v>
      </c>
      <c r="M230">
        <v>15.8</v>
      </c>
      <c r="N230">
        <v>0</v>
      </c>
      <c r="O230">
        <v>13.4</v>
      </c>
      <c r="P230">
        <v>8.8000000000000007</v>
      </c>
      <c r="Q230">
        <v>0</v>
      </c>
      <c r="R230">
        <v>9.1</v>
      </c>
      <c r="S230">
        <v>12.7</v>
      </c>
      <c r="T230">
        <v>0</v>
      </c>
      <c r="U230">
        <v>-18.7</v>
      </c>
      <c r="V230">
        <v>-20.8</v>
      </c>
      <c r="W230">
        <v>-22</v>
      </c>
      <c r="X230">
        <v>-19.100000000000001</v>
      </c>
      <c r="Y230">
        <v>-16.8</v>
      </c>
      <c r="Z230">
        <v>-22</v>
      </c>
      <c r="AA230">
        <v>14.4</v>
      </c>
      <c r="AB230">
        <v>14.7</v>
      </c>
      <c r="AC230">
        <v>40.5</v>
      </c>
      <c r="AD230">
        <v>8.6</v>
      </c>
      <c r="AE230">
        <v>6.9</v>
      </c>
      <c r="AF230">
        <v>0</v>
      </c>
      <c r="AG230">
        <v>12</v>
      </c>
      <c r="AH230">
        <v>10</v>
      </c>
      <c r="AI230">
        <v>11.8</v>
      </c>
      <c r="AJ230">
        <v>10</v>
      </c>
      <c r="AK230">
        <v>10.199999999999999</v>
      </c>
      <c r="AL230">
        <v>10</v>
      </c>
      <c r="AM230">
        <v>13</v>
      </c>
      <c r="AN230">
        <v>9</v>
      </c>
      <c r="AO230">
        <v>10.1</v>
      </c>
      <c r="AP230">
        <v>10</v>
      </c>
      <c r="AQ230">
        <v>12.2</v>
      </c>
      <c r="AR230">
        <v>10</v>
      </c>
      <c r="AS230">
        <v>8.1999999999999993</v>
      </c>
      <c r="AT230">
        <v>10</v>
      </c>
      <c r="AU230">
        <v>18.8</v>
      </c>
      <c r="AV230">
        <v>19</v>
      </c>
      <c r="AW230">
        <v>19.899999999999999</v>
      </c>
      <c r="AX230">
        <v>19</v>
      </c>
      <c r="AY230">
        <v>11.6</v>
      </c>
      <c r="AZ230">
        <v>10</v>
      </c>
      <c r="BA230">
        <v>10.8</v>
      </c>
      <c r="BB230">
        <v>10</v>
      </c>
    </row>
    <row r="231" spans="1:54" x14ac:dyDescent="0.35">
      <c r="A231" s="1">
        <v>46059.609722222223</v>
      </c>
      <c r="B231">
        <v>21.2</v>
      </c>
      <c r="C231">
        <v>3</v>
      </c>
      <c r="D231">
        <v>19.7</v>
      </c>
      <c r="E231">
        <v>2</v>
      </c>
      <c r="F231">
        <v>7.8</v>
      </c>
      <c r="G231">
        <v>11.4</v>
      </c>
      <c r="H231">
        <v>0</v>
      </c>
      <c r="I231">
        <v>14.4</v>
      </c>
      <c r="J231">
        <v>10.4</v>
      </c>
      <c r="K231">
        <v>0</v>
      </c>
      <c r="L231">
        <v>12.2</v>
      </c>
      <c r="M231">
        <v>15.8</v>
      </c>
      <c r="N231">
        <v>0</v>
      </c>
      <c r="O231">
        <v>13.4</v>
      </c>
      <c r="P231">
        <v>8.8000000000000007</v>
      </c>
      <c r="Q231">
        <v>0</v>
      </c>
      <c r="R231">
        <v>9.1</v>
      </c>
      <c r="S231">
        <v>12.7</v>
      </c>
      <c r="T231">
        <v>0</v>
      </c>
      <c r="U231">
        <v>-18.7</v>
      </c>
      <c r="V231">
        <v>-21.1</v>
      </c>
      <c r="W231">
        <v>-22</v>
      </c>
      <c r="X231">
        <v>-19.100000000000001</v>
      </c>
      <c r="Y231">
        <v>-16.8</v>
      </c>
      <c r="Z231">
        <v>-22</v>
      </c>
      <c r="AA231">
        <v>14.4</v>
      </c>
      <c r="AB231">
        <v>14.7</v>
      </c>
      <c r="AC231">
        <v>40.5</v>
      </c>
      <c r="AD231">
        <v>8.6</v>
      </c>
      <c r="AE231">
        <v>6.9</v>
      </c>
      <c r="AF231">
        <v>0</v>
      </c>
      <c r="AG231">
        <v>11.5</v>
      </c>
      <c r="AH231">
        <v>10</v>
      </c>
      <c r="AI231">
        <v>11.9</v>
      </c>
      <c r="AJ231">
        <v>10</v>
      </c>
      <c r="AK231">
        <v>10.6</v>
      </c>
      <c r="AL231">
        <v>10</v>
      </c>
      <c r="AM231">
        <v>13</v>
      </c>
      <c r="AN231">
        <v>9</v>
      </c>
      <c r="AO231">
        <v>10.1</v>
      </c>
      <c r="AP231">
        <v>10</v>
      </c>
      <c r="AQ231">
        <v>12.1</v>
      </c>
      <c r="AR231">
        <v>10</v>
      </c>
      <c r="AS231">
        <v>8.3000000000000007</v>
      </c>
      <c r="AT231">
        <v>10</v>
      </c>
      <c r="AU231">
        <v>18.8</v>
      </c>
      <c r="AV231">
        <v>19</v>
      </c>
      <c r="AW231">
        <v>19.899999999999999</v>
      </c>
      <c r="AX231">
        <v>19</v>
      </c>
      <c r="AY231">
        <v>11.8</v>
      </c>
      <c r="AZ231">
        <v>10</v>
      </c>
      <c r="BA231">
        <v>10.1</v>
      </c>
      <c r="BB231">
        <v>10</v>
      </c>
    </row>
    <row r="232" spans="1:54" x14ac:dyDescent="0.35">
      <c r="A232" s="1">
        <v>46059.61041666667</v>
      </c>
      <c r="B232">
        <v>21.2</v>
      </c>
      <c r="C232">
        <v>3</v>
      </c>
      <c r="D232">
        <v>19.7</v>
      </c>
      <c r="E232">
        <v>2</v>
      </c>
      <c r="F232">
        <v>7.8</v>
      </c>
      <c r="G232">
        <v>11.4</v>
      </c>
      <c r="H232">
        <v>0</v>
      </c>
      <c r="I232">
        <v>14.4</v>
      </c>
      <c r="J232">
        <v>10.4</v>
      </c>
      <c r="K232">
        <v>0</v>
      </c>
      <c r="L232">
        <v>12.2</v>
      </c>
      <c r="M232">
        <v>15.8</v>
      </c>
      <c r="N232">
        <v>0</v>
      </c>
      <c r="O232">
        <v>13.4</v>
      </c>
      <c r="P232">
        <v>8.8000000000000007</v>
      </c>
      <c r="Q232">
        <v>0</v>
      </c>
      <c r="R232">
        <v>9.1</v>
      </c>
      <c r="S232">
        <v>12.7</v>
      </c>
      <c r="T232">
        <v>0</v>
      </c>
      <c r="U232">
        <v>-18.8</v>
      </c>
      <c r="V232">
        <v>-21</v>
      </c>
      <c r="W232">
        <v>-22</v>
      </c>
      <c r="X232">
        <v>-19.2</v>
      </c>
      <c r="Y232">
        <v>-16.8</v>
      </c>
      <c r="Z232">
        <v>-22</v>
      </c>
      <c r="AA232">
        <v>14.4</v>
      </c>
      <c r="AB232">
        <v>14.6</v>
      </c>
      <c r="AC232">
        <v>40.5</v>
      </c>
      <c r="AD232">
        <v>8.6</v>
      </c>
      <c r="AE232">
        <v>6.9</v>
      </c>
      <c r="AF232">
        <v>0</v>
      </c>
      <c r="AG232">
        <v>10.6</v>
      </c>
      <c r="AH232">
        <v>10</v>
      </c>
      <c r="AI232">
        <v>12</v>
      </c>
      <c r="AJ232">
        <v>10</v>
      </c>
      <c r="AK232">
        <v>10.8</v>
      </c>
      <c r="AL232">
        <v>10</v>
      </c>
      <c r="AM232">
        <v>13</v>
      </c>
      <c r="AN232">
        <v>9</v>
      </c>
      <c r="AO232">
        <v>10.1</v>
      </c>
      <c r="AP232">
        <v>10</v>
      </c>
      <c r="AQ232">
        <v>12.3</v>
      </c>
      <c r="AR232">
        <v>10</v>
      </c>
      <c r="AS232">
        <v>9</v>
      </c>
      <c r="AT232">
        <v>10</v>
      </c>
      <c r="AU232">
        <v>18.8</v>
      </c>
      <c r="AV232">
        <v>19</v>
      </c>
      <c r="AW232">
        <v>19.899999999999999</v>
      </c>
      <c r="AX232">
        <v>19</v>
      </c>
      <c r="AY232">
        <v>12</v>
      </c>
      <c r="AZ232">
        <v>10</v>
      </c>
      <c r="BA232">
        <v>9.6999999999999993</v>
      </c>
      <c r="BB232">
        <v>10</v>
      </c>
    </row>
    <row r="233" spans="1:54" x14ac:dyDescent="0.35">
      <c r="A233" s="1">
        <v>46059.611111111109</v>
      </c>
      <c r="B233">
        <v>21.2</v>
      </c>
      <c r="C233">
        <v>3</v>
      </c>
      <c r="D233">
        <v>19.7</v>
      </c>
      <c r="E233">
        <v>2</v>
      </c>
      <c r="F233">
        <v>7.8</v>
      </c>
      <c r="G233">
        <v>11.4</v>
      </c>
      <c r="H233">
        <v>0</v>
      </c>
      <c r="I233">
        <v>14.4</v>
      </c>
      <c r="J233">
        <v>10.4</v>
      </c>
      <c r="K233">
        <v>0</v>
      </c>
      <c r="L233">
        <v>12.2</v>
      </c>
      <c r="M233">
        <v>15.8</v>
      </c>
      <c r="N233">
        <v>0</v>
      </c>
      <c r="O233">
        <v>13.4</v>
      </c>
      <c r="P233">
        <v>8.8000000000000007</v>
      </c>
      <c r="Q233">
        <v>0</v>
      </c>
      <c r="R233">
        <v>9.1</v>
      </c>
      <c r="S233">
        <v>12.7</v>
      </c>
      <c r="T233">
        <v>0</v>
      </c>
      <c r="U233">
        <v>-18.899999999999999</v>
      </c>
      <c r="V233">
        <v>-21.2</v>
      </c>
      <c r="W233">
        <v>-22</v>
      </c>
      <c r="X233">
        <v>-19.3</v>
      </c>
      <c r="Y233">
        <v>-16.899999999999999</v>
      </c>
      <c r="Z233">
        <v>-22</v>
      </c>
      <c r="AA233">
        <v>14.4</v>
      </c>
      <c r="AB233">
        <v>14.6</v>
      </c>
      <c r="AC233">
        <v>40.5</v>
      </c>
      <c r="AD233">
        <v>8.6</v>
      </c>
      <c r="AE233">
        <v>6.9</v>
      </c>
      <c r="AF233">
        <v>0</v>
      </c>
      <c r="AG233">
        <v>9.8000000000000007</v>
      </c>
      <c r="AH233">
        <v>10</v>
      </c>
      <c r="AI233">
        <v>11.6</v>
      </c>
      <c r="AJ233">
        <v>10</v>
      </c>
      <c r="AK233">
        <v>11</v>
      </c>
      <c r="AL233">
        <v>10</v>
      </c>
      <c r="AM233">
        <v>13</v>
      </c>
      <c r="AN233">
        <v>9</v>
      </c>
      <c r="AO233">
        <v>10.1</v>
      </c>
      <c r="AP233">
        <v>10</v>
      </c>
      <c r="AQ233">
        <v>12.3</v>
      </c>
      <c r="AR233">
        <v>10</v>
      </c>
      <c r="AS233">
        <v>9.5</v>
      </c>
      <c r="AT233">
        <v>10</v>
      </c>
      <c r="AU233">
        <v>18.8</v>
      </c>
      <c r="AV233">
        <v>19</v>
      </c>
      <c r="AW233">
        <v>19.899999999999999</v>
      </c>
      <c r="AX233">
        <v>19</v>
      </c>
      <c r="AY233">
        <v>11.5</v>
      </c>
      <c r="AZ233">
        <v>10</v>
      </c>
      <c r="BA233">
        <v>9.9</v>
      </c>
      <c r="BB233">
        <v>10</v>
      </c>
    </row>
    <row r="234" spans="1:54" x14ac:dyDescent="0.35">
      <c r="A234" s="1">
        <v>46059.611805555556</v>
      </c>
      <c r="B234">
        <v>21.2</v>
      </c>
      <c r="C234">
        <v>3</v>
      </c>
      <c r="D234">
        <v>19.7</v>
      </c>
      <c r="E234">
        <v>2</v>
      </c>
      <c r="F234">
        <v>7.8</v>
      </c>
      <c r="G234">
        <v>11.4</v>
      </c>
      <c r="H234">
        <v>0</v>
      </c>
      <c r="I234">
        <v>14.4</v>
      </c>
      <c r="J234">
        <v>10.4</v>
      </c>
      <c r="K234">
        <v>0</v>
      </c>
      <c r="L234">
        <v>12.2</v>
      </c>
      <c r="M234">
        <v>15.8</v>
      </c>
      <c r="N234">
        <v>0</v>
      </c>
      <c r="O234">
        <v>13.4</v>
      </c>
      <c r="P234">
        <v>8.8000000000000007</v>
      </c>
      <c r="Q234">
        <v>0</v>
      </c>
      <c r="R234">
        <v>9.1999999999999993</v>
      </c>
      <c r="S234">
        <v>12.7</v>
      </c>
      <c r="T234">
        <v>0</v>
      </c>
      <c r="U234">
        <v>-18.899999999999999</v>
      </c>
      <c r="V234">
        <v>-21.3</v>
      </c>
      <c r="W234">
        <v>-22</v>
      </c>
      <c r="X234">
        <v>-19.399999999999999</v>
      </c>
      <c r="Y234">
        <v>-17</v>
      </c>
      <c r="Z234">
        <v>-22</v>
      </c>
      <c r="AA234">
        <v>14.4</v>
      </c>
      <c r="AB234">
        <v>14.6</v>
      </c>
      <c r="AC234">
        <v>40.5</v>
      </c>
      <c r="AD234">
        <v>8.6</v>
      </c>
      <c r="AE234">
        <v>6.9</v>
      </c>
      <c r="AF234">
        <v>0</v>
      </c>
      <c r="AG234">
        <v>9.6</v>
      </c>
      <c r="AH234">
        <v>10</v>
      </c>
      <c r="AI234">
        <v>10</v>
      </c>
      <c r="AJ234">
        <v>10</v>
      </c>
      <c r="AK234">
        <v>11.1</v>
      </c>
      <c r="AL234">
        <v>10</v>
      </c>
      <c r="AM234">
        <v>13</v>
      </c>
      <c r="AN234">
        <v>9</v>
      </c>
      <c r="AO234">
        <v>10.199999999999999</v>
      </c>
      <c r="AP234">
        <v>10</v>
      </c>
      <c r="AQ234">
        <v>12.4</v>
      </c>
      <c r="AR234">
        <v>10</v>
      </c>
      <c r="AS234">
        <v>9.9</v>
      </c>
      <c r="AT234">
        <v>10</v>
      </c>
      <c r="AU234">
        <v>18.8</v>
      </c>
      <c r="AV234">
        <v>19</v>
      </c>
      <c r="AW234">
        <v>19.899999999999999</v>
      </c>
      <c r="AX234">
        <v>19</v>
      </c>
      <c r="AY234">
        <v>10.7</v>
      </c>
      <c r="AZ234">
        <v>10</v>
      </c>
      <c r="BA234">
        <v>10.3</v>
      </c>
      <c r="BB234">
        <v>10</v>
      </c>
    </row>
    <row r="235" spans="1:54" x14ac:dyDescent="0.35">
      <c r="A235" s="1">
        <v>46059.612500000003</v>
      </c>
      <c r="B235">
        <v>21.2</v>
      </c>
      <c r="C235">
        <v>3</v>
      </c>
      <c r="D235">
        <v>19.7</v>
      </c>
      <c r="E235">
        <v>2</v>
      </c>
      <c r="F235">
        <v>7.8</v>
      </c>
      <c r="G235">
        <v>11.4</v>
      </c>
      <c r="H235">
        <v>0</v>
      </c>
      <c r="I235">
        <v>14.4</v>
      </c>
      <c r="J235">
        <v>10.4</v>
      </c>
      <c r="K235">
        <v>0</v>
      </c>
      <c r="L235">
        <v>12.2</v>
      </c>
      <c r="M235">
        <v>15.8</v>
      </c>
      <c r="N235">
        <v>0</v>
      </c>
      <c r="O235">
        <v>13.4</v>
      </c>
      <c r="P235">
        <v>8.8000000000000007</v>
      </c>
      <c r="Q235">
        <v>0</v>
      </c>
      <c r="R235">
        <v>9.1999999999999993</v>
      </c>
      <c r="S235">
        <v>12.7</v>
      </c>
      <c r="T235">
        <v>0</v>
      </c>
      <c r="U235">
        <v>-19</v>
      </c>
      <c r="V235">
        <v>-21</v>
      </c>
      <c r="W235">
        <v>-22</v>
      </c>
      <c r="X235">
        <v>-19.399999999999999</v>
      </c>
      <c r="Y235">
        <v>-17</v>
      </c>
      <c r="Z235">
        <v>-22</v>
      </c>
      <c r="AA235">
        <v>14.4</v>
      </c>
      <c r="AB235">
        <v>14.6</v>
      </c>
      <c r="AC235">
        <v>40.5</v>
      </c>
      <c r="AD235">
        <v>8.6</v>
      </c>
      <c r="AE235">
        <v>6.9</v>
      </c>
      <c r="AF235">
        <v>0</v>
      </c>
      <c r="AG235">
        <v>9.6999999999999993</v>
      </c>
      <c r="AH235">
        <v>10</v>
      </c>
      <c r="AI235">
        <v>9</v>
      </c>
      <c r="AJ235">
        <v>10</v>
      </c>
      <c r="AK235">
        <v>11.2</v>
      </c>
      <c r="AL235">
        <v>10</v>
      </c>
      <c r="AM235">
        <v>13</v>
      </c>
      <c r="AN235">
        <v>9</v>
      </c>
      <c r="AO235">
        <v>10.3</v>
      </c>
      <c r="AP235">
        <v>10</v>
      </c>
      <c r="AQ235">
        <v>12.7</v>
      </c>
      <c r="AR235">
        <v>10</v>
      </c>
      <c r="AS235">
        <v>10.4</v>
      </c>
      <c r="AT235">
        <v>10</v>
      </c>
      <c r="AU235">
        <v>18.899999999999999</v>
      </c>
      <c r="AV235">
        <v>19</v>
      </c>
      <c r="AW235">
        <v>19.8</v>
      </c>
      <c r="AX235">
        <v>19</v>
      </c>
      <c r="AY235">
        <v>9.9</v>
      </c>
      <c r="AZ235">
        <v>10</v>
      </c>
      <c r="BA235">
        <v>10.6</v>
      </c>
      <c r="BB235">
        <v>10</v>
      </c>
    </row>
    <row r="236" spans="1:54" x14ac:dyDescent="0.35">
      <c r="A236" s="1">
        <v>46059.613194444442</v>
      </c>
      <c r="B236">
        <v>21.2</v>
      </c>
      <c r="C236">
        <v>3</v>
      </c>
      <c r="D236">
        <v>19.7</v>
      </c>
      <c r="E236">
        <v>2</v>
      </c>
      <c r="F236">
        <v>7.9</v>
      </c>
      <c r="G236">
        <v>11.4</v>
      </c>
      <c r="H236">
        <v>0</v>
      </c>
      <c r="I236">
        <v>14.4</v>
      </c>
      <c r="J236">
        <v>10.4</v>
      </c>
      <c r="K236">
        <v>0</v>
      </c>
      <c r="L236">
        <v>12.2</v>
      </c>
      <c r="M236">
        <v>15.8</v>
      </c>
      <c r="N236">
        <v>0</v>
      </c>
      <c r="O236">
        <v>13.4</v>
      </c>
      <c r="P236">
        <v>8.8000000000000007</v>
      </c>
      <c r="Q236">
        <v>0</v>
      </c>
      <c r="R236">
        <v>9.1999999999999993</v>
      </c>
      <c r="S236">
        <v>12.7</v>
      </c>
      <c r="T236">
        <v>0</v>
      </c>
      <c r="U236">
        <v>-19</v>
      </c>
      <c r="V236">
        <v>-21.4</v>
      </c>
      <c r="W236">
        <v>-22</v>
      </c>
      <c r="X236">
        <v>-19.399999999999999</v>
      </c>
      <c r="Y236">
        <v>-17.100000000000001</v>
      </c>
      <c r="Z236">
        <v>-22</v>
      </c>
      <c r="AA236">
        <v>14.4</v>
      </c>
      <c r="AB236">
        <v>14.5</v>
      </c>
      <c r="AC236">
        <v>40.5</v>
      </c>
      <c r="AD236">
        <v>8.6</v>
      </c>
      <c r="AE236">
        <v>6.9</v>
      </c>
      <c r="AF236">
        <v>0</v>
      </c>
      <c r="AG236">
        <v>10.1</v>
      </c>
      <c r="AH236">
        <v>10</v>
      </c>
      <c r="AI236">
        <v>8.9</v>
      </c>
      <c r="AJ236">
        <v>10</v>
      </c>
      <c r="AK236">
        <v>11.3</v>
      </c>
      <c r="AL236">
        <v>10</v>
      </c>
      <c r="AM236">
        <v>13</v>
      </c>
      <c r="AN236">
        <v>9</v>
      </c>
      <c r="AO236">
        <v>10.3</v>
      </c>
      <c r="AP236">
        <v>10</v>
      </c>
      <c r="AQ236">
        <v>12.9</v>
      </c>
      <c r="AR236">
        <v>10</v>
      </c>
      <c r="AS236">
        <v>10.6</v>
      </c>
      <c r="AT236">
        <v>10</v>
      </c>
      <c r="AU236">
        <v>19.100000000000001</v>
      </c>
      <c r="AV236">
        <v>19</v>
      </c>
      <c r="AW236">
        <v>19.8</v>
      </c>
      <c r="AX236">
        <v>19</v>
      </c>
      <c r="AY236">
        <v>9.6999999999999993</v>
      </c>
      <c r="AZ236">
        <v>10</v>
      </c>
      <c r="BA236">
        <v>11</v>
      </c>
      <c r="BB236">
        <v>10</v>
      </c>
    </row>
    <row r="237" spans="1:54" x14ac:dyDescent="0.35">
      <c r="A237" s="1">
        <v>46059.613888888889</v>
      </c>
      <c r="B237">
        <v>21.2</v>
      </c>
      <c r="C237">
        <v>3</v>
      </c>
      <c r="D237">
        <v>19.7</v>
      </c>
      <c r="E237">
        <v>2</v>
      </c>
      <c r="F237">
        <v>7.9</v>
      </c>
      <c r="G237">
        <v>11.4</v>
      </c>
      <c r="H237">
        <v>0</v>
      </c>
      <c r="I237">
        <v>14.4</v>
      </c>
      <c r="J237">
        <v>10.4</v>
      </c>
      <c r="K237">
        <v>0</v>
      </c>
      <c r="L237">
        <v>12.2</v>
      </c>
      <c r="M237">
        <v>15.8</v>
      </c>
      <c r="N237">
        <v>0</v>
      </c>
      <c r="O237">
        <v>13.4</v>
      </c>
      <c r="P237">
        <v>8.8000000000000007</v>
      </c>
      <c r="Q237">
        <v>0</v>
      </c>
      <c r="R237">
        <v>9.1999999999999993</v>
      </c>
      <c r="S237">
        <v>12.8</v>
      </c>
      <c r="T237">
        <v>0</v>
      </c>
      <c r="U237">
        <v>-19.100000000000001</v>
      </c>
      <c r="V237">
        <v>-21.2</v>
      </c>
      <c r="W237">
        <v>-22</v>
      </c>
      <c r="X237">
        <v>-19.5</v>
      </c>
      <c r="Y237">
        <v>-17.100000000000001</v>
      </c>
      <c r="Z237">
        <v>-22</v>
      </c>
      <c r="AA237">
        <v>14.4</v>
      </c>
      <c r="AB237">
        <v>14.5</v>
      </c>
      <c r="AC237">
        <v>40.5</v>
      </c>
      <c r="AD237">
        <v>8.6</v>
      </c>
      <c r="AE237">
        <v>6.9</v>
      </c>
      <c r="AF237">
        <v>0</v>
      </c>
      <c r="AG237">
        <v>10.4</v>
      </c>
      <c r="AH237">
        <v>10</v>
      </c>
      <c r="AI237">
        <v>9.1</v>
      </c>
      <c r="AJ237">
        <v>10</v>
      </c>
      <c r="AK237">
        <v>11.4</v>
      </c>
      <c r="AL237">
        <v>10</v>
      </c>
      <c r="AM237">
        <v>13</v>
      </c>
      <c r="AN237">
        <v>9</v>
      </c>
      <c r="AO237">
        <v>10.3</v>
      </c>
      <c r="AP237">
        <v>10</v>
      </c>
      <c r="AQ237">
        <v>12.9</v>
      </c>
      <c r="AR237">
        <v>10</v>
      </c>
      <c r="AS237">
        <v>10.9</v>
      </c>
      <c r="AT237">
        <v>10</v>
      </c>
      <c r="AU237">
        <v>19.2</v>
      </c>
      <c r="AV237">
        <v>19</v>
      </c>
      <c r="AW237">
        <v>19.8</v>
      </c>
      <c r="AX237">
        <v>19</v>
      </c>
      <c r="AY237">
        <v>10</v>
      </c>
      <c r="AZ237">
        <v>10</v>
      </c>
      <c r="BA237">
        <v>11.3</v>
      </c>
      <c r="BB237">
        <v>10</v>
      </c>
    </row>
    <row r="238" spans="1:54" x14ac:dyDescent="0.35">
      <c r="A238" s="1">
        <v>46059.614583333336</v>
      </c>
      <c r="B238">
        <v>21.2</v>
      </c>
      <c r="C238">
        <v>3</v>
      </c>
      <c r="D238">
        <v>19.7</v>
      </c>
      <c r="E238">
        <v>2</v>
      </c>
      <c r="F238">
        <v>7.9</v>
      </c>
      <c r="G238">
        <v>11.4</v>
      </c>
      <c r="H238">
        <v>0</v>
      </c>
      <c r="I238">
        <v>14.5</v>
      </c>
      <c r="J238">
        <v>10.4</v>
      </c>
      <c r="K238">
        <v>0</v>
      </c>
      <c r="L238">
        <v>12.2</v>
      </c>
      <c r="M238">
        <v>15.8</v>
      </c>
      <c r="N238">
        <v>0</v>
      </c>
      <c r="O238">
        <v>13.4</v>
      </c>
      <c r="P238">
        <v>8.8000000000000007</v>
      </c>
      <c r="Q238">
        <v>0</v>
      </c>
      <c r="R238">
        <v>9.1999999999999993</v>
      </c>
      <c r="S238">
        <v>12.8</v>
      </c>
      <c r="T238">
        <v>0</v>
      </c>
      <c r="U238">
        <v>-19.100000000000001</v>
      </c>
      <c r="V238">
        <v>-21.2</v>
      </c>
      <c r="W238">
        <v>-22</v>
      </c>
      <c r="X238">
        <v>-19.5</v>
      </c>
      <c r="Y238">
        <v>-17.2</v>
      </c>
      <c r="Z238">
        <v>-22</v>
      </c>
      <c r="AA238">
        <v>14.4</v>
      </c>
      <c r="AB238">
        <v>14.4</v>
      </c>
      <c r="AC238">
        <v>40.5</v>
      </c>
      <c r="AD238">
        <v>8.6</v>
      </c>
      <c r="AE238">
        <v>6.9</v>
      </c>
      <c r="AF238">
        <v>0</v>
      </c>
      <c r="AG238">
        <v>10.6</v>
      </c>
      <c r="AH238">
        <v>10</v>
      </c>
      <c r="AI238">
        <v>9.4</v>
      </c>
      <c r="AJ238">
        <v>10</v>
      </c>
      <c r="AK238">
        <v>11.4</v>
      </c>
      <c r="AL238">
        <v>10</v>
      </c>
      <c r="AM238">
        <v>13</v>
      </c>
      <c r="AN238">
        <v>9</v>
      </c>
      <c r="AO238">
        <v>10.3</v>
      </c>
      <c r="AP238">
        <v>10</v>
      </c>
      <c r="AQ238">
        <v>13.2</v>
      </c>
      <c r="AR238">
        <v>10</v>
      </c>
      <c r="AS238">
        <v>11.1</v>
      </c>
      <c r="AT238">
        <v>10</v>
      </c>
      <c r="AU238">
        <v>19.3</v>
      </c>
      <c r="AV238">
        <v>19</v>
      </c>
      <c r="AW238">
        <v>19.8</v>
      </c>
      <c r="AX238">
        <v>19</v>
      </c>
      <c r="AY238">
        <v>10.4</v>
      </c>
      <c r="AZ238">
        <v>10</v>
      </c>
      <c r="BA238">
        <v>11.6</v>
      </c>
      <c r="BB238">
        <v>10</v>
      </c>
    </row>
    <row r="239" spans="1:54" x14ac:dyDescent="0.35">
      <c r="A239" s="1">
        <v>46059.615277777775</v>
      </c>
      <c r="B239">
        <v>21.2</v>
      </c>
      <c r="C239">
        <v>3</v>
      </c>
      <c r="D239">
        <v>19.7</v>
      </c>
      <c r="E239">
        <v>2</v>
      </c>
      <c r="F239">
        <v>7.9</v>
      </c>
      <c r="G239">
        <v>11.5</v>
      </c>
      <c r="H239">
        <v>0</v>
      </c>
      <c r="I239">
        <v>14.5</v>
      </c>
      <c r="J239">
        <v>10.4</v>
      </c>
      <c r="K239">
        <v>0</v>
      </c>
      <c r="L239">
        <v>12.2</v>
      </c>
      <c r="M239">
        <v>15.9</v>
      </c>
      <c r="N239">
        <v>0</v>
      </c>
      <c r="O239">
        <v>13.5</v>
      </c>
      <c r="P239">
        <v>8.8000000000000007</v>
      </c>
      <c r="Q239">
        <v>0</v>
      </c>
      <c r="R239">
        <v>9.1999999999999993</v>
      </c>
      <c r="S239">
        <v>12.8</v>
      </c>
      <c r="T239">
        <v>0</v>
      </c>
      <c r="U239">
        <v>-19.100000000000001</v>
      </c>
      <c r="V239">
        <v>-21.4</v>
      </c>
      <c r="W239">
        <v>-22</v>
      </c>
      <c r="X239">
        <v>-19.5</v>
      </c>
      <c r="Y239">
        <v>-17.2</v>
      </c>
      <c r="Z239">
        <v>-22</v>
      </c>
      <c r="AA239">
        <v>14.4</v>
      </c>
      <c r="AB239">
        <v>14.4</v>
      </c>
      <c r="AC239">
        <v>40.5</v>
      </c>
      <c r="AD239">
        <v>8.6</v>
      </c>
      <c r="AE239">
        <v>6.9</v>
      </c>
      <c r="AF239">
        <v>0</v>
      </c>
      <c r="AG239">
        <v>10.9</v>
      </c>
      <c r="AH239">
        <v>10</v>
      </c>
      <c r="AI239">
        <v>9.6</v>
      </c>
      <c r="AJ239">
        <v>10</v>
      </c>
      <c r="AK239">
        <v>11.5</v>
      </c>
      <c r="AL239">
        <v>10</v>
      </c>
      <c r="AM239">
        <v>13</v>
      </c>
      <c r="AN239">
        <v>9</v>
      </c>
      <c r="AO239">
        <v>10.199999999999999</v>
      </c>
      <c r="AP239">
        <v>10</v>
      </c>
      <c r="AQ239">
        <v>13.2</v>
      </c>
      <c r="AR239">
        <v>10</v>
      </c>
      <c r="AS239">
        <v>11.4</v>
      </c>
      <c r="AT239">
        <v>10</v>
      </c>
      <c r="AU239">
        <v>19.3</v>
      </c>
      <c r="AV239">
        <v>19</v>
      </c>
      <c r="AW239">
        <v>19.899999999999999</v>
      </c>
      <c r="AX239">
        <v>19</v>
      </c>
      <c r="AY239">
        <v>10.8</v>
      </c>
      <c r="AZ239">
        <v>10</v>
      </c>
      <c r="BA239">
        <v>11.9</v>
      </c>
      <c r="BB239">
        <v>10</v>
      </c>
    </row>
    <row r="240" spans="1:54" x14ac:dyDescent="0.35">
      <c r="A240" s="1">
        <v>46059.615972222222</v>
      </c>
      <c r="B240">
        <v>21.2</v>
      </c>
      <c r="C240">
        <v>3</v>
      </c>
      <c r="D240">
        <v>19.8</v>
      </c>
      <c r="E240">
        <v>2</v>
      </c>
      <c r="F240">
        <v>7.9</v>
      </c>
      <c r="G240">
        <v>11.5</v>
      </c>
      <c r="H240">
        <v>0</v>
      </c>
      <c r="I240">
        <v>14.5</v>
      </c>
      <c r="J240">
        <v>10.4</v>
      </c>
      <c r="K240">
        <v>0</v>
      </c>
      <c r="L240">
        <v>12.2</v>
      </c>
      <c r="M240">
        <v>15.9</v>
      </c>
      <c r="N240">
        <v>0</v>
      </c>
      <c r="O240">
        <v>13.5</v>
      </c>
      <c r="P240">
        <v>8.8000000000000007</v>
      </c>
      <c r="Q240">
        <v>0</v>
      </c>
      <c r="R240">
        <v>9.1999999999999993</v>
      </c>
      <c r="S240">
        <v>12.8</v>
      </c>
      <c r="T240">
        <v>0</v>
      </c>
      <c r="U240">
        <v>-19.100000000000001</v>
      </c>
      <c r="V240">
        <v>-21</v>
      </c>
      <c r="W240">
        <v>-22</v>
      </c>
      <c r="X240">
        <v>-19.5</v>
      </c>
      <c r="Y240">
        <v>-17.3</v>
      </c>
      <c r="Z240">
        <v>-22</v>
      </c>
      <c r="AA240">
        <v>14.4</v>
      </c>
      <c r="AB240">
        <v>14.4</v>
      </c>
      <c r="AC240">
        <v>40.5</v>
      </c>
      <c r="AD240">
        <v>8.6</v>
      </c>
      <c r="AE240">
        <v>6.9</v>
      </c>
      <c r="AF240">
        <v>0</v>
      </c>
      <c r="AG240">
        <v>11</v>
      </c>
      <c r="AH240">
        <v>10</v>
      </c>
      <c r="AI240">
        <v>9.9</v>
      </c>
      <c r="AJ240">
        <v>10</v>
      </c>
      <c r="AK240">
        <v>11.5</v>
      </c>
      <c r="AL240">
        <v>10</v>
      </c>
      <c r="AM240">
        <v>13</v>
      </c>
      <c r="AN240">
        <v>9</v>
      </c>
      <c r="AO240">
        <v>10.199999999999999</v>
      </c>
      <c r="AP240">
        <v>10</v>
      </c>
      <c r="AQ240">
        <v>12.9</v>
      </c>
      <c r="AR240">
        <v>10</v>
      </c>
      <c r="AS240">
        <v>11.5</v>
      </c>
      <c r="AT240">
        <v>10</v>
      </c>
      <c r="AU240">
        <v>19.2</v>
      </c>
      <c r="AV240">
        <v>19</v>
      </c>
      <c r="AW240">
        <v>19.899999999999999</v>
      </c>
      <c r="AX240">
        <v>19</v>
      </c>
      <c r="AY240">
        <v>11</v>
      </c>
      <c r="AZ240">
        <v>10</v>
      </c>
      <c r="BA240">
        <v>12</v>
      </c>
      <c r="BB240">
        <v>10</v>
      </c>
    </row>
    <row r="241" spans="1:54" x14ac:dyDescent="0.35">
      <c r="A241" s="1">
        <v>46059.616666666669</v>
      </c>
      <c r="B241">
        <v>21.2</v>
      </c>
      <c r="C241">
        <v>3</v>
      </c>
      <c r="D241">
        <v>19.8</v>
      </c>
      <c r="E241">
        <v>2</v>
      </c>
      <c r="F241">
        <v>7.9</v>
      </c>
      <c r="G241">
        <v>11.5</v>
      </c>
      <c r="H241">
        <v>0</v>
      </c>
      <c r="I241">
        <v>14.5</v>
      </c>
      <c r="J241">
        <v>10.4</v>
      </c>
      <c r="K241">
        <v>0</v>
      </c>
      <c r="L241">
        <v>12.2</v>
      </c>
      <c r="M241">
        <v>15.9</v>
      </c>
      <c r="N241">
        <v>0</v>
      </c>
      <c r="O241">
        <v>13.5</v>
      </c>
      <c r="P241">
        <v>8.8000000000000007</v>
      </c>
      <c r="Q241">
        <v>0</v>
      </c>
      <c r="R241">
        <v>9.1999999999999993</v>
      </c>
      <c r="S241">
        <v>12.8</v>
      </c>
      <c r="T241">
        <v>0</v>
      </c>
      <c r="U241">
        <v>-19.100000000000001</v>
      </c>
      <c r="V241">
        <v>-21.5</v>
      </c>
      <c r="W241">
        <v>-22</v>
      </c>
      <c r="X241">
        <v>-19.5</v>
      </c>
      <c r="Y241">
        <v>-17.3</v>
      </c>
      <c r="Z241">
        <v>-22</v>
      </c>
      <c r="AA241">
        <v>14.4</v>
      </c>
      <c r="AB241">
        <v>14.3</v>
      </c>
      <c r="AC241">
        <v>40.5</v>
      </c>
      <c r="AD241">
        <v>8.6</v>
      </c>
      <c r="AE241">
        <v>6.9</v>
      </c>
      <c r="AF241">
        <v>0</v>
      </c>
      <c r="AG241">
        <v>11.2</v>
      </c>
      <c r="AH241">
        <v>10</v>
      </c>
      <c r="AI241">
        <v>10.1</v>
      </c>
      <c r="AJ241">
        <v>10</v>
      </c>
      <c r="AK241">
        <v>11.6</v>
      </c>
      <c r="AL241">
        <v>10</v>
      </c>
      <c r="AM241">
        <v>13</v>
      </c>
      <c r="AN241">
        <v>9</v>
      </c>
      <c r="AO241">
        <v>10.199999999999999</v>
      </c>
      <c r="AP241">
        <v>10</v>
      </c>
      <c r="AQ241">
        <v>12.7</v>
      </c>
      <c r="AR241">
        <v>10</v>
      </c>
      <c r="AS241">
        <v>11.7</v>
      </c>
      <c r="AT241">
        <v>10</v>
      </c>
      <c r="AU241">
        <v>19</v>
      </c>
      <c r="AV241">
        <v>19</v>
      </c>
      <c r="AW241">
        <v>20</v>
      </c>
      <c r="AX241">
        <v>19</v>
      </c>
      <c r="AY241">
        <v>11.3</v>
      </c>
      <c r="AZ241">
        <v>10</v>
      </c>
      <c r="BA241">
        <v>11.5</v>
      </c>
      <c r="BB241">
        <v>10</v>
      </c>
    </row>
    <row r="242" spans="1:54" x14ac:dyDescent="0.35">
      <c r="A242" s="1">
        <v>46059.618750000001</v>
      </c>
      <c r="B242">
        <v>21.2</v>
      </c>
      <c r="C242">
        <v>3</v>
      </c>
      <c r="D242">
        <v>19.8</v>
      </c>
      <c r="E242">
        <v>2</v>
      </c>
      <c r="F242">
        <v>7.9</v>
      </c>
      <c r="G242">
        <v>11.5</v>
      </c>
      <c r="H242">
        <v>0</v>
      </c>
      <c r="I242">
        <v>14.5</v>
      </c>
      <c r="J242">
        <v>10.4</v>
      </c>
      <c r="K242">
        <v>0</v>
      </c>
      <c r="L242">
        <v>12.3</v>
      </c>
      <c r="M242">
        <v>15.9</v>
      </c>
      <c r="N242">
        <v>0</v>
      </c>
      <c r="O242">
        <v>13.5</v>
      </c>
      <c r="P242">
        <v>8.9</v>
      </c>
      <c r="Q242">
        <v>0</v>
      </c>
      <c r="R242">
        <v>9.1999999999999993</v>
      </c>
      <c r="S242">
        <v>12.9</v>
      </c>
      <c r="T242">
        <v>0</v>
      </c>
      <c r="U242">
        <v>-19.3</v>
      </c>
      <c r="V242">
        <v>-21.5</v>
      </c>
      <c r="W242">
        <v>-22</v>
      </c>
      <c r="X242">
        <v>-19.7</v>
      </c>
      <c r="Y242">
        <v>-17.5</v>
      </c>
      <c r="Z242">
        <v>-22</v>
      </c>
      <c r="AA242">
        <v>14.4</v>
      </c>
      <c r="AB242">
        <v>14.2</v>
      </c>
      <c r="AC242">
        <v>40.5</v>
      </c>
      <c r="AD242">
        <v>8.6</v>
      </c>
      <c r="AE242">
        <v>6.9</v>
      </c>
      <c r="AF242">
        <v>0</v>
      </c>
      <c r="AG242">
        <v>11.5</v>
      </c>
      <c r="AH242">
        <v>10</v>
      </c>
      <c r="AI242">
        <v>10.6</v>
      </c>
      <c r="AJ242">
        <v>10</v>
      </c>
      <c r="AK242">
        <v>11.7</v>
      </c>
      <c r="AL242">
        <v>10</v>
      </c>
      <c r="AM242">
        <v>12.9</v>
      </c>
      <c r="AN242">
        <v>9</v>
      </c>
      <c r="AO242">
        <v>10.199999999999999</v>
      </c>
      <c r="AP242">
        <v>10</v>
      </c>
      <c r="AQ242">
        <v>13.2</v>
      </c>
      <c r="AR242">
        <v>10</v>
      </c>
      <c r="AS242">
        <v>9.1999999999999993</v>
      </c>
      <c r="AT242">
        <v>10</v>
      </c>
      <c r="AU242">
        <v>19.2</v>
      </c>
      <c r="AV242">
        <v>19</v>
      </c>
      <c r="AW242">
        <v>20</v>
      </c>
      <c r="AX242">
        <v>19</v>
      </c>
      <c r="AY242">
        <v>11.9</v>
      </c>
      <c r="AZ242">
        <v>10</v>
      </c>
      <c r="BA242">
        <v>9.6999999999999993</v>
      </c>
      <c r="BB242">
        <v>10</v>
      </c>
    </row>
    <row r="243" spans="1:54" x14ac:dyDescent="0.35">
      <c r="A243" s="1">
        <v>46059.619444444441</v>
      </c>
      <c r="B243">
        <v>21.2</v>
      </c>
      <c r="C243">
        <v>3</v>
      </c>
      <c r="D243">
        <v>19.8</v>
      </c>
      <c r="E243">
        <v>2</v>
      </c>
      <c r="F243">
        <v>7.9</v>
      </c>
      <c r="G243">
        <v>11.5</v>
      </c>
      <c r="H243">
        <v>0</v>
      </c>
      <c r="I243">
        <v>14.5</v>
      </c>
      <c r="J243">
        <v>10.4</v>
      </c>
      <c r="K243">
        <v>0</v>
      </c>
      <c r="L243">
        <v>12.3</v>
      </c>
      <c r="M243">
        <v>15.9</v>
      </c>
      <c r="N243">
        <v>0</v>
      </c>
      <c r="O243">
        <v>13.5</v>
      </c>
      <c r="P243">
        <v>8.9</v>
      </c>
      <c r="Q243">
        <v>0</v>
      </c>
      <c r="R243">
        <v>9.1999999999999993</v>
      </c>
      <c r="S243">
        <v>12.9</v>
      </c>
      <c r="T243">
        <v>0</v>
      </c>
      <c r="U243">
        <v>-19.3</v>
      </c>
      <c r="V243">
        <v>-21.3</v>
      </c>
      <c r="W243">
        <v>-22</v>
      </c>
      <c r="X243">
        <v>-19.7</v>
      </c>
      <c r="Y243">
        <v>-17.5</v>
      </c>
      <c r="Z243">
        <v>-22</v>
      </c>
      <c r="AA243">
        <v>14.4</v>
      </c>
      <c r="AB243">
        <v>14.1</v>
      </c>
      <c r="AC243">
        <v>40.5</v>
      </c>
      <c r="AD243">
        <v>9</v>
      </c>
      <c r="AE243">
        <v>6.9</v>
      </c>
      <c r="AF243">
        <v>0</v>
      </c>
      <c r="AG243">
        <v>11.7</v>
      </c>
      <c r="AH243">
        <v>10</v>
      </c>
      <c r="AI243">
        <v>10.8</v>
      </c>
      <c r="AJ243">
        <v>10</v>
      </c>
      <c r="AK243">
        <v>11.8</v>
      </c>
      <c r="AL243">
        <v>10</v>
      </c>
      <c r="AM243">
        <v>12.9</v>
      </c>
      <c r="AN243">
        <v>9</v>
      </c>
      <c r="AO243">
        <v>10.199999999999999</v>
      </c>
      <c r="AP243">
        <v>10</v>
      </c>
      <c r="AQ243">
        <v>13.2</v>
      </c>
      <c r="AR243">
        <v>10</v>
      </c>
      <c r="AS243">
        <v>8.1</v>
      </c>
      <c r="AT243">
        <v>10</v>
      </c>
      <c r="AU243">
        <v>19.2</v>
      </c>
      <c r="AV243">
        <v>19</v>
      </c>
      <c r="AW243">
        <v>19.899999999999999</v>
      </c>
      <c r="AX243">
        <v>19</v>
      </c>
      <c r="AY243">
        <v>11.9</v>
      </c>
      <c r="AZ243">
        <v>10</v>
      </c>
      <c r="BA243">
        <v>9.9</v>
      </c>
      <c r="BB243">
        <v>10</v>
      </c>
    </row>
    <row r="244" spans="1:54" x14ac:dyDescent="0.35">
      <c r="A244" s="1">
        <v>46059.620138888888</v>
      </c>
      <c r="B244">
        <v>21.2</v>
      </c>
      <c r="C244">
        <v>3</v>
      </c>
      <c r="D244">
        <v>19.8</v>
      </c>
      <c r="E244">
        <v>2</v>
      </c>
      <c r="F244">
        <v>7.9</v>
      </c>
      <c r="G244">
        <v>11.5</v>
      </c>
      <c r="H244">
        <v>0</v>
      </c>
      <c r="I244">
        <v>14.5</v>
      </c>
      <c r="J244">
        <v>10.4</v>
      </c>
      <c r="K244">
        <v>0</v>
      </c>
      <c r="L244">
        <v>12.3</v>
      </c>
      <c r="M244">
        <v>15.9</v>
      </c>
      <c r="N244">
        <v>0</v>
      </c>
      <c r="O244">
        <v>13.5</v>
      </c>
      <c r="P244">
        <v>8.9</v>
      </c>
      <c r="Q244">
        <v>0</v>
      </c>
      <c r="R244">
        <v>9.1999999999999993</v>
      </c>
      <c r="S244">
        <v>12.9</v>
      </c>
      <c r="T244">
        <v>0</v>
      </c>
      <c r="U244">
        <v>-19.3</v>
      </c>
      <c r="V244">
        <v>-21.8</v>
      </c>
      <c r="W244">
        <v>-22</v>
      </c>
      <c r="X244">
        <v>-19.7</v>
      </c>
      <c r="Y244">
        <v>-17.5</v>
      </c>
      <c r="Z244">
        <v>-22</v>
      </c>
      <c r="AA244">
        <v>13.5</v>
      </c>
      <c r="AB244">
        <v>14.1</v>
      </c>
      <c r="AC244">
        <v>40.5</v>
      </c>
      <c r="AD244">
        <v>9.4</v>
      </c>
      <c r="AE244">
        <v>6.9</v>
      </c>
      <c r="AF244">
        <v>0</v>
      </c>
      <c r="AG244">
        <v>11.7</v>
      </c>
      <c r="AH244">
        <v>10</v>
      </c>
      <c r="AI244">
        <v>10.9</v>
      </c>
      <c r="AJ244">
        <v>10</v>
      </c>
      <c r="AK244">
        <v>11.9</v>
      </c>
      <c r="AL244">
        <v>10</v>
      </c>
      <c r="AM244">
        <v>12.9</v>
      </c>
      <c r="AN244">
        <v>9</v>
      </c>
      <c r="AO244">
        <v>10.199999999999999</v>
      </c>
      <c r="AP244">
        <v>10</v>
      </c>
      <c r="AQ244">
        <v>13.3</v>
      </c>
      <c r="AR244">
        <v>10</v>
      </c>
      <c r="AS244">
        <v>8.3000000000000007</v>
      </c>
      <c r="AT244">
        <v>10</v>
      </c>
      <c r="AU244">
        <v>19.3</v>
      </c>
      <c r="AV244">
        <v>19</v>
      </c>
      <c r="AW244">
        <v>19.899999999999999</v>
      </c>
      <c r="AX244">
        <v>19</v>
      </c>
      <c r="AY244">
        <v>11</v>
      </c>
      <c r="AZ244">
        <v>10</v>
      </c>
      <c r="BA244">
        <v>10.3</v>
      </c>
      <c r="BB244">
        <v>10</v>
      </c>
    </row>
    <row r="245" spans="1:54" x14ac:dyDescent="0.35">
      <c r="A245" s="1">
        <v>46059.620833333334</v>
      </c>
      <c r="B245">
        <v>21.2</v>
      </c>
      <c r="C245">
        <v>3</v>
      </c>
      <c r="D245">
        <v>19.8</v>
      </c>
      <c r="E245">
        <v>2</v>
      </c>
      <c r="F245">
        <v>7.9</v>
      </c>
      <c r="G245">
        <v>11.5</v>
      </c>
      <c r="H245">
        <v>0</v>
      </c>
      <c r="I245">
        <v>14.5</v>
      </c>
      <c r="J245">
        <v>10.4</v>
      </c>
      <c r="K245">
        <v>0</v>
      </c>
      <c r="L245">
        <v>12.3</v>
      </c>
      <c r="M245">
        <v>15.9</v>
      </c>
      <c r="N245">
        <v>0</v>
      </c>
      <c r="O245">
        <v>13.5</v>
      </c>
      <c r="P245">
        <v>8.9</v>
      </c>
      <c r="Q245">
        <v>0</v>
      </c>
      <c r="R245">
        <v>9.1999999999999993</v>
      </c>
      <c r="S245">
        <v>12.9</v>
      </c>
      <c r="T245">
        <v>0</v>
      </c>
      <c r="U245">
        <v>-19.399999999999999</v>
      </c>
      <c r="V245">
        <v>-21.6</v>
      </c>
      <c r="W245">
        <v>-22</v>
      </c>
      <c r="X245">
        <v>-19.8</v>
      </c>
      <c r="Y245">
        <v>-17.600000000000001</v>
      </c>
      <c r="Z245">
        <v>-22</v>
      </c>
      <c r="AA245">
        <v>13.5</v>
      </c>
      <c r="AB245">
        <v>14</v>
      </c>
      <c r="AC245">
        <v>40.5</v>
      </c>
      <c r="AD245">
        <v>9.8000000000000007</v>
      </c>
      <c r="AE245">
        <v>7</v>
      </c>
      <c r="AF245">
        <v>0</v>
      </c>
      <c r="AG245">
        <v>11.8</v>
      </c>
      <c r="AH245">
        <v>10</v>
      </c>
      <c r="AI245">
        <v>11.1</v>
      </c>
      <c r="AJ245">
        <v>10</v>
      </c>
      <c r="AK245">
        <v>11.9</v>
      </c>
      <c r="AL245">
        <v>10</v>
      </c>
      <c r="AM245">
        <v>12.9</v>
      </c>
      <c r="AN245">
        <v>9</v>
      </c>
      <c r="AO245">
        <v>10.199999999999999</v>
      </c>
      <c r="AP245">
        <v>10</v>
      </c>
      <c r="AQ245">
        <v>13.3</v>
      </c>
      <c r="AR245">
        <v>10</v>
      </c>
      <c r="AS245">
        <v>8.9</v>
      </c>
      <c r="AT245">
        <v>10</v>
      </c>
      <c r="AU245">
        <v>19.3</v>
      </c>
      <c r="AV245">
        <v>19</v>
      </c>
      <c r="AW245">
        <v>19.899999999999999</v>
      </c>
      <c r="AX245">
        <v>19</v>
      </c>
      <c r="AY245">
        <v>10</v>
      </c>
      <c r="AZ245">
        <v>10</v>
      </c>
      <c r="BA245">
        <v>10.7</v>
      </c>
      <c r="BB245">
        <v>10</v>
      </c>
    </row>
    <row r="246" spans="1:54" x14ac:dyDescent="0.35">
      <c r="A246" s="1">
        <v>46059.621527777781</v>
      </c>
      <c r="B246">
        <v>21.2</v>
      </c>
      <c r="C246">
        <v>3</v>
      </c>
      <c r="D246">
        <v>19.8</v>
      </c>
      <c r="E246">
        <v>2</v>
      </c>
      <c r="F246">
        <v>7.9</v>
      </c>
      <c r="G246">
        <v>11.5</v>
      </c>
      <c r="H246">
        <v>0</v>
      </c>
      <c r="I246">
        <v>14.6</v>
      </c>
      <c r="J246">
        <v>10.4</v>
      </c>
      <c r="K246">
        <v>0</v>
      </c>
      <c r="L246">
        <v>12.3</v>
      </c>
      <c r="M246">
        <v>15.9</v>
      </c>
      <c r="N246">
        <v>0</v>
      </c>
      <c r="O246">
        <v>13.5</v>
      </c>
      <c r="P246">
        <v>8.9</v>
      </c>
      <c r="Q246">
        <v>0</v>
      </c>
      <c r="R246">
        <v>9.1999999999999993</v>
      </c>
      <c r="S246">
        <v>12.9</v>
      </c>
      <c r="T246">
        <v>0</v>
      </c>
      <c r="U246">
        <v>-19.399999999999999</v>
      </c>
      <c r="V246">
        <v>-21.8</v>
      </c>
      <c r="W246">
        <v>-22</v>
      </c>
      <c r="X246">
        <v>-19.8</v>
      </c>
      <c r="Y246">
        <v>-17.600000000000001</v>
      </c>
      <c r="Z246">
        <v>-22</v>
      </c>
      <c r="AA246">
        <v>13.4</v>
      </c>
      <c r="AB246">
        <v>14</v>
      </c>
      <c r="AC246">
        <v>40.5</v>
      </c>
      <c r="AD246">
        <v>12.5</v>
      </c>
      <c r="AE246">
        <v>7.2</v>
      </c>
      <c r="AF246">
        <v>0</v>
      </c>
      <c r="AG246">
        <v>11.9</v>
      </c>
      <c r="AH246">
        <v>10</v>
      </c>
      <c r="AI246">
        <v>11.2</v>
      </c>
      <c r="AJ246">
        <v>10</v>
      </c>
      <c r="AK246">
        <v>12</v>
      </c>
      <c r="AL246">
        <v>10</v>
      </c>
      <c r="AM246">
        <v>12.9</v>
      </c>
      <c r="AN246">
        <v>9</v>
      </c>
      <c r="AO246">
        <v>11</v>
      </c>
      <c r="AP246">
        <v>10</v>
      </c>
      <c r="AQ246">
        <v>13.3</v>
      </c>
      <c r="AR246">
        <v>10</v>
      </c>
      <c r="AS246">
        <v>9.5</v>
      </c>
      <c r="AT246">
        <v>10</v>
      </c>
      <c r="AU246">
        <v>19.3</v>
      </c>
      <c r="AV246">
        <v>19</v>
      </c>
      <c r="AW246">
        <v>19.899999999999999</v>
      </c>
      <c r="AX246">
        <v>19</v>
      </c>
      <c r="AY246">
        <v>9.6999999999999993</v>
      </c>
      <c r="AZ246">
        <v>10</v>
      </c>
      <c r="BA246">
        <v>11</v>
      </c>
      <c r="BB246">
        <v>10</v>
      </c>
    </row>
    <row r="247" spans="1:54" x14ac:dyDescent="0.35">
      <c r="A247" s="1">
        <v>46059.62222222222</v>
      </c>
      <c r="B247">
        <v>21.3</v>
      </c>
      <c r="C247">
        <v>3</v>
      </c>
      <c r="D247">
        <v>19.8</v>
      </c>
      <c r="E247">
        <v>2</v>
      </c>
      <c r="F247">
        <v>7.9</v>
      </c>
      <c r="G247">
        <v>11.5</v>
      </c>
      <c r="H247">
        <v>0</v>
      </c>
      <c r="I247">
        <v>14.6</v>
      </c>
      <c r="J247">
        <v>10.4</v>
      </c>
      <c r="K247">
        <v>0</v>
      </c>
      <c r="L247">
        <v>12.3</v>
      </c>
      <c r="M247">
        <v>15.9</v>
      </c>
      <c r="N247">
        <v>0</v>
      </c>
      <c r="O247">
        <v>13.5</v>
      </c>
      <c r="P247">
        <v>8.9</v>
      </c>
      <c r="Q247">
        <v>0</v>
      </c>
      <c r="R247">
        <v>9.1999999999999993</v>
      </c>
      <c r="S247">
        <v>12.9</v>
      </c>
      <c r="T247">
        <v>0</v>
      </c>
      <c r="U247">
        <v>-19.399999999999999</v>
      </c>
      <c r="V247">
        <v>-21.5</v>
      </c>
      <c r="W247">
        <v>-22</v>
      </c>
      <c r="X247">
        <v>-19.8</v>
      </c>
      <c r="Y247">
        <v>-17.7</v>
      </c>
      <c r="Z247">
        <v>-22</v>
      </c>
      <c r="AA247">
        <v>13.3</v>
      </c>
      <c r="AB247">
        <v>14</v>
      </c>
      <c r="AC247">
        <v>40.5</v>
      </c>
      <c r="AD247">
        <v>13.6</v>
      </c>
      <c r="AE247">
        <v>7.6</v>
      </c>
      <c r="AF247">
        <v>0</v>
      </c>
      <c r="AG247">
        <v>12</v>
      </c>
      <c r="AH247">
        <v>10</v>
      </c>
      <c r="AI247">
        <v>11.3</v>
      </c>
      <c r="AJ247">
        <v>10</v>
      </c>
      <c r="AK247">
        <v>12</v>
      </c>
      <c r="AL247">
        <v>10</v>
      </c>
      <c r="AM247">
        <v>12.9</v>
      </c>
      <c r="AN247">
        <v>9</v>
      </c>
      <c r="AO247">
        <v>11.8</v>
      </c>
      <c r="AP247">
        <v>10</v>
      </c>
      <c r="AQ247">
        <v>13.5</v>
      </c>
      <c r="AR247">
        <v>10</v>
      </c>
      <c r="AS247">
        <v>10.199999999999999</v>
      </c>
      <c r="AT247">
        <v>10</v>
      </c>
      <c r="AU247">
        <v>19.2</v>
      </c>
      <c r="AV247">
        <v>19</v>
      </c>
      <c r="AW247">
        <v>19.899999999999999</v>
      </c>
      <c r="AX247">
        <v>19</v>
      </c>
      <c r="AY247">
        <v>9.8000000000000007</v>
      </c>
      <c r="AZ247">
        <v>10</v>
      </c>
      <c r="BA247">
        <v>11.4</v>
      </c>
      <c r="BB247">
        <v>10</v>
      </c>
    </row>
    <row r="248" spans="1:54" x14ac:dyDescent="0.35">
      <c r="A248" s="1">
        <v>46059.622916666667</v>
      </c>
      <c r="B248">
        <v>21.3</v>
      </c>
      <c r="C248">
        <v>3</v>
      </c>
      <c r="D248">
        <v>19.8</v>
      </c>
      <c r="E248">
        <v>2</v>
      </c>
      <c r="F248">
        <v>7.9</v>
      </c>
      <c r="G248">
        <v>11.5</v>
      </c>
      <c r="H248">
        <v>0</v>
      </c>
      <c r="I248">
        <v>14.6</v>
      </c>
      <c r="J248">
        <v>10.4</v>
      </c>
      <c r="K248">
        <v>0</v>
      </c>
      <c r="L248">
        <v>12.3</v>
      </c>
      <c r="M248">
        <v>15.9</v>
      </c>
      <c r="N248">
        <v>0</v>
      </c>
      <c r="O248">
        <v>13.5</v>
      </c>
      <c r="P248">
        <v>8.9</v>
      </c>
      <c r="Q248">
        <v>0</v>
      </c>
      <c r="R248">
        <v>9.1999999999999993</v>
      </c>
      <c r="S248">
        <v>12.9</v>
      </c>
      <c r="T248">
        <v>0</v>
      </c>
      <c r="U248">
        <v>-19.399999999999999</v>
      </c>
      <c r="V248">
        <v>-21.4</v>
      </c>
      <c r="W248">
        <v>-22</v>
      </c>
      <c r="X248">
        <v>-19.8</v>
      </c>
      <c r="Y248">
        <v>-17.7</v>
      </c>
      <c r="Z248">
        <v>-22</v>
      </c>
      <c r="AA248">
        <v>13.3</v>
      </c>
      <c r="AB248">
        <v>13.9</v>
      </c>
      <c r="AC248">
        <v>40.5</v>
      </c>
      <c r="AD248">
        <v>15.2</v>
      </c>
      <c r="AE248">
        <v>7.9</v>
      </c>
      <c r="AF248">
        <v>0</v>
      </c>
      <c r="AG248">
        <v>12.2</v>
      </c>
      <c r="AH248">
        <v>10</v>
      </c>
      <c r="AI248">
        <v>11.5</v>
      </c>
      <c r="AJ248">
        <v>10</v>
      </c>
      <c r="AK248">
        <v>12</v>
      </c>
      <c r="AL248">
        <v>10</v>
      </c>
      <c r="AM248">
        <v>13</v>
      </c>
      <c r="AN248">
        <v>9</v>
      </c>
      <c r="AO248">
        <v>12.3</v>
      </c>
      <c r="AP248">
        <v>10</v>
      </c>
      <c r="AQ248">
        <v>13.8</v>
      </c>
      <c r="AR248">
        <v>10</v>
      </c>
      <c r="AS248">
        <v>10.8</v>
      </c>
      <c r="AT248">
        <v>10</v>
      </c>
      <c r="AU248">
        <v>19.100000000000001</v>
      </c>
      <c r="AV248">
        <v>19</v>
      </c>
      <c r="AW248">
        <v>19.899999999999999</v>
      </c>
      <c r="AX248">
        <v>19</v>
      </c>
      <c r="AY248">
        <v>10.3</v>
      </c>
      <c r="AZ248">
        <v>10</v>
      </c>
      <c r="BA248">
        <v>11.7</v>
      </c>
      <c r="BB248">
        <v>10</v>
      </c>
    </row>
    <row r="249" spans="1:54" x14ac:dyDescent="0.35">
      <c r="A249" s="1">
        <v>46059.623611111114</v>
      </c>
      <c r="B249">
        <v>21.3</v>
      </c>
      <c r="C249">
        <v>3</v>
      </c>
      <c r="D249">
        <v>19.8</v>
      </c>
      <c r="E249">
        <v>2</v>
      </c>
      <c r="F249">
        <v>7.9</v>
      </c>
      <c r="G249">
        <v>11.5</v>
      </c>
      <c r="H249">
        <v>0</v>
      </c>
      <c r="I249">
        <v>14.6</v>
      </c>
      <c r="J249">
        <v>10.4</v>
      </c>
      <c r="K249">
        <v>0</v>
      </c>
      <c r="L249">
        <v>12.3</v>
      </c>
      <c r="M249">
        <v>15.9</v>
      </c>
      <c r="N249">
        <v>0</v>
      </c>
      <c r="O249">
        <v>13.5</v>
      </c>
      <c r="P249">
        <v>8.9</v>
      </c>
      <c r="Q249">
        <v>0</v>
      </c>
      <c r="R249">
        <v>9.1999999999999993</v>
      </c>
      <c r="S249">
        <v>12.9</v>
      </c>
      <c r="T249">
        <v>0</v>
      </c>
      <c r="U249">
        <v>-19.399999999999999</v>
      </c>
      <c r="V249">
        <v>-21.5</v>
      </c>
      <c r="W249">
        <v>-22</v>
      </c>
      <c r="X249">
        <v>-19.8</v>
      </c>
      <c r="Y249">
        <v>-17.7</v>
      </c>
      <c r="Z249">
        <v>-22</v>
      </c>
      <c r="AA249">
        <v>13.2</v>
      </c>
      <c r="AB249">
        <v>13.9</v>
      </c>
      <c r="AC249">
        <v>40.5</v>
      </c>
      <c r="AD249">
        <v>17.2</v>
      </c>
      <c r="AE249">
        <v>8.6</v>
      </c>
      <c r="AF249">
        <v>0</v>
      </c>
      <c r="AG249">
        <v>12.3</v>
      </c>
      <c r="AH249">
        <v>10</v>
      </c>
      <c r="AI249">
        <v>11.7</v>
      </c>
      <c r="AJ249">
        <v>10</v>
      </c>
      <c r="AK249">
        <v>12.2</v>
      </c>
      <c r="AL249">
        <v>10</v>
      </c>
      <c r="AM249">
        <v>13.1</v>
      </c>
      <c r="AN249">
        <v>9</v>
      </c>
      <c r="AO249">
        <v>12.5</v>
      </c>
      <c r="AP249">
        <v>10</v>
      </c>
      <c r="AQ249">
        <v>14.1</v>
      </c>
      <c r="AR249">
        <v>10</v>
      </c>
      <c r="AS249">
        <v>11.3</v>
      </c>
      <c r="AT249">
        <v>10</v>
      </c>
      <c r="AU249">
        <v>19.100000000000001</v>
      </c>
      <c r="AV249">
        <v>19</v>
      </c>
      <c r="AW249">
        <v>19.899999999999999</v>
      </c>
      <c r="AX249">
        <v>19</v>
      </c>
      <c r="AY249">
        <v>10.6</v>
      </c>
      <c r="AZ249">
        <v>10</v>
      </c>
      <c r="BA249">
        <v>11.9</v>
      </c>
      <c r="BB249">
        <v>10</v>
      </c>
    </row>
    <row r="250" spans="1:54" x14ac:dyDescent="0.35">
      <c r="A250" s="1">
        <v>46059.624305555553</v>
      </c>
      <c r="B250">
        <v>21.3</v>
      </c>
      <c r="C250">
        <v>3</v>
      </c>
      <c r="D250">
        <v>19.8</v>
      </c>
      <c r="E250">
        <v>2</v>
      </c>
      <c r="F250">
        <v>7.9</v>
      </c>
      <c r="G250">
        <v>11.5</v>
      </c>
      <c r="H250">
        <v>0</v>
      </c>
      <c r="I250">
        <v>14.6</v>
      </c>
      <c r="J250">
        <v>10.4</v>
      </c>
      <c r="K250">
        <v>0</v>
      </c>
      <c r="L250">
        <v>12.3</v>
      </c>
      <c r="M250">
        <v>15.9</v>
      </c>
      <c r="N250">
        <v>0</v>
      </c>
      <c r="O250">
        <v>13.5</v>
      </c>
      <c r="P250">
        <v>8.9</v>
      </c>
      <c r="Q250">
        <v>0</v>
      </c>
      <c r="R250">
        <v>9.1999999999999993</v>
      </c>
      <c r="S250">
        <v>12.9</v>
      </c>
      <c r="T250">
        <v>0</v>
      </c>
      <c r="U250">
        <v>-19.399999999999999</v>
      </c>
      <c r="V250">
        <v>-21.3</v>
      </c>
      <c r="W250">
        <v>-22</v>
      </c>
      <c r="X250">
        <v>-19.8</v>
      </c>
      <c r="Y250">
        <v>-17.7</v>
      </c>
      <c r="Z250">
        <v>-22</v>
      </c>
      <c r="AA250">
        <v>13.2</v>
      </c>
      <c r="AB250">
        <v>13.8</v>
      </c>
      <c r="AC250">
        <v>40.5</v>
      </c>
      <c r="AD250">
        <v>19.2</v>
      </c>
      <c r="AE250">
        <v>9.9</v>
      </c>
      <c r="AF250">
        <v>0</v>
      </c>
      <c r="AG250">
        <v>12.4</v>
      </c>
      <c r="AH250">
        <v>10</v>
      </c>
      <c r="AI250">
        <v>11.9</v>
      </c>
      <c r="AJ250">
        <v>10</v>
      </c>
      <c r="AK250">
        <v>12.4</v>
      </c>
      <c r="AL250">
        <v>10</v>
      </c>
      <c r="AM250">
        <v>13.3</v>
      </c>
      <c r="AN250">
        <v>9</v>
      </c>
      <c r="AO250">
        <v>12.8</v>
      </c>
      <c r="AP250">
        <v>10</v>
      </c>
      <c r="AQ250">
        <v>14.4</v>
      </c>
      <c r="AR250">
        <v>10</v>
      </c>
      <c r="AS250">
        <v>11.7</v>
      </c>
      <c r="AT250">
        <v>10</v>
      </c>
      <c r="AU250">
        <v>19.100000000000001</v>
      </c>
      <c r="AV250">
        <v>19</v>
      </c>
      <c r="AW250">
        <v>19.899999999999999</v>
      </c>
      <c r="AX250">
        <v>19</v>
      </c>
      <c r="AY250">
        <v>10.9</v>
      </c>
      <c r="AZ250">
        <v>10</v>
      </c>
      <c r="BA250">
        <v>12</v>
      </c>
      <c r="BB250">
        <v>10</v>
      </c>
    </row>
    <row r="251" spans="1:54" x14ac:dyDescent="0.35">
      <c r="A251" s="1">
        <v>46059.625</v>
      </c>
      <c r="B251">
        <v>21.3</v>
      </c>
      <c r="C251">
        <v>3</v>
      </c>
      <c r="D251">
        <v>19.8</v>
      </c>
      <c r="E251">
        <v>2</v>
      </c>
      <c r="F251">
        <v>7.9</v>
      </c>
      <c r="G251">
        <v>11.5</v>
      </c>
      <c r="H251">
        <v>0</v>
      </c>
      <c r="I251">
        <v>14.6</v>
      </c>
      <c r="J251">
        <v>10.4</v>
      </c>
      <c r="K251">
        <v>0</v>
      </c>
      <c r="L251">
        <v>12.3</v>
      </c>
      <c r="M251">
        <v>15.9</v>
      </c>
      <c r="N251">
        <v>0</v>
      </c>
      <c r="O251">
        <v>13.5</v>
      </c>
      <c r="P251">
        <v>8.9</v>
      </c>
      <c r="Q251">
        <v>0</v>
      </c>
      <c r="R251">
        <v>9.3000000000000007</v>
      </c>
      <c r="S251">
        <v>12.9</v>
      </c>
      <c r="T251">
        <v>0</v>
      </c>
      <c r="U251">
        <v>-19.399999999999999</v>
      </c>
      <c r="V251">
        <v>-21.6</v>
      </c>
      <c r="W251">
        <v>-22</v>
      </c>
      <c r="X251">
        <v>-19.8</v>
      </c>
      <c r="Y251">
        <v>-17.8</v>
      </c>
      <c r="Z251">
        <v>-22</v>
      </c>
      <c r="AA251">
        <v>13.2</v>
      </c>
      <c r="AB251">
        <v>13.8</v>
      </c>
      <c r="AC251">
        <v>40.5</v>
      </c>
      <c r="AD251">
        <v>20.9</v>
      </c>
      <c r="AE251">
        <v>11.2</v>
      </c>
      <c r="AF251">
        <v>0</v>
      </c>
      <c r="AG251">
        <v>12.6</v>
      </c>
      <c r="AH251">
        <v>10</v>
      </c>
      <c r="AI251">
        <v>12</v>
      </c>
      <c r="AJ251">
        <v>10</v>
      </c>
      <c r="AK251">
        <v>12.5</v>
      </c>
      <c r="AL251">
        <v>10</v>
      </c>
      <c r="AM251">
        <v>13.4</v>
      </c>
      <c r="AN251">
        <v>9</v>
      </c>
      <c r="AO251">
        <v>13.1</v>
      </c>
      <c r="AP251">
        <v>10</v>
      </c>
      <c r="AQ251">
        <v>14.8</v>
      </c>
      <c r="AR251">
        <v>10</v>
      </c>
      <c r="AS251">
        <v>12</v>
      </c>
      <c r="AT251">
        <v>10</v>
      </c>
      <c r="AU251">
        <v>19.100000000000001</v>
      </c>
      <c r="AV251">
        <v>19</v>
      </c>
      <c r="AW251">
        <v>20</v>
      </c>
      <c r="AX251">
        <v>19</v>
      </c>
      <c r="AY251">
        <v>11.3</v>
      </c>
      <c r="AZ251">
        <v>10</v>
      </c>
      <c r="BA251">
        <v>11.4</v>
      </c>
      <c r="BB251">
        <v>10</v>
      </c>
    </row>
    <row r="252" spans="1:54" x14ac:dyDescent="0.35">
      <c r="A252" s="1">
        <v>46059.625694444447</v>
      </c>
      <c r="B252">
        <v>21.3</v>
      </c>
      <c r="C252">
        <v>3</v>
      </c>
      <c r="D252">
        <v>19.8</v>
      </c>
      <c r="E252">
        <v>2</v>
      </c>
      <c r="F252">
        <v>7.9</v>
      </c>
      <c r="G252">
        <v>11.5</v>
      </c>
      <c r="H252">
        <v>0</v>
      </c>
      <c r="I252">
        <v>14.6</v>
      </c>
      <c r="J252">
        <v>10.4</v>
      </c>
      <c r="K252">
        <v>0</v>
      </c>
      <c r="L252">
        <v>12.3</v>
      </c>
      <c r="M252">
        <v>15.9</v>
      </c>
      <c r="N252">
        <v>0</v>
      </c>
      <c r="O252">
        <v>13.5</v>
      </c>
      <c r="P252">
        <v>8.9</v>
      </c>
      <c r="Q252">
        <v>0</v>
      </c>
      <c r="R252">
        <v>9.3000000000000007</v>
      </c>
      <c r="S252">
        <v>12.9</v>
      </c>
      <c r="T252">
        <v>0</v>
      </c>
      <c r="U252">
        <v>-19.399999999999999</v>
      </c>
      <c r="V252">
        <v>-21.2</v>
      </c>
      <c r="W252">
        <v>-22</v>
      </c>
      <c r="X252">
        <v>-19.8</v>
      </c>
      <c r="Y252">
        <v>-17.8</v>
      </c>
      <c r="Z252">
        <v>-22</v>
      </c>
      <c r="AA252">
        <v>13.2</v>
      </c>
      <c r="AB252">
        <v>13.8</v>
      </c>
      <c r="AC252">
        <v>40.5</v>
      </c>
      <c r="AD252">
        <v>20.399999999999999</v>
      </c>
      <c r="AE252">
        <v>12.5</v>
      </c>
      <c r="AF252">
        <v>0</v>
      </c>
      <c r="AG252">
        <v>12.7</v>
      </c>
      <c r="AH252">
        <v>10</v>
      </c>
      <c r="AI252">
        <v>12.2</v>
      </c>
      <c r="AJ252">
        <v>10</v>
      </c>
      <c r="AK252">
        <v>12.7</v>
      </c>
      <c r="AL252">
        <v>10</v>
      </c>
      <c r="AM252">
        <v>13.5</v>
      </c>
      <c r="AN252">
        <v>9</v>
      </c>
      <c r="AO252">
        <v>13.3</v>
      </c>
      <c r="AP252">
        <v>10</v>
      </c>
      <c r="AQ252">
        <v>15</v>
      </c>
      <c r="AR252">
        <v>10</v>
      </c>
      <c r="AS252">
        <v>12.3</v>
      </c>
      <c r="AT252">
        <v>10</v>
      </c>
      <c r="AU252">
        <v>19.100000000000001</v>
      </c>
      <c r="AV252">
        <v>19</v>
      </c>
      <c r="AW252">
        <v>20</v>
      </c>
      <c r="AX252">
        <v>19</v>
      </c>
      <c r="AY252">
        <v>11.5</v>
      </c>
      <c r="AZ252">
        <v>10</v>
      </c>
      <c r="BA252">
        <v>10.7</v>
      </c>
      <c r="BB252">
        <v>10</v>
      </c>
    </row>
    <row r="253" spans="1:54" x14ac:dyDescent="0.35">
      <c r="A253" s="1">
        <v>46059.626388888886</v>
      </c>
      <c r="B253">
        <v>21.3</v>
      </c>
      <c r="C253">
        <v>3</v>
      </c>
      <c r="D253">
        <v>19.8</v>
      </c>
      <c r="E253">
        <v>2</v>
      </c>
      <c r="F253">
        <v>7.9</v>
      </c>
      <c r="G253">
        <v>11.5</v>
      </c>
      <c r="H253">
        <v>0</v>
      </c>
      <c r="I253">
        <v>14.6</v>
      </c>
      <c r="J253">
        <v>10.4</v>
      </c>
      <c r="K253">
        <v>0</v>
      </c>
      <c r="L253">
        <v>12.3</v>
      </c>
      <c r="M253">
        <v>15.9</v>
      </c>
      <c r="N253">
        <v>0</v>
      </c>
      <c r="O253">
        <v>13.5</v>
      </c>
      <c r="P253">
        <v>8.9</v>
      </c>
      <c r="Q253">
        <v>0</v>
      </c>
      <c r="R253">
        <v>9.3000000000000007</v>
      </c>
      <c r="S253">
        <v>12.9</v>
      </c>
      <c r="T253">
        <v>0</v>
      </c>
      <c r="U253">
        <v>-19.399999999999999</v>
      </c>
      <c r="V253">
        <v>-21.5</v>
      </c>
      <c r="W253">
        <v>-22</v>
      </c>
      <c r="X253">
        <v>-19.8</v>
      </c>
      <c r="Y253">
        <v>-17.8</v>
      </c>
      <c r="Z253">
        <v>-22</v>
      </c>
      <c r="AA253">
        <v>13.2</v>
      </c>
      <c r="AB253">
        <v>13.8</v>
      </c>
      <c r="AC253">
        <v>40.5</v>
      </c>
      <c r="AD253">
        <v>19.2</v>
      </c>
      <c r="AE253">
        <v>13.6</v>
      </c>
      <c r="AF253">
        <v>0</v>
      </c>
      <c r="AG253">
        <v>12.9</v>
      </c>
      <c r="AH253">
        <v>10</v>
      </c>
      <c r="AI253">
        <v>12.4</v>
      </c>
      <c r="AJ253">
        <v>10</v>
      </c>
      <c r="AK253">
        <v>12.8</v>
      </c>
      <c r="AL253">
        <v>10</v>
      </c>
      <c r="AM253">
        <v>13.6</v>
      </c>
      <c r="AN253">
        <v>9</v>
      </c>
      <c r="AO253">
        <v>13.4</v>
      </c>
      <c r="AP253">
        <v>10</v>
      </c>
      <c r="AQ253">
        <v>15.3</v>
      </c>
      <c r="AR253">
        <v>10</v>
      </c>
      <c r="AS253">
        <v>12.5</v>
      </c>
      <c r="AT253">
        <v>10</v>
      </c>
      <c r="AU253">
        <v>19.100000000000001</v>
      </c>
      <c r="AV253">
        <v>19</v>
      </c>
      <c r="AW253">
        <v>20.100000000000001</v>
      </c>
      <c r="AX253">
        <v>19</v>
      </c>
      <c r="AY253">
        <v>11.7</v>
      </c>
      <c r="AZ253">
        <v>10</v>
      </c>
      <c r="BA253">
        <v>10.1</v>
      </c>
      <c r="BB253">
        <v>10</v>
      </c>
    </row>
    <row r="254" spans="1:54" x14ac:dyDescent="0.35">
      <c r="A254" s="1">
        <v>46059.627083333333</v>
      </c>
      <c r="B254">
        <v>21.3</v>
      </c>
      <c r="C254">
        <v>3</v>
      </c>
      <c r="D254">
        <v>19.8</v>
      </c>
      <c r="E254">
        <v>2</v>
      </c>
      <c r="F254">
        <v>8</v>
      </c>
      <c r="G254">
        <v>11.5</v>
      </c>
      <c r="H254">
        <v>0</v>
      </c>
      <c r="I254">
        <v>14.6</v>
      </c>
      <c r="J254">
        <v>10.5</v>
      </c>
      <c r="K254">
        <v>0</v>
      </c>
      <c r="L254">
        <v>12.3</v>
      </c>
      <c r="M254">
        <v>15.9</v>
      </c>
      <c r="N254">
        <v>0</v>
      </c>
      <c r="O254">
        <v>13.5</v>
      </c>
      <c r="P254">
        <v>8.9</v>
      </c>
      <c r="Q254">
        <v>0</v>
      </c>
      <c r="R254">
        <v>9.3000000000000007</v>
      </c>
      <c r="S254">
        <v>12.9</v>
      </c>
      <c r="T254">
        <v>0</v>
      </c>
      <c r="U254">
        <v>-19.399999999999999</v>
      </c>
      <c r="V254">
        <v>-21.4</v>
      </c>
      <c r="W254">
        <v>-22</v>
      </c>
      <c r="X254">
        <v>-19.8</v>
      </c>
      <c r="Y254">
        <v>-17.8</v>
      </c>
      <c r="Z254">
        <v>-22</v>
      </c>
      <c r="AA254">
        <v>13.1</v>
      </c>
      <c r="AB254">
        <v>13.7</v>
      </c>
      <c r="AC254">
        <v>40.5</v>
      </c>
      <c r="AD254">
        <v>18.5</v>
      </c>
      <c r="AE254">
        <v>14.1</v>
      </c>
      <c r="AF254">
        <v>0</v>
      </c>
      <c r="AG254">
        <v>13</v>
      </c>
      <c r="AH254">
        <v>10</v>
      </c>
      <c r="AI254">
        <v>12.5</v>
      </c>
      <c r="AJ254">
        <v>10</v>
      </c>
      <c r="AK254">
        <v>12.9</v>
      </c>
      <c r="AL254">
        <v>10</v>
      </c>
      <c r="AM254">
        <v>13.8</v>
      </c>
      <c r="AN254">
        <v>9</v>
      </c>
      <c r="AO254">
        <v>13.5</v>
      </c>
      <c r="AP254">
        <v>10</v>
      </c>
      <c r="AQ254">
        <v>15.4</v>
      </c>
      <c r="AR254">
        <v>10</v>
      </c>
      <c r="AS254">
        <v>12.8</v>
      </c>
      <c r="AT254">
        <v>10</v>
      </c>
      <c r="AU254">
        <v>19.100000000000001</v>
      </c>
      <c r="AV254">
        <v>19</v>
      </c>
      <c r="AW254">
        <v>20.2</v>
      </c>
      <c r="AX254">
        <v>19</v>
      </c>
      <c r="AY254">
        <v>11.9</v>
      </c>
      <c r="AZ254">
        <v>10</v>
      </c>
      <c r="BA254">
        <v>9.8000000000000007</v>
      </c>
      <c r="BB254">
        <v>10</v>
      </c>
    </row>
    <row r="255" spans="1:54" x14ac:dyDescent="0.35">
      <c r="A255" s="1">
        <v>46059.62777777778</v>
      </c>
      <c r="B255">
        <v>21.3</v>
      </c>
      <c r="C255">
        <v>3</v>
      </c>
      <c r="D255">
        <v>19.8</v>
      </c>
      <c r="E255">
        <v>2</v>
      </c>
      <c r="F255">
        <v>8</v>
      </c>
      <c r="G255">
        <v>11.5</v>
      </c>
      <c r="H255">
        <v>0</v>
      </c>
      <c r="I255">
        <v>14.6</v>
      </c>
      <c r="J255">
        <v>10.5</v>
      </c>
      <c r="K255">
        <v>0</v>
      </c>
      <c r="L255">
        <v>12.3</v>
      </c>
      <c r="M255">
        <v>15.9</v>
      </c>
      <c r="N255">
        <v>0</v>
      </c>
      <c r="O255">
        <v>13.5</v>
      </c>
      <c r="P255">
        <v>8.9</v>
      </c>
      <c r="Q255">
        <v>0</v>
      </c>
      <c r="R255">
        <v>9.3000000000000007</v>
      </c>
      <c r="S255">
        <v>12.9</v>
      </c>
      <c r="T255">
        <v>0</v>
      </c>
      <c r="U255">
        <v>-19.399999999999999</v>
      </c>
      <c r="V255">
        <v>-21.3</v>
      </c>
      <c r="W255">
        <v>-22</v>
      </c>
      <c r="X255">
        <v>-19.8</v>
      </c>
      <c r="Y255">
        <v>-17.8</v>
      </c>
      <c r="Z255">
        <v>-22</v>
      </c>
      <c r="AA255">
        <v>13.1</v>
      </c>
      <c r="AB255">
        <v>13.7</v>
      </c>
      <c r="AC255">
        <v>40.5</v>
      </c>
      <c r="AD255">
        <v>17.899999999999999</v>
      </c>
      <c r="AE255">
        <v>14.2</v>
      </c>
      <c r="AF255">
        <v>0</v>
      </c>
      <c r="AG255">
        <v>13.1</v>
      </c>
      <c r="AH255">
        <v>10</v>
      </c>
      <c r="AI255">
        <v>12.7</v>
      </c>
      <c r="AJ255">
        <v>10</v>
      </c>
      <c r="AK255">
        <v>13.1</v>
      </c>
      <c r="AL255">
        <v>10</v>
      </c>
      <c r="AM255">
        <v>13.8</v>
      </c>
      <c r="AN255">
        <v>9</v>
      </c>
      <c r="AO255">
        <v>13.7</v>
      </c>
      <c r="AP255">
        <v>10</v>
      </c>
      <c r="AQ255">
        <v>15.7</v>
      </c>
      <c r="AR255">
        <v>10</v>
      </c>
      <c r="AS255">
        <v>13</v>
      </c>
      <c r="AT255">
        <v>10</v>
      </c>
      <c r="AU255">
        <v>19.100000000000001</v>
      </c>
      <c r="AV255">
        <v>19</v>
      </c>
      <c r="AW255">
        <v>20.2</v>
      </c>
      <c r="AX255">
        <v>19</v>
      </c>
      <c r="AY255">
        <v>11.9</v>
      </c>
      <c r="AZ255">
        <v>10</v>
      </c>
      <c r="BA255">
        <v>9.9</v>
      </c>
      <c r="BB255">
        <v>10</v>
      </c>
    </row>
    <row r="256" spans="1:54" x14ac:dyDescent="0.35">
      <c r="A256" s="1">
        <v>46059.628472222219</v>
      </c>
      <c r="B256">
        <v>21.3</v>
      </c>
      <c r="C256">
        <v>3</v>
      </c>
      <c r="D256">
        <v>19.8</v>
      </c>
      <c r="E256">
        <v>2</v>
      </c>
      <c r="F256">
        <v>8</v>
      </c>
      <c r="G256">
        <v>11.5</v>
      </c>
      <c r="H256">
        <v>0</v>
      </c>
      <c r="I256">
        <v>14.6</v>
      </c>
      <c r="J256">
        <v>10.5</v>
      </c>
      <c r="K256">
        <v>0</v>
      </c>
      <c r="L256">
        <v>12.3</v>
      </c>
      <c r="M256">
        <v>15.9</v>
      </c>
      <c r="N256">
        <v>0</v>
      </c>
      <c r="O256">
        <v>13.5</v>
      </c>
      <c r="P256">
        <v>8.9</v>
      </c>
      <c r="Q256">
        <v>0</v>
      </c>
      <c r="R256">
        <v>9.3000000000000007</v>
      </c>
      <c r="S256">
        <v>12.9</v>
      </c>
      <c r="T256">
        <v>0</v>
      </c>
      <c r="U256">
        <v>-19.399999999999999</v>
      </c>
      <c r="V256">
        <v>-21.4</v>
      </c>
      <c r="W256">
        <v>-22</v>
      </c>
      <c r="X256">
        <v>-19.8</v>
      </c>
      <c r="Y256">
        <v>-17.8</v>
      </c>
      <c r="Z256">
        <v>-22</v>
      </c>
      <c r="AA256">
        <v>13.1</v>
      </c>
      <c r="AB256">
        <v>13.7</v>
      </c>
      <c r="AC256">
        <v>40.5</v>
      </c>
      <c r="AD256">
        <v>17.600000000000001</v>
      </c>
      <c r="AE256">
        <v>14.2</v>
      </c>
      <c r="AF256">
        <v>0</v>
      </c>
      <c r="AG256">
        <v>13.2</v>
      </c>
      <c r="AH256">
        <v>10</v>
      </c>
      <c r="AI256">
        <v>12.8</v>
      </c>
      <c r="AJ256">
        <v>10</v>
      </c>
      <c r="AK256">
        <v>13.2</v>
      </c>
      <c r="AL256">
        <v>10</v>
      </c>
      <c r="AM256">
        <v>13.9</v>
      </c>
      <c r="AN256">
        <v>9</v>
      </c>
      <c r="AO256">
        <v>13.7</v>
      </c>
      <c r="AP256">
        <v>10</v>
      </c>
      <c r="AQ256">
        <v>16</v>
      </c>
      <c r="AR256">
        <v>10</v>
      </c>
      <c r="AS256">
        <v>13.2</v>
      </c>
      <c r="AT256">
        <v>10</v>
      </c>
      <c r="AU256">
        <v>19.100000000000001</v>
      </c>
      <c r="AV256">
        <v>19</v>
      </c>
      <c r="AW256">
        <v>20.100000000000001</v>
      </c>
      <c r="AX256">
        <v>19</v>
      </c>
      <c r="AY256">
        <v>10.9</v>
      </c>
      <c r="AZ256">
        <v>10</v>
      </c>
      <c r="BA256">
        <v>10.4</v>
      </c>
      <c r="BB256">
        <v>10</v>
      </c>
    </row>
    <row r="257" spans="1:54" x14ac:dyDescent="0.35">
      <c r="A257" s="1">
        <v>46059.629166666666</v>
      </c>
      <c r="B257">
        <v>21.3</v>
      </c>
      <c r="C257">
        <v>3</v>
      </c>
      <c r="D257">
        <v>19.8</v>
      </c>
      <c r="E257">
        <v>2</v>
      </c>
      <c r="F257">
        <v>8</v>
      </c>
      <c r="G257">
        <v>11.5</v>
      </c>
      <c r="H257">
        <v>0</v>
      </c>
      <c r="I257">
        <v>14.6</v>
      </c>
      <c r="J257">
        <v>10.5</v>
      </c>
      <c r="K257">
        <v>0</v>
      </c>
      <c r="L257">
        <v>12.3</v>
      </c>
      <c r="M257">
        <v>15.9</v>
      </c>
      <c r="N257">
        <v>0</v>
      </c>
      <c r="O257">
        <v>13.6</v>
      </c>
      <c r="P257">
        <v>8.9</v>
      </c>
      <c r="Q257">
        <v>0</v>
      </c>
      <c r="R257">
        <v>9.3000000000000007</v>
      </c>
      <c r="S257">
        <v>12.9</v>
      </c>
      <c r="T257">
        <v>0</v>
      </c>
      <c r="U257">
        <v>-19.399999999999999</v>
      </c>
      <c r="V257">
        <v>-21.1</v>
      </c>
      <c r="W257">
        <v>-22</v>
      </c>
      <c r="X257">
        <v>-19.8</v>
      </c>
      <c r="Y257">
        <v>-17.8</v>
      </c>
      <c r="Z257">
        <v>-22</v>
      </c>
      <c r="AA257">
        <v>13</v>
      </c>
      <c r="AB257">
        <v>13.7</v>
      </c>
      <c r="AC257">
        <v>40.5</v>
      </c>
      <c r="AD257">
        <v>17.399999999999999</v>
      </c>
      <c r="AE257">
        <v>14.2</v>
      </c>
      <c r="AF257">
        <v>0</v>
      </c>
      <c r="AG257">
        <v>13.4</v>
      </c>
      <c r="AH257">
        <v>10</v>
      </c>
      <c r="AI257">
        <v>13</v>
      </c>
      <c r="AJ257">
        <v>10</v>
      </c>
      <c r="AK257">
        <v>13.4</v>
      </c>
      <c r="AL257">
        <v>10</v>
      </c>
      <c r="AM257">
        <v>14</v>
      </c>
      <c r="AN257">
        <v>9</v>
      </c>
      <c r="AO257">
        <v>13.9</v>
      </c>
      <c r="AP257">
        <v>10</v>
      </c>
      <c r="AQ257">
        <v>16</v>
      </c>
      <c r="AR257">
        <v>10</v>
      </c>
      <c r="AS257">
        <v>13.4</v>
      </c>
      <c r="AT257">
        <v>10</v>
      </c>
      <c r="AU257">
        <v>19.100000000000001</v>
      </c>
      <c r="AV257">
        <v>19</v>
      </c>
      <c r="AW257">
        <v>20</v>
      </c>
      <c r="AX257">
        <v>19</v>
      </c>
      <c r="AY257">
        <v>10.199999999999999</v>
      </c>
      <c r="AZ257">
        <v>10</v>
      </c>
      <c r="BA257">
        <v>10.8</v>
      </c>
      <c r="BB257">
        <v>10</v>
      </c>
    </row>
    <row r="258" spans="1:54" x14ac:dyDescent="0.35">
      <c r="A258" s="1">
        <v>46059.629861111112</v>
      </c>
      <c r="B258">
        <v>21.3</v>
      </c>
      <c r="C258">
        <v>3</v>
      </c>
      <c r="D258">
        <v>19.8</v>
      </c>
      <c r="E258">
        <v>2</v>
      </c>
      <c r="F258">
        <v>8</v>
      </c>
      <c r="G258">
        <v>11.5</v>
      </c>
      <c r="H258">
        <v>0</v>
      </c>
      <c r="I258">
        <v>14.6</v>
      </c>
      <c r="J258">
        <v>10.5</v>
      </c>
      <c r="K258">
        <v>0</v>
      </c>
      <c r="L258">
        <v>12.3</v>
      </c>
      <c r="M258">
        <v>15.9</v>
      </c>
      <c r="N258">
        <v>0</v>
      </c>
      <c r="O258">
        <v>13.6</v>
      </c>
      <c r="P258">
        <v>8.9</v>
      </c>
      <c r="Q258">
        <v>0</v>
      </c>
      <c r="R258">
        <v>9.3000000000000007</v>
      </c>
      <c r="S258">
        <v>12.9</v>
      </c>
      <c r="T258">
        <v>0</v>
      </c>
      <c r="U258">
        <v>-19.399999999999999</v>
      </c>
      <c r="V258">
        <v>-21.6</v>
      </c>
      <c r="W258">
        <v>-22</v>
      </c>
      <c r="X258">
        <v>-19.8</v>
      </c>
      <c r="Y258">
        <v>-17.899999999999999</v>
      </c>
      <c r="Z258">
        <v>-22</v>
      </c>
      <c r="AA258">
        <v>13</v>
      </c>
      <c r="AB258">
        <v>13.7</v>
      </c>
      <c r="AC258">
        <v>40.5</v>
      </c>
      <c r="AD258">
        <v>17.100000000000001</v>
      </c>
      <c r="AE258">
        <v>14.2</v>
      </c>
      <c r="AF258">
        <v>0</v>
      </c>
      <c r="AG258">
        <v>13.5</v>
      </c>
      <c r="AH258">
        <v>10</v>
      </c>
      <c r="AI258">
        <v>13.2</v>
      </c>
      <c r="AJ258">
        <v>10</v>
      </c>
      <c r="AK258">
        <v>13.5</v>
      </c>
      <c r="AL258">
        <v>10</v>
      </c>
      <c r="AM258">
        <v>14.1</v>
      </c>
      <c r="AN258">
        <v>9</v>
      </c>
      <c r="AO258">
        <v>14</v>
      </c>
      <c r="AP258">
        <v>10</v>
      </c>
      <c r="AQ258">
        <v>16.3</v>
      </c>
      <c r="AR258">
        <v>10</v>
      </c>
      <c r="AS258">
        <v>13.6</v>
      </c>
      <c r="AT258">
        <v>10</v>
      </c>
      <c r="AU258">
        <v>19.2</v>
      </c>
      <c r="AV258">
        <v>19</v>
      </c>
      <c r="AW258">
        <v>20</v>
      </c>
      <c r="AX258">
        <v>19</v>
      </c>
      <c r="AY258">
        <v>9.6999999999999993</v>
      </c>
      <c r="AZ258">
        <v>10</v>
      </c>
      <c r="BA258">
        <v>11.1</v>
      </c>
      <c r="BB258">
        <v>10</v>
      </c>
    </row>
    <row r="259" spans="1:54" x14ac:dyDescent="0.35">
      <c r="A259" s="1">
        <v>46059.630555555559</v>
      </c>
      <c r="B259">
        <v>21.3</v>
      </c>
      <c r="C259">
        <v>3</v>
      </c>
      <c r="D259">
        <v>19.899999999999999</v>
      </c>
      <c r="E259">
        <v>2</v>
      </c>
      <c r="F259">
        <v>8</v>
      </c>
      <c r="G259">
        <v>11.5</v>
      </c>
      <c r="H259">
        <v>0</v>
      </c>
      <c r="I259">
        <v>14.6</v>
      </c>
      <c r="J259">
        <v>10.5</v>
      </c>
      <c r="K259">
        <v>0</v>
      </c>
      <c r="L259">
        <v>12.3</v>
      </c>
      <c r="M259">
        <v>15.9</v>
      </c>
      <c r="N259">
        <v>0</v>
      </c>
      <c r="O259">
        <v>13.6</v>
      </c>
      <c r="P259">
        <v>9</v>
      </c>
      <c r="Q259">
        <v>0</v>
      </c>
      <c r="R259">
        <v>9.3000000000000007</v>
      </c>
      <c r="S259">
        <v>12.9</v>
      </c>
      <c r="T259">
        <v>0</v>
      </c>
      <c r="U259">
        <v>-19.399999999999999</v>
      </c>
      <c r="V259">
        <v>-21.3</v>
      </c>
      <c r="W259">
        <v>-22</v>
      </c>
      <c r="X259">
        <v>-19.8</v>
      </c>
      <c r="Y259">
        <v>-17.899999999999999</v>
      </c>
      <c r="Z259">
        <v>-22</v>
      </c>
      <c r="AA259">
        <v>13</v>
      </c>
      <c r="AB259">
        <v>13.6</v>
      </c>
      <c r="AC259">
        <v>40.5</v>
      </c>
      <c r="AD259">
        <v>17</v>
      </c>
      <c r="AE259">
        <v>14.1</v>
      </c>
      <c r="AF259">
        <v>0</v>
      </c>
      <c r="AG259">
        <v>13.7</v>
      </c>
      <c r="AH259">
        <v>10</v>
      </c>
      <c r="AI259">
        <v>13.3</v>
      </c>
      <c r="AJ259">
        <v>10</v>
      </c>
      <c r="AK259">
        <v>13.6</v>
      </c>
      <c r="AL259">
        <v>10</v>
      </c>
      <c r="AM259">
        <v>14.2</v>
      </c>
      <c r="AN259">
        <v>9</v>
      </c>
      <c r="AO259">
        <v>14.1</v>
      </c>
      <c r="AP259">
        <v>10</v>
      </c>
      <c r="AQ259">
        <v>16.399999999999999</v>
      </c>
      <c r="AR259">
        <v>10</v>
      </c>
      <c r="AS259">
        <v>13.9</v>
      </c>
      <c r="AT259">
        <v>10</v>
      </c>
      <c r="AU259">
        <v>19.3</v>
      </c>
      <c r="AV259">
        <v>19</v>
      </c>
      <c r="AW259">
        <v>20</v>
      </c>
      <c r="AX259">
        <v>19</v>
      </c>
      <c r="AY259">
        <v>9.9</v>
      </c>
      <c r="AZ259">
        <v>10</v>
      </c>
      <c r="BA259">
        <v>11.4</v>
      </c>
      <c r="BB259">
        <v>10</v>
      </c>
    </row>
    <row r="260" spans="1:54" x14ac:dyDescent="0.35">
      <c r="A260" s="1">
        <v>46059.631249999999</v>
      </c>
      <c r="B260">
        <v>21.3</v>
      </c>
      <c r="C260">
        <v>3</v>
      </c>
      <c r="D260">
        <v>19.899999999999999</v>
      </c>
      <c r="E260">
        <v>2</v>
      </c>
      <c r="F260">
        <v>8</v>
      </c>
      <c r="G260">
        <v>11.5</v>
      </c>
      <c r="H260">
        <v>0</v>
      </c>
      <c r="I260">
        <v>14.6</v>
      </c>
      <c r="J260">
        <v>10.5</v>
      </c>
      <c r="K260">
        <v>0</v>
      </c>
      <c r="L260">
        <v>12.3</v>
      </c>
      <c r="M260">
        <v>15.9</v>
      </c>
      <c r="N260">
        <v>0</v>
      </c>
      <c r="O260">
        <v>13.6</v>
      </c>
      <c r="P260">
        <v>9</v>
      </c>
      <c r="Q260">
        <v>0</v>
      </c>
      <c r="R260">
        <v>9.3000000000000007</v>
      </c>
      <c r="S260">
        <v>12.9</v>
      </c>
      <c r="T260">
        <v>0</v>
      </c>
      <c r="U260">
        <v>-19.399999999999999</v>
      </c>
      <c r="V260">
        <v>-21.3</v>
      </c>
      <c r="W260">
        <v>-22</v>
      </c>
      <c r="X260">
        <v>-19.8</v>
      </c>
      <c r="Y260">
        <v>-17.899999999999999</v>
      </c>
      <c r="Z260">
        <v>-22</v>
      </c>
      <c r="AA260">
        <v>12.9</v>
      </c>
      <c r="AB260">
        <v>13.6</v>
      </c>
      <c r="AC260">
        <v>40.5</v>
      </c>
      <c r="AD260">
        <v>17.5</v>
      </c>
      <c r="AE260">
        <v>14.1</v>
      </c>
      <c r="AF260">
        <v>0</v>
      </c>
      <c r="AG260">
        <v>13.8</v>
      </c>
      <c r="AH260">
        <v>10</v>
      </c>
      <c r="AI260">
        <v>13.5</v>
      </c>
      <c r="AJ260">
        <v>10</v>
      </c>
      <c r="AK260">
        <v>13.8</v>
      </c>
      <c r="AL260">
        <v>10</v>
      </c>
      <c r="AM260">
        <v>14.3</v>
      </c>
      <c r="AN260">
        <v>9</v>
      </c>
      <c r="AO260">
        <v>14.2</v>
      </c>
      <c r="AP260">
        <v>10</v>
      </c>
      <c r="AQ260">
        <v>16.5</v>
      </c>
      <c r="AR260">
        <v>10</v>
      </c>
      <c r="AS260">
        <v>14</v>
      </c>
      <c r="AT260">
        <v>10</v>
      </c>
      <c r="AU260">
        <v>19.3</v>
      </c>
      <c r="AV260">
        <v>19</v>
      </c>
      <c r="AW260">
        <v>20</v>
      </c>
      <c r="AX260">
        <v>19</v>
      </c>
      <c r="AY260">
        <v>10.3</v>
      </c>
      <c r="AZ260">
        <v>10</v>
      </c>
      <c r="BA260">
        <v>11.7</v>
      </c>
      <c r="BB260">
        <v>10</v>
      </c>
    </row>
    <row r="261" spans="1:54" x14ac:dyDescent="0.35">
      <c r="A261" s="1">
        <v>46059.631944444445</v>
      </c>
      <c r="B261">
        <v>21.3</v>
      </c>
      <c r="C261">
        <v>3</v>
      </c>
      <c r="D261">
        <v>19.899999999999999</v>
      </c>
      <c r="E261">
        <v>2</v>
      </c>
      <c r="F261">
        <v>8</v>
      </c>
      <c r="G261">
        <v>11.5</v>
      </c>
      <c r="H261">
        <v>0</v>
      </c>
      <c r="I261">
        <v>14.6</v>
      </c>
      <c r="J261">
        <v>10.5</v>
      </c>
      <c r="K261">
        <v>0</v>
      </c>
      <c r="L261">
        <v>12.3</v>
      </c>
      <c r="M261">
        <v>15.9</v>
      </c>
      <c r="N261">
        <v>0</v>
      </c>
      <c r="O261">
        <v>13.6</v>
      </c>
      <c r="P261">
        <v>9</v>
      </c>
      <c r="Q261">
        <v>0</v>
      </c>
      <c r="R261">
        <v>9.3000000000000007</v>
      </c>
      <c r="S261">
        <v>12.9</v>
      </c>
      <c r="T261">
        <v>0</v>
      </c>
      <c r="U261">
        <v>-19.399999999999999</v>
      </c>
      <c r="V261">
        <v>-21.3</v>
      </c>
      <c r="W261">
        <v>-22</v>
      </c>
      <c r="X261">
        <v>-19.8</v>
      </c>
      <c r="Y261">
        <v>-17.899999999999999</v>
      </c>
      <c r="Z261">
        <v>-22</v>
      </c>
      <c r="AA261">
        <v>11.8</v>
      </c>
      <c r="AB261">
        <v>12.3</v>
      </c>
      <c r="AC261">
        <v>40.5</v>
      </c>
      <c r="AD261">
        <v>19</v>
      </c>
      <c r="AE261">
        <v>14.3</v>
      </c>
      <c r="AF261">
        <v>0</v>
      </c>
      <c r="AG261">
        <v>13.9</v>
      </c>
      <c r="AH261">
        <v>10</v>
      </c>
      <c r="AI261">
        <v>13.6</v>
      </c>
      <c r="AJ261">
        <v>10</v>
      </c>
      <c r="AK261">
        <v>13.9</v>
      </c>
      <c r="AL261">
        <v>10</v>
      </c>
      <c r="AM261">
        <v>14.4</v>
      </c>
      <c r="AN261">
        <v>9</v>
      </c>
      <c r="AO261">
        <v>14.4</v>
      </c>
      <c r="AP261">
        <v>10</v>
      </c>
      <c r="AQ261">
        <v>16.7</v>
      </c>
      <c r="AR261">
        <v>10</v>
      </c>
      <c r="AS261">
        <v>14.2</v>
      </c>
      <c r="AT261">
        <v>10</v>
      </c>
      <c r="AU261">
        <v>19.3</v>
      </c>
      <c r="AV261">
        <v>19</v>
      </c>
      <c r="AW261">
        <v>20.100000000000001</v>
      </c>
      <c r="AX261">
        <v>19</v>
      </c>
      <c r="AY261">
        <v>10.7</v>
      </c>
      <c r="AZ261">
        <v>10</v>
      </c>
      <c r="BA261">
        <v>11.9</v>
      </c>
      <c r="BB261">
        <v>10</v>
      </c>
    </row>
    <row r="262" spans="1:54" x14ac:dyDescent="0.35">
      <c r="A262" s="1">
        <v>46059.632638888892</v>
      </c>
      <c r="B262">
        <v>21.3</v>
      </c>
      <c r="C262">
        <v>3</v>
      </c>
      <c r="D262">
        <v>19.899999999999999</v>
      </c>
      <c r="E262">
        <v>2</v>
      </c>
      <c r="F262">
        <v>8</v>
      </c>
      <c r="G262">
        <v>11.5</v>
      </c>
      <c r="H262">
        <v>0</v>
      </c>
      <c r="I262">
        <v>14.6</v>
      </c>
      <c r="J262">
        <v>10.5</v>
      </c>
      <c r="K262">
        <v>0</v>
      </c>
      <c r="L262">
        <v>12.3</v>
      </c>
      <c r="M262">
        <v>15.9</v>
      </c>
      <c r="N262">
        <v>0</v>
      </c>
      <c r="O262">
        <v>13.6</v>
      </c>
      <c r="P262">
        <v>9</v>
      </c>
      <c r="Q262">
        <v>0</v>
      </c>
      <c r="R262">
        <v>9.4</v>
      </c>
      <c r="S262">
        <v>12.9</v>
      </c>
      <c r="T262">
        <v>0</v>
      </c>
      <c r="U262">
        <v>-19.399999999999999</v>
      </c>
      <c r="V262">
        <v>-21.2</v>
      </c>
      <c r="W262">
        <v>-22</v>
      </c>
      <c r="X262">
        <v>-19.8</v>
      </c>
      <c r="Y262">
        <v>-17.899999999999999</v>
      </c>
      <c r="Z262">
        <v>-22</v>
      </c>
      <c r="AA262">
        <v>10.8</v>
      </c>
      <c r="AB262">
        <v>11</v>
      </c>
      <c r="AC262">
        <v>-5</v>
      </c>
      <c r="AD262">
        <v>18.899999999999999</v>
      </c>
      <c r="AE262">
        <v>14.6</v>
      </c>
      <c r="AF262">
        <v>0</v>
      </c>
      <c r="AG262">
        <v>14</v>
      </c>
      <c r="AH262">
        <v>10</v>
      </c>
      <c r="AI262">
        <v>13.7</v>
      </c>
      <c r="AJ262">
        <v>10</v>
      </c>
      <c r="AK262">
        <v>14</v>
      </c>
      <c r="AL262">
        <v>10</v>
      </c>
      <c r="AM262">
        <v>14.4</v>
      </c>
      <c r="AN262">
        <v>9</v>
      </c>
      <c r="AO262">
        <v>14.5</v>
      </c>
      <c r="AP262">
        <v>10</v>
      </c>
      <c r="AQ262">
        <v>16.899999999999999</v>
      </c>
      <c r="AR262">
        <v>10</v>
      </c>
      <c r="AS262">
        <v>14.4</v>
      </c>
      <c r="AT262">
        <v>10</v>
      </c>
      <c r="AU262">
        <v>19.3</v>
      </c>
      <c r="AV262">
        <v>19</v>
      </c>
      <c r="AW262">
        <v>20.2</v>
      </c>
      <c r="AX262">
        <v>19</v>
      </c>
      <c r="AY262">
        <v>11</v>
      </c>
      <c r="AZ262">
        <v>10</v>
      </c>
      <c r="BA262">
        <v>12</v>
      </c>
      <c r="BB262">
        <v>10</v>
      </c>
    </row>
    <row r="263" spans="1:54" x14ac:dyDescent="0.35">
      <c r="A263" s="1">
        <v>46059.633333333331</v>
      </c>
      <c r="B263">
        <v>21.3</v>
      </c>
      <c r="C263">
        <v>3</v>
      </c>
      <c r="D263">
        <v>19.899999999999999</v>
      </c>
      <c r="E263">
        <v>2</v>
      </c>
      <c r="F263">
        <v>8</v>
      </c>
      <c r="G263">
        <v>11.5</v>
      </c>
      <c r="H263">
        <v>0</v>
      </c>
      <c r="I263">
        <v>14.6</v>
      </c>
      <c r="J263">
        <v>10.5</v>
      </c>
      <c r="K263">
        <v>0</v>
      </c>
      <c r="L263">
        <v>12.3</v>
      </c>
      <c r="M263">
        <v>15.9</v>
      </c>
      <c r="N263">
        <v>0</v>
      </c>
      <c r="O263">
        <v>13.6</v>
      </c>
      <c r="P263">
        <v>9</v>
      </c>
      <c r="Q263">
        <v>0</v>
      </c>
      <c r="R263">
        <v>9.4</v>
      </c>
      <c r="S263">
        <v>12.9</v>
      </c>
      <c r="T263">
        <v>0</v>
      </c>
      <c r="U263">
        <v>-19.399999999999999</v>
      </c>
      <c r="V263">
        <v>-21.5</v>
      </c>
      <c r="W263">
        <v>-22</v>
      </c>
      <c r="X263">
        <v>-19.8</v>
      </c>
      <c r="Y263">
        <v>-17.899999999999999</v>
      </c>
      <c r="Z263">
        <v>-22</v>
      </c>
      <c r="AA263">
        <v>10.5</v>
      </c>
      <c r="AB263">
        <v>10.6</v>
      </c>
      <c r="AC263">
        <v>-5</v>
      </c>
      <c r="AD263">
        <v>18.5</v>
      </c>
      <c r="AE263">
        <v>14.9</v>
      </c>
      <c r="AF263">
        <v>0</v>
      </c>
      <c r="AG263">
        <v>14.1</v>
      </c>
      <c r="AH263">
        <v>10</v>
      </c>
      <c r="AI263">
        <v>13.8</v>
      </c>
      <c r="AJ263">
        <v>10</v>
      </c>
      <c r="AK263">
        <v>14.2</v>
      </c>
      <c r="AL263">
        <v>10</v>
      </c>
      <c r="AM263">
        <v>14.6</v>
      </c>
      <c r="AN263">
        <v>9</v>
      </c>
      <c r="AO263">
        <v>14.5</v>
      </c>
      <c r="AP263">
        <v>10</v>
      </c>
      <c r="AQ263">
        <v>17</v>
      </c>
      <c r="AR263">
        <v>10</v>
      </c>
      <c r="AS263">
        <v>14.5</v>
      </c>
      <c r="AT263">
        <v>10</v>
      </c>
      <c r="AU263">
        <v>19.399999999999999</v>
      </c>
      <c r="AV263">
        <v>19</v>
      </c>
      <c r="AW263">
        <v>20.2</v>
      </c>
      <c r="AX263">
        <v>19</v>
      </c>
      <c r="AY263">
        <v>11.3</v>
      </c>
      <c r="AZ263">
        <v>10</v>
      </c>
      <c r="BA263">
        <v>11.2</v>
      </c>
      <c r="BB263">
        <v>10</v>
      </c>
    </row>
    <row r="264" spans="1:54" x14ac:dyDescent="0.35">
      <c r="A264" s="1">
        <v>46059.634027777778</v>
      </c>
      <c r="B264">
        <v>21.3</v>
      </c>
      <c r="C264">
        <v>3</v>
      </c>
      <c r="D264">
        <v>19.899999999999999</v>
      </c>
      <c r="E264">
        <v>2</v>
      </c>
      <c r="F264">
        <v>8</v>
      </c>
      <c r="G264">
        <v>11.5</v>
      </c>
      <c r="H264">
        <v>0</v>
      </c>
      <c r="I264">
        <v>14.6</v>
      </c>
      <c r="J264">
        <v>10.5</v>
      </c>
      <c r="K264">
        <v>0</v>
      </c>
      <c r="L264">
        <v>12.3</v>
      </c>
      <c r="M264">
        <v>15.9</v>
      </c>
      <c r="N264">
        <v>0</v>
      </c>
      <c r="O264">
        <v>13.6</v>
      </c>
      <c r="P264">
        <v>9</v>
      </c>
      <c r="Q264">
        <v>0</v>
      </c>
      <c r="R264">
        <v>9.4</v>
      </c>
      <c r="S264">
        <v>12.9</v>
      </c>
      <c r="T264">
        <v>0</v>
      </c>
      <c r="U264">
        <v>-19.399999999999999</v>
      </c>
      <c r="V264">
        <v>-21.2</v>
      </c>
      <c r="W264">
        <v>-22</v>
      </c>
      <c r="X264">
        <v>-19.8</v>
      </c>
      <c r="Y264">
        <v>-17.899999999999999</v>
      </c>
      <c r="Z264">
        <v>-22</v>
      </c>
      <c r="AA264">
        <v>9.6999999999999993</v>
      </c>
      <c r="AB264">
        <v>9.4</v>
      </c>
      <c r="AC264">
        <v>-5</v>
      </c>
      <c r="AD264">
        <v>18.2</v>
      </c>
      <c r="AE264">
        <v>15.1</v>
      </c>
      <c r="AF264">
        <v>0</v>
      </c>
      <c r="AG264">
        <v>14.1</v>
      </c>
      <c r="AH264">
        <v>10</v>
      </c>
      <c r="AI264">
        <v>13.8</v>
      </c>
      <c r="AJ264">
        <v>10</v>
      </c>
      <c r="AK264">
        <v>14.1</v>
      </c>
      <c r="AL264">
        <v>10</v>
      </c>
      <c r="AM264">
        <v>14.7</v>
      </c>
      <c r="AN264">
        <v>9</v>
      </c>
      <c r="AO264">
        <v>14.4</v>
      </c>
      <c r="AP264">
        <v>10</v>
      </c>
      <c r="AQ264">
        <v>17.2</v>
      </c>
      <c r="AR264">
        <v>10</v>
      </c>
      <c r="AS264">
        <v>14.2</v>
      </c>
      <c r="AT264">
        <v>10</v>
      </c>
      <c r="AU264">
        <v>19.399999999999999</v>
      </c>
      <c r="AV264">
        <v>19</v>
      </c>
      <c r="AW264">
        <v>20.3</v>
      </c>
      <c r="AX264">
        <v>19</v>
      </c>
      <c r="AY264">
        <v>11.5</v>
      </c>
      <c r="AZ264">
        <v>10</v>
      </c>
      <c r="BA264">
        <v>10.6</v>
      </c>
      <c r="BB264">
        <v>10</v>
      </c>
    </row>
    <row r="265" spans="1:54" x14ac:dyDescent="0.35">
      <c r="A265" s="1">
        <v>46059.634722222225</v>
      </c>
      <c r="B265">
        <v>21.3</v>
      </c>
      <c r="C265">
        <v>3</v>
      </c>
      <c r="D265">
        <v>19.899999999999999</v>
      </c>
      <c r="E265">
        <v>2</v>
      </c>
      <c r="F265">
        <v>8</v>
      </c>
      <c r="G265">
        <v>11.5</v>
      </c>
      <c r="H265">
        <v>0</v>
      </c>
      <c r="I265">
        <v>14.6</v>
      </c>
      <c r="J265">
        <v>10.5</v>
      </c>
      <c r="K265">
        <v>0</v>
      </c>
      <c r="L265">
        <v>12.3</v>
      </c>
      <c r="M265">
        <v>15.9</v>
      </c>
      <c r="N265">
        <v>0</v>
      </c>
      <c r="O265">
        <v>13.6</v>
      </c>
      <c r="P265">
        <v>9</v>
      </c>
      <c r="Q265">
        <v>0</v>
      </c>
      <c r="R265">
        <v>9.4</v>
      </c>
      <c r="S265">
        <v>12.9</v>
      </c>
      <c r="T265">
        <v>0</v>
      </c>
      <c r="U265">
        <v>-19.399999999999999</v>
      </c>
      <c r="V265">
        <v>-21.5</v>
      </c>
      <c r="W265">
        <v>-22</v>
      </c>
      <c r="X265">
        <v>-19.8</v>
      </c>
      <c r="Y265">
        <v>-17.899999999999999</v>
      </c>
      <c r="Z265">
        <v>-22</v>
      </c>
      <c r="AA265">
        <v>8.8000000000000007</v>
      </c>
      <c r="AB265">
        <v>8.1</v>
      </c>
      <c r="AC265">
        <v>-5</v>
      </c>
      <c r="AD265">
        <v>17.899999999999999</v>
      </c>
      <c r="AE265">
        <v>15.2</v>
      </c>
      <c r="AF265">
        <v>0</v>
      </c>
      <c r="AG265">
        <v>13.6</v>
      </c>
      <c r="AH265">
        <v>10</v>
      </c>
      <c r="AI265">
        <v>13.4</v>
      </c>
      <c r="AJ265">
        <v>10</v>
      </c>
      <c r="AK265">
        <v>13.8</v>
      </c>
      <c r="AL265">
        <v>10</v>
      </c>
      <c r="AM265">
        <v>14.7</v>
      </c>
      <c r="AN265">
        <v>9</v>
      </c>
      <c r="AO265">
        <v>13.9</v>
      </c>
      <c r="AP265">
        <v>10</v>
      </c>
      <c r="AQ265">
        <v>17.2</v>
      </c>
      <c r="AR265">
        <v>10</v>
      </c>
      <c r="AS265">
        <v>13.8</v>
      </c>
      <c r="AT265">
        <v>10</v>
      </c>
      <c r="AU265">
        <v>19.399999999999999</v>
      </c>
      <c r="AV265">
        <v>19</v>
      </c>
      <c r="AW265">
        <v>20.3</v>
      </c>
      <c r="AX265">
        <v>19</v>
      </c>
      <c r="AY265">
        <v>11.8</v>
      </c>
      <c r="AZ265">
        <v>10</v>
      </c>
      <c r="BA265">
        <v>9.9</v>
      </c>
      <c r="BB265">
        <v>10</v>
      </c>
    </row>
    <row r="266" spans="1:54" x14ac:dyDescent="0.35">
      <c r="A266" s="1">
        <v>46059.635416666664</v>
      </c>
      <c r="B266">
        <v>21.3</v>
      </c>
      <c r="C266">
        <v>3</v>
      </c>
      <c r="D266">
        <v>19.899999999999999</v>
      </c>
      <c r="E266">
        <v>2</v>
      </c>
      <c r="F266">
        <v>8</v>
      </c>
      <c r="G266">
        <v>11.5</v>
      </c>
      <c r="H266">
        <v>0</v>
      </c>
      <c r="I266">
        <v>14.6</v>
      </c>
      <c r="J266">
        <v>10.5</v>
      </c>
      <c r="K266">
        <v>0</v>
      </c>
      <c r="L266">
        <v>12.3</v>
      </c>
      <c r="M266">
        <v>15.9</v>
      </c>
      <c r="N266">
        <v>0</v>
      </c>
      <c r="O266">
        <v>13.6</v>
      </c>
      <c r="P266">
        <v>9</v>
      </c>
      <c r="Q266">
        <v>0</v>
      </c>
      <c r="R266">
        <v>9.4</v>
      </c>
      <c r="S266">
        <v>12.9</v>
      </c>
      <c r="T266">
        <v>0</v>
      </c>
      <c r="U266">
        <v>-19.399999999999999</v>
      </c>
      <c r="V266">
        <v>-21.1</v>
      </c>
      <c r="W266">
        <v>-22</v>
      </c>
      <c r="X266">
        <v>-19.7</v>
      </c>
      <c r="Y266">
        <v>-17.899999999999999</v>
      </c>
      <c r="Z266">
        <v>-22</v>
      </c>
      <c r="AA266">
        <v>7.8</v>
      </c>
      <c r="AB266">
        <v>6.8</v>
      </c>
      <c r="AC266">
        <v>-5</v>
      </c>
      <c r="AD266">
        <v>17.7</v>
      </c>
      <c r="AE266">
        <v>15.3</v>
      </c>
      <c r="AF266">
        <v>0</v>
      </c>
      <c r="AG266">
        <v>13.4</v>
      </c>
      <c r="AH266">
        <v>10</v>
      </c>
      <c r="AI266">
        <v>13.2</v>
      </c>
      <c r="AJ266">
        <v>10</v>
      </c>
      <c r="AK266">
        <v>13.8</v>
      </c>
      <c r="AL266">
        <v>10</v>
      </c>
      <c r="AM266">
        <v>14.7</v>
      </c>
      <c r="AN266">
        <v>9</v>
      </c>
      <c r="AO266">
        <v>13.9</v>
      </c>
      <c r="AP266">
        <v>10</v>
      </c>
      <c r="AQ266">
        <v>17</v>
      </c>
      <c r="AR266">
        <v>10</v>
      </c>
      <c r="AS266">
        <v>13.6</v>
      </c>
      <c r="AT266">
        <v>10</v>
      </c>
      <c r="AU266">
        <v>19.399999999999999</v>
      </c>
      <c r="AV266">
        <v>19</v>
      </c>
      <c r="AW266">
        <v>20.3</v>
      </c>
      <c r="AX266">
        <v>19</v>
      </c>
      <c r="AY266">
        <v>12</v>
      </c>
      <c r="AZ266">
        <v>10</v>
      </c>
      <c r="BA266">
        <v>9.8000000000000007</v>
      </c>
      <c r="BB266">
        <v>10</v>
      </c>
    </row>
    <row r="267" spans="1:54" x14ac:dyDescent="0.35">
      <c r="A267" s="1">
        <v>46059.636111111111</v>
      </c>
      <c r="B267">
        <v>21.4</v>
      </c>
      <c r="C267">
        <v>3</v>
      </c>
      <c r="D267">
        <v>19.899999999999999</v>
      </c>
      <c r="E267">
        <v>2</v>
      </c>
      <c r="F267">
        <v>8</v>
      </c>
      <c r="G267">
        <v>11.6</v>
      </c>
      <c r="H267">
        <v>0</v>
      </c>
      <c r="I267">
        <v>14.6</v>
      </c>
      <c r="J267">
        <v>10.6</v>
      </c>
      <c r="K267">
        <v>0</v>
      </c>
      <c r="L267">
        <v>12.3</v>
      </c>
      <c r="M267">
        <v>15.9</v>
      </c>
      <c r="N267">
        <v>0</v>
      </c>
      <c r="O267">
        <v>13.6</v>
      </c>
      <c r="P267">
        <v>9</v>
      </c>
      <c r="Q267">
        <v>0</v>
      </c>
      <c r="R267">
        <v>9.4</v>
      </c>
      <c r="S267">
        <v>12.9</v>
      </c>
      <c r="T267">
        <v>0</v>
      </c>
      <c r="U267">
        <v>-19.3</v>
      </c>
      <c r="V267">
        <v>-21.3</v>
      </c>
      <c r="W267">
        <v>-22</v>
      </c>
      <c r="X267">
        <v>-19.7</v>
      </c>
      <c r="Y267">
        <v>-17.899999999999999</v>
      </c>
      <c r="Z267">
        <v>-22</v>
      </c>
      <c r="AA267">
        <v>6.6</v>
      </c>
      <c r="AB267">
        <v>5.4</v>
      </c>
      <c r="AC267">
        <v>-5</v>
      </c>
      <c r="AD267">
        <v>17.5</v>
      </c>
      <c r="AE267">
        <v>15.3</v>
      </c>
      <c r="AF267">
        <v>0</v>
      </c>
      <c r="AG267">
        <v>13.3</v>
      </c>
      <c r="AH267">
        <v>10</v>
      </c>
      <c r="AI267">
        <v>13.1</v>
      </c>
      <c r="AJ267">
        <v>10</v>
      </c>
      <c r="AK267">
        <v>13.8</v>
      </c>
      <c r="AL267">
        <v>10</v>
      </c>
      <c r="AM267">
        <v>14.7</v>
      </c>
      <c r="AN267">
        <v>9</v>
      </c>
      <c r="AO267">
        <v>13.8</v>
      </c>
      <c r="AP267">
        <v>10</v>
      </c>
      <c r="AQ267">
        <v>16.7</v>
      </c>
      <c r="AR267">
        <v>10</v>
      </c>
      <c r="AS267">
        <v>13.2</v>
      </c>
      <c r="AT267">
        <v>10</v>
      </c>
      <c r="AU267">
        <v>19.5</v>
      </c>
      <c r="AV267">
        <v>19</v>
      </c>
      <c r="AW267">
        <v>20.3</v>
      </c>
      <c r="AX267">
        <v>19</v>
      </c>
      <c r="AY267">
        <v>11.8</v>
      </c>
      <c r="AZ267">
        <v>10</v>
      </c>
      <c r="BA267">
        <v>10</v>
      </c>
      <c r="BB267">
        <v>10</v>
      </c>
    </row>
    <row r="268" spans="1:54" x14ac:dyDescent="0.35">
      <c r="A268" s="1">
        <v>46059.636805555558</v>
      </c>
      <c r="B268">
        <v>21.4</v>
      </c>
      <c r="C268">
        <v>3</v>
      </c>
      <c r="D268">
        <v>19.899999999999999</v>
      </c>
      <c r="E268">
        <v>2</v>
      </c>
      <c r="F268">
        <v>8</v>
      </c>
      <c r="G268">
        <v>11.6</v>
      </c>
      <c r="H268">
        <v>0</v>
      </c>
      <c r="I268">
        <v>14.6</v>
      </c>
      <c r="J268">
        <v>10.6</v>
      </c>
      <c r="K268">
        <v>0</v>
      </c>
      <c r="L268">
        <v>12.4</v>
      </c>
      <c r="M268">
        <v>15.9</v>
      </c>
      <c r="N268">
        <v>0</v>
      </c>
      <c r="O268">
        <v>13.6</v>
      </c>
      <c r="P268">
        <v>9</v>
      </c>
      <c r="Q268">
        <v>0</v>
      </c>
      <c r="R268">
        <v>9.4</v>
      </c>
      <c r="S268">
        <v>12.9</v>
      </c>
      <c r="T268">
        <v>0</v>
      </c>
      <c r="U268">
        <v>-19.3</v>
      </c>
      <c r="V268">
        <v>-21.4</v>
      </c>
      <c r="W268">
        <v>-22</v>
      </c>
      <c r="X268">
        <v>-19.7</v>
      </c>
      <c r="Y268">
        <v>-17.899999999999999</v>
      </c>
      <c r="Z268">
        <v>-22</v>
      </c>
      <c r="AA268">
        <v>5.6</v>
      </c>
      <c r="AB268">
        <v>4.2</v>
      </c>
      <c r="AC268">
        <v>-5</v>
      </c>
      <c r="AD268">
        <v>17.399999999999999</v>
      </c>
      <c r="AE268">
        <v>15.3</v>
      </c>
      <c r="AF268">
        <v>0</v>
      </c>
      <c r="AG268">
        <v>13.2</v>
      </c>
      <c r="AH268">
        <v>10</v>
      </c>
      <c r="AI268">
        <v>13</v>
      </c>
      <c r="AJ268">
        <v>10</v>
      </c>
      <c r="AK268">
        <v>13.8</v>
      </c>
      <c r="AL268">
        <v>10</v>
      </c>
      <c r="AM268">
        <v>14.7</v>
      </c>
      <c r="AN268">
        <v>9</v>
      </c>
      <c r="AO268">
        <v>13.6</v>
      </c>
      <c r="AP268">
        <v>10</v>
      </c>
      <c r="AQ268">
        <v>16.5</v>
      </c>
      <c r="AR268">
        <v>10</v>
      </c>
      <c r="AS268">
        <v>13.1</v>
      </c>
      <c r="AT268">
        <v>10</v>
      </c>
      <c r="AU268">
        <v>19.5</v>
      </c>
      <c r="AV268">
        <v>19</v>
      </c>
      <c r="AW268">
        <v>20.3</v>
      </c>
      <c r="AX268">
        <v>19</v>
      </c>
      <c r="AY268">
        <v>11</v>
      </c>
      <c r="AZ268">
        <v>10</v>
      </c>
      <c r="BA268">
        <v>10.5</v>
      </c>
      <c r="BB268">
        <v>10</v>
      </c>
    </row>
    <row r="269" spans="1:54" x14ac:dyDescent="0.35">
      <c r="A269" s="1">
        <v>46059.637499999997</v>
      </c>
      <c r="B269">
        <v>21.4</v>
      </c>
      <c r="C269">
        <v>3</v>
      </c>
      <c r="D269">
        <v>19.899999999999999</v>
      </c>
      <c r="E269">
        <v>2</v>
      </c>
      <c r="F269">
        <v>8</v>
      </c>
      <c r="G269">
        <v>11.6</v>
      </c>
      <c r="H269">
        <v>0</v>
      </c>
      <c r="I269">
        <v>14.6</v>
      </c>
      <c r="J269">
        <v>10.6</v>
      </c>
      <c r="K269">
        <v>0</v>
      </c>
      <c r="L269">
        <v>12.4</v>
      </c>
      <c r="M269">
        <v>15.9</v>
      </c>
      <c r="N269">
        <v>0</v>
      </c>
      <c r="O269">
        <v>13.6</v>
      </c>
      <c r="P269">
        <v>9</v>
      </c>
      <c r="Q269">
        <v>0</v>
      </c>
      <c r="R269">
        <v>9.4</v>
      </c>
      <c r="S269">
        <v>12.9</v>
      </c>
      <c r="T269">
        <v>0</v>
      </c>
      <c r="U269">
        <v>-19.3</v>
      </c>
      <c r="V269">
        <v>-21.5</v>
      </c>
      <c r="W269">
        <v>-22</v>
      </c>
      <c r="X269">
        <v>-19.7</v>
      </c>
      <c r="Y269">
        <v>-17.899999999999999</v>
      </c>
      <c r="Z269">
        <v>-22</v>
      </c>
      <c r="AA269">
        <v>4.4000000000000004</v>
      </c>
      <c r="AB269">
        <v>2.9</v>
      </c>
      <c r="AC269">
        <v>-5</v>
      </c>
      <c r="AD269">
        <v>17.3</v>
      </c>
      <c r="AE269">
        <v>15.3</v>
      </c>
      <c r="AF269">
        <v>0</v>
      </c>
      <c r="AG269">
        <v>13.2</v>
      </c>
      <c r="AH269">
        <v>10</v>
      </c>
      <c r="AI269">
        <v>12.9</v>
      </c>
      <c r="AJ269">
        <v>10</v>
      </c>
      <c r="AK269">
        <v>13.8</v>
      </c>
      <c r="AL269">
        <v>10</v>
      </c>
      <c r="AM269">
        <v>14.7</v>
      </c>
      <c r="AN269">
        <v>9</v>
      </c>
      <c r="AO269">
        <v>13.4</v>
      </c>
      <c r="AP269">
        <v>10</v>
      </c>
      <c r="AQ269">
        <v>16.3</v>
      </c>
      <c r="AR269">
        <v>10</v>
      </c>
      <c r="AS269">
        <v>13.1</v>
      </c>
      <c r="AT269">
        <v>10</v>
      </c>
      <c r="AU269">
        <v>19.5</v>
      </c>
      <c r="AV269">
        <v>19</v>
      </c>
      <c r="AW269">
        <v>20.3</v>
      </c>
      <c r="AX269">
        <v>19</v>
      </c>
      <c r="AY269">
        <v>10.3</v>
      </c>
      <c r="AZ269">
        <v>10</v>
      </c>
      <c r="BA269">
        <v>10.8</v>
      </c>
      <c r="BB269">
        <v>10</v>
      </c>
    </row>
    <row r="270" spans="1:54" x14ac:dyDescent="0.35">
      <c r="A270" s="1">
        <v>46059.63958333333</v>
      </c>
      <c r="B270">
        <v>21.4</v>
      </c>
      <c r="C270">
        <v>3</v>
      </c>
      <c r="D270">
        <v>19.899999999999999</v>
      </c>
      <c r="E270">
        <v>2</v>
      </c>
      <c r="F270">
        <v>8.1</v>
      </c>
      <c r="G270">
        <v>11.6</v>
      </c>
      <c r="H270">
        <v>0</v>
      </c>
      <c r="I270">
        <v>14.6</v>
      </c>
      <c r="J270">
        <v>10.6</v>
      </c>
      <c r="K270">
        <v>0</v>
      </c>
      <c r="L270">
        <v>12.4</v>
      </c>
      <c r="M270">
        <v>15.9</v>
      </c>
      <c r="N270">
        <v>0</v>
      </c>
      <c r="O270">
        <v>13.6</v>
      </c>
      <c r="P270">
        <v>9.1</v>
      </c>
      <c r="Q270">
        <v>0</v>
      </c>
      <c r="R270">
        <v>9.5</v>
      </c>
      <c r="S270">
        <v>12.9</v>
      </c>
      <c r="T270">
        <v>0</v>
      </c>
      <c r="U270">
        <v>-19.3</v>
      </c>
      <c r="V270">
        <v>-21.3</v>
      </c>
      <c r="W270">
        <v>-22</v>
      </c>
      <c r="X270">
        <v>-19.7</v>
      </c>
      <c r="Y270">
        <v>-18</v>
      </c>
      <c r="Z270">
        <v>-22</v>
      </c>
      <c r="AA270">
        <v>2.2999999999999998</v>
      </c>
      <c r="AB270">
        <v>0.9</v>
      </c>
      <c r="AC270">
        <v>-5</v>
      </c>
      <c r="AD270">
        <v>17</v>
      </c>
      <c r="AE270">
        <v>15</v>
      </c>
      <c r="AF270">
        <v>0</v>
      </c>
      <c r="AG270">
        <v>12.7</v>
      </c>
      <c r="AH270">
        <v>10</v>
      </c>
      <c r="AI270">
        <v>12</v>
      </c>
      <c r="AJ270">
        <v>10</v>
      </c>
      <c r="AK270">
        <v>13.5</v>
      </c>
      <c r="AL270">
        <v>10</v>
      </c>
      <c r="AM270">
        <v>14.5</v>
      </c>
      <c r="AN270">
        <v>9</v>
      </c>
      <c r="AO270">
        <v>13</v>
      </c>
      <c r="AP270">
        <v>10</v>
      </c>
      <c r="AQ270">
        <v>15.9</v>
      </c>
      <c r="AR270">
        <v>10</v>
      </c>
      <c r="AS270">
        <v>12</v>
      </c>
      <c r="AT270">
        <v>10</v>
      </c>
      <c r="AU270">
        <v>19.399999999999999</v>
      </c>
      <c r="AV270">
        <v>19</v>
      </c>
      <c r="AW270">
        <v>20.2</v>
      </c>
      <c r="AX270">
        <v>19</v>
      </c>
      <c r="AY270">
        <v>10.3</v>
      </c>
      <c r="AZ270">
        <v>10</v>
      </c>
      <c r="BA270">
        <v>11.7</v>
      </c>
      <c r="BB270">
        <v>10</v>
      </c>
    </row>
    <row r="271" spans="1:54" x14ac:dyDescent="0.35">
      <c r="A271" s="1">
        <v>46059.640277777777</v>
      </c>
      <c r="B271">
        <v>21.4</v>
      </c>
      <c r="C271">
        <v>3</v>
      </c>
      <c r="D271">
        <v>19.899999999999999</v>
      </c>
      <c r="E271">
        <v>2</v>
      </c>
      <c r="F271">
        <v>8.1</v>
      </c>
      <c r="G271">
        <v>11.6</v>
      </c>
      <c r="H271">
        <v>0</v>
      </c>
      <c r="I271">
        <v>14.6</v>
      </c>
      <c r="J271">
        <v>10.6</v>
      </c>
      <c r="K271">
        <v>0</v>
      </c>
      <c r="L271">
        <v>12.4</v>
      </c>
      <c r="M271">
        <v>15.9</v>
      </c>
      <c r="N271">
        <v>0</v>
      </c>
      <c r="O271">
        <v>13.6</v>
      </c>
      <c r="P271">
        <v>9.1</v>
      </c>
      <c r="Q271">
        <v>0</v>
      </c>
      <c r="R271">
        <v>9.5</v>
      </c>
      <c r="S271">
        <v>12.9</v>
      </c>
      <c r="T271">
        <v>0</v>
      </c>
      <c r="U271">
        <v>-19.3</v>
      </c>
      <c r="V271">
        <v>-21.4</v>
      </c>
      <c r="W271">
        <v>-22</v>
      </c>
      <c r="X271">
        <v>-19.7</v>
      </c>
      <c r="Y271">
        <v>-18</v>
      </c>
      <c r="Z271">
        <v>-22</v>
      </c>
      <c r="AA271">
        <v>2</v>
      </c>
      <c r="AB271">
        <v>0.7</v>
      </c>
      <c r="AC271">
        <v>-5</v>
      </c>
      <c r="AD271">
        <v>16.899999999999999</v>
      </c>
      <c r="AE271">
        <v>14.9</v>
      </c>
      <c r="AF271">
        <v>0</v>
      </c>
      <c r="AG271">
        <v>12.3</v>
      </c>
      <c r="AH271">
        <v>10</v>
      </c>
      <c r="AI271">
        <v>11.5</v>
      </c>
      <c r="AJ271">
        <v>10</v>
      </c>
      <c r="AK271">
        <v>13.2</v>
      </c>
      <c r="AL271">
        <v>10</v>
      </c>
      <c r="AM271">
        <v>14.4</v>
      </c>
      <c r="AN271">
        <v>9</v>
      </c>
      <c r="AO271">
        <v>12.8</v>
      </c>
      <c r="AP271">
        <v>10</v>
      </c>
      <c r="AQ271">
        <v>15.8</v>
      </c>
      <c r="AR271">
        <v>10</v>
      </c>
      <c r="AS271">
        <v>10.8</v>
      </c>
      <c r="AT271">
        <v>10</v>
      </c>
      <c r="AU271">
        <v>19.399999999999999</v>
      </c>
      <c r="AV271">
        <v>19</v>
      </c>
      <c r="AW271">
        <v>20.2</v>
      </c>
      <c r="AX271">
        <v>19</v>
      </c>
      <c r="AY271">
        <v>10.7</v>
      </c>
      <c r="AZ271">
        <v>10</v>
      </c>
      <c r="BA271">
        <v>12</v>
      </c>
      <c r="BB271">
        <v>10</v>
      </c>
    </row>
    <row r="272" spans="1:54" x14ac:dyDescent="0.35">
      <c r="A272" s="1">
        <v>46059.640972222223</v>
      </c>
      <c r="B272">
        <v>21.4</v>
      </c>
      <c r="C272">
        <v>3</v>
      </c>
      <c r="D272">
        <v>20</v>
      </c>
      <c r="E272">
        <v>2</v>
      </c>
      <c r="F272">
        <v>8.1</v>
      </c>
      <c r="G272">
        <v>11.6</v>
      </c>
      <c r="H272">
        <v>0</v>
      </c>
      <c r="I272">
        <v>14.7</v>
      </c>
      <c r="J272">
        <v>10.6</v>
      </c>
      <c r="K272">
        <v>0</v>
      </c>
      <c r="L272">
        <v>12.4</v>
      </c>
      <c r="M272">
        <v>15.9</v>
      </c>
      <c r="N272">
        <v>0</v>
      </c>
      <c r="O272">
        <v>13.6</v>
      </c>
      <c r="P272">
        <v>9.1</v>
      </c>
      <c r="Q272">
        <v>0</v>
      </c>
      <c r="R272">
        <v>9.5</v>
      </c>
      <c r="S272">
        <v>12.9</v>
      </c>
      <c r="T272">
        <v>0</v>
      </c>
      <c r="U272">
        <v>-19.3</v>
      </c>
      <c r="V272">
        <v>-21.1</v>
      </c>
      <c r="W272">
        <v>-22</v>
      </c>
      <c r="X272">
        <v>-19.7</v>
      </c>
      <c r="Y272">
        <v>-18</v>
      </c>
      <c r="Z272">
        <v>-22</v>
      </c>
      <c r="AA272">
        <v>1.5</v>
      </c>
      <c r="AB272">
        <v>0</v>
      </c>
      <c r="AC272">
        <v>-5</v>
      </c>
      <c r="AD272">
        <v>16.8</v>
      </c>
      <c r="AE272">
        <v>14.8</v>
      </c>
      <c r="AF272">
        <v>0</v>
      </c>
      <c r="AG272">
        <v>11.7</v>
      </c>
      <c r="AH272">
        <v>10</v>
      </c>
      <c r="AI272">
        <v>10.8</v>
      </c>
      <c r="AJ272">
        <v>10</v>
      </c>
      <c r="AK272">
        <v>12.9</v>
      </c>
      <c r="AL272">
        <v>10</v>
      </c>
      <c r="AM272">
        <v>14.3</v>
      </c>
      <c r="AN272">
        <v>9</v>
      </c>
      <c r="AO272">
        <v>12.5</v>
      </c>
      <c r="AP272">
        <v>10</v>
      </c>
      <c r="AQ272">
        <v>15.6</v>
      </c>
      <c r="AR272">
        <v>10</v>
      </c>
      <c r="AS272">
        <v>9.6999999999999993</v>
      </c>
      <c r="AT272">
        <v>10</v>
      </c>
      <c r="AU272">
        <v>19.399999999999999</v>
      </c>
      <c r="AV272">
        <v>19</v>
      </c>
      <c r="AW272">
        <v>20.2</v>
      </c>
      <c r="AX272">
        <v>19</v>
      </c>
      <c r="AY272">
        <v>11</v>
      </c>
      <c r="AZ272">
        <v>10</v>
      </c>
      <c r="BA272">
        <v>11.9</v>
      </c>
      <c r="BB272">
        <v>10</v>
      </c>
    </row>
    <row r="273" spans="1:54" x14ac:dyDescent="0.35">
      <c r="A273" s="1">
        <v>46059.64166666667</v>
      </c>
      <c r="B273">
        <v>21.4</v>
      </c>
      <c r="C273">
        <v>3</v>
      </c>
      <c r="D273">
        <v>20</v>
      </c>
      <c r="E273">
        <v>2</v>
      </c>
      <c r="F273">
        <v>8.1</v>
      </c>
      <c r="G273">
        <v>11.6</v>
      </c>
      <c r="H273">
        <v>0</v>
      </c>
      <c r="I273">
        <v>14.7</v>
      </c>
      <c r="J273">
        <v>10.6</v>
      </c>
      <c r="K273">
        <v>0</v>
      </c>
      <c r="L273">
        <v>12.4</v>
      </c>
      <c r="M273">
        <v>15.9</v>
      </c>
      <c r="N273">
        <v>0</v>
      </c>
      <c r="O273">
        <v>13.6</v>
      </c>
      <c r="P273">
        <v>9.1</v>
      </c>
      <c r="Q273">
        <v>0</v>
      </c>
      <c r="R273">
        <v>9.5</v>
      </c>
      <c r="S273">
        <v>12.9</v>
      </c>
      <c r="T273">
        <v>0</v>
      </c>
      <c r="U273">
        <v>-19.3</v>
      </c>
      <c r="V273">
        <v>-21.6</v>
      </c>
      <c r="W273">
        <v>-22</v>
      </c>
      <c r="X273">
        <v>-19.7</v>
      </c>
      <c r="Y273">
        <v>-18</v>
      </c>
      <c r="Z273">
        <v>-22</v>
      </c>
      <c r="AA273">
        <v>0.9</v>
      </c>
      <c r="AB273">
        <v>-0.9</v>
      </c>
      <c r="AC273">
        <v>-5</v>
      </c>
      <c r="AD273">
        <v>16.8</v>
      </c>
      <c r="AE273">
        <v>14.7</v>
      </c>
      <c r="AF273">
        <v>0</v>
      </c>
      <c r="AG273">
        <v>11.4</v>
      </c>
      <c r="AH273">
        <v>10</v>
      </c>
      <c r="AI273">
        <v>10.3</v>
      </c>
      <c r="AJ273">
        <v>10</v>
      </c>
      <c r="AK273">
        <v>12.6</v>
      </c>
      <c r="AL273">
        <v>10</v>
      </c>
      <c r="AM273">
        <v>14.2</v>
      </c>
      <c r="AN273">
        <v>9</v>
      </c>
      <c r="AO273">
        <v>12.4</v>
      </c>
      <c r="AP273">
        <v>10</v>
      </c>
      <c r="AQ273">
        <v>15.5</v>
      </c>
      <c r="AR273">
        <v>10</v>
      </c>
      <c r="AS273">
        <v>9.4</v>
      </c>
      <c r="AT273">
        <v>10</v>
      </c>
      <c r="AU273">
        <v>19.399999999999999</v>
      </c>
      <c r="AV273">
        <v>19</v>
      </c>
      <c r="AW273">
        <v>20.2</v>
      </c>
      <c r="AX273">
        <v>19</v>
      </c>
      <c r="AY273">
        <v>11.2</v>
      </c>
      <c r="AZ273">
        <v>10</v>
      </c>
      <c r="BA273">
        <v>11.1</v>
      </c>
      <c r="BB273">
        <v>10</v>
      </c>
    </row>
    <row r="274" spans="1:54" x14ac:dyDescent="0.35">
      <c r="A274" s="1">
        <v>46059.642361111109</v>
      </c>
      <c r="B274">
        <v>21.4</v>
      </c>
      <c r="C274">
        <v>3</v>
      </c>
      <c r="D274">
        <v>20</v>
      </c>
      <c r="E274">
        <v>2</v>
      </c>
      <c r="F274">
        <v>8.1</v>
      </c>
      <c r="G274">
        <v>11.6</v>
      </c>
      <c r="H274">
        <v>0</v>
      </c>
      <c r="I274">
        <v>14.7</v>
      </c>
      <c r="J274">
        <v>10.6</v>
      </c>
      <c r="K274">
        <v>0</v>
      </c>
      <c r="L274">
        <v>12.4</v>
      </c>
      <c r="M274">
        <v>15.9</v>
      </c>
      <c r="N274">
        <v>0</v>
      </c>
      <c r="O274">
        <v>13.7</v>
      </c>
      <c r="P274">
        <v>9.1</v>
      </c>
      <c r="Q274">
        <v>0</v>
      </c>
      <c r="R274">
        <v>9.5</v>
      </c>
      <c r="S274">
        <v>12.9</v>
      </c>
      <c r="T274">
        <v>0</v>
      </c>
      <c r="U274">
        <v>-19.3</v>
      </c>
      <c r="V274">
        <v>-21.2</v>
      </c>
      <c r="W274">
        <v>-22</v>
      </c>
      <c r="X274">
        <v>-19.7</v>
      </c>
      <c r="Y274">
        <v>-18</v>
      </c>
      <c r="Z274">
        <v>-22</v>
      </c>
      <c r="AA274">
        <v>0.4</v>
      </c>
      <c r="AB274">
        <v>-1.4</v>
      </c>
      <c r="AC274">
        <v>-5</v>
      </c>
      <c r="AD274">
        <v>16.7</v>
      </c>
      <c r="AE274">
        <v>14.7</v>
      </c>
      <c r="AF274">
        <v>0</v>
      </c>
      <c r="AG274">
        <v>11.1</v>
      </c>
      <c r="AH274">
        <v>10</v>
      </c>
      <c r="AI274">
        <v>9.9</v>
      </c>
      <c r="AJ274">
        <v>10</v>
      </c>
      <c r="AK274">
        <v>12.4</v>
      </c>
      <c r="AL274">
        <v>10</v>
      </c>
      <c r="AM274">
        <v>14.1</v>
      </c>
      <c r="AN274">
        <v>9</v>
      </c>
      <c r="AO274">
        <v>12.3</v>
      </c>
      <c r="AP274">
        <v>10</v>
      </c>
      <c r="AQ274">
        <v>15.2</v>
      </c>
      <c r="AR274">
        <v>10</v>
      </c>
      <c r="AS274">
        <v>9.9</v>
      </c>
      <c r="AT274">
        <v>10</v>
      </c>
      <c r="AU274">
        <v>19.399999999999999</v>
      </c>
      <c r="AV274">
        <v>19</v>
      </c>
      <c r="AW274">
        <v>20.2</v>
      </c>
      <c r="AX274">
        <v>19</v>
      </c>
      <c r="AY274">
        <v>11.5</v>
      </c>
      <c r="AZ274">
        <v>10</v>
      </c>
      <c r="BA274">
        <v>10.4</v>
      </c>
      <c r="BB274">
        <v>10</v>
      </c>
    </row>
    <row r="275" spans="1:54" x14ac:dyDescent="0.35">
      <c r="A275" s="1">
        <v>46059.643055555556</v>
      </c>
      <c r="B275">
        <v>21.4</v>
      </c>
      <c r="C275">
        <v>3</v>
      </c>
      <c r="D275">
        <v>20</v>
      </c>
      <c r="E275">
        <v>2</v>
      </c>
      <c r="F275">
        <v>8.1</v>
      </c>
      <c r="G275">
        <v>11.6</v>
      </c>
      <c r="H275">
        <v>0</v>
      </c>
      <c r="I275">
        <v>14.7</v>
      </c>
      <c r="J275">
        <v>10.6</v>
      </c>
      <c r="K275">
        <v>0</v>
      </c>
      <c r="L275">
        <v>12.4</v>
      </c>
      <c r="M275">
        <v>15.9</v>
      </c>
      <c r="N275">
        <v>0</v>
      </c>
      <c r="O275">
        <v>13.7</v>
      </c>
      <c r="P275">
        <v>9.1</v>
      </c>
      <c r="Q275">
        <v>0</v>
      </c>
      <c r="R275">
        <v>9.5</v>
      </c>
      <c r="S275">
        <v>12.9</v>
      </c>
      <c r="T275">
        <v>0</v>
      </c>
      <c r="U275">
        <v>-19.3</v>
      </c>
      <c r="V275">
        <v>-21.5</v>
      </c>
      <c r="W275">
        <v>-22</v>
      </c>
      <c r="X275">
        <v>-19.7</v>
      </c>
      <c r="Y275">
        <v>-18</v>
      </c>
      <c r="Z275">
        <v>-22</v>
      </c>
      <c r="AA275">
        <v>-0.1</v>
      </c>
      <c r="AB275">
        <v>-2</v>
      </c>
      <c r="AC275">
        <v>-5</v>
      </c>
      <c r="AD275">
        <v>16.7</v>
      </c>
      <c r="AE275">
        <v>14.6</v>
      </c>
      <c r="AF275">
        <v>0</v>
      </c>
      <c r="AG275">
        <v>10.8</v>
      </c>
      <c r="AH275">
        <v>10</v>
      </c>
      <c r="AI275">
        <v>9.8000000000000007</v>
      </c>
      <c r="AJ275">
        <v>10</v>
      </c>
      <c r="AK275">
        <v>12</v>
      </c>
      <c r="AL275">
        <v>10</v>
      </c>
      <c r="AM275">
        <v>14</v>
      </c>
      <c r="AN275">
        <v>9</v>
      </c>
      <c r="AO275">
        <v>12.2</v>
      </c>
      <c r="AP275">
        <v>10</v>
      </c>
      <c r="AQ275">
        <v>15.2</v>
      </c>
      <c r="AR275">
        <v>10</v>
      </c>
      <c r="AS275">
        <v>10.5</v>
      </c>
      <c r="AT275">
        <v>10</v>
      </c>
      <c r="AU275">
        <v>19.399999999999999</v>
      </c>
      <c r="AV275">
        <v>19</v>
      </c>
      <c r="AW275">
        <v>20.2</v>
      </c>
      <c r="AX275">
        <v>19</v>
      </c>
      <c r="AY275">
        <v>11.7</v>
      </c>
      <c r="AZ275">
        <v>10</v>
      </c>
      <c r="BA275">
        <v>9.8000000000000007</v>
      </c>
      <c r="BB275">
        <v>10</v>
      </c>
    </row>
    <row r="276" spans="1:54" x14ac:dyDescent="0.35">
      <c r="A276" s="1">
        <v>46059.643750000003</v>
      </c>
      <c r="B276">
        <v>21.4</v>
      </c>
      <c r="C276">
        <v>3</v>
      </c>
      <c r="D276">
        <v>20</v>
      </c>
      <c r="E276">
        <v>2</v>
      </c>
      <c r="F276">
        <v>8.1</v>
      </c>
      <c r="G276">
        <v>11.6</v>
      </c>
      <c r="H276">
        <v>0</v>
      </c>
      <c r="I276">
        <v>14.7</v>
      </c>
      <c r="J276">
        <v>10.7</v>
      </c>
      <c r="K276">
        <v>0</v>
      </c>
      <c r="L276">
        <v>12.4</v>
      </c>
      <c r="M276">
        <v>15.9</v>
      </c>
      <c r="N276">
        <v>0</v>
      </c>
      <c r="O276">
        <v>13.7</v>
      </c>
      <c r="P276">
        <v>9.1</v>
      </c>
      <c r="Q276">
        <v>0</v>
      </c>
      <c r="R276">
        <v>9.5</v>
      </c>
      <c r="S276">
        <v>12.9</v>
      </c>
      <c r="T276">
        <v>0</v>
      </c>
      <c r="U276">
        <v>-19.3</v>
      </c>
      <c r="V276">
        <v>-21.4</v>
      </c>
      <c r="W276">
        <v>-22</v>
      </c>
      <c r="X276">
        <v>-19.7</v>
      </c>
      <c r="Y276">
        <v>-18</v>
      </c>
      <c r="Z276">
        <v>-22</v>
      </c>
      <c r="AA276">
        <v>-0.7</v>
      </c>
      <c r="AB276">
        <v>-2.6</v>
      </c>
      <c r="AC276">
        <v>-5</v>
      </c>
      <c r="AD276">
        <v>16.600000000000001</v>
      </c>
      <c r="AE276">
        <v>14.5</v>
      </c>
      <c r="AF276">
        <v>0</v>
      </c>
      <c r="AG276">
        <v>10.6</v>
      </c>
      <c r="AH276">
        <v>10</v>
      </c>
      <c r="AI276">
        <v>9.9</v>
      </c>
      <c r="AJ276">
        <v>10</v>
      </c>
      <c r="AK276">
        <v>11.9</v>
      </c>
      <c r="AL276">
        <v>10</v>
      </c>
      <c r="AM276">
        <v>14</v>
      </c>
      <c r="AN276">
        <v>9</v>
      </c>
      <c r="AO276">
        <v>12.1</v>
      </c>
      <c r="AP276">
        <v>10</v>
      </c>
      <c r="AQ276">
        <v>15.1</v>
      </c>
      <c r="AR276">
        <v>10</v>
      </c>
      <c r="AS276">
        <v>11</v>
      </c>
      <c r="AT276">
        <v>10</v>
      </c>
      <c r="AU276">
        <v>19.399999999999999</v>
      </c>
      <c r="AV276">
        <v>19</v>
      </c>
      <c r="AW276">
        <v>20.2</v>
      </c>
      <c r="AX276">
        <v>19</v>
      </c>
      <c r="AY276">
        <v>11.9</v>
      </c>
      <c r="AZ276">
        <v>10</v>
      </c>
      <c r="BA276">
        <v>9.6999999999999993</v>
      </c>
      <c r="BB276">
        <v>10</v>
      </c>
    </row>
    <row r="277" spans="1:54" x14ac:dyDescent="0.35">
      <c r="A277" s="1">
        <v>46059.644444444442</v>
      </c>
      <c r="B277">
        <v>21.4</v>
      </c>
      <c r="C277">
        <v>3</v>
      </c>
      <c r="D277">
        <v>20</v>
      </c>
      <c r="E277">
        <v>2</v>
      </c>
      <c r="F277">
        <v>8.1</v>
      </c>
      <c r="G277">
        <v>11.6</v>
      </c>
      <c r="H277">
        <v>0</v>
      </c>
      <c r="I277">
        <v>14.7</v>
      </c>
      <c r="J277">
        <v>10.7</v>
      </c>
      <c r="K277">
        <v>0</v>
      </c>
      <c r="L277">
        <v>12.4</v>
      </c>
      <c r="M277">
        <v>15.9</v>
      </c>
      <c r="N277">
        <v>0</v>
      </c>
      <c r="O277">
        <v>13.7</v>
      </c>
      <c r="P277">
        <v>9.1</v>
      </c>
      <c r="Q277">
        <v>0</v>
      </c>
      <c r="R277">
        <v>9.5</v>
      </c>
      <c r="S277">
        <v>12.9</v>
      </c>
      <c r="T277">
        <v>0</v>
      </c>
      <c r="U277">
        <v>-19.3</v>
      </c>
      <c r="V277">
        <v>-21.2</v>
      </c>
      <c r="W277">
        <v>-22</v>
      </c>
      <c r="X277">
        <v>-19.7</v>
      </c>
      <c r="Y277">
        <v>-18</v>
      </c>
      <c r="Z277">
        <v>-22</v>
      </c>
      <c r="AA277">
        <v>-1.1000000000000001</v>
      </c>
      <c r="AB277">
        <v>-2.9</v>
      </c>
      <c r="AC277">
        <v>-5</v>
      </c>
      <c r="AD277">
        <v>16.5</v>
      </c>
      <c r="AE277">
        <v>14.4</v>
      </c>
      <c r="AF277">
        <v>0</v>
      </c>
      <c r="AG277">
        <v>10.4</v>
      </c>
      <c r="AH277">
        <v>10</v>
      </c>
      <c r="AI277">
        <v>10.199999999999999</v>
      </c>
      <c r="AJ277">
        <v>10</v>
      </c>
      <c r="AK277">
        <v>11.7</v>
      </c>
      <c r="AL277">
        <v>10</v>
      </c>
      <c r="AM277">
        <v>14</v>
      </c>
      <c r="AN277">
        <v>9</v>
      </c>
      <c r="AO277">
        <v>12</v>
      </c>
      <c r="AP277">
        <v>10</v>
      </c>
      <c r="AQ277">
        <v>15.1</v>
      </c>
      <c r="AR277">
        <v>10</v>
      </c>
      <c r="AS277">
        <v>11.3</v>
      </c>
      <c r="AT277">
        <v>10</v>
      </c>
      <c r="AU277">
        <v>19.399999999999999</v>
      </c>
      <c r="AV277">
        <v>19</v>
      </c>
      <c r="AW277">
        <v>20.2</v>
      </c>
      <c r="AX277">
        <v>19</v>
      </c>
      <c r="AY277">
        <v>12</v>
      </c>
      <c r="AZ277">
        <v>10</v>
      </c>
      <c r="BA277">
        <v>10.1</v>
      </c>
      <c r="BB277">
        <v>10</v>
      </c>
    </row>
    <row r="278" spans="1:54" x14ac:dyDescent="0.35">
      <c r="A278" s="1">
        <v>46059.645138888889</v>
      </c>
      <c r="B278">
        <v>21.4</v>
      </c>
      <c r="C278">
        <v>3</v>
      </c>
      <c r="D278">
        <v>20</v>
      </c>
      <c r="E278">
        <v>2</v>
      </c>
      <c r="F278">
        <v>8.1</v>
      </c>
      <c r="G278">
        <v>11.6</v>
      </c>
      <c r="H278">
        <v>0</v>
      </c>
      <c r="I278">
        <v>14.7</v>
      </c>
      <c r="J278">
        <v>10.7</v>
      </c>
      <c r="K278">
        <v>0</v>
      </c>
      <c r="L278">
        <v>12.4</v>
      </c>
      <c r="M278">
        <v>15.9</v>
      </c>
      <c r="N278">
        <v>0</v>
      </c>
      <c r="O278">
        <v>13.7</v>
      </c>
      <c r="P278">
        <v>9.1</v>
      </c>
      <c r="Q278">
        <v>0</v>
      </c>
      <c r="R278">
        <v>9.5</v>
      </c>
      <c r="S278">
        <v>12.9</v>
      </c>
      <c r="T278">
        <v>0</v>
      </c>
      <c r="U278">
        <v>-19.3</v>
      </c>
      <c r="V278">
        <v>-21.4</v>
      </c>
      <c r="W278">
        <v>-22</v>
      </c>
      <c r="X278">
        <v>-19.7</v>
      </c>
      <c r="Y278">
        <v>-18.100000000000001</v>
      </c>
      <c r="Z278">
        <v>-22</v>
      </c>
      <c r="AA278">
        <v>-1.4</v>
      </c>
      <c r="AB278">
        <v>-3.3</v>
      </c>
      <c r="AC278">
        <v>-5</v>
      </c>
      <c r="AD278">
        <v>16.5</v>
      </c>
      <c r="AE278">
        <v>14.3</v>
      </c>
      <c r="AF278">
        <v>0</v>
      </c>
      <c r="AG278">
        <v>10.199999999999999</v>
      </c>
      <c r="AH278">
        <v>10</v>
      </c>
      <c r="AI278">
        <v>10.5</v>
      </c>
      <c r="AJ278">
        <v>10</v>
      </c>
      <c r="AK278">
        <v>11.6</v>
      </c>
      <c r="AL278">
        <v>10</v>
      </c>
      <c r="AM278">
        <v>13.9</v>
      </c>
      <c r="AN278">
        <v>9</v>
      </c>
      <c r="AO278">
        <v>11.8</v>
      </c>
      <c r="AP278">
        <v>10</v>
      </c>
      <c r="AQ278">
        <v>15</v>
      </c>
      <c r="AR278">
        <v>10</v>
      </c>
      <c r="AS278">
        <v>11.6</v>
      </c>
      <c r="AT278">
        <v>10</v>
      </c>
      <c r="AU278">
        <v>19.399999999999999</v>
      </c>
      <c r="AV278">
        <v>19</v>
      </c>
      <c r="AW278">
        <v>20.2</v>
      </c>
      <c r="AX278">
        <v>19</v>
      </c>
      <c r="AY278">
        <v>11.2</v>
      </c>
      <c r="AZ278">
        <v>10</v>
      </c>
      <c r="BA278">
        <v>10.5</v>
      </c>
      <c r="BB278">
        <v>10</v>
      </c>
    </row>
    <row r="279" spans="1:54" x14ac:dyDescent="0.35">
      <c r="A279" s="1">
        <v>46059.645833333336</v>
      </c>
      <c r="B279">
        <v>21.4</v>
      </c>
      <c r="C279">
        <v>3</v>
      </c>
      <c r="D279">
        <v>20</v>
      </c>
      <c r="E279">
        <v>2</v>
      </c>
      <c r="F279">
        <v>8.1</v>
      </c>
      <c r="G279">
        <v>11.6</v>
      </c>
      <c r="H279">
        <v>0</v>
      </c>
      <c r="I279">
        <v>14.7</v>
      </c>
      <c r="J279">
        <v>10.7</v>
      </c>
      <c r="K279">
        <v>0</v>
      </c>
      <c r="L279">
        <v>12.4</v>
      </c>
      <c r="M279">
        <v>15.9</v>
      </c>
      <c r="N279">
        <v>0</v>
      </c>
      <c r="O279">
        <v>13.7</v>
      </c>
      <c r="P279">
        <v>9.1</v>
      </c>
      <c r="Q279">
        <v>0</v>
      </c>
      <c r="R279">
        <v>9.5</v>
      </c>
      <c r="S279">
        <v>12.9</v>
      </c>
      <c r="T279">
        <v>0</v>
      </c>
      <c r="U279">
        <v>-19.3</v>
      </c>
      <c r="V279">
        <v>-21.1</v>
      </c>
      <c r="W279">
        <v>-22</v>
      </c>
      <c r="X279">
        <v>-19.7</v>
      </c>
      <c r="Y279">
        <v>-18.100000000000001</v>
      </c>
      <c r="Z279">
        <v>-22</v>
      </c>
      <c r="AA279">
        <v>-1.8</v>
      </c>
      <c r="AB279">
        <v>-3.7</v>
      </c>
      <c r="AC279">
        <v>-5</v>
      </c>
      <c r="AD279">
        <v>16.399999999999999</v>
      </c>
      <c r="AE279">
        <v>14.2</v>
      </c>
      <c r="AF279">
        <v>0</v>
      </c>
      <c r="AG279">
        <v>10.1</v>
      </c>
      <c r="AH279">
        <v>10</v>
      </c>
      <c r="AI279">
        <v>10.7</v>
      </c>
      <c r="AJ279">
        <v>10</v>
      </c>
      <c r="AK279">
        <v>11.5</v>
      </c>
      <c r="AL279">
        <v>10</v>
      </c>
      <c r="AM279">
        <v>13.9</v>
      </c>
      <c r="AN279">
        <v>9</v>
      </c>
      <c r="AO279">
        <v>11.8</v>
      </c>
      <c r="AP279">
        <v>10</v>
      </c>
      <c r="AQ279">
        <v>14.8</v>
      </c>
      <c r="AR279">
        <v>10</v>
      </c>
      <c r="AS279">
        <v>11.9</v>
      </c>
      <c r="AT279">
        <v>10</v>
      </c>
      <c r="AU279">
        <v>19.3</v>
      </c>
      <c r="AV279">
        <v>19</v>
      </c>
      <c r="AW279">
        <v>20.2</v>
      </c>
      <c r="AX279">
        <v>19</v>
      </c>
      <c r="AY279">
        <v>10.5</v>
      </c>
      <c r="AZ279">
        <v>10</v>
      </c>
      <c r="BA279">
        <v>10.8</v>
      </c>
      <c r="BB279">
        <v>10</v>
      </c>
    </row>
    <row r="280" spans="1:54" x14ac:dyDescent="0.35">
      <c r="A280" s="1">
        <v>46059.646527777775</v>
      </c>
      <c r="B280">
        <v>21.4</v>
      </c>
      <c r="C280">
        <v>3</v>
      </c>
      <c r="D280">
        <v>20</v>
      </c>
      <c r="E280">
        <v>2</v>
      </c>
      <c r="F280">
        <v>8.1</v>
      </c>
      <c r="G280">
        <v>11.6</v>
      </c>
      <c r="H280">
        <v>0</v>
      </c>
      <c r="I280">
        <v>14.7</v>
      </c>
      <c r="J280">
        <v>10.7</v>
      </c>
      <c r="K280">
        <v>0</v>
      </c>
      <c r="L280">
        <v>12.4</v>
      </c>
      <c r="M280">
        <v>15.9</v>
      </c>
      <c r="N280">
        <v>0</v>
      </c>
      <c r="O280">
        <v>13.7</v>
      </c>
      <c r="P280">
        <v>9.1999999999999993</v>
      </c>
      <c r="Q280">
        <v>0</v>
      </c>
      <c r="R280">
        <v>9.6</v>
      </c>
      <c r="S280">
        <v>12.9</v>
      </c>
      <c r="T280">
        <v>0</v>
      </c>
      <c r="U280">
        <v>-19.3</v>
      </c>
      <c r="V280">
        <v>-21.6</v>
      </c>
      <c r="W280">
        <v>-22</v>
      </c>
      <c r="X280">
        <v>-19.7</v>
      </c>
      <c r="Y280">
        <v>-18.100000000000001</v>
      </c>
      <c r="Z280">
        <v>-22</v>
      </c>
      <c r="AA280">
        <v>-2.1</v>
      </c>
      <c r="AB280">
        <v>-3.9</v>
      </c>
      <c r="AC280">
        <v>-5</v>
      </c>
      <c r="AD280">
        <v>16.3</v>
      </c>
      <c r="AE280">
        <v>14.1</v>
      </c>
      <c r="AF280">
        <v>0</v>
      </c>
      <c r="AG280">
        <v>10</v>
      </c>
      <c r="AH280">
        <v>10</v>
      </c>
      <c r="AI280">
        <v>10.9</v>
      </c>
      <c r="AJ280">
        <v>10</v>
      </c>
      <c r="AK280">
        <v>11.4</v>
      </c>
      <c r="AL280">
        <v>10</v>
      </c>
      <c r="AM280">
        <v>13.8</v>
      </c>
      <c r="AN280">
        <v>9</v>
      </c>
      <c r="AO280">
        <v>11.7</v>
      </c>
      <c r="AP280">
        <v>10</v>
      </c>
      <c r="AQ280">
        <v>14.8</v>
      </c>
      <c r="AR280">
        <v>10</v>
      </c>
      <c r="AS280">
        <v>11.5</v>
      </c>
      <c r="AT280">
        <v>10</v>
      </c>
      <c r="AU280">
        <v>19.3</v>
      </c>
      <c r="AV280">
        <v>19</v>
      </c>
      <c r="AW280">
        <v>20.2</v>
      </c>
      <c r="AX280">
        <v>19</v>
      </c>
      <c r="AY280">
        <v>9.8000000000000007</v>
      </c>
      <c r="AZ280">
        <v>10</v>
      </c>
      <c r="BA280">
        <v>11.2</v>
      </c>
      <c r="BB280">
        <v>10</v>
      </c>
    </row>
    <row r="281" spans="1:54" x14ac:dyDescent="0.35">
      <c r="A281" s="1">
        <v>46059.647222222222</v>
      </c>
      <c r="B281">
        <v>21.4</v>
      </c>
      <c r="C281">
        <v>3</v>
      </c>
      <c r="D281">
        <v>20</v>
      </c>
      <c r="E281">
        <v>2</v>
      </c>
      <c r="F281">
        <v>8.1</v>
      </c>
      <c r="G281">
        <v>11.6</v>
      </c>
      <c r="H281">
        <v>0</v>
      </c>
      <c r="I281">
        <v>14.7</v>
      </c>
      <c r="J281">
        <v>10.7</v>
      </c>
      <c r="K281">
        <v>0</v>
      </c>
      <c r="L281">
        <v>12.4</v>
      </c>
      <c r="M281">
        <v>15.9</v>
      </c>
      <c r="N281">
        <v>0</v>
      </c>
      <c r="O281">
        <v>13.7</v>
      </c>
      <c r="P281">
        <v>9.1999999999999993</v>
      </c>
      <c r="Q281">
        <v>0</v>
      </c>
      <c r="R281">
        <v>9.6</v>
      </c>
      <c r="S281">
        <v>12.9</v>
      </c>
      <c r="T281">
        <v>0</v>
      </c>
      <c r="U281">
        <v>-19.3</v>
      </c>
      <c r="V281">
        <v>-21.3</v>
      </c>
      <c r="W281">
        <v>-22</v>
      </c>
      <c r="X281">
        <v>-19.7</v>
      </c>
      <c r="Y281">
        <v>-18.100000000000001</v>
      </c>
      <c r="Z281">
        <v>-22</v>
      </c>
      <c r="AA281">
        <v>-2.4</v>
      </c>
      <c r="AB281">
        <v>-4.0999999999999996</v>
      </c>
      <c r="AC281">
        <v>-5</v>
      </c>
      <c r="AD281">
        <v>16.3</v>
      </c>
      <c r="AE281">
        <v>14</v>
      </c>
      <c r="AF281">
        <v>0</v>
      </c>
      <c r="AG281">
        <v>10.1</v>
      </c>
      <c r="AH281">
        <v>10</v>
      </c>
      <c r="AI281">
        <v>11.1</v>
      </c>
      <c r="AJ281">
        <v>10</v>
      </c>
      <c r="AK281">
        <v>11.3</v>
      </c>
      <c r="AL281">
        <v>10</v>
      </c>
      <c r="AM281">
        <v>13.8</v>
      </c>
      <c r="AN281">
        <v>9</v>
      </c>
      <c r="AO281">
        <v>11.7</v>
      </c>
      <c r="AP281">
        <v>10</v>
      </c>
      <c r="AQ281">
        <v>14.6</v>
      </c>
      <c r="AR281">
        <v>10</v>
      </c>
      <c r="AS281">
        <v>9.9</v>
      </c>
      <c r="AT281">
        <v>10</v>
      </c>
      <c r="AU281">
        <v>19.3</v>
      </c>
      <c r="AV281">
        <v>19</v>
      </c>
      <c r="AW281">
        <v>20.2</v>
      </c>
      <c r="AX281">
        <v>19</v>
      </c>
      <c r="AY281">
        <v>9.8000000000000007</v>
      </c>
      <c r="AZ281">
        <v>10</v>
      </c>
      <c r="BA281">
        <v>11.5</v>
      </c>
      <c r="BB281">
        <v>10</v>
      </c>
    </row>
    <row r="282" spans="1:54" x14ac:dyDescent="0.35">
      <c r="A282" s="1">
        <v>46059.647916666669</v>
      </c>
      <c r="B282">
        <v>21.4</v>
      </c>
      <c r="C282">
        <v>3</v>
      </c>
      <c r="D282">
        <v>20</v>
      </c>
      <c r="E282">
        <v>2</v>
      </c>
      <c r="F282">
        <v>8.1</v>
      </c>
      <c r="G282">
        <v>11.7</v>
      </c>
      <c r="H282">
        <v>0</v>
      </c>
      <c r="I282">
        <v>14.7</v>
      </c>
      <c r="J282">
        <v>10.7</v>
      </c>
      <c r="K282">
        <v>0</v>
      </c>
      <c r="L282">
        <v>12.4</v>
      </c>
      <c r="M282">
        <v>15.9</v>
      </c>
      <c r="N282">
        <v>0</v>
      </c>
      <c r="O282">
        <v>13.7</v>
      </c>
      <c r="P282">
        <v>9.1999999999999993</v>
      </c>
      <c r="Q282">
        <v>0</v>
      </c>
      <c r="R282">
        <v>9.6</v>
      </c>
      <c r="S282">
        <v>12.9</v>
      </c>
      <c r="T282">
        <v>0</v>
      </c>
      <c r="U282">
        <v>-19.3</v>
      </c>
      <c r="V282">
        <v>-21.4</v>
      </c>
      <c r="W282">
        <v>-22</v>
      </c>
      <c r="X282">
        <v>-19.7</v>
      </c>
      <c r="Y282">
        <v>-18.100000000000001</v>
      </c>
      <c r="Z282">
        <v>-22</v>
      </c>
      <c r="AA282">
        <v>-2.6</v>
      </c>
      <c r="AB282">
        <v>-4.5</v>
      </c>
      <c r="AC282">
        <v>-5</v>
      </c>
      <c r="AD282">
        <v>16.2</v>
      </c>
      <c r="AE282">
        <v>13.9</v>
      </c>
      <c r="AF282">
        <v>0</v>
      </c>
      <c r="AG282">
        <v>10.4</v>
      </c>
      <c r="AH282">
        <v>10</v>
      </c>
      <c r="AI282">
        <v>11.2</v>
      </c>
      <c r="AJ282">
        <v>10</v>
      </c>
      <c r="AK282">
        <v>11.3</v>
      </c>
      <c r="AL282">
        <v>10</v>
      </c>
      <c r="AM282">
        <v>13.8</v>
      </c>
      <c r="AN282">
        <v>9</v>
      </c>
      <c r="AO282">
        <v>11.6</v>
      </c>
      <c r="AP282">
        <v>10</v>
      </c>
      <c r="AQ282">
        <v>14.5</v>
      </c>
      <c r="AR282">
        <v>10</v>
      </c>
      <c r="AS282">
        <v>8.6999999999999993</v>
      </c>
      <c r="AT282">
        <v>10</v>
      </c>
      <c r="AU282">
        <v>19.2</v>
      </c>
      <c r="AV282">
        <v>19</v>
      </c>
      <c r="AW282">
        <v>20</v>
      </c>
      <c r="AX282">
        <v>19</v>
      </c>
      <c r="AY282">
        <v>10.199999999999999</v>
      </c>
      <c r="AZ282">
        <v>10</v>
      </c>
      <c r="BA282">
        <v>11.7</v>
      </c>
      <c r="BB282">
        <v>10</v>
      </c>
    </row>
    <row r="283" spans="1:54" x14ac:dyDescent="0.35">
      <c r="A283" s="1">
        <v>46059.648611111108</v>
      </c>
      <c r="B283">
        <v>21.4</v>
      </c>
      <c r="C283">
        <v>3</v>
      </c>
      <c r="D283">
        <v>20</v>
      </c>
      <c r="E283">
        <v>2</v>
      </c>
      <c r="F283">
        <v>8.1999999999999993</v>
      </c>
      <c r="G283">
        <v>11.7</v>
      </c>
      <c r="H283">
        <v>0</v>
      </c>
      <c r="I283">
        <v>14.7</v>
      </c>
      <c r="J283">
        <v>10.7</v>
      </c>
      <c r="K283">
        <v>0</v>
      </c>
      <c r="L283">
        <v>12.4</v>
      </c>
      <c r="M283">
        <v>15.9</v>
      </c>
      <c r="N283">
        <v>0</v>
      </c>
      <c r="O283">
        <v>13.7</v>
      </c>
      <c r="P283">
        <v>9.1999999999999993</v>
      </c>
      <c r="Q283">
        <v>0</v>
      </c>
      <c r="R283">
        <v>9.6</v>
      </c>
      <c r="S283">
        <v>12.9</v>
      </c>
      <c r="T283">
        <v>0</v>
      </c>
      <c r="U283">
        <v>-19.3</v>
      </c>
      <c r="V283">
        <v>-21.4</v>
      </c>
      <c r="W283">
        <v>-22</v>
      </c>
      <c r="X283">
        <v>-19.7</v>
      </c>
      <c r="Y283">
        <v>-18.100000000000001</v>
      </c>
      <c r="Z283">
        <v>-22</v>
      </c>
      <c r="AA283">
        <v>-2.8</v>
      </c>
      <c r="AB283">
        <v>-4.5</v>
      </c>
      <c r="AC283">
        <v>-5</v>
      </c>
      <c r="AD283">
        <v>16.2</v>
      </c>
      <c r="AE283">
        <v>13.9</v>
      </c>
      <c r="AF283">
        <v>0</v>
      </c>
      <c r="AG283">
        <v>10.7</v>
      </c>
      <c r="AH283">
        <v>10</v>
      </c>
      <c r="AI283">
        <v>11.4</v>
      </c>
      <c r="AJ283">
        <v>10</v>
      </c>
      <c r="AK283">
        <v>11.2</v>
      </c>
      <c r="AL283">
        <v>10</v>
      </c>
      <c r="AM283">
        <v>13.8</v>
      </c>
      <c r="AN283">
        <v>9</v>
      </c>
      <c r="AO283">
        <v>11.5</v>
      </c>
      <c r="AP283">
        <v>10</v>
      </c>
      <c r="AQ283">
        <v>14.5</v>
      </c>
      <c r="AR283">
        <v>10</v>
      </c>
      <c r="AS283">
        <v>8.8000000000000007</v>
      </c>
      <c r="AT283">
        <v>10</v>
      </c>
      <c r="AU283">
        <v>19.2</v>
      </c>
      <c r="AV283">
        <v>19</v>
      </c>
      <c r="AW283">
        <v>20.100000000000001</v>
      </c>
      <c r="AX283">
        <v>19</v>
      </c>
      <c r="AY283">
        <v>10.5</v>
      </c>
      <c r="AZ283">
        <v>10</v>
      </c>
      <c r="BA283">
        <v>12</v>
      </c>
      <c r="BB283">
        <v>10</v>
      </c>
    </row>
    <row r="284" spans="1:54" x14ac:dyDescent="0.35">
      <c r="A284" s="1">
        <v>46059.649305555555</v>
      </c>
      <c r="B284">
        <v>21.4</v>
      </c>
      <c r="C284">
        <v>3</v>
      </c>
      <c r="D284">
        <v>20</v>
      </c>
      <c r="E284">
        <v>2</v>
      </c>
      <c r="F284">
        <v>8.1999999999999993</v>
      </c>
      <c r="G284">
        <v>11.7</v>
      </c>
      <c r="H284">
        <v>0</v>
      </c>
      <c r="I284">
        <v>14.7</v>
      </c>
      <c r="J284">
        <v>10.7</v>
      </c>
      <c r="K284">
        <v>0</v>
      </c>
      <c r="L284">
        <v>12.4</v>
      </c>
      <c r="M284">
        <v>15.9</v>
      </c>
      <c r="N284">
        <v>0</v>
      </c>
      <c r="O284">
        <v>13.7</v>
      </c>
      <c r="P284">
        <v>9.1999999999999993</v>
      </c>
      <c r="Q284">
        <v>0</v>
      </c>
      <c r="R284">
        <v>9.6</v>
      </c>
      <c r="S284">
        <v>12.9</v>
      </c>
      <c r="T284">
        <v>0</v>
      </c>
      <c r="U284">
        <v>-19.3</v>
      </c>
      <c r="V284">
        <v>-21.3</v>
      </c>
      <c r="W284">
        <v>-22</v>
      </c>
      <c r="X284">
        <v>-19.7</v>
      </c>
      <c r="Y284">
        <v>-18.100000000000001</v>
      </c>
      <c r="Z284">
        <v>-22</v>
      </c>
      <c r="AA284">
        <v>-0.7</v>
      </c>
      <c r="AB284">
        <v>-4.9000000000000004</v>
      </c>
      <c r="AC284">
        <v>-5</v>
      </c>
      <c r="AD284">
        <v>16.100000000000001</v>
      </c>
      <c r="AE284">
        <v>13.8</v>
      </c>
      <c r="AF284">
        <v>0</v>
      </c>
      <c r="AG284">
        <v>10.9</v>
      </c>
      <c r="AH284">
        <v>10</v>
      </c>
      <c r="AI284">
        <v>11.5</v>
      </c>
      <c r="AJ284">
        <v>10</v>
      </c>
      <c r="AK284">
        <v>11.2</v>
      </c>
      <c r="AL284">
        <v>10</v>
      </c>
      <c r="AM284">
        <v>13.8</v>
      </c>
      <c r="AN284">
        <v>9</v>
      </c>
      <c r="AO284">
        <v>11.5</v>
      </c>
      <c r="AP284">
        <v>10</v>
      </c>
      <c r="AQ284">
        <v>14.5</v>
      </c>
      <c r="AR284">
        <v>10</v>
      </c>
      <c r="AS284">
        <v>9.6</v>
      </c>
      <c r="AT284">
        <v>10</v>
      </c>
      <c r="AU284">
        <v>19</v>
      </c>
      <c r="AV284">
        <v>19</v>
      </c>
      <c r="AW284">
        <v>20</v>
      </c>
      <c r="AX284">
        <v>19</v>
      </c>
      <c r="AY284">
        <v>10.9</v>
      </c>
      <c r="AZ284">
        <v>10</v>
      </c>
      <c r="BA284">
        <v>11.9</v>
      </c>
      <c r="BB284">
        <v>10</v>
      </c>
    </row>
    <row r="285" spans="1:54" x14ac:dyDescent="0.35">
      <c r="A285" s="1">
        <v>46059.65</v>
      </c>
      <c r="B285">
        <v>21.4</v>
      </c>
      <c r="C285">
        <v>3</v>
      </c>
      <c r="D285">
        <v>20</v>
      </c>
      <c r="E285">
        <v>2</v>
      </c>
      <c r="F285">
        <v>8.1999999999999993</v>
      </c>
      <c r="G285">
        <v>11.7</v>
      </c>
      <c r="H285">
        <v>0</v>
      </c>
      <c r="I285">
        <v>14.7</v>
      </c>
      <c r="J285">
        <v>10.7</v>
      </c>
      <c r="K285">
        <v>0</v>
      </c>
      <c r="L285">
        <v>12.4</v>
      </c>
      <c r="M285">
        <v>15.9</v>
      </c>
      <c r="N285">
        <v>0</v>
      </c>
      <c r="O285">
        <v>13.7</v>
      </c>
      <c r="P285">
        <v>9.1999999999999993</v>
      </c>
      <c r="Q285">
        <v>0</v>
      </c>
      <c r="R285">
        <v>9.6</v>
      </c>
      <c r="S285">
        <v>12.9</v>
      </c>
      <c r="T285">
        <v>0</v>
      </c>
      <c r="U285">
        <v>-19.3</v>
      </c>
      <c r="V285">
        <v>-21.6</v>
      </c>
      <c r="W285">
        <v>-22</v>
      </c>
      <c r="X285">
        <v>-19.7</v>
      </c>
      <c r="Y285">
        <v>-18.100000000000001</v>
      </c>
      <c r="Z285">
        <v>-22</v>
      </c>
      <c r="AA285">
        <v>-1.1000000000000001</v>
      </c>
      <c r="AB285">
        <v>-5.2</v>
      </c>
      <c r="AC285">
        <v>-5</v>
      </c>
      <c r="AD285">
        <v>16</v>
      </c>
      <c r="AE285">
        <v>13.7</v>
      </c>
      <c r="AF285">
        <v>0</v>
      </c>
      <c r="AG285">
        <v>11.1</v>
      </c>
      <c r="AH285">
        <v>10</v>
      </c>
      <c r="AI285">
        <v>11.6</v>
      </c>
      <c r="AJ285">
        <v>10</v>
      </c>
      <c r="AK285">
        <v>10.7</v>
      </c>
      <c r="AL285">
        <v>10</v>
      </c>
      <c r="AM285">
        <v>13.8</v>
      </c>
      <c r="AN285">
        <v>9</v>
      </c>
      <c r="AO285">
        <v>11.4</v>
      </c>
      <c r="AP285">
        <v>10</v>
      </c>
      <c r="AQ285">
        <v>14.4</v>
      </c>
      <c r="AR285">
        <v>10</v>
      </c>
      <c r="AS285">
        <v>10.1</v>
      </c>
      <c r="AT285">
        <v>10</v>
      </c>
      <c r="AU285">
        <v>19</v>
      </c>
      <c r="AV285">
        <v>19</v>
      </c>
      <c r="AW285">
        <v>19.899999999999999</v>
      </c>
      <c r="AX285">
        <v>19</v>
      </c>
      <c r="AY285">
        <v>11.2</v>
      </c>
      <c r="AZ285">
        <v>10</v>
      </c>
      <c r="BA285">
        <v>11.2</v>
      </c>
      <c r="BB285">
        <v>10</v>
      </c>
    </row>
    <row r="286" spans="1:54" x14ac:dyDescent="0.35">
      <c r="A286" s="1">
        <v>46059.650694444441</v>
      </c>
      <c r="B286">
        <v>21.4</v>
      </c>
      <c r="C286">
        <v>3</v>
      </c>
      <c r="D286">
        <v>20</v>
      </c>
      <c r="E286">
        <v>2</v>
      </c>
      <c r="F286">
        <v>8.1999999999999993</v>
      </c>
      <c r="G286">
        <v>11.7</v>
      </c>
      <c r="H286">
        <v>0</v>
      </c>
      <c r="I286">
        <v>14.7</v>
      </c>
      <c r="J286">
        <v>10.7</v>
      </c>
      <c r="K286">
        <v>0</v>
      </c>
      <c r="L286">
        <v>12.4</v>
      </c>
      <c r="M286">
        <v>15.9</v>
      </c>
      <c r="N286">
        <v>0</v>
      </c>
      <c r="O286">
        <v>13.8</v>
      </c>
      <c r="P286">
        <v>9.1999999999999993</v>
      </c>
      <c r="Q286">
        <v>0</v>
      </c>
      <c r="R286">
        <v>9.6</v>
      </c>
      <c r="S286">
        <v>12.9</v>
      </c>
      <c r="T286">
        <v>0</v>
      </c>
      <c r="U286">
        <v>-19.3</v>
      </c>
      <c r="V286">
        <v>-21.4</v>
      </c>
      <c r="W286">
        <v>-22</v>
      </c>
      <c r="X286">
        <v>-19.7</v>
      </c>
      <c r="Y286">
        <v>-18.100000000000001</v>
      </c>
      <c r="Z286">
        <v>-22</v>
      </c>
      <c r="AA286">
        <v>-1.4</v>
      </c>
      <c r="AB286">
        <v>-5.3</v>
      </c>
      <c r="AC286">
        <v>-5</v>
      </c>
      <c r="AD286">
        <v>16</v>
      </c>
      <c r="AE286">
        <v>13.6</v>
      </c>
      <c r="AF286">
        <v>0</v>
      </c>
      <c r="AG286">
        <v>11.3</v>
      </c>
      <c r="AH286">
        <v>10</v>
      </c>
      <c r="AI286">
        <v>11.7</v>
      </c>
      <c r="AJ286">
        <v>10</v>
      </c>
      <c r="AK286">
        <v>10.4</v>
      </c>
      <c r="AL286">
        <v>10</v>
      </c>
      <c r="AM286">
        <v>13.8</v>
      </c>
      <c r="AN286">
        <v>9</v>
      </c>
      <c r="AO286">
        <v>11.3</v>
      </c>
      <c r="AP286">
        <v>10</v>
      </c>
      <c r="AQ286">
        <v>14.3</v>
      </c>
      <c r="AR286">
        <v>10</v>
      </c>
      <c r="AS286">
        <v>10.5</v>
      </c>
      <c r="AT286">
        <v>10</v>
      </c>
      <c r="AU286">
        <v>19</v>
      </c>
      <c r="AV286">
        <v>19</v>
      </c>
      <c r="AW286">
        <v>19.899999999999999</v>
      </c>
      <c r="AX286">
        <v>19</v>
      </c>
      <c r="AY286">
        <v>11.4</v>
      </c>
      <c r="AZ286">
        <v>10</v>
      </c>
      <c r="BA286">
        <v>10.3</v>
      </c>
      <c r="BB286">
        <v>10</v>
      </c>
    </row>
    <row r="287" spans="1:54" x14ac:dyDescent="0.35">
      <c r="A287" s="1">
        <v>46059.651388888888</v>
      </c>
      <c r="B287">
        <v>21.5</v>
      </c>
      <c r="C287">
        <v>3</v>
      </c>
      <c r="D287">
        <v>20</v>
      </c>
      <c r="E287">
        <v>2</v>
      </c>
      <c r="F287">
        <v>8.1999999999999993</v>
      </c>
      <c r="G287">
        <v>11.7</v>
      </c>
      <c r="H287">
        <v>0</v>
      </c>
      <c r="I287">
        <v>14.7</v>
      </c>
      <c r="J287">
        <v>10.7</v>
      </c>
      <c r="K287">
        <v>0</v>
      </c>
      <c r="L287">
        <v>12.4</v>
      </c>
      <c r="M287">
        <v>15.9</v>
      </c>
      <c r="N287">
        <v>0</v>
      </c>
      <c r="O287">
        <v>13.8</v>
      </c>
      <c r="P287">
        <v>9.1999999999999993</v>
      </c>
      <c r="Q287">
        <v>0</v>
      </c>
      <c r="R287">
        <v>9.6</v>
      </c>
      <c r="S287">
        <v>13</v>
      </c>
      <c r="T287">
        <v>0</v>
      </c>
      <c r="U287">
        <v>-19.3</v>
      </c>
      <c r="V287">
        <v>-21.6</v>
      </c>
      <c r="W287">
        <v>-22</v>
      </c>
      <c r="X287">
        <v>-19.7</v>
      </c>
      <c r="Y287">
        <v>-18.100000000000001</v>
      </c>
      <c r="Z287">
        <v>-22</v>
      </c>
      <c r="AA287">
        <v>-1.9</v>
      </c>
      <c r="AB287">
        <v>-5.7</v>
      </c>
      <c r="AC287">
        <v>-5</v>
      </c>
      <c r="AD287">
        <v>15.9</v>
      </c>
      <c r="AE287">
        <v>13.5</v>
      </c>
      <c r="AF287">
        <v>0</v>
      </c>
      <c r="AG287">
        <v>11.5</v>
      </c>
      <c r="AH287">
        <v>10</v>
      </c>
      <c r="AI287">
        <v>11.8</v>
      </c>
      <c r="AJ287">
        <v>10</v>
      </c>
      <c r="AK287">
        <v>10.199999999999999</v>
      </c>
      <c r="AL287">
        <v>10</v>
      </c>
      <c r="AM287">
        <v>13.7</v>
      </c>
      <c r="AN287">
        <v>9</v>
      </c>
      <c r="AO287">
        <v>11.1</v>
      </c>
      <c r="AP287">
        <v>10</v>
      </c>
      <c r="AQ287">
        <v>14.1</v>
      </c>
      <c r="AR287">
        <v>10</v>
      </c>
      <c r="AS287">
        <v>10.9</v>
      </c>
      <c r="AT287">
        <v>10</v>
      </c>
      <c r="AU287">
        <v>19</v>
      </c>
      <c r="AV287">
        <v>19</v>
      </c>
      <c r="AW287">
        <v>19.899999999999999</v>
      </c>
      <c r="AX287">
        <v>19</v>
      </c>
      <c r="AY287">
        <v>11.6</v>
      </c>
      <c r="AZ287">
        <v>10</v>
      </c>
      <c r="BA287">
        <v>9.8000000000000007</v>
      </c>
      <c r="BB287">
        <v>10</v>
      </c>
    </row>
    <row r="288" spans="1:54" x14ac:dyDescent="0.35">
      <c r="A288" s="1">
        <v>46059.652083333334</v>
      </c>
      <c r="B288">
        <v>21.5</v>
      </c>
      <c r="C288">
        <v>3</v>
      </c>
      <c r="D288">
        <v>20</v>
      </c>
      <c r="E288">
        <v>2</v>
      </c>
      <c r="F288">
        <v>8.1999999999999993</v>
      </c>
      <c r="G288">
        <v>11.7</v>
      </c>
      <c r="H288">
        <v>0</v>
      </c>
      <c r="I288">
        <v>14.7</v>
      </c>
      <c r="J288">
        <v>10.7</v>
      </c>
      <c r="K288">
        <v>0</v>
      </c>
      <c r="L288">
        <v>12.4</v>
      </c>
      <c r="M288">
        <v>15.9</v>
      </c>
      <c r="N288">
        <v>0</v>
      </c>
      <c r="O288">
        <v>13.8</v>
      </c>
      <c r="P288">
        <v>9.1999999999999993</v>
      </c>
      <c r="Q288">
        <v>0</v>
      </c>
      <c r="R288">
        <v>9.6</v>
      </c>
      <c r="S288">
        <v>13</v>
      </c>
      <c r="T288">
        <v>0</v>
      </c>
      <c r="U288">
        <v>-19.3</v>
      </c>
      <c r="V288">
        <v>-21.4</v>
      </c>
      <c r="W288">
        <v>-22</v>
      </c>
      <c r="X288">
        <v>-19.7</v>
      </c>
      <c r="Y288">
        <v>-18.100000000000001</v>
      </c>
      <c r="Z288">
        <v>-22</v>
      </c>
      <c r="AA288">
        <v>-2.4</v>
      </c>
      <c r="AB288">
        <v>-5.7</v>
      </c>
      <c r="AC288">
        <v>-5</v>
      </c>
      <c r="AD288">
        <v>15.9</v>
      </c>
      <c r="AE288">
        <v>13.5</v>
      </c>
      <c r="AF288">
        <v>0</v>
      </c>
      <c r="AG288">
        <v>11.6</v>
      </c>
      <c r="AH288">
        <v>10</v>
      </c>
      <c r="AI288">
        <v>11.9</v>
      </c>
      <c r="AJ288">
        <v>10</v>
      </c>
      <c r="AK288">
        <v>10</v>
      </c>
      <c r="AL288">
        <v>10</v>
      </c>
      <c r="AM288">
        <v>13.7</v>
      </c>
      <c r="AN288">
        <v>9</v>
      </c>
      <c r="AO288">
        <v>11.1</v>
      </c>
      <c r="AP288">
        <v>10</v>
      </c>
      <c r="AQ288">
        <v>13.8</v>
      </c>
      <c r="AR288">
        <v>10</v>
      </c>
      <c r="AS288">
        <v>11.2</v>
      </c>
      <c r="AT288">
        <v>10</v>
      </c>
      <c r="AU288">
        <v>19</v>
      </c>
      <c r="AV288">
        <v>19</v>
      </c>
      <c r="AW288">
        <v>20.100000000000001</v>
      </c>
      <c r="AX288">
        <v>19</v>
      </c>
      <c r="AY288">
        <v>11.8</v>
      </c>
      <c r="AZ288">
        <v>10</v>
      </c>
      <c r="BA288">
        <v>9.8000000000000007</v>
      </c>
      <c r="BB288">
        <v>10</v>
      </c>
    </row>
    <row r="289" spans="1:54" x14ac:dyDescent="0.35">
      <c r="A289" s="1">
        <v>46059.652777777781</v>
      </c>
      <c r="B289">
        <v>21.5</v>
      </c>
      <c r="C289">
        <v>3</v>
      </c>
      <c r="D289">
        <v>20</v>
      </c>
      <c r="E289">
        <v>2</v>
      </c>
      <c r="F289">
        <v>8.1999999999999993</v>
      </c>
      <c r="G289">
        <v>11.7</v>
      </c>
      <c r="H289">
        <v>0</v>
      </c>
      <c r="I289">
        <v>14.7</v>
      </c>
      <c r="J289">
        <v>10.7</v>
      </c>
      <c r="K289">
        <v>0</v>
      </c>
      <c r="L289">
        <v>12.4</v>
      </c>
      <c r="M289">
        <v>15.9</v>
      </c>
      <c r="N289">
        <v>0</v>
      </c>
      <c r="O289">
        <v>13.8</v>
      </c>
      <c r="P289">
        <v>9.1999999999999993</v>
      </c>
      <c r="Q289">
        <v>0</v>
      </c>
      <c r="R289">
        <v>9.6</v>
      </c>
      <c r="S289">
        <v>13</v>
      </c>
      <c r="T289">
        <v>0</v>
      </c>
      <c r="U289">
        <v>-19.3</v>
      </c>
      <c r="V289">
        <v>-21.5</v>
      </c>
      <c r="W289">
        <v>-22</v>
      </c>
      <c r="X289">
        <v>-19.7</v>
      </c>
      <c r="Y289">
        <v>-18.100000000000001</v>
      </c>
      <c r="Z289">
        <v>-22</v>
      </c>
      <c r="AA289">
        <v>-2.8</v>
      </c>
      <c r="AB289">
        <v>-6</v>
      </c>
      <c r="AC289">
        <v>-5</v>
      </c>
      <c r="AD289">
        <v>15.9</v>
      </c>
      <c r="AE289">
        <v>13.4</v>
      </c>
      <c r="AF289">
        <v>0</v>
      </c>
      <c r="AG289">
        <v>11.8</v>
      </c>
      <c r="AH289">
        <v>10</v>
      </c>
      <c r="AI289">
        <v>11.9</v>
      </c>
      <c r="AJ289">
        <v>10</v>
      </c>
      <c r="AK289">
        <v>10.1</v>
      </c>
      <c r="AL289">
        <v>10</v>
      </c>
      <c r="AM289">
        <v>13.6</v>
      </c>
      <c r="AN289">
        <v>9</v>
      </c>
      <c r="AO289">
        <v>11</v>
      </c>
      <c r="AP289">
        <v>10</v>
      </c>
      <c r="AQ289">
        <v>13.7</v>
      </c>
      <c r="AR289">
        <v>10</v>
      </c>
      <c r="AS289">
        <v>11.4</v>
      </c>
      <c r="AT289">
        <v>10</v>
      </c>
      <c r="AU289">
        <v>19</v>
      </c>
      <c r="AV289">
        <v>19</v>
      </c>
      <c r="AW289">
        <v>20.100000000000001</v>
      </c>
      <c r="AX289">
        <v>19</v>
      </c>
      <c r="AY289">
        <v>12</v>
      </c>
      <c r="AZ289">
        <v>10</v>
      </c>
      <c r="BA289">
        <v>10.1</v>
      </c>
      <c r="BB289">
        <v>10</v>
      </c>
    </row>
    <row r="290" spans="1:54" x14ac:dyDescent="0.35">
      <c r="A290" s="1">
        <v>46059.65347222222</v>
      </c>
      <c r="B290">
        <v>21.5</v>
      </c>
      <c r="C290">
        <v>3</v>
      </c>
      <c r="D290">
        <v>20</v>
      </c>
      <c r="E290">
        <v>2</v>
      </c>
      <c r="F290">
        <v>8.1999999999999993</v>
      </c>
      <c r="G290">
        <v>11.7</v>
      </c>
      <c r="H290">
        <v>0</v>
      </c>
      <c r="I290">
        <v>14.7</v>
      </c>
      <c r="J290">
        <v>10.7</v>
      </c>
      <c r="K290">
        <v>0</v>
      </c>
      <c r="L290">
        <v>12.4</v>
      </c>
      <c r="M290">
        <v>15.9</v>
      </c>
      <c r="N290">
        <v>0</v>
      </c>
      <c r="O290">
        <v>13.8</v>
      </c>
      <c r="P290">
        <v>9.3000000000000007</v>
      </c>
      <c r="Q290">
        <v>0</v>
      </c>
      <c r="R290">
        <v>9.6</v>
      </c>
      <c r="S290">
        <v>13</v>
      </c>
      <c r="T290">
        <v>0</v>
      </c>
      <c r="U290">
        <v>-19.3</v>
      </c>
      <c r="V290">
        <v>-21.6</v>
      </c>
      <c r="W290">
        <v>-22</v>
      </c>
      <c r="X290">
        <v>-19.7</v>
      </c>
      <c r="Y290">
        <v>-18.100000000000001</v>
      </c>
      <c r="Z290">
        <v>-22</v>
      </c>
      <c r="AA290">
        <v>-3.5</v>
      </c>
      <c r="AB290">
        <v>-6.2</v>
      </c>
      <c r="AC290">
        <v>-5</v>
      </c>
      <c r="AD290">
        <v>15.8</v>
      </c>
      <c r="AE290">
        <v>13.4</v>
      </c>
      <c r="AF290">
        <v>0</v>
      </c>
      <c r="AG290">
        <v>11.9</v>
      </c>
      <c r="AH290">
        <v>10</v>
      </c>
      <c r="AI290">
        <v>10.7</v>
      </c>
      <c r="AJ290">
        <v>10</v>
      </c>
      <c r="AK290">
        <v>10.5</v>
      </c>
      <c r="AL290">
        <v>10</v>
      </c>
      <c r="AM290">
        <v>13.6</v>
      </c>
      <c r="AN290">
        <v>9</v>
      </c>
      <c r="AO290">
        <v>11</v>
      </c>
      <c r="AP290">
        <v>10</v>
      </c>
      <c r="AQ290">
        <v>13.6</v>
      </c>
      <c r="AR290">
        <v>10</v>
      </c>
      <c r="AS290">
        <v>11.7</v>
      </c>
      <c r="AT290">
        <v>10</v>
      </c>
      <c r="AU290">
        <v>19</v>
      </c>
      <c r="AV290">
        <v>19</v>
      </c>
      <c r="AW290">
        <v>20</v>
      </c>
      <c r="AX290">
        <v>19</v>
      </c>
      <c r="AY290">
        <v>11.7</v>
      </c>
      <c r="AZ290">
        <v>10</v>
      </c>
      <c r="BA290">
        <v>10.5</v>
      </c>
      <c r="BB290">
        <v>10</v>
      </c>
    </row>
    <row r="291" spans="1:54" x14ac:dyDescent="0.35">
      <c r="A291" s="1">
        <v>46059.654166666667</v>
      </c>
      <c r="B291">
        <v>21.5</v>
      </c>
      <c r="C291">
        <v>3</v>
      </c>
      <c r="D291">
        <v>20</v>
      </c>
      <c r="E291">
        <v>2</v>
      </c>
      <c r="F291">
        <v>8.1999999999999993</v>
      </c>
      <c r="G291">
        <v>11.7</v>
      </c>
      <c r="H291">
        <v>0</v>
      </c>
      <c r="I291">
        <v>14.7</v>
      </c>
      <c r="J291">
        <v>10.8</v>
      </c>
      <c r="K291">
        <v>0</v>
      </c>
      <c r="L291">
        <v>12.4</v>
      </c>
      <c r="M291">
        <v>15.9</v>
      </c>
      <c r="N291">
        <v>0</v>
      </c>
      <c r="O291">
        <v>13.8</v>
      </c>
      <c r="P291">
        <v>9.3000000000000007</v>
      </c>
      <c r="Q291">
        <v>0</v>
      </c>
      <c r="R291">
        <v>9.6</v>
      </c>
      <c r="S291">
        <v>13</v>
      </c>
      <c r="T291">
        <v>0</v>
      </c>
      <c r="U291">
        <v>-19.399999999999999</v>
      </c>
      <c r="V291">
        <v>-21.3</v>
      </c>
      <c r="W291">
        <v>-22</v>
      </c>
      <c r="X291">
        <v>-19.7</v>
      </c>
      <c r="Y291">
        <v>-18.100000000000001</v>
      </c>
      <c r="Z291">
        <v>-22</v>
      </c>
      <c r="AA291">
        <v>-3.9</v>
      </c>
      <c r="AB291">
        <v>-6.2</v>
      </c>
      <c r="AC291">
        <v>-5</v>
      </c>
      <c r="AD291">
        <v>15.8</v>
      </c>
      <c r="AE291">
        <v>13.3</v>
      </c>
      <c r="AF291">
        <v>0</v>
      </c>
      <c r="AG291">
        <v>12</v>
      </c>
      <c r="AH291">
        <v>10</v>
      </c>
      <c r="AI291">
        <v>9.4</v>
      </c>
      <c r="AJ291">
        <v>10</v>
      </c>
      <c r="AK291">
        <v>10.8</v>
      </c>
      <c r="AL291">
        <v>10</v>
      </c>
      <c r="AM291">
        <v>13.6</v>
      </c>
      <c r="AN291">
        <v>9</v>
      </c>
      <c r="AO291">
        <v>11</v>
      </c>
      <c r="AP291">
        <v>10</v>
      </c>
      <c r="AQ291">
        <v>13.6</v>
      </c>
      <c r="AR291">
        <v>10</v>
      </c>
      <c r="AS291">
        <v>11.9</v>
      </c>
      <c r="AT291">
        <v>10</v>
      </c>
      <c r="AU291">
        <v>19</v>
      </c>
      <c r="AV291">
        <v>19</v>
      </c>
      <c r="AW291">
        <v>20</v>
      </c>
      <c r="AX291">
        <v>19</v>
      </c>
      <c r="AY291">
        <v>10.8</v>
      </c>
      <c r="AZ291">
        <v>10</v>
      </c>
      <c r="BA291">
        <v>10.9</v>
      </c>
      <c r="BB291">
        <v>10</v>
      </c>
    </row>
    <row r="292" spans="1:54" x14ac:dyDescent="0.35">
      <c r="A292" s="1">
        <v>46059.654861111114</v>
      </c>
      <c r="B292">
        <v>21.5</v>
      </c>
      <c r="C292">
        <v>3</v>
      </c>
      <c r="D292">
        <v>20.100000000000001</v>
      </c>
      <c r="E292">
        <v>2</v>
      </c>
      <c r="F292">
        <v>8.1999999999999993</v>
      </c>
      <c r="G292">
        <v>11.7</v>
      </c>
      <c r="H292">
        <v>0</v>
      </c>
      <c r="I292">
        <v>14.7</v>
      </c>
      <c r="J292">
        <v>10.8</v>
      </c>
      <c r="K292">
        <v>0</v>
      </c>
      <c r="L292">
        <v>12.4</v>
      </c>
      <c r="M292">
        <v>15.9</v>
      </c>
      <c r="N292">
        <v>0</v>
      </c>
      <c r="O292">
        <v>13.8</v>
      </c>
      <c r="P292">
        <v>9.3000000000000007</v>
      </c>
      <c r="Q292">
        <v>0</v>
      </c>
      <c r="R292">
        <v>9.6999999999999993</v>
      </c>
      <c r="S292">
        <v>13</v>
      </c>
      <c r="T292">
        <v>0</v>
      </c>
      <c r="U292">
        <v>-19.399999999999999</v>
      </c>
      <c r="V292">
        <v>-21.7</v>
      </c>
      <c r="W292">
        <v>-22</v>
      </c>
      <c r="X292">
        <v>-19.7</v>
      </c>
      <c r="Y292">
        <v>-18.100000000000001</v>
      </c>
      <c r="Z292">
        <v>-22</v>
      </c>
      <c r="AA292">
        <v>-4.0999999999999996</v>
      </c>
      <c r="AB292">
        <v>-6.4</v>
      </c>
      <c r="AC292">
        <v>-5</v>
      </c>
      <c r="AD292">
        <v>15.7</v>
      </c>
      <c r="AE292">
        <v>13.3</v>
      </c>
      <c r="AF292">
        <v>0</v>
      </c>
      <c r="AG292">
        <v>11.9</v>
      </c>
      <c r="AH292">
        <v>10</v>
      </c>
      <c r="AI292">
        <v>9</v>
      </c>
      <c r="AJ292">
        <v>10</v>
      </c>
      <c r="AK292">
        <v>11</v>
      </c>
      <c r="AL292">
        <v>10</v>
      </c>
      <c r="AM292">
        <v>13.5</v>
      </c>
      <c r="AN292">
        <v>9</v>
      </c>
      <c r="AO292">
        <v>10.9</v>
      </c>
      <c r="AP292">
        <v>10</v>
      </c>
      <c r="AQ292">
        <v>13.6</v>
      </c>
      <c r="AR292">
        <v>10</v>
      </c>
      <c r="AS292">
        <v>11.8</v>
      </c>
      <c r="AT292">
        <v>10</v>
      </c>
      <c r="AU292">
        <v>19</v>
      </c>
      <c r="AV292">
        <v>19</v>
      </c>
      <c r="AW292">
        <v>20</v>
      </c>
      <c r="AX292">
        <v>19</v>
      </c>
      <c r="AY292">
        <v>10.1</v>
      </c>
      <c r="AZ292">
        <v>10</v>
      </c>
      <c r="BA292">
        <v>11.2</v>
      </c>
      <c r="BB292">
        <v>10</v>
      </c>
    </row>
    <row r="293" spans="1:54" x14ac:dyDescent="0.35">
      <c r="A293" s="1">
        <v>46059.655555555553</v>
      </c>
      <c r="B293">
        <v>21.5</v>
      </c>
      <c r="C293">
        <v>3</v>
      </c>
      <c r="D293">
        <v>20.100000000000001</v>
      </c>
      <c r="E293">
        <v>2</v>
      </c>
      <c r="F293">
        <v>8.1999999999999993</v>
      </c>
      <c r="G293">
        <v>11.7</v>
      </c>
      <c r="H293">
        <v>0</v>
      </c>
      <c r="I293">
        <v>14.7</v>
      </c>
      <c r="J293">
        <v>10.8</v>
      </c>
      <c r="K293">
        <v>0</v>
      </c>
      <c r="L293">
        <v>12.4</v>
      </c>
      <c r="M293">
        <v>15.9</v>
      </c>
      <c r="N293">
        <v>0</v>
      </c>
      <c r="O293">
        <v>13.8</v>
      </c>
      <c r="P293">
        <v>9.3000000000000007</v>
      </c>
      <c r="Q293">
        <v>0</v>
      </c>
      <c r="R293">
        <v>9.6999999999999993</v>
      </c>
      <c r="S293">
        <v>13</v>
      </c>
      <c r="T293">
        <v>0</v>
      </c>
      <c r="U293">
        <v>-19.399999999999999</v>
      </c>
      <c r="V293">
        <v>-21.4</v>
      </c>
      <c r="W293">
        <v>-22</v>
      </c>
      <c r="X293">
        <v>-19.7</v>
      </c>
      <c r="Y293">
        <v>-18.100000000000001</v>
      </c>
      <c r="Z293">
        <v>-22</v>
      </c>
      <c r="AA293">
        <v>-4.3</v>
      </c>
      <c r="AB293">
        <v>-6.5</v>
      </c>
      <c r="AC293">
        <v>-5</v>
      </c>
      <c r="AD293">
        <v>15.7</v>
      </c>
      <c r="AE293">
        <v>13.2</v>
      </c>
      <c r="AF293">
        <v>0</v>
      </c>
      <c r="AG293">
        <v>11.1</v>
      </c>
      <c r="AH293">
        <v>10</v>
      </c>
      <c r="AI293">
        <v>9</v>
      </c>
      <c r="AJ293">
        <v>10</v>
      </c>
      <c r="AK293">
        <v>11.1</v>
      </c>
      <c r="AL293">
        <v>10</v>
      </c>
      <c r="AM293">
        <v>13.5</v>
      </c>
      <c r="AN293">
        <v>9</v>
      </c>
      <c r="AO293">
        <v>10.9</v>
      </c>
      <c r="AP293">
        <v>10</v>
      </c>
      <c r="AQ293">
        <v>13.6</v>
      </c>
      <c r="AR293">
        <v>10</v>
      </c>
      <c r="AS293">
        <v>9.4</v>
      </c>
      <c r="AT293">
        <v>10</v>
      </c>
      <c r="AU293">
        <v>18.899999999999999</v>
      </c>
      <c r="AV293">
        <v>19</v>
      </c>
      <c r="AW293">
        <v>19.899999999999999</v>
      </c>
      <c r="AX293">
        <v>19</v>
      </c>
      <c r="AY293">
        <v>9.8000000000000007</v>
      </c>
      <c r="AZ293">
        <v>10</v>
      </c>
      <c r="BA293">
        <v>11.5</v>
      </c>
      <c r="BB293">
        <v>10</v>
      </c>
    </row>
    <row r="294" spans="1:54" x14ac:dyDescent="0.35">
      <c r="A294" s="1">
        <v>46059.65625</v>
      </c>
      <c r="B294">
        <v>21.5</v>
      </c>
      <c r="C294">
        <v>3</v>
      </c>
      <c r="D294">
        <v>20.100000000000001</v>
      </c>
      <c r="E294">
        <v>2</v>
      </c>
      <c r="F294">
        <v>8.1999999999999993</v>
      </c>
      <c r="G294">
        <v>11.7</v>
      </c>
      <c r="H294">
        <v>0</v>
      </c>
      <c r="I294">
        <v>14.7</v>
      </c>
      <c r="J294">
        <v>10.8</v>
      </c>
      <c r="K294">
        <v>0</v>
      </c>
      <c r="L294">
        <v>12.4</v>
      </c>
      <c r="M294">
        <v>15.9</v>
      </c>
      <c r="N294">
        <v>0</v>
      </c>
      <c r="O294">
        <v>13.8</v>
      </c>
      <c r="P294">
        <v>9.3000000000000007</v>
      </c>
      <c r="Q294">
        <v>0</v>
      </c>
      <c r="R294">
        <v>9.6999999999999993</v>
      </c>
      <c r="S294">
        <v>13</v>
      </c>
      <c r="T294">
        <v>0</v>
      </c>
      <c r="U294">
        <v>-19.399999999999999</v>
      </c>
      <c r="V294">
        <v>-21.5</v>
      </c>
      <c r="W294">
        <v>-22</v>
      </c>
      <c r="X294">
        <v>-19.7</v>
      </c>
      <c r="Y294">
        <v>-18.100000000000001</v>
      </c>
      <c r="Z294">
        <v>-22</v>
      </c>
      <c r="AA294">
        <v>-4.5</v>
      </c>
      <c r="AB294">
        <v>-6.6</v>
      </c>
      <c r="AC294">
        <v>-5</v>
      </c>
      <c r="AD294">
        <v>15.6</v>
      </c>
      <c r="AE294">
        <v>13.1</v>
      </c>
      <c r="AF294">
        <v>0</v>
      </c>
      <c r="AG294">
        <v>10.3</v>
      </c>
      <c r="AH294">
        <v>10</v>
      </c>
      <c r="AI294">
        <v>9.3000000000000007</v>
      </c>
      <c r="AJ294">
        <v>10</v>
      </c>
      <c r="AK294">
        <v>11.3</v>
      </c>
      <c r="AL294">
        <v>10</v>
      </c>
      <c r="AM294">
        <v>13.4</v>
      </c>
      <c r="AN294">
        <v>9</v>
      </c>
      <c r="AO294">
        <v>10.9</v>
      </c>
      <c r="AP294">
        <v>10</v>
      </c>
      <c r="AQ294">
        <v>13.6</v>
      </c>
      <c r="AR294">
        <v>10</v>
      </c>
      <c r="AS294">
        <v>8.1999999999999993</v>
      </c>
      <c r="AT294">
        <v>10</v>
      </c>
      <c r="AU294">
        <v>18.899999999999999</v>
      </c>
      <c r="AV294">
        <v>19</v>
      </c>
      <c r="AW294">
        <v>19.899999999999999</v>
      </c>
      <c r="AX294">
        <v>19</v>
      </c>
      <c r="AY294">
        <v>9.9</v>
      </c>
      <c r="AZ294">
        <v>10</v>
      </c>
      <c r="BA294">
        <v>11.8</v>
      </c>
      <c r="BB294">
        <v>10</v>
      </c>
    </row>
    <row r="295" spans="1:54" x14ac:dyDescent="0.35">
      <c r="A295" s="1">
        <v>46059.656944444447</v>
      </c>
      <c r="B295">
        <v>21.5</v>
      </c>
      <c r="C295">
        <v>3</v>
      </c>
      <c r="D295">
        <v>20.100000000000001</v>
      </c>
      <c r="E295">
        <v>2</v>
      </c>
      <c r="F295">
        <v>8.1999999999999993</v>
      </c>
      <c r="G295">
        <v>11.7</v>
      </c>
      <c r="H295">
        <v>0</v>
      </c>
      <c r="I295">
        <v>14.7</v>
      </c>
      <c r="J295">
        <v>10.8</v>
      </c>
      <c r="K295">
        <v>0</v>
      </c>
      <c r="L295">
        <v>12.4</v>
      </c>
      <c r="M295">
        <v>15.9</v>
      </c>
      <c r="N295">
        <v>0</v>
      </c>
      <c r="O295">
        <v>13.8</v>
      </c>
      <c r="P295">
        <v>9.3000000000000007</v>
      </c>
      <c r="Q295">
        <v>0</v>
      </c>
      <c r="R295">
        <v>9.6999999999999993</v>
      </c>
      <c r="S295">
        <v>13</v>
      </c>
      <c r="T295">
        <v>0</v>
      </c>
      <c r="U295">
        <v>-19.399999999999999</v>
      </c>
      <c r="V295">
        <v>-21.4</v>
      </c>
      <c r="W295">
        <v>-22</v>
      </c>
      <c r="X295">
        <v>-19.7</v>
      </c>
      <c r="Y295">
        <v>-18.100000000000001</v>
      </c>
      <c r="Z295">
        <v>-22</v>
      </c>
      <c r="AA295">
        <v>-4.7</v>
      </c>
      <c r="AB295">
        <v>-7</v>
      </c>
      <c r="AC295">
        <v>-5</v>
      </c>
      <c r="AD295">
        <v>15.6</v>
      </c>
      <c r="AE295">
        <v>13.1</v>
      </c>
      <c r="AF295">
        <v>0</v>
      </c>
      <c r="AG295">
        <v>9.8000000000000007</v>
      </c>
      <c r="AH295">
        <v>10</v>
      </c>
      <c r="AI295">
        <v>9.6999999999999993</v>
      </c>
      <c r="AJ295">
        <v>10</v>
      </c>
      <c r="AK295">
        <v>11.4</v>
      </c>
      <c r="AL295">
        <v>10</v>
      </c>
      <c r="AM295">
        <v>13.4</v>
      </c>
      <c r="AN295">
        <v>9</v>
      </c>
      <c r="AO295">
        <v>10.8</v>
      </c>
      <c r="AP295">
        <v>10</v>
      </c>
      <c r="AQ295">
        <v>13.6</v>
      </c>
      <c r="AR295">
        <v>10</v>
      </c>
      <c r="AS295">
        <v>8.4</v>
      </c>
      <c r="AT295">
        <v>10</v>
      </c>
      <c r="AU295">
        <v>18.899999999999999</v>
      </c>
      <c r="AV295">
        <v>19</v>
      </c>
      <c r="AW295">
        <v>19.899999999999999</v>
      </c>
      <c r="AX295">
        <v>19</v>
      </c>
      <c r="AY295">
        <v>10.3</v>
      </c>
      <c r="AZ295">
        <v>10</v>
      </c>
      <c r="BA295">
        <v>12</v>
      </c>
      <c r="BB295">
        <v>10</v>
      </c>
    </row>
    <row r="296" spans="1:54" x14ac:dyDescent="0.35">
      <c r="A296" s="1">
        <v>46059.657638888886</v>
      </c>
      <c r="B296">
        <v>21.5</v>
      </c>
      <c r="C296">
        <v>3</v>
      </c>
      <c r="D296">
        <v>20.100000000000001</v>
      </c>
      <c r="E296">
        <v>2</v>
      </c>
      <c r="F296">
        <v>8.1999999999999993</v>
      </c>
      <c r="G296">
        <v>11.7</v>
      </c>
      <c r="H296">
        <v>0</v>
      </c>
      <c r="I296">
        <v>14.7</v>
      </c>
      <c r="J296">
        <v>10.8</v>
      </c>
      <c r="K296">
        <v>0</v>
      </c>
      <c r="L296">
        <v>12.4</v>
      </c>
      <c r="M296">
        <v>15.9</v>
      </c>
      <c r="N296">
        <v>0</v>
      </c>
      <c r="O296">
        <v>13.8</v>
      </c>
      <c r="P296">
        <v>9.3000000000000007</v>
      </c>
      <c r="Q296">
        <v>0</v>
      </c>
      <c r="R296">
        <v>9.6999999999999993</v>
      </c>
      <c r="S296">
        <v>13</v>
      </c>
      <c r="T296">
        <v>0</v>
      </c>
      <c r="U296">
        <v>-19.399999999999999</v>
      </c>
      <c r="V296">
        <v>-21.4</v>
      </c>
      <c r="W296">
        <v>-22</v>
      </c>
      <c r="X296">
        <v>-19.7</v>
      </c>
      <c r="Y296">
        <v>-18.100000000000001</v>
      </c>
      <c r="Z296">
        <v>-22</v>
      </c>
      <c r="AA296">
        <v>-4.8</v>
      </c>
      <c r="AB296">
        <v>-7</v>
      </c>
      <c r="AC296">
        <v>-5</v>
      </c>
      <c r="AD296">
        <v>15.5</v>
      </c>
      <c r="AE296">
        <v>13.1</v>
      </c>
      <c r="AF296">
        <v>0</v>
      </c>
      <c r="AG296">
        <v>9.6999999999999993</v>
      </c>
      <c r="AH296">
        <v>10</v>
      </c>
      <c r="AI296">
        <v>9.9</v>
      </c>
      <c r="AJ296">
        <v>10</v>
      </c>
      <c r="AK296">
        <v>11.4</v>
      </c>
      <c r="AL296">
        <v>10</v>
      </c>
      <c r="AM296">
        <v>13.4</v>
      </c>
      <c r="AN296">
        <v>9</v>
      </c>
      <c r="AO296">
        <v>10.7</v>
      </c>
      <c r="AP296">
        <v>10</v>
      </c>
      <c r="AQ296">
        <v>13.5</v>
      </c>
      <c r="AR296">
        <v>10</v>
      </c>
      <c r="AS296">
        <v>9.1</v>
      </c>
      <c r="AT296">
        <v>10</v>
      </c>
      <c r="AU296">
        <v>18.899999999999999</v>
      </c>
      <c r="AV296">
        <v>19</v>
      </c>
      <c r="AW296">
        <v>19.8</v>
      </c>
      <c r="AX296">
        <v>19</v>
      </c>
      <c r="AY296">
        <v>10.6</v>
      </c>
      <c r="AZ296">
        <v>10</v>
      </c>
      <c r="BA296">
        <v>11.8</v>
      </c>
      <c r="BB296">
        <v>10</v>
      </c>
    </row>
    <row r="297" spans="1:54" x14ac:dyDescent="0.35">
      <c r="A297" s="1">
        <v>46059.658333333333</v>
      </c>
      <c r="B297">
        <v>21.5</v>
      </c>
      <c r="C297">
        <v>3</v>
      </c>
      <c r="D297">
        <v>20.100000000000001</v>
      </c>
      <c r="E297">
        <v>2</v>
      </c>
      <c r="F297">
        <v>8.3000000000000007</v>
      </c>
      <c r="G297">
        <v>11.7</v>
      </c>
      <c r="H297">
        <v>0</v>
      </c>
      <c r="I297">
        <v>14.8</v>
      </c>
      <c r="J297">
        <v>10.8</v>
      </c>
      <c r="K297">
        <v>0</v>
      </c>
      <c r="L297">
        <v>12.4</v>
      </c>
      <c r="M297">
        <v>15.9</v>
      </c>
      <c r="N297">
        <v>0</v>
      </c>
      <c r="O297">
        <v>13.8</v>
      </c>
      <c r="P297">
        <v>9.3000000000000007</v>
      </c>
      <c r="Q297">
        <v>0</v>
      </c>
      <c r="R297">
        <v>9.6999999999999993</v>
      </c>
      <c r="S297">
        <v>13</v>
      </c>
      <c r="T297">
        <v>0</v>
      </c>
      <c r="U297">
        <v>-19.399999999999999</v>
      </c>
      <c r="V297">
        <v>-21.6</v>
      </c>
      <c r="W297">
        <v>-22</v>
      </c>
      <c r="X297">
        <v>-19.7</v>
      </c>
      <c r="Y297">
        <v>-18.100000000000001</v>
      </c>
      <c r="Z297">
        <v>-22</v>
      </c>
      <c r="AA297">
        <v>-5</v>
      </c>
      <c r="AB297">
        <v>-7.3</v>
      </c>
      <c r="AC297">
        <v>-5</v>
      </c>
      <c r="AD297">
        <v>15.5</v>
      </c>
      <c r="AE297">
        <v>13.1</v>
      </c>
      <c r="AF297">
        <v>0</v>
      </c>
      <c r="AG297">
        <v>10</v>
      </c>
      <c r="AH297">
        <v>10</v>
      </c>
      <c r="AI297">
        <v>10.199999999999999</v>
      </c>
      <c r="AJ297">
        <v>10</v>
      </c>
      <c r="AK297">
        <v>11.5</v>
      </c>
      <c r="AL297">
        <v>10</v>
      </c>
      <c r="AM297">
        <v>13.3</v>
      </c>
      <c r="AN297">
        <v>9</v>
      </c>
      <c r="AO297">
        <v>10.6</v>
      </c>
      <c r="AP297">
        <v>10</v>
      </c>
      <c r="AQ297">
        <v>13.2</v>
      </c>
      <c r="AR297">
        <v>10</v>
      </c>
      <c r="AS297">
        <v>9.6999999999999993</v>
      </c>
      <c r="AT297">
        <v>10</v>
      </c>
      <c r="AU297">
        <v>18.899999999999999</v>
      </c>
      <c r="AV297">
        <v>19</v>
      </c>
      <c r="AW297">
        <v>19.8</v>
      </c>
      <c r="AX297">
        <v>19</v>
      </c>
      <c r="AY297">
        <v>11</v>
      </c>
      <c r="AZ297">
        <v>10</v>
      </c>
      <c r="BA297">
        <v>11</v>
      </c>
      <c r="BB297">
        <v>10</v>
      </c>
    </row>
    <row r="298" spans="1:54" x14ac:dyDescent="0.35">
      <c r="A298" s="1">
        <v>46059.65902777778</v>
      </c>
      <c r="B298">
        <v>21.5</v>
      </c>
      <c r="C298">
        <v>3</v>
      </c>
      <c r="D298">
        <v>20.100000000000001</v>
      </c>
      <c r="E298">
        <v>2</v>
      </c>
      <c r="F298">
        <v>8.3000000000000007</v>
      </c>
      <c r="G298">
        <v>11.7</v>
      </c>
      <c r="H298">
        <v>0</v>
      </c>
      <c r="I298">
        <v>14.8</v>
      </c>
      <c r="J298">
        <v>10.8</v>
      </c>
      <c r="K298">
        <v>0</v>
      </c>
      <c r="L298">
        <v>12.5</v>
      </c>
      <c r="M298">
        <v>15.9</v>
      </c>
      <c r="N298">
        <v>0</v>
      </c>
      <c r="O298">
        <v>13.8</v>
      </c>
      <c r="P298">
        <v>9.3000000000000007</v>
      </c>
      <c r="Q298">
        <v>0</v>
      </c>
      <c r="R298">
        <v>9.6999999999999993</v>
      </c>
      <c r="S298">
        <v>13</v>
      </c>
      <c r="T298">
        <v>0</v>
      </c>
      <c r="U298">
        <v>-19.399999999999999</v>
      </c>
      <c r="V298">
        <v>-21.3</v>
      </c>
      <c r="W298">
        <v>-22</v>
      </c>
      <c r="X298">
        <v>-19.7</v>
      </c>
      <c r="Y298">
        <v>-18.100000000000001</v>
      </c>
      <c r="Z298">
        <v>-22</v>
      </c>
      <c r="AA298">
        <v>-4.4000000000000004</v>
      </c>
      <c r="AB298">
        <v>-5.0999999999999996</v>
      </c>
      <c r="AC298">
        <v>-5</v>
      </c>
      <c r="AD298">
        <v>15.4</v>
      </c>
      <c r="AE298">
        <v>13</v>
      </c>
      <c r="AF298">
        <v>0</v>
      </c>
      <c r="AG298">
        <v>10.3</v>
      </c>
      <c r="AH298">
        <v>10</v>
      </c>
      <c r="AI298">
        <v>10.4</v>
      </c>
      <c r="AJ298">
        <v>10</v>
      </c>
      <c r="AK298">
        <v>11.5</v>
      </c>
      <c r="AL298">
        <v>10</v>
      </c>
      <c r="AM298">
        <v>13.3</v>
      </c>
      <c r="AN298">
        <v>9</v>
      </c>
      <c r="AO298">
        <v>10.6</v>
      </c>
      <c r="AP298">
        <v>10</v>
      </c>
      <c r="AQ298">
        <v>13.1</v>
      </c>
      <c r="AR298">
        <v>10</v>
      </c>
      <c r="AS298">
        <v>10.199999999999999</v>
      </c>
      <c r="AT298">
        <v>10</v>
      </c>
      <c r="AU298">
        <v>18.899999999999999</v>
      </c>
      <c r="AV298">
        <v>19</v>
      </c>
      <c r="AW298">
        <v>19.899999999999999</v>
      </c>
      <c r="AX298">
        <v>19</v>
      </c>
      <c r="AY298">
        <v>11.2</v>
      </c>
      <c r="AZ298">
        <v>10</v>
      </c>
      <c r="BA298">
        <v>10.3</v>
      </c>
      <c r="BB298">
        <v>10</v>
      </c>
    </row>
    <row r="299" spans="1:54" x14ac:dyDescent="0.35">
      <c r="A299" s="1">
        <v>46059.659722222219</v>
      </c>
      <c r="B299">
        <v>21.5</v>
      </c>
      <c r="C299">
        <v>3</v>
      </c>
      <c r="D299">
        <v>20.100000000000001</v>
      </c>
      <c r="E299">
        <v>2</v>
      </c>
      <c r="F299">
        <v>8.3000000000000007</v>
      </c>
      <c r="G299">
        <v>11.8</v>
      </c>
      <c r="H299">
        <v>0</v>
      </c>
      <c r="I299">
        <v>14.8</v>
      </c>
      <c r="J299">
        <v>10.8</v>
      </c>
      <c r="K299">
        <v>0</v>
      </c>
      <c r="L299">
        <v>12.5</v>
      </c>
      <c r="M299">
        <v>15.9</v>
      </c>
      <c r="N299">
        <v>0</v>
      </c>
      <c r="O299">
        <v>13.8</v>
      </c>
      <c r="P299">
        <v>9.3000000000000007</v>
      </c>
      <c r="Q299">
        <v>0</v>
      </c>
      <c r="R299">
        <v>9.6999999999999993</v>
      </c>
      <c r="S299">
        <v>13</v>
      </c>
      <c r="T299">
        <v>0</v>
      </c>
      <c r="U299">
        <v>-19.399999999999999</v>
      </c>
      <c r="V299">
        <v>-21.8</v>
      </c>
      <c r="W299">
        <v>-22</v>
      </c>
      <c r="X299">
        <v>-19.8</v>
      </c>
      <c r="Y299">
        <v>-18.100000000000001</v>
      </c>
      <c r="Z299">
        <v>-22</v>
      </c>
      <c r="AA299">
        <v>-3.3</v>
      </c>
      <c r="AB299">
        <v>-3.4</v>
      </c>
      <c r="AC299">
        <v>-5</v>
      </c>
      <c r="AD299">
        <v>15.4</v>
      </c>
      <c r="AE299">
        <v>13</v>
      </c>
      <c r="AF299">
        <v>0</v>
      </c>
      <c r="AG299">
        <v>10.5</v>
      </c>
      <c r="AH299">
        <v>10</v>
      </c>
      <c r="AI299">
        <v>10.6</v>
      </c>
      <c r="AJ299">
        <v>10</v>
      </c>
      <c r="AK299">
        <v>11.6</v>
      </c>
      <c r="AL299">
        <v>10</v>
      </c>
      <c r="AM299">
        <v>13.2</v>
      </c>
      <c r="AN299">
        <v>9</v>
      </c>
      <c r="AO299">
        <v>10.5</v>
      </c>
      <c r="AP299">
        <v>10</v>
      </c>
      <c r="AQ299">
        <v>13.1</v>
      </c>
      <c r="AR299">
        <v>10</v>
      </c>
      <c r="AS299">
        <v>10.5</v>
      </c>
      <c r="AT299">
        <v>10</v>
      </c>
      <c r="AU299">
        <v>18.899999999999999</v>
      </c>
      <c r="AV299">
        <v>19</v>
      </c>
      <c r="AW299">
        <v>19.899999999999999</v>
      </c>
      <c r="AX299">
        <v>19</v>
      </c>
      <c r="AY299">
        <v>11.5</v>
      </c>
      <c r="AZ299">
        <v>10</v>
      </c>
      <c r="BA299">
        <v>9.8000000000000007</v>
      </c>
      <c r="BB299">
        <v>10</v>
      </c>
    </row>
    <row r="300" spans="1:54" x14ac:dyDescent="0.35">
      <c r="A300" s="1">
        <v>46059.660416666666</v>
      </c>
      <c r="B300">
        <v>21.5</v>
      </c>
      <c r="C300">
        <v>3</v>
      </c>
      <c r="D300">
        <v>20.100000000000001</v>
      </c>
      <c r="E300">
        <v>2</v>
      </c>
      <c r="F300">
        <v>8.3000000000000007</v>
      </c>
      <c r="G300">
        <v>11.8</v>
      </c>
      <c r="H300">
        <v>0</v>
      </c>
      <c r="I300">
        <v>14.8</v>
      </c>
      <c r="J300">
        <v>10.8</v>
      </c>
      <c r="K300">
        <v>0</v>
      </c>
      <c r="L300">
        <v>12.5</v>
      </c>
      <c r="M300">
        <v>15.9</v>
      </c>
      <c r="N300">
        <v>0</v>
      </c>
      <c r="O300">
        <v>13.8</v>
      </c>
      <c r="P300">
        <v>9.4</v>
      </c>
      <c r="Q300">
        <v>0</v>
      </c>
      <c r="R300">
        <v>9.6999999999999993</v>
      </c>
      <c r="S300">
        <v>13</v>
      </c>
      <c r="T300">
        <v>0</v>
      </c>
      <c r="U300">
        <v>-19.399999999999999</v>
      </c>
      <c r="V300">
        <v>-21.6</v>
      </c>
      <c r="W300">
        <v>-22</v>
      </c>
      <c r="X300">
        <v>-19.8</v>
      </c>
      <c r="Y300">
        <v>-18.2</v>
      </c>
      <c r="Z300">
        <v>-22</v>
      </c>
      <c r="AA300">
        <v>-2.4</v>
      </c>
      <c r="AB300">
        <v>-2.4</v>
      </c>
      <c r="AC300">
        <v>-5</v>
      </c>
      <c r="AD300">
        <v>15.3</v>
      </c>
      <c r="AE300">
        <v>13</v>
      </c>
      <c r="AF300">
        <v>0</v>
      </c>
      <c r="AG300">
        <v>10.8</v>
      </c>
      <c r="AH300">
        <v>10</v>
      </c>
      <c r="AI300">
        <v>10.8</v>
      </c>
      <c r="AJ300">
        <v>10</v>
      </c>
      <c r="AK300">
        <v>11.6</v>
      </c>
      <c r="AL300">
        <v>10</v>
      </c>
      <c r="AM300">
        <v>13.2</v>
      </c>
      <c r="AN300">
        <v>9</v>
      </c>
      <c r="AO300">
        <v>10.5</v>
      </c>
      <c r="AP300">
        <v>10</v>
      </c>
      <c r="AQ300">
        <v>13</v>
      </c>
      <c r="AR300">
        <v>10</v>
      </c>
      <c r="AS300">
        <v>10.8</v>
      </c>
      <c r="AT300">
        <v>10</v>
      </c>
      <c r="AU300">
        <v>18.899999999999999</v>
      </c>
      <c r="AV300">
        <v>19</v>
      </c>
      <c r="AW300">
        <v>19.899999999999999</v>
      </c>
      <c r="AX300">
        <v>19</v>
      </c>
      <c r="AY300">
        <v>11.7</v>
      </c>
      <c r="AZ300">
        <v>10</v>
      </c>
      <c r="BA300">
        <v>9.8000000000000007</v>
      </c>
      <c r="BB300">
        <v>10</v>
      </c>
    </row>
    <row r="301" spans="1:54" x14ac:dyDescent="0.35">
      <c r="A301" s="1">
        <v>46059.661111111112</v>
      </c>
      <c r="B301">
        <v>21.5</v>
      </c>
      <c r="C301">
        <v>3</v>
      </c>
      <c r="D301">
        <v>20.100000000000001</v>
      </c>
      <c r="E301">
        <v>2</v>
      </c>
      <c r="F301">
        <v>8.3000000000000007</v>
      </c>
      <c r="G301">
        <v>11.8</v>
      </c>
      <c r="H301">
        <v>0</v>
      </c>
      <c r="I301">
        <v>14.8</v>
      </c>
      <c r="J301">
        <v>10.8</v>
      </c>
      <c r="K301">
        <v>0</v>
      </c>
      <c r="L301">
        <v>12.5</v>
      </c>
      <c r="M301">
        <v>15.9</v>
      </c>
      <c r="N301">
        <v>0</v>
      </c>
      <c r="O301">
        <v>13.8</v>
      </c>
      <c r="P301">
        <v>9.4</v>
      </c>
      <c r="Q301">
        <v>0</v>
      </c>
      <c r="R301">
        <v>9.6999999999999993</v>
      </c>
      <c r="S301">
        <v>13</v>
      </c>
      <c r="T301">
        <v>0</v>
      </c>
      <c r="U301">
        <v>-19.5</v>
      </c>
      <c r="V301">
        <v>-21.6</v>
      </c>
      <c r="W301">
        <v>-22</v>
      </c>
      <c r="X301">
        <v>-19.8</v>
      </c>
      <c r="Y301">
        <v>-18.2</v>
      </c>
      <c r="Z301">
        <v>-22</v>
      </c>
      <c r="AA301">
        <v>-2.2000000000000002</v>
      </c>
      <c r="AB301">
        <v>-3</v>
      </c>
      <c r="AC301">
        <v>-5</v>
      </c>
      <c r="AD301">
        <v>15.3</v>
      </c>
      <c r="AE301">
        <v>12.9</v>
      </c>
      <c r="AF301">
        <v>0</v>
      </c>
      <c r="AG301">
        <v>11</v>
      </c>
      <c r="AH301">
        <v>10</v>
      </c>
      <c r="AI301">
        <v>10.9</v>
      </c>
      <c r="AJ301">
        <v>10</v>
      </c>
      <c r="AK301">
        <v>11.6</v>
      </c>
      <c r="AL301">
        <v>10</v>
      </c>
      <c r="AM301">
        <v>13.2</v>
      </c>
      <c r="AN301">
        <v>9</v>
      </c>
      <c r="AO301">
        <v>10.4</v>
      </c>
      <c r="AP301">
        <v>10</v>
      </c>
      <c r="AQ301">
        <v>12.9</v>
      </c>
      <c r="AR301">
        <v>10</v>
      </c>
      <c r="AS301">
        <v>11.1</v>
      </c>
      <c r="AT301">
        <v>10</v>
      </c>
      <c r="AU301">
        <v>18.899999999999999</v>
      </c>
      <c r="AV301">
        <v>19</v>
      </c>
      <c r="AW301">
        <v>19.899999999999999</v>
      </c>
      <c r="AX301">
        <v>19</v>
      </c>
      <c r="AY301">
        <v>11.9</v>
      </c>
      <c r="AZ301">
        <v>10</v>
      </c>
      <c r="BA301">
        <v>10.199999999999999</v>
      </c>
      <c r="BB301">
        <v>10</v>
      </c>
    </row>
    <row r="302" spans="1:54" x14ac:dyDescent="0.35">
      <c r="A302" s="1">
        <v>46059.661805555559</v>
      </c>
      <c r="B302">
        <v>21.5</v>
      </c>
      <c r="C302">
        <v>3</v>
      </c>
      <c r="D302">
        <v>20.100000000000001</v>
      </c>
      <c r="E302">
        <v>2</v>
      </c>
      <c r="F302">
        <v>8.3000000000000007</v>
      </c>
      <c r="G302">
        <v>11.8</v>
      </c>
      <c r="H302">
        <v>0</v>
      </c>
      <c r="I302">
        <v>14.8</v>
      </c>
      <c r="J302">
        <v>10.8</v>
      </c>
      <c r="K302">
        <v>0</v>
      </c>
      <c r="L302">
        <v>12.5</v>
      </c>
      <c r="M302">
        <v>15.9</v>
      </c>
      <c r="N302">
        <v>0</v>
      </c>
      <c r="O302">
        <v>13.8</v>
      </c>
      <c r="P302">
        <v>9.4</v>
      </c>
      <c r="Q302">
        <v>0</v>
      </c>
      <c r="R302">
        <v>9.6999999999999993</v>
      </c>
      <c r="S302">
        <v>13</v>
      </c>
      <c r="T302">
        <v>0</v>
      </c>
      <c r="U302">
        <v>-19.5</v>
      </c>
      <c r="V302">
        <v>-21.6</v>
      </c>
      <c r="W302">
        <v>-22</v>
      </c>
      <c r="X302">
        <v>-19.8</v>
      </c>
      <c r="Y302">
        <v>-18.2</v>
      </c>
      <c r="Z302">
        <v>-22</v>
      </c>
      <c r="AA302">
        <v>-2.4</v>
      </c>
      <c r="AB302">
        <v>-3.9</v>
      </c>
      <c r="AC302">
        <v>-5</v>
      </c>
      <c r="AD302">
        <v>15.2</v>
      </c>
      <c r="AE302">
        <v>12.9</v>
      </c>
      <c r="AF302">
        <v>0</v>
      </c>
      <c r="AG302">
        <v>11.2</v>
      </c>
      <c r="AH302">
        <v>10</v>
      </c>
      <c r="AI302">
        <v>11.1</v>
      </c>
      <c r="AJ302">
        <v>10</v>
      </c>
      <c r="AK302">
        <v>11.6</v>
      </c>
      <c r="AL302">
        <v>10</v>
      </c>
      <c r="AM302">
        <v>13.2</v>
      </c>
      <c r="AN302">
        <v>9</v>
      </c>
      <c r="AO302">
        <v>10.3</v>
      </c>
      <c r="AP302">
        <v>10</v>
      </c>
      <c r="AQ302">
        <v>12.9</v>
      </c>
      <c r="AR302">
        <v>10</v>
      </c>
      <c r="AS302">
        <v>11.4</v>
      </c>
      <c r="AT302">
        <v>10</v>
      </c>
      <c r="AU302">
        <v>18.899999999999999</v>
      </c>
      <c r="AV302">
        <v>19</v>
      </c>
      <c r="AW302">
        <v>19.899999999999999</v>
      </c>
      <c r="AX302">
        <v>19</v>
      </c>
      <c r="AY302">
        <v>12</v>
      </c>
      <c r="AZ302">
        <v>10</v>
      </c>
      <c r="BA302">
        <v>10.6</v>
      </c>
      <c r="BB302">
        <v>10</v>
      </c>
    </row>
    <row r="303" spans="1:54" x14ac:dyDescent="0.35">
      <c r="A303" s="1">
        <v>46059.663194444445</v>
      </c>
      <c r="B303">
        <v>21.5</v>
      </c>
      <c r="C303">
        <v>3</v>
      </c>
      <c r="D303">
        <v>20.100000000000001</v>
      </c>
      <c r="E303">
        <v>2</v>
      </c>
      <c r="F303">
        <v>8.3000000000000007</v>
      </c>
      <c r="G303">
        <v>11.8</v>
      </c>
      <c r="H303">
        <v>0</v>
      </c>
      <c r="I303">
        <v>14.8</v>
      </c>
      <c r="J303">
        <v>10.8</v>
      </c>
      <c r="K303">
        <v>0</v>
      </c>
      <c r="L303">
        <v>12.5</v>
      </c>
      <c r="M303">
        <v>15.9</v>
      </c>
      <c r="N303">
        <v>0</v>
      </c>
      <c r="O303">
        <v>13.9</v>
      </c>
      <c r="P303">
        <v>9.4</v>
      </c>
      <c r="Q303">
        <v>0</v>
      </c>
      <c r="R303">
        <v>9.6999999999999993</v>
      </c>
      <c r="S303">
        <v>13</v>
      </c>
      <c r="T303">
        <v>0</v>
      </c>
      <c r="U303">
        <v>-19.5</v>
      </c>
      <c r="V303">
        <v>-21.9</v>
      </c>
      <c r="W303">
        <v>-22</v>
      </c>
      <c r="X303">
        <v>-19.8</v>
      </c>
      <c r="Y303">
        <v>-18.2</v>
      </c>
      <c r="Z303">
        <v>-22</v>
      </c>
      <c r="AA303">
        <v>-3.4</v>
      </c>
      <c r="AB303">
        <v>-5.3</v>
      </c>
      <c r="AC303">
        <v>-5</v>
      </c>
      <c r="AD303">
        <v>15.2</v>
      </c>
      <c r="AE303">
        <v>12.8</v>
      </c>
      <c r="AF303">
        <v>0</v>
      </c>
      <c r="AG303">
        <v>11.5</v>
      </c>
      <c r="AH303">
        <v>10</v>
      </c>
      <c r="AI303">
        <v>11.3</v>
      </c>
      <c r="AJ303">
        <v>10</v>
      </c>
      <c r="AK303">
        <v>11.7</v>
      </c>
      <c r="AL303">
        <v>10</v>
      </c>
      <c r="AM303">
        <v>13.1</v>
      </c>
      <c r="AN303">
        <v>9</v>
      </c>
      <c r="AO303">
        <v>10.3</v>
      </c>
      <c r="AP303">
        <v>10</v>
      </c>
      <c r="AQ303">
        <v>12.6</v>
      </c>
      <c r="AR303">
        <v>10</v>
      </c>
      <c r="AS303">
        <v>11.8</v>
      </c>
      <c r="AT303">
        <v>10</v>
      </c>
      <c r="AU303">
        <v>18.899999999999999</v>
      </c>
      <c r="AV303">
        <v>19</v>
      </c>
      <c r="AW303">
        <v>19.899999999999999</v>
      </c>
      <c r="AX303">
        <v>19</v>
      </c>
      <c r="AY303">
        <v>10.7</v>
      </c>
      <c r="AZ303">
        <v>10</v>
      </c>
      <c r="BA303">
        <v>11.3</v>
      </c>
      <c r="BB303">
        <v>10</v>
      </c>
    </row>
    <row r="304" spans="1:54" x14ac:dyDescent="0.35">
      <c r="A304" s="1">
        <v>46059.663888888892</v>
      </c>
      <c r="B304">
        <v>21.5</v>
      </c>
      <c r="C304">
        <v>3</v>
      </c>
      <c r="D304">
        <v>20.100000000000001</v>
      </c>
      <c r="E304">
        <v>2</v>
      </c>
      <c r="F304">
        <v>8.3000000000000007</v>
      </c>
      <c r="G304">
        <v>11.8</v>
      </c>
      <c r="H304">
        <v>0</v>
      </c>
      <c r="I304">
        <v>14.8</v>
      </c>
      <c r="J304">
        <v>10.8</v>
      </c>
      <c r="K304">
        <v>0</v>
      </c>
      <c r="L304">
        <v>12.5</v>
      </c>
      <c r="M304">
        <v>15.9</v>
      </c>
      <c r="N304">
        <v>0</v>
      </c>
      <c r="O304">
        <v>13.9</v>
      </c>
      <c r="P304">
        <v>9.4</v>
      </c>
      <c r="Q304">
        <v>0</v>
      </c>
      <c r="R304">
        <v>9.6999999999999993</v>
      </c>
      <c r="S304">
        <v>13</v>
      </c>
      <c r="T304">
        <v>0</v>
      </c>
      <c r="U304">
        <v>-19.5</v>
      </c>
      <c r="V304">
        <v>-21.5</v>
      </c>
      <c r="W304">
        <v>-22</v>
      </c>
      <c r="X304">
        <v>-19.8</v>
      </c>
      <c r="Y304">
        <v>-18.2</v>
      </c>
      <c r="Z304">
        <v>-22</v>
      </c>
      <c r="AA304">
        <v>-3.7</v>
      </c>
      <c r="AB304">
        <v>-5.8</v>
      </c>
      <c r="AC304">
        <v>-5</v>
      </c>
      <c r="AD304">
        <v>15.1</v>
      </c>
      <c r="AE304">
        <v>12.8</v>
      </c>
      <c r="AF304">
        <v>0</v>
      </c>
      <c r="AG304">
        <v>11.6</v>
      </c>
      <c r="AH304">
        <v>10</v>
      </c>
      <c r="AI304">
        <v>11.4</v>
      </c>
      <c r="AJ304">
        <v>10</v>
      </c>
      <c r="AK304">
        <v>11.7</v>
      </c>
      <c r="AL304">
        <v>10</v>
      </c>
      <c r="AM304">
        <v>13</v>
      </c>
      <c r="AN304">
        <v>9</v>
      </c>
      <c r="AO304">
        <v>10.199999999999999</v>
      </c>
      <c r="AP304">
        <v>10</v>
      </c>
      <c r="AQ304">
        <v>12.6</v>
      </c>
      <c r="AR304">
        <v>10</v>
      </c>
      <c r="AS304">
        <v>12</v>
      </c>
      <c r="AT304">
        <v>10</v>
      </c>
      <c r="AU304">
        <v>18.899999999999999</v>
      </c>
      <c r="AV304">
        <v>19</v>
      </c>
      <c r="AW304">
        <v>19.899999999999999</v>
      </c>
      <c r="AX304">
        <v>19</v>
      </c>
      <c r="AY304">
        <v>9.9</v>
      </c>
      <c r="AZ304">
        <v>10</v>
      </c>
      <c r="BA304">
        <v>11.6</v>
      </c>
      <c r="BB304">
        <v>10</v>
      </c>
    </row>
    <row r="305" spans="1:54" x14ac:dyDescent="0.35">
      <c r="A305" s="1">
        <v>46059.664583333331</v>
      </c>
      <c r="B305">
        <v>21.5</v>
      </c>
      <c r="C305">
        <v>3</v>
      </c>
      <c r="D305">
        <v>20.100000000000001</v>
      </c>
      <c r="E305">
        <v>2</v>
      </c>
      <c r="F305">
        <v>8.3000000000000007</v>
      </c>
      <c r="G305">
        <v>11.8</v>
      </c>
      <c r="H305">
        <v>0</v>
      </c>
      <c r="I305">
        <v>14.8</v>
      </c>
      <c r="J305">
        <v>10.8</v>
      </c>
      <c r="K305">
        <v>0</v>
      </c>
      <c r="L305">
        <v>12.5</v>
      </c>
      <c r="M305">
        <v>15.9</v>
      </c>
      <c r="N305">
        <v>0</v>
      </c>
      <c r="O305">
        <v>13.9</v>
      </c>
      <c r="P305">
        <v>9.4</v>
      </c>
      <c r="Q305">
        <v>0</v>
      </c>
      <c r="R305">
        <v>9.6999999999999993</v>
      </c>
      <c r="S305">
        <v>13</v>
      </c>
      <c r="T305">
        <v>0</v>
      </c>
      <c r="U305">
        <v>-19.5</v>
      </c>
      <c r="V305">
        <v>-21.9</v>
      </c>
      <c r="W305">
        <v>-22</v>
      </c>
      <c r="X305">
        <v>-19.8</v>
      </c>
      <c r="Y305">
        <v>-18.2</v>
      </c>
      <c r="Z305">
        <v>-22</v>
      </c>
      <c r="AA305">
        <v>-4</v>
      </c>
      <c r="AB305">
        <v>-6.1</v>
      </c>
      <c r="AC305">
        <v>-5</v>
      </c>
      <c r="AD305">
        <v>15.1</v>
      </c>
      <c r="AE305">
        <v>12.8</v>
      </c>
      <c r="AF305">
        <v>0</v>
      </c>
      <c r="AG305">
        <v>11.7</v>
      </c>
      <c r="AH305">
        <v>10</v>
      </c>
      <c r="AI305">
        <v>11.5</v>
      </c>
      <c r="AJ305">
        <v>10</v>
      </c>
      <c r="AK305">
        <v>11.7</v>
      </c>
      <c r="AL305">
        <v>10</v>
      </c>
      <c r="AM305">
        <v>13</v>
      </c>
      <c r="AN305">
        <v>9</v>
      </c>
      <c r="AO305">
        <v>10.199999999999999</v>
      </c>
      <c r="AP305">
        <v>10</v>
      </c>
      <c r="AQ305">
        <v>12.5</v>
      </c>
      <c r="AR305">
        <v>10</v>
      </c>
      <c r="AS305">
        <v>11</v>
      </c>
      <c r="AT305">
        <v>10</v>
      </c>
      <c r="AU305">
        <v>18.899999999999999</v>
      </c>
      <c r="AV305">
        <v>19</v>
      </c>
      <c r="AW305">
        <v>19.899999999999999</v>
      </c>
      <c r="AX305">
        <v>19</v>
      </c>
      <c r="AY305">
        <v>9.8000000000000007</v>
      </c>
      <c r="AZ305">
        <v>10</v>
      </c>
      <c r="BA305">
        <v>11.8</v>
      </c>
      <c r="BB305">
        <v>10</v>
      </c>
    </row>
    <row r="306" spans="1:54" x14ac:dyDescent="0.35">
      <c r="A306" s="1">
        <v>46059.665277777778</v>
      </c>
      <c r="B306">
        <v>21.5</v>
      </c>
      <c r="C306">
        <v>3</v>
      </c>
      <c r="D306">
        <v>20.100000000000001</v>
      </c>
      <c r="E306">
        <v>2</v>
      </c>
      <c r="F306">
        <v>8.3000000000000007</v>
      </c>
      <c r="G306">
        <v>11.8</v>
      </c>
      <c r="H306">
        <v>0</v>
      </c>
      <c r="I306">
        <v>14.8</v>
      </c>
      <c r="J306">
        <v>10.8</v>
      </c>
      <c r="K306">
        <v>0</v>
      </c>
      <c r="L306">
        <v>12.5</v>
      </c>
      <c r="M306">
        <v>15.9</v>
      </c>
      <c r="N306">
        <v>0</v>
      </c>
      <c r="O306">
        <v>13.9</v>
      </c>
      <c r="P306">
        <v>9.4</v>
      </c>
      <c r="Q306">
        <v>0</v>
      </c>
      <c r="R306">
        <v>9.6999999999999993</v>
      </c>
      <c r="S306">
        <v>13.1</v>
      </c>
      <c r="T306">
        <v>0</v>
      </c>
      <c r="U306">
        <v>-19.5</v>
      </c>
      <c r="V306">
        <v>-21.6</v>
      </c>
      <c r="W306">
        <v>-22</v>
      </c>
      <c r="X306">
        <v>-19.8</v>
      </c>
      <c r="Y306">
        <v>-18.2</v>
      </c>
      <c r="Z306">
        <v>-22</v>
      </c>
      <c r="AA306">
        <v>-4.4000000000000004</v>
      </c>
      <c r="AB306">
        <v>-6.7</v>
      </c>
      <c r="AC306">
        <v>-5</v>
      </c>
      <c r="AD306">
        <v>15</v>
      </c>
      <c r="AE306">
        <v>12.7</v>
      </c>
      <c r="AF306">
        <v>0</v>
      </c>
      <c r="AG306">
        <v>11.8</v>
      </c>
      <c r="AH306">
        <v>10</v>
      </c>
      <c r="AI306">
        <v>11.6</v>
      </c>
      <c r="AJ306">
        <v>10</v>
      </c>
      <c r="AK306">
        <v>11.7</v>
      </c>
      <c r="AL306">
        <v>10</v>
      </c>
      <c r="AM306">
        <v>12.9</v>
      </c>
      <c r="AN306">
        <v>9</v>
      </c>
      <c r="AO306">
        <v>10.199999999999999</v>
      </c>
      <c r="AP306">
        <v>10</v>
      </c>
      <c r="AQ306">
        <v>12.5</v>
      </c>
      <c r="AR306">
        <v>10</v>
      </c>
      <c r="AS306">
        <v>8.5</v>
      </c>
      <c r="AT306">
        <v>10</v>
      </c>
      <c r="AU306">
        <v>18.899999999999999</v>
      </c>
      <c r="AV306">
        <v>19</v>
      </c>
      <c r="AW306">
        <v>19.899999999999999</v>
      </c>
      <c r="AX306">
        <v>19</v>
      </c>
      <c r="AY306">
        <v>10</v>
      </c>
      <c r="AZ306">
        <v>10</v>
      </c>
      <c r="BA306">
        <v>12</v>
      </c>
      <c r="BB306">
        <v>10</v>
      </c>
    </row>
    <row r="307" spans="1:54" x14ac:dyDescent="0.35">
      <c r="A307" s="1">
        <v>46059.665972222225</v>
      </c>
      <c r="B307">
        <v>21.6</v>
      </c>
      <c r="C307">
        <v>3</v>
      </c>
      <c r="D307">
        <v>20.100000000000001</v>
      </c>
      <c r="E307">
        <v>2</v>
      </c>
      <c r="F307">
        <v>8.3000000000000007</v>
      </c>
      <c r="G307">
        <v>11.8</v>
      </c>
      <c r="H307">
        <v>0</v>
      </c>
      <c r="I307">
        <v>14.8</v>
      </c>
      <c r="J307">
        <v>10.8</v>
      </c>
      <c r="K307">
        <v>0</v>
      </c>
      <c r="L307">
        <v>12.5</v>
      </c>
      <c r="M307">
        <v>16</v>
      </c>
      <c r="N307">
        <v>0</v>
      </c>
      <c r="O307">
        <v>13.9</v>
      </c>
      <c r="P307">
        <v>9.4</v>
      </c>
      <c r="Q307">
        <v>0</v>
      </c>
      <c r="R307">
        <v>9.8000000000000007</v>
      </c>
      <c r="S307">
        <v>13.1</v>
      </c>
      <c r="T307">
        <v>0</v>
      </c>
      <c r="U307">
        <v>-19.5</v>
      </c>
      <c r="V307">
        <v>-21.6</v>
      </c>
      <c r="W307">
        <v>-22</v>
      </c>
      <c r="X307">
        <v>-19.8</v>
      </c>
      <c r="Y307">
        <v>-18.3</v>
      </c>
      <c r="Z307">
        <v>-22</v>
      </c>
      <c r="AA307">
        <v>-4.7</v>
      </c>
      <c r="AB307">
        <v>-7</v>
      </c>
      <c r="AC307">
        <v>-5</v>
      </c>
      <c r="AD307">
        <v>15</v>
      </c>
      <c r="AE307">
        <v>12.7</v>
      </c>
      <c r="AF307">
        <v>0</v>
      </c>
      <c r="AG307">
        <v>11.9</v>
      </c>
      <c r="AH307">
        <v>10</v>
      </c>
      <c r="AI307">
        <v>11.7</v>
      </c>
      <c r="AJ307">
        <v>10</v>
      </c>
      <c r="AK307">
        <v>11.7</v>
      </c>
      <c r="AL307">
        <v>10</v>
      </c>
      <c r="AM307">
        <v>12.9</v>
      </c>
      <c r="AN307">
        <v>9</v>
      </c>
      <c r="AO307">
        <v>10</v>
      </c>
      <c r="AP307">
        <v>10</v>
      </c>
      <c r="AQ307">
        <v>12.5</v>
      </c>
      <c r="AR307">
        <v>10</v>
      </c>
      <c r="AS307">
        <v>8.1999999999999993</v>
      </c>
      <c r="AT307">
        <v>10</v>
      </c>
      <c r="AU307">
        <v>18.899999999999999</v>
      </c>
      <c r="AV307">
        <v>19</v>
      </c>
      <c r="AW307">
        <v>19.899999999999999</v>
      </c>
      <c r="AX307">
        <v>19</v>
      </c>
      <c r="AY307">
        <v>10.5</v>
      </c>
      <c r="AZ307">
        <v>10</v>
      </c>
      <c r="BA307">
        <v>11.5</v>
      </c>
      <c r="BB307">
        <v>10</v>
      </c>
    </row>
    <row r="308" spans="1:54" x14ac:dyDescent="0.35">
      <c r="A308" s="1">
        <v>46059.666666666664</v>
      </c>
      <c r="B308">
        <v>21.6</v>
      </c>
      <c r="C308">
        <v>3</v>
      </c>
      <c r="D308">
        <v>20.100000000000001</v>
      </c>
      <c r="E308">
        <v>2</v>
      </c>
      <c r="F308">
        <v>8.3000000000000007</v>
      </c>
      <c r="G308">
        <v>11.8</v>
      </c>
      <c r="H308">
        <v>0</v>
      </c>
      <c r="I308">
        <v>14.8</v>
      </c>
      <c r="J308">
        <v>10.8</v>
      </c>
      <c r="K308">
        <v>0</v>
      </c>
      <c r="L308">
        <v>12.5</v>
      </c>
      <c r="M308">
        <v>16</v>
      </c>
      <c r="N308">
        <v>0</v>
      </c>
      <c r="O308">
        <v>13.9</v>
      </c>
      <c r="P308">
        <v>9.4</v>
      </c>
      <c r="Q308">
        <v>0</v>
      </c>
      <c r="R308">
        <v>9.8000000000000007</v>
      </c>
      <c r="S308">
        <v>13.1</v>
      </c>
      <c r="T308">
        <v>0</v>
      </c>
      <c r="U308">
        <v>-19.5</v>
      </c>
      <c r="V308">
        <v>-21.8</v>
      </c>
      <c r="W308">
        <v>-22</v>
      </c>
      <c r="X308">
        <v>-19.899999999999999</v>
      </c>
      <c r="Y308">
        <v>-18.3</v>
      </c>
      <c r="Z308">
        <v>-22</v>
      </c>
      <c r="AA308">
        <v>-5</v>
      </c>
      <c r="AB308">
        <v>-7.3</v>
      </c>
      <c r="AC308">
        <v>-5</v>
      </c>
      <c r="AD308">
        <v>15</v>
      </c>
      <c r="AE308">
        <v>12.7</v>
      </c>
      <c r="AF308">
        <v>0</v>
      </c>
      <c r="AG308">
        <v>11.9</v>
      </c>
      <c r="AH308">
        <v>10</v>
      </c>
      <c r="AI308">
        <v>11.8</v>
      </c>
      <c r="AJ308">
        <v>10</v>
      </c>
      <c r="AK308">
        <v>11.8</v>
      </c>
      <c r="AL308">
        <v>10</v>
      </c>
      <c r="AM308">
        <v>12.9</v>
      </c>
      <c r="AN308">
        <v>9</v>
      </c>
      <c r="AO308">
        <v>11</v>
      </c>
      <c r="AP308">
        <v>10</v>
      </c>
      <c r="AQ308">
        <v>12.5</v>
      </c>
      <c r="AR308">
        <v>10</v>
      </c>
      <c r="AS308">
        <v>8.6</v>
      </c>
      <c r="AT308">
        <v>10</v>
      </c>
      <c r="AU308">
        <v>18.8</v>
      </c>
      <c r="AV308">
        <v>19</v>
      </c>
      <c r="AW308">
        <v>19.899999999999999</v>
      </c>
      <c r="AX308">
        <v>19</v>
      </c>
      <c r="AY308">
        <v>10.8</v>
      </c>
      <c r="AZ308">
        <v>10</v>
      </c>
      <c r="BA308">
        <v>10.8</v>
      </c>
      <c r="BB308">
        <v>10</v>
      </c>
    </row>
    <row r="309" spans="1:54" x14ac:dyDescent="0.35">
      <c r="A309" s="1">
        <v>46059.667361111111</v>
      </c>
      <c r="B309">
        <v>21.6</v>
      </c>
      <c r="C309">
        <v>3</v>
      </c>
      <c r="D309">
        <v>20.2</v>
      </c>
      <c r="E309">
        <v>2</v>
      </c>
      <c r="F309">
        <v>8.3000000000000007</v>
      </c>
      <c r="G309">
        <v>11.8</v>
      </c>
      <c r="H309">
        <v>0</v>
      </c>
      <c r="I309">
        <v>14.8</v>
      </c>
      <c r="J309">
        <v>10.8</v>
      </c>
      <c r="K309">
        <v>0</v>
      </c>
      <c r="L309">
        <v>12.5</v>
      </c>
      <c r="M309">
        <v>16</v>
      </c>
      <c r="N309">
        <v>0</v>
      </c>
      <c r="O309">
        <v>13.9</v>
      </c>
      <c r="P309">
        <v>9.4</v>
      </c>
      <c r="Q309">
        <v>0</v>
      </c>
      <c r="R309">
        <v>9.8000000000000007</v>
      </c>
      <c r="S309">
        <v>13.1</v>
      </c>
      <c r="T309">
        <v>0</v>
      </c>
      <c r="U309">
        <v>-19.600000000000001</v>
      </c>
      <c r="V309">
        <v>-21.6</v>
      </c>
      <c r="W309">
        <v>-22</v>
      </c>
      <c r="X309">
        <v>-19.899999999999999</v>
      </c>
      <c r="Y309">
        <v>-18.3</v>
      </c>
      <c r="Z309">
        <v>-22</v>
      </c>
      <c r="AA309">
        <v>-4.5</v>
      </c>
      <c r="AB309">
        <v>-5.3</v>
      </c>
      <c r="AC309">
        <v>-5</v>
      </c>
      <c r="AD309">
        <v>14.9</v>
      </c>
      <c r="AE309">
        <v>12.6</v>
      </c>
      <c r="AF309">
        <v>0</v>
      </c>
      <c r="AG309">
        <v>12</v>
      </c>
      <c r="AH309">
        <v>10</v>
      </c>
      <c r="AI309">
        <v>11.9</v>
      </c>
      <c r="AJ309">
        <v>10</v>
      </c>
      <c r="AK309">
        <v>12</v>
      </c>
      <c r="AL309">
        <v>10</v>
      </c>
      <c r="AM309">
        <v>12.9</v>
      </c>
      <c r="AN309">
        <v>9</v>
      </c>
      <c r="AO309">
        <v>11.6</v>
      </c>
      <c r="AP309">
        <v>10</v>
      </c>
      <c r="AQ309">
        <v>12.5</v>
      </c>
      <c r="AR309">
        <v>10</v>
      </c>
      <c r="AS309">
        <v>9.3000000000000007</v>
      </c>
      <c r="AT309">
        <v>10</v>
      </c>
      <c r="AU309">
        <v>18.8</v>
      </c>
      <c r="AV309">
        <v>19</v>
      </c>
      <c r="AW309">
        <v>19.7</v>
      </c>
      <c r="AX309">
        <v>19</v>
      </c>
      <c r="AY309">
        <v>11</v>
      </c>
      <c r="AZ309">
        <v>10</v>
      </c>
      <c r="BA309">
        <v>10.199999999999999</v>
      </c>
      <c r="BB309">
        <v>10</v>
      </c>
    </row>
    <row r="310" spans="1:54" x14ac:dyDescent="0.35">
      <c r="A310" s="1">
        <v>46059.668055555558</v>
      </c>
      <c r="B310">
        <v>21.6</v>
      </c>
      <c r="C310">
        <v>3</v>
      </c>
      <c r="D310">
        <v>20.2</v>
      </c>
      <c r="E310">
        <v>2</v>
      </c>
      <c r="F310">
        <v>8.3000000000000007</v>
      </c>
      <c r="G310">
        <v>11.8</v>
      </c>
      <c r="H310">
        <v>0</v>
      </c>
      <c r="I310">
        <v>14.8</v>
      </c>
      <c r="J310">
        <v>10.8</v>
      </c>
      <c r="K310">
        <v>0</v>
      </c>
      <c r="L310">
        <v>12.5</v>
      </c>
      <c r="M310">
        <v>16</v>
      </c>
      <c r="N310">
        <v>0</v>
      </c>
      <c r="O310">
        <v>13.9</v>
      </c>
      <c r="P310">
        <v>9.5</v>
      </c>
      <c r="Q310">
        <v>0</v>
      </c>
      <c r="R310">
        <v>9.8000000000000007</v>
      </c>
      <c r="S310">
        <v>13.1</v>
      </c>
      <c r="T310">
        <v>0</v>
      </c>
      <c r="U310">
        <v>-19.600000000000001</v>
      </c>
      <c r="V310">
        <v>-22</v>
      </c>
      <c r="W310">
        <v>-22</v>
      </c>
      <c r="X310">
        <v>-19.899999999999999</v>
      </c>
      <c r="Y310">
        <v>-18.3</v>
      </c>
      <c r="Z310">
        <v>-22</v>
      </c>
      <c r="AA310">
        <v>-3.5</v>
      </c>
      <c r="AB310">
        <v>-3.6</v>
      </c>
      <c r="AC310">
        <v>-5</v>
      </c>
      <c r="AD310">
        <v>14.9</v>
      </c>
      <c r="AE310">
        <v>12.6</v>
      </c>
      <c r="AF310">
        <v>0</v>
      </c>
      <c r="AG310">
        <v>11.3</v>
      </c>
      <c r="AH310">
        <v>10</v>
      </c>
      <c r="AI310">
        <v>12</v>
      </c>
      <c r="AJ310">
        <v>10</v>
      </c>
      <c r="AK310">
        <v>11.5</v>
      </c>
      <c r="AL310">
        <v>10</v>
      </c>
      <c r="AM310">
        <v>12.9</v>
      </c>
      <c r="AN310">
        <v>9</v>
      </c>
      <c r="AO310">
        <v>12</v>
      </c>
      <c r="AP310">
        <v>10</v>
      </c>
      <c r="AQ310">
        <v>12.2</v>
      </c>
      <c r="AR310">
        <v>10</v>
      </c>
      <c r="AS310">
        <v>9.8000000000000007</v>
      </c>
      <c r="AT310">
        <v>10</v>
      </c>
      <c r="AU310">
        <v>18.8</v>
      </c>
      <c r="AV310">
        <v>19</v>
      </c>
      <c r="AW310">
        <v>19.7</v>
      </c>
      <c r="AX310">
        <v>19</v>
      </c>
      <c r="AY310">
        <v>11.3</v>
      </c>
      <c r="AZ310">
        <v>10</v>
      </c>
      <c r="BA310">
        <v>9.8000000000000007</v>
      </c>
      <c r="BB310">
        <v>10</v>
      </c>
    </row>
    <row r="311" spans="1:54" x14ac:dyDescent="0.35">
      <c r="A311" s="1">
        <v>46059.668749999997</v>
      </c>
      <c r="B311">
        <v>21.6</v>
      </c>
      <c r="C311">
        <v>3</v>
      </c>
      <c r="D311">
        <v>20.2</v>
      </c>
      <c r="E311">
        <v>2</v>
      </c>
      <c r="F311">
        <v>8.3000000000000007</v>
      </c>
      <c r="G311">
        <v>11.8</v>
      </c>
      <c r="H311">
        <v>0</v>
      </c>
      <c r="I311">
        <v>14.8</v>
      </c>
      <c r="J311">
        <v>10.8</v>
      </c>
      <c r="K311">
        <v>0</v>
      </c>
      <c r="L311">
        <v>12.5</v>
      </c>
      <c r="M311">
        <v>16</v>
      </c>
      <c r="N311">
        <v>0</v>
      </c>
      <c r="O311">
        <v>13.9</v>
      </c>
      <c r="P311">
        <v>9.5</v>
      </c>
      <c r="Q311">
        <v>0</v>
      </c>
      <c r="R311">
        <v>9.8000000000000007</v>
      </c>
      <c r="S311">
        <v>13.1</v>
      </c>
      <c r="T311">
        <v>0</v>
      </c>
      <c r="U311">
        <v>-19.600000000000001</v>
      </c>
      <c r="V311">
        <v>-21.7</v>
      </c>
      <c r="W311">
        <v>-22</v>
      </c>
      <c r="X311">
        <v>-19.899999999999999</v>
      </c>
      <c r="Y311">
        <v>-18.3</v>
      </c>
      <c r="Z311">
        <v>-22</v>
      </c>
      <c r="AA311">
        <v>-2.5</v>
      </c>
      <c r="AB311">
        <v>-2.6</v>
      </c>
      <c r="AC311">
        <v>-5</v>
      </c>
      <c r="AD311">
        <v>14.8</v>
      </c>
      <c r="AE311">
        <v>12.6</v>
      </c>
      <c r="AF311">
        <v>0</v>
      </c>
      <c r="AG311">
        <v>10.6</v>
      </c>
      <c r="AH311">
        <v>10</v>
      </c>
      <c r="AI311">
        <v>11.3</v>
      </c>
      <c r="AJ311">
        <v>10</v>
      </c>
      <c r="AK311">
        <v>10.1</v>
      </c>
      <c r="AL311">
        <v>10</v>
      </c>
      <c r="AM311">
        <v>12.9</v>
      </c>
      <c r="AN311">
        <v>9</v>
      </c>
      <c r="AO311">
        <v>11.4</v>
      </c>
      <c r="AP311">
        <v>10</v>
      </c>
      <c r="AQ311">
        <v>11.8</v>
      </c>
      <c r="AR311">
        <v>10</v>
      </c>
      <c r="AS311">
        <v>10.199999999999999</v>
      </c>
      <c r="AT311">
        <v>10</v>
      </c>
      <c r="AU311">
        <v>18.8</v>
      </c>
      <c r="AV311">
        <v>19</v>
      </c>
      <c r="AW311">
        <v>19.7</v>
      </c>
      <c r="AX311">
        <v>19</v>
      </c>
      <c r="AY311">
        <v>11.5</v>
      </c>
      <c r="AZ311">
        <v>10</v>
      </c>
      <c r="BA311">
        <v>9.9</v>
      </c>
      <c r="BB311">
        <v>10</v>
      </c>
    </row>
    <row r="312" spans="1:54" x14ac:dyDescent="0.35">
      <c r="A312" s="1">
        <v>46059.669444444444</v>
      </c>
      <c r="B312">
        <v>21.6</v>
      </c>
      <c r="C312">
        <v>3</v>
      </c>
      <c r="D312">
        <v>20.2</v>
      </c>
      <c r="E312">
        <v>2</v>
      </c>
      <c r="F312">
        <v>8.4</v>
      </c>
      <c r="G312">
        <v>11.8</v>
      </c>
      <c r="H312">
        <v>0</v>
      </c>
      <c r="I312">
        <v>14.8</v>
      </c>
      <c r="J312">
        <v>10.8</v>
      </c>
      <c r="K312">
        <v>0</v>
      </c>
      <c r="L312">
        <v>12.5</v>
      </c>
      <c r="M312">
        <v>16</v>
      </c>
      <c r="N312">
        <v>0</v>
      </c>
      <c r="O312">
        <v>13.9</v>
      </c>
      <c r="P312">
        <v>9.5</v>
      </c>
      <c r="Q312">
        <v>0</v>
      </c>
      <c r="R312">
        <v>9.8000000000000007</v>
      </c>
      <c r="S312">
        <v>13.1</v>
      </c>
      <c r="T312">
        <v>0</v>
      </c>
      <c r="U312">
        <v>-19.600000000000001</v>
      </c>
      <c r="V312">
        <v>-21.8</v>
      </c>
      <c r="W312">
        <v>-22</v>
      </c>
      <c r="X312">
        <v>-19.899999999999999</v>
      </c>
      <c r="Y312">
        <v>-18.3</v>
      </c>
      <c r="Z312">
        <v>-22</v>
      </c>
      <c r="AA312">
        <v>-2.4</v>
      </c>
      <c r="AB312">
        <v>-3.1</v>
      </c>
      <c r="AC312">
        <v>-5</v>
      </c>
      <c r="AD312">
        <v>14.8</v>
      </c>
      <c r="AE312">
        <v>12.5</v>
      </c>
      <c r="AF312">
        <v>0</v>
      </c>
      <c r="AG312">
        <v>9.9</v>
      </c>
      <c r="AH312">
        <v>10</v>
      </c>
      <c r="AI312">
        <v>10.1</v>
      </c>
      <c r="AJ312">
        <v>10</v>
      </c>
      <c r="AK312">
        <v>9.6999999999999993</v>
      </c>
      <c r="AL312">
        <v>10</v>
      </c>
      <c r="AM312">
        <v>12.9</v>
      </c>
      <c r="AN312">
        <v>9</v>
      </c>
      <c r="AO312">
        <v>10.6</v>
      </c>
      <c r="AP312">
        <v>10</v>
      </c>
      <c r="AQ312">
        <v>11.8</v>
      </c>
      <c r="AR312">
        <v>10</v>
      </c>
      <c r="AS312">
        <v>10.6</v>
      </c>
      <c r="AT312">
        <v>10</v>
      </c>
      <c r="AU312">
        <v>18.8</v>
      </c>
      <c r="AV312">
        <v>19</v>
      </c>
      <c r="AW312">
        <v>19.7</v>
      </c>
      <c r="AX312">
        <v>19</v>
      </c>
      <c r="AY312">
        <v>11.8</v>
      </c>
      <c r="AZ312">
        <v>10</v>
      </c>
      <c r="BA312">
        <v>10.3</v>
      </c>
      <c r="BB312">
        <v>10</v>
      </c>
    </row>
    <row r="313" spans="1:54" x14ac:dyDescent="0.35">
      <c r="A313" s="1">
        <v>46059.670138888891</v>
      </c>
      <c r="B313">
        <v>21.6</v>
      </c>
      <c r="C313">
        <v>3</v>
      </c>
      <c r="D313">
        <v>20.2</v>
      </c>
      <c r="E313">
        <v>2</v>
      </c>
      <c r="F313">
        <v>8.4</v>
      </c>
      <c r="G313">
        <v>11.8</v>
      </c>
      <c r="H313">
        <v>0</v>
      </c>
      <c r="I313">
        <v>14.8</v>
      </c>
      <c r="J313">
        <v>10.8</v>
      </c>
      <c r="K313">
        <v>0</v>
      </c>
      <c r="L313">
        <v>12.5</v>
      </c>
      <c r="M313">
        <v>16</v>
      </c>
      <c r="N313">
        <v>0</v>
      </c>
      <c r="O313">
        <v>14</v>
      </c>
      <c r="P313">
        <v>9.5</v>
      </c>
      <c r="Q313">
        <v>0</v>
      </c>
      <c r="R313">
        <v>9.8000000000000007</v>
      </c>
      <c r="S313">
        <v>13.1</v>
      </c>
      <c r="T313">
        <v>0</v>
      </c>
      <c r="U313">
        <v>-19.600000000000001</v>
      </c>
      <c r="V313">
        <v>-21.7</v>
      </c>
      <c r="W313">
        <v>-22</v>
      </c>
      <c r="X313">
        <v>-19.899999999999999</v>
      </c>
      <c r="Y313">
        <v>-18.3</v>
      </c>
      <c r="Z313">
        <v>-22</v>
      </c>
      <c r="AA313">
        <v>-2.5</v>
      </c>
      <c r="AB313">
        <v>-4</v>
      </c>
      <c r="AC313">
        <v>-5</v>
      </c>
      <c r="AD313">
        <v>14.8</v>
      </c>
      <c r="AE313">
        <v>12.5</v>
      </c>
      <c r="AF313">
        <v>0</v>
      </c>
      <c r="AG313">
        <v>9.6</v>
      </c>
      <c r="AH313">
        <v>10</v>
      </c>
      <c r="AI313">
        <v>9</v>
      </c>
      <c r="AJ313">
        <v>10</v>
      </c>
      <c r="AK313">
        <v>9.9</v>
      </c>
      <c r="AL313">
        <v>10</v>
      </c>
      <c r="AM313">
        <v>12.9</v>
      </c>
      <c r="AN313">
        <v>9</v>
      </c>
      <c r="AO313">
        <v>10.199999999999999</v>
      </c>
      <c r="AP313">
        <v>10</v>
      </c>
      <c r="AQ313">
        <v>11.9</v>
      </c>
      <c r="AR313">
        <v>10</v>
      </c>
      <c r="AS313">
        <v>10.9</v>
      </c>
      <c r="AT313">
        <v>10</v>
      </c>
      <c r="AU313">
        <v>18.8</v>
      </c>
      <c r="AV313">
        <v>19</v>
      </c>
      <c r="AW313">
        <v>19.7</v>
      </c>
      <c r="AX313">
        <v>19</v>
      </c>
      <c r="AY313">
        <v>11.9</v>
      </c>
      <c r="AZ313">
        <v>10</v>
      </c>
      <c r="BA313">
        <v>10.7</v>
      </c>
      <c r="BB313">
        <v>10</v>
      </c>
    </row>
    <row r="314" spans="1:54" x14ac:dyDescent="0.35">
      <c r="A314" s="1">
        <v>46059.67083333333</v>
      </c>
      <c r="B314">
        <v>21.6</v>
      </c>
      <c r="C314">
        <v>3</v>
      </c>
      <c r="D314">
        <v>20.2</v>
      </c>
      <c r="E314">
        <v>2</v>
      </c>
      <c r="F314">
        <v>8.4</v>
      </c>
      <c r="G314">
        <v>11.8</v>
      </c>
      <c r="H314">
        <v>0</v>
      </c>
      <c r="I314">
        <v>14.8</v>
      </c>
      <c r="J314">
        <v>10.8</v>
      </c>
      <c r="K314">
        <v>0</v>
      </c>
      <c r="L314">
        <v>12.5</v>
      </c>
      <c r="M314">
        <v>16</v>
      </c>
      <c r="N314">
        <v>0</v>
      </c>
      <c r="O314">
        <v>14</v>
      </c>
      <c r="P314">
        <v>9.5</v>
      </c>
      <c r="Q314">
        <v>0</v>
      </c>
      <c r="R314">
        <v>9.8000000000000007</v>
      </c>
      <c r="S314">
        <v>13.1</v>
      </c>
      <c r="T314">
        <v>0</v>
      </c>
      <c r="U314">
        <v>-19.600000000000001</v>
      </c>
      <c r="V314">
        <v>-21.6</v>
      </c>
      <c r="W314">
        <v>-22</v>
      </c>
      <c r="X314">
        <v>-19.899999999999999</v>
      </c>
      <c r="Y314">
        <v>-18.3</v>
      </c>
      <c r="Z314">
        <v>-22</v>
      </c>
      <c r="AA314">
        <v>-3</v>
      </c>
      <c r="AB314">
        <v>-4.8</v>
      </c>
      <c r="AC314">
        <v>-5</v>
      </c>
      <c r="AD314">
        <v>14.7</v>
      </c>
      <c r="AE314">
        <v>12.5</v>
      </c>
      <c r="AF314">
        <v>0</v>
      </c>
      <c r="AG314">
        <v>9.8000000000000007</v>
      </c>
      <c r="AH314">
        <v>10</v>
      </c>
      <c r="AI314">
        <v>9</v>
      </c>
      <c r="AJ314">
        <v>10</v>
      </c>
      <c r="AK314">
        <v>10.4</v>
      </c>
      <c r="AL314">
        <v>10</v>
      </c>
      <c r="AM314">
        <v>12.9</v>
      </c>
      <c r="AN314">
        <v>9</v>
      </c>
      <c r="AO314">
        <v>10.1</v>
      </c>
      <c r="AP314">
        <v>10</v>
      </c>
      <c r="AQ314">
        <v>11.9</v>
      </c>
      <c r="AR314">
        <v>10</v>
      </c>
      <c r="AS314">
        <v>11.1</v>
      </c>
      <c r="AT314">
        <v>10</v>
      </c>
      <c r="AU314">
        <v>18.8</v>
      </c>
      <c r="AV314">
        <v>19</v>
      </c>
      <c r="AW314">
        <v>19.7</v>
      </c>
      <c r="AX314">
        <v>19</v>
      </c>
      <c r="AY314">
        <v>11.9</v>
      </c>
      <c r="AZ314">
        <v>10</v>
      </c>
      <c r="BA314">
        <v>11</v>
      </c>
      <c r="BB314">
        <v>10</v>
      </c>
    </row>
    <row r="315" spans="1:54" x14ac:dyDescent="0.35">
      <c r="A315" s="1">
        <v>46059.671527777777</v>
      </c>
      <c r="B315">
        <v>21.6</v>
      </c>
      <c r="C315">
        <v>3</v>
      </c>
      <c r="D315">
        <v>20.2</v>
      </c>
      <c r="E315">
        <v>2</v>
      </c>
      <c r="F315">
        <v>8.4</v>
      </c>
      <c r="G315">
        <v>11.8</v>
      </c>
      <c r="H315">
        <v>0</v>
      </c>
      <c r="I315">
        <v>14.8</v>
      </c>
      <c r="J315">
        <v>10.8</v>
      </c>
      <c r="K315">
        <v>0</v>
      </c>
      <c r="L315">
        <v>12.5</v>
      </c>
      <c r="M315">
        <v>16</v>
      </c>
      <c r="N315">
        <v>0</v>
      </c>
      <c r="O315">
        <v>14</v>
      </c>
      <c r="P315">
        <v>9.5</v>
      </c>
      <c r="Q315">
        <v>0</v>
      </c>
      <c r="R315">
        <v>9.8000000000000007</v>
      </c>
      <c r="S315">
        <v>13.1</v>
      </c>
      <c r="T315">
        <v>0</v>
      </c>
      <c r="U315">
        <v>-19.600000000000001</v>
      </c>
      <c r="V315">
        <v>-21.8</v>
      </c>
      <c r="W315">
        <v>-22</v>
      </c>
      <c r="X315">
        <v>-19.899999999999999</v>
      </c>
      <c r="Y315">
        <v>-18.3</v>
      </c>
      <c r="Z315">
        <v>-22</v>
      </c>
      <c r="AA315">
        <v>-3.5</v>
      </c>
      <c r="AB315">
        <v>-5.6</v>
      </c>
      <c r="AC315">
        <v>-5</v>
      </c>
      <c r="AD315">
        <v>14.7</v>
      </c>
      <c r="AE315">
        <v>12.5</v>
      </c>
      <c r="AF315">
        <v>0</v>
      </c>
      <c r="AG315">
        <v>10.1</v>
      </c>
      <c r="AH315">
        <v>10</v>
      </c>
      <c r="AI315">
        <v>9.1</v>
      </c>
      <c r="AJ315">
        <v>10</v>
      </c>
      <c r="AK315">
        <v>10.7</v>
      </c>
      <c r="AL315">
        <v>10</v>
      </c>
      <c r="AM315">
        <v>12.8</v>
      </c>
      <c r="AN315">
        <v>9</v>
      </c>
      <c r="AO315">
        <v>10.1</v>
      </c>
      <c r="AP315">
        <v>10</v>
      </c>
      <c r="AQ315">
        <v>11.8</v>
      </c>
      <c r="AR315">
        <v>10</v>
      </c>
      <c r="AS315">
        <v>11.4</v>
      </c>
      <c r="AT315">
        <v>10</v>
      </c>
      <c r="AU315">
        <v>18.8</v>
      </c>
      <c r="AV315">
        <v>19</v>
      </c>
      <c r="AW315">
        <v>19.7</v>
      </c>
      <c r="AX315">
        <v>19</v>
      </c>
      <c r="AY315">
        <v>11.2</v>
      </c>
      <c r="AZ315">
        <v>10</v>
      </c>
      <c r="BA315">
        <v>11.3</v>
      </c>
      <c r="BB315">
        <v>10</v>
      </c>
    </row>
    <row r="316" spans="1:54" x14ac:dyDescent="0.35">
      <c r="A316" s="1">
        <v>46059.672222222223</v>
      </c>
      <c r="B316">
        <v>21.6</v>
      </c>
      <c r="C316">
        <v>3</v>
      </c>
      <c r="D316">
        <v>20.2</v>
      </c>
      <c r="E316">
        <v>2</v>
      </c>
      <c r="F316">
        <v>8.4</v>
      </c>
      <c r="G316">
        <v>11.8</v>
      </c>
      <c r="H316">
        <v>0</v>
      </c>
      <c r="I316">
        <v>14.8</v>
      </c>
      <c r="J316">
        <v>10.8</v>
      </c>
      <c r="K316">
        <v>0</v>
      </c>
      <c r="L316">
        <v>12.5</v>
      </c>
      <c r="M316">
        <v>16</v>
      </c>
      <c r="N316">
        <v>0</v>
      </c>
      <c r="O316">
        <v>14</v>
      </c>
      <c r="P316">
        <v>9.5</v>
      </c>
      <c r="Q316">
        <v>0</v>
      </c>
      <c r="R316">
        <v>9.8000000000000007</v>
      </c>
      <c r="S316">
        <v>13.1</v>
      </c>
      <c r="T316">
        <v>0</v>
      </c>
      <c r="U316">
        <v>-19.600000000000001</v>
      </c>
      <c r="V316">
        <v>-21.5</v>
      </c>
      <c r="W316">
        <v>-22</v>
      </c>
      <c r="X316">
        <v>-19.899999999999999</v>
      </c>
      <c r="Y316">
        <v>-18.3</v>
      </c>
      <c r="Z316">
        <v>-22</v>
      </c>
      <c r="AA316">
        <v>-3.8</v>
      </c>
      <c r="AB316">
        <v>-5.9</v>
      </c>
      <c r="AC316">
        <v>-5</v>
      </c>
      <c r="AD316">
        <v>14.6</v>
      </c>
      <c r="AE316">
        <v>12.4</v>
      </c>
      <c r="AF316">
        <v>0</v>
      </c>
      <c r="AG316">
        <v>10.4</v>
      </c>
      <c r="AH316">
        <v>10</v>
      </c>
      <c r="AI316">
        <v>9.4</v>
      </c>
      <c r="AJ316">
        <v>10</v>
      </c>
      <c r="AK316">
        <v>10.9</v>
      </c>
      <c r="AL316">
        <v>10</v>
      </c>
      <c r="AM316">
        <v>12.8</v>
      </c>
      <c r="AN316">
        <v>9</v>
      </c>
      <c r="AO316">
        <v>10.199999999999999</v>
      </c>
      <c r="AP316">
        <v>10</v>
      </c>
      <c r="AQ316">
        <v>11.8</v>
      </c>
      <c r="AR316">
        <v>10</v>
      </c>
      <c r="AS316">
        <v>11.6</v>
      </c>
      <c r="AT316">
        <v>10</v>
      </c>
      <c r="AU316">
        <v>18.8</v>
      </c>
      <c r="AV316">
        <v>19</v>
      </c>
      <c r="AW316">
        <v>19.5</v>
      </c>
      <c r="AX316">
        <v>19</v>
      </c>
      <c r="AY316">
        <v>10.4</v>
      </c>
      <c r="AZ316">
        <v>10</v>
      </c>
      <c r="BA316">
        <v>11.6</v>
      </c>
      <c r="BB316">
        <v>10</v>
      </c>
    </row>
    <row r="317" spans="1:54" x14ac:dyDescent="0.35">
      <c r="A317" s="1">
        <v>46059.67291666667</v>
      </c>
      <c r="B317">
        <v>21.6</v>
      </c>
      <c r="C317">
        <v>3</v>
      </c>
      <c r="D317">
        <v>20.2</v>
      </c>
      <c r="E317">
        <v>2</v>
      </c>
      <c r="F317">
        <v>8.4</v>
      </c>
      <c r="G317">
        <v>11.9</v>
      </c>
      <c r="H317">
        <v>0</v>
      </c>
      <c r="I317">
        <v>14.8</v>
      </c>
      <c r="J317">
        <v>10.8</v>
      </c>
      <c r="K317">
        <v>0</v>
      </c>
      <c r="L317">
        <v>12.5</v>
      </c>
      <c r="M317">
        <v>16</v>
      </c>
      <c r="N317">
        <v>0</v>
      </c>
      <c r="O317">
        <v>14</v>
      </c>
      <c r="P317">
        <v>9.5</v>
      </c>
      <c r="Q317">
        <v>0</v>
      </c>
      <c r="R317">
        <v>9.8000000000000007</v>
      </c>
      <c r="S317">
        <v>13.1</v>
      </c>
      <c r="T317">
        <v>0</v>
      </c>
      <c r="U317">
        <v>-19.600000000000001</v>
      </c>
      <c r="V317">
        <v>-21.9</v>
      </c>
      <c r="W317">
        <v>-22</v>
      </c>
      <c r="X317">
        <v>-19.899999999999999</v>
      </c>
      <c r="Y317">
        <v>-18.399999999999999</v>
      </c>
      <c r="Z317">
        <v>-22</v>
      </c>
      <c r="AA317">
        <v>-4.2</v>
      </c>
      <c r="AB317">
        <v>-6.3</v>
      </c>
      <c r="AC317">
        <v>-5</v>
      </c>
      <c r="AD317">
        <v>14.6</v>
      </c>
      <c r="AE317">
        <v>12.4</v>
      </c>
      <c r="AF317">
        <v>0</v>
      </c>
      <c r="AG317">
        <v>10.7</v>
      </c>
      <c r="AH317">
        <v>10</v>
      </c>
      <c r="AI317">
        <v>9.6999999999999993</v>
      </c>
      <c r="AJ317">
        <v>10</v>
      </c>
      <c r="AK317">
        <v>11</v>
      </c>
      <c r="AL317">
        <v>10</v>
      </c>
      <c r="AM317">
        <v>12.7</v>
      </c>
      <c r="AN317">
        <v>9</v>
      </c>
      <c r="AO317">
        <v>11</v>
      </c>
      <c r="AP317">
        <v>10</v>
      </c>
      <c r="AQ317">
        <v>11.8</v>
      </c>
      <c r="AR317">
        <v>10</v>
      </c>
      <c r="AS317">
        <v>11.7</v>
      </c>
      <c r="AT317">
        <v>10</v>
      </c>
      <c r="AU317">
        <v>18.8</v>
      </c>
      <c r="AV317">
        <v>19</v>
      </c>
      <c r="AW317">
        <v>19.5</v>
      </c>
      <c r="AX317">
        <v>19</v>
      </c>
      <c r="AY317">
        <v>9.6999999999999993</v>
      </c>
      <c r="AZ317">
        <v>10</v>
      </c>
      <c r="BA317">
        <v>11.9</v>
      </c>
      <c r="BB317">
        <v>10</v>
      </c>
    </row>
    <row r="318" spans="1:54" x14ac:dyDescent="0.35">
      <c r="A318" s="1">
        <v>46059.673611111109</v>
      </c>
      <c r="B318">
        <v>21.6</v>
      </c>
      <c r="C318">
        <v>3</v>
      </c>
      <c r="D318">
        <v>20.2</v>
      </c>
      <c r="E318">
        <v>2</v>
      </c>
      <c r="F318">
        <v>8.4</v>
      </c>
      <c r="G318">
        <v>11.9</v>
      </c>
      <c r="H318">
        <v>0</v>
      </c>
      <c r="I318">
        <v>14.8</v>
      </c>
      <c r="J318">
        <v>10.9</v>
      </c>
      <c r="K318">
        <v>0</v>
      </c>
      <c r="L318">
        <v>12.5</v>
      </c>
      <c r="M318">
        <v>16</v>
      </c>
      <c r="N318">
        <v>0</v>
      </c>
      <c r="O318">
        <v>14</v>
      </c>
      <c r="P318">
        <v>9.5</v>
      </c>
      <c r="Q318">
        <v>0</v>
      </c>
      <c r="R318">
        <v>9.8000000000000007</v>
      </c>
      <c r="S318">
        <v>13.1</v>
      </c>
      <c r="T318">
        <v>0</v>
      </c>
      <c r="U318">
        <v>-19.600000000000001</v>
      </c>
      <c r="V318">
        <v>-21.7</v>
      </c>
      <c r="W318">
        <v>-22</v>
      </c>
      <c r="X318">
        <v>-19.899999999999999</v>
      </c>
      <c r="Y318">
        <v>-18.399999999999999</v>
      </c>
      <c r="Z318">
        <v>-22</v>
      </c>
      <c r="AA318">
        <v>-4.5</v>
      </c>
      <c r="AB318">
        <v>-6.6</v>
      </c>
      <c r="AC318">
        <v>-5</v>
      </c>
      <c r="AD318">
        <v>14.6</v>
      </c>
      <c r="AE318">
        <v>12.4</v>
      </c>
      <c r="AF318">
        <v>0</v>
      </c>
      <c r="AG318">
        <v>10.9</v>
      </c>
      <c r="AH318">
        <v>10</v>
      </c>
      <c r="AI318">
        <v>10</v>
      </c>
      <c r="AJ318">
        <v>10</v>
      </c>
      <c r="AK318">
        <v>11.2</v>
      </c>
      <c r="AL318">
        <v>10</v>
      </c>
      <c r="AM318">
        <v>12.7</v>
      </c>
      <c r="AN318">
        <v>9</v>
      </c>
      <c r="AO318">
        <v>11.4</v>
      </c>
      <c r="AP318">
        <v>10</v>
      </c>
      <c r="AQ318">
        <v>11.8</v>
      </c>
      <c r="AR318">
        <v>10</v>
      </c>
      <c r="AS318">
        <v>11.9</v>
      </c>
      <c r="AT318">
        <v>10</v>
      </c>
      <c r="AU318">
        <v>18.8</v>
      </c>
      <c r="AV318">
        <v>19</v>
      </c>
      <c r="AW318">
        <v>19.5</v>
      </c>
      <c r="AX318">
        <v>19</v>
      </c>
      <c r="AY318">
        <v>9.6999999999999993</v>
      </c>
      <c r="AZ318">
        <v>10</v>
      </c>
      <c r="BA318">
        <v>12</v>
      </c>
      <c r="BB318">
        <v>10</v>
      </c>
    </row>
    <row r="319" spans="1:54" x14ac:dyDescent="0.35">
      <c r="A319" s="1">
        <v>46059.674305555556</v>
      </c>
      <c r="B319">
        <v>21.6</v>
      </c>
      <c r="C319">
        <v>3</v>
      </c>
      <c r="D319">
        <v>20.2</v>
      </c>
      <c r="E319">
        <v>2</v>
      </c>
      <c r="F319">
        <v>8.4</v>
      </c>
      <c r="G319">
        <v>11.9</v>
      </c>
      <c r="H319">
        <v>0</v>
      </c>
      <c r="I319">
        <v>14.8</v>
      </c>
      <c r="J319">
        <v>10.9</v>
      </c>
      <c r="K319">
        <v>0</v>
      </c>
      <c r="L319">
        <v>12.5</v>
      </c>
      <c r="M319">
        <v>16</v>
      </c>
      <c r="N319">
        <v>0</v>
      </c>
      <c r="O319">
        <v>14</v>
      </c>
      <c r="P319">
        <v>9.6</v>
      </c>
      <c r="Q319">
        <v>0</v>
      </c>
      <c r="R319">
        <v>9.8000000000000007</v>
      </c>
      <c r="S319">
        <v>13.1</v>
      </c>
      <c r="T319">
        <v>0</v>
      </c>
      <c r="U319">
        <v>-19.600000000000001</v>
      </c>
      <c r="V319">
        <v>-21.7</v>
      </c>
      <c r="W319">
        <v>-22</v>
      </c>
      <c r="X319">
        <v>-19.899999999999999</v>
      </c>
      <c r="Y319">
        <v>-18.399999999999999</v>
      </c>
      <c r="Z319">
        <v>-22</v>
      </c>
      <c r="AA319">
        <v>-4.9000000000000004</v>
      </c>
      <c r="AB319">
        <v>-7.1</v>
      </c>
      <c r="AC319">
        <v>-5</v>
      </c>
      <c r="AD319">
        <v>14.5</v>
      </c>
      <c r="AE319">
        <v>12.3</v>
      </c>
      <c r="AF319">
        <v>0</v>
      </c>
      <c r="AG319">
        <v>11.1</v>
      </c>
      <c r="AH319">
        <v>10</v>
      </c>
      <c r="AI319">
        <v>10.199999999999999</v>
      </c>
      <c r="AJ319">
        <v>10</v>
      </c>
      <c r="AK319">
        <v>11.4</v>
      </c>
      <c r="AL319">
        <v>10</v>
      </c>
      <c r="AM319">
        <v>12.7</v>
      </c>
      <c r="AN319">
        <v>9</v>
      </c>
      <c r="AO319">
        <v>11.8</v>
      </c>
      <c r="AP319">
        <v>10</v>
      </c>
      <c r="AQ319">
        <v>11.7</v>
      </c>
      <c r="AR319">
        <v>10</v>
      </c>
      <c r="AS319">
        <v>11.4</v>
      </c>
      <c r="AT319">
        <v>10</v>
      </c>
      <c r="AU319">
        <v>18.8</v>
      </c>
      <c r="AV319">
        <v>19</v>
      </c>
      <c r="AW319">
        <v>19.5</v>
      </c>
      <c r="AX319">
        <v>19</v>
      </c>
      <c r="AY319">
        <v>10.1</v>
      </c>
      <c r="AZ319">
        <v>10</v>
      </c>
      <c r="BA319">
        <v>11.4</v>
      </c>
      <c r="BB319">
        <v>10</v>
      </c>
    </row>
    <row r="320" spans="1:54" x14ac:dyDescent="0.35">
      <c r="A320" s="1">
        <v>46059.675000000003</v>
      </c>
      <c r="B320">
        <v>21.6</v>
      </c>
      <c r="C320">
        <v>3</v>
      </c>
      <c r="D320">
        <v>20.2</v>
      </c>
      <c r="E320">
        <v>2</v>
      </c>
      <c r="F320">
        <v>8.4</v>
      </c>
      <c r="G320">
        <v>11.9</v>
      </c>
      <c r="H320">
        <v>0</v>
      </c>
      <c r="I320">
        <v>14.8</v>
      </c>
      <c r="J320">
        <v>10.9</v>
      </c>
      <c r="K320">
        <v>0</v>
      </c>
      <c r="L320">
        <v>12.5</v>
      </c>
      <c r="M320">
        <v>16</v>
      </c>
      <c r="N320">
        <v>0</v>
      </c>
      <c r="O320">
        <v>14</v>
      </c>
      <c r="P320">
        <v>9.6</v>
      </c>
      <c r="Q320">
        <v>0</v>
      </c>
      <c r="R320">
        <v>9.8000000000000007</v>
      </c>
      <c r="S320">
        <v>13.1</v>
      </c>
      <c r="T320">
        <v>0</v>
      </c>
      <c r="U320">
        <v>-19.600000000000001</v>
      </c>
      <c r="V320">
        <v>-21.8</v>
      </c>
      <c r="W320">
        <v>-22</v>
      </c>
      <c r="X320">
        <v>-20</v>
      </c>
      <c r="Y320">
        <v>-18.399999999999999</v>
      </c>
      <c r="Z320">
        <v>-22</v>
      </c>
      <c r="AA320">
        <v>-5</v>
      </c>
      <c r="AB320">
        <v>-6.9</v>
      </c>
      <c r="AC320">
        <v>-5</v>
      </c>
      <c r="AD320">
        <v>14.5</v>
      </c>
      <c r="AE320">
        <v>12.3</v>
      </c>
      <c r="AF320">
        <v>0</v>
      </c>
      <c r="AG320">
        <v>11.2</v>
      </c>
      <c r="AH320">
        <v>10</v>
      </c>
      <c r="AI320">
        <v>10.4</v>
      </c>
      <c r="AJ320">
        <v>10</v>
      </c>
      <c r="AK320">
        <v>11.5</v>
      </c>
      <c r="AL320">
        <v>10</v>
      </c>
      <c r="AM320">
        <v>12.7</v>
      </c>
      <c r="AN320">
        <v>9</v>
      </c>
      <c r="AO320">
        <v>12</v>
      </c>
      <c r="AP320">
        <v>10</v>
      </c>
      <c r="AQ320">
        <v>11.5</v>
      </c>
      <c r="AR320">
        <v>10</v>
      </c>
      <c r="AS320">
        <v>8.6999999999999993</v>
      </c>
      <c r="AT320">
        <v>10</v>
      </c>
      <c r="AU320">
        <v>18.8</v>
      </c>
      <c r="AV320">
        <v>19</v>
      </c>
      <c r="AW320">
        <v>19.600000000000001</v>
      </c>
      <c r="AX320">
        <v>19</v>
      </c>
      <c r="AY320">
        <v>10.5</v>
      </c>
      <c r="AZ320">
        <v>10</v>
      </c>
      <c r="BA320">
        <v>10.7</v>
      </c>
      <c r="BB320">
        <v>10</v>
      </c>
    </row>
    <row r="321" spans="1:54" x14ac:dyDescent="0.35">
      <c r="A321" s="1">
        <v>46059.675694444442</v>
      </c>
      <c r="B321">
        <v>21.6</v>
      </c>
      <c r="C321">
        <v>3</v>
      </c>
      <c r="D321">
        <v>20.2</v>
      </c>
      <c r="E321">
        <v>2</v>
      </c>
      <c r="F321">
        <v>8.4</v>
      </c>
      <c r="G321">
        <v>11.9</v>
      </c>
      <c r="H321">
        <v>0</v>
      </c>
      <c r="I321">
        <v>14.8</v>
      </c>
      <c r="J321">
        <v>10.9</v>
      </c>
      <c r="K321">
        <v>0</v>
      </c>
      <c r="L321">
        <v>12.5</v>
      </c>
      <c r="M321">
        <v>16</v>
      </c>
      <c r="N321">
        <v>0</v>
      </c>
      <c r="O321">
        <v>14</v>
      </c>
      <c r="P321">
        <v>9.6</v>
      </c>
      <c r="Q321">
        <v>0</v>
      </c>
      <c r="R321">
        <v>9.8000000000000007</v>
      </c>
      <c r="S321">
        <v>13.1</v>
      </c>
      <c r="T321">
        <v>0</v>
      </c>
      <c r="U321">
        <v>-19.600000000000001</v>
      </c>
      <c r="V321">
        <v>-21.6</v>
      </c>
      <c r="W321">
        <v>-22</v>
      </c>
      <c r="X321">
        <v>-20</v>
      </c>
      <c r="Y321">
        <v>-18.399999999999999</v>
      </c>
      <c r="Z321">
        <v>-22</v>
      </c>
      <c r="AA321">
        <v>-4.3</v>
      </c>
      <c r="AB321">
        <v>-4.8</v>
      </c>
      <c r="AC321">
        <v>-5</v>
      </c>
      <c r="AD321">
        <v>14.5</v>
      </c>
      <c r="AE321">
        <v>12.3</v>
      </c>
      <c r="AF321">
        <v>0</v>
      </c>
      <c r="AG321">
        <v>11.4</v>
      </c>
      <c r="AH321">
        <v>10</v>
      </c>
      <c r="AI321">
        <v>10.6</v>
      </c>
      <c r="AJ321">
        <v>10</v>
      </c>
      <c r="AK321">
        <v>11.6</v>
      </c>
      <c r="AL321">
        <v>10</v>
      </c>
      <c r="AM321">
        <v>12.8</v>
      </c>
      <c r="AN321">
        <v>9</v>
      </c>
      <c r="AO321">
        <v>11.4</v>
      </c>
      <c r="AP321">
        <v>10</v>
      </c>
      <c r="AQ321">
        <v>11.3</v>
      </c>
      <c r="AR321">
        <v>10</v>
      </c>
      <c r="AS321">
        <v>8.1999999999999993</v>
      </c>
      <c r="AT321">
        <v>10</v>
      </c>
      <c r="AU321">
        <v>18.8</v>
      </c>
      <c r="AV321">
        <v>19</v>
      </c>
      <c r="AW321">
        <v>19.600000000000001</v>
      </c>
      <c r="AX321">
        <v>19</v>
      </c>
      <c r="AY321">
        <v>10.9</v>
      </c>
      <c r="AZ321">
        <v>10</v>
      </c>
      <c r="BA321">
        <v>9.9</v>
      </c>
      <c r="BB321">
        <v>10</v>
      </c>
    </row>
    <row r="322" spans="1:54" x14ac:dyDescent="0.35">
      <c r="A322" s="1">
        <v>46059.676388888889</v>
      </c>
      <c r="B322">
        <v>21.6</v>
      </c>
      <c r="C322">
        <v>3</v>
      </c>
      <c r="D322">
        <v>20.2</v>
      </c>
      <c r="E322">
        <v>2</v>
      </c>
      <c r="F322">
        <v>8.4</v>
      </c>
      <c r="G322">
        <v>11.9</v>
      </c>
      <c r="H322">
        <v>0</v>
      </c>
      <c r="I322">
        <v>14.8</v>
      </c>
      <c r="J322">
        <v>10.9</v>
      </c>
      <c r="K322">
        <v>0</v>
      </c>
      <c r="L322">
        <v>12.5</v>
      </c>
      <c r="M322">
        <v>16</v>
      </c>
      <c r="N322">
        <v>0</v>
      </c>
      <c r="O322">
        <v>14.1</v>
      </c>
      <c r="P322">
        <v>9.6</v>
      </c>
      <c r="Q322">
        <v>0</v>
      </c>
      <c r="R322">
        <v>9.8000000000000007</v>
      </c>
      <c r="S322">
        <v>13.1</v>
      </c>
      <c r="T322">
        <v>0</v>
      </c>
      <c r="U322">
        <v>-19.600000000000001</v>
      </c>
      <c r="V322">
        <v>-22</v>
      </c>
      <c r="W322">
        <v>-22</v>
      </c>
      <c r="X322">
        <v>-20</v>
      </c>
      <c r="Y322">
        <v>-18.399999999999999</v>
      </c>
      <c r="Z322">
        <v>-22</v>
      </c>
      <c r="AA322">
        <v>-3.3</v>
      </c>
      <c r="AB322">
        <v>-3.4</v>
      </c>
      <c r="AC322">
        <v>-5</v>
      </c>
      <c r="AD322">
        <v>14.4</v>
      </c>
      <c r="AE322">
        <v>12.3</v>
      </c>
      <c r="AF322">
        <v>0</v>
      </c>
      <c r="AG322">
        <v>11.5</v>
      </c>
      <c r="AH322">
        <v>10</v>
      </c>
      <c r="AI322">
        <v>10.8</v>
      </c>
      <c r="AJ322">
        <v>10</v>
      </c>
      <c r="AK322">
        <v>11.7</v>
      </c>
      <c r="AL322">
        <v>10</v>
      </c>
      <c r="AM322">
        <v>12.8</v>
      </c>
      <c r="AN322">
        <v>9</v>
      </c>
      <c r="AO322">
        <v>10.7</v>
      </c>
      <c r="AP322">
        <v>10</v>
      </c>
      <c r="AQ322">
        <v>11.3</v>
      </c>
      <c r="AR322">
        <v>10</v>
      </c>
      <c r="AS322">
        <v>8.5</v>
      </c>
      <c r="AT322">
        <v>10</v>
      </c>
      <c r="AU322">
        <v>18.8</v>
      </c>
      <c r="AV322">
        <v>19</v>
      </c>
      <c r="AW322">
        <v>19.600000000000001</v>
      </c>
      <c r="AX322">
        <v>19</v>
      </c>
      <c r="AY322">
        <v>11.1</v>
      </c>
      <c r="AZ322">
        <v>10</v>
      </c>
      <c r="BA322">
        <v>9.6999999999999993</v>
      </c>
      <c r="BB322">
        <v>10</v>
      </c>
    </row>
    <row r="323" spans="1:54" x14ac:dyDescent="0.35">
      <c r="A323" s="1">
        <v>46059.677083333336</v>
      </c>
      <c r="B323">
        <v>21.6</v>
      </c>
      <c r="C323">
        <v>3</v>
      </c>
      <c r="D323">
        <v>20.2</v>
      </c>
      <c r="E323">
        <v>2</v>
      </c>
      <c r="F323">
        <v>8.4</v>
      </c>
      <c r="G323">
        <v>11.9</v>
      </c>
      <c r="H323">
        <v>0</v>
      </c>
      <c r="I323">
        <v>14.9</v>
      </c>
      <c r="J323">
        <v>10.9</v>
      </c>
      <c r="K323">
        <v>0</v>
      </c>
      <c r="L323">
        <v>12.5</v>
      </c>
      <c r="M323">
        <v>16</v>
      </c>
      <c r="N323">
        <v>0</v>
      </c>
      <c r="O323">
        <v>14.1</v>
      </c>
      <c r="P323">
        <v>9.6</v>
      </c>
      <c r="Q323">
        <v>0</v>
      </c>
      <c r="R323">
        <v>9.8000000000000007</v>
      </c>
      <c r="S323">
        <v>13.1</v>
      </c>
      <c r="T323">
        <v>0</v>
      </c>
      <c r="U323">
        <v>-19.600000000000001</v>
      </c>
      <c r="V323">
        <v>-21.7</v>
      </c>
      <c r="W323">
        <v>-22</v>
      </c>
      <c r="X323">
        <v>-20</v>
      </c>
      <c r="Y323">
        <v>-18.5</v>
      </c>
      <c r="Z323">
        <v>-22</v>
      </c>
      <c r="AA323">
        <v>-2.5</v>
      </c>
      <c r="AB323">
        <v>-2.7</v>
      </c>
      <c r="AC323">
        <v>-5</v>
      </c>
      <c r="AD323">
        <v>14.4</v>
      </c>
      <c r="AE323">
        <v>12.2</v>
      </c>
      <c r="AF323">
        <v>0</v>
      </c>
      <c r="AG323">
        <v>11.6</v>
      </c>
      <c r="AH323">
        <v>10</v>
      </c>
      <c r="AI323">
        <v>10.9</v>
      </c>
      <c r="AJ323">
        <v>10</v>
      </c>
      <c r="AK323">
        <v>11.7</v>
      </c>
      <c r="AL323">
        <v>10</v>
      </c>
      <c r="AM323">
        <v>12.8</v>
      </c>
      <c r="AN323">
        <v>9</v>
      </c>
      <c r="AO323">
        <v>10.3</v>
      </c>
      <c r="AP323">
        <v>10</v>
      </c>
      <c r="AQ323">
        <v>11.3</v>
      </c>
      <c r="AR323">
        <v>10</v>
      </c>
      <c r="AS323">
        <v>9.1</v>
      </c>
      <c r="AT323">
        <v>10</v>
      </c>
      <c r="AU323">
        <v>18.8</v>
      </c>
      <c r="AV323">
        <v>19</v>
      </c>
      <c r="AW323">
        <v>19.7</v>
      </c>
      <c r="AX323">
        <v>19</v>
      </c>
      <c r="AY323">
        <v>11.4</v>
      </c>
      <c r="AZ323">
        <v>10</v>
      </c>
      <c r="BA323">
        <v>10</v>
      </c>
      <c r="BB323">
        <v>10</v>
      </c>
    </row>
    <row r="324" spans="1:54" x14ac:dyDescent="0.35">
      <c r="A324" s="1">
        <v>46059.677777777775</v>
      </c>
      <c r="B324">
        <v>21.6</v>
      </c>
      <c r="C324">
        <v>3</v>
      </c>
      <c r="D324">
        <v>20.2</v>
      </c>
      <c r="E324">
        <v>2</v>
      </c>
      <c r="F324">
        <v>8.4</v>
      </c>
      <c r="G324">
        <v>11.9</v>
      </c>
      <c r="H324">
        <v>0</v>
      </c>
      <c r="I324">
        <v>14.9</v>
      </c>
      <c r="J324">
        <v>10.9</v>
      </c>
      <c r="K324">
        <v>0</v>
      </c>
      <c r="L324">
        <v>12.6</v>
      </c>
      <c r="M324">
        <v>16</v>
      </c>
      <c r="N324">
        <v>0</v>
      </c>
      <c r="O324">
        <v>14.1</v>
      </c>
      <c r="P324">
        <v>9.6</v>
      </c>
      <c r="Q324">
        <v>0</v>
      </c>
      <c r="R324">
        <v>9.8000000000000007</v>
      </c>
      <c r="S324">
        <v>13.1</v>
      </c>
      <c r="T324">
        <v>0</v>
      </c>
      <c r="U324">
        <v>-19.600000000000001</v>
      </c>
      <c r="V324">
        <v>-21.9</v>
      </c>
      <c r="W324">
        <v>-22</v>
      </c>
      <c r="X324">
        <v>-20</v>
      </c>
      <c r="Y324">
        <v>-18.5</v>
      </c>
      <c r="Z324">
        <v>-22</v>
      </c>
      <c r="AA324">
        <v>-2.5</v>
      </c>
      <c r="AB324">
        <v>-3.6</v>
      </c>
      <c r="AC324">
        <v>-5</v>
      </c>
      <c r="AD324">
        <v>14.3</v>
      </c>
      <c r="AE324">
        <v>12.2</v>
      </c>
      <c r="AF324">
        <v>0</v>
      </c>
      <c r="AG324">
        <v>11.7</v>
      </c>
      <c r="AH324">
        <v>10</v>
      </c>
      <c r="AI324">
        <v>11</v>
      </c>
      <c r="AJ324">
        <v>10</v>
      </c>
      <c r="AK324">
        <v>11.8</v>
      </c>
      <c r="AL324">
        <v>10</v>
      </c>
      <c r="AM324">
        <v>12.8</v>
      </c>
      <c r="AN324">
        <v>9</v>
      </c>
      <c r="AO324">
        <v>10.3</v>
      </c>
      <c r="AP324">
        <v>10</v>
      </c>
      <c r="AQ324">
        <v>11.3</v>
      </c>
      <c r="AR324">
        <v>10</v>
      </c>
      <c r="AS324">
        <v>9.6999999999999993</v>
      </c>
      <c r="AT324">
        <v>10</v>
      </c>
      <c r="AU324">
        <v>18.8</v>
      </c>
      <c r="AV324">
        <v>19</v>
      </c>
      <c r="AW324">
        <v>19.7</v>
      </c>
      <c r="AX324">
        <v>19</v>
      </c>
      <c r="AY324">
        <v>11.6</v>
      </c>
      <c r="AZ324">
        <v>10</v>
      </c>
      <c r="BA324">
        <v>10.4</v>
      </c>
      <c r="BB324">
        <v>10</v>
      </c>
    </row>
    <row r="325" spans="1:54" x14ac:dyDescent="0.35">
      <c r="A325" s="1">
        <v>46059.678472222222</v>
      </c>
      <c r="B325">
        <v>21.6</v>
      </c>
      <c r="C325">
        <v>3</v>
      </c>
      <c r="D325">
        <v>20.2</v>
      </c>
      <c r="E325">
        <v>2</v>
      </c>
      <c r="F325">
        <v>8.4</v>
      </c>
      <c r="G325">
        <v>11.9</v>
      </c>
      <c r="H325">
        <v>0</v>
      </c>
      <c r="I325">
        <v>14.9</v>
      </c>
      <c r="J325">
        <v>10.9</v>
      </c>
      <c r="K325">
        <v>0</v>
      </c>
      <c r="L325">
        <v>12.6</v>
      </c>
      <c r="M325">
        <v>16</v>
      </c>
      <c r="N325">
        <v>0</v>
      </c>
      <c r="O325">
        <v>14.1</v>
      </c>
      <c r="P325">
        <v>9.6</v>
      </c>
      <c r="Q325">
        <v>0</v>
      </c>
      <c r="R325">
        <v>9.8000000000000007</v>
      </c>
      <c r="S325">
        <v>13.2</v>
      </c>
      <c r="T325">
        <v>0</v>
      </c>
      <c r="U325">
        <v>-19.600000000000001</v>
      </c>
      <c r="V325">
        <v>-21.7</v>
      </c>
      <c r="W325">
        <v>-22</v>
      </c>
      <c r="X325">
        <v>-20</v>
      </c>
      <c r="Y325">
        <v>-18.5</v>
      </c>
      <c r="Z325">
        <v>-22</v>
      </c>
      <c r="AA325">
        <v>-2.9</v>
      </c>
      <c r="AB325">
        <v>-4.4000000000000004</v>
      </c>
      <c r="AC325">
        <v>-5</v>
      </c>
      <c r="AD325">
        <v>14.3</v>
      </c>
      <c r="AE325">
        <v>12.2</v>
      </c>
      <c r="AF325">
        <v>0</v>
      </c>
      <c r="AG325">
        <v>11.8</v>
      </c>
      <c r="AH325">
        <v>10</v>
      </c>
      <c r="AI325">
        <v>11.2</v>
      </c>
      <c r="AJ325">
        <v>10</v>
      </c>
      <c r="AK325">
        <v>11.8</v>
      </c>
      <c r="AL325">
        <v>10</v>
      </c>
      <c r="AM325">
        <v>12.8</v>
      </c>
      <c r="AN325">
        <v>9</v>
      </c>
      <c r="AO325">
        <v>10</v>
      </c>
      <c r="AP325">
        <v>10</v>
      </c>
      <c r="AQ325">
        <v>11.3</v>
      </c>
      <c r="AR325">
        <v>10</v>
      </c>
      <c r="AS325">
        <v>10.1</v>
      </c>
      <c r="AT325">
        <v>10</v>
      </c>
      <c r="AU325">
        <v>18.8</v>
      </c>
      <c r="AV325">
        <v>19</v>
      </c>
      <c r="AW325">
        <v>19.7</v>
      </c>
      <c r="AX325">
        <v>19</v>
      </c>
      <c r="AY325">
        <v>11.8</v>
      </c>
      <c r="AZ325">
        <v>10</v>
      </c>
      <c r="BA325">
        <v>10.8</v>
      </c>
      <c r="BB325">
        <v>10</v>
      </c>
    </row>
    <row r="326" spans="1:54" x14ac:dyDescent="0.35">
      <c r="A326" s="1">
        <v>46059.679166666669</v>
      </c>
      <c r="B326">
        <v>21.6</v>
      </c>
      <c r="C326">
        <v>3</v>
      </c>
      <c r="D326">
        <v>20.2</v>
      </c>
      <c r="E326">
        <v>2</v>
      </c>
      <c r="F326">
        <v>8.4</v>
      </c>
      <c r="G326">
        <v>11.9</v>
      </c>
      <c r="H326">
        <v>0</v>
      </c>
      <c r="I326">
        <v>14.9</v>
      </c>
      <c r="J326">
        <v>10.9</v>
      </c>
      <c r="K326">
        <v>0</v>
      </c>
      <c r="L326">
        <v>12.6</v>
      </c>
      <c r="M326">
        <v>16</v>
      </c>
      <c r="N326">
        <v>0</v>
      </c>
      <c r="O326">
        <v>14.1</v>
      </c>
      <c r="P326">
        <v>9.6</v>
      </c>
      <c r="Q326">
        <v>0</v>
      </c>
      <c r="R326">
        <v>9.8000000000000007</v>
      </c>
      <c r="S326">
        <v>13.2</v>
      </c>
      <c r="T326">
        <v>0</v>
      </c>
      <c r="U326">
        <v>-19.600000000000001</v>
      </c>
      <c r="V326">
        <v>-21.7</v>
      </c>
      <c r="W326">
        <v>-22</v>
      </c>
      <c r="X326">
        <v>-20</v>
      </c>
      <c r="Y326">
        <v>-18.5</v>
      </c>
      <c r="Z326">
        <v>-22</v>
      </c>
      <c r="AA326">
        <v>-3.2</v>
      </c>
      <c r="AB326">
        <v>-5</v>
      </c>
      <c r="AC326">
        <v>-5</v>
      </c>
      <c r="AD326">
        <v>14.3</v>
      </c>
      <c r="AE326">
        <v>12.2</v>
      </c>
      <c r="AF326">
        <v>0</v>
      </c>
      <c r="AG326">
        <v>11.9</v>
      </c>
      <c r="AH326">
        <v>10</v>
      </c>
      <c r="AI326">
        <v>11.3</v>
      </c>
      <c r="AJ326">
        <v>10</v>
      </c>
      <c r="AK326">
        <v>11.9</v>
      </c>
      <c r="AL326">
        <v>10</v>
      </c>
      <c r="AM326">
        <v>12.8</v>
      </c>
      <c r="AN326">
        <v>9</v>
      </c>
      <c r="AO326">
        <v>10.4</v>
      </c>
      <c r="AP326">
        <v>10</v>
      </c>
      <c r="AQ326">
        <v>11.3</v>
      </c>
      <c r="AR326">
        <v>10</v>
      </c>
      <c r="AS326">
        <v>10.4</v>
      </c>
      <c r="AT326">
        <v>10</v>
      </c>
      <c r="AU326">
        <v>18.8</v>
      </c>
      <c r="AV326">
        <v>19</v>
      </c>
      <c r="AW326">
        <v>19.7</v>
      </c>
      <c r="AX326">
        <v>19</v>
      </c>
      <c r="AY326">
        <v>12</v>
      </c>
      <c r="AZ326">
        <v>10</v>
      </c>
      <c r="BA326">
        <v>11.1</v>
      </c>
      <c r="BB326">
        <v>10</v>
      </c>
    </row>
    <row r="327" spans="1:54" x14ac:dyDescent="0.35">
      <c r="A327" s="1">
        <v>46059.679861111108</v>
      </c>
      <c r="B327">
        <v>21.6</v>
      </c>
      <c r="C327">
        <v>3</v>
      </c>
      <c r="D327">
        <v>20.2</v>
      </c>
      <c r="E327">
        <v>2</v>
      </c>
      <c r="F327">
        <v>8.4</v>
      </c>
      <c r="G327">
        <v>11.9</v>
      </c>
      <c r="H327">
        <v>0</v>
      </c>
      <c r="I327">
        <v>14.9</v>
      </c>
      <c r="J327">
        <v>10.9</v>
      </c>
      <c r="K327">
        <v>0</v>
      </c>
      <c r="L327">
        <v>12.6</v>
      </c>
      <c r="M327">
        <v>16</v>
      </c>
      <c r="N327">
        <v>0</v>
      </c>
      <c r="O327">
        <v>14.1</v>
      </c>
      <c r="P327">
        <v>9.6</v>
      </c>
      <c r="Q327">
        <v>0</v>
      </c>
      <c r="R327">
        <v>9.9</v>
      </c>
      <c r="S327">
        <v>13.2</v>
      </c>
      <c r="T327">
        <v>0</v>
      </c>
      <c r="U327">
        <v>-19.600000000000001</v>
      </c>
      <c r="V327">
        <v>-22</v>
      </c>
      <c r="W327">
        <v>-22</v>
      </c>
      <c r="X327">
        <v>-20.100000000000001</v>
      </c>
      <c r="Y327">
        <v>-18.5</v>
      </c>
      <c r="Z327">
        <v>-22</v>
      </c>
      <c r="AA327">
        <v>-3.6</v>
      </c>
      <c r="AB327">
        <v>-5.6</v>
      </c>
      <c r="AC327">
        <v>-5</v>
      </c>
      <c r="AD327">
        <v>14.2</v>
      </c>
      <c r="AE327">
        <v>12.1</v>
      </c>
      <c r="AF327">
        <v>0</v>
      </c>
      <c r="AG327">
        <v>12</v>
      </c>
      <c r="AH327">
        <v>10</v>
      </c>
      <c r="AI327">
        <v>11.4</v>
      </c>
      <c r="AJ327">
        <v>10</v>
      </c>
      <c r="AK327">
        <v>11.9</v>
      </c>
      <c r="AL327">
        <v>10</v>
      </c>
      <c r="AM327">
        <v>12.7</v>
      </c>
      <c r="AN327">
        <v>9</v>
      </c>
      <c r="AO327">
        <v>11.2</v>
      </c>
      <c r="AP327">
        <v>10</v>
      </c>
      <c r="AQ327">
        <v>11.2</v>
      </c>
      <c r="AR327">
        <v>10</v>
      </c>
      <c r="AS327">
        <v>10.7</v>
      </c>
      <c r="AT327">
        <v>10</v>
      </c>
      <c r="AU327">
        <v>18.8</v>
      </c>
      <c r="AV327">
        <v>19</v>
      </c>
      <c r="AW327">
        <v>19.600000000000001</v>
      </c>
      <c r="AX327">
        <v>19</v>
      </c>
      <c r="AY327">
        <v>11.8</v>
      </c>
      <c r="AZ327">
        <v>10</v>
      </c>
      <c r="BA327">
        <v>11.4</v>
      </c>
      <c r="BB327">
        <v>10</v>
      </c>
    </row>
    <row r="328" spans="1:54" x14ac:dyDescent="0.35">
      <c r="A328" s="1">
        <v>46059.680555555555</v>
      </c>
      <c r="B328">
        <v>21.6</v>
      </c>
      <c r="C328">
        <v>3</v>
      </c>
      <c r="D328">
        <v>20.3</v>
      </c>
      <c r="E328">
        <v>2</v>
      </c>
      <c r="F328">
        <v>8.5</v>
      </c>
      <c r="G328">
        <v>11.9</v>
      </c>
      <c r="H328">
        <v>0</v>
      </c>
      <c r="I328">
        <v>14.9</v>
      </c>
      <c r="J328">
        <v>10.9</v>
      </c>
      <c r="K328">
        <v>0</v>
      </c>
      <c r="L328">
        <v>12.6</v>
      </c>
      <c r="M328">
        <v>16</v>
      </c>
      <c r="N328">
        <v>0</v>
      </c>
      <c r="O328">
        <v>14.1</v>
      </c>
      <c r="P328">
        <v>9.6</v>
      </c>
      <c r="Q328">
        <v>0</v>
      </c>
      <c r="R328">
        <v>9.9</v>
      </c>
      <c r="S328">
        <v>13.2</v>
      </c>
      <c r="T328">
        <v>0</v>
      </c>
      <c r="U328">
        <v>-19.600000000000001</v>
      </c>
      <c r="V328">
        <v>-21.7</v>
      </c>
      <c r="W328">
        <v>-22</v>
      </c>
      <c r="X328">
        <v>-20.100000000000001</v>
      </c>
      <c r="Y328">
        <v>-18.5</v>
      </c>
      <c r="Z328">
        <v>-22</v>
      </c>
      <c r="AA328">
        <v>-4.0999999999999996</v>
      </c>
      <c r="AB328">
        <v>-6.2</v>
      </c>
      <c r="AC328">
        <v>-5</v>
      </c>
      <c r="AD328">
        <v>14.1</v>
      </c>
      <c r="AE328">
        <v>12.1</v>
      </c>
      <c r="AF328">
        <v>0</v>
      </c>
      <c r="AG328">
        <v>12</v>
      </c>
      <c r="AH328">
        <v>10</v>
      </c>
      <c r="AI328">
        <v>11.5</v>
      </c>
      <c r="AJ328">
        <v>10</v>
      </c>
      <c r="AK328">
        <v>11.9</v>
      </c>
      <c r="AL328">
        <v>10</v>
      </c>
      <c r="AM328">
        <v>12.7</v>
      </c>
      <c r="AN328">
        <v>9</v>
      </c>
      <c r="AO328">
        <v>11.7</v>
      </c>
      <c r="AP328">
        <v>10</v>
      </c>
      <c r="AQ328">
        <v>11.2</v>
      </c>
      <c r="AR328">
        <v>10</v>
      </c>
      <c r="AS328">
        <v>11</v>
      </c>
      <c r="AT328">
        <v>10</v>
      </c>
      <c r="AU328">
        <v>18.8</v>
      </c>
      <c r="AV328">
        <v>19</v>
      </c>
      <c r="AW328">
        <v>19.600000000000001</v>
      </c>
      <c r="AX328">
        <v>19</v>
      </c>
      <c r="AY328">
        <v>11</v>
      </c>
      <c r="AZ328">
        <v>10</v>
      </c>
      <c r="BA328">
        <v>11.7</v>
      </c>
      <c r="BB328">
        <v>10</v>
      </c>
    </row>
    <row r="329" spans="1:54" x14ac:dyDescent="0.35">
      <c r="A329" s="1">
        <v>46059.681250000001</v>
      </c>
      <c r="B329">
        <v>21.6</v>
      </c>
      <c r="C329">
        <v>3</v>
      </c>
      <c r="D329">
        <v>20.3</v>
      </c>
      <c r="E329">
        <v>2</v>
      </c>
      <c r="F329">
        <v>8.5</v>
      </c>
      <c r="G329">
        <v>11.9</v>
      </c>
      <c r="H329">
        <v>0</v>
      </c>
      <c r="I329">
        <v>14.9</v>
      </c>
      <c r="J329">
        <v>10.9</v>
      </c>
      <c r="K329">
        <v>0</v>
      </c>
      <c r="L329">
        <v>12.6</v>
      </c>
      <c r="M329">
        <v>16</v>
      </c>
      <c r="N329">
        <v>0</v>
      </c>
      <c r="O329">
        <v>14.1</v>
      </c>
      <c r="P329">
        <v>9.6999999999999993</v>
      </c>
      <c r="Q329">
        <v>0</v>
      </c>
      <c r="R329">
        <v>9.9</v>
      </c>
      <c r="S329">
        <v>13.2</v>
      </c>
      <c r="T329">
        <v>0</v>
      </c>
      <c r="U329">
        <v>-19.600000000000001</v>
      </c>
      <c r="V329">
        <v>-22.1</v>
      </c>
      <c r="W329">
        <v>-22</v>
      </c>
      <c r="X329">
        <v>-20.100000000000001</v>
      </c>
      <c r="Y329">
        <v>-18.5</v>
      </c>
      <c r="Z329">
        <v>-22</v>
      </c>
      <c r="AA329">
        <v>-4.5</v>
      </c>
      <c r="AB329">
        <v>-6.6</v>
      </c>
      <c r="AC329">
        <v>-5</v>
      </c>
      <c r="AD329">
        <v>14.1</v>
      </c>
      <c r="AE329">
        <v>12.1</v>
      </c>
      <c r="AF329">
        <v>0</v>
      </c>
      <c r="AG329">
        <v>11.3</v>
      </c>
      <c r="AH329">
        <v>10</v>
      </c>
      <c r="AI329">
        <v>11.6</v>
      </c>
      <c r="AJ329">
        <v>10</v>
      </c>
      <c r="AK329">
        <v>10.9</v>
      </c>
      <c r="AL329">
        <v>10</v>
      </c>
      <c r="AM329">
        <v>12.7</v>
      </c>
      <c r="AN329">
        <v>9</v>
      </c>
      <c r="AO329">
        <v>11.9</v>
      </c>
      <c r="AP329">
        <v>10</v>
      </c>
      <c r="AQ329">
        <v>11.2</v>
      </c>
      <c r="AR329">
        <v>10</v>
      </c>
      <c r="AS329">
        <v>11.3</v>
      </c>
      <c r="AT329">
        <v>10</v>
      </c>
      <c r="AU329">
        <v>18.8</v>
      </c>
      <c r="AV329">
        <v>19</v>
      </c>
      <c r="AW329">
        <v>19.600000000000001</v>
      </c>
      <c r="AX329">
        <v>19</v>
      </c>
      <c r="AY329">
        <v>10.3</v>
      </c>
      <c r="AZ329">
        <v>10</v>
      </c>
      <c r="BA329">
        <v>11.9</v>
      </c>
      <c r="BB329">
        <v>10</v>
      </c>
    </row>
    <row r="330" spans="1:54" x14ac:dyDescent="0.35">
      <c r="A330" s="1">
        <v>46059.681944444441</v>
      </c>
      <c r="B330">
        <v>21.6</v>
      </c>
      <c r="C330">
        <v>3</v>
      </c>
      <c r="D330">
        <v>20.3</v>
      </c>
      <c r="E330">
        <v>2</v>
      </c>
      <c r="F330">
        <v>8.5</v>
      </c>
      <c r="G330">
        <v>11.9</v>
      </c>
      <c r="H330">
        <v>0</v>
      </c>
      <c r="I330">
        <v>14.9</v>
      </c>
      <c r="J330">
        <v>10.9</v>
      </c>
      <c r="K330">
        <v>0</v>
      </c>
      <c r="L330">
        <v>12.6</v>
      </c>
      <c r="M330">
        <v>16.100000000000001</v>
      </c>
      <c r="N330">
        <v>0</v>
      </c>
      <c r="O330">
        <v>14.1</v>
      </c>
      <c r="P330">
        <v>9.6999999999999993</v>
      </c>
      <c r="Q330">
        <v>0</v>
      </c>
      <c r="R330">
        <v>9.9</v>
      </c>
      <c r="S330">
        <v>13.2</v>
      </c>
      <c r="T330">
        <v>0</v>
      </c>
      <c r="U330">
        <v>-19.600000000000001</v>
      </c>
      <c r="V330">
        <v>-21.8</v>
      </c>
      <c r="W330">
        <v>-22</v>
      </c>
      <c r="X330">
        <v>-20.100000000000001</v>
      </c>
      <c r="Y330">
        <v>-18.5</v>
      </c>
      <c r="Z330">
        <v>-22</v>
      </c>
      <c r="AA330">
        <v>-4.9000000000000004</v>
      </c>
      <c r="AB330">
        <v>-7</v>
      </c>
      <c r="AC330">
        <v>-5</v>
      </c>
      <c r="AD330">
        <v>14</v>
      </c>
      <c r="AE330">
        <v>12</v>
      </c>
      <c r="AF330">
        <v>0</v>
      </c>
      <c r="AG330">
        <v>10.6</v>
      </c>
      <c r="AH330">
        <v>10</v>
      </c>
      <c r="AI330">
        <v>11.7</v>
      </c>
      <c r="AJ330">
        <v>10</v>
      </c>
      <c r="AK330">
        <v>9.9</v>
      </c>
      <c r="AL330">
        <v>10</v>
      </c>
      <c r="AM330">
        <v>12.7</v>
      </c>
      <c r="AN330">
        <v>9</v>
      </c>
      <c r="AO330">
        <v>11.8</v>
      </c>
      <c r="AP330">
        <v>10</v>
      </c>
      <c r="AQ330">
        <v>11.2</v>
      </c>
      <c r="AR330">
        <v>10</v>
      </c>
      <c r="AS330">
        <v>11.5</v>
      </c>
      <c r="AT330">
        <v>10</v>
      </c>
      <c r="AU330">
        <v>18.8</v>
      </c>
      <c r="AV330">
        <v>19</v>
      </c>
      <c r="AW330">
        <v>19.600000000000001</v>
      </c>
      <c r="AX330">
        <v>19</v>
      </c>
      <c r="AY330">
        <v>9.6999999999999993</v>
      </c>
      <c r="AZ330">
        <v>10</v>
      </c>
      <c r="BA330">
        <v>12</v>
      </c>
      <c r="BB330">
        <v>10</v>
      </c>
    </row>
    <row r="331" spans="1:54" x14ac:dyDescent="0.35">
      <c r="A331" s="1">
        <v>46059.682638888888</v>
      </c>
      <c r="B331">
        <v>21.6</v>
      </c>
      <c r="C331">
        <v>3</v>
      </c>
      <c r="D331">
        <v>20.3</v>
      </c>
      <c r="E331">
        <v>2</v>
      </c>
      <c r="F331">
        <v>8.5</v>
      </c>
      <c r="G331">
        <v>11.9</v>
      </c>
      <c r="H331">
        <v>0</v>
      </c>
      <c r="I331">
        <v>14.9</v>
      </c>
      <c r="J331">
        <v>10.9</v>
      </c>
      <c r="K331">
        <v>0</v>
      </c>
      <c r="L331">
        <v>12.6</v>
      </c>
      <c r="M331">
        <v>16.100000000000001</v>
      </c>
      <c r="N331">
        <v>0</v>
      </c>
      <c r="O331">
        <v>14.1</v>
      </c>
      <c r="P331">
        <v>9.6999999999999993</v>
      </c>
      <c r="Q331">
        <v>0</v>
      </c>
      <c r="R331">
        <v>9.9</v>
      </c>
      <c r="S331">
        <v>13.2</v>
      </c>
      <c r="T331">
        <v>0</v>
      </c>
      <c r="U331">
        <v>-19.600000000000001</v>
      </c>
      <c r="V331">
        <v>-21.8</v>
      </c>
      <c r="W331">
        <v>-22</v>
      </c>
      <c r="X331">
        <v>-20.100000000000001</v>
      </c>
      <c r="Y331">
        <v>-18.600000000000001</v>
      </c>
      <c r="Z331">
        <v>-22</v>
      </c>
      <c r="AA331">
        <v>-5</v>
      </c>
      <c r="AB331">
        <v>-6.9</v>
      </c>
      <c r="AC331">
        <v>-5</v>
      </c>
      <c r="AD331">
        <v>14</v>
      </c>
      <c r="AE331">
        <v>12</v>
      </c>
      <c r="AF331">
        <v>0</v>
      </c>
      <c r="AG331">
        <v>9.9</v>
      </c>
      <c r="AH331">
        <v>10</v>
      </c>
      <c r="AI331">
        <v>11.8</v>
      </c>
      <c r="AJ331">
        <v>10</v>
      </c>
      <c r="AK331">
        <v>9.6999999999999993</v>
      </c>
      <c r="AL331">
        <v>10</v>
      </c>
      <c r="AM331">
        <v>12.8</v>
      </c>
      <c r="AN331">
        <v>9</v>
      </c>
      <c r="AO331">
        <v>10.9</v>
      </c>
      <c r="AP331">
        <v>10</v>
      </c>
      <c r="AQ331">
        <v>11.1</v>
      </c>
      <c r="AR331">
        <v>10</v>
      </c>
      <c r="AS331">
        <v>11.7</v>
      </c>
      <c r="AT331">
        <v>10</v>
      </c>
      <c r="AU331">
        <v>18.8</v>
      </c>
      <c r="AV331">
        <v>19</v>
      </c>
      <c r="AW331">
        <v>19.600000000000001</v>
      </c>
      <c r="AX331">
        <v>19</v>
      </c>
      <c r="AY331">
        <v>9.8000000000000007</v>
      </c>
      <c r="AZ331">
        <v>10</v>
      </c>
      <c r="BA331">
        <v>11.2</v>
      </c>
      <c r="BB331">
        <v>10</v>
      </c>
    </row>
    <row r="332" spans="1:54" x14ac:dyDescent="0.35">
      <c r="A332" s="1">
        <v>46059.683333333334</v>
      </c>
      <c r="B332">
        <v>21.6</v>
      </c>
      <c r="C332">
        <v>3</v>
      </c>
      <c r="D332">
        <v>20.3</v>
      </c>
      <c r="E332">
        <v>2</v>
      </c>
      <c r="F332">
        <v>8.5</v>
      </c>
      <c r="G332">
        <v>11.9</v>
      </c>
      <c r="H332">
        <v>0</v>
      </c>
      <c r="I332">
        <v>14.9</v>
      </c>
      <c r="J332">
        <v>10.9</v>
      </c>
      <c r="K332">
        <v>0</v>
      </c>
      <c r="L332">
        <v>12.6</v>
      </c>
      <c r="M332">
        <v>16.100000000000001</v>
      </c>
      <c r="N332">
        <v>0</v>
      </c>
      <c r="O332">
        <v>14.1</v>
      </c>
      <c r="P332">
        <v>9.6999999999999993</v>
      </c>
      <c r="Q332">
        <v>0</v>
      </c>
      <c r="R332">
        <v>9.9</v>
      </c>
      <c r="S332">
        <v>13.2</v>
      </c>
      <c r="T332">
        <v>0</v>
      </c>
      <c r="U332">
        <v>-19.7</v>
      </c>
      <c r="V332">
        <v>-21.9</v>
      </c>
      <c r="W332">
        <v>-22</v>
      </c>
      <c r="X332">
        <v>-20.100000000000001</v>
      </c>
      <c r="Y332">
        <v>-18.600000000000001</v>
      </c>
      <c r="Z332">
        <v>-22</v>
      </c>
      <c r="AA332">
        <v>-4.5</v>
      </c>
      <c r="AB332">
        <v>-5</v>
      </c>
      <c r="AC332">
        <v>-5</v>
      </c>
      <c r="AD332">
        <v>14</v>
      </c>
      <c r="AE332">
        <v>12</v>
      </c>
      <c r="AF332">
        <v>0</v>
      </c>
      <c r="AG332">
        <v>9.6999999999999993</v>
      </c>
      <c r="AH332">
        <v>10</v>
      </c>
      <c r="AI332">
        <v>11.9</v>
      </c>
      <c r="AJ332">
        <v>10</v>
      </c>
      <c r="AK332">
        <v>10.199999999999999</v>
      </c>
      <c r="AL332">
        <v>10</v>
      </c>
      <c r="AM332">
        <v>12.8</v>
      </c>
      <c r="AN332">
        <v>9</v>
      </c>
      <c r="AO332">
        <v>10.3</v>
      </c>
      <c r="AP332">
        <v>10</v>
      </c>
      <c r="AQ332">
        <v>11.1</v>
      </c>
      <c r="AR332">
        <v>10</v>
      </c>
      <c r="AS332">
        <v>11.8</v>
      </c>
      <c r="AT332">
        <v>10</v>
      </c>
      <c r="AU332">
        <v>18.8</v>
      </c>
      <c r="AV332">
        <v>19</v>
      </c>
      <c r="AW332">
        <v>19.600000000000001</v>
      </c>
      <c r="AX332">
        <v>19</v>
      </c>
      <c r="AY332">
        <v>10.199999999999999</v>
      </c>
      <c r="AZ332">
        <v>10</v>
      </c>
      <c r="BA332">
        <v>10.5</v>
      </c>
      <c r="BB332">
        <v>10</v>
      </c>
    </row>
    <row r="333" spans="1:54" x14ac:dyDescent="0.35">
      <c r="A333" s="1">
        <v>46059.684027777781</v>
      </c>
      <c r="B333">
        <v>21.6</v>
      </c>
      <c r="C333">
        <v>3</v>
      </c>
      <c r="D333">
        <v>20.3</v>
      </c>
      <c r="E333">
        <v>2</v>
      </c>
      <c r="F333">
        <v>8.5</v>
      </c>
      <c r="G333">
        <v>12</v>
      </c>
      <c r="H333">
        <v>0</v>
      </c>
      <c r="I333">
        <v>14.9</v>
      </c>
      <c r="J333">
        <v>10.9</v>
      </c>
      <c r="K333">
        <v>0</v>
      </c>
      <c r="L333">
        <v>12.6</v>
      </c>
      <c r="M333">
        <v>16.100000000000001</v>
      </c>
      <c r="N333">
        <v>0</v>
      </c>
      <c r="O333">
        <v>14.1</v>
      </c>
      <c r="P333">
        <v>9.6999999999999993</v>
      </c>
      <c r="Q333">
        <v>0</v>
      </c>
      <c r="R333">
        <v>9.9</v>
      </c>
      <c r="S333">
        <v>13.2</v>
      </c>
      <c r="T333">
        <v>0</v>
      </c>
      <c r="U333">
        <v>-19.7</v>
      </c>
      <c r="V333">
        <v>-21.8</v>
      </c>
      <c r="W333">
        <v>-22</v>
      </c>
      <c r="X333">
        <v>-20.100000000000001</v>
      </c>
      <c r="Y333">
        <v>-18.600000000000001</v>
      </c>
      <c r="Z333">
        <v>-22</v>
      </c>
      <c r="AA333">
        <v>-3.3</v>
      </c>
      <c r="AB333">
        <v>-3.3</v>
      </c>
      <c r="AC333">
        <v>-5</v>
      </c>
      <c r="AD333">
        <v>14</v>
      </c>
      <c r="AE333">
        <v>12</v>
      </c>
      <c r="AF333">
        <v>0</v>
      </c>
      <c r="AG333">
        <v>9.8000000000000007</v>
      </c>
      <c r="AH333">
        <v>10</v>
      </c>
      <c r="AI333">
        <v>11.9</v>
      </c>
      <c r="AJ333">
        <v>10</v>
      </c>
      <c r="AK333">
        <v>10.6</v>
      </c>
      <c r="AL333">
        <v>10</v>
      </c>
      <c r="AM333">
        <v>12.8</v>
      </c>
      <c r="AN333">
        <v>9</v>
      </c>
      <c r="AO333">
        <v>10.199999999999999</v>
      </c>
      <c r="AP333">
        <v>10</v>
      </c>
      <c r="AQ333">
        <v>11.1</v>
      </c>
      <c r="AR333">
        <v>10</v>
      </c>
      <c r="AS333">
        <v>11.9</v>
      </c>
      <c r="AT333">
        <v>10</v>
      </c>
      <c r="AU333">
        <v>18.8</v>
      </c>
      <c r="AV333">
        <v>19</v>
      </c>
      <c r="AW333">
        <v>19.600000000000001</v>
      </c>
      <c r="AX333">
        <v>19</v>
      </c>
      <c r="AY333">
        <v>10.6</v>
      </c>
      <c r="AZ333">
        <v>10</v>
      </c>
      <c r="BA333">
        <v>9.9</v>
      </c>
      <c r="BB333">
        <v>10</v>
      </c>
    </row>
    <row r="334" spans="1:54" x14ac:dyDescent="0.35">
      <c r="A334" s="1">
        <v>46059.68472222222</v>
      </c>
      <c r="B334">
        <v>21.6</v>
      </c>
      <c r="C334">
        <v>3</v>
      </c>
      <c r="D334">
        <v>20.3</v>
      </c>
      <c r="E334">
        <v>2</v>
      </c>
      <c r="F334">
        <v>8.5</v>
      </c>
      <c r="G334">
        <v>12</v>
      </c>
      <c r="H334">
        <v>0</v>
      </c>
      <c r="I334">
        <v>14.9</v>
      </c>
      <c r="J334">
        <v>10.9</v>
      </c>
      <c r="K334">
        <v>0</v>
      </c>
      <c r="L334">
        <v>12.6</v>
      </c>
      <c r="M334">
        <v>16.100000000000001</v>
      </c>
      <c r="N334">
        <v>0</v>
      </c>
      <c r="O334">
        <v>14.1</v>
      </c>
      <c r="P334">
        <v>9.6999999999999993</v>
      </c>
      <c r="Q334">
        <v>0</v>
      </c>
      <c r="R334">
        <v>9.9</v>
      </c>
      <c r="S334">
        <v>13.2</v>
      </c>
      <c r="T334">
        <v>0</v>
      </c>
      <c r="U334">
        <v>-19.7</v>
      </c>
      <c r="V334">
        <v>-21.9</v>
      </c>
      <c r="W334">
        <v>-22</v>
      </c>
      <c r="X334">
        <v>-20.100000000000001</v>
      </c>
      <c r="Y334">
        <v>-18.600000000000001</v>
      </c>
      <c r="Z334">
        <v>-22</v>
      </c>
      <c r="AA334">
        <v>-2.6</v>
      </c>
      <c r="AB334">
        <v>-2.9</v>
      </c>
      <c r="AC334">
        <v>-5</v>
      </c>
      <c r="AD334">
        <v>13.9</v>
      </c>
      <c r="AE334">
        <v>12</v>
      </c>
      <c r="AF334">
        <v>0</v>
      </c>
      <c r="AG334">
        <v>10.1</v>
      </c>
      <c r="AH334">
        <v>10</v>
      </c>
      <c r="AI334">
        <v>11.8</v>
      </c>
      <c r="AJ334">
        <v>10</v>
      </c>
      <c r="AK334">
        <v>10.9</v>
      </c>
      <c r="AL334">
        <v>10</v>
      </c>
      <c r="AM334">
        <v>12.8</v>
      </c>
      <c r="AN334">
        <v>9</v>
      </c>
      <c r="AO334">
        <v>10</v>
      </c>
      <c r="AP334">
        <v>10</v>
      </c>
      <c r="AQ334">
        <v>11.2</v>
      </c>
      <c r="AR334">
        <v>10</v>
      </c>
      <c r="AS334">
        <v>9.6999999999999993</v>
      </c>
      <c r="AT334">
        <v>10</v>
      </c>
      <c r="AU334">
        <v>18.8</v>
      </c>
      <c r="AV334">
        <v>19</v>
      </c>
      <c r="AW334">
        <v>19.5</v>
      </c>
      <c r="AX334">
        <v>19</v>
      </c>
      <c r="AY334">
        <v>10.9</v>
      </c>
      <c r="AZ334">
        <v>10</v>
      </c>
      <c r="BA334">
        <v>9.6999999999999993</v>
      </c>
      <c r="BB334">
        <v>10</v>
      </c>
    </row>
    <row r="335" spans="1:54" x14ac:dyDescent="0.35">
      <c r="A335" s="1">
        <v>46059.685416666667</v>
      </c>
      <c r="B335">
        <v>21.6</v>
      </c>
      <c r="C335">
        <v>3</v>
      </c>
      <c r="D335">
        <v>20.3</v>
      </c>
      <c r="E335">
        <v>2</v>
      </c>
      <c r="F335">
        <v>8.5</v>
      </c>
      <c r="G335">
        <v>12</v>
      </c>
      <c r="H335">
        <v>0</v>
      </c>
      <c r="I335">
        <v>14.9</v>
      </c>
      <c r="J335">
        <v>10.9</v>
      </c>
      <c r="K335">
        <v>0</v>
      </c>
      <c r="L335">
        <v>12.6</v>
      </c>
      <c r="M335">
        <v>16.100000000000001</v>
      </c>
      <c r="N335">
        <v>0</v>
      </c>
      <c r="O335">
        <v>14.1</v>
      </c>
      <c r="P335">
        <v>9.6999999999999993</v>
      </c>
      <c r="Q335">
        <v>0</v>
      </c>
      <c r="R335">
        <v>9.9</v>
      </c>
      <c r="S335">
        <v>13.2</v>
      </c>
      <c r="T335">
        <v>0</v>
      </c>
      <c r="U335">
        <v>-19.7</v>
      </c>
      <c r="V335">
        <v>-21.6</v>
      </c>
      <c r="W335">
        <v>-22</v>
      </c>
      <c r="X335">
        <v>-20.100000000000001</v>
      </c>
      <c r="Y335">
        <v>-18.600000000000001</v>
      </c>
      <c r="Z335">
        <v>-22</v>
      </c>
      <c r="AA335">
        <v>-2.6</v>
      </c>
      <c r="AB335">
        <v>-3.6</v>
      </c>
      <c r="AC335">
        <v>-5</v>
      </c>
      <c r="AD335">
        <v>13.9</v>
      </c>
      <c r="AE335">
        <v>12</v>
      </c>
      <c r="AF335">
        <v>0</v>
      </c>
      <c r="AG335">
        <v>10.5</v>
      </c>
      <c r="AH335">
        <v>10</v>
      </c>
      <c r="AI335">
        <v>10</v>
      </c>
      <c r="AJ335">
        <v>10</v>
      </c>
      <c r="AK335">
        <v>11.1</v>
      </c>
      <c r="AL335">
        <v>10</v>
      </c>
      <c r="AM335">
        <v>12.8</v>
      </c>
      <c r="AN335">
        <v>9</v>
      </c>
      <c r="AO335">
        <v>10.9</v>
      </c>
      <c r="AP335">
        <v>10</v>
      </c>
      <c r="AQ335">
        <v>11.2</v>
      </c>
      <c r="AR335">
        <v>10</v>
      </c>
      <c r="AS335">
        <v>8</v>
      </c>
      <c r="AT335">
        <v>10</v>
      </c>
      <c r="AU335">
        <v>18.8</v>
      </c>
      <c r="AV335">
        <v>19</v>
      </c>
      <c r="AW335">
        <v>19.5</v>
      </c>
      <c r="AX335">
        <v>19</v>
      </c>
      <c r="AY335">
        <v>11.2</v>
      </c>
      <c r="AZ335">
        <v>10</v>
      </c>
      <c r="BA335">
        <v>10.1</v>
      </c>
      <c r="BB335">
        <v>10</v>
      </c>
    </row>
    <row r="336" spans="1:54" x14ac:dyDescent="0.35">
      <c r="A336" s="1">
        <v>46059.686111111114</v>
      </c>
      <c r="B336">
        <v>21.6</v>
      </c>
      <c r="C336">
        <v>3</v>
      </c>
      <c r="D336">
        <v>20.3</v>
      </c>
      <c r="E336">
        <v>2</v>
      </c>
      <c r="F336">
        <v>8.5</v>
      </c>
      <c r="G336">
        <v>12</v>
      </c>
      <c r="H336">
        <v>0</v>
      </c>
      <c r="I336">
        <v>14.9</v>
      </c>
      <c r="J336">
        <v>10.9</v>
      </c>
      <c r="K336">
        <v>0</v>
      </c>
      <c r="L336">
        <v>12.6</v>
      </c>
      <c r="M336">
        <v>16.100000000000001</v>
      </c>
      <c r="N336">
        <v>0</v>
      </c>
      <c r="O336">
        <v>14.1</v>
      </c>
      <c r="P336">
        <v>9.6999999999999993</v>
      </c>
      <c r="Q336">
        <v>0</v>
      </c>
      <c r="R336">
        <v>9.9</v>
      </c>
      <c r="S336">
        <v>13.2</v>
      </c>
      <c r="T336">
        <v>0</v>
      </c>
      <c r="U336">
        <v>-19.7</v>
      </c>
      <c r="V336">
        <v>-22</v>
      </c>
      <c r="W336">
        <v>-22</v>
      </c>
      <c r="X336">
        <v>-20.100000000000001</v>
      </c>
      <c r="Y336">
        <v>-18.600000000000001</v>
      </c>
      <c r="Z336">
        <v>-22</v>
      </c>
      <c r="AA336">
        <v>-2.9</v>
      </c>
      <c r="AB336">
        <v>-4.5</v>
      </c>
      <c r="AC336">
        <v>-5</v>
      </c>
      <c r="AD336">
        <v>13.8</v>
      </c>
      <c r="AE336">
        <v>11.9</v>
      </c>
      <c r="AF336">
        <v>0</v>
      </c>
      <c r="AG336">
        <v>10.7</v>
      </c>
      <c r="AH336">
        <v>10</v>
      </c>
      <c r="AI336">
        <v>8.8000000000000007</v>
      </c>
      <c r="AJ336">
        <v>10</v>
      </c>
      <c r="AK336">
        <v>11.3</v>
      </c>
      <c r="AL336">
        <v>10</v>
      </c>
      <c r="AM336">
        <v>12.7</v>
      </c>
      <c r="AN336">
        <v>9</v>
      </c>
      <c r="AO336">
        <v>11.5</v>
      </c>
      <c r="AP336">
        <v>10</v>
      </c>
      <c r="AQ336">
        <v>11.2</v>
      </c>
      <c r="AR336">
        <v>10</v>
      </c>
      <c r="AS336">
        <v>8.1</v>
      </c>
      <c r="AT336">
        <v>10</v>
      </c>
      <c r="AU336">
        <v>18.8</v>
      </c>
      <c r="AV336">
        <v>19</v>
      </c>
      <c r="AW336">
        <v>19.5</v>
      </c>
      <c r="AX336">
        <v>19</v>
      </c>
      <c r="AY336">
        <v>11.4</v>
      </c>
      <c r="AZ336">
        <v>10</v>
      </c>
      <c r="BA336">
        <v>10.5</v>
      </c>
      <c r="BB336">
        <v>10</v>
      </c>
    </row>
    <row r="337" spans="1:54" x14ac:dyDescent="0.35">
      <c r="A337" s="1">
        <v>46059.686805555553</v>
      </c>
      <c r="B337">
        <v>21.6</v>
      </c>
      <c r="C337">
        <v>3</v>
      </c>
      <c r="D337">
        <v>20.3</v>
      </c>
      <c r="E337">
        <v>2</v>
      </c>
      <c r="F337">
        <v>8.5</v>
      </c>
      <c r="G337">
        <v>12</v>
      </c>
      <c r="H337">
        <v>0</v>
      </c>
      <c r="I337">
        <v>14.9</v>
      </c>
      <c r="J337">
        <v>10.9</v>
      </c>
      <c r="K337">
        <v>0</v>
      </c>
      <c r="L337">
        <v>12.6</v>
      </c>
      <c r="M337">
        <v>16.100000000000001</v>
      </c>
      <c r="N337">
        <v>0</v>
      </c>
      <c r="O337">
        <v>14.1</v>
      </c>
      <c r="P337">
        <v>9.6999999999999993</v>
      </c>
      <c r="Q337">
        <v>0</v>
      </c>
      <c r="R337">
        <v>9.9</v>
      </c>
      <c r="S337">
        <v>13.2</v>
      </c>
      <c r="T337">
        <v>0</v>
      </c>
      <c r="U337">
        <v>-19.7</v>
      </c>
      <c r="V337">
        <v>-21.9</v>
      </c>
      <c r="W337">
        <v>-22</v>
      </c>
      <c r="X337">
        <v>-20.100000000000001</v>
      </c>
      <c r="Y337">
        <v>-18.600000000000001</v>
      </c>
      <c r="Z337">
        <v>-22</v>
      </c>
      <c r="AA337">
        <v>-3.4</v>
      </c>
      <c r="AB337">
        <v>-5.3</v>
      </c>
      <c r="AC337">
        <v>-5</v>
      </c>
      <c r="AD337">
        <v>13.8</v>
      </c>
      <c r="AE337">
        <v>11.9</v>
      </c>
      <c r="AF337">
        <v>0</v>
      </c>
      <c r="AG337">
        <v>10.9</v>
      </c>
      <c r="AH337">
        <v>10</v>
      </c>
      <c r="AI337">
        <v>8.6999999999999993</v>
      </c>
      <c r="AJ337">
        <v>10</v>
      </c>
      <c r="AK337">
        <v>11.5</v>
      </c>
      <c r="AL337">
        <v>10</v>
      </c>
      <c r="AM337">
        <v>12.7</v>
      </c>
      <c r="AN337">
        <v>9</v>
      </c>
      <c r="AO337">
        <v>11.9</v>
      </c>
      <c r="AP337">
        <v>10</v>
      </c>
      <c r="AQ337">
        <v>11.2</v>
      </c>
      <c r="AR337">
        <v>10</v>
      </c>
      <c r="AS337">
        <v>8.6999999999999993</v>
      </c>
      <c r="AT337">
        <v>10</v>
      </c>
      <c r="AU337">
        <v>18.8</v>
      </c>
      <c r="AV337">
        <v>19</v>
      </c>
      <c r="AW337">
        <v>19.5</v>
      </c>
      <c r="AX337">
        <v>19</v>
      </c>
      <c r="AY337">
        <v>11.6</v>
      </c>
      <c r="AZ337">
        <v>10</v>
      </c>
      <c r="BA337">
        <v>10.8</v>
      </c>
      <c r="BB337">
        <v>10</v>
      </c>
    </row>
    <row r="338" spans="1:54" x14ac:dyDescent="0.35">
      <c r="A338" s="1">
        <v>46059.6875</v>
      </c>
      <c r="B338">
        <v>21.6</v>
      </c>
      <c r="C338">
        <v>3</v>
      </c>
      <c r="D338">
        <v>20.3</v>
      </c>
      <c r="E338">
        <v>2</v>
      </c>
      <c r="F338">
        <v>8.5</v>
      </c>
      <c r="G338">
        <v>12</v>
      </c>
      <c r="H338">
        <v>0</v>
      </c>
      <c r="I338">
        <v>14.9</v>
      </c>
      <c r="J338">
        <v>10.9</v>
      </c>
      <c r="K338">
        <v>0</v>
      </c>
      <c r="L338">
        <v>12.6</v>
      </c>
      <c r="M338">
        <v>16.100000000000001</v>
      </c>
      <c r="N338">
        <v>0</v>
      </c>
      <c r="O338">
        <v>14.1</v>
      </c>
      <c r="P338">
        <v>9.6999999999999993</v>
      </c>
      <c r="Q338">
        <v>0</v>
      </c>
      <c r="R338">
        <v>9.9</v>
      </c>
      <c r="S338">
        <v>13.2</v>
      </c>
      <c r="T338">
        <v>0</v>
      </c>
      <c r="U338">
        <v>-19.7</v>
      </c>
      <c r="V338">
        <v>-21.8</v>
      </c>
      <c r="W338">
        <v>-22</v>
      </c>
      <c r="X338">
        <v>-20.2</v>
      </c>
      <c r="Y338">
        <v>-18.600000000000001</v>
      </c>
      <c r="Z338">
        <v>-22</v>
      </c>
      <c r="AA338">
        <v>-3.9</v>
      </c>
      <c r="AB338">
        <v>-5.9</v>
      </c>
      <c r="AC338">
        <v>-5</v>
      </c>
      <c r="AD338">
        <v>13.8</v>
      </c>
      <c r="AE338">
        <v>11.9</v>
      </c>
      <c r="AF338">
        <v>0</v>
      </c>
      <c r="AG338">
        <v>11.1</v>
      </c>
      <c r="AH338">
        <v>10</v>
      </c>
      <c r="AI338">
        <v>8.9</v>
      </c>
      <c r="AJ338">
        <v>10</v>
      </c>
      <c r="AK338">
        <v>11.7</v>
      </c>
      <c r="AL338">
        <v>10</v>
      </c>
      <c r="AM338">
        <v>12.7</v>
      </c>
      <c r="AN338">
        <v>9</v>
      </c>
      <c r="AO338">
        <v>11.5</v>
      </c>
      <c r="AP338">
        <v>10</v>
      </c>
      <c r="AQ338">
        <v>11.1</v>
      </c>
      <c r="AR338">
        <v>10</v>
      </c>
      <c r="AS338">
        <v>9.4</v>
      </c>
      <c r="AT338">
        <v>10</v>
      </c>
      <c r="AU338">
        <v>18.8</v>
      </c>
      <c r="AV338">
        <v>19</v>
      </c>
      <c r="AW338">
        <v>19.600000000000001</v>
      </c>
      <c r="AX338">
        <v>19</v>
      </c>
      <c r="AY338">
        <v>11.8</v>
      </c>
      <c r="AZ338">
        <v>10</v>
      </c>
      <c r="BA338">
        <v>11.1</v>
      </c>
      <c r="BB338">
        <v>10</v>
      </c>
    </row>
    <row r="339" spans="1:54" x14ac:dyDescent="0.35">
      <c r="A339" s="1">
        <v>46059.688194444447</v>
      </c>
      <c r="B339">
        <v>21.6</v>
      </c>
      <c r="C339">
        <v>3</v>
      </c>
      <c r="D339">
        <v>20.3</v>
      </c>
      <c r="E339">
        <v>2</v>
      </c>
      <c r="F339">
        <v>8.5</v>
      </c>
      <c r="G339">
        <v>12</v>
      </c>
      <c r="H339">
        <v>0</v>
      </c>
      <c r="I339">
        <v>14.9</v>
      </c>
      <c r="J339">
        <v>10.9</v>
      </c>
      <c r="K339">
        <v>0</v>
      </c>
      <c r="L339">
        <v>12.6</v>
      </c>
      <c r="M339">
        <v>16.100000000000001</v>
      </c>
      <c r="N339">
        <v>0</v>
      </c>
      <c r="O339">
        <v>14.1</v>
      </c>
      <c r="P339">
        <v>9.6999999999999993</v>
      </c>
      <c r="Q339">
        <v>0</v>
      </c>
      <c r="R339">
        <v>9.9</v>
      </c>
      <c r="S339">
        <v>13.2</v>
      </c>
      <c r="T339">
        <v>0</v>
      </c>
      <c r="U339">
        <v>-19.7</v>
      </c>
      <c r="V339">
        <v>-21.9</v>
      </c>
      <c r="W339">
        <v>-22</v>
      </c>
      <c r="X339">
        <v>-20.2</v>
      </c>
      <c r="Y339">
        <v>-18.600000000000001</v>
      </c>
      <c r="Z339">
        <v>-22</v>
      </c>
      <c r="AA339">
        <v>-4.3</v>
      </c>
      <c r="AB339">
        <v>-6.5</v>
      </c>
      <c r="AC339">
        <v>-5</v>
      </c>
      <c r="AD339">
        <v>13.7</v>
      </c>
      <c r="AE339">
        <v>11.9</v>
      </c>
      <c r="AF339">
        <v>0</v>
      </c>
      <c r="AG339">
        <v>11.2</v>
      </c>
      <c r="AH339">
        <v>10</v>
      </c>
      <c r="AI339">
        <v>9.3000000000000007</v>
      </c>
      <c r="AJ339">
        <v>10</v>
      </c>
      <c r="AK339">
        <v>11.7</v>
      </c>
      <c r="AL339">
        <v>10</v>
      </c>
      <c r="AM339">
        <v>12.7</v>
      </c>
      <c r="AN339">
        <v>9</v>
      </c>
      <c r="AO339">
        <v>10.7</v>
      </c>
      <c r="AP339">
        <v>10</v>
      </c>
      <c r="AQ339">
        <v>10.9</v>
      </c>
      <c r="AR339">
        <v>10</v>
      </c>
      <c r="AS339">
        <v>9.9</v>
      </c>
      <c r="AT339">
        <v>10</v>
      </c>
      <c r="AU339">
        <v>18.8</v>
      </c>
      <c r="AV339">
        <v>19</v>
      </c>
      <c r="AW339">
        <v>19.600000000000001</v>
      </c>
      <c r="AX339">
        <v>19</v>
      </c>
      <c r="AY339">
        <v>12</v>
      </c>
      <c r="AZ339">
        <v>10</v>
      </c>
      <c r="BA339">
        <v>11.5</v>
      </c>
      <c r="BB339">
        <v>10</v>
      </c>
    </row>
    <row r="340" spans="1:54" x14ac:dyDescent="0.35">
      <c r="A340" s="1">
        <v>46059.688888888886</v>
      </c>
      <c r="B340">
        <v>21.6</v>
      </c>
      <c r="C340">
        <v>3</v>
      </c>
      <c r="D340">
        <v>20.3</v>
      </c>
      <c r="E340">
        <v>2</v>
      </c>
      <c r="F340">
        <v>8.5</v>
      </c>
      <c r="G340">
        <v>12</v>
      </c>
      <c r="H340">
        <v>0</v>
      </c>
      <c r="I340">
        <v>14.9</v>
      </c>
      <c r="J340">
        <v>10.9</v>
      </c>
      <c r="K340">
        <v>0</v>
      </c>
      <c r="L340">
        <v>12.6</v>
      </c>
      <c r="M340">
        <v>16.100000000000001</v>
      </c>
      <c r="N340">
        <v>0</v>
      </c>
      <c r="O340">
        <v>14.2</v>
      </c>
      <c r="P340">
        <v>9.6999999999999993</v>
      </c>
      <c r="Q340">
        <v>0</v>
      </c>
      <c r="R340">
        <v>9.9</v>
      </c>
      <c r="S340">
        <v>13.2</v>
      </c>
      <c r="T340">
        <v>0</v>
      </c>
      <c r="U340">
        <v>-19.7</v>
      </c>
      <c r="V340">
        <v>-21.7</v>
      </c>
      <c r="W340">
        <v>-22</v>
      </c>
      <c r="X340">
        <v>-20.2</v>
      </c>
      <c r="Y340">
        <v>-18.600000000000001</v>
      </c>
      <c r="Z340">
        <v>-22</v>
      </c>
      <c r="AA340">
        <v>-4.7</v>
      </c>
      <c r="AB340">
        <v>-7</v>
      </c>
      <c r="AC340">
        <v>-5</v>
      </c>
      <c r="AD340">
        <v>13.7</v>
      </c>
      <c r="AE340">
        <v>11.9</v>
      </c>
      <c r="AF340">
        <v>0</v>
      </c>
      <c r="AG340">
        <v>11.4</v>
      </c>
      <c r="AH340">
        <v>10</v>
      </c>
      <c r="AI340">
        <v>9.6</v>
      </c>
      <c r="AJ340">
        <v>10</v>
      </c>
      <c r="AK340">
        <v>11.8</v>
      </c>
      <c r="AL340">
        <v>10</v>
      </c>
      <c r="AM340">
        <v>12.7</v>
      </c>
      <c r="AN340">
        <v>9</v>
      </c>
      <c r="AO340">
        <v>10.3</v>
      </c>
      <c r="AP340">
        <v>10</v>
      </c>
      <c r="AQ340">
        <v>11</v>
      </c>
      <c r="AR340">
        <v>10</v>
      </c>
      <c r="AS340">
        <v>10.199999999999999</v>
      </c>
      <c r="AT340">
        <v>10</v>
      </c>
      <c r="AU340">
        <v>18.8</v>
      </c>
      <c r="AV340">
        <v>19</v>
      </c>
      <c r="AW340">
        <v>19.600000000000001</v>
      </c>
      <c r="AX340">
        <v>19</v>
      </c>
      <c r="AY340">
        <v>11.6</v>
      </c>
      <c r="AZ340">
        <v>10</v>
      </c>
      <c r="BA340">
        <v>11.8</v>
      </c>
      <c r="BB340">
        <v>10</v>
      </c>
    </row>
    <row r="341" spans="1:54" x14ac:dyDescent="0.35">
      <c r="A341" s="1">
        <v>46059.689583333333</v>
      </c>
      <c r="B341">
        <v>21.6</v>
      </c>
      <c r="C341">
        <v>3</v>
      </c>
      <c r="D341">
        <v>20.3</v>
      </c>
      <c r="E341">
        <v>2</v>
      </c>
      <c r="F341">
        <v>8.5</v>
      </c>
      <c r="G341">
        <v>12</v>
      </c>
      <c r="H341">
        <v>0</v>
      </c>
      <c r="I341">
        <v>14.9</v>
      </c>
      <c r="J341">
        <v>10.9</v>
      </c>
      <c r="K341">
        <v>0</v>
      </c>
      <c r="L341">
        <v>12.6</v>
      </c>
      <c r="M341">
        <v>16.100000000000001</v>
      </c>
      <c r="N341">
        <v>0</v>
      </c>
      <c r="O341">
        <v>14.2</v>
      </c>
      <c r="P341">
        <v>9.8000000000000007</v>
      </c>
      <c r="Q341">
        <v>0</v>
      </c>
      <c r="R341">
        <v>9.9</v>
      </c>
      <c r="S341">
        <v>13.2</v>
      </c>
      <c r="T341">
        <v>0</v>
      </c>
      <c r="U341">
        <v>-19.7</v>
      </c>
      <c r="V341">
        <v>-22.1</v>
      </c>
      <c r="W341">
        <v>-22</v>
      </c>
      <c r="X341">
        <v>-20.2</v>
      </c>
      <c r="Y341">
        <v>-18.600000000000001</v>
      </c>
      <c r="Z341">
        <v>-22</v>
      </c>
      <c r="AA341">
        <v>-5</v>
      </c>
      <c r="AB341">
        <v>-7.3</v>
      </c>
      <c r="AC341">
        <v>-5</v>
      </c>
      <c r="AD341">
        <v>13.6</v>
      </c>
      <c r="AE341">
        <v>11.9</v>
      </c>
      <c r="AF341">
        <v>0</v>
      </c>
      <c r="AG341">
        <v>11.5</v>
      </c>
      <c r="AH341">
        <v>10</v>
      </c>
      <c r="AI341">
        <v>9.9</v>
      </c>
      <c r="AJ341">
        <v>10</v>
      </c>
      <c r="AK341">
        <v>11.8</v>
      </c>
      <c r="AL341">
        <v>10</v>
      </c>
      <c r="AM341">
        <v>12.7</v>
      </c>
      <c r="AN341">
        <v>9</v>
      </c>
      <c r="AO341">
        <v>10.1</v>
      </c>
      <c r="AP341">
        <v>10</v>
      </c>
      <c r="AQ341">
        <v>11.1</v>
      </c>
      <c r="AR341">
        <v>10</v>
      </c>
      <c r="AS341">
        <v>10.6</v>
      </c>
      <c r="AT341">
        <v>10</v>
      </c>
      <c r="AU341">
        <v>18.8</v>
      </c>
      <c r="AV341">
        <v>19</v>
      </c>
      <c r="AW341">
        <v>19.600000000000001</v>
      </c>
      <c r="AX341">
        <v>19</v>
      </c>
      <c r="AY341">
        <v>10.8</v>
      </c>
      <c r="AZ341">
        <v>10</v>
      </c>
      <c r="BA341">
        <v>12</v>
      </c>
      <c r="BB341">
        <v>10</v>
      </c>
    </row>
    <row r="342" spans="1:54" x14ac:dyDescent="0.35">
      <c r="A342" s="1">
        <v>46059.69027777778</v>
      </c>
      <c r="B342">
        <v>21.7</v>
      </c>
      <c r="C342">
        <v>3</v>
      </c>
      <c r="D342">
        <v>20.3</v>
      </c>
      <c r="E342">
        <v>2</v>
      </c>
      <c r="F342">
        <v>8.5</v>
      </c>
      <c r="G342">
        <v>12</v>
      </c>
      <c r="H342">
        <v>0</v>
      </c>
      <c r="I342">
        <v>14.9</v>
      </c>
      <c r="J342">
        <v>10.9</v>
      </c>
      <c r="K342">
        <v>0</v>
      </c>
      <c r="L342">
        <v>12.6</v>
      </c>
      <c r="M342">
        <v>16.100000000000001</v>
      </c>
      <c r="N342">
        <v>0</v>
      </c>
      <c r="O342">
        <v>14.2</v>
      </c>
      <c r="P342">
        <v>9.8000000000000007</v>
      </c>
      <c r="Q342">
        <v>0</v>
      </c>
      <c r="R342">
        <v>9.9</v>
      </c>
      <c r="S342">
        <v>13.2</v>
      </c>
      <c r="T342">
        <v>0</v>
      </c>
      <c r="U342">
        <v>-19.7</v>
      </c>
      <c r="V342">
        <v>-21.9</v>
      </c>
      <c r="W342">
        <v>-22</v>
      </c>
      <c r="X342">
        <v>-20.2</v>
      </c>
      <c r="Y342">
        <v>-18.600000000000001</v>
      </c>
      <c r="Z342">
        <v>-22</v>
      </c>
      <c r="AA342">
        <v>-4.5</v>
      </c>
      <c r="AB342">
        <v>-5.0999999999999996</v>
      </c>
      <c r="AC342">
        <v>-5</v>
      </c>
      <c r="AD342">
        <v>13.6</v>
      </c>
      <c r="AE342">
        <v>11.8</v>
      </c>
      <c r="AF342">
        <v>0</v>
      </c>
      <c r="AG342">
        <v>11.6</v>
      </c>
      <c r="AH342">
        <v>10</v>
      </c>
      <c r="AI342">
        <v>10.1</v>
      </c>
      <c r="AJ342">
        <v>10</v>
      </c>
      <c r="AK342">
        <v>11.8</v>
      </c>
      <c r="AL342">
        <v>10</v>
      </c>
      <c r="AM342">
        <v>12.7</v>
      </c>
      <c r="AN342">
        <v>9</v>
      </c>
      <c r="AO342">
        <v>10.1</v>
      </c>
      <c r="AP342">
        <v>10</v>
      </c>
      <c r="AQ342">
        <v>11.1</v>
      </c>
      <c r="AR342">
        <v>10</v>
      </c>
      <c r="AS342">
        <v>10.9</v>
      </c>
      <c r="AT342">
        <v>10</v>
      </c>
      <c r="AU342">
        <v>18.8</v>
      </c>
      <c r="AV342">
        <v>19</v>
      </c>
      <c r="AW342">
        <v>19.600000000000001</v>
      </c>
      <c r="AX342">
        <v>19</v>
      </c>
      <c r="AY342">
        <v>10.1</v>
      </c>
      <c r="AZ342">
        <v>10</v>
      </c>
      <c r="BA342">
        <v>11.9</v>
      </c>
      <c r="BB342">
        <v>10</v>
      </c>
    </row>
    <row r="343" spans="1:54" x14ac:dyDescent="0.35">
      <c r="A343" s="1">
        <v>46059.690972222219</v>
      </c>
      <c r="B343">
        <v>21.7</v>
      </c>
      <c r="C343">
        <v>3</v>
      </c>
      <c r="D343">
        <v>20.3</v>
      </c>
      <c r="E343">
        <v>2</v>
      </c>
      <c r="F343">
        <v>8.6</v>
      </c>
      <c r="G343">
        <v>12</v>
      </c>
      <c r="H343">
        <v>0</v>
      </c>
      <c r="I343">
        <v>14.9</v>
      </c>
      <c r="J343">
        <v>10.9</v>
      </c>
      <c r="K343">
        <v>0</v>
      </c>
      <c r="L343">
        <v>12.6</v>
      </c>
      <c r="M343">
        <v>16.100000000000001</v>
      </c>
      <c r="N343">
        <v>0</v>
      </c>
      <c r="O343">
        <v>14.2</v>
      </c>
      <c r="P343">
        <v>9.8000000000000007</v>
      </c>
      <c r="Q343">
        <v>0</v>
      </c>
      <c r="R343">
        <v>9.9</v>
      </c>
      <c r="S343">
        <v>13.2</v>
      </c>
      <c r="T343">
        <v>0</v>
      </c>
      <c r="U343">
        <v>-19.7</v>
      </c>
      <c r="V343">
        <v>-21.9</v>
      </c>
      <c r="W343">
        <v>-22</v>
      </c>
      <c r="X343">
        <v>-20.2</v>
      </c>
      <c r="Y343">
        <v>-18.600000000000001</v>
      </c>
      <c r="Z343">
        <v>-22</v>
      </c>
      <c r="AA343">
        <v>-3.5</v>
      </c>
      <c r="AB343">
        <v>-3.6</v>
      </c>
      <c r="AC343">
        <v>-5</v>
      </c>
      <c r="AD343">
        <v>13.6</v>
      </c>
      <c r="AE343">
        <v>11.8</v>
      </c>
      <c r="AF343">
        <v>0</v>
      </c>
      <c r="AG343">
        <v>11.7</v>
      </c>
      <c r="AH343">
        <v>10</v>
      </c>
      <c r="AI343">
        <v>10.3</v>
      </c>
      <c r="AJ343">
        <v>10</v>
      </c>
      <c r="AK343">
        <v>11.8</v>
      </c>
      <c r="AL343">
        <v>10</v>
      </c>
      <c r="AM343">
        <v>12.7</v>
      </c>
      <c r="AN343">
        <v>9</v>
      </c>
      <c r="AO343">
        <v>10</v>
      </c>
      <c r="AP343">
        <v>10</v>
      </c>
      <c r="AQ343">
        <v>11.2</v>
      </c>
      <c r="AR343">
        <v>10</v>
      </c>
      <c r="AS343">
        <v>11.1</v>
      </c>
      <c r="AT343">
        <v>10</v>
      </c>
      <c r="AU343">
        <v>18.8</v>
      </c>
      <c r="AV343">
        <v>19</v>
      </c>
      <c r="AW343">
        <v>19.600000000000001</v>
      </c>
      <c r="AX343">
        <v>19</v>
      </c>
      <c r="AY343">
        <v>9.6999999999999993</v>
      </c>
      <c r="AZ343">
        <v>10</v>
      </c>
      <c r="BA343">
        <v>11.1</v>
      </c>
      <c r="BB343">
        <v>10</v>
      </c>
    </row>
    <row r="344" spans="1:54" x14ac:dyDescent="0.35">
      <c r="A344" s="1">
        <v>46059.691666666666</v>
      </c>
      <c r="B344">
        <v>21.7</v>
      </c>
      <c r="C344">
        <v>3</v>
      </c>
      <c r="D344">
        <v>20.3</v>
      </c>
      <c r="E344">
        <v>2</v>
      </c>
      <c r="F344">
        <v>8.6</v>
      </c>
      <c r="G344">
        <v>12.1</v>
      </c>
      <c r="H344">
        <v>0</v>
      </c>
      <c r="I344">
        <v>14.9</v>
      </c>
      <c r="J344">
        <v>10.9</v>
      </c>
      <c r="K344">
        <v>0</v>
      </c>
      <c r="L344">
        <v>12.6</v>
      </c>
      <c r="M344">
        <v>16.100000000000001</v>
      </c>
      <c r="N344">
        <v>0</v>
      </c>
      <c r="O344">
        <v>14.2</v>
      </c>
      <c r="P344">
        <v>9.8000000000000007</v>
      </c>
      <c r="Q344">
        <v>0</v>
      </c>
      <c r="R344">
        <v>9.9</v>
      </c>
      <c r="S344">
        <v>13.2</v>
      </c>
      <c r="T344">
        <v>0</v>
      </c>
      <c r="U344">
        <v>-19.7</v>
      </c>
      <c r="V344">
        <v>-21.9</v>
      </c>
      <c r="W344">
        <v>-22</v>
      </c>
      <c r="X344">
        <v>-20.2</v>
      </c>
      <c r="Y344">
        <v>-18.600000000000001</v>
      </c>
      <c r="Z344">
        <v>-22</v>
      </c>
      <c r="AA344">
        <v>-2.7</v>
      </c>
      <c r="AB344">
        <v>-2.8</v>
      </c>
      <c r="AC344">
        <v>-5</v>
      </c>
      <c r="AD344">
        <v>13.5</v>
      </c>
      <c r="AE344">
        <v>11.8</v>
      </c>
      <c r="AF344">
        <v>0</v>
      </c>
      <c r="AG344">
        <v>11.8</v>
      </c>
      <c r="AH344">
        <v>10</v>
      </c>
      <c r="AI344">
        <v>10.5</v>
      </c>
      <c r="AJ344">
        <v>10</v>
      </c>
      <c r="AK344">
        <v>11.8</v>
      </c>
      <c r="AL344">
        <v>10</v>
      </c>
      <c r="AM344">
        <v>12.7</v>
      </c>
      <c r="AN344">
        <v>9</v>
      </c>
      <c r="AO344">
        <v>10.9</v>
      </c>
      <c r="AP344">
        <v>10</v>
      </c>
      <c r="AQ344">
        <v>11.3</v>
      </c>
      <c r="AR344">
        <v>10</v>
      </c>
      <c r="AS344">
        <v>11.3</v>
      </c>
      <c r="AT344">
        <v>10</v>
      </c>
      <c r="AU344">
        <v>18.8</v>
      </c>
      <c r="AV344">
        <v>19</v>
      </c>
      <c r="AW344">
        <v>19.600000000000001</v>
      </c>
      <c r="AX344">
        <v>19</v>
      </c>
      <c r="AY344">
        <v>9.9</v>
      </c>
      <c r="AZ344">
        <v>10</v>
      </c>
      <c r="BA344">
        <v>10.3</v>
      </c>
      <c r="BB344">
        <v>10</v>
      </c>
    </row>
    <row r="345" spans="1:54" x14ac:dyDescent="0.35">
      <c r="A345" s="1">
        <v>46059.692361111112</v>
      </c>
      <c r="B345">
        <v>21.7</v>
      </c>
      <c r="C345">
        <v>3</v>
      </c>
      <c r="D345">
        <v>20.3</v>
      </c>
      <c r="E345">
        <v>2</v>
      </c>
      <c r="F345">
        <v>8.6</v>
      </c>
      <c r="G345">
        <v>12.1</v>
      </c>
      <c r="H345">
        <v>0</v>
      </c>
      <c r="I345">
        <v>14.9</v>
      </c>
      <c r="J345">
        <v>10.9</v>
      </c>
      <c r="K345">
        <v>0</v>
      </c>
      <c r="L345">
        <v>12.6</v>
      </c>
      <c r="M345">
        <v>16.100000000000001</v>
      </c>
      <c r="N345">
        <v>0</v>
      </c>
      <c r="O345">
        <v>14.2</v>
      </c>
      <c r="P345">
        <v>9.8000000000000007</v>
      </c>
      <c r="Q345">
        <v>0</v>
      </c>
      <c r="R345">
        <v>9.9</v>
      </c>
      <c r="S345">
        <v>13.2</v>
      </c>
      <c r="T345">
        <v>0</v>
      </c>
      <c r="U345">
        <v>-19.7</v>
      </c>
      <c r="V345">
        <v>-21.7</v>
      </c>
      <c r="W345">
        <v>-22</v>
      </c>
      <c r="X345">
        <v>-20.2</v>
      </c>
      <c r="Y345">
        <v>-18.600000000000001</v>
      </c>
      <c r="Z345">
        <v>-22</v>
      </c>
      <c r="AA345">
        <v>-2.6</v>
      </c>
      <c r="AB345">
        <v>-3.6</v>
      </c>
      <c r="AC345">
        <v>-5</v>
      </c>
      <c r="AD345">
        <v>13.5</v>
      </c>
      <c r="AE345">
        <v>11.8</v>
      </c>
      <c r="AF345">
        <v>0</v>
      </c>
      <c r="AG345">
        <v>11.9</v>
      </c>
      <c r="AH345">
        <v>10</v>
      </c>
      <c r="AI345">
        <v>10.7</v>
      </c>
      <c r="AJ345">
        <v>10</v>
      </c>
      <c r="AK345">
        <v>11.9</v>
      </c>
      <c r="AL345">
        <v>10</v>
      </c>
      <c r="AM345">
        <v>12.7</v>
      </c>
      <c r="AN345">
        <v>9</v>
      </c>
      <c r="AO345">
        <v>11.5</v>
      </c>
      <c r="AP345">
        <v>10</v>
      </c>
      <c r="AQ345">
        <v>11.3</v>
      </c>
      <c r="AR345">
        <v>10</v>
      </c>
      <c r="AS345">
        <v>11.5</v>
      </c>
      <c r="AT345">
        <v>10</v>
      </c>
      <c r="AU345">
        <v>18.8</v>
      </c>
      <c r="AV345">
        <v>19</v>
      </c>
      <c r="AW345">
        <v>19.600000000000001</v>
      </c>
      <c r="AX345">
        <v>19</v>
      </c>
      <c r="AY345">
        <v>10.3</v>
      </c>
      <c r="AZ345">
        <v>10</v>
      </c>
      <c r="BA345">
        <v>9.8000000000000007</v>
      </c>
      <c r="BB345">
        <v>10</v>
      </c>
    </row>
    <row r="346" spans="1:54" x14ac:dyDescent="0.35">
      <c r="A346" s="1">
        <v>46059.693055555559</v>
      </c>
      <c r="B346">
        <v>21.7</v>
      </c>
      <c r="C346">
        <v>3</v>
      </c>
      <c r="D346">
        <v>20.3</v>
      </c>
      <c r="E346">
        <v>2</v>
      </c>
      <c r="F346">
        <v>8.6</v>
      </c>
      <c r="G346">
        <v>12.1</v>
      </c>
      <c r="H346">
        <v>0</v>
      </c>
      <c r="I346">
        <v>14.9</v>
      </c>
      <c r="J346">
        <v>10.9</v>
      </c>
      <c r="K346">
        <v>0</v>
      </c>
      <c r="L346">
        <v>12.6</v>
      </c>
      <c r="M346">
        <v>16.100000000000001</v>
      </c>
      <c r="N346">
        <v>0</v>
      </c>
      <c r="O346">
        <v>14.2</v>
      </c>
      <c r="P346">
        <v>9.8000000000000007</v>
      </c>
      <c r="Q346">
        <v>0</v>
      </c>
      <c r="R346">
        <v>9.9</v>
      </c>
      <c r="S346">
        <v>13.3</v>
      </c>
      <c r="T346">
        <v>0</v>
      </c>
      <c r="U346">
        <v>-19.7</v>
      </c>
      <c r="V346">
        <v>-22.1</v>
      </c>
      <c r="W346">
        <v>-22</v>
      </c>
      <c r="X346">
        <v>-20.2</v>
      </c>
      <c r="Y346">
        <v>-18.600000000000001</v>
      </c>
      <c r="Z346">
        <v>-22</v>
      </c>
      <c r="AA346">
        <v>-3</v>
      </c>
      <c r="AB346">
        <v>-4.5999999999999996</v>
      </c>
      <c r="AC346">
        <v>-5</v>
      </c>
      <c r="AD346">
        <v>13.5</v>
      </c>
      <c r="AE346">
        <v>11.8</v>
      </c>
      <c r="AF346">
        <v>0</v>
      </c>
      <c r="AG346">
        <v>12</v>
      </c>
      <c r="AH346">
        <v>10</v>
      </c>
      <c r="AI346">
        <v>10.8</v>
      </c>
      <c r="AJ346">
        <v>10</v>
      </c>
      <c r="AK346">
        <v>11.5</v>
      </c>
      <c r="AL346">
        <v>10</v>
      </c>
      <c r="AM346">
        <v>12.7</v>
      </c>
      <c r="AN346">
        <v>9</v>
      </c>
      <c r="AO346">
        <v>11.9</v>
      </c>
      <c r="AP346">
        <v>10</v>
      </c>
      <c r="AQ346">
        <v>11.3</v>
      </c>
      <c r="AR346">
        <v>10</v>
      </c>
      <c r="AS346">
        <v>11.7</v>
      </c>
      <c r="AT346">
        <v>10</v>
      </c>
      <c r="AU346">
        <v>18.8</v>
      </c>
      <c r="AV346">
        <v>19</v>
      </c>
      <c r="AW346">
        <v>19.600000000000001</v>
      </c>
      <c r="AX346">
        <v>19</v>
      </c>
      <c r="AY346">
        <v>10.7</v>
      </c>
      <c r="AZ346">
        <v>10</v>
      </c>
      <c r="BA346">
        <v>9.8000000000000007</v>
      </c>
      <c r="BB346">
        <v>10</v>
      </c>
    </row>
    <row r="347" spans="1:54" x14ac:dyDescent="0.35">
      <c r="A347" s="1">
        <v>46059.693749999999</v>
      </c>
      <c r="B347">
        <v>21.7</v>
      </c>
      <c r="C347">
        <v>3</v>
      </c>
      <c r="D347">
        <v>20.3</v>
      </c>
      <c r="E347">
        <v>2</v>
      </c>
      <c r="F347">
        <v>8.6</v>
      </c>
      <c r="G347">
        <v>12.1</v>
      </c>
      <c r="H347">
        <v>0</v>
      </c>
      <c r="I347">
        <v>14.9</v>
      </c>
      <c r="J347">
        <v>10.9</v>
      </c>
      <c r="K347">
        <v>0</v>
      </c>
      <c r="L347">
        <v>12.6</v>
      </c>
      <c r="M347">
        <v>16.100000000000001</v>
      </c>
      <c r="N347">
        <v>0</v>
      </c>
      <c r="O347">
        <v>14.2</v>
      </c>
      <c r="P347">
        <v>9.8000000000000007</v>
      </c>
      <c r="Q347">
        <v>0</v>
      </c>
      <c r="R347">
        <v>9.9</v>
      </c>
      <c r="S347">
        <v>13.3</v>
      </c>
      <c r="T347">
        <v>0</v>
      </c>
      <c r="U347">
        <v>-19.7</v>
      </c>
      <c r="V347">
        <v>-21.8</v>
      </c>
      <c r="W347">
        <v>-22</v>
      </c>
      <c r="X347">
        <v>-20.2</v>
      </c>
      <c r="Y347">
        <v>-18.600000000000001</v>
      </c>
      <c r="Z347">
        <v>-22</v>
      </c>
      <c r="AA347">
        <v>-3.4</v>
      </c>
      <c r="AB347">
        <v>-5.3</v>
      </c>
      <c r="AC347">
        <v>-5</v>
      </c>
      <c r="AD347">
        <v>13.4</v>
      </c>
      <c r="AE347">
        <v>11.7</v>
      </c>
      <c r="AF347">
        <v>0</v>
      </c>
      <c r="AG347">
        <v>11.9</v>
      </c>
      <c r="AH347">
        <v>10</v>
      </c>
      <c r="AI347">
        <v>11</v>
      </c>
      <c r="AJ347">
        <v>10</v>
      </c>
      <c r="AK347">
        <v>10.3</v>
      </c>
      <c r="AL347">
        <v>10</v>
      </c>
      <c r="AM347">
        <v>12.8</v>
      </c>
      <c r="AN347">
        <v>9</v>
      </c>
      <c r="AO347">
        <v>11.9</v>
      </c>
      <c r="AP347">
        <v>10</v>
      </c>
      <c r="AQ347">
        <v>11.3</v>
      </c>
      <c r="AR347">
        <v>10</v>
      </c>
      <c r="AS347">
        <v>11.9</v>
      </c>
      <c r="AT347">
        <v>10</v>
      </c>
      <c r="AU347">
        <v>18.8</v>
      </c>
      <c r="AV347">
        <v>19</v>
      </c>
      <c r="AW347">
        <v>19.600000000000001</v>
      </c>
      <c r="AX347">
        <v>19</v>
      </c>
      <c r="AY347">
        <v>10.9</v>
      </c>
      <c r="AZ347">
        <v>10</v>
      </c>
      <c r="BA347">
        <v>10.199999999999999</v>
      </c>
      <c r="BB347">
        <v>10</v>
      </c>
    </row>
    <row r="348" spans="1:54" x14ac:dyDescent="0.35">
      <c r="A348" s="1">
        <v>46059.694444444445</v>
      </c>
      <c r="B348">
        <v>21.7</v>
      </c>
      <c r="C348">
        <v>3</v>
      </c>
      <c r="D348">
        <v>20.3</v>
      </c>
      <c r="E348">
        <v>2</v>
      </c>
      <c r="F348">
        <v>8.6</v>
      </c>
      <c r="G348">
        <v>12.1</v>
      </c>
      <c r="H348">
        <v>0</v>
      </c>
      <c r="I348">
        <v>14.9</v>
      </c>
      <c r="J348">
        <v>10.9</v>
      </c>
      <c r="K348">
        <v>0</v>
      </c>
      <c r="L348">
        <v>12.6</v>
      </c>
      <c r="M348">
        <v>16.100000000000001</v>
      </c>
      <c r="N348">
        <v>0</v>
      </c>
      <c r="O348">
        <v>14.2</v>
      </c>
      <c r="P348">
        <v>9.8000000000000007</v>
      </c>
      <c r="Q348">
        <v>0</v>
      </c>
      <c r="R348">
        <v>9.9</v>
      </c>
      <c r="S348">
        <v>13.3</v>
      </c>
      <c r="T348">
        <v>0</v>
      </c>
      <c r="U348">
        <v>-19.7</v>
      </c>
      <c r="V348">
        <v>-22.1</v>
      </c>
      <c r="W348">
        <v>-22</v>
      </c>
      <c r="X348">
        <v>-20.2</v>
      </c>
      <c r="Y348">
        <v>-18.600000000000001</v>
      </c>
      <c r="Z348">
        <v>-22</v>
      </c>
      <c r="AA348">
        <v>-4</v>
      </c>
      <c r="AB348">
        <v>-6</v>
      </c>
      <c r="AC348">
        <v>-5</v>
      </c>
      <c r="AD348">
        <v>13.4</v>
      </c>
      <c r="AE348">
        <v>11.7</v>
      </c>
      <c r="AF348">
        <v>0</v>
      </c>
      <c r="AG348">
        <v>11.2</v>
      </c>
      <c r="AH348">
        <v>10</v>
      </c>
      <c r="AI348">
        <v>11.1</v>
      </c>
      <c r="AJ348">
        <v>10</v>
      </c>
      <c r="AK348">
        <v>9.5</v>
      </c>
      <c r="AL348">
        <v>10</v>
      </c>
      <c r="AM348">
        <v>12.9</v>
      </c>
      <c r="AN348">
        <v>9</v>
      </c>
      <c r="AO348">
        <v>11</v>
      </c>
      <c r="AP348">
        <v>10</v>
      </c>
      <c r="AQ348">
        <v>11.3</v>
      </c>
      <c r="AR348">
        <v>10</v>
      </c>
      <c r="AS348">
        <v>11.5</v>
      </c>
      <c r="AT348">
        <v>10</v>
      </c>
      <c r="AU348">
        <v>18.8</v>
      </c>
      <c r="AV348">
        <v>19</v>
      </c>
      <c r="AW348">
        <v>19.600000000000001</v>
      </c>
      <c r="AX348">
        <v>19</v>
      </c>
      <c r="AY348">
        <v>11.2</v>
      </c>
      <c r="AZ348">
        <v>10</v>
      </c>
      <c r="BA348">
        <v>10.6</v>
      </c>
      <c r="BB348">
        <v>10</v>
      </c>
    </row>
    <row r="349" spans="1:54" x14ac:dyDescent="0.35">
      <c r="A349" s="1">
        <v>46059.695138888892</v>
      </c>
      <c r="B349">
        <v>21.7</v>
      </c>
      <c r="C349">
        <v>3</v>
      </c>
      <c r="D349">
        <v>20.3</v>
      </c>
      <c r="E349">
        <v>2</v>
      </c>
      <c r="F349">
        <v>8.6</v>
      </c>
      <c r="G349">
        <v>12.1</v>
      </c>
      <c r="H349">
        <v>0</v>
      </c>
      <c r="I349">
        <v>14.9</v>
      </c>
      <c r="J349">
        <v>10.9</v>
      </c>
      <c r="K349">
        <v>0</v>
      </c>
      <c r="L349">
        <v>12.6</v>
      </c>
      <c r="M349">
        <v>16.100000000000001</v>
      </c>
      <c r="N349">
        <v>0</v>
      </c>
      <c r="O349">
        <v>14.2</v>
      </c>
      <c r="P349">
        <v>9.8000000000000007</v>
      </c>
      <c r="Q349">
        <v>0</v>
      </c>
      <c r="R349">
        <v>9.9</v>
      </c>
      <c r="S349">
        <v>13.3</v>
      </c>
      <c r="T349">
        <v>0</v>
      </c>
      <c r="U349">
        <v>-19.8</v>
      </c>
      <c r="V349">
        <v>-21.9</v>
      </c>
      <c r="W349">
        <v>-22</v>
      </c>
      <c r="X349">
        <v>-20.2</v>
      </c>
      <c r="Y349">
        <v>-18.600000000000001</v>
      </c>
      <c r="Z349">
        <v>-22</v>
      </c>
      <c r="AA349">
        <v>-4.4000000000000004</v>
      </c>
      <c r="AB349">
        <v>-6.5</v>
      </c>
      <c r="AC349">
        <v>-5</v>
      </c>
      <c r="AD349">
        <v>13.4</v>
      </c>
      <c r="AE349">
        <v>11.7</v>
      </c>
      <c r="AF349">
        <v>0</v>
      </c>
      <c r="AG349">
        <v>10.3</v>
      </c>
      <c r="AH349">
        <v>10</v>
      </c>
      <c r="AI349">
        <v>11.2</v>
      </c>
      <c r="AJ349">
        <v>10</v>
      </c>
      <c r="AK349">
        <v>9.6999999999999993</v>
      </c>
      <c r="AL349">
        <v>10</v>
      </c>
      <c r="AM349">
        <v>12.9</v>
      </c>
      <c r="AN349">
        <v>9</v>
      </c>
      <c r="AO349">
        <v>10.4</v>
      </c>
      <c r="AP349">
        <v>10</v>
      </c>
      <c r="AQ349">
        <v>11.4</v>
      </c>
      <c r="AR349">
        <v>10</v>
      </c>
      <c r="AS349">
        <v>9.1</v>
      </c>
      <c r="AT349">
        <v>10</v>
      </c>
      <c r="AU349">
        <v>18.8</v>
      </c>
      <c r="AV349">
        <v>19</v>
      </c>
      <c r="AW349">
        <v>19.600000000000001</v>
      </c>
      <c r="AX349">
        <v>19</v>
      </c>
      <c r="AY349">
        <v>11.5</v>
      </c>
      <c r="AZ349">
        <v>10</v>
      </c>
      <c r="BA349">
        <v>11</v>
      </c>
      <c r="BB349">
        <v>10</v>
      </c>
    </row>
    <row r="350" spans="1:54" x14ac:dyDescent="0.35">
      <c r="A350" s="1">
        <v>46059.695833333331</v>
      </c>
      <c r="B350">
        <v>21.7</v>
      </c>
      <c r="C350">
        <v>3</v>
      </c>
      <c r="D350">
        <v>20.399999999999999</v>
      </c>
      <c r="E350">
        <v>2</v>
      </c>
      <c r="F350">
        <v>8.6</v>
      </c>
      <c r="G350">
        <v>12.1</v>
      </c>
      <c r="H350">
        <v>0</v>
      </c>
      <c r="I350">
        <v>14.9</v>
      </c>
      <c r="J350">
        <v>10.9</v>
      </c>
      <c r="K350">
        <v>0</v>
      </c>
      <c r="L350">
        <v>12.6</v>
      </c>
      <c r="M350">
        <v>16.100000000000001</v>
      </c>
      <c r="N350">
        <v>0</v>
      </c>
      <c r="O350">
        <v>14.2</v>
      </c>
      <c r="P350">
        <v>9.8000000000000007</v>
      </c>
      <c r="Q350">
        <v>0</v>
      </c>
      <c r="R350">
        <v>9.9</v>
      </c>
      <c r="S350">
        <v>13.3</v>
      </c>
      <c r="T350">
        <v>0</v>
      </c>
      <c r="U350">
        <v>-19.8</v>
      </c>
      <c r="V350">
        <v>-21.9</v>
      </c>
      <c r="W350">
        <v>-22</v>
      </c>
      <c r="X350">
        <v>-20.2</v>
      </c>
      <c r="Y350">
        <v>-18.600000000000001</v>
      </c>
      <c r="Z350">
        <v>-22</v>
      </c>
      <c r="AA350">
        <v>-4.8</v>
      </c>
      <c r="AB350">
        <v>-6.9</v>
      </c>
      <c r="AC350">
        <v>-5</v>
      </c>
      <c r="AD350">
        <v>13.3</v>
      </c>
      <c r="AE350">
        <v>11.7</v>
      </c>
      <c r="AF350">
        <v>0</v>
      </c>
      <c r="AG350">
        <v>9.6999999999999993</v>
      </c>
      <c r="AH350">
        <v>10</v>
      </c>
      <c r="AI350">
        <v>11.3</v>
      </c>
      <c r="AJ350">
        <v>10</v>
      </c>
      <c r="AK350">
        <v>10.199999999999999</v>
      </c>
      <c r="AL350">
        <v>10</v>
      </c>
      <c r="AM350">
        <v>12.9</v>
      </c>
      <c r="AN350">
        <v>9</v>
      </c>
      <c r="AO350">
        <v>10.199999999999999</v>
      </c>
      <c r="AP350">
        <v>10</v>
      </c>
      <c r="AQ350">
        <v>11.4</v>
      </c>
      <c r="AR350">
        <v>10</v>
      </c>
      <c r="AS350">
        <v>8.1</v>
      </c>
      <c r="AT350">
        <v>10</v>
      </c>
      <c r="AU350">
        <v>18.5</v>
      </c>
      <c r="AV350">
        <v>19</v>
      </c>
      <c r="AW350">
        <v>19.5</v>
      </c>
      <c r="AX350">
        <v>19</v>
      </c>
      <c r="AY350">
        <v>11.7</v>
      </c>
      <c r="AZ350">
        <v>10</v>
      </c>
      <c r="BA350">
        <v>11.3</v>
      </c>
      <c r="BB350">
        <v>10</v>
      </c>
    </row>
    <row r="351" spans="1:54" x14ac:dyDescent="0.35">
      <c r="A351" s="1">
        <v>46059.696527777778</v>
      </c>
      <c r="B351">
        <v>21.7</v>
      </c>
      <c r="C351">
        <v>3</v>
      </c>
      <c r="D351">
        <v>20.399999999999999</v>
      </c>
      <c r="E351">
        <v>2</v>
      </c>
      <c r="F351">
        <v>8.6</v>
      </c>
      <c r="G351">
        <v>12.1</v>
      </c>
      <c r="H351">
        <v>0</v>
      </c>
      <c r="I351">
        <v>14.9</v>
      </c>
      <c r="J351">
        <v>10.9</v>
      </c>
      <c r="K351">
        <v>0</v>
      </c>
      <c r="L351">
        <v>12.7</v>
      </c>
      <c r="M351">
        <v>16.100000000000001</v>
      </c>
      <c r="N351">
        <v>0</v>
      </c>
      <c r="O351">
        <v>14.3</v>
      </c>
      <c r="P351">
        <v>9.8000000000000007</v>
      </c>
      <c r="Q351">
        <v>0</v>
      </c>
      <c r="R351">
        <v>9.9</v>
      </c>
      <c r="S351">
        <v>13.3</v>
      </c>
      <c r="T351">
        <v>0</v>
      </c>
      <c r="U351">
        <v>-19.8</v>
      </c>
      <c r="V351">
        <v>-22</v>
      </c>
      <c r="W351">
        <v>-22</v>
      </c>
      <c r="X351">
        <v>-20.2</v>
      </c>
      <c r="Y351">
        <v>-18.600000000000001</v>
      </c>
      <c r="Z351">
        <v>-22</v>
      </c>
      <c r="AA351">
        <v>-5.0999999999999996</v>
      </c>
      <c r="AB351">
        <v>-7.1</v>
      </c>
      <c r="AC351">
        <v>-5</v>
      </c>
      <c r="AD351">
        <v>13.2</v>
      </c>
      <c r="AE351">
        <v>11.7</v>
      </c>
      <c r="AF351">
        <v>0</v>
      </c>
      <c r="AG351">
        <v>9.6</v>
      </c>
      <c r="AH351">
        <v>10</v>
      </c>
      <c r="AI351">
        <v>11.4</v>
      </c>
      <c r="AJ351">
        <v>10</v>
      </c>
      <c r="AK351">
        <v>10.6</v>
      </c>
      <c r="AL351">
        <v>10</v>
      </c>
      <c r="AM351">
        <v>12.9</v>
      </c>
      <c r="AN351">
        <v>9</v>
      </c>
      <c r="AO351">
        <v>10.199999999999999</v>
      </c>
      <c r="AP351">
        <v>10</v>
      </c>
      <c r="AQ351">
        <v>11.4</v>
      </c>
      <c r="AR351">
        <v>10</v>
      </c>
      <c r="AS351">
        <v>8.4</v>
      </c>
      <c r="AT351">
        <v>10</v>
      </c>
      <c r="AU351">
        <v>18.5</v>
      </c>
      <c r="AV351">
        <v>19</v>
      </c>
      <c r="AW351">
        <v>19.5</v>
      </c>
      <c r="AX351">
        <v>19</v>
      </c>
      <c r="AY351">
        <v>11.8</v>
      </c>
      <c r="AZ351">
        <v>10</v>
      </c>
      <c r="BA351">
        <v>11.6</v>
      </c>
      <c r="BB351">
        <v>10</v>
      </c>
    </row>
    <row r="352" spans="1:54" x14ac:dyDescent="0.35">
      <c r="A352" s="1">
        <v>46059.697222222225</v>
      </c>
      <c r="B352">
        <v>21.7</v>
      </c>
      <c r="C352">
        <v>3</v>
      </c>
      <c r="D352">
        <v>20.399999999999999</v>
      </c>
      <c r="E352">
        <v>2</v>
      </c>
      <c r="F352">
        <v>8.6</v>
      </c>
      <c r="G352">
        <v>12.1</v>
      </c>
      <c r="H352">
        <v>0</v>
      </c>
      <c r="I352">
        <v>14.9</v>
      </c>
      <c r="J352">
        <v>10.9</v>
      </c>
      <c r="K352">
        <v>0</v>
      </c>
      <c r="L352">
        <v>12.7</v>
      </c>
      <c r="M352">
        <v>16.100000000000001</v>
      </c>
      <c r="N352">
        <v>0</v>
      </c>
      <c r="O352">
        <v>14.3</v>
      </c>
      <c r="P352">
        <v>9.8000000000000007</v>
      </c>
      <c r="Q352">
        <v>0</v>
      </c>
      <c r="R352">
        <v>9.9</v>
      </c>
      <c r="S352">
        <v>13.3</v>
      </c>
      <c r="T352">
        <v>0</v>
      </c>
      <c r="U352">
        <v>-19.8</v>
      </c>
      <c r="V352">
        <v>-21.8</v>
      </c>
      <c r="W352">
        <v>-22</v>
      </c>
      <c r="X352">
        <v>-20.2</v>
      </c>
      <c r="Y352">
        <v>-18.600000000000001</v>
      </c>
      <c r="Z352">
        <v>-22</v>
      </c>
      <c r="AA352">
        <v>-4.5999999999999996</v>
      </c>
      <c r="AB352">
        <v>-5.0999999999999996</v>
      </c>
      <c r="AC352">
        <v>-5</v>
      </c>
      <c r="AD352">
        <v>13.2</v>
      </c>
      <c r="AE352">
        <v>11.7</v>
      </c>
      <c r="AF352">
        <v>0</v>
      </c>
      <c r="AG352">
        <v>9.9</v>
      </c>
      <c r="AH352">
        <v>10</v>
      </c>
      <c r="AI352">
        <v>11.5</v>
      </c>
      <c r="AJ352">
        <v>10</v>
      </c>
      <c r="AK352">
        <v>10.8</v>
      </c>
      <c r="AL352">
        <v>10</v>
      </c>
      <c r="AM352">
        <v>12.8</v>
      </c>
      <c r="AN352">
        <v>9</v>
      </c>
      <c r="AO352">
        <v>10</v>
      </c>
      <c r="AP352">
        <v>10</v>
      </c>
      <c r="AQ352">
        <v>11.3</v>
      </c>
      <c r="AR352">
        <v>10</v>
      </c>
      <c r="AS352">
        <v>9</v>
      </c>
      <c r="AT352">
        <v>10</v>
      </c>
      <c r="AU352">
        <v>18.5</v>
      </c>
      <c r="AV352">
        <v>19</v>
      </c>
      <c r="AW352">
        <v>19.5</v>
      </c>
      <c r="AX352">
        <v>19</v>
      </c>
      <c r="AY352">
        <v>12</v>
      </c>
      <c r="AZ352">
        <v>10</v>
      </c>
      <c r="BA352">
        <v>11.9</v>
      </c>
      <c r="BB352">
        <v>10</v>
      </c>
    </row>
    <row r="353" spans="1:54" x14ac:dyDescent="0.35">
      <c r="A353" s="1">
        <v>46059.697916666664</v>
      </c>
      <c r="B353">
        <v>21.7</v>
      </c>
      <c r="C353">
        <v>3</v>
      </c>
      <c r="D353">
        <v>20.399999999999999</v>
      </c>
      <c r="E353">
        <v>2</v>
      </c>
      <c r="F353">
        <v>8.6</v>
      </c>
      <c r="G353">
        <v>12.1</v>
      </c>
      <c r="H353">
        <v>0</v>
      </c>
      <c r="I353">
        <v>14.9</v>
      </c>
      <c r="J353">
        <v>10.9</v>
      </c>
      <c r="K353">
        <v>0</v>
      </c>
      <c r="L353">
        <v>12.7</v>
      </c>
      <c r="M353">
        <v>16.100000000000001</v>
      </c>
      <c r="N353">
        <v>0</v>
      </c>
      <c r="O353">
        <v>14.3</v>
      </c>
      <c r="P353">
        <v>9.9</v>
      </c>
      <c r="Q353">
        <v>0</v>
      </c>
      <c r="R353">
        <v>9.9</v>
      </c>
      <c r="S353">
        <v>13.3</v>
      </c>
      <c r="T353">
        <v>0</v>
      </c>
      <c r="U353">
        <v>-19.8</v>
      </c>
      <c r="V353">
        <v>-22.2</v>
      </c>
      <c r="W353">
        <v>-22</v>
      </c>
      <c r="X353">
        <v>-20.2</v>
      </c>
      <c r="Y353">
        <v>-18.600000000000001</v>
      </c>
      <c r="Z353">
        <v>-22</v>
      </c>
      <c r="AA353">
        <v>-3.6</v>
      </c>
      <c r="AB353">
        <v>-3.7</v>
      </c>
      <c r="AC353">
        <v>-5</v>
      </c>
      <c r="AD353">
        <v>13.2</v>
      </c>
      <c r="AE353">
        <v>11.6</v>
      </c>
      <c r="AF353">
        <v>0</v>
      </c>
      <c r="AG353">
        <v>10.199999999999999</v>
      </c>
      <c r="AH353">
        <v>10</v>
      </c>
      <c r="AI353">
        <v>11.6</v>
      </c>
      <c r="AJ353">
        <v>10</v>
      </c>
      <c r="AK353">
        <v>11</v>
      </c>
      <c r="AL353">
        <v>10</v>
      </c>
      <c r="AM353">
        <v>12.7</v>
      </c>
      <c r="AN353">
        <v>9</v>
      </c>
      <c r="AO353">
        <v>11</v>
      </c>
      <c r="AP353">
        <v>10</v>
      </c>
      <c r="AQ353">
        <v>11.3</v>
      </c>
      <c r="AR353">
        <v>10</v>
      </c>
      <c r="AS353">
        <v>9.5</v>
      </c>
      <c r="AT353">
        <v>10</v>
      </c>
      <c r="AU353">
        <v>18.5</v>
      </c>
      <c r="AV353">
        <v>19</v>
      </c>
      <c r="AW353">
        <v>19.5</v>
      </c>
      <c r="AX353">
        <v>19</v>
      </c>
      <c r="AY353">
        <v>11.5</v>
      </c>
      <c r="AZ353">
        <v>10</v>
      </c>
      <c r="BA353">
        <v>12</v>
      </c>
      <c r="BB353">
        <v>10</v>
      </c>
    </row>
    <row r="354" spans="1:54" x14ac:dyDescent="0.35">
      <c r="A354" s="1">
        <v>46059.698611111111</v>
      </c>
      <c r="B354">
        <v>21.7</v>
      </c>
      <c r="C354">
        <v>3</v>
      </c>
      <c r="D354">
        <v>20.399999999999999</v>
      </c>
      <c r="E354">
        <v>2</v>
      </c>
      <c r="F354">
        <v>8.6</v>
      </c>
      <c r="G354">
        <v>12.1</v>
      </c>
      <c r="H354">
        <v>0</v>
      </c>
      <c r="I354">
        <v>14.9</v>
      </c>
      <c r="J354">
        <v>10.9</v>
      </c>
      <c r="K354">
        <v>0</v>
      </c>
      <c r="L354">
        <v>12.7</v>
      </c>
      <c r="M354">
        <v>16.100000000000001</v>
      </c>
      <c r="N354">
        <v>0</v>
      </c>
      <c r="O354">
        <v>14.3</v>
      </c>
      <c r="P354">
        <v>9.9</v>
      </c>
      <c r="Q354">
        <v>0</v>
      </c>
      <c r="R354">
        <v>9.9</v>
      </c>
      <c r="S354">
        <v>13.3</v>
      </c>
      <c r="T354">
        <v>0</v>
      </c>
      <c r="U354">
        <v>-19.8</v>
      </c>
      <c r="V354">
        <v>-21.9</v>
      </c>
      <c r="W354">
        <v>-22</v>
      </c>
      <c r="X354">
        <v>-20.2</v>
      </c>
      <c r="Y354">
        <v>-18.600000000000001</v>
      </c>
      <c r="Z354">
        <v>-22</v>
      </c>
      <c r="AA354">
        <v>-2.8</v>
      </c>
      <c r="AB354">
        <v>-2.8</v>
      </c>
      <c r="AC354">
        <v>-5</v>
      </c>
      <c r="AD354">
        <v>13.2</v>
      </c>
      <c r="AE354">
        <v>11.6</v>
      </c>
      <c r="AF354">
        <v>0</v>
      </c>
      <c r="AG354">
        <v>10.5</v>
      </c>
      <c r="AH354">
        <v>10</v>
      </c>
      <c r="AI354">
        <v>11.7</v>
      </c>
      <c r="AJ354">
        <v>10</v>
      </c>
      <c r="AK354">
        <v>11.2</v>
      </c>
      <c r="AL354">
        <v>10</v>
      </c>
      <c r="AM354">
        <v>12.7</v>
      </c>
      <c r="AN354">
        <v>9</v>
      </c>
      <c r="AO354">
        <v>11.6</v>
      </c>
      <c r="AP354">
        <v>10</v>
      </c>
      <c r="AQ354">
        <v>11.3</v>
      </c>
      <c r="AR354">
        <v>10</v>
      </c>
      <c r="AS354">
        <v>10</v>
      </c>
      <c r="AT354">
        <v>10</v>
      </c>
      <c r="AU354">
        <v>18.5</v>
      </c>
      <c r="AV354">
        <v>19</v>
      </c>
      <c r="AW354">
        <v>19.5</v>
      </c>
      <c r="AX354">
        <v>19</v>
      </c>
      <c r="AY354">
        <v>10.7</v>
      </c>
      <c r="AZ354">
        <v>10</v>
      </c>
      <c r="BA354">
        <v>11.5</v>
      </c>
      <c r="BB354">
        <v>10</v>
      </c>
    </row>
    <row r="355" spans="1:54" x14ac:dyDescent="0.35">
      <c r="A355" s="1">
        <v>46059.699305555558</v>
      </c>
      <c r="B355">
        <v>21.7</v>
      </c>
      <c r="C355">
        <v>3</v>
      </c>
      <c r="D355">
        <v>20.399999999999999</v>
      </c>
      <c r="E355">
        <v>2</v>
      </c>
      <c r="F355">
        <v>8.6</v>
      </c>
      <c r="G355">
        <v>12.1</v>
      </c>
      <c r="H355">
        <v>0</v>
      </c>
      <c r="I355">
        <v>15</v>
      </c>
      <c r="J355">
        <v>10.9</v>
      </c>
      <c r="K355">
        <v>0</v>
      </c>
      <c r="L355">
        <v>12.7</v>
      </c>
      <c r="M355">
        <v>16.100000000000001</v>
      </c>
      <c r="N355">
        <v>0</v>
      </c>
      <c r="O355">
        <v>14.3</v>
      </c>
      <c r="P355">
        <v>9.9</v>
      </c>
      <c r="Q355">
        <v>0</v>
      </c>
      <c r="R355">
        <v>9.9</v>
      </c>
      <c r="S355">
        <v>13.3</v>
      </c>
      <c r="T355">
        <v>0</v>
      </c>
      <c r="U355">
        <v>-19.8</v>
      </c>
      <c r="V355">
        <v>-22</v>
      </c>
      <c r="W355">
        <v>-22</v>
      </c>
      <c r="X355">
        <v>-20.2</v>
      </c>
      <c r="Y355">
        <v>-18.7</v>
      </c>
      <c r="Z355">
        <v>-22</v>
      </c>
      <c r="AA355">
        <v>-2.7</v>
      </c>
      <c r="AB355">
        <v>-3.7</v>
      </c>
      <c r="AC355">
        <v>-5</v>
      </c>
      <c r="AD355">
        <v>13.2</v>
      </c>
      <c r="AE355">
        <v>11.6</v>
      </c>
      <c r="AF355">
        <v>0</v>
      </c>
      <c r="AG355">
        <v>10.7</v>
      </c>
      <c r="AH355">
        <v>10</v>
      </c>
      <c r="AI355">
        <v>11.8</v>
      </c>
      <c r="AJ355">
        <v>10</v>
      </c>
      <c r="AK355">
        <v>11.3</v>
      </c>
      <c r="AL355">
        <v>10</v>
      </c>
      <c r="AM355">
        <v>12.7</v>
      </c>
      <c r="AN355">
        <v>9</v>
      </c>
      <c r="AO355">
        <v>11.8</v>
      </c>
      <c r="AP355">
        <v>10</v>
      </c>
      <c r="AQ355">
        <v>11.1</v>
      </c>
      <c r="AR355">
        <v>10</v>
      </c>
      <c r="AS355">
        <v>10.4</v>
      </c>
      <c r="AT355">
        <v>10</v>
      </c>
      <c r="AU355">
        <v>18.5</v>
      </c>
      <c r="AV355">
        <v>19</v>
      </c>
      <c r="AW355">
        <v>19.5</v>
      </c>
      <c r="AX355">
        <v>19</v>
      </c>
      <c r="AY355">
        <v>9.9</v>
      </c>
      <c r="AZ355">
        <v>10</v>
      </c>
      <c r="BA355">
        <v>10.8</v>
      </c>
      <c r="BB355">
        <v>10</v>
      </c>
    </row>
    <row r="356" spans="1:54" x14ac:dyDescent="0.35">
      <c r="A356" s="1">
        <v>46059.7</v>
      </c>
      <c r="B356">
        <v>21.7</v>
      </c>
      <c r="C356">
        <v>3</v>
      </c>
      <c r="D356">
        <v>20.399999999999999</v>
      </c>
      <c r="E356">
        <v>2</v>
      </c>
      <c r="F356">
        <v>8.6</v>
      </c>
      <c r="G356">
        <v>12.1</v>
      </c>
      <c r="H356">
        <v>0</v>
      </c>
      <c r="I356">
        <v>15</v>
      </c>
      <c r="J356">
        <v>10.9</v>
      </c>
      <c r="K356">
        <v>0</v>
      </c>
      <c r="L356">
        <v>12.7</v>
      </c>
      <c r="M356">
        <v>16.100000000000001</v>
      </c>
      <c r="N356">
        <v>0</v>
      </c>
      <c r="O356">
        <v>14.3</v>
      </c>
      <c r="P356">
        <v>9.9</v>
      </c>
      <c r="Q356">
        <v>0</v>
      </c>
      <c r="R356">
        <v>9.9</v>
      </c>
      <c r="S356">
        <v>13.3</v>
      </c>
      <c r="T356">
        <v>0</v>
      </c>
      <c r="U356">
        <v>-19.8</v>
      </c>
      <c r="V356">
        <v>-21.9</v>
      </c>
      <c r="W356">
        <v>-22</v>
      </c>
      <c r="X356">
        <v>-20.2</v>
      </c>
      <c r="Y356">
        <v>-18.7</v>
      </c>
      <c r="Z356">
        <v>-22</v>
      </c>
      <c r="AA356">
        <v>-3</v>
      </c>
      <c r="AB356">
        <v>-4.5999999999999996</v>
      </c>
      <c r="AC356">
        <v>-5</v>
      </c>
      <c r="AD356">
        <v>13.1</v>
      </c>
      <c r="AE356">
        <v>11.6</v>
      </c>
      <c r="AF356">
        <v>0</v>
      </c>
      <c r="AG356">
        <v>10.9</v>
      </c>
      <c r="AH356">
        <v>10</v>
      </c>
      <c r="AI356">
        <v>11.9</v>
      </c>
      <c r="AJ356">
        <v>10</v>
      </c>
      <c r="AK356">
        <v>11.5</v>
      </c>
      <c r="AL356">
        <v>10</v>
      </c>
      <c r="AM356">
        <v>12.7</v>
      </c>
      <c r="AN356">
        <v>9</v>
      </c>
      <c r="AO356">
        <v>12</v>
      </c>
      <c r="AP356">
        <v>10</v>
      </c>
      <c r="AQ356">
        <v>11</v>
      </c>
      <c r="AR356">
        <v>10</v>
      </c>
      <c r="AS356">
        <v>10.7</v>
      </c>
      <c r="AT356">
        <v>10</v>
      </c>
      <c r="AU356">
        <v>18.5</v>
      </c>
      <c r="AV356">
        <v>19</v>
      </c>
      <c r="AW356">
        <v>19.5</v>
      </c>
      <c r="AX356">
        <v>19</v>
      </c>
      <c r="AY356">
        <v>9.6999999999999993</v>
      </c>
      <c r="AZ356">
        <v>10</v>
      </c>
      <c r="BA356">
        <v>10.1</v>
      </c>
      <c r="BB356">
        <v>10</v>
      </c>
    </row>
    <row r="357" spans="1:54" x14ac:dyDescent="0.35">
      <c r="A357" s="1">
        <v>46059.700694444444</v>
      </c>
      <c r="B357">
        <v>21.7</v>
      </c>
      <c r="C357">
        <v>3</v>
      </c>
      <c r="D357">
        <v>20.399999999999999</v>
      </c>
      <c r="E357">
        <v>2</v>
      </c>
      <c r="F357">
        <v>8.6</v>
      </c>
      <c r="G357">
        <v>12.2</v>
      </c>
      <c r="H357">
        <v>0</v>
      </c>
      <c r="I357">
        <v>15</v>
      </c>
      <c r="J357">
        <v>10.9</v>
      </c>
      <c r="K357">
        <v>0</v>
      </c>
      <c r="L357">
        <v>12.7</v>
      </c>
      <c r="M357">
        <v>16.100000000000001</v>
      </c>
      <c r="N357">
        <v>0</v>
      </c>
      <c r="O357">
        <v>14.3</v>
      </c>
      <c r="P357">
        <v>9.9</v>
      </c>
      <c r="Q357">
        <v>0</v>
      </c>
      <c r="R357">
        <v>10</v>
      </c>
      <c r="S357">
        <v>13.3</v>
      </c>
      <c r="T357">
        <v>0</v>
      </c>
      <c r="U357">
        <v>-19.8</v>
      </c>
      <c r="V357">
        <v>-21.9</v>
      </c>
      <c r="W357">
        <v>-22</v>
      </c>
      <c r="X357">
        <v>-20.2</v>
      </c>
      <c r="Y357">
        <v>-18.7</v>
      </c>
      <c r="Z357">
        <v>-22</v>
      </c>
      <c r="AA357">
        <v>-3.5</v>
      </c>
      <c r="AB357">
        <v>-5.3</v>
      </c>
      <c r="AC357">
        <v>-5</v>
      </c>
      <c r="AD357">
        <v>13.1</v>
      </c>
      <c r="AE357">
        <v>11.6</v>
      </c>
      <c r="AF357">
        <v>0</v>
      </c>
      <c r="AG357">
        <v>11.1</v>
      </c>
      <c r="AH357">
        <v>10</v>
      </c>
      <c r="AI357">
        <v>11.9</v>
      </c>
      <c r="AJ357">
        <v>10</v>
      </c>
      <c r="AK357">
        <v>11.6</v>
      </c>
      <c r="AL357">
        <v>10</v>
      </c>
      <c r="AM357">
        <v>12.8</v>
      </c>
      <c r="AN357">
        <v>9</v>
      </c>
      <c r="AO357">
        <v>11.3</v>
      </c>
      <c r="AP357">
        <v>10</v>
      </c>
      <c r="AQ357">
        <v>10.9</v>
      </c>
      <c r="AR357">
        <v>10</v>
      </c>
      <c r="AS357">
        <v>10.9</v>
      </c>
      <c r="AT357">
        <v>10</v>
      </c>
      <c r="AU357">
        <v>18.5</v>
      </c>
      <c r="AV357">
        <v>19</v>
      </c>
      <c r="AW357">
        <v>19.399999999999999</v>
      </c>
      <c r="AX357">
        <v>19</v>
      </c>
      <c r="AY357">
        <v>10</v>
      </c>
      <c r="AZ357">
        <v>10</v>
      </c>
      <c r="BA357">
        <v>9.6999999999999993</v>
      </c>
      <c r="BB357">
        <v>10</v>
      </c>
    </row>
    <row r="358" spans="1:54" x14ac:dyDescent="0.35">
      <c r="A358" s="1">
        <v>46059.701388888891</v>
      </c>
      <c r="B358">
        <v>21.7</v>
      </c>
      <c r="C358">
        <v>3</v>
      </c>
      <c r="D358">
        <v>20.399999999999999</v>
      </c>
      <c r="E358">
        <v>2</v>
      </c>
      <c r="F358">
        <v>8.6</v>
      </c>
      <c r="G358">
        <v>12.2</v>
      </c>
      <c r="H358">
        <v>0</v>
      </c>
      <c r="I358">
        <v>15</v>
      </c>
      <c r="J358">
        <v>10.9</v>
      </c>
      <c r="K358">
        <v>0</v>
      </c>
      <c r="L358">
        <v>12.7</v>
      </c>
      <c r="M358">
        <v>16.100000000000001</v>
      </c>
      <c r="N358">
        <v>0</v>
      </c>
      <c r="O358">
        <v>14.3</v>
      </c>
      <c r="P358">
        <v>9.9</v>
      </c>
      <c r="Q358">
        <v>0</v>
      </c>
      <c r="R358">
        <v>10</v>
      </c>
      <c r="S358">
        <v>13.3</v>
      </c>
      <c r="T358">
        <v>0</v>
      </c>
      <c r="U358">
        <v>-19.8</v>
      </c>
      <c r="V358">
        <v>-22.2</v>
      </c>
      <c r="W358">
        <v>-22</v>
      </c>
      <c r="X358">
        <v>-20.2</v>
      </c>
      <c r="Y358">
        <v>-18.7</v>
      </c>
      <c r="Z358">
        <v>-22</v>
      </c>
      <c r="AA358">
        <v>-3.9</v>
      </c>
      <c r="AB358">
        <v>-6</v>
      </c>
      <c r="AC358">
        <v>-5</v>
      </c>
      <c r="AD358">
        <v>13</v>
      </c>
      <c r="AE358">
        <v>11.6</v>
      </c>
      <c r="AF358">
        <v>0</v>
      </c>
      <c r="AG358">
        <v>11.3</v>
      </c>
      <c r="AH358">
        <v>10</v>
      </c>
      <c r="AI358">
        <v>11.5</v>
      </c>
      <c r="AJ358">
        <v>10</v>
      </c>
      <c r="AK358">
        <v>11.6</v>
      </c>
      <c r="AL358">
        <v>10</v>
      </c>
      <c r="AM358">
        <v>12.8</v>
      </c>
      <c r="AN358">
        <v>9</v>
      </c>
      <c r="AO358">
        <v>10.7</v>
      </c>
      <c r="AP358">
        <v>10</v>
      </c>
      <c r="AQ358">
        <v>10.9</v>
      </c>
      <c r="AR358">
        <v>10</v>
      </c>
      <c r="AS358">
        <v>11.2</v>
      </c>
      <c r="AT358">
        <v>10</v>
      </c>
      <c r="AU358">
        <v>18.5</v>
      </c>
      <c r="AV358">
        <v>19</v>
      </c>
      <c r="AW358">
        <v>19.399999999999999</v>
      </c>
      <c r="AX358">
        <v>19</v>
      </c>
      <c r="AY358">
        <v>10.4</v>
      </c>
      <c r="AZ358">
        <v>10</v>
      </c>
      <c r="BA358">
        <v>9.9</v>
      </c>
      <c r="BB358">
        <v>10</v>
      </c>
    </row>
    <row r="359" spans="1:54" x14ac:dyDescent="0.35">
      <c r="A359" s="1">
        <v>46059.70208333333</v>
      </c>
      <c r="B359">
        <v>21.7</v>
      </c>
      <c r="C359">
        <v>3</v>
      </c>
      <c r="D359">
        <v>20.399999999999999</v>
      </c>
      <c r="E359">
        <v>2</v>
      </c>
      <c r="F359">
        <v>8.6999999999999993</v>
      </c>
      <c r="G359">
        <v>12.2</v>
      </c>
      <c r="H359">
        <v>0</v>
      </c>
      <c r="I359">
        <v>15</v>
      </c>
      <c r="J359">
        <v>10.9</v>
      </c>
      <c r="K359">
        <v>0</v>
      </c>
      <c r="L359">
        <v>12.7</v>
      </c>
      <c r="M359">
        <v>16.100000000000001</v>
      </c>
      <c r="N359">
        <v>0</v>
      </c>
      <c r="O359">
        <v>14.3</v>
      </c>
      <c r="P359">
        <v>9.9</v>
      </c>
      <c r="Q359">
        <v>0</v>
      </c>
      <c r="R359">
        <v>10</v>
      </c>
      <c r="S359">
        <v>13.3</v>
      </c>
      <c r="T359">
        <v>0</v>
      </c>
      <c r="U359">
        <v>-19.8</v>
      </c>
      <c r="V359">
        <v>-21.8</v>
      </c>
      <c r="W359">
        <v>-22</v>
      </c>
      <c r="X359">
        <v>-20.2</v>
      </c>
      <c r="Y359">
        <v>-18.7</v>
      </c>
      <c r="Z359">
        <v>-22</v>
      </c>
      <c r="AA359">
        <v>-4.5</v>
      </c>
      <c r="AB359">
        <v>-6.7</v>
      </c>
      <c r="AC359">
        <v>-5</v>
      </c>
      <c r="AD359">
        <v>13</v>
      </c>
      <c r="AE359">
        <v>11.5</v>
      </c>
      <c r="AF359">
        <v>0</v>
      </c>
      <c r="AG359">
        <v>11.4</v>
      </c>
      <c r="AH359">
        <v>10</v>
      </c>
      <c r="AI359">
        <v>10.1</v>
      </c>
      <c r="AJ359">
        <v>10</v>
      </c>
      <c r="AK359">
        <v>11.7</v>
      </c>
      <c r="AL359">
        <v>10</v>
      </c>
      <c r="AM359">
        <v>12.8</v>
      </c>
      <c r="AN359">
        <v>9</v>
      </c>
      <c r="AO359">
        <v>10.3</v>
      </c>
      <c r="AP359">
        <v>10</v>
      </c>
      <c r="AQ359">
        <v>11</v>
      </c>
      <c r="AR359">
        <v>10</v>
      </c>
      <c r="AS359">
        <v>11.4</v>
      </c>
      <c r="AT359">
        <v>10</v>
      </c>
      <c r="AU359">
        <v>18.5</v>
      </c>
      <c r="AV359">
        <v>19</v>
      </c>
      <c r="AW359">
        <v>19.399999999999999</v>
      </c>
      <c r="AX359">
        <v>19</v>
      </c>
      <c r="AY359">
        <v>10.7</v>
      </c>
      <c r="AZ359">
        <v>10</v>
      </c>
      <c r="BA359">
        <v>10.4</v>
      </c>
      <c r="BB359">
        <v>10</v>
      </c>
    </row>
    <row r="360" spans="1:54" x14ac:dyDescent="0.35">
      <c r="A360" s="1">
        <v>46059.702777777777</v>
      </c>
      <c r="B360">
        <v>21.7</v>
      </c>
      <c r="C360">
        <v>3</v>
      </c>
      <c r="D360">
        <v>20.399999999999999</v>
      </c>
      <c r="E360">
        <v>2</v>
      </c>
      <c r="F360">
        <v>8.6999999999999993</v>
      </c>
      <c r="G360">
        <v>12.2</v>
      </c>
      <c r="H360">
        <v>0</v>
      </c>
      <c r="I360">
        <v>15</v>
      </c>
      <c r="J360">
        <v>10.9</v>
      </c>
      <c r="K360">
        <v>0</v>
      </c>
      <c r="L360">
        <v>12.7</v>
      </c>
      <c r="M360">
        <v>16.100000000000001</v>
      </c>
      <c r="N360">
        <v>0</v>
      </c>
      <c r="O360">
        <v>14.3</v>
      </c>
      <c r="P360">
        <v>9.9</v>
      </c>
      <c r="Q360">
        <v>0</v>
      </c>
      <c r="R360">
        <v>10</v>
      </c>
      <c r="S360">
        <v>13.3</v>
      </c>
      <c r="T360">
        <v>0</v>
      </c>
      <c r="U360">
        <v>-19.8</v>
      </c>
      <c r="V360">
        <v>-22.2</v>
      </c>
      <c r="W360">
        <v>-22</v>
      </c>
      <c r="X360">
        <v>-20.2</v>
      </c>
      <c r="Y360">
        <v>-18.7</v>
      </c>
      <c r="Z360">
        <v>-22</v>
      </c>
      <c r="AA360">
        <v>-4.8</v>
      </c>
      <c r="AB360">
        <v>-7.1</v>
      </c>
      <c r="AC360">
        <v>-5</v>
      </c>
      <c r="AD360">
        <v>12.9</v>
      </c>
      <c r="AE360">
        <v>11.5</v>
      </c>
      <c r="AF360">
        <v>0</v>
      </c>
      <c r="AG360">
        <v>11.5</v>
      </c>
      <c r="AH360">
        <v>10</v>
      </c>
      <c r="AI360">
        <v>8.9</v>
      </c>
      <c r="AJ360">
        <v>10</v>
      </c>
      <c r="AK360">
        <v>11.7</v>
      </c>
      <c r="AL360">
        <v>10</v>
      </c>
      <c r="AM360">
        <v>12.8</v>
      </c>
      <c r="AN360">
        <v>9</v>
      </c>
      <c r="AO360">
        <v>10.1</v>
      </c>
      <c r="AP360">
        <v>10</v>
      </c>
      <c r="AQ360">
        <v>11</v>
      </c>
      <c r="AR360">
        <v>10</v>
      </c>
      <c r="AS360">
        <v>11.6</v>
      </c>
      <c r="AT360">
        <v>10</v>
      </c>
      <c r="AU360">
        <v>18.5</v>
      </c>
      <c r="AV360">
        <v>19</v>
      </c>
      <c r="AW360">
        <v>19.399999999999999</v>
      </c>
      <c r="AX360">
        <v>19</v>
      </c>
      <c r="AY360">
        <v>11</v>
      </c>
      <c r="AZ360">
        <v>10</v>
      </c>
      <c r="BA360">
        <v>10.7</v>
      </c>
      <c r="BB360">
        <v>10</v>
      </c>
    </row>
    <row r="361" spans="1:54" x14ac:dyDescent="0.35">
      <c r="A361" s="1">
        <v>46059.703472222223</v>
      </c>
      <c r="B361">
        <v>21.8</v>
      </c>
      <c r="C361">
        <v>3</v>
      </c>
      <c r="D361">
        <v>20.399999999999999</v>
      </c>
      <c r="E361">
        <v>2</v>
      </c>
      <c r="F361">
        <v>8.6999999999999993</v>
      </c>
      <c r="G361">
        <v>12.2</v>
      </c>
      <c r="H361">
        <v>0</v>
      </c>
      <c r="I361">
        <v>15</v>
      </c>
      <c r="J361">
        <v>10.9</v>
      </c>
      <c r="K361">
        <v>0</v>
      </c>
      <c r="L361">
        <v>12.7</v>
      </c>
      <c r="M361">
        <v>16.2</v>
      </c>
      <c r="N361">
        <v>0</v>
      </c>
      <c r="O361">
        <v>14.3</v>
      </c>
      <c r="P361">
        <v>9.9</v>
      </c>
      <c r="Q361">
        <v>0</v>
      </c>
      <c r="R361">
        <v>10</v>
      </c>
      <c r="S361">
        <v>13.3</v>
      </c>
      <c r="T361">
        <v>0</v>
      </c>
      <c r="U361">
        <v>-19.8</v>
      </c>
      <c r="V361">
        <v>-21.9</v>
      </c>
      <c r="W361">
        <v>-22</v>
      </c>
      <c r="X361">
        <v>-20.2</v>
      </c>
      <c r="Y361">
        <v>-18.7</v>
      </c>
      <c r="Z361">
        <v>-22</v>
      </c>
      <c r="AA361">
        <v>-5.0999999999999996</v>
      </c>
      <c r="AB361">
        <v>-7</v>
      </c>
      <c r="AC361">
        <v>-5</v>
      </c>
      <c r="AD361">
        <v>12.9</v>
      </c>
      <c r="AE361">
        <v>11.5</v>
      </c>
      <c r="AF361">
        <v>0</v>
      </c>
      <c r="AG361">
        <v>11.6</v>
      </c>
      <c r="AH361">
        <v>10</v>
      </c>
      <c r="AI361">
        <v>8.8000000000000007</v>
      </c>
      <c r="AJ361">
        <v>10</v>
      </c>
      <c r="AK361">
        <v>11.7</v>
      </c>
      <c r="AL361">
        <v>10</v>
      </c>
      <c r="AM361">
        <v>12.7</v>
      </c>
      <c r="AN361">
        <v>9</v>
      </c>
      <c r="AO361">
        <v>10.4</v>
      </c>
      <c r="AP361">
        <v>10</v>
      </c>
      <c r="AQ361">
        <v>11</v>
      </c>
      <c r="AR361">
        <v>10</v>
      </c>
      <c r="AS361">
        <v>11.8</v>
      </c>
      <c r="AT361">
        <v>10</v>
      </c>
      <c r="AU361">
        <v>18.5</v>
      </c>
      <c r="AV361">
        <v>19</v>
      </c>
      <c r="AW361">
        <v>19.399999999999999</v>
      </c>
      <c r="AX361">
        <v>19</v>
      </c>
      <c r="AY361">
        <v>11.3</v>
      </c>
      <c r="AZ361">
        <v>10</v>
      </c>
      <c r="BA361">
        <v>11.1</v>
      </c>
      <c r="BB361">
        <v>10</v>
      </c>
    </row>
    <row r="362" spans="1:54" x14ac:dyDescent="0.35">
      <c r="A362" s="1">
        <v>46059.70416666667</v>
      </c>
      <c r="B362">
        <v>21.8</v>
      </c>
      <c r="C362">
        <v>3</v>
      </c>
      <c r="D362">
        <v>20.399999999999999</v>
      </c>
      <c r="E362">
        <v>2</v>
      </c>
      <c r="F362">
        <v>8.6999999999999993</v>
      </c>
      <c r="G362">
        <v>12.2</v>
      </c>
      <c r="H362">
        <v>0</v>
      </c>
      <c r="I362">
        <v>15</v>
      </c>
      <c r="J362">
        <v>11</v>
      </c>
      <c r="K362">
        <v>0</v>
      </c>
      <c r="L362">
        <v>12.7</v>
      </c>
      <c r="M362">
        <v>16.2</v>
      </c>
      <c r="N362">
        <v>0</v>
      </c>
      <c r="O362">
        <v>14.3</v>
      </c>
      <c r="P362">
        <v>9.9</v>
      </c>
      <c r="Q362">
        <v>0</v>
      </c>
      <c r="R362">
        <v>10</v>
      </c>
      <c r="S362">
        <v>13.3</v>
      </c>
      <c r="T362">
        <v>0</v>
      </c>
      <c r="U362">
        <v>-19.8</v>
      </c>
      <c r="V362">
        <v>-21.9</v>
      </c>
      <c r="W362">
        <v>-22</v>
      </c>
      <c r="X362">
        <v>-20.2</v>
      </c>
      <c r="Y362">
        <v>-18.7</v>
      </c>
      <c r="Z362">
        <v>-22</v>
      </c>
      <c r="AA362">
        <v>-4.5</v>
      </c>
      <c r="AB362">
        <v>-5.0999999999999996</v>
      </c>
      <c r="AC362">
        <v>-5</v>
      </c>
      <c r="AD362">
        <v>12.8</v>
      </c>
      <c r="AE362">
        <v>11.5</v>
      </c>
      <c r="AF362">
        <v>0</v>
      </c>
      <c r="AG362">
        <v>11.7</v>
      </c>
      <c r="AH362">
        <v>10</v>
      </c>
      <c r="AI362">
        <v>9</v>
      </c>
      <c r="AJ362">
        <v>10</v>
      </c>
      <c r="AK362">
        <v>11.8</v>
      </c>
      <c r="AL362">
        <v>10</v>
      </c>
      <c r="AM362">
        <v>12.7</v>
      </c>
      <c r="AN362">
        <v>9</v>
      </c>
      <c r="AO362">
        <v>11.2</v>
      </c>
      <c r="AP362">
        <v>10</v>
      </c>
      <c r="AQ362">
        <v>11</v>
      </c>
      <c r="AR362">
        <v>10</v>
      </c>
      <c r="AS362">
        <v>12</v>
      </c>
      <c r="AT362">
        <v>10</v>
      </c>
      <c r="AU362">
        <v>18.5</v>
      </c>
      <c r="AV362">
        <v>19</v>
      </c>
      <c r="AW362">
        <v>19.399999999999999</v>
      </c>
      <c r="AX362">
        <v>19</v>
      </c>
      <c r="AY362">
        <v>11.5</v>
      </c>
      <c r="AZ362">
        <v>10</v>
      </c>
      <c r="BA362">
        <v>11.4</v>
      </c>
      <c r="BB362">
        <v>10</v>
      </c>
    </row>
    <row r="363" spans="1:54" x14ac:dyDescent="0.35">
      <c r="A363" s="1">
        <v>46059.704861111109</v>
      </c>
      <c r="B363">
        <v>21.8</v>
      </c>
      <c r="C363">
        <v>3</v>
      </c>
      <c r="D363">
        <v>20.399999999999999</v>
      </c>
      <c r="E363">
        <v>2</v>
      </c>
      <c r="F363">
        <v>8.6999999999999993</v>
      </c>
      <c r="G363">
        <v>12.2</v>
      </c>
      <c r="H363">
        <v>0</v>
      </c>
      <c r="I363">
        <v>15</v>
      </c>
      <c r="J363">
        <v>11</v>
      </c>
      <c r="K363">
        <v>0</v>
      </c>
      <c r="L363">
        <v>12.7</v>
      </c>
      <c r="M363">
        <v>16.2</v>
      </c>
      <c r="N363">
        <v>0</v>
      </c>
      <c r="O363">
        <v>14.3</v>
      </c>
      <c r="P363">
        <v>9.9</v>
      </c>
      <c r="Q363">
        <v>0</v>
      </c>
      <c r="R363">
        <v>10</v>
      </c>
      <c r="S363">
        <v>13.3</v>
      </c>
      <c r="T363">
        <v>0</v>
      </c>
      <c r="U363">
        <v>-19.8</v>
      </c>
      <c r="V363">
        <v>-21.9</v>
      </c>
      <c r="W363">
        <v>-22</v>
      </c>
      <c r="X363">
        <v>-20.2</v>
      </c>
      <c r="Y363">
        <v>-18.7</v>
      </c>
      <c r="Z363">
        <v>-22</v>
      </c>
      <c r="AA363">
        <v>-3.6</v>
      </c>
      <c r="AB363">
        <v>-3.6</v>
      </c>
      <c r="AC363">
        <v>-5</v>
      </c>
      <c r="AD363">
        <v>12.8</v>
      </c>
      <c r="AE363">
        <v>11.5</v>
      </c>
      <c r="AF363">
        <v>0</v>
      </c>
      <c r="AG363">
        <v>11.8</v>
      </c>
      <c r="AH363">
        <v>10</v>
      </c>
      <c r="AI363">
        <v>9.3000000000000007</v>
      </c>
      <c r="AJ363">
        <v>10</v>
      </c>
      <c r="AK363">
        <v>11.9</v>
      </c>
      <c r="AL363">
        <v>10</v>
      </c>
      <c r="AM363">
        <v>12.7</v>
      </c>
      <c r="AN363">
        <v>9</v>
      </c>
      <c r="AO363">
        <v>11.7</v>
      </c>
      <c r="AP363">
        <v>10</v>
      </c>
      <c r="AQ363">
        <v>10.8</v>
      </c>
      <c r="AR363">
        <v>10</v>
      </c>
      <c r="AS363">
        <v>10.8</v>
      </c>
      <c r="AT363">
        <v>10</v>
      </c>
      <c r="AU363">
        <v>18.5</v>
      </c>
      <c r="AV363">
        <v>19</v>
      </c>
      <c r="AW363">
        <v>19.399999999999999</v>
      </c>
      <c r="AX363">
        <v>19</v>
      </c>
      <c r="AY363">
        <v>11.7</v>
      </c>
      <c r="AZ363">
        <v>10</v>
      </c>
      <c r="BA363">
        <v>11.7</v>
      </c>
      <c r="BB363">
        <v>10</v>
      </c>
    </row>
    <row r="364" spans="1:54" x14ac:dyDescent="0.35">
      <c r="A364" s="1">
        <v>46059.705555555556</v>
      </c>
      <c r="B364">
        <v>21.8</v>
      </c>
      <c r="C364">
        <v>3</v>
      </c>
      <c r="D364">
        <v>20.399999999999999</v>
      </c>
      <c r="E364">
        <v>2</v>
      </c>
      <c r="F364">
        <v>8.6999999999999993</v>
      </c>
      <c r="G364">
        <v>12.2</v>
      </c>
      <c r="H364">
        <v>0</v>
      </c>
      <c r="I364">
        <v>15</v>
      </c>
      <c r="J364">
        <v>11</v>
      </c>
      <c r="K364">
        <v>0</v>
      </c>
      <c r="L364">
        <v>12.7</v>
      </c>
      <c r="M364">
        <v>16.2</v>
      </c>
      <c r="N364">
        <v>0</v>
      </c>
      <c r="O364">
        <v>14.3</v>
      </c>
      <c r="P364">
        <v>9.9</v>
      </c>
      <c r="Q364">
        <v>0</v>
      </c>
      <c r="R364">
        <v>10</v>
      </c>
      <c r="S364">
        <v>13.3</v>
      </c>
      <c r="T364">
        <v>0</v>
      </c>
      <c r="U364">
        <v>-19.8</v>
      </c>
      <c r="V364">
        <v>-21.9</v>
      </c>
      <c r="W364">
        <v>-22</v>
      </c>
      <c r="X364">
        <v>-20.2</v>
      </c>
      <c r="Y364">
        <v>-18.7</v>
      </c>
      <c r="Z364">
        <v>-22</v>
      </c>
      <c r="AA364">
        <v>-2.7</v>
      </c>
      <c r="AB364">
        <v>-2.8</v>
      </c>
      <c r="AC364">
        <v>-5</v>
      </c>
      <c r="AD364">
        <v>12.7</v>
      </c>
      <c r="AE364">
        <v>11.5</v>
      </c>
      <c r="AF364">
        <v>0</v>
      </c>
      <c r="AG364">
        <v>11.9</v>
      </c>
      <c r="AH364">
        <v>10</v>
      </c>
      <c r="AI364">
        <v>9.6</v>
      </c>
      <c r="AJ364">
        <v>10</v>
      </c>
      <c r="AK364">
        <v>12</v>
      </c>
      <c r="AL364">
        <v>10</v>
      </c>
      <c r="AM364">
        <v>12.7</v>
      </c>
      <c r="AN364">
        <v>9</v>
      </c>
      <c r="AO364">
        <v>11.9</v>
      </c>
      <c r="AP364">
        <v>10</v>
      </c>
      <c r="AQ364">
        <v>10.8</v>
      </c>
      <c r="AR364">
        <v>10</v>
      </c>
      <c r="AS364">
        <v>8.3000000000000007</v>
      </c>
      <c r="AT364">
        <v>10</v>
      </c>
      <c r="AU364">
        <v>18.5</v>
      </c>
      <c r="AV364">
        <v>19</v>
      </c>
      <c r="AW364">
        <v>19.399999999999999</v>
      </c>
      <c r="AX364">
        <v>19</v>
      </c>
      <c r="AY364">
        <v>11.9</v>
      </c>
      <c r="AZ364">
        <v>10</v>
      </c>
      <c r="BA364">
        <v>11.9</v>
      </c>
      <c r="BB364">
        <v>10</v>
      </c>
    </row>
    <row r="365" spans="1:54" x14ac:dyDescent="0.35">
      <c r="A365" s="1">
        <v>46059.706250000003</v>
      </c>
      <c r="B365">
        <v>21.8</v>
      </c>
      <c r="C365">
        <v>3</v>
      </c>
      <c r="D365">
        <v>20.399999999999999</v>
      </c>
      <c r="E365">
        <v>2</v>
      </c>
      <c r="F365">
        <v>8.6999999999999993</v>
      </c>
      <c r="G365">
        <v>12.2</v>
      </c>
      <c r="H365">
        <v>0</v>
      </c>
      <c r="I365">
        <v>15</v>
      </c>
      <c r="J365">
        <v>11</v>
      </c>
      <c r="K365">
        <v>0</v>
      </c>
      <c r="L365">
        <v>12.7</v>
      </c>
      <c r="M365">
        <v>16.2</v>
      </c>
      <c r="N365">
        <v>0</v>
      </c>
      <c r="O365">
        <v>14.3</v>
      </c>
      <c r="P365">
        <v>9.9</v>
      </c>
      <c r="Q365">
        <v>0</v>
      </c>
      <c r="R365">
        <v>10</v>
      </c>
      <c r="S365">
        <v>13.3</v>
      </c>
      <c r="T365">
        <v>0</v>
      </c>
      <c r="U365">
        <v>-19.8</v>
      </c>
      <c r="V365">
        <v>-22</v>
      </c>
      <c r="W365">
        <v>-22</v>
      </c>
      <c r="X365">
        <v>-20.2</v>
      </c>
      <c r="Y365">
        <v>-18.7</v>
      </c>
      <c r="Z365">
        <v>-22</v>
      </c>
      <c r="AA365">
        <v>-2.7</v>
      </c>
      <c r="AB365">
        <v>-3.7</v>
      </c>
      <c r="AC365">
        <v>-5</v>
      </c>
      <c r="AD365">
        <v>12.7</v>
      </c>
      <c r="AE365">
        <v>11.5</v>
      </c>
      <c r="AF365">
        <v>0</v>
      </c>
      <c r="AG365">
        <v>12</v>
      </c>
      <c r="AH365">
        <v>10</v>
      </c>
      <c r="AI365">
        <v>9.9</v>
      </c>
      <c r="AJ365">
        <v>10</v>
      </c>
      <c r="AK365">
        <v>11.4</v>
      </c>
      <c r="AL365">
        <v>10</v>
      </c>
      <c r="AM365">
        <v>12.7</v>
      </c>
      <c r="AN365">
        <v>9</v>
      </c>
      <c r="AO365">
        <v>12</v>
      </c>
      <c r="AP365">
        <v>10</v>
      </c>
      <c r="AQ365">
        <v>10.8</v>
      </c>
      <c r="AR365">
        <v>10</v>
      </c>
      <c r="AS365">
        <v>8.1</v>
      </c>
      <c r="AT365">
        <v>10</v>
      </c>
      <c r="AU365">
        <v>18.600000000000001</v>
      </c>
      <c r="AV365">
        <v>19</v>
      </c>
      <c r="AW365">
        <v>19.5</v>
      </c>
      <c r="AX365">
        <v>19</v>
      </c>
      <c r="AY365">
        <v>12</v>
      </c>
      <c r="AZ365">
        <v>10</v>
      </c>
      <c r="BA365">
        <v>12</v>
      </c>
      <c r="BB365">
        <v>10</v>
      </c>
    </row>
    <row r="366" spans="1:54" x14ac:dyDescent="0.35">
      <c r="A366" s="1">
        <v>46059.706944444442</v>
      </c>
      <c r="B366">
        <v>21.8</v>
      </c>
      <c r="C366">
        <v>3</v>
      </c>
      <c r="D366">
        <v>20.399999999999999</v>
      </c>
      <c r="E366">
        <v>2</v>
      </c>
      <c r="F366">
        <v>8.6999999999999993</v>
      </c>
      <c r="G366">
        <v>12.2</v>
      </c>
      <c r="H366">
        <v>0</v>
      </c>
      <c r="I366">
        <v>15</v>
      </c>
      <c r="J366">
        <v>11</v>
      </c>
      <c r="K366">
        <v>0</v>
      </c>
      <c r="L366">
        <v>12.7</v>
      </c>
      <c r="M366">
        <v>16.2</v>
      </c>
      <c r="N366">
        <v>0</v>
      </c>
      <c r="O366">
        <v>14.3</v>
      </c>
      <c r="P366">
        <v>9.9</v>
      </c>
      <c r="Q366">
        <v>0</v>
      </c>
      <c r="R366">
        <v>10</v>
      </c>
      <c r="S366">
        <v>13.3</v>
      </c>
      <c r="T366">
        <v>0</v>
      </c>
      <c r="U366">
        <v>-19.8</v>
      </c>
      <c r="V366">
        <v>-21.8</v>
      </c>
      <c r="W366">
        <v>-22</v>
      </c>
      <c r="X366">
        <v>-20.2</v>
      </c>
      <c r="Y366">
        <v>-18.7</v>
      </c>
      <c r="Z366">
        <v>-22</v>
      </c>
      <c r="AA366">
        <v>-3.1</v>
      </c>
      <c r="AB366">
        <v>-4.7</v>
      </c>
      <c r="AC366">
        <v>-5</v>
      </c>
      <c r="AD366">
        <v>12.7</v>
      </c>
      <c r="AE366">
        <v>11.5</v>
      </c>
      <c r="AF366">
        <v>0</v>
      </c>
      <c r="AG366">
        <v>11.4</v>
      </c>
      <c r="AH366">
        <v>10</v>
      </c>
      <c r="AI366">
        <v>10.1</v>
      </c>
      <c r="AJ366">
        <v>10</v>
      </c>
      <c r="AK366">
        <v>10.3</v>
      </c>
      <c r="AL366">
        <v>10</v>
      </c>
      <c r="AM366">
        <v>12.8</v>
      </c>
      <c r="AN366">
        <v>9</v>
      </c>
      <c r="AO366">
        <v>11.1</v>
      </c>
      <c r="AP366">
        <v>10</v>
      </c>
      <c r="AQ366">
        <v>10.8</v>
      </c>
      <c r="AR366">
        <v>10</v>
      </c>
      <c r="AS366">
        <v>8.6</v>
      </c>
      <c r="AT366">
        <v>10</v>
      </c>
      <c r="AU366">
        <v>18.600000000000001</v>
      </c>
      <c r="AV366">
        <v>19</v>
      </c>
      <c r="AW366">
        <v>19.5</v>
      </c>
      <c r="AX366">
        <v>19</v>
      </c>
      <c r="AY366">
        <v>11.3</v>
      </c>
      <c r="AZ366">
        <v>10</v>
      </c>
      <c r="BA366">
        <v>11.1</v>
      </c>
      <c r="BB366">
        <v>10</v>
      </c>
    </row>
    <row r="367" spans="1:54" x14ac:dyDescent="0.35">
      <c r="A367" s="1">
        <v>46059.707638888889</v>
      </c>
      <c r="B367">
        <v>21.8</v>
      </c>
      <c r="C367">
        <v>3</v>
      </c>
      <c r="D367">
        <v>20.399999999999999</v>
      </c>
      <c r="E367">
        <v>2</v>
      </c>
      <c r="F367">
        <v>8.6999999999999993</v>
      </c>
      <c r="G367">
        <v>12.2</v>
      </c>
      <c r="H367">
        <v>0</v>
      </c>
      <c r="I367">
        <v>15</v>
      </c>
      <c r="J367">
        <v>11</v>
      </c>
      <c r="K367">
        <v>0</v>
      </c>
      <c r="L367">
        <v>12.7</v>
      </c>
      <c r="M367">
        <v>16.2</v>
      </c>
      <c r="N367">
        <v>0</v>
      </c>
      <c r="O367">
        <v>14.3</v>
      </c>
      <c r="P367">
        <v>9.9</v>
      </c>
      <c r="Q367">
        <v>0</v>
      </c>
      <c r="R367">
        <v>10</v>
      </c>
      <c r="S367">
        <v>13.4</v>
      </c>
      <c r="T367">
        <v>0</v>
      </c>
      <c r="U367">
        <v>-19.8</v>
      </c>
      <c r="V367">
        <v>-22.2</v>
      </c>
      <c r="W367">
        <v>-22</v>
      </c>
      <c r="X367">
        <v>-20.2</v>
      </c>
      <c r="Y367">
        <v>-18.7</v>
      </c>
      <c r="Z367">
        <v>-22</v>
      </c>
      <c r="AA367">
        <v>-3.5</v>
      </c>
      <c r="AB367">
        <v>-5.5</v>
      </c>
      <c r="AC367">
        <v>-5</v>
      </c>
      <c r="AD367">
        <v>12.7</v>
      </c>
      <c r="AE367">
        <v>11.4</v>
      </c>
      <c r="AF367">
        <v>0</v>
      </c>
      <c r="AG367">
        <v>10.7</v>
      </c>
      <c r="AH367">
        <v>10</v>
      </c>
      <c r="AI367">
        <v>10.3</v>
      </c>
      <c r="AJ367">
        <v>10</v>
      </c>
      <c r="AK367">
        <v>9.6</v>
      </c>
      <c r="AL367">
        <v>10</v>
      </c>
      <c r="AM367">
        <v>12.8</v>
      </c>
      <c r="AN367">
        <v>9</v>
      </c>
      <c r="AO367">
        <v>10.5</v>
      </c>
      <c r="AP367">
        <v>10</v>
      </c>
      <c r="AQ367">
        <v>10.8</v>
      </c>
      <c r="AR367">
        <v>10</v>
      </c>
      <c r="AS367">
        <v>9.1999999999999993</v>
      </c>
      <c r="AT367">
        <v>10</v>
      </c>
      <c r="AU367">
        <v>18.600000000000001</v>
      </c>
      <c r="AV367">
        <v>19</v>
      </c>
      <c r="AW367">
        <v>19.5</v>
      </c>
      <c r="AX367">
        <v>19</v>
      </c>
      <c r="AY367">
        <v>10.5</v>
      </c>
      <c r="AZ367">
        <v>10</v>
      </c>
      <c r="BA367">
        <v>10.4</v>
      </c>
      <c r="BB367">
        <v>10</v>
      </c>
    </row>
    <row r="368" spans="1:54" x14ac:dyDescent="0.35">
      <c r="A368" s="1">
        <v>46059.708333333336</v>
      </c>
      <c r="B368">
        <v>21.8</v>
      </c>
      <c r="C368">
        <v>3</v>
      </c>
      <c r="D368">
        <v>20.5</v>
      </c>
      <c r="E368">
        <v>2</v>
      </c>
      <c r="F368">
        <v>8.6999999999999993</v>
      </c>
      <c r="G368">
        <v>12.2</v>
      </c>
      <c r="H368">
        <v>0</v>
      </c>
      <c r="I368">
        <v>15</v>
      </c>
      <c r="J368">
        <v>11</v>
      </c>
      <c r="K368">
        <v>0</v>
      </c>
      <c r="L368">
        <v>12.7</v>
      </c>
      <c r="M368">
        <v>16.2</v>
      </c>
      <c r="N368">
        <v>0</v>
      </c>
      <c r="O368">
        <v>14.3</v>
      </c>
      <c r="P368">
        <v>9.9</v>
      </c>
      <c r="Q368">
        <v>0</v>
      </c>
      <c r="R368">
        <v>10</v>
      </c>
      <c r="S368">
        <v>13.4</v>
      </c>
      <c r="T368">
        <v>0</v>
      </c>
      <c r="U368">
        <v>-19.8</v>
      </c>
      <c r="V368">
        <v>-21.9</v>
      </c>
      <c r="W368">
        <v>-22</v>
      </c>
      <c r="X368">
        <v>-20.2</v>
      </c>
      <c r="Y368">
        <v>-18.7</v>
      </c>
      <c r="Z368">
        <v>-22</v>
      </c>
      <c r="AA368">
        <v>-4.0999999999999996</v>
      </c>
      <c r="AB368">
        <v>-6.3</v>
      </c>
      <c r="AC368">
        <v>-5</v>
      </c>
      <c r="AD368">
        <v>12.7</v>
      </c>
      <c r="AE368">
        <v>11.4</v>
      </c>
      <c r="AF368">
        <v>0</v>
      </c>
      <c r="AG368">
        <v>10</v>
      </c>
      <c r="AH368">
        <v>10</v>
      </c>
      <c r="AI368">
        <v>10.5</v>
      </c>
      <c r="AJ368">
        <v>10</v>
      </c>
      <c r="AK368">
        <v>9.6999999999999993</v>
      </c>
      <c r="AL368">
        <v>10</v>
      </c>
      <c r="AM368">
        <v>12.8</v>
      </c>
      <c r="AN368">
        <v>9</v>
      </c>
      <c r="AO368">
        <v>10.3</v>
      </c>
      <c r="AP368">
        <v>10</v>
      </c>
      <c r="AQ368">
        <v>10.8</v>
      </c>
      <c r="AR368">
        <v>10</v>
      </c>
      <c r="AS368">
        <v>9.8000000000000007</v>
      </c>
      <c r="AT368">
        <v>10</v>
      </c>
      <c r="AU368">
        <v>18.600000000000001</v>
      </c>
      <c r="AV368">
        <v>19</v>
      </c>
      <c r="AW368">
        <v>19.5</v>
      </c>
      <c r="AX368">
        <v>19</v>
      </c>
      <c r="AY368">
        <v>9.8000000000000007</v>
      </c>
      <c r="AZ368">
        <v>10</v>
      </c>
      <c r="BA368">
        <v>9.8000000000000007</v>
      </c>
      <c r="BB368">
        <v>10</v>
      </c>
    </row>
    <row r="369" spans="1:54" x14ac:dyDescent="0.35">
      <c r="A369" s="1">
        <v>46059.709027777775</v>
      </c>
      <c r="B369">
        <v>21.8</v>
      </c>
      <c r="C369">
        <v>3</v>
      </c>
      <c r="D369">
        <v>20.5</v>
      </c>
      <c r="E369">
        <v>2</v>
      </c>
      <c r="F369">
        <v>8.6999999999999993</v>
      </c>
      <c r="G369">
        <v>12.2</v>
      </c>
      <c r="H369">
        <v>0</v>
      </c>
      <c r="I369">
        <v>15</v>
      </c>
      <c r="J369">
        <v>11</v>
      </c>
      <c r="K369">
        <v>0</v>
      </c>
      <c r="L369">
        <v>12.7</v>
      </c>
      <c r="M369">
        <v>16.2</v>
      </c>
      <c r="N369">
        <v>0</v>
      </c>
      <c r="O369">
        <v>14.4</v>
      </c>
      <c r="P369">
        <v>10</v>
      </c>
      <c r="Q369">
        <v>0</v>
      </c>
      <c r="R369">
        <v>10</v>
      </c>
      <c r="S369">
        <v>13.4</v>
      </c>
      <c r="T369">
        <v>0</v>
      </c>
      <c r="U369">
        <v>-19.8</v>
      </c>
      <c r="V369">
        <v>-21.9</v>
      </c>
      <c r="W369">
        <v>-22</v>
      </c>
      <c r="X369">
        <v>-20.2</v>
      </c>
      <c r="Y369">
        <v>-18.7</v>
      </c>
      <c r="Z369">
        <v>-22</v>
      </c>
      <c r="AA369">
        <v>-4.5999999999999996</v>
      </c>
      <c r="AB369">
        <v>-6.8</v>
      </c>
      <c r="AC369">
        <v>-5</v>
      </c>
      <c r="AD369">
        <v>12.6</v>
      </c>
      <c r="AE369">
        <v>11.4</v>
      </c>
      <c r="AF369">
        <v>0</v>
      </c>
      <c r="AG369">
        <v>9.6</v>
      </c>
      <c r="AH369">
        <v>10</v>
      </c>
      <c r="AI369">
        <v>10.7</v>
      </c>
      <c r="AJ369">
        <v>10</v>
      </c>
      <c r="AK369">
        <v>10.1</v>
      </c>
      <c r="AL369">
        <v>10</v>
      </c>
      <c r="AM369">
        <v>12.8</v>
      </c>
      <c r="AN369">
        <v>9</v>
      </c>
      <c r="AO369">
        <v>10.199999999999999</v>
      </c>
      <c r="AP369">
        <v>10</v>
      </c>
      <c r="AQ369">
        <v>10.9</v>
      </c>
      <c r="AR369">
        <v>10</v>
      </c>
      <c r="AS369">
        <v>10.199999999999999</v>
      </c>
      <c r="AT369">
        <v>10</v>
      </c>
      <c r="AU369">
        <v>18.600000000000001</v>
      </c>
      <c r="AV369">
        <v>19</v>
      </c>
      <c r="AW369">
        <v>19.5</v>
      </c>
      <c r="AX369">
        <v>19</v>
      </c>
      <c r="AY369">
        <v>9.6999999999999993</v>
      </c>
      <c r="AZ369">
        <v>10</v>
      </c>
      <c r="BA369">
        <v>9.6999999999999993</v>
      </c>
      <c r="BB369">
        <v>10</v>
      </c>
    </row>
    <row r="370" spans="1:54" x14ac:dyDescent="0.35">
      <c r="A370" s="1">
        <v>46059.709722222222</v>
      </c>
      <c r="B370">
        <v>21.8</v>
      </c>
      <c r="C370">
        <v>3</v>
      </c>
      <c r="D370">
        <v>20.5</v>
      </c>
      <c r="E370">
        <v>2</v>
      </c>
      <c r="F370">
        <v>8.6999999999999993</v>
      </c>
      <c r="G370">
        <v>12.2</v>
      </c>
      <c r="H370">
        <v>0</v>
      </c>
      <c r="I370">
        <v>15</v>
      </c>
      <c r="J370">
        <v>11</v>
      </c>
      <c r="K370">
        <v>0</v>
      </c>
      <c r="L370">
        <v>12.7</v>
      </c>
      <c r="M370">
        <v>16.2</v>
      </c>
      <c r="N370">
        <v>0</v>
      </c>
      <c r="O370">
        <v>14.4</v>
      </c>
      <c r="P370">
        <v>10</v>
      </c>
      <c r="Q370">
        <v>0</v>
      </c>
      <c r="R370">
        <v>10</v>
      </c>
      <c r="S370">
        <v>13.4</v>
      </c>
      <c r="T370">
        <v>0</v>
      </c>
      <c r="U370">
        <v>-19.8</v>
      </c>
      <c r="V370">
        <v>-22</v>
      </c>
      <c r="W370">
        <v>-22</v>
      </c>
      <c r="X370">
        <v>-20.2</v>
      </c>
      <c r="Y370">
        <v>-18.7</v>
      </c>
      <c r="Z370">
        <v>-22</v>
      </c>
      <c r="AA370">
        <v>-5</v>
      </c>
      <c r="AB370">
        <v>-7.2</v>
      </c>
      <c r="AC370">
        <v>-5</v>
      </c>
      <c r="AD370">
        <v>12.5</v>
      </c>
      <c r="AE370">
        <v>11.4</v>
      </c>
      <c r="AF370">
        <v>0</v>
      </c>
      <c r="AG370">
        <v>9.6999999999999993</v>
      </c>
      <c r="AH370">
        <v>10</v>
      </c>
      <c r="AI370">
        <v>10.8</v>
      </c>
      <c r="AJ370">
        <v>10</v>
      </c>
      <c r="AK370">
        <v>10.4</v>
      </c>
      <c r="AL370">
        <v>10</v>
      </c>
      <c r="AM370">
        <v>12.8</v>
      </c>
      <c r="AN370">
        <v>9</v>
      </c>
      <c r="AO370">
        <v>10</v>
      </c>
      <c r="AP370">
        <v>10</v>
      </c>
      <c r="AQ370">
        <v>10.9</v>
      </c>
      <c r="AR370">
        <v>10</v>
      </c>
      <c r="AS370">
        <v>10.5</v>
      </c>
      <c r="AT370">
        <v>10</v>
      </c>
      <c r="AU370">
        <v>18.600000000000001</v>
      </c>
      <c r="AV370">
        <v>19</v>
      </c>
      <c r="AW370">
        <v>19.5</v>
      </c>
      <c r="AX370">
        <v>19</v>
      </c>
      <c r="AY370">
        <v>10.1</v>
      </c>
      <c r="AZ370">
        <v>10</v>
      </c>
      <c r="BA370">
        <v>10.1</v>
      </c>
      <c r="BB370">
        <v>10</v>
      </c>
    </row>
    <row r="371" spans="1:54" x14ac:dyDescent="0.35">
      <c r="A371" s="1">
        <v>46059.711111111108</v>
      </c>
      <c r="B371">
        <v>21.8</v>
      </c>
      <c r="C371">
        <v>3</v>
      </c>
      <c r="D371">
        <v>20.5</v>
      </c>
      <c r="E371">
        <v>2</v>
      </c>
      <c r="F371">
        <v>8.6999999999999993</v>
      </c>
      <c r="G371">
        <v>12.3</v>
      </c>
      <c r="H371">
        <v>0</v>
      </c>
      <c r="I371">
        <v>15</v>
      </c>
      <c r="J371">
        <v>11</v>
      </c>
      <c r="K371">
        <v>0</v>
      </c>
      <c r="L371">
        <v>12.7</v>
      </c>
      <c r="M371">
        <v>16.2</v>
      </c>
      <c r="N371">
        <v>0</v>
      </c>
      <c r="O371">
        <v>14.4</v>
      </c>
      <c r="P371">
        <v>10</v>
      </c>
      <c r="Q371">
        <v>0</v>
      </c>
      <c r="R371">
        <v>10</v>
      </c>
      <c r="S371">
        <v>13.4</v>
      </c>
      <c r="T371">
        <v>0</v>
      </c>
      <c r="U371">
        <v>-19.8</v>
      </c>
      <c r="V371">
        <v>-22.2</v>
      </c>
      <c r="W371">
        <v>-22</v>
      </c>
      <c r="X371">
        <v>-20.2</v>
      </c>
      <c r="Y371">
        <v>-18.7</v>
      </c>
      <c r="Z371">
        <v>-22</v>
      </c>
      <c r="AA371">
        <v>-4.0999999999999996</v>
      </c>
      <c r="AB371">
        <v>-4.4000000000000004</v>
      </c>
      <c r="AC371">
        <v>-5</v>
      </c>
      <c r="AD371">
        <v>12.4</v>
      </c>
      <c r="AE371">
        <v>11.4</v>
      </c>
      <c r="AF371">
        <v>0</v>
      </c>
      <c r="AG371">
        <v>10.4</v>
      </c>
      <c r="AH371">
        <v>10</v>
      </c>
      <c r="AI371">
        <v>11.1</v>
      </c>
      <c r="AJ371">
        <v>10</v>
      </c>
      <c r="AK371">
        <v>10.8</v>
      </c>
      <c r="AL371">
        <v>10</v>
      </c>
      <c r="AM371">
        <v>12.7</v>
      </c>
      <c r="AN371">
        <v>9</v>
      </c>
      <c r="AO371">
        <v>11.6</v>
      </c>
      <c r="AP371">
        <v>10</v>
      </c>
      <c r="AQ371">
        <v>10.9</v>
      </c>
      <c r="AR371">
        <v>10</v>
      </c>
      <c r="AS371">
        <v>11</v>
      </c>
      <c r="AT371">
        <v>10</v>
      </c>
      <c r="AU371">
        <v>18.600000000000001</v>
      </c>
      <c r="AV371">
        <v>19</v>
      </c>
      <c r="AW371">
        <v>19.399999999999999</v>
      </c>
      <c r="AX371">
        <v>19</v>
      </c>
      <c r="AY371">
        <v>10.8</v>
      </c>
      <c r="AZ371">
        <v>10</v>
      </c>
      <c r="BA371">
        <v>10.9</v>
      </c>
      <c r="BB371">
        <v>10</v>
      </c>
    </row>
    <row r="372" spans="1:54" x14ac:dyDescent="0.35">
      <c r="A372" s="1">
        <v>46059.711805555555</v>
      </c>
      <c r="B372">
        <v>21.8</v>
      </c>
      <c r="C372">
        <v>3</v>
      </c>
      <c r="D372">
        <v>20.5</v>
      </c>
      <c r="E372">
        <v>2</v>
      </c>
      <c r="F372">
        <v>8.6999999999999993</v>
      </c>
      <c r="G372">
        <v>12.3</v>
      </c>
      <c r="H372">
        <v>0</v>
      </c>
      <c r="I372">
        <v>15</v>
      </c>
      <c r="J372">
        <v>11</v>
      </c>
      <c r="K372">
        <v>0</v>
      </c>
      <c r="L372">
        <v>12.7</v>
      </c>
      <c r="M372">
        <v>16.2</v>
      </c>
      <c r="N372">
        <v>0</v>
      </c>
      <c r="O372">
        <v>14.4</v>
      </c>
      <c r="P372">
        <v>10</v>
      </c>
      <c r="Q372">
        <v>0</v>
      </c>
      <c r="R372">
        <v>10</v>
      </c>
      <c r="S372">
        <v>13.4</v>
      </c>
      <c r="T372">
        <v>0</v>
      </c>
      <c r="U372">
        <v>-19.8</v>
      </c>
      <c r="V372">
        <v>-21.9</v>
      </c>
      <c r="W372">
        <v>-22</v>
      </c>
      <c r="X372">
        <v>-20.2</v>
      </c>
      <c r="Y372">
        <v>-18.7</v>
      </c>
      <c r="Z372">
        <v>-22</v>
      </c>
      <c r="AA372">
        <v>-3.3</v>
      </c>
      <c r="AB372">
        <v>-3.3</v>
      </c>
      <c r="AC372">
        <v>-5</v>
      </c>
      <c r="AD372">
        <v>12.4</v>
      </c>
      <c r="AE372">
        <v>11.4</v>
      </c>
      <c r="AF372">
        <v>0</v>
      </c>
      <c r="AG372">
        <v>10.6</v>
      </c>
      <c r="AH372">
        <v>10</v>
      </c>
      <c r="AI372">
        <v>11.2</v>
      </c>
      <c r="AJ372">
        <v>10</v>
      </c>
      <c r="AK372">
        <v>11</v>
      </c>
      <c r="AL372">
        <v>10</v>
      </c>
      <c r="AM372">
        <v>12.7</v>
      </c>
      <c r="AN372">
        <v>9</v>
      </c>
      <c r="AO372">
        <v>11.9</v>
      </c>
      <c r="AP372">
        <v>10</v>
      </c>
      <c r="AQ372">
        <v>10.9</v>
      </c>
      <c r="AR372">
        <v>10</v>
      </c>
      <c r="AS372">
        <v>11.3</v>
      </c>
      <c r="AT372">
        <v>10</v>
      </c>
      <c r="AU372">
        <v>18.600000000000001</v>
      </c>
      <c r="AV372">
        <v>19</v>
      </c>
      <c r="AW372">
        <v>19.399999999999999</v>
      </c>
      <c r="AX372">
        <v>19</v>
      </c>
      <c r="AY372">
        <v>11.1</v>
      </c>
      <c r="AZ372">
        <v>10</v>
      </c>
      <c r="BA372">
        <v>11.2</v>
      </c>
      <c r="BB372">
        <v>10</v>
      </c>
    </row>
    <row r="373" spans="1:54" x14ac:dyDescent="0.35">
      <c r="A373" s="1">
        <v>46059.712500000001</v>
      </c>
      <c r="B373">
        <v>21.8</v>
      </c>
      <c r="C373">
        <v>3</v>
      </c>
      <c r="D373">
        <v>20.5</v>
      </c>
      <c r="E373">
        <v>2</v>
      </c>
      <c r="F373">
        <v>8.6999999999999993</v>
      </c>
      <c r="G373">
        <v>12.3</v>
      </c>
      <c r="H373">
        <v>0</v>
      </c>
      <c r="I373">
        <v>15</v>
      </c>
      <c r="J373">
        <v>11</v>
      </c>
      <c r="K373">
        <v>0</v>
      </c>
      <c r="L373">
        <v>12.7</v>
      </c>
      <c r="M373">
        <v>16.2</v>
      </c>
      <c r="N373">
        <v>0</v>
      </c>
      <c r="O373">
        <v>14.4</v>
      </c>
      <c r="P373">
        <v>10</v>
      </c>
      <c r="Q373">
        <v>0</v>
      </c>
      <c r="R373">
        <v>10</v>
      </c>
      <c r="S373">
        <v>13.4</v>
      </c>
      <c r="T373">
        <v>0</v>
      </c>
      <c r="U373">
        <v>-19.8</v>
      </c>
      <c r="V373">
        <v>-22.1</v>
      </c>
      <c r="W373">
        <v>-22</v>
      </c>
      <c r="X373">
        <v>-20.2</v>
      </c>
      <c r="Y373">
        <v>-18.7</v>
      </c>
      <c r="Z373">
        <v>-22</v>
      </c>
      <c r="AA373">
        <v>-2.7</v>
      </c>
      <c r="AB373">
        <v>-3.2</v>
      </c>
      <c r="AC373">
        <v>-5</v>
      </c>
      <c r="AD373">
        <v>12.3</v>
      </c>
      <c r="AE373">
        <v>11.4</v>
      </c>
      <c r="AF373">
        <v>0</v>
      </c>
      <c r="AG373">
        <v>10.9</v>
      </c>
      <c r="AH373">
        <v>10</v>
      </c>
      <c r="AI373">
        <v>11.3</v>
      </c>
      <c r="AJ373">
        <v>10</v>
      </c>
      <c r="AK373">
        <v>11.1</v>
      </c>
      <c r="AL373">
        <v>10</v>
      </c>
      <c r="AM373">
        <v>12.7</v>
      </c>
      <c r="AN373">
        <v>9</v>
      </c>
      <c r="AO373">
        <v>11.9</v>
      </c>
      <c r="AP373">
        <v>10</v>
      </c>
      <c r="AQ373">
        <v>11</v>
      </c>
      <c r="AR373">
        <v>10</v>
      </c>
      <c r="AS373">
        <v>11.5</v>
      </c>
      <c r="AT373">
        <v>10</v>
      </c>
      <c r="AU373">
        <v>18.600000000000001</v>
      </c>
      <c r="AV373">
        <v>19</v>
      </c>
      <c r="AW373">
        <v>19.399999999999999</v>
      </c>
      <c r="AX373">
        <v>19</v>
      </c>
      <c r="AY373">
        <v>11.3</v>
      </c>
      <c r="AZ373">
        <v>10</v>
      </c>
      <c r="BA373">
        <v>11.5</v>
      </c>
      <c r="BB373">
        <v>10</v>
      </c>
    </row>
    <row r="374" spans="1:54" x14ac:dyDescent="0.35">
      <c r="A374" s="1">
        <v>46059.713194444441</v>
      </c>
      <c r="B374">
        <v>21.8</v>
      </c>
      <c r="C374">
        <v>3</v>
      </c>
      <c r="D374">
        <v>20.5</v>
      </c>
      <c r="E374">
        <v>2</v>
      </c>
      <c r="F374">
        <v>8.8000000000000007</v>
      </c>
      <c r="G374">
        <v>12.3</v>
      </c>
      <c r="H374">
        <v>0</v>
      </c>
      <c r="I374">
        <v>15</v>
      </c>
      <c r="J374">
        <v>11</v>
      </c>
      <c r="K374">
        <v>0</v>
      </c>
      <c r="L374">
        <v>12.7</v>
      </c>
      <c r="M374">
        <v>16.2</v>
      </c>
      <c r="N374">
        <v>0</v>
      </c>
      <c r="O374">
        <v>14.4</v>
      </c>
      <c r="P374">
        <v>10</v>
      </c>
      <c r="Q374">
        <v>0</v>
      </c>
      <c r="R374">
        <v>10</v>
      </c>
      <c r="S374">
        <v>13.4</v>
      </c>
      <c r="T374">
        <v>0</v>
      </c>
      <c r="U374">
        <v>-19.8</v>
      </c>
      <c r="V374">
        <v>-21.9</v>
      </c>
      <c r="W374">
        <v>-22</v>
      </c>
      <c r="X374">
        <v>-20.2</v>
      </c>
      <c r="Y374">
        <v>-18.7</v>
      </c>
      <c r="Z374">
        <v>-22</v>
      </c>
      <c r="AA374">
        <v>-2.7</v>
      </c>
      <c r="AB374">
        <v>-4</v>
      </c>
      <c r="AC374">
        <v>-5</v>
      </c>
      <c r="AD374">
        <v>12.2</v>
      </c>
      <c r="AE374">
        <v>11.4</v>
      </c>
      <c r="AF374">
        <v>0</v>
      </c>
      <c r="AG374">
        <v>11.1</v>
      </c>
      <c r="AH374">
        <v>10</v>
      </c>
      <c r="AI374">
        <v>11.4</v>
      </c>
      <c r="AJ374">
        <v>10</v>
      </c>
      <c r="AK374">
        <v>11.2</v>
      </c>
      <c r="AL374">
        <v>10</v>
      </c>
      <c r="AM374">
        <v>12.8</v>
      </c>
      <c r="AN374">
        <v>9</v>
      </c>
      <c r="AO374">
        <v>10.8</v>
      </c>
      <c r="AP374">
        <v>10</v>
      </c>
      <c r="AQ374">
        <v>11</v>
      </c>
      <c r="AR374">
        <v>10</v>
      </c>
      <c r="AS374">
        <v>11.7</v>
      </c>
      <c r="AT374">
        <v>10</v>
      </c>
      <c r="AU374">
        <v>18.600000000000001</v>
      </c>
      <c r="AV374">
        <v>19</v>
      </c>
      <c r="AW374">
        <v>19.399999999999999</v>
      </c>
      <c r="AX374">
        <v>19</v>
      </c>
      <c r="AY374">
        <v>11.6</v>
      </c>
      <c r="AZ374">
        <v>10</v>
      </c>
      <c r="BA374">
        <v>11.8</v>
      </c>
      <c r="BB374">
        <v>10</v>
      </c>
    </row>
    <row r="375" spans="1:54" x14ac:dyDescent="0.35">
      <c r="A375" s="1">
        <v>46059.713888888888</v>
      </c>
      <c r="B375">
        <v>21.8</v>
      </c>
      <c r="C375">
        <v>3</v>
      </c>
      <c r="D375">
        <v>20.5</v>
      </c>
      <c r="E375">
        <v>2</v>
      </c>
      <c r="F375">
        <v>8.8000000000000007</v>
      </c>
      <c r="G375">
        <v>12.3</v>
      </c>
      <c r="H375">
        <v>0</v>
      </c>
      <c r="I375">
        <v>15.1</v>
      </c>
      <c r="J375">
        <v>11</v>
      </c>
      <c r="K375">
        <v>0</v>
      </c>
      <c r="L375">
        <v>12.7</v>
      </c>
      <c r="M375">
        <v>16.2</v>
      </c>
      <c r="N375">
        <v>0</v>
      </c>
      <c r="O375">
        <v>14.4</v>
      </c>
      <c r="P375">
        <v>10</v>
      </c>
      <c r="Q375">
        <v>0</v>
      </c>
      <c r="R375">
        <v>10</v>
      </c>
      <c r="S375">
        <v>13.4</v>
      </c>
      <c r="T375">
        <v>0</v>
      </c>
      <c r="U375">
        <v>-19.8</v>
      </c>
      <c r="V375">
        <v>-21.8</v>
      </c>
      <c r="W375">
        <v>-22</v>
      </c>
      <c r="X375">
        <v>-20.2</v>
      </c>
      <c r="Y375">
        <v>-18.7</v>
      </c>
      <c r="Z375">
        <v>-22</v>
      </c>
      <c r="AA375">
        <v>-3.2</v>
      </c>
      <c r="AB375">
        <v>-4.9000000000000004</v>
      </c>
      <c r="AC375">
        <v>-5</v>
      </c>
      <c r="AD375">
        <v>12.1</v>
      </c>
      <c r="AE375">
        <v>11.3</v>
      </c>
      <c r="AF375">
        <v>0</v>
      </c>
      <c r="AG375">
        <v>11.2</v>
      </c>
      <c r="AH375">
        <v>10</v>
      </c>
      <c r="AI375">
        <v>11.5</v>
      </c>
      <c r="AJ375">
        <v>10</v>
      </c>
      <c r="AK375">
        <v>11.3</v>
      </c>
      <c r="AL375">
        <v>10</v>
      </c>
      <c r="AM375">
        <v>12.8</v>
      </c>
      <c r="AN375">
        <v>9</v>
      </c>
      <c r="AO375">
        <v>10.3</v>
      </c>
      <c r="AP375">
        <v>10</v>
      </c>
      <c r="AQ375">
        <v>11.1</v>
      </c>
      <c r="AR375">
        <v>10</v>
      </c>
      <c r="AS375">
        <v>11.9</v>
      </c>
      <c r="AT375">
        <v>10</v>
      </c>
      <c r="AU375">
        <v>18.600000000000001</v>
      </c>
      <c r="AV375">
        <v>19</v>
      </c>
      <c r="AW375">
        <v>19.399999999999999</v>
      </c>
      <c r="AX375">
        <v>19</v>
      </c>
      <c r="AY375">
        <v>11.7</v>
      </c>
      <c r="AZ375">
        <v>10</v>
      </c>
      <c r="BA375">
        <v>12</v>
      </c>
      <c r="BB375">
        <v>10</v>
      </c>
    </row>
    <row r="376" spans="1:54" x14ac:dyDescent="0.35">
      <c r="A376" s="1">
        <v>46059.714583333334</v>
      </c>
      <c r="B376">
        <v>21.8</v>
      </c>
      <c r="C376">
        <v>3</v>
      </c>
      <c r="D376">
        <v>20.5</v>
      </c>
      <c r="E376">
        <v>2</v>
      </c>
      <c r="F376">
        <v>8.8000000000000007</v>
      </c>
      <c r="G376">
        <v>12.3</v>
      </c>
      <c r="H376">
        <v>0</v>
      </c>
      <c r="I376">
        <v>15.1</v>
      </c>
      <c r="J376">
        <v>11</v>
      </c>
      <c r="K376">
        <v>0</v>
      </c>
      <c r="L376">
        <v>12.7</v>
      </c>
      <c r="M376">
        <v>16.2</v>
      </c>
      <c r="N376">
        <v>0</v>
      </c>
      <c r="O376">
        <v>14.4</v>
      </c>
      <c r="P376">
        <v>10</v>
      </c>
      <c r="Q376">
        <v>0</v>
      </c>
      <c r="R376">
        <v>10</v>
      </c>
      <c r="S376">
        <v>13.4</v>
      </c>
      <c r="T376">
        <v>0</v>
      </c>
      <c r="U376">
        <v>-19.8</v>
      </c>
      <c r="V376">
        <v>-22.2</v>
      </c>
      <c r="W376">
        <v>-22</v>
      </c>
      <c r="X376">
        <v>-20.2</v>
      </c>
      <c r="Y376">
        <v>-18.7</v>
      </c>
      <c r="Z376">
        <v>-22</v>
      </c>
      <c r="AA376">
        <v>-3.7</v>
      </c>
      <c r="AB376">
        <v>-5.7</v>
      </c>
      <c r="AC376">
        <v>-5</v>
      </c>
      <c r="AD376">
        <v>12</v>
      </c>
      <c r="AE376">
        <v>11.3</v>
      </c>
      <c r="AF376">
        <v>0</v>
      </c>
      <c r="AG376">
        <v>11.4</v>
      </c>
      <c r="AH376">
        <v>10</v>
      </c>
      <c r="AI376">
        <v>11.6</v>
      </c>
      <c r="AJ376">
        <v>10</v>
      </c>
      <c r="AK376">
        <v>11.3</v>
      </c>
      <c r="AL376">
        <v>10</v>
      </c>
      <c r="AM376">
        <v>12.8</v>
      </c>
      <c r="AN376">
        <v>9</v>
      </c>
      <c r="AO376">
        <v>10.1</v>
      </c>
      <c r="AP376">
        <v>10</v>
      </c>
      <c r="AQ376">
        <v>11.2</v>
      </c>
      <c r="AR376">
        <v>10</v>
      </c>
      <c r="AS376">
        <v>11.8</v>
      </c>
      <c r="AT376">
        <v>10</v>
      </c>
      <c r="AU376">
        <v>18.600000000000001</v>
      </c>
      <c r="AV376">
        <v>19</v>
      </c>
      <c r="AW376">
        <v>19.399999999999999</v>
      </c>
      <c r="AX376">
        <v>19</v>
      </c>
      <c r="AY376">
        <v>12</v>
      </c>
      <c r="AZ376">
        <v>10</v>
      </c>
      <c r="BA376">
        <v>11.7</v>
      </c>
      <c r="BB376">
        <v>10</v>
      </c>
    </row>
    <row r="377" spans="1:54" x14ac:dyDescent="0.35">
      <c r="A377" s="1">
        <v>46059.715277777781</v>
      </c>
      <c r="B377">
        <v>21.9</v>
      </c>
      <c r="C377">
        <v>3</v>
      </c>
      <c r="D377">
        <v>20.5</v>
      </c>
      <c r="E377">
        <v>2</v>
      </c>
      <c r="F377">
        <v>8.8000000000000007</v>
      </c>
      <c r="G377">
        <v>12.3</v>
      </c>
      <c r="H377">
        <v>0</v>
      </c>
      <c r="I377">
        <v>15.1</v>
      </c>
      <c r="J377">
        <v>11</v>
      </c>
      <c r="K377">
        <v>0</v>
      </c>
      <c r="L377">
        <v>12.7</v>
      </c>
      <c r="M377">
        <v>16.2</v>
      </c>
      <c r="N377">
        <v>0</v>
      </c>
      <c r="O377">
        <v>14.4</v>
      </c>
      <c r="P377">
        <v>10</v>
      </c>
      <c r="Q377">
        <v>0</v>
      </c>
      <c r="R377">
        <v>10</v>
      </c>
      <c r="S377">
        <v>13.4</v>
      </c>
      <c r="T377">
        <v>0</v>
      </c>
      <c r="U377">
        <v>-19.8</v>
      </c>
      <c r="V377">
        <v>-21.9</v>
      </c>
      <c r="W377">
        <v>-22</v>
      </c>
      <c r="X377">
        <v>-20.2</v>
      </c>
      <c r="Y377">
        <v>-18.7</v>
      </c>
      <c r="Z377">
        <v>-22</v>
      </c>
      <c r="AA377">
        <v>-4.2</v>
      </c>
      <c r="AB377">
        <v>-6.3</v>
      </c>
      <c r="AC377">
        <v>-5</v>
      </c>
      <c r="AD377">
        <v>11.9</v>
      </c>
      <c r="AE377">
        <v>11.3</v>
      </c>
      <c r="AF377">
        <v>0</v>
      </c>
      <c r="AG377">
        <v>11.5</v>
      </c>
      <c r="AH377">
        <v>10</v>
      </c>
      <c r="AI377">
        <v>11.7</v>
      </c>
      <c r="AJ377">
        <v>10</v>
      </c>
      <c r="AK377">
        <v>11.3</v>
      </c>
      <c r="AL377">
        <v>10</v>
      </c>
      <c r="AM377">
        <v>12.8</v>
      </c>
      <c r="AN377">
        <v>9</v>
      </c>
      <c r="AO377">
        <v>10.1</v>
      </c>
      <c r="AP377">
        <v>10</v>
      </c>
      <c r="AQ377">
        <v>11.2</v>
      </c>
      <c r="AR377">
        <v>10</v>
      </c>
      <c r="AS377">
        <v>9.6999999999999993</v>
      </c>
      <c r="AT377">
        <v>10</v>
      </c>
      <c r="AU377">
        <v>18.600000000000001</v>
      </c>
      <c r="AV377">
        <v>19</v>
      </c>
      <c r="AW377">
        <v>19.399999999999999</v>
      </c>
      <c r="AX377">
        <v>19</v>
      </c>
      <c r="AY377">
        <v>11.8</v>
      </c>
      <c r="AZ377">
        <v>10</v>
      </c>
      <c r="BA377">
        <v>10.9</v>
      </c>
      <c r="BB377">
        <v>10</v>
      </c>
    </row>
    <row r="378" spans="1:54" x14ac:dyDescent="0.35">
      <c r="A378" s="1">
        <v>46059.71597222222</v>
      </c>
      <c r="B378">
        <v>21.9</v>
      </c>
      <c r="C378">
        <v>3</v>
      </c>
      <c r="D378">
        <v>20.5</v>
      </c>
      <c r="E378">
        <v>2</v>
      </c>
      <c r="F378">
        <v>8.8000000000000007</v>
      </c>
      <c r="G378">
        <v>12.3</v>
      </c>
      <c r="H378">
        <v>0</v>
      </c>
      <c r="I378">
        <v>15.1</v>
      </c>
      <c r="J378">
        <v>11</v>
      </c>
      <c r="K378">
        <v>0</v>
      </c>
      <c r="L378">
        <v>12.8</v>
      </c>
      <c r="M378">
        <v>16.2</v>
      </c>
      <c r="N378">
        <v>0</v>
      </c>
      <c r="O378">
        <v>14.4</v>
      </c>
      <c r="P378">
        <v>10</v>
      </c>
      <c r="Q378">
        <v>0</v>
      </c>
      <c r="R378">
        <v>10</v>
      </c>
      <c r="S378">
        <v>13.4</v>
      </c>
      <c r="T378">
        <v>0</v>
      </c>
      <c r="U378">
        <v>-19.8</v>
      </c>
      <c r="V378">
        <v>-22.3</v>
      </c>
      <c r="W378">
        <v>-22</v>
      </c>
      <c r="X378">
        <v>-20.2</v>
      </c>
      <c r="Y378">
        <v>-18.7</v>
      </c>
      <c r="Z378">
        <v>-22</v>
      </c>
      <c r="AA378">
        <v>-4.7</v>
      </c>
      <c r="AB378">
        <v>-7</v>
      </c>
      <c r="AC378">
        <v>-5</v>
      </c>
      <c r="AD378">
        <v>11.9</v>
      </c>
      <c r="AE378">
        <v>11.3</v>
      </c>
      <c r="AF378">
        <v>0</v>
      </c>
      <c r="AG378">
        <v>11.6</v>
      </c>
      <c r="AH378">
        <v>10</v>
      </c>
      <c r="AI378">
        <v>11.8</v>
      </c>
      <c r="AJ378">
        <v>10</v>
      </c>
      <c r="AK378">
        <v>11.3</v>
      </c>
      <c r="AL378">
        <v>10</v>
      </c>
      <c r="AM378">
        <v>12.8</v>
      </c>
      <c r="AN378">
        <v>9</v>
      </c>
      <c r="AO378">
        <v>9.9</v>
      </c>
      <c r="AP378">
        <v>10</v>
      </c>
      <c r="AQ378">
        <v>11.4</v>
      </c>
      <c r="AR378">
        <v>10</v>
      </c>
      <c r="AS378">
        <v>8.1</v>
      </c>
      <c r="AT378">
        <v>10</v>
      </c>
      <c r="AU378">
        <v>18.600000000000001</v>
      </c>
      <c r="AV378">
        <v>19</v>
      </c>
      <c r="AW378">
        <v>19.399999999999999</v>
      </c>
      <c r="AX378">
        <v>19</v>
      </c>
      <c r="AY378">
        <v>11.1</v>
      </c>
      <c r="AZ378">
        <v>10</v>
      </c>
      <c r="BA378">
        <v>10.199999999999999</v>
      </c>
      <c r="BB378">
        <v>10</v>
      </c>
    </row>
    <row r="379" spans="1:54" x14ac:dyDescent="0.35">
      <c r="A379" s="1">
        <v>46059.716666666667</v>
      </c>
      <c r="B379">
        <v>21.9</v>
      </c>
      <c r="C379">
        <v>3</v>
      </c>
      <c r="D379">
        <v>20.5</v>
      </c>
      <c r="E379">
        <v>2</v>
      </c>
      <c r="F379">
        <v>8.8000000000000007</v>
      </c>
      <c r="G379">
        <v>12.3</v>
      </c>
      <c r="H379">
        <v>0</v>
      </c>
      <c r="I379">
        <v>15.1</v>
      </c>
      <c r="J379">
        <v>11</v>
      </c>
      <c r="K379">
        <v>0</v>
      </c>
      <c r="L379">
        <v>12.8</v>
      </c>
      <c r="M379">
        <v>16.2</v>
      </c>
      <c r="N379">
        <v>0</v>
      </c>
      <c r="O379">
        <v>14.4</v>
      </c>
      <c r="P379">
        <v>10</v>
      </c>
      <c r="Q379">
        <v>0</v>
      </c>
      <c r="R379">
        <v>10</v>
      </c>
      <c r="S379">
        <v>13.4</v>
      </c>
      <c r="T379">
        <v>0</v>
      </c>
      <c r="U379">
        <v>-19.8</v>
      </c>
      <c r="V379">
        <v>-22</v>
      </c>
      <c r="W379">
        <v>-22</v>
      </c>
      <c r="X379">
        <v>-20.2</v>
      </c>
      <c r="Y379">
        <v>-18.7</v>
      </c>
      <c r="Z379">
        <v>-22</v>
      </c>
      <c r="AA379">
        <v>-5.0999999999999996</v>
      </c>
      <c r="AB379">
        <v>-7.3</v>
      </c>
      <c r="AC379">
        <v>-5</v>
      </c>
      <c r="AD379">
        <v>11.8</v>
      </c>
      <c r="AE379">
        <v>11.3</v>
      </c>
      <c r="AF379">
        <v>0</v>
      </c>
      <c r="AG379">
        <v>11.7</v>
      </c>
      <c r="AH379">
        <v>10</v>
      </c>
      <c r="AI379">
        <v>11.9</v>
      </c>
      <c r="AJ379">
        <v>10</v>
      </c>
      <c r="AK379">
        <v>11.3</v>
      </c>
      <c r="AL379">
        <v>10</v>
      </c>
      <c r="AM379">
        <v>12.8</v>
      </c>
      <c r="AN379">
        <v>9</v>
      </c>
      <c r="AO379">
        <v>10.8</v>
      </c>
      <c r="AP379">
        <v>10</v>
      </c>
      <c r="AQ379">
        <v>11.3</v>
      </c>
      <c r="AR379">
        <v>10</v>
      </c>
      <c r="AS379">
        <v>8.1999999999999993</v>
      </c>
      <c r="AT379">
        <v>10</v>
      </c>
      <c r="AU379">
        <v>18.600000000000001</v>
      </c>
      <c r="AV379">
        <v>19</v>
      </c>
      <c r="AW379">
        <v>19.399999999999999</v>
      </c>
      <c r="AX379">
        <v>19</v>
      </c>
      <c r="AY379">
        <v>10.199999999999999</v>
      </c>
      <c r="AZ379">
        <v>10</v>
      </c>
      <c r="BA379">
        <v>9.8000000000000007</v>
      </c>
      <c r="BB379">
        <v>10</v>
      </c>
    </row>
    <row r="380" spans="1:54" x14ac:dyDescent="0.35">
      <c r="A380" s="1">
        <v>46059.717361111114</v>
      </c>
      <c r="B380">
        <v>21.9</v>
      </c>
      <c r="C380">
        <v>3</v>
      </c>
      <c r="D380">
        <v>20.5</v>
      </c>
      <c r="E380">
        <v>2</v>
      </c>
      <c r="F380">
        <v>8.8000000000000007</v>
      </c>
      <c r="G380">
        <v>12.3</v>
      </c>
      <c r="H380">
        <v>0</v>
      </c>
      <c r="I380">
        <v>15.1</v>
      </c>
      <c r="J380">
        <v>11</v>
      </c>
      <c r="K380">
        <v>0</v>
      </c>
      <c r="L380">
        <v>12.8</v>
      </c>
      <c r="M380">
        <v>16.2</v>
      </c>
      <c r="N380">
        <v>0</v>
      </c>
      <c r="O380">
        <v>14.4</v>
      </c>
      <c r="P380">
        <v>10</v>
      </c>
      <c r="Q380">
        <v>0</v>
      </c>
      <c r="R380">
        <v>10</v>
      </c>
      <c r="S380">
        <v>13.4</v>
      </c>
      <c r="T380">
        <v>0</v>
      </c>
      <c r="U380">
        <v>-19.8</v>
      </c>
      <c r="V380">
        <v>-22.1</v>
      </c>
      <c r="W380">
        <v>-22</v>
      </c>
      <c r="X380">
        <v>-20.2</v>
      </c>
      <c r="Y380">
        <v>-18.7</v>
      </c>
      <c r="Z380">
        <v>-22</v>
      </c>
      <c r="AA380">
        <v>-4.9000000000000004</v>
      </c>
      <c r="AB380">
        <v>-5.9</v>
      </c>
      <c r="AC380">
        <v>-5</v>
      </c>
      <c r="AD380">
        <v>11.7</v>
      </c>
      <c r="AE380">
        <v>11.3</v>
      </c>
      <c r="AF380">
        <v>0</v>
      </c>
      <c r="AG380">
        <v>11.8</v>
      </c>
      <c r="AH380">
        <v>10</v>
      </c>
      <c r="AI380">
        <v>12</v>
      </c>
      <c r="AJ380">
        <v>10</v>
      </c>
      <c r="AK380">
        <v>11.4</v>
      </c>
      <c r="AL380">
        <v>10</v>
      </c>
      <c r="AM380">
        <v>12.7</v>
      </c>
      <c r="AN380">
        <v>9</v>
      </c>
      <c r="AO380">
        <v>11.5</v>
      </c>
      <c r="AP380">
        <v>10</v>
      </c>
      <c r="AQ380">
        <v>11.1</v>
      </c>
      <c r="AR380">
        <v>10</v>
      </c>
      <c r="AS380">
        <v>8.8000000000000007</v>
      </c>
      <c r="AT380">
        <v>10</v>
      </c>
      <c r="AU380">
        <v>18.600000000000001</v>
      </c>
      <c r="AV380">
        <v>19</v>
      </c>
      <c r="AW380">
        <v>19.399999999999999</v>
      </c>
      <c r="AX380">
        <v>19</v>
      </c>
      <c r="AY380">
        <v>9.6999999999999993</v>
      </c>
      <c r="AZ380">
        <v>10</v>
      </c>
      <c r="BA380">
        <v>9.9</v>
      </c>
      <c r="BB380">
        <v>10</v>
      </c>
    </row>
    <row r="381" spans="1:54" x14ac:dyDescent="0.35">
      <c r="A381" s="1">
        <v>46059.718055555553</v>
      </c>
      <c r="B381">
        <v>21.9</v>
      </c>
      <c r="C381">
        <v>3</v>
      </c>
      <c r="D381">
        <v>20.5</v>
      </c>
      <c r="E381">
        <v>2</v>
      </c>
      <c r="F381">
        <v>8.8000000000000007</v>
      </c>
      <c r="G381">
        <v>12.3</v>
      </c>
      <c r="H381">
        <v>0</v>
      </c>
      <c r="I381">
        <v>15.1</v>
      </c>
      <c r="J381">
        <v>11</v>
      </c>
      <c r="K381">
        <v>0</v>
      </c>
      <c r="L381">
        <v>12.8</v>
      </c>
      <c r="M381">
        <v>16.2</v>
      </c>
      <c r="N381">
        <v>0</v>
      </c>
      <c r="O381">
        <v>14.4</v>
      </c>
      <c r="P381">
        <v>10.1</v>
      </c>
      <c r="Q381">
        <v>0</v>
      </c>
      <c r="R381">
        <v>10</v>
      </c>
      <c r="S381">
        <v>13.4</v>
      </c>
      <c r="T381">
        <v>0</v>
      </c>
      <c r="U381">
        <v>-19.8</v>
      </c>
      <c r="V381">
        <v>-22.1</v>
      </c>
      <c r="W381">
        <v>-22</v>
      </c>
      <c r="X381">
        <v>-20.2</v>
      </c>
      <c r="Y381">
        <v>-18.7</v>
      </c>
      <c r="Z381">
        <v>-22</v>
      </c>
      <c r="AA381">
        <v>-3.8</v>
      </c>
      <c r="AB381">
        <v>-4</v>
      </c>
      <c r="AC381">
        <v>-5</v>
      </c>
      <c r="AD381">
        <v>11.6</v>
      </c>
      <c r="AE381">
        <v>11.3</v>
      </c>
      <c r="AF381">
        <v>0</v>
      </c>
      <c r="AG381">
        <v>11.9</v>
      </c>
      <c r="AH381">
        <v>10</v>
      </c>
      <c r="AI381">
        <v>11.6</v>
      </c>
      <c r="AJ381">
        <v>10</v>
      </c>
      <c r="AK381">
        <v>11.5</v>
      </c>
      <c r="AL381">
        <v>10</v>
      </c>
      <c r="AM381">
        <v>12.7</v>
      </c>
      <c r="AN381">
        <v>9</v>
      </c>
      <c r="AO381">
        <v>11.9</v>
      </c>
      <c r="AP381">
        <v>10</v>
      </c>
      <c r="AQ381">
        <v>11.1</v>
      </c>
      <c r="AR381">
        <v>10</v>
      </c>
      <c r="AS381">
        <v>9.5</v>
      </c>
      <c r="AT381">
        <v>10</v>
      </c>
      <c r="AU381">
        <v>18.600000000000001</v>
      </c>
      <c r="AV381">
        <v>19</v>
      </c>
      <c r="AW381">
        <v>19.399999999999999</v>
      </c>
      <c r="AX381">
        <v>19</v>
      </c>
      <c r="AY381">
        <v>9.8000000000000007</v>
      </c>
      <c r="AZ381">
        <v>10</v>
      </c>
      <c r="BA381">
        <v>10.3</v>
      </c>
      <c r="BB381">
        <v>10</v>
      </c>
    </row>
    <row r="382" spans="1:54" x14ac:dyDescent="0.35">
      <c r="A382" s="1">
        <v>46059.71875</v>
      </c>
      <c r="B382">
        <v>21.9</v>
      </c>
      <c r="C382">
        <v>3</v>
      </c>
      <c r="D382">
        <v>20.5</v>
      </c>
      <c r="E382">
        <v>2</v>
      </c>
      <c r="F382">
        <v>8.8000000000000007</v>
      </c>
      <c r="G382">
        <v>12.3</v>
      </c>
      <c r="H382">
        <v>0</v>
      </c>
      <c r="I382">
        <v>15.1</v>
      </c>
      <c r="J382">
        <v>11</v>
      </c>
      <c r="K382">
        <v>0</v>
      </c>
      <c r="L382">
        <v>12.8</v>
      </c>
      <c r="M382">
        <v>16.2</v>
      </c>
      <c r="N382">
        <v>0</v>
      </c>
      <c r="O382">
        <v>14.5</v>
      </c>
      <c r="P382">
        <v>10.1</v>
      </c>
      <c r="Q382">
        <v>0</v>
      </c>
      <c r="R382">
        <v>10</v>
      </c>
      <c r="S382">
        <v>13.4</v>
      </c>
      <c r="T382">
        <v>0</v>
      </c>
      <c r="U382">
        <v>-19.8</v>
      </c>
      <c r="V382">
        <v>-21.9</v>
      </c>
      <c r="W382">
        <v>-22</v>
      </c>
      <c r="X382">
        <v>-20.3</v>
      </c>
      <c r="Y382">
        <v>-18.7</v>
      </c>
      <c r="Z382">
        <v>-22</v>
      </c>
      <c r="AA382">
        <v>-3.1</v>
      </c>
      <c r="AB382">
        <v>-3.1</v>
      </c>
      <c r="AC382">
        <v>-5</v>
      </c>
      <c r="AD382">
        <v>11.6</v>
      </c>
      <c r="AE382">
        <v>11.3</v>
      </c>
      <c r="AF382">
        <v>0</v>
      </c>
      <c r="AG382">
        <v>12</v>
      </c>
      <c r="AH382">
        <v>10</v>
      </c>
      <c r="AI382">
        <v>9.6999999999999993</v>
      </c>
      <c r="AJ382">
        <v>10</v>
      </c>
      <c r="AK382">
        <v>11.6</v>
      </c>
      <c r="AL382">
        <v>10</v>
      </c>
      <c r="AM382">
        <v>12.7</v>
      </c>
      <c r="AN382">
        <v>9</v>
      </c>
      <c r="AO382">
        <v>12</v>
      </c>
      <c r="AP382">
        <v>10</v>
      </c>
      <c r="AQ382">
        <v>11.1</v>
      </c>
      <c r="AR382">
        <v>10</v>
      </c>
      <c r="AS382">
        <v>9.9</v>
      </c>
      <c r="AT382">
        <v>10</v>
      </c>
      <c r="AU382">
        <v>18.600000000000001</v>
      </c>
      <c r="AV382">
        <v>19</v>
      </c>
      <c r="AW382">
        <v>19.399999999999999</v>
      </c>
      <c r="AX382">
        <v>19</v>
      </c>
      <c r="AY382">
        <v>10.3</v>
      </c>
      <c r="AZ382">
        <v>10</v>
      </c>
      <c r="BA382">
        <v>10.8</v>
      </c>
      <c r="BB382">
        <v>10</v>
      </c>
    </row>
    <row r="383" spans="1:54" x14ac:dyDescent="0.35">
      <c r="A383" s="1">
        <v>46059.719444444447</v>
      </c>
      <c r="B383">
        <v>21.9</v>
      </c>
      <c r="C383">
        <v>3</v>
      </c>
      <c r="D383">
        <v>20.5</v>
      </c>
      <c r="E383">
        <v>2</v>
      </c>
      <c r="F383">
        <v>8.8000000000000007</v>
      </c>
      <c r="G383">
        <v>12.3</v>
      </c>
      <c r="H383">
        <v>0</v>
      </c>
      <c r="I383">
        <v>15.1</v>
      </c>
      <c r="J383">
        <v>11</v>
      </c>
      <c r="K383">
        <v>0</v>
      </c>
      <c r="L383">
        <v>12.8</v>
      </c>
      <c r="M383">
        <v>16.2</v>
      </c>
      <c r="N383">
        <v>0</v>
      </c>
      <c r="O383">
        <v>14.5</v>
      </c>
      <c r="P383">
        <v>10.1</v>
      </c>
      <c r="Q383">
        <v>0</v>
      </c>
      <c r="R383">
        <v>10.1</v>
      </c>
      <c r="S383">
        <v>13.4</v>
      </c>
      <c r="T383">
        <v>0</v>
      </c>
      <c r="U383">
        <v>-19.8</v>
      </c>
      <c r="V383">
        <v>-22.2</v>
      </c>
      <c r="W383">
        <v>-22</v>
      </c>
      <c r="X383">
        <v>-20.3</v>
      </c>
      <c r="Y383">
        <v>-18.7</v>
      </c>
      <c r="Z383">
        <v>-22</v>
      </c>
      <c r="AA383">
        <v>-2.7</v>
      </c>
      <c r="AB383">
        <v>-3.2</v>
      </c>
      <c r="AC383">
        <v>-5</v>
      </c>
      <c r="AD383">
        <v>11.6</v>
      </c>
      <c r="AE383">
        <v>11.2</v>
      </c>
      <c r="AF383">
        <v>0</v>
      </c>
      <c r="AG383">
        <v>11.8</v>
      </c>
      <c r="AH383">
        <v>10</v>
      </c>
      <c r="AI383">
        <v>8.8000000000000007</v>
      </c>
      <c r="AJ383">
        <v>10</v>
      </c>
      <c r="AK383">
        <v>11.6</v>
      </c>
      <c r="AL383">
        <v>10</v>
      </c>
      <c r="AM383">
        <v>12.8</v>
      </c>
      <c r="AN383">
        <v>9</v>
      </c>
      <c r="AO383">
        <v>11.1</v>
      </c>
      <c r="AP383">
        <v>10</v>
      </c>
      <c r="AQ383">
        <v>11.1</v>
      </c>
      <c r="AR383">
        <v>10</v>
      </c>
      <c r="AS383">
        <v>10.3</v>
      </c>
      <c r="AT383">
        <v>10</v>
      </c>
      <c r="AU383">
        <v>18.600000000000001</v>
      </c>
      <c r="AV383">
        <v>19</v>
      </c>
      <c r="AW383">
        <v>19.399999999999999</v>
      </c>
      <c r="AX383">
        <v>19</v>
      </c>
      <c r="AY383">
        <v>10.6</v>
      </c>
      <c r="AZ383">
        <v>10</v>
      </c>
      <c r="BA383">
        <v>11.1</v>
      </c>
      <c r="BB383">
        <v>10</v>
      </c>
    </row>
    <row r="384" spans="1:54" x14ac:dyDescent="0.35">
      <c r="A384" s="1">
        <v>46059.720138888886</v>
      </c>
      <c r="B384">
        <v>21.9</v>
      </c>
      <c r="C384">
        <v>3</v>
      </c>
      <c r="D384">
        <v>20.5</v>
      </c>
      <c r="E384">
        <v>2</v>
      </c>
      <c r="F384">
        <v>8.8000000000000007</v>
      </c>
      <c r="G384">
        <v>12.3</v>
      </c>
      <c r="H384">
        <v>0</v>
      </c>
      <c r="I384">
        <v>15.1</v>
      </c>
      <c r="J384">
        <v>11</v>
      </c>
      <c r="K384">
        <v>0</v>
      </c>
      <c r="L384">
        <v>12.8</v>
      </c>
      <c r="M384">
        <v>16.2</v>
      </c>
      <c r="N384">
        <v>0</v>
      </c>
      <c r="O384">
        <v>14.5</v>
      </c>
      <c r="P384">
        <v>10.1</v>
      </c>
      <c r="Q384">
        <v>0</v>
      </c>
      <c r="R384">
        <v>10.1</v>
      </c>
      <c r="S384">
        <v>13.4</v>
      </c>
      <c r="T384">
        <v>0</v>
      </c>
      <c r="U384">
        <v>-19.8</v>
      </c>
      <c r="V384">
        <v>-21.8</v>
      </c>
      <c r="W384">
        <v>-22</v>
      </c>
      <c r="X384">
        <v>-20.3</v>
      </c>
      <c r="Y384">
        <v>-18.7</v>
      </c>
      <c r="Z384">
        <v>-22</v>
      </c>
      <c r="AA384">
        <v>-2.9</v>
      </c>
      <c r="AB384">
        <v>-4.3</v>
      </c>
      <c r="AC384">
        <v>-5</v>
      </c>
      <c r="AD384">
        <v>11.6</v>
      </c>
      <c r="AE384">
        <v>11.2</v>
      </c>
      <c r="AF384">
        <v>0</v>
      </c>
      <c r="AG384">
        <v>11</v>
      </c>
      <c r="AH384">
        <v>10</v>
      </c>
      <c r="AI384">
        <v>8.8000000000000007</v>
      </c>
      <c r="AJ384">
        <v>10</v>
      </c>
      <c r="AK384">
        <v>11.6</v>
      </c>
      <c r="AL384">
        <v>10</v>
      </c>
      <c r="AM384">
        <v>12.8</v>
      </c>
      <c r="AN384">
        <v>9</v>
      </c>
      <c r="AO384">
        <v>10.5</v>
      </c>
      <c r="AP384">
        <v>10</v>
      </c>
      <c r="AQ384">
        <v>11.1</v>
      </c>
      <c r="AR384">
        <v>10</v>
      </c>
      <c r="AS384">
        <v>10.6</v>
      </c>
      <c r="AT384">
        <v>10</v>
      </c>
      <c r="AU384">
        <v>18.600000000000001</v>
      </c>
      <c r="AV384">
        <v>19</v>
      </c>
      <c r="AW384">
        <v>19.399999999999999</v>
      </c>
      <c r="AX384">
        <v>19</v>
      </c>
      <c r="AY384">
        <v>10.9</v>
      </c>
      <c r="AZ384">
        <v>10</v>
      </c>
      <c r="BA384">
        <v>11.4</v>
      </c>
      <c r="BB384">
        <v>10</v>
      </c>
    </row>
    <row r="385" spans="1:54" x14ac:dyDescent="0.35">
      <c r="A385" s="1">
        <v>46059.720833333333</v>
      </c>
      <c r="B385">
        <v>21.9</v>
      </c>
      <c r="C385">
        <v>3</v>
      </c>
      <c r="D385">
        <v>20.5</v>
      </c>
      <c r="E385">
        <v>2</v>
      </c>
      <c r="F385">
        <v>8.8000000000000007</v>
      </c>
      <c r="G385">
        <v>12.3</v>
      </c>
      <c r="H385">
        <v>0</v>
      </c>
      <c r="I385">
        <v>15.1</v>
      </c>
      <c r="J385">
        <v>11</v>
      </c>
      <c r="K385">
        <v>0</v>
      </c>
      <c r="L385">
        <v>12.8</v>
      </c>
      <c r="M385">
        <v>16.2</v>
      </c>
      <c r="N385">
        <v>0</v>
      </c>
      <c r="O385">
        <v>14.5</v>
      </c>
      <c r="P385">
        <v>10.1</v>
      </c>
      <c r="Q385">
        <v>0</v>
      </c>
      <c r="R385">
        <v>10.1</v>
      </c>
      <c r="S385">
        <v>13.4</v>
      </c>
      <c r="T385">
        <v>0</v>
      </c>
      <c r="U385">
        <v>-19.8</v>
      </c>
      <c r="V385">
        <v>-22.1</v>
      </c>
      <c r="W385">
        <v>-22</v>
      </c>
      <c r="X385">
        <v>-20.3</v>
      </c>
      <c r="Y385">
        <v>-18.7</v>
      </c>
      <c r="Z385">
        <v>-22</v>
      </c>
      <c r="AA385">
        <v>-3.3</v>
      </c>
      <c r="AB385">
        <v>-5.0999999999999996</v>
      </c>
      <c r="AC385">
        <v>-5</v>
      </c>
      <c r="AD385">
        <v>11.6</v>
      </c>
      <c r="AE385">
        <v>11.2</v>
      </c>
      <c r="AF385">
        <v>0</v>
      </c>
      <c r="AG385">
        <v>10.1</v>
      </c>
      <c r="AH385">
        <v>10</v>
      </c>
      <c r="AI385">
        <v>9</v>
      </c>
      <c r="AJ385">
        <v>10</v>
      </c>
      <c r="AK385">
        <v>11.6</v>
      </c>
      <c r="AL385">
        <v>10</v>
      </c>
      <c r="AM385">
        <v>12.8</v>
      </c>
      <c r="AN385">
        <v>9</v>
      </c>
      <c r="AO385">
        <v>10.4</v>
      </c>
      <c r="AP385">
        <v>10</v>
      </c>
      <c r="AQ385">
        <v>11.1</v>
      </c>
      <c r="AR385">
        <v>10</v>
      </c>
      <c r="AS385">
        <v>10.9</v>
      </c>
      <c r="AT385">
        <v>10</v>
      </c>
      <c r="AU385">
        <v>18.600000000000001</v>
      </c>
      <c r="AV385">
        <v>19</v>
      </c>
      <c r="AW385">
        <v>19.5</v>
      </c>
      <c r="AX385">
        <v>19</v>
      </c>
      <c r="AY385">
        <v>11.2</v>
      </c>
      <c r="AZ385">
        <v>10</v>
      </c>
      <c r="BA385">
        <v>11.7</v>
      </c>
      <c r="BB385">
        <v>10</v>
      </c>
    </row>
    <row r="386" spans="1:54" x14ac:dyDescent="0.35">
      <c r="A386" s="1">
        <v>46059.72152777778</v>
      </c>
      <c r="B386">
        <v>21.9</v>
      </c>
      <c r="C386">
        <v>3</v>
      </c>
      <c r="D386">
        <v>20.6</v>
      </c>
      <c r="E386">
        <v>2</v>
      </c>
      <c r="F386">
        <v>8.8000000000000007</v>
      </c>
      <c r="G386">
        <v>12.3</v>
      </c>
      <c r="H386">
        <v>0</v>
      </c>
      <c r="I386">
        <v>15.1</v>
      </c>
      <c r="J386">
        <v>11</v>
      </c>
      <c r="K386">
        <v>0</v>
      </c>
      <c r="L386">
        <v>12.8</v>
      </c>
      <c r="M386">
        <v>16.2</v>
      </c>
      <c r="N386">
        <v>0</v>
      </c>
      <c r="O386">
        <v>14.5</v>
      </c>
      <c r="P386">
        <v>10.1</v>
      </c>
      <c r="Q386">
        <v>0</v>
      </c>
      <c r="R386">
        <v>10.1</v>
      </c>
      <c r="S386">
        <v>13.4</v>
      </c>
      <c r="T386">
        <v>0</v>
      </c>
      <c r="U386">
        <v>-19.8</v>
      </c>
      <c r="V386">
        <v>-22</v>
      </c>
      <c r="W386">
        <v>-22</v>
      </c>
      <c r="X386">
        <v>-20.3</v>
      </c>
      <c r="Y386">
        <v>-18.7</v>
      </c>
      <c r="Z386">
        <v>-22</v>
      </c>
      <c r="AA386">
        <v>-3.7</v>
      </c>
      <c r="AB386">
        <v>-5.7</v>
      </c>
      <c r="AC386">
        <v>-5</v>
      </c>
      <c r="AD386">
        <v>11.6</v>
      </c>
      <c r="AE386">
        <v>11.2</v>
      </c>
      <c r="AF386">
        <v>0</v>
      </c>
      <c r="AG386">
        <v>9.6999999999999993</v>
      </c>
      <c r="AH386">
        <v>10</v>
      </c>
      <c r="AI386">
        <v>9.3000000000000007</v>
      </c>
      <c r="AJ386">
        <v>10</v>
      </c>
      <c r="AK386">
        <v>11.6</v>
      </c>
      <c r="AL386">
        <v>10</v>
      </c>
      <c r="AM386">
        <v>12.8</v>
      </c>
      <c r="AN386">
        <v>9</v>
      </c>
      <c r="AO386">
        <v>10.1</v>
      </c>
      <c r="AP386">
        <v>10</v>
      </c>
      <c r="AQ386">
        <v>11.2</v>
      </c>
      <c r="AR386">
        <v>10</v>
      </c>
      <c r="AS386">
        <v>11.1</v>
      </c>
      <c r="AT386">
        <v>10</v>
      </c>
      <c r="AU386">
        <v>18.600000000000001</v>
      </c>
      <c r="AV386">
        <v>19</v>
      </c>
      <c r="AW386">
        <v>19.5</v>
      </c>
      <c r="AX386">
        <v>19</v>
      </c>
      <c r="AY386">
        <v>11.4</v>
      </c>
      <c r="AZ386">
        <v>10</v>
      </c>
      <c r="BA386">
        <v>11.9</v>
      </c>
      <c r="BB386">
        <v>10</v>
      </c>
    </row>
    <row r="387" spans="1:54" x14ac:dyDescent="0.35">
      <c r="A387" s="1">
        <v>46059.722222222219</v>
      </c>
      <c r="B387">
        <v>21.9</v>
      </c>
      <c r="C387">
        <v>3</v>
      </c>
      <c r="D387">
        <v>20.6</v>
      </c>
      <c r="E387">
        <v>2</v>
      </c>
      <c r="F387">
        <v>8.8000000000000007</v>
      </c>
      <c r="G387">
        <v>12.4</v>
      </c>
      <c r="H387">
        <v>0</v>
      </c>
      <c r="I387">
        <v>15.1</v>
      </c>
      <c r="J387">
        <v>11</v>
      </c>
      <c r="K387">
        <v>0</v>
      </c>
      <c r="L387">
        <v>12.8</v>
      </c>
      <c r="M387">
        <v>16.3</v>
      </c>
      <c r="N387">
        <v>0</v>
      </c>
      <c r="O387">
        <v>14.5</v>
      </c>
      <c r="P387">
        <v>10.1</v>
      </c>
      <c r="Q387">
        <v>0</v>
      </c>
      <c r="R387">
        <v>10.1</v>
      </c>
      <c r="S387">
        <v>13.5</v>
      </c>
      <c r="T387">
        <v>0</v>
      </c>
      <c r="U387">
        <v>-19.8</v>
      </c>
      <c r="V387">
        <v>-22</v>
      </c>
      <c r="W387">
        <v>-22</v>
      </c>
      <c r="X387">
        <v>-20.3</v>
      </c>
      <c r="Y387">
        <v>-18.7</v>
      </c>
      <c r="Z387">
        <v>-22</v>
      </c>
      <c r="AA387">
        <v>-4.3</v>
      </c>
      <c r="AB387">
        <v>-6.5</v>
      </c>
      <c r="AC387">
        <v>-5</v>
      </c>
      <c r="AD387">
        <v>11.6</v>
      </c>
      <c r="AE387">
        <v>11.2</v>
      </c>
      <c r="AF387">
        <v>0</v>
      </c>
      <c r="AG387">
        <v>9.6999999999999993</v>
      </c>
      <c r="AH387">
        <v>10</v>
      </c>
      <c r="AI387">
        <v>9.6</v>
      </c>
      <c r="AJ387">
        <v>10</v>
      </c>
      <c r="AK387">
        <v>11.6</v>
      </c>
      <c r="AL387">
        <v>10</v>
      </c>
      <c r="AM387">
        <v>12.8</v>
      </c>
      <c r="AN387">
        <v>9</v>
      </c>
      <c r="AO387">
        <v>10</v>
      </c>
      <c r="AP387">
        <v>10</v>
      </c>
      <c r="AQ387">
        <v>11.2</v>
      </c>
      <c r="AR387">
        <v>10</v>
      </c>
      <c r="AS387">
        <v>11.4</v>
      </c>
      <c r="AT387">
        <v>10</v>
      </c>
      <c r="AU387">
        <v>18.600000000000001</v>
      </c>
      <c r="AV387">
        <v>19</v>
      </c>
      <c r="AW387">
        <v>19.5</v>
      </c>
      <c r="AX387">
        <v>19</v>
      </c>
      <c r="AY387">
        <v>11.7</v>
      </c>
      <c r="AZ387">
        <v>10</v>
      </c>
      <c r="BA387">
        <v>12</v>
      </c>
      <c r="BB387">
        <v>10</v>
      </c>
    </row>
    <row r="388" spans="1:54" x14ac:dyDescent="0.35">
      <c r="A388" s="1">
        <v>46059.722916666666</v>
      </c>
      <c r="B388">
        <v>21.9</v>
      </c>
      <c r="C388">
        <v>3</v>
      </c>
      <c r="D388">
        <v>20.6</v>
      </c>
      <c r="E388">
        <v>2</v>
      </c>
      <c r="F388">
        <v>8.8000000000000007</v>
      </c>
      <c r="G388">
        <v>12.4</v>
      </c>
      <c r="H388">
        <v>0</v>
      </c>
      <c r="I388">
        <v>15.1</v>
      </c>
      <c r="J388">
        <v>11</v>
      </c>
      <c r="K388">
        <v>0</v>
      </c>
      <c r="L388">
        <v>12.8</v>
      </c>
      <c r="M388">
        <v>16.3</v>
      </c>
      <c r="N388">
        <v>0</v>
      </c>
      <c r="O388">
        <v>14.5</v>
      </c>
      <c r="P388">
        <v>10.1</v>
      </c>
      <c r="Q388">
        <v>0</v>
      </c>
      <c r="R388">
        <v>10.1</v>
      </c>
      <c r="S388">
        <v>13.5</v>
      </c>
      <c r="T388">
        <v>0</v>
      </c>
      <c r="U388">
        <v>-19.8</v>
      </c>
      <c r="V388">
        <v>-22.1</v>
      </c>
      <c r="W388">
        <v>-22</v>
      </c>
      <c r="X388">
        <v>-20.3</v>
      </c>
      <c r="Y388">
        <v>-18.8</v>
      </c>
      <c r="Z388">
        <v>-22</v>
      </c>
      <c r="AA388">
        <v>-4.7</v>
      </c>
      <c r="AB388">
        <v>-7</v>
      </c>
      <c r="AC388">
        <v>-5</v>
      </c>
      <c r="AD388">
        <v>11.6</v>
      </c>
      <c r="AE388">
        <v>11.2</v>
      </c>
      <c r="AF388">
        <v>0</v>
      </c>
      <c r="AG388">
        <v>10</v>
      </c>
      <c r="AH388">
        <v>10</v>
      </c>
      <c r="AI388">
        <v>9.9</v>
      </c>
      <c r="AJ388">
        <v>10</v>
      </c>
      <c r="AK388">
        <v>11.6</v>
      </c>
      <c r="AL388">
        <v>10</v>
      </c>
      <c r="AM388">
        <v>12.8</v>
      </c>
      <c r="AN388">
        <v>9</v>
      </c>
      <c r="AO388">
        <v>10.6</v>
      </c>
      <c r="AP388">
        <v>10</v>
      </c>
      <c r="AQ388">
        <v>11.2</v>
      </c>
      <c r="AR388">
        <v>10</v>
      </c>
      <c r="AS388">
        <v>11.6</v>
      </c>
      <c r="AT388">
        <v>10</v>
      </c>
      <c r="AU388">
        <v>18.600000000000001</v>
      </c>
      <c r="AV388">
        <v>19</v>
      </c>
      <c r="AW388">
        <v>19.5</v>
      </c>
      <c r="AX388">
        <v>19</v>
      </c>
      <c r="AY388">
        <v>11.8</v>
      </c>
      <c r="AZ388">
        <v>10</v>
      </c>
      <c r="BA388">
        <v>11.2</v>
      </c>
      <c r="BB388">
        <v>10</v>
      </c>
    </row>
    <row r="389" spans="1:54" x14ac:dyDescent="0.35">
      <c r="A389" s="1">
        <v>46059.723611111112</v>
      </c>
      <c r="B389">
        <v>21.9</v>
      </c>
      <c r="C389">
        <v>3</v>
      </c>
      <c r="D389">
        <v>20.6</v>
      </c>
      <c r="E389">
        <v>2</v>
      </c>
      <c r="F389">
        <v>8.8000000000000007</v>
      </c>
      <c r="G389">
        <v>12.4</v>
      </c>
      <c r="H389">
        <v>0</v>
      </c>
      <c r="I389">
        <v>15.1</v>
      </c>
      <c r="J389">
        <v>11</v>
      </c>
      <c r="K389">
        <v>0</v>
      </c>
      <c r="L389">
        <v>12.8</v>
      </c>
      <c r="M389">
        <v>16.3</v>
      </c>
      <c r="N389">
        <v>0</v>
      </c>
      <c r="O389">
        <v>14.5</v>
      </c>
      <c r="P389">
        <v>10.1</v>
      </c>
      <c r="Q389">
        <v>0</v>
      </c>
      <c r="R389">
        <v>10.1</v>
      </c>
      <c r="S389">
        <v>13.5</v>
      </c>
      <c r="T389">
        <v>0</v>
      </c>
      <c r="U389">
        <v>-19.8</v>
      </c>
      <c r="V389">
        <v>-21.8</v>
      </c>
      <c r="W389">
        <v>-22</v>
      </c>
      <c r="X389">
        <v>-20.3</v>
      </c>
      <c r="Y389">
        <v>-18.8</v>
      </c>
      <c r="Z389">
        <v>-22</v>
      </c>
      <c r="AA389">
        <v>-5.0999999999999996</v>
      </c>
      <c r="AB389">
        <v>-7</v>
      </c>
      <c r="AC389">
        <v>-5</v>
      </c>
      <c r="AD389">
        <v>11.6</v>
      </c>
      <c r="AE389">
        <v>11.2</v>
      </c>
      <c r="AF389">
        <v>0</v>
      </c>
      <c r="AG389">
        <v>10.3</v>
      </c>
      <c r="AH389">
        <v>10</v>
      </c>
      <c r="AI389">
        <v>10.1</v>
      </c>
      <c r="AJ389">
        <v>10</v>
      </c>
      <c r="AK389">
        <v>11.6</v>
      </c>
      <c r="AL389">
        <v>10</v>
      </c>
      <c r="AM389">
        <v>12.7</v>
      </c>
      <c r="AN389">
        <v>9</v>
      </c>
      <c r="AO389">
        <v>11.4</v>
      </c>
      <c r="AP389">
        <v>10</v>
      </c>
      <c r="AQ389">
        <v>11.2</v>
      </c>
      <c r="AR389">
        <v>10</v>
      </c>
      <c r="AS389">
        <v>11.8</v>
      </c>
      <c r="AT389">
        <v>10</v>
      </c>
      <c r="AU389">
        <v>18.600000000000001</v>
      </c>
      <c r="AV389">
        <v>19</v>
      </c>
      <c r="AW389">
        <v>19.5</v>
      </c>
      <c r="AX389">
        <v>19</v>
      </c>
      <c r="AY389">
        <v>12</v>
      </c>
      <c r="AZ389">
        <v>10</v>
      </c>
      <c r="BA389">
        <v>10.5</v>
      </c>
      <c r="BB389">
        <v>10</v>
      </c>
    </row>
    <row r="390" spans="1:54" x14ac:dyDescent="0.35">
      <c r="A390" s="1">
        <v>46059.724305555559</v>
      </c>
      <c r="B390">
        <v>21.9</v>
      </c>
      <c r="C390">
        <v>3</v>
      </c>
      <c r="D390">
        <v>20.6</v>
      </c>
      <c r="E390">
        <v>2</v>
      </c>
      <c r="F390">
        <v>8.8000000000000007</v>
      </c>
      <c r="G390">
        <v>12.4</v>
      </c>
      <c r="H390">
        <v>0</v>
      </c>
      <c r="I390">
        <v>15.1</v>
      </c>
      <c r="J390">
        <v>11</v>
      </c>
      <c r="K390">
        <v>0</v>
      </c>
      <c r="L390">
        <v>12.8</v>
      </c>
      <c r="M390">
        <v>16.3</v>
      </c>
      <c r="N390">
        <v>0</v>
      </c>
      <c r="O390">
        <v>14.5</v>
      </c>
      <c r="P390">
        <v>10.1</v>
      </c>
      <c r="Q390">
        <v>0</v>
      </c>
      <c r="R390">
        <v>10.1</v>
      </c>
      <c r="S390">
        <v>13.5</v>
      </c>
      <c r="T390">
        <v>0</v>
      </c>
      <c r="U390">
        <v>-19.8</v>
      </c>
      <c r="V390">
        <v>-22.2</v>
      </c>
      <c r="W390">
        <v>-22</v>
      </c>
      <c r="X390">
        <v>-20.3</v>
      </c>
      <c r="Y390">
        <v>-18.8</v>
      </c>
      <c r="Z390">
        <v>-22</v>
      </c>
      <c r="AA390">
        <v>-4.5999999999999996</v>
      </c>
      <c r="AB390">
        <v>-5.2</v>
      </c>
      <c r="AC390">
        <v>-5</v>
      </c>
      <c r="AD390">
        <v>11.6</v>
      </c>
      <c r="AE390">
        <v>11.2</v>
      </c>
      <c r="AF390">
        <v>0</v>
      </c>
      <c r="AG390">
        <v>10.6</v>
      </c>
      <c r="AH390">
        <v>10</v>
      </c>
      <c r="AI390">
        <v>10.3</v>
      </c>
      <c r="AJ390">
        <v>10</v>
      </c>
      <c r="AK390">
        <v>11.7</v>
      </c>
      <c r="AL390">
        <v>10</v>
      </c>
      <c r="AM390">
        <v>12.7</v>
      </c>
      <c r="AN390">
        <v>9</v>
      </c>
      <c r="AO390">
        <v>11.7</v>
      </c>
      <c r="AP390">
        <v>10</v>
      </c>
      <c r="AQ390">
        <v>11.2</v>
      </c>
      <c r="AR390">
        <v>10</v>
      </c>
      <c r="AS390">
        <v>11.9</v>
      </c>
      <c r="AT390">
        <v>10</v>
      </c>
      <c r="AU390">
        <v>18.600000000000001</v>
      </c>
      <c r="AV390">
        <v>19</v>
      </c>
      <c r="AW390">
        <v>19.5</v>
      </c>
      <c r="AX390">
        <v>19</v>
      </c>
      <c r="AY390">
        <v>11.5</v>
      </c>
      <c r="AZ390">
        <v>10</v>
      </c>
      <c r="BA390">
        <v>9.8000000000000007</v>
      </c>
      <c r="BB390">
        <v>10</v>
      </c>
    </row>
    <row r="391" spans="1:54" x14ac:dyDescent="0.35">
      <c r="A391" s="1">
        <v>46059.724999999999</v>
      </c>
      <c r="B391">
        <v>21.9</v>
      </c>
      <c r="C391">
        <v>3</v>
      </c>
      <c r="D391">
        <v>20.6</v>
      </c>
      <c r="E391">
        <v>2</v>
      </c>
      <c r="F391">
        <v>8.8000000000000007</v>
      </c>
      <c r="G391">
        <v>12.4</v>
      </c>
      <c r="H391">
        <v>0</v>
      </c>
      <c r="I391">
        <v>15.1</v>
      </c>
      <c r="J391">
        <v>11.1</v>
      </c>
      <c r="K391">
        <v>0</v>
      </c>
      <c r="L391">
        <v>12.8</v>
      </c>
      <c r="M391">
        <v>16.3</v>
      </c>
      <c r="N391">
        <v>0</v>
      </c>
      <c r="O391">
        <v>14.5</v>
      </c>
      <c r="P391">
        <v>10.1</v>
      </c>
      <c r="Q391">
        <v>0</v>
      </c>
      <c r="R391">
        <v>10.1</v>
      </c>
      <c r="S391">
        <v>13.5</v>
      </c>
      <c r="T391">
        <v>0</v>
      </c>
      <c r="U391">
        <v>-19.8</v>
      </c>
      <c r="V391">
        <v>-22</v>
      </c>
      <c r="W391">
        <v>-22</v>
      </c>
      <c r="X391">
        <v>-20.3</v>
      </c>
      <c r="Y391">
        <v>-18.8</v>
      </c>
      <c r="Z391">
        <v>-22</v>
      </c>
      <c r="AA391">
        <v>-3.7</v>
      </c>
      <c r="AB391">
        <v>-3.8</v>
      </c>
      <c r="AC391">
        <v>-5</v>
      </c>
      <c r="AD391">
        <v>11.7</v>
      </c>
      <c r="AE391">
        <v>11.2</v>
      </c>
      <c r="AF391">
        <v>0</v>
      </c>
      <c r="AG391">
        <v>10.8</v>
      </c>
      <c r="AH391">
        <v>10</v>
      </c>
      <c r="AI391">
        <v>10.5</v>
      </c>
      <c r="AJ391">
        <v>10</v>
      </c>
      <c r="AK391">
        <v>11.8</v>
      </c>
      <c r="AL391">
        <v>10</v>
      </c>
      <c r="AM391">
        <v>12.7</v>
      </c>
      <c r="AN391">
        <v>9</v>
      </c>
      <c r="AO391">
        <v>11.9</v>
      </c>
      <c r="AP391">
        <v>10</v>
      </c>
      <c r="AQ391">
        <v>11.2</v>
      </c>
      <c r="AR391">
        <v>10</v>
      </c>
      <c r="AS391">
        <v>11.1</v>
      </c>
      <c r="AT391">
        <v>10</v>
      </c>
      <c r="AU391">
        <v>18.600000000000001</v>
      </c>
      <c r="AV391">
        <v>19</v>
      </c>
      <c r="AW391">
        <v>19.5</v>
      </c>
      <c r="AX391">
        <v>19</v>
      </c>
      <c r="AY391">
        <v>10.7</v>
      </c>
      <c r="AZ391">
        <v>10</v>
      </c>
      <c r="BA391">
        <v>9.6999999999999993</v>
      </c>
      <c r="BB391">
        <v>10</v>
      </c>
    </row>
    <row r="392" spans="1:54" x14ac:dyDescent="0.35">
      <c r="A392" s="1">
        <v>46059.725694444445</v>
      </c>
      <c r="B392">
        <v>21.9</v>
      </c>
      <c r="C392">
        <v>3</v>
      </c>
      <c r="D392">
        <v>20.6</v>
      </c>
      <c r="E392">
        <v>2</v>
      </c>
      <c r="F392">
        <v>8.9</v>
      </c>
      <c r="G392">
        <v>12.4</v>
      </c>
      <c r="H392">
        <v>0</v>
      </c>
      <c r="I392">
        <v>15.1</v>
      </c>
      <c r="J392">
        <v>11.1</v>
      </c>
      <c r="K392">
        <v>0</v>
      </c>
      <c r="L392">
        <v>12.8</v>
      </c>
      <c r="M392">
        <v>16.3</v>
      </c>
      <c r="N392">
        <v>0</v>
      </c>
      <c r="O392">
        <v>14.5</v>
      </c>
      <c r="P392">
        <v>10.1</v>
      </c>
      <c r="Q392">
        <v>0</v>
      </c>
      <c r="R392">
        <v>10.1</v>
      </c>
      <c r="S392">
        <v>13.5</v>
      </c>
      <c r="T392">
        <v>0</v>
      </c>
      <c r="U392">
        <v>-19.8</v>
      </c>
      <c r="V392">
        <v>-22</v>
      </c>
      <c r="W392">
        <v>-22</v>
      </c>
      <c r="X392">
        <v>-20.3</v>
      </c>
      <c r="Y392">
        <v>-18.8</v>
      </c>
      <c r="Z392">
        <v>-22</v>
      </c>
      <c r="AA392">
        <v>-2.8</v>
      </c>
      <c r="AB392">
        <v>-2.8</v>
      </c>
      <c r="AC392">
        <v>-5</v>
      </c>
      <c r="AD392">
        <v>11.8</v>
      </c>
      <c r="AE392">
        <v>11.1</v>
      </c>
      <c r="AF392">
        <v>0</v>
      </c>
      <c r="AG392">
        <v>11</v>
      </c>
      <c r="AH392">
        <v>10</v>
      </c>
      <c r="AI392">
        <v>10.7</v>
      </c>
      <c r="AJ392">
        <v>10</v>
      </c>
      <c r="AK392">
        <v>11.9</v>
      </c>
      <c r="AL392">
        <v>10</v>
      </c>
      <c r="AM392">
        <v>12.7</v>
      </c>
      <c r="AN392">
        <v>9</v>
      </c>
      <c r="AO392">
        <v>11.4</v>
      </c>
      <c r="AP392">
        <v>10</v>
      </c>
      <c r="AQ392">
        <v>11</v>
      </c>
      <c r="AR392">
        <v>10</v>
      </c>
      <c r="AS392">
        <v>8.4</v>
      </c>
      <c r="AT392">
        <v>10</v>
      </c>
      <c r="AU392">
        <v>18.600000000000001</v>
      </c>
      <c r="AV392">
        <v>19</v>
      </c>
      <c r="AW392">
        <v>19.5</v>
      </c>
      <c r="AX392">
        <v>19</v>
      </c>
      <c r="AY392">
        <v>10</v>
      </c>
      <c r="AZ392">
        <v>10</v>
      </c>
      <c r="BA392">
        <v>10</v>
      </c>
      <c r="BB392">
        <v>10</v>
      </c>
    </row>
    <row r="393" spans="1:54" x14ac:dyDescent="0.35">
      <c r="A393" s="1">
        <v>46059.726388888892</v>
      </c>
      <c r="B393">
        <v>21.9</v>
      </c>
      <c r="C393">
        <v>3</v>
      </c>
      <c r="D393">
        <v>20.6</v>
      </c>
      <c r="E393">
        <v>2</v>
      </c>
      <c r="F393">
        <v>8.9</v>
      </c>
      <c r="G393">
        <v>12.4</v>
      </c>
      <c r="H393">
        <v>0</v>
      </c>
      <c r="I393">
        <v>15.1</v>
      </c>
      <c r="J393">
        <v>11.1</v>
      </c>
      <c r="K393">
        <v>0</v>
      </c>
      <c r="L393">
        <v>12.8</v>
      </c>
      <c r="M393">
        <v>16.3</v>
      </c>
      <c r="N393">
        <v>0</v>
      </c>
      <c r="O393">
        <v>14.5</v>
      </c>
      <c r="P393">
        <v>10.1</v>
      </c>
      <c r="Q393">
        <v>0</v>
      </c>
      <c r="R393">
        <v>10.1</v>
      </c>
      <c r="S393">
        <v>13.5</v>
      </c>
      <c r="T393">
        <v>0</v>
      </c>
      <c r="U393">
        <v>-19.899999999999999</v>
      </c>
      <c r="V393">
        <v>-22.1</v>
      </c>
      <c r="W393">
        <v>-22</v>
      </c>
      <c r="X393">
        <v>-20.3</v>
      </c>
      <c r="Y393">
        <v>-18.8</v>
      </c>
      <c r="Z393">
        <v>-22</v>
      </c>
      <c r="AA393">
        <v>-2.7</v>
      </c>
      <c r="AB393">
        <v>-3.5</v>
      </c>
      <c r="AC393">
        <v>-5</v>
      </c>
      <c r="AD393">
        <v>11.8</v>
      </c>
      <c r="AE393">
        <v>11.1</v>
      </c>
      <c r="AF393">
        <v>0</v>
      </c>
      <c r="AG393">
        <v>11.2</v>
      </c>
      <c r="AH393">
        <v>10</v>
      </c>
      <c r="AI393">
        <v>10.8</v>
      </c>
      <c r="AJ393">
        <v>10</v>
      </c>
      <c r="AK393">
        <v>11.9</v>
      </c>
      <c r="AL393">
        <v>10</v>
      </c>
      <c r="AM393">
        <v>12.8</v>
      </c>
      <c r="AN393">
        <v>9</v>
      </c>
      <c r="AO393">
        <v>10.6</v>
      </c>
      <c r="AP393">
        <v>10</v>
      </c>
      <c r="AQ393">
        <v>10.9</v>
      </c>
      <c r="AR393">
        <v>10</v>
      </c>
      <c r="AS393">
        <v>8.1</v>
      </c>
      <c r="AT393">
        <v>10</v>
      </c>
      <c r="AU393">
        <v>18.600000000000001</v>
      </c>
      <c r="AV393">
        <v>19</v>
      </c>
      <c r="AW393">
        <v>19.5</v>
      </c>
      <c r="AX393">
        <v>19</v>
      </c>
      <c r="AY393">
        <v>9.6999999999999993</v>
      </c>
      <c r="AZ393">
        <v>10</v>
      </c>
      <c r="BA393">
        <v>10.5</v>
      </c>
      <c r="BB393">
        <v>10</v>
      </c>
    </row>
    <row r="394" spans="1:54" x14ac:dyDescent="0.35">
      <c r="A394" s="1">
        <v>46059.727083333331</v>
      </c>
      <c r="B394">
        <v>21.9</v>
      </c>
      <c r="C394">
        <v>3</v>
      </c>
      <c r="D394">
        <v>20.6</v>
      </c>
      <c r="E394">
        <v>2</v>
      </c>
      <c r="F394">
        <v>8.9</v>
      </c>
      <c r="G394">
        <v>12.4</v>
      </c>
      <c r="H394">
        <v>0</v>
      </c>
      <c r="I394">
        <v>15.1</v>
      </c>
      <c r="J394">
        <v>11.1</v>
      </c>
      <c r="K394">
        <v>0</v>
      </c>
      <c r="L394">
        <v>12.8</v>
      </c>
      <c r="M394">
        <v>16.3</v>
      </c>
      <c r="N394">
        <v>0</v>
      </c>
      <c r="O394">
        <v>14.5</v>
      </c>
      <c r="P394">
        <v>10.199999999999999</v>
      </c>
      <c r="Q394">
        <v>0</v>
      </c>
      <c r="R394">
        <v>10.1</v>
      </c>
      <c r="S394">
        <v>13.5</v>
      </c>
      <c r="T394">
        <v>0</v>
      </c>
      <c r="U394">
        <v>-19.899999999999999</v>
      </c>
      <c r="V394">
        <v>-21.9</v>
      </c>
      <c r="W394">
        <v>-22</v>
      </c>
      <c r="X394">
        <v>-20.3</v>
      </c>
      <c r="Y394">
        <v>-18.8</v>
      </c>
      <c r="Z394">
        <v>-22</v>
      </c>
      <c r="AA394">
        <v>-3</v>
      </c>
      <c r="AB394">
        <v>-4.5</v>
      </c>
      <c r="AC394">
        <v>-5</v>
      </c>
      <c r="AD394">
        <v>11.9</v>
      </c>
      <c r="AE394">
        <v>11.1</v>
      </c>
      <c r="AF394">
        <v>0</v>
      </c>
      <c r="AG394">
        <v>11.3</v>
      </c>
      <c r="AH394">
        <v>10</v>
      </c>
      <c r="AI394">
        <v>11</v>
      </c>
      <c r="AJ394">
        <v>10</v>
      </c>
      <c r="AK394">
        <v>11.9</v>
      </c>
      <c r="AL394">
        <v>10</v>
      </c>
      <c r="AM394">
        <v>12.8</v>
      </c>
      <c r="AN394">
        <v>9</v>
      </c>
      <c r="AO394">
        <v>10.3</v>
      </c>
      <c r="AP394">
        <v>10</v>
      </c>
      <c r="AQ394">
        <v>10.9</v>
      </c>
      <c r="AR394">
        <v>10</v>
      </c>
      <c r="AS394">
        <v>8.5</v>
      </c>
      <c r="AT394">
        <v>10</v>
      </c>
      <c r="AU394">
        <v>18.600000000000001</v>
      </c>
      <c r="AV394">
        <v>19</v>
      </c>
      <c r="AW394">
        <v>19.5</v>
      </c>
      <c r="AX394">
        <v>19</v>
      </c>
      <c r="AY394">
        <v>9.9</v>
      </c>
      <c r="AZ394">
        <v>10</v>
      </c>
      <c r="BA394">
        <v>10.9</v>
      </c>
      <c r="BB394">
        <v>10</v>
      </c>
    </row>
    <row r="395" spans="1:54" x14ac:dyDescent="0.35">
      <c r="A395" s="1">
        <v>46059.727777777778</v>
      </c>
      <c r="B395">
        <v>21.9</v>
      </c>
      <c r="C395">
        <v>3</v>
      </c>
      <c r="D395">
        <v>20.6</v>
      </c>
      <c r="E395">
        <v>2</v>
      </c>
      <c r="F395">
        <v>8.9</v>
      </c>
      <c r="G395">
        <v>12.4</v>
      </c>
      <c r="H395">
        <v>0</v>
      </c>
      <c r="I395">
        <v>15.1</v>
      </c>
      <c r="J395">
        <v>11.1</v>
      </c>
      <c r="K395">
        <v>0</v>
      </c>
      <c r="L395">
        <v>12.8</v>
      </c>
      <c r="M395">
        <v>16.3</v>
      </c>
      <c r="N395">
        <v>0</v>
      </c>
      <c r="O395">
        <v>14.5</v>
      </c>
      <c r="P395">
        <v>10.199999999999999</v>
      </c>
      <c r="Q395">
        <v>0</v>
      </c>
      <c r="R395">
        <v>10.1</v>
      </c>
      <c r="S395">
        <v>13.5</v>
      </c>
      <c r="T395">
        <v>0</v>
      </c>
      <c r="U395">
        <v>-19.899999999999999</v>
      </c>
      <c r="V395">
        <v>-22.2</v>
      </c>
      <c r="W395">
        <v>-22</v>
      </c>
      <c r="X395">
        <v>-20.3</v>
      </c>
      <c r="Y395">
        <v>-18.8</v>
      </c>
      <c r="Z395">
        <v>-22</v>
      </c>
      <c r="AA395">
        <v>-3.6</v>
      </c>
      <c r="AB395">
        <v>-5.5</v>
      </c>
      <c r="AC395">
        <v>-5</v>
      </c>
      <c r="AD395">
        <v>11.9</v>
      </c>
      <c r="AE395">
        <v>11.1</v>
      </c>
      <c r="AF395">
        <v>0</v>
      </c>
      <c r="AG395">
        <v>11.5</v>
      </c>
      <c r="AH395">
        <v>10</v>
      </c>
      <c r="AI395">
        <v>11.1</v>
      </c>
      <c r="AJ395">
        <v>10</v>
      </c>
      <c r="AK395">
        <v>11.9</v>
      </c>
      <c r="AL395">
        <v>10</v>
      </c>
      <c r="AM395">
        <v>12.8</v>
      </c>
      <c r="AN395">
        <v>9</v>
      </c>
      <c r="AO395">
        <v>10.1</v>
      </c>
      <c r="AP395">
        <v>10</v>
      </c>
      <c r="AQ395">
        <v>11</v>
      </c>
      <c r="AR395">
        <v>10</v>
      </c>
      <c r="AS395">
        <v>9.1999999999999993</v>
      </c>
      <c r="AT395">
        <v>10</v>
      </c>
      <c r="AU395">
        <v>18.600000000000001</v>
      </c>
      <c r="AV395">
        <v>19</v>
      </c>
      <c r="AW395">
        <v>19.5</v>
      </c>
      <c r="AX395">
        <v>19</v>
      </c>
      <c r="AY395">
        <v>10.3</v>
      </c>
      <c r="AZ395">
        <v>10</v>
      </c>
      <c r="BA395">
        <v>11.2</v>
      </c>
      <c r="BB395">
        <v>10</v>
      </c>
    </row>
    <row r="396" spans="1:54" x14ac:dyDescent="0.35">
      <c r="A396" s="1">
        <v>46059.728472222225</v>
      </c>
      <c r="B396">
        <v>21.9</v>
      </c>
      <c r="C396">
        <v>3</v>
      </c>
      <c r="D396">
        <v>20.6</v>
      </c>
      <c r="E396">
        <v>2</v>
      </c>
      <c r="F396">
        <v>8.9</v>
      </c>
      <c r="G396">
        <v>12.4</v>
      </c>
      <c r="H396">
        <v>0</v>
      </c>
      <c r="I396">
        <v>15.1</v>
      </c>
      <c r="J396">
        <v>11.1</v>
      </c>
      <c r="K396">
        <v>0</v>
      </c>
      <c r="L396">
        <v>12.8</v>
      </c>
      <c r="M396">
        <v>16.3</v>
      </c>
      <c r="N396">
        <v>0</v>
      </c>
      <c r="O396">
        <v>14.5</v>
      </c>
      <c r="P396">
        <v>10.199999999999999</v>
      </c>
      <c r="Q396">
        <v>0</v>
      </c>
      <c r="R396">
        <v>10.1</v>
      </c>
      <c r="S396">
        <v>13.5</v>
      </c>
      <c r="T396">
        <v>0</v>
      </c>
      <c r="U396">
        <v>-19.899999999999999</v>
      </c>
      <c r="V396">
        <v>-22</v>
      </c>
      <c r="W396">
        <v>-22</v>
      </c>
      <c r="X396">
        <v>-20.3</v>
      </c>
      <c r="Y396">
        <v>-18.8</v>
      </c>
      <c r="Z396">
        <v>-22</v>
      </c>
      <c r="AA396">
        <v>-4</v>
      </c>
      <c r="AB396">
        <v>-6.1</v>
      </c>
      <c r="AC396">
        <v>-5</v>
      </c>
      <c r="AD396">
        <v>11.9</v>
      </c>
      <c r="AE396">
        <v>11.1</v>
      </c>
      <c r="AF396">
        <v>0</v>
      </c>
      <c r="AG396">
        <v>11.6</v>
      </c>
      <c r="AH396">
        <v>10</v>
      </c>
      <c r="AI396">
        <v>11.2</v>
      </c>
      <c r="AJ396">
        <v>10</v>
      </c>
      <c r="AK396">
        <v>11.9</v>
      </c>
      <c r="AL396">
        <v>10</v>
      </c>
      <c r="AM396">
        <v>12.8</v>
      </c>
      <c r="AN396">
        <v>9</v>
      </c>
      <c r="AO396">
        <v>10.1</v>
      </c>
      <c r="AP396">
        <v>10</v>
      </c>
      <c r="AQ396">
        <v>11</v>
      </c>
      <c r="AR396">
        <v>10</v>
      </c>
      <c r="AS396">
        <v>9.6999999999999993</v>
      </c>
      <c r="AT396">
        <v>10</v>
      </c>
      <c r="AU396">
        <v>18.600000000000001</v>
      </c>
      <c r="AV396">
        <v>19</v>
      </c>
      <c r="AW396">
        <v>19.5</v>
      </c>
      <c r="AX396">
        <v>19</v>
      </c>
      <c r="AY396">
        <v>10.7</v>
      </c>
      <c r="AZ396">
        <v>10</v>
      </c>
      <c r="BA396">
        <v>11.5</v>
      </c>
      <c r="BB396">
        <v>10</v>
      </c>
    </row>
    <row r="397" spans="1:54" x14ac:dyDescent="0.35">
      <c r="A397" s="1">
        <v>46059.729166666664</v>
      </c>
      <c r="B397">
        <v>21.9</v>
      </c>
      <c r="C397">
        <v>3</v>
      </c>
      <c r="D397">
        <v>20.6</v>
      </c>
      <c r="E397">
        <v>2</v>
      </c>
      <c r="F397">
        <v>8.9</v>
      </c>
      <c r="G397">
        <v>12.4</v>
      </c>
      <c r="H397">
        <v>0</v>
      </c>
      <c r="I397">
        <v>15.1</v>
      </c>
      <c r="J397">
        <v>11.1</v>
      </c>
      <c r="K397">
        <v>0</v>
      </c>
      <c r="L397">
        <v>12.8</v>
      </c>
      <c r="M397">
        <v>16.3</v>
      </c>
      <c r="N397">
        <v>0</v>
      </c>
      <c r="O397">
        <v>14.5</v>
      </c>
      <c r="P397">
        <v>10.199999999999999</v>
      </c>
      <c r="Q397">
        <v>0</v>
      </c>
      <c r="R397">
        <v>10.1</v>
      </c>
      <c r="S397">
        <v>13.5</v>
      </c>
      <c r="T397">
        <v>0</v>
      </c>
      <c r="U397">
        <v>-19.899999999999999</v>
      </c>
      <c r="V397">
        <v>-22.3</v>
      </c>
      <c r="W397">
        <v>-22</v>
      </c>
      <c r="X397">
        <v>-20.3</v>
      </c>
      <c r="Y397">
        <v>-18.8</v>
      </c>
      <c r="Z397">
        <v>-22</v>
      </c>
      <c r="AA397">
        <v>-4.4000000000000004</v>
      </c>
      <c r="AB397">
        <v>-6.7</v>
      </c>
      <c r="AC397">
        <v>-5</v>
      </c>
      <c r="AD397">
        <v>12</v>
      </c>
      <c r="AE397">
        <v>11.1</v>
      </c>
      <c r="AF397">
        <v>0</v>
      </c>
      <c r="AG397">
        <v>11.7</v>
      </c>
      <c r="AH397">
        <v>10</v>
      </c>
      <c r="AI397">
        <v>11.3</v>
      </c>
      <c r="AJ397">
        <v>10</v>
      </c>
      <c r="AK397">
        <v>11.9</v>
      </c>
      <c r="AL397">
        <v>10</v>
      </c>
      <c r="AM397">
        <v>12.7</v>
      </c>
      <c r="AN397">
        <v>9</v>
      </c>
      <c r="AO397">
        <v>10.3</v>
      </c>
      <c r="AP397">
        <v>10</v>
      </c>
      <c r="AQ397">
        <v>11.1</v>
      </c>
      <c r="AR397">
        <v>10</v>
      </c>
      <c r="AS397">
        <v>10.1</v>
      </c>
      <c r="AT397">
        <v>10</v>
      </c>
      <c r="AU397">
        <v>18.600000000000001</v>
      </c>
      <c r="AV397">
        <v>19</v>
      </c>
      <c r="AW397">
        <v>19.5</v>
      </c>
      <c r="AX397">
        <v>19</v>
      </c>
      <c r="AY397">
        <v>11</v>
      </c>
      <c r="AZ397">
        <v>10</v>
      </c>
      <c r="BA397">
        <v>11.8</v>
      </c>
      <c r="BB397">
        <v>10</v>
      </c>
    </row>
    <row r="398" spans="1:54" x14ac:dyDescent="0.35">
      <c r="A398" s="1">
        <v>46059.729861111111</v>
      </c>
      <c r="B398">
        <v>22</v>
      </c>
      <c r="C398">
        <v>3</v>
      </c>
      <c r="D398">
        <v>20.6</v>
      </c>
      <c r="E398">
        <v>2</v>
      </c>
      <c r="F398">
        <v>8.9</v>
      </c>
      <c r="G398">
        <v>12.4</v>
      </c>
      <c r="H398">
        <v>0</v>
      </c>
      <c r="I398">
        <v>15.1</v>
      </c>
      <c r="J398">
        <v>11.1</v>
      </c>
      <c r="K398">
        <v>0</v>
      </c>
      <c r="L398">
        <v>12.8</v>
      </c>
      <c r="M398">
        <v>16.3</v>
      </c>
      <c r="N398">
        <v>0</v>
      </c>
      <c r="O398">
        <v>14.5</v>
      </c>
      <c r="P398">
        <v>10.199999999999999</v>
      </c>
      <c r="Q398">
        <v>0</v>
      </c>
      <c r="R398">
        <v>10.1</v>
      </c>
      <c r="S398">
        <v>13.5</v>
      </c>
      <c r="T398">
        <v>0</v>
      </c>
      <c r="U398">
        <v>-19.899999999999999</v>
      </c>
      <c r="V398">
        <v>-22.1</v>
      </c>
      <c r="W398">
        <v>-22</v>
      </c>
      <c r="X398">
        <v>-20.3</v>
      </c>
      <c r="Y398">
        <v>-18.8</v>
      </c>
      <c r="Z398">
        <v>-22</v>
      </c>
      <c r="AA398">
        <v>-5</v>
      </c>
      <c r="AB398">
        <v>-7.2</v>
      </c>
      <c r="AC398">
        <v>-5</v>
      </c>
      <c r="AD398">
        <v>12</v>
      </c>
      <c r="AE398">
        <v>11.1</v>
      </c>
      <c r="AF398">
        <v>0</v>
      </c>
      <c r="AG398">
        <v>11.7</v>
      </c>
      <c r="AH398">
        <v>10</v>
      </c>
      <c r="AI398">
        <v>11.4</v>
      </c>
      <c r="AJ398">
        <v>10</v>
      </c>
      <c r="AK398">
        <v>11.9</v>
      </c>
      <c r="AL398">
        <v>10</v>
      </c>
      <c r="AM398">
        <v>12.7</v>
      </c>
      <c r="AN398">
        <v>9</v>
      </c>
      <c r="AO398">
        <v>11.1</v>
      </c>
      <c r="AP398">
        <v>10</v>
      </c>
      <c r="AQ398">
        <v>11.2</v>
      </c>
      <c r="AR398">
        <v>10</v>
      </c>
      <c r="AS398">
        <v>10.5</v>
      </c>
      <c r="AT398">
        <v>10</v>
      </c>
      <c r="AU398">
        <v>18.600000000000001</v>
      </c>
      <c r="AV398">
        <v>19</v>
      </c>
      <c r="AW398">
        <v>19.5</v>
      </c>
      <c r="AX398">
        <v>19</v>
      </c>
      <c r="AY398">
        <v>11.2</v>
      </c>
      <c r="AZ398">
        <v>10</v>
      </c>
      <c r="BA398">
        <v>12</v>
      </c>
      <c r="BB398">
        <v>10</v>
      </c>
    </row>
    <row r="399" spans="1:54" x14ac:dyDescent="0.35">
      <c r="A399" s="1">
        <v>46059.730555555558</v>
      </c>
      <c r="B399">
        <v>22</v>
      </c>
      <c r="C399">
        <v>3</v>
      </c>
      <c r="D399">
        <v>20.6</v>
      </c>
      <c r="E399">
        <v>2</v>
      </c>
      <c r="F399">
        <v>8.9</v>
      </c>
      <c r="G399">
        <v>12.4</v>
      </c>
      <c r="H399">
        <v>0</v>
      </c>
      <c r="I399">
        <v>15.1</v>
      </c>
      <c r="J399">
        <v>11.1</v>
      </c>
      <c r="K399">
        <v>0</v>
      </c>
      <c r="L399">
        <v>12.8</v>
      </c>
      <c r="M399">
        <v>16.3</v>
      </c>
      <c r="N399">
        <v>0</v>
      </c>
      <c r="O399">
        <v>14.5</v>
      </c>
      <c r="P399">
        <v>10.199999999999999</v>
      </c>
      <c r="Q399">
        <v>0</v>
      </c>
      <c r="R399">
        <v>10.1</v>
      </c>
      <c r="S399">
        <v>13.5</v>
      </c>
      <c r="T399">
        <v>0</v>
      </c>
      <c r="U399">
        <v>-19.899999999999999</v>
      </c>
      <c r="V399">
        <v>-22</v>
      </c>
      <c r="W399">
        <v>-22</v>
      </c>
      <c r="X399">
        <v>-20.3</v>
      </c>
      <c r="Y399">
        <v>-18.8</v>
      </c>
      <c r="Z399">
        <v>-22</v>
      </c>
      <c r="AA399">
        <v>-5.0999999999999996</v>
      </c>
      <c r="AB399">
        <v>-6.5</v>
      </c>
      <c r="AC399">
        <v>-5</v>
      </c>
      <c r="AD399">
        <v>12</v>
      </c>
      <c r="AE399">
        <v>11.1</v>
      </c>
      <c r="AF399">
        <v>0</v>
      </c>
      <c r="AG399">
        <v>11.9</v>
      </c>
      <c r="AH399">
        <v>10</v>
      </c>
      <c r="AI399">
        <v>11.5</v>
      </c>
      <c r="AJ399">
        <v>10</v>
      </c>
      <c r="AK399">
        <v>11.9</v>
      </c>
      <c r="AL399">
        <v>10</v>
      </c>
      <c r="AM399">
        <v>12.7</v>
      </c>
      <c r="AN399">
        <v>9</v>
      </c>
      <c r="AO399">
        <v>11.6</v>
      </c>
      <c r="AP399">
        <v>10</v>
      </c>
      <c r="AQ399">
        <v>11.1</v>
      </c>
      <c r="AR399">
        <v>10</v>
      </c>
      <c r="AS399">
        <v>10.7</v>
      </c>
      <c r="AT399">
        <v>10</v>
      </c>
      <c r="AU399">
        <v>18.600000000000001</v>
      </c>
      <c r="AV399">
        <v>19</v>
      </c>
      <c r="AW399">
        <v>19.5</v>
      </c>
      <c r="AX399">
        <v>19</v>
      </c>
      <c r="AY399">
        <v>11.5</v>
      </c>
      <c r="AZ399">
        <v>10</v>
      </c>
      <c r="BA399">
        <v>11.7</v>
      </c>
      <c r="BB399">
        <v>10</v>
      </c>
    </row>
    <row r="400" spans="1:54" x14ac:dyDescent="0.35">
      <c r="A400" s="1">
        <v>46059.731249999997</v>
      </c>
      <c r="B400">
        <v>22</v>
      </c>
      <c r="C400">
        <v>3</v>
      </c>
      <c r="D400">
        <v>20.6</v>
      </c>
      <c r="E400">
        <v>2</v>
      </c>
      <c r="F400">
        <v>8.9</v>
      </c>
      <c r="G400">
        <v>12.4</v>
      </c>
      <c r="H400">
        <v>0</v>
      </c>
      <c r="I400">
        <v>15.2</v>
      </c>
      <c r="J400">
        <v>11.1</v>
      </c>
      <c r="K400">
        <v>0</v>
      </c>
      <c r="L400">
        <v>12.8</v>
      </c>
      <c r="M400">
        <v>16.3</v>
      </c>
      <c r="N400">
        <v>0</v>
      </c>
      <c r="O400">
        <v>14.6</v>
      </c>
      <c r="P400">
        <v>10.199999999999999</v>
      </c>
      <c r="Q400">
        <v>0</v>
      </c>
      <c r="R400">
        <v>10.1</v>
      </c>
      <c r="S400">
        <v>13.5</v>
      </c>
      <c r="T400">
        <v>0</v>
      </c>
      <c r="U400">
        <v>-19.899999999999999</v>
      </c>
      <c r="V400">
        <v>-22.2</v>
      </c>
      <c r="W400">
        <v>-22</v>
      </c>
      <c r="X400">
        <v>-20.3</v>
      </c>
      <c r="Y400">
        <v>-18.8</v>
      </c>
      <c r="Z400">
        <v>-22</v>
      </c>
      <c r="AA400">
        <v>-4.4000000000000004</v>
      </c>
      <c r="AB400">
        <v>-4.8</v>
      </c>
      <c r="AC400">
        <v>-5</v>
      </c>
      <c r="AD400">
        <v>12.1</v>
      </c>
      <c r="AE400">
        <v>11.1</v>
      </c>
      <c r="AF400">
        <v>0</v>
      </c>
      <c r="AG400">
        <v>11.9</v>
      </c>
      <c r="AH400">
        <v>10</v>
      </c>
      <c r="AI400">
        <v>11.6</v>
      </c>
      <c r="AJ400">
        <v>10</v>
      </c>
      <c r="AK400">
        <v>11.9</v>
      </c>
      <c r="AL400">
        <v>10</v>
      </c>
      <c r="AM400">
        <v>12.7</v>
      </c>
      <c r="AN400">
        <v>9</v>
      </c>
      <c r="AO400">
        <v>11.9</v>
      </c>
      <c r="AP400">
        <v>10</v>
      </c>
      <c r="AQ400">
        <v>11.1</v>
      </c>
      <c r="AR400">
        <v>10</v>
      </c>
      <c r="AS400">
        <v>11</v>
      </c>
      <c r="AT400">
        <v>10</v>
      </c>
      <c r="AU400">
        <v>18.600000000000001</v>
      </c>
      <c r="AV400">
        <v>19</v>
      </c>
      <c r="AW400">
        <v>19.5</v>
      </c>
      <c r="AX400">
        <v>19</v>
      </c>
      <c r="AY400">
        <v>11.7</v>
      </c>
      <c r="AZ400">
        <v>10</v>
      </c>
      <c r="BA400">
        <v>10.9</v>
      </c>
      <c r="BB400">
        <v>10</v>
      </c>
    </row>
    <row r="401" spans="1:54" x14ac:dyDescent="0.35">
      <c r="A401" s="1">
        <v>46059.731944444444</v>
      </c>
      <c r="B401">
        <v>22</v>
      </c>
      <c r="C401">
        <v>3</v>
      </c>
      <c r="D401">
        <v>20.6</v>
      </c>
      <c r="E401">
        <v>2</v>
      </c>
      <c r="F401">
        <v>8.9</v>
      </c>
      <c r="G401">
        <v>12.4</v>
      </c>
      <c r="H401">
        <v>0</v>
      </c>
      <c r="I401">
        <v>15.2</v>
      </c>
      <c r="J401">
        <v>11.1</v>
      </c>
      <c r="K401">
        <v>0</v>
      </c>
      <c r="L401">
        <v>12.8</v>
      </c>
      <c r="M401">
        <v>16.3</v>
      </c>
      <c r="N401">
        <v>0</v>
      </c>
      <c r="O401">
        <v>14.6</v>
      </c>
      <c r="P401">
        <v>10.199999999999999</v>
      </c>
      <c r="Q401">
        <v>0</v>
      </c>
      <c r="R401">
        <v>10.1</v>
      </c>
      <c r="S401">
        <v>13.5</v>
      </c>
      <c r="T401">
        <v>0</v>
      </c>
      <c r="U401">
        <v>-19.899999999999999</v>
      </c>
      <c r="V401">
        <v>-22</v>
      </c>
      <c r="W401">
        <v>-22</v>
      </c>
      <c r="X401">
        <v>-20.399999999999999</v>
      </c>
      <c r="Y401">
        <v>-18.8</v>
      </c>
      <c r="Z401">
        <v>-22</v>
      </c>
      <c r="AA401">
        <v>-3.4</v>
      </c>
      <c r="AB401">
        <v>-3.4</v>
      </c>
      <c r="AC401">
        <v>-5</v>
      </c>
      <c r="AD401">
        <v>12.1</v>
      </c>
      <c r="AE401">
        <v>11.1</v>
      </c>
      <c r="AF401">
        <v>0</v>
      </c>
      <c r="AG401">
        <v>12</v>
      </c>
      <c r="AH401">
        <v>10</v>
      </c>
      <c r="AI401">
        <v>11.7</v>
      </c>
      <c r="AJ401">
        <v>10</v>
      </c>
      <c r="AK401">
        <v>12</v>
      </c>
      <c r="AL401">
        <v>10</v>
      </c>
      <c r="AM401">
        <v>12.7</v>
      </c>
      <c r="AN401">
        <v>9</v>
      </c>
      <c r="AO401">
        <v>12</v>
      </c>
      <c r="AP401">
        <v>10</v>
      </c>
      <c r="AQ401">
        <v>11</v>
      </c>
      <c r="AR401">
        <v>10</v>
      </c>
      <c r="AS401">
        <v>11.3</v>
      </c>
      <c r="AT401">
        <v>10</v>
      </c>
      <c r="AU401">
        <v>18.600000000000001</v>
      </c>
      <c r="AV401">
        <v>19</v>
      </c>
      <c r="AW401">
        <v>19.399999999999999</v>
      </c>
      <c r="AX401">
        <v>19</v>
      </c>
      <c r="AY401">
        <v>11.9</v>
      </c>
      <c r="AZ401">
        <v>10</v>
      </c>
      <c r="BA401">
        <v>10.199999999999999</v>
      </c>
      <c r="BB401">
        <v>10</v>
      </c>
    </row>
    <row r="402" spans="1:54" x14ac:dyDescent="0.35">
      <c r="A402" s="1">
        <v>46059.732638888891</v>
      </c>
      <c r="B402">
        <v>22</v>
      </c>
      <c r="C402">
        <v>3</v>
      </c>
      <c r="D402">
        <v>20.6</v>
      </c>
      <c r="E402">
        <v>2</v>
      </c>
      <c r="F402">
        <v>8.9</v>
      </c>
      <c r="G402">
        <v>12.4</v>
      </c>
      <c r="H402">
        <v>0</v>
      </c>
      <c r="I402">
        <v>15.2</v>
      </c>
      <c r="J402">
        <v>11.1</v>
      </c>
      <c r="K402">
        <v>0</v>
      </c>
      <c r="L402">
        <v>12.8</v>
      </c>
      <c r="M402">
        <v>16.3</v>
      </c>
      <c r="N402">
        <v>0</v>
      </c>
      <c r="O402">
        <v>14.6</v>
      </c>
      <c r="P402">
        <v>10.199999999999999</v>
      </c>
      <c r="Q402">
        <v>0</v>
      </c>
      <c r="R402">
        <v>10.1</v>
      </c>
      <c r="S402">
        <v>13.5</v>
      </c>
      <c r="T402">
        <v>0</v>
      </c>
      <c r="U402">
        <v>-19.899999999999999</v>
      </c>
      <c r="V402">
        <v>-22.4</v>
      </c>
      <c r="W402">
        <v>-22</v>
      </c>
      <c r="X402">
        <v>-20.399999999999999</v>
      </c>
      <c r="Y402">
        <v>-18.8</v>
      </c>
      <c r="Z402">
        <v>-22</v>
      </c>
      <c r="AA402">
        <v>-2.7</v>
      </c>
      <c r="AB402">
        <v>-2.8</v>
      </c>
      <c r="AC402">
        <v>-5</v>
      </c>
      <c r="AD402">
        <v>12.1</v>
      </c>
      <c r="AE402">
        <v>11</v>
      </c>
      <c r="AF402">
        <v>0</v>
      </c>
      <c r="AG402">
        <v>11.3</v>
      </c>
      <c r="AH402">
        <v>10</v>
      </c>
      <c r="AI402">
        <v>11.8</v>
      </c>
      <c r="AJ402">
        <v>10</v>
      </c>
      <c r="AK402">
        <v>11.5</v>
      </c>
      <c r="AL402">
        <v>10</v>
      </c>
      <c r="AM402">
        <v>12.7</v>
      </c>
      <c r="AN402">
        <v>9</v>
      </c>
      <c r="AO402">
        <v>11.2</v>
      </c>
      <c r="AP402">
        <v>10</v>
      </c>
      <c r="AQ402">
        <v>11</v>
      </c>
      <c r="AR402">
        <v>10</v>
      </c>
      <c r="AS402">
        <v>11.5</v>
      </c>
      <c r="AT402">
        <v>10</v>
      </c>
      <c r="AU402">
        <v>18.600000000000001</v>
      </c>
      <c r="AV402">
        <v>19</v>
      </c>
      <c r="AW402">
        <v>19.399999999999999</v>
      </c>
      <c r="AX402">
        <v>19</v>
      </c>
      <c r="AY402">
        <v>12</v>
      </c>
      <c r="AZ402">
        <v>10</v>
      </c>
      <c r="BA402">
        <v>9.6999999999999993</v>
      </c>
      <c r="BB402">
        <v>10</v>
      </c>
    </row>
    <row r="403" spans="1:54" x14ac:dyDescent="0.35">
      <c r="A403" s="1">
        <v>46059.73333333333</v>
      </c>
      <c r="B403">
        <v>22</v>
      </c>
      <c r="C403">
        <v>3</v>
      </c>
      <c r="D403">
        <v>20.6</v>
      </c>
      <c r="E403">
        <v>2</v>
      </c>
      <c r="F403">
        <v>8.9</v>
      </c>
      <c r="G403">
        <v>12.4</v>
      </c>
      <c r="H403">
        <v>0</v>
      </c>
      <c r="I403">
        <v>15.2</v>
      </c>
      <c r="J403">
        <v>11.1</v>
      </c>
      <c r="K403">
        <v>0</v>
      </c>
      <c r="L403">
        <v>12.8</v>
      </c>
      <c r="M403">
        <v>16.3</v>
      </c>
      <c r="N403">
        <v>0</v>
      </c>
      <c r="O403">
        <v>14.6</v>
      </c>
      <c r="P403">
        <v>10.199999999999999</v>
      </c>
      <c r="Q403">
        <v>0</v>
      </c>
      <c r="R403">
        <v>10.1</v>
      </c>
      <c r="S403">
        <v>13.5</v>
      </c>
      <c r="T403">
        <v>0</v>
      </c>
      <c r="U403">
        <v>-19.899999999999999</v>
      </c>
      <c r="V403">
        <v>-22.1</v>
      </c>
      <c r="W403">
        <v>-22</v>
      </c>
      <c r="X403">
        <v>-20.399999999999999</v>
      </c>
      <c r="Y403">
        <v>-18.8</v>
      </c>
      <c r="Z403">
        <v>-22</v>
      </c>
      <c r="AA403">
        <v>-2.7</v>
      </c>
      <c r="AB403">
        <v>-4</v>
      </c>
      <c r="AC403">
        <v>-5</v>
      </c>
      <c r="AD403">
        <v>12.1</v>
      </c>
      <c r="AE403">
        <v>11</v>
      </c>
      <c r="AF403">
        <v>0</v>
      </c>
      <c r="AG403">
        <v>10.6</v>
      </c>
      <c r="AH403">
        <v>10</v>
      </c>
      <c r="AI403">
        <v>11.9</v>
      </c>
      <c r="AJ403">
        <v>10</v>
      </c>
      <c r="AK403">
        <v>9.9</v>
      </c>
      <c r="AL403">
        <v>10</v>
      </c>
      <c r="AM403">
        <v>12.7</v>
      </c>
      <c r="AN403">
        <v>9</v>
      </c>
      <c r="AO403">
        <v>10.5</v>
      </c>
      <c r="AP403">
        <v>10</v>
      </c>
      <c r="AQ403">
        <v>10.9</v>
      </c>
      <c r="AR403">
        <v>10</v>
      </c>
      <c r="AS403">
        <v>11.7</v>
      </c>
      <c r="AT403">
        <v>10</v>
      </c>
      <c r="AU403">
        <v>18.600000000000001</v>
      </c>
      <c r="AV403">
        <v>19</v>
      </c>
      <c r="AW403">
        <v>19.399999999999999</v>
      </c>
      <c r="AX403">
        <v>19</v>
      </c>
      <c r="AY403">
        <v>11.4</v>
      </c>
      <c r="AZ403">
        <v>10</v>
      </c>
      <c r="BA403">
        <v>9.8000000000000007</v>
      </c>
      <c r="BB403">
        <v>10</v>
      </c>
    </row>
    <row r="404" spans="1:54" x14ac:dyDescent="0.35">
      <c r="A404" s="1">
        <v>46059.734027777777</v>
      </c>
      <c r="B404">
        <v>22</v>
      </c>
      <c r="C404">
        <v>3</v>
      </c>
      <c r="D404">
        <v>20.6</v>
      </c>
      <c r="E404">
        <v>2</v>
      </c>
      <c r="F404">
        <v>8.9</v>
      </c>
      <c r="G404">
        <v>12.4</v>
      </c>
      <c r="H404">
        <v>0</v>
      </c>
      <c r="I404">
        <v>15.2</v>
      </c>
      <c r="J404">
        <v>11.1</v>
      </c>
      <c r="K404">
        <v>0</v>
      </c>
      <c r="L404">
        <v>12.8</v>
      </c>
      <c r="M404">
        <v>16.3</v>
      </c>
      <c r="N404">
        <v>0</v>
      </c>
      <c r="O404">
        <v>14.6</v>
      </c>
      <c r="P404">
        <v>10.199999999999999</v>
      </c>
      <c r="Q404">
        <v>0</v>
      </c>
      <c r="R404">
        <v>10.199999999999999</v>
      </c>
      <c r="S404">
        <v>13.5</v>
      </c>
      <c r="T404">
        <v>0</v>
      </c>
      <c r="U404">
        <v>-19.899999999999999</v>
      </c>
      <c r="V404">
        <v>-22.2</v>
      </c>
      <c r="W404">
        <v>-22</v>
      </c>
      <c r="X404">
        <v>-20.399999999999999</v>
      </c>
      <c r="Y404">
        <v>-18.8</v>
      </c>
      <c r="Z404">
        <v>-22</v>
      </c>
      <c r="AA404">
        <v>-3.2</v>
      </c>
      <c r="AB404">
        <v>-4.9000000000000004</v>
      </c>
      <c r="AC404">
        <v>-5</v>
      </c>
      <c r="AD404">
        <v>12.1</v>
      </c>
      <c r="AE404">
        <v>11</v>
      </c>
      <c r="AF404">
        <v>0</v>
      </c>
      <c r="AG404">
        <v>9.9</v>
      </c>
      <c r="AH404">
        <v>10</v>
      </c>
      <c r="AI404">
        <v>11.9</v>
      </c>
      <c r="AJ404">
        <v>10</v>
      </c>
      <c r="AK404">
        <v>9.5</v>
      </c>
      <c r="AL404">
        <v>10</v>
      </c>
      <c r="AM404">
        <v>12.7</v>
      </c>
      <c r="AN404">
        <v>9</v>
      </c>
      <c r="AO404">
        <v>10.199999999999999</v>
      </c>
      <c r="AP404">
        <v>10</v>
      </c>
      <c r="AQ404">
        <v>10.9</v>
      </c>
      <c r="AR404">
        <v>10</v>
      </c>
      <c r="AS404">
        <v>11.8</v>
      </c>
      <c r="AT404">
        <v>10</v>
      </c>
      <c r="AU404">
        <v>18.600000000000001</v>
      </c>
      <c r="AV404">
        <v>19</v>
      </c>
      <c r="AW404">
        <v>19.399999999999999</v>
      </c>
      <c r="AX404">
        <v>19</v>
      </c>
      <c r="AY404">
        <v>10.4</v>
      </c>
      <c r="AZ404">
        <v>10</v>
      </c>
      <c r="BA404">
        <v>10.3</v>
      </c>
      <c r="BB404">
        <v>10</v>
      </c>
    </row>
    <row r="405" spans="1:54" x14ac:dyDescent="0.35">
      <c r="A405" s="1">
        <v>46059.734722222223</v>
      </c>
      <c r="B405">
        <v>22</v>
      </c>
      <c r="C405">
        <v>3</v>
      </c>
      <c r="D405">
        <v>20.6</v>
      </c>
      <c r="E405">
        <v>2</v>
      </c>
      <c r="F405">
        <v>8.9</v>
      </c>
      <c r="G405">
        <v>12.4</v>
      </c>
      <c r="H405">
        <v>0</v>
      </c>
      <c r="I405">
        <v>15.2</v>
      </c>
      <c r="J405">
        <v>11.1</v>
      </c>
      <c r="K405">
        <v>0</v>
      </c>
      <c r="L405">
        <v>12.9</v>
      </c>
      <c r="M405">
        <v>16.3</v>
      </c>
      <c r="N405">
        <v>0</v>
      </c>
      <c r="O405">
        <v>14.6</v>
      </c>
      <c r="P405">
        <v>10.199999999999999</v>
      </c>
      <c r="Q405">
        <v>0</v>
      </c>
      <c r="R405">
        <v>10.199999999999999</v>
      </c>
      <c r="S405">
        <v>13.5</v>
      </c>
      <c r="T405">
        <v>0</v>
      </c>
      <c r="U405">
        <v>-19.899999999999999</v>
      </c>
      <c r="V405">
        <v>-22.1</v>
      </c>
      <c r="W405">
        <v>-22</v>
      </c>
      <c r="X405">
        <v>-20.399999999999999</v>
      </c>
      <c r="Y405">
        <v>-18.8</v>
      </c>
      <c r="Z405">
        <v>-22</v>
      </c>
      <c r="AA405">
        <v>-3.7</v>
      </c>
      <c r="AB405">
        <v>-5.7</v>
      </c>
      <c r="AC405">
        <v>-5</v>
      </c>
      <c r="AD405">
        <v>12.1</v>
      </c>
      <c r="AE405">
        <v>11</v>
      </c>
      <c r="AF405">
        <v>0</v>
      </c>
      <c r="AG405">
        <v>9.6</v>
      </c>
      <c r="AH405">
        <v>10</v>
      </c>
      <c r="AI405">
        <v>11.5</v>
      </c>
      <c r="AJ405">
        <v>10</v>
      </c>
      <c r="AK405">
        <v>9.8000000000000007</v>
      </c>
      <c r="AL405">
        <v>10</v>
      </c>
      <c r="AM405">
        <v>12.7</v>
      </c>
      <c r="AN405">
        <v>9</v>
      </c>
      <c r="AO405">
        <v>10.1</v>
      </c>
      <c r="AP405">
        <v>10</v>
      </c>
      <c r="AQ405">
        <v>10.9</v>
      </c>
      <c r="AR405">
        <v>10</v>
      </c>
      <c r="AS405">
        <v>12</v>
      </c>
      <c r="AT405">
        <v>10</v>
      </c>
      <c r="AU405">
        <v>18.600000000000001</v>
      </c>
      <c r="AV405">
        <v>19</v>
      </c>
      <c r="AW405">
        <v>19.399999999999999</v>
      </c>
      <c r="AX405">
        <v>19</v>
      </c>
      <c r="AY405">
        <v>9.6999999999999993</v>
      </c>
      <c r="AZ405">
        <v>10</v>
      </c>
      <c r="BA405">
        <v>10.6</v>
      </c>
      <c r="BB405">
        <v>10</v>
      </c>
    </row>
    <row r="406" spans="1:54" x14ac:dyDescent="0.35">
      <c r="A406" s="1">
        <v>46059.73541666667</v>
      </c>
      <c r="B406">
        <v>22</v>
      </c>
      <c r="C406">
        <v>3</v>
      </c>
      <c r="D406">
        <v>20.6</v>
      </c>
      <c r="E406">
        <v>2</v>
      </c>
      <c r="F406">
        <v>8.9</v>
      </c>
      <c r="G406">
        <v>12.4</v>
      </c>
      <c r="H406">
        <v>0</v>
      </c>
      <c r="I406">
        <v>15.2</v>
      </c>
      <c r="J406">
        <v>11.1</v>
      </c>
      <c r="K406">
        <v>0</v>
      </c>
      <c r="L406">
        <v>12.9</v>
      </c>
      <c r="M406">
        <v>16.3</v>
      </c>
      <c r="N406">
        <v>0</v>
      </c>
      <c r="O406">
        <v>14.6</v>
      </c>
      <c r="P406">
        <v>10.199999999999999</v>
      </c>
      <c r="Q406">
        <v>0</v>
      </c>
      <c r="R406">
        <v>10.199999999999999</v>
      </c>
      <c r="S406">
        <v>13.5</v>
      </c>
      <c r="T406">
        <v>0</v>
      </c>
      <c r="U406">
        <v>-19.899999999999999</v>
      </c>
      <c r="V406">
        <v>-22</v>
      </c>
      <c r="W406">
        <v>-22</v>
      </c>
      <c r="X406">
        <v>-20.399999999999999</v>
      </c>
      <c r="Y406">
        <v>-18.8</v>
      </c>
      <c r="Z406">
        <v>-22</v>
      </c>
      <c r="AA406">
        <v>-4.2</v>
      </c>
      <c r="AB406">
        <v>-6.4</v>
      </c>
      <c r="AC406">
        <v>-5</v>
      </c>
      <c r="AD406">
        <v>12.1</v>
      </c>
      <c r="AE406">
        <v>11</v>
      </c>
      <c r="AF406">
        <v>0</v>
      </c>
      <c r="AG406">
        <v>9.6999999999999993</v>
      </c>
      <c r="AH406">
        <v>10</v>
      </c>
      <c r="AI406">
        <v>10.1</v>
      </c>
      <c r="AJ406">
        <v>10</v>
      </c>
      <c r="AK406">
        <v>10.199999999999999</v>
      </c>
      <c r="AL406">
        <v>10</v>
      </c>
      <c r="AM406">
        <v>12.7</v>
      </c>
      <c r="AN406">
        <v>9</v>
      </c>
      <c r="AO406">
        <v>10.1</v>
      </c>
      <c r="AP406">
        <v>10</v>
      </c>
      <c r="AQ406">
        <v>11</v>
      </c>
      <c r="AR406">
        <v>10</v>
      </c>
      <c r="AS406">
        <v>9.9</v>
      </c>
      <c r="AT406">
        <v>10</v>
      </c>
      <c r="AU406">
        <v>18.600000000000001</v>
      </c>
      <c r="AV406">
        <v>19</v>
      </c>
      <c r="AW406">
        <v>19.399999999999999</v>
      </c>
      <c r="AX406">
        <v>19</v>
      </c>
      <c r="AY406">
        <v>9.6999999999999993</v>
      </c>
      <c r="AZ406">
        <v>10</v>
      </c>
      <c r="BA406">
        <v>11</v>
      </c>
      <c r="BB406">
        <v>10</v>
      </c>
    </row>
    <row r="407" spans="1:54" x14ac:dyDescent="0.35">
      <c r="A407" s="1">
        <v>46059.736111111109</v>
      </c>
      <c r="B407">
        <v>22</v>
      </c>
      <c r="C407">
        <v>3</v>
      </c>
      <c r="D407">
        <v>20.6</v>
      </c>
      <c r="E407">
        <v>2</v>
      </c>
      <c r="F407">
        <v>8.9</v>
      </c>
      <c r="G407">
        <v>12.4</v>
      </c>
      <c r="H407">
        <v>0</v>
      </c>
      <c r="I407">
        <v>15.2</v>
      </c>
      <c r="J407">
        <v>11.1</v>
      </c>
      <c r="K407">
        <v>0</v>
      </c>
      <c r="L407">
        <v>12.9</v>
      </c>
      <c r="M407">
        <v>16.3</v>
      </c>
      <c r="N407">
        <v>0</v>
      </c>
      <c r="O407">
        <v>14.6</v>
      </c>
      <c r="P407">
        <v>10.199999999999999</v>
      </c>
      <c r="Q407">
        <v>0</v>
      </c>
      <c r="R407">
        <v>10.199999999999999</v>
      </c>
      <c r="S407">
        <v>13.5</v>
      </c>
      <c r="T407">
        <v>0</v>
      </c>
      <c r="U407">
        <v>-19.899999999999999</v>
      </c>
      <c r="V407">
        <v>-22.4</v>
      </c>
      <c r="W407">
        <v>-22</v>
      </c>
      <c r="X407">
        <v>-20.399999999999999</v>
      </c>
      <c r="Y407">
        <v>-18.8</v>
      </c>
      <c r="Z407">
        <v>-22</v>
      </c>
      <c r="AA407">
        <v>-4.5999999999999996</v>
      </c>
      <c r="AB407">
        <v>-6.9</v>
      </c>
      <c r="AC407">
        <v>-5</v>
      </c>
      <c r="AD407">
        <v>12.1</v>
      </c>
      <c r="AE407">
        <v>11</v>
      </c>
      <c r="AF407">
        <v>0</v>
      </c>
      <c r="AG407">
        <v>10</v>
      </c>
      <c r="AH407">
        <v>10</v>
      </c>
      <c r="AI407">
        <v>9</v>
      </c>
      <c r="AJ407">
        <v>10</v>
      </c>
      <c r="AK407">
        <v>10.4</v>
      </c>
      <c r="AL407">
        <v>10</v>
      </c>
      <c r="AM407">
        <v>12.7</v>
      </c>
      <c r="AN407">
        <v>9</v>
      </c>
      <c r="AO407">
        <v>10.199999999999999</v>
      </c>
      <c r="AP407">
        <v>10</v>
      </c>
      <c r="AQ407">
        <v>11</v>
      </c>
      <c r="AR407">
        <v>10</v>
      </c>
      <c r="AS407">
        <v>8.1</v>
      </c>
      <c r="AT407">
        <v>10</v>
      </c>
      <c r="AU407">
        <v>18.600000000000001</v>
      </c>
      <c r="AV407">
        <v>19</v>
      </c>
      <c r="AW407">
        <v>19.3</v>
      </c>
      <c r="AX407">
        <v>19</v>
      </c>
      <c r="AY407">
        <v>10.1</v>
      </c>
      <c r="AZ407">
        <v>10</v>
      </c>
      <c r="BA407">
        <v>11.3</v>
      </c>
      <c r="BB407">
        <v>10</v>
      </c>
    </row>
    <row r="408" spans="1:54" x14ac:dyDescent="0.35">
      <c r="A408" s="1">
        <v>46059.736805555556</v>
      </c>
      <c r="B408">
        <v>22</v>
      </c>
      <c r="C408">
        <v>3</v>
      </c>
      <c r="D408">
        <v>20.6</v>
      </c>
      <c r="E408">
        <v>2</v>
      </c>
      <c r="F408">
        <v>8.9</v>
      </c>
      <c r="G408">
        <v>12.4</v>
      </c>
      <c r="H408">
        <v>0</v>
      </c>
      <c r="I408">
        <v>15.2</v>
      </c>
      <c r="J408">
        <v>11.1</v>
      </c>
      <c r="K408">
        <v>0</v>
      </c>
      <c r="L408">
        <v>12.9</v>
      </c>
      <c r="M408">
        <v>16.3</v>
      </c>
      <c r="N408">
        <v>0</v>
      </c>
      <c r="O408">
        <v>14.6</v>
      </c>
      <c r="P408">
        <v>10.199999999999999</v>
      </c>
      <c r="Q408">
        <v>0</v>
      </c>
      <c r="R408">
        <v>10.199999999999999</v>
      </c>
      <c r="S408">
        <v>13.5</v>
      </c>
      <c r="T408">
        <v>0</v>
      </c>
      <c r="U408">
        <v>-20</v>
      </c>
      <c r="V408">
        <v>-22.1</v>
      </c>
      <c r="W408">
        <v>-22</v>
      </c>
      <c r="X408">
        <v>-20.399999999999999</v>
      </c>
      <c r="Y408">
        <v>-18.899999999999999</v>
      </c>
      <c r="Z408">
        <v>-22</v>
      </c>
      <c r="AA408">
        <v>-5</v>
      </c>
      <c r="AB408">
        <v>-7.3</v>
      </c>
      <c r="AC408">
        <v>-5</v>
      </c>
      <c r="AD408">
        <v>12.1</v>
      </c>
      <c r="AE408">
        <v>11</v>
      </c>
      <c r="AF408">
        <v>0</v>
      </c>
      <c r="AG408">
        <v>10.4</v>
      </c>
      <c r="AH408">
        <v>10</v>
      </c>
      <c r="AI408">
        <v>8.9</v>
      </c>
      <c r="AJ408">
        <v>10</v>
      </c>
      <c r="AK408">
        <v>10.6</v>
      </c>
      <c r="AL408">
        <v>10</v>
      </c>
      <c r="AM408">
        <v>12.6</v>
      </c>
      <c r="AN408">
        <v>9</v>
      </c>
      <c r="AO408">
        <v>11.1</v>
      </c>
      <c r="AP408">
        <v>10</v>
      </c>
      <c r="AQ408">
        <v>11.2</v>
      </c>
      <c r="AR408">
        <v>10</v>
      </c>
      <c r="AS408">
        <v>8</v>
      </c>
      <c r="AT408">
        <v>10</v>
      </c>
      <c r="AU408">
        <v>18.600000000000001</v>
      </c>
      <c r="AV408">
        <v>19</v>
      </c>
      <c r="AW408">
        <v>19.3</v>
      </c>
      <c r="AX408">
        <v>19</v>
      </c>
      <c r="AY408">
        <v>10.4</v>
      </c>
      <c r="AZ408">
        <v>10</v>
      </c>
      <c r="BA408">
        <v>11.6</v>
      </c>
      <c r="BB408">
        <v>10</v>
      </c>
    </row>
    <row r="409" spans="1:54" x14ac:dyDescent="0.35">
      <c r="A409" s="1">
        <v>46059.737500000003</v>
      </c>
      <c r="B409">
        <v>22</v>
      </c>
      <c r="C409">
        <v>3</v>
      </c>
      <c r="D409">
        <v>20.6</v>
      </c>
      <c r="E409">
        <v>2</v>
      </c>
      <c r="F409">
        <v>8.9</v>
      </c>
      <c r="G409">
        <v>12.5</v>
      </c>
      <c r="H409">
        <v>0</v>
      </c>
      <c r="I409">
        <v>15.2</v>
      </c>
      <c r="J409">
        <v>11.1</v>
      </c>
      <c r="K409">
        <v>0</v>
      </c>
      <c r="L409">
        <v>12.9</v>
      </c>
      <c r="M409">
        <v>16.3</v>
      </c>
      <c r="N409">
        <v>0</v>
      </c>
      <c r="O409">
        <v>14.6</v>
      </c>
      <c r="P409">
        <v>10.3</v>
      </c>
      <c r="Q409">
        <v>0</v>
      </c>
      <c r="R409">
        <v>10.199999999999999</v>
      </c>
      <c r="S409">
        <v>13.5</v>
      </c>
      <c r="T409">
        <v>0</v>
      </c>
      <c r="U409">
        <v>-20</v>
      </c>
      <c r="V409">
        <v>-22.3</v>
      </c>
      <c r="W409">
        <v>-22</v>
      </c>
      <c r="X409">
        <v>-20.399999999999999</v>
      </c>
      <c r="Y409">
        <v>-18.899999999999999</v>
      </c>
      <c r="Z409">
        <v>-22</v>
      </c>
      <c r="AA409">
        <v>-5</v>
      </c>
      <c r="AB409">
        <v>-5.9</v>
      </c>
      <c r="AC409">
        <v>-5</v>
      </c>
      <c r="AD409">
        <v>12.1</v>
      </c>
      <c r="AE409">
        <v>11</v>
      </c>
      <c r="AF409">
        <v>0</v>
      </c>
      <c r="AG409">
        <v>10.6</v>
      </c>
      <c r="AH409">
        <v>10</v>
      </c>
      <c r="AI409">
        <v>9</v>
      </c>
      <c r="AJ409">
        <v>10</v>
      </c>
      <c r="AK409">
        <v>10.8</v>
      </c>
      <c r="AL409">
        <v>10</v>
      </c>
      <c r="AM409">
        <v>12.6</v>
      </c>
      <c r="AN409">
        <v>9</v>
      </c>
      <c r="AO409">
        <v>11.5</v>
      </c>
      <c r="AP409">
        <v>10</v>
      </c>
      <c r="AQ409">
        <v>11.2</v>
      </c>
      <c r="AR409">
        <v>10</v>
      </c>
      <c r="AS409">
        <v>8.6999999999999993</v>
      </c>
      <c r="AT409">
        <v>10</v>
      </c>
      <c r="AU409">
        <v>18.600000000000001</v>
      </c>
      <c r="AV409">
        <v>19</v>
      </c>
      <c r="AW409">
        <v>19.399999999999999</v>
      </c>
      <c r="AX409">
        <v>19</v>
      </c>
      <c r="AY409">
        <v>10.8</v>
      </c>
      <c r="AZ409">
        <v>10</v>
      </c>
      <c r="BA409">
        <v>11.8</v>
      </c>
      <c r="BB409">
        <v>10</v>
      </c>
    </row>
    <row r="410" spans="1:54" x14ac:dyDescent="0.35">
      <c r="A410" s="1">
        <v>46059.738194444442</v>
      </c>
      <c r="B410">
        <v>22</v>
      </c>
      <c r="C410">
        <v>3</v>
      </c>
      <c r="D410">
        <v>20.7</v>
      </c>
      <c r="E410">
        <v>2</v>
      </c>
      <c r="F410">
        <v>8.9</v>
      </c>
      <c r="G410">
        <v>12.5</v>
      </c>
      <c r="H410">
        <v>0</v>
      </c>
      <c r="I410">
        <v>15.2</v>
      </c>
      <c r="J410">
        <v>11.1</v>
      </c>
      <c r="K410">
        <v>0</v>
      </c>
      <c r="L410">
        <v>12.9</v>
      </c>
      <c r="M410">
        <v>16.3</v>
      </c>
      <c r="N410">
        <v>0</v>
      </c>
      <c r="O410">
        <v>14.6</v>
      </c>
      <c r="P410">
        <v>10.3</v>
      </c>
      <c r="Q410">
        <v>0</v>
      </c>
      <c r="R410">
        <v>10.199999999999999</v>
      </c>
      <c r="S410">
        <v>13.5</v>
      </c>
      <c r="T410">
        <v>0</v>
      </c>
      <c r="U410">
        <v>-20</v>
      </c>
      <c r="V410">
        <v>-22.2</v>
      </c>
      <c r="W410">
        <v>-22</v>
      </c>
      <c r="X410">
        <v>-20.399999999999999</v>
      </c>
      <c r="Y410">
        <v>-18.899999999999999</v>
      </c>
      <c r="Z410">
        <v>-22</v>
      </c>
      <c r="AA410">
        <v>-4.0999999999999996</v>
      </c>
      <c r="AB410">
        <v>-4.4000000000000004</v>
      </c>
      <c r="AC410">
        <v>-5</v>
      </c>
      <c r="AD410">
        <v>12.1</v>
      </c>
      <c r="AE410">
        <v>11</v>
      </c>
      <c r="AF410">
        <v>0</v>
      </c>
      <c r="AG410">
        <v>10.9</v>
      </c>
      <c r="AH410">
        <v>10</v>
      </c>
      <c r="AI410">
        <v>9.3000000000000007</v>
      </c>
      <c r="AJ410">
        <v>10</v>
      </c>
      <c r="AK410">
        <v>11</v>
      </c>
      <c r="AL410">
        <v>10</v>
      </c>
      <c r="AM410">
        <v>12.6</v>
      </c>
      <c r="AN410">
        <v>9</v>
      </c>
      <c r="AO410">
        <v>11.8</v>
      </c>
      <c r="AP410">
        <v>10</v>
      </c>
      <c r="AQ410">
        <v>11.1</v>
      </c>
      <c r="AR410">
        <v>10</v>
      </c>
      <c r="AS410">
        <v>9.3000000000000007</v>
      </c>
      <c r="AT410">
        <v>10</v>
      </c>
      <c r="AU410">
        <v>18.600000000000001</v>
      </c>
      <c r="AV410">
        <v>19</v>
      </c>
      <c r="AW410">
        <v>19.399999999999999</v>
      </c>
      <c r="AX410">
        <v>19</v>
      </c>
      <c r="AY410">
        <v>11.1</v>
      </c>
      <c r="AZ410">
        <v>10</v>
      </c>
      <c r="BA410">
        <v>12</v>
      </c>
      <c r="BB410">
        <v>10</v>
      </c>
    </row>
    <row r="411" spans="1:54" x14ac:dyDescent="0.35">
      <c r="A411" s="1">
        <v>46059.739583333336</v>
      </c>
      <c r="B411">
        <v>22</v>
      </c>
      <c r="C411">
        <v>3</v>
      </c>
      <c r="D411">
        <v>20.7</v>
      </c>
      <c r="E411">
        <v>2</v>
      </c>
      <c r="F411">
        <v>8.9</v>
      </c>
      <c r="G411">
        <v>12.5</v>
      </c>
      <c r="H411">
        <v>0</v>
      </c>
      <c r="I411">
        <v>15.2</v>
      </c>
      <c r="J411">
        <v>11.1</v>
      </c>
      <c r="K411">
        <v>0</v>
      </c>
      <c r="L411">
        <v>12.9</v>
      </c>
      <c r="M411">
        <v>16.3</v>
      </c>
      <c r="N411">
        <v>0</v>
      </c>
      <c r="O411">
        <v>14.6</v>
      </c>
      <c r="P411">
        <v>10.3</v>
      </c>
      <c r="Q411">
        <v>0</v>
      </c>
      <c r="R411">
        <v>10.199999999999999</v>
      </c>
      <c r="S411">
        <v>13.5</v>
      </c>
      <c r="T411">
        <v>0</v>
      </c>
      <c r="U411">
        <v>-20</v>
      </c>
      <c r="V411">
        <v>-22.4</v>
      </c>
      <c r="W411">
        <v>-22</v>
      </c>
      <c r="X411">
        <v>-20.399999999999999</v>
      </c>
      <c r="Y411">
        <v>-18.899999999999999</v>
      </c>
      <c r="Z411">
        <v>-22</v>
      </c>
      <c r="AA411">
        <v>-2.7</v>
      </c>
      <c r="AB411">
        <v>-3.1</v>
      </c>
      <c r="AC411">
        <v>-5</v>
      </c>
      <c r="AD411">
        <v>12.1</v>
      </c>
      <c r="AE411">
        <v>11</v>
      </c>
      <c r="AF411">
        <v>0</v>
      </c>
      <c r="AG411">
        <v>11.2</v>
      </c>
      <c r="AH411">
        <v>10</v>
      </c>
      <c r="AI411">
        <v>9.9</v>
      </c>
      <c r="AJ411">
        <v>10</v>
      </c>
      <c r="AK411">
        <v>11.2</v>
      </c>
      <c r="AL411">
        <v>10</v>
      </c>
      <c r="AM411">
        <v>12.7</v>
      </c>
      <c r="AN411">
        <v>9</v>
      </c>
      <c r="AO411">
        <v>11</v>
      </c>
      <c r="AP411">
        <v>10</v>
      </c>
      <c r="AQ411">
        <v>11.1</v>
      </c>
      <c r="AR411">
        <v>10</v>
      </c>
      <c r="AS411">
        <v>10.199999999999999</v>
      </c>
      <c r="AT411">
        <v>10</v>
      </c>
      <c r="AU411">
        <v>18.600000000000001</v>
      </c>
      <c r="AV411">
        <v>19</v>
      </c>
      <c r="AW411">
        <v>19.399999999999999</v>
      </c>
      <c r="AX411">
        <v>19</v>
      </c>
      <c r="AY411">
        <v>11.5</v>
      </c>
      <c r="AZ411">
        <v>10</v>
      </c>
      <c r="BA411">
        <v>10.8</v>
      </c>
      <c r="BB411">
        <v>10</v>
      </c>
    </row>
    <row r="412" spans="1:54" x14ac:dyDescent="0.35">
      <c r="A412" s="1">
        <v>46059.740277777775</v>
      </c>
      <c r="B412">
        <v>22</v>
      </c>
      <c r="C412">
        <v>3</v>
      </c>
      <c r="D412">
        <v>20.7</v>
      </c>
      <c r="E412">
        <v>2</v>
      </c>
      <c r="F412">
        <v>9</v>
      </c>
      <c r="G412">
        <v>12.5</v>
      </c>
      <c r="H412">
        <v>0</v>
      </c>
      <c r="I412">
        <v>15.2</v>
      </c>
      <c r="J412">
        <v>11.1</v>
      </c>
      <c r="K412">
        <v>0</v>
      </c>
      <c r="L412">
        <v>12.9</v>
      </c>
      <c r="M412">
        <v>16.3</v>
      </c>
      <c r="N412">
        <v>0</v>
      </c>
      <c r="O412">
        <v>14.6</v>
      </c>
      <c r="P412">
        <v>10.3</v>
      </c>
      <c r="Q412">
        <v>0</v>
      </c>
      <c r="R412">
        <v>10.199999999999999</v>
      </c>
      <c r="S412">
        <v>13.6</v>
      </c>
      <c r="T412">
        <v>0</v>
      </c>
      <c r="U412">
        <v>-20</v>
      </c>
      <c r="V412">
        <v>-22.1</v>
      </c>
      <c r="W412">
        <v>-22</v>
      </c>
      <c r="X412">
        <v>-20.399999999999999</v>
      </c>
      <c r="Y412">
        <v>-18.899999999999999</v>
      </c>
      <c r="Z412">
        <v>-22</v>
      </c>
      <c r="AA412">
        <v>-2.7</v>
      </c>
      <c r="AB412">
        <v>-4</v>
      </c>
      <c r="AC412">
        <v>-5</v>
      </c>
      <c r="AD412">
        <v>12.1</v>
      </c>
      <c r="AE412">
        <v>11</v>
      </c>
      <c r="AF412">
        <v>0</v>
      </c>
      <c r="AG412">
        <v>11.4</v>
      </c>
      <c r="AH412">
        <v>10</v>
      </c>
      <c r="AI412">
        <v>10.1</v>
      </c>
      <c r="AJ412">
        <v>10</v>
      </c>
      <c r="AK412">
        <v>11.3</v>
      </c>
      <c r="AL412">
        <v>10</v>
      </c>
      <c r="AM412">
        <v>12.8</v>
      </c>
      <c r="AN412">
        <v>9</v>
      </c>
      <c r="AO412">
        <v>10.4</v>
      </c>
      <c r="AP412">
        <v>10</v>
      </c>
      <c r="AQ412">
        <v>11.1</v>
      </c>
      <c r="AR412">
        <v>10</v>
      </c>
      <c r="AS412">
        <v>10.5</v>
      </c>
      <c r="AT412">
        <v>10</v>
      </c>
      <c r="AU412">
        <v>18.600000000000001</v>
      </c>
      <c r="AV412">
        <v>19</v>
      </c>
      <c r="AW412">
        <v>19.3</v>
      </c>
      <c r="AX412">
        <v>19</v>
      </c>
      <c r="AY412">
        <v>11.7</v>
      </c>
      <c r="AZ412">
        <v>10</v>
      </c>
      <c r="BA412">
        <v>10</v>
      </c>
      <c r="BB412">
        <v>10</v>
      </c>
    </row>
    <row r="413" spans="1:54" x14ac:dyDescent="0.35">
      <c r="A413" s="1">
        <v>46059.740972222222</v>
      </c>
      <c r="B413">
        <v>22</v>
      </c>
      <c r="C413">
        <v>3</v>
      </c>
      <c r="D413">
        <v>20.7</v>
      </c>
      <c r="E413">
        <v>2</v>
      </c>
      <c r="F413">
        <v>9</v>
      </c>
      <c r="G413">
        <v>12.5</v>
      </c>
      <c r="H413">
        <v>0</v>
      </c>
      <c r="I413">
        <v>15.2</v>
      </c>
      <c r="J413">
        <v>11.1</v>
      </c>
      <c r="K413">
        <v>0</v>
      </c>
      <c r="L413">
        <v>12.9</v>
      </c>
      <c r="M413">
        <v>16.399999999999999</v>
      </c>
      <c r="N413">
        <v>0</v>
      </c>
      <c r="O413">
        <v>14.6</v>
      </c>
      <c r="P413">
        <v>10.3</v>
      </c>
      <c r="Q413">
        <v>0</v>
      </c>
      <c r="R413">
        <v>10.199999999999999</v>
      </c>
      <c r="S413">
        <v>13.6</v>
      </c>
      <c r="T413">
        <v>0</v>
      </c>
      <c r="U413">
        <v>-20</v>
      </c>
      <c r="V413">
        <v>-22.4</v>
      </c>
      <c r="W413">
        <v>-22</v>
      </c>
      <c r="X413">
        <v>-20.399999999999999</v>
      </c>
      <c r="Y413">
        <v>-18.899999999999999</v>
      </c>
      <c r="Z413">
        <v>-22</v>
      </c>
      <c r="AA413">
        <v>-3.2</v>
      </c>
      <c r="AB413">
        <v>-4.9000000000000004</v>
      </c>
      <c r="AC413">
        <v>-5</v>
      </c>
      <c r="AD413">
        <v>12.1</v>
      </c>
      <c r="AE413">
        <v>10.9</v>
      </c>
      <c r="AF413">
        <v>0</v>
      </c>
      <c r="AG413">
        <v>11.5</v>
      </c>
      <c r="AH413">
        <v>10</v>
      </c>
      <c r="AI413">
        <v>10.4</v>
      </c>
      <c r="AJ413">
        <v>10</v>
      </c>
      <c r="AK413">
        <v>11.3</v>
      </c>
      <c r="AL413">
        <v>10</v>
      </c>
      <c r="AM413">
        <v>12.8</v>
      </c>
      <c r="AN413">
        <v>9</v>
      </c>
      <c r="AO413">
        <v>10.1</v>
      </c>
      <c r="AP413">
        <v>10</v>
      </c>
      <c r="AQ413">
        <v>11</v>
      </c>
      <c r="AR413">
        <v>10</v>
      </c>
      <c r="AS413">
        <v>10.8</v>
      </c>
      <c r="AT413">
        <v>10</v>
      </c>
      <c r="AU413">
        <v>18.600000000000001</v>
      </c>
      <c r="AV413">
        <v>19</v>
      </c>
      <c r="AW413">
        <v>19.3</v>
      </c>
      <c r="AX413">
        <v>19</v>
      </c>
      <c r="AY413">
        <v>11.9</v>
      </c>
      <c r="AZ413">
        <v>10</v>
      </c>
      <c r="BA413">
        <v>9.6999999999999993</v>
      </c>
      <c r="BB413">
        <v>10</v>
      </c>
    </row>
    <row r="414" spans="1:54" x14ac:dyDescent="0.35">
      <c r="A414" s="1">
        <v>46059.741666666669</v>
      </c>
      <c r="B414">
        <v>22</v>
      </c>
      <c r="C414">
        <v>3</v>
      </c>
      <c r="D414">
        <v>20.7</v>
      </c>
      <c r="E414">
        <v>2</v>
      </c>
      <c r="F414">
        <v>9</v>
      </c>
      <c r="G414">
        <v>12.5</v>
      </c>
      <c r="H414">
        <v>0</v>
      </c>
      <c r="I414">
        <v>15.2</v>
      </c>
      <c r="J414">
        <v>11.2</v>
      </c>
      <c r="K414">
        <v>0</v>
      </c>
      <c r="L414">
        <v>12.9</v>
      </c>
      <c r="M414">
        <v>16.399999999999999</v>
      </c>
      <c r="N414">
        <v>0</v>
      </c>
      <c r="O414">
        <v>14.6</v>
      </c>
      <c r="P414">
        <v>10.3</v>
      </c>
      <c r="Q414">
        <v>0</v>
      </c>
      <c r="R414">
        <v>10.199999999999999</v>
      </c>
      <c r="S414">
        <v>13.6</v>
      </c>
      <c r="T414">
        <v>0</v>
      </c>
      <c r="U414">
        <v>-20</v>
      </c>
      <c r="V414">
        <v>-22.1</v>
      </c>
      <c r="W414">
        <v>-22</v>
      </c>
      <c r="X414">
        <v>-20.399999999999999</v>
      </c>
      <c r="Y414">
        <v>-18.899999999999999</v>
      </c>
      <c r="Z414">
        <v>-22</v>
      </c>
      <c r="AA414">
        <v>-3.8</v>
      </c>
      <c r="AB414">
        <v>-5.8</v>
      </c>
      <c r="AC414">
        <v>-5</v>
      </c>
      <c r="AD414">
        <v>12.1</v>
      </c>
      <c r="AE414">
        <v>10.9</v>
      </c>
      <c r="AF414">
        <v>0</v>
      </c>
      <c r="AG414">
        <v>11.6</v>
      </c>
      <c r="AH414">
        <v>10</v>
      </c>
      <c r="AI414">
        <v>10.5</v>
      </c>
      <c r="AJ414">
        <v>10</v>
      </c>
      <c r="AK414">
        <v>11.3</v>
      </c>
      <c r="AL414">
        <v>10</v>
      </c>
      <c r="AM414">
        <v>12.8</v>
      </c>
      <c r="AN414">
        <v>9</v>
      </c>
      <c r="AO414">
        <v>10.1</v>
      </c>
      <c r="AP414">
        <v>10</v>
      </c>
      <c r="AQ414">
        <v>10.9</v>
      </c>
      <c r="AR414">
        <v>10</v>
      </c>
      <c r="AS414">
        <v>11</v>
      </c>
      <c r="AT414">
        <v>10</v>
      </c>
      <c r="AU414">
        <v>18.600000000000001</v>
      </c>
      <c r="AV414">
        <v>19</v>
      </c>
      <c r="AW414">
        <v>19.3</v>
      </c>
      <c r="AX414">
        <v>19</v>
      </c>
      <c r="AY414">
        <v>12</v>
      </c>
      <c r="AZ414">
        <v>10</v>
      </c>
      <c r="BA414">
        <v>9.9</v>
      </c>
      <c r="BB414">
        <v>10</v>
      </c>
    </row>
    <row r="415" spans="1:54" x14ac:dyDescent="0.35">
      <c r="A415" s="1">
        <v>46059.742361111108</v>
      </c>
      <c r="B415">
        <v>22</v>
      </c>
      <c r="C415">
        <v>3</v>
      </c>
      <c r="D415">
        <v>20.7</v>
      </c>
      <c r="E415">
        <v>2</v>
      </c>
      <c r="F415">
        <v>9</v>
      </c>
      <c r="G415">
        <v>12.5</v>
      </c>
      <c r="H415">
        <v>0</v>
      </c>
      <c r="I415">
        <v>15.2</v>
      </c>
      <c r="J415">
        <v>11.2</v>
      </c>
      <c r="K415">
        <v>0</v>
      </c>
      <c r="L415">
        <v>12.9</v>
      </c>
      <c r="M415">
        <v>16.399999999999999</v>
      </c>
      <c r="N415">
        <v>0</v>
      </c>
      <c r="O415">
        <v>14.7</v>
      </c>
      <c r="P415">
        <v>10.3</v>
      </c>
      <c r="Q415">
        <v>0</v>
      </c>
      <c r="R415">
        <v>10.199999999999999</v>
      </c>
      <c r="S415">
        <v>13.6</v>
      </c>
      <c r="T415">
        <v>0</v>
      </c>
      <c r="U415">
        <v>-20</v>
      </c>
      <c r="V415">
        <v>-22</v>
      </c>
      <c r="W415">
        <v>-22</v>
      </c>
      <c r="X415">
        <v>-20.399999999999999</v>
      </c>
      <c r="Y415">
        <v>-18.899999999999999</v>
      </c>
      <c r="Z415">
        <v>-22</v>
      </c>
      <c r="AA415">
        <v>-4.2</v>
      </c>
      <c r="AB415">
        <v>-6.4</v>
      </c>
      <c r="AC415">
        <v>-5</v>
      </c>
      <c r="AD415">
        <v>12.1</v>
      </c>
      <c r="AE415">
        <v>10.9</v>
      </c>
      <c r="AF415">
        <v>0</v>
      </c>
      <c r="AG415">
        <v>11.7</v>
      </c>
      <c r="AH415">
        <v>10</v>
      </c>
      <c r="AI415">
        <v>10.7</v>
      </c>
      <c r="AJ415">
        <v>10</v>
      </c>
      <c r="AK415">
        <v>11.3</v>
      </c>
      <c r="AL415">
        <v>10</v>
      </c>
      <c r="AM415">
        <v>12.8</v>
      </c>
      <c r="AN415">
        <v>9</v>
      </c>
      <c r="AO415">
        <v>10.199999999999999</v>
      </c>
      <c r="AP415">
        <v>10</v>
      </c>
      <c r="AQ415">
        <v>10.9</v>
      </c>
      <c r="AR415">
        <v>10</v>
      </c>
      <c r="AS415">
        <v>11.3</v>
      </c>
      <c r="AT415">
        <v>10</v>
      </c>
      <c r="AU415">
        <v>18.600000000000001</v>
      </c>
      <c r="AV415">
        <v>19</v>
      </c>
      <c r="AW415">
        <v>19.3</v>
      </c>
      <c r="AX415">
        <v>19</v>
      </c>
      <c r="AY415">
        <v>11.1</v>
      </c>
      <c r="AZ415">
        <v>10</v>
      </c>
      <c r="BA415">
        <v>10.3</v>
      </c>
      <c r="BB415">
        <v>10</v>
      </c>
    </row>
    <row r="416" spans="1:54" x14ac:dyDescent="0.35">
      <c r="A416" s="1">
        <v>46059.743055555555</v>
      </c>
      <c r="B416">
        <v>22</v>
      </c>
      <c r="C416">
        <v>3</v>
      </c>
      <c r="D416">
        <v>20.7</v>
      </c>
      <c r="E416">
        <v>2</v>
      </c>
      <c r="F416">
        <v>9</v>
      </c>
      <c r="G416">
        <v>12.5</v>
      </c>
      <c r="H416">
        <v>0</v>
      </c>
      <c r="I416">
        <v>15.2</v>
      </c>
      <c r="J416">
        <v>11.2</v>
      </c>
      <c r="K416">
        <v>0</v>
      </c>
      <c r="L416">
        <v>12.9</v>
      </c>
      <c r="M416">
        <v>16.399999999999999</v>
      </c>
      <c r="N416">
        <v>0</v>
      </c>
      <c r="O416">
        <v>14.7</v>
      </c>
      <c r="P416">
        <v>10.3</v>
      </c>
      <c r="Q416">
        <v>0</v>
      </c>
      <c r="R416">
        <v>10.199999999999999</v>
      </c>
      <c r="S416">
        <v>13.6</v>
      </c>
      <c r="T416">
        <v>0</v>
      </c>
      <c r="U416">
        <v>-20</v>
      </c>
      <c r="V416">
        <v>-22.2</v>
      </c>
      <c r="W416">
        <v>-22</v>
      </c>
      <c r="X416">
        <v>-20.399999999999999</v>
      </c>
      <c r="Y416">
        <v>-18.899999999999999</v>
      </c>
      <c r="Z416">
        <v>-22</v>
      </c>
      <c r="AA416">
        <v>-4.7</v>
      </c>
      <c r="AB416">
        <v>-6.9</v>
      </c>
      <c r="AC416">
        <v>-5</v>
      </c>
      <c r="AD416">
        <v>12.1</v>
      </c>
      <c r="AE416">
        <v>10.9</v>
      </c>
      <c r="AF416">
        <v>0</v>
      </c>
      <c r="AG416">
        <v>11.8</v>
      </c>
      <c r="AH416">
        <v>10</v>
      </c>
      <c r="AI416">
        <v>10.8</v>
      </c>
      <c r="AJ416">
        <v>10</v>
      </c>
      <c r="AK416">
        <v>11.4</v>
      </c>
      <c r="AL416">
        <v>10</v>
      </c>
      <c r="AM416">
        <v>12.7</v>
      </c>
      <c r="AN416">
        <v>9</v>
      </c>
      <c r="AO416">
        <v>11.2</v>
      </c>
      <c r="AP416">
        <v>10</v>
      </c>
      <c r="AQ416">
        <v>10.9</v>
      </c>
      <c r="AR416">
        <v>10</v>
      </c>
      <c r="AS416">
        <v>11.5</v>
      </c>
      <c r="AT416">
        <v>10</v>
      </c>
      <c r="AU416">
        <v>18.600000000000001</v>
      </c>
      <c r="AV416">
        <v>19</v>
      </c>
      <c r="AW416">
        <v>19.3</v>
      </c>
      <c r="AX416">
        <v>19</v>
      </c>
      <c r="AY416">
        <v>10.4</v>
      </c>
      <c r="AZ416">
        <v>10</v>
      </c>
      <c r="BA416">
        <v>10.7</v>
      </c>
      <c r="BB416">
        <v>10</v>
      </c>
    </row>
    <row r="417" spans="1:54" x14ac:dyDescent="0.35">
      <c r="A417" s="1">
        <v>46059.743750000001</v>
      </c>
      <c r="B417">
        <v>22</v>
      </c>
      <c r="C417">
        <v>3</v>
      </c>
      <c r="D417">
        <v>20.7</v>
      </c>
      <c r="E417">
        <v>2</v>
      </c>
      <c r="F417">
        <v>9</v>
      </c>
      <c r="G417">
        <v>12.5</v>
      </c>
      <c r="H417">
        <v>0</v>
      </c>
      <c r="I417">
        <v>15.2</v>
      </c>
      <c r="J417">
        <v>11.2</v>
      </c>
      <c r="K417">
        <v>0</v>
      </c>
      <c r="L417">
        <v>12.9</v>
      </c>
      <c r="M417">
        <v>16.399999999999999</v>
      </c>
      <c r="N417">
        <v>0</v>
      </c>
      <c r="O417">
        <v>14.7</v>
      </c>
      <c r="P417">
        <v>10.3</v>
      </c>
      <c r="Q417">
        <v>0</v>
      </c>
      <c r="R417">
        <v>10.199999999999999</v>
      </c>
      <c r="S417">
        <v>13.6</v>
      </c>
      <c r="T417">
        <v>0</v>
      </c>
      <c r="U417">
        <v>-20</v>
      </c>
      <c r="V417">
        <v>-22.1</v>
      </c>
      <c r="W417">
        <v>-22</v>
      </c>
      <c r="X417">
        <v>-20.399999999999999</v>
      </c>
      <c r="Y417">
        <v>-18.899999999999999</v>
      </c>
      <c r="Z417">
        <v>-22</v>
      </c>
      <c r="AA417">
        <v>-5.0999999999999996</v>
      </c>
      <c r="AB417">
        <v>-7.3</v>
      </c>
      <c r="AC417">
        <v>-5</v>
      </c>
      <c r="AD417">
        <v>12.1</v>
      </c>
      <c r="AE417">
        <v>10.9</v>
      </c>
      <c r="AF417">
        <v>0</v>
      </c>
      <c r="AG417">
        <v>11.9</v>
      </c>
      <c r="AH417">
        <v>10</v>
      </c>
      <c r="AI417">
        <v>11</v>
      </c>
      <c r="AJ417">
        <v>10</v>
      </c>
      <c r="AK417">
        <v>11.4</v>
      </c>
      <c r="AL417">
        <v>10</v>
      </c>
      <c r="AM417">
        <v>12.7</v>
      </c>
      <c r="AN417">
        <v>9</v>
      </c>
      <c r="AO417">
        <v>11.7</v>
      </c>
      <c r="AP417">
        <v>10</v>
      </c>
      <c r="AQ417">
        <v>10.7</v>
      </c>
      <c r="AR417">
        <v>10</v>
      </c>
      <c r="AS417">
        <v>11.7</v>
      </c>
      <c r="AT417">
        <v>10</v>
      </c>
      <c r="AU417">
        <v>18.600000000000001</v>
      </c>
      <c r="AV417">
        <v>19</v>
      </c>
      <c r="AW417">
        <v>19.3</v>
      </c>
      <c r="AX417">
        <v>19</v>
      </c>
      <c r="AY417">
        <v>9.6999999999999993</v>
      </c>
      <c r="AZ417">
        <v>10</v>
      </c>
      <c r="BA417">
        <v>11</v>
      </c>
      <c r="BB417">
        <v>10</v>
      </c>
    </row>
    <row r="418" spans="1:54" x14ac:dyDescent="0.35">
      <c r="A418" s="1">
        <v>46059.744444444441</v>
      </c>
      <c r="B418">
        <v>22</v>
      </c>
      <c r="C418">
        <v>3</v>
      </c>
      <c r="D418">
        <v>20.7</v>
      </c>
      <c r="E418">
        <v>2</v>
      </c>
      <c r="F418">
        <v>9</v>
      </c>
      <c r="G418">
        <v>12.5</v>
      </c>
      <c r="H418">
        <v>0</v>
      </c>
      <c r="I418">
        <v>15.2</v>
      </c>
      <c r="J418">
        <v>11.2</v>
      </c>
      <c r="K418">
        <v>0</v>
      </c>
      <c r="L418">
        <v>12.9</v>
      </c>
      <c r="M418">
        <v>16.399999999999999</v>
      </c>
      <c r="N418">
        <v>0</v>
      </c>
      <c r="O418">
        <v>14.7</v>
      </c>
      <c r="P418">
        <v>10.3</v>
      </c>
      <c r="Q418">
        <v>0</v>
      </c>
      <c r="R418">
        <v>10.199999999999999</v>
      </c>
      <c r="S418">
        <v>13.6</v>
      </c>
      <c r="T418">
        <v>0</v>
      </c>
      <c r="U418">
        <v>-20</v>
      </c>
      <c r="V418">
        <v>-22.4</v>
      </c>
      <c r="W418">
        <v>-22</v>
      </c>
      <c r="X418">
        <v>-20.399999999999999</v>
      </c>
      <c r="Y418">
        <v>-18.899999999999999</v>
      </c>
      <c r="Z418">
        <v>-22</v>
      </c>
      <c r="AA418">
        <v>-4.9000000000000004</v>
      </c>
      <c r="AB418">
        <v>-5.7</v>
      </c>
      <c r="AC418">
        <v>-5</v>
      </c>
      <c r="AD418">
        <v>12.1</v>
      </c>
      <c r="AE418">
        <v>10.9</v>
      </c>
      <c r="AF418">
        <v>0</v>
      </c>
      <c r="AG418">
        <v>12</v>
      </c>
      <c r="AH418">
        <v>10</v>
      </c>
      <c r="AI418">
        <v>11.1</v>
      </c>
      <c r="AJ418">
        <v>10</v>
      </c>
      <c r="AK418">
        <v>11.6</v>
      </c>
      <c r="AL418">
        <v>10</v>
      </c>
      <c r="AM418">
        <v>12.7</v>
      </c>
      <c r="AN418">
        <v>9</v>
      </c>
      <c r="AO418">
        <v>11.9</v>
      </c>
      <c r="AP418">
        <v>10</v>
      </c>
      <c r="AQ418">
        <v>10.7</v>
      </c>
      <c r="AR418">
        <v>10</v>
      </c>
      <c r="AS418">
        <v>11.8</v>
      </c>
      <c r="AT418">
        <v>10</v>
      </c>
      <c r="AU418">
        <v>18.600000000000001</v>
      </c>
      <c r="AV418">
        <v>19</v>
      </c>
      <c r="AW418">
        <v>19.3</v>
      </c>
      <c r="AX418">
        <v>19</v>
      </c>
      <c r="AY418">
        <v>9.6999999999999993</v>
      </c>
      <c r="AZ418">
        <v>10</v>
      </c>
      <c r="BA418">
        <v>11.4</v>
      </c>
      <c r="BB418">
        <v>10</v>
      </c>
    </row>
    <row r="419" spans="1:54" x14ac:dyDescent="0.35">
      <c r="A419" s="1">
        <v>46059.745138888888</v>
      </c>
      <c r="B419">
        <v>22</v>
      </c>
      <c r="C419">
        <v>3</v>
      </c>
      <c r="D419">
        <v>20.7</v>
      </c>
      <c r="E419">
        <v>2</v>
      </c>
      <c r="F419">
        <v>9</v>
      </c>
      <c r="G419">
        <v>12.5</v>
      </c>
      <c r="H419">
        <v>0</v>
      </c>
      <c r="I419">
        <v>15.2</v>
      </c>
      <c r="J419">
        <v>11.2</v>
      </c>
      <c r="K419">
        <v>0</v>
      </c>
      <c r="L419">
        <v>12.9</v>
      </c>
      <c r="M419">
        <v>16.399999999999999</v>
      </c>
      <c r="N419">
        <v>0</v>
      </c>
      <c r="O419">
        <v>14.7</v>
      </c>
      <c r="P419">
        <v>10.3</v>
      </c>
      <c r="Q419">
        <v>0</v>
      </c>
      <c r="R419">
        <v>10.199999999999999</v>
      </c>
      <c r="S419">
        <v>13.6</v>
      </c>
      <c r="T419">
        <v>0</v>
      </c>
      <c r="U419">
        <v>-20</v>
      </c>
      <c r="V419">
        <v>-22.1</v>
      </c>
      <c r="W419">
        <v>-22</v>
      </c>
      <c r="X419">
        <v>-20.399999999999999</v>
      </c>
      <c r="Y419">
        <v>-18.899999999999999</v>
      </c>
      <c r="Z419">
        <v>-22</v>
      </c>
      <c r="AA419">
        <v>-3.8</v>
      </c>
      <c r="AB419">
        <v>-4</v>
      </c>
      <c r="AC419">
        <v>-5</v>
      </c>
      <c r="AD419">
        <v>12.1</v>
      </c>
      <c r="AE419">
        <v>10.9</v>
      </c>
      <c r="AF419">
        <v>0</v>
      </c>
      <c r="AG419">
        <v>12</v>
      </c>
      <c r="AH419">
        <v>10</v>
      </c>
      <c r="AI419">
        <v>11.2</v>
      </c>
      <c r="AJ419">
        <v>10</v>
      </c>
      <c r="AK419">
        <v>11.6</v>
      </c>
      <c r="AL419">
        <v>10</v>
      </c>
      <c r="AM419">
        <v>12.8</v>
      </c>
      <c r="AN419">
        <v>9</v>
      </c>
      <c r="AO419">
        <v>11.5</v>
      </c>
      <c r="AP419">
        <v>10</v>
      </c>
      <c r="AQ419">
        <v>10.7</v>
      </c>
      <c r="AR419">
        <v>10</v>
      </c>
      <c r="AS419">
        <v>11.9</v>
      </c>
      <c r="AT419">
        <v>10</v>
      </c>
      <c r="AU419">
        <v>18.600000000000001</v>
      </c>
      <c r="AV419">
        <v>19</v>
      </c>
      <c r="AW419">
        <v>19.3</v>
      </c>
      <c r="AX419">
        <v>19</v>
      </c>
      <c r="AY419">
        <v>10.1</v>
      </c>
      <c r="AZ419">
        <v>10</v>
      </c>
      <c r="BA419">
        <v>11.7</v>
      </c>
      <c r="BB419">
        <v>10</v>
      </c>
    </row>
    <row r="420" spans="1:54" x14ac:dyDescent="0.35">
      <c r="A420" s="1">
        <v>46059.745833333334</v>
      </c>
      <c r="B420">
        <v>22.1</v>
      </c>
      <c r="C420">
        <v>3</v>
      </c>
      <c r="D420">
        <v>20.7</v>
      </c>
      <c r="E420">
        <v>2</v>
      </c>
      <c r="F420">
        <v>9</v>
      </c>
      <c r="G420">
        <v>12.5</v>
      </c>
      <c r="H420">
        <v>0</v>
      </c>
      <c r="I420">
        <v>15.2</v>
      </c>
      <c r="J420">
        <v>11.2</v>
      </c>
      <c r="K420">
        <v>0</v>
      </c>
      <c r="L420">
        <v>12.9</v>
      </c>
      <c r="M420">
        <v>16.399999999999999</v>
      </c>
      <c r="N420">
        <v>0</v>
      </c>
      <c r="O420">
        <v>14.7</v>
      </c>
      <c r="P420">
        <v>10.3</v>
      </c>
      <c r="Q420">
        <v>0</v>
      </c>
      <c r="R420">
        <v>10.199999999999999</v>
      </c>
      <c r="S420">
        <v>13.6</v>
      </c>
      <c r="T420">
        <v>0</v>
      </c>
      <c r="U420">
        <v>-20</v>
      </c>
      <c r="V420">
        <v>-22.2</v>
      </c>
      <c r="W420">
        <v>-22</v>
      </c>
      <c r="X420">
        <v>-20.399999999999999</v>
      </c>
      <c r="Y420">
        <v>-18.899999999999999</v>
      </c>
      <c r="Z420">
        <v>-22</v>
      </c>
      <c r="AA420">
        <v>-3.1</v>
      </c>
      <c r="AB420">
        <v>-3.1</v>
      </c>
      <c r="AC420">
        <v>-5</v>
      </c>
      <c r="AD420">
        <v>12.1</v>
      </c>
      <c r="AE420">
        <v>10.9</v>
      </c>
      <c r="AF420">
        <v>0</v>
      </c>
      <c r="AG420">
        <v>11.2</v>
      </c>
      <c r="AH420">
        <v>10</v>
      </c>
      <c r="AI420">
        <v>11.3</v>
      </c>
      <c r="AJ420">
        <v>10</v>
      </c>
      <c r="AK420">
        <v>11.7</v>
      </c>
      <c r="AL420">
        <v>10</v>
      </c>
      <c r="AM420">
        <v>12.8</v>
      </c>
      <c r="AN420">
        <v>9</v>
      </c>
      <c r="AO420">
        <v>10.6</v>
      </c>
      <c r="AP420">
        <v>10</v>
      </c>
      <c r="AQ420">
        <v>10.8</v>
      </c>
      <c r="AR420">
        <v>10</v>
      </c>
      <c r="AS420">
        <v>9.6999999999999993</v>
      </c>
      <c r="AT420">
        <v>10</v>
      </c>
      <c r="AU420">
        <v>18.600000000000001</v>
      </c>
      <c r="AV420">
        <v>19</v>
      </c>
      <c r="AW420">
        <v>19.3</v>
      </c>
      <c r="AX420">
        <v>19</v>
      </c>
      <c r="AY420">
        <v>10.6</v>
      </c>
      <c r="AZ420">
        <v>10</v>
      </c>
      <c r="BA420">
        <v>11.9</v>
      </c>
      <c r="BB420">
        <v>10</v>
      </c>
    </row>
    <row r="421" spans="1:54" x14ac:dyDescent="0.35">
      <c r="A421" s="1">
        <v>46059.746527777781</v>
      </c>
      <c r="B421">
        <v>22.1</v>
      </c>
      <c r="C421">
        <v>3</v>
      </c>
      <c r="D421">
        <v>20.7</v>
      </c>
      <c r="E421">
        <v>2</v>
      </c>
      <c r="F421">
        <v>9</v>
      </c>
      <c r="G421">
        <v>12.5</v>
      </c>
      <c r="H421">
        <v>0</v>
      </c>
      <c r="I421">
        <v>15.2</v>
      </c>
      <c r="J421">
        <v>11.2</v>
      </c>
      <c r="K421">
        <v>0</v>
      </c>
      <c r="L421">
        <v>12.9</v>
      </c>
      <c r="M421">
        <v>16.399999999999999</v>
      </c>
      <c r="N421">
        <v>0</v>
      </c>
      <c r="O421">
        <v>14.7</v>
      </c>
      <c r="P421">
        <v>10.3</v>
      </c>
      <c r="Q421">
        <v>0</v>
      </c>
      <c r="R421">
        <v>10.199999999999999</v>
      </c>
      <c r="S421">
        <v>13.6</v>
      </c>
      <c r="T421">
        <v>0</v>
      </c>
      <c r="U421">
        <v>-20</v>
      </c>
      <c r="V421">
        <v>-22.2</v>
      </c>
      <c r="W421">
        <v>-22</v>
      </c>
      <c r="X421">
        <v>-20.5</v>
      </c>
      <c r="Y421">
        <v>-18.899999999999999</v>
      </c>
      <c r="Z421">
        <v>-22</v>
      </c>
      <c r="AA421">
        <v>-2.7</v>
      </c>
      <c r="AB421">
        <v>-3.2</v>
      </c>
      <c r="AC421">
        <v>-5</v>
      </c>
      <c r="AD421">
        <v>12.1</v>
      </c>
      <c r="AE421">
        <v>10.9</v>
      </c>
      <c r="AF421">
        <v>0</v>
      </c>
      <c r="AG421">
        <v>10.4</v>
      </c>
      <c r="AH421">
        <v>10</v>
      </c>
      <c r="AI421">
        <v>11.4</v>
      </c>
      <c r="AJ421">
        <v>10</v>
      </c>
      <c r="AK421">
        <v>11.7</v>
      </c>
      <c r="AL421">
        <v>10</v>
      </c>
      <c r="AM421">
        <v>12.8</v>
      </c>
      <c r="AN421">
        <v>9</v>
      </c>
      <c r="AO421">
        <v>10.3</v>
      </c>
      <c r="AP421">
        <v>10</v>
      </c>
      <c r="AQ421">
        <v>10.8</v>
      </c>
      <c r="AR421">
        <v>10</v>
      </c>
      <c r="AS421">
        <v>8</v>
      </c>
      <c r="AT421">
        <v>10</v>
      </c>
      <c r="AU421">
        <v>18.600000000000001</v>
      </c>
      <c r="AV421">
        <v>19</v>
      </c>
      <c r="AW421">
        <v>19.3</v>
      </c>
      <c r="AX421">
        <v>19</v>
      </c>
      <c r="AY421">
        <v>10.9</v>
      </c>
      <c r="AZ421">
        <v>10</v>
      </c>
      <c r="BA421">
        <v>12</v>
      </c>
      <c r="BB421">
        <v>10</v>
      </c>
    </row>
    <row r="422" spans="1:54" x14ac:dyDescent="0.35">
      <c r="A422" s="1">
        <v>46059.747916666667</v>
      </c>
      <c r="B422">
        <v>22.1</v>
      </c>
      <c r="C422">
        <v>3</v>
      </c>
      <c r="D422">
        <v>20.7</v>
      </c>
      <c r="E422">
        <v>2</v>
      </c>
      <c r="F422">
        <v>9</v>
      </c>
      <c r="G422">
        <v>12.5</v>
      </c>
      <c r="H422">
        <v>0</v>
      </c>
      <c r="I422">
        <v>15.2</v>
      </c>
      <c r="J422">
        <v>11.2</v>
      </c>
      <c r="K422">
        <v>0</v>
      </c>
      <c r="L422">
        <v>12.9</v>
      </c>
      <c r="M422">
        <v>16.399999999999999</v>
      </c>
      <c r="N422">
        <v>0</v>
      </c>
      <c r="O422">
        <v>14.7</v>
      </c>
      <c r="P422">
        <v>10.4</v>
      </c>
      <c r="Q422">
        <v>0</v>
      </c>
      <c r="R422">
        <v>10.199999999999999</v>
      </c>
      <c r="S422">
        <v>13.6</v>
      </c>
      <c r="T422">
        <v>0</v>
      </c>
      <c r="U422">
        <v>-20</v>
      </c>
      <c r="V422">
        <v>-22.4</v>
      </c>
      <c r="W422">
        <v>-22</v>
      </c>
      <c r="X422">
        <v>-20.5</v>
      </c>
      <c r="Y422">
        <v>-19</v>
      </c>
      <c r="Z422">
        <v>-22</v>
      </c>
      <c r="AA422">
        <v>-3.3</v>
      </c>
      <c r="AB422">
        <v>-5.0999999999999996</v>
      </c>
      <c r="AC422">
        <v>-5</v>
      </c>
      <c r="AD422">
        <v>12.1</v>
      </c>
      <c r="AE422">
        <v>10.8</v>
      </c>
      <c r="AF422">
        <v>0</v>
      </c>
      <c r="AG422">
        <v>9.6</v>
      </c>
      <c r="AH422">
        <v>10</v>
      </c>
      <c r="AI422">
        <v>11.6</v>
      </c>
      <c r="AJ422">
        <v>10</v>
      </c>
      <c r="AK422">
        <v>11.7</v>
      </c>
      <c r="AL422">
        <v>10</v>
      </c>
      <c r="AM422">
        <v>12.8</v>
      </c>
      <c r="AN422">
        <v>9</v>
      </c>
      <c r="AO422">
        <v>10.1</v>
      </c>
      <c r="AP422">
        <v>10</v>
      </c>
      <c r="AQ422">
        <v>10.9</v>
      </c>
      <c r="AR422">
        <v>10</v>
      </c>
      <c r="AS422">
        <v>8.6999999999999993</v>
      </c>
      <c r="AT422">
        <v>10</v>
      </c>
      <c r="AU422">
        <v>18.600000000000001</v>
      </c>
      <c r="AV422">
        <v>19</v>
      </c>
      <c r="AW422">
        <v>19.2</v>
      </c>
      <c r="AX422">
        <v>19</v>
      </c>
      <c r="AY422">
        <v>11.4</v>
      </c>
      <c r="AZ422">
        <v>10</v>
      </c>
      <c r="BA422">
        <v>10.4</v>
      </c>
      <c r="BB422">
        <v>10</v>
      </c>
    </row>
    <row r="423" spans="1:54" x14ac:dyDescent="0.35">
      <c r="A423" s="1">
        <v>46059.748611111114</v>
      </c>
      <c r="B423">
        <v>22.1</v>
      </c>
      <c r="C423">
        <v>3</v>
      </c>
      <c r="D423">
        <v>20.7</v>
      </c>
      <c r="E423">
        <v>2</v>
      </c>
      <c r="F423">
        <v>9</v>
      </c>
      <c r="G423">
        <v>12.5</v>
      </c>
      <c r="H423">
        <v>0</v>
      </c>
      <c r="I423">
        <v>15.3</v>
      </c>
      <c r="J423">
        <v>11.2</v>
      </c>
      <c r="K423">
        <v>0</v>
      </c>
      <c r="L423">
        <v>12.9</v>
      </c>
      <c r="M423">
        <v>16.399999999999999</v>
      </c>
      <c r="N423">
        <v>0</v>
      </c>
      <c r="O423">
        <v>14.7</v>
      </c>
      <c r="P423">
        <v>10.4</v>
      </c>
      <c r="Q423">
        <v>0</v>
      </c>
      <c r="R423">
        <v>10.199999999999999</v>
      </c>
      <c r="S423">
        <v>13.6</v>
      </c>
      <c r="T423">
        <v>0</v>
      </c>
      <c r="U423">
        <v>-20</v>
      </c>
      <c r="V423">
        <v>-22</v>
      </c>
      <c r="W423">
        <v>-22</v>
      </c>
      <c r="X423">
        <v>-20.5</v>
      </c>
      <c r="Y423">
        <v>-19</v>
      </c>
      <c r="Z423">
        <v>-22</v>
      </c>
      <c r="AA423">
        <v>-3.8</v>
      </c>
      <c r="AB423">
        <v>-5.8</v>
      </c>
      <c r="AC423">
        <v>-5</v>
      </c>
      <c r="AD423">
        <v>12.1</v>
      </c>
      <c r="AE423">
        <v>10.8</v>
      </c>
      <c r="AF423">
        <v>0</v>
      </c>
      <c r="AG423">
        <v>9.8000000000000007</v>
      </c>
      <c r="AH423">
        <v>10</v>
      </c>
      <c r="AI423">
        <v>11.7</v>
      </c>
      <c r="AJ423">
        <v>10</v>
      </c>
      <c r="AK423">
        <v>11.7</v>
      </c>
      <c r="AL423">
        <v>10</v>
      </c>
      <c r="AM423">
        <v>12.8</v>
      </c>
      <c r="AN423">
        <v>9</v>
      </c>
      <c r="AO423">
        <v>11</v>
      </c>
      <c r="AP423">
        <v>10</v>
      </c>
      <c r="AQ423">
        <v>10.9</v>
      </c>
      <c r="AR423">
        <v>10</v>
      </c>
      <c r="AS423">
        <v>9.3000000000000007</v>
      </c>
      <c r="AT423">
        <v>10</v>
      </c>
      <c r="AU423">
        <v>18.600000000000001</v>
      </c>
      <c r="AV423">
        <v>19</v>
      </c>
      <c r="AW423">
        <v>19.2</v>
      </c>
      <c r="AX423">
        <v>19</v>
      </c>
      <c r="AY423">
        <v>11.6</v>
      </c>
      <c r="AZ423">
        <v>10</v>
      </c>
      <c r="BA423">
        <v>9.8000000000000007</v>
      </c>
      <c r="BB423">
        <v>10</v>
      </c>
    </row>
    <row r="424" spans="1:54" x14ac:dyDescent="0.35">
      <c r="A424" s="1">
        <v>46059.749305555553</v>
      </c>
      <c r="B424">
        <v>22.1</v>
      </c>
      <c r="C424">
        <v>3</v>
      </c>
      <c r="D424">
        <v>20.7</v>
      </c>
      <c r="E424">
        <v>2</v>
      </c>
      <c r="F424">
        <v>9</v>
      </c>
      <c r="G424">
        <v>12.5</v>
      </c>
      <c r="H424">
        <v>0</v>
      </c>
      <c r="I424">
        <v>15.3</v>
      </c>
      <c r="J424">
        <v>11.2</v>
      </c>
      <c r="K424">
        <v>0</v>
      </c>
      <c r="L424">
        <v>12.9</v>
      </c>
      <c r="M424">
        <v>16.399999999999999</v>
      </c>
      <c r="N424">
        <v>0</v>
      </c>
      <c r="O424">
        <v>14.7</v>
      </c>
      <c r="P424">
        <v>10.4</v>
      </c>
      <c r="Q424">
        <v>0</v>
      </c>
      <c r="R424">
        <v>10.199999999999999</v>
      </c>
      <c r="S424">
        <v>13.6</v>
      </c>
      <c r="T424">
        <v>0</v>
      </c>
      <c r="U424">
        <v>-20</v>
      </c>
      <c r="V424">
        <v>-22.4</v>
      </c>
      <c r="W424">
        <v>-22</v>
      </c>
      <c r="X424">
        <v>-20.5</v>
      </c>
      <c r="Y424">
        <v>-19</v>
      </c>
      <c r="Z424">
        <v>-22</v>
      </c>
      <c r="AA424">
        <v>-4.3</v>
      </c>
      <c r="AB424">
        <v>-6.5</v>
      </c>
      <c r="AC424">
        <v>-5</v>
      </c>
      <c r="AD424">
        <v>12.1</v>
      </c>
      <c r="AE424">
        <v>10.8</v>
      </c>
      <c r="AF424">
        <v>0</v>
      </c>
      <c r="AG424">
        <v>10.199999999999999</v>
      </c>
      <c r="AH424">
        <v>10</v>
      </c>
      <c r="AI424">
        <v>11.8</v>
      </c>
      <c r="AJ424">
        <v>10</v>
      </c>
      <c r="AK424">
        <v>11.8</v>
      </c>
      <c r="AL424">
        <v>10</v>
      </c>
      <c r="AM424">
        <v>12.8</v>
      </c>
      <c r="AN424">
        <v>9</v>
      </c>
      <c r="AO424">
        <v>11.6</v>
      </c>
      <c r="AP424">
        <v>10</v>
      </c>
      <c r="AQ424">
        <v>10.9</v>
      </c>
      <c r="AR424">
        <v>10</v>
      </c>
      <c r="AS424">
        <v>9.8000000000000007</v>
      </c>
      <c r="AT424">
        <v>10</v>
      </c>
      <c r="AU424">
        <v>18.600000000000001</v>
      </c>
      <c r="AV424">
        <v>19</v>
      </c>
      <c r="AW424">
        <v>19.2</v>
      </c>
      <c r="AX424">
        <v>19</v>
      </c>
      <c r="AY424">
        <v>11.7</v>
      </c>
      <c r="AZ424">
        <v>10</v>
      </c>
      <c r="BA424">
        <v>9.6999999999999993</v>
      </c>
      <c r="BB424">
        <v>10</v>
      </c>
    </row>
    <row r="425" spans="1:54" x14ac:dyDescent="0.35">
      <c r="A425" s="1">
        <v>46059.75</v>
      </c>
      <c r="B425">
        <v>22.1</v>
      </c>
      <c r="C425">
        <v>3</v>
      </c>
      <c r="D425">
        <v>20.7</v>
      </c>
      <c r="E425">
        <v>2</v>
      </c>
      <c r="F425">
        <v>9</v>
      </c>
      <c r="G425">
        <v>12.5</v>
      </c>
      <c r="H425">
        <v>0</v>
      </c>
      <c r="I425">
        <v>15.3</v>
      </c>
      <c r="J425">
        <v>11.2</v>
      </c>
      <c r="K425">
        <v>0</v>
      </c>
      <c r="L425">
        <v>12.9</v>
      </c>
      <c r="M425">
        <v>16.399999999999999</v>
      </c>
      <c r="N425">
        <v>0</v>
      </c>
      <c r="O425">
        <v>14.7</v>
      </c>
      <c r="P425">
        <v>10.4</v>
      </c>
      <c r="Q425">
        <v>0</v>
      </c>
      <c r="R425">
        <v>10.199999999999999</v>
      </c>
      <c r="S425">
        <v>13.6</v>
      </c>
      <c r="T425">
        <v>0</v>
      </c>
      <c r="U425">
        <v>-20</v>
      </c>
      <c r="V425">
        <v>-22.2</v>
      </c>
      <c r="W425">
        <v>-22</v>
      </c>
      <c r="X425">
        <v>-20.5</v>
      </c>
      <c r="Y425">
        <v>-19</v>
      </c>
      <c r="Z425">
        <v>-22</v>
      </c>
      <c r="AA425">
        <v>-4.7</v>
      </c>
      <c r="AB425">
        <v>-7</v>
      </c>
      <c r="AC425">
        <v>-5</v>
      </c>
      <c r="AD425">
        <v>12.1</v>
      </c>
      <c r="AE425">
        <v>10.8</v>
      </c>
      <c r="AF425">
        <v>0</v>
      </c>
      <c r="AG425">
        <v>10.5</v>
      </c>
      <c r="AH425">
        <v>10</v>
      </c>
      <c r="AI425">
        <v>11.9</v>
      </c>
      <c r="AJ425">
        <v>10</v>
      </c>
      <c r="AK425">
        <v>11.8</v>
      </c>
      <c r="AL425">
        <v>10</v>
      </c>
      <c r="AM425">
        <v>12.8</v>
      </c>
      <c r="AN425">
        <v>9</v>
      </c>
      <c r="AO425">
        <v>11.9</v>
      </c>
      <c r="AP425">
        <v>10</v>
      </c>
      <c r="AQ425">
        <v>10.9</v>
      </c>
      <c r="AR425">
        <v>10</v>
      </c>
      <c r="AS425">
        <v>10.199999999999999</v>
      </c>
      <c r="AT425">
        <v>10</v>
      </c>
      <c r="AU425">
        <v>18.600000000000001</v>
      </c>
      <c r="AV425">
        <v>19</v>
      </c>
      <c r="AW425">
        <v>19.2</v>
      </c>
      <c r="AX425">
        <v>19</v>
      </c>
      <c r="AY425">
        <v>11.9</v>
      </c>
      <c r="AZ425">
        <v>10</v>
      </c>
      <c r="BA425">
        <v>10.1</v>
      </c>
      <c r="BB425">
        <v>10</v>
      </c>
    </row>
    <row r="426" spans="1:54" x14ac:dyDescent="0.35">
      <c r="A426" s="1">
        <v>46059.750694444447</v>
      </c>
      <c r="B426">
        <v>22.1</v>
      </c>
      <c r="C426">
        <v>3</v>
      </c>
      <c r="D426">
        <v>20.7</v>
      </c>
      <c r="E426">
        <v>2</v>
      </c>
      <c r="F426">
        <v>9</v>
      </c>
      <c r="G426">
        <v>12.5</v>
      </c>
      <c r="H426">
        <v>0</v>
      </c>
      <c r="I426">
        <v>15.3</v>
      </c>
      <c r="J426">
        <v>11.2</v>
      </c>
      <c r="K426">
        <v>0</v>
      </c>
      <c r="L426">
        <v>12.9</v>
      </c>
      <c r="M426">
        <v>16.399999999999999</v>
      </c>
      <c r="N426">
        <v>0</v>
      </c>
      <c r="O426">
        <v>14.7</v>
      </c>
      <c r="P426">
        <v>10.4</v>
      </c>
      <c r="Q426">
        <v>0</v>
      </c>
      <c r="R426">
        <v>10.3</v>
      </c>
      <c r="S426">
        <v>13.6</v>
      </c>
      <c r="T426">
        <v>0</v>
      </c>
      <c r="U426">
        <v>-19.8</v>
      </c>
      <c r="V426">
        <v>-20</v>
      </c>
      <c r="W426">
        <v>-22</v>
      </c>
      <c r="X426">
        <v>-20</v>
      </c>
      <c r="Y426">
        <v>-19</v>
      </c>
      <c r="Z426">
        <v>-22</v>
      </c>
      <c r="AA426">
        <v>-5.0999999999999996</v>
      </c>
      <c r="AB426">
        <v>-7.4</v>
      </c>
      <c r="AC426">
        <v>-5</v>
      </c>
      <c r="AD426">
        <v>12.1</v>
      </c>
      <c r="AE426">
        <v>10.8</v>
      </c>
      <c r="AF426">
        <v>0</v>
      </c>
      <c r="AG426">
        <v>10.7</v>
      </c>
      <c r="AH426">
        <v>10</v>
      </c>
      <c r="AI426">
        <v>12</v>
      </c>
      <c r="AJ426">
        <v>10</v>
      </c>
      <c r="AK426">
        <v>11.9</v>
      </c>
      <c r="AL426">
        <v>10</v>
      </c>
      <c r="AM426">
        <v>12.8</v>
      </c>
      <c r="AN426">
        <v>9</v>
      </c>
      <c r="AO426">
        <v>11.9</v>
      </c>
      <c r="AP426">
        <v>10</v>
      </c>
      <c r="AQ426">
        <v>10.9</v>
      </c>
      <c r="AR426">
        <v>10</v>
      </c>
      <c r="AS426">
        <v>10.5</v>
      </c>
      <c r="AT426">
        <v>10</v>
      </c>
      <c r="AU426">
        <v>18.600000000000001</v>
      </c>
      <c r="AV426">
        <v>19</v>
      </c>
      <c r="AW426">
        <v>19.2</v>
      </c>
      <c r="AX426">
        <v>19</v>
      </c>
      <c r="AY426">
        <v>11.9</v>
      </c>
      <c r="AZ426">
        <v>10</v>
      </c>
      <c r="BA426">
        <v>10.4</v>
      </c>
      <c r="BB426">
        <v>10</v>
      </c>
    </row>
    <row r="427" spans="1:54" x14ac:dyDescent="0.35">
      <c r="A427" s="1">
        <v>46059.751388888886</v>
      </c>
      <c r="B427">
        <v>22.1</v>
      </c>
      <c r="C427">
        <v>3</v>
      </c>
      <c r="D427">
        <v>20.7</v>
      </c>
      <c r="E427">
        <v>2</v>
      </c>
      <c r="F427">
        <v>9</v>
      </c>
      <c r="G427">
        <v>12.5</v>
      </c>
      <c r="H427">
        <v>0</v>
      </c>
      <c r="I427">
        <v>15.3</v>
      </c>
      <c r="J427">
        <v>11.2</v>
      </c>
      <c r="K427">
        <v>0</v>
      </c>
      <c r="L427">
        <v>12.9</v>
      </c>
      <c r="M427">
        <v>16.399999999999999</v>
      </c>
      <c r="N427">
        <v>0</v>
      </c>
      <c r="O427">
        <v>14.7</v>
      </c>
      <c r="P427">
        <v>10.4</v>
      </c>
      <c r="Q427">
        <v>0</v>
      </c>
      <c r="R427">
        <v>10.3</v>
      </c>
      <c r="S427">
        <v>13.6</v>
      </c>
      <c r="T427">
        <v>0</v>
      </c>
      <c r="U427">
        <v>-18.899999999999999</v>
      </c>
      <c r="V427">
        <v>-18.899999999999999</v>
      </c>
      <c r="W427">
        <v>-22</v>
      </c>
      <c r="X427">
        <v>-19.2</v>
      </c>
      <c r="Y427">
        <v>-18.899999999999999</v>
      </c>
      <c r="Z427">
        <v>-22</v>
      </c>
      <c r="AA427">
        <v>-4.9000000000000004</v>
      </c>
      <c r="AB427">
        <v>-5.6</v>
      </c>
      <c r="AC427">
        <v>-5</v>
      </c>
      <c r="AD427">
        <v>12.1</v>
      </c>
      <c r="AE427">
        <v>10.8</v>
      </c>
      <c r="AF427">
        <v>0</v>
      </c>
      <c r="AG427">
        <v>10.9</v>
      </c>
      <c r="AH427">
        <v>10</v>
      </c>
      <c r="AI427">
        <v>11.4</v>
      </c>
      <c r="AJ427">
        <v>10</v>
      </c>
      <c r="AK427">
        <v>11.9</v>
      </c>
      <c r="AL427">
        <v>10</v>
      </c>
      <c r="AM427">
        <v>12.8</v>
      </c>
      <c r="AN427">
        <v>9</v>
      </c>
      <c r="AO427">
        <v>11</v>
      </c>
      <c r="AP427">
        <v>10</v>
      </c>
      <c r="AQ427">
        <v>10.9</v>
      </c>
      <c r="AR427">
        <v>10</v>
      </c>
      <c r="AS427">
        <v>10.8</v>
      </c>
      <c r="AT427">
        <v>10</v>
      </c>
      <c r="AU427">
        <v>18.600000000000001</v>
      </c>
      <c r="AV427">
        <v>19</v>
      </c>
      <c r="AW427">
        <v>19.2</v>
      </c>
      <c r="AX427">
        <v>19</v>
      </c>
      <c r="AY427">
        <v>11</v>
      </c>
      <c r="AZ427">
        <v>10</v>
      </c>
      <c r="BA427">
        <v>10.8</v>
      </c>
      <c r="BB427">
        <v>10</v>
      </c>
    </row>
    <row r="428" spans="1:54" x14ac:dyDescent="0.35">
      <c r="A428" s="1">
        <v>46059.752083333333</v>
      </c>
      <c r="B428">
        <v>22.1</v>
      </c>
      <c r="C428">
        <v>3</v>
      </c>
      <c r="D428">
        <v>20.7</v>
      </c>
      <c r="E428">
        <v>2</v>
      </c>
      <c r="F428">
        <v>9</v>
      </c>
      <c r="G428">
        <v>12.6</v>
      </c>
      <c r="H428">
        <v>0</v>
      </c>
      <c r="I428">
        <v>15.3</v>
      </c>
      <c r="J428">
        <v>11.2</v>
      </c>
      <c r="K428">
        <v>0</v>
      </c>
      <c r="L428">
        <v>12.9</v>
      </c>
      <c r="M428">
        <v>16.399999999999999</v>
      </c>
      <c r="N428">
        <v>0</v>
      </c>
      <c r="O428">
        <v>14.7</v>
      </c>
      <c r="P428">
        <v>10.4</v>
      </c>
      <c r="Q428">
        <v>0</v>
      </c>
      <c r="R428">
        <v>10.3</v>
      </c>
      <c r="S428">
        <v>13.6</v>
      </c>
      <c r="T428">
        <v>0</v>
      </c>
      <c r="U428">
        <v>-18.2</v>
      </c>
      <c r="V428">
        <v>-17.899999999999999</v>
      </c>
      <c r="W428">
        <v>-22</v>
      </c>
      <c r="X428">
        <v>-18.3</v>
      </c>
      <c r="Y428">
        <v>-18.600000000000001</v>
      </c>
      <c r="Z428">
        <v>-22</v>
      </c>
      <c r="AA428">
        <v>-4</v>
      </c>
      <c r="AB428">
        <v>-4.2</v>
      </c>
      <c r="AC428">
        <v>-5</v>
      </c>
      <c r="AD428">
        <v>12.1</v>
      </c>
      <c r="AE428">
        <v>10.8</v>
      </c>
      <c r="AF428">
        <v>0</v>
      </c>
      <c r="AG428">
        <v>11.1</v>
      </c>
      <c r="AH428">
        <v>10</v>
      </c>
      <c r="AI428">
        <v>9.6</v>
      </c>
      <c r="AJ428">
        <v>10</v>
      </c>
      <c r="AK428">
        <v>11.9</v>
      </c>
      <c r="AL428">
        <v>10</v>
      </c>
      <c r="AM428">
        <v>12.8</v>
      </c>
      <c r="AN428">
        <v>9</v>
      </c>
      <c r="AO428">
        <v>10.4</v>
      </c>
      <c r="AP428">
        <v>10</v>
      </c>
      <c r="AQ428">
        <v>10.7</v>
      </c>
      <c r="AR428">
        <v>10</v>
      </c>
      <c r="AS428">
        <v>11</v>
      </c>
      <c r="AT428">
        <v>10</v>
      </c>
      <c r="AU428">
        <v>18.600000000000001</v>
      </c>
      <c r="AV428">
        <v>19</v>
      </c>
      <c r="AW428">
        <v>19.2</v>
      </c>
      <c r="AX428">
        <v>19</v>
      </c>
      <c r="AY428">
        <v>10.1</v>
      </c>
      <c r="AZ428">
        <v>10</v>
      </c>
      <c r="BA428">
        <v>11.2</v>
      </c>
      <c r="BB428">
        <v>10</v>
      </c>
    </row>
    <row r="429" spans="1:54" x14ac:dyDescent="0.35">
      <c r="A429" s="1">
        <v>46059.75277777778</v>
      </c>
      <c r="B429">
        <v>22.1</v>
      </c>
      <c r="C429">
        <v>3</v>
      </c>
      <c r="D429">
        <v>20.7</v>
      </c>
      <c r="E429">
        <v>2</v>
      </c>
      <c r="F429">
        <v>9</v>
      </c>
      <c r="G429">
        <v>12.6</v>
      </c>
      <c r="H429">
        <v>0</v>
      </c>
      <c r="I429">
        <v>15.3</v>
      </c>
      <c r="J429">
        <v>11.2</v>
      </c>
      <c r="K429">
        <v>0</v>
      </c>
      <c r="L429">
        <v>12.9</v>
      </c>
      <c r="M429">
        <v>16.399999999999999</v>
      </c>
      <c r="N429">
        <v>0</v>
      </c>
      <c r="O429">
        <v>14.7</v>
      </c>
      <c r="P429">
        <v>10.4</v>
      </c>
      <c r="Q429">
        <v>0</v>
      </c>
      <c r="R429">
        <v>10.3</v>
      </c>
      <c r="S429">
        <v>13.6</v>
      </c>
      <c r="T429">
        <v>0</v>
      </c>
      <c r="U429">
        <v>-18.2</v>
      </c>
      <c r="V429">
        <v>-16.600000000000001</v>
      </c>
      <c r="W429">
        <v>-22</v>
      </c>
      <c r="X429">
        <v>-16.100000000000001</v>
      </c>
      <c r="Y429">
        <v>-12.4</v>
      </c>
      <c r="Z429">
        <v>-22</v>
      </c>
      <c r="AA429">
        <v>-3.3</v>
      </c>
      <c r="AB429">
        <v>-3.3</v>
      </c>
      <c r="AC429">
        <v>-5</v>
      </c>
      <c r="AD429">
        <v>12.1</v>
      </c>
      <c r="AE429">
        <v>10.7</v>
      </c>
      <c r="AF429">
        <v>0</v>
      </c>
      <c r="AG429">
        <v>11.2</v>
      </c>
      <c r="AH429">
        <v>10</v>
      </c>
      <c r="AI429">
        <v>8.8000000000000007</v>
      </c>
      <c r="AJ429">
        <v>10</v>
      </c>
      <c r="AK429">
        <v>11.9</v>
      </c>
      <c r="AL429">
        <v>10</v>
      </c>
      <c r="AM429">
        <v>12.8</v>
      </c>
      <c r="AN429">
        <v>9</v>
      </c>
      <c r="AO429">
        <v>10.1</v>
      </c>
      <c r="AP429">
        <v>10</v>
      </c>
      <c r="AQ429">
        <v>10.7</v>
      </c>
      <c r="AR429">
        <v>10</v>
      </c>
      <c r="AS429">
        <v>11.3</v>
      </c>
      <c r="AT429">
        <v>10</v>
      </c>
      <c r="AU429">
        <v>18.600000000000001</v>
      </c>
      <c r="AV429">
        <v>19</v>
      </c>
      <c r="AW429">
        <v>19.2</v>
      </c>
      <c r="AX429">
        <v>19</v>
      </c>
      <c r="AY429">
        <v>9.6999999999999993</v>
      </c>
      <c r="AZ429">
        <v>10</v>
      </c>
      <c r="BA429">
        <v>11.5</v>
      </c>
      <c r="BB429">
        <v>10</v>
      </c>
    </row>
    <row r="430" spans="1:54" x14ac:dyDescent="0.35">
      <c r="A430" s="1">
        <v>46059.754166666666</v>
      </c>
      <c r="B430">
        <v>22.1</v>
      </c>
      <c r="C430">
        <v>3</v>
      </c>
      <c r="D430">
        <v>20.7</v>
      </c>
      <c r="E430">
        <v>2</v>
      </c>
      <c r="F430">
        <v>9.1</v>
      </c>
      <c r="G430">
        <v>12.6</v>
      </c>
      <c r="H430">
        <v>0</v>
      </c>
      <c r="I430">
        <v>15.3</v>
      </c>
      <c r="J430">
        <v>11.2</v>
      </c>
      <c r="K430">
        <v>0</v>
      </c>
      <c r="L430">
        <v>12.9</v>
      </c>
      <c r="M430">
        <v>16.399999999999999</v>
      </c>
      <c r="N430">
        <v>0</v>
      </c>
      <c r="O430">
        <v>14.7</v>
      </c>
      <c r="P430">
        <v>10.4</v>
      </c>
      <c r="Q430">
        <v>0</v>
      </c>
      <c r="R430">
        <v>10.3</v>
      </c>
      <c r="S430">
        <v>13.6</v>
      </c>
      <c r="T430">
        <v>0</v>
      </c>
      <c r="U430">
        <v>-18.2</v>
      </c>
      <c r="V430">
        <v>-10.3</v>
      </c>
      <c r="W430">
        <v>-22</v>
      </c>
      <c r="X430">
        <v>-14.3</v>
      </c>
      <c r="Y430">
        <v>-15.1</v>
      </c>
      <c r="Z430">
        <v>-22</v>
      </c>
      <c r="AA430">
        <v>-2.8</v>
      </c>
      <c r="AB430">
        <v>-4.0999999999999996</v>
      </c>
      <c r="AC430">
        <v>-5</v>
      </c>
      <c r="AD430">
        <v>12.1</v>
      </c>
      <c r="AE430">
        <v>10.7</v>
      </c>
      <c r="AF430">
        <v>0</v>
      </c>
      <c r="AG430">
        <v>11.5</v>
      </c>
      <c r="AH430">
        <v>10</v>
      </c>
      <c r="AI430">
        <v>9</v>
      </c>
      <c r="AJ430">
        <v>10</v>
      </c>
      <c r="AK430">
        <v>11.9</v>
      </c>
      <c r="AL430">
        <v>10</v>
      </c>
      <c r="AM430">
        <v>12.7</v>
      </c>
      <c r="AN430">
        <v>9</v>
      </c>
      <c r="AO430">
        <v>11</v>
      </c>
      <c r="AP430">
        <v>10</v>
      </c>
      <c r="AQ430">
        <v>10.6</v>
      </c>
      <c r="AR430">
        <v>10</v>
      </c>
      <c r="AS430">
        <v>11.7</v>
      </c>
      <c r="AT430">
        <v>10</v>
      </c>
      <c r="AU430">
        <v>18.600000000000001</v>
      </c>
      <c r="AV430">
        <v>19</v>
      </c>
      <c r="AW430">
        <v>19.2</v>
      </c>
      <c r="AX430">
        <v>19</v>
      </c>
      <c r="AY430">
        <v>10.199999999999999</v>
      </c>
      <c r="AZ430">
        <v>10</v>
      </c>
      <c r="BA430">
        <v>12</v>
      </c>
      <c r="BB430">
        <v>10</v>
      </c>
    </row>
    <row r="431" spans="1:54" x14ac:dyDescent="0.35">
      <c r="A431" s="1">
        <v>46059.754861111112</v>
      </c>
      <c r="B431">
        <v>22.1</v>
      </c>
      <c r="C431">
        <v>3</v>
      </c>
      <c r="D431">
        <v>20.8</v>
      </c>
      <c r="E431">
        <v>2</v>
      </c>
      <c r="F431">
        <v>9.1</v>
      </c>
      <c r="G431">
        <v>12.6</v>
      </c>
      <c r="H431">
        <v>0</v>
      </c>
      <c r="I431">
        <v>15.3</v>
      </c>
      <c r="J431">
        <v>11.2</v>
      </c>
      <c r="K431">
        <v>0</v>
      </c>
      <c r="L431">
        <v>13</v>
      </c>
      <c r="M431">
        <v>16.399999999999999</v>
      </c>
      <c r="N431">
        <v>0</v>
      </c>
      <c r="O431">
        <v>14.7</v>
      </c>
      <c r="P431">
        <v>10.4</v>
      </c>
      <c r="Q431">
        <v>0</v>
      </c>
      <c r="R431">
        <v>10.3</v>
      </c>
      <c r="S431">
        <v>13.7</v>
      </c>
      <c r="T431">
        <v>0</v>
      </c>
      <c r="U431">
        <v>-18.2</v>
      </c>
      <c r="V431">
        <v>-6.4</v>
      </c>
      <c r="W431">
        <v>-22</v>
      </c>
      <c r="X431">
        <v>-14</v>
      </c>
      <c r="Y431">
        <v>-15.3</v>
      </c>
      <c r="Z431">
        <v>-22</v>
      </c>
      <c r="AA431">
        <v>-3.4</v>
      </c>
      <c r="AB431">
        <v>-5.2</v>
      </c>
      <c r="AC431">
        <v>-5</v>
      </c>
      <c r="AD431">
        <v>12.1</v>
      </c>
      <c r="AE431">
        <v>10.7</v>
      </c>
      <c r="AF431">
        <v>0</v>
      </c>
      <c r="AG431">
        <v>11.6</v>
      </c>
      <c r="AH431">
        <v>10</v>
      </c>
      <c r="AI431">
        <v>9.3000000000000007</v>
      </c>
      <c r="AJ431">
        <v>10</v>
      </c>
      <c r="AK431">
        <v>11.9</v>
      </c>
      <c r="AL431">
        <v>10</v>
      </c>
      <c r="AM431">
        <v>12.7</v>
      </c>
      <c r="AN431">
        <v>9</v>
      </c>
      <c r="AO431">
        <v>11.5</v>
      </c>
      <c r="AP431">
        <v>10</v>
      </c>
      <c r="AQ431">
        <v>10.6</v>
      </c>
      <c r="AR431">
        <v>10</v>
      </c>
      <c r="AS431">
        <v>11.8</v>
      </c>
      <c r="AT431">
        <v>10</v>
      </c>
      <c r="AU431">
        <v>18.600000000000001</v>
      </c>
      <c r="AV431">
        <v>19</v>
      </c>
      <c r="AW431">
        <v>19.2</v>
      </c>
      <c r="AX431">
        <v>19</v>
      </c>
      <c r="AY431">
        <v>10.6</v>
      </c>
      <c r="AZ431">
        <v>10</v>
      </c>
      <c r="BA431">
        <v>11.9</v>
      </c>
      <c r="BB431">
        <v>10</v>
      </c>
    </row>
    <row r="432" spans="1:54" x14ac:dyDescent="0.35">
      <c r="A432" s="1">
        <v>46059.755555555559</v>
      </c>
      <c r="B432">
        <v>22.1</v>
      </c>
      <c r="C432">
        <v>3</v>
      </c>
      <c r="D432">
        <v>20.8</v>
      </c>
      <c r="E432">
        <v>2</v>
      </c>
      <c r="F432">
        <v>9.1</v>
      </c>
      <c r="G432">
        <v>12.6</v>
      </c>
      <c r="H432">
        <v>0</v>
      </c>
      <c r="I432">
        <v>15.3</v>
      </c>
      <c r="J432">
        <v>11.2</v>
      </c>
      <c r="K432">
        <v>0</v>
      </c>
      <c r="L432">
        <v>13</v>
      </c>
      <c r="M432">
        <v>16.399999999999999</v>
      </c>
      <c r="N432">
        <v>0</v>
      </c>
      <c r="O432">
        <v>14.7</v>
      </c>
      <c r="P432">
        <v>10.4</v>
      </c>
      <c r="Q432">
        <v>0</v>
      </c>
      <c r="R432">
        <v>10.3</v>
      </c>
      <c r="S432">
        <v>13.7</v>
      </c>
      <c r="T432">
        <v>0</v>
      </c>
      <c r="U432">
        <v>-18.2</v>
      </c>
      <c r="V432">
        <v>-3.4</v>
      </c>
      <c r="W432">
        <v>-22</v>
      </c>
      <c r="X432">
        <v>-13.7</v>
      </c>
      <c r="Y432">
        <v>-15.3</v>
      </c>
      <c r="Z432">
        <v>-22</v>
      </c>
      <c r="AA432">
        <v>-3.8</v>
      </c>
      <c r="AB432">
        <v>-5.9</v>
      </c>
      <c r="AC432">
        <v>-5</v>
      </c>
      <c r="AD432">
        <v>12.1</v>
      </c>
      <c r="AE432">
        <v>10.7</v>
      </c>
      <c r="AF432">
        <v>0</v>
      </c>
      <c r="AG432">
        <v>11.7</v>
      </c>
      <c r="AH432">
        <v>10</v>
      </c>
      <c r="AI432">
        <v>9.6</v>
      </c>
      <c r="AJ432">
        <v>10</v>
      </c>
      <c r="AK432">
        <v>12</v>
      </c>
      <c r="AL432">
        <v>10</v>
      </c>
      <c r="AM432">
        <v>12.7</v>
      </c>
      <c r="AN432">
        <v>9</v>
      </c>
      <c r="AO432">
        <v>11.8</v>
      </c>
      <c r="AP432">
        <v>10</v>
      </c>
      <c r="AQ432">
        <v>10.6</v>
      </c>
      <c r="AR432">
        <v>10</v>
      </c>
      <c r="AS432">
        <v>12</v>
      </c>
      <c r="AT432">
        <v>10</v>
      </c>
      <c r="AU432">
        <v>18.600000000000001</v>
      </c>
      <c r="AV432">
        <v>19</v>
      </c>
      <c r="AW432">
        <v>19.3</v>
      </c>
      <c r="AX432">
        <v>19</v>
      </c>
      <c r="AY432">
        <v>10.9</v>
      </c>
      <c r="AZ432">
        <v>10</v>
      </c>
      <c r="BA432">
        <v>11.1</v>
      </c>
      <c r="BB432">
        <v>10</v>
      </c>
    </row>
    <row r="433" spans="1:54" x14ac:dyDescent="0.35">
      <c r="A433" s="1">
        <v>46059.756249999999</v>
      </c>
      <c r="B433">
        <v>22.1</v>
      </c>
      <c r="C433">
        <v>3</v>
      </c>
      <c r="D433">
        <v>20.8</v>
      </c>
      <c r="E433">
        <v>2</v>
      </c>
      <c r="F433">
        <v>9.1</v>
      </c>
      <c r="G433">
        <v>12.6</v>
      </c>
      <c r="H433">
        <v>0</v>
      </c>
      <c r="I433">
        <v>15.3</v>
      </c>
      <c r="J433">
        <v>11.2</v>
      </c>
      <c r="K433">
        <v>0</v>
      </c>
      <c r="L433">
        <v>13</v>
      </c>
      <c r="M433">
        <v>16.399999999999999</v>
      </c>
      <c r="N433">
        <v>0</v>
      </c>
      <c r="O433">
        <v>14.8</v>
      </c>
      <c r="P433">
        <v>10.4</v>
      </c>
      <c r="Q433">
        <v>0</v>
      </c>
      <c r="R433">
        <v>10.3</v>
      </c>
      <c r="S433">
        <v>13.7</v>
      </c>
      <c r="T433">
        <v>0</v>
      </c>
      <c r="U433">
        <v>-18.2</v>
      </c>
      <c r="V433">
        <v>-1.4</v>
      </c>
      <c r="W433">
        <v>-22</v>
      </c>
      <c r="X433">
        <v>-13.4</v>
      </c>
      <c r="Y433">
        <v>-15.3</v>
      </c>
      <c r="Z433">
        <v>-22</v>
      </c>
      <c r="AA433">
        <v>-4.3</v>
      </c>
      <c r="AB433">
        <v>-6.5</v>
      </c>
      <c r="AC433">
        <v>-5</v>
      </c>
      <c r="AD433">
        <v>12.1</v>
      </c>
      <c r="AE433">
        <v>10.7</v>
      </c>
      <c r="AF433">
        <v>0</v>
      </c>
      <c r="AG433">
        <v>11.8</v>
      </c>
      <c r="AH433">
        <v>10</v>
      </c>
      <c r="AI433">
        <v>9.9</v>
      </c>
      <c r="AJ433">
        <v>10</v>
      </c>
      <c r="AK433">
        <v>10.7</v>
      </c>
      <c r="AL433">
        <v>10</v>
      </c>
      <c r="AM433">
        <v>12.7</v>
      </c>
      <c r="AN433">
        <v>9</v>
      </c>
      <c r="AO433">
        <v>12</v>
      </c>
      <c r="AP433">
        <v>10</v>
      </c>
      <c r="AQ433">
        <v>10.6</v>
      </c>
      <c r="AR433">
        <v>10</v>
      </c>
      <c r="AS433">
        <v>9.6999999999999993</v>
      </c>
      <c r="AT433">
        <v>10</v>
      </c>
      <c r="AU433">
        <v>18.600000000000001</v>
      </c>
      <c r="AV433">
        <v>19</v>
      </c>
      <c r="AW433">
        <v>19.3</v>
      </c>
      <c r="AX433">
        <v>19</v>
      </c>
      <c r="AY433">
        <v>11.2</v>
      </c>
      <c r="AZ433">
        <v>10</v>
      </c>
      <c r="BA433">
        <v>10.3</v>
      </c>
      <c r="BB433">
        <v>10</v>
      </c>
    </row>
    <row r="434" spans="1:54" x14ac:dyDescent="0.35">
      <c r="A434" s="1">
        <v>46059.756944444445</v>
      </c>
      <c r="B434">
        <v>22.1</v>
      </c>
      <c r="C434">
        <v>3</v>
      </c>
      <c r="D434">
        <v>20.8</v>
      </c>
      <c r="E434">
        <v>2</v>
      </c>
      <c r="F434">
        <v>9.1</v>
      </c>
      <c r="G434">
        <v>12.6</v>
      </c>
      <c r="H434">
        <v>0</v>
      </c>
      <c r="I434">
        <v>15.3</v>
      </c>
      <c r="J434">
        <v>11.2</v>
      </c>
      <c r="K434">
        <v>0</v>
      </c>
      <c r="L434">
        <v>13</v>
      </c>
      <c r="M434">
        <v>16.399999999999999</v>
      </c>
      <c r="N434">
        <v>0</v>
      </c>
      <c r="O434">
        <v>14.8</v>
      </c>
      <c r="P434">
        <v>10.4</v>
      </c>
      <c r="Q434">
        <v>0</v>
      </c>
      <c r="R434">
        <v>10.3</v>
      </c>
      <c r="S434">
        <v>13.7</v>
      </c>
      <c r="T434">
        <v>0</v>
      </c>
      <c r="U434">
        <v>-18.2</v>
      </c>
      <c r="V434">
        <v>-0.2</v>
      </c>
      <c r="W434">
        <v>-22</v>
      </c>
      <c r="X434">
        <v>-13.2</v>
      </c>
      <c r="Y434">
        <v>-15.4</v>
      </c>
      <c r="Z434">
        <v>-22</v>
      </c>
      <c r="AA434">
        <v>-4.8</v>
      </c>
      <c r="AB434">
        <v>-7</v>
      </c>
      <c r="AC434">
        <v>-5</v>
      </c>
      <c r="AD434">
        <v>12.1</v>
      </c>
      <c r="AE434">
        <v>10.7</v>
      </c>
      <c r="AF434">
        <v>0</v>
      </c>
      <c r="AG434">
        <v>11.9</v>
      </c>
      <c r="AH434">
        <v>10</v>
      </c>
      <c r="AI434">
        <v>10.1</v>
      </c>
      <c r="AJ434">
        <v>10</v>
      </c>
      <c r="AK434">
        <v>9.5</v>
      </c>
      <c r="AL434">
        <v>10</v>
      </c>
      <c r="AM434">
        <v>12.7</v>
      </c>
      <c r="AN434">
        <v>9</v>
      </c>
      <c r="AO434">
        <v>11.6</v>
      </c>
      <c r="AP434">
        <v>10</v>
      </c>
      <c r="AQ434">
        <v>10.6</v>
      </c>
      <c r="AR434">
        <v>10</v>
      </c>
      <c r="AS434">
        <v>8.1</v>
      </c>
      <c r="AT434">
        <v>10</v>
      </c>
      <c r="AU434">
        <v>18.600000000000001</v>
      </c>
      <c r="AV434">
        <v>19</v>
      </c>
      <c r="AW434">
        <v>19.3</v>
      </c>
      <c r="AX434">
        <v>19</v>
      </c>
      <c r="AY434">
        <v>11.4</v>
      </c>
      <c r="AZ434">
        <v>10</v>
      </c>
      <c r="BA434">
        <v>9.6999999999999993</v>
      </c>
      <c r="BB434">
        <v>10</v>
      </c>
    </row>
    <row r="435" spans="1:54" x14ac:dyDescent="0.35">
      <c r="A435" s="1">
        <v>46059.758333333331</v>
      </c>
      <c r="B435">
        <v>22.1</v>
      </c>
      <c r="C435">
        <v>3</v>
      </c>
      <c r="D435">
        <v>20.8</v>
      </c>
      <c r="E435">
        <v>2</v>
      </c>
      <c r="F435">
        <v>9.1</v>
      </c>
      <c r="G435">
        <v>12.6</v>
      </c>
      <c r="H435">
        <v>0</v>
      </c>
      <c r="I435">
        <v>15.3</v>
      </c>
      <c r="J435">
        <v>11.2</v>
      </c>
      <c r="K435">
        <v>0</v>
      </c>
      <c r="L435">
        <v>13</v>
      </c>
      <c r="M435">
        <v>16.399999999999999</v>
      </c>
      <c r="N435">
        <v>0</v>
      </c>
      <c r="O435">
        <v>14.8</v>
      </c>
      <c r="P435">
        <v>10.5</v>
      </c>
      <c r="Q435">
        <v>0</v>
      </c>
      <c r="R435">
        <v>10.3</v>
      </c>
      <c r="S435">
        <v>13.7</v>
      </c>
      <c r="T435">
        <v>0</v>
      </c>
      <c r="U435">
        <v>-18.2</v>
      </c>
      <c r="V435">
        <v>0.1</v>
      </c>
      <c r="W435">
        <v>-22</v>
      </c>
      <c r="X435">
        <v>-13</v>
      </c>
      <c r="Y435">
        <v>-15.8</v>
      </c>
      <c r="Z435">
        <v>-22</v>
      </c>
      <c r="AA435">
        <v>-4.9000000000000004</v>
      </c>
      <c r="AB435">
        <v>-5.6</v>
      </c>
      <c r="AC435">
        <v>-5</v>
      </c>
      <c r="AD435">
        <v>12.1</v>
      </c>
      <c r="AE435">
        <v>10.7</v>
      </c>
      <c r="AF435">
        <v>0</v>
      </c>
      <c r="AG435">
        <v>11.5</v>
      </c>
      <c r="AH435">
        <v>10</v>
      </c>
      <c r="AI435">
        <v>10.5</v>
      </c>
      <c r="AJ435">
        <v>10</v>
      </c>
      <c r="AK435">
        <v>9.9</v>
      </c>
      <c r="AL435">
        <v>10</v>
      </c>
      <c r="AM435">
        <v>12.7</v>
      </c>
      <c r="AN435">
        <v>9</v>
      </c>
      <c r="AO435">
        <v>10.199999999999999</v>
      </c>
      <c r="AP435">
        <v>10</v>
      </c>
      <c r="AQ435">
        <v>10.6</v>
      </c>
      <c r="AR435">
        <v>10</v>
      </c>
      <c r="AS435">
        <v>8.8000000000000007</v>
      </c>
      <c r="AT435">
        <v>10</v>
      </c>
      <c r="AU435">
        <v>18.600000000000001</v>
      </c>
      <c r="AV435">
        <v>19</v>
      </c>
      <c r="AW435">
        <v>19.2</v>
      </c>
      <c r="AX435">
        <v>19</v>
      </c>
      <c r="AY435">
        <v>11.8</v>
      </c>
      <c r="AZ435">
        <v>10</v>
      </c>
      <c r="BA435">
        <v>10.1</v>
      </c>
      <c r="BB435">
        <v>10</v>
      </c>
    </row>
    <row r="436" spans="1:54" x14ac:dyDescent="0.35">
      <c r="A436" s="1">
        <v>46059.759027777778</v>
      </c>
      <c r="B436">
        <v>22.1</v>
      </c>
      <c r="C436">
        <v>3</v>
      </c>
      <c r="D436">
        <v>20.8</v>
      </c>
      <c r="E436">
        <v>2</v>
      </c>
      <c r="F436">
        <v>9.1</v>
      </c>
      <c r="G436">
        <v>12.6</v>
      </c>
      <c r="H436">
        <v>0</v>
      </c>
      <c r="I436">
        <v>15.3</v>
      </c>
      <c r="J436">
        <v>11.3</v>
      </c>
      <c r="K436">
        <v>0</v>
      </c>
      <c r="L436">
        <v>13</v>
      </c>
      <c r="M436">
        <v>16.399999999999999</v>
      </c>
      <c r="N436">
        <v>0</v>
      </c>
      <c r="O436">
        <v>14.8</v>
      </c>
      <c r="P436">
        <v>10.5</v>
      </c>
      <c r="Q436">
        <v>0</v>
      </c>
      <c r="R436">
        <v>10.3</v>
      </c>
      <c r="S436">
        <v>13.7</v>
      </c>
      <c r="T436">
        <v>0</v>
      </c>
      <c r="U436">
        <v>-18.2</v>
      </c>
      <c r="V436">
        <v>0.3</v>
      </c>
      <c r="W436">
        <v>-22</v>
      </c>
      <c r="X436">
        <v>-12.9</v>
      </c>
      <c r="Y436">
        <v>-16</v>
      </c>
      <c r="Z436">
        <v>-22</v>
      </c>
      <c r="AA436">
        <v>-3.8</v>
      </c>
      <c r="AB436">
        <v>-4</v>
      </c>
      <c r="AC436">
        <v>-5</v>
      </c>
      <c r="AD436">
        <v>12.1</v>
      </c>
      <c r="AE436">
        <v>10.7</v>
      </c>
      <c r="AF436">
        <v>0</v>
      </c>
      <c r="AG436">
        <v>10.7</v>
      </c>
      <c r="AH436">
        <v>10</v>
      </c>
      <c r="AI436">
        <v>10.7</v>
      </c>
      <c r="AJ436">
        <v>10</v>
      </c>
      <c r="AK436">
        <v>10.199999999999999</v>
      </c>
      <c r="AL436">
        <v>10</v>
      </c>
      <c r="AM436">
        <v>12.7</v>
      </c>
      <c r="AN436">
        <v>9</v>
      </c>
      <c r="AO436">
        <v>10</v>
      </c>
      <c r="AP436">
        <v>10</v>
      </c>
      <c r="AQ436">
        <v>10.6</v>
      </c>
      <c r="AR436">
        <v>10</v>
      </c>
      <c r="AS436">
        <v>9.4</v>
      </c>
      <c r="AT436">
        <v>10</v>
      </c>
      <c r="AU436">
        <v>18.600000000000001</v>
      </c>
      <c r="AV436">
        <v>19</v>
      </c>
      <c r="AW436">
        <v>19.2</v>
      </c>
      <c r="AX436">
        <v>19</v>
      </c>
      <c r="AY436">
        <v>12</v>
      </c>
      <c r="AZ436">
        <v>10</v>
      </c>
      <c r="BA436">
        <v>10.5</v>
      </c>
      <c r="BB436">
        <v>10</v>
      </c>
    </row>
    <row r="437" spans="1:54" x14ac:dyDescent="0.35">
      <c r="A437" s="1">
        <v>46059.759722222225</v>
      </c>
      <c r="B437">
        <v>22.1</v>
      </c>
      <c r="C437">
        <v>3</v>
      </c>
      <c r="D437">
        <v>20.8</v>
      </c>
      <c r="E437">
        <v>2</v>
      </c>
      <c r="F437">
        <v>9.1</v>
      </c>
      <c r="G437">
        <v>12.6</v>
      </c>
      <c r="H437">
        <v>0</v>
      </c>
      <c r="I437">
        <v>15.3</v>
      </c>
      <c r="J437">
        <v>11.3</v>
      </c>
      <c r="K437">
        <v>0</v>
      </c>
      <c r="L437">
        <v>13</v>
      </c>
      <c r="M437">
        <v>16.399999999999999</v>
      </c>
      <c r="N437">
        <v>0</v>
      </c>
      <c r="O437">
        <v>14.8</v>
      </c>
      <c r="P437">
        <v>10.5</v>
      </c>
      <c r="Q437">
        <v>0</v>
      </c>
      <c r="R437">
        <v>10.3</v>
      </c>
      <c r="S437">
        <v>13.7</v>
      </c>
      <c r="T437">
        <v>0</v>
      </c>
      <c r="U437">
        <v>-18.2</v>
      </c>
      <c r="V437">
        <v>0.7</v>
      </c>
      <c r="W437">
        <v>-22</v>
      </c>
      <c r="X437">
        <v>-12.9</v>
      </c>
      <c r="Y437">
        <v>-16.100000000000001</v>
      </c>
      <c r="Z437">
        <v>-22</v>
      </c>
      <c r="AA437">
        <v>-3.1</v>
      </c>
      <c r="AB437">
        <v>-3.1</v>
      </c>
      <c r="AC437">
        <v>-5</v>
      </c>
      <c r="AD437">
        <v>12.1</v>
      </c>
      <c r="AE437">
        <v>10.6</v>
      </c>
      <c r="AF437">
        <v>0</v>
      </c>
      <c r="AG437">
        <v>9.8000000000000007</v>
      </c>
      <c r="AH437">
        <v>10</v>
      </c>
      <c r="AI437">
        <v>10.8</v>
      </c>
      <c r="AJ437">
        <v>10</v>
      </c>
      <c r="AK437">
        <v>10.4</v>
      </c>
      <c r="AL437">
        <v>10</v>
      </c>
      <c r="AM437">
        <v>12.6</v>
      </c>
      <c r="AN437">
        <v>9</v>
      </c>
      <c r="AO437">
        <v>10.6</v>
      </c>
      <c r="AP437">
        <v>10</v>
      </c>
      <c r="AQ437">
        <v>10.6</v>
      </c>
      <c r="AR437">
        <v>10</v>
      </c>
      <c r="AS437">
        <v>9.9</v>
      </c>
      <c r="AT437">
        <v>10</v>
      </c>
      <c r="AU437">
        <v>18.5</v>
      </c>
      <c r="AV437">
        <v>19</v>
      </c>
      <c r="AW437">
        <v>19.2</v>
      </c>
      <c r="AX437">
        <v>19</v>
      </c>
      <c r="AY437">
        <v>11.6</v>
      </c>
      <c r="AZ437">
        <v>10</v>
      </c>
      <c r="BA437">
        <v>10.9</v>
      </c>
      <c r="BB437">
        <v>10</v>
      </c>
    </row>
    <row r="438" spans="1:54" x14ac:dyDescent="0.35">
      <c r="A438" s="1">
        <v>46059.760416666664</v>
      </c>
      <c r="B438">
        <v>22.1</v>
      </c>
      <c r="C438">
        <v>3</v>
      </c>
      <c r="D438">
        <v>20.8</v>
      </c>
      <c r="E438">
        <v>2</v>
      </c>
      <c r="F438">
        <v>9.1</v>
      </c>
      <c r="G438">
        <v>12.6</v>
      </c>
      <c r="H438">
        <v>0</v>
      </c>
      <c r="I438">
        <v>15.3</v>
      </c>
      <c r="J438">
        <v>11.3</v>
      </c>
      <c r="K438">
        <v>0</v>
      </c>
      <c r="L438">
        <v>13</v>
      </c>
      <c r="M438">
        <v>16.399999999999999</v>
      </c>
      <c r="N438">
        <v>0</v>
      </c>
      <c r="O438">
        <v>14.8</v>
      </c>
      <c r="P438">
        <v>10.5</v>
      </c>
      <c r="Q438">
        <v>0</v>
      </c>
      <c r="R438">
        <v>10.3</v>
      </c>
      <c r="S438">
        <v>13.7</v>
      </c>
      <c r="T438">
        <v>0</v>
      </c>
      <c r="U438">
        <v>-18.2</v>
      </c>
      <c r="V438">
        <v>2.1</v>
      </c>
      <c r="W438">
        <v>-22</v>
      </c>
      <c r="X438">
        <v>-12.7</v>
      </c>
      <c r="Y438">
        <v>-16.100000000000001</v>
      </c>
      <c r="Z438">
        <v>-22</v>
      </c>
      <c r="AA438">
        <v>-2.7</v>
      </c>
      <c r="AB438">
        <v>-3.2</v>
      </c>
      <c r="AC438">
        <v>-5</v>
      </c>
      <c r="AD438">
        <v>12.1</v>
      </c>
      <c r="AE438">
        <v>10.6</v>
      </c>
      <c r="AF438">
        <v>0</v>
      </c>
      <c r="AG438">
        <v>9.6</v>
      </c>
      <c r="AH438">
        <v>10</v>
      </c>
      <c r="AI438">
        <v>11</v>
      </c>
      <c r="AJ438">
        <v>10</v>
      </c>
      <c r="AK438">
        <v>10.7</v>
      </c>
      <c r="AL438">
        <v>10</v>
      </c>
      <c r="AM438">
        <v>12.6</v>
      </c>
      <c r="AN438">
        <v>9</v>
      </c>
      <c r="AO438">
        <v>11.3</v>
      </c>
      <c r="AP438">
        <v>10</v>
      </c>
      <c r="AQ438">
        <v>10.6</v>
      </c>
      <c r="AR438">
        <v>10</v>
      </c>
      <c r="AS438">
        <v>10.199999999999999</v>
      </c>
      <c r="AT438">
        <v>10</v>
      </c>
      <c r="AU438">
        <v>18.5</v>
      </c>
      <c r="AV438">
        <v>19</v>
      </c>
      <c r="AW438">
        <v>19.2</v>
      </c>
      <c r="AX438">
        <v>19</v>
      </c>
      <c r="AY438">
        <v>10.8</v>
      </c>
      <c r="AZ438">
        <v>10</v>
      </c>
      <c r="BA438">
        <v>11.2</v>
      </c>
      <c r="BB438">
        <v>10</v>
      </c>
    </row>
    <row r="439" spans="1:54" x14ac:dyDescent="0.35">
      <c r="A439" s="1">
        <v>46059.761111111111</v>
      </c>
      <c r="B439">
        <v>22.1</v>
      </c>
      <c r="C439">
        <v>3</v>
      </c>
      <c r="D439">
        <v>20.8</v>
      </c>
      <c r="E439">
        <v>2</v>
      </c>
      <c r="F439">
        <v>9.1</v>
      </c>
      <c r="G439">
        <v>12.6</v>
      </c>
      <c r="H439">
        <v>0</v>
      </c>
      <c r="I439">
        <v>15.3</v>
      </c>
      <c r="J439">
        <v>11.3</v>
      </c>
      <c r="K439">
        <v>0</v>
      </c>
      <c r="L439">
        <v>13</v>
      </c>
      <c r="M439">
        <v>16.399999999999999</v>
      </c>
      <c r="N439">
        <v>0</v>
      </c>
      <c r="O439">
        <v>14.8</v>
      </c>
      <c r="P439">
        <v>10.5</v>
      </c>
      <c r="Q439">
        <v>0</v>
      </c>
      <c r="R439">
        <v>10.3</v>
      </c>
      <c r="S439">
        <v>13.7</v>
      </c>
      <c r="T439">
        <v>0</v>
      </c>
      <c r="U439">
        <v>-18.2</v>
      </c>
      <c r="V439">
        <v>4.4000000000000004</v>
      </c>
      <c r="W439">
        <v>-22</v>
      </c>
      <c r="X439">
        <v>-12.6</v>
      </c>
      <c r="Y439">
        <v>-16.100000000000001</v>
      </c>
      <c r="Z439">
        <v>-22</v>
      </c>
      <c r="AA439">
        <v>-2.9</v>
      </c>
      <c r="AB439">
        <v>-4.3</v>
      </c>
      <c r="AC439">
        <v>-5</v>
      </c>
      <c r="AD439">
        <v>12.1</v>
      </c>
      <c r="AE439">
        <v>10.6</v>
      </c>
      <c r="AF439">
        <v>0</v>
      </c>
      <c r="AG439">
        <v>9.6999999999999993</v>
      </c>
      <c r="AH439">
        <v>10</v>
      </c>
      <c r="AI439">
        <v>11.1</v>
      </c>
      <c r="AJ439">
        <v>10</v>
      </c>
      <c r="AK439">
        <v>10.8</v>
      </c>
      <c r="AL439">
        <v>10</v>
      </c>
      <c r="AM439">
        <v>12.6</v>
      </c>
      <c r="AN439">
        <v>9</v>
      </c>
      <c r="AO439">
        <v>11.6</v>
      </c>
      <c r="AP439">
        <v>10</v>
      </c>
      <c r="AQ439">
        <v>10.6</v>
      </c>
      <c r="AR439">
        <v>10</v>
      </c>
      <c r="AS439">
        <v>10.6</v>
      </c>
      <c r="AT439">
        <v>10</v>
      </c>
      <c r="AU439">
        <v>18.5</v>
      </c>
      <c r="AV439">
        <v>19</v>
      </c>
      <c r="AW439">
        <v>19.3</v>
      </c>
      <c r="AX439">
        <v>19</v>
      </c>
      <c r="AY439">
        <v>10</v>
      </c>
      <c r="AZ439">
        <v>10</v>
      </c>
      <c r="BA439">
        <v>11.5</v>
      </c>
      <c r="BB439">
        <v>10</v>
      </c>
    </row>
    <row r="440" spans="1:54" x14ac:dyDescent="0.35">
      <c r="A440" s="1">
        <v>46059.761805555558</v>
      </c>
      <c r="B440">
        <v>22.1</v>
      </c>
      <c r="C440">
        <v>3</v>
      </c>
      <c r="D440">
        <v>20.8</v>
      </c>
      <c r="E440">
        <v>2</v>
      </c>
      <c r="F440">
        <v>9.1</v>
      </c>
      <c r="G440">
        <v>12.6</v>
      </c>
      <c r="H440">
        <v>0</v>
      </c>
      <c r="I440">
        <v>15.3</v>
      </c>
      <c r="J440">
        <v>11.3</v>
      </c>
      <c r="K440">
        <v>0</v>
      </c>
      <c r="L440">
        <v>13</v>
      </c>
      <c r="M440">
        <v>16.399999999999999</v>
      </c>
      <c r="N440">
        <v>0</v>
      </c>
      <c r="O440">
        <v>14.8</v>
      </c>
      <c r="P440">
        <v>10.5</v>
      </c>
      <c r="Q440">
        <v>0</v>
      </c>
      <c r="R440">
        <v>10.3</v>
      </c>
      <c r="S440">
        <v>13.7</v>
      </c>
      <c r="T440">
        <v>0</v>
      </c>
      <c r="U440">
        <v>-18.2</v>
      </c>
      <c r="V440">
        <v>5.2</v>
      </c>
      <c r="W440">
        <v>-22</v>
      </c>
      <c r="X440">
        <v>-12.5</v>
      </c>
      <c r="Y440">
        <v>-16.100000000000001</v>
      </c>
      <c r="Z440">
        <v>-22</v>
      </c>
      <c r="AA440">
        <v>-3.3</v>
      </c>
      <c r="AB440">
        <v>-5.2</v>
      </c>
      <c r="AC440">
        <v>-5</v>
      </c>
      <c r="AD440">
        <v>12.1</v>
      </c>
      <c r="AE440">
        <v>10.6</v>
      </c>
      <c r="AF440">
        <v>0</v>
      </c>
      <c r="AG440">
        <v>10.1</v>
      </c>
      <c r="AH440">
        <v>10</v>
      </c>
      <c r="AI440">
        <v>11.2</v>
      </c>
      <c r="AJ440">
        <v>10</v>
      </c>
      <c r="AK440">
        <v>11</v>
      </c>
      <c r="AL440">
        <v>10</v>
      </c>
      <c r="AM440">
        <v>12.6</v>
      </c>
      <c r="AN440">
        <v>9</v>
      </c>
      <c r="AO440">
        <v>11.9</v>
      </c>
      <c r="AP440">
        <v>10</v>
      </c>
      <c r="AQ440">
        <v>10.6</v>
      </c>
      <c r="AR440">
        <v>10</v>
      </c>
      <c r="AS440">
        <v>10.9</v>
      </c>
      <c r="AT440">
        <v>10</v>
      </c>
      <c r="AU440">
        <v>18.5</v>
      </c>
      <c r="AV440">
        <v>19</v>
      </c>
      <c r="AW440">
        <v>19.3</v>
      </c>
      <c r="AX440">
        <v>19</v>
      </c>
      <c r="AY440">
        <v>9.6999999999999993</v>
      </c>
      <c r="AZ440">
        <v>10</v>
      </c>
      <c r="BA440">
        <v>11.8</v>
      </c>
      <c r="BB440">
        <v>10</v>
      </c>
    </row>
    <row r="441" spans="1:54" x14ac:dyDescent="0.35">
      <c r="A441" s="1">
        <v>46059.762499999997</v>
      </c>
      <c r="B441">
        <v>22.1</v>
      </c>
      <c r="C441">
        <v>3</v>
      </c>
      <c r="D441">
        <v>20.8</v>
      </c>
      <c r="E441">
        <v>2</v>
      </c>
      <c r="F441">
        <v>9.1</v>
      </c>
      <c r="G441">
        <v>12.6</v>
      </c>
      <c r="H441">
        <v>0</v>
      </c>
      <c r="I441">
        <v>15.3</v>
      </c>
      <c r="J441">
        <v>11.3</v>
      </c>
      <c r="K441">
        <v>0</v>
      </c>
      <c r="L441">
        <v>13</v>
      </c>
      <c r="M441">
        <v>16.399999999999999</v>
      </c>
      <c r="N441">
        <v>0</v>
      </c>
      <c r="O441">
        <v>14.8</v>
      </c>
      <c r="P441">
        <v>10.5</v>
      </c>
      <c r="Q441">
        <v>0</v>
      </c>
      <c r="R441">
        <v>10.3</v>
      </c>
      <c r="S441">
        <v>13.7</v>
      </c>
      <c r="T441">
        <v>0</v>
      </c>
      <c r="U441">
        <v>-18.2</v>
      </c>
      <c r="V441">
        <v>6.1</v>
      </c>
      <c r="W441">
        <v>-22</v>
      </c>
      <c r="X441">
        <v>-12.4</v>
      </c>
      <c r="Y441">
        <v>-16.3</v>
      </c>
      <c r="Z441">
        <v>-22</v>
      </c>
      <c r="AA441">
        <v>-3.9</v>
      </c>
      <c r="AB441">
        <v>-6</v>
      </c>
      <c r="AC441">
        <v>-5</v>
      </c>
      <c r="AD441">
        <v>12.1</v>
      </c>
      <c r="AE441">
        <v>10.6</v>
      </c>
      <c r="AF441">
        <v>0</v>
      </c>
      <c r="AG441">
        <v>10.4</v>
      </c>
      <c r="AH441">
        <v>10</v>
      </c>
      <c r="AI441">
        <v>11.3</v>
      </c>
      <c r="AJ441">
        <v>10</v>
      </c>
      <c r="AK441">
        <v>11.1</v>
      </c>
      <c r="AL441">
        <v>10</v>
      </c>
      <c r="AM441">
        <v>12.6</v>
      </c>
      <c r="AN441">
        <v>9</v>
      </c>
      <c r="AO441">
        <v>11.9</v>
      </c>
      <c r="AP441">
        <v>10</v>
      </c>
      <c r="AQ441">
        <v>10.6</v>
      </c>
      <c r="AR441">
        <v>10</v>
      </c>
      <c r="AS441">
        <v>11.1</v>
      </c>
      <c r="AT441">
        <v>10</v>
      </c>
      <c r="AU441">
        <v>18.5</v>
      </c>
      <c r="AV441">
        <v>19</v>
      </c>
      <c r="AW441">
        <v>19.3</v>
      </c>
      <c r="AX441">
        <v>19</v>
      </c>
      <c r="AY441">
        <v>9.9</v>
      </c>
      <c r="AZ441">
        <v>10</v>
      </c>
      <c r="BA441">
        <v>12</v>
      </c>
      <c r="BB441">
        <v>10</v>
      </c>
    </row>
    <row r="442" spans="1:54" x14ac:dyDescent="0.35">
      <c r="A442" s="1">
        <v>46059.763194444444</v>
      </c>
      <c r="B442">
        <v>22.1</v>
      </c>
      <c r="C442">
        <v>3</v>
      </c>
      <c r="D442">
        <v>20.8</v>
      </c>
      <c r="E442">
        <v>2</v>
      </c>
      <c r="F442">
        <v>9.1</v>
      </c>
      <c r="G442">
        <v>12.6</v>
      </c>
      <c r="H442">
        <v>0</v>
      </c>
      <c r="I442">
        <v>15.3</v>
      </c>
      <c r="J442">
        <v>11.3</v>
      </c>
      <c r="K442">
        <v>0</v>
      </c>
      <c r="L442">
        <v>13</v>
      </c>
      <c r="M442">
        <v>16.399999999999999</v>
      </c>
      <c r="N442">
        <v>0</v>
      </c>
      <c r="O442">
        <v>14.8</v>
      </c>
      <c r="P442">
        <v>10.5</v>
      </c>
      <c r="Q442">
        <v>0</v>
      </c>
      <c r="R442">
        <v>10.3</v>
      </c>
      <c r="S442">
        <v>13.7</v>
      </c>
      <c r="T442">
        <v>0</v>
      </c>
      <c r="U442">
        <v>-18.2</v>
      </c>
      <c r="V442">
        <v>6.5</v>
      </c>
      <c r="W442">
        <v>-22</v>
      </c>
      <c r="X442">
        <v>-12.3</v>
      </c>
      <c r="Y442">
        <v>-16.399999999999999</v>
      </c>
      <c r="Z442">
        <v>-22</v>
      </c>
      <c r="AA442">
        <v>-4.4000000000000004</v>
      </c>
      <c r="AB442">
        <v>-6.6</v>
      </c>
      <c r="AC442">
        <v>-5</v>
      </c>
      <c r="AD442">
        <v>12.1</v>
      </c>
      <c r="AE442">
        <v>10.6</v>
      </c>
      <c r="AF442">
        <v>0</v>
      </c>
      <c r="AG442">
        <v>10.7</v>
      </c>
      <c r="AH442">
        <v>10</v>
      </c>
      <c r="AI442">
        <v>11.4</v>
      </c>
      <c r="AJ442">
        <v>10</v>
      </c>
      <c r="AK442">
        <v>11.2</v>
      </c>
      <c r="AL442">
        <v>10</v>
      </c>
      <c r="AM442">
        <v>12.6</v>
      </c>
      <c r="AN442">
        <v>9</v>
      </c>
      <c r="AO442">
        <v>10.8</v>
      </c>
      <c r="AP442">
        <v>10</v>
      </c>
      <c r="AQ442">
        <v>10.5</v>
      </c>
      <c r="AR442">
        <v>10</v>
      </c>
      <c r="AS442">
        <v>11.3</v>
      </c>
      <c r="AT442">
        <v>10</v>
      </c>
      <c r="AU442">
        <v>18.5</v>
      </c>
      <c r="AV442">
        <v>19</v>
      </c>
      <c r="AW442">
        <v>19.3</v>
      </c>
      <c r="AX442">
        <v>19</v>
      </c>
      <c r="AY442">
        <v>10.3</v>
      </c>
      <c r="AZ442">
        <v>10</v>
      </c>
      <c r="BA442">
        <v>11.9</v>
      </c>
      <c r="BB442">
        <v>10</v>
      </c>
    </row>
    <row r="443" spans="1:54" x14ac:dyDescent="0.35">
      <c r="A443" s="1">
        <v>46059.763888888891</v>
      </c>
      <c r="B443">
        <v>22.1</v>
      </c>
      <c r="C443">
        <v>3</v>
      </c>
      <c r="D443">
        <v>20.8</v>
      </c>
      <c r="E443">
        <v>2</v>
      </c>
      <c r="F443">
        <v>9.1</v>
      </c>
      <c r="G443">
        <v>12.6</v>
      </c>
      <c r="H443">
        <v>0</v>
      </c>
      <c r="I443">
        <v>15.3</v>
      </c>
      <c r="J443">
        <v>11.3</v>
      </c>
      <c r="K443">
        <v>0</v>
      </c>
      <c r="L443">
        <v>13</v>
      </c>
      <c r="M443">
        <v>16.399999999999999</v>
      </c>
      <c r="N443">
        <v>0</v>
      </c>
      <c r="O443">
        <v>14.8</v>
      </c>
      <c r="P443">
        <v>10.5</v>
      </c>
      <c r="Q443">
        <v>0</v>
      </c>
      <c r="R443">
        <v>10.3</v>
      </c>
      <c r="S443">
        <v>13.7</v>
      </c>
      <c r="T443">
        <v>0</v>
      </c>
      <c r="U443">
        <v>-18.2</v>
      </c>
      <c r="V443">
        <v>7.9</v>
      </c>
      <c r="W443">
        <v>-22</v>
      </c>
      <c r="X443">
        <v>-12.3</v>
      </c>
      <c r="Y443">
        <v>-16.600000000000001</v>
      </c>
      <c r="Z443">
        <v>-22</v>
      </c>
      <c r="AA443">
        <v>-4.8</v>
      </c>
      <c r="AB443">
        <v>-7.1</v>
      </c>
      <c r="AC443">
        <v>-5</v>
      </c>
      <c r="AD443">
        <v>12.1</v>
      </c>
      <c r="AE443">
        <v>10.6</v>
      </c>
      <c r="AF443">
        <v>0</v>
      </c>
      <c r="AG443">
        <v>10.9</v>
      </c>
      <c r="AH443">
        <v>10</v>
      </c>
      <c r="AI443">
        <v>11.5</v>
      </c>
      <c r="AJ443">
        <v>10</v>
      </c>
      <c r="AK443">
        <v>11.2</v>
      </c>
      <c r="AL443">
        <v>10</v>
      </c>
      <c r="AM443">
        <v>12.6</v>
      </c>
      <c r="AN443">
        <v>9</v>
      </c>
      <c r="AO443">
        <v>10.199999999999999</v>
      </c>
      <c r="AP443">
        <v>10</v>
      </c>
      <c r="AQ443">
        <v>10.6</v>
      </c>
      <c r="AR443">
        <v>10</v>
      </c>
      <c r="AS443">
        <v>11.5</v>
      </c>
      <c r="AT443">
        <v>10</v>
      </c>
      <c r="AU443">
        <v>18.5</v>
      </c>
      <c r="AV443">
        <v>19</v>
      </c>
      <c r="AW443">
        <v>19.3</v>
      </c>
      <c r="AX443">
        <v>19</v>
      </c>
      <c r="AY443">
        <v>10.7</v>
      </c>
      <c r="AZ443">
        <v>10</v>
      </c>
      <c r="BA443">
        <v>10.9</v>
      </c>
      <c r="BB443">
        <v>10</v>
      </c>
    </row>
    <row r="444" spans="1:54" x14ac:dyDescent="0.35">
      <c r="A444" s="1">
        <v>46059.76458333333</v>
      </c>
      <c r="B444">
        <v>22.1</v>
      </c>
      <c r="C444">
        <v>3</v>
      </c>
      <c r="D444">
        <v>20.8</v>
      </c>
      <c r="E444">
        <v>2</v>
      </c>
      <c r="F444">
        <v>9.1</v>
      </c>
      <c r="G444">
        <v>12.6</v>
      </c>
      <c r="H444">
        <v>0</v>
      </c>
      <c r="I444">
        <v>15.3</v>
      </c>
      <c r="J444">
        <v>11.3</v>
      </c>
      <c r="K444">
        <v>0</v>
      </c>
      <c r="L444">
        <v>13</v>
      </c>
      <c r="M444">
        <v>16.399999999999999</v>
      </c>
      <c r="N444">
        <v>0</v>
      </c>
      <c r="O444">
        <v>14.8</v>
      </c>
      <c r="P444">
        <v>10.5</v>
      </c>
      <c r="Q444">
        <v>0</v>
      </c>
      <c r="R444">
        <v>10.3</v>
      </c>
      <c r="S444">
        <v>13.7</v>
      </c>
      <c r="T444">
        <v>0</v>
      </c>
      <c r="U444">
        <v>-18.2</v>
      </c>
      <c r="V444">
        <v>10.6</v>
      </c>
      <c r="W444">
        <v>-22</v>
      </c>
      <c r="X444">
        <v>-12.2</v>
      </c>
      <c r="Y444">
        <v>-16.8</v>
      </c>
      <c r="Z444">
        <v>-22</v>
      </c>
      <c r="AA444">
        <v>-5.0999999999999996</v>
      </c>
      <c r="AB444">
        <v>-7.1</v>
      </c>
      <c r="AC444">
        <v>-5</v>
      </c>
      <c r="AD444">
        <v>12.1</v>
      </c>
      <c r="AE444">
        <v>10.6</v>
      </c>
      <c r="AF444">
        <v>0</v>
      </c>
      <c r="AG444">
        <v>11</v>
      </c>
      <c r="AH444">
        <v>10</v>
      </c>
      <c r="AI444">
        <v>11.6</v>
      </c>
      <c r="AJ444">
        <v>10</v>
      </c>
      <c r="AK444">
        <v>11.3</v>
      </c>
      <c r="AL444">
        <v>10</v>
      </c>
      <c r="AM444">
        <v>12.6</v>
      </c>
      <c r="AN444">
        <v>9</v>
      </c>
      <c r="AO444">
        <v>10.1</v>
      </c>
      <c r="AP444">
        <v>10</v>
      </c>
      <c r="AQ444">
        <v>10.6</v>
      </c>
      <c r="AR444">
        <v>10</v>
      </c>
      <c r="AS444">
        <v>11.7</v>
      </c>
      <c r="AT444">
        <v>10</v>
      </c>
      <c r="AU444">
        <v>18.5</v>
      </c>
      <c r="AV444">
        <v>19</v>
      </c>
      <c r="AW444">
        <v>19.3</v>
      </c>
      <c r="AX444">
        <v>19</v>
      </c>
      <c r="AY444">
        <v>10.9</v>
      </c>
      <c r="AZ444">
        <v>10</v>
      </c>
      <c r="BA444">
        <v>10.199999999999999</v>
      </c>
      <c r="BB444">
        <v>10</v>
      </c>
    </row>
    <row r="445" spans="1:54" x14ac:dyDescent="0.35">
      <c r="A445" s="1">
        <v>46059.765277777777</v>
      </c>
      <c r="B445">
        <v>22.2</v>
      </c>
      <c r="C445">
        <v>3</v>
      </c>
      <c r="D445">
        <v>20.8</v>
      </c>
      <c r="E445">
        <v>2</v>
      </c>
      <c r="F445">
        <v>9.1</v>
      </c>
      <c r="G445">
        <v>12.6</v>
      </c>
      <c r="H445">
        <v>0</v>
      </c>
      <c r="I445">
        <v>15.3</v>
      </c>
      <c r="J445">
        <v>11.3</v>
      </c>
      <c r="K445">
        <v>0</v>
      </c>
      <c r="L445">
        <v>13</v>
      </c>
      <c r="M445">
        <v>16.399999999999999</v>
      </c>
      <c r="N445">
        <v>0</v>
      </c>
      <c r="O445">
        <v>14.8</v>
      </c>
      <c r="P445">
        <v>10.5</v>
      </c>
      <c r="Q445">
        <v>0</v>
      </c>
      <c r="R445">
        <v>10.3</v>
      </c>
      <c r="S445">
        <v>13.7</v>
      </c>
      <c r="T445">
        <v>0</v>
      </c>
      <c r="U445">
        <v>-18.2</v>
      </c>
      <c r="V445">
        <v>11.5</v>
      </c>
      <c r="W445">
        <v>-22</v>
      </c>
      <c r="X445">
        <v>-12.2</v>
      </c>
      <c r="Y445">
        <v>-17</v>
      </c>
      <c r="Z445">
        <v>-22</v>
      </c>
      <c r="AA445">
        <v>-4.7</v>
      </c>
      <c r="AB445">
        <v>-5.4</v>
      </c>
      <c r="AC445">
        <v>-5</v>
      </c>
      <c r="AD445">
        <v>12.1</v>
      </c>
      <c r="AE445">
        <v>10.6</v>
      </c>
      <c r="AF445">
        <v>0</v>
      </c>
      <c r="AG445">
        <v>11.2</v>
      </c>
      <c r="AH445">
        <v>10</v>
      </c>
      <c r="AI445">
        <v>11.7</v>
      </c>
      <c r="AJ445">
        <v>10</v>
      </c>
      <c r="AK445">
        <v>11.3</v>
      </c>
      <c r="AL445">
        <v>10</v>
      </c>
      <c r="AM445">
        <v>12.6</v>
      </c>
      <c r="AN445">
        <v>9</v>
      </c>
      <c r="AO445">
        <v>9.9</v>
      </c>
      <c r="AP445">
        <v>10</v>
      </c>
      <c r="AQ445">
        <v>10.6</v>
      </c>
      <c r="AR445">
        <v>10</v>
      </c>
      <c r="AS445">
        <v>11.9</v>
      </c>
      <c r="AT445">
        <v>10</v>
      </c>
      <c r="AU445">
        <v>18.5</v>
      </c>
      <c r="AV445">
        <v>19</v>
      </c>
      <c r="AW445">
        <v>19.2</v>
      </c>
      <c r="AX445">
        <v>19</v>
      </c>
      <c r="AY445">
        <v>11.2</v>
      </c>
      <c r="AZ445">
        <v>10</v>
      </c>
      <c r="BA445">
        <v>9.6999999999999993</v>
      </c>
      <c r="BB445">
        <v>10</v>
      </c>
    </row>
    <row r="446" spans="1:54" x14ac:dyDescent="0.35">
      <c r="A446" s="1">
        <v>46059.765972222223</v>
      </c>
      <c r="B446">
        <v>22.2</v>
      </c>
      <c r="C446">
        <v>3</v>
      </c>
      <c r="D446">
        <v>20.8</v>
      </c>
      <c r="E446">
        <v>2</v>
      </c>
      <c r="F446">
        <v>9.1</v>
      </c>
      <c r="G446">
        <v>12.6</v>
      </c>
      <c r="H446">
        <v>0</v>
      </c>
      <c r="I446">
        <v>15.3</v>
      </c>
      <c r="J446">
        <v>11.3</v>
      </c>
      <c r="K446">
        <v>0</v>
      </c>
      <c r="L446">
        <v>13</v>
      </c>
      <c r="M446">
        <v>16.399999999999999</v>
      </c>
      <c r="N446">
        <v>0</v>
      </c>
      <c r="O446">
        <v>14.8</v>
      </c>
      <c r="P446">
        <v>10.5</v>
      </c>
      <c r="Q446">
        <v>0</v>
      </c>
      <c r="R446">
        <v>10.3</v>
      </c>
      <c r="S446">
        <v>13.7</v>
      </c>
      <c r="T446">
        <v>0</v>
      </c>
      <c r="U446">
        <v>-18.2</v>
      </c>
      <c r="V446">
        <v>12.6</v>
      </c>
      <c r="W446">
        <v>-22</v>
      </c>
      <c r="X446">
        <v>-12.2</v>
      </c>
      <c r="Y446">
        <v>-17.2</v>
      </c>
      <c r="Z446">
        <v>-22</v>
      </c>
      <c r="AA446">
        <v>-3.9</v>
      </c>
      <c r="AB446">
        <v>-4</v>
      </c>
      <c r="AC446">
        <v>-5</v>
      </c>
      <c r="AD446">
        <v>12.1</v>
      </c>
      <c r="AE446">
        <v>10.6</v>
      </c>
      <c r="AF446">
        <v>0</v>
      </c>
      <c r="AG446">
        <v>11.3</v>
      </c>
      <c r="AH446">
        <v>10</v>
      </c>
      <c r="AI446">
        <v>11.8</v>
      </c>
      <c r="AJ446">
        <v>10</v>
      </c>
      <c r="AK446">
        <v>11.3</v>
      </c>
      <c r="AL446">
        <v>10</v>
      </c>
      <c r="AM446">
        <v>12.6</v>
      </c>
      <c r="AN446">
        <v>9</v>
      </c>
      <c r="AO446">
        <v>10.9</v>
      </c>
      <c r="AP446">
        <v>10</v>
      </c>
      <c r="AQ446">
        <v>10.5</v>
      </c>
      <c r="AR446">
        <v>10</v>
      </c>
      <c r="AS446">
        <v>11.7</v>
      </c>
      <c r="AT446">
        <v>10</v>
      </c>
      <c r="AU446">
        <v>18.5</v>
      </c>
      <c r="AV446">
        <v>19</v>
      </c>
      <c r="AW446">
        <v>19.2</v>
      </c>
      <c r="AX446">
        <v>19</v>
      </c>
      <c r="AY446">
        <v>11.4</v>
      </c>
      <c r="AZ446">
        <v>10</v>
      </c>
      <c r="BA446">
        <v>9.8000000000000007</v>
      </c>
      <c r="BB446">
        <v>10</v>
      </c>
    </row>
    <row r="447" spans="1:54" x14ac:dyDescent="0.35">
      <c r="A447" s="1">
        <v>46059.76666666667</v>
      </c>
      <c r="B447">
        <v>22.2</v>
      </c>
      <c r="C447">
        <v>3</v>
      </c>
      <c r="D447">
        <v>20.8</v>
      </c>
      <c r="E447">
        <v>2</v>
      </c>
      <c r="F447">
        <v>9.1</v>
      </c>
      <c r="G447">
        <v>12.6</v>
      </c>
      <c r="H447">
        <v>0</v>
      </c>
      <c r="I447">
        <v>15.3</v>
      </c>
      <c r="J447">
        <v>11.3</v>
      </c>
      <c r="K447">
        <v>0</v>
      </c>
      <c r="L447">
        <v>13</v>
      </c>
      <c r="M447">
        <v>16.399999999999999</v>
      </c>
      <c r="N447">
        <v>0</v>
      </c>
      <c r="O447">
        <v>14.8</v>
      </c>
      <c r="P447">
        <v>10.5</v>
      </c>
      <c r="Q447">
        <v>0</v>
      </c>
      <c r="R447">
        <v>10.3</v>
      </c>
      <c r="S447">
        <v>13.7</v>
      </c>
      <c r="T447">
        <v>0</v>
      </c>
      <c r="U447">
        <v>-18.2</v>
      </c>
      <c r="V447">
        <v>11.5</v>
      </c>
      <c r="W447">
        <v>-22</v>
      </c>
      <c r="X447">
        <v>-12.2</v>
      </c>
      <c r="Y447">
        <v>-17.5</v>
      </c>
      <c r="Z447">
        <v>-22</v>
      </c>
      <c r="AA447">
        <v>-3.1</v>
      </c>
      <c r="AB447">
        <v>-3</v>
      </c>
      <c r="AC447">
        <v>-5</v>
      </c>
      <c r="AD447">
        <v>12.1</v>
      </c>
      <c r="AE447">
        <v>10.6</v>
      </c>
      <c r="AF447">
        <v>0</v>
      </c>
      <c r="AG447">
        <v>11.4</v>
      </c>
      <c r="AH447">
        <v>10</v>
      </c>
      <c r="AI447">
        <v>11.9</v>
      </c>
      <c r="AJ447">
        <v>10</v>
      </c>
      <c r="AK447">
        <v>11.4</v>
      </c>
      <c r="AL447">
        <v>10</v>
      </c>
      <c r="AM447">
        <v>12.5</v>
      </c>
      <c r="AN447">
        <v>9</v>
      </c>
      <c r="AO447">
        <v>11.4</v>
      </c>
      <c r="AP447">
        <v>10</v>
      </c>
      <c r="AQ447">
        <v>10.5</v>
      </c>
      <c r="AR447">
        <v>10</v>
      </c>
      <c r="AS447">
        <v>9</v>
      </c>
      <c r="AT447">
        <v>10</v>
      </c>
      <c r="AU447">
        <v>18.5</v>
      </c>
      <c r="AV447">
        <v>19</v>
      </c>
      <c r="AW447">
        <v>19.2</v>
      </c>
      <c r="AX447">
        <v>19</v>
      </c>
      <c r="AY447">
        <v>11.6</v>
      </c>
      <c r="AZ447">
        <v>10</v>
      </c>
      <c r="BA447">
        <v>10.199999999999999</v>
      </c>
      <c r="BB447">
        <v>10</v>
      </c>
    </row>
    <row r="448" spans="1:54" x14ac:dyDescent="0.35">
      <c r="A448" s="1">
        <v>46059.768055555556</v>
      </c>
      <c r="B448">
        <v>22.2</v>
      </c>
      <c r="C448">
        <v>3</v>
      </c>
      <c r="D448">
        <v>20.8</v>
      </c>
      <c r="E448">
        <v>2</v>
      </c>
      <c r="F448">
        <v>9.1999999999999993</v>
      </c>
      <c r="G448">
        <v>12.6</v>
      </c>
      <c r="H448">
        <v>0</v>
      </c>
      <c r="I448">
        <v>15.3</v>
      </c>
      <c r="J448">
        <v>11.3</v>
      </c>
      <c r="K448">
        <v>0</v>
      </c>
      <c r="L448">
        <v>13</v>
      </c>
      <c r="M448">
        <v>16.5</v>
      </c>
      <c r="N448">
        <v>0</v>
      </c>
      <c r="O448">
        <v>14.8</v>
      </c>
      <c r="P448">
        <v>10.5</v>
      </c>
      <c r="Q448">
        <v>0</v>
      </c>
      <c r="R448">
        <v>10.4</v>
      </c>
      <c r="S448">
        <v>13.7</v>
      </c>
      <c r="T448">
        <v>0</v>
      </c>
      <c r="U448">
        <v>-18.2</v>
      </c>
      <c r="V448">
        <v>7.1</v>
      </c>
      <c r="W448">
        <v>-22</v>
      </c>
      <c r="X448">
        <v>-12.2</v>
      </c>
      <c r="Y448">
        <v>-17.899999999999999</v>
      </c>
      <c r="Z448">
        <v>-22</v>
      </c>
      <c r="AA448">
        <v>-2.8</v>
      </c>
      <c r="AB448">
        <v>-4.3</v>
      </c>
      <c r="AC448">
        <v>-5</v>
      </c>
      <c r="AD448">
        <v>12.1</v>
      </c>
      <c r="AE448">
        <v>10.5</v>
      </c>
      <c r="AF448">
        <v>0</v>
      </c>
      <c r="AG448">
        <v>11.7</v>
      </c>
      <c r="AH448">
        <v>10</v>
      </c>
      <c r="AI448">
        <v>11.7</v>
      </c>
      <c r="AJ448">
        <v>10</v>
      </c>
      <c r="AK448">
        <v>11.5</v>
      </c>
      <c r="AL448">
        <v>10</v>
      </c>
      <c r="AM448">
        <v>12.6</v>
      </c>
      <c r="AN448">
        <v>9</v>
      </c>
      <c r="AO448">
        <v>12</v>
      </c>
      <c r="AP448">
        <v>10</v>
      </c>
      <c r="AQ448">
        <v>10.5</v>
      </c>
      <c r="AR448">
        <v>10</v>
      </c>
      <c r="AS448">
        <v>8.3000000000000007</v>
      </c>
      <c r="AT448">
        <v>10</v>
      </c>
      <c r="AU448">
        <v>18.5</v>
      </c>
      <c r="AV448">
        <v>19</v>
      </c>
      <c r="AW448">
        <v>19.2</v>
      </c>
      <c r="AX448">
        <v>19</v>
      </c>
      <c r="AY448">
        <v>12</v>
      </c>
      <c r="AZ448">
        <v>10</v>
      </c>
      <c r="BA448">
        <v>11</v>
      </c>
      <c r="BB448">
        <v>10</v>
      </c>
    </row>
    <row r="449" spans="1:54" x14ac:dyDescent="0.35">
      <c r="A449" s="1">
        <v>46059.768750000003</v>
      </c>
      <c r="B449">
        <v>22.2</v>
      </c>
      <c r="C449">
        <v>3</v>
      </c>
      <c r="D449">
        <v>20.8</v>
      </c>
      <c r="E449">
        <v>2</v>
      </c>
      <c r="F449">
        <v>9.1999999999999993</v>
      </c>
      <c r="G449">
        <v>12.6</v>
      </c>
      <c r="H449">
        <v>0</v>
      </c>
      <c r="I449">
        <v>15.3</v>
      </c>
      <c r="J449">
        <v>11.3</v>
      </c>
      <c r="K449">
        <v>0</v>
      </c>
      <c r="L449">
        <v>13</v>
      </c>
      <c r="M449">
        <v>16.5</v>
      </c>
      <c r="N449">
        <v>0</v>
      </c>
      <c r="O449">
        <v>14.8</v>
      </c>
      <c r="P449">
        <v>10.5</v>
      </c>
      <c r="Q449">
        <v>0</v>
      </c>
      <c r="R449">
        <v>10.4</v>
      </c>
      <c r="S449">
        <v>13.7</v>
      </c>
      <c r="T449">
        <v>0</v>
      </c>
      <c r="U449">
        <v>-18.2</v>
      </c>
      <c r="V449">
        <v>4.8</v>
      </c>
      <c r="W449">
        <v>-22</v>
      </c>
      <c r="X449">
        <v>-12.3</v>
      </c>
      <c r="Y449">
        <v>-18.2</v>
      </c>
      <c r="Z449">
        <v>-22</v>
      </c>
      <c r="AA449">
        <v>-3.4</v>
      </c>
      <c r="AB449">
        <v>-5.3</v>
      </c>
      <c r="AC449">
        <v>-5</v>
      </c>
      <c r="AD449">
        <v>12.1</v>
      </c>
      <c r="AE449">
        <v>10.5</v>
      </c>
      <c r="AF449">
        <v>0</v>
      </c>
      <c r="AG449">
        <v>11.8</v>
      </c>
      <c r="AH449">
        <v>10</v>
      </c>
      <c r="AI449">
        <v>10.3</v>
      </c>
      <c r="AJ449">
        <v>10</v>
      </c>
      <c r="AK449">
        <v>11.6</v>
      </c>
      <c r="AL449">
        <v>10</v>
      </c>
      <c r="AM449">
        <v>12.6</v>
      </c>
      <c r="AN449">
        <v>9</v>
      </c>
      <c r="AO449">
        <v>11.4</v>
      </c>
      <c r="AP449">
        <v>10</v>
      </c>
      <c r="AQ449">
        <v>10.5</v>
      </c>
      <c r="AR449">
        <v>10</v>
      </c>
      <c r="AS449">
        <v>9</v>
      </c>
      <c r="AT449">
        <v>10</v>
      </c>
      <c r="AU449">
        <v>18.5</v>
      </c>
      <c r="AV449">
        <v>19</v>
      </c>
      <c r="AW449">
        <v>19.2</v>
      </c>
      <c r="AX449">
        <v>19</v>
      </c>
      <c r="AY449">
        <v>11.7</v>
      </c>
      <c r="AZ449">
        <v>10</v>
      </c>
      <c r="BA449">
        <v>11.3</v>
      </c>
      <c r="BB449">
        <v>10</v>
      </c>
    </row>
    <row r="450" spans="1:54" x14ac:dyDescent="0.35">
      <c r="A450" s="1">
        <v>46059.769444444442</v>
      </c>
      <c r="B450">
        <v>22.2</v>
      </c>
      <c r="C450">
        <v>3</v>
      </c>
      <c r="D450">
        <v>20.8</v>
      </c>
      <c r="E450">
        <v>2</v>
      </c>
      <c r="F450">
        <v>9.1999999999999993</v>
      </c>
      <c r="G450">
        <v>12.7</v>
      </c>
      <c r="H450">
        <v>0</v>
      </c>
      <c r="I450">
        <v>15.3</v>
      </c>
      <c r="J450">
        <v>11.3</v>
      </c>
      <c r="K450">
        <v>0</v>
      </c>
      <c r="L450">
        <v>13</v>
      </c>
      <c r="M450">
        <v>16.5</v>
      </c>
      <c r="N450">
        <v>0</v>
      </c>
      <c r="O450">
        <v>14.8</v>
      </c>
      <c r="P450">
        <v>10.5</v>
      </c>
      <c r="Q450">
        <v>0</v>
      </c>
      <c r="R450">
        <v>10.4</v>
      </c>
      <c r="S450">
        <v>13.7</v>
      </c>
      <c r="T450">
        <v>0</v>
      </c>
      <c r="U450">
        <v>-9.3000000000000007</v>
      </c>
      <c r="V450">
        <v>4.5</v>
      </c>
      <c r="W450">
        <v>-22</v>
      </c>
      <c r="X450">
        <v>-12.6</v>
      </c>
      <c r="Y450">
        <v>-18.600000000000001</v>
      </c>
      <c r="Z450">
        <v>-22</v>
      </c>
      <c r="AA450">
        <v>-3.8</v>
      </c>
      <c r="AB450">
        <v>-6</v>
      </c>
      <c r="AC450">
        <v>-5</v>
      </c>
      <c r="AD450">
        <v>12.1</v>
      </c>
      <c r="AE450">
        <v>10.5</v>
      </c>
      <c r="AF450">
        <v>0</v>
      </c>
      <c r="AG450">
        <v>11.9</v>
      </c>
      <c r="AH450">
        <v>10</v>
      </c>
      <c r="AI450">
        <v>8.9</v>
      </c>
      <c r="AJ450">
        <v>10</v>
      </c>
      <c r="AK450">
        <v>11.6</v>
      </c>
      <c r="AL450">
        <v>10</v>
      </c>
      <c r="AM450">
        <v>12.7</v>
      </c>
      <c r="AN450">
        <v>9</v>
      </c>
      <c r="AO450">
        <v>10.6</v>
      </c>
      <c r="AP450">
        <v>10</v>
      </c>
      <c r="AQ450">
        <v>10.5</v>
      </c>
      <c r="AR450">
        <v>10</v>
      </c>
      <c r="AS450">
        <v>9.5</v>
      </c>
      <c r="AT450">
        <v>10</v>
      </c>
      <c r="AU450">
        <v>18.5</v>
      </c>
      <c r="AV450">
        <v>19</v>
      </c>
      <c r="AW450">
        <v>19.2</v>
      </c>
      <c r="AX450">
        <v>19</v>
      </c>
      <c r="AY450">
        <v>10.7</v>
      </c>
      <c r="AZ450">
        <v>10</v>
      </c>
      <c r="BA450">
        <v>11.6</v>
      </c>
      <c r="BB450">
        <v>10</v>
      </c>
    </row>
    <row r="451" spans="1:54" x14ac:dyDescent="0.35">
      <c r="A451" s="1">
        <v>46059.770138888889</v>
      </c>
      <c r="B451">
        <v>22.2</v>
      </c>
      <c r="C451">
        <v>3</v>
      </c>
      <c r="D451">
        <v>20.8</v>
      </c>
      <c r="E451">
        <v>2</v>
      </c>
      <c r="F451">
        <v>9.1999999999999993</v>
      </c>
      <c r="G451">
        <v>12.7</v>
      </c>
      <c r="H451">
        <v>0</v>
      </c>
      <c r="I451">
        <v>15.3</v>
      </c>
      <c r="J451">
        <v>11.3</v>
      </c>
      <c r="K451">
        <v>0</v>
      </c>
      <c r="L451">
        <v>13</v>
      </c>
      <c r="M451">
        <v>16.5</v>
      </c>
      <c r="N451">
        <v>0</v>
      </c>
      <c r="O451">
        <v>14.9</v>
      </c>
      <c r="P451">
        <v>10.6</v>
      </c>
      <c r="Q451">
        <v>0</v>
      </c>
      <c r="R451">
        <v>10.4</v>
      </c>
      <c r="S451">
        <v>13.7</v>
      </c>
      <c r="T451">
        <v>0</v>
      </c>
      <c r="U451">
        <v>-10.4</v>
      </c>
      <c r="V451">
        <v>2.5</v>
      </c>
      <c r="W451">
        <v>-22</v>
      </c>
      <c r="X451">
        <v>-12.9</v>
      </c>
      <c r="Y451">
        <v>-18.8</v>
      </c>
      <c r="Z451">
        <v>-22</v>
      </c>
      <c r="AA451">
        <v>-4.3</v>
      </c>
      <c r="AB451">
        <v>-6.5</v>
      </c>
      <c r="AC451">
        <v>-5</v>
      </c>
      <c r="AD451">
        <v>12.1</v>
      </c>
      <c r="AE451">
        <v>10.5</v>
      </c>
      <c r="AF451">
        <v>0</v>
      </c>
      <c r="AG451">
        <v>12</v>
      </c>
      <c r="AH451">
        <v>10</v>
      </c>
      <c r="AI451">
        <v>8.6999999999999993</v>
      </c>
      <c r="AJ451">
        <v>10</v>
      </c>
      <c r="AK451">
        <v>11.6</v>
      </c>
      <c r="AL451">
        <v>10</v>
      </c>
      <c r="AM451">
        <v>12.7</v>
      </c>
      <c r="AN451">
        <v>9</v>
      </c>
      <c r="AO451">
        <v>10</v>
      </c>
      <c r="AP451">
        <v>10</v>
      </c>
      <c r="AQ451">
        <v>10.5</v>
      </c>
      <c r="AR451">
        <v>10</v>
      </c>
      <c r="AS451">
        <v>9.9</v>
      </c>
      <c r="AT451">
        <v>10</v>
      </c>
      <c r="AU451">
        <v>18.5</v>
      </c>
      <c r="AV451">
        <v>19</v>
      </c>
      <c r="AW451">
        <v>19.2</v>
      </c>
      <c r="AX451">
        <v>19</v>
      </c>
      <c r="AY451">
        <v>9.9</v>
      </c>
      <c r="AZ451">
        <v>10</v>
      </c>
      <c r="BA451">
        <v>11.8</v>
      </c>
      <c r="BB451">
        <v>10</v>
      </c>
    </row>
    <row r="452" spans="1:54" x14ac:dyDescent="0.35">
      <c r="A452" s="1">
        <v>46059.770833333336</v>
      </c>
      <c r="B452">
        <v>22.2</v>
      </c>
      <c r="C452">
        <v>3</v>
      </c>
      <c r="D452">
        <v>20.8</v>
      </c>
      <c r="E452">
        <v>2</v>
      </c>
      <c r="F452">
        <v>9.1999999999999993</v>
      </c>
      <c r="G452">
        <v>12.7</v>
      </c>
      <c r="H452">
        <v>0</v>
      </c>
      <c r="I452">
        <v>15.4</v>
      </c>
      <c r="J452">
        <v>11.3</v>
      </c>
      <c r="K452">
        <v>0</v>
      </c>
      <c r="L452">
        <v>13</v>
      </c>
      <c r="M452">
        <v>16.5</v>
      </c>
      <c r="N452">
        <v>0</v>
      </c>
      <c r="O452">
        <v>14.9</v>
      </c>
      <c r="P452">
        <v>10.6</v>
      </c>
      <c r="Q452">
        <v>0</v>
      </c>
      <c r="R452">
        <v>10.4</v>
      </c>
      <c r="S452">
        <v>13.8</v>
      </c>
      <c r="T452">
        <v>0</v>
      </c>
      <c r="U452">
        <v>-11</v>
      </c>
      <c r="V452">
        <v>1.4</v>
      </c>
      <c r="W452">
        <v>-22</v>
      </c>
      <c r="X452">
        <v>-13.2</v>
      </c>
      <c r="Y452">
        <v>-19.100000000000001</v>
      </c>
      <c r="Z452">
        <v>-22</v>
      </c>
      <c r="AA452">
        <v>-4.8</v>
      </c>
      <c r="AB452">
        <v>-7.1</v>
      </c>
      <c r="AC452">
        <v>-5</v>
      </c>
      <c r="AD452">
        <v>12.1</v>
      </c>
      <c r="AE452">
        <v>10.5</v>
      </c>
      <c r="AF452">
        <v>0</v>
      </c>
      <c r="AG452">
        <v>11.9</v>
      </c>
      <c r="AH452">
        <v>10</v>
      </c>
      <c r="AI452">
        <v>8.8000000000000007</v>
      </c>
      <c r="AJ452">
        <v>10</v>
      </c>
      <c r="AK452">
        <v>11.7</v>
      </c>
      <c r="AL452">
        <v>10</v>
      </c>
      <c r="AM452">
        <v>12.7</v>
      </c>
      <c r="AN452">
        <v>9</v>
      </c>
      <c r="AO452">
        <v>10.5</v>
      </c>
      <c r="AP452">
        <v>10</v>
      </c>
      <c r="AQ452">
        <v>10.5</v>
      </c>
      <c r="AR452">
        <v>10</v>
      </c>
      <c r="AS452">
        <v>10.3</v>
      </c>
      <c r="AT452">
        <v>10</v>
      </c>
      <c r="AU452">
        <v>18.5</v>
      </c>
      <c r="AV452">
        <v>19</v>
      </c>
      <c r="AW452">
        <v>19.2</v>
      </c>
      <c r="AX452">
        <v>19</v>
      </c>
      <c r="AY452">
        <v>9.6999999999999993</v>
      </c>
      <c r="AZ452">
        <v>10</v>
      </c>
      <c r="BA452">
        <v>12</v>
      </c>
      <c r="BB452">
        <v>10</v>
      </c>
    </row>
    <row r="453" spans="1:54" x14ac:dyDescent="0.35">
      <c r="A453" s="1">
        <v>46059.771527777775</v>
      </c>
      <c r="B453">
        <v>22.2</v>
      </c>
      <c r="C453">
        <v>3</v>
      </c>
      <c r="D453">
        <v>20.8</v>
      </c>
      <c r="E453">
        <v>2</v>
      </c>
      <c r="F453">
        <v>9.1999999999999993</v>
      </c>
      <c r="G453">
        <v>12.7</v>
      </c>
      <c r="H453">
        <v>0</v>
      </c>
      <c r="I453">
        <v>15.4</v>
      </c>
      <c r="J453">
        <v>11.3</v>
      </c>
      <c r="K453">
        <v>0</v>
      </c>
      <c r="L453">
        <v>13</v>
      </c>
      <c r="M453">
        <v>16.5</v>
      </c>
      <c r="N453">
        <v>0</v>
      </c>
      <c r="O453">
        <v>14.9</v>
      </c>
      <c r="P453">
        <v>10.6</v>
      </c>
      <c r="Q453">
        <v>0</v>
      </c>
      <c r="R453">
        <v>10.4</v>
      </c>
      <c r="S453">
        <v>13.8</v>
      </c>
      <c r="T453">
        <v>0</v>
      </c>
      <c r="U453">
        <v>-11.5</v>
      </c>
      <c r="V453">
        <v>0.3</v>
      </c>
      <c r="W453">
        <v>-22</v>
      </c>
      <c r="X453">
        <v>-13.6</v>
      </c>
      <c r="Y453">
        <v>-19.3</v>
      </c>
      <c r="Z453">
        <v>-22</v>
      </c>
      <c r="AA453">
        <v>-4.9000000000000004</v>
      </c>
      <c r="AB453">
        <v>-6.1</v>
      </c>
      <c r="AC453">
        <v>-5</v>
      </c>
      <c r="AD453">
        <v>12.1</v>
      </c>
      <c r="AE453">
        <v>10.5</v>
      </c>
      <c r="AF453">
        <v>0</v>
      </c>
      <c r="AG453">
        <v>10.9</v>
      </c>
      <c r="AH453">
        <v>10</v>
      </c>
      <c r="AI453">
        <v>9.1999999999999993</v>
      </c>
      <c r="AJ453">
        <v>10</v>
      </c>
      <c r="AK453">
        <v>11.7</v>
      </c>
      <c r="AL453">
        <v>10</v>
      </c>
      <c r="AM453">
        <v>12.7</v>
      </c>
      <c r="AN453">
        <v>9</v>
      </c>
      <c r="AO453">
        <v>11.3</v>
      </c>
      <c r="AP453">
        <v>10</v>
      </c>
      <c r="AQ453">
        <v>10.5</v>
      </c>
      <c r="AR453">
        <v>10</v>
      </c>
      <c r="AS453">
        <v>10.6</v>
      </c>
      <c r="AT453">
        <v>10</v>
      </c>
      <c r="AU453">
        <v>18.5</v>
      </c>
      <c r="AV453">
        <v>19</v>
      </c>
      <c r="AW453">
        <v>19.2</v>
      </c>
      <c r="AX453">
        <v>19</v>
      </c>
      <c r="AY453">
        <v>9.9</v>
      </c>
      <c r="AZ453">
        <v>10</v>
      </c>
      <c r="BA453">
        <v>11.5</v>
      </c>
      <c r="BB453">
        <v>10</v>
      </c>
    </row>
    <row r="454" spans="1:54" x14ac:dyDescent="0.35">
      <c r="A454" s="1">
        <v>46059.772222222222</v>
      </c>
      <c r="B454">
        <v>22.2</v>
      </c>
      <c r="C454">
        <v>3</v>
      </c>
      <c r="D454">
        <v>20.9</v>
      </c>
      <c r="E454">
        <v>2</v>
      </c>
      <c r="F454">
        <v>9.1999999999999993</v>
      </c>
      <c r="G454">
        <v>12.7</v>
      </c>
      <c r="H454">
        <v>0</v>
      </c>
      <c r="I454">
        <v>15.4</v>
      </c>
      <c r="J454">
        <v>11.3</v>
      </c>
      <c r="K454">
        <v>0</v>
      </c>
      <c r="L454">
        <v>13</v>
      </c>
      <c r="M454">
        <v>16.5</v>
      </c>
      <c r="N454">
        <v>0</v>
      </c>
      <c r="O454">
        <v>14.9</v>
      </c>
      <c r="P454">
        <v>10.6</v>
      </c>
      <c r="Q454">
        <v>0</v>
      </c>
      <c r="R454">
        <v>10.4</v>
      </c>
      <c r="S454">
        <v>13.8</v>
      </c>
      <c r="T454">
        <v>0</v>
      </c>
      <c r="U454">
        <v>-12.5</v>
      </c>
      <c r="V454">
        <v>-0.8</v>
      </c>
      <c r="W454">
        <v>-22</v>
      </c>
      <c r="X454">
        <v>-13.9</v>
      </c>
      <c r="Y454">
        <v>-19.7</v>
      </c>
      <c r="Z454">
        <v>-22</v>
      </c>
      <c r="AA454">
        <v>-4</v>
      </c>
      <c r="AB454">
        <v>-4.2</v>
      </c>
      <c r="AC454">
        <v>-5</v>
      </c>
      <c r="AD454">
        <v>12.1</v>
      </c>
      <c r="AE454">
        <v>10.5</v>
      </c>
      <c r="AF454">
        <v>0</v>
      </c>
      <c r="AG454">
        <v>10.199999999999999</v>
      </c>
      <c r="AH454">
        <v>10</v>
      </c>
      <c r="AI454">
        <v>9.5</v>
      </c>
      <c r="AJ454">
        <v>10</v>
      </c>
      <c r="AK454">
        <v>11.8</v>
      </c>
      <c r="AL454">
        <v>10</v>
      </c>
      <c r="AM454">
        <v>12.7</v>
      </c>
      <c r="AN454">
        <v>9</v>
      </c>
      <c r="AO454">
        <v>11.7</v>
      </c>
      <c r="AP454">
        <v>10</v>
      </c>
      <c r="AQ454">
        <v>10.5</v>
      </c>
      <c r="AR454">
        <v>10</v>
      </c>
      <c r="AS454">
        <v>10.9</v>
      </c>
      <c r="AT454">
        <v>10</v>
      </c>
      <c r="AU454">
        <v>18.5</v>
      </c>
      <c r="AV454">
        <v>19</v>
      </c>
      <c r="AW454">
        <v>19.100000000000001</v>
      </c>
      <c r="AX454">
        <v>19</v>
      </c>
      <c r="AY454">
        <v>10.3</v>
      </c>
      <c r="AZ454">
        <v>10</v>
      </c>
      <c r="BA454">
        <v>10.7</v>
      </c>
      <c r="BB454">
        <v>10</v>
      </c>
    </row>
    <row r="455" spans="1:54" x14ac:dyDescent="0.35">
      <c r="A455" s="1">
        <v>46059.772916666669</v>
      </c>
      <c r="B455">
        <v>22.2</v>
      </c>
      <c r="C455">
        <v>3</v>
      </c>
      <c r="D455">
        <v>20.9</v>
      </c>
      <c r="E455">
        <v>2</v>
      </c>
      <c r="F455">
        <v>9.1999999999999993</v>
      </c>
      <c r="G455">
        <v>12.7</v>
      </c>
      <c r="H455">
        <v>0</v>
      </c>
      <c r="I455">
        <v>15.4</v>
      </c>
      <c r="J455">
        <v>11.3</v>
      </c>
      <c r="K455">
        <v>0</v>
      </c>
      <c r="L455">
        <v>13</v>
      </c>
      <c r="M455">
        <v>16.5</v>
      </c>
      <c r="N455">
        <v>0</v>
      </c>
      <c r="O455">
        <v>14.9</v>
      </c>
      <c r="P455">
        <v>10.6</v>
      </c>
      <c r="Q455">
        <v>0</v>
      </c>
      <c r="R455">
        <v>10.4</v>
      </c>
      <c r="S455">
        <v>13.8</v>
      </c>
      <c r="T455">
        <v>0</v>
      </c>
      <c r="U455">
        <v>-13</v>
      </c>
      <c r="V455">
        <v>-1.2</v>
      </c>
      <c r="W455">
        <v>-22</v>
      </c>
      <c r="X455">
        <v>-14.2</v>
      </c>
      <c r="Y455">
        <v>-20.100000000000001</v>
      </c>
      <c r="Z455">
        <v>-22</v>
      </c>
      <c r="AA455">
        <v>-3.3</v>
      </c>
      <c r="AB455">
        <v>-3.3</v>
      </c>
      <c r="AC455">
        <v>-5</v>
      </c>
      <c r="AD455">
        <v>12.1</v>
      </c>
      <c r="AE455">
        <v>10.5</v>
      </c>
      <c r="AF455">
        <v>0</v>
      </c>
      <c r="AG455">
        <v>9.6999999999999993</v>
      </c>
      <c r="AH455">
        <v>10</v>
      </c>
      <c r="AI455">
        <v>9.8000000000000007</v>
      </c>
      <c r="AJ455">
        <v>10</v>
      </c>
      <c r="AK455">
        <v>11.8</v>
      </c>
      <c r="AL455">
        <v>10</v>
      </c>
      <c r="AM455">
        <v>12.7</v>
      </c>
      <c r="AN455">
        <v>9</v>
      </c>
      <c r="AO455">
        <v>11.9</v>
      </c>
      <c r="AP455">
        <v>10</v>
      </c>
      <c r="AQ455">
        <v>10.4</v>
      </c>
      <c r="AR455">
        <v>10</v>
      </c>
      <c r="AS455">
        <v>11.1</v>
      </c>
      <c r="AT455">
        <v>10</v>
      </c>
      <c r="AU455">
        <v>18.5</v>
      </c>
      <c r="AV455">
        <v>19</v>
      </c>
      <c r="AW455">
        <v>19.100000000000001</v>
      </c>
      <c r="AX455">
        <v>19</v>
      </c>
      <c r="AY455">
        <v>10.6</v>
      </c>
      <c r="AZ455">
        <v>10</v>
      </c>
      <c r="BA455">
        <v>10</v>
      </c>
      <c r="BB455">
        <v>10</v>
      </c>
    </row>
    <row r="456" spans="1:54" x14ac:dyDescent="0.35">
      <c r="A456" s="1">
        <v>46059.773611111108</v>
      </c>
      <c r="B456">
        <v>22.2</v>
      </c>
      <c r="C456">
        <v>3</v>
      </c>
      <c r="D456">
        <v>20.9</v>
      </c>
      <c r="E456">
        <v>2</v>
      </c>
      <c r="F456">
        <v>9.1999999999999993</v>
      </c>
      <c r="G456">
        <v>12.7</v>
      </c>
      <c r="H456">
        <v>0</v>
      </c>
      <c r="I456">
        <v>15.4</v>
      </c>
      <c r="J456">
        <v>11.3</v>
      </c>
      <c r="K456">
        <v>0</v>
      </c>
      <c r="L456">
        <v>13</v>
      </c>
      <c r="M456">
        <v>16.5</v>
      </c>
      <c r="N456">
        <v>0</v>
      </c>
      <c r="O456">
        <v>14.9</v>
      </c>
      <c r="P456">
        <v>10.6</v>
      </c>
      <c r="Q456">
        <v>0</v>
      </c>
      <c r="R456">
        <v>10.4</v>
      </c>
      <c r="S456">
        <v>13.8</v>
      </c>
      <c r="T456">
        <v>0</v>
      </c>
      <c r="U456">
        <v>-13.6</v>
      </c>
      <c r="V456">
        <v>-1</v>
      </c>
      <c r="W456">
        <v>-22</v>
      </c>
      <c r="X456">
        <v>-14.5</v>
      </c>
      <c r="Y456">
        <v>-20.399999999999999</v>
      </c>
      <c r="Z456">
        <v>-22</v>
      </c>
      <c r="AA456">
        <v>-3.3</v>
      </c>
      <c r="AB456">
        <v>-2.9</v>
      </c>
      <c r="AC456">
        <v>-5</v>
      </c>
      <c r="AD456">
        <v>12.1</v>
      </c>
      <c r="AE456">
        <v>10.5</v>
      </c>
      <c r="AF456">
        <v>0</v>
      </c>
      <c r="AG456">
        <v>9.6</v>
      </c>
      <c r="AH456">
        <v>10</v>
      </c>
      <c r="AI456">
        <v>10</v>
      </c>
      <c r="AJ456">
        <v>10</v>
      </c>
      <c r="AK456">
        <v>11.9</v>
      </c>
      <c r="AL456">
        <v>10</v>
      </c>
      <c r="AM456">
        <v>12.7</v>
      </c>
      <c r="AN456">
        <v>9</v>
      </c>
      <c r="AO456">
        <v>11.8</v>
      </c>
      <c r="AP456">
        <v>10</v>
      </c>
      <c r="AQ456">
        <v>10.4</v>
      </c>
      <c r="AR456">
        <v>10</v>
      </c>
      <c r="AS456">
        <v>11.4</v>
      </c>
      <c r="AT456">
        <v>10</v>
      </c>
      <c r="AU456">
        <v>18.5</v>
      </c>
      <c r="AV456">
        <v>19</v>
      </c>
      <c r="AW456">
        <v>19.100000000000001</v>
      </c>
      <c r="AX456">
        <v>19</v>
      </c>
      <c r="AY456">
        <v>11</v>
      </c>
      <c r="AZ456">
        <v>10</v>
      </c>
      <c r="BA456">
        <v>9.6999999999999993</v>
      </c>
      <c r="BB456">
        <v>10</v>
      </c>
    </row>
    <row r="457" spans="1:54" x14ac:dyDescent="0.35">
      <c r="A457" s="1">
        <v>46059.774305555555</v>
      </c>
      <c r="B457">
        <v>22.2</v>
      </c>
      <c r="C457">
        <v>3</v>
      </c>
      <c r="D457">
        <v>20.9</v>
      </c>
      <c r="E457">
        <v>2</v>
      </c>
      <c r="F457">
        <v>9.1999999999999993</v>
      </c>
      <c r="G457">
        <v>12.7</v>
      </c>
      <c r="H457">
        <v>0</v>
      </c>
      <c r="I457">
        <v>15.4</v>
      </c>
      <c r="J457">
        <v>11.3</v>
      </c>
      <c r="K457">
        <v>0</v>
      </c>
      <c r="L457">
        <v>13.1</v>
      </c>
      <c r="M457">
        <v>16.5</v>
      </c>
      <c r="N457">
        <v>0</v>
      </c>
      <c r="O457">
        <v>14.9</v>
      </c>
      <c r="P457">
        <v>10.6</v>
      </c>
      <c r="Q457">
        <v>0</v>
      </c>
      <c r="R457">
        <v>10.4</v>
      </c>
      <c r="S457">
        <v>13.8</v>
      </c>
      <c r="T457">
        <v>0</v>
      </c>
      <c r="U457">
        <v>-14.2</v>
      </c>
      <c r="V457">
        <v>-1.3</v>
      </c>
      <c r="W457">
        <v>-22</v>
      </c>
      <c r="X457">
        <v>-14.9</v>
      </c>
      <c r="Y457">
        <v>-20.7</v>
      </c>
      <c r="Z457">
        <v>-22</v>
      </c>
      <c r="AA457">
        <v>-3.3</v>
      </c>
      <c r="AB457">
        <v>-2</v>
      </c>
      <c r="AC457">
        <v>-5</v>
      </c>
      <c r="AD457">
        <v>12.1</v>
      </c>
      <c r="AE457">
        <v>10.5</v>
      </c>
      <c r="AF457">
        <v>0</v>
      </c>
      <c r="AG457">
        <v>9.9</v>
      </c>
      <c r="AH457">
        <v>10</v>
      </c>
      <c r="AI457">
        <v>10.199999999999999</v>
      </c>
      <c r="AJ457">
        <v>10</v>
      </c>
      <c r="AK457">
        <v>12</v>
      </c>
      <c r="AL457">
        <v>10</v>
      </c>
      <c r="AM457">
        <v>12.7</v>
      </c>
      <c r="AN457">
        <v>9</v>
      </c>
      <c r="AO457">
        <v>10.5</v>
      </c>
      <c r="AP457">
        <v>10</v>
      </c>
      <c r="AQ457">
        <v>10.4</v>
      </c>
      <c r="AR457">
        <v>10</v>
      </c>
      <c r="AS457">
        <v>11.6</v>
      </c>
      <c r="AT457">
        <v>10</v>
      </c>
      <c r="AU457">
        <v>18.5</v>
      </c>
      <c r="AV457">
        <v>19</v>
      </c>
      <c r="AW457">
        <v>19.100000000000001</v>
      </c>
      <c r="AX457">
        <v>19</v>
      </c>
      <c r="AY457">
        <v>11.2</v>
      </c>
      <c r="AZ457">
        <v>10</v>
      </c>
      <c r="BA457">
        <v>9.9</v>
      </c>
      <c r="BB457">
        <v>10</v>
      </c>
    </row>
    <row r="458" spans="1:54" x14ac:dyDescent="0.35">
      <c r="A458" s="1">
        <v>46059.775000000001</v>
      </c>
      <c r="B458">
        <v>22.2</v>
      </c>
      <c r="C458">
        <v>3</v>
      </c>
      <c r="D458">
        <v>20.9</v>
      </c>
      <c r="E458">
        <v>2</v>
      </c>
      <c r="F458">
        <v>9.1999999999999993</v>
      </c>
      <c r="G458">
        <v>12.7</v>
      </c>
      <c r="H458">
        <v>0</v>
      </c>
      <c r="I458">
        <v>15.4</v>
      </c>
      <c r="J458">
        <v>11.3</v>
      </c>
      <c r="K458">
        <v>0</v>
      </c>
      <c r="L458">
        <v>13.1</v>
      </c>
      <c r="M458">
        <v>16.5</v>
      </c>
      <c r="N458">
        <v>0</v>
      </c>
      <c r="O458">
        <v>14.9</v>
      </c>
      <c r="P458">
        <v>10.6</v>
      </c>
      <c r="Q458">
        <v>0</v>
      </c>
      <c r="R458">
        <v>10.4</v>
      </c>
      <c r="S458">
        <v>13.8</v>
      </c>
      <c r="T458">
        <v>0</v>
      </c>
      <c r="U458">
        <v>-14.5</v>
      </c>
      <c r="V458">
        <v>-2</v>
      </c>
      <c r="W458">
        <v>-22</v>
      </c>
      <c r="X458">
        <v>-15.1</v>
      </c>
      <c r="Y458">
        <v>-21</v>
      </c>
      <c r="Z458">
        <v>-22</v>
      </c>
      <c r="AA458">
        <v>-3.3</v>
      </c>
      <c r="AB458">
        <v>-1</v>
      </c>
      <c r="AC458">
        <v>-5</v>
      </c>
      <c r="AD458">
        <v>12.1</v>
      </c>
      <c r="AE458">
        <v>10.5</v>
      </c>
      <c r="AF458">
        <v>0</v>
      </c>
      <c r="AG458">
        <v>10.3</v>
      </c>
      <c r="AH458">
        <v>10</v>
      </c>
      <c r="AI458">
        <v>10.4</v>
      </c>
      <c r="AJ458">
        <v>10</v>
      </c>
      <c r="AK458">
        <v>10.8</v>
      </c>
      <c r="AL458">
        <v>10</v>
      </c>
      <c r="AM458">
        <v>12.7</v>
      </c>
      <c r="AN458">
        <v>9</v>
      </c>
      <c r="AO458">
        <v>10</v>
      </c>
      <c r="AP458">
        <v>10</v>
      </c>
      <c r="AQ458">
        <v>10.5</v>
      </c>
      <c r="AR458">
        <v>10</v>
      </c>
      <c r="AS458">
        <v>11.7</v>
      </c>
      <c r="AT458">
        <v>10</v>
      </c>
      <c r="AU458">
        <v>18.5</v>
      </c>
      <c r="AV458">
        <v>19</v>
      </c>
      <c r="AW458">
        <v>19.100000000000001</v>
      </c>
      <c r="AX458">
        <v>19</v>
      </c>
      <c r="AY458">
        <v>11.5</v>
      </c>
      <c r="AZ458">
        <v>10</v>
      </c>
      <c r="BA458">
        <v>10.3</v>
      </c>
      <c r="BB458">
        <v>10</v>
      </c>
    </row>
    <row r="459" spans="1:54" x14ac:dyDescent="0.35">
      <c r="A459" s="1">
        <v>46059.775694444441</v>
      </c>
      <c r="B459">
        <v>22.2</v>
      </c>
      <c r="C459">
        <v>3</v>
      </c>
      <c r="D459">
        <v>20.9</v>
      </c>
      <c r="E459">
        <v>2</v>
      </c>
      <c r="F459">
        <v>9.1999999999999993</v>
      </c>
      <c r="G459">
        <v>12.7</v>
      </c>
      <c r="H459">
        <v>0</v>
      </c>
      <c r="I459">
        <v>15.4</v>
      </c>
      <c r="J459">
        <v>11.3</v>
      </c>
      <c r="K459">
        <v>0</v>
      </c>
      <c r="L459">
        <v>13.1</v>
      </c>
      <c r="M459">
        <v>16.5</v>
      </c>
      <c r="N459">
        <v>0</v>
      </c>
      <c r="O459">
        <v>14.9</v>
      </c>
      <c r="P459">
        <v>10.6</v>
      </c>
      <c r="Q459">
        <v>0</v>
      </c>
      <c r="R459">
        <v>10.4</v>
      </c>
      <c r="S459">
        <v>13.8</v>
      </c>
      <c r="T459">
        <v>0</v>
      </c>
      <c r="U459">
        <v>-14.9</v>
      </c>
      <c r="V459">
        <v>-2.9</v>
      </c>
      <c r="W459">
        <v>-22</v>
      </c>
      <c r="X459">
        <v>-15.4</v>
      </c>
      <c r="Y459">
        <v>-21.2</v>
      </c>
      <c r="Z459">
        <v>-22</v>
      </c>
      <c r="AA459">
        <v>-3.3</v>
      </c>
      <c r="AB459">
        <v>-0.2</v>
      </c>
      <c r="AC459">
        <v>-5</v>
      </c>
      <c r="AD459">
        <v>12.1</v>
      </c>
      <c r="AE459">
        <v>10.5</v>
      </c>
      <c r="AF459">
        <v>0</v>
      </c>
      <c r="AG459">
        <v>10.5</v>
      </c>
      <c r="AH459">
        <v>10</v>
      </c>
      <c r="AI459">
        <v>10.6</v>
      </c>
      <c r="AJ459">
        <v>10</v>
      </c>
      <c r="AK459">
        <v>9.3000000000000007</v>
      </c>
      <c r="AL459">
        <v>10</v>
      </c>
      <c r="AM459">
        <v>12.7</v>
      </c>
      <c r="AN459">
        <v>9</v>
      </c>
      <c r="AO459">
        <v>10.5</v>
      </c>
      <c r="AP459">
        <v>10</v>
      </c>
      <c r="AQ459">
        <v>10.5</v>
      </c>
      <c r="AR459">
        <v>10</v>
      </c>
      <c r="AS459">
        <v>11.9</v>
      </c>
      <c r="AT459">
        <v>10</v>
      </c>
      <c r="AU459">
        <v>18.5</v>
      </c>
      <c r="AV459">
        <v>19</v>
      </c>
      <c r="AW459">
        <v>19.100000000000001</v>
      </c>
      <c r="AX459">
        <v>19</v>
      </c>
      <c r="AY459">
        <v>11.6</v>
      </c>
      <c r="AZ459">
        <v>10</v>
      </c>
      <c r="BA459">
        <v>10.7</v>
      </c>
      <c r="BB459">
        <v>10</v>
      </c>
    </row>
    <row r="460" spans="1:54" x14ac:dyDescent="0.35">
      <c r="A460" s="1">
        <v>46059.776388888888</v>
      </c>
      <c r="B460">
        <v>22.2</v>
      </c>
      <c r="C460">
        <v>3</v>
      </c>
      <c r="D460">
        <v>20.9</v>
      </c>
      <c r="E460">
        <v>2</v>
      </c>
      <c r="F460">
        <v>9.1999999999999993</v>
      </c>
      <c r="G460">
        <v>12.7</v>
      </c>
      <c r="H460">
        <v>0</v>
      </c>
      <c r="I460">
        <v>15.4</v>
      </c>
      <c r="J460">
        <v>11.3</v>
      </c>
      <c r="K460">
        <v>0</v>
      </c>
      <c r="L460">
        <v>13.1</v>
      </c>
      <c r="M460">
        <v>16.5</v>
      </c>
      <c r="N460">
        <v>0</v>
      </c>
      <c r="O460">
        <v>14.9</v>
      </c>
      <c r="P460">
        <v>10.6</v>
      </c>
      <c r="Q460">
        <v>0</v>
      </c>
      <c r="R460">
        <v>10.4</v>
      </c>
      <c r="S460">
        <v>13.8</v>
      </c>
      <c r="T460">
        <v>0</v>
      </c>
      <c r="U460">
        <v>-15.1</v>
      </c>
      <c r="V460">
        <v>-4</v>
      </c>
      <c r="W460">
        <v>-22</v>
      </c>
      <c r="X460">
        <v>-15.6</v>
      </c>
      <c r="Y460">
        <v>-21.5</v>
      </c>
      <c r="Z460">
        <v>-22</v>
      </c>
      <c r="AA460">
        <v>-3.3</v>
      </c>
      <c r="AB460">
        <v>0.1</v>
      </c>
      <c r="AC460">
        <v>-5</v>
      </c>
      <c r="AD460">
        <v>12.1</v>
      </c>
      <c r="AE460">
        <v>10.5</v>
      </c>
      <c r="AF460">
        <v>0</v>
      </c>
      <c r="AG460">
        <v>10.7</v>
      </c>
      <c r="AH460">
        <v>10</v>
      </c>
      <c r="AI460">
        <v>10.7</v>
      </c>
      <c r="AJ460">
        <v>10</v>
      </c>
      <c r="AK460">
        <v>9.3000000000000007</v>
      </c>
      <c r="AL460">
        <v>10</v>
      </c>
      <c r="AM460">
        <v>12.7</v>
      </c>
      <c r="AN460">
        <v>9</v>
      </c>
      <c r="AO460">
        <v>11.3</v>
      </c>
      <c r="AP460">
        <v>10</v>
      </c>
      <c r="AQ460">
        <v>10.3</v>
      </c>
      <c r="AR460">
        <v>10</v>
      </c>
      <c r="AS460">
        <v>11.3</v>
      </c>
      <c r="AT460">
        <v>10</v>
      </c>
      <c r="AU460">
        <v>18.5</v>
      </c>
      <c r="AV460">
        <v>19</v>
      </c>
      <c r="AW460">
        <v>19.100000000000001</v>
      </c>
      <c r="AX460">
        <v>19</v>
      </c>
      <c r="AY460">
        <v>11.8</v>
      </c>
      <c r="AZ460">
        <v>10</v>
      </c>
      <c r="BA460">
        <v>11</v>
      </c>
      <c r="BB460">
        <v>10</v>
      </c>
    </row>
    <row r="461" spans="1:54" x14ac:dyDescent="0.35">
      <c r="A461" s="1">
        <v>46059.777083333334</v>
      </c>
      <c r="B461">
        <v>22.2</v>
      </c>
      <c r="C461">
        <v>3</v>
      </c>
      <c r="D461">
        <v>20.9</v>
      </c>
      <c r="E461">
        <v>2</v>
      </c>
      <c r="F461">
        <v>9.1999999999999993</v>
      </c>
      <c r="G461">
        <v>12.7</v>
      </c>
      <c r="H461">
        <v>0</v>
      </c>
      <c r="I461">
        <v>15.4</v>
      </c>
      <c r="J461">
        <v>11.3</v>
      </c>
      <c r="K461">
        <v>0</v>
      </c>
      <c r="L461">
        <v>13.1</v>
      </c>
      <c r="M461">
        <v>16.5</v>
      </c>
      <c r="N461">
        <v>0</v>
      </c>
      <c r="O461">
        <v>14.9</v>
      </c>
      <c r="P461">
        <v>10.6</v>
      </c>
      <c r="Q461">
        <v>0</v>
      </c>
      <c r="R461">
        <v>10.4</v>
      </c>
      <c r="S461">
        <v>13.8</v>
      </c>
      <c r="T461">
        <v>0</v>
      </c>
      <c r="U461">
        <v>-15.4</v>
      </c>
      <c r="V461">
        <v>-5</v>
      </c>
      <c r="W461">
        <v>-22</v>
      </c>
      <c r="X461">
        <v>-15.8</v>
      </c>
      <c r="Y461">
        <v>-21.7</v>
      </c>
      <c r="Z461">
        <v>-22</v>
      </c>
      <c r="AA461">
        <v>-3.3</v>
      </c>
      <c r="AB461">
        <v>0.1</v>
      </c>
      <c r="AC461">
        <v>-5</v>
      </c>
      <c r="AD461">
        <v>12.1</v>
      </c>
      <c r="AE461">
        <v>10.5</v>
      </c>
      <c r="AF461">
        <v>0</v>
      </c>
      <c r="AG461">
        <v>11</v>
      </c>
      <c r="AH461">
        <v>10</v>
      </c>
      <c r="AI461">
        <v>10.9</v>
      </c>
      <c r="AJ461">
        <v>10</v>
      </c>
      <c r="AK461">
        <v>9.8000000000000007</v>
      </c>
      <c r="AL461">
        <v>10</v>
      </c>
      <c r="AM461">
        <v>12.7</v>
      </c>
      <c r="AN461">
        <v>9</v>
      </c>
      <c r="AO461">
        <v>11.6</v>
      </c>
      <c r="AP461">
        <v>10</v>
      </c>
      <c r="AQ461">
        <v>10.3</v>
      </c>
      <c r="AR461">
        <v>10</v>
      </c>
      <c r="AS461">
        <v>9</v>
      </c>
      <c r="AT461">
        <v>10</v>
      </c>
      <c r="AU461">
        <v>18.399999999999999</v>
      </c>
      <c r="AV461">
        <v>19</v>
      </c>
      <c r="AW461">
        <v>19.100000000000001</v>
      </c>
      <c r="AX461">
        <v>19</v>
      </c>
      <c r="AY461">
        <v>12</v>
      </c>
      <c r="AZ461">
        <v>10</v>
      </c>
      <c r="BA461">
        <v>11.4</v>
      </c>
      <c r="BB461">
        <v>10</v>
      </c>
    </row>
    <row r="462" spans="1:54" x14ac:dyDescent="0.35">
      <c r="A462" s="1">
        <v>46059.777777777781</v>
      </c>
      <c r="B462">
        <v>22.2</v>
      </c>
      <c r="C462">
        <v>3</v>
      </c>
      <c r="D462">
        <v>20.9</v>
      </c>
      <c r="E462">
        <v>2</v>
      </c>
      <c r="F462">
        <v>9.1999999999999993</v>
      </c>
      <c r="G462">
        <v>12.7</v>
      </c>
      <c r="H462">
        <v>0</v>
      </c>
      <c r="I462">
        <v>15.4</v>
      </c>
      <c r="J462">
        <v>11.4</v>
      </c>
      <c r="K462">
        <v>0</v>
      </c>
      <c r="L462">
        <v>13.1</v>
      </c>
      <c r="M462">
        <v>16.5</v>
      </c>
      <c r="N462">
        <v>0</v>
      </c>
      <c r="O462">
        <v>14.9</v>
      </c>
      <c r="P462">
        <v>10.6</v>
      </c>
      <c r="Q462">
        <v>0</v>
      </c>
      <c r="R462">
        <v>10.4</v>
      </c>
      <c r="S462">
        <v>13.8</v>
      </c>
      <c r="T462">
        <v>0</v>
      </c>
      <c r="U462">
        <v>-15.9</v>
      </c>
      <c r="V462">
        <v>-5.9</v>
      </c>
      <c r="W462">
        <v>-22</v>
      </c>
      <c r="X462">
        <v>-16</v>
      </c>
      <c r="Y462">
        <v>-22</v>
      </c>
      <c r="Z462">
        <v>-22</v>
      </c>
      <c r="AA462">
        <v>-3.3</v>
      </c>
      <c r="AB462">
        <v>0.2</v>
      </c>
      <c r="AC462">
        <v>-5</v>
      </c>
      <c r="AD462">
        <v>12.1</v>
      </c>
      <c r="AE462">
        <v>10.5</v>
      </c>
      <c r="AF462">
        <v>0</v>
      </c>
      <c r="AG462">
        <v>11.1</v>
      </c>
      <c r="AH462">
        <v>10</v>
      </c>
      <c r="AI462">
        <v>11</v>
      </c>
      <c r="AJ462">
        <v>10</v>
      </c>
      <c r="AK462">
        <v>10.3</v>
      </c>
      <c r="AL462">
        <v>10</v>
      </c>
      <c r="AM462">
        <v>12.7</v>
      </c>
      <c r="AN462">
        <v>9</v>
      </c>
      <c r="AO462">
        <v>11.8</v>
      </c>
      <c r="AP462">
        <v>10</v>
      </c>
      <c r="AQ462">
        <v>10.3</v>
      </c>
      <c r="AR462">
        <v>10</v>
      </c>
      <c r="AS462">
        <v>8.1999999999999993</v>
      </c>
      <c r="AT462">
        <v>10</v>
      </c>
      <c r="AU462">
        <v>18.399999999999999</v>
      </c>
      <c r="AV462">
        <v>19</v>
      </c>
      <c r="AW462">
        <v>19.100000000000001</v>
      </c>
      <c r="AX462">
        <v>19</v>
      </c>
      <c r="AY462">
        <v>11.6</v>
      </c>
      <c r="AZ462">
        <v>10</v>
      </c>
      <c r="BA462">
        <v>11.6</v>
      </c>
      <c r="BB462">
        <v>10</v>
      </c>
    </row>
    <row r="463" spans="1:54" x14ac:dyDescent="0.35">
      <c r="A463" s="1">
        <v>46059.77847222222</v>
      </c>
      <c r="B463">
        <v>22.2</v>
      </c>
      <c r="C463">
        <v>3</v>
      </c>
      <c r="D463">
        <v>20.9</v>
      </c>
      <c r="E463">
        <v>2</v>
      </c>
      <c r="F463">
        <v>9.1999999999999993</v>
      </c>
      <c r="G463">
        <v>12.7</v>
      </c>
      <c r="H463">
        <v>0</v>
      </c>
      <c r="I463">
        <v>15.4</v>
      </c>
      <c r="J463">
        <v>11.4</v>
      </c>
      <c r="K463">
        <v>0</v>
      </c>
      <c r="L463">
        <v>13.1</v>
      </c>
      <c r="M463">
        <v>16.5</v>
      </c>
      <c r="N463">
        <v>0</v>
      </c>
      <c r="O463">
        <v>14.9</v>
      </c>
      <c r="P463">
        <v>10.6</v>
      </c>
      <c r="Q463">
        <v>0</v>
      </c>
      <c r="R463">
        <v>10.4</v>
      </c>
      <c r="S463">
        <v>13.8</v>
      </c>
      <c r="T463">
        <v>0</v>
      </c>
      <c r="U463">
        <v>-16.2</v>
      </c>
      <c r="V463">
        <v>-6.9</v>
      </c>
      <c r="W463">
        <v>-22</v>
      </c>
      <c r="X463">
        <v>-16.399999999999999</v>
      </c>
      <c r="Y463">
        <v>-22.4</v>
      </c>
      <c r="Z463">
        <v>-22</v>
      </c>
      <c r="AA463">
        <v>-3.3</v>
      </c>
      <c r="AB463">
        <v>1</v>
      </c>
      <c r="AC463">
        <v>-5</v>
      </c>
      <c r="AD463">
        <v>12.1</v>
      </c>
      <c r="AE463">
        <v>10.5</v>
      </c>
      <c r="AF463">
        <v>0</v>
      </c>
      <c r="AG463">
        <v>11.3</v>
      </c>
      <c r="AH463">
        <v>10</v>
      </c>
      <c r="AI463">
        <v>11.1</v>
      </c>
      <c r="AJ463">
        <v>10</v>
      </c>
      <c r="AK463">
        <v>10.6</v>
      </c>
      <c r="AL463">
        <v>10</v>
      </c>
      <c r="AM463">
        <v>12.7</v>
      </c>
      <c r="AN463">
        <v>9</v>
      </c>
      <c r="AO463">
        <v>12</v>
      </c>
      <c r="AP463">
        <v>10</v>
      </c>
      <c r="AQ463">
        <v>10.4</v>
      </c>
      <c r="AR463">
        <v>10</v>
      </c>
      <c r="AS463">
        <v>8.5</v>
      </c>
      <c r="AT463">
        <v>10</v>
      </c>
      <c r="AU463">
        <v>18.399999999999999</v>
      </c>
      <c r="AV463">
        <v>19</v>
      </c>
      <c r="AW463">
        <v>19.100000000000001</v>
      </c>
      <c r="AX463">
        <v>19</v>
      </c>
      <c r="AY463">
        <v>10.8</v>
      </c>
      <c r="AZ463">
        <v>10</v>
      </c>
      <c r="BA463">
        <v>11.9</v>
      </c>
      <c r="BB463">
        <v>10</v>
      </c>
    </row>
    <row r="464" spans="1:54" x14ac:dyDescent="0.35">
      <c r="A464" s="1">
        <v>46059.779166666667</v>
      </c>
      <c r="B464">
        <v>22.2</v>
      </c>
      <c r="C464">
        <v>3</v>
      </c>
      <c r="D464">
        <v>20.9</v>
      </c>
      <c r="E464">
        <v>2</v>
      </c>
      <c r="F464">
        <v>9.1999999999999993</v>
      </c>
      <c r="G464">
        <v>12.7</v>
      </c>
      <c r="H464">
        <v>0</v>
      </c>
      <c r="I464">
        <v>15.4</v>
      </c>
      <c r="J464">
        <v>11.4</v>
      </c>
      <c r="K464">
        <v>0</v>
      </c>
      <c r="L464">
        <v>13.1</v>
      </c>
      <c r="M464">
        <v>16.5</v>
      </c>
      <c r="N464">
        <v>0</v>
      </c>
      <c r="O464">
        <v>14.9</v>
      </c>
      <c r="P464">
        <v>10.6</v>
      </c>
      <c r="Q464">
        <v>0</v>
      </c>
      <c r="R464">
        <v>10.4</v>
      </c>
      <c r="S464">
        <v>13.8</v>
      </c>
      <c r="T464">
        <v>0</v>
      </c>
      <c r="U464">
        <v>-16.5</v>
      </c>
      <c r="V464">
        <v>-7.5</v>
      </c>
      <c r="W464">
        <v>-22</v>
      </c>
      <c r="X464">
        <v>-16.600000000000001</v>
      </c>
      <c r="Y464">
        <v>-22.5</v>
      </c>
      <c r="Z464">
        <v>-22</v>
      </c>
      <c r="AA464">
        <v>-3.3</v>
      </c>
      <c r="AB464">
        <v>3.8</v>
      </c>
      <c r="AC464">
        <v>-5</v>
      </c>
      <c r="AD464">
        <v>12.1</v>
      </c>
      <c r="AE464">
        <v>10.5</v>
      </c>
      <c r="AF464">
        <v>0</v>
      </c>
      <c r="AG464">
        <v>11.4</v>
      </c>
      <c r="AH464">
        <v>10</v>
      </c>
      <c r="AI464">
        <v>11.3</v>
      </c>
      <c r="AJ464">
        <v>10</v>
      </c>
      <c r="AK464">
        <v>10.8</v>
      </c>
      <c r="AL464">
        <v>10</v>
      </c>
      <c r="AM464">
        <v>12.7</v>
      </c>
      <c r="AN464">
        <v>9</v>
      </c>
      <c r="AO464">
        <v>11</v>
      </c>
      <c r="AP464">
        <v>10</v>
      </c>
      <c r="AQ464">
        <v>10.4</v>
      </c>
      <c r="AR464">
        <v>10</v>
      </c>
      <c r="AS464">
        <v>9.1</v>
      </c>
      <c r="AT464">
        <v>10</v>
      </c>
      <c r="AU464">
        <v>18.399999999999999</v>
      </c>
      <c r="AV464">
        <v>19</v>
      </c>
      <c r="AW464">
        <v>19</v>
      </c>
      <c r="AX464">
        <v>19</v>
      </c>
      <c r="AY464">
        <v>9.8000000000000007</v>
      </c>
      <c r="AZ464">
        <v>10</v>
      </c>
      <c r="BA464">
        <v>12</v>
      </c>
      <c r="BB464">
        <v>10</v>
      </c>
    </row>
    <row r="465" spans="1:54" x14ac:dyDescent="0.35">
      <c r="A465" s="1">
        <v>46059.779861111114</v>
      </c>
      <c r="B465">
        <v>22.2</v>
      </c>
      <c r="C465">
        <v>3</v>
      </c>
      <c r="D465">
        <v>20.9</v>
      </c>
      <c r="E465">
        <v>2</v>
      </c>
      <c r="F465">
        <v>9.1999999999999993</v>
      </c>
      <c r="G465">
        <v>12.7</v>
      </c>
      <c r="H465">
        <v>0</v>
      </c>
      <c r="I465">
        <v>15.4</v>
      </c>
      <c r="J465">
        <v>11.4</v>
      </c>
      <c r="K465">
        <v>0</v>
      </c>
      <c r="L465">
        <v>13.1</v>
      </c>
      <c r="M465">
        <v>16.5</v>
      </c>
      <c r="N465">
        <v>0</v>
      </c>
      <c r="O465">
        <v>14.9</v>
      </c>
      <c r="P465">
        <v>10.6</v>
      </c>
      <c r="Q465">
        <v>0</v>
      </c>
      <c r="R465">
        <v>10.4</v>
      </c>
      <c r="S465">
        <v>13.8</v>
      </c>
      <c r="T465">
        <v>0</v>
      </c>
      <c r="U465">
        <v>-16.899999999999999</v>
      </c>
      <c r="V465">
        <v>-8.5</v>
      </c>
      <c r="W465">
        <v>-22</v>
      </c>
      <c r="X465">
        <v>-16.8</v>
      </c>
      <c r="Y465">
        <v>-22.7</v>
      </c>
      <c r="Z465">
        <v>-22</v>
      </c>
      <c r="AA465">
        <v>-3.3</v>
      </c>
      <c r="AB465">
        <v>8.3000000000000007</v>
      </c>
      <c r="AC465">
        <v>-5</v>
      </c>
      <c r="AD465">
        <v>12.1</v>
      </c>
      <c r="AE465">
        <v>10.5</v>
      </c>
      <c r="AF465">
        <v>0</v>
      </c>
      <c r="AG465">
        <v>11.5</v>
      </c>
      <c r="AH465">
        <v>10</v>
      </c>
      <c r="AI465">
        <v>11.4</v>
      </c>
      <c r="AJ465">
        <v>10</v>
      </c>
      <c r="AK465">
        <v>10.9</v>
      </c>
      <c r="AL465">
        <v>10</v>
      </c>
      <c r="AM465">
        <v>12.7</v>
      </c>
      <c r="AN465">
        <v>9</v>
      </c>
      <c r="AO465">
        <v>10.3</v>
      </c>
      <c r="AP465">
        <v>10</v>
      </c>
      <c r="AQ465">
        <v>10.4</v>
      </c>
      <c r="AR465">
        <v>10</v>
      </c>
      <c r="AS465">
        <v>9.6</v>
      </c>
      <c r="AT465">
        <v>10</v>
      </c>
      <c r="AU465">
        <v>18.399999999999999</v>
      </c>
      <c r="AV465">
        <v>19</v>
      </c>
      <c r="AW465">
        <v>19</v>
      </c>
      <c r="AX465">
        <v>19</v>
      </c>
      <c r="AY465">
        <v>9.6999999999999993</v>
      </c>
      <c r="AZ465">
        <v>10</v>
      </c>
      <c r="BA465">
        <v>11.5</v>
      </c>
      <c r="BB465">
        <v>10</v>
      </c>
    </row>
    <row r="466" spans="1:54" x14ac:dyDescent="0.35">
      <c r="A466" s="1">
        <v>46059.780555555553</v>
      </c>
      <c r="B466">
        <v>22.2</v>
      </c>
      <c r="C466">
        <v>3</v>
      </c>
      <c r="D466">
        <v>20.9</v>
      </c>
      <c r="E466">
        <v>2</v>
      </c>
      <c r="F466">
        <v>9.3000000000000007</v>
      </c>
      <c r="G466">
        <v>12.7</v>
      </c>
      <c r="H466">
        <v>0</v>
      </c>
      <c r="I466">
        <v>15.4</v>
      </c>
      <c r="J466">
        <v>11.4</v>
      </c>
      <c r="K466">
        <v>0</v>
      </c>
      <c r="L466">
        <v>13.1</v>
      </c>
      <c r="M466">
        <v>16.5</v>
      </c>
      <c r="N466">
        <v>0</v>
      </c>
      <c r="O466">
        <v>14.9</v>
      </c>
      <c r="P466">
        <v>10.6</v>
      </c>
      <c r="Q466">
        <v>0</v>
      </c>
      <c r="R466">
        <v>10.4</v>
      </c>
      <c r="S466">
        <v>13.8</v>
      </c>
      <c r="T466">
        <v>0</v>
      </c>
      <c r="U466">
        <v>-17.2</v>
      </c>
      <c r="V466">
        <v>-9.1999999999999993</v>
      </c>
      <c r="W466">
        <v>-22</v>
      </c>
      <c r="X466">
        <v>-17</v>
      </c>
      <c r="Y466">
        <v>-23</v>
      </c>
      <c r="Z466">
        <v>-22</v>
      </c>
      <c r="AA466">
        <v>-3.3</v>
      </c>
      <c r="AB466">
        <v>16</v>
      </c>
      <c r="AC466">
        <v>-5</v>
      </c>
      <c r="AD466">
        <v>12.1</v>
      </c>
      <c r="AE466">
        <v>10.5</v>
      </c>
      <c r="AF466">
        <v>0</v>
      </c>
      <c r="AG466">
        <v>11.6</v>
      </c>
      <c r="AH466">
        <v>10</v>
      </c>
      <c r="AI466">
        <v>11.5</v>
      </c>
      <c r="AJ466">
        <v>10</v>
      </c>
      <c r="AK466">
        <v>10.9</v>
      </c>
      <c r="AL466">
        <v>10</v>
      </c>
      <c r="AM466">
        <v>12.7</v>
      </c>
      <c r="AN466">
        <v>9</v>
      </c>
      <c r="AO466">
        <v>9.9</v>
      </c>
      <c r="AP466">
        <v>10</v>
      </c>
      <c r="AQ466">
        <v>10.199999999999999</v>
      </c>
      <c r="AR466">
        <v>10</v>
      </c>
      <c r="AS466">
        <v>10</v>
      </c>
      <c r="AT466">
        <v>10</v>
      </c>
      <c r="AU466">
        <v>18.399999999999999</v>
      </c>
      <c r="AV466">
        <v>19</v>
      </c>
      <c r="AW466">
        <v>19</v>
      </c>
      <c r="AX466">
        <v>19</v>
      </c>
      <c r="AY466">
        <v>10</v>
      </c>
      <c r="AZ466">
        <v>10</v>
      </c>
      <c r="BA466">
        <v>10.7</v>
      </c>
      <c r="BB466">
        <v>10</v>
      </c>
    </row>
    <row r="467" spans="1:54" x14ac:dyDescent="0.35">
      <c r="A467" s="1">
        <v>46059.78125</v>
      </c>
      <c r="B467">
        <v>22.2</v>
      </c>
      <c r="C467">
        <v>3</v>
      </c>
      <c r="D467">
        <v>20.9</v>
      </c>
      <c r="E467">
        <v>2</v>
      </c>
      <c r="F467">
        <v>9.3000000000000007</v>
      </c>
      <c r="G467">
        <v>12.7</v>
      </c>
      <c r="H467">
        <v>0</v>
      </c>
      <c r="I467">
        <v>15.4</v>
      </c>
      <c r="J467">
        <v>11.4</v>
      </c>
      <c r="K467">
        <v>0</v>
      </c>
      <c r="L467">
        <v>13.1</v>
      </c>
      <c r="M467">
        <v>16.5</v>
      </c>
      <c r="N467">
        <v>0</v>
      </c>
      <c r="O467">
        <v>14.9</v>
      </c>
      <c r="P467">
        <v>10.7</v>
      </c>
      <c r="Q467">
        <v>0</v>
      </c>
      <c r="R467">
        <v>10.4</v>
      </c>
      <c r="S467">
        <v>13.8</v>
      </c>
      <c r="T467">
        <v>0</v>
      </c>
      <c r="U467">
        <v>-17.399999999999999</v>
      </c>
      <c r="V467">
        <v>-9.6999999999999993</v>
      </c>
      <c r="W467">
        <v>-22</v>
      </c>
      <c r="X467">
        <v>-17.2</v>
      </c>
      <c r="Y467">
        <v>-23.3</v>
      </c>
      <c r="Z467">
        <v>-22</v>
      </c>
      <c r="AA467">
        <v>-3.3</v>
      </c>
      <c r="AB467">
        <v>22.4</v>
      </c>
      <c r="AC467">
        <v>-5</v>
      </c>
      <c r="AD467">
        <v>12.1</v>
      </c>
      <c r="AE467">
        <v>10.5</v>
      </c>
      <c r="AF467">
        <v>0</v>
      </c>
      <c r="AG467">
        <v>11.7</v>
      </c>
      <c r="AH467">
        <v>10</v>
      </c>
      <c r="AI467">
        <v>11.6</v>
      </c>
      <c r="AJ467">
        <v>10</v>
      </c>
      <c r="AK467">
        <v>11</v>
      </c>
      <c r="AL467">
        <v>10</v>
      </c>
      <c r="AM467">
        <v>12.6</v>
      </c>
      <c r="AN467">
        <v>9</v>
      </c>
      <c r="AO467">
        <v>10.8</v>
      </c>
      <c r="AP467">
        <v>10</v>
      </c>
      <c r="AQ467">
        <v>10.1</v>
      </c>
      <c r="AR467">
        <v>10</v>
      </c>
      <c r="AS467">
        <v>10.4</v>
      </c>
      <c r="AT467">
        <v>10</v>
      </c>
      <c r="AU467">
        <v>18.5</v>
      </c>
      <c r="AV467">
        <v>19</v>
      </c>
      <c r="AW467">
        <v>19.2</v>
      </c>
      <c r="AX467">
        <v>19</v>
      </c>
      <c r="AY467">
        <v>10.4</v>
      </c>
      <c r="AZ467">
        <v>10</v>
      </c>
      <c r="BA467">
        <v>9.8000000000000007</v>
      </c>
      <c r="BB467">
        <v>10</v>
      </c>
    </row>
    <row r="468" spans="1:54" x14ac:dyDescent="0.35">
      <c r="A468" s="1">
        <v>46059.781944444447</v>
      </c>
      <c r="B468">
        <v>22.2</v>
      </c>
      <c r="C468">
        <v>3</v>
      </c>
      <c r="D468">
        <v>20.9</v>
      </c>
      <c r="E468">
        <v>2</v>
      </c>
      <c r="F468">
        <v>9.3000000000000007</v>
      </c>
      <c r="G468">
        <v>12.7</v>
      </c>
      <c r="H468">
        <v>0</v>
      </c>
      <c r="I468">
        <v>15.4</v>
      </c>
      <c r="J468">
        <v>11.4</v>
      </c>
      <c r="K468">
        <v>0</v>
      </c>
      <c r="L468">
        <v>13.1</v>
      </c>
      <c r="M468">
        <v>16.5</v>
      </c>
      <c r="N468">
        <v>0</v>
      </c>
      <c r="O468">
        <v>14.9</v>
      </c>
      <c r="P468">
        <v>10.7</v>
      </c>
      <c r="Q468">
        <v>0</v>
      </c>
      <c r="R468">
        <v>10.4</v>
      </c>
      <c r="S468">
        <v>13.8</v>
      </c>
      <c r="T468">
        <v>0</v>
      </c>
      <c r="U468">
        <v>-17.5</v>
      </c>
      <c r="V468">
        <v>-10.6</v>
      </c>
      <c r="W468">
        <v>-22</v>
      </c>
      <c r="X468">
        <v>-17.399999999999999</v>
      </c>
      <c r="Y468">
        <v>-23.4</v>
      </c>
      <c r="Z468">
        <v>-22</v>
      </c>
      <c r="AA468">
        <v>-3.3</v>
      </c>
      <c r="AB468">
        <v>26.3</v>
      </c>
      <c r="AC468">
        <v>-5</v>
      </c>
      <c r="AD468">
        <v>12.1</v>
      </c>
      <c r="AE468">
        <v>10.5</v>
      </c>
      <c r="AF468">
        <v>0</v>
      </c>
      <c r="AG468">
        <v>11.8</v>
      </c>
      <c r="AH468">
        <v>10</v>
      </c>
      <c r="AI468">
        <v>11.6</v>
      </c>
      <c r="AJ468">
        <v>10</v>
      </c>
      <c r="AK468">
        <v>11.1</v>
      </c>
      <c r="AL468">
        <v>10</v>
      </c>
      <c r="AM468">
        <v>12.6</v>
      </c>
      <c r="AN468">
        <v>9</v>
      </c>
      <c r="AO468">
        <v>11.4</v>
      </c>
      <c r="AP468">
        <v>10</v>
      </c>
      <c r="AQ468">
        <v>10</v>
      </c>
      <c r="AR468">
        <v>10</v>
      </c>
      <c r="AS468">
        <v>10.7</v>
      </c>
      <c r="AT468">
        <v>10</v>
      </c>
      <c r="AU468">
        <v>18.5</v>
      </c>
      <c r="AV468">
        <v>19</v>
      </c>
      <c r="AW468">
        <v>19.5</v>
      </c>
      <c r="AX468">
        <v>19</v>
      </c>
      <c r="AY468">
        <v>10.7</v>
      </c>
      <c r="AZ468">
        <v>10</v>
      </c>
      <c r="BA468">
        <v>9.6999999999999993</v>
      </c>
      <c r="BB468">
        <v>10</v>
      </c>
    </row>
    <row r="469" spans="1:54" x14ac:dyDescent="0.35">
      <c r="A469" s="1">
        <v>46059.782638888886</v>
      </c>
      <c r="B469">
        <v>22.2</v>
      </c>
      <c r="C469">
        <v>3</v>
      </c>
      <c r="D469">
        <v>20.9</v>
      </c>
      <c r="E469">
        <v>2</v>
      </c>
      <c r="F469">
        <v>9.3000000000000007</v>
      </c>
      <c r="G469">
        <v>12.7</v>
      </c>
      <c r="H469">
        <v>0</v>
      </c>
      <c r="I469">
        <v>15.4</v>
      </c>
      <c r="J469">
        <v>11.4</v>
      </c>
      <c r="K469">
        <v>0</v>
      </c>
      <c r="L469">
        <v>13.1</v>
      </c>
      <c r="M469">
        <v>16.5</v>
      </c>
      <c r="N469">
        <v>0</v>
      </c>
      <c r="O469">
        <v>14.9</v>
      </c>
      <c r="P469">
        <v>10.7</v>
      </c>
      <c r="Q469">
        <v>0</v>
      </c>
      <c r="R469">
        <v>10.4</v>
      </c>
      <c r="S469">
        <v>13.8</v>
      </c>
      <c r="T469">
        <v>0</v>
      </c>
      <c r="U469">
        <v>-17.8</v>
      </c>
      <c r="V469">
        <v>-10.9</v>
      </c>
      <c r="W469">
        <v>-22</v>
      </c>
      <c r="X469">
        <v>-17.600000000000001</v>
      </c>
      <c r="Y469">
        <v>-23.8</v>
      </c>
      <c r="Z469">
        <v>-22</v>
      </c>
      <c r="AA469">
        <v>-3.3</v>
      </c>
      <c r="AB469">
        <v>27.6</v>
      </c>
      <c r="AC469">
        <v>-5</v>
      </c>
      <c r="AD469">
        <v>12.1</v>
      </c>
      <c r="AE469">
        <v>10.4</v>
      </c>
      <c r="AF469">
        <v>0</v>
      </c>
      <c r="AG469">
        <v>11.9</v>
      </c>
      <c r="AH469">
        <v>10</v>
      </c>
      <c r="AI469">
        <v>11.7</v>
      </c>
      <c r="AJ469">
        <v>10</v>
      </c>
      <c r="AK469">
        <v>11.2</v>
      </c>
      <c r="AL469">
        <v>10</v>
      </c>
      <c r="AM469">
        <v>12.6</v>
      </c>
      <c r="AN469">
        <v>9</v>
      </c>
      <c r="AO469">
        <v>11.7</v>
      </c>
      <c r="AP469">
        <v>10</v>
      </c>
      <c r="AQ469">
        <v>10.6</v>
      </c>
      <c r="AR469">
        <v>10</v>
      </c>
      <c r="AS469">
        <v>10.9</v>
      </c>
      <c r="AT469">
        <v>10</v>
      </c>
      <c r="AU469">
        <v>18.600000000000001</v>
      </c>
      <c r="AV469">
        <v>19</v>
      </c>
      <c r="AW469">
        <v>19.8</v>
      </c>
      <c r="AX469">
        <v>19</v>
      </c>
      <c r="AY469">
        <v>11</v>
      </c>
      <c r="AZ469">
        <v>10</v>
      </c>
      <c r="BA469">
        <v>9.9</v>
      </c>
      <c r="BB469">
        <v>10</v>
      </c>
    </row>
    <row r="470" spans="1:54" x14ac:dyDescent="0.35">
      <c r="A470" s="1">
        <v>46059.783333333333</v>
      </c>
      <c r="B470">
        <v>22.2</v>
      </c>
      <c r="C470">
        <v>3</v>
      </c>
      <c r="D470">
        <v>20.9</v>
      </c>
      <c r="E470">
        <v>2</v>
      </c>
      <c r="F470">
        <v>9.3000000000000007</v>
      </c>
      <c r="G470">
        <v>12.7</v>
      </c>
      <c r="H470">
        <v>0</v>
      </c>
      <c r="I470">
        <v>15.4</v>
      </c>
      <c r="J470">
        <v>11.4</v>
      </c>
      <c r="K470">
        <v>0</v>
      </c>
      <c r="L470">
        <v>13.1</v>
      </c>
      <c r="M470">
        <v>16.5</v>
      </c>
      <c r="N470">
        <v>0</v>
      </c>
      <c r="O470">
        <v>14.9</v>
      </c>
      <c r="P470">
        <v>10.7</v>
      </c>
      <c r="Q470">
        <v>0</v>
      </c>
      <c r="R470">
        <v>10.4</v>
      </c>
      <c r="S470">
        <v>13.8</v>
      </c>
      <c r="T470">
        <v>0</v>
      </c>
      <c r="U470">
        <v>-18.100000000000001</v>
      </c>
      <c r="V470">
        <v>-11.3</v>
      </c>
      <c r="W470">
        <v>-22</v>
      </c>
      <c r="X470">
        <v>-17.8</v>
      </c>
      <c r="Y470">
        <v>-23.8</v>
      </c>
      <c r="Z470">
        <v>-22</v>
      </c>
      <c r="AA470">
        <v>-3.3</v>
      </c>
      <c r="AB470">
        <v>28.8</v>
      </c>
      <c r="AC470">
        <v>-5</v>
      </c>
      <c r="AD470">
        <v>12.1</v>
      </c>
      <c r="AE470">
        <v>10.4</v>
      </c>
      <c r="AF470">
        <v>0</v>
      </c>
      <c r="AG470">
        <v>12</v>
      </c>
      <c r="AH470">
        <v>10</v>
      </c>
      <c r="AI470">
        <v>11.8</v>
      </c>
      <c r="AJ470">
        <v>10</v>
      </c>
      <c r="AK470">
        <v>11.3</v>
      </c>
      <c r="AL470">
        <v>10</v>
      </c>
      <c r="AM470">
        <v>12.6</v>
      </c>
      <c r="AN470">
        <v>9</v>
      </c>
      <c r="AO470">
        <v>11.9</v>
      </c>
      <c r="AP470">
        <v>10</v>
      </c>
      <c r="AQ470">
        <v>11.4</v>
      </c>
      <c r="AR470">
        <v>10</v>
      </c>
      <c r="AS470">
        <v>11.2</v>
      </c>
      <c r="AT470">
        <v>10</v>
      </c>
      <c r="AU470">
        <v>18.8</v>
      </c>
      <c r="AV470">
        <v>19</v>
      </c>
      <c r="AW470">
        <v>19.899999999999999</v>
      </c>
      <c r="AX470">
        <v>19</v>
      </c>
      <c r="AY470">
        <v>11.3</v>
      </c>
      <c r="AZ470">
        <v>10</v>
      </c>
      <c r="BA470">
        <v>10.4</v>
      </c>
      <c r="BB470">
        <v>10</v>
      </c>
    </row>
    <row r="471" spans="1:54" x14ac:dyDescent="0.35">
      <c r="A471" s="1">
        <v>46059.78402777778</v>
      </c>
      <c r="B471">
        <v>22.2</v>
      </c>
      <c r="C471">
        <v>3</v>
      </c>
      <c r="D471">
        <v>20.9</v>
      </c>
      <c r="E471">
        <v>2</v>
      </c>
      <c r="F471">
        <v>9.3000000000000007</v>
      </c>
      <c r="G471">
        <v>12.7</v>
      </c>
      <c r="H471">
        <v>0</v>
      </c>
      <c r="I471">
        <v>15.4</v>
      </c>
      <c r="J471">
        <v>11.4</v>
      </c>
      <c r="K471">
        <v>0</v>
      </c>
      <c r="L471">
        <v>13.1</v>
      </c>
      <c r="M471">
        <v>16.5</v>
      </c>
      <c r="N471">
        <v>0</v>
      </c>
      <c r="O471">
        <v>14.9</v>
      </c>
      <c r="P471">
        <v>10.7</v>
      </c>
      <c r="Q471">
        <v>0</v>
      </c>
      <c r="R471">
        <v>10.4</v>
      </c>
      <c r="S471">
        <v>13.8</v>
      </c>
      <c r="T471">
        <v>0</v>
      </c>
      <c r="U471">
        <v>-18.3</v>
      </c>
      <c r="V471">
        <v>-12</v>
      </c>
      <c r="W471">
        <v>-22</v>
      </c>
      <c r="X471">
        <v>-17.899999999999999</v>
      </c>
      <c r="Y471">
        <v>-24.2</v>
      </c>
      <c r="Z471">
        <v>-22</v>
      </c>
      <c r="AA471">
        <v>-3.3</v>
      </c>
      <c r="AB471">
        <v>30</v>
      </c>
      <c r="AC471">
        <v>-5</v>
      </c>
      <c r="AD471">
        <v>12.1</v>
      </c>
      <c r="AE471">
        <v>10.4</v>
      </c>
      <c r="AF471">
        <v>0</v>
      </c>
      <c r="AG471">
        <v>11.9</v>
      </c>
      <c r="AH471">
        <v>10</v>
      </c>
      <c r="AI471">
        <v>11.9</v>
      </c>
      <c r="AJ471">
        <v>10</v>
      </c>
      <c r="AK471">
        <v>11.4</v>
      </c>
      <c r="AL471">
        <v>10</v>
      </c>
      <c r="AM471">
        <v>12.6</v>
      </c>
      <c r="AN471">
        <v>9</v>
      </c>
      <c r="AO471">
        <v>12</v>
      </c>
      <c r="AP471">
        <v>10</v>
      </c>
      <c r="AQ471">
        <v>12.1</v>
      </c>
      <c r="AR471">
        <v>10</v>
      </c>
      <c r="AS471">
        <v>11.4</v>
      </c>
      <c r="AT471">
        <v>10</v>
      </c>
      <c r="AU471">
        <v>18.8</v>
      </c>
      <c r="AV471">
        <v>19</v>
      </c>
      <c r="AW471">
        <v>20.100000000000001</v>
      </c>
      <c r="AX471">
        <v>19</v>
      </c>
      <c r="AY471">
        <v>11.5</v>
      </c>
      <c r="AZ471">
        <v>10</v>
      </c>
      <c r="BA471">
        <v>10.8</v>
      </c>
      <c r="BB471">
        <v>10</v>
      </c>
    </row>
    <row r="472" spans="1:54" x14ac:dyDescent="0.35">
      <c r="A472" s="1">
        <v>46059.784722222219</v>
      </c>
      <c r="B472">
        <v>22.2</v>
      </c>
      <c r="C472">
        <v>3</v>
      </c>
      <c r="D472">
        <v>20.9</v>
      </c>
      <c r="E472">
        <v>2</v>
      </c>
      <c r="F472">
        <v>9.3000000000000007</v>
      </c>
      <c r="G472">
        <v>12.7</v>
      </c>
      <c r="H472">
        <v>0</v>
      </c>
      <c r="I472">
        <v>15.4</v>
      </c>
      <c r="J472">
        <v>11.4</v>
      </c>
      <c r="K472">
        <v>0</v>
      </c>
      <c r="L472">
        <v>13.1</v>
      </c>
      <c r="M472">
        <v>16.5</v>
      </c>
      <c r="N472">
        <v>0</v>
      </c>
      <c r="O472">
        <v>14.9</v>
      </c>
      <c r="P472">
        <v>10.7</v>
      </c>
      <c r="Q472">
        <v>0</v>
      </c>
      <c r="R472">
        <v>10.4</v>
      </c>
      <c r="S472">
        <v>13.8</v>
      </c>
      <c r="T472">
        <v>0</v>
      </c>
      <c r="U472">
        <v>-18.399999999999999</v>
      </c>
      <c r="V472">
        <v>-12.5</v>
      </c>
      <c r="W472">
        <v>-22</v>
      </c>
      <c r="X472">
        <v>-18.100000000000001</v>
      </c>
      <c r="Y472">
        <v>-24.1</v>
      </c>
      <c r="Z472">
        <v>-22</v>
      </c>
      <c r="AA472">
        <v>-3.3</v>
      </c>
      <c r="AB472">
        <v>30.7</v>
      </c>
      <c r="AC472">
        <v>-5</v>
      </c>
      <c r="AD472">
        <v>12.1</v>
      </c>
      <c r="AE472">
        <v>10.4</v>
      </c>
      <c r="AF472">
        <v>0</v>
      </c>
      <c r="AG472">
        <v>11.3</v>
      </c>
      <c r="AH472">
        <v>10</v>
      </c>
      <c r="AI472">
        <v>12</v>
      </c>
      <c r="AJ472">
        <v>10</v>
      </c>
      <c r="AK472">
        <v>11.4</v>
      </c>
      <c r="AL472">
        <v>10</v>
      </c>
      <c r="AM472">
        <v>12.6</v>
      </c>
      <c r="AN472">
        <v>9</v>
      </c>
      <c r="AO472">
        <v>11.6</v>
      </c>
      <c r="AP472">
        <v>10</v>
      </c>
      <c r="AQ472">
        <v>12.4</v>
      </c>
      <c r="AR472">
        <v>10</v>
      </c>
      <c r="AS472">
        <v>11.6</v>
      </c>
      <c r="AT472">
        <v>10</v>
      </c>
      <c r="AU472">
        <v>19</v>
      </c>
      <c r="AV472">
        <v>19</v>
      </c>
      <c r="AW472">
        <v>20.100000000000001</v>
      </c>
      <c r="AX472">
        <v>19</v>
      </c>
      <c r="AY472">
        <v>11.7</v>
      </c>
      <c r="AZ472">
        <v>10</v>
      </c>
      <c r="BA472">
        <v>11.1</v>
      </c>
      <c r="BB472">
        <v>10</v>
      </c>
    </row>
    <row r="473" spans="1:54" x14ac:dyDescent="0.35">
      <c r="A473" s="1">
        <v>46059.785416666666</v>
      </c>
      <c r="B473">
        <v>22.2</v>
      </c>
      <c r="C473">
        <v>3</v>
      </c>
      <c r="D473">
        <v>20.9</v>
      </c>
      <c r="E473">
        <v>2</v>
      </c>
      <c r="F473">
        <v>9.3000000000000007</v>
      </c>
      <c r="G473">
        <v>12.7</v>
      </c>
      <c r="H473">
        <v>0</v>
      </c>
      <c r="I473">
        <v>15.4</v>
      </c>
      <c r="J473">
        <v>11.4</v>
      </c>
      <c r="K473">
        <v>0</v>
      </c>
      <c r="L473">
        <v>13.1</v>
      </c>
      <c r="M473">
        <v>16.5</v>
      </c>
      <c r="N473">
        <v>0</v>
      </c>
      <c r="O473">
        <v>14.9</v>
      </c>
      <c r="P473">
        <v>10.7</v>
      </c>
      <c r="Q473">
        <v>0</v>
      </c>
      <c r="R473">
        <v>10.4</v>
      </c>
      <c r="S473">
        <v>13.8</v>
      </c>
      <c r="T473">
        <v>0</v>
      </c>
      <c r="U473">
        <v>-18.600000000000001</v>
      </c>
      <c r="V473">
        <v>-13.1</v>
      </c>
      <c r="W473">
        <v>-22</v>
      </c>
      <c r="X473">
        <v>-18.2</v>
      </c>
      <c r="Y473">
        <v>-24.3</v>
      </c>
      <c r="Z473">
        <v>-22</v>
      </c>
      <c r="AA473">
        <v>-3.3</v>
      </c>
      <c r="AB473">
        <v>30.5</v>
      </c>
      <c r="AC473">
        <v>-5</v>
      </c>
      <c r="AD473">
        <v>12.1</v>
      </c>
      <c r="AE473">
        <v>10.4</v>
      </c>
      <c r="AF473">
        <v>0</v>
      </c>
      <c r="AG473">
        <v>10.9</v>
      </c>
      <c r="AH473">
        <v>10</v>
      </c>
      <c r="AI473">
        <v>11.7</v>
      </c>
      <c r="AJ473">
        <v>10</v>
      </c>
      <c r="AK473">
        <v>11.5</v>
      </c>
      <c r="AL473">
        <v>10</v>
      </c>
      <c r="AM473">
        <v>12.6</v>
      </c>
      <c r="AN473">
        <v>9</v>
      </c>
      <c r="AO473">
        <v>11</v>
      </c>
      <c r="AP473">
        <v>10</v>
      </c>
      <c r="AQ473">
        <v>12.4</v>
      </c>
      <c r="AR473">
        <v>10</v>
      </c>
      <c r="AS473">
        <v>11.8</v>
      </c>
      <c r="AT473">
        <v>10</v>
      </c>
      <c r="AU473">
        <v>19.2</v>
      </c>
      <c r="AV473">
        <v>19</v>
      </c>
      <c r="AW473">
        <v>20.100000000000001</v>
      </c>
      <c r="AX473">
        <v>19</v>
      </c>
      <c r="AY473">
        <v>11.9</v>
      </c>
      <c r="AZ473">
        <v>10</v>
      </c>
      <c r="BA473">
        <v>11.4</v>
      </c>
      <c r="BB473">
        <v>10</v>
      </c>
    </row>
    <row r="474" spans="1:54" x14ac:dyDescent="0.35">
      <c r="A474" s="1">
        <v>46059.786111111112</v>
      </c>
      <c r="B474">
        <v>22.2</v>
      </c>
      <c r="C474">
        <v>3</v>
      </c>
      <c r="D474">
        <v>20.9</v>
      </c>
      <c r="E474">
        <v>2</v>
      </c>
      <c r="F474">
        <v>9.3000000000000007</v>
      </c>
      <c r="G474">
        <v>12.7</v>
      </c>
      <c r="H474">
        <v>0</v>
      </c>
      <c r="I474">
        <v>15.4</v>
      </c>
      <c r="J474">
        <v>11.4</v>
      </c>
      <c r="K474">
        <v>0</v>
      </c>
      <c r="L474">
        <v>13.1</v>
      </c>
      <c r="M474">
        <v>16.5</v>
      </c>
      <c r="N474">
        <v>0</v>
      </c>
      <c r="O474">
        <v>14.9</v>
      </c>
      <c r="P474">
        <v>10.7</v>
      </c>
      <c r="Q474">
        <v>0</v>
      </c>
      <c r="R474">
        <v>10.4</v>
      </c>
      <c r="S474">
        <v>13.8</v>
      </c>
      <c r="T474">
        <v>0</v>
      </c>
      <c r="U474">
        <v>-18.8</v>
      </c>
      <c r="V474">
        <v>-13.6</v>
      </c>
      <c r="W474">
        <v>-22</v>
      </c>
      <c r="X474">
        <v>-18.3</v>
      </c>
      <c r="Y474">
        <v>-24.2</v>
      </c>
      <c r="Z474">
        <v>-22</v>
      </c>
      <c r="AA474">
        <v>-3.3</v>
      </c>
      <c r="AB474">
        <v>29.4</v>
      </c>
      <c r="AC474">
        <v>-5</v>
      </c>
      <c r="AD474">
        <v>12.1</v>
      </c>
      <c r="AE474">
        <v>10.4</v>
      </c>
      <c r="AF474">
        <v>0</v>
      </c>
      <c r="AG474">
        <v>10.6</v>
      </c>
      <c r="AH474">
        <v>10</v>
      </c>
      <c r="AI474">
        <v>10.6</v>
      </c>
      <c r="AJ474">
        <v>10</v>
      </c>
      <c r="AK474">
        <v>11.5</v>
      </c>
      <c r="AL474">
        <v>10</v>
      </c>
      <c r="AM474">
        <v>12.6</v>
      </c>
      <c r="AN474">
        <v>9</v>
      </c>
      <c r="AO474">
        <v>11</v>
      </c>
      <c r="AP474">
        <v>10</v>
      </c>
      <c r="AQ474">
        <v>12.3</v>
      </c>
      <c r="AR474">
        <v>10</v>
      </c>
      <c r="AS474">
        <v>12</v>
      </c>
      <c r="AT474">
        <v>10</v>
      </c>
      <c r="AU474">
        <v>19.2</v>
      </c>
      <c r="AV474">
        <v>19</v>
      </c>
      <c r="AW474">
        <v>20.2</v>
      </c>
      <c r="AX474">
        <v>19</v>
      </c>
      <c r="AY474">
        <v>12</v>
      </c>
      <c r="AZ474">
        <v>10</v>
      </c>
      <c r="BA474">
        <v>11.7</v>
      </c>
      <c r="BB474">
        <v>10</v>
      </c>
    </row>
    <row r="475" spans="1:54" x14ac:dyDescent="0.35">
      <c r="A475" s="1">
        <v>46059.786805555559</v>
      </c>
      <c r="B475">
        <v>22.3</v>
      </c>
      <c r="C475">
        <v>3</v>
      </c>
      <c r="D475">
        <v>20.9</v>
      </c>
      <c r="E475">
        <v>2</v>
      </c>
      <c r="F475">
        <v>9.3000000000000007</v>
      </c>
      <c r="G475">
        <v>12.7</v>
      </c>
      <c r="H475">
        <v>0</v>
      </c>
      <c r="I475">
        <v>15.4</v>
      </c>
      <c r="J475">
        <v>11.4</v>
      </c>
      <c r="K475">
        <v>0</v>
      </c>
      <c r="L475">
        <v>13.1</v>
      </c>
      <c r="M475">
        <v>16.5</v>
      </c>
      <c r="N475">
        <v>0</v>
      </c>
      <c r="O475">
        <v>14.9</v>
      </c>
      <c r="P475">
        <v>10.7</v>
      </c>
      <c r="Q475">
        <v>0</v>
      </c>
      <c r="R475">
        <v>10.4</v>
      </c>
      <c r="S475">
        <v>13.8</v>
      </c>
      <c r="T475">
        <v>0</v>
      </c>
      <c r="U475">
        <v>-18.899999999999999</v>
      </c>
      <c r="V475">
        <v>-13.8</v>
      </c>
      <c r="W475">
        <v>-22</v>
      </c>
      <c r="X475">
        <v>-18.399999999999999</v>
      </c>
      <c r="Y475">
        <v>-24.5</v>
      </c>
      <c r="Z475">
        <v>-22</v>
      </c>
      <c r="AA475">
        <v>24.9</v>
      </c>
      <c r="AB475">
        <v>28.4</v>
      </c>
      <c r="AC475">
        <v>-5</v>
      </c>
      <c r="AD475">
        <v>12.1</v>
      </c>
      <c r="AE475">
        <v>10.4</v>
      </c>
      <c r="AF475">
        <v>0</v>
      </c>
      <c r="AG475">
        <v>10.5</v>
      </c>
      <c r="AH475">
        <v>10</v>
      </c>
      <c r="AI475">
        <v>9.8000000000000007</v>
      </c>
      <c r="AJ475">
        <v>10</v>
      </c>
      <c r="AK475">
        <v>11.5</v>
      </c>
      <c r="AL475">
        <v>10</v>
      </c>
      <c r="AM475">
        <v>12.6</v>
      </c>
      <c r="AN475">
        <v>9</v>
      </c>
      <c r="AO475">
        <v>11.2</v>
      </c>
      <c r="AP475">
        <v>10</v>
      </c>
      <c r="AQ475">
        <v>12.2</v>
      </c>
      <c r="AR475">
        <v>10</v>
      </c>
      <c r="AS475">
        <v>10.8</v>
      </c>
      <c r="AT475">
        <v>10</v>
      </c>
      <c r="AU475">
        <v>19.2</v>
      </c>
      <c r="AV475">
        <v>19</v>
      </c>
      <c r="AW475">
        <v>20.399999999999999</v>
      </c>
      <c r="AX475">
        <v>19</v>
      </c>
      <c r="AY475">
        <v>11.4</v>
      </c>
      <c r="AZ475">
        <v>10</v>
      </c>
      <c r="BA475">
        <v>12</v>
      </c>
      <c r="BB475">
        <v>10</v>
      </c>
    </row>
    <row r="476" spans="1:54" x14ac:dyDescent="0.35">
      <c r="A476" s="1">
        <v>46059.787499999999</v>
      </c>
      <c r="B476">
        <v>22.3</v>
      </c>
      <c r="C476">
        <v>3</v>
      </c>
      <c r="D476">
        <v>20.9</v>
      </c>
      <c r="E476">
        <v>2</v>
      </c>
      <c r="F476">
        <v>9.3000000000000007</v>
      </c>
      <c r="G476">
        <v>12.7</v>
      </c>
      <c r="H476">
        <v>0</v>
      </c>
      <c r="I476">
        <v>15.4</v>
      </c>
      <c r="J476">
        <v>11.4</v>
      </c>
      <c r="K476">
        <v>0</v>
      </c>
      <c r="L476">
        <v>13.1</v>
      </c>
      <c r="M476">
        <v>16.5</v>
      </c>
      <c r="N476">
        <v>0</v>
      </c>
      <c r="O476">
        <v>14.9</v>
      </c>
      <c r="P476">
        <v>10.7</v>
      </c>
      <c r="Q476">
        <v>0</v>
      </c>
      <c r="R476">
        <v>10.4</v>
      </c>
      <c r="S476">
        <v>13.8</v>
      </c>
      <c r="T476">
        <v>0</v>
      </c>
      <c r="U476">
        <v>-19.100000000000001</v>
      </c>
      <c r="V476">
        <v>-14.3</v>
      </c>
      <c r="W476">
        <v>-22</v>
      </c>
      <c r="X476">
        <v>-18.5</v>
      </c>
      <c r="Y476">
        <v>-24.4</v>
      </c>
      <c r="Z476">
        <v>-22</v>
      </c>
      <c r="AA476">
        <v>22.4</v>
      </c>
      <c r="AB476">
        <v>21.9</v>
      </c>
      <c r="AC476">
        <v>-5</v>
      </c>
      <c r="AD476">
        <v>12.1</v>
      </c>
      <c r="AE476">
        <v>10.4</v>
      </c>
      <c r="AF476">
        <v>0</v>
      </c>
      <c r="AG476">
        <v>10.4</v>
      </c>
      <c r="AH476">
        <v>10</v>
      </c>
      <c r="AI476">
        <v>9.5</v>
      </c>
      <c r="AJ476">
        <v>10</v>
      </c>
      <c r="AK476">
        <v>11.6</v>
      </c>
      <c r="AL476">
        <v>10</v>
      </c>
      <c r="AM476">
        <v>12.6</v>
      </c>
      <c r="AN476">
        <v>9</v>
      </c>
      <c r="AO476">
        <v>11.2</v>
      </c>
      <c r="AP476">
        <v>10</v>
      </c>
      <c r="AQ476">
        <v>12</v>
      </c>
      <c r="AR476">
        <v>10</v>
      </c>
      <c r="AS476">
        <v>9</v>
      </c>
      <c r="AT476">
        <v>10</v>
      </c>
      <c r="AU476">
        <v>19.3</v>
      </c>
      <c r="AV476">
        <v>19</v>
      </c>
      <c r="AW476">
        <v>20.5</v>
      </c>
      <c r="AX476">
        <v>19</v>
      </c>
      <c r="AY476">
        <v>10.5</v>
      </c>
      <c r="AZ476">
        <v>10</v>
      </c>
      <c r="BA476">
        <v>12</v>
      </c>
      <c r="BB476">
        <v>10</v>
      </c>
    </row>
    <row r="477" spans="1:54" x14ac:dyDescent="0.35">
      <c r="A477" s="1">
        <v>46059.788194444445</v>
      </c>
      <c r="B477">
        <v>22.3</v>
      </c>
      <c r="C477">
        <v>3</v>
      </c>
      <c r="D477">
        <v>20.9</v>
      </c>
      <c r="E477">
        <v>2</v>
      </c>
      <c r="F477">
        <v>9.3000000000000007</v>
      </c>
      <c r="G477">
        <v>12.7</v>
      </c>
      <c r="H477">
        <v>0</v>
      </c>
      <c r="I477">
        <v>15.4</v>
      </c>
      <c r="J477">
        <v>11.4</v>
      </c>
      <c r="K477">
        <v>0</v>
      </c>
      <c r="L477">
        <v>13.1</v>
      </c>
      <c r="M477">
        <v>16.5</v>
      </c>
      <c r="N477">
        <v>0</v>
      </c>
      <c r="O477">
        <v>14.9</v>
      </c>
      <c r="P477">
        <v>10.7</v>
      </c>
      <c r="Q477">
        <v>0</v>
      </c>
      <c r="R477">
        <v>10.4</v>
      </c>
      <c r="S477">
        <v>13.8</v>
      </c>
      <c r="T477">
        <v>0</v>
      </c>
      <c r="U477">
        <v>-19.2</v>
      </c>
      <c r="V477">
        <v>-14.6</v>
      </c>
      <c r="W477">
        <v>-22</v>
      </c>
      <c r="X477">
        <v>-18.600000000000001</v>
      </c>
      <c r="Y477">
        <v>-24.6</v>
      </c>
      <c r="Z477">
        <v>-22</v>
      </c>
      <c r="AA477">
        <v>10.199999999999999</v>
      </c>
      <c r="AB477">
        <v>10.5</v>
      </c>
      <c r="AC477">
        <v>-5</v>
      </c>
      <c r="AD477">
        <v>12.1</v>
      </c>
      <c r="AE477">
        <v>10.4</v>
      </c>
      <c r="AF477">
        <v>0</v>
      </c>
      <c r="AG477">
        <v>10.4</v>
      </c>
      <c r="AH477">
        <v>10</v>
      </c>
      <c r="AI477">
        <v>9.5</v>
      </c>
      <c r="AJ477">
        <v>10</v>
      </c>
      <c r="AK477">
        <v>11.6</v>
      </c>
      <c r="AL477">
        <v>10</v>
      </c>
      <c r="AM477">
        <v>12.6</v>
      </c>
      <c r="AN477">
        <v>9</v>
      </c>
      <c r="AO477">
        <v>10.9</v>
      </c>
      <c r="AP477">
        <v>10</v>
      </c>
      <c r="AQ477">
        <v>12</v>
      </c>
      <c r="AR477">
        <v>10</v>
      </c>
      <c r="AS477">
        <v>8.4</v>
      </c>
      <c r="AT477">
        <v>10</v>
      </c>
      <c r="AU477">
        <v>19.399999999999999</v>
      </c>
      <c r="AV477">
        <v>19</v>
      </c>
      <c r="AW477">
        <v>20.5</v>
      </c>
      <c r="AX477">
        <v>19</v>
      </c>
      <c r="AY477">
        <v>9.8000000000000007</v>
      </c>
      <c r="AZ477">
        <v>10</v>
      </c>
      <c r="BA477">
        <v>11.2</v>
      </c>
      <c r="BB477">
        <v>10</v>
      </c>
    </row>
    <row r="478" spans="1:54" x14ac:dyDescent="0.35">
      <c r="A478" s="1">
        <v>46059.788888888892</v>
      </c>
      <c r="B478">
        <v>22.3</v>
      </c>
      <c r="C478">
        <v>3</v>
      </c>
      <c r="D478">
        <v>20.9</v>
      </c>
      <c r="E478">
        <v>2</v>
      </c>
      <c r="F478">
        <v>9.3000000000000007</v>
      </c>
      <c r="G478">
        <v>12.8</v>
      </c>
      <c r="H478">
        <v>0</v>
      </c>
      <c r="I478">
        <v>15.4</v>
      </c>
      <c r="J478">
        <v>11.4</v>
      </c>
      <c r="K478">
        <v>0</v>
      </c>
      <c r="L478">
        <v>13.1</v>
      </c>
      <c r="M478">
        <v>16.5</v>
      </c>
      <c r="N478">
        <v>0</v>
      </c>
      <c r="O478">
        <v>15</v>
      </c>
      <c r="P478">
        <v>10.7</v>
      </c>
      <c r="Q478">
        <v>0</v>
      </c>
      <c r="R478">
        <v>10.5</v>
      </c>
      <c r="S478">
        <v>13.8</v>
      </c>
      <c r="T478">
        <v>0</v>
      </c>
      <c r="U478">
        <v>-19.3</v>
      </c>
      <c r="V478">
        <v>-15</v>
      </c>
      <c r="W478">
        <v>-22</v>
      </c>
      <c r="X478">
        <v>-18.7</v>
      </c>
      <c r="Y478">
        <v>-24.7</v>
      </c>
      <c r="Z478">
        <v>-22</v>
      </c>
      <c r="AA478">
        <v>7.3</v>
      </c>
      <c r="AB478">
        <v>7.6</v>
      </c>
      <c r="AC478">
        <v>-5</v>
      </c>
      <c r="AD478">
        <v>12.1</v>
      </c>
      <c r="AE478">
        <v>10.4</v>
      </c>
      <c r="AF478">
        <v>0</v>
      </c>
      <c r="AG478">
        <v>10.199999999999999</v>
      </c>
      <c r="AH478">
        <v>10</v>
      </c>
      <c r="AI478">
        <v>9.6999999999999993</v>
      </c>
      <c r="AJ478">
        <v>10</v>
      </c>
      <c r="AK478">
        <v>11.6</v>
      </c>
      <c r="AL478">
        <v>10</v>
      </c>
      <c r="AM478">
        <v>12.6</v>
      </c>
      <c r="AN478">
        <v>9</v>
      </c>
      <c r="AO478">
        <v>10.8</v>
      </c>
      <c r="AP478">
        <v>10</v>
      </c>
      <c r="AQ478">
        <v>12</v>
      </c>
      <c r="AR478">
        <v>10</v>
      </c>
      <c r="AS478">
        <v>8.6999999999999993</v>
      </c>
      <c r="AT478">
        <v>10</v>
      </c>
      <c r="AU478">
        <v>19.399999999999999</v>
      </c>
      <c r="AV478">
        <v>19</v>
      </c>
      <c r="AW478">
        <v>20.6</v>
      </c>
      <c r="AX478">
        <v>19</v>
      </c>
      <c r="AY478">
        <v>9.6999999999999993</v>
      </c>
      <c r="AZ478">
        <v>10</v>
      </c>
      <c r="BA478">
        <v>10.3</v>
      </c>
      <c r="BB478">
        <v>10</v>
      </c>
    </row>
    <row r="479" spans="1:54" x14ac:dyDescent="0.35">
      <c r="A479" s="1">
        <v>46059.789583333331</v>
      </c>
      <c r="B479">
        <v>22.3</v>
      </c>
      <c r="C479">
        <v>3</v>
      </c>
      <c r="D479">
        <v>20.9</v>
      </c>
      <c r="E479">
        <v>2</v>
      </c>
      <c r="F479">
        <v>9.3000000000000007</v>
      </c>
      <c r="G479">
        <v>12.8</v>
      </c>
      <c r="H479">
        <v>0</v>
      </c>
      <c r="I479">
        <v>15.4</v>
      </c>
      <c r="J479">
        <v>11.4</v>
      </c>
      <c r="K479">
        <v>0</v>
      </c>
      <c r="L479">
        <v>13.1</v>
      </c>
      <c r="M479">
        <v>16.5</v>
      </c>
      <c r="N479">
        <v>0</v>
      </c>
      <c r="O479">
        <v>15</v>
      </c>
      <c r="P479">
        <v>10.7</v>
      </c>
      <c r="Q479">
        <v>0</v>
      </c>
      <c r="R479">
        <v>10.5</v>
      </c>
      <c r="S479">
        <v>13.8</v>
      </c>
      <c r="T479">
        <v>0</v>
      </c>
      <c r="U479">
        <v>-19.399999999999999</v>
      </c>
      <c r="V479">
        <v>-15.3</v>
      </c>
      <c r="W479">
        <v>-22</v>
      </c>
      <c r="X479">
        <v>-18.8</v>
      </c>
      <c r="Y479">
        <v>-24.8</v>
      </c>
      <c r="Z479">
        <v>-22</v>
      </c>
      <c r="AA479">
        <v>5.5</v>
      </c>
      <c r="AB479">
        <v>5.3</v>
      </c>
      <c r="AC479">
        <v>-5</v>
      </c>
      <c r="AD479">
        <v>12.1</v>
      </c>
      <c r="AE479">
        <v>10.4</v>
      </c>
      <c r="AF479">
        <v>0</v>
      </c>
      <c r="AG479">
        <v>10</v>
      </c>
      <c r="AH479">
        <v>10</v>
      </c>
      <c r="AI479">
        <v>10</v>
      </c>
      <c r="AJ479">
        <v>10</v>
      </c>
      <c r="AK479">
        <v>11.7</v>
      </c>
      <c r="AL479">
        <v>10</v>
      </c>
      <c r="AM479">
        <v>12.6</v>
      </c>
      <c r="AN479">
        <v>9</v>
      </c>
      <c r="AO479">
        <v>10.5</v>
      </c>
      <c r="AP479">
        <v>10</v>
      </c>
      <c r="AQ479">
        <v>12</v>
      </c>
      <c r="AR479">
        <v>10</v>
      </c>
      <c r="AS479">
        <v>9.3000000000000007</v>
      </c>
      <c r="AT479">
        <v>10</v>
      </c>
      <c r="AU479">
        <v>19.5</v>
      </c>
      <c r="AV479">
        <v>19</v>
      </c>
      <c r="AW479">
        <v>20.6</v>
      </c>
      <c r="AX479">
        <v>19</v>
      </c>
      <c r="AY479">
        <v>10</v>
      </c>
      <c r="AZ479">
        <v>10</v>
      </c>
      <c r="BA479">
        <v>9.6999999999999993</v>
      </c>
      <c r="BB479">
        <v>10</v>
      </c>
    </row>
    <row r="480" spans="1:54" x14ac:dyDescent="0.35">
      <c r="A480" s="1">
        <v>46059.790277777778</v>
      </c>
      <c r="B480">
        <v>22.3</v>
      </c>
      <c r="C480">
        <v>3</v>
      </c>
      <c r="D480">
        <v>20.9</v>
      </c>
      <c r="E480">
        <v>2</v>
      </c>
      <c r="F480">
        <v>9.3000000000000007</v>
      </c>
      <c r="G480">
        <v>12.8</v>
      </c>
      <c r="H480">
        <v>0</v>
      </c>
      <c r="I480">
        <v>15.4</v>
      </c>
      <c r="J480">
        <v>11.4</v>
      </c>
      <c r="K480">
        <v>0</v>
      </c>
      <c r="L480">
        <v>13.1</v>
      </c>
      <c r="M480">
        <v>16.5</v>
      </c>
      <c r="N480">
        <v>0</v>
      </c>
      <c r="O480">
        <v>15</v>
      </c>
      <c r="P480">
        <v>10.7</v>
      </c>
      <c r="Q480">
        <v>0</v>
      </c>
      <c r="R480">
        <v>10.5</v>
      </c>
      <c r="S480">
        <v>13.8</v>
      </c>
      <c r="T480">
        <v>0</v>
      </c>
      <c r="U480">
        <v>-19.600000000000001</v>
      </c>
      <c r="V480">
        <v>-15.6</v>
      </c>
      <c r="W480">
        <v>-22</v>
      </c>
      <c r="X480">
        <v>-18.899999999999999</v>
      </c>
      <c r="Y480">
        <v>-24.9</v>
      </c>
      <c r="Z480">
        <v>-22</v>
      </c>
      <c r="AA480">
        <v>4.3</v>
      </c>
      <c r="AB480">
        <v>3.8</v>
      </c>
      <c r="AC480">
        <v>-5</v>
      </c>
      <c r="AD480">
        <v>12.1</v>
      </c>
      <c r="AE480">
        <v>10.4</v>
      </c>
      <c r="AF480">
        <v>0</v>
      </c>
      <c r="AG480">
        <v>10</v>
      </c>
      <c r="AH480">
        <v>10</v>
      </c>
      <c r="AI480">
        <v>10.199999999999999</v>
      </c>
      <c r="AJ480">
        <v>10</v>
      </c>
      <c r="AK480">
        <v>11.7</v>
      </c>
      <c r="AL480">
        <v>10</v>
      </c>
      <c r="AM480">
        <v>12.6</v>
      </c>
      <c r="AN480">
        <v>9</v>
      </c>
      <c r="AO480">
        <v>10.199999999999999</v>
      </c>
      <c r="AP480">
        <v>10</v>
      </c>
      <c r="AQ480">
        <v>12</v>
      </c>
      <c r="AR480">
        <v>10</v>
      </c>
      <c r="AS480">
        <v>9.9</v>
      </c>
      <c r="AT480">
        <v>10</v>
      </c>
      <c r="AU480">
        <v>19.5</v>
      </c>
      <c r="AV480">
        <v>19</v>
      </c>
      <c r="AW480">
        <v>20.6</v>
      </c>
      <c r="AX480">
        <v>19</v>
      </c>
      <c r="AY480">
        <v>10.4</v>
      </c>
      <c r="AZ480">
        <v>10</v>
      </c>
      <c r="BA480">
        <v>9.6999999999999993</v>
      </c>
      <c r="BB480">
        <v>10</v>
      </c>
    </row>
    <row r="481" spans="1:54" x14ac:dyDescent="0.35">
      <c r="A481" s="1">
        <v>46059.790972222225</v>
      </c>
      <c r="B481">
        <v>22.3</v>
      </c>
      <c r="C481">
        <v>3</v>
      </c>
      <c r="D481">
        <v>20.9</v>
      </c>
      <c r="E481">
        <v>2</v>
      </c>
      <c r="F481">
        <v>9.3000000000000007</v>
      </c>
      <c r="G481">
        <v>12.8</v>
      </c>
      <c r="H481">
        <v>0</v>
      </c>
      <c r="I481">
        <v>15.4</v>
      </c>
      <c r="J481">
        <v>11.4</v>
      </c>
      <c r="K481">
        <v>0</v>
      </c>
      <c r="L481">
        <v>13.1</v>
      </c>
      <c r="M481">
        <v>16.5</v>
      </c>
      <c r="N481">
        <v>0</v>
      </c>
      <c r="O481">
        <v>15</v>
      </c>
      <c r="P481">
        <v>10.7</v>
      </c>
      <c r="Q481">
        <v>0</v>
      </c>
      <c r="R481">
        <v>10.5</v>
      </c>
      <c r="S481">
        <v>13.8</v>
      </c>
      <c r="T481">
        <v>0</v>
      </c>
      <c r="U481">
        <v>-19.600000000000001</v>
      </c>
      <c r="V481">
        <v>-15.9</v>
      </c>
      <c r="W481">
        <v>-22</v>
      </c>
      <c r="X481">
        <v>-18.899999999999999</v>
      </c>
      <c r="Y481">
        <v>-24.9</v>
      </c>
      <c r="Z481">
        <v>-22</v>
      </c>
      <c r="AA481">
        <v>3.2</v>
      </c>
      <c r="AB481">
        <v>2.4</v>
      </c>
      <c r="AC481">
        <v>-5</v>
      </c>
      <c r="AD481">
        <v>12.1</v>
      </c>
      <c r="AE481">
        <v>10.4</v>
      </c>
      <c r="AF481">
        <v>0</v>
      </c>
      <c r="AG481">
        <v>10.1</v>
      </c>
      <c r="AH481">
        <v>10</v>
      </c>
      <c r="AI481">
        <v>10.5</v>
      </c>
      <c r="AJ481">
        <v>10</v>
      </c>
      <c r="AK481">
        <v>11.7</v>
      </c>
      <c r="AL481">
        <v>10</v>
      </c>
      <c r="AM481">
        <v>12.6</v>
      </c>
      <c r="AN481">
        <v>9</v>
      </c>
      <c r="AO481">
        <v>10.199999999999999</v>
      </c>
      <c r="AP481">
        <v>10</v>
      </c>
      <c r="AQ481">
        <v>11.8</v>
      </c>
      <c r="AR481">
        <v>10</v>
      </c>
      <c r="AS481">
        <v>10.199999999999999</v>
      </c>
      <c r="AT481">
        <v>10</v>
      </c>
      <c r="AU481">
        <v>19.5</v>
      </c>
      <c r="AV481">
        <v>19</v>
      </c>
      <c r="AW481">
        <v>20.6</v>
      </c>
      <c r="AX481">
        <v>19</v>
      </c>
      <c r="AY481">
        <v>10.8</v>
      </c>
      <c r="AZ481">
        <v>10</v>
      </c>
      <c r="BA481">
        <v>10.1</v>
      </c>
      <c r="BB481">
        <v>10</v>
      </c>
    </row>
    <row r="482" spans="1:54" x14ac:dyDescent="0.35">
      <c r="A482" s="1">
        <v>46059.791666666664</v>
      </c>
      <c r="B482">
        <v>22.3</v>
      </c>
      <c r="C482">
        <v>3</v>
      </c>
      <c r="D482">
        <v>20.9</v>
      </c>
      <c r="E482">
        <v>2</v>
      </c>
      <c r="F482">
        <v>9.3000000000000007</v>
      </c>
      <c r="G482">
        <v>12.8</v>
      </c>
      <c r="H482">
        <v>0</v>
      </c>
      <c r="I482">
        <v>15.4</v>
      </c>
      <c r="J482">
        <v>11.4</v>
      </c>
      <c r="K482">
        <v>0</v>
      </c>
      <c r="L482">
        <v>13.1</v>
      </c>
      <c r="M482">
        <v>16.5</v>
      </c>
      <c r="N482">
        <v>0</v>
      </c>
      <c r="O482">
        <v>15</v>
      </c>
      <c r="P482">
        <v>10.7</v>
      </c>
      <c r="Q482">
        <v>0</v>
      </c>
      <c r="R482">
        <v>10.5</v>
      </c>
      <c r="S482">
        <v>13.9</v>
      </c>
      <c r="T482">
        <v>0</v>
      </c>
      <c r="U482">
        <v>-19.7</v>
      </c>
      <c r="V482">
        <v>-16.100000000000001</v>
      </c>
      <c r="W482">
        <v>-22</v>
      </c>
      <c r="X482">
        <v>-19.100000000000001</v>
      </c>
      <c r="Y482">
        <v>-25.1</v>
      </c>
      <c r="Z482">
        <v>-22</v>
      </c>
      <c r="AA482">
        <v>2.1</v>
      </c>
      <c r="AB482">
        <v>1</v>
      </c>
      <c r="AC482">
        <v>-5</v>
      </c>
      <c r="AD482">
        <v>12.1</v>
      </c>
      <c r="AE482">
        <v>10.4</v>
      </c>
      <c r="AF482">
        <v>0</v>
      </c>
      <c r="AG482">
        <v>10.3</v>
      </c>
      <c r="AH482">
        <v>10</v>
      </c>
      <c r="AI482">
        <v>10.6</v>
      </c>
      <c r="AJ482">
        <v>10</v>
      </c>
      <c r="AK482">
        <v>11.7</v>
      </c>
      <c r="AL482">
        <v>10</v>
      </c>
      <c r="AM482">
        <v>12.5</v>
      </c>
      <c r="AN482">
        <v>9</v>
      </c>
      <c r="AO482">
        <v>10</v>
      </c>
      <c r="AP482">
        <v>10</v>
      </c>
      <c r="AQ482">
        <v>11.8</v>
      </c>
      <c r="AR482">
        <v>10</v>
      </c>
      <c r="AS482">
        <v>10.5</v>
      </c>
      <c r="AT482">
        <v>10</v>
      </c>
      <c r="AU482">
        <v>19.5</v>
      </c>
      <c r="AV482">
        <v>19</v>
      </c>
      <c r="AW482">
        <v>20.7</v>
      </c>
      <c r="AX482">
        <v>19</v>
      </c>
      <c r="AY482">
        <v>11</v>
      </c>
      <c r="AZ482">
        <v>10</v>
      </c>
      <c r="BA482">
        <v>10.5</v>
      </c>
      <c r="BB482">
        <v>10</v>
      </c>
    </row>
    <row r="483" spans="1:54" x14ac:dyDescent="0.35">
      <c r="A483" s="1">
        <v>46059.792361111111</v>
      </c>
      <c r="B483">
        <v>22.3</v>
      </c>
      <c r="C483">
        <v>3</v>
      </c>
      <c r="D483">
        <v>20.9</v>
      </c>
      <c r="E483">
        <v>2</v>
      </c>
      <c r="F483">
        <v>9.3000000000000007</v>
      </c>
      <c r="G483">
        <v>12.8</v>
      </c>
      <c r="H483">
        <v>0</v>
      </c>
      <c r="I483">
        <v>15.4</v>
      </c>
      <c r="J483">
        <v>11.4</v>
      </c>
      <c r="K483">
        <v>0</v>
      </c>
      <c r="L483">
        <v>13.1</v>
      </c>
      <c r="M483">
        <v>16.5</v>
      </c>
      <c r="N483">
        <v>0</v>
      </c>
      <c r="O483">
        <v>15</v>
      </c>
      <c r="P483">
        <v>10.7</v>
      </c>
      <c r="Q483">
        <v>0</v>
      </c>
      <c r="R483">
        <v>10.5</v>
      </c>
      <c r="S483">
        <v>13.9</v>
      </c>
      <c r="T483">
        <v>0</v>
      </c>
      <c r="U483">
        <v>-19.8</v>
      </c>
      <c r="V483">
        <v>-16.3</v>
      </c>
      <c r="W483">
        <v>-22</v>
      </c>
      <c r="X483">
        <v>-19.100000000000001</v>
      </c>
      <c r="Y483">
        <v>-25</v>
      </c>
      <c r="Z483">
        <v>-22</v>
      </c>
      <c r="AA483">
        <v>1.4</v>
      </c>
      <c r="AB483">
        <v>0.4</v>
      </c>
      <c r="AC483">
        <v>-5</v>
      </c>
      <c r="AD483">
        <v>12.1</v>
      </c>
      <c r="AE483">
        <v>10.4</v>
      </c>
      <c r="AF483">
        <v>0</v>
      </c>
      <c r="AG483">
        <v>10.5</v>
      </c>
      <c r="AH483">
        <v>10</v>
      </c>
      <c r="AI483">
        <v>10.8</v>
      </c>
      <c r="AJ483">
        <v>10</v>
      </c>
      <c r="AK483">
        <v>11.7</v>
      </c>
      <c r="AL483">
        <v>10</v>
      </c>
      <c r="AM483">
        <v>12.5</v>
      </c>
      <c r="AN483">
        <v>9</v>
      </c>
      <c r="AO483">
        <v>10.7</v>
      </c>
      <c r="AP483">
        <v>10</v>
      </c>
      <c r="AQ483">
        <v>11.7</v>
      </c>
      <c r="AR483">
        <v>10</v>
      </c>
      <c r="AS483">
        <v>10.9</v>
      </c>
      <c r="AT483">
        <v>10</v>
      </c>
      <c r="AU483">
        <v>19.5</v>
      </c>
      <c r="AV483">
        <v>19</v>
      </c>
      <c r="AW483">
        <v>20.7</v>
      </c>
      <c r="AX483">
        <v>19</v>
      </c>
      <c r="AY483">
        <v>11.3</v>
      </c>
      <c r="AZ483">
        <v>10</v>
      </c>
      <c r="BA483">
        <v>10.8</v>
      </c>
      <c r="BB483">
        <v>10</v>
      </c>
    </row>
    <row r="484" spans="1:54" x14ac:dyDescent="0.35">
      <c r="A484" s="1">
        <v>46059.793055555558</v>
      </c>
      <c r="B484">
        <v>22.3</v>
      </c>
      <c r="C484">
        <v>3</v>
      </c>
      <c r="D484">
        <v>20.9</v>
      </c>
      <c r="E484">
        <v>2</v>
      </c>
      <c r="F484">
        <v>9.3000000000000007</v>
      </c>
      <c r="G484">
        <v>12.8</v>
      </c>
      <c r="H484">
        <v>0</v>
      </c>
      <c r="I484">
        <v>15.4</v>
      </c>
      <c r="J484">
        <v>11.4</v>
      </c>
      <c r="K484">
        <v>0</v>
      </c>
      <c r="L484">
        <v>13.1</v>
      </c>
      <c r="M484">
        <v>16.5</v>
      </c>
      <c r="N484">
        <v>0</v>
      </c>
      <c r="O484">
        <v>15</v>
      </c>
      <c r="P484">
        <v>10.8</v>
      </c>
      <c r="Q484">
        <v>0</v>
      </c>
      <c r="R484">
        <v>10.5</v>
      </c>
      <c r="S484">
        <v>13.9</v>
      </c>
      <c r="T484">
        <v>0</v>
      </c>
      <c r="U484">
        <v>-20</v>
      </c>
      <c r="V484">
        <v>-16.600000000000001</v>
      </c>
      <c r="W484">
        <v>-22</v>
      </c>
      <c r="X484">
        <v>-19.2</v>
      </c>
      <c r="Y484">
        <v>-25.2</v>
      </c>
      <c r="Z484">
        <v>-22</v>
      </c>
      <c r="AA484">
        <v>0.7</v>
      </c>
      <c r="AB484">
        <v>-0.4</v>
      </c>
      <c r="AC484">
        <v>-5</v>
      </c>
      <c r="AD484">
        <v>12.1</v>
      </c>
      <c r="AE484">
        <v>10.4</v>
      </c>
      <c r="AF484">
        <v>0</v>
      </c>
      <c r="AG484">
        <v>10.8</v>
      </c>
      <c r="AH484">
        <v>10</v>
      </c>
      <c r="AI484">
        <v>10.9</v>
      </c>
      <c r="AJ484">
        <v>10</v>
      </c>
      <c r="AK484">
        <v>11.8</v>
      </c>
      <c r="AL484">
        <v>10</v>
      </c>
      <c r="AM484">
        <v>12.4</v>
      </c>
      <c r="AN484">
        <v>9</v>
      </c>
      <c r="AO484">
        <v>11.2</v>
      </c>
      <c r="AP484">
        <v>10</v>
      </c>
      <c r="AQ484">
        <v>11.4</v>
      </c>
      <c r="AR484">
        <v>10</v>
      </c>
      <c r="AS484">
        <v>11.1</v>
      </c>
      <c r="AT484">
        <v>10</v>
      </c>
      <c r="AU484">
        <v>19.600000000000001</v>
      </c>
      <c r="AV484">
        <v>19</v>
      </c>
      <c r="AW484">
        <v>20.7</v>
      </c>
      <c r="AX484">
        <v>19</v>
      </c>
      <c r="AY484">
        <v>11.5</v>
      </c>
      <c r="AZ484">
        <v>10</v>
      </c>
      <c r="BA484">
        <v>11.2</v>
      </c>
      <c r="BB484">
        <v>10</v>
      </c>
    </row>
    <row r="485" spans="1:54" x14ac:dyDescent="0.35">
      <c r="A485" s="1">
        <v>46059.793749999997</v>
      </c>
      <c r="B485">
        <v>22.3</v>
      </c>
      <c r="C485">
        <v>3</v>
      </c>
      <c r="D485">
        <v>20.9</v>
      </c>
      <c r="E485">
        <v>2</v>
      </c>
      <c r="F485">
        <v>9.3000000000000007</v>
      </c>
      <c r="G485">
        <v>12.8</v>
      </c>
      <c r="H485">
        <v>0</v>
      </c>
      <c r="I485">
        <v>15.4</v>
      </c>
      <c r="J485">
        <v>11.4</v>
      </c>
      <c r="K485">
        <v>0</v>
      </c>
      <c r="L485">
        <v>13.1</v>
      </c>
      <c r="M485">
        <v>16.5</v>
      </c>
      <c r="N485">
        <v>0</v>
      </c>
      <c r="O485">
        <v>15</v>
      </c>
      <c r="P485">
        <v>10.8</v>
      </c>
      <c r="Q485">
        <v>0</v>
      </c>
      <c r="R485">
        <v>10.5</v>
      </c>
      <c r="S485">
        <v>13.9</v>
      </c>
      <c r="T485">
        <v>0</v>
      </c>
      <c r="U485">
        <v>-20.100000000000001</v>
      </c>
      <c r="V485">
        <v>-16.7</v>
      </c>
      <c r="W485">
        <v>-22</v>
      </c>
      <c r="X485">
        <v>-19.3</v>
      </c>
      <c r="Y485">
        <v>-25.1</v>
      </c>
      <c r="Z485">
        <v>-22</v>
      </c>
      <c r="AA485">
        <v>-0.1</v>
      </c>
      <c r="AB485">
        <v>-1.6</v>
      </c>
      <c r="AC485">
        <v>-5</v>
      </c>
      <c r="AD485">
        <v>12.1</v>
      </c>
      <c r="AE485">
        <v>10.4</v>
      </c>
      <c r="AF485">
        <v>0</v>
      </c>
      <c r="AG485">
        <v>10.9</v>
      </c>
      <c r="AH485">
        <v>10</v>
      </c>
      <c r="AI485">
        <v>11</v>
      </c>
      <c r="AJ485">
        <v>10</v>
      </c>
      <c r="AK485">
        <v>11.9</v>
      </c>
      <c r="AL485">
        <v>10</v>
      </c>
      <c r="AM485">
        <v>12.4</v>
      </c>
      <c r="AN485">
        <v>9</v>
      </c>
      <c r="AO485">
        <v>11.6</v>
      </c>
      <c r="AP485">
        <v>10</v>
      </c>
      <c r="AQ485">
        <v>11.3</v>
      </c>
      <c r="AR485">
        <v>10</v>
      </c>
      <c r="AS485">
        <v>11.4</v>
      </c>
      <c r="AT485">
        <v>10</v>
      </c>
      <c r="AU485">
        <v>19.600000000000001</v>
      </c>
      <c r="AV485">
        <v>19</v>
      </c>
      <c r="AW485">
        <v>20.9</v>
      </c>
      <c r="AX485">
        <v>19</v>
      </c>
      <c r="AY485">
        <v>11.7</v>
      </c>
      <c r="AZ485">
        <v>10</v>
      </c>
      <c r="BA485">
        <v>11.5</v>
      </c>
      <c r="BB485">
        <v>10</v>
      </c>
    </row>
    <row r="486" spans="1:54" x14ac:dyDescent="0.35">
      <c r="A486" s="1">
        <v>46059.794444444444</v>
      </c>
      <c r="B486">
        <v>22.3</v>
      </c>
      <c r="C486">
        <v>3</v>
      </c>
      <c r="D486">
        <v>20.9</v>
      </c>
      <c r="E486">
        <v>2</v>
      </c>
      <c r="F486">
        <v>9.4</v>
      </c>
      <c r="G486">
        <v>12.8</v>
      </c>
      <c r="H486">
        <v>0</v>
      </c>
      <c r="I486">
        <v>15.4</v>
      </c>
      <c r="J486">
        <v>11.4</v>
      </c>
      <c r="K486">
        <v>0</v>
      </c>
      <c r="L486">
        <v>13.2</v>
      </c>
      <c r="M486">
        <v>16.5</v>
      </c>
      <c r="N486">
        <v>0</v>
      </c>
      <c r="O486">
        <v>15</v>
      </c>
      <c r="P486">
        <v>10.8</v>
      </c>
      <c r="Q486">
        <v>0</v>
      </c>
      <c r="R486">
        <v>10.5</v>
      </c>
      <c r="S486">
        <v>13.9</v>
      </c>
      <c r="T486">
        <v>0</v>
      </c>
      <c r="U486">
        <v>-20.100000000000001</v>
      </c>
      <c r="V486">
        <v>-17</v>
      </c>
      <c r="W486">
        <v>-22</v>
      </c>
      <c r="X486">
        <v>-19.399999999999999</v>
      </c>
      <c r="Y486">
        <v>-24.3</v>
      </c>
      <c r="Z486">
        <v>-22</v>
      </c>
      <c r="AA486">
        <v>-0.7</v>
      </c>
      <c r="AB486">
        <v>-2.4</v>
      </c>
      <c r="AC486">
        <v>-5</v>
      </c>
      <c r="AD486">
        <v>12.1</v>
      </c>
      <c r="AE486">
        <v>10.4</v>
      </c>
      <c r="AF486">
        <v>0</v>
      </c>
      <c r="AG486">
        <v>11.1</v>
      </c>
      <c r="AH486">
        <v>10</v>
      </c>
      <c r="AI486">
        <v>11.2</v>
      </c>
      <c r="AJ486">
        <v>10</v>
      </c>
      <c r="AK486">
        <v>11.9</v>
      </c>
      <c r="AL486">
        <v>10</v>
      </c>
      <c r="AM486">
        <v>12.4</v>
      </c>
      <c r="AN486">
        <v>9</v>
      </c>
      <c r="AO486">
        <v>11.8</v>
      </c>
      <c r="AP486">
        <v>10</v>
      </c>
      <c r="AQ486">
        <v>11.1</v>
      </c>
      <c r="AR486">
        <v>10</v>
      </c>
      <c r="AS486">
        <v>11.5</v>
      </c>
      <c r="AT486">
        <v>10</v>
      </c>
      <c r="AU486">
        <v>19.7</v>
      </c>
      <c r="AV486">
        <v>19</v>
      </c>
      <c r="AW486">
        <v>20.9</v>
      </c>
      <c r="AX486">
        <v>19</v>
      </c>
      <c r="AY486">
        <v>11.9</v>
      </c>
      <c r="AZ486">
        <v>10</v>
      </c>
      <c r="BA486">
        <v>11.8</v>
      </c>
      <c r="BB486">
        <v>10</v>
      </c>
    </row>
    <row r="487" spans="1:54" x14ac:dyDescent="0.35">
      <c r="A487" s="1">
        <v>46059.795138888891</v>
      </c>
      <c r="B487">
        <v>22.3</v>
      </c>
      <c r="C487">
        <v>3</v>
      </c>
      <c r="D487">
        <v>21</v>
      </c>
      <c r="E487">
        <v>2</v>
      </c>
      <c r="F487">
        <v>9.4</v>
      </c>
      <c r="G487">
        <v>12.8</v>
      </c>
      <c r="H487">
        <v>0</v>
      </c>
      <c r="I487">
        <v>15.4</v>
      </c>
      <c r="J487">
        <v>11.5</v>
      </c>
      <c r="K487">
        <v>0</v>
      </c>
      <c r="L487">
        <v>13.2</v>
      </c>
      <c r="M487">
        <v>16.5</v>
      </c>
      <c r="N487">
        <v>0</v>
      </c>
      <c r="O487">
        <v>15</v>
      </c>
      <c r="P487">
        <v>10.8</v>
      </c>
      <c r="Q487">
        <v>0</v>
      </c>
      <c r="R487">
        <v>10.5</v>
      </c>
      <c r="S487">
        <v>13.9</v>
      </c>
      <c r="T487">
        <v>0</v>
      </c>
      <c r="U487">
        <v>-19.7</v>
      </c>
      <c r="V487">
        <v>-17.100000000000001</v>
      </c>
      <c r="W487">
        <v>-22</v>
      </c>
      <c r="X487">
        <v>-19.100000000000001</v>
      </c>
      <c r="Y487">
        <v>-20.7</v>
      </c>
      <c r="Z487">
        <v>-22</v>
      </c>
      <c r="AA487">
        <v>-1.3</v>
      </c>
      <c r="AB487">
        <v>-3.1</v>
      </c>
      <c r="AC487">
        <v>-5</v>
      </c>
      <c r="AD487">
        <v>12.1</v>
      </c>
      <c r="AE487">
        <v>10.4</v>
      </c>
      <c r="AF487">
        <v>0</v>
      </c>
      <c r="AG487">
        <v>11.3</v>
      </c>
      <c r="AH487">
        <v>10</v>
      </c>
      <c r="AI487">
        <v>11.3</v>
      </c>
      <c r="AJ487">
        <v>10</v>
      </c>
      <c r="AK487">
        <v>11.9</v>
      </c>
      <c r="AL487">
        <v>10</v>
      </c>
      <c r="AM487">
        <v>12.5</v>
      </c>
      <c r="AN487">
        <v>9</v>
      </c>
      <c r="AO487">
        <v>11.9</v>
      </c>
      <c r="AP487">
        <v>10</v>
      </c>
      <c r="AQ487">
        <v>10.9</v>
      </c>
      <c r="AR487">
        <v>10</v>
      </c>
      <c r="AS487">
        <v>11.7</v>
      </c>
      <c r="AT487">
        <v>10</v>
      </c>
      <c r="AU487">
        <v>19.8</v>
      </c>
      <c r="AV487">
        <v>19</v>
      </c>
      <c r="AW487">
        <v>20.9</v>
      </c>
      <c r="AX487">
        <v>19</v>
      </c>
      <c r="AY487">
        <v>12</v>
      </c>
      <c r="AZ487">
        <v>10</v>
      </c>
      <c r="BA487">
        <v>12</v>
      </c>
      <c r="BB487">
        <v>10</v>
      </c>
    </row>
    <row r="488" spans="1:54" x14ac:dyDescent="0.35">
      <c r="A488" s="1">
        <v>46059.79583333333</v>
      </c>
      <c r="B488">
        <v>22.3</v>
      </c>
      <c r="C488">
        <v>3</v>
      </c>
      <c r="D488">
        <v>21</v>
      </c>
      <c r="E488">
        <v>2</v>
      </c>
      <c r="F488">
        <v>9.4</v>
      </c>
      <c r="G488">
        <v>12.8</v>
      </c>
      <c r="H488">
        <v>0</v>
      </c>
      <c r="I488">
        <v>15.4</v>
      </c>
      <c r="J488">
        <v>11.5</v>
      </c>
      <c r="K488">
        <v>0</v>
      </c>
      <c r="L488">
        <v>13.2</v>
      </c>
      <c r="M488">
        <v>16.5</v>
      </c>
      <c r="N488">
        <v>0</v>
      </c>
      <c r="O488">
        <v>15</v>
      </c>
      <c r="P488">
        <v>10.8</v>
      </c>
      <c r="Q488">
        <v>0</v>
      </c>
      <c r="R488">
        <v>10.5</v>
      </c>
      <c r="S488">
        <v>13.9</v>
      </c>
      <c r="T488">
        <v>0</v>
      </c>
      <c r="U488">
        <v>-18.5</v>
      </c>
      <c r="V488">
        <v>-17</v>
      </c>
      <c r="W488">
        <v>-22</v>
      </c>
      <c r="X488">
        <v>-17.899999999999999</v>
      </c>
      <c r="Y488">
        <v>-18.399999999999999</v>
      </c>
      <c r="Z488">
        <v>-22</v>
      </c>
      <c r="AA488">
        <v>-2</v>
      </c>
      <c r="AB488">
        <v>-3.8</v>
      </c>
      <c r="AC488">
        <v>-5</v>
      </c>
      <c r="AD488">
        <v>12.1</v>
      </c>
      <c r="AE488">
        <v>10.4</v>
      </c>
      <c r="AF488">
        <v>0</v>
      </c>
      <c r="AG488">
        <v>11.4</v>
      </c>
      <c r="AH488">
        <v>10</v>
      </c>
      <c r="AI488">
        <v>11.4</v>
      </c>
      <c r="AJ488">
        <v>10</v>
      </c>
      <c r="AK488">
        <v>10.4</v>
      </c>
      <c r="AL488">
        <v>10</v>
      </c>
      <c r="AM488">
        <v>12.6</v>
      </c>
      <c r="AN488">
        <v>9</v>
      </c>
      <c r="AO488">
        <v>11.6</v>
      </c>
      <c r="AP488">
        <v>10</v>
      </c>
      <c r="AQ488">
        <v>10.8</v>
      </c>
      <c r="AR488">
        <v>10</v>
      </c>
      <c r="AS488">
        <v>11.9</v>
      </c>
      <c r="AT488">
        <v>10</v>
      </c>
      <c r="AU488">
        <v>19.8</v>
      </c>
      <c r="AV488">
        <v>19</v>
      </c>
      <c r="AW488">
        <v>21</v>
      </c>
      <c r="AX488">
        <v>19</v>
      </c>
      <c r="AY488">
        <v>11.4</v>
      </c>
      <c r="AZ488">
        <v>10</v>
      </c>
      <c r="BA488">
        <v>11.8</v>
      </c>
      <c r="BB488">
        <v>10</v>
      </c>
    </row>
    <row r="489" spans="1:54" x14ac:dyDescent="0.35">
      <c r="A489" s="1">
        <v>46059.796527777777</v>
      </c>
      <c r="B489">
        <v>22.3</v>
      </c>
      <c r="C489">
        <v>3</v>
      </c>
      <c r="D489">
        <v>21</v>
      </c>
      <c r="E489">
        <v>2</v>
      </c>
      <c r="F489">
        <v>9.4</v>
      </c>
      <c r="G489">
        <v>12.8</v>
      </c>
      <c r="H489">
        <v>0</v>
      </c>
      <c r="I489">
        <v>15.4</v>
      </c>
      <c r="J489">
        <v>11.5</v>
      </c>
      <c r="K489">
        <v>0</v>
      </c>
      <c r="L489">
        <v>13.2</v>
      </c>
      <c r="M489">
        <v>16.600000000000001</v>
      </c>
      <c r="N489">
        <v>0</v>
      </c>
      <c r="O489">
        <v>15</v>
      </c>
      <c r="P489">
        <v>10.8</v>
      </c>
      <c r="Q489">
        <v>0</v>
      </c>
      <c r="R489">
        <v>10.5</v>
      </c>
      <c r="S489">
        <v>13.9</v>
      </c>
      <c r="T489">
        <v>0</v>
      </c>
      <c r="U489">
        <v>-17.3</v>
      </c>
      <c r="V489">
        <v>-15.7</v>
      </c>
      <c r="W489">
        <v>-22</v>
      </c>
      <c r="X489">
        <v>-17.399999999999999</v>
      </c>
      <c r="Y489">
        <v>-17.399999999999999</v>
      </c>
      <c r="Z489">
        <v>-22</v>
      </c>
      <c r="AA489">
        <v>-2.5</v>
      </c>
      <c r="AB489">
        <v>-4.4000000000000004</v>
      </c>
      <c r="AC489">
        <v>-5</v>
      </c>
      <c r="AD489">
        <v>12.1</v>
      </c>
      <c r="AE489">
        <v>10.4</v>
      </c>
      <c r="AF489">
        <v>0</v>
      </c>
      <c r="AG489">
        <v>11.5</v>
      </c>
      <c r="AH489">
        <v>10</v>
      </c>
      <c r="AI489">
        <v>11.5</v>
      </c>
      <c r="AJ489">
        <v>10</v>
      </c>
      <c r="AK489">
        <v>9.1999999999999993</v>
      </c>
      <c r="AL489">
        <v>10</v>
      </c>
      <c r="AM489">
        <v>12.6</v>
      </c>
      <c r="AN489">
        <v>9</v>
      </c>
      <c r="AO489">
        <v>10.6</v>
      </c>
      <c r="AP489">
        <v>10</v>
      </c>
      <c r="AQ489">
        <v>10.8</v>
      </c>
      <c r="AR489">
        <v>10</v>
      </c>
      <c r="AS489">
        <v>11.4</v>
      </c>
      <c r="AT489">
        <v>10</v>
      </c>
      <c r="AU489">
        <v>19.7</v>
      </c>
      <c r="AV489">
        <v>19</v>
      </c>
      <c r="AW489">
        <v>20.6</v>
      </c>
      <c r="AX489">
        <v>19</v>
      </c>
      <c r="AY489">
        <v>10.4</v>
      </c>
      <c r="AZ489">
        <v>10</v>
      </c>
      <c r="BA489">
        <v>10.9</v>
      </c>
      <c r="BB489">
        <v>10</v>
      </c>
    </row>
    <row r="490" spans="1:54" x14ac:dyDescent="0.35">
      <c r="A490" s="1">
        <v>46059.797222222223</v>
      </c>
      <c r="B490">
        <v>22.3</v>
      </c>
      <c r="C490">
        <v>3</v>
      </c>
      <c r="D490">
        <v>21</v>
      </c>
      <c r="E490">
        <v>2</v>
      </c>
      <c r="F490">
        <v>9.4</v>
      </c>
      <c r="G490">
        <v>12.8</v>
      </c>
      <c r="H490">
        <v>0</v>
      </c>
      <c r="I490">
        <v>15.4</v>
      </c>
      <c r="J490">
        <v>11.5</v>
      </c>
      <c r="K490">
        <v>0</v>
      </c>
      <c r="L490">
        <v>13.2</v>
      </c>
      <c r="M490">
        <v>16.600000000000001</v>
      </c>
      <c r="N490">
        <v>0</v>
      </c>
      <c r="O490">
        <v>15</v>
      </c>
      <c r="P490">
        <v>10.8</v>
      </c>
      <c r="Q490">
        <v>0</v>
      </c>
      <c r="R490">
        <v>10.5</v>
      </c>
      <c r="S490">
        <v>13.9</v>
      </c>
      <c r="T490">
        <v>0</v>
      </c>
      <c r="U490">
        <v>-14.6</v>
      </c>
      <c r="V490">
        <v>-12.5</v>
      </c>
      <c r="W490">
        <v>-22</v>
      </c>
      <c r="X490">
        <v>-17.399999999999999</v>
      </c>
      <c r="Y490">
        <v>-16.399999999999999</v>
      </c>
      <c r="Z490">
        <v>-22</v>
      </c>
      <c r="AA490">
        <v>-2.8</v>
      </c>
      <c r="AB490">
        <v>-5</v>
      </c>
      <c r="AC490">
        <v>-5</v>
      </c>
      <c r="AD490">
        <v>12.1</v>
      </c>
      <c r="AE490">
        <v>10.4</v>
      </c>
      <c r="AF490">
        <v>0</v>
      </c>
      <c r="AG490">
        <v>11.6</v>
      </c>
      <c r="AH490">
        <v>10</v>
      </c>
      <c r="AI490">
        <v>11.6</v>
      </c>
      <c r="AJ490">
        <v>10</v>
      </c>
      <c r="AK490">
        <v>9.4</v>
      </c>
      <c r="AL490">
        <v>10</v>
      </c>
      <c r="AM490">
        <v>12.6</v>
      </c>
      <c r="AN490">
        <v>9</v>
      </c>
      <c r="AO490">
        <v>10.199999999999999</v>
      </c>
      <c r="AP490">
        <v>10</v>
      </c>
      <c r="AQ490">
        <v>10.8</v>
      </c>
      <c r="AR490">
        <v>10</v>
      </c>
      <c r="AS490">
        <v>9</v>
      </c>
      <c r="AT490">
        <v>10</v>
      </c>
      <c r="AU490">
        <v>19.5</v>
      </c>
      <c r="AV490">
        <v>19</v>
      </c>
      <c r="AW490">
        <v>20.3</v>
      </c>
      <c r="AX490">
        <v>19</v>
      </c>
      <c r="AY490">
        <v>9.6999999999999993</v>
      </c>
      <c r="AZ490">
        <v>10</v>
      </c>
      <c r="BA490">
        <v>10.199999999999999</v>
      </c>
      <c r="BB490">
        <v>10</v>
      </c>
    </row>
    <row r="491" spans="1:54" x14ac:dyDescent="0.35">
      <c r="A491" s="1">
        <v>46059.79791666667</v>
      </c>
      <c r="B491">
        <v>22.3</v>
      </c>
      <c r="C491">
        <v>3</v>
      </c>
      <c r="D491">
        <v>21</v>
      </c>
      <c r="E491">
        <v>2</v>
      </c>
      <c r="F491">
        <v>9.4</v>
      </c>
      <c r="G491">
        <v>12.8</v>
      </c>
      <c r="H491">
        <v>0</v>
      </c>
      <c r="I491">
        <v>15.5</v>
      </c>
      <c r="J491">
        <v>11.5</v>
      </c>
      <c r="K491">
        <v>0</v>
      </c>
      <c r="L491">
        <v>13.2</v>
      </c>
      <c r="M491">
        <v>16.600000000000001</v>
      </c>
      <c r="N491">
        <v>0</v>
      </c>
      <c r="O491">
        <v>15</v>
      </c>
      <c r="P491">
        <v>10.8</v>
      </c>
      <c r="Q491">
        <v>0</v>
      </c>
      <c r="R491">
        <v>10.5</v>
      </c>
      <c r="S491">
        <v>13.9</v>
      </c>
      <c r="T491">
        <v>0</v>
      </c>
      <c r="U491">
        <v>-13.8</v>
      </c>
      <c r="V491">
        <v>-14</v>
      </c>
      <c r="W491">
        <v>-22</v>
      </c>
      <c r="X491">
        <v>-17.399999999999999</v>
      </c>
      <c r="Y491">
        <v>-13.9</v>
      </c>
      <c r="Z491">
        <v>-22</v>
      </c>
      <c r="AA491">
        <v>-2.9</v>
      </c>
      <c r="AB491">
        <v>-5.7</v>
      </c>
      <c r="AC491">
        <v>-5</v>
      </c>
      <c r="AD491">
        <v>12.1</v>
      </c>
      <c r="AE491">
        <v>10.4</v>
      </c>
      <c r="AF491">
        <v>0</v>
      </c>
      <c r="AG491">
        <v>11.7</v>
      </c>
      <c r="AH491">
        <v>10</v>
      </c>
      <c r="AI491">
        <v>11.7</v>
      </c>
      <c r="AJ491">
        <v>10</v>
      </c>
      <c r="AK491">
        <v>9.8000000000000007</v>
      </c>
      <c r="AL491">
        <v>10</v>
      </c>
      <c r="AM491">
        <v>12.6</v>
      </c>
      <c r="AN491">
        <v>9</v>
      </c>
      <c r="AO491">
        <v>10.199999999999999</v>
      </c>
      <c r="AP491">
        <v>10</v>
      </c>
      <c r="AQ491">
        <v>10.8</v>
      </c>
      <c r="AR491">
        <v>10</v>
      </c>
      <c r="AS491">
        <v>8</v>
      </c>
      <c r="AT491">
        <v>10</v>
      </c>
      <c r="AU491">
        <v>19.3</v>
      </c>
      <c r="AV491">
        <v>19</v>
      </c>
      <c r="AW491">
        <v>20</v>
      </c>
      <c r="AX491">
        <v>19</v>
      </c>
      <c r="AY491">
        <v>9.6999999999999993</v>
      </c>
      <c r="AZ491">
        <v>10</v>
      </c>
      <c r="BA491">
        <v>9.6999999999999993</v>
      </c>
      <c r="BB491">
        <v>10</v>
      </c>
    </row>
    <row r="492" spans="1:54" x14ac:dyDescent="0.35">
      <c r="A492" s="1">
        <v>46059.798611111109</v>
      </c>
      <c r="B492">
        <v>22.3</v>
      </c>
      <c r="C492">
        <v>3</v>
      </c>
      <c r="D492">
        <v>21</v>
      </c>
      <c r="E492">
        <v>2</v>
      </c>
      <c r="F492">
        <v>9.4</v>
      </c>
      <c r="G492">
        <v>12.8</v>
      </c>
      <c r="H492">
        <v>0</v>
      </c>
      <c r="I492">
        <v>15.5</v>
      </c>
      <c r="J492">
        <v>11.5</v>
      </c>
      <c r="K492">
        <v>0</v>
      </c>
      <c r="L492">
        <v>13.2</v>
      </c>
      <c r="M492">
        <v>16.600000000000001</v>
      </c>
      <c r="N492">
        <v>0</v>
      </c>
      <c r="O492">
        <v>15</v>
      </c>
      <c r="P492">
        <v>10.8</v>
      </c>
      <c r="Q492">
        <v>0</v>
      </c>
      <c r="R492">
        <v>10.5</v>
      </c>
      <c r="S492">
        <v>13.9</v>
      </c>
      <c r="T492">
        <v>0</v>
      </c>
      <c r="U492">
        <v>-13.7</v>
      </c>
      <c r="V492">
        <v>-14.5</v>
      </c>
      <c r="W492">
        <v>-22</v>
      </c>
      <c r="X492">
        <v>-17.399999999999999</v>
      </c>
      <c r="Y492">
        <v>-11.1</v>
      </c>
      <c r="Z492">
        <v>-22</v>
      </c>
      <c r="AA492">
        <v>-2.2999999999999998</v>
      </c>
      <c r="AB492">
        <v>-6.1</v>
      </c>
      <c r="AC492">
        <v>-5</v>
      </c>
      <c r="AD492">
        <v>12.1</v>
      </c>
      <c r="AE492">
        <v>10.4</v>
      </c>
      <c r="AF492">
        <v>0</v>
      </c>
      <c r="AG492">
        <v>11.8</v>
      </c>
      <c r="AH492">
        <v>10</v>
      </c>
      <c r="AI492">
        <v>11.8</v>
      </c>
      <c r="AJ492">
        <v>10</v>
      </c>
      <c r="AK492">
        <v>10.199999999999999</v>
      </c>
      <c r="AL492">
        <v>10</v>
      </c>
      <c r="AM492">
        <v>12.6</v>
      </c>
      <c r="AN492">
        <v>9</v>
      </c>
      <c r="AO492">
        <v>11.1</v>
      </c>
      <c r="AP492">
        <v>10</v>
      </c>
      <c r="AQ492">
        <v>10.8</v>
      </c>
      <c r="AR492">
        <v>10</v>
      </c>
      <c r="AS492">
        <v>8.3000000000000007</v>
      </c>
      <c r="AT492">
        <v>10</v>
      </c>
      <c r="AU492">
        <v>19.100000000000001</v>
      </c>
      <c r="AV492">
        <v>19</v>
      </c>
      <c r="AW492">
        <v>19.899999999999999</v>
      </c>
      <c r="AX492">
        <v>19</v>
      </c>
      <c r="AY492">
        <v>10.1</v>
      </c>
      <c r="AZ492">
        <v>10</v>
      </c>
      <c r="BA492">
        <v>9.8000000000000007</v>
      </c>
      <c r="BB492">
        <v>10</v>
      </c>
    </row>
    <row r="493" spans="1:54" x14ac:dyDescent="0.35">
      <c r="A493" s="1">
        <v>46059.799305555556</v>
      </c>
      <c r="B493">
        <v>22.3</v>
      </c>
      <c r="C493">
        <v>3</v>
      </c>
      <c r="D493">
        <v>21</v>
      </c>
      <c r="E493">
        <v>2</v>
      </c>
      <c r="F493">
        <v>9.4</v>
      </c>
      <c r="G493">
        <v>12.8</v>
      </c>
      <c r="H493">
        <v>0</v>
      </c>
      <c r="I493">
        <v>15.5</v>
      </c>
      <c r="J493">
        <v>11.5</v>
      </c>
      <c r="K493">
        <v>0</v>
      </c>
      <c r="L493">
        <v>13.2</v>
      </c>
      <c r="M493">
        <v>16.600000000000001</v>
      </c>
      <c r="N493">
        <v>0</v>
      </c>
      <c r="O493">
        <v>15</v>
      </c>
      <c r="P493">
        <v>10.8</v>
      </c>
      <c r="Q493">
        <v>0</v>
      </c>
      <c r="R493">
        <v>10.5</v>
      </c>
      <c r="S493">
        <v>13.9</v>
      </c>
      <c r="T493">
        <v>0</v>
      </c>
      <c r="U493">
        <v>-13.7</v>
      </c>
      <c r="V493">
        <v>-15.2</v>
      </c>
      <c r="W493">
        <v>-22</v>
      </c>
      <c r="X493">
        <v>-17.399999999999999</v>
      </c>
      <c r="Y493">
        <v>-7.7</v>
      </c>
      <c r="Z493">
        <v>-22</v>
      </c>
      <c r="AA493">
        <v>-2.4</v>
      </c>
      <c r="AB493">
        <v>-6.7</v>
      </c>
      <c r="AC493">
        <v>-5</v>
      </c>
      <c r="AD493">
        <v>12.1</v>
      </c>
      <c r="AE493">
        <v>10.4</v>
      </c>
      <c r="AF493">
        <v>0</v>
      </c>
      <c r="AG493">
        <v>11.9</v>
      </c>
      <c r="AH493">
        <v>10</v>
      </c>
      <c r="AI493">
        <v>11.9</v>
      </c>
      <c r="AJ493">
        <v>10</v>
      </c>
      <c r="AK493">
        <v>10.5</v>
      </c>
      <c r="AL493">
        <v>10</v>
      </c>
      <c r="AM493">
        <v>12.6</v>
      </c>
      <c r="AN493">
        <v>9</v>
      </c>
      <c r="AO493">
        <v>11.6</v>
      </c>
      <c r="AP493">
        <v>10</v>
      </c>
      <c r="AQ493">
        <v>10.8</v>
      </c>
      <c r="AR493">
        <v>10</v>
      </c>
      <c r="AS493">
        <v>8.9</v>
      </c>
      <c r="AT493">
        <v>10</v>
      </c>
      <c r="AU493">
        <v>19</v>
      </c>
      <c r="AV493">
        <v>19</v>
      </c>
      <c r="AW493">
        <v>19.8</v>
      </c>
      <c r="AX493">
        <v>19</v>
      </c>
      <c r="AY493">
        <v>10.5</v>
      </c>
      <c r="AZ493">
        <v>10</v>
      </c>
      <c r="BA493">
        <v>10.199999999999999</v>
      </c>
      <c r="BB493">
        <v>10</v>
      </c>
    </row>
    <row r="494" spans="1:54" x14ac:dyDescent="0.35">
      <c r="A494" s="1">
        <v>46059.8</v>
      </c>
      <c r="B494">
        <v>22.3</v>
      </c>
      <c r="C494">
        <v>3</v>
      </c>
      <c r="D494">
        <v>21</v>
      </c>
      <c r="E494">
        <v>2</v>
      </c>
      <c r="F494">
        <v>9.4</v>
      </c>
      <c r="G494">
        <v>12.8</v>
      </c>
      <c r="H494">
        <v>0</v>
      </c>
      <c r="I494">
        <v>15.5</v>
      </c>
      <c r="J494">
        <v>11.5</v>
      </c>
      <c r="K494">
        <v>0</v>
      </c>
      <c r="L494">
        <v>13.2</v>
      </c>
      <c r="M494">
        <v>16.600000000000001</v>
      </c>
      <c r="N494">
        <v>0</v>
      </c>
      <c r="O494">
        <v>15</v>
      </c>
      <c r="P494">
        <v>10.8</v>
      </c>
      <c r="Q494">
        <v>0</v>
      </c>
      <c r="R494">
        <v>10.5</v>
      </c>
      <c r="S494">
        <v>13.9</v>
      </c>
      <c r="T494">
        <v>0</v>
      </c>
      <c r="U494">
        <v>-14.1</v>
      </c>
      <c r="V494">
        <v>-15.9</v>
      </c>
      <c r="W494">
        <v>-22</v>
      </c>
      <c r="X494">
        <v>-17.399999999999999</v>
      </c>
      <c r="Y494">
        <v>-4.4000000000000004</v>
      </c>
      <c r="Z494">
        <v>-22</v>
      </c>
      <c r="AA494">
        <v>-3.1</v>
      </c>
      <c r="AB494">
        <v>-7</v>
      </c>
      <c r="AC494">
        <v>-5</v>
      </c>
      <c r="AD494">
        <v>12.1</v>
      </c>
      <c r="AE494">
        <v>10.4</v>
      </c>
      <c r="AF494">
        <v>0</v>
      </c>
      <c r="AG494">
        <v>11.9</v>
      </c>
      <c r="AH494">
        <v>10</v>
      </c>
      <c r="AI494">
        <v>12</v>
      </c>
      <c r="AJ494">
        <v>10</v>
      </c>
      <c r="AK494">
        <v>10.7</v>
      </c>
      <c r="AL494">
        <v>10</v>
      </c>
      <c r="AM494">
        <v>12.6</v>
      </c>
      <c r="AN494">
        <v>9</v>
      </c>
      <c r="AO494">
        <v>11.8</v>
      </c>
      <c r="AP494">
        <v>10</v>
      </c>
      <c r="AQ494">
        <v>10.7</v>
      </c>
      <c r="AR494">
        <v>10</v>
      </c>
      <c r="AS494">
        <v>9.5</v>
      </c>
      <c r="AT494">
        <v>10</v>
      </c>
      <c r="AU494">
        <v>18.899999999999999</v>
      </c>
      <c r="AV494">
        <v>19</v>
      </c>
      <c r="AW494">
        <v>19.5</v>
      </c>
      <c r="AX494">
        <v>19</v>
      </c>
      <c r="AY494">
        <v>10.8</v>
      </c>
      <c r="AZ494">
        <v>10</v>
      </c>
      <c r="BA494">
        <v>10.6</v>
      </c>
      <c r="BB494">
        <v>10</v>
      </c>
    </row>
    <row r="495" spans="1:54" x14ac:dyDescent="0.35">
      <c r="A495" s="1">
        <v>46059.800694444442</v>
      </c>
      <c r="B495">
        <v>22.3</v>
      </c>
      <c r="C495">
        <v>3</v>
      </c>
      <c r="D495">
        <v>21</v>
      </c>
      <c r="E495">
        <v>2</v>
      </c>
      <c r="F495">
        <v>9.4</v>
      </c>
      <c r="G495">
        <v>12.8</v>
      </c>
      <c r="H495">
        <v>0</v>
      </c>
      <c r="I495">
        <v>15.5</v>
      </c>
      <c r="J495">
        <v>11.5</v>
      </c>
      <c r="K495">
        <v>0</v>
      </c>
      <c r="L495">
        <v>13.2</v>
      </c>
      <c r="M495">
        <v>16.600000000000001</v>
      </c>
      <c r="N495">
        <v>0</v>
      </c>
      <c r="O495">
        <v>15</v>
      </c>
      <c r="P495">
        <v>10.8</v>
      </c>
      <c r="Q495">
        <v>0</v>
      </c>
      <c r="R495">
        <v>10.5</v>
      </c>
      <c r="S495">
        <v>13.9</v>
      </c>
      <c r="T495">
        <v>0</v>
      </c>
      <c r="U495">
        <v>-14.4</v>
      </c>
      <c r="V495">
        <v>-16.399999999999999</v>
      </c>
      <c r="W495">
        <v>-22</v>
      </c>
      <c r="X495">
        <v>-17.399999999999999</v>
      </c>
      <c r="Y495">
        <v>-2.2000000000000002</v>
      </c>
      <c r="Z495">
        <v>-22</v>
      </c>
      <c r="AA495">
        <v>-4.5</v>
      </c>
      <c r="AB495">
        <v>-7.3</v>
      </c>
      <c r="AC495">
        <v>-5</v>
      </c>
      <c r="AD495">
        <v>12.1</v>
      </c>
      <c r="AE495">
        <v>10.4</v>
      </c>
      <c r="AF495">
        <v>0</v>
      </c>
      <c r="AG495">
        <v>12</v>
      </c>
      <c r="AH495">
        <v>10</v>
      </c>
      <c r="AI495">
        <v>11.2</v>
      </c>
      <c r="AJ495">
        <v>10</v>
      </c>
      <c r="AK495">
        <v>10.9</v>
      </c>
      <c r="AL495">
        <v>10</v>
      </c>
      <c r="AM495">
        <v>12.6</v>
      </c>
      <c r="AN495">
        <v>9</v>
      </c>
      <c r="AO495">
        <v>11.9</v>
      </c>
      <c r="AP495">
        <v>10</v>
      </c>
      <c r="AQ495">
        <v>10.6</v>
      </c>
      <c r="AR495">
        <v>10</v>
      </c>
      <c r="AS495">
        <v>9.9</v>
      </c>
      <c r="AT495">
        <v>10</v>
      </c>
      <c r="AU495">
        <v>18.8</v>
      </c>
      <c r="AV495">
        <v>19</v>
      </c>
      <c r="AW495">
        <v>19.5</v>
      </c>
      <c r="AX495">
        <v>19</v>
      </c>
      <c r="AY495">
        <v>11.1</v>
      </c>
      <c r="AZ495">
        <v>10</v>
      </c>
      <c r="BA495">
        <v>11</v>
      </c>
      <c r="BB495">
        <v>10</v>
      </c>
    </row>
    <row r="496" spans="1:54" x14ac:dyDescent="0.35">
      <c r="A496" s="1">
        <v>46059.801388888889</v>
      </c>
      <c r="B496">
        <v>22.3</v>
      </c>
      <c r="C496">
        <v>3</v>
      </c>
      <c r="D496">
        <v>21</v>
      </c>
      <c r="E496">
        <v>2</v>
      </c>
      <c r="F496">
        <v>9.4</v>
      </c>
      <c r="G496">
        <v>12.8</v>
      </c>
      <c r="H496">
        <v>0</v>
      </c>
      <c r="I496">
        <v>15.5</v>
      </c>
      <c r="J496">
        <v>11.5</v>
      </c>
      <c r="K496">
        <v>0</v>
      </c>
      <c r="L496">
        <v>13.2</v>
      </c>
      <c r="M496">
        <v>16.600000000000001</v>
      </c>
      <c r="N496">
        <v>0</v>
      </c>
      <c r="O496">
        <v>15</v>
      </c>
      <c r="P496">
        <v>10.8</v>
      </c>
      <c r="Q496">
        <v>0</v>
      </c>
      <c r="R496">
        <v>10.6</v>
      </c>
      <c r="S496">
        <v>13.9</v>
      </c>
      <c r="T496">
        <v>0</v>
      </c>
      <c r="U496">
        <v>-14.8</v>
      </c>
      <c r="V496">
        <v>-17</v>
      </c>
      <c r="W496">
        <v>-22</v>
      </c>
      <c r="X496">
        <v>-17.399999999999999</v>
      </c>
      <c r="Y496">
        <v>-0.7</v>
      </c>
      <c r="Z496">
        <v>-22</v>
      </c>
      <c r="AA496">
        <v>-5.0999999999999996</v>
      </c>
      <c r="AB496">
        <v>-7.6</v>
      </c>
      <c r="AC496">
        <v>-5</v>
      </c>
      <c r="AD496">
        <v>12.1</v>
      </c>
      <c r="AE496">
        <v>10.4</v>
      </c>
      <c r="AF496">
        <v>0</v>
      </c>
      <c r="AG496">
        <v>11.2</v>
      </c>
      <c r="AH496">
        <v>10</v>
      </c>
      <c r="AI496">
        <v>9.6</v>
      </c>
      <c r="AJ496">
        <v>10</v>
      </c>
      <c r="AK496">
        <v>11</v>
      </c>
      <c r="AL496">
        <v>10</v>
      </c>
      <c r="AM496">
        <v>12.6</v>
      </c>
      <c r="AN496">
        <v>9</v>
      </c>
      <c r="AO496">
        <v>11.7</v>
      </c>
      <c r="AP496">
        <v>10</v>
      </c>
      <c r="AQ496">
        <v>10.6</v>
      </c>
      <c r="AR496">
        <v>10</v>
      </c>
      <c r="AS496">
        <v>10.3</v>
      </c>
      <c r="AT496">
        <v>10</v>
      </c>
      <c r="AU496">
        <v>18.8</v>
      </c>
      <c r="AV496">
        <v>19</v>
      </c>
      <c r="AW496">
        <v>19.5</v>
      </c>
      <c r="AX496">
        <v>19</v>
      </c>
      <c r="AY496">
        <v>11.3</v>
      </c>
      <c r="AZ496">
        <v>10</v>
      </c>
      <c r="BA496">
        <v>11.3</v>
      </c>
      <c r="BB496">
        <v>10</v>
      </c>
    </row>
    <row r="497" spans="1:54" x14ac:dyDescent="0.35">
      <c r="A497" s="1">
        <v>46059.802083333336</v>
      </c>
      <c r="B497">
        <v>22.3</v>
      </c>
      <c r="C497">
        <v>3</v>
      </c>
      <c r="D497">
        <v>21</v>
      </c>
      <c r="E497">
        <v>2</v>
      </c>
      <c r="F497">
        <v>9.4</v>
      </c>
      <c r="G497">
        <v>12.8</v>
      </c>
      <c r="H497">
        <v>0</v>
      </c>
      <c r="I497">
        <v>15.5</v>
      </c>
      <c r="J497">
        <v>11.5</v>
      </c>
      <c r="K497">
        <v>0</v>
      </c>
      <c r="L497">
        <v>13.2</v>
      </c>
      <c r="M497">
        <v>16.600000000000001</v>
      </c>
      <c r="N497">
        <v>0</v>
      </c>
      <c r="O497">
        <v>15</v>
      </c>
      <c r="P497">
        <v>10.8</v>
      </c>
      <c r="Q497">
        <v>0</v>
      </c>
      <c r="R497">
        <v>10.6</v>
      </c>
      <c r="S497">
        <v>13.9</v>
      </c>
      <c r="T497">
        <v>0</v>
      </c>
      <c r="U497">
        <v>-15.1</v>
      </c>
      <c r="V497">
        <v>-17</v>
      </c>
      <c r="W497">
        <v>-22</v>
      </c>
      <c r="X497">
        <v>-17.399999999999999</v>
      </c>
      <c r="Y497">
        <v>-0.1</v>
      </c>
      <c r="Z497">
        <v>-22</v>
      </c>
      <c r="AA497">
        <v>-4.8</v>
      </c>
      <c r="AB497">
        <v>-5.7</v>
      </c>
      <c r="AC497">
        <v>-5</v>
      </c>
      <c r="AD497">
        <v>12.1</v>
      </c>
      <c r="AE497">
        <v>10.4</v>
      </c>
      <c r="AF497">
        <v>0</v>
      </c>
      <c r="AG497">
        <v>10.4</v>
      </c>
      <c r="AH497">
        <v>10</v>
      </c>
      <c r="AI497">
        <v>8.8000000000000007</v>
      </c>
      <c r="AJ497">
        <v>10</v>
      </c>
      <c r="AK497">
        <v>11.1</v>
      </c>
      <c r="AL497">
        <v>10</v>
      </c>
      <c r="AM497">
        <v>12.6</v>
      </c>
      <c r="AN497">
        <v>9</v>
      </c>
      <c r="AO497">
        <v>10.7</v>
      </c>
      <c r="AP497">
        <v>10</v>
      </c>
      <c r="AQ497">
        <v>10.6</v>
      </c>
      <c r="AR497">
        <v>10</v>
      </c>
      <c r="AS497">
        <v>10.6</v>
      </c>
      <c r="AT497">
        <v>10</v>
      </c>
      <c r="AU497">
        <v>18.8</v>
      </c>
      <c r="AV497">
        <v>19</v>
      </c>
      <c r="AW497">
        <v>19.3</v>
      </c>
      <c r="AX497">
        <v>19</v>
      </c>
      <c r="AY497">
        <v>11.5</v>
      </c>
      <c r="AZ497">
        <v>10</v>
      </c>
      <c r="BA497">
        <v>11.5</v>
      </c>
      <c r="BB497">
        <v>10</v>
      </c>
    </row>
    <row r="498" spans="1:54" x14ac:dyDescent="0.35">
      <c r="A498" s="1">
        <v>46059.802777777775</v>
      </c>
      <c r="B498">
        <v>22.3</v>
      </c>
      <c r="C498">
        <v>3</v>
      </c>
      <c r="D498">
        <v>21</v>
      </c>
      <c r="E498">
        <v>2</v>
      </c>
      <c r="F498">
        <v>9.4</v>
      </c>
      <c r="G498">
        <v>12.8</v>
      </c>
      <c r="H498">
        <v>0</v>
      </c>
      <c r="I498">
        <v>15.5</v>
      </c>
      <c r="J498">
        <v>11.5</v>
      </c>
      <c r="K498">
        <v>0</v>
      </c>
      <c r="L498">
        <v>13.2</v>
      </c>
      <c r="M498">
        <v>16.600000000000001</v>
      </c>
      <c r="N498">
        <v>0</v>
      </c>
      <c r="O498">
        <v>15</v>
      </c>
      <c r="P498">
        <v>10.8</v>
      </c>
      <c r="Q498">
        <v>0</v>
      </c>
      <c r="R498">
        <v>10.6</v>
      </c>
      <c r="S498">
        <v>13.9</v>
      </c>
      <c r="T498">
        <v>0</v>
      </c>
      <c r="U498">
        <v>-15.2</v>
      </c>
      <c r="V498">
        <v>-17.399999999999999</v>
      </c>
      <c r="W498">
        <v>-22</v>
      </c>
      <c r="X498">
        <v>-17.399999999999999</v>
      </c>
      <c r="Y498">
        <v>0</v>
      </c>
      <c r="Z498">
        <v>-22</v>
      </c>
      <c r="AA498">
        <v>-3.8</v>
      </c>
      <c r="AB498">
        <v>-4</v>
      </c>
      <c r="AC498">
        <v>-5</v>
      </c>
      <c r="AD498">
        <v>12.1</v>
      </c>
      <c r="AE498">
        <v>10.4</v>
      </c>
      <c r="AF498">
        <v>0</v>
      </c>
      <c r="AG498">
        <v>9.6</v>
      </c>
      <c r="AH498">
        <v>10</v>
      </c>
      <c r="AI498">
        <v>8.8000000000000007</v>
      </c>
      <c r="AJ498">
        <v>10</v>
      </c>
      <c r="AK498">
        <v>11.1</v>
      </c>
      <c r="AL498">
        <v>10</v>
      </c>
      <c r="AM498">
        <v>12.6</v>
      </c>
      <c r="AN498">
        <v>9</v>
      </c>
      <c r="AO498">
        <v>10.3</v>
      </c>
      <c r="AP498">
        <v>10</v>
      </c>
      <c r="AQ498">
        <v>10.6</v>
      </c>
      <c r="AR498">
        <v>10</v>
      </c>
      <c r="AS498">
        <v>10.9</v>
      </c>
      <c r="AT498">
        <v>10</v>
      </c>
      <c r="AU498">
        <v>18.7</v>
      </c>
      <c r="AV498">
        <v>19</v>
      </c>
      <c r="AW498">
        <v>19.3</v>
      </c>
      <c r="AX498">
        <v>19</v>
      </c>
      <c r="AY498">
        <v>11.7</v>
      </c>
      <c r="AZ498">
        <v>10</v>
      </c>
      <c r="BA498">
        <v>11.8</v>
      </c>
      <c r="BB498">
        <v>10</v>
      </c>
    </row>
    <row r="499" spans="1:54" x14ac:dyDescent="0.35">
      <c r="A499" s="1">
        <v>46059.803472222222</v>
      </c>
      <c r="B499">
        <v>22.3</v>
      </c>
      <c r="C499">
        <v>3</v>
      </c>
      <c r="D499">
        <v>21</v>
      </c>
      <c r="E499">
        <v>2</v>
      </c>
      <c r="F499">
        <v>9.4</v>
      </c>
      <c r="G499">
        <v>12.8</v>
      </c>
      <c r="H499">
        <v>0</v>
      </c>
      <c r="I499">
        <v>15.5</v>
      </c>
      <c r="J499">
        <v>11.5</v>
      </c>
      <c r="K499">
        <v>0</v>
      </c>
      <c r="L499">
        <v>13.2</v>
      </c>
      <c r="M499">
        <v>16.600000000000001</v>
      </c>
      <c r="N499">
        <v>0</v>
      </c>
      <c r="O499">
        <v>15</v>
      </c>
      <c r="P499">
        <v>10.8</v>
      </c>
      <c r="Q499">
        <v>0</v>
      </c>
      <c r="R499">
        <v>10.6</v>
      </c>
      <c r="S499">
        <v>13.9</v>
      </c>
      <c r="T499">
        <v>0</v>
      </c>
      <c r="U499">
        <v>-15.3</v>
      </c>
      <c r="V499">
        <v>-17.100000000000001</v>
      </c>
      <c r="W499">
        <v>-22</v>
      </c>
      <c r="X499">
        <v>-17.399999999999999</v>
      </c>
      <c r="Y499">
        <v>0.8</v>
      </c>
      <c r="Z499">
        <v>-22</v>
      </c>
      <c r="AA499">
        <v>-2.7</v>
      </c>
      <c r="AB499">
        <v>-2.8</v>
      </c>
      <c r="AC499">
        <v>-5</v>
      </c>
      <c r="AD499">
        <v>12.1</v>
      </c>
      <c r="AE499">
        <v>10.4</v>
      </c>
      <c r="AF499">
        <v>0</v>
      </c>
      <c r="AG499">
        <v>9.6</v>
      </c>
      <c r="AH499">
        <v>10</v>
      </c>
      <c r="AI499">
        <v>9</v>
      </c>
      <c r="AJ499">
        <v>10</v>
      </c>
      <c r="AK499">
        <v>11.1</v>
      </c>
      <c r="AL499">
        <v>10</v>
      </c>
      <c r="AM499">
        <v>12.6</v>
      </c>
      <c r="AN499">
        <v>9</v>
      </c>
      <c r="AO499">
        <v>10.1</v>
      </c>
      <c r="AP499">
        <v>10</v>
      </c>
      <c r="AQ499">
        <v>10.6</v>
      </c>
      <c r="AR499">
        <v>10</v>
      </c>
      <c r="AS499">
        <v>11.2</v>
      </c>
      <c r="AT499">
        <v>10</v>
      </c>
      <c r="AU499">
        <v>18.600000000000001</v>
      </c>
      <c r="AV499">
        <v>19</v>
      </c>
      <c r="AW499">
        <v>19.3</v>
      </c>
      <c r="AX499">
        <v>19</v>
      </c>
      <c r="AY499">
        <v>11.9</v>
      </c>
      <c r="AZ499">
        <v>10</v>
      </c>
      <c r="BA499">
        <v>12</v>
      </c>
      <c r="BB499">
        <v>10</v>
      </c>
    </row>
    <row r="500" spans="1:54" x14ac:dyDescent="0.35">
      <c r="A500" s="1">
        <v>46059.804166666669</v>
      </c>
      <c r="B500">
        <v>22.3</v>
      </c>
      <c r="C500">
        <v>3</v>
      </c>
      <c r="D500">
        <v>21</v>
      </c>
      <c r="E500">
        <v>2</v>
      </c>
      <c r="F500">
        <v>9.4</v>
      </c>
      <c r="G500">
        <v>12.9</v>
      </c>
      <c r="H500">
        <v>0</v>
      </c>
      <c r="I500">
        <v>15.5</v>
      </c>
      <c r="J500">
        <v>11.5</v>
      </c>
      <c r="K500">
        <v>0</v>
      </c>
      <c r="L500">
        <v>13.2</v>
      </c>
      <c r="M500">
        <v>16.600000000000001</v>
      </c>
      <c r="N500">
        <v>0</v>
      </c>
      <c r="O500">
        <v>15</v>
      </c>
      <c r="P500">
        <v>10.8</v>
      </c>
      <c r="Q500">
        <v>0</v>
      </c>
      <c r="R500">
        <v>10.6</v>
      </c>
      <c r="S500">
        <v>13.9</v>
      </c>
      <c r="T500">
        <v>0</v>
      </c>
      <c r="U500">
        <v>-15.3</v>
      </c>
      <c r="V500">
        <v>-17.399999999999999</v>
      </c>
      <c r="W500">
        <v>-22</v>
      </c>
      <c r="X500">
        <v>-17.399999999999999</v>
      </c>
      <c r="Y500">
        <v>3.5</v>
      </c>
      <c r="Z500">
        <v>-22</v>
      </c>
      <c r="AA500">
        <v>-2.6</v>
      </c>
      <c r="AB500">
        <v>-3.5</v>
      </c>
      <c r="AC500">
        <v>-5</v>
      </c>
      <c r="AD500">
        <v>12.1</v>
      </c>
      <c r="AE500">
        <v>10.4</v>
      </c>
      <c r="AF500">
        <v>0</v>
      </c>
      <c r="AG500">
        <v>9.8000000000000007</v>
      </c>
      <c r="AH500">
        <v>10</v>
      </c>
      <c r="AI500">
        <v>9.3000000000000007</v>
      </c>
      <c r="AJ500">
        <v>10</v>
      </c>
      <c r="AK500">
        <v>11.1</v>
      </c>
      <c r="AL500">
        <v>10</v>
      </c>
      <c r="AM500">
        <v>12.5</v>
      </c>
      <c r="AN500">
        <v>9</v>
      </c>
      <c r="AO500">
        <v>10.9</v>
      </c>
      <c r="AP500">
        <v>10</v>
      </c>
      <c r="AQ500">
        <v>10.7</v>
      </c>
      <c r="AR500">
        <v>10</v>
      </c>
      <c r="AS500">
        <v>11.4</v>
      </c>
      <c r="AT500">
        <v>10</v>
      </c>
      <c r="AU500">
        <v>18.600000000000001</v>
      </c>
      <c r="AV500">
        <v>19</v>
      </c>
      <c r="AW500">
        <v>19.100000000000001</v>
      </c>
      <c r="AX500">
        <v>19</v>
      </c>
      <c r="AY500">
        <v>12</v>
      </c>
      <c r="AZ500">
        <v>10</v>
      </c>
      <c r="BA500">
        <v>11.5</v>
      </c>
      <c r="BB500">
        <v>10</v>
      </c>
    </row>
    <row r="501" spans="1:54" x14ac:dyDescent="0.35">
      <c r="A501" s="1">
        <v>46059.804861111108</v>
      </c>
      <c r="B501">
        <v>22.3</v>
      </c>
      <c r="C501">
        <v>3</v>
      </c>
      <c r="D501">
        <v>21</v>
      </c>
      <c r="E501">
        <v>2</v>
      </c>
      <c r="F501">
        <v>9.4</v>
      </c>
      <c r="G501">
        <v>12.9</v>
      </c>
      <c r="H501">
        <v>0</v>
      </c>
      <c r="I501">
        <v>15.5</v>
      </c>
      <c r="J501">
        <v>11.5</v>
      </c>
      <c r="K501">
        <v>0</v>
      </c>
      <c r="L501">
        <v>13.2</v>
      </c>
      <c r="M501">
        <v>16.600000000000001</v>
      </c>
      <c r="N501">
        <v>0</v>
      </c>
      <c r="O501">
        <v>15.1</v>
      </c>
      <c r="P501">
        <v>10.8</v>
      </c>
      <c r="Q501">
        <v>0</v>
      </c>
      <c r="R501">
        <v>10.6</v>
      </c>
      <c r="S501">
        <v>14</v>
      </c>
      <c r="T501">
        <v>0</v>
      </c>
      <c r="U501">
        <v>-15.2</v>
      </c>
      <c r="V501">
        <v>-16.899999999999999</v>
      </c>
      <c r="W501">
        <v>-22</v>
      </c>
      <c r="X501">
        <v>-17.399999999999999</v>
      </c>
      <c r="Y501">
        <v>8.9</v>
      </c>
      <c r="Z501">
        <v>-22</v>
      </c>
      <c r="AA501">
        <v>-2.9</v>
      </c>
      <c r="AB501">
        <v>-4.5</v>
      </c>
      <c r="AC501">
        <v>-5</v>
      </c>
      <c r="AD501">
        <v>12.1</v>
      </c>
      <c r="AE501">
        <v>10.4</v>
      </c>
      <c r="AF501">
        <v>0</v>
      </c>
      <c r="AG501">
        <v>10.199999999999999</v>
      </c>
      <c r="AH501">
        <v>10</v>
      </c>
      <c r="AI501">
        <v>9.6</v>
      </c>
      <c r="AJ501">
        <v>10</v>
      </c>
      <c r="AK501">
        <v>11.2</v>
      </c>
      <c r="AL501">
        <v>10</v>
      </c>
      <c r="AM501">
        <v>12.5</v>
      </c>
      <c r="AN501">
        <v>9</v>
      </c>
      <c r="AO501">
        <v>11.4</v>
      </c>
      <c r="AP501">
        <v>10</v>
      </c>
      <c r="AQ501">
        <v>10.6</v>
      </c>
      <c r="AR501">
        <v>10</v>
      </c>
      <c r="AS501">
        <v>11.5</v>
      </c>
      <c r="AT501">
        <v>10</v>
      </c>
      <c r="AU501">
        <v>18.5</v>
      </c>
      <c r="AV501">
        <v>19</v>
      </c>
      <c r="AW501">
        <v>19.100000000000001</v>
      </c>
      <c r="AX501">
        <v>19</v>
      </c>
      <c r="AY501">
        <v>11.2</v>
      </c>
      <c r="AZ501">
        <v>10</v>
      </c>
      <c r="BA501">
        <v>10.7</v>
      </c>
      <c r="BB501">
        <v>10</v>
      </c>
    </row>
    <row r="502" spans="1:54" x14ac:dyDescent="0.35">
      <c r="A502" s="1">
        <v>46059.805555555555</v>
      </c>
      <c r="B502">
        <v>22.3</v>
      </c>
      <c r="C502">
        <v>3</v>
      </c>
      <c r="D502">
        <v>21</v>
      </c>
      <c r="E502">
        <v>2</v>
      </c>
      <c r="F502">
        <v>9.4</v>
      </c>
      <c r="G502">
        <v>12.9</v>
      </c>
      <c r="H502">
        <v>0</v>
      </c>
      <c r="I502">
        <v>15.5</v>
      </c>
      <c r="J502">
        <v>11.5</v>
      </c>
      <c r="K502">
        <v>0</v>
      </c>
      <c r="L502">
        <v>13.2</v>
      </c>
      <c r="M502">
        <v>16.600000000000001</v>
      </c>
      <c r="N502">
        <v>0</v>
      </c>
      <c r="O502">
        <v>15.1</v>
      </c>
      <c r="P502">
        <v>10.9</v>
      </c>
      <c r="Q502">
        <v>0</v>
      </c>
      <c r="R502">
        <v>10.6</v>
      </c>
      <c r="S502">
        <v>14</v>
      </c>
      <c r="T502">
        <v>0</v>
      </c>
      <c r="U502">
        <v>-15</v>
      </c>
      <c r="V502">
        <v>-17</v>
      </c>
      <c r="W502">
        <v>-22</v>
      </c>
      <c r="X502">
        <v>-17.399999999999999</v>
      </c>
      <c r="Y502">
        <v>13.4</v>
      </c>
      <c r="Z502">
        <v>-22</v>
      </c>
      <c r="AA502">
        <v>-3.4</v>
      </c>
      <c r="AB502">
        <v>-5.4</v>
      </c>
      <c r="AC502">
        <v>-5</v>
      </c>
      <c r="AD502">
        <v>12.1</v>
      </c>
      <c r="AE502">
        <v>10.4</v>
      </c>
      <c r="AF502">
        <v>0</v>
      </c>
      <c r="AG502">
        <v>10.5</v>
      </c>
      <c r="AH502">
        <v>10</v>
      </c>
      <c r="AI502">
        <v>9.9</v>
      </c>
      <c r="AJ502">
        <v>10</v>
      </c>
      <c r="AK502">
        <v>11.3</v>
      </c>
      <c r="AL502">
        <v>10</v>
      </c>
      <c r="AM502">
        <v>12.5</v>
      </c>
      <c r="AN502">
        <v>9</v>
      </c>
      <c r="AO502">
        <v>11.7</v>
      </c>
      <c r="AP502">
        <v>10</v>
      </c>
      <c r="AQ502">
        <v>10.5</v>
      </c>
      <c r="AR502">
        <v>10</v>
      </c>
      <c r="AS502">
        <v>11.7</v>
      </c>
      <c r="AT502">
        <v>10</v>
      </c>
      <c r="AU502">
        <v>18.5</v>
      </c>
      <c r="AV502">
        <v>19</v>
      </c>
      <c r="AW502">
        <v>19.100000000000001</v>
      </c>
      <c r="AX502">
        <v>19</v>
      </c>
      <c r="AY502">
        <v>10.4</v>
      </c>
      <c r="AZ502">
        <v>10</v>
      </c>
      <c r="BA502">
        <v>10</v>
      </c>
      <c r="BB502">
        <v>10</v>
      </c>
    </row>
    <row r="503" spans="1:54" x14ac:dyDescent="0.35">
      <c r="A503" s="1">
        <v>46059.806250000001</v>
      </c>
      <c r="B503">
        <v>22.3</v>
      </c>
      <c r="C503">
        <v>3</v>
      </c>
      <c r="D503">
        <v>21</v>
      </c>
      <c r="E503">
        <v>2</v>
      </c>
      <c r="F503">
        <v>9.4</v>
      </c>
      <c r="G503">
        <v>12.9</v>
      </c>
      <c r="H503">
        <v>0</v>
      </c>
      <c r="I503">
        <v>15.5</v>
      </c>
      <c r="J503">
        <v>11.5</v>
      </c>
      <c r="K503">
        <v>0</v>
      </c>
      <c r="L503">
        <v>13.2</v>
      </c>
      <c r="M503">
        <v>16.600000000000001</v>
      </c>
      <c r="N503">
        <v>0</v>
      </c>
      <c r="O503">
        <v>15.1</v>
      </c>
      <c r="P503">
        <v>10.9</v>
      </c>
      <c r="Q503">
        <v>0</v>
      </c>
      <c r="R503">
        <v>10.6</v>
      </c>
      <c r="S503">
        <v>14</v>
      </c>
      <c r="T503">
        <v>0</v>
      </c>
      <c r="U503">
        <v>-14.8</v>
      </c>
      <c r="V503">
        <v>-16.5</v>
      </c>
      <c r="W503">
        <v>-22</v>
      </c>
      <c r="X503">
        <v>-17.399999999999999</v>
      </c>
      <c r="Y503">
        <v>15.1</v>
      </c>
      <c r="Z503">
        <v>-22</v>
      </c>
      <c r="AA503">
        <v>-3.8</v>
      </c>
      <c r="AB503">
        <v>-6</v>
      </c>
      <c r="AC503">
        <v>-5</v>
      </c>
      <c r="AD503">
        <v>12.1</v>
      </c>
      <c r="AE503">
        <v>10.4</v>
      </c>
      <c r="AF503">
        <v>0</v>
      </c>
      <c r="AG503">
        <v>10.7</v>
      </c>
      <c r="AH503">
        <v>10</v>
      </c>
      <c r="AI503">
        <v>10.1</v>
      </c>
      <c r="AJ503">
        <v>10</v>
      </c>
      <c r="AK503">
        <v>11.4</v>
      </c>
      <c r="AL503">
        <v>10</v>
      </c>
      <c r="AM503">
        <v>12.5</v>
      </c>
      <c r="AN503">
        <v>9</v>
      </c>
      <c r="AO503">
        <v>11.9</v>
      </c>
      <c r="AP503">
        <v>10</v>
      </c>
      <c r="AQ503">
        <v>10.6</v>
      </c>
      <c r="AR503">
        <v>10</v>
      </c>
      <c r="AS503">
        <v>11.9</v>
      </c>
      <c r="AT503">
        <v>10</v>
      </c>
      <c r="AU503">
        <v>18.5</v>
      </c>
      <c r="AV503">
        <v>19</v>
      </c>
      <c r="AW503">
        <v>19.100000000000001</v>
      </c>
      <c r="AX503">
        <v>19</v>
      </c>
      <c r="AY503">
        <v>9.6999999999999993</v>
      </c>
      <c r="AZ503">
        <v>10</v>
      </c>
      <c r="BA503">
        <v>9.6999999999999993</v>
      </c>
      <c r="BB503">
        <v>10</v>
      </c>
    </row>
    <row r="504" spans="1:54" x14ac:dyDescent="0.35">
      <c r="A504" s="1">
        <v>46059.806944444441</v>
      </c>
      <c r="B504">
        <v>22.3</v>
      </c>
      <c r="C504">
        <v>3</v>
      </c>
      <c r="D504">
        <v>21</v>
      </c>
      <c r="E504">
        <v>2</v>
      </c>
      <c r="F504">
        <v>9.4</v>
      </c>
      <c r="G504">
        <v>12.9</v>
      </c>
      <c r="H504">
        <v>0</v>
      </c>
      <c r="I504">
        <v>15.5</v>
      </c>
      <c r="J504">
        <v>11.5</v>
      </c>
      <c r="K504">
        <v>0</v>
      </c>
      <c r="L504">
        <v>13.2</v>
      </c>
      <c r="M504">
        <v>16.600000000000001</v>
      </c>
      <c r="N504">
        <v>0</v>
      </c>
      <c r="O504">
        <v>15.1</v>
      </c>
      <c r="P504">
        <v>10.9</v>
      </c>
      <c r="Q504">
        <v>0</v>
      </c>
      <c r="R504">
        <v>10.6</v>
      </c>
      <c r="S504">
        <v>14</v>
      </c>
      <c r="T504">
        <v>0</v>
      </c>
      <c r="U504">
        <v>-14.6</v>
      </c>
      <c r="V504">
        <v>-16.8</v>
      </c>
      <c r="W504">
        <v>-22</v>
      </c>
      <c r="X504">
        <v>-17.399999999999999</v>
      </c>
      <c r="Y504">
        <v>15.9</v>
      </c>
      <c r="Z504">
        <v>-22</v>
      </c>
      <c r="AA504">
        <v>-4.2</v>
      </c>
      <c r="AB504">
        <v>-6.5</v>
      </c>
      <c r="AC504">
        <v>-5</v>
      </c>
      <c r="AD504">
        <v>12.1</v>
      </c>
      <c r="AE504">
        <v>10.4</v>
      </c>
      <c r="AF504">
        <v>0</v>
      </c>
      <c r="AG504">
        <v>10.9</v>
      </c>
      <c r="AH504">
        <v>10</v>
      </c>
      <c r="AI504">
        <v>10.3</v>
      </c>
      <c r="AJ504">
        <v>10</v>
      </c>
      <c r="AK504">
        <v>11.5</v>
      </c>
      <c r="AL504">
        <v>10</v>
      </c>
      <c r="AM504">
        <v>12.5</v>
      </c>
      <c r="AN504">
        <v>9</v>
      </c>
      <c r="AO504">
        <v>11.9</v>
      </c>
      <c r="AP504">
        <v>10</v>
      </c>
      <c r="AQ504">
        <v>10.6</v>
      </c>
      <c r="AR504">
        <v>10</v>
      </c>
      <c r="AS504">
        <v>11.5</v>
      </c>
      <c r="AT504">
        <v>10</v>
      </c>
      <c r="AU504">
        <v>18.5</v>
      </c>
      <c r="AV504">
        <v>19</v>
      </c>
      <c r="AW504">
        <v>19.100000000000001</v>
      </c>
      <c r="AX504">
        <v>19</v>
      </c>
      <c r="AY504">
        <v>9.6999999999999993</v>
      </c>
      <c r="AZ504">
        <v>10</v>
      </c>
      <c r="BA504">
        <v>9.8000000000000007</v>
      </c>
      <c r="BB504">
        <v>10</v>
      </c>
    </row>
    <row r="505" spans="1:54" x14ac:dyDescent="0.35">
      <c r="A505" s="1">
        <v>46059.807638888888</v>
      </c>
      <c r="B505">
        <v>22.3</v>
      </c>
      <c r="C505">
        <v>3</v>
      </c>
      <c r="D505">
        <v>21</v>
      </c>
      <c r="E505">
        <v>2</v>
      </c>
      <c r="F505">
        <v>9.4</v>
      </c>
      <c r="G505">
        <v>12.9</v>
      </c>
      <c r="H505">
        <v>0</v>
      </c>
      <c r="I505">
        <v>15.5</v>
      </c>
      <c r="J505">
        <v>11.5</v>
      </c>
      <c r="K505">
        <v>0</v>
      </c>
      <c r="L505">
        <v>13.2</v>
      </c>
      <c r="M505">
        <v>16.600000000000001</v>
      </c>
      <c r="N505">
        <v>0</v>
      </c>
      <c r="O505">
        <v>15.1</v>
      </c>
      <c r="P505">
        <v>10.9</v>
      </c>
      <c r="Q505">
        <v>0</v>
      </c>
      <c r="R505">
        <v>10.6</v>
      </c>
      <c r="S505">
        <v>14</v>
      </c>
      <c r="T505">
        <v>0</v>
      </c>
      <c r="U505">
        <v>-14.4</v>
      </c>
      <c r="V505">
        <v>-16.2</v>
      </c>
      <c r="W505">
        <v>-22</v>
      </c>
      <c r="X505">
        <v>-17.399999999999999</v>
      </c>
      <c r="Y505">
        <v>16.2</v>
      </c>
      <c r="Z505">
        <v>-22</v>
      </c>
      <c r="AA505">
        <v>-4.7</v>
      </c>
      <c r="AB505">
        <v>-7.1</v>
      </c>
      <c r="AC505">
        <v>-5</v>
      </c>
      <c r="AD505">
        <v>12.1</v>
      </c>
      <c r="AE505">
        <v>10.4</v>
      </c>
      <c r="AF505">
        <v>0</v>
      </c>
      <c r="AG505">
        <v>11.1</v>
      </c>
      <c r="AH505">
        <v>10</v>
      </c>
      <c r="AI505">
        <v>10.5</v>
      </c>
      <c r="AJ505">
        <v>10</v>
      </c>
      <c r="AK505">
        <v>11.6</v>
      </c>
      <c r="AL505">
        <v>10</v>
      </c>
      <c r="AM505">
        <v>12.6</v>
      </c>
      <c r="AN505">
        <v>9</v>
      </c>
      <c r="AO505">
        <v>11.9</v>
      </c>
      <c r="AP505">
        <v>10</v>
      </c>
      <c r="AQ505">
        <v>10.5</v>
      </c>
      <c r="AR505">
        <v>10</v>
      </c>
      <c r="AS505">
        <v>8.6999999999999993</v>
      </c>
      <c r="AT505">
        <v>10</v>
      </c>
      <c r="AU505">
        <v>18.5</v>
      </c>
      <c r="AV505">
        <v>19</v>
      </c>
      <c r="AW505">
        <v>19.100000000000001</v>
      </c>
      <c r="AX505">
        <v>19</v>
      </c>
      <c r="AY505">
        <v>10.1</v>
      </c>
      <c r="AZ505">
        <v>10</v>
      </c>
      <c r="BA505">
        <v>10.3</v>
      </c>
      <c r="BB505">
        <v>10</v>
      </c>
    </row>
    <row r="506" spans="1:54" x14ac:dyDescent="0.35">
      <c r="A506" s="1">
        <v>46059.808333333334</v>
      </c>
      <c r="B506">
        <v>22.3</v>
      </c>
      <c r="C506">
        <v>3</v>
      </c>
      <c r="D506">
        <v>21</v>
      </c>
      <c r="E506">
        <v>2</v>
      </c>
      <c r="F506">
        <v>9.4</v>
      </c>
      <c r="G506">
        <v>12.9</v>
      </c>
      <c r="H506">
        <v>0</v>
      </c>
      <c r="I506">
        <v>15.5</v>
      </c>
      <c r="J506">
        <v>11.5</v>
      </c>
      <c r="K506">
        <v>0</v>
      </c>
      <c r="L506">
        <v>13.2</v>
      </c>
      <c r="M506">
        <v>16.600000000000001</v>
      </c>
      <c r="N506">
        <v>0</v>
      </c>
      <c r="O506">
        <v>15.1</v>
      </c>
      <c r="P506">
        <v>10.9</v>
      </c>
      <c r="Q506">
        <v>0</v>
      </c>
      <c r="R506">
        <v>10.6</v>
      </c>
      <c r="S506">
        <v>14</v>
      </c>
      <c r="T506">
        <v>0</v>
      </c>
      <c r="U506">
        <v>-14.2</v>
      </c>
      <c r="V506">
        <v>-16.3</v>
      </c>
      <c r="W506">
        <v>-22</v>
      </c>
      <c r="X506">
        <v>-17.399999999999999</v>
      </c>
      <c r="Y506">
        <v>16.3</v>
      </c>
      <c r="Z506">
        <v>-22</v>
      </c>
      <c r="AA506">
        <v>-5</v>
      </c>
      <c r="AB506">
        <v>-7.4</v>
      </c>
      <c r="AC506">
        <v>-5</v>
      </c>
      <c r="AD506">
        <v>12.1</v>
      </c>
      <c r="AE506">
        <v>10.4</v>
      </c>
      <c r="AF506">
        <v>0</v>
      </c>
      <c r="AG506">
        <v>11.3</v>
      </c>
      <c r="AH506">
        <v>10</v>
      </c>
      <c r="AI506">
        <v>10.6</v>
      </c>
      <c r="AJ506">
        <v>10</v>
      </c>
      <c r="AK506">
        <v>11.6</v>
      </c>
      <c r="AL506">
        <v>10</v>
      </c>
      <c r="AM506">
        <v>12.6</v>
      </c>
      <c r="AN506">
        <v>9</v>
      </c>
      <c r="AO506">
        <v>10.8</v>
      </c>
      <c r="AP506">
        <v>10</v>
      </c>
      <c r="AQ506">
        <v>10.199999999999999</v>
      </c>
      <c r="AR506">
        <v>10</v>
      </c>
      <c r="AS506">
        <v>8.1</v>
      </c>
      <c r="AT506">
        <v>10</v>
      </c>
      <c r="AU506">
        <v>18.5</v>
      </c>
      <c r="AV506">
        <v>19</v>
      </c>
      <c r="AW506">
        <v>19.100000000000001</v>
      </c>
      <c r="AX506">
        <v>19</v>
      </c>
      <c r="AY506">
        <v>10.5</v>
      </c>
      <c r="AZ506">
        <v>10</v>
      </c>
      <c r="BA506">
        <v>10.7</v>
      </c>
      <c r="BB506">
        <v>10</v>
      </c>
    </row>
    <row r="507" spans="1:54" x14ac:dyDescent="0.35">
      <c r="A507" s="1">
        <v>46059.809027777781</v>
      </c>
      <c r="B507">
        <v>22.3</v>
      </c>
      <c r="C507">
        <v>3</v>
      </c>
      <c r="D507">
        <v>21</v>
      </c>
      <c r="E507">
        <v>2</v>
      </c>
      <c r="F507">
        <v>9.4</v>
      </c>
      <c r="G507">
        <v>12.9</v>
      </c>
      <c r="H507">
        <v>0</v>
      </c>
      <c r="I507">
        <v>15.5</v>
      </c>
      <c r="J507">
        <v>11.5</v>
      </c>
      <c r="K507">
        <v>0</v>
      </c>
      <c r="L507">
        <v>13.2</v>
      </c>
      <c r="M507">
        <v>16.600000000000001</v>
      </c>
      <c r="N507">
        <v>0</v>
      </c>
      <c r="O507">
        <v>15.1</v>
      </c>
      <c r="P507">
        <v>10.9</v>
      </c>
      <c r="Q507">
        <v>0</v>
      </c>
      <c r="R507">
        <v>10.6</v>
      </c>
      <c r="S507">
        <v>14</v>
      </c>
      <c r="T507">
        <v>0</v>
      </c>
      <c r="U507">
        <v>-14</v>
      </c>
      <c r="V507">
        <v>-15.8</v>
      </c>
      <c r="W507">
        <v>-22</v>
      </c>
      <c r="X507">
        <v>-17.399999999999999</v>
      </c>
      <c r="Y507">
        <v>16.899999999999999</v>
      </c>
      <c r="Z507">
        <v>-22</v>
      </c>
      <c r="AA507">
        <v>-5.0999999999999996</v>
      </c>
      <c r="AB507">
        <v>-6.4</v>
      </c>
      <c r="AC507">
        <v>-5</v>
      </c>
      <c r="AD507">
        <v>12</v>
      </c>
      <c r="AE507">
        <v>10.4</v>
      </c>
      <c r="AF507">
        <v>0</v>
      </c>
      <c r="AG507">
        <v>11.4</v>
      </c>
      <c r="AH507">
        <v>10</v>
      </c>
      <c r="AI507">
        <v>10.8</v>
      </c>
      <c r="AJ507">
        <v>10</v>
      </c>
      <c r="AK507">
        <v>11.6</v>
      </c>
      <c r="AL507">
        <v>10</v>
      </c>
      <c r="AM507">
        <v>12.6</v>
      </c>
      <c r="AN507">
        <v>9</v>
      </c>
      <c r="AO507">
        <v>10.3</v>
      </c>
      <c r="AP507">
        <v>10</v>
      </c>
      <c r="AQ507">
        <v>10.199999999999999</v>
      </c>
      <c r="AR507">
        <v>10</v>
      </c>
      <c r="AS507">
        <v>8.3000000000000007</v>
      </c>
      <c r="AT507">
        <v>10</v>
      </c>
      <c r="AU507">
        <v>18.5</v>
      </c>
      <c r="AV507">
        <v>19</v>
      </c>
      <c r="AW507">
        <v>19.100000000000001</v>
      </c>
      <c r="AX507">
        <v>19</v>
      </c>
      <c r="AY507">
        <v>10.8</v>
      </c>
      <c r="AZ507">
        <v>10</v>
      </c>
      <c r="BA507">
        <v>11</v>
      </c>
      <c r="BB507">
        <v>10</v>
      </c>
    </row>
    <row r="508" spans="1:54" x14ac:dyDescent="0.35">
      <c r="A508" s="1">
        <v>46059.80972222222</v>
      </c>
      <c r="B508">
        <v>22.3</v>
      </c>
      <c r="C508">
        <v>3</v>
      </c>
      <c r="D508">
        <v>21</v>
      </c>
      <c r="E508">
        <v>2</v>
      </c>
      <c r="F508">
        <v>9.4</v>
      </c>
      <c r="G508">
        <v>12.9</v>
      </c>
      <c r="H508">
        <v>0</v>
      </c>
      <c r="I508">
        <v>15.5</v>
      </c>
      <c r="J508">
        <v>11.5</v>
      </c>
      <c r="K508">
        <v>0</v>
      </c>
      <c r="L508">
        <v>13.2</v>
      </c>
      <c r="M508">
        <v>16.600000000000001</v>
      </c>
      <c r="N508">
        <v>0</v>
      </c>
      <c r="O508">
        <v>15.1</v>
      </c>
      <c r="P508">
        <v>10.9</v>
      </c>
      <c r="Q508">
        <v>0</v>
      </c>
      <c r="R508">
        <v>10.6</v>
      </c>
      <c r="S508">
        <v>14</v>
      </c>
      <c r="T508">
        <v>0</v>
      </c>
      <c r="U508">
        <v>-13.7</v>
      </c>
      <c r="V508">
        <v>-15.9</v>
      </c>
      <c r="W508">
        <v>-22</v>
      </c>
      <c r="X508">
        <v>-17.399999999999999</v>
      </c>
      <c r="Y508">
        <v>17.600000000000001</v>
      </c>
      <c r="Z508">
        <v>-22</v>
      </c>
      <c r="AA508">
        <v>-4</v>
      </c>
      <c r="AB508">
        <v>-4.3</v>
      </c>
      <c r="AC508">
        <v>-5</v>
      </c>
      <c r="AD508">
        <v>12</v>
      </c>
      <c r="AE508">
        <v>10.4</v>
      </c>
      <c r="AF508">
        <v>0</v>
      </c>
      <c r="AG508">
        <v>11.5</v>
      </c>
      <c r="AH508">
        <v>10</v>
      </c>
      <c r="AI508">
        <v>10.9</v>
      </c>
      <c r="AJ508">
        <v>10</v>
      </c>
      <c r="AK508">
        <v>11.6</v>
      </c>
      <c r="AL508">
        <v>10</v>
      </c>
      <c r="AM508">
        <v>12.6</v>
      </c>
      <c r="AN508">
        <v>9</v>
      </c>
      <c r="AO508">
        <v>9.9</v>
      </c>
      <c r="AP508">
        <v>10</v>
      </c>
      <c r="AQ508">
        <v>10.199999999999999</v>
      </c>
      <c r="AR508">
        <v>10</v>
      </c>
      <c r="AS508">
        <v>9</v>
      </c>
      <c r="AT508">
        <v>10</v>
      </c>
      <c r="AU508">
        <v>18.399999999999999</v>
      </c>
      <c r="AV508">
        <v>19</v>
      </c>
      <c r="AW508">
        <v>19.100000000000001</v>
      </c>
      <c r="AX508">
        <v>19</v>
      </c>
      <c r="AY508">
        <v>11.1</v>
      </c>
      <c r="AZ508">
        <v>10</v>
      </c>
      <c r="BA508">
        <v>11.3</v>
      </c>
      <c r="BB508">
        <v>10</v>
      </c>
    </row>
    <row r="509" spans="1:54" x14ac:dyDescent="0.35">
      <c r="A509" s="1">
        <v>46059.810416666667</v>
      </c>
      <c r="B509">
        <v>22.3</v>
      </c>
      <c r="C509">
        <v>3</v>
      </c>
      <c r="D509">
        <v>21</v>
      </c>
      <c r="E509">
        <v>2</v>
      </c>
      <c r="F509">
        <v>9.5</v>
      </c>
      <c r="G509">
        <v>12.9</v>
      </c>
      <c r="H509">
        <v>0</v>
      </c>
      <c r="I509">
        <v>15.5</v>
      </c>
      <c r="J509">
        <v>11.5</v>
      </c>
      <c r="K509">
        <v>0</v>
      </c>
      <c r="L509">
        <v>13.2</v>
      </c>
      <c r="M509">
        <v>16.600000000000001</v>
      </c>
      <c r="N509">
        <v>0</v>
      </c>
      <c r="O509">
        <v>15.1</v>
      </c>
      <c r="P509">
        <v>10.9</v>
      </c>
      <c r="Q509">
        <v>0</v>
      </c>
      <c r="R509">
        <v>10.6</v>
      </c>
      <c r="S509">
        <v>14</v>
      </c>
      <c r="T509">
        <v>0</v>
      </c>
      <c r="U509">
        <v>-13.5</v>
      </c>
      <c r="V509">
        <v>-15.4</v>
      </c>
      <c r="W509">
        <v>-22</v>
      </c>
      <c r="X509">
        <v>-17.399999999999999</v>
      </c>
      <c r="Y509">
        <v>18.5</v>
      </c>
      <c r="Z509">
        <v>-22</v>
      </c>
      <c r="AA509">
        <v>-3.2</v>
      </c>
      <c r="AB509">
        <v>-3.3</v>
      </c>
      <c r="AC509">
        <v>-5</v>
      </c>
      <c r="AD509">
        <v>12</v>
      </c>
      <c r="AE509">
        <v>10.4</v>
      </c>
      <c r="AF509">
        <v>0</v>
      </c>
      <c r="AG509">
        <v>11.6</v>
      </c>
      <c r="AH509">
        <v>10</v>
      </c>
      <c r="AI509">
        <v>11</v>
      </c>
      <c r="AJ509">
        <v>10</v>
      </c>
      <c r="AK509">
        <v>11.7</v>
      </c>
      <c r="AL509">
        <v>10</v>
      </c>
      <c r="AM509">
        <v>12.5</v>
      </c>
      <c r="AN509">
        <v>9</v>
      </c>
      <c r="AO509">
        <v>10.8</v>
      </c>
      <c r="AP509">
        <v>10</v>
      </c>
      <c r="AQ509">
        <v>10.199999999999999</v>
      </c>
      <c r="AR509">
        <v>10</v>
      </c>
      <c r="AS509">
        <v>9.5</v>
      </c>
      <c r="AT509">
        <v>10</v>
      </c>
      <c r="AU509">
        <v>18.399999999999999</v>
      </c>
      <c r="AV509">
        <v>19</v>
      </c>
      <c r="AW509">
        <v>19.100000000000001</v>
      </c>
      <c r="AX509">
        <v>19</v>
      </c>
      <c r="AY509">
        <v>11.4</v>
      </c>
      <c r="AZ509">
        <v>10</v>
      </c>
      <c r="BA509">
        <v>11.6</v>
      </c>
      <c r="BB509">
        <v>10</v>
      </c>
    </row>
    <row r="510" spans="1:54" x14ac:dyDescent="0.35">
      <c r="A510" s="1">
        <v>46059.811111111114</v>
      </c>
      <c r="B510">
        <v>22.3</v>
      </c>
      <c r="C510">
        <v>3</v>
      </c>
      <c r="D510">
        <v>21</v>
      </c>
      <c r="E510">
        <v>2</v>
      </c>
      <c r="F510">
        <v>9.5</v>
      </c>
      <c r="G510">
        <v>12.9</v>
      </c>
      <c r="H510">
        <v>0</v>
      </c>
      <c r="I510">
        <v>15.5</v>
      </c>
      <c r="J510">
        <v>11.6</v>
      </c>
      <c r="K510">
        <v>0</v>
      </c>
      <c r="L510">
        <v>13.2</v>
      </c>
      <c r="M510">
        <v>16.600000000000001</v>
      </c>
      <c r="N510">
        <v>0</v>
      </c>
      <c r="O510">
        <v>15.1</v>
      </c>
      <c r="P510">
        <v>10.9</v>
      </c>
      <c r="Q510">
        <v>0</v>
      </c>
      <c r="R510">
        <v>10.6</v>
      </c>
      <c r="S510">
        <v>14</v>
      </c>
      <c r="T510">
        <v>0</v>
      </c>
      <c r="U510">
        <v>-13.2</v>
      </c>
      <c r="V510">
        <v>-15.4</v>
      </c>
      <c r="W510">
        <v>-22</v>
      </c>
      <c r="X510">
        <v>-17.399999999999999</v>
      </c>
      <c r="Y510">
        <v>19</v>
      </c>
      <c r="Z510">
        <v>-22</v>
      </c>
      <c r="AA510">
        <v>-2.7</v>
      </c>
      <c r="AB510">
        <v>-3.2</v>
      </c>
      <c r="AC510">
        <v>-5</v>
      </c>
      <c r="AD510">
        <v>12</v>
      </c>
      <c r="AE510">
        <v>10.4</v>
      </c>
      <c r="AF510">
        <v>0</v>
      </c>
      <c r="AG510">
        <v>11.7</v>
      </c>
      <c r="AH510">
        <v>10</v>
      </c>
      <c r="AI510">
        <v>11.2</v>
      </c>
      <c r="AJ510">
        <v>10</v>
      </c>
      <c r="AK510">
        <v>11.7</v>
      </c>
      <c r="AL510">
        <v>10</v>
      </c>
      <c r="AM510">
        <v>12.5</v>
      </c>
      <c r="AN510">
        <v>9</v>
      </c>
      <c r="AO510">
        <v>11.4</v>
      </c>
      <c r="AP510">
        <v>10</v>
      </c>
      <c r="AQ510">
        <v>10.199999999999999</v>
      </c>
      <c r="AR510">
        <v>10</v>
      </c>
      <c r="AS510">
        <v>9.9</v>
      </c>
      <c r="AT510">
        <v>10</v>
      </c>
      <c r="AU510">
        <v>18.399999999999999</v>
      </c>
      <c r="AV510">
        <v>19</v>
      </c>
      <c r="AW510">
        <v>19</v>
      </c>
      <c r="AX510">
        <v>19</v>
      </c>
      <c r="AY510">
        <v>11.5</v>
      </c>
      <c r="AZ510">
        <v>10</v>
      </c>
      <c r="BA510">
        <v>11.9</v>
      </c>
      <c r="BB510">
        <v>10</v>
      </c>
    </row>
    <row r="511" spans="1:54" x14ac:dyDescent="0.35">
      <c r="A511" s="1">
        <v>46059.811805555553</v>
      </c>
      <c r="B511">
        <v>22.4</v>
      </c>
      <c r="C511">
        <v>3</v>
      </c>
      <c r="D511">
        <v>21</v>
      </c>
      <c r="E511">
        <v>2</v>
      </c>
      <c r="F511">
        <v>9.5</v>
      </c>
      <c r="G511">
        <v>12.9</v>
      </c>
      <c r="H511">
        <v>0</v>
      </c>
      <c r="I511">
        <v>15.5</v>
      </c>
      <c r="J511">
        <v>11.6</v>
      </c>
      <c r="K511">
        <v>0</v>
      </c>
      <c r="L511">
        <v>13.2</v>
      </c>
      <c r="M511">
        <v>16.600000000000001</v>
      </c>
      <c r="N511">
        <v>0</v>
      </c>
      <c r="O511">
        <v>15.1</v>
      </c>
      <c r="P511">
        <v>10.9</v>
      </c>
      <c r="Q511">
        <v>0</v>
      </c>
      <c r="R511">
        <v>10.6</v>
      </c>
      <c r="S511">
        <v>14</v>
      </c>
      <c r="T511">
        <v>0</v>
      </c>
      <c r="U511">
        <v>-13.1</v>
      </c>
      <c r="V511">
        <v>-15.2</v>
      </c>
      <c r="W511">
        <v>-22</v>
      </c>
      <c r="X511">
        <v>-17.399999999999999</v>
      </c>
      <c r="Y511">
        <v>17.5</v>
      </c>
      <c r="Z511">
        <v>-22</v>
      </c>
      <c r="AA511">
        <v>-2.8</v>
      </c>
      <c r="AB511">
        <v>-4.3</v>
      </c>
      <c r="AC511">
        <v>-5</v>
      </c>
      <c r="AD511">
        <v>12</v>
      </c>
      <c r="AE511">
        <v>10.4</v>
      </c>
      <c r="AF511">
        <v>0</v>
      </c>
      <c r="AG511">
        <v>11.8</v>
      </c>
      <c r="AH511">
        <v>10</v>
      </c>
      <c r="AI511">
        <v>11.3</v>
      </c>
      <c r="AJ511">
        <v>10</v>
      </c>
      <c r="AK511">
        <v>11.8</v>
      </c>
      <c r="AL511">
        <v>10</v>
      </c>
      <c r="AM511">
        <v>12.5</v>
      </c>
      <c r="AN511">
        <v>9</v>
      </c>
      <c r="AO511">
        <v>11.6</v>
      </c>
      <c r="AP511">
        <v>10</v>
      </c>
      <c r="AQ511">
        <v>10.3</v>
      </c>
      <c r="AR511">
        <v>10</v>
      </c>
      <c r="AS511">
        <v>10.3</v>
      </c>
      <c r="AT511">
        <v>10</v>
      </c>
      <c r="AU511">
        <v>18.399999999999999</v>
      </c>
      <c r="AV511">
        <v>19</v>
      </c>
      <c r="AW511">
        <v>19.2</v>
      </c>
      <c r="AX511">
        <v>19</v>
      </c>
      <c r="AY511">
        <v>11.7</v>
      </c>
      <c r="AZ511">
        <v>10</v>
      </c>
      <c r="BA511">
        <v>12</v>
      </c>
      <c r="BB511">
        <v>10</v>
      </c>
    </row>
    <row r="512" spans="1:54" x14ac:dyDescent="0.35">
      <c r="A512" s="1">
        <v>46059.8125</v>
      </c>
      <c r="B512">
        <v>22.4</v>
      </c>
      <c r="C512">
        <v>3</v>
      </c>
      <c r="D512">
        <v>21</v>
      </c>
      <c r="E512">
        <v>2</v>
      </c>
      <c r="F512">
        <v>9.5</v>
      </c>
      <c r="G512">
        <v>12.9</v>
      </c>
      <c r="H512">
        <v>0</v>
      </c>
      <c r="I512">
        <v>15.5</v>
      </c>
      <c r="J512">
        <v>11.6</v>
      </c>
      <c r="K512">
        <v>0</v>
      </c>
      <c r="L512">
        <v>13.2</v>
      </c>
      <c r="M512">
        <v>16.600000000000001</v>
      </c>
      <c r="N512">
        <v>0</v>
      </c>
      <c r="O512">
        <v>15.1</v>
      </c>
      <c r="P512">
        <v>10.9</v>
      </c>
      <c r="Q512">
        <v>0</v>
      </c>
      <c r="R512">
        <v>10.6</v>
      </c>
      <c r="S512">
        <v>14</v>
      </c>
      <c r="T512">
        <v>0</v>
      </c>
      <c r="U512">
        <v>-13</v>
      </c>
      <c r="V512">
        <v>-15.2</v>
      </c>
      <c r="W512">
        <v>-22</v>
      </c>
      <c r="X512">
        <v>-17.399999999999999</v>
      </c>
      <c r="Y512">
        <v>16.2</v>
      </c>
      <c r="Z512">
        <v>-22</v>
      </c>
      <c r="AA512">
        <v>-3.2</v>
      </c>
      <c r="AB512">
        <v>-5.2</v>
      </c>
      <c r="AC512">
        <v>-5</v>
      </c>
      <c r="AD512">
        <v>12</v>
      </c>
      <c r="AE512">
        <v>10.4</v>
      </c>
      <c r="AF512">
        <v>0</v>
      </c>
      <c r="AG512">
        <v>11.9</v>
      </c>
      <c r="AH512">
        <v>10</v>
      </c>
      <c r="AI512">
        <v>11.4</v>
      </c>
      <c r="AJ512">
        <v>10</v>
      </c>
      <c r="AK512">
        <v>11.9</v>
      </c>
      <c r="AL512">
        <v>10</v>
      </c>
      <c r="AM512">
        <v>12.5</v>
      </c>
      <c r="AN512">
        <v>9</v>
      </c>
      <c r="AO512">
        <v>11.8</v>
      </c>
      <c r="AP512">
        <v>10</v>
      </c>
      <c r="AQ512">
        <v>10.3</v>
      </c>
      <c r="AR512">
        <v>10</v>
      </c>
      <c r="AS512">
        <v>10.6</v>
      </c>
      <c r="AT512">
        <v>10</v>
      </c>
      <c r="AU512">
        <v>18.5</v>
      </c>
      <c r="AV512">
        <v>19</v>
      </c>
      <c r="AW512">
        <v>19.399999999999999</v>
      </c>
      <c r="AX512">
        <v>19</v>
      </c>
      <c r="AY512">
        <v>11.9</v>
      </c>
      <c r="AZ512">
        <v>10</v>
      </c>
      <c r="BA512">
        <v>11.4</v>
      </c>
      <c r="BB512">
        <v>10</v>
      </c>
    </row>
    <row r="513" spans="1:54" x14ac:dyDescent="0.35">
      <c r="A513" s="1">
        <v>46059.813194444447</v>
      </c>
      <c r="B513">
        <v>22.4</v>
      </c>
      <c r="C513">
        <v>3</v>
      </c>
      <c r="D513">
        <v>21</v>
      </c>
      <c r="E513">
        <v>2</v>
      </c>
      <c r="F513">
        <v>9.5</v>
      </c>
      <c r="G513">
        <v>12.9</v>
      </c>
      <c r="H513">
        <v>0</v>
      </c>
      <c r="I513">
        <v>15.5</v>
      </c>
      <c r="J513">
        <v>11.6</v>
      </c>
      <c r="K513">
        <v>0</v>
      </c>
      <c r="L513">
        <v>13.2</v>
      </c>
      <c r="M513">
        <v>16.600000000000001</v>
      </c>
      <c r="N513">
        <v>0</v>
      </c>
      <c r="O513">
        <v>15.1</v>
      </c>
      <c r="P513">
        <v>10.9</v>
      </c>
      <c r="Q513">
        <v>0</v>
      </c>
      <c r="R513">
        <v>10.6</v>
      </c>
      <c r="S513">
        <v>14</v>
      </c>
      <c r="T513">
        <v>0</v>
      </c>
      <c r="U513">
        <v>-13</v>
      </c>
      <c r="V513">
        <v>-15.2</v>
      </c>
      <c r="W513">
        <v>-22</v>
      </c>
      <c r="X513">
        <v>-17.399999999999999</v>
      </c>
      <c r="Y513">
        <v>14.5</v>
      </c>
      <c r="Z513">
        <v>-22</v>
      </c>
      <c r="AA513">
        <v>-3.7</v>
      </c>
      <c r="AB513">
        <v>-5.9</v>
      </c>
      <c r="AC513">
        <v>-5</v>
      </c>
      <c r="AD513">
        <v>12</v>
      </c>
      <c r="AE513">
        <v>10.4</v>
      </c>
      <c r="AF513">
        <v>0</v>
      </c>
      <c r="AG513">
        <v>12</v>
      </c>
      <c r="AH513">
        <v>10</v>
      </c>
      <c r="AI513">
        <v>11.5</v>
      </c>
      <c r="AJ513">
        <v>10</v>
      </c>
      <c r="AK513">
        <v>11.9</v>
      </c>
      <c r="AL513">
        <v>10</v>
      </c>
      <c r="AM513">
        <v>12.5</v>
      </c>
      <c r="AN513">
        <v>9</v>
      </c>
      <c r="AO513">
        <v>11.9</v>
      </c>
      <c r="AP513">
        <v>10</v>
      </c>
      <c r="AQ513">
        <v>10.199999999999999</v>
      </c>
      <c r="AR513">
        <v>10</v>
      </c>
      <c r="AS513">
        <v>10.9</v>
      </c>
      <c r="AT513">
        <v>10</v>
      </c>
      <c r="AU513">
        <v>18.600000000000001</v>
      </c>
      <c r="AV513">
        <v>19</v>
      </c>
      <c r="AW513">
        <v>19.7</v>
      </c>
      <c r="AX513">
        <v>19</v>
      </c>
      <c r="AY513">
        <v>12</v>
      </c>
      <c r="AZ513">
        <v>10</v>
      </c>
      <c r="BA513">
        <v>10.6</v>
      </c>
      <c r="BB513">
        <v>10</v>
      </c>
    </row>
    <row r="514" spans="1:54" x14ac:dyDescent="0.35">
      <c r="A514" s="1">
        <v>46059.813888888886</v>
      </c>
      <c r="B514">
        <v>22.4</v>
      </c>
      <c r="C514">
        <v>3</v>
      </c>
      <c r="D514">
        <v>21</v>
      </c>
      <c r="E514">
        <v>2</v>
      </c>
      <c r="F514">
        <v>9.5</v>
      </c>
      <c r="G514">
        <v>12.9</v>
      </c>
      <c r="H514">
        <v>0</v>
      </c>
      <c r="I514">
        <v>15.5</v>
      </c>
      <c r="J514">
        <v>11.6</v>
      </c>
      <c r="K514">
        <v>0</v>
      </c>
      <c r="L514">
        <v>13.2</v>
      </c>
      <c r="M514">
        <v>16.600000000000001</v>
      </c>
      <c r="N514">
        <v>0</v>
      </c>
      <c r="O514">
        <v>15.1</v>
      </c>
      <c r="P514">
        <v>10.9</v>
      </c>
      <c r="Q514">
        <v>0</v>
      </c>
      <c r="R514">
        <v>10.6</v>
      </c>
      <c r="S514">
        <v>14</v>
      </c>
      <c r="T514">
        <v>0</v>
      </c>
      <c r="U514">
        <v>-13.1</v>
      </c>
      <c r="V514">
        <v>-15.6</v>
      </c>
      <c r="W514">
        <v>-22</v>
      </c>
      <c r="X514">
        <v>-9.8000000000000007</v>
      </c>
      <c r="Y514">
        <v>12.7</v>
      </c>
      <c r="Z514">
        <v>-22</v>
      </c>
      <c r="AA514">
        <v>-4.0999999999999996</v>
      </c>
      <c r="AB514">
        <v>-6.5</v>
      </c>
      <c r="AC514">
        <v>-5</v>
      </c>
      <c r="AD514">
        <v>12</v>
      </c>
      <c r="AE514">
        <v>10.4</v>
      </c>
      <c r="AF514">
        <v>0</v>
      </c>
      <c r="AG514">
        <v>12</v>
      </c>
      <c r="AH514">
        <v>10</v>
      </c>
      <c r="AI514">
        <v>11.6</v>
      </c>
      <c r="AJ514">
        <v>10</v>
      </c>
      <c r="AK514">
        <v>12</v>
      </c>
      <c r="AL514">
        <v>10</v>
      </c>
      <c r="AM514">
        <v>12.5</v>
      </c>
      <c r="AN514">
        <v>9</v>
      </c>
      <c r="AO514">
        <v>12</v>
      </c>
      <c r="AP514">
        <v>10</v>
      </c>
      <c r="AQ514">
        <v>10.1</v>
      </c>
      <c r="AR514">
        <v>10</v>
      </c>
      <c r="AS514">
        <v>11.1</v>
      </c>
      <c r="AT514">
        <v>10</v>
      </c>
      <c r="AU514">
        <v>18.8</v>
      </c>
      <c r="AV514">
        <v>19</v>
      </c>
      <c r="AW514">
        <v>20</v>
      </c>
      <c r="AX514">
        <v>19</v>
      </c>
      <c r="AY514">
        <v>11</v>
      </c>
      <c r="AZ514">
        <v>10</v>
      </c>
      <c r="BA514">
        <v>9.9</v>
      </c>
      <c r="BB514">
        <v>10</v>
      </c>
    </row>
    <row r="515" spans="1:54" x14ac:dyDescent="0.35">
      <c r="A515" s="1">
        <v>46059.814583333333</v>
      </c>
      <c r="B515">
        <v>22.4</v>
      </c>
      <c r="C515">
        <v>3</v>
      </c>
      <c r="D515">
        <v>21</v>
      </c>
      <c r="E515">
        <v>2</v>
      </c>
      <c r="F515">
        <v>9.5</v>
      </c>
      <c r="G515">
        <v>12.9</v>
      </c>
      <c r="H515">
        <v>0</v>
      </c>
      <c r="I515">
        <v>15.5</v>
      </c>
      <c r="J515">
        <v>11.6</v>
      </c>
      <c r="K515">
        <v>0</v>
      </c>
      <c r="L515">
        <v>13.2</v>
      </c>
      <c r="M515">
        <v>16.600000000000001</v>
      </c>
      <c r="N515">
        <v>0</v>
      </c>
      <c r="O515">
        <v>15.1</v>
      </c>
      <c r="P515">
        <v>10.9</v>
      </c>
      <c r="Q515">
        <v>0</v>
      </c>
      <c r="R515">
        <v>10.6</v>
      </c>
      <c r="S515">
        <v>14</v>
      </c>
      <c r="T515">
        <v>0</v>
      </c>
      <c r="U515">
        <v>-13.3</v>
      </c>
      <c r="V515">
        <v>-15.6</v>
      </c>
      <c r="W515">
        <v>-22</v>
      </c>
      <c r="X515">
        <v>-10</v>
      </c>
      <c r="Y515">
        <v>10.9</v>
      </c>
      <c r="Z515">
        <v>-22</v>
      </c>
      <c r="AA515">
        <v>-4.5</v>
      </c>
      <c r="AB515">
        <v>-7</v>
      </c>
      <c r="AC515">
        <v>-5</v>
      </c>
      <c r="AD515">
        <v>12</v>
      </c>
      <c r="AE515">
        <v>10.4</v>
      </c>
      <c r="AF515">
        <v>0</v>
      </c>
      <c r="AG515">
        <v>11</v>
      </c>
      <c r="AH515">
        <v>10</v>
      </c>
      <c r="AI515">
        <v>11.7</v>
      </c>
      <c r="AJ515">
        <v>10</v>
      </c>
      <c r="AK515">
        <v>10.3</v>
      </c>
      <c r="AL515">
        <v>10</v>
      </c>
      <c r="AM515">
        <v>12.5</v>
      </c>
      <c r="AN515">
        <v>9</v>
      </c>
      <c r="AO515">
        <v>10.9</v>
      </c>
      <c r="AP515">
        <v>10</v>
      </c>
      <c r="AQ515">
        <v>10.199999999999999</v>
      </c>
      <c r="AR515">
        <v>10</v>
      </c>
      <c r="AS515">
        <v>11.3</v>
      </c>
      <c r="AT515">
        <v>10</v>
      </c>
      <c r="AU515">
        <v>19</v>
      </c>
      <c r="AV515">
        <v>19</v>
      </c>
      <c r="AW515">
        <v>20.100000000000001</v>
      </c>
      <c r="AX515">
        <v>19</v>
      </c>
      <c r="AY515">
        <v>10.199999999999999</v>
      </c>
      <c r="AZ515">
        <v>10</v>
      </c>
      <c r="BA515">
        <v>9.6999999999999993</v>
      </c>
      <c r="BB515">
        <v>10</v>
      </c>
    </row>
    <row r="516" spans="1:54" x14ac:dyDescent="0.35">
      <c r="A516" s="1">
        <v>46059.81527777778</v>
      </c>
      <c r="B516">
        <v>22.4</v>
      </c>
      <c r="C516">
        <v>3</v>
      </c>
      <c r="D516">
        <v>21</v>
      </c>
      <c r="E516">
        <v>2</v>
      </c>
      <c r="F516">
        <v>9.5</v>
      </c>
      <c r="G516">
        <v>12.9</v>
      </c>
      <c r="H516">
        <v>0</v>
      </c>
      <c r="I516">
        <v>15.5</v>
      </c>
      <c r="J516">
        <v>11.6</v>
      </c>
      <c r="K516">
        <v>0</v>
      </c>
      <c r="L516">
        <v>13.3</v>
      </c>
      <c r="M516">
        <v>16.600000000000001</v>
      </c>
      <c r="N516">
        <v>0</v>
      </c>
      <c r="O516">
        <v>15.1</v>
      </c>
      <c r="P516">
        <v>10.9</v>
      </c>
      <c r="Q516">
        <v>0</v>
      </c>
      <c r="R516">
        <v>10.6</v>
      </c>
      <c r="S516">
        <v>14</v>
      </c>
      <c r="T516">
        <v>0</v>
      </c>
      <c r="U516">
        <v>-13.5</v>
      </c>
      <c r="V516">
        <v>-15.9</v>
      </c>
      <c r="W516">
        <v>-22</v>
      </c>
      <c r="X516">
        <v>-10.9</v>
      </c>
      <c r="Y516">
        <v>9</v>
      </c>
      <c r="Z516">
        <v>-22</v>
      </c>
      <c r="AA516">
        <v>-5</v>
      </c>
      <c r="AB516">
        <v>-7.5</v>
      </c>
      <c r="AC516">
        <v>-5</v>
      </c>
      <c r="AD516">
        <v>12</v>
      </c>
      <c r="AE516">
        <v>10.4</v>
      </c>
      <c r="AF516">
        <v>0</v>
      </c>
      <c r="AG516">
        <v>10.3</v>
      </c>
      <c r="AH516">
        <v>10</v>
      </c>
      <c r="AI516">
        <v>11.8</v>
      </c>
      <c r="AJ516">
        <v>10</v>
      </c>
      <c r="AK516">
        <v>9.1999999999999993</v>
      </c>
      <c r="AL516">
        <v>10</v>
      </c>
      <c r="AM516">
        <v>12.5</v>
      </c>
      <c r="AN516">
        <v>9</v>
      </c>
      <c r="AO516">
        <v>10.1</v>
      </c>
      <c r="AP516">
        <v>10</v>
      </c>
      <c r="AQ516">
        <v>10.199999999999999</v>
      </c>
      <c r="AR516">
        <v>10</v>
      </c>
      <c r="AS516">
        <v>11.6</v>
      </c>
      <c r="AT516">
        <v>10</v>
      </c>
      <c r="AU516">
        <v>19.100000000000001</v>
      </c>
      <c r="AV516">
        <v>19</v>
      </c>
      <c r="AW516">
        <v>20.100000000000001</v>
      </c>
      <c r="AX516">
        <v>19</v>
      </c>
      <c r="AY516">
        <v>9.6999999999999993</v>
      </c>
      <c r="AZ516">
        <v>10</v>
      </c>
      <c r="BA516">
        <v>9.9</v>
      </c>
      <c r="BB516">
        <v>10</v>
      </c>
    </row>
    <row r="517" spans="1:54" x14ac:dyDescent="0.35">
      <c r="A517" s="1">
        <v>46059.815972222219</v>
      </c>
      <c r="B517">
        <v>22.4</v>
      </c>
      <c r="C517">
        <v>3</v>
      </c>
      <c r="D517">
        <v>21</v>
      </c>
      <c r="E517">
        <v>2</v>
      </c>
      <c r="F517">
        <v>9.5</v>
      </c>
      <c r="G517">
        <v>12.9</v>
      </c>
      <c r="H517">
        <v>0</v>
      </c>
      <c r="I517">
        <v>15.5</v>
      </c>
      <c r="J517">
        <v>11.6</v>
      </c>
      <c r="K517">
        <v>0</v>
      </c>
      <c r="L517">
        <v>13.3</v>
      </c>
      <c r="M517">
        <v>16.600000000000001</v>
      </c>
      <c r="N517">
        <v>0</v>
      </c>
      <c r="O517">
        <v>15.1</v>
      </c>
      <c r="P517">
        <v>10.9</v>
      </c>
      <c r="Q517">
        <v>0</v>
      </c>
      <c r="R517">
        <v>10.6</v>
      </c>
      <c r="S517">
        <v>14</v>
      </c>
      <c r="T517">
        <v>0</v>
      </c>
      <c r="U517">
        <v>-13.7</v>
      </c>
      <c r="V517">
        <v>-16</v>
      </c>
      <c r="W517">
        <v>-22</v>
      </c>
      <c r="X517">
        <v>-11.2</v>
      </c>
      <c r="Y517">
        <v>7.8</v>
      </c>
      <c r="Z517">
        <v>-22</v>
      </c>
      <c r="AA517">
        <v>-5.0999999999999996</v>
      </c>
      <c r="AB517">
        <v>-6.4</v>
      </c>
      <c r="AC517">
        <v>-5</v>
      </c>
      <c r="AD517">
        <v>12</v>
      </c>
      <c r="AE517">
        <v>10.4</v>
      </c>
      <c r="AF517">
        <v>0</v>
      </c>
      <c r="AG517">
        <v>9.6</v>
      </c>
      <c r="AH517">
        <v>10</v>
      </c>
      <c r="AI517">
        <v>11.9</v>
      </c>
      <c r="AJ517">
        <v>10</v>
      </c>
      <c r="AK517">
        <v>9.1999999999999993</v>
      </c>
      <c r="AL517">
        <v>10</v>
      </c>
      <c r="AM517">
        <v>12.5</v>
      </c>
      <c r="AN517">
        <v>9</v>
      </c>
      <c r="AO517">
        <v>10.1</v>
      </c>
      <c r="AP517">
        <v>10</v>
      </c>
      <c r="AQ517">
        <v>10.199999999999999</v>
      </c>
      <c r="AR517">
        <v>10</v>
      </c>
      <c r="AS517">
        <v>11.7</v>
      </c>
      <c r="AT517">
        <v>10</v>
      </c>
      <c r="AU517">
        <v>19.100000000000001</v>
      </c>
      <c r="AV517">
        <v>19</v>
      </c>
      <c r="AW517">
        <v>20.3</v>
      </c>
      <c r="AX517">
        <v>19</v>
      </c>
      <c r="AY517">
        <v>9.8000000000000007</v>
      </c>
      <c r="AZ517">
        <v>10</v>
      </c>
      <c r="BA517">
        <v>10.4</v>
      </c>
      <c r="BB517">
        <v>10</v>
      </c>
    </row>
    <row r="518" spans="1:54" x14ac:dyDescent="0.35">
      <c r="A518" s="1">
        <v>46059.817361111112</v>
      </c>
      <c r="B518">
        <v>22.4</v>
      </c>
      <c r="C518">
        <v>3</v>
      </c>
      <c r="D518">
        <v>21</v>
      </c>
      <c r="E518">
        <v>2</v>
      </c>
      <c r="F518">
        <v>9.5</v>
      </c>
      <c r="G518">
        <v>12.9</v>
      </c>
      <c r="H518">
        <v>0</v>
      </c>
      <c r="I518">
        <v>15.5</v>
      </c>
      <c r="J518">
        <v>11.6</v>
      </c>
      <c r="K518">
        <v>0</v>
      </c>
      <c r="L518">
        <v>13.3</v>
      </c>
      <c r="M518">
        <v>16.600000000000001</v>
      </c>
      <c r="N518">
        <v>0</v>
      </c>
      <c r="O518">
        <v>15.1</v>
      </c>
      <c r="P518">
        <v>10.9</v>
      </c>
      <c r="Q518">
        <v>0</v>
      </c>
      <c r="R518">
        <v>10.6</v>
      </c>
      <c r="S518">
        <v>14</v>
      </c>
      <c r="T518">
        <v>0</v>
      </c>
      <c r="U518">
        <v>-14.2</v>
      </c>
      <c r="V518">
        <v>-16.399999999999999</v>
      </c>
      <c r="W518">
        <v>-22</v>
      </c>
      <c r="X518">
        <v>-12.1</v>
      </c>
      <c r="Y518">
        <v>5.9</v>
      </c>
      <c r="Z518">
        <v>-22</v>
      </c>
      <c r="AA518">
        <v>-3.2</v>
      </c>
      <c r="AB518">
        <v>-3.3</v>
      </c>
      <c r="AC518">
        <v>-5</v>
      </c>
      <c r="AD518">
        <v>12</v>
      </c>
      <c r="AE518">
        <v>10.4</v>
      </c>
      <c r="AF518">
        <v>0</v>
      </c>
      <c r="AG518">
        <v>9.8000000000000007</v>
      </c>
      <c r="AH518">
        <v>10</v>
      </c>
      <c r="AI518">
        <v>12</v>
      </c>
      <c r="AJ518">
        <v>10</v>
      </c>
      <c r="AK518">
        <v>10.199999999999999</v>
      </c>
      <c r="AL518">
        <v>10</v>
      </c>
      <c r="AM518">
        <v>12.5</v>
      </c>
      <c r="AN518">
        <v>9</v>
      </c>
      <c r="AO518">
        <v>11.4</v>
      </c>
      <c r="AP518">
        <v>10</v>
      </c>
      <c r="AQ518">
        <v>10.199999999999999</v>
      </c>
      <c r="AR518">
        <v>10</v>
      </c>
      <c r="AS518">
        <v>11.5</v>
      </c>
      <c r="AT518">
        <v>10</v>
      </c>
      <c r="AU518">
        <v>19.2</v>
      </c>
      <c r="AV518">
        <v>19</v>
      </c>
      <c r="AW518">
        <v>20.5</v>
      </c>
      <c r="AX518">
        <v>19</v>
      </c>
      <c r="AY518">
        <v>10.5</v>
      </c>
      <c r="AZ518">
        <v>10</v>
      </c>
      <c r="BA518">
        <v>11.1</v>
      </c>
      <c r="BB518">
        <v>10</v>
      </c>
    </row>
    <row r="519" spans="1:54" x14ac:dyDescent="0.35">
      <c r="A519" s="1">
        <v>46059.818055555559</v>
      </c>
      <c r="B519">
        <v>22.4</v>
      </c>
      <c r="C519">
        <v>3</v>
      </c>
      <c r="D519">
        <v>21</v>
      </c>
      <c r="E519">
        <v>2</v>
      </c>
      <c r="F519">
        <v>9.5</v>
      </c>
      <c r="G519">
        <v>12.9</v>
      </c>
      <c r="H519">
        <v>0</v>
      </c>
      <c r="I519">
        <v>15.6</v>
      </c>
      <c r="J519">
        <v>11.6</v>
      </c>
      <c r="K519">
        <v>0</v>
      </c>
      <c r="L519">
        <v>13.3</v>
      </c>
      <c r="M519">
        <v>16.600000000000001</v>
      </c>
      <c r="N519">
        <v>0</v>
      </c>
      <c r="O519">
        <v>15.2</v>
      </c>
      <c r="P519">
        <v>10.9</v>
      </c>
      <c r="Q519">
        <v>0</v>
      </c>
      <c r="R519">
        <v>10.6</v>
      </c>
      <c r="S519">
        <v>14</v>
      </c>
      <c r="T519">
        <v>0</v>
      </c>
      <c r="U519">
        <v>-14.4</v>
      </c>
      <c r="V519">
        <v>-16.7</v>
      </c>
      <c r="W519">
        <v>-22</v>
      </c>
      <c r="X519">
        <v>-13</v>
      </c>
      <c r="Y519">
        <v>5</v>
      </c>
      <c r="Z519">
        <v>-22</v>
      </c>
      <c r="AA519">
        <v>-2.7</v>
      </c>
      <c r="AB519">
        <v>-3.1</v>
      </c>
      <c r="AC519">
        <v>-5</v>
      </c>
      <c r="AD519">
        <v>12</v>
      </c>
      <c r="AE519">
        <v>10.4</v>
      </c>
      <c r="AF519">
        <v>0</v>
      </c>
      <c r="AG519">
        <v>10.199999999999999</v>
      </c>
      <c r="AH519">
        <v>10</v>
      </c>
      <c r="AI519">
        <v>10.9</v>
      </c>
      <c r="AJ519">
        <v>10</v>
      </c>
      <c r="AK519">
        <v>10.4</v>
      </c>
      <c r="AL519">
        <v>10</v>
      </c>
      <c r="AM519">
        <v>12.5</v>
      </c>
      <c r="AN519">
        <v>9</v>
      </c>
      <c r="AO519">
        <v>11.5</v>
      </c>
      <c r="AP519">
        <v>10</v>
      </c>
      <c r="AQ519">
        <v>10.199999999999999</v>
      </c>
      <c r="AR519">
        <v>10</v>
      </c>
      <c r="AS519">
        <v>9.1</v>
      </c>
      <c r="AT519">
        <v>10</v>
      </c>
      <c r="AU519">
        <v>19.3</v>
      </c>
      <c r="AV519">
        <v>19</v>
      </c>
      <c r="AW519">
        <v>20.5</v>
      </c>
      <c r="AX519">
        <v>19</v>
      </c>
      <c r="AY519">
        <v>10.9</v>
      </c>
      <c r="AZ519">
        <v>10</v>
      </c>
      <c r="BA519">
        <v>11.4</v>
      </c>
      <c r="BB519">
        <v>10</v>
      </c>
    </row>
    <row r="520" spans="1:54" x14ac:dyDescent="0.35">
      <c r="A520" s="1">
        <v>46059.818749999999</v>
      </c>
      <c r="B520">
        <v>22.4</v>
      </c>
      <c r="C520">
        <v>3</v>
      </c>
      <c r="D520">
        <v>21</v>
      </c>
      <c r="E520">
        <v>2</v>
      </c>
      <c r="F520">
        <v>9.5</v>
      </c>
      <c r="G520">
        <v>12.9</v>
      </c>
      <c r="H520">
        <v>0</v>
      </c>
      <c r="I520">
        <v>15.6</v>
      </c>
      <c r="J520">
        <v>11.6</v>
      </c>
      <c r="K520">
        <v>0</v>
      </c>
      <c r="L520">
        <v>13.3</v>
      </c>
      <c r="M520">
        <v>16.600000000000001</v>
      </c>
      <c r="N520">
        <v>0</v>
      </c>
      <c r="O520">
        <v>15.2</v>
      </c>
      <c r="P520">
        <v>11</v>
      </c>
      <c r="Q520">
        <v>0</v>
      </c>
      <c r="R520">
        <v>10.6</v>
      </c>
      <c r="S520">
        <v>14</v>
      </c>
      <c r="T520">
        <v>0</v>
      </c>
      <c r="U520">
        <v>-14.6</v>
      </c>
      <c r="V520">
        <v>-16.8</v>
      </c>
      <c r="W520">
        <v>-22</v>
      </c>
      <c r="X520">
        <v>-13.3</v>
      </c>
      <c r="Y520">
        <v>4</v>
      </c>
      <c r="Z520">
        <v>-22</v>
      </c>
      <c r="AA520">
        <v>-2.7</v>
      </c>
      <c r="AB520">
        <v>-4</v>
      </c>
      <c r="AC520">
        <v>-5</v>
      </c>
      <c r="AD520">
        <v>12</v>
      </c>
      <c r="AE520">
        <v>10.4</v>
      </c>
      <c r="AF520">
        <v>0</v>
      </c>
      <c r="AG520">
        <v>10.5</v>
      </c>
      <c r="AH520">
        <v>10</v>
      </c>
      <c r="AI520">
        <v>9.1</v>
      </c>
      <c r="AJ520">
        <v>10</v>
      </c>
      <c r="AK520">
        <v>10.7</v>
      </c>
      <c r="AL520">
        <v>10</v>
      </c>
      <c r="AM520">
        <v>12.5</v>
      </c>
      <c r="AN520">
        <v>9</v>
      </c>
      <c r="AO520">
        <v>11.7</v>
      </c>
      <c r="AP520">
        <v>10</v>
      </c>
      <c r="AQ520">
        <v>10.199999999999999</v>
      </c>
      <c r="AR520">
        <v>10</v>
      </c>
      <c r="AS520">
        <v>8</v>
      </c>
      <c r="AT520">
        <v>10</v>
      </c>
      <c r="AU520">
        <v>19.3</v>
      </c>
      <c r="AV520">
        <v>19</v>
      </c>
      <c r="AW520">
        <v>20.6</v>
      </c>
      <c r="AX520">
        <v>19</v>
      </c>
      <c r="AY520">
        <v>11.1</v>
      </c>
      <c r="AZ520">
        <v>10</v>
      </c>
      <c r="BA520">
        <v>11.7</v>
      </c>
      <c r="BB520">
        <v>10</v>
      </c>
    </row>
    <row r="521" spans="1:54" x14ac:dyDescent="0.35">
      <c r="A521" s="1">
        <v>46059.819444444445</v>
      </c>
      <c r="B521">
        <v>22.4</v>
      </c>
      <c r="C521">
        <v>3</v>
      </c>
      <c r="D521">
        <v>21</v>
      </c>
      <c r="E521">
        <v>2</v>
      </c>
      <c r="F521">
        <v>9.5</v>
      </c>
      <c r="G521">
        <v>12.9</v>
      </c>
      <c r="H521">
        <v>0</v>
      </c>
      <c r="I521">
        <v>15.6</v>
      </c>
      <c r="J521">
        <v>11.6</v>
      </c>
      <c r="K521">
        <v>0</v>
      </c>
      <c r="L521">
        <v>13.3</v>
      </c>
      <c r="M521">
        <v>16.600000000000001</v>
      </c>
      <c r="N521">
        <v>0</v>
      </c>
      <c r="O521">
        <v>15.2</v>
      </c>
      <c r="P521">
        <v>11</v>
      </c>
      <c r="Q521">
        <v>0</v>
      </c>
      <c r="R521">
        <v>10.6</v>
      </c>
      <c r="S521">
        <v>14</v>
      </c>
      <c r="T521">
        <v>0</v>
      </c>
      <c r="U521">
        <v>-14.7</v>
      </c>
      <c r="V521">
        <v>-17</v>
      </c>
      <c r="W521">
        <v>-22</v>
      </c>
      <c r="X521">
        <v>-13.7</v>
      </c>
      <c r="Y521">
        <v>2.8</v>
      </c>
      <c r="Z521">
        <v>-22</v>
      </c>
      <c r="AA521">
        <v>-3.2</v>
      </c>
      <c r="AB521">
        <v>-5.0999999999999996</v>
      </c>
      <c r="AC521">
        <v>-5</v>
      </c>
      <c r="AD521">
        <v>12</v>
      </c>
      <c r="AE521">
        <v>10.4</v>
      </c>
      <c r="AF521">
        <v>0</v>
      </c>
      <c r="AG521">
        <v>10.7</v>
      </c>
      <c r="AH521">
        <v>10</v>
      </c>
      <c r="AI521">
        <v>8.6999999999999993</v>
      </c>
      <c r="AJ521">
        <v>10</v>
      </c>
      <c r="AK521">
        <v>10.8</v>
      </c>
      <c r="AL521">
        <v>10</v>
      </c>
      <c r="AM521">
        <v>12.5</v>
      </c>
      <c r="AN521">
        <v>9</v>
      </c>
      <c r="AO521">
        <v>11.8</v>
      </c>
      <c r="AP521">
        <v>10</v>
      </c>
      <c r="AQ521">
        <v>10.1</v>
      </c>
      <c r="AR521">
        <v>10</v>
      </c>
      <c r="AS521">
        <v>8.1999999999999993</v>
      </c>
      <c r="AT521">
        <v>10</v>
      </c>
      <c r="AU521">
        <v>19.399999999999999</v>
      </c>
      <c r="AV521">
        <v>19</v>
      </c>
      <c r="AW521">
        <v>20.6</v>
      </c>
      <c r="AX521">
        <v>19</v>
      </c>
      <c r="AY521">
        <v>11.3</v>
      </c>
      <c r="AZ521">
        <v>10</v>
      </c>
      <c r="BA521">
        <v>11.9</v>
      </c>
      <c r="BB521">
        <v>10</v>
      </c>
    </row>
    <row r="522" spans="1:54" x14ac:dyDescent="0.35">
      <c r="A522" s="1">
        <v>46059.820138888892</v>
      </c>
      <c r="B522">
        <v>22.4</v>
      </c>
      <c r="C522">
        <v>3</v>
      </c>
      <c r="D522">
        <v>21</v>
      </c>
      <c r="E522">
        <v>2</v>
      </c>
      <c r="F522">
        <v>9.5</v>
      </c>
      <c r="G522">
        <v>12.9</v>
      </c>
      <c r="H522">
        <v>0</v>
      </c>
      <c r="I522">
        <v>15.6</v>
      </c>
      <c r="J522">
        <v>11.6</v>
      </c>
      <c r="K522">
        <v>0</v>
      </c>
      <c r="L522">
        <v>13.3</v>
      </c>
      <c r="M522">
        <v>16.600000000000001</v>
      </c>
      <c r="N522">
        <v>0</v>
      </c>
      <c r="O522">
        <v>15.2</v>
      </c>
      <c r="P522">
        <v>11</v>
      </c>
      <c r="Q522">
        <v>0</v>
      </c>
      <c r="R522">
        <v>10.6</v>
      </c>
      <c r="S522">
        <v>14.1</v>
      </c>
      <c r="T522">
        <v>0</v>
      </c>
      <c r="U522">
        <v>-14.9</v>
      </c>
      <c r="V522">
        <v>-17.100000000000001</v>
      </c>
      <c r="W522">
        <v>-22</v>
      </c>
      <c r="X522">
        <v>-13.8</v>
      </c>
      <c r="Y522">
        <v>1.9</v>
      </c>
      <c r="Z522">
        <v>-22</v>
      </c>
      <c r="AA522">
        <v>-3.6</v>
      </c>
      <c r="AB522">
        <v>-5.8</v>
      </c>
      <c r="AC522">
        <v>-5</v>
      </c>
      <c r="AD522">
        <v>12</v>
      </c>
      <c r="AE522">
        <v>10.4</v>
      </c>
      <c r="AF522">
        <v>0</v>
      </c>
      <c r="AG522">
        <v>10.9</v>
      </c>
      <c r="AH522">
        <v>10</v>
      </c>
      <c r="AI522">
        <v>8.6999999999999993</v>
      </c>
      <c r="AJ522">
        <v>10</v>
      </c>
      <c r="AK522">
        <v>11</v>
      </c>
      <c r="AL522">
        <v>10</v>
      </c>
      <c r="AM522">
        <v>12.5</v>
      </c>
      <c r="AN522">
        <v>9</v>
      </c>
      <c r="AO522">
        <v>11.9</v>
      </c>
      <c r="AP522">
        <v>10</v>
      </c>
      <c r="AQ522">
        <v>10.1</v>
      </c>
      <c r="AR522">
        <v>10</v>
      </c>
      <c r="AS522">
        <v>8.8000000000000007</v>
      </c>
      <c r="AT522">
        <v>10</v>
      </c>
      <c r="AU522">
        <v>19.5</v>
      </c>
      <c r="AV522">
        <v>19</v>
      </c>
      <c r="AW522">
        <v>20.6</v>
      </c>
      <c r="AX522">
        <v>19</v>
      </c>
      <c r="AY522">
        <v>11.6</v>
      </c>
      <c r="AZ522">
        <v>10</v>
      </c>
      <c r="BA522">
        <v>12</v>
      </c>
      <c r="BB522">
        <v>10</v>
      </c>
    </row>
    <row r="523" spans="1:54" x14ac:dyDescent="0.35">
      <c r="A523" s="1">
        <v>46059.820833333331</v>
      </c>
      <c r="B523">
        <v>22.4</v>
      </c>
      <c r="C523">
        <v>3</v>
      </c>
      <c r="D523">
        <v>21</v>
      </c>
      <c r="E523">
        <v>2</v>
      </c>
      <c r="F523">
        <v>9.5</v>
      </c>
      <c r="G523">
        <v>12.9</v>
      </c>
      <c r="H523">
        <v>0</v>
      </c>
      <c r="I523">
        <v>15.6</v>
      </c>
      <c r="J523">
        <v>11.6</v>
      </c>
      <c r="K523">
        <v>0</v>
      </c>
      <c r="L523">
        <v>13.3</v>
      </c>
      <c r="M523">
        <v>16.600000000000001</v>
      </c>
      <c r="N523">
        <v>0</v>
      </c>
      <c r="O523">
        <v>15.2</v>
      </c>
      <c r="P523">
        <v>11</v>
      </c>
      <c r="Q523">
        <v>0</v>
      </c>
      <c r="R523">
        <v>10.6</v>
      </c>
      <c r="S523">
        <v>14.1</v>
      </c>
      <c r="T523">
        <v>0</v>
      </c>
      <c r="U523">
        <v>-15.1</v>
      </c>
      <c r="V523">
        <v>-17.399999999999999</v>
      </c>
      <c r="W523">
        <v>-22</v>
      </c>
      <c r="X523">
        <v>-14</v>
      </c>
      <c r="Y523">
        <v>0.8</v>
      </c>
      <c r="Z523">
        <v>-22</v>
      </c>
      <c r="AA523">
        <v>-4</v>
      </c>
      <c r="AB523">
        <v>-6.3</v>
      </c>
      <c r="AC523">
        <v>-5</v>
      </c>
      <c r="AD523">
        <v>12</v>
      </c>
      <c r="AE523">
        <v>10.4</v>
      </c>
      <c r="AF523">
        <v>0</v>
      </c>
      <c r="AG523">
        <v>11.1</v>
      </c>
      <c r="AH523">
        <v>10</v>
      </c>
      <c r="AI523">
        <v>9.1</v>
      </c>
      <c r="AJ523">
        <v>10</v>
      </c>
      <c r="AK523">
        <v>11.1</v>
      </c>
      <c r="AL523">
        <v>10</v>
      </c>
      <c r="AM523">
        <v>12.6</v>
      </c>
      <c r="AN523">
        <v>9</v>
      </c>
      <c r="AO523">
        <v>11.1</v>
      </c>
      <c r="AP523">
        <v>10</v>
      </c>
      <c r="AQ523">
        <v>10.1</v>
      </c>
      <c r="AR523">
        <v>10</v>
      </c>
      <c r="AS523">
        <v>9.3000000000000007</v>
      </c>
      <c r="AT523">
        <v>10</v>
      </c>
      <c r="AU523">
        <v>19.5</v>
      </c>
      <c r="AV523">
        <v>19</v>
      </c>
      <c r="AW523">
        <v>20.6</v>
      </c>
      <c r="AX523">
        <v>19</v>
      </c>
      <c r="AY523">
        <v>11.7</v>
      </c>
      <c r="AZ523">
        <v>10</v>
      </c>
      <c r="BA523">
        <v>11.2</v>
      </c>
      <c r="BB523">
        <v>10</v>
      </c>
    </row>
    <row r="524" spans="1:54" x14ac:dyDescent="0.35">
      <c r="A524" s="1">
        <v>46059.821527777778</v>
      </c>
      <c r="B524">
        <v>22.4</v>
      </c>
      <c r="C524">
        <v>3</v>
      </c>
      <c r="D524">
        <v>21</v>
      </c>
      <c r="E524">
        <v>2</v>
      </c>
      <c r="F524">
        <v>9.5</v>
      </c>
      <c r="G524">
        <v>12.9</v>
      </c>
      <c r="H524">
        <v>0</v>
      </c>
      <c r="I524">
        <v>15.6</v>
      </c>
      <c r="J524">
        <v>11.6</v>
      </c>
      <c r="K524">
        <v>0</v>
      </c>
      <c r="L524">
        <v>13.3</v>
      </c>
      <c r="M524">
        <v>16.600000000000001</v>
      </c>
      <c r="N524">
        <v>0</v>
      </c>
      <c r="O524">
        <v>15.2</v>
      </c>
      <c r="P524">
        <v>11</v>
      </c>
      <c r="Q524">
        <v>0</v>
      </c>
      <c r="R524">
        <v>10.6</v>
      </c>
      <c r="S524">
        <v>14.1</v>
      </c>
      <c r="T524">
        <v>0</v>
      </c>
      <c r="U524">
        <v>-15.3</v>
      </c>
      <c r="V524">
        <v>-17.600000000000001</v>
      </c>
      <c r="W524">
        <v>-22</v>
      </c>
      <c r="X524">
        <v>-14.4</v>
      </c>
      <c r="Y524">
        <v>0.1</v>
      </c>
      <c r="Z524">
        <v>-22</v>
      </c>
      <c r="AA524">
        <v>-4.5</v>
      </c>
      <c r="AB524">
        <v>-7</v>
      </c>
      <c r="AC524">
        <v>-5</v>
      </c>
      <c r="AD524">
        <v>12</v>
      </c>
      <c r="AE524">
        <v>10.4</v>
      </c>
      <c r="AF524">
        <v>0</v>
      </c>
      <c r="AG524">
        <v>11.2</v>
      </c>
      <c r="AH524">
        <v>10</v>
      </c>
      <c r="AI524">
        <v>9.4</v>
      </c>
      <c r="AJ524">
        <v>10</v>
      </c>
      <c r="AK524">
        <v>11.1</v>
      </c>
      <c r="AL524">
        <v>10</v>
      </c>
      <c r="AM524">
        <v>12.6</v>
      </c>
      <c r="AN524">
        <v>9</v>
      </c>
      <c r="AO524">
        <v>10.199999999999999</v>
      </c>
      <c r="AP524">
        <v>10</v>
      </c>
      <c r="AQ524">
        <v>10.1</v>
      </c>
      <c r="AR524">
        <v>10</v>
      </c>
      <c r="AS524">
        <v>9.9</v>
      </c>
      <c r="AT524">
        <v>10</v>
      </c>
      <c r="AU524">
        <v>19.600000000000001</v>
      </c>
      <c r="AV524">
        <v>19</v>
      </c>
      <c r="AW524">
        <v>20.8</v>
      </c>
      <c r="AX524">
        <v>19</v>
      </c>
      <c r="AY524">
        <v>11.9</v>
      </c>
      <c r="AZ524">
        <v>10</v>
      </c>
      <c r="BA524">
        <v>10.4</v>
      </c>
      <c r="BB524">
        <v>10</v>
      </c>
    </row>
    <row r="525" spans="1:54" x14ac:dyDescent="0.35">
      <c r="A525" s="1">
        <v>46059.822222222225</v>
      </c>
      <c r="B525">
        <v>22.4</v>
      </c>
      <c r="C525">
        <v>3</v>
      </c>
      <c r="D525">
        <v>21.1</v>
      </c>
      <c r="E525">
        <v>2</v>
      </c>
      <c r="F525">
        <v>9.5</v>
      </c>
      <c r="G525">
        <v>13</v>
      </c>
      <c r="H525">
        <v>0</v>
      </c>
      <c r="I525">
        <v>15.6</v>
      </c>
      <c r="J525">
        <v>11.6</v>
      </c>
      <c r="K525">
        <v>0</v>
      </c>
      <c r="L525">
        <v>13.3</v>
      </c>
      <c r="M525">
        <v>16.600000000000001</v>
      </c>
      <c r="N525">
        <v>0</v>
      </c>
      <c r="O525">
        <v>15.2</v>
      </c>
      <c r="P525">
        <v>11</v>
      </c>
      <c r="Q525">
        <v>0</v>
      </c>
      <c r="R525">
        <v>10.7</v>
      </c>
      <c r="S525">
        <v>14.1</v>
      </c>
      <c r="T525">
        <v>0</v>
      </c>
      <c r="U525">
        <v>-15.5</v>
      </c>
      <c r="V525">
        <v>-17.7</v>
      </c>
      <c r="W525">
        <v>-22</v>
      </c>
      <c r="X525">
        <v>-14.7</v>
      </c>
      <c r="Y525">
        <v>-0.1</v>
      </c>
      <c r="Z525">
        <v>-22</v>
      </c>
      <c r="AA525">
        <v>-5</v>
      </c>
      <c r="AB525">
        <v>-7.4</v>
      </c>
      <c r="AC525">
        <v>-5</v>
      </c>
      <c r="AD525">
        <v>12</v>
      </c>
      <c r="AE525">
        <v>10.4</v>
      </c>
      <c r="AF525">
        <v>0</v>
      </c>
      <c r="AG525">
        <v>11.4</v>
      </c>
      <c r="AH525">
        <v>10</v>
      </c>
      <c r="AI525">
        <v>9.6999999999999993</v>
      </c>
      <c r="AJ525">
        <v>10</v>
      </c>
      <c r="AK525">
        <v>11.1</v>
      </c>
      <c r="AL525">
        <v>10</v>
      </c>
      <c r="AM525">
        <v>12.6</v>
      </c>
      <c r="AN525">
        <v>9</v>
      </c>
      <c r="AO525">
        <v>9.9</v>
      </c>
      <c r="AP525">
        <v>10</v>
      </c>
      <c r="AQ525">
        <v>10.1</v>
      </c>
      <c r="AR525">
        <v>10</v>
      </c>
      <c r="AS525">
        <v>10.199999999999999</v>
      </c>
      <c r="AT525">
        <v>10</v>
      </c>
      <c r="AU525">
        <v>19.600000000000001</v>
      </c>
      <c r="AV525">
        <v>19</v>
      </c>
      <c r="AW525">
        <v>20.9</v>
      </c>
      <c r="AX525">
        <v>19</v>
      </c>
      <c r="AY525">
        <v>11.9</v>
      </c>
      <c r="AZ525">
        <v>10</v>
      </c>
      <c r="BA525">
        <v>9.6999999999999993</v>
      </c>
      <c r="BB525">
        <v>10</v>
      </c>
    </row>
    <row r="526" spans="1:54" x14ac:dyDescent="0.35">
      <c r="A526" s="1">
        <v>46059.822916666664</v>
      </c>
      <c r="B526">
        <v>22.4</v>
      </c>
      <c r="C526">
        <v>3</v>
      </c>
      <c r="D526">
        <v>21.1</v>
      </c>
      <c r="E526">
        <v>2</v>
      </c>
      <c r="F526">
        <v>9.5</v>
      </c>
      <c r="G526">
        <v>13</v>
      </c>
      <c r="H526">
        <v>0</v>
      </c>
      <c r="I526">
        <v>15.6</v>
      </c>
      <c r="J526">
        <v>11.6</v>
      </c>
      <c r="K526">
        <v>0</v>
      </c>
      <c r="L526">
        <v>13.3</v>
      </c>
      <c r="M526">
        <v>16.600000000000001</v>
      </c>
      <c r="N526">
        <v>0</v>
      </c>
      <c r="O526">
        <v>15.2</v>
      </c>
      <c r="P526">
        <v>11</v>
      </c>
      <c r="Q526">
        <v>0</v>
      </c>
      <c r="R526">
        <v>10.7</v>
      </c>
      <c r="S526">
        <v>14.1</v>
      </c>
      <c r="T526">
        <v>0</v>
      </c>
      <c r="U526">
        <v>-15.7</v>
      </c>
      <c r="V526">
        <v>-17.899999999999999</v>
      </c>
      <c r="W526">
        <v>-22</v>
      </c>
      <c r="X526">
        <v>-15</v>
      </c>
      <c r="Y526">
        <v>-0.8</v>
      </c>
      <c r="Z526">
        <v>-22</v>
      </c>
      <c r="AA526">
        <v>-5.0999999999999996</v>
      </c>
      <c r="AB526">
        <v>-6.6</v>
      </c>
      <c r="AC526">
        <v>-5</v>
      </c>
      <c r="AD526">
        <v>12</v>
      </c>
      <c r="AE526">
        <v>10.4</v>
      </c>
      <c r="AF526">
        <v>0</v>
      </c>
      <c r="AG526">
        <v>11.5</v>
      </c>
      <c r="AH526">
        <v>10</v>
      </c>
      <c r="AI526">
        <v>10</v>
      </c>
      <c r="AJ526">
        <v>10</v>
      </c>
      <c r="AK526">
        <v>11.1</v>
      </c>
      <c r="AL526">
        <v>10</v>
      </c>
      <c r="AM526">
        <v>12.6</v>
      </c>
      <c r="AN526">
        <v>9</v>
      </c>
      <c r="AO526">
        <v>11</v>
      </c>
      <c r="AP526">
        <v>10</v>
      </c>
      <c r="AQ526">
        <v>10.1</v>
      </c>
      <c r="AR526">
        <v>10</v>
      </c>
      <c r="AS526">
        <v>10.5</v>
      </c>
      <c r="AT526">
        <v>10</v>
      </c>
      <c r="AU526">
        <v>19.7</v>
      </c>
      <c r="AV526">
        <v>19</v>
      </c>
      <c r="AW526">
        <v>20.9</v>
      </c>
      <c r="AX526">
        <v>19</v>
      </c>
      <c r="AY526">
        <v>11.1</v>
      </c>
      <c r="AZ526">
        <v>10</v>
      </c>
      <c r="BA526">
        <v>9.6999999999999993</v>
      </c>
      <c r="BB526">
        <v>10</v>
      </c>
    </row>
    <row r="527" spans="1:54" x14ac:dyDescent="0.35">
      <c r="A527" s="1">
        <v>46059.823611111111</v>
      </c>
      <c r="B527">
        <v>22.4</v>
      </c>
      <c r="C527">
        <v>3</v>
      </c>
      <c r="D527">
        <v>21.1</v>
      </c>
      <c r="E527">
        <v>2</v>
      </c>
      <c r="F527">
        <v>9.5</v>
      </c>
      <c r="G527">
        <v>13</v>
      </c>
      <c r="H527">
        <v>0</v>
      </c>
      <c r="I527">
        <v>15.6</v>
      </c>
      <c r="J527">
        <v>11.6</v>
      </c>
      <c r="K527">
        <v>0</v>
      </c>
      <c r="L527">
        <v>13.3</v>
      </c>
      <c r="M527">
        <v>16.600000000000001</v>
      </c>
      <c r="N527">
        <v>0</v>
      </c>
      <c r="O527">
        <v>15.2</v>
      </c>
      <c r="P527">
        <v>11</v>
      </c>
      <c r="Q527">
        <v>0</v>
      </c>
      <c r="R527">
        <v>10.7</v>
      </c>
      <c r="S527">
        <v>14.1</v>
      </c>
      <c r="T527">
        <v>0</v>
      </c>
      <c r="U527">
        <v>-15.8</v>
      </c>
      <c r="V527">
        <v>-17.899999999999999</v>
      </c>
      <c r="W527">
        <v>-22</v>
      </c>
      <c r="X527">
        <v>-15.1</v>
      </c>
      <c r="Y527">
        <v>-1.2</v>
      </c>
      <c r="Z527">
        <v>-22</v>
      </c>
      <c r="AA527">
        <v>-4.2</v>
      </c>
      <c r="AB527">
        <v>-4.5999999999999996</v>
      </c>
      <c r="AC527">
        <v>-5</v>
      </c>
      <c r="AD527">
        <v>12</v>
      </c>
      <c r="AE527">
        <v>10.4</v>
      </c>
      <c r="AF527">
        <v>0</v>
      </c>
      <c r="AG527">
        <v>11.6</v>
      </c>
      <c r="AH527">
        <v>10</v>
      </c>
      <c r="AI527">
        <v>10.199999999999999</v>
      </c>
      <c r="AJ527">
        <v>10</v>
      </c>
      <c r="AK527">
        <v>11.2</v>
      </c>
      <c r="AL527">
        <v>10</v>
      </c>
      <c r="AM527">
        <v>12.6</v>
      </c>
      <c r="AN527">
        <v>9</v>
      </c>
      <c r="AO527">
        <v>11.5</v>
      </c>
      <c r="AP527">
        <v>10</v>
      </c>
      <c r="AQ527">
        <v>10.1</v>
      </c>
      <c r="AR527">
        <v>10</v>
      </c>
      <c r="AS527">
        <v>10.8</v>
      </c>
      <c r="AT527">
        <v>10</v>
      </c>
      <c r="AU527">
        <v>19.7</v>
      </c>
      <c r="AV527">
        <v>19</v>
      </c>
      <c r="AW527">
        <v>20.9</v>
      </c>
      <c r="AX527">
        <v>19</v>
      </c>
      <c r="AY527">
        <v>10.3</v>
      </c>
      <c r="AZ527">
        <v>10</v>
      </c>
      <c r="BA527">
        <v>10</v>
      </c>
      <c r="BB527">
        <v>10</v>
      </c>
    </row>
    <row r="528" spans="1:54" x14ac:dyDescent="0.35">
      <c r="A528" s="1">
        <v>46059.824305555558</v>
      </c>
      <c r="B528">
        <v>22.4</v>
      </c>
      <c r="C528">
        <v>3</v>
      </c>
      <c r="D528">
        <v>21.1</v>
      </c>
      <c r="E528">
        <v>2</v>
      </c>
      <c r="F528">
        <v>9.5</v>
      </c>
      <c r="G528">
        <v>13</v>
      </c>
      <c r="H528">
        <v>0</v>
      </c>
      <c r="I528">
        <v>15.6</v>
      </c>
      <c r="J528">
        <v>11.6</v>
      </c>
      <c r="K528">
        <v>0</v>
      </c>
      <c r="L528">
        <v>13.3</v>
      </c>
      <c r="M528">
        <v>16.600000000000001</v>
      </c>
      <c r="N528">
        <v>0</v>
      </c>
      <c r="O528">
        <v>15.2</v>
      </c>
      <c r="P528">
        <v>11</v>
      </c>
      <c r="Q528">
        <v>0</v>
      </c>
      <c r="R528">
        <v>10.7</v>
      </c>
      <c r="S528">
        <v>14.1</v>
      </c>
      <c r="T528">
        <v>0</v>
      </c>
      <c r="U528">
        <v>-15.9</v>
      </c>
      <c r="V528">
        <v>-18.3</v>
      </c>
      <c r="W528">
        <v>-22</v>
      </c>
      <c r="X528">
        <v>-15.5</v>
      </c>
      <c r="Y528">
        <v>-1.7</v>
      </c>
      <c r="Z528">
        <v>-22</v>
      </c>
      <c r="AA528">
        <v>-3.4</v>
      </c>
      <c r="AB528">
        <v>-3.5</v>
      </c>
      <c r="AC528">
        <v>-5</v>
      </c>
      <c r="AD528">
        <v>12</v>
      </c>
      <c r="AE528">
        <v>10.4</v>
      </c>
      <c r="AF528">
        <v>0</v>
      </c>
      <c r="AG528">
        <v>11.7</v>
      </c>
      <c r="AH528">
        <v>10</v>
      </c>
      <c r="AI528">
        <v>10.4</v>
      </c>
      <c r="AJ528">
        <v>10</v>
      </c>
      <c r="AK528">
        <v>11.3</v>
      </c>
      <c r="AL528">
        <v>10</v>
      </c>
      <c r="AM528">
        <v>12.5</v>
      </c>
      <c r="AN528">
        <v>9</v>
      </c>
      <c r="AO528">
        <v>11.7</v>
      </c>
      <c r="AP528">
        <v>10</v>
      </c>
      <c r="AQ528">
        <v>10.1</v>
      </c>
      <c r="AR528">
        <v>10</v>
      </c>
      <c r="AS528">
        <v>11</v>
      </c>
      <c r="AT528">
        <v>10</v>
      </c>
      <c r="AU528">
        <v>19.7</v>
      </c>
      <c r="AV528">
        <v>19</v>
      </c>
      <c r="AW528">
        <v>20.9</v>
      </c>
      <c r="AX528">
        <v>19</v>
      </c>
      <c r="AY528">
        <v>9.6999999999999993</v>
      </c>
      <c r="AZ528">
        <v>10</v>
      </c>
      <c r="BA528">
        <v>10.5</v>
      </c>
      <c r="BB528">
        <v>10</v>
      </c>
    </row>
    <row r="529" spans="1:54" x14ac:dyDescent="0.35">
      <c r="A529" s="1">
        <v>46059.824999999997</v>
      </c>
      <c r="B529">
        <v>22.4</v>
      </c>
      <c r="C529">
        <v>3</v>
      </c>
      <c r="D529">
        <v>21.1</v>
      </c>
      <c r="E529">
        <v>2</v>
      </c>
      <c r="F529">
        <v>9.6</v>
      </c>
      <c r="G529">
        <v>13</v>
      </c>
      <c r="H529">
        <v>0</v>
      </c>
      <c r="I529">
        <v>15.6</v>
      </c>
      <c r="J529">
        <v>11.6</v>
      </c>
      <c r="K529">
        <v>0</v>
      </c>
      <c r="L529">
        <v>13.3</v>
      </c>
      <c r="M529">
        <v>16.600000000000001</v>
      </c>
      <c r="N529">
        <v>0</v>
      </c>
      <c r="O529">
        <v>15.2</v>
      </c>
      <c r="P529">
        <v>11</v>
      </c>
      <c r="Q529">
        <v>0</v>
      </c>
      <c r="R529">
        <v>10.7</v>
      </c>
      <c r="S529">
        <v>14.1</v>
      </c>
      <c r="T529">
        <v>0</v>
      </c>
      <c r="U529">
        <v>-16.100000000000001</v>
      </c>
      <c r="V529">
        <v>-18.100000000000001</v>
      </c>
      <c r="W529">
        <v>-22</v>
      </c>
      <c r="X529">
        <v>-15.6</v>
      </c>
      <c r="Y529">
        <v>-2.2999999999999998</v>
      </c>
      <c r="Z529">
        <v>-22</v>
      </c>
      <c r="AA529">
        <v>-2.7</v>
      </c>
      <c r="AB529">
        <v>-3.1</v>
      </c>
      <c r="AC529">
        <v>-5</v>
      </c>
      <c r="AD529">
        <v>12</v>
      </c>
      <c r="AE529">
        <v>10.4</v>
      </c>
      <c r="AF529">
        <v>0</v>
      </c>
      <c r="AG529">
        <v>11.8</v>
      </c>
      <c r="AH529">
        <v>10</v>
      </c>
      <c r="AI529">
        <v>10.5</v>
      </c>
      <c r="AJ529">
        <v>10</v>
      </c>
      <c r="AK529">
        <v>11.4</v>
      </c>
      <c r="AL529">
        <v>10</v>
      </c>
      <c r="AM529">
        <v>12.5</v>
      </c>
      <c r="AN529">
        <v>9</v>
      </c>
      <c r="AO529">
        <v>11.9</v>
      </c>
      <c r="AP529">
        <v>10</v>
      </c>
      <c r="AQ529">
        <v>9.9</v>
      </c>
      <c r="AR529">
        <v>10</v>
      </c>
      <c r="AS529">
        <v>11.2</v>
      </c>
      <c r="AT529">
        <v>10</v>
      </c>
      <c r="AU529">
        <v>19.7</v>
      </c>
      <c r="AV529">
        <v>19</v>
      </c>
      <c r="AW529">
        <v>21</v>
      </c>
      <c r="AX529">
        <v>19</v>
      </c>
      <c r="AY529">
        <v>9.8000000000000007</v>
      </c>
      <c r="AZ529">
        <v>10</v>
      </c>
      <c r="BA529">
        <v>10.9</v>
      </c>
      <c r="BB529">
        <v>10</v>
      </c>
    </row>
    <row r="530" spans="1:54" x14ac:dyDescent="0.35">
      <c r="A530" s="1">
        <v>46059.825694444444</v>
      </c>
      <c r="B530">
        <v>22.4</v>
      </c>
      <c r="C530">
        <v>3</v>
      </c>
      <c r="D530">
        <v>21.1</v>
      </c>
      <c r="E530">
        <v>2</v>
      </c>
      <c r="F530">
        <v>9.6</v>
      </c>
      <c r="G530">
        <v>13</v>
      </c>
      <c r="H530">
        <v>0</v>
      </c>
      <c r="I530">
        <v>15.6</v>
      </c>
      <c r="J530">
        <v>11.6</v>
      </c>
      <c r="K530">
        <v>0</v>
      </c>
      <c r="L530">
        <v>13.3</v>
      </c>
      <c r="M530">
        <v>16.600000000000001</v>
      </c>
      <c r="N530">
        <v>0</v>
      </c>
      <c r="O530">
        <v>15.2</v>
      </c>
      <c r="P530">
        <v>11</v>
      </c>
      <c r="Q530">
        <v>0</v>
      </c>
      <c r="R530">
        <v>10.7</v>
      </c>
      <c r="S530">
        <v>14.1</v>
      </c>
      <c r="T530">
        <v>0</v>
      </c>
      <c r="U530">
        <v>-16.2</v>
      </c>
      <c r="V530">
        <v>-18.600000000000001</v>
      </c>
      <c r="W530">
        <v>-22</v>
      </c>
      <c r="X530">
        <v>-15.8</v>
      </c>
      <c r="Y530">
        <v>-3</v>
      </c>
      <c r="Z530">
        <v>-22</v>
      </c>
      <c r="AA530">
        <v>-2.7</v>
      </c>
      <c r="AB530">
        <v>-4</v>
      </c>
      <c r="AC530">
        <v>-5</v>
      </c>
      <c r="AD530">
        <v>12</v>
      </c>
      <c r="AE530">
        <v>10.4</v>
      </c>
      <c r="AF530">
        <v>0</v>
      </c>
      <c r="AG530">
        <v>11.9</v>
      </c>
      <c r="AH530">
        <v>10</v>
      </c>
      <c r="AI530">
        <v>10.7</v>
      </c>
      <c r="AJ530">
        <v>10</v>
      </c>
      <c r="AK530">
        <v>11.5</v>
      </c>
      <c r="AL530">
        <v>10</v>
      </c>
      <c r="AM530">
        <v>12.5</v>
      </c>
      <c r="AN530">
        <v>9</v>
      </c>
      <c r="AO530">
        <v>12</v>
      </c>
      <c r="AP530">
        <v>10</v>
      </c>
      <c r="AQ530">
        <v>10.199999999999999</v>
      </c>
      <c r="AR530">
        <v>10</v>
      </c>
      <c r="AS530">
        <v>11.5</v>
      </c>
      <c r="AT530">
        <v>10</v>
      </c>
      <c r="AU530">
        <v>19.7</v>
      </c>
      <c r="AV530">
        <v>19</v>
      </c>
      <c r="AW530">
        <v>20.9</v>
      </c>
      <c r="AX530">
        <v>19</v>
      </c>
      <c r="AY530">
        <v>10.199999999999999</v>
      </c>
      <c r="AZ530">
        <v>10</v>
      </c>
      <c r="BA530">
        <v>11.2</v>
      </c>
      <c r="BB530">
        <v>10</v>
      </c>
    </row>
    <row r="531" spans="1:54" x14ac:dyDescent="0.35">
      <c r="A531" s="1">
        <v>46059.826388888891</v>
      </c>
      <c r="B531">
        <v>22.4</v>
      </c>
      <c r="C531">
        <v>3</v>
      </c>
      <c r="D531">
        <v>21.1</v>
      </c>
      <c r="E531">
        <v>2</v>
      </c>
      <c r="F531">
        <v>9.6</v>
      </c>
      <c r="G531">
        <v>13</v>
      </c>
      <c r="H531">
        <v>0</v>
      </c>
      <c r="I531">
        <v>15.6</v>
      </c>
      <c r="J531">
        <v>11.6</v>
      </c>
      <c r="K531">
        <v>0</v>
      </c>
      <c r="L531">
        <v>13.3</v>
      </c>
      <c r="M531">
        <v>16.600000000000001</v>
      </c>
      <c r="N531">
        <v>0</v>
      </c>
      <c r="O531">
        <v>15.2</v>
      </c>
      <c r="P531">
        <v>11</v>
      </c>
      <c r="Q531">
        <v>0</v>
      </c>
      <c r="R531">
        <v>10.7</v>
      </c>
      <c r="S531">
        <v>14.1</v>
      </c>
      <c r="T531">
        <v>0</v>
      </c>
      <c r="U531">
        <v>-16.3</v>
      </c>
      <c r="V531">
        <v>-18.3</v>
      </c>
      <c r="W531">
        <v>-22</v>
      </c>
      <c r="X531">
        <v>-15.8</v>
      </c>
      <c r="Y531">
        <v>-3.5</v>
      </c>
      <c r="Z531">
        <v>-22</v>
      </c>
      <c r="AA531">
        <v>-3.2</v>
      </c>
      <c r="AB531">
        <v>-5</v>
      </c>
      <c r="AC531">
        <v>-5</v>
      </c>
      <c r="AD531">
        <v>12</v>
      </c>
      <c r="AE531">
        <v>10.4</v>
      </c>
      <c r="AF531">
        <v>0</v>
      </c>
      <c r="AG531">
        <v>12</v>
      </c>
      <c r="AH531">
        <v>10</v>
      </c>
      <c r="AI531">
        <v>10.9</v>
      </c>
      <c r="AJ531">
        <v>10</v>
      </c>
      <c r="AK531">
        <v>11.6</v>
      </c>
      <c r="AL531">
        <v>10</v>
      </c>
      <c r="AM531">
        <v>12.6</v>
      </c>
      <c r="AN531">
        <v>9</v>
      </c>
      <c r="AO531">
        <v>11.8</v>
      </c>
      <c r="AP531">
        <v>10</v>
      </c>
      <c r="AQ531">
        <v>10.7</v>
      </c>
      <c r="AR531">
        <v>10</v>
      </c>
      <c r="AS531">
        <v>11.7</v>
      </c>
      <c r="AT531">
        <v>10</v>
      </c>
      <c r="AU531">
        <v>19.600000000000001</v>
      </c>
      <c r="AV531">
        <v>19</v>
      </c>
      <c r="AW531">
        <v>20.5</v>
      </c>
      <c r="AX531">
        <v>19</v>
      </c>
      <c r="AY531">
        <v>10.6</v>
      </c>
      <c r="AZ531">
        <v>10</v>
      </c>
      <c r="BA531">
        <v>11.5</v>
      </c>
      <c r="BB531">
        <v>10</v>
      </c>
    </row>
    <row r="532" spans="1:54" x14ac:dyDescent="0.35">
      <c r="A532" s="1">
        <v>46059.82708333333</v>
      </c>
      <c r="B532">
        <v>22.4</v>
      </c>
      <c r="C532">
        <v>3</v>
      </c>
      <c r="D532">
        <v>21.1</v>
      </c>
      <c r="E532">
        <v>2</v>
      </c>
      <c r="F532">
        <v>9.6</v>
      </c>
      <c r="G532">
        <v>13</v>
      </c>
      <c r="H532">
        <v>0</v>
      </c>
      <c r="I532">
        <v>15.6</v>
      </c>
      <c r="J532">
        <v>11.6</v>
      </c>
      <c r="K532">
        <v>0</v>
      </c>
      <c r="L532">
        <v>13.3</v>
      </c>
      <c r="M532">
        <v>16.600000000000001</v>
      </c>
      <c r="N532">
        <v>0</v>
      </c>
      <c r="O532">
        <v>15.2</v>
      </c>
      <c r="P532">
        <v>11</v>
      </c>
      <c r="Q532">
        <v>0</v>
      </c>
      <c r="R532">
        <v>10.7</v>
      </c>
      <c r="S532">
        <v>14.1</v>
      </c>
      <c r="T532">
        <v>0</v>
      </c>
      <c r="U532">
        <v>-16.399999999999999</v>
      </c>
      <c r="V532">
        <v>-18.7</v>
      </c>
      <c r="W532">
        <v>-22</v>
      </c>
      <c r="X532">
        <v>-15.9</v>
      </c>
      <c r="Y532">
        <v>-4</v>
      </c>
      <c r="Z532">
        <v>-22</v>
      </c>
      <c r="AA532">
        <v>-3.7</v>
      </c>
      <c r="AB532">
        <v>-5.8</v>
      </c>
      <c r="AC532">
        <v>-5</v>
      </c>
      <c r="AD532">
        <v>12</v>
      </c>
      <c r="AE532">
        <v>10.4</v>
      </c>
      <c r="AF532">
        <v>0</v>
      </c>
      <c r="AG532">
        <v>11.9</v>
      </c>
      <c r="AH532">
        <v>10</v>
      </c>
      <c r="AI532">
        <v>11</v>
      </c>
      <c r="AJ532">
        <v>10</v>
      </c>
      <c r="AK532">
        <v>11.6</v>
      </c>
      <c r="AL532">
        <v>10</v>
      </c>
      <c r="AM532">
        <v>12.6</v>
      </c>
      <c r="AN532">
        <v>9</v>
      </c>
      <c r="AO532">
        <v>11</v>
      </c>
      <c r="AP532">
        <v>10</v>
      </c>
      <c r="AQ532">
        <v>11.4</v>
      </c>
      <c r="AR532">
        <v>10</v>
      </c>
      <c r="AS532">
        <v>11.9</v>
      </c>
      <c r="AT532">
        <v>10</v>
      </c>
      <c r="AU532">
        <v>19.399999999999999</v>
      </c>
      <c r="AV532">
        <v>19</v>
      </c>
      <c r="AW532">
        <v>20.100000000000001</v>
      </c>
      <c r="AX532">
        <v>19</v>
      </c>
      <c r="AY532">
        <v>10.9</v>
      </c>
      <c r="AZ532">
        <v>10</v>
      </c>
      <c r="BA532">
        <v>11.8</v>
      </c>
      <c r="BB532">
        <v>10</v>
      </c>
    </row>
    <row r="533" spans="1:54" x14ac:dyDescent="0.35">
      <c r="A533" s="1">
        <v>46059.827777777777</v>
      </c>
      <c r="B533">
        <v>22.4</v>
      </c>
      <c r="C533">
        <v>3</v>
      </c>
      <c r="D533">
        <v>21.1</v>
      </c>
      <c r="E533">
        <v>2</v>
      </c>
      <c r="F533">
        <v>9.6</v>
      </c>
      <c r="G533">
        <v>13</v>
      </c>
      <c r="H533">
        <v>0</v>
      </c>
      <c r="I533">
        <v>15.6</v>
      </c>
      <c r="J533">
        <v>11.6</v>
      </c>
      <c r="K533">
        <v>0</v>
      </c>
      <c r="L533">
        <v>13.3</v>
      </c>
      <c r="M533">
        <v>16.600000000000001</v>
      </c>
      <c r="N533">
        <v>0</v>
      </c>
      <c r="O533">
        <v>15.2</v>
      </c>
      <c r="P533">
        <v>11</v>
      </c>
      <c r="Q533">
        <v>0</v>
      </c>
      <c r="R533">
        <v>10.7</v>
      </c>
      <c r="S533">
        <v>14.1</v>
      </c>
      <c r="T533">
        <v>0</v>
      </c>
      <c r="U533">
        <v>-16.5</v>
      </c>
      <c r="V533">
        <v>-18.5</v>
      </c>
      <c r="W533">
        <v>-22</v>
      </c>
      <c r="X533">
        <v>-16.100000000000001</v>
      </c>
      <c r="Y533">
        <v>-5.6</v>
      </c>
      <c r="Z533">
        <v>-22</v>
      </c>
      <c r="AA533">
        <v>-4.0999999999999996</v>
      </c>
      <c r="AB533">
        <v>-6.4</v>
      </c>
      <c r="AC533">
        <v>-5</v>
      </c>
      <c r="AD533">
        <v>12</v>
      </c>
      <c r="AE533">
        <v>10.4</v>
      </c>
      <c r="AF533">
        <v>0</v>
      </c>
      <c r="AG533">
        <v>11.1</v>
      </c>
      <c r="AH533">
        <v>10</v>
      </c>
      <c r="AI533">
        <v>11.1</v>
      </c>
      <c r="AJ533">
        <v>10</v>
      </c>
      <c r="AK533">
        <v>11.7</v>
      </c>
      <c r="AL533">
        <v>10</v>
      </c>
      <c r="AM533">
        <v>12.6</v>
      </c>
      <c r="AN533">
        <v>9</v>
      </c>
      <c r="AO533">
        <v>10.1</v>
      </c>
      <c r="AP533">
        <v>10</v>
      </c>
      <c r="AQ533">
        <v>12</v>
      </c>
      <c r="AR533">
        <v>10</v>
      </c>
      <c r="AS533">
        <v>12</v>
      </c>
      <c r="AT533">
        <v>10</v>
      </c>
      <c r="AU533">
        <v>19.2</v>
      </c>
      <c r="AV533">
        <v>19</v>
      </c>
      <c r="AW533">
        <v>19.899999999999999</v>
      </c>
      <c r="AX533">
        <v>19</v>
      </c>
      <c r="AY533">
        <v>11.2</v>
      </c>
      <c r="AZ533">
        <v>10</v>
      </c>
      <c r="BA533">
        <v>12</v>
      </c>
      <c r="BB533">
        <v>10</v>
      </c>
    </row>
    <row r="534" spans="1:54" x14ac:dyDescent="0.35">
      <c r="A534" s="1">
        <v>46059.828472222223</v>
      </c>
      <c r="B534">
        <v>22.4</v>
      </c>
      <c r="C534">
        <v>3</v>
      </c>
      <c r="D534">
        <v>21.1</v>
      </c>
      <c r="E534">
        <v>2</v>
      </c>
      <c r="F534">
        <v>9.6</v>
      </c>
      <c r="G534">
        <v>13</v>
      </c>
      <c r="H534">
        <v>0</v>
      </c>
      <c r="I534">
        <v>15.6</v>
      </c>
      <c r="J534">
        <v>11.6</v>
      </c>
      <c r="K534">
        <v>0</v>
      </c>
      <c r="L534">
        <v>13.3</v>
      </c>
      <c r="M534">
        <v>16.7</v>
      </c>
      <c r="N534">
        <v>0</v>
      </c>
      <c r="O534">
        <v>15.2</v>
      </c>
      <c r="P534">
        <v>11</v>
      </c>
      <c r="Q534">
        <v>0</v>
      </c>
      <c r="R534">
        <v>10.7</v>
      </c>
      <c r="S534">
        <v>14.1</v>
      </c>
      <c r="T534">
        <v>0</v>
      </c>
      <c r="U534">
        <v>-16.7</v>
      </c>
      <c r="V534">
        <v>-18.899999999999999</v>
      </c>
      <c r="W534">
        <v>-22</v>
      </c>
      <c r="X534">
        <v>-16.3</v>
      </c>
      <c r="Y534">
        <v>-6.4</v>
      </c>
      <c r="Z534">
        <v>-22</v>
      </c>
      <c r="AA534">
        <v>-4.5</v>
      </c>
      <c r="AB534">
        <v>-6.9</v>
      </c>
      <c r="AC534">
        <v>-5</v>
      </c>
      <c r="AD534">
        <v>12</v>
      </c>
      <c r="AE534">
        <v>10.4</v>
      </c>
      <c r="AF534">
        <v>0</v>
      </c>
      <c r="AG534">
        <v>10.3</v>
      </c>
      <c r="AH534">
        <v>10</v>
      </c>
      <c r="AI534">
        <v>11.2</v>
      </c>
      <c r="AJ534">
        <v>10</v>
      </c>
      <c r="AK534">
        <v>11.7</v>
      </c>
      <c r="AL534">
        <v>10</v>
      </c>
      <c r="AM534">
        <v>12.6</v>
      </c>
      <c r="AN534">
        <v>9</v>
      </c>
      <c r="AO534">
        <v>10.1</v>
      </c>
      <c r="AP534">
        <v>10</v>
      </c>
      <c r="AQ534">
        <v>12.2</v>
      </c>
      <c r="AR534">
        <v>10</v>
      </c>
      <c r="AS534">
        <v>10</v>
      </c>
      <c r="AT534">
        <v>10</v>
      </c>
      <c r="AU534">
        <v>19</v>
      </c>
      <c r="AV534">
        <v>19</v>
      </c>
      <c r="AW534">
        <v>19.8</v>
      </c>
      <c r="AX534">
        <v>19</v>
      </c>
      <c r="AY534">
        <v>11.4</v>
      </c>
      <c r="AZ534">
        <v>10</v>
      </c>
      <c r="BA534">
        <v>11.8</v>
      </c>
      <c r="BB534">
        <v>10</v>
      </c>
    </row>
    <row r="535" spans="1:54" x14ac:dyDescent="0.35">
      <c r="A535" s="1">
        <v>46059.82916666667</v>
      </c>
      <c r="B535">
        <v>22.4</v>
      </c>
      <c r="C535">
        <v>3</v>
      </c>
      <c r="D535">
        <v>21.1</v>
      </c>
      <c r="E535">
        <v>2</v>
      </c>
      <c r="F535">
        <v>9.6</v>
      </c>
      <c r="G535">
        <v>13</v>
      </c>
      <c r="H535">
        <v>0</v>
      </c>
      <c r="I535">
        <v>15.6</v>
      </c>
      <c r="J535">
        <v>11.6</v>
      </c>
      <c r="K535">
        <v>0</v>
      </c>
      <c r="L535">
        <v>13.3</v>
      </c>
      <c r="M535">
        <v>16.7</v>
      </c>
      <c r="N535">
        <v>0</v>
      </c>
      <c r="O535">
        <v>15.2</v>
      </c>
      <c r="P535">
        <v>11</v>
      </c>
      <c r="Q535">
        <v>0</v>
      </c>
      <c r="R535">
        <v>10.7</v>
      </c>
      <c r="S535">
        <v>14.1</v>
      </c>
      <c r="T535">
        <v>0</v>
      </c>
      <c r="U535">
        <v>-16.7</v>
      </c>
      <c r="V535">
        <v>-18.8</v>
      </c>
      <c r="W535">
        <v>-22</v>
      </c>
      <c r="X535">
        <v>-16.399999999999999</v>
      </c>
      <c r="Y535">
        <v>-7.1</v>
      </c>
      <c r="Z535">
        <v>-22</v>
      </c>
      <c r="AA535">
        <v>-5</v>
      </c>
      <c r="AB535">
        <v>-7.4</v>
      </c>
      <c r="AC535">
        <v>-5</v>
      </c>
      <c r="AD535">
        <v>12</v>
      </c>
      <c r="AE535">
        <v>10.4</v>
      </c>
      <c r="AF535">
        <v>0</v>
      </c>
      <c r="AG535">
        <v>9.6999999999999993</v>
      </c>
      <c r="AH535">
        <v>10</v>
      </c>
      <c r="AI535">
        <v>11.3</v>
      </c>
      <c r="AJ535">
        <v>10</v>
      </c>
      <c r="AK535">
        <v>11.7</v>
      </c>
      <c r="AL535">
        <v>10</v>
      </c>
      <c r="AM535">
        <v>12.6</v>
      </c>
      <c r="AN535">
        <v>9</v>
      </c>
      <c r="AO535">
        <v>11.1</v>
      </c>
      <c r="AP535">
        <v>10</v>
      </c>
      <c r="AQ535">
        <v>12</v>
      </c>
      <c r="AR535">
        <v>10</v>
      </c>
      <c r="AS535">
        <v>7.8</v>
      </c>
      <c r="AT535">
        <v>10</v>
      </c>
      <c r="AU535">
        <v>18.899999999999999</v>
      </c>
      <c r="AV535">
        <v>19</v>
      </c>
      <c r="AW535">
        <v>19.600000000000001</v>
      </c>
      <c r="AX535">
        <v>19</v>
      </c>
      <c r="AY535">
        <v>11.6</v>
      </c>
      <c r="AZ535">
        <v>10</v>
      </c>
      <c r="BA535">
        <v>11</v>
      </c>
      <c r="BB535">
        <v>10</v>
      </c>
    </row>
    <row r="536" spans="1:54" x14ac:dyDescent="0.35">
      <c r="A536" s="1">
        <v>46059.829861111109</v>
      </c>
      <c r="B536">
        <v>22.4</v>
      </c>
      <c r="C536">
        <v>3</v>
      </c>
      <c r="D536">
        <v>21.1</v>
      </c>
      <c r="E536">
        <v>2</v>
      </c>
      <c r="F536">
        <v>9.6</v>
      </c>
      <c r="G536">
        <v>13</v>
      </c>
      <c r="H536">
        <v>0</v>
      </c>
      <c r="I536">
        <v>15.6</v>
      </c>
      <c r="J536">
        <v>11.6</v>
      </c>
      <c r="K536">
        <v>0</v>
      </c>
      <c r="L536">
        <v>13.3</v>
      </c>
      <c r="M536">
        <v>16.7</v>
      </c>
      <c r="N536">
        <v>0</v>
      </c>
      <c r="O536">
        <v>15.2</v>
      </c>
      <c r="P536">
        <v>11</v>
      </c>
      <c r="Q536">
        <v>0</v>
      </c>
      <c r="R536">
        <v>10.7</v>
      </c>
      <c r="S536">
        <v>14.1</v>
      </c>
      <c r="T536">
        <v>0</v>
      </c>
      <c r="U536">
        <v>-16.8</v>
      </c>
      <c r="V536">
        <v>-19</v>
      </c>
      <c r="W536">
        <v>-22</v>
      </c>
      <c r="X536">
        <v>-16.600000000000001</v>
      </c>
      <c r="Y536">
        <v>-7.6</v>
      </c>
      <c r="Z536">
        <v>-22</v>
      </c>
      <c r="AA536">
        <v>-5.0999999999999996</v>
      </c>
      <c r="AB536">
        <v>-6.5</v>
      </c>
      <c r="AC536">
        <v>-5</v>
      </c>
      <c r="AD536">
        <v>12</v>
      </c>
      <c r="AE536">
        <v>10.4</v>
      </c>
      <c r="AF536">
        <v>0</v>
      </c>
      <c r="AG536">
        <v>9.6999999999999993</v>
      </c>
      <c r="AH536">
        <v>10</v>
      </c>
      <c r="AI536">
        <v>11.4</v>
      </c>
      <c r="AJ536">
        <v>10</v>
      </c>
      <c r="AK536">
        <v>11.8</v>
      </c>
      <c r="AL536">
        <v>10</v>
      </c>
      <c r="AM536">
        <v>12.6</v>
      </c>
      <c r="AN536">
        <v>9</v>
      </c>
      <c r="AO536">
        <v>11.5</v>
      </c>
      <c r="AP536">
        <v>10</v>
      </c>
      <c r="AQ536">
        <v>11.7</v>
      </c>
      <c r="AR536">
        <v>10</v>
      </c>
      <c r="AS536">
        <v>7.9</v>
      </c>
      <c r="AT536">
        <v>10</v>
      </c>
      <c r="AU536">
        <v>18.8</v>
      </c>
      <c r="AV536">
        <v>19</v>
      </c>
      <c r="AW536">
        <v>19.5</v>
      </c>
      <c r="AX536">
        <v>19</v>
      </c>
      <c r="AY536">
        <v>11.8</v>
      </c>
      <c r="AZ536">
        <v>10</v>
      </c>
      <c r="BA536">
        <v>10.1</v>
      </c>
      <c r="BB536">
        <v>10</v>
      </c>
    </row>
    <row r="537" spans="1:54" x14ac:dyDescent="0.35">
      <c r="A537" s="1">
        <v>46059.830555555556</v>
      </c>
      <c r="B537">
        <v>22.4</v>
      </c>
      <c r="C537">
        <v>3</v>
      </c>
      <c r="D537">
        <v>21.1</v>
      </c>
      <c r="E537">
        <v>2</v>
      </c>
      <c r="F537">
        <v>9.6</v>
      </c>
      <c r="G537">
        <v>13</v>
      </c>
      <c r="H537">
        <v>0</v>
      </c>
      <c r="I537">
        <v>15.6</v>
      </c>
      <c r="J537">
        <v>11.7</v>
      </c>
      <c r="K537">
        <v>0</v>
      </c>
      <c r="L537">
        <v>13.3</v>
      </c>
      <c r="M537">
        <v>16.7</v>
      </c>
      <c r="N537">
        <v>0</v>
      </c>
      <c r="O537">
        <v>15.2</v>
      </c>
      <c r="P537">
        <v>11</v>
      </c>
      <c r="Q537">
        <v>0</v>
      </c>
      <c r="R537">
        <v>10.7</v>
      </c>
      <c r="S537">
        <v>14.1</v>
      </c>
      <c r="T537">
        <v>0</v>
      </c>
      <c r="U537">
        <v>-17</v>
      </c>
      <c r="V537">
        <v>-19</v>
      </c>
      <c r="W537">
        <v>-22</v>
      </c>
      <c r="X537">
        <v>-16.8</v>
      </c>
      <c r="Y537">
        <v>-8</v>
      </c>
      <c r="Z537">
        <v>-22</v>
      </c>
      <c r="AA537">
        <v>-4.3</v>
      </c>
      <c r="AB537">
        <v>-4.8</v>
      </c>
      <c r="AC537">
        <v>-5</v>
      </c>
      <c r="AD537">
        <v>12</v>
      </c>
      <c r="AE537">
        <v>10.4</v>
      </c>
      <c r="AF537">
        <v>0</v>
      </c>
      <c r="AG537">
        <v>9.9</v>
      </c>
      <c r="AH537">
        <v>10</v>
      </c>
      <c r="AI537">
        <v>11.5</v>
      </c>
      <c r="AJ537">
        <v>10</v>
      </c>
      <c r="AK537">
        <v>11.9</v>
      </c>
      <c r="AL537">
        <v>10</v>
      </c>
      <c r="AM537">
        <v>12.6</v>
      </c>
      <c r="AN537">
        <v>9</v>
      </c>
      <c r="AO537">
        <v>11.7</v>
      </c>
      <c r="AP537">
        <v>10</v>
      </c>
      <c r="AQ537">
        <v>11.3</v>
      </c>
      <c r="AR537">
        <v>10</v>
      </c>
      <c r="AS537">
        <v>8.5</v>
      </c>
      <c r="AT537">
        <v>10</v>
      </c>
      <c r="AU537">
        <v>18.8</v>
      </c>
      <c r="AV537">
        <v>19</v>
      </c>
      <c r="AW537">
        <v>19.399999999999999</v>
      </c>
      <c r="AX537">
        <v>19</v>
      </c>
      <c r="AY537">
        <v>11.9</v>
      </c>
      <c r="AZ537">
        <v>10</v>
      </c>
      <c r="BA537">
        <v>9.6999999999999993</v>
      </c>
      <c r="BB537">
        <v>10</v>
      </c>
    </row>
    <row r="538" spans="1:54" x14ac:dyDescent="0.35">
      <c r="A538" s="1">
        <v>46059.831250000003</v>
      </c>
      <c r="B538">
        <v>22.4</v>
      </c>
      <c r="C538">
        <v>3</v>
      </c>
      <c r="D538">
        <v>21.1</v>
      </c>
      <c r="E538">
        <v>2</v>
      </c>
      <c r="F538">
        <v>9.6</v>
      </c>
      <c r="G538">
        <v>13</v>
      </c>
      <c r="H538">
        <v>0</v>
      </c>
      <c r="I538">
        <v>15.6</v>
      </c>
      <c r="J538">
        <v>11.7</v>
      </c>
      <c r="K538">
        <v>0</v>
      </c>
      <c r="L538">
        <v>13.3</v>
      </c>
      <c r="M538">
        <v>16.7</v>
      </c>
      <c r="N538">
        <v>0</v>
      </c>
      <c r="O538">
        <v>15.2</v>
      </c>
      <c r="P538">
        <v>11.1</v>
      </c>
      <c r="Q538">
        <v>0</v>
      </c>
      <c r="R538">
        <v>10.7</v>
      </c>
      <c r="S538">
        <v>14.1</v>
      </c>
      <c r="T538">
        <v>0</v>
      </c>
      <c r="U538">
        <v>-17.100000000000001</v>
      </c>
      <c r="V538">
        <v>-19.100000000000001</v>
      </c>
      <c r="W538">
        <v>-22</v>
      </c>
      <c r="X538">
        <v>-17</v>
      </c>
      <c r="Y538">
        <v>-8.6</v>
      </c>
      <c r="Z538">
        <v>-22</v>
      </c>
      <c r="AA538">
        <v>-3.4</v>
      </c>
      <c r="AB538">
        <v>-3.5</v>
      </c>
      <c r="AC538">
        <v>-5</v>
      </c>
      <c r="AD538">
        <v>12</v>
      </c>
      <c r="AE538">
        <v>10.4</v>
      </c>
      <c r="AF538">
        <v>0</v>
      </c>
      <c r="AG538">
        <v>10.199999999999999</v>
      </c>
      <c r="AH538">
        <v>10</v>
      </c>
      <c r="AI538">
        <v>11.6</v>
      </c>
      <c r="AJ538">
        <v>10</v>
      </c>
      <c r="AK538">
        <v>11.9</v>
      </c>
      <c r="AL538">
        <v>10</v>
      </c>
      <c r="AM538">
        <v>12.6</v>
      </c>
      <c r="AN538">
        <v>9</v>
      </c>
      <c r="AO538">
        <v>11.8</v>
      </c>
      <c r="AP538">
        <v>10</v>
      </c>
      <c r="AQ538">
        <v>11.1</v>
      </c>
      <c r="AR538">
        <v>10</v>
      </c>
      <c r="AS538">
        <v>9.1999999999999993</v>
      </c>
      <c r="AT538">
        <v>10</v>
      </c>
      <c r="AU538">
        <v>18.7</v>
      </c>
      <c r="AV538">
        <v>19</v>
      </c>
      <c r="AW538">
        <v>19.3</v>
      </c>
      <c r="AX538">
        <v>19</v>
      </c>
      <c r="AY538">
        <v>11.9</v>
      </c>
      <c r="AZ538">
        <v>10</v>
      </c>
      <c r="BA538">
        <v>9.8000000000000007</v>
      </c>
      <c r="BB538">
        <v>10</v>
      </c>
    </row>
    <row r="539" spans="1:54" x14ac:dyDescent="0.35">
      <c r="A539" s="1">
        <v>46059.831944444442</v>
      </c>
      <c r="B539">
        <v>22.4</v>
      </c>
      <c r="C539">
        <v>3</v>
      </c>
      <c r="D539">
        <v>21.1</v>
      </c>
      <c r="E539">
        <v>2</v>
      </c>
      <c r="F539">
        <v>9.6</v>
      </c>
      <c r="G539">
        <v>13</v>
      </c>
      <c r="H539">
        <v>0</v>
      </c>
      <c r="I539">
        <v>15.6</v>
      </c>
      <c r="J539">
        <v>11.7</v>
      </c>
      <c r="K539">
        <v>0</v>
      </c>
      <c r="L539">
        <v>13.3</v>
      </c>
      <c r="M539">
        <v>16.7</v>
      </c>
      <c r="N539">
        <v>0</v>
      </c>
      <c r="O539">
        <v>15.2</v>
      </c>
      <c r="P539">
        <v>11.1</v>
      </c>
      <c r="Q539">
        <v>0</v>
      </c>
      <c r="R539">
        <v>10.7</v>
      </c>
      <c r="S539">
        <v>14.1</v>
      </c>
      <c r="T539">
        <v>0</v>
      </c>
      <c r="U539">
        <v>-17.2</v>
      </c>
      <c r="V539">
        <v>-19.399999999999999</v>
      </c>
      <c r="W539">
        <v>-22</v>
      </c>
      <c r="X539">
        <v>-17.100000000000001</v>
      </c>
      <c r="Y539">
        <v>-9</v>
      </c>
      <c r="Z539">
        <v>-22</v>
      </c>
      <c r="AA539">
        <v>-2.8</v>
      </c>
      <c r="AB539">
        <v>-2.9</v>
      </c>
      <c r="AC539">
        <v>-5</v>
      </c>
      <c r="AD539">
        <v>12</v>
      </c>
      <c r="AE539">
        <v>10.4</v>
      </c>
      <c r="AF539">
        <v>0</v>
      </c>
      <c r="AG539">
        <v>10.6</v>
      </c>
      <c r="AH539">
        <v>10</v>
      </c>
      <c r="AI539">
        <v>11.7</v>
      </c>
      <c r="AJ539">
        <v>10</v>
      </c>
      <c r="AK539">
        <v>12</v>
      </c>
      <c r="AL539">
        <v>10</v>
      </c>
      <c r="AM539">
        <v>12.6</v>
      </c>
      <c r="AN539">
        <v>9</v>
      </c>
      <c r="AO539">
        <v>11.9</v>
      </c>
      <c r="AP539">
        <v>10</v>
      </c>
      <c r="AQ539">
        <v>11</v>
      </c>
      <c r="AR539">
        <v>10</v>
      </c>
      <c r="AS539">
        <v>9.6999999999999993</v>
      </c>
      <c r="AT539">
        <v>10</v>
      </c>
      <c r="AU539">
        <v>18.7</v>
      </c>
      <c r="AV539">
        <v>19</v>
      </c>
      <c r="AW539">
        <v>19.3</v>
      </c>
      <c r="AX539">
        <v>19</v>
      </c>
      <c r="AY539">
        <v>10.9</v>
      </c>
      <c r="AZ539">
        <v>10</v>
      </c>
      <c r="BA539">
        <v>10.3</v>
      </c>
      <c r="BB539">
        <v>10</v>
      </c>
    </row>
    <row r="540" spans="1:54" x14ac:dyDescent="0.35">
      <c r="A540" s="1">
        <v>46059.833333333336</v>
      </c>
      <c r="B540">
        <v>22.4</v>
      </c>
      <c r="C540">
        <v>3</v>
      </c>
      <c r="D540">
        <v>21.1</v>
      </c>
      <c r="E540">
        <v>2</v>
      </c>
      <c r="F540">
        <v>9.6</v>
      </c>
      <c r="G540">
        <v>13</v>
      </c>
      <c r="H540">
        <v>0</v>
      </c>
      <c r="I540">
        <v>15.6</v>
      </c>
      <c r="J540">
        <v>11.7</v>
      </c>
      <c r="K540">
        <v>0</v>
      </c>
      <c r="L540">
        <v>13.3</v>
      </c>
      <c r="M540">
        <v>16.7</v>
      </c>
      <c r="N540">
        <v>0</v>
      </c>
      <c r="O540">
        <v>15.2</v>
      </c>
      <c r="P540">
        <v>11.1</v>
      </c>
      <c r="Q540">
        <v>0</v>
      </c>
      <c r="R540">
        <v>10.7</v>
      </c>
      <c r="S540">
        <v>14.1</v>
      </c>
      <c r="T540">
        <v>0</v>
      </c>
      <c r="U540">
        <v>-17.3</v>
      </c>
      <c r="V540">
        <v>-19.600000000000001</v>
      </c>
      <c r="W540">
        <v>-22</v>
      </c>
      <c r="X540">
        <v>-17.2</v>
      </c>
      <c r="Y540">
        <v>-10</v>
      </c>
      <c r="Z540">
        <v>-22</v>
      </c>
      <c r="AA540">
        <v>-3.2</v>
      </c>
      <c r="AB540">
        <v>-5</v>
      </c>
      <c r="AC540">
        <v>-5</v>
      </c>
      <c r="AD540">
        <v>12</v>
      </c>
      <c r="AE540">
        <v>10.4</v>
      </c>
      <c r="AF540">
        <v>0</v>
      </c>
      <c r="AG540">
        <v>11</v>
      </c>
      <c r="AH540">
        <v>10</v>
      </c>
      <c r="AI540">
        <v>11.9</v>
      </c>
      <c r="AJ540">
        <v>10</v>
      </c>
      <c r="AK540">
        <v>9.6</v>
      </c>
      <c r="AL540">
        <v>10</v>
      </c>
      <c r="AM540">
        <v>12.6</v>
      </c>
      <c r="AN540">
        <v>9</v>
      </c>
      <c r="AO540">
        <v>10.6</v>
      </c>
      <c r="AP540">
        <v>10</v>
      </c>
      <c r="AQ540">
        <v>10.9</v>
      </c>
      <c r="AR540">
        <v>10</v>
      </c>
      <c r="AS540">
        <v>10.4</v>
      </c>
      <c r="AT540">
        <v>10</v>
      </c>
      <c r="AU540">
        <v>18.7</v>
      </c>
      <c r="AV540">
        <v>19</v>
      </c>
      <c r="AW540">
        <v>19.3</v>
      </c>
      <c r="AX540">
        <v>19</v>
      </c>
      <c r="AY540">
        <v>9.6999999999999993</v>
      </c>
      <c r="AZ540">
        <v>10</v>
      </c>
      <c r="BA540">
        <v>11</v>
      </c>
      <c r="BB540">
        <v>10</v>
      </c>
    </row>
    <row r="541" spans="1:54" x14ac:dyDescent="0.35">
      <c r="A541" s="1">
        <v>46059.834027777775</v>
      </c>
      <c r="B541">
        <v>22.4</v>
      </c>
      <c r="C541">
        <v>3</v>
      </c>
      <c r="D541">
        <v>21.1</v>
      </c>
      <c r="E541">
        <v>2</v>
      </c>
      <c r="F541">
        <v>9.6</v>
      </c>
      <c r="G541">
        <v>13</v>
      </c>
      <c r="H541">
        <v>0</v>
      </c>
      <c r="I541">
        <v>15.6</v>
      </c>
      <c r="J541">
        <v>11.7</v>
      </c>
      <c r="K541">
        <v>0</v>
      </c>
      <c r="L541">
        <v>13.3</v>
      </c>
      <c r="M541">
        <v>16.7</v>
      </c>
      <c r="N541">
        <v>0</v>
      </c>
      <c r="O541">
        <v>15.2</v>
      </c>
      <c r="P541">
        <v>11.1</v>
      </c>
      <c r="Q541">
        <v>0</v>
      </c>
      <c r="R541">
        <v>10.7</v>
      </c>
      <c r="S541">
        <v>14.1</v>
      </c>
      <c r="T541">
        <v>0</v>
      </c>
      <c r="U541">
        <v>-17.3</v>
      </c>
      <c r="V541">
        <v>-19.3</v>
      </c>
      <c r="W541">
        <v>-22</v>
      </c>
      <c r="X541">
        <v>-17.2</v>
      </c>
      <c r="Y541">
        <v>-10.3</v>
      </c>
      <c r="Z541">
        <v>-22</v>
      </c>
      <c r="AA541">
        <v>-3.6</v>
      </c>
      <c r="AB541">
        <v>-5.7</v>
      </c>
      <c r="AC541">
        <v>-5</v>
      </c>
      <c r="AD541">
        <v>12</v>
      </c>
      <c r="AE541">
        <v>10.4</v>
      </c>
      <c r="AF541">
        <v>0</v>
      </c>
      <c r="AG541">
        <v>11.1</v>
      </c>
      <c r="AH541">
        <v>10</v>
      </c>
      <c r="AI541">
        <v>12</v>
      </c>
      <c r="AJ541">
        <v>10</v>
      </c>
      <c r="AK541">
        <v>9.5</v>
      </c>
      <c r="AL541">
        <v>10</v>
      </c>
      <c r="AM541">
        <v>12.6</v>
      </c>
      <c r="AN541">
        <v>9</v>
      </c>
      <c r="AO541">
        <v>10.3</v>
      </c>
      <c r="AP541">
        <v>10</v>
      </c>
      <c r="AQ541">
        <v>10.9</v>
      </c>
      <c r="AR541">
        <v>10</v>
      </c>
      <c r="AS541">
        <v>10.7</v>
      </c>
      <c r="AT541">
        <v>10</v>
      </c>
      <c r="AU541">
        <v>18.600000000000001</v>
      </c>
      <c r="AV541">
        <v>19</v>
      </c>
      <c r="AW541">
        <v>19.2</v>
      </c>
      <c r="AX541">
        <v>19</v>
      </c>
      <c r="AY541">
        <v>9.9</v>
      </c>
      <c r="AZ541">
        <v>10</v>
      </c>
      <c r="BA541">
        <v>11.4</v>
      </c>
      <c r="BB541">
        <v>10</v>
      </c>
    </row>
    <row r="542" spans="1:54" x14ac:dyDescent="0.35">
      <c r="A542" s="1">
        <v>46059.834722222222</v>
      </c>
      <c r="B542">
        <v>22.4</v>
      </c>
      <c r="C542">
        <v>3</v>
      </c>
      <c r="D542">
        <v>21.1</v>
      </c>
      <c r="E542">
        <v>2</v>
      </c>
      <c r="F542">
        <v>9.6</v>
      </c>
      <c r="G542">
        <v>13</v>
      </c>
      <c r="H542">
        <v>0</v>
      </c>
      <c r="I542">
        <v>15.6</v>
      </c>
      <c r="J542">
        <v>11.7</v>
      </c>
      <c r="K542">
        <v>0</v>
      </c>
      <c r="L542">
        <v>13.3</v>
      </c>
      <c r="M542">
        <v>16.7</v>
      </c>
      <c r="N542">
        <v>0</v>
      </c>
      <c r="O542">
        <v>15.2</v>
      </c>
      <c r="P542">
        <v>11.1</v>
      </c>
      <c r="Q542">
        <v>0</v>
      </c>
      <c r="R542">
        <v>10.7</v>
      </c>
      <c r="S542">
        <v>14.1</v>
      </c>
      <c r="T542">
        <v>0</v>
      </c>
      <c r="U542">
        <v>-17.399999999999999</v>
      </c>
      <c r="V542">
        <v>-19.7</v>
      </c>
      <c r="W542">
        <v>-22</v>
      </c>
      <c r="X542">
        <v>-17.399999999999999</v>
      </c>
      <c r="Y542">
        <v>-10.7</v>
      </c>
      <c r="Z542">
        <v>-22</v>
      </c>
      <c r="AA542">
        <v>-4.0999999999999996</v>
      </c>
      <c r="AB542">
        <v>-6.4</v>
      </c>
      <c r="AC542">
        <v>-5</v>
      </c>
      <c r="AD542">
        <v>12</v>
      </c>
      <c r="AE542">
        <v>10.4</v>
      </c>
      <c r="AF542">
        <v>0</v>
      </c>
      <c r="AG542">
        <v>11.3</v>
      </c>
      <c r="AH542">
        <v>10</v>
      </c>
      <c r="AI542">
        <v>11.7</v>
      </c>
      <c r="AJ542">
        <v>10</v>
      </c>
      <c r="AK542">
        <v>9.8000000000000007</v>
      </c>
      <c r="AL542">
        <v>10</v>
      </c>
      <c r="AM542">
        <v>12.6</v>
      </c>
      <c r="AN542">
        <v>9</v>
      </c>
      <c r="AO542">
        <v>10.1</v>
      </c>
      <c r="AP542">
        <v>10</v>
      </c>
      <c r="AQ542">
        <v>10.9</v>
      </c>
      <c r="AR542">
        <v>10</v>
      </c>
      <c r="AS542">
        <v>10.9</v>
      </c>
      <c r="AT542">
        <v>10</v>
      </c>
      <c r="AU542">
        <v>18.5</v>
      </c>
      <c r="AV542">
        <v>19</v>
      </c>
      <c r="AW542">
        <v>19.2</v>
      </c>
      <c r="AX542">
        <v>19</v>
      </c>
      <c r="AY542">
        <v>10.199999999999999</v>
      </c>
      <c r="AZ542">
        <v>10</v>
      </c>
      <c r="BA542">
        <v>11.6</v>
      </c>
      <c r="BB542">
        <v>10</v>
      </c>
    </row>
    <row r="543" spans="1:54" x14ac:dyDescent="0.35">
      <c r="A543" s="1">
        <v>46059.835416666669</v>
      </c>
      <c r="B543">
        <v>22.5</v>
      </c>
      <c r="C543">
        <v>3</v>
      </c>
      <c r="D543">
        <v>21.1</v>
      </c>
      <c r="E543">
        <v>2</v>
      </c>
      <c r="F543">
        <v>9.6</v>
      </c>
      <c r="G543">
        <v>13</v>
      </c>
      <c r="H543">
        <v>0</v>
      </c>
      <c r="I543">
        <v>15.6</v>
      </c>
      <c r="J543">
        <v>11.7</v>
      </c>
      <c r="K543">
        <v>0</v>
      </c>
      <c r="L543">
        <v>13.3</v>
      </c>
      <c r="M543">
        <v>16.7</v>
      </c>
      <c r="N543">
        <v>0</v>
      </c>
      <c r="O543">
        <v>15.2</v>
      </c>
      <c r="P543">
        <v>11.1</v>
      </c>
      <c r="Q543">
        <v>0</v>
      </c>
      <c r="R543">
        <v>10.7</v>
      </c>
      <c r="S543">
        <v>14.1</v>
      </c>
      <c r="T543">
        <v>0</v>
      </c>
      <c r="U543">
        <v>-17.5</v>
      </c>
      <c r="V543">
        <v>-19.600000000000001</v>
      </c>
      <c r="W543">
        <v>-22</v>
      </c>
      <c r="X543">
        <v>-17.5</v>
      </c>
      <c r="Y543">
        <v>-11</v>
      </c>
      <c r="Z543">
        <v>-22</v>
      </c>
      <c r="AA543">
        <v>-4.5</v>
      </c>
      <c r="AB543">
        <v>-6.9</v>
      </c>
      <c r="AC543">
        <v>-5</v>
      </c>
      <c r="AD543">
        <v>12</v>
      </c>
      <c r="AE543">
        <v>10.4</v>
      </c>
      <c r="AF543">
        <v>0</v>
      </c>
      <c r="AG543">
        <v>11.4</v>
      </c>
      <c r="AH543">
        <v>10</v>
      </c>
      <c r="AI543">
        <v>10.3</v>
      </c>
      <c r="AJ543">
        <v>10</v>
      </c>
      <c r="AK543">
        <v>10.199999999999999</v>
      </c>
      <c r="AL543">
        <v>10</v>
      </c>
      <c r="AM543">
        <v>12.6</v>
      </c>
      <c r="AN543">
        <v>9</v>
      </c>
      <c r="AO543">
        <v>10</v>
      </c>
      <c r="AP543">
        <v>10</v>
      </c>
      <c r="AQ543">
        <v>10.9</v>
      </c>
      <c r="AR543">
        <v>10</v>
      </c>
      <c r="AS543">
        <v>11.2</v>
      </c>
      <c r="AT543">
        <v>10</v>
      </c>
      <c r="AU543">
        <v>18.5</v>
      </c>
      <c r="AV543">
        <v>19</v>
      </c>
      <c r="AW543">
        <v>19.100000000000001</v>
      </c>
      <c r="AX543">
        <v>19</v>
      </c>
      <c r="AY543">
        <v>10.6</v>
      </c>
      <c r="AZ543">
        <v>10</v>
      </c>
      <c r="BA543">
        <v>11.9</v>
      </c>
      <c r="BB543">
        <v>10</v>
      </c>
    </row>
    <row r="544" spans="1:54" x14ac:dyDescent="0.35">
      <c r="A544" s="1">
        <v>46059.836111111108</v>
      </c>
      <c r="B544">
        <v>22.5</v>
      </c>
      <c r="C544">
        <v>3</v>
      </c>
      <c r="D544">
        <v>21.1</v>
      </c>
      <c r="E544">
        <v>2</v>
      </c>
      <c r="F544">
        <v>9.6</v>
      </c>
      <c r="G544">
        <v>13</v>
      </c>
      <c r="H544">
        <v>0</v>
      </c>
      <c r="I544">
        <v>15.6</v>
      </c>
      <c r="J544">
        <v>11.7</v>
      </c>
      <c r="K544">
        <v>0</v>
      </c>
      <c r="L544">
        <v>13.3</v>
      </c>
      <c r="M544">
        <v>16.7</v>
      </c>
      <c r="N544">
        <v>0</v>
      </c>
      <c r="O544">
        <v>15.2</v>
      </c>
      <c r="P544">
        <v>11.1</v>
      </c>
      <c r="Q544">
        <v>0</v>
      </c>
      <c r="R544">
        <v>10.7</v>
      </c>
      <c r="S544">
        <v>14.1</v>
      </c>
      <c r="T544">
        <v>0</v>
      </c>
      <c r="U544">
        <v>-17.600000000000001</v>
      </c>
      <c r="V544">
        <v>-19.7</v>
      </c>
      <c r="W544">
        <v>-22</v>
      </c>
      <c r="X544">
        <v>-17.600000000000001</v>
      </c>
      <c r="Y544">
        <v>-11.3</v>
      </c>
      <c r="Z544">
        <v>-22</v>
      </c>
      <c r="AA544">
        <v>-4.9000000000000004</v>
      </c>
      <c r="AB544">
        <v>-7.3</v>
      </c>
      <c r="AC544">
        <v>-5</v>
      </c>
      <c r="AD544">
        <v>12</v>
      </c>
      <c r="AE544">
        <v>10.4</v>
      </c>
      <c r="AF544">
        <v>0</v>
      </c>
      <c r="AG544">
        <v>11.5</v>
      </c>
      <c r="AH544">
        <v>10</v>
      </c>
      <c r="AI544">
        <v>8.9</v>
      </c>
      <c r="AJ544">
        <v>10</v>
      </c>
      <c r="AK544">
        <v>10.4</v>
      </c>
      <c r="AL544">
        <v>10</v>
      </c>
      <c r="AM544">
        <v>12.5</v>
      </c>
      <c r="AN544">
        <v>9</v>
      </c>
      <c r="AO544">
        <v>10.5</v>
      </c>
      <c r="AP544">
        <v>10</v>
      </c>
      <c r="AQ544">
        <v>10.9</v>
      </c>
      <c r="AR544">
        <v>10</v>
      </c>
      <c r="AS544">
        <v>11.4</v>
      </c>
      <c r="AT544">
        <v>10</v>
      </c>
      <c r="AU544">
        <v>18.5</v>
      </c>
      <c r="AV544">
        <v>19</v>
      </c>
      <c r="AW544">
        <v>19.100000000000001</v>
      </c>
      <c r="AX544">
        <v>19</v>
      </c>
      <c r="AY544">
        <v>10.9</v>
      </c>
      <c r="AZ544">
        <v>10</v>
      </c>
      <c r="BA544">
        <v>12</v>
      </c>
      <c r="BB544">
        <v>10</v>
      </c>
    </row>
    <row r="545" spans="1:54" x14ac:dyDescent="0.35">
      <c r="A545" s="1">
        <v>46059.836805555555</v>
      </c>
      <c r="B545">
        <v>22.5</v>
      </c>
      <c r="C545">
        <v>3</v>
      </c>
      <c r="D545">
        <v>21.1</v>
      </c>
      <c r="E545">
        <v>2</v>
      </c>
      <c r="F545">
        <v>9.6</v>
      </c>
      <c r="G545">
        <v>13</v>
      </c>
      <c r="H545">
        <v>0</v>
      </c>
      <c r="I545">
        <v>15.6</v>
      </c>
      <c r="J545">
        <v>11.7</v>
      </c>
      <c r="K545">
        <v>0</v>
      </c>
      <c r="L545">
        <v>13.4</v>
      </c>
      <c r="M545">
        <v>16.7</v>
      </c>
      <c r="N545">
        <v>0</v>
      </c>
      <c r="O545">
        <v>15.3</v>
      </c>
      <c r="P545">
        <v>11.1</v>
      </c>
      <c r="Q545">
        <v>0</v>
      </c>
      <c r="R545">
        <v>10.7</v>
      </c>
      <c r="S545">
        <v>14.1</v>
      </c>
      <c r="T545">
        <v>0</v>
      </c>
      <c r="U545">
        <v>-17.7</v>
      </c>
      <c r="V545">
        <v>-19.7</v>
      </c>
      <c r="W545">
        <v>-22</v>
      </c>
      <c r="X545">
        <v>-17.7</v>
      </c>
      <c r="Y545">
        <v>-11.6</v>
      </c>
      <c r="Z545">
        <v>-22</v>
      </c>
      <c r="AA545">
        <v>-5.0999999999999996</v>
      </c>
      <c r="AB545">
        <v>-6.4</v>
      </c>
      <c r="AC545">
        <v>-5</v>
      </c>
      <c r="AD545">
        <v>12</v>
      </c>
      <c r="AE545">
        <v>10.4</v>
      </c>
      <c r="AF545">
        <v>0</v>
      </c>
      <c r="AG545">
        <v>11.6</v>
      </c>
      <c r="AH545">
        <v>10</v>
      </c>
      <c r="AI545">
        <v>8.8000000000000007</v>
      </c>
      <c r="AJ545">
        <v>10</v>
      </c>
      <c r="AK545">
        <v>10.6</v>
      </c>
      <c r="AL545">
        <v>10</v>
      </c>
      <c r="AM545">
        <v>12.5</v>
      </c>
      <c r="AN545">
        <v>9</v>
      </c>
      <c r="AO545">
        <v>11.3</v>
      </c>
      <c r="AP545">
        <v>10</v>
      </c>
      <c r="AQ545">
        <v>10.8</v>
      </c>
      <c r="AR545">
        <v>10</v>
      </c>
      <c r="AS545">
        <v>11.6</v>
      </c>
      <c r="AT545">
        <v>10</v>
      </c>
      <c r="AU545">
        <v>18.5</v>
      </c>
      <c r="AV545">
        <v>19</v>
      </c>
      <c r="AW545">
        <v>19.100000000000001</v>
      </c>
      <c r="AX545">
        <v>19</v>
      </c>
      <c r="AY545">
        <v>11.2</v>
      </c>
      <c r="AZ545">
        <v>10</v>
      </c>
      <c r="BA545">
        <v>11.4</v>
      </c>
      <c r="BB545">
        <v>10</v>
      </c>
    </row>
    <row r="546" spans="1:54" x14ac:dyDescent="0.35">
      <c r="A546" s="1">
        <v>46059.837500000001</v>
      </c>
      <c r="B546">
        <v>22.5</v>
      </c>
      <c r="C546">
        <v>3</v>
      </c>
      <c r="D546">
        <v>21.1</v>
      </c>
      <c r="E546">
        <v>2</v>
      </c>
      <c r="F546">
        <v>9.6</v>
      </c>
      <c r="G546">
        <v>13</v>
      </c>
      <c r="H546">
        <v>0</v>
      </c>
      <c r="I546">
        <v>15.6</v>
      </c>
      <c r="J546">
        <v>11.7</v>
      </c>
      <c r="K546">
        <v>0</v>
      </c>
      <c r="L546">
        <v>13.4</v>
      </c>
      <c r="M546">
        <v>16.7</v>
      </c>
      <c r="N546">
        <v>0</v>
      </c>
      <c r="O546">
        <v>15.3</v>
      </c>
      <c r="P546">
        <v>11.1</v>
      </c>
      <c r="Q546">
        <v>0</v>
      </c>
      <c r="R546">
        <v>10.7</v>
      </c>
      <c r="S546">
        <v>14.1</v>
      </c>
      <c r="T546">
        <v>0</v>
      </c>
      <c r="U546">
        <v>-17.8</v>
      </c>
      <c r="V546">
        <v>-19.8</v>
      </c>
      <c r="W546">
        <v>-22</v>
      </c>
      <c r="X546">
        <v>-17.8</v>
      </c>
      <c r="Y546">
        <v>-11.9</v>
      </c>
      <c r="Z546">
        <v>-22</v>
      </c>
      <c r="AA546">
        <v>-4.3</v>
      </c>
      <c r="AB546">
        <v>-4.7</v>
      </c>
      <c r="AC546">
        <v>-5</v>
      </c>
      <c r="AD546">
        <v>12</v>
      </c>
      <c r="AE546">
        <v>10.4</v>
      </c>
      <c r="AF546">
        <v>0</v>
      </c>
      <c r="AG546">
        <v>11.7</v>
      </c>
      <c r="AH546">
        <v>10</v>
      </c>
      <c r="AI546">
        <v>8.9</v>
      </c>
      <c r="AJ546">
        <v>10</v>
      </c>
      <c r="AK546">
        <v>10.7</v>
      </c>
      <c r="AL546">
        <v>10</v>
      </c>
      <c r="AM546">
        <v>12.5</v>
      </c>
      <c r="AN546">
        <v>9</v>
      </c>
      <c r="AO546">
        <v>11.6</v>
      </c>
      <c r="AP546">
        <v>10</v>
      </c>
      <c r="AQ546">
        <v>10.7</v>
      </c>
      <c r="AR546">
        <v>10</v>
      </c>
      <c r="AS546">
        <v>11.8</v>
      </c>
      <c r="AT546">
        <v>10</v>
      </c>
      <c r="AU546">
        <v>18.399999999999999</v>
      </c>
      <c r="AV546">
        <v>19</v>
      </c>
      <c r="AW546">
        <v>19.100000000000001</v>
      </c>
      <c r="AX546">
        <v>19</v>
      </c>
      <c r="AY546">
        <v>11.4</v>
      </c>
      <c r="AZ546">
        <v>10</v>
      </c>
      <c r="BA546">
        <v>10.6</v>
      </c>
      <c r="BB546">
        <v>10</v>
      </c>
    </row>
    <row r="547" spans="1:54" x14ac:dyDescent="0.35">
      <c r="A547" s="1">
        <v>46059.838194444441</v>
      </c>
      <c r="B547">
        <v>22.5</v>
      </c>
      <c r="C547">
        <v>3</v>
      </c>
      <c r="D547">
        <v>21.1</v>
      </c>
      <c r="E547">
        <v>2</v>
      </c>
      <c r="F547">
        <v>9.6</v>
      </c>
      <c r="G547">
        <v>13</v>
      </c>
      <c r="H547">
        <v>0</v>
      </c>
      <c r="I547">
        <v>15.6</v>
      </c>
      <c r="J547">
        <v>11.7</v>
      </c>
      <c r="K547">
        <v>0</v>
      </c>
      <c r="L547">
        <v>13.4</v>
      </c>
      <c r="M547">
        <v>16.7</v>
      </c>
      <c r="N547">
        <v>0</v>
      </c>
      <c r="O547">
        <v>15.3</v>
      </c>
      <c r="P547">
        <v>11.1</v>
      </c>
      <c r="Q547">
        <v>0</v>
      </c>
      <c r="R547">
        <v>10.7</v>
      </c>
      <c r="S547">
        <v>14.1</v>
      </c>
      <c r="T547">
        <v>0</v>
      </c>
      <c r="U547">
        <v>-17.8</v>
      </c>
      <c r="V547">
        <v>-20</v>
      </c>
      <c r="W547">
        <v>-22</v>
      </c>
      <c r="X547">
        <v>-17.899999999999999</v>
      </c>
      <c r="Y547">
        <v>-12.2</v>
      </c>
      <c r="Z547">
        <v>-22</v>
      </c>
      <c r="AA547">
        <v>-3.5</v>
      </c>
      <c r="AB547">
        <v>-3.6</v>
      </c>
      <c r="AC547">
        <v>-5</v>
      </c>
      <c r="AD547">
        <v>12</v>
      </c>
      <c r="AE547">
        <v>10.4</v>
      </c>
      <c r="AF547">
        <v>0</v>
      </c>
      <c r="AG547">
        <v>11.8</v>
      </c>
      <c r="AH547">
        <v>10</v>
      </c>
      <c r="AI547">
        <v>9.3000000000000007</v>
      </c>
      <c r="AJ547">
        <v>10</v>
      </c>
      <c r="AK547">
        <v>10.9</v>
      </c>
      <c r="AL547">
        <v>10</v>
      </c>
      <c r="AM547">
        <v>12.5</v>
      </c>
      <c r="AN547">
        <v>9</v>
      </c>
      <c r="AO547">
        <v>11.7</v>
      </c>
      <c r="AP547">
        <v>10</v>
      </c>
      <c r="AQ547">
        <v>10.6</v>
      </c>
      <c r="AR547">
        <v>10</v>
      </c>
      <c r="AS547">
        <v>12</v>
      </c>
      <c r="AT547">
        <v>10</v>
      </c>
      <c r="AU547">
        <v>18.399999999999999</v>
      </c>
      <c r="AV547">
        <v>19</v>
      </c>
      <c r="AW547">
        <v>19</v>
      </c>
      <c r="AX547">
        <v>19</v>
      </c>
      <c r="AY547">
        <v>11.6</v>
      </c>
      <c r="AZ547">
        <v>10</v>
      </c>
      <c r="BA547">
        <v>9.8000000000000007</v>
      </c>
      <c r="BB547">
        <v>10</v>
      </c>
    </row>
    <row r="548" spans="1:54" x14ac:dyDescent="0.35">
      <c r="A548" s="1">
        <v>46059.838888888888</v>
      </c>
      <c r="B548">
        <v>22.5</v>
      </c>
      <c r="C548">
        <v>3</v>
      </c>
      <c r="D548">
        <v>21.1</v>
      </c>
      <c r="E548">
        <v>2</v>
      </c>
      <c r="F548">
        <v>9.6</v>
      </c>
      <c r="G548">
        <v>13</v>
      </c>
      <c r="H548">
        <v>0</v>
      </c>
      <c r="I548">
        <v>15.6</v>
      </c>
      <c r="J548">
        <v>11.7</v>
      </c>
      <c r="K548">
        <v>0</v>
      </c>
      <c r="L548">
        <v>13.4</v>
      </c>
      <c r="M548">
        <v>16.7</v>
      </c>
      <c r="N548">
        <v>0</v>
      </c>
      <c r="O548">
        <v>15.3</v>
      </c>
      <c r="P548">
        <v>11.1</v>
      </c>
      <c r="Q548">
        <v>0</v>
      </c>
      <c r="R548">
        <v>10.7</v>
      </c>
      <c r="S548">
        <v>14.1</v>
      </c>
      <c r="T548">
        <v>0</v>
      </c>
      <c r="U548">
        <v>-17.899999999999999</v>
      </c>
      <c r="V548">
        <v>-19.8</v>
      </c>
      <c r="W548">
        <v>-22</v>
      </c>
      <c r="X548">
        <v>-18</v>
      </c>
      <c r="Y548">
        <v>-12.5</v>
      </c>
      <c r="Z548">
        <v>-22</v>
      </c>
      <c r="AA548">
        <v>-2.8</v>
      </c>
      <c r="AB548">
        <v>-2.9</v>
      </c>
      <c r="AC548">
        <v>-5</v>
      </c>
      <c r="AD548">
        <v>12</v>
      </c>
      <c r="AE548">
        <v>10.4</v>
      </c>
      <c r="AF548">
        <v>0</v>
      </c>
      <c r="AG548">
        <v>11.9</v>
      </c>
      <c r="AH548">
        <v>10</v>
      </c>
      <c r="AI548">
        <v>9.5</v>
      </c>
      <c r="AJ548">
        <v>10</v>
      </c>
      <c r="AK548">
        <v>11</v>
      </c>
      <c r="AL548">
        <v>10</v>
      </c>
      <c r="AM548">
        <v>12.5</v>
      </c>
      <c r="AN548">
        <v>9</v>
      </c>
      <c r="AO548">
        <v>11.9</v>
      </c>
      <c r="AP548">
        <v>10</v>
      </c>
      <c r="AQ548">
        <v>10.5</v>
      </c>
      <c r="AR548">
        <v>10</v>
      </c>
      <c r="AS548">
        <v>10.5</v>
      </c>
      <c r="AT548">
        <v>10</v>
      </c>
      <c r="AU548">
        <v>18.399999999999999</v>
      </c>
      <c r="AV548">
        <v>19</v>
      </c>
      <c r="AW548">
        <v>19.2</v>
      </c>
      <c r="AX548">
        <v>19</v>
      </c>
      <c r="AY548">
        <v>11.8</v>
      </c>
      <c r="AZ548">
        <v>10</v>
      </c>
      <c r="BA548">
        <v>9.6999999999999993</v>
      </c>
      <c r="BB548">
        <v>10</v>
      </c>
    </row>
    <row r="549" spans="1:54" x14ac:dyDescent="0.35">
      <c r="A549" s="1">
        <v>46059.839583333334</v>
      </c>
      <c r="B549">
        <v>22.5</v>
      </c>
      <c r="C549">
        <v>3</v>
      </c>
      <c r="D549">
        <v>21.1</v>
      </c>
      <c r="E549">
        <v>2</v>
      </c>
      <c r="F549">
        <v>9.6</v>
      </c>
      <c r="G549">
        <v>13.1</v>
      </c>
      <c r="H549">
        <v>0</v>
      </c>
      <c r="I549">
        <v>15.6</v>
      </c>
      <c r="J549">
        <v>11.7</v>
      </c>
      <c r="K549">
        <v>0</v>
      </c>
      <c r="L549">
        <v>13.4</v>
      </c>
      <c r="M549">
        <v>16.7</v>
      </c>
      <c r="N549">
        <v>0</v>
      </c>
      <c r="O549">
        <v>15.3</v>
      </c>
      <c r="P549">
        <v>11.1</v>
      </c>
      <c r="Q549">
        <v>0</v>
      </c>
      <c r="R549">
        <v>10.8</v>
      </c>
      <c r="S549">
        <v>14.1</v>
      </c>
      <c r="T549">
        <v>0</v>
      </c>
      <c r="U549">
        <v>-17.899999999999999</v>
      </c>
      <c r="V549">
        <v>-20.3</v>
      </c>
      <c r="W549">
        <v>-22</v>
      </c>
      <c r="X549">
        <v>-18</v>
      </c>
      <c r="Y549">
        <v>-12.7</v>
      </c>
      <c r="Z549">
        <v>-22</v>
      </c>
      <c r="AA549">
        <v>-2.8</v>
      </c>
      <c r="AB549">
        <v>-3.8</v>
      </c>
      <c r="AC549">
        <v>-5</v>
      </c>
      <c r="AD549">
        <v>12</v>
      </c>
      <c r="AE549">
        <v>10.4</v>
      </c>
      <c r="AF549">
        <v>0</v>
      </c>
      <c r="AG549">
        <v>12</v>
      </c>
      <c r="AH549">
        <v>10</v>
      </c>
      <c r="AI549">
        <v>9.8000000000000007</v>
      </c>
      <c r="AJ549">
        <v>10</v>
      </c>
      <c r="AK549">
        <v>11.1</v>
      </c>
      <c r="AL549">
        <v>10</v>
      </c>
      <c r="AM549">
        <v>12.5</v>
      </c>
      <c r="AN549">
        <v>9</v>
      </c>
      <c r="AO549">
        <v>11.8</v>
      </c>
      <c r="AP549">
        <v>10</v>
      </c>
      <c r="AQ549">
        <v>10.5</v>
      </c>
      <c r="AR549">
        <v>10</v>
      </c>
      <c r="AS549">
        <v>8.3000000000000007</v>
      </c>
      <c r="AT549">
        <v>10</v>
      </c>
      <c r="AU549">
        <v>18.600000000000001</v>
      </c>
      <c r="AV549">
        <v>19</v>
      </c>
      <c r="AW549">
        <v>19.600000000000001</v>
      </c>
      <c r="AX549">
        <v>19</v>
      </c>
      <c r="AY549">
        <v>12</v>
      </c>
      <c r="AZ549">
        <v>10</v>
      </c>
      <c r="BA549">
        <v>10</v>
      </c>
      <c r="BB549">
        <v>10</v>
      </c>
    </row>
    <row r="550" spans="1:54" x14ac:dyDescent="0.35">
      <c r="A550" s="1">
        <v>46059.840277777781</v>
      </c>
      <c r="B550">
        <v>22.5</v>
      </c>
      <c r="C550">
        <v>3</v>
      </c>
      <c r="D550">
        <v>21.1</v>
      </c>
      <c r="E550">
        <v>2</v>
      </c>
      <c r="F550">
        <v>9.6</v>
      </c>
      <c r="G550">
        <v>13.1</v>
      </c>
      <c r="H550">
        <v>0</v>
      </c>
      <c r="I550">
        <v>15.6</v>
      </c>
      <c r="J550">
        <v>11.7</v>
      </c>
      <c r="K550">
        <v>0</v>
      </c>
      <c r="L550">
        <v>13.4</v>
      </c>
      <c r="M550">
        <v>16.7</v>
      </c>
      <c r="N550">
        <v>0</v>
      </c>
      <c r="O550">
        <v>15.3</v>
      </c>
      <c r="P550">
        <v>11.1</v>
      </c>
      <c r="Q550">
        <v>0</v>
      </c>
      <c r="R550">
        <v>10.8</v>
      </c>
      <c r="S550">
        <v>14.1</v>
      </c>
      <c r="T550">
        <v>0</v>
      </c>
      <c r="U550">
        <v>-18</v>
      </c>
      <c r="V550">
        <v>-20</v>
      </c>
      <c r="W550">
        <v>-22</v>
      </c>
      <c r="X550">
        <v>-18.100000000000001</v>
      </c>
      <c r="Y550">
        <v>-12.9</v>
      </c>
      <c r="Z550">
        <v>-22</v>
      </c>
      <c r="AA550">
        <v>-3.1</v>
      </c>
      <c r="AB550">
        <v>-4.9000000000000004</v>
      </c>
      <c r="AC550">
        <v>-5</v>
      </c>
      <c r="AD550">
        <v>12</v>
      </c>
      <c r="AE550">
        <v>10.4</v>
      </c>
      <c r="AF550">
        <v>0</v>
      </c>
      <c r="AG550">
        <v>11.6</v>
      </c>
      <c r="AH550">
        <v>10</v>
      </c>
      <c r="AI550">
        <v>10</v>
      </c>
      <c r="AJ550">
        <v>10</v>
      </c>
      <c r="AK550">
        <v>11.2</v>
      </c>
      <c r="AL550">
        <v>10</v>
      </c>
      <c r="AM550">
        <v>12.5</v>
      </c>
      <c r="AN550">
        <v>9</v>
      </c>
      <c r="AO550">
        <v>10.7</v>
      </c>
      <c r="AP550">
        <v>10</v>
      </c>
      <c r="AQ550">
        <v>10.6</v>
      </c>
      <c r="AR550">
        <v>10</v>
      </c>
      <c r="AS550">
        <v>8.1</v>
      </c>
      <c r="AT550">
        <v>10</v>
      </c>
      <c r="AU550">
        <v>18.8</v>
      </c>
      <c r="AV550">
        <v>19</v>
      </c>
      <c r="AW550">
        <v>19.899999999999999</v>
      </c>
      <c r="AX550">
        <v>19</v>
      </c>
      <c r="AY550">
        <v>11.7</v>
      </c>
      <c r="AZ550">
        <v>10</v>
      </c>
      <c r="BA550">
        <v>10.4</v>
      </c>
      <c r="BB550">
        <v>10</v>
      </c>
    </row>
    <row r="551" spans="1:54" x14ac:dyDescent="0.35">
      <c r="A551" s="1">
        <v>46059.84097222222</v>
      </c>
      <c r="B551">
        <v>22.5</v>
      </c>
      <c r="C551">
        <v>3</v>
      </c>
      <c r="D551">
        <v>21.1</v>
      </c>
      <c r="E551">
        <v>2</v>
      </c>
      <c r="F551">
        <v>9.6</v>
      </c>
      <c r="G551">
        <v>13.1</v>
      </c>
      <c r="H551">
        <v>0</v>
      </c>
      <c r="I551">
        <v>15.6</v>
      </c>
      <c r="J551">
        <v>11.7</v>
      </c>
      <c r="K551">
        <v>0</v>
      </c>
      <c r="L551">
        <v>13.4</v>
      </c>
      <c r="M551">
        <v>16.7</v>
      </c>
      <c r="N551">
        <v>0</v>
      </c>
      <c r="O551">
        <v>15.3</v>
      </c>
      <c r="P551">
        <v>11.1</v>
      </c>
      <c r="Q551">
        <v>0</v>
      </c>
      <c r="R551">
        <v>10.8</v>
      </c>
      <c r="S551">
        <v>14.1</v>
      </c>
      <c r="T551">
        <v>0</v>
      </c>
      <c r="U551">
        <v>-18</v>
      </c>
      <c r="V551">
        <v>-20.2</v>
      </c>
      <c r="W551">
        <v>-22</v>
      </c>
      <c r="X551">
        <v>-18.100000000000001</v>
      </c>
      <c r="Y551">
        <v>-13.2</v>
      </c>
      <c r="Z551">
        <v>-22</v>
      </c>
      <c r="AA551">
        <v>-3.7</v>
      </c>
      <c r="AB551">
        <v>-5.7</v>
      </c>
      <c r="AC551">
        <v>-5</v>
      </c>
      <c r="AD551">
        <v>12</v>
      </c>
      <c r="AE551">
        <v>10.4</v>
      </c>
      <c r="AF551">
        <v>0</v>
      </c>
      <c r="AG551">
        <v>10.8</v>
      </c>
      <c r="AH551">
        <v>10</v>
      </c>
      <c r="AI551">
        <v>10.3</v>
      </c>
      <c r="AJ551">
        <v>10</v>
      </c>
      <c r="AK551">
        <v>11.2</v>
      </c>
      <c r="AL551">
        <v>10</v>
      </c>
      <c r="AM551">
        <v>12.5</v>
      </c>
      <c r="AN551">
        <v>9</v>
      </c>
      <c r="AO551">
        <v>10.1</v>
      </c>
      <c r="AP551">
        <v>10</v>
      </c>
      <c r="AQ551">
        <v>10.6</v>
      </c>
      <c r="AR551">
        <v>10</v>
      </c>
      <c r="AS551">
        <v>8.6</v>
      </c>
      <c r="AT551">
        <v>10</v>
      </c>
      <c r="AU551">
        <v>18.899999999999999</v>
      </c>
      <c r="AV551">
        <v>19</v>
      </c>
      <c r="AW551">
        <v>19.899999999999999</v>
      </c>
      <c r="AX551">
        <v>19</v>
      </c>
      <c r="AY551">
        <v>10.9</v>
      </c>
      <c r="AZ551">
        <v>10</v>
      </c>
      <c r="BA551">
        <v>10.8</v>
      </c>
      <c r="BB551">
        <v>10</v>
      </c>
    </row>
    <row r="552" spans="1:54" x14ac:dyDescent="0.35">
      <c r="A552" s="1">
        <v>46059.841666666667</v>
      </c>
      <c r="B552">
        <v>22.5</v>
      </c>
      <c r="C552">
        <v>3</v>
      </c>
      <c r="D552">
        <v>21.2</v>
      </c>
      <c r="E552">
        <v>2</v>
      </c>
      <c r="F552">
        <v>9.6</v>
      </c>
      <c r="G552">
        <v>13.1</v>
      </c>
      <c r="H552">
        <v>0</v>
      </c>
      <c r="I552">
        <v>15.6</v>
      </c>
      <c r="J552">
        <v>11.7</v>
      </c>
      <c r="K552">
        <v>0</v>
      </c>
      <c r="L552">
        <v>13.4</v>
      </c>
      <c r="M552">
        <v>16.7</v>
      </c>
      <c r="N552">
        <v>0</v>
      </c>
      <c r="O552">
        <v>15.3</v>
      </c>
      <c r="P552">
        <v>11.1</v>
      </c>
      <c r="Q552">
        <v>0</v>
      </c>
      <c r="R552">
        <v>10.8</v>
      </c>
      <c r="S552">
        <v>14.1</v>
      </c>
      <c r="T552">
        <v>0</v>
      </c>
      <c r="U552">
        <v>-18</v>
      </c>
      <c r="V552">
        <v>-20</v>
      </c>
      <c r="W552">
        <v>-22</v>
      </c>
      <c r="X552">
        <v>-18.2</v>
      </c>
      <c r="Y552">
        <v>-13.4</v>
      </c>
      <c r="Z552">
        <v>-22</v>
      </c>
      <c r="AA552">
        <v>-4.0999999999999996</v>
      </c>
      <c r="AB552">
        <v>-6.3</v>
      </c>
      <c r="AC552">
        <v>-5</v>
      </c>
      <c r="AD552">
        <v>12</v>
      </c>
      <c r="AE552">
        <v>10.4</v>
      </c>
      <c r="AF552">
        <v>0</v>
      </c>
      <c r="AG552">
        <v>9.9</v>
      </c>
      <c r="AH552">
        <v>10</v>
      </c>
      <c r="AI552">
        <v>10.4</v>
      </c>
      <c r="AJ552">
        <v>10</v>
      </c>
      <c r="AK552">
        <v>11.2</v>
      </c>
      <c r="AL552">
        <v>10</v>
      </c>
      <c r="AM552">
        <v>12.5</v>
      </c>
      <c r="AN552">
        <v>9</v>
      </c>
      <c r="AO552">
        <v>10.1</v>
      </c>
      <c r="AP552">
        <v>10</v>
      </c>
      <c r="AQ552">
        <v>10.6</v>
      </c>
      <c r="AR552">
        <v>10</v>
      </c>
      <c r="AS552">
        <v>9.1999999999999993</v>
      </c>
      <c r="AT552">
        <v>10</v>
      </c>
      <c r="AU552">
        <v>19</v>
      </c>
      <c r="AV552">
        <v>19</v>
      </c>
      <c r="AW552">
        <v>20.2</v>
      </c>
      <c r="AX552">
        <v>19</v>
      </c>
      <c r="AY552">
        <v>9.9</v>
      </c>
      <c r="AZ552">
        <v>10</v>
      </c>
      <c r="BA552">
        <v>11.2</v>
      </c>
      <c r="BB552">
        <v>10</v>
      </c>
    </row>
    <row r="553" spans="1:54" x14ac:dyDescent="0.35">
      <c r="A553" s="1">
        <v>46059.842361111114</v>
      </c>
      <c r="B553">
        <v>22.5</v>
      </c>
      <c r="C553">
        <v>3</v>
      </c>
      <c r="D553">
        <v>21.2</v>
      </c>
      <c r="E553">
        <v>2</v>
      </c>
      <c r="F553">
        <v>9.6</v>
      </c>
      <c r="G553">
        <v>13.1</v>
      </c>
      <c r="H553">
        <v>0</v>
      </c>
      <c r="I553">
        <v>15.6</v>
      </c>
      <c r="J553">
        <v>11.7</v>
      </c>
      <c r="K553">
        <v>0</v>
      </c>
      <c r="L553">
        <v>13.4</v>
      </c>
      <c r="M553">
        <v>16.7</v>
      </c>
      <c r="N553">
        <v>0</v>
      </c>
      <c r="O553">
        <v>15.3</v>
      </c>
      <c r="P553">
        <v>11.1</v>
      </c>
      <c r="Q553">
        <v>0</v>
      </c>
      <c r="R553">
        <v>10.8</v>
      </c>
      <c r="S553">
        <v>14.1</v>
      </c>
      <c r="T553">
        <v>0</v>
      </c>
      <c r="U553">
        <v>-18.100000000000001</v>
      </c>
      <c r="V553">
        <v>-20.3</v>
      </c>
      <c r="W553">
        <v>-22</v>
      </c>
      <c r="X553">
        <v>-18.2</v>
      </c>
      <c r="Y553">
        <v>-13.6</v>
      </c>
      <c r="Z553">
        <v>-22</v>
      </c>
      <c r="AA553">
        <v>-4.5</v>
      </c>
      <c r="AB553">
        <v>-6.8</v>
      </c>
      <c r="AC553">
        <v>-5</v>
      </c>
      <c r="AD553">
        <v>12</v>
      </c>
      <c r="AE553">
        <v>10.4</v>
      </c>
      <c r="AF553">
        <v>0</v>
      </c>
      <c r="AG553">
        <v>9.6</v>
      </c>
      <c r="AH553">
        <v>10</v>
      </c>
      <c r="AI553">
        <v>10.6</v>
      </c>
      <c r="AJ553">
        <v>10</v>
      </c>
      <c r="AK553">
        <v>11.2</v>
      </c>
      <c r="AL553">
        <v>10</v>
      </c>
      <c r="AM553">
        <v>12.5</v>
      </c>
      <c r="AN553">
        <v>9</v>
      </c>
      <c r="AO553">
        <v>10.4</v>
      </c>
      <c r="AP553">
        <v>10</v>
      </c>
      <c r="AQ553">
        <v>10.6</v>
      </c>
      <c r="AR553">
        <v>10</v>
      </c>
      <c r="AS553">
        <v>9.6999999999999993</v>
      </c>
      <c r="AT553">
        <v>10</v>
      </c>
      <c r="AU553">
        <v>19.100000000000001</v>
      </c>
      <c r="AV553">
        <v>19</v>
      </c>
      <c r="AW553">
        <v>20.3</v>
      </c>
      <c r="AX553">
        <v>19</v>
      </c>
      <c r="AY553">
        <v>9.6999999999999993</v>
      </c>
      <c r="AZ553">
        <v>10</v>
      </c>
      <c r="BA553">
        <v>11.4</v>
      </c>
      <c r="BB553">
        <v>10</v>
      </c>
    </row>
    <row r="554" spans="1:54" x14ac:dyDescent="0.35">
      <c r="A554" s="1">
        <v>46059.843055555553</v>
      </c>
      <c r="B554">
        <v>22.5</v>
      </c>
      <c r="C554">
        <v>3</v>
      </c>
      <c r="D554">
        <v>21.2</v>
      </c>
      <c r="E554">
        <v>2</v>
      </c>
      <c r="F554">
        <v>9.6</v>
      </c>
      <c r="G554">
        <v>13.1</v>
      </c>
      <c r="H554">
        <v>0</v>
      </c>
      <c r="I554">
        <v>15.6</v>
      </c>
      <c r="J554">
        <v>11.7</v>
      </c>
      <c r="K554">
        <v>0</v>
      </c>
      <c r="L554">
        <v>13.4</v>
      </c>
      <c r="M554">
        <v>16.7</v>
      </c>
      <c r="N554">
        <v>0</v>
      </c>
      <c r="O554">
        <v>15.3</v>
      </c>
      <c r="P554">
        <v>11.1</v>
      </c>
      <c r="Q554">
        <v>0</v>
      </c>
      <c r="R554">
        <v>10.8</v>
      </c>
      <c r="S554">
        <v>14.1</v>
      </c>
      <c r="T554">
        <v>0</v>
      </c>
      <c r="U554">
        <v>-18.2</v>
      </c>
      <c r="V554">
        <v>-20.3</v>
      </c>
      <c r="W554">
        <v>-22</v>
      </c>
      <c r="X554">
        <v>-18.3</v>
      </c>
      <c r="Y554">
        <v>-13.8</v>
      </c>
      <c r="Z554">
        <v>-22</v>
      </c>
      <c r="AA554">
        <v>-5</v>
      </c>
      <c r="AB554">
        <v>-7.4</v>
      </c>
      <c r="AC554">
        <v>-5</v>
      </c>
      <c r="AD554">
        <v>12</v>
      </c>
      <c r="AE554">
        <v>10.4</v>
      </c>
      <c r="AF554">
        <v>0</v>
      </c>
      <c r="AG554">
        <v>9.6</v>
      </c>
      <c r="AH554">
        <v>10</v>
      </c>
      <c r="AI554">
        <v>10.7</v>
      </c>
      <c r="AJ554">
        <v>10</v>
      </c>
      <c r="AK554">
        <v>11.3</v>
      </c>
      <c r="AL554">
        <v>10</v>
      </c>
      <c r="AM554">
        <v>12.4</v>
      </c>
      <c r="AN554">
        <v>9</v>
      </c>
      <c r="AO554">
        <v>11.1</v>
      </c>
      <c r="AP554">
        <v>10</v>
      </c>
      <c r="AQ554">
        <v>10.5</v>
      </c>
      <c r="AR554">
        <v>10</v>
      </c>
      <c r="AS554">
        <v>10.1</v>
      </c>
      <c r="AT554">
        <v>10</v>
      </c>
      <c r="AU554">
        <v>19.100000000000001</v>
      </c>
      <c r="AV554">
        <v>19</v>
      </c>
      <c r="AW554">
        <v>20.399999999999999</v>
      </c>
      <c r="AX554">
        <v>19</v>
      </c>
      <c r="AY554">
        <v>9.9</v>
      </c>
      <c r="AZ554">
        <v>10</v>
      </c>
      <c r="BA554">
        <v>11.7</v>
      </c>
      <c r="BB554">
        <v>10</v>
      </c>
    </row>
    <row r="555" spans="1:54" x14ac:dyDescent="0.35">
      <c r="A555" s="1">
        <v>46059.84375</v>
      </c>
      <c r="B555">
        <v>22.5</v>
      </c>
      <c r="C555">
        <v>3</v>
      </c>
      <c r="D555">
        <v>21.2</v>
      </c>
      <c r="E555">
        <v>2</v>
      </c>
      <c r="F555">
        <v>9.6</v>
      </c>
      <c r="G555">
        <v>13.1</v>
      </c>
      <c r="H555">
        <v>0</v>
      </c>
      <c r="I555">
        <v>15.7</v>
      </c>
      <c r="J555">
        <v>11.7</v>
      </c>
      <c r="K555">
        <v>0</v>
      </c>
      <c r="L555">
        <v>13.4</v>
      </c>
      <c r="M555">
        <v>16.7</v>
      </c>
      <c r="N555">
        <v>0</v>
      </c>
      <c r="O555">
        <v>15.3</v>
      </c>
      <c r="P555">
        <v>11.2</v>
      </c>
      <c r="Q555">
        <v>0</v>
      </c>
      <c r="R555">
        <v>10.8</v>
      </c>
      <c r="S555">
        <v>14.1</v>
      </c>
      <c r="T555">
        <v>0</v>
      </c>
      <c r="U555">
        <v>-18.2</v>
      </c>
      <c r="V555">
        <v>-20.2</v>
      </c>
      <c r="W555">
        <v>-22</v>
      </c>
      <c r="X555">
        <v>-18.399999999999999</v>
      </c>
      <c r="Y555">
        <v>-14</v>
      </c>
      <c r="Z555">
        <v>-22</v>
      </c>
      <c r="AA555">
        <v>-5.0999999999999996</v>
      </c>
      <c r="AB555">
        <v>-6.4</v>
      </c>
      <c r="AC555">
        <v>-5</v>
      </c>
      <c r="AD555">
        <v>12</v>
      </c>
      <c r="AE555">
        <v>10.4</v>
      </c>
      <c r="AF555">
        <v>0</v>
      </c>
      <c r="AG555">
        <v>10</v>
      </c>
      <c r="AH555">
        <v>10</v>
      </c>
      <c r="AI555">
        <v>10.9</v>
      </c>
      <c r="AJ555">
        <v>10</v>
      </c>
      <c r="AK555">
        <v>11.3</v>
      </c>
      <c r="AL555">
        <v>10</v>
      </c>
      <c r="AM555">
        <v>12.4</v>
      </c>
      <c r="AN555">
        <v>9</v>
      </c>
      <c r="AO555">
        <v>11.4</v>
      </c>
      <c r="AP555">
        <v>10</v>
      </c>
      <c r="AQ555">
        <v>10.4</v>
      </c>
      <c r="AR555">
        <v>10</v>
      </c>
      <c r="AS555">
        <v>10.4</v>
      </c>
      <c r="AT555">
        <v>10</v>
      </c>
      <c r="AU555">
        <v>19.100000000000001</v>
      </c>
      <c r="AV555">
        <v>19</v>
      </c>
      <c r="AW555">
        <v>20.3</v>
      </c>
      <c r="AX555">
        <v>19</v>
      </c>
      <c r="AY555">
        <v>10.3</v>
      </c>
      <c r="AZ555">
        <v>10</v>
      </c>
      <c r="BA555">
        <v>12</v>
      </c>
      <c r="BB555">
        <v>10</v>
      </c>
    </row>
    <row r="556" spans="1:54" x14ac:dyDescent="0.35">
      <c r="A556" s="1">
        <v>46059.844444444447</v>
      </c>
      <c r="B556">
        <v>22.5</v>
      </c>
      <c r="C556">
        <v>3</v>
      </c>
      <c r="D556">
        <v>21.2</v>
      </c>
      <c r="E556">
        <v>2</v>
      </c>
      <c r="F556">
        <v>9.6</v>
      </c>
      <c r="G556">
        <v>13.1</v>
      </c>
      <c r="H556">
        <v>0</v>
      </c>
      <c r="I556">
        <v>15.7</v>
      </c>
      <c r="J556">
        <v>11.7</v>
      </c>
      <c r="K556">
        <v>0</v>
      </c>
      <c r="L556">
        <v>13.4</v>
      </c>
      <c r="M556">
        <v>16.7</v>
      </c>
      <c r="N556">
        <v>0</v>
      </c>
      <c r="O556">
        <v>15.3</v>
      </c>
      <c r="P556">
        <v>11.2</v>
      </c>
      <c r="Q556">
        <v>0</v>
      </c>
      <c r="R556">
        <v>10.8</v>
      </c>
      <c r="S556">
        <v>14.1</v>
      </c>
      <c r="T556">
        <v>0</v>
      </c>
      <c r="U556">
        <v>-18.3</v>
      </c>
      <c r="V556">
        <v>-20.7</v>
      </c>
      <c r="W556">
        <v>-22</v>
      </c>
      <c r="X556">
        <v>-18.5</v>
      </c>
      <c r="Y556">
        <v>-14.3</v>
      </c>
      <c r="Z556">
        <v>-22</v>
      </c>
      <c r="AA556">
        <v>-4.2</v>
      </c>
      <c r="AB556">
        <v>-4.5</v>
      </c>
      <c r="AC556">
        <v>-5</v>
      </c>
      <c r="AD556">
        <v>12</v>
      </c>
      <c r="AE556">
        <v>10.4</v>
      </c>
      <c r="AF556">
        <v>0</v>
      </c>
      <c r="AG556">
        <v>10.3</v>
      </c>
      <c r="AH556">
        <v>10</v>
      </c>
      <c r="AI556">
        <v>11</v>
      </c>
      <c r="AJ556">
        <v>10</v>
      </c>
      <c r="AK556">
        <v>11.5</v>
      </c>
      <c r="AL556">
        <v>10</v>
      </c>
      <c r="AM556">
        <v>12.4</v>
      </c>
      <c r="AN556">
        <v>9</v>
      </c>
      <c r="AO556">
        <v>11.6</v>
      </c>
      <c r="AP556">
        <v>10</v>
      </c>
      <c r="AQ556">
        <v>10.4</v>
      </c>
      <c r="AR556">
        <v>10</v>
      </c>
      <c r="AS556">
        <v>10.7</v>
      </c>
      <c r="AT556">
        <v>10</v>
      </c>
      <c r="AU556">
        <v>19.3</v>
      </c>
      <c r="AV556">
        <v>19</v>
      </c>
      <c r="AW556">
        <v>20.5</v>
      </c>
      <c r="AX556">
        <v>19</v>
      </c>
      <c r="AY556">
        <v>10.6</v>
      </c>
      <c r="AZ556">
        <v>10</v>
      </c>
      <c r="BA556">
        <v>12</v>
      </c>
      <c r="BB556">
        <v>10</v>
      </c>
    </row>
    <row r="557" spans="1:54" x14ac:dyDescent="0.35">
      <c r="A557" s="1">
        <v>46059.845138888886</v>
      </c>
      <c r="B557">
        <v>22.5</v>
      </c>
      <c r="C557">
        <v>3</v>
      </c>
      <c r="D557">
        <v>21.2</v>
      </c>
      <c r="E557">
        <v>2</v>
      </c>
      <c r="F557">
        <v>9.6</v>
      </c>
      <c r="G557">
        <v>13.1</v>
      </c>
      <c r="H557">
        <v>0</v>
      </c>
      <c r="I557">
        <v>15.7</v>
      </c>
      <c r="J557">
        <v>11.7</v>
      </c>
      <c r="K557">
        <v>0</v>
      </c>
      <c r="L557">
        <v>13.4</v>
      </c>
      <c r="M557">
        <v>16.7</v>
      </c>
      <c r="N557">
        <v>0</v>
      </c>
      <c r="O557">
        <v>15.3</v>
      </c>
      <c r="P557">
        <v>11.2</v>
      </c>
      <c r="Q557">
        <v>0</v>
      </c>
      <c r="R557">
        <v>10.8</v>
      </c>
      <c r="S557">
        <v>14.1</v>
      </c>
      <c r="T557">
        <v>0</v>
      </c>
      <c r="U557">
        <v>-18.3</v>
      </c>
      <c r="V557">
        <v>-20.399999999999999</v>
      </c>
      <c r="W557">
        <v>-22</v>
      </c>
      <c r="X557">
        <v>-18.5</v>
      </c>
      <c r="Y557">
        <v>-14.4</v>
      </c>
      <c r="Z557">
        <v>-22</v>
      </c>
      <c r="AA557">
        <v>-3.4</v>
      </c>
      <c r="AB557">
        <v>-3.5</v>
      </c>
      <c r="AC557">
        <v>-5</v>
      </c>
      <c r="AD557">
        <v>12</v>
      </c>
      <c r="AE557">
        <v>10.4</v>
      </c>
      <c r="AF557">
        <v>0</v>
      </c>
      <c r="AG557">
        <v>10.6</v>
      </c>
      <c r="AH557">
        <v>10</v>
      </c>
      <c r="AI557">
        <v>11.1</v>
      </c>
      <c r="AJ557">
        <v>10</v>
      </c>
      <c r="AK557">
        <v>11.6</v>
      </c>
      <c r="AL557">
        <v>10</v>
      </c>
      <c r="AM557">
        <v>12.4</v>
      </c>
      <c r="AN557">
        <v>9</v>
      </c>
      <c r="AO557">
        <v>11.7</v>
      </c>
      <c r="AP557">
        <v>10</v>
      </c>
      <c r="AQ557">
        <v>10.4</v>
      </c>
      <c r="AR557">
        <v>10</v>
      </c>
      <c r="AS557">
        <v>11</v>
      </c>
      <c r="AT557">
        <v>10</v>
      </c>
      <c r="AU557">
        <v>19.399999999999999</v>
      </c>
      <c r="AV557">
        <v>19</v>
      </c>
      <c r="AW557">
        <v>20.5</v>
      </c>
      <c r="AX557">
        <v>19</v>
      </c>
      <c r="AY557">
        <v>11</v>
      </c>
      <c r="AZ557">
        <v>10</v>
      </c>
      <c r="BA557">
        <v>11.2</v>
      </c>
      <c r="BB557">
        <v>10</v>
      </c>
    </row>
    <row r="558" spans="1:54" x14ac:dyDescent="0.35">
      <c r="A558" s="1">
        <v>46059.845833333333</v>
      </c>
      <c r="B558">
        <v>22.5</v>
      </c>
      <c r="C558">
        <v>3</v>
      </c>
      <c r="D558">
        <v>21.2</v>
      </c>
      <c r="E558">
        <v>2</v>
      </c>
      <c r="F558">
        <v>9.6</v>
      </c>
      <c r="G558">
        <v>13.1</v>
      </c>
      <c r="H558">
        <v>0</v>
      </c>
      <c r="I558">
        <v>15.7</v>
      </c>
      <c r="J558">
        <v>11.7</v>
      </c>
      <c r="K558">
        <v>0</v>
      </c>
      <c r="L558">
        <v>13.4</v>
      </c>
      <c r="M558">
        <v>16.7</v>
      </c>
      <c r="N558">
        <v>0</v>
      </c>
      <c r="O558">
        <v>15.3</v>
      </c>
      <c r="P558">
        <v>11.2</v>
      </c>
      <c r="Q558">
        <v>0</v>
      </c>
      <c r="R558">
        <v>10.8</v>
      </c>
      <c r="S558">
        <v>14.2</v>
      </c>
      <c r="T558">
        <v>0</v>
      </c>
      <c r="U558">
        <v>-18.399999999999999</v>
      </c>
      <c r="V558">
        <v>-20.6</v>
      </c>
      <c r="W558">
        <v>-22</v>
      </c>
      <c r="X558">
        <v>-18.600000000000001</v>
      </c>
      <c r="Y558">
        <v>-14.6</v>
      </c>
      <c r="Z558">
        <v>-22</v>
      </c>
      <c r="AA558">
        <v>-2.8</v>
      </c>
      <c r="AB558">
        <v>-2.9</v>
      </c>
      <c r="AC558">
        <v>-5</v>
      </c>
      <c r="AD558">
        <v>12</v>
      </c>
      <c r="AE558">
        <v>10.4</v>
      </c>
      <c r="AF558">
        <v>0</v>
      </c>
      <c r="AG558">
        <v>10.8</v>
      </c>
      <c r="AH558">
        <v>10</v>
      </c>
      <c r="AI558">
        <v>11.3</v>
      </c>
      <c r="AJ558">
        <v>10</v>
      </c>
      <c r="AK558">
        <v>11.7</v>
      </c>
      <c r="AL558">
        <v>10</v>
      </c>
      <c r="AM558">
        <v>12.4</v>
      </c>
      <c r="AN558">
        <v>9</v>
      </c>
      <c r="AO558">
        <v>11.9</v>
      </c>
      <c r="AP558">
        <v>10</v>
      </c>
      <c r="AQ558">
        <v>10.4</v>
      </c>
      <c r="AR558">
        <v>10</v>
      </c>
      <c r="AS558">
        <v>11.2</v>
      </c>
      <c r="AT558">
        <v>10</v>
      </c>
      <c r="AU558">
        <v>19.399999999999999</v>
      </c>
      <c r="AV558">
        <v>19</v>
      </c>
      <c r="AW558">
        <v>20.5</v>
      </c>
      <c r="AX558">
        <v>19</v>
      </c>
      <c r="AY558">
        <v>11.2</v>
      </c>
      <c r="AZ558">
        <v>10</v>
      </c>
      <c r="BA558">
        <v>10.199999999999999</v>
      </c>
      <c r="BB558">
        <v>10</v>
      </c>
    </row>
    <row r="559" spans="1:54" x14ac:dyDescent="0.35">
      <c r="A559" s="1">
        <v>46059.84652777778</v>
      </c>
      <c r="B559">
        <v>22.5</v>
      </c>
      <c r="C559">
        <v>3</v>
      </c>
      <c r="D559">
        <v>21.2</v>
      </c>
      <c r="E559">
        <v>2</v>
      </c>
      <c r="F559">
        <v>9.6</v>
      </c>
      <c r="G559">
        <v>13.1</v>
      </c>
      <c r="H559">
        <v>0</v>
      </c>
      <c r="I559">
        <v>15.7</v>
      </c>
      <c r="J559">
        <v>11.8</v>
      </c>
      <c r="K559">
        <v>0</v>
      </c>
      <c r="L559">
        <v>13.4</v>
      </c>
      <c r="M559">
        <v>16.7</v>
      </c>
      <c r="N559">
        <v>0</v>
      </c>
      <c r="O559">
        <v>15.3</v>
      </c>
      <c r="P559">
        <v>11.2</v>
      </c>
      <c r="Q559">
        <v>0</v>
      </c>
      <c r="R559">
        <v>10.8</v>
      </c>
      <c r="S559">
        <v>14.2</v>
      </c>
      <c r="T559">
        <v>0</v>
      </c>
      <c r="U559">
        <v>-18.399999999999999</v>
      </c>
      <c r="V559">
        <v>-20.5</v>
      </c>
      <c r="W559">
        <v>-22</v>
      </c>
      <c r="X559">
        <v>-18.600000000000001</v>
      </c>
      <c r="Y559">
        <v>-14.7</v>
      </c>
      <c r="Z559">
        <v>-22</v>
      </c>
      <c r="AA559">
        <v>-2.7</v>
      </c>
      <c r="AB559">
        <v>-4</v>
      </c>
      <c r="AC559">
        <v>-5</v>
      </c>
      <c r="AD559">
        <v>12</v>
      </c>
      <c r="AE559">
        <v>10.4</v>
      </c>
      <c r="AF559">
        <v>0</v>
      </c>
      <c r="AG559">
        <v>11</v>
      </c>
      <c r="AH559">
        <v>10</v>
      </c>
      <c r="AI559">
        <v>11.4</v>
      </c>
      <c r="AJ559">
        <v>10</v>
      </c>
      <c r="AK559">
        <v>11.7</v>
      </c>
      <c r="AL559">
        <v>10</v>
      </c>
      <c r="AM559">
        <v>12.4</v>
      </c>
      <c r="AN559">
        <v>9</v>
      </c>
      <c r="AO559">
        <v>12</v>
      </c>
      <c r="AP559">
        <v>10</v>
      </c>
      <c r="AQ559">
        <v>10.3</v>
      </c>
      <c r="AR559">
        <v>10</v>
      </c>
      <c r="AS559">
        <v>11.4</v>
      </c>
      <c r="AT559">
        <v>10</v>
      </c>
      <c r="AU559">
        <v>19.5</v>
      </c>
      <c r="AV559">
        <v>19</v>
      </c>
      <c r="AW559">
        <v>20.6</v>
      </c>
      <c r="AX559">
        <v>19</v>
      </c>
      <c r="AY559">
        <v>11.4</v>
      </c>
      <c r="AZ559">
        <v>10</v>
      </c>
      <c r="BA559">
        <v>9.6999999999999993</v>
      </c>
      <c r="BB559">
        <v>10</v>
      </c>
    </row>
    <row r="560" spans="1:54" x14ac:dyDescent="0.35">
      <c r="A560" s="1">
        <v>46059.847222222219</v>
      </c>
      <c r="B560">
        <v>22.5</v>
      </c>
      <c r="C560">
        <v>3</v>
      </c>
      <c r="D560">
        <v>21.2</v>
      </c>
      <c r="E560">
        <v>2</v>
      </c>
      <c r="F560">
        <v>9.6</v>
      </c>
      <c r="G560">
        <v>13.1</v>
      </c>
      <c r="H560">
        <v>0</v>
      </c>
      <c r="I560">
        <v>15.7</v>
      </c>
      <c r="J560">
        <v>11.8</v>
      </c>
      <c r="K560">
        <v>0</v>
      </c>
      <c r="L560">
        <v>13.4</v>
      </c>
      <c r="M560">
        <v>16.7</v>
      </c>
      <c r="N560">
        <v>0</v>
      </c>
      <c r="O560">
        <v>15.3</v>
      </c>
      <c r="P560">
        <v>11.2</v>
      </c>
      <c r="Q560">
        <v>0</v>
      </c>
      <c r="R560">
        <v>10.8</v>
      </c>
      <c r="S560">
        <v>14.2</v>
      </c>
      <c r="T560">
        <v>0</v>
      </c>
      <c r="U560">
        <v>-18.399999999999999</v>
      </c>
      <c r="V560">
        <v>-20.6</v>
      </c>
      <c r="W560">
        <v>-22</v>
      </c>
      <c r="X560">
        <v>-18.7</v>
      </c>
      <c r="Y560">
        <v>-14.9</v>
      </c>
      <c r="Z560">
        <v>-22</v>
      </c>
      <c r="AA560">
        <v>-3.2</v>
      </c>
      <c r="AB560">
        <v>-5</v>
      </c>
      <c r="AC560">
        <v>-5</v>
      </c>
      <c r="AD560">
        <v>12</v>
      </c>
      <c r="AE560">
        <v>10.4</v>
      </c>
      <c r="AF560">
        <v>0</v>
      </c>
      <c r="AG560">
        <v>11.2</v>
      </c>
      <c r="AH560">
        <v>10</v>
      </c>
      <c r="AI560">
        <v>11.5</v>
      </c>
      <c r="AJ560">
        <v>10</v>
      </c>
      <c r="AK560">
        <v>11.8</v>
      </c>
      <c r="AL560">
        <v>10</v>
      </c>
      <c r="AM560">
        <v>12.5</v>
      </c>
      <c r="AN560">
        <v>9</v>
      </c>
      <c r="AO560">
        <v>11.3</v>
      </c>
      <c r="AP560">
        <v>10</v>
      </c>
      <c r="AQ560">
        <v>10.3</v>
      </c>
      <c r="AR560">
        <v>10</v>
      </c>
      <c r="AS560">
        <v>11.6</v>
      </c>
      <c r="AT560">
        <v>10</v>
      </c>
      <c r="AU560">
        <v>19.600000000000001</v>
      </c>
      <c r="AV560">
        <v>19</v>
      </c>
      <c r="AW560">
        <v>20.6</v>
      </c>
      <c r="AX560">
        <v>19</v>
      </c>
      <c r="AY560">
        <v>11.7</v>
      </c>
      <c r="AZ560">
        <v>10</v>
      </c>
      <c r="BA560">
        <v>9.6</v>
      </c>
      <c r="BB560">
        <v>10</v>
      </c>
    </row>
    <row r="561" spans="1:54" x14ac:dyDescent="0.35">
      <c r="A561" s="1">
        <v>46059.847916666666</v>
      </c>
      <c r="B561">
        <v>22.5</v>
      </c>
      <c r="C561">
        <v>3</v>
      </c>
      <c r="D561">
        <v>21.2</v>
      </c>
      <c r="E561">
        <v>2</v>
      </c>
      <c r="F561">
        <v>9.6</v>
      </c>
      <c r="G561">
        <v>13.1</v>
      </c>
      <c r="H561">
        <v>0</v>
      </c>
      <c r="I561">
        <v>15.7</v>
      </c>
      <c r="J561">
        <v>11.8</v>
      </c>
      <c r="K561">
        <v>0</v>
      </c>
      <c r="L561">
        <v>13.4</v>
      </c>
      <c r="M561">
        <v>16.7</v>
      </c>
      <c r="N561">
        <v>0</v>
      </c>
      <c r="O561">
        <v>15.3</v>
      </c>
      <c r="P561">
        <v>11.2</v>
      </c>
      <c r="Q561">
        <v>0</v>
      </c>
      <c r="R561">
        <v>10.8</v>
      </c>
      <c r="S561">
        <v>14.2</v>
      </c>
      <c r="T561">
        <v>0</v>
      </c>
      <c r="U561">
        <v>-18.399999999999999</v>
      </c>
      <c r="V561">
        <v>-20.8</v>
      </c>
      <c r="W561">
        <v>-22</v>
      </c>
      <c r="X561">
        <v>-18.7</v>
      </c>
      <c r="Y561">
        <v>-15</v>
      </c>
      <c r="Z561">
        <v>-22</v>
      </c>
      <c r="AA561">
        <v>-3.6</v>
      </c>
      <c r="AB561">
        <v>-5.7</v>
      </c>
      <c r="AC561">
        <v>-5</v>
      </c>
      <c r="AD561">
        <v>12</v>
      </c>
      <c r="AE561">
        <v>10.4</v>
      </c>
      <c r="AF561">
        <v>0</v>
      </c>
      <c r="AG561">
        <v>11.3</v>
      </c>
      <c r="AH561">
        <v>10</v>
      </c>
      <c r="AI561">
        <v>11.6</v>
      </c>
      <c r="AJ561">
        <v>10</v>
      </c>
      <c r="AK561">
        <v>11.8</v>
      </c>
      <c r="AL561">
        <v>10</v>
      </c>
      <c r="AM561">
        <v>12.5</v>
      </c>
      <c r="AN561">
        <v>9</v>
      </c>
      <c r="AO561">
        <v>10.4</v>
      </c>
      <c r="AP561">
        <v>10</v>
      </c>
      <c r="AQ561">
        <v>10.199999999999999</v>
      </c>
      <c r="AR561">
        <v>10</v>
      </c>
      <c r="AS561">
        <v>11.8</v>
      </c>
      <c r="AT561">
        <v>10</v>
      </c>
      <c r="AU561">
        <v>19.600000000000001</v>
      </c>
      <c r="AV561">
        <v>19</v>
      </c>
      <c r="AW561">
        <v>20.8</v>
      </c>
      <c r="AX561">
        <v>19</v>
      </c>
      <c r="AY561">
        <v>11.8</v>
      </c>
      <c r="AZ561">
        <v>10</v>
      </c>
      <c r="BA561">
        <v>10.1</v>
      </c>
      <c r="BB561">
        <v>10</v>
      </c>
    </row>
    <row r="562" spans="1:54" x14ac:dyDescent="0.35">
      <c r="A562" s="1">
        <v>46059.848611111112</v>
      </c>
      <c r="B562">
        <v>22.5</v>
      </c>
      <c r="C562">
        <v>3</v>
      </c>
      <c r="D562">
        <v>21.2</v>
      </c>
      <c r="E562">
        <v>2</v>
      </c>
      <c r="F562">
        <v>9.6</v>
      </c>
      <c r="G562">
        <v>13.1</v>
      </c>
      <c r="H562">
        <v>0</v>
      </c>
      <c r="I562">
        <v>15.7</v>
      </c>
      <c r="J562">
        <v>11.8</v>
      </c>
      <c r="K562">
        <v>0</v>
      </c>
      <c r="L562">
        <v>13.4</v>
      </c>
      <c r="M562">
        <v>16.7</v>
      </c>
      <c r="N562">
        <v>0</v>
      </c>
      <c r="O562">
        <v>15.3</v>
      </c>
      <c r="P562">
        <v>11.2</v>
      </c>
      <c r="Q562">
        <v>0</v>
      </c>
      <c r="R562">
        <v>10.8</v>
      </c>
      <c r="S562">
        <v>14.2</v>
      </c>
      <c r="T562">
        <v>0</v>
      </c>
      <c r="U562">
        <v>-18.5</v>
      </c>
      <c r="V562">
        <v>-20.5</v>
      </c>
      <c r="W562">
        <v>-22</v>
      </c>
      <c r="X562">
        <v>-18.8</v>
      </c>
      <c r="Y562">
        <v>-15.2</v>
      </c>
      <c r="Z562">
        <v>-22</v>
      </c>
      <c r="AA562">
        <v>-4.0999999999999996</v>
      </c>
      <c r="AB562">
        <v>-6.3</v>
      </c>
      <c r="AC562">
        <v>-5</v>
      </c>
      <c r="AD562">
        <v>12</v>
      </c>
      <c r="AE562">
        <v>10.4</v>
      </c>
      <c r="AF562">
        <v>0</v>
      </c>
      <c r="AG562">
        <v>11.4</v>
      </c>
      <c r="AH562">
        <v>10</v>
      </c>
      <c r="AI562">
        <v>11.7</v>
      </c>
      <c r="AJ562">
        <v>10</v>
      </c>
      <c r="AK562">
        <v>11.8</v>
      </c>
      <c r="AL562">
        <v>10</v>
      </c>
      <c r="AM562">
        <v>12.5</v>
      </c>
      <c r="AN562">
        <v>9</v>
      </c>
      <c r="AO562">
        <v>10</v>
      </c>
      <c r="AP562">
        <v>10</v>
      </c>
      <c r="AQ562">
        <v>10</v>
      </c>
      <c r="AR562">
        <v>10</v>
      </c>
      <c r="AS562">
        <v>12</v>
      </c>
      <c r="AT562">
        <v>10</v>
      </c>
      <c r="AU562">
        <v>19.600000000000001</v>
      </c>
      <c r="AV562">
        <v>19</v>
      </c>
      <c r="AW562">
        <v>20.9</v>
      </c>
      <c r="AX562">
        <v>19</v>
      </c>
      <c r="AY562">
        <v>12</v>
      </c>
      <c r="AZ562">
        <v>10</v>
      </c>
      <c r="BA562">
        <v>10.5</v>
      </c>
      <c r="BB562">
        <v>10</v>
      </c>
    </row>
    <row r="563" spans="1:54" x14ac:dyDescent="0.35">
      <c r="A563" s="1">
        <v>46059.849305555559</v>
      </c>
      <c r="B563">
        <v>22.5</v>
      </c>
      <c r="C563">
        <v>3</v>
      </c>
      <c r="D563">
        <v>21.2</v>
      </c>
      <c r="E563">
        <v>2</v>
      </c>
      <c r="F563">
        <v>9.6</v>
      </c>
      <c r="G563">
        <v>13.1</v>
      </c>
      <c r="H563">
        <v>0</v>
      </c>
      <c r="I563">
        <v>15.7</v>
      </c>
      <c r="J563">
        <v>11.8</v>
      </c>
      <c r="K563">
        <v>0</v>
      </c>
      <c r="L563">
        <v>13.4</v>
      </c>
      <c r="M563">
        <v>16.7</v>
      </c>
      <c r="N563">
        <v>0</v>
      </c>
      <c r="O563">
        <v>15.3</v>
      </c>
      <c r="P563">
        <v>11.2</v>
      </c>
      <c r="Q563">
        <v>0</v>
      </c>
      <c r="R563">
        <v>10.8</v>
      </c>
      <c r="S563">
        <v>14.2</v>
      </c>
      <c r="T563">
        <v>0</v>
      </c>
      <c r="U563">
        <v>-18.5</v>
      </c>
      <c r="V563">
        <v>-20.9</v>
      </c>
      <c r="W563">
        <v>-22</v>
      </c>
      <c r="X563">
        <v>-18.8</v>
      </c>
      <c r="Y563">
        <v>-15.3</v>
      </c>
      <c r="Z563">
        <v>-22</v>
      </c>
      <c r="AA563">
        <v>-4.5999999999999996</v>
      </c>
      <c r="AB563">
        <v>-6.9</v>
      </c>
      <c r="AC563">
        <v>-5</v>
      </c>
      <c r="AD563">
        <v>12</v>
      </c>
      <c r="AE563">
        <v>10.4</v>
      </c>
      <c r="AF563">
        <v>0</v>
      </c>
      <c r="AG563">
        <v>11.5</v>
      </c>
      <c r="AH563">
        <v>10</v>
      </c>
      <c r="AI563">
        <v>11.7</v>
      </c>
      <c r="AJ563">
        <v>10</v>
      </c>
      <c r="AK563">
        <v>11.8</v>
      </c>
      <c r="AL563">
        <v>10</v>
      </c>
      <c r="AM563">
        <v>12.5</v>
      </c>
      <c r="AN563">
        <v>9</v>
      </c>
      <c r="AO563">
        <v>10.8</v>
      </c>
      <c r="AP563">
        <v>10</v>
      </c>
      <c r="AQ563">
        <v>9.9</v>
      </c>
      <c r="AR563">
        <v>10</v>
      </c>
      <c r="AS563">
        <v>10.3</v>
      </c>
      <c r="AT563">
        <v>10</v>
      </c>
      <c r="AU563">
        <v>19.600000000000001</v>
      </c>
      <c r="AV563">
        <v>19</v>
      </c>
      <c r="AW563">
        <v>20.9</v>
      </c>
      <c r="AX563">
        <v>19</v>
      </c>
      <c r="AY563">
        <v>11.7</v>
      </c>
      <c r="AZ563">
        <v>10</v>
      </c>
      <c r="BA563">
        <v>10.9</v>
      </c>
      <c r="BB563">
        <v>10</v>
      </c>
    </row>
    <row r="564" spans="1:54" x14ac:dyDescent="0.35">
      <c r="A564" s="1">
        <v>46059.85</v>
      </c>
      <c r="B564">
        <v>22.5</v>
      </c>
      <c r="C564">
        <v>3</v>
      </c>
      <c r="D564">
        <v>21.2</v>
      </c>
      <c r="E564">
        <v>2</v>
      </c>
      <c r="F564">
        <v>9.6</v>
      </c>
      <c r="G564">
        <v>13.1</v>
      </c>
      <c r="H564">
        <v>0</v>
      </c>
      <c r="I564">
        <v>15.7</v>
      </c>
      <c r="J564">
        <v>11.8</v>
      </c>
      <c r="K564">
        <v>0</v>
      </c>
      <c r="L564">
        <v>13.4</v>
      </c>
      <c r="M564">
        <v>16.7</v>
      </c>
      <c r="N564">
        <v>0</v>
      </c>
      <c r="O564">
        <v>15.3</v>
      </c>
      <c r="P564">
        <v>11.2</v>
      </c>
      <c r="Q564">
        <v>0</v>
      </c>
      <c r="R564">
        <v>10.8</v>
      </c>
      <c r="S564">
        <v>14.2</v>
      </c>
      <c r="T564">
        <v>0</v>
      </c>
      <c r="U564">
        <v>-18.5</v>
      </c>
      <c r="V564">
        <v>-20.7</v>
      </c>
      <c r="W564">
        <v>-22</v>
      </c>
      <c r="X564">
        <v>-18.899999999999999</v>
      </c>
      <c r="Y564">
        <v>-15.5</v>
      </c>
      <c r="Z564">
        <v>-22</v>
      </c>
      <c r="AA564">
        <v>-5</v>
      </c>
      <c r="AB564">
        <v>-7.3</v>
      </c>
      <c r="AC564">
        <v>-5</v>
      </c>
      <c r="AD564">
        <v>12</v>
      </c>
      <c r="AE564">
        <v>10.4</v>
      </c>
      <c r="AF564">
        <v>0</v>
      </c>
      <c r="AG564">
        <v>11.6</v>
      </c>
      <c r="AH564">
        <v>10</v>
      </c>
      <c r="AI564">
        <v>11.8</v>
      </c>
      <c r="AJ564">
        <v>10</v>
      </c>
      <c r="AK564">
        <v>11.9</v>
      </c>
      <c r="AL564">
        <v>10</v>
      </c>
      <c r="AM564">
        <v>12.4</v>
      </c>
      <c r="AN564">
        <v>9</v>
      </c>
      <c r="AO564">
        <v>11.3</v>
      </c>
      <c r="AP564">
        <v>10</v>
      </c>
      <c r="AQ564">
        <v>10.3</v>
      </c>
      <c r="AR564">
        <v>10</v>
      </c>
      <c r="AS564">
        <v>8.6</v>
      </c>
      <c r="AT564">
        <v>10</v>
      </c>
      <c r="AU564">
        <v>19.600000000000001</v>
      </c>
      <c r="AV564">
        <v>19</v>
      </c>
      <c r="AW564">
        <v>20.9</v>
      </c>
      <c r="AX564">
        <v>19</v>
      </c>
      <c r="AY564">
        <v>10.6</v>
      </c>
      <c r="AZ564">
        <v>10</v>
      </c>
      <c r="BA564">
        <v>11.3</v>
      </c>
      <c r="BB564">
        <v>10</v>
      </c>
    </row>
    <row r="565" spans="1:54" x14ac:dyDescent="0.35">
      <c r="A565" s="1">
        <v>46059.850694444445</v>
      </c>
      <c r="B565">
        <v>22.5</v>
      </c>
      <c r="C565">
        <v>3</v>
      </c>
      <c r="D565">
        <v>21.2</v>
      </c>
      <c r="E565">
        <v>2</v>
      </c>
      <c r="F565">
        <v>9.6</v>
      </c>
      <c r="G565">
        <v>13.1</v>
      </c>
      <c r="H565">
        <v>0</v>
      </c>
      <c r="I565">
        <v>15.7</v>
      </c>
      <c r="J565">
        <v>11.8</v>
      </c>
      <c r="K565">
        <v>0</v>
      </c>
      <c r="L565">
        <v>13.4</v>
      </c>
      <c r="M565">
        <v>16.7</v>
      </c>
      <c r="N565">
        <v>0</v>
      </c>
      <c r="O565">
        <v>15.4</v>
      </c>
      <c r="P565">
        <v>11.2</v>
      </c>
      <c r="Q565">
        <v>0</v>
      </c>
      <c r="R565">
        <v>10.8</v>
      </c>
      <c r="S565">
        <v>14.2</v>
      </c>
      <c r="T565">
        <v>0</v>
      </c>
      <c r="U565">
        <v>-18.600000000000001</v>
      </c>
      <c r="V565">
        <v>-20.8</v>
      </c>
      <c r="W565">
        <v>-22</v>
      </c>
      <c r="X565">
        <v>-18.899999999999999</v>
      </c>
      <c r="Y565">
        <v>-15.6</v>
      </c>
      <c r="Z565">
        <v>-22</v>
      </c>
      <c r="AA565">
        <v>-5.0999999999999996</v>
      </c>
      <c r="AB565">
        <v>-6.5</v>
      </c>
      <c r="AC565">
        <v>-5</v>
      </c>
      <c r="AD565">
        <v>12</v>
      </c>
      <c r="AE565">
        <v>10.4</v>
      </c>
      <c r="AF565">
        <v>0</v>
      </c>
      <c r="AG565">
        <v>11.7</v>
      </c>
      <c r="AH565">
        <v>10</v>
      </c>
      <c r="AI565">
        <v>11.9</v>
      </c>
      <c r="AJ565">
        <v>10</v>
      </c>
      <c r="AK565">
        <v>11.9</v>
      </c>
      <c r="AL565">
        <v>10</v>
      </c>
      <c r="AM565">
        <v>12.4</v>
      </c>
      <c r="AN565">
        <v>9</v>
      </c>
      <c r="AO565">
        <v>11.6</v>
      </c>
      <c r="AP565">
        <v>10</v>
      </c>
      <c r="AQ565">
        <v>11</v>
      </c>
      <c r="AR565">
        <v>10</v>
      </c>
      <c r="AS565">
        <v>8.5</v>
      </c>
      <c r="AT565">
        <v>10</v>
      </c>
      <c r="AU565">
        <v>19.600000000000001</v>
      </c>
      <c r="AV565">
        <v>19</v>
      </c>
      <c r="AW565">
        <v>20.9</v>
      </c>
      <c r="AX565">
        <v>19</v>
      </c>
      <c r="AY565">
        <v>9.8000000000000007</v>
      </c>
      <c r="AZ565">
        <v>10</v>
      </c>
      <c r="BA565">
        <v>11.5</v>
      </c>
      <c r="BB565">
        <v>10</v>
      </c>
    </row>
    <row r="566" spans="1:54" x14ac:dyDescent="0.35">
      <c r="A566" s="1">
        <v>46059.851388888892</v>
      </c>
      <c r="B566">
        <v>22.5</v>
      </c>
      <c r="C566">
        <v>3</v>
      </c>
      <c r="D566">
        <v>21.2</v>
      </c>
      <c r="E566">
        <v>2</v>
      </c>
      <c r="F566">
        <v>9.6</v>
      </c>
      <c r="G566">
        <v>13.1</v>
      </c>
      <c r="H566">
        <v>0</v>
      </c>
      <c r="I566">
        <v>15.7</v>
      </c>
      <c r="J566">
        <v>11.8</v>
      </c>
      <c r="K566">
        <v>0</v>
      </c>
      <c r="L566">
        <v>13.4</v>
      </c>
      <c r="M566">
        <v>16.7</v>
      </c>
      <c r="N566">
        <v>0</v>
      </c>
      <c r="O566">
        <v>15.4</v>
      </c>
      <c r="P566">
        <v>11.2</v>
      </c>
      <c r="Q566">
        <v>0</v>
      </c>
      <c r="R566">
        <v>10.8</v>
      </c>
      <c r="S566">
        <v>14.2</v>
      </c>
      <c r="T566">
        <v>0</v>
      </c>
      <c r="U566">
        <v>-18.7</v>
      </c>
      <c r="V566">
        <v>-21</v>
      </c>
      <c r="W566">
        <v>-22</v>
      </c>
      <c r="X566">
        <v>-18.899999999999999</v>
      </c>
      <c r="Y566">
        <v>-15.8</v>
      </c>
      <c r="Z566">
        <v>-22</v>
      </c>
      <c r="AA566">
        <v>-4.2</v>
      </c>
      <c r="AB566">
        <v>-4.5999999999999996</v>
      </c>
      <c r="AC566">
        <v>-5</v>
      </c>
      <c r="AD566">
        <v>12</v>
      </c>
      <c r="AE566">
        <v>10.4</v>
      </c>
      <c r="AF566">
        <v>0</v>
      </c>
      <c r="AG566">
        <v>11.8</v>
      </c>
      <c r="AH566">
        <v>10</v>
      </c>
      <c r="AI566">
        <v>12</v>
      </c>
      <c r="AJ566">
        <v>10</v>
      </c>
      <c r="AK566">
        <v>12</v>
      </c>
      <c r="AL566">
        <v>10</v>
      </c>
      <c r="AM566">
        <v>12.4</v>
      </c>
      <c r="AN566">
        <v>9</v>
      </c>
      <c r="AO566">
        <v>11.7</v>
      </c>
      <c r="AP566">
        <v>10</v>
      </c>
      <c r="AQ566">
        <v>11.6</v>
      </c>
      <c r="AR566">
        <v>10</v>
      </c>
      <c r="AS566">
        <v>9</v>
      </c>
      <c r="AT566">
        <v>10</v>
      </c>
      <c r="AU566">
        <v>19.7</v>
      </c>
      <c r="AV566">
        <v>19</v>
      </c>
      <c r="AW566">
        <v>20.9</v>
      </c>
      <c r="AX566">
        <v>19</v>
      </c>
      <c r="AY566">
        <v>9.6999999999999993</v>
      </c>
      <c r="AZ566">
        <v>10</v>
      </c>
      <c r="BA566">
        <v>11.8</v>
      </c>
      <c r="BB566">
        <v>10</v>
      </c>
    </row>
    <row r="567" spans="1:54" x14ac:dyDescent="0.35">
      <c r="A567" s="1">
        <v>46059.852083333331</v>
      </c>
      <c r="B567">
        <v>22.6</v>
      </c>
      <c r="C567">
        <v>3</v>
      </c>
      <c r="D567">
        <v>21.2</v>
      </c>
      <c r="E567">
        <v>2</v>
      </c>
      <c r="F567">
        <v>9.6</v>
      </c>
      <c r="G567">
        <v>13.1</v>
      </c>
      <c r="H567">
        <v>0</v>
      </c>
      <c r="I567">
        <v>15.7</v>
      </c>
      <c r="J567">
        <v>11.8</v>
      </c>
      <c r="K567">
        <v>0</v>
      </c>
      <c r="L567">
        <v>13.4</v>
      </c>
      <c r="M567">
        <v>16.7</v>
      </c>
      <c r="N567">
        <v>0</v>
      </c>
      <c r="O567">
        <v>15.4</v>
      </c>
      <c r="P567">
        <v>11.2</v>
      </c>
      <c r="Q567">
        <v>0</v>
      </c>
      <c r="R567">
        <v>10.8</v>
      </c>
      <c r="S567">
        <v>14.2</v>
      </c>
      <c r="T567">
        <v>0</v>
      </c>
      <c r="U567">
        <v>-18.7</v>
      </c>
      <c r="V567">
        <v>-20.8</v>
      </c>
      <c r="W567">
        <v>-22</v>
      </c>
      <c r="X567">
        <v>-19</v>
      </c>
      <c r="Y567">
        <v>-15.9</v>
      </c>
      <c r="Z567">
        <v>-22</v>
      </c>
      <c r="AA567">
        <v>-3.5</v>
      </c>
      <c r="AB567">
        <v>-3.5</v>
      </c>
      <c r="AC567">
        <v>-5</v>
      </c>
      <c r="AD567">
        <v>12</v>
      </c>
      <c r="AE567">
        <v>10.4</v>
      </c>
      <c r="AF567">
        <v>0</v>
      </c>
      <c r="AG567">
        <v>11.9</v>
      </c>
      <c r="AH567">
        <v>10</v>
      </c>
      <c r="AI567">
        <v>11.7</v>
      </c>
      <c r="AJ567">
        <v>10</v>
      </c>
      <c r="AK567">
        <v>11.5</v>
      </c>
      <c r="AL567">
        <v>10</v>
      </c>
      <c r="AM567">
        <v>12.4</v>
      </c>
      <c r="AN567">
        <v>9</v>
      </c>
      <c r="AO567">
        <v>11.8</v>
      </c>
      <c r="AP567">
        <v>10</v>
      </c>
      <c r="AQ567">
        <v>12.2</v>
      </c>
      <c r="AR567">
        <v>10</v>
      </c>
      <c r="AS567">
        <v>9.5</v>
      </c>
      <c r="AT567">
        <v>10</v>
      </c>
      <c r="AU567">
        <v>19.7</v>
      </c>
      <c r="AV567">
        <v>19</v>
      </c>
      <c r="AW567">
        <v>20.9</v>
      </c>
      <c r="AX567">
        <v>19</v>
      </c>
      <c r="AY567">
        <v>10</v>
      </c>
      <c r="AZ567">
        <v>10</v>
      </c>
      <c r="BA567">
        <v>12</v>
      </c>
      <c r="BB567">
        <v>10</v>
      </c>
    </row>
    <row r="568" spans="1:54" x14ac:dyDescent="0.35">
      <c r="A568" s="1">
        <v>46059.852777777778</v>
      </c>
      <c r="B568">
        <v>22.6</v>
      </c>
      <c r="C568">
        <v>3</v>
      </c>
      <c r="D568">
        <v>21.2</v>
      </c>
      <c r="E568">
        <v>2</v>
      </c>
      <c r="F568">
        <v>9.6</v>
      </c>
      <c r="G568">
        <v>13.1</v>
      </c>
      <c r="H568">
        <v>0</v>
      </c>
      <c r="I568">
        <v>15.7</v>
      </c>
      <c r="J568">
        <v>11.8</v>
      </c>
      <c r="K568">
        <v>0</v>
      </c>
      <c r="L568">
        <v>13.4</v>
      </c>
      <c r="M568">
        <v>16.7</v>
      </c>
      <c r="N568">
        <v>0</v>
      </c>
      <c r="O568">
        <v>15.4</v>
      </c>
      <c r="P568">
        <v>11.2</v>
      </c>
      <c r="Q568">
        <v>0</v>
      </c>
      <c r="R568">
        <v>10.8</v>
      </c>
      <c r="S568">
        <v>14.2</v>
      </c>
      <c r="T568">
        <v>0</v>
      </c>
      <c r="U568">
        <v>-18.7</v>
      </c>
      <c r="V568">
        <v>-21.2</v>
      </c>
      <c r="W568">
        <v>-22</v>
      </c>
      <c r="X568">
        <v>-19</v>
      </c>
      <c r="Y568">
        <v>-16</v>
      </c>
      <c r="Z568">
        <v>-22</v>
      </c>
      <c r="AA568">
        <v>-2.8</v>
      </c>
      <c r="AB568">
        <v>-2.9</v>
      </c>
      <c r="AC568">
        <v>-5</v>
      </c>
      <c r="AD568">
        <v>12</v>
      </c>
      <c r="AE568">
        <v>10.4</v>
      </c>
      <c r="AF568">
        <v>0</v>
      </c>
      <c r="AG568">
        <v>12</v>
      </c>
      <c r="AH568">
        <v>10</v>
      </c>
      <c r="AI568">
        <v>11</v>
      </c>
      <c r="AJ568">
        <v>10</v>
      </c>
      <c r="AK568">
        <v>10.1</v>
      </c>
      <c r="AL568">
        <v>10</v>
      </c>
      <c r="AM568">
        <v>12.4</v>
      </c>
      <c r="AN568">
        <v>9</v>
      </c>
      <c r="AO568">
        <v>12</v>
      </c>
      <c r="AP568">
        <v>10</v>
      </c>
      <c r="AQ568">
        <v>12.2</v>
      </c>
      <c r="AR568">
        <v>10</v>
      </c>
      <c r="AS568">
        <v>10</v>
      </c>
      <c r="AT568">
        <v>10</v>
      </c>
      <c r="AU568">
        <v>19.8</v>
      </c>
      <c r="AV568">
        <v>19</v>
      </c>
      <c r="AW568">
        <v>20.9</v>
      </c>
      <c r="AX568">
        <v>19</v>
      </c>
      <c r="AY568">
        <v>10.4</v>
      </c>
      <c r="AZ568">
        <v>10</v>
      </c>
      <c r="BA568">
        <v>11.7</v>
      </c>
      <c r="BB568">
        <v>10</v>
      </c>
    </row>
    <row r="569" spans="1:54" x14ac:dyDescent="0.35">
      <c r="A569" s="1">
        <v>46059.853472222225</v>
      </c>
      <c r="B569">
        <v>22.6</v>
      </c>
      <c r="C569">
        <v>3</v>
      </c>
      <c r="D569">
        <v>21.3</v>
      </c>
      <c r="E569">
        <v>2</v>
      </c>
      <c r="F569">
        <v>9.6</v>
      </c>
      <c r="G569">
        <v>13.2</v>
      </c>
      <c r="H569">
        <v>0</v>
      </c>
      <c r="I569">
        <v>15.7</v>
      </c>
      <c r="J569">
        <v>11.8</v>
      </c>
      <c r="K569">
        <v>0</v>
      </c>
      <c r="L569">
        <v>13.4</v>
      </c>
      <c r="M569">
        <v>16.7</v>
      </c>
      <c r="N569">
        <v>0</v>
      </c>
      <c r="O569">
        <v>15.4</v>
      </c>
      <c r="P569">
        <v>11.2</v>
      </c>
      <c r="Q569">
        <v>0</v>
      </c>
      <c r="R569">
        <v>10.8</v>
      </c>
      <c r="S569">
        <v>14.2</v>
      </c>
      <c r="T569">
        <v>0</v>
      </c>
      <c r="U569">
        <v>-18.7</v>
      </c>
      <c r="V569">
        <v>-20.9</v>
      </c>
      <c r="W569">
        <v>-22</v>
      </c>
      <c r="X569">
        <v>-19.100000000000001</v>
      </c>
      <c r="Y569">
        <v>-16.100000000000001</v>
      </c>
      <c r="Z569">
        <v>-22</v>
      </c>
      <c r="AA569">
        <v>-2.8</v>
      </c>
      <c r="AB569">
        <v>-4</v>
      </c>
      <c r="AC569">
        <v>-5</v>
      </c>
      <c r="AD569">
        <v>12</v>
      </c>
      <c r="AE569">
        <v>10.4</v>
      </c>
      <c r="AF569">
        <v>0</v>
      </c>
      <c r="AG569">
        <v>11.8</v>
      </c>
      <c r="AH569">
        <v>10</v>
      </c>
      <c r="AI569">
        <v>10</v>
      </c>
      <c r="AJ569">
        <v>10</v>
      </c>
      <c r="AK569">
        <v>9.8000000000000007</v>
      </c>
      <c r="AL569">
        <v>10</v>
      </c>
      <c r="AM569">
        <v>12.5</v>
      </c>
      <c r="AN569">
        <v>9</v>
      </c>
      <c r="AO569">
        <v>11.8</v>
      </c>
      <c r="AP569">
        <v>10</v>
      </c>
      <c r="AQ569">
        <v>11.9</v>
      </c>
      <c r="AR569">
        <v>10</v>
      </c>
      <c r="AS569">
        <v>10.4</v>
      </c>
      <c r="AT569">
        <v>10</v>
      </c>
      <c r="AU569">
        <v>19.8</v>
      </c>
      <c r="AV569">
        <v>19</v>
      </c>
      <c r="AW569">
        <v>20.9</v>
      </c>
      <c r="AX569">
        <v>19</v>
      </c>
      <c r="AY569">
        <v>10.7</v>
      </c>
      <c r="AZ569">
        <v>10</v>
      </c>
      <c r="BA569">
        <v>10.9</v>
      </c>
      <c r="BB569">
        <v>10</v>
      </c>
    </row>
    <row r="570" spans="1:54" x14ac:dyDescent="0.35">
      <c r="A570" s="1">
        <v>46059.854166666664</v>
      </c>
      <c r="B570">
        <v>22.6</v>
      </c>
      <c r="C570">
        <v>3</v>
      </c>
      <c r="D570">
        <v>21.3</v>
      </c>
      <c r="E570">
        <v>2</v>
      </c>
      <c r="F570">
        <v>9.6</v>
      </c>
      <c r="G570">
        <v>13.2</v>
      </c>
      <c r="H570">
        <v>0</v>
      </c>
      <c r="I570">
        <v>15.7</v>
      </c>
      <c r="J570">
        <v>11.8</v>
      </c>
      <c r="K570">
        <v>0</v>
      </c>
      <c r="L570">
        <v>13.4</v>
      </c>
      <c r="M570">
        <v>16.8</v>
      </c>
      <c r="N570">
        <v>0</v>
      </c>
      <c r="O570">
        <v>15.4</v>
      </c>
      <c r="P570">
        <v>11.2</v>
      </c>
      <c r="Q570">
        <v>0</v>
      </c>
      <c r="R570">
        <v>10.8</v>
      </c>
      <c r="S570">
        <v>14.2</v>
      </c>
      <c r="T570">
        <v>0</v>
      </c>
      <c r="U570">
        <v>-18.8</v>
      </c>
      <c r="V570">
        <v>-21</v>
      </c>
      <c r="W570">
        <v>-22</v>
      </c>
      <c r="X570">
        <v>-19.100000000000001</v>
      </c>
      <c r="Y570">
        <v>-16.2</v>
      </c>
      <c r="Z570">
        <v>-22</v>
      </c>
      <c r="AA570">
        <v>-3.2</v>
      </c>
      <c r="AB570">
        <v>-5</v>
      </c>
      <c r="AC570">
        <v>-5</v>
      </c>
      <c r="AD570">
        <v>12</v>
      </c>
      <c r="AE570">
        <v>10.4</v>
      </c>
      <c r="AF570">
        <v>0</v>
      </c>
      <c r="AG570">
        <v>11.2</v>
      </c>
      <c r="AH570">
        <v>10</v>
      </c>
      <c r="AI570">
        <v>9.4</v>
      </c>
      <c r="AJ570">
        <v>10</v>
      </c>
      <c r="AK570">
        <v>10</v>
      </c>
      <c r="AL570">
        <v>10</v>
      </c>
      <c r="AM570">
        <v>12.5</v>
      </c>
      <c r="AN570">
        <v>9</v>
      </c>
      <c r="AO570">
        <v>11</v>
      </c>
      <c r="AP570">
        <v>10</v>
      </c>
      <c r="AQ570">
        <v>11.9</v>
      </c>
      <c r="AR570">
        <v>10</v>
      </c>
      <c r="AS570">
        <v>10.7</v>
      </c>
      <c r="AT570">
        <v>10</v>
      </c>
      <c r="AU570">
        <v>19.899999999999999</v>
      </c>
      <c r="AV570">
        <v>19</v>
      </c>
      <c r="AW570">
        <v>20.9</v>
      </c>
      <c r="AX570">
        <v>19</v>
      </c>
      <c r="AY570">
        <v>11</v>
      </c>
      <c r="AZ570">
        <v>10</v>
      </c>
      <c r="BA570">
        <v>10</v>
      </c>
      <c r="BB570">
        <v>10</v>
      </c>
    </row>
    <row r="571" spans="1:54" x14ac:dyDescent="0.35">
      <c r="A571" s="1">
        <v>46059.854861111111</v>
      </c>
      <c r="B571">
        <v>22.6</v>
      </c>
      <c r="C571">
        <v>3</v>
      </c>
      <c r="D571">
        <v>21.3</v>
      </c>
      <c r="E571">
        <v>2</v>
      </c>
      <c r="F571">
        <v>9.6</v>
      </c>
      <c r="G571">
        <v>13.2</v>
      </c>
      <c r="H571">
        <v>0</v>
      </c>
      <c r="I571">
        <v>15.7</v>
      </c>
      <c r="J571">
        <v>11.8</v>
      </c>
      <c r="K571">
        <v>0</v>
      </c>
      <c r="L571">
        <v>13.4</v>
      </c>
      <c r="M571">
        <v>16.8</v>
      </c>
      <c r="N571">
        <v>0</v>
      </c>
      <c r="O571">
        <v>15.4</v>
      </c>
      <c r="P571">
        <v>11.2</v>
      </c>
      <c r="Q571">
        <v>0</v>
      </c>
      <c r="R571">
        <v>10.8</v>
      </c>
      <c r="S571">
        <v>14.2</v>
      </c>
      <c r="T571">
        <v>0</v>
      </c>
      <c r="U571">
        <v>-18.8</v>
      </c>
      <c r="V571">
        <v>-20.9</v>
      </c>
      <c r="W571">
        <v>-22</v>
      </c>
      <c r="X571">
        <v>-19.100000000000001</v>
      </c>
      <c r="Y571">
        <v>-16.3</v>
      </c>
      <c r="Z571">
        <v>-22</v>
      </c>
      <c r="AA571">
        <v>-3.8</v>
      </c>
      <c r="AB571">
        <v>-5.9</v>
      </c>
      <c r="AC571">
        <v>-5</v>
      </c>
      <c r="AD571">
        <v>12</v>
      </c>
      <c r="AE571">
        <v>10.4</v>
      </c>
      <c r="AF571">
        <v>0</v>
      </c>
      <c r="AG571">
        <v>10.6</v>
      </c>
      <c r="AH571">
        <v>10</v>
      </c>
      <c r="AI571">
        <v>9.4</v>
      </c>
      <c r="AJ571">
        <v>10</v>
      </c>
      <c r="AK571">
        <v>10.3</v>
      </c>
      <c r="AL571">
        <v>10</v>
      </c>
      <c r="AM571">
        <v>12.5</v>
      </c>
      <c r="AN571">
        <v>9</v>
      </c>
      <c r="AO571">
        <v>10.6</v>
      </c>
      <c r="AP571">
        <v>10</v>
      </c>
      <c r="AQ571">
        <v>11.9</v>
      </c>
      <c r="AR571">
        <v>10</v>
      </c>
      <c r="AS571">
        <v>11</v>
      </c>
      <c r="AT571">
        <v>10</v>
      </c>
      <c r="AU571">
        <v>19.899999999999999</v>
      </c>
      <c r="AV571">
        <v>19</v>
      </c>
      <c r="AW571">
        <v>21</v>
      </c>
      <c r="AX571">
        <v>19</v>
      </c>
      <c r="AY571">
        <v>11.2</v>
      </c>
      <c r="AZ571">
        <v>10</v>
      </c>
      <c r="BA571">
        <v>9.6999999999999993</v>
      </c>
      <c r="BB571">
        <v>10</v>
      </c>
    </row>
    <row r="572" spans="1:54" x14ac:dyDescent="0.35">
      <c r="A572" s="1">
        <v>46059.855555555558</v>
      </c>
      <c r="B572">
        <v>22.6</v>
      </c>
      <c r="C572">
        <v>3</v>
      </c>
      <c r="D572">
        <v>21.3</v>
      </c>
      <c r="E572">
        <v>2</v>
      </c>
      <c r="F572">
        <v>9.8000000000000007</v>
      </c>
      <c r="G572">
        <v>13.2</v>
      </c>
      <c r="H572">
        <v>0</v>
      </c>
      <c r="I572">
        <v>15.7</v>
      </c>
      <c r="J572">
        <v>11.8</v>
      </c>
      <c r="K572">
        <v>0</v>
      </c>
      <c r="L572">
        <v>13.4</v>
      </c>
      <c r="M572">
        <v>16.8</v>
      </c>
      <c r="N572">
        <v>0</v>
      </c>
      <c r="O572">
        <v>15.4</v>
      </c>
      <c r="P572">
        <v>11.2</v>
      </c>
      <c r="Q572">
        <v>0</v>
      </c>
      <c r="R572">
        <v>10.9</v>
      </c>
      <c r="S572">
        <v>14.2</v>
      </c>
      <c r="T572">
        <v>0</v>
      </c>
      <c r="U572">
        <v>-18.8</v>
      </c>
      <c r="V572">
        <v>-20.9</v>
      </c>
      <c r="W572">
        <v>-22</v>
      </c>
      <c r="X572">
        <v>-19.100000000000001</v>
      </c>
      <c r="Y572">
        <v>-16.3</v>
      </c>
      <c r="Z572">
        <v>-22</v>
      </c>
      <c r="AA572">
        <v>-4.2</v>
      </c>
      <c r="AB572">
        <v>-6.5</v>
      </c>
      <c r="AC572">
        <v>-5</v>
      </c>
      <c r="AD572">
        <v>12</v>
      </c>
      <c r="AE572">
        <v>10.4</v>
      </c>
      <c r="AF572">
        <v>0</v>
      </c>
      <c r="AG572">
        <v>10.199999999999999</v>
      </c>
      <c r="AH572">
        <v>10</v>
      </c>
      <c r="AI572">
        <v>9.5</v>
      </c>
      <c r="AJ572">
        <v>10</v>
      </c>
      <c r="AK572">
        <v>10.6</v>
      </c>
      <c r="AL572">
        <v>10</v>
      </c>
      <c r="AM572">
        <v>12.5</v>
      </c>
      <c r="AN572">
        <v>9</v>
      </c>
      <c r="AO572">
        <v>10.6</v>
      </c>
      <c r="AP572">
        <v>10</v>
      </c>
      <c r="AQ572">
        <v>11.8</v>
      </c>
      <c r="AR572">
        <v>10</v>
      </c>
      <c r="AS572">
        <v>11.3</v>
      </c>
      <c r="AT572">
        <v>10</v>
      </c>
      <c r="AU572">
        <v>19.899999999999999</v>
      </c>
      <c r="AV572">
        <v>19</v>
      </c>
      <c r="AW572">
        <v>20.6</v>
      </c>
      <c r="AX572">
        <v>19</v>
      </c>
      <c r="AY572">
        <v>11.5</v>
      </c>
      <c r="AZ572">
        <v>10</v>
      </c>
      <c r="BA572">
        <v>9.8000000000000007</v>
      </c>
      <c r="BB572">
        <v>10</v>
      </c>
    </row>
    <row r="573" spans="1:54" x14ac:dyDescent="0.35">
      <c r="A573" s="1">
        <v>46059.856249999997</v>
      </c>
      <c r="B573">
        <v>22.6</v>
      </c>
      <c r="C573">
        <v>3</v>
      </c>
      <c r="D573">
        <v>21.3</v>
      </c>
      <c r="E573">
        <v>2</v>
      </c>
      <c r="F573">
        <v>9.8000000000000007</v>
      </c>
      <c r="G573">
        <v>13.2</v>
      </c>
      <c r="H573">
        <v>0</v>
      </c>
      <c r="I573">
        <v>15.7</v>
      </c>
      <c r="J573">
        <v>11.8</v>
      </c>
      <c r="K573">
        <v>0</v>
      </c>
      <c r="L573">
        <v>13.4</v>
      </c>
      <c r="M573">
        <v>16.8</v>
      </c>
      <c r="N573">
        <v>0</v>
      </c>
      <c r="O573">
        <v>15.4</v>
      </c>
      <c r="P573">
        <v>11.3</v>
      </c>
      <c r="Q573">
        <v>0</v>
      </c>
      <c r="R573">
        <v>10.9</v>
      </c>
      <c r="S573">
        <v>14.2</v>
      </c>
      <c r="T573">
        <v>0</v>
      </c>
      <c r="U573">
        <v>-18.8</v>
      </c>
      <c r="V573">
        <v>-21.2</v>
      </c>
      <c r="W573">
        <v>-22</v>
      </c>
      <c r="X573">
        <v>-19.100000000000001</v>
      </c>
      <c r="Y573">
        <v>-16.399999999999999</v>
      </c>
      <c r="Z573">
        <v>-22</v>
      </c>
      <c r="AA573">
        <v>-4.5999999999999996</v>
      </c>
      <c r="AB573">
        <v>-7</v>
      </c>
      <c r="AC573">
        <v>-5</v>
      </c>
      <c r="AD573">
        <v>12</v>
      </c>
      <c r="AE573">
        <v>10.4</v>
      </c>
      <c r="AF573">
        <v>0</v>
      </c>
      <c r="AG573">
        <v>9.9</v>
      </c>
      <c r="AH573">
        <v>10</v>
      </c>
      <c r="AI573">
        <v>9.8000000000000007</v>
      </c>
      <c r="AJ573">
        <v>10</v>
      </c>
      <c r="AK573">
        <v>10.7</v>
      </c>
      <c r="AL573">
        <v>10</v>
      </c>
      <c r="AM573">
        <v>12.5</v>
      </c>
      <c r="AN573">
        <v>9</v>
      </c>
      <c r="AO573">
        <v>10.6</v>
      </c>
      <c r="AP573">
        <v>10</v>
      </c>
      <c r="AQ573">
        <v>11.7</v>
      </c>
      <c r="AR573">
        <v>10</v>
      </c>
      <c r="AS573">
        <v>11.5</v>
      </c>
      <c r="AT573">
        <v>10</v>
      </c>
      <c r="AU573">
        <v>19.600000000000001</v>
      </c>
      <c r="AV573">
        <v>19</v>
      </c>
      <c r="AW573">
        <v>20.2</v>
      </c>
      <c r="AX573">
        <v>19</v>
      </c>
      <c r="AY573">
        <v>11.7</v>
      </c>
      <c r="AZ573">
        <v>10</v>
      </c>
      <c r="BA573">
        <v>10.3</v>
      </c>
      <c r="BB573">
        <v>10</v>
      </c>
    </row>
    <row r="574" spans="1:54" x14ac:dyDescent="0.35">
      <c r="A574" s="1">
        <v>46059.856944444444</v>
      </c>
      <c r="B574">
        <v>22.6</v>
      </c>
      <c r="C574">
        <v>3</v>
      </c>
      <c r="D574">
        <v>21.3</v>
      </c>
      <c r="E574">
        <v>2</v>
      </c>
      <c r="F574">
        <v>9.8000000000000007</v>
      </c>
      <c r="G574">
        <v>13.2</v>
      </c>
      <c r="H574">
        <v>0</v>
      </c>
      <c r="I574">
        <v>15.7</v>
      </c>
      <c r="J574">
        <v>11.8</v>
      </c>
      <c r="K574">
        <v>0</v>
      </c>
      <c r="L574">
        <v>13.4</v>
      </c>
      <c r="M574">
        <v>16.8</v>
      </c>
      <c r="N574">
        <v>0</v>
      </c>
      <c r="O574">
        <v>15.4</v>
      </c>
      <c r="P574">
        <v>11.3</v>
      </c>
      <c r="Q574">
        <v>0</v>
      </c>
      <c r="R574">
        <v>10.9</v>
      </c>
      <c r="S574">
        <v>14.2</v>
      </c>
      <c r="T574">
        <v>0</v>
      </c>
      <c r="U574">
        <v>-18.899999999999999</v>
      </c>
      <c r="V574">
        <v>-21</v>
      </c>
      <c r="W574">
        <v>-22</v>
      </c>
      <c r="X574">
        <v>-19.100000000000001</v>
      </c>
      <c r="Y574">
        <v>-16.5</v>
      </c>
      <c r="Z574">
        <v>-22</v>
      </c>
      <c r="AA574">
        <v>-5</v>
      </c>
      <c r="AB574">
        <v>-7.4</v>
      </c>
      <c r="AC574">
        <v>-5</v>
      </c>
      <c r="AD574">
        <v>12</v>
      </c>
      <c r="AE574">
        <v>10.4</v>
      </c>
      <c r="AF574">
        <v>0</v>
      </c>
      <c r="AG574">
        <v>9.9</v>
      </c>
      <c r="AH574">
        <v>10</v>
      </c>
      <c r="AI574">
        <v>10</v>
      </c>
      <c r="AJ574">
        <v>10</v>
      </c>
      <c r="AK574">
        <v>10.9</v>
      </c>
      <c r="AL574">
        <v>10</v>
      </c>
      <c r="AM574">
        <v>12.5</v>
      </c>
      <c r="AN574">
        <v>9</v>
      </c>
      <c r="AO574">
        <v>10.5</v>
      </c>
      <c r="AP574">
        <v>10</v>
      </c>
      <c r="AQ574">
        <v>11.7</v>
      </c>
      <c r="AR574">
        <v>10</v>
      </c>
      <c r="AS574">
        <v>11.7</v>
      </c>
      <c r="AT574">
        <v>10</v>
      </c>
      <c r="AU574">
        <v>19.3</v>
      </c>
      <c r="AV574">
        <v>19</v>
      </c>
      <c r="AW574">
        <v>19.899999999999999</v>
      </c>
      <c r="AX574">
        <v>19</v>
      </c>
      <c r="AY574">
        <v>11.8</v>
      </c>
      <c r="AZ574">
        <v>10</v>
      </c>
      <c r="BA574">
        <v>10.7</v>
      </c>
      <c r="BB574">
        <v>10</v>
      </c>
    </row>
    <row r="575" spans="1:54" x14ac:dyDescent="0.35">
      <c r="A575" s="1">
        <v>46059.857638888891</v>
      </c>
      <c r="B575">
        <v>22.6</v>
      </c>
      <c r="C575">
        <v>3</v>
      </c>
      <c r="D575">
        <v>21.3</v>
      </c>
      <c r="E575">
        <v>2</v>
      </c>
      <c r="F575">
        <v>9.8000000000000007</v>
      </c>
      <c r="G575">
        <v>13.2</v>
      </c>
      <c r="H575">
        <v>0</v>
      </c>
      <c r="I575">
        <v>15.7</v>
      </c>
      <c r="J575">
        <v>11.8</v>
      </c>
      <c r="K575">
        <v>0</v>
      </c>
      <c r="L575">
        <v>13.4</v>
      </c>
      <c r="M575">
        <v>16.8</v>
      </c>
      <c r="N575">
        <v>0</v>
      </c>
      <c r="O575">
        <v>15.4</v>
      </c>
      <c r="P575">
        <v>11.3</v>
      </c>
      <c r="Q575">
        <v>0</v>
      </c>
      <c r="R575">
        <v>10.9</v>
      </c>
      <c r="S575">
        <v>14.2</v>
      </c>
      <c r="T575">
        <v>0</v>
      </c>
      <c r="U575">
        <v>-18.899999999999999</v>
      </c>
      <c r="V575">
        <v>-21.2</v>
      </c>
      <c r="W575">
        <v>-22</v>
      </c>
      <c r="X575">
        <v>-19.2</v>
      </c>
      <c r="Y575">
        <v>-16.5</v>
      </c>
      <c r="Z575">
        <v>-22</v>
      </c>
      <c r="AA575">
        <v>-5.0999999999999996</v>
      </c>
      <c r="AB575">
        <v>-6.1</v>
      </c>
      <c r="AC575">
        <v>-5</v>
      </c>
      <c r="AD575">
        <v>12</v>
      </c>
      <c r="AE575">
        <v>10.4</v>
      </c>
      <c r="AF575">
        <v>0</v>
      </c>
      <c r="AG575">
        <v>10.199999999999999</v>
      </c>
      <c r="AH575">
        <v>10</v>
      </c>
      <c r="AI575">
        <v>10.3</v>
      </c>
      <c r="AJ575">
        <v>10</v>
      </c>
      <c r="AK575">
        <v>10.9</v>
      </c>
      <c r="AL575">
        <v>10</v>
      </c>
      <c r="AM575">
        <v>12.4</v>
      </c>
      <c r="AN575">
        <v>9</v>
      </c>
      <c r="AO575">
        <v>10.4</v>
      </c>
      <c r="AP575">
        <v>10</v>
      </c>
      <c r="AQ575">
        <v>11.7</v>
      </c>
      <c r="AR575">
        <v>10</v>
      </c>
      <c r="AS575">
        <v>11.9</v>
      </c>
      <c r="AT575">
        <v>10</v>
      </c>
      <c r="AU575">
        <v>19.100000000000001</v>
      </c>
      <c r="AV575">
        <v>19</v>
      </c>
      <c r="AW575">
        <v>19.7</v>
      </c>
      <c r="AX575">
        <v>19</v>
      </c>
      <c r="AY575">
        <v>12</v>
      </c>
      <c r="AZ575">
        <v>10</v>
      </c>
      <c r="BA575">
        <v>11</v>
      </c>
      <c r="BB575">
        <v>10</v>
      </c>
    </row>
    <row r="576" spans="1:54" x14ac:dyDescent="0.35">
      <c r="A576" s="1">
        <v>46059.85833333333</v>
      </c>
      <c r="B576">
        <v>22.6</v>
      </c>
      <c r="C576">
        <v>3</v>
      </c>
      <c r="D576">
        <v>21.3</v>
      </c>
      <c r="E576">
        <v>2</v>
      </c>
      <c r="F576">
        <v>9.8000000000000007</v>
      </c>
      <c r="G576">
        <v>13.2</v>
      </c>
      <c r="H576">
        <v>0</v>
      </c>
      <c r="I576">
        <v>15.7</v>
      </c>
      <c r="J576">
        <v>11.8</v>
      </c>
      <c r="K576">
        <v>0</v>
      </c>
      <c r="L576">
        <v>13.4</v>
      </c>
      <c r="M576">
        <v>16.8</v>
      </c>
      <c r="N576">
        <v>0</v>
      </c>
      <c r="O576">
        <v>15.4</v>
      </c>
      <c r="P576">
        <v>11.3</v>
      </c>
      <c r="Q576">
        <v>0</v>
      </c>
      <c r="R576">
        <v>10.9</v>
      </c>
      <c r="S576">
        <v>14.2</v>
      </c>
      <c r="T576">
        <v>0</v>
      </c>
      <c r="U576">
        <v>-18.899999999999999</v>
      </c>
      <c r="V576">
        <v>-21.2</v>
      </c>
      <c r="W576">
        <v>-22</v>
      </c>
      <c r="X576">
        <v>-19.3</v>
      </c>
      <c r="Y576">
        <v>-16.600000000000001</v>
      </c>
      <c r="Z576">
        <v>-22</v>
      </c>
      <c r="AA576">
        <v>-4.2</v>
      </c>
      <c r="AB576">
        <v>-4.5999999999999996</v>
      </c>
      <c r="AC576">
        <v>-5</v>
      </c>
      <c r="AD576">
        <v>12</v>
      </c>
      <c r="AE576">
        <v>10.4</v>
      </c>
      <c r="AF576">
        <v>0</v>
      </c>
      <c r="AG576">
        <v>10.4</v>
      </c>
      <c r="AH576">
        <v>10</v>
      </c>
      <c r="AI576">
        <v>10.5</v>
      </c>
      <c r="AJ576">
        <v>10</v>
      </c>
      <c r="AK576">
        <v>11</v>
      </c>
      <c r="AL576">
        <v>10</v>
      </c>
      <c r="AM576">
        <v>12.3</v>
      </c>
      <c r="AN576">
        <v>9</v>
      </c>
      <c r="AO576">
        <v>10.3</v>
      </c>
      <c r="AP576">
        <v>10</v>
      </c>
      <c r="AQ576">
        <v>11.6</v>
      </c>
      <c r="AR576">
        <v>10</v>
      </c>
      <c r="AS576">
        <v>12</v>
      </c>
      <c r="AT576">
        <v>10</v>
      </c>
      <c r="AU576">
        <v>19</v>
      </c>
      <c r="AV576">
        <v>19</v>
      </c>
      <c r="AW576">
        <v>19.600000000000001</v>
      </c>
      <c r="AX576">
        <v>19</v>
      </c>
      <c r="AY576">
        <v>11.4</v>
      </c>
      <c r="AZ576">
        <v>10</v>
      </c>
      <c r="BA576">
        <v>11.4</v>
      </c>
      <c r="BB576">
        <v>10</v>
      </c>
    </row>
    <row r="577" spans="1:54" x14ac:dyDescent="0.35">
      <c r="A577" s="1">
        <v>46059.859027777777</v>
      </c>
      <c r="B577">
        <v>22.6</v>
      </c>
      <c r="C577">
        <v>3</v>
      </c>
      <c r="D577">
        <v>21.3</v>
      </c>
      <c r="E577">
        <v>2</v>
      </c>
      <c r="F577">
        <v>9.8000000000000007</v>
      </c>
      <c r="G577">
        <v>13.2</v>
      </c>
      <c r="H577">
        <v>0</v>
      </c>
      <c r="I577">
        <v>15.7</v>
      </c>
      <c r="J577">
        <v>11.8</v>
      </c>
      <c r="K577">
        <v>0</v>
      </c>
      <c r="L577">
        <v>13.4</v>
      </c>
      <c r="M577">
        <v>16.8</v>
      </c>
      <c r="N577">
        <v>0</v>
      </c>
      <c r="O577">
        <v>15.4</v>
      </c>
      <c r="P577">
        <v>11.3</v>
      </c>
      <c r="Q577">
        <v>0</v>
      </c>
      <c r="R577">
        <v>10.9</v>
      </c>
      <c r="S577">
        <v>14.2</v>
      </c>
      <c r="T577">
        <v>0</v>
      </c>
      <c r="U577">
        <v>-19</v>
      </c>
      <c r="V577">
        <v>-21.2</v>
      </c>
      <c r="W577">
        <v>-22</v>
      </c>
      <c r="X577">
        <v>-19.3</v>
      </c>
      <c r="Y577">
        <v>-16.7</v>
      </c>
      <c r="Z577">
        <v>-22</v>
      </c>
      <c r="AA577">
        <v>-3.4</v>
      </c>
      <c r="AB577">
        <v>-3.4</v>
      </c>
      <c r="AC577">
        <v>-5</v>
      </c>
      <c r="AD577">
        <v>12</v>
      </c>
      <c r="AE577">
        <v>10.4</v>
      </c>
      <c r="AF577">
        <v>0</v>
      </c>
      <c r="AG577">
        <v>10.6</v>
      </c>
      <c r="AH577">
        <v>10</v>
      </c>
      <c r="AI577">
        <v>10.6</v>
      </c>
      <c r="AJ577">
        <v>10</v>
      </c>
      <c r="AK577">
        <v>11</v>
      </c>
      <c r="AL577">
        <v>10</v>
      </c>
      <c r="AM577">
        <v>12.3</v>
      </c>
      <c r="AN577">
        <v>9</v>
      </c>
      <c r="AO577">
        <v>10</v>
      </c>
      <c r="AP577">
        <v>10</v>
      </c>
      <c r="AQ577">
        <v>11.3</v>
      </c>
      <c r="AR577">
        <v>10</v>
      </c>
      <c r="AS577">
        <v>10</v>
      </c>
      <c r="AT577">
        <v>10</v>
      </c>
      <c r="AU577">
        <v>18.899999999999999</v>
      </c>
      <c r="AV577">
        <v>19</v>
      </c>
      <c r="AW577">
        <v>19.5</v>
      </c>
      <c r="AX577">
        <v>19</v>
      </c>
      <c r="AY577">
        <v>10.5</v>
      </c>
      <c r="AZ577">
        <v>10</v>
      </c>
      <c r="BA577">
        <v>11.6</v>
      </c>
      <c r="BB577">
        <v>10</v>
      </c>
    </row>
    <row r="578" spans="1:54" x14ac:dyDescent="0.35">
      <c r="A578" s="1">
        <v>46059.859722222223</v>
      </c>
      <c r="B578">
        <v>22.6</v>
      </c>
      <c r="C578">
        <v>3</v>
      </c>
      <c r="D578">
        <v>21.3</v>
      </c>
      <c r="E578">
        <v>2</v>
      </c>
      <c r="F578">
        <v>9.8000000000000007</v>
      </c>
      <c r="G578">
        <v>13.2</v>
      </c>
      <c r="H578">
        <v>0</v>
      </c>
      <c r="I578">
        <v>15.8</v>
      </c>
      <c r="J578">
        <v>11.8</v>
      </c>
      <c r="K578">
        <v>0</v>
      </c>
      <c r="L578">
        <v>13.4</v>
      </c>
      <c r="M578">
        <v>16.8</v>
      </c>
      <c r="N578">
        <v>0</v>
      </c>
      <c r="O578">
        <v>15.4</v>
      </c>
      <c r="P578">
        <v>11.3</v>
      </c>
      <c r="Q578">
        <v>0</v>
      </c>
      <c r="R578">
        <v>10.9</v>
      </c>
      <c r="S578">
        <v>14.2</v>
      </c>
      <c r="T578">
        <v>0</v>
      </c>
      <c r="U578">
        <v>-19</v>
      </c>
      <c r="V578">
        <v>-21.6</v>
      </c>
      <c r="W578">
        <v>-22</v>
      </c>
      <c r="X578">
        <v>-19.3</v>
      </c>
      <c r="Y578">
        <v>-16.7</v>
      </c>
      <c r="Z578">
        <v>-22</v>
      </c>
      <c r="AA578">
        <v>-2.8</v>
      </c>
      <c r="AB578">
        <v>-2.9</v>
      </c>
      <c r="AC578">
        <v>-5</v>
      </c>
      <c r="AD578">
        <v>12</v>
      </c>
      <c r="AE578">
        <v>10.4</v>
      </c>
      <c r="AF578">
        <v>0</v>
      </c>
      <c r="AG578">
        <v>10.9</v>
      </c>
      <c r="AH578">
        <v>10</v>
      </c>
      <c r="AI578">
        <v>10.8</v>
      </c>
      <c r="AJ578">
        <v>10</v>
      </c>
      <c r="AK578">
        <v>11</v>
      </c>
      <c r="AL578">
        <v>10</v>
      </c>
      <c r="AM578">
        <v>12.2</v>
      </c>
      <c r="AN578">
        <v>9</v>
      </c>
      <c r="AO578">
        <v>10.3</v>
      </c>
      <c r="AP578">
        <v>10</v>
      </c>
      <c r="AQ578">
        <v>11.1</v>
      </c>
      <c r="AR578">
        <v>10</v>
      </c>
      <c r="AS578">
        <v>8</v>
      </c>
      <c r="AT578">
        <v>10</v>
      </c>
      <c r="AU578">
        <v>18.8</v>
      </c>
      <c r="AV578">
        <v>19</v>
      </c>
      <c r="AW578">
        <v>19.3</v>
      </c>
      <c r="AX578">
        <v>19</v>
      </c>
      <c r="AY578">
        <v>9.6999999999999993</v>
      </c>
      <c r="AZ578">
        <v>10</v>
      </c>
      <c r="BA578">
        <v>11.9</v>
      </c>
      <c r="BB578">
        <v>10</v>
      </c>
    </row>
    <row r="579" spans="1:54" x14ac:dyDescent="0.35">
      <c r="A579" s="1">
        <v>46059.86041666667</v>
      </c>
      <c r="B579">
        <v>22.6</v>
      </c>
      <c r="C579">
        <v>3</v>
      </c>
      <c r="D579">
        <v>21.3</v>
      </c>
      <c r="E579">
        <v>2</v>
      </c>
      <c r="F579">
        <v>9.8000000000000007</v>
      </c>
      <c r="G579">
        <v>13.2</v>
      </c>
      <c r="H579">
        <v>0</v>
      </c>
      <c r="I579">
        <v>15.8</v>
      </c>
      <c r="J579">
        <v>11.8</v>
      </c>
      <c r="K579">
        <v>0</v>
      </c>
      <c r="L579">
        <v>13.5</v>
      </c>
      <c r="M579">
        <v>16.8</v>
      </c>
      <c r="N579">
        <v>0</v>
      </c>
      <c r="O579">
        <v>15.4</v>
      </c>
      <c r="P579">
        <v>11.3</v>
      </c>
      <c r="Q579">
        <v>0</v>
      </c>
      <c r="R579">
        <v>10.9</v>
      </c>
      <c r="S579">
        <v>14.2</v>
      </c>
      <c r="T579">
        <v>0</v>
      </c>
      <c r="U579">
        <v>-19</v>
      </c>
      <c r="V579">
        <v>-21.2</v>
      </c>
      <c r="W579">
        <v>-22</v>
      </c>
      <c r="X579">
        <v>-19.399999999999999</v>
      </c>
      <c r="Y579">
        <v>-16.8</v>
      </c>
      <c r="Z579">
        <v>-22</v>
      </c>
      <c r="AA579">
        <v>-2.8</v>
      </c>
      <c r="AB579">
        <v>-3.8</v>
      </c>
      <c r="AC579">
        <v>-5</v>
      </c>
      <c r="AD579">
        <v>12</v>
      </c>
      <c r="AE579">
        <v>10.4</v>
      </c>
      <c r="AF579">
        <v>0</v>
      </c>
      <c r="AG579">
        <v>11</v>
      </c>
      <c r="AH579">
        <v>10</v>
      </c>
      <c r="AI579">
        <v>10.9</v>
      </c>
      <c r="AJ579">
        <v>10</v>
      </c>
      <c r="AK579">
        <v>11.1</v>
      </c>
      <c r="AL579">
        <v>10</v>
      </c>
      <c r="AM579">
        <v>12.2</v>
      </c>
      <c r="AN579">
        <v>9</v>
      </c>
      <c r="AO579">
        <v>11</v>
      </c>
      <c r="AP579">
        <v>10</v>
      </c>
      <c r="AQ579">
        <v>11</v>
      </c>
      <c r="AR579">
        <v>10</v>
      </c>
      <c r="AS579">
        <v>7.9</v>
      </c>
      <c r="AT579">
        <v>10</v>
      </c>
      <c r="AU579">
        <v>18.7</v>
      </c>
      <c r="AV579">
        <v>19</v>
      </c>
      <c r="AW579">
        <v>19.3</v>
      </c>
      <c r="AX579">
        <v>19</v>
      </c>
      <c r="AY579">
        <v>9.6999999999999993</v>
      </c>
      <c r="AZ579">
        <v>10</v>
      </c>
      <c r="BA579">
        <v>12</v>
      </c>
      <c r="BB579">
        <v>10</v>
      </c>
    </row>
    <row r="580" spans="1:54" x14ac:dyDescent="0.35">
      <c r="A580" s="1">
        <v>46059.861111111109</v>
      </c>
      <c r="B580">
        <v>22.6</v>
      </c>
      <c r="C580">
        <v>3</v>
      </c>
      <c r="D580">
        <v>21.3</v>
      </c>
      <c r="E580">
        <v>2</v>
      </c>
      <c r="F580">
        <v>9.8000000000000007</v>
      </c>
      <c r="G580">
        <v>13.2</v>
      </c>
      <c r="H580">
        <v>0</v>
      </c>
      <c r="I580">
        <v>15.8</v>
      </c>
      <c r="J580">
        <v>11.8</v>
      </c>
      <c r="K580">
        <v>0</v>
      </c>
      <c r="L580">
        <v>13.5</v>
      </c>
      <c r="M580">
        <v>16.8</v>
      </c>
      <c r="N580">
        <v>0</v>
      </c>
      <c r="O580">
        <v>15.4</v>
      </c>
      <c r="P580">
        <v>11.3</v>
      </c>
      <c r="Q580">
        <v>0</v>
      </c>
      <c r="R580">
        <v>10.9</v>
      </c>
      <c r="S580">
        <v>14.2</v>
      </c>
      <c r="T580">
        <v>0</v>
      </c>
      <c r="U580">
        <v>-19.100000000000001</v>
      </c>
      <c r="V580">
        <v>-21.4</v>
      </c>
      <c r="W580">
        <v>-22</v>
      </c>
      <c r="X580">
        <v>-19.399999999999999</v>
      </c>
      <c r="Y580">
        <v>-16.899999999999999</v>
      </c>
      <c r="Z580">
        <v>-22</v>
      </c>
      <c r="AA580">
        <v>-3.3</v>
      </c>
      <c r="AB580">
        <v>-5.0999999999999996</v>
      </c>
      <c r="AC580">
        <v>-5</v>
      </c>
      <c r="AD580">
        <v>12</v>
      </c>
      <c r="AE580">
        <v>10.4</v>
      </c>
      <c r="AF580">
        <v>0</v>
      </c>
      <c r="AG580">
        <v>11.1</v>
      </c>
      <c r="AH580">
        <v>10</v>
      </c>
      <c r="AI580">
        <v>11</v>
      </c>
      <c r="AJ580">
        <v>10</v>
      </c>
      <c r="AK580">
        <v>11.2</v>
      </c>
      <c r="AL580">
        <v>10</v>
      </c>
      <c r="AM580">
        <v>12.2</v>
      </c>
      <c r="AN580">
        <v>9</v>
      </c>
      <c r="AO580">
        <v>11.3</v>
      </c>
      <c r="AP580">
        <v>10</v>
      </c>
      <c r="AQ580">
        <v>10.8</v>
      </c>
      <c r="AR580">
        <v>10</v>
      </c>
      <c r="AS580">
        <v>8.6</v>
      </c>
      <c r="AT580">
        <v>10</v>
      </c>
      <c r="AU580">
        <v>18.600000000000001</v>
      </c>
      <c r="AV580">
        <v>19</v>
      </c>
      <c r="AW580">
        <v>19.2</v>
      </c>
      <c r="AX580">
        <v>19</v>
      </c>
      <c r="AY580">
        <v>10</v>
      </c>
      <c r="AZ580">
        <v>10</v>
      </c>
      <c r="BA580">
        <v>11.4</v>
      </c>
      <c r="BB580">
        <v>10</v>
      </c>
    </row>
    <row r="581" spans="1:54" x14ac:dyDescent="0.35">
      <c r="A581" s="1">
        <v>46059.861805555556</v>
      </c>
      <c r="B581">
        <v>22.6</v>
      </c>
      <c r="C581">
        <v>3</v>
      </c>
      <c r="D581">
        <v>21.3</v>
      </c>
      <c r="E581">
        <v>2</v>
      </c>
      <c r="F581">
        <v>9.8000000000000007</v>
      </c>
      <c r="G581">
        <v>13.2</v>
      </c>
      <c r="H581">
        <v>0</v>
      </c>
      <c r="I581">
        <v>15.8</v>
      </c>
      <c r="J581">
        <v>11.9</v>
      </c>
      <c r="K581">
        <v>0</v>
      </c>
      <c r="L581">
        <v>13.5</v>
      </c>
      <c r="M581">
        <v>16.8</v>
      </c>
      <c r="N581">
        <v>0</v>
      </c>
      <c r="O581">
        <v>15.4</v>
      </c>
      <c r="P581">
        <v>11.3</v>
      </c>
      <c r="Q581">
        <v>0</v>
      </c>
      <c r="R581">
        <v>10.9</v>
      </c>
      <c r="S581">
        <v>14.2</v>
      </c>
      <c r="T581">
        <v>0</v>
      </c>
      <c r="U581">
        <v>-19.100000000000001</v>
      </c>
      <c r="V581">
        <v>-21.3</v>
      </c>
      <c r="W581">
        <v>-22</v>
      </c>
      <c r="X581">
        <v>-19.399999999999999</v>
      </c>
      <c r="Y581">
        <v>-16.899999999999999</v>
      </c>
      <c r="Z581">
        <v>-22</v>
      </c>
      <c r="AA581">
        <v>-3.7</v>
      </c>
      <c r="AB581">
        <v>-5.8</v>
      </c>
      <c r="AC581">
        <v>-5</v>
      </c>
      <c r="AD581">
        <v>12</v>
      </c>
      <c r="AE581">
        <v>10.4</v>
      </c>
      <c r="AF581">
        <v>0</v>
      </c>
      <c r="AG581">
        <v>11.3</v>
      </c>
      <c r="AH581">
        <v>10</v>
      </c>
      <c r="AI581">
        <v>11.2</v>
      </c>
      <c r="AJ581">
        <v>10</v>
      </c>
      <c r="AK581">
        <v>11.3</v>
      </c>
      <c r="AL581">
        <v>10</v>
      </c>
      <c r="AM581">
        <v>12.2</v>
      </c>
      <c r="AN581">
        <v>9</v>
      </c>
      <c r="AO581">
        <v>11.4</v>
      </c>
      <c r="AP581">
        <v>10</v>
      </c>
      <c r="AQ581">
        <v>10.8</v>
      </c>
      <c r="AR581">
        <v>10</v>
      </c>
      <c r="AS581">
        <v>9.1999999999999993</v>
      </c>
      <c r="AT581">
        <v>10</v>
      </c>
      <c r="AU581">
        <v>18.5</v>
      </c>
      <c r="AV581">
        <v>19</v>
      </c>
      <c r="AW581">
        <v>19.2</v>
      </c>
      <c r="AX581">
        <v>19</v>
      </c>
      <c r="AY581">
        <v>10.4</v>
      </c>
      <c r="AZ581">
        <v>10</v>
      </c>
      <c r="BA581">
        <v>10.5</v>
      </c>
      <c r="BB581">
        <v>10</v>
      </c>
    </row>
    <row r="582" spans="1:54" x14ac:dyDescent="0.35">
      <c r="A582" s="1">
        <v>46059.862500000003</v>
      </c>
      <c r="B582">
        <v>22.6</v>
      </c>
      <c r="C582">
        <v>3</v>
      </c>
      <c r="D582">
        <v>21.3</v>
      </c>
      <c r="E582">
        <v>2</v>
      </c>
      <c r="F582">
        <v>9.8000000000000007</v>
      </c>
      <c r="G582">
        <v>13.2</v>
      </c>
      <c r="H582">
        <v>0</v>
      </c>
      <c r="I582">
        <v>15.8</v>
      </c>
      <c r="J582">
        <v>11.9</v>
      </c>
      <c r="K582">
        <v>0</v>
      </c>
      <c r="L582">
        <v>13.5</v>
      </c>
      <c r="M582">
        <v>16.8</v>
      </c>
      <c r="N582">
        <v>0</v>
      </c>
      <c r="O582">
        <v>15.4</v>
      </c>
      <c r="P582">
        <v>11.3</v>
      </c>
      <c r="Q582">
        <v>0</v>
      </c>
      <c r="R582">
        <v>10.9</v>
      </c>
      <c r="S582">
        <v>14.2</v>
      </c>
      <c r="T582">
        <v>0</v>
      </c>
      <c r="U582">
        <v>-19.100000000000001</v>
      </c>
      <c r="V582">
        <v>-21.3</v>
      </c>
      <c r="W582">
        <v>-22</v>
      </c>
      <c r="X582">
        <v>-19.399999999999999</v>
      </c>
      <c r="Y582">
        <v>-17</v>
      </c>
      <c r="Z582">
        <v>-22</v>
      </c>
      <c r="AA582">
        <v>-4.3</v>
      </c>
      <c r="AB582">
        <v>-6.5</v>
      </c>
      <c r="AC582">
        <v>-5</v>
      </c>
      <c r="AD582">
        <v>12</v>
      </c>
      <c r="AE582">
        <v>10.4</v>
      </c>
      <c r="AF582">
        <v>0</v>
      </c>
      <c r="AG582">
        <v>11.4</v>
      </c>
      <c r="AH582">
        <v>10</v>
      </c>
      <c r="AI582">
        <v>11.3</v>
      </c>
      <c r="AJ582">
        <v>10</v>
      </c>
      <c r="AK582">
        <v>11.4</v>
      </c>
      <c r="AL582">
        <v>10</v>
      </c>
      <c r="AM582">
        <v>12.2</v>
      </c>
      <c r="AN582">
        <v>9</v>
      </c>
      <c r="AO582">
        <v>11.6</v>
      </c>
      <c r="AP582">
        <v>10</v>
      </c>
      <c r="AQ582">
        <v>10.5</v>
      </c>
      <c r="AR582">
        <v>10</v>
      </c>
      <c r="AS582">
        <v>9.6</v>
      </c>
      <c r="AT582">
        <v>10</v>
      </c>
      <c r="AU582">
        <v>18.5</v>
      </c>
      <c r="AV582">
        <v>19</v>
      </c>
      <c r="AW582">
        <v>19</v>
      </c>
      <c r="AX582">
        <v>19</v>
      </c>
      <c r="AY582">
        <v>10.7</v>
      </c>
      <c r="AZ582">
        <v>10</v>
      </c>
      <c r="BA582">
        <v>9.8000000000000007</v>
      </c>
      <c r="BB582">
        <v>10</v>
      </c>
    </row>
    <row r="583" spans="1:54" x14ac:dyDescent="0.35">
      <c r="A583" s="1">
        <v>46059.863194444442</v>
      </c>
      <c r="B583">
        <v>22.6</v>
      </c>
      <c r="C583">
        <v>3</v>
      </c>
      <c r="D583">
        <v>21.3</v>
      </c>
      <c r="E583">
        <v>2</v>
      </c>
      <c r="F583">
        <v>9.8000000000000007</v>
      </c>
      <c r="G583">
        <v>13.2</v>
      </c>
      <c r="H583">
        <v>0</v>
      </c>
      <c r="I583">
        <v>15.8</v>
      </c>
      <c r="J583">
        <v>11.9</v>
      </c>
      <c r="K583">
        <v>0</v>
      </c>
      <c r="L583">
        <v>13.5</v>
      </c>
      <c r="M583">
        <v>16.8</v>
      </c>
      <c r="N583">
        <v>0</v>
      </c>
      <c r="O583">
        <v>15.4</v>
      </c>
      <c r="P583">
        <v>11.3</v>
      </c>
      <c r="Q583">
        <v>0</v>
      </c>
      <c r="R583">
        <v>10.9</v>
      </c>
      <c r="S583">
        <v>14.2</v>
      </c>
      <c r="T583">
        <v>0</v>
      </c>
      <c r="U583">
        <v>-19.100000000000001</v>
      </c>
      <c r="V583">
        <v>-21.6</v>
      </c>
      <c r="W583">
        <v>-22</v>
      </c>
      <c r="X583">
        <v>-19.399999999999999</v>
      </c>
      <c r="Y583">
        <v>-17</v>
      </c>
      <c r="Z583">
        <v>-22</v>
      </c>
      <c r="AA583">
        <v>-4.7</v>
      </c>
      <c r="AB583">
        <v>-7</v>
      </c>
      <c r="AC583">
        <v>-5</v>
      </c>
      <c r="AD583">
        <v>12</v>
      </c>
      <c r="AE583">
        <v>10.4</v>
      </c>
      <c r="AF583">
        <v>0</v>
      </c>
      <c r="AG583">
        <v>11.5</v>
      </c>
      <c r="AH583">
        <v>10</v>
      </c>
      <c r="AI583">
        <v>11.4</v>
      </c>
      <c r="AJ583">
        <v>10</v>
      </c>
      <c r="AK583">
        <v>11.4</v>
      </c>
      <c r="AL583">
        <v>10</v>
      </c>
      <c r="AM583">
        <v>12.3</v>
      </c>
      <c r="AN583">
        <v>9</v>
      </c>
      <c r="AO583">
        <v>11.7</v>
      </c>
      <c r="AP583">
        <v>10</v>
      </c>
      <c r="AQ583">
        <v>10.4</v>
      </c>
      <c r="AR583">
        <v>10</v>
      </c>
      <c r="AS583">
        <v>10.1</v>
      </c>
      <c r="AT583">
        <v>10</v>
      </c>
      <c r="AU583">
        <v>18.5</v>
      </c>
      <c r="AV583">
        <v>19</v>
      </c>
      <c r="AW583">
        <v>19</v>
      </c>
      <c r="AX583">
        <v>19</v>
      </c>
      <c r="AY583">
        <v>11</v>
      </c>
      <c r="AZ583">
        <v>10</v>
      </c>
      <c r="BA583">
        <v>9.6999999999999993</v>
      </c>
      <c r="BB583">
        <v>10</v>
      </c>
    </row>
    <row r="584" spans="1:54" x14ac:dyDescent="0.35">
      <c r="A584" s="1">
        <v>46059.863888888889</v>
      </c>
      <c r="B584">
        <v>22.6</v>
      </c>
      <c r="C584">
        <v>3</v>
      </c>
      <c r="D584">
        <v>21.3</v>
      </c>
      <c r="E584">
        <v>2</v>
      </c>
      <c r="F584">
        <v>9.8000000000000007</v>
      </c>
      <c r="G584">
        <v>13.2</v>
      </c>
      <c r="H584">
        <v>0</v>
      </c>
      <c r="I584">
        <v>15.8</v>
      </c>
      <c r="J584">
        <v>11.9</v>
      </c>
      <c r="K584">
        <v>0</v>
      </c>
      <c r="L584">
        <v>13.5</v>
      </c>
      <c r="M584">
        <v>16.8</v>
      </c>
      <c r="N584">
        <v>0</v>
      </c>
      <c r="O584">
        <v>15.4</v>
      </c>
      <c r="P584">
        <v>11.3</v>
      </c>
      <c r="Q584">
        <v>0</v>
      </c>
      <c r="R584">
        <v>10.9</v>
      </c>
      <c r="S584">
        <v>14.2</v>
      </c>
      <c r="T584">
        <v>0</v>
      </c>
      <c r="U584">
        <v>-19.100000000000001</v>
      </c>
      <c r="V584">
        <v>-21.3</v>
      </c>
      <c r="W584">
        <v>-22</v>
      </c>
      <c r="X584">
        <v>-19.5</v>
      </c>
      <c r="Y584">
        <v>-17.100000000000001</v>
      </c>
      <c r="Z584">
        <v>-22</v>
      </c>
      <c r="AA584">
        <v>-5</v>
      </c>
      <c r="AB584">
        <v>-7.4</v>
      </c>
      <c r="AC584">
        <v>-5</v>
      </c>
      <c r="AD584">
        <v>12</v>
      </c>
      <c r="AE584">
        <v>10.4</v>
      </c>
      <c r="AF584">
        <v>0</v>
      </c>
      <c r="AG584">
        <v>11.7</v>
      </c>
      <c r="AH584">
        <v>10</v>
      </c>
      <c r="AI584">
        <v>11.5</v>
      </c>
      <c r="AJ584">
        <v>10</v>
      </c>
      <c r="AK584">
        <v>11.5</v>
      </c>
      <c r="AL584">
        <v>10</v>
      </c>
      <c r="AM584">
        <v>12.3</v>
      </c>
      <c r="AN584">
        <v>9</v>
      </c>
      <c r="AO584">
        <v>11.7</v>
      </c>
      <c r="AP584">
        <v>10</v>
      </c>
      <c r="AQ584">
        <v>10.199999999999999</v>
      </c>
      <c r="AR584">
        <v>10</v>
      </c>
      <c r="AS584">
        <v>10.4</v>
      </c>
      <c r="AT584">
        <v>10</v>
      </c>
      <c r="AU584">
        <v>18.600000000000001</v>
      </c>
      <c r="AV584">
        <v>19</v>
      </c>
      <c r="AW584">
        <v>19.3</v>
      </c>
      <c r="AX584">
        <v>19</v>
      </c>
      <c r="AY584">
        <v>11.3</v>
      </c>
      <c r="AZ584">
        <v>10</v>
      </c>
      <c r="BA584">
        <v>10</v>
      </c>
      <c r="BB584">
        <v>10</v>
      </c>
    </row>
    <row r="585" spans="1:54" x14ac:dyDescent="0.35">
      <c r="A585" s="1">
        <v>46059.864583333336</v>
      </c>
      <c r="B585">
        <v>22.6</v>
      </c>
      <c r="C585">
        <v>3</v>
      </c>
      <c r="D585">
        <v>21.3</v>
      </c>
      <c r="E585">
        <v>2</v>
      </c>
      <c r="F585">
        <v>9.8000000000000007</v>
      </c>
      <c r="G585">
        <v>13.2</v>
      </c>
      <c r="H585">
        <v>0</v>
      </c>
      <c r="I585">
        <v>15.8</v>
      </c>
      <c r="J585">
        <v>11.9</v>
      </c>
      <c r="K585">
        <v>0</v>
      </c>
      <c r="L585">
        <v>13.5</v>
      </c>
      <c r="M585">
        <v>16.8</v>
      </c>
      <c r="N585">
        <v>0</v>
      </c>
      <c r="O585">
        <v>15.4</v>
      </c>
      <c r="P585">
        <v>11.3</v>
      </c>
      <c r="Q585">
        <v>0</v>
      </c>
      <c r="R585">
        <v>10.9</v>
      </c>
      <c r="S585">
        <v>14.2</v>
      </c>
      <c r="T585">
        <v>0</v>
      </c>
      <c r="U585">
        <v>-19.100000000000001</v>
      </c>
      <c r="V585">
        <v>-21.7</v>
      </c>
      <c r="W585">
        <v>-22</v>
      </c>
      <c r="X585">
        <v>-19.5</v>
      </c>
      <c r="Y585">
        <v>-17.2</v>
      </c>
      <c r="Z585">
        <v>-22</v>
      </c>
      <c r="AA585">
        <v>-5</v>
      </c>
      <c r="AB585">
        <v>-6</v>
      </c>
      <c r="AC585">
        <v>-5</v>
      </c>
      <c r="AD585">
        <v>12</v>
      </c>
      <c r="AE585">
        <v>10.4</v>
      </c>
      <c r="AF585">
        <v>0</v>
      </c>
      <c r="AG585">
        <v>11.8</v>
      </c>
      <c r="AH585">
        <v>10</v>
      </c>
      <c r="AI585">
        <v>11.6</v>
      </c>
      <c r="AJ585">
        <v>10</v>
      </c>
      <c r="AK585">
        <v>11.6</v>
      </c>
      <c r="AL585">
        <v>10</v>
      </c>
      <c r="AM585">
        <v>12.4</v>
      </c>
      <c r="AN585">
        <v>9</v>
      </c>
      <c r="AO585">
        <v>11.9</v>
      </c>
      <c r="AP585">
        <v>10</v>
      </c>
      <c r="AQ585">
        <v>10.199999999999999</v>
      </c>
      <c r="AR585">
        <v>10</v>
      </c>
      <c r="AS585">
        <v>10.7</v>
      </c>
      <c r="AT585">
        <v>10</v>
      </c>
      <c r="AU585">
        <v>18.8</v>
      </c>
      <c r="AV585">
        <v>19</v>
      </c>
      <c r="AW585">
        <v>19.7</v>
      </c>
      <c r="AX585">
        <v>19</v>
      </c>
      <c r="AY585">
        <v>11.5</v>
      </c>
      <c r="AZ585">
        <v>10</v>
      </c>
      <c r="BA585">
        <v>10.4</v>
      </c>
      <c r="BB585">
        <v>10</v>
      </c>
    </row>
    <row r="586" spans="1:54" x14ac:dyDescent="0.35">
      <c r="A586" s="1">
        <v>46059.865277777775</v>
      </c>
      <c r="B586">
        <v>22.6</v>
      </c>
      <c r="C586">
        <v>3</v>
      </c>
      <c r="D586">
        <v>21.3</v>
      </c>
      <c r="E586">
        <v>2</v>
      </c>
      <c r="F586">
        <v>9.9</v>
      </c>
      <c r="G586">
        <v>13.2</v>
      </c>
      <c r="H586">
        <v>0</v>
      </c>
      <c r="I586">
        <v>15.8</v>
      </c>
      <c r="J586">
        <v>11.9</v>
      </c>
      <c r="K586">
        <v>0</v>
      </c>
      <c r="L586">
        <v>13.5</v>
      </c>
      <c r="M586">
        <v>16.8</v>
      </c>
      <c r="N586">
        <v>0</v>
      </c>
      <c r="O586">
        <v>15.4</v>
      </c>
      <c r="P586">
        <v>11.3</v>
      </c>
      <c r="Q586">
        <v>0</v>
      </c>
      <c r="R586">
        <v>10.9</v>
      </c>
      <c r="S586">
        <v>14.2</v>
      </c>
      <c r="T586">
        <v>0</v>
      </c>
      <c r="U586">
        <v>-19.2</v>
      </c>
      <c r="V586">
        <v>-21.4</v>
      </c>
      <c r="W586">
        <v>-22</v>
      </c>
      <c r="X586">
        <v>-19.5</v>
      </c>
      <c r="Y586">
        <v>-17.2</v>
      </c>
      <c r="Z586">
        <v>-22</v>
      </c>
      <c r="AA586">
        <v>-4.2</v>
      </c>
      <c r="AB586">
        <v>-4.5</v>
      </c>
      <c r="AC586">
        <v>-5</v>
      </c>
      <c r="AD586">
        <v>12</v>
      </c>
      <c r="AE586">
        <v>10.4</v>
      </c>
      <c r="AF586">
        <v>0</v>
      </c>
      <c r="AG586">
        <v>11.9</v>
      </c>
      <c r="AH586">
        <v>10</v>
      </c>
      <c r="AI586">
        <v>11.7</v>
      </c>
      <c r="AJ586">
        <v>10</v>
      </c>
      <c r="AK586">
        <v>11.7</v>
      </c>
      <c r="AL586">
        <v>10</v>
      </c>
      <c r="AM586">
        <v>12.5</v>
      </c>
      <c r="AN586">
        <v>9</v>
      </c>
      <c r="AO586">
        <v>11.9</v>
      </c>
      <c r="AP586">
        <v>10</v>
      </c>
      <c r="AQ586">
        <v>10.1</v>
      </c>
      <c r="AR586">
        <v>10</v>
      </c>
      <c r="AS586">
        <v>10.9</v>
      </c>
      <c r="AT586">
        <v>10</v>
      </c>
      <c r="AU586">
        <v>18.899999999999999</v>
      </c>
      <c r="AV586">
        <v>19</v>
      </c>
      <c r="AW586">
        <v>19.899999999999999</v>
      </c>
      <c r="AX586">
        <v>19</v>
      </c>
      <c r="AY586">
        <v>11.7</v>
      </c>
      <c r="AZ586">
        <v>10</v>
      </c>
      <c r="BA586">
        <v>10.8</v>
      </c>
      <c r="BB586">
        <v>10</v>
      </c>
    </row>
    <row r="587" spans="1:54" x14ac:dyDescent="0.35">
      <c r="A587" s="1">
        <v>46059.865972222222</v>
      </c>
      <c r="B587">
        <v>22.6</v>
      </c>
      <c r="C587">
        <v>3</v>
      </c>
      <c r="D587">
        <v>21.3</v>
      </c>
      <c r="E587">
        <v>2</v>
      </c>
      <c r="F587">
        <v>9.9</v>
      </c>
      <c r="G587">
        <v>13.2</v>
      </c>
      <c r="H587">
        <v>0</v>
      </c>
      <c r="I587">
        <v>15.8</v>
      </c>
      <c r="J587">
        <v>11.9</v>
      </c>
      <c r="K587">
        <v>0</v>
      </c>
      <c r="L587">
        <v>13.5</v>
      </c>
      <c r="M587">
        <v>16.8</v>
      </c>
      <c r="N587">
        <v>0</v>
      </c>
      <c r="O587">
        <v>15.4</v>
      </c>
      <c r="P587">
        <v>11.3</v>
      </c>
      <c r="Q587">
        <v>0</v>
      </c>
      <c r="R587">
        <v>10.9</v>
      </c>
      <c r="S587">
        <v>14.2</v>
      </c>
      <c r="T587">
        <v>0</v>
      </c>
      <c r="U587">
        <v>-19.2</v>
      </c>
      <c r="V587">
        <v>-21.5</v>
      </c>
      <c r="W587">
        <v>-22</v>
      </c>
      <c r="X587">
        <v>-19.600000000000001</v>
      </c>
      <c r="Y587">
        <v>-17.2</v>
      </c>
      <c r="Z587">
        <v>-22</v>
      </c>
      <c r="AA587">
        <v>-3.4</v>
      </c>
      <c r="AB587">
        <v>-3.5</v>
      </c>
      <c r="AC587">
        <v>-5</v>
      </c>
      <c r="AD587">
        <v>12</v>
      </c>
      <c r="AE587">
        <v>10.4</v>
      </c>
      <c r="AF587">
        <v>0</v>
      </c>
      <c r="AG587">
        <v>11.9</v>
      </c>
      <c r="AH587">
        <v>10</v>
      </c>
      <c r="AI587">
        <v>11.8</v>
      </c>
      <c r="AJ587">
        <v>10</v>
      </c>
      <c r="AK587">
        <v>11.8</v>
      </c>
      <c r="AL587">
        <v>10</v>
      </c>
      <c r="AM587">
        <v>12.5</v>
      </c>
      <c r="AN587">
        <v>9</v>
      </c>
      <c r="AO587">
        <v>11.9</v>
      </c>
      <c r="AP587">
        <v>10</v>
      </c>
      <c r="AQ587">
        <v>10.1</v>
      </c>
      <c r="AR587">
        <v>10</v>
      </c>
      <c r="AS587">
        <v>11.2</v>
      </c>
      <c r="AT587">
        <v>10</v>
      </c>
      <c r="AU587">
        <v>19.100000000000001</v>
      </c>
      <c r="AV587">
        <v>19</v>
      </c>
      <c r="AW587">
        <v>20</v>
      </c>
      <c r="AX587">
        <v>19</v>
      </c>
      <c r="AY587">
        <v>11.9</v>
      </c>
      <c r="AZ587">
        <v>10</v>
      </c>
      <c r="BA587">
        <v>11.2</v>
      </c>
      <c r="BB587">
        <v>10</v>
      </c>
    </row>
    <row r="588" spans="1:54" x14ac:dyDescent="0.35">
      <c r="A588" s="1">
        <v>46059.866666666669</v>
      </c>
      <c r="B588">
        <v>22.6</v>
      </c>
      <c r="C588">
        <v>3</v>
      </c>
      <c r="D588">
        <v>21.3</v>
      </c>
      <c r="E588">
        <v>2</v>
      </c>
      <c r="F588">
        <v>9.9</v>
      </c>
      <c r="G588">
        <v>13.2</v>
      </c>
      <c r="H588">
        <v>0</v>
      </c>
      <c r="I588">
        <v>15.8</v>
      </c>
      <c r="J588">
        <v>11.9</v>
      </c>
      <c r="K588">
        <v>0</v>
      </c>
      <c r="L588">
        <v>13.5</v>
      </c>
      <c r="M588">
        <v>16.8</v>
      </c>
      <c r="N588">
        <v>0</v>
      </c>
      <c r="O588">
        <v>15.4</v>
      </c>
      <c r="P588">
        <v>11.3</v>
      </c>
      <c r="Q588">
        <v>0</v>
      </c>
      <c r="R588">
        <v>10.9</v>
      </c>
      <c r="S588">
        <v>14.2</v>
      </c>
      <c r="T588">
        <v>0</v>
      </c>
      <c r="U588">
        <v>-19.2</v>
      </c>
      <c r="V588">
        <v>-21.7</v>
      </c>
      <c r="W588">
        <v>-22</v>
      </c>
      <c r="X588">
        <v>-19.600000000000001</v>
      </c>
      <c r="Y588">
        <v>-17.3</v>
      </c>
      <c r="Z588">
        <v>-22</v>
      </c>
      <c r="AA588">
        <v>-2.8</v>
      </c>
      <c r="AB588">
        <v>-2.9</v>
      </c>
      <c r="AC588">
        <v>-5</v>
      </c>
      <c r="AD588">
        <v>12</v>
      </c>
      <c r="AE588">
        <v>10.4</v>
      </c>
      <c r="AF588">
        <v>0</v>
      </c>
      <c r="AG588">
        <v>12</v>
      </c>
      <c r="AH588">
        <v>10</v>
      </c>
      <c r="AI588">
        <v>11.9</v>
      </c>
      <c r="AJ588">
        <v>10</v>
      </c>
      <c r="AK588">
        <v>11.9</v>
      </c>
      <c r="AL588">
        <v>10</v>
      </c>
      <c r="AM588">
        <v>12.5</v>
      </c>
      <c r="AN588">
        <v>9</v>
      </c>
      <c r="AO588">
        <v>12</v>
      </c>
      <c r="AP588">
        <v>10</v>
      </c>
      <c r="AQ588">
        <v>10.1</v>
      </c>
      <c r="AR588">
        <v>10</v>
      </c>
      <c r="AS588">
        <v>11.4</v>
      </c>
      <c r="AT588">
        <v>10</v>
      </c>
      <c r="AU588">
        <v>19.2</v>
      </c>
      <c r="AV588">
        <v>19</v>
      </c>
      <c r="AW588">
        <v>20.2</v>
      </c>
      <c r="AX588">
        <v>19</v>
      </c>
      <c r="AY588">
        <v>12</v>
      </c>
      <c r="AZ588">
        <v>10</v>
      </c>
      <c r="BA588">
        <v>11.4</v>
      </c>
      <c r="BB588">
        <v>10</v>
      </c>
    </row>
    <row r="589" spans="1:54" x14ac:dyDescent="0.35">
      <c r="A589" s="1">
        <v>46059.867361111108</v>
      </c>
      <c r="B589">
        <v>22.6</v>
      </c>
      <c r="C589">
        <v>3</v>
      </c>
      <c r="D589">
        <v>21.3</v>
      </c>
      <c r="E589">
        <v>2</v>
      </c>
      <c r="F589">
        <v>9.9</v>
      </c>
      <c r="G589">
        <v>13.2</v>
      </c>
      <c r="H589">
        <v>0</v>
      </c>
      <c r="I589">
        <v>15.8</v>
      </c>
      <c r="J589">
        <v>11.9</v>
      </c>
      <c r="K589">
        <v>0</v>
      </c>
      <c r="L589">
        <v>13.5</v>
      </c>
      <c r="M589">
        <v>16.8</v>
      </c>
      <c r="N589">
        <v>0</v>
      </c>
      <c r="O589">
        <v>15.4</v>
      </c>
      <c r="P589">
        <v>11.3</v>
      </c>
      <c r="Q589">
        <v>0</v>
      </c>
      <c r="R589">
        <v>10.9</v>
      </c>
      <c r="S589">
        <v>14.3</v>
      </c>
      <c r="T589">
        <v>0</v>
      </c>
      <c r="U589">
        <v>-19.2</v>
      </c>
      <c r="V589">
        <v>-21.5</v>
      </c>
      <c r="W589">
        <v>-22</v>
      </c>
      <c r="X589">
        <v>-19.600000000000001</v>
      </c>
      <c r="Y589">
        <v>-17.399999999999999</v>
      </c>
      <c r="Z589">
        <v>-22</v>
      </c>
      <c r="AA589">
        <v>-2.8</v>
      </c>
      <c r="AB589">
        <v>-4</v>
      </c>
      <c r="AC589">
        <v>-5</v>
      </c>
      <c r="AD589">
        <v>12</v>
      </c>
      <c r="AE589">
        <v>10.4</v>
      </c>
      <c r="AF589">
        <v>0</v>
      </c>
      <c r="AG589">
        <v>11.3</v>
      </c>
      <c r="AH589">
        <v>10</v>
      </c>
      <c r="AI589">
        <v>11.9</v>
      </c>
      <c r="AJ589">
        <v>10</v>
      </c>
      <c r="AK589">
        <v>11.9</v>
      </c>
      <c r="AL589">
        <v>10</v>
      </c>
      <c r="AM589">
        <v>12.6</v>
      </c>
      <c r="AN589">
        <v>9</v>
      </c>
      <c r="AO589">
        <v>10.7</v>
      </c>
      <c r="AP589">
        <v>10</v>
      </c>
      <c r="AQ589">
        <v>10.1</v>
      </c>
      <c r="AR589">
        <v>10</v>
      </c>
      <c r="AS589">
        <v>11.6</v>
      </c>
      <c r="AT589">
        <v>10</v>
      </c>
      <c r="AU589">
        <v>19.3</v>
      </c>
      <c r="AV589">
        <v>19</v>
      </c>
      <c r="AW589">
        <v>20.3</v>
      </c>
      <c r="AX589">
        <v>19</v>
      </c>
      <c r="AY589">
        <v>11.3</v>
      </c>
      <c r="AZ589">
        <v>10</v>
      </c>
      <c r="BA589">
        <v>11.7</v>
      </c>
      <c r="BB589">
        <v>10</v>
      </c>
    </row>
    <row r="590" spans="1:54" x14ac:dyDescent="0.35">
      <c r="A590" s="1">
        <v>46059.868055555555</v>
      </c>
      <c r="B590">
        <v>22.6</v>
      </c>
      <c r="C590">
        <v>3</v>
      </c>
      <c r="D590">
        <v>21.3</v>
      </c>
      <c r="E590">
        <v>2</v>
      </c>
      <c r="F590">
        <v>9.9</v>
      </c>
      <c r="G590">
        <v>13.2</v>
      </c>
      <c r="H590">
        <v>0</v>
      </c>
      <c r="I590">
        <v>15.8</v>
      </c>
      <c r="J590">
        <v>11.9</v>
      </c>
      <c r="K590">
        <v>0</v>
      </c>
      <c r="L590">
        <v>13.5</v>
      </c>
      <c r="M590">
        <v>16.8</v>
      </c>
      <c r="N590">
        <v>0</v>
      </c>
      <c r="O590">
        <v>15.4</v>
      </c>
      <c r="P590">
        <v>11.3</v>
      </c>
      <c r="Q590">
        <v>0</v>
      </c>
      <c r="R590">
        <v>10.9</v>
      </c>
      <c r="S590">
        <v>14.3</v>
      </c>
      <c r="T590">
        <v>0</v>
      </c>
      <c r="U590">
        <v>-19.3</v>
      </c>
      <c r="V590">
        <v>-21.8</v>
      </c>
      <c r="W590">
        <v>-22</v>
      </c>
      <c r="X590">
        <v>-19.600000000000001</v>
      </c>
      <c r="Y590">
        <v>-17.399999999999999</v>
      </c>
      <c r="Z590">
        <v>-22</v>
      </c>
      <c r="AA590">
        <v>-3.2</v>
      </c>
      <c r="AB590">
        <v>-5.0999999999999996</v>
      </c>
      <c r="AC590">
        <v>-5</v>
      </c>
      <c r="AD590">
        <v>12</v>
      </c>
      <c r="AE590">
        <v>10.4</v>
      </c>
      <c r="AF590">
        <v>0</v>
      </c>
      <c r="AG590">
        <v>10.3</v>
      </c>
      <c r="AH590">
        <v>10</v>
      </c>
      <c r="AI590">
        <v>11.9</v>
      </c>
      <c r="AJ590">
        <v>10</v>
      </c>
      <c r="AK590">
        <v>11.9</v>
      </c>
      <c r="AL590">
        <v>10</v>
      </c>
      <c r="AM590">
        <v>12.6</v>
      </c>
      <c r="AN590">
        <v>9</v>
      </c>
      <c r="AO590">
        <v>9.9</v>
      </c>
      <c r="AP590">
        <v>10</v>
      </c>
      <c r="AQ590">
        <v>10.1</v>
      </c>
      <c r="AR590">
        <v>10</v>
      </c>
      <c r="AS590">
        <v>11.8</v>
      </c>
      <c r="AT590">
        <v>10</v>
      </c>
      <c r="AU590">
        <v>19.399999999999999</v>
      </c>
      <c r="AV590">
        <v>19</v>
      </c>
      <c r="AW590">
        <v>20.3</v>
      </c>
      <c r="AX590">
        <v>19</v>
      </c>
      <c r="AY590">
        <v>10.5</v>
      </c>
      <c r="AZ590">
        <v>10</v>
      </c>
      <c r="BA590">
        <v>12</v>
      </c>
      <c r="BB590">
        <v>10</v>
      </c>
    </row>
    <row r="591" spans="1:54" x14ac:dyDescent="0.35">
      <c r="A591" s="1">
        <v>46059.868750000001</v>
      </c>
      <c r="B591">
        <v>22.6</v>
      </c>
      <c r="C591">
        <v>3</v>
      </c>
      <c r="D591">
        <v>21.3</v>
      </c>
      <c r="E591">
        <v>2</v>
      </c>
      <c r="F591">
        <v>9.9</v>
      </c>
      <c r="G591">
        <v>13.2</v>
      </c>
      <c r="H591">
        <v>0</v>
      </c>
      <c r="I591">
        <v>15.8</v>
      </c>
      <c r="J591">
        <v>11.9</v>
      </c>
      <c r="K591">
        <v>0</v>
      </c>
      <c r="L591">
        <v>13.5</v>
      </c>
      <c r="M591">
        <v>16.8</v>
      </c>
      <c r="N591">
        <v>0</v>
      </c>
      <c r="O591">
        <v>15.4</v>
      </c>
      <c r="P591">
        <v>11.3</v>
      </c>
      <c r="Q591">
        <v>0</v>
      </c>
      <c r="R591">
        <v>10.9</v>
      </c>
      <c r="S591">
        <v>14.3</v>
      </c>
      <c r="T591">
        <v>0</v>
      </c>
      <c r="U591">
        <v>-19.3</v>
      </c>
      <c r="V591">
        <v>-21.5</v>
      </c>
      <c r="W591">
        <v>-22</v>
      </c>
      <c r="X591">
        <v>-19.600000000000001</v>
      </c>
      <c r="Y591">
        <v>-17.399999999999999</v>
      </c>
      <c r="Z591">
        <v>-22</v>
      </c>
      <c r="AA591">
        <v>-3.8</v>
      </c>
      <c r="AB591">
        <v>-5.9</v>
      </c>
      <c r="AC591">
        <v>-5</v>
      </c>
      <c r="AD591">
        <v>12</v>
      </c>
      <c r="AE591">
        <v>10.4</v>
      </c>
      <c r="AF591">
        <v>0</v>
      </c>
      <c r="AG591">
        <v>9.6</v>
      </c>
      <c r="AH591">
        <v>10</v>
      </c>
      <c r="AI591">
        <v>10.4</v>
      </c>
      <c r="AJ591">
        <v>10</v>
      </c>
      <c r="AK591">
        <v>10.3</v>
      </c>
      <c r="AL591">
        <v>10</v>
      </c>
      <c r="AM591">
        <v>12.6</v>
      </c>
      <c r="AN591">
        <v>9</v>
      </c>
      <c r="AO591">
        <v>10.8</v>
      </c>
      <c r="AP591">
        <v>10</v>
      </c>
      <c r="AQ591">
        <v>10</v>
      </c>
      <c r="AR591">
        <v>10</v>
      </c>
      <c r="AS591">
        <v>12</v>
      </c>
      <c r="AT591">
        <v>10</v>
      </c>
      <c r="AU591">
        <v>19.399999999999999</v>
      </c>
      <c r="AV591">
        <v>19</v>
      </c>
      <c r="AW591">
        <v>20.399999999999999</v>
      </c>
      <c r="AX591">
        <v>19</v>
      </c>
      <c r="AY591">
        <v>9.8000000000000007</v>
      </c>
      <c r="AZ591">
        <v>10</v>
      </c>
      <c r="BA591">
        <v>12</v>
      </c>
      <c r="BB591">
        <v>10</v>
      </c>
    </row>
    <row r="592" spans="1:54" x14ac:dyDescent="0.35">
      <c r="A592" s="1">
        <v>46059.869444444441</v>
      </c>
      <c r="B592">
        <v>22.6</v>
      </c>
      <c r="C592">
        <v>3</v>
      </c>
      <c r="D592">
        <v>21.3</v>
      </c>
      <c r="E592">
        <v>2</v>
      </c>
      <c r="F592">
        <v>9.9</v>
      </c>
      <c r="G592">
        <v>13.2</v>
      </c>
      <c r="H592">
        <v>0</v>
      </c>
      <c r="I592">
        <v>15.8</v>
      </c>
      <c r="J592">
        <v>11.9</v>
      </c>
      <c r="K592">
        <v>0</v>
      </c>
      <c r="L592">
        <v>13.5</v>
      </c>
      <c r="M592">
        <v>16.8</v>
      </c>
      <c r="N592">
        <v>0</v>
      </c>
      <c r="O592">
        <v>15.4</v>
      </c>
      <c r="P592">
        <v>11.3</v>
      </c>
      <c r="Q592">
        <v>0</v>
      </c>
      <c r="R592">
        <v>10.9</v>
      </c>
      <c r="S592">
        <v>14.3</v>
      </c>
      <c r="T592">
        <v>0</v>
      </c>
      <c r="U592">
        <v>-19.3</v>
      </c>
      <c r="V592">
        <v>-21.5</v>
      </c>
      <c r="W592">
        <v>-22</v>
      </c>
      <c r="X592">
        <v>-19.600000000000001</v>
      </c>
      <c r="Y592">
        <v>-17.5</v>
      </c>
      <c r="Z592">
        <v>-22</v>
      </c>
      <c r="AA592">
        <v>-4.2</v>
      </c>
      <c r="AB592">
        <v>-6.5</v>
      </c>
      <c r="AC592">
        <v>-5</v>
      </c>
      <c r="AD592">
        <v>12</v>
      </c>
      <c r="AE592">
        <v>10.4</v>
      </c>
      <c r="AF592">
        <v>0</v>
      </c>
      <c r="AG592">
        <v>9.5</v>
      </c>
      <c r="AH592">
        <v>10</v>
      </c>
      <c r="AI592">
        <v>8.9</v>
      </c>
      <c r="AJ592">
        <v>10</v>
      </c>
      <c r="AK592">
        <v>9.1999999999999993</v>
      </c>
      <c r="AL592">
        <v>10</v>
      </c>
      <c r="AM592">
        <v>12.5</v>
      </c>
      <c r="AN592">
        <v>9</v>
      </c>
      <c r="AO592">
        <v>11.3</v>
      </c>
      <c r="AP592">
        <v>10</v>
      </c>
      <c r="AQ592">
        <v>10</v>
      </c>
      <c r="AR592">
        <v>10</v>
      </c>
      <c r="AS592">
        <v>10.8</v>
      </c>
      <c r="AT592">
        <v>10</v>
      </c>
      <c r="AU592">
        <v>19.399999999999999</v>
      </c>
      <c r="AV592">
        <v>19</v>
      </c>
      <c r="AW592">
        <v>20.5</v>
      </c>
      <c r="AX592">
        <v>19</v>
      </c>
      <c r="AY592">
        <v>9.6</v>
      </c>
      <c r="AZ592">
        <v>10</v>
      </c>
      <c r="BA592">
        <v>11</v>
      </c>
      <c r="BB592">
        <v>10</v>
      </c>
    </row>
    <row r="593" spans="1:54" x14ac:dyDescent="0.35">
      <c r="A593" s="1">
        <v>46059.870138888888</v>
      </c>
      <c r="B593">
        <v>22.6</v>
      </c>
      <c r="C593">
        <v>3</v>
      </c>
      <c r="D593">
        <v>21.3</v>
      </c>
      <c r="E593">
        <v>2</v>
      </c>
      <c r="F593">
        <v>9.9</v>
      </c>
      <c r="G593">
        <v>13.2</v>
      </c>
      <c r="H593">
        <v>0</v>
      </c>
      <c r="I593">
        <v>15.8</v>
      </c>
      <c r="J593">
        <v>11.9</v>
      </c>
      <c r="K593">
        <v>0</v>
      </c>
      <c r="L593">
        <v>13.5</v>
      </c>
      <c r="M593">
        <v>16.8</v>
      </c>
      <c r="N593">
        <v>0</v>
      </c>
      <c r="O593">
        <v>15.5</v>
      </c>
      <c r="P593">
        <v>11.4</v>
      </c>
      <c r="Q593">
        <v>0</v>
      </c>
      <c r="R593">
        <v>10.9</v>
      </c>
      <c r="S593">
        <v>14.3</v>
      </c>
      <c r="T593">
        <v>0</v>
      </c>
      <c r="U593">
        <v>-19.3</v>
      </c>
      <c r="V593">
        <v>-21.7</v>
      </c>
      <c r="W593">
        <v>-22</v>
      </c>
      <c r="X593">
        <v>-19.600000000000001</v>
      </c>
      <c r="Y593">
        <v>-17.5</v>
      </c>
      <c r="Z593">
        <v>-22</v>
      </c>
      <c r="AA593">
        <v>-4.7</v>
      </c>
      <c r="AB593">
        <v>-6.9</v>
      </c>
      <c r="AC593">
        <v>-5</v>
      </c>
      <c r="AD593">
        <v>12</v>
      </c>
      <c r="AE593">
        <v>10.4</v>
      </c>
      <c r="AF593">
        <v>0</v>
      </c>
      <c r="AG593">
        <v>9.8000000000000007</v>
      </c>
      <c r="AH593">
        <v>10</v>
      </c>
      <c r="AI593">
        <v>8.6999999999999993</v>
      </c>
      <c r="AJ593">
        <v>10</v>
      </c>
      <c r="AK593">
        <v>9.5</v>
      </c>
      <c r="AL593">
        <v>10</v>
      </c>
      <c r="AM593">
        <v>12.5</v>
      </c>
      <c r="AN593">
        <v>9</v>
      </c>
      <c r="AO593">
        <v>11.6</v>
      </c>
      <c r="AP593">
        <v>10</v>
      </c>
      <c r="AQ593">
        <v>10.6</v>
      </c>
      <c r="AR593">
        <v>10</v>
      </c>
      <c r="AS593">
        <v>8.8000000000000007</v>
      </c>
      <c r="AT593">
        <v>10</v>
      </c>
      <c r="AU593">
        <v>19.5</v>
      </c>
      <c r="AV593">
        <v>19</v>
      </c>
      <c r="AW593">
        <v>20.5</v>
      </c>
      <c r="AX593">
        <v>19</v>
      </c>
      <c r="AY593">
        <v>9.9</v>
      </c>
      <c r="AZ593">
        <v>10</v>
      </c>
      <c r="BA593">
        <v>10.3</v>
      </c>
      <c r="BB593">
        <v>10</v>
      </c>
    </row>
    <row r="594" spans="1:54" x14ac:dyDescent="0.35">
      <c r="A594" s="1">
        <v>46059.870833333334</v>
      </c>
      <c r="B594">
        <v>22.6</v>
      </c>
      <c r="C594">
        <v>3</v>
      </c>
      <c r="D594">
        <v>21.3</v>
      </c>
      <c r="E594">
        <v>2</v>
      </c>
      <c r="F594">
        <v>9.9</v>
      </c>
      <c r="G594">
        <v>13.3</v>
      </c>
      <c r="H594">
        <v>0</v>
      </c>
      <c r="I594">
        <v>15.8</v>
      </c>
      <c r="J594">
        <v>11.9</v>
      </c>
      <c r="K594">
        <v>0</v>
      </c>
      <c r="L594">
        <v>13.5</v>
      </c>
      <c r="M594">
        <v>16.8</v>
      </c>
      <c r="N594">
        <v>0</v>
      </c>
      <c r="O594">
        <v>15.5</v>
      </c>
      <c r="P594">
        <v>11.4</v>
      </c>
      <c r="Q594">
        <v>0</v>
      </c>
      <c r="R594">
        <v>10.9</v>
      </c>
      <c r="S594">
        <v>14.3</v>
      </c>
      <c r="T594">
        <v>0</v>
      </c>
      <c r="U594">
        <v>-19.3</v>
      </c>
      <c r="V594">
        <v>-21.5</v>
      </c>
      <c r="W594">
        <v>-22</v>
      </c>
      <c r="X594">
        <v>-19.7</v>
      </c>
      <c r="Y594">
        <v>-17.5</v>
      </c>
      <c r="Z594">
        <v>-22</v>
      </c>
      <c r="AA594">
        <v>-5</v>
      </c>
      <c r="AB594">
        <v>-7.3</v>
      </c>
      <c r="AC594">
        <v>-5</v>
      </c>
      <c r="AD594">
        <v>12</v>
      </c>
      <c r="AE594">
        <v>10.4</v>
      </c>
      <c r="AF594">
        <v>0</v>
      </c>
      <c r="AG594">
        <v>10.1</v>
      </c>
      <c r="AH594">
        <v>10</v>
      </c>
      <c r="AI594">
        <v>8.8000000000000007</v>
      </c>
      <c r="AJ594">
        <v>10</v>
      </c>
      <c r="AK594">
        <v>10</v>
      </c>
      <c r="AL594">
        <v>10</v>
      </c>
      <c r="AM594">
        <v>12.5</v>
      </c>
      <c r="AN594">
        <v>9</v>
      </c>
      <c r="AO594">
        <v>11.7</v>
      </c>
      <c r="AP594">
        <v>10</v>
      </c>
      <c r="AQ594">
        <v>11.4</v>
      </c>
      <c r="AR594">
        <v>10</v>
      </c>
      <c r="AS594">
        <v>8.4</v>
      </c>
      <c r="AT594">
        <v>10</v>
      </c>
      <c r="AU594">
        <v>19.5</v>
      </c>
      <c r="AV594">
        <v>19</v>
      </c>
      <c r="AW594">
        <v>20.6</v>
      </c>
      <c r="AX594">
        <v>19</v>
      </c>
      <c r="AY594">
        <v>10.199999999999999</v>
      </c>
      <c r="AZ594">
        <v>10</v>
      </c>
      <c r="BA594">
        <v>9.6999999999999993</v>
      </c>
      <c r="BB594">
        <v>10</v>
      </c>
    </row>
    <row r="595" spans="1:54" x14ac:dyDescent="0.35">
      <c r="A595" s="1">
        <v>46059.871527777781</v>
      </c>
      <c r="B595">
        <v>22.7</v>
      </c>
      <c r="C595">
        <v>3</v>
      </c>
      <c r="D595">
        <v>21.3</v>
      </c>
      <c r="E595">
        <v>2</v>
      </c>
      <c r="F595">
        <v>9.9</v>
      </c>
      <c r="G595">
        <v>13.3</v>
      </c>
      <c r="H595">
        <v>0</v>
      </c>
      <c r="I595">
        <v>15.8</v>
      </c>
      <c r="J595">
        <v>11.9</v>
      </c>
      <c r="K595">
        <v>0</v>
      </c>
      <c r="L595">
        <v>13.5</v>
      </c>
      <c r="M595">
        <v>16.8</v>
      </c>
      <c r="N595">
        <v>0</v>
      </c>
      <c r="O595">
        <v>15.5</v>
      </c>
      <c r="P595">
        <v>11.4</v>
      </c>
      <c r="Q595">
        <v>0</v>
      </c>
      <c r="R595">
        <v>10.9</v>
      </c>
      <c r="S595">
        <v>14.3</v>
      </c>
      <c r="T595">
        <v>0</v>
      </c>
      <c r="U595">
        <v>-19.3</v>
      </c>
      <c r="V595">
        <v>-21.8</v>
      </c>
      <c r="W595">
        <v>-22</v>
      </c>
      <c r="X595">
        <v>-19.7</v>
      </c>
      <c r="Y595">
        <v>-17.5</v>
      </c>
      <c r="Z595">
        <v>-22</v>
      </c>
      <c r="AA595">
        <v>-5</v>
      </c>
      <c r="AB595">
        <v>-6</v>
      </c>
      <c r="AC595">
        <v>-5</v>
      </c>
      <c r="AD595">
        <v>12</v>
      </c>
      <c r="AE595">
        <v>10.4</v>
      </c>
      <c r="AF595">
        <v>0</v>
      </c>
      <c r="AG595">
        <v>10.4</v>
      </c>
      <c r="AH595">
        <v>10</v>
      </c>
      <c r="AI595">
        <v>9.1999999999999993</v>
      </c>
      <c r="AJ595">
        <v>10</v>
      </c>
      <c r="AK595">
        <v>10.4</v>
      </c>
      <c r="AL595">
        <v>10</v>
      </c>
      <c r="AM595">
        <v>12.5</v>
      </c>
      <c r="AN595">
        <v>9</v>
      </c>
      <c r="AO595">
        <v>11.7</v>
      </c>
      <c r="AP595">
        <v>10</v>
      </c>
      <c r="AQ595">
        <v>12</v>
      </c>
      <c r="AR595">
        <v>10</v>
      </c>
      <c r="AS595">
        <v>8.8000000000000007</v>
      </c>
      <c r="AT595">
        <v>10</v>
      </c>
      <c r="AU595">
        <v>19.5</v>
      </c>
      <c r="AV595">
        <v>19</v>
      </c>
      <c r="AW595">
        <v>20.6</v>
      </c>
      <c r="AX595">
        <v>19</v>
      </c>
      <c r="AY595">
        <v>10.6</v>
      </c>
      <c r="AZ595">
        <v>10</v>
      </c>
      <c r="BA595">
        <v>9.6999999999999993</v>
      </c>
      <c r="BB595">
        <v>10</v>
      </c>
    </row>
    <row r="596" spans="1:54" x14ac:dyDescent="0.35">
      <c r="A596" s="1">
        <v>46059.872916666667</v>
      </c>
      <c r="B596">
        <v>22.7</v>
      </c>
      <c r="C596">
        <v>3</v>
      </c>
      <c r="D596">
        <v>21.3</v>
      </c>
      <c r="E596">
        <v>2</v>
      </c>
      <c r="F596">
        <v>9.9</v>
      </c>
      <c r="G596">
        <v>13.3</v>
      </c>
      <c r="H596">
        <v>0</v>
      </c>
      <c r="I596">
        <v>15.8</v>
      </c>
      <c r="J596">
        <v>11.9</v>
      </c>
      <c r="K596">
        <v>0</v>
      </c>
      <c r="L596">
        <v>13.5</v>
      </c>
      <c r="M596">
        <v>16.8</v>
      </c>
      <c r="N596">
        <v>0</v>
      </c>
      <c r="O596">
        <v>15.5</v>
      </c>
      <c r="P596">
        <v>11.4</v>
      </c>
      <c r="Q596">
        <v>0</v>
      </c>
      <c r="R596">
        <v>11</v>
      </c>
      <c r="S596">
        <v>14.3</v>
      </c>
      <c r="T596">
        <v>0</v>
      </c>
      <c r="U596">
        <v>-19.3</v>
      </c>
      <c r="V596">
        <v>-21.7</v>
      </c>
      <c r="W596">
        <v>-22</v>
      </c>
      <c r="X596">
        <v>-19.7</v>
      </c>
      <c r="Y596">
        <v>-17.600000000000001</v>
      </c>
      <c r="Z596">
        <v>-22</v>
      </c>
      <c r="AA596">
        <v>-3.4</v>
      </c>
      <c r="AB596">
        <v>-3.4</v>
      </c>
      <c r="AC596">
        <v>-5</v>
      </c>
      <c r="AD596">
        <v>12</v>
      </c>
      <c r="AE596">
        <v>10.4</v>
      </c>
      <c r="AF596">
        <v>0</v>
      </c>
      <c r="AG596">
        <v>10.9</v>
      </c>
      <c r="AH596">
        <v>10</v>
      </c>
      <c r="AI596">
        <v>9.8000000000000007</v>
      </c>
      <c r="AJ596">
        <v>10</v>
      </c>
      <c r="AK596">
        <v>10.9</v>
      </c>
      <c r="AL596">
        <v>10</v>
      </c>
      <c r="AM596">
        <v>12.5</v>
      </c>
      <c r="AN596">
        <v>9</v>
      </c>
      <c r="AO596">
        <v>11.9</v>
      </c>
      <c r="AP596">
        <v>10</v>
      </c>
      <c r="AQ596">
        <v>11.9</v>
      </c>
      <c r="AR596">
        <v>10</v>
      </c>
      <c r="AS596">
        <v>9.9</v>
      </c>
      <c r="AT596">
        <v>10</v>
      </c>
      <c r="AU596">
        <v>19.600000000000001</v>
      </c>
      <c r="AV596">
        <v>19</v>
      </c>
      <c r="AW596">
        <v>20.7</v>
      </c>
      <c r="AX596">
        <v>19</v>
      </c>
      <c r="AY596">
        <v>11.2</v>
      </c>
      <c r="AZ596">
        <v>10</v>
      </c>
      <c r="BA596">
        <v>10.5</v>
      </c>
      <c r="BB596">
        <v>10</v>
      </c>
    </row>
    <row r="597" spans="1:54" x14ac:dyDescent="0.35">
      <c r="A597" s="1">
        <v>46059.873611111114</v>
      </c>
      <c r="B597">
        <v>22.7</v>
      </c>
      <c r="C597">
        <v>3</v>
      </c>
      <c r="D597">
        <v>21.3</v>
      </c>
      <c r="E597">
        <v>2</v>
      </c>
      <c r="F597">
        <v>9.9</v>
      </c>
      <c r="G597">
        <v>13.3</v>
      </c>
      <c r="H597">
        <v>0</v>
      </c>
      <c r="I597">
        <v>15.8</v>
      </c>
      <c r="J597">
        <v>11.9</v>
      </c>
      <c r="K597">
        <v>0</v>
      </c>
      <c r="L597">
        <v>13.5</v>
      </c>
      <c r="M597">
        <v>16.8</v>
      </c>
      <c r="N597">
        <v>0</v>
      </c>
      <c r="O597">
        <v>15.5</v>
      </c>
      <c r="P597">
        <v>11.4</v>
      </c>
      <c r="Q597">
        <v>0</v>
      </c>
      <c r="R597">
        <v>11</v>
      </c>
      <c r="S597">
        <v>14.3</v>
      </c>
      <c r="T597">
        <v>0</v>
      </c>
      <c r="U597">
        <v>-19.399999999999999</v>
      </c>
      <c r="V597">
        <v>-21.9</v>
      </c>
      <c r="W597">
        <v>-22</v>
      </c>
      <c r="X597">
        <v>-19.7</v>
      </c>
      <c r="Y597">
        <v>-17.600000000000001</v>
      </c>
      <c r="Z597">
        <v>-22</v>
      </c>
      <c r="AA597">
        <v>-2.8</v>
      </c>
      <c r="AB597">
        <v>-2.9</v>
      </c>
      <c r="AC597">
        <v>-5</v>
      </c>
      <c r="AD597">
        <v>12</v>
      </c>
      <c r="AE597">
        <v>10.4</v>
      </c>
      <c r="AF597">
        <v>0</v>
      </c>
      <c r="AG597">
        <v>11.1</v>
      </c>
      <c r="AH597">
        <v>10</v>
      </c>
      <c r="AI597">
        <v>10</v>
      </c>
      <c r="AJ597">
        <v>10</v>
      </c>
      <c r="AK597">
        <v>11</v>
      </c>
      <c r="AL597">
        <v>10</v>
      </c>
      <c r="AM597">
        <v>12.5</v>
      </c>
      <c r="AN597">
        <v>9</v>
      </c>
      <c r="AO597">
        <v>12</v>
      </c>
      <c r="AP597">
        <v>10</v>
      </c>
      <c r="AQ597">
        <v>11.7</v>
      </c>
      <c r="AR597">
        <v>10</v>
      </c>
      <c r="AS597">
        <v>10.3</v>
      </c>
      <c r="AT597">
        <v>10</v>
      </c>
      <c r="AU597">
        <v>19.600000000000001</v>
      </c>
      <c r="AV597">
        <v>19</v>
      </c>
      <c r="AW597">
        <v>20.8</v>
      </c>
      <c r="AX597">
        <v>19</v>
      </c>
      <c r="AY597">
        <v>11.4</v>
      </c>
      <c r="AZ597">
        <v>10</v>
      </c>
      <c r="BA597">
        <v>10.9</v>
      </c>
      <c r="BB597">
        <v>10</v>
      </c>
    </row>
    <row r="598" spans="1:54" x14ac:dyDescent="0.35">
      <c r="A598" s="1">
        <v>46059.874305555553</v>
      </c>
      <c r="B598">
        <v>22.7</v>
      </c>
      <c r="C598">
        <v>3</v>
      </c>
      <c r="D598">
        <v>21.4</v>
      </c>
      <c r="E598">
        <v>2</v>
      </c>
      <c r="F598">
        <v>9.9</v>
      </c>
      <c r="G598">
        <v>13.3</v>
      </c>
      <c r="H598">
        <v>0</v>
      </c>
      <c r="I598">
        <v>15.8</v>
      </c>
      <c r="J598">
        <v>11.9</v>
      </c>
      <c r="K598">
        <v>0</v>
      </c>
      <c r="L598">
        <v>13.5</v>
      </c>
      <c r="M598">
        <v>16.8</v>
      </c>
      <c r="N598">
        <v>0</v>
      </c>
      <c r="O598">
        <v>15.5</v>
      </c>
      <c r="P598">
        <v>11.4</v>
      </c>
      <c r="Q598">
        <v>0</v>
      </c>
      <c r="R598">
        <v>11</v>
      </c>
      <c r="S598">
        <v>14.3</v>
      </c>
      <c r="T598">
        <v>0</v>
      </c>
      <c r="U598">
        <v>-19.399999999999999</v>
      </c>
      <c r="V598">
        <v>-21.6</v>
      </c>
      <c r="W598">
        <v>-22</v>
      </c>
      <c r="X598">
        <v>-19.8</v>
      </c>
      <c r="Y598">
        <v>-17.7</v>
      </c>
      <c r="Z598">
        <v>-22</v>
      </c>
      <c r="AA598">
        <v>-2.8</v>
      </c>
      <c r="AB598">
        <v>-4.0999999999999996</v>
      </c>
      <c r="AC598">
        <v>-5</v>
      </c>
      <c r="AD598">
        <v>12</v>
      </c>
      <c r="AE598">
        <v>10.4</v>
      </c>
      <c r="AF598">
        <v>0</v>
      </c>
      <c r="AG598">
        <v>11.2</v>
      </c>
      <c r="AH598">
        <v>10</v>
      </c>
      <c r="AI598">
        <v>10.199999999999999</v>
      </c>
      <c r="AJ598">
        <v>10</v>
      </c>
      <c r="AK598">
        <v>11.1</v>
      </c>
      <c r="AL598">
        <v>10</v>
      </c>
      <c r="AM598">
        <v>12.6</v>
      </c>
      <c r="AN598">
        <v>9</v>
      </c>
      <c r="AO598">
        <v>11.4</v>
      </c>
      <c r="AP598">
        <v>10</v>
      </c>
      <c r="AQ598">
        <v>11.7</v>
      </c>
      <c r="AR598">
        <v>10</v>
      </c>
      <c r="AS598">
        <v>10.6</v>
      </c>
      <c r="AT598">
        <v>10</v>
      </c>
      <c r="AU598">
        <v>19.7</v>
      </c>
      <c r="AV598">
        <v>19</v>
      </c>
      <c r="AW598">
        <v>20.9</v>
      </c>
      <c r="AX598">
        <v>19</v>
      </c>
      <c r="AY598">
        <v>11.6</v>
      </c>
      <c r="AZ598">
        <v>10</v>
      </c>
      <c r="BA598">
        <v>11.2</v>
      </c>
      <c r="BB598">
        <v>10</v>
      </c>
    </row>
    <row r="599" spans="1:54" x14ac:dyDescent="0.35">
      <c r="A599" s="1">
        <v>46059.875</v>
      </c>
      <c r="B599">
        <v>22.7</v>
      </c>
      <c r="C599">
        <v>3</v>
      </c>
      <c r="D599">
        <v>21.4</v>
      </c>
      <c r="E599">
        <v>2</v>
      </c>
      <c r="F599">
        <v>9.9</v>
      </c>
      <c r="G599">
        <v>13.3</v>
      </c>
      <c r="H599">
        <v>0</v>
      </c>
      <c r="I599">
        <v>15.8</v>
      </c>
      <c r="J599">
        <v>11.9</v>
      </c>
      <c r="K599">
        <v>0</v>
      </c>
      <c r="L599">
        <v>13.5</v>
      </c>
      <c r="M599">
        <v>16.8</v>
      </c>
      <c r="N599">
        <v>0</v>
      </c>
      <c r="O599">
        <v>15.5</v>
      </c>
      <c r="P599">
        <v>11.4</v>
      </c>
      <c r="Q599">
        <v>0</v>
      </c>
      <c r="R599">
        <v>11</v>
      </c>
      <c r="S599">
        <v>14.3</v>
      </c>
      <c r="T599">
        <v>0</v>
      </c>
      <c r="U599">
        <v>-19.399999999999999</v>
      </c>
      <c r="V599">
        <v>-21.9</v>
      </c>
      <c r="W599">
        <v>-22</v>
      </c>
      <c r="X599">
        <v>-19.8</v>
      </c>
      <c r="Y599">
        <v>-17.7</v>
      </c>
      <c r="Z599">
        <v>-22</v>
      </c>
      <c r="AA599">
        <v>-3.3</v>
      </c>
      <c r="AB599">
        <v>-5.2</v>
      </c>
      <c r="AC599">
        <v>-5</v>
      </c>
      <c r="AD599">
        <v>12</v>
      </c>
      <c r="AE599">
        <v>10.4</v>
      </c>
      <c r="AF599">
        <v>0</v>
      </c>
      <c r="AG599">
        <v>11.4</v>
      </c>
      <c r="AH599">
        <v>10</v>
      </c>
      <c r="AI599">
        <v>10.4</v>
      </c>
      <c r="AJ599">
        <v>10</v>
      </c>
      <c r="AK599">
        <v>11.1</v>
      </c>
      <c r="AL599">
        <v>10</v>
      </c>
      <c r="AM599">
        <v>12.6</v>
      </c>
      <c r="AN599">
        <v>9</v>
      </c>
      <c r="AO599">
        <v>10.8</v>
      </c>
      <c r="AP599">
        <v>10</v>
      </c>
      <c r="AQ599">
        <v>11.6</v>
      </c>
      <c r="AR599">
        <v>10</v>
      </c>
      <c r="AS599">
        <v>10.9</v>
      </c>
      <c r="AT599">
        <v>10</v>
      </c>
      <c r="AU599">
        <v>19.7</v>
      </c>
      <c r="AV599">
        <v>19</v>
      </c>
      <c r="AW599">
        <v>20.8</v>
      </c>
      <c r="AX599">
        <v>19</v>
      </c>
      <c r="AY599">
        <v>11.8</v>
      </c>
      <c r="AZ599">
        <v>10</v>
      </c>
      <c r="BA599">
        <v>11.5</v>
      </c>
      <c r="BB599">
        <v>10</v>
      </c>
    </row>
    <row r="600" spans="1:54" x14ac:dyDescent="0.35">
      <c r="A600" s="1">
        <v>46059.875694444447</v>
      </c>
      <c r="B600">
        <v>22.7</v>
      </c>
      <c r="C600">
        <v>3</v>
      </c>
      <c r="D600">
        <v>21.4</v>
      </c>
      <c r="E600">
        <v>2</v>
      </c>
      <c r="F600">
        <v>9.9</v>
      </c>
      <c r="G600">
        <v>13.3</v>
      </c>
      <c r="H600">
        <v>0</v>
      </c>
      <c r="I600">
        <v>15.8</v>
      </c>
      <c r="J600">
        <v>11.9</v>
      </c>
      <c r="K600">
        <v>0</v>
      </c>
      <c r="L600">
        <v>13.5</v>
      </c>
      <c r="M600">
        <v>16.8</v>
      </c>
      <c r="N600">
        <v>0</v>
      </c>
      <c r="O600">
        <v>15.5</v>
      </c>
      <c r="P600">
        <v>11.4</v>
      </c>
      <c r="Q600">
        <v>0</v>
      </c>
      <c r="R600">
        <v>11</v>
      </c>
      <c r="S600">
        <v>14.3</v>
      </c>
      <c r="T600">
        <v>0</v>
      </c>
      <c r="U600">
        <v>-19.399999999999999</v>
      </c>
      <c r="V600">
        <v>-21.6</v>
      </c>
      <c r="W600">
        <v>-22</v>
      </c>
      <c r="X600">
        <v>-19.8</v>
      </c>
      <c r="Y600">
        <v>-17.7</v>
      </c>
      <c r="Z600">
        <v>-22</v>
      </c>
      <c r="AA600">
        <v>-3.7</v>
      </c>
      <c r="AB600">
        <v>-5.7</v>
      </c>
      <c r="AC600">
        <v>-5</v>
      </c>
      <c r="AD600">
        <v>12</v>
      </c>
      <c r="AE600">
        <v>10.4</v>
      </c>
      <c r="AF600">
        <v>0</v>
      </c>
      <c r="AG600">
        <v>11.5</v>
      </c>
      <c r="AH600">
        <v>10</v>
      </c>
      <c r="AI600">
        <v>10.6</v>
      </c>
      <c r="AJ600">
        <v>10</v>
      </c>
      <c r="AK600">
        <v>11.2</v>
      </c>
      <c r="AL600">
        <v>10</v>
      </c>
      <c r="AM600">
        <v>12.6</v>
      </c>
      <c r="AN600">
        <v>9</v>
      </c>
      <c r="AO600">
        <v>10.8</v>
      </c>
      <c r="AP600">
        <v>10</v>
      </c>
      <c r="AQ600">
        <v>11.6</v>
      </c>
      <c r="AR600">
        <v>10</v>
      </c>
      <c r="AS600">
        <v>11.2</v>
      </c>
      <c r="AT600">
        <v>10</v>
      </c>
      <c r="AU600">
        <v>19.7</v>
      </c>
      <c r="AV600">
        <v>19</v>
      </c>
      <c r="AW600">
        <v>20.9</v>
      </c>
      <c r="AX600">
        <v>19</v>
      </c>
      <c r="AY600">
        <v>11.9</v>
      </c>
      <c r="AZ600">
        <v>10</v>
      </c>
      <c r="BA600">
        <v>11.8</v>
      </c>
      <c r="BB600">
        <v>10</v>
      </c>
    </row>
    <row r="601" spans="1:54" x14ac:dyDescent="0.35">
      <c r="A601" s="1">
        <v>46059.876388888886</v>
      </c>
      <c r="B601">
        <v>22.7</v>
      </c>
      <c r="C601">
        <v>3</v>
      </c>
      <c r="D601">
        <v>21.4</v>
      </c>
      <c r="E601">
        <v>2</v>
      </c>
      <c r="F601">
        <v>9.9</v>
      </c>
      <c r="G601">
        <v>13.3</v>
      </c>
      <c r="H601">
        <v>0</v>
      </c>
      <c r="I601">
        <v>15.8</v>
      </c>
      <c r="J601">
        <v>11.9</v>
      </c>
      <c r="K601">
        <v>0</v>
      </c>
      <c r="L601">
        <v>13.5</v>
      </c>
      <c r="M601">
        <v>16.8</v>
      </c>
      <c r="N601">
        <v>0</v>
      </c>
      <c r="O601">
        <v>15.5</v>
      </c>
      <c r="P601">
        <v>11.4</v>
      </c>
      <c r="Q601">
        <v>0</v>
      </c>
      <c r="R601">
        <v>11</v>
      </c>
      <c r="S601">
        <v>14.3</v>
      </c>
      <c r="T601">
        <v>0</v>
      </c>
      <c r="U601">
        <v>-19.399999999999999</v>
      </c>
      <c r="V601">
        <v>-21.6</v>
      </c>
      <c r="W601">
        <v>-22</v>
      </c>
      <c r="X601">
        <v>-19.8</v>
      </c>
      <c r="Y601">
        <v>-17.8</v>
      </c>
      <c r="Z601">
        <v>-22</v>
      </c>
      <c r="AA601">
        <v>-4.3</v>
      </c>
      <c r="AB601">
        <v>-6.5</v>
      </c>
      <c r="AC601">
        <v>-5</v>
      </c>
      <c r="AD601">
        <v>12</v>
      </c>
      <c r="AE601">
        <v>10.4</v>
      </c>
      <c r="AF601">
        <v>0</v>
      </c>
      <c r="AG601">
        <v>11.6</v>
      </c>
      <c r="AH601">
        <v>10</v>
      </c>
      <c r="AI601">
        <v>10.7</v>
      </c>
      <c r="AJ601">
        <v>10</v>
      </c>
      <c r="AK601">
        <v>11.2</v>
      </c>
      <c r="AL601">
        <v>10</v>
      </c>
      <c r="AM601">
        <v>12.5</v>
      </c>
      <c r="AN601">
        <v>9</v>
      </c>
      <c r="AO601">
        <v>10.7</v>
      </c>
      <c r="AP601">
        <v>10</v>
      </c>
      <c r="AQ601">
        <v>11.4</v>
      </c>
      <c r="AR601">
        <v>10</v>
      </c>
      <c r="AS601">
        <v>11.4</v>
      </c>
      <c r="AT601">
        <v>10</v>
      </c>
      <c r="AU601">
        <v>19.7</v>
      </c>
      <c r="AV601">
        <v>19</v>
      </c>
      <c r="AW601">
        <v>20.9</v>
      </c>
      <c r="AX601">
        <v>19</v>
      </c>
      <c r="AY601">
        <v>11.9</v>
      </c>
      <c r="AZ601">
        <v>10</v>
      </c>
      <c r="BA601">
        <v>12</v>
      </c>
      <c r="BB601">
        <v>10</v>
      </c>
    </row>
    <row r="602" spans="1:54" x14ac:dyDescent="0.35">
      <c r="A602" s="1">
        <v>46059.877083333333</v>
      </c>
      <c r="B602">
        <v>22.7</v>
      </c>
      <c r="C602">
        <v>3</v>
      </c>
      <c r="D602">
        <v>21.4</v>
      </c>
      <c r="E602">
        <v>2</v>
      </c>
      <c r="F602">
        <v>9.9</v>
      </c>
      <c r="G602">
        <v>13.3</v>
      </c>
      <c r="H602">
        <v>0</v>
      </c>
      <c r="I602">
        <v>15.8</v>
      </c>
      <c r="J602">
        <v>11.9</v>
      </c>
      <c r="K602">
        <v>0</v>
      </c>
      <c r="L602">
        <v>13.5</v>
      </c>
      <c r="M602">
        <v>16.8</v>
      </c>
      <c r="N602">
        <v>0</v>
      </c>
      <c r="O602">
        <v>15.5</v>
      </c>
      <c r="P602">
        <v>11.4</v>
      </c>
      <c r="Q602">
        <v>0</v>
      </c>
      <c r="R602">
        <v>11</v>
      </c>
      <c r="S602">
        <v>14.3</v>
      </c>
      <c r="T602">
        <v>0</v>
      </c>
      <c r="U602">
        <v>-19.399999999999999</v>
      </c>
      <c r="V602">
        <v>-21.8</v>
      </c>
      <c r="W602">
        <v>-22</v>
      </c>
      <c r="X602">
        <v>-19.8</v>
      </c>
      <c r="Y602">
        <v>-17.8</v>
      </c>
      <c r="Z602">
        <v>-22</v>
      </c>
      <c r="AA602">
        <v>-4.7</v>
      </c>
      <c r="AB602">
        <v>-7</v>
      </c>
      <c r="AC602">
        <v>-5</v>
      </c>
      <c r="AD602">
        <v>12</v>
      </c>
      <c r="AE602">
        <v>10.4</v>
      </c>
      <c r="AF602">
        <v>0</v>
      </c>
      <c r="AG602">
        <v>11.7</v>
      </c>
      <c r="AH602">
        <v>10</v>
      </c>
      <c r="AI602">
        <v>10.9</v>
      </c>
      <c r="AJ602">
        <v>10</v>
      </c>
      <c r="AK602">
        <v>11.2</v>
      </c>
      <c r="AL602">
        <v>10</v>
      </c>
      <c r="AM602">
        <v>12.5</v>
      </c>
      <c r="AN602">
        <v>9</v>
      </c>
      <c r="AO602">
        <v>10.6</v>
      </c>
      <c r="AP602">
        <v>10</v>
      </c>
      <c r="AQ602">
        <v>11.3</v>
      </c>
      <c r="AR602">
        <v>10</v>
      </c>
      <c r="AS602">
        <v>11.6</v>
      </c>
      <c r="AT602">
        <v>10</v>
      </c>
      <c r="AU602">
        <v>19.7</v>
      </c>
      <c r="AV602">
        <v>19</v>
      </c>
      <c r="AW602">
        <v>20.9</v>
      </c>
      <c r="AX602">
        <v>19</v>
      </c>
      <c r="AY602">
        <v>10.9</v>
      </c>
      <c r="AZ602">
        <v>10</v>
      </c>
      <c r="BA602">
        <v>11.7</v>
      </c>
      <c r="BB602">
        <v>10</v>
      </c>
    </row>
    <row r="603" spans="1:54" x14ac:dyDescent="0.35">
      <c r="A603" s="1">
        <v>46059.87777777778</v>
      </c>
      <c r="B603">
        <v>22.7</v>
      </c>
      <c r="C603">
        <v>3</v>
      </c>
      <c r="D603">
        <v>21.4</v>
      </c>
      <c r="E603">
        <v>2</v>
      </c>
      <c r="F603">
        <v>9.9</v>
      </c>
      <c r="G603">
        <v>13.3</v>
      </c>
      <c r="H603">
        <v>0</v>
      </c>
      <c r="I603">
        <v>15.8</v>
      </c>
      <c r="J603">
        <v>11.9</v>
      </c>
      <c r="K603">
        <v>0</v>
      </c>
      <c r="L603">
        <v>13.5</v>
      </c>
      <c r="M603">
        <v>16.8</v>
      </c>
      <c r="N603">
        <v>0</v>
      </c>
      <c r="O603">
        <v>15.5</v>
      </c>
      <c r="P603">
        <v>11.4</v>
      </c>
      <c r="Q603">
        <v>0</v>
      </c>
      <c r="R603">
        <v>11</v>
      </c>
      <c r="S603">
        <v>14.3</v>
      </c>
      <c r="T603">
        <v>0</v>
      </c>
      <c r="U603">
        <v>-19.399999999999999</v>
      </c>
      <c r="V603">
        <v>-21.7</v>
      </c>
      <c r="W603">
        <v>-22</v>
      </c>
      <c r="X603">
        <v>-19.8</v>
      </c>
      <c r="Y603">
        <v>-17.8</v>
      </c>
      <c r="Z603">
        <v>-22</v>
      </c>
      <c r="AA603">
        <v>-5</v>
      </c>
      <c r="AB603">
        <v>-7.3</v>
      </c>
      <c r="AC603">
        <v>-5</v>
      </c>
      <c r="AD603">
        <v>12</v>
      </c>
      <c r="AE603">
        <v>10.4</v>
      </c>
      <c r="AF603">
        <v>0</v>
      </c>
      <c r="AG603">
        <v>11.8</v>
      </c>
      <c r="AH603">
        <v>10</v>
      </c>
      <c r="AI603">
        <v>11</v>
      </c>
      <c r="AJ603">
        <v>10</v>
      </c>
      <c r="AK603">
        <v>11.2</v>
      </c>
      <c r="AL603">
        <v>10</v>
      </c>
      <c r="AM603">
        <v>12.4</v>
      </c>
      <c r="AN603">
        <v>9</v>
      </c>
      <c r="AO603">
        <v>10.3</v>
      </c>
      <c r="AP603">
        <v>10</v>
      </c>
      <c r="AQ603">
        <v>11.2</v>
      </c>
      <c r="AR603">
        <v>10</v>
      </c>
      <c r="AS603">
        <v>11.8</v>
      </c>
      <c r="AT603">
        <v>10</v>
      </c>
      <c r="AU603">
        <v>19.7</v>
      </c>
      <c r="AV603">
        <v>19</v>
      </c>
      <c r="AW603">
        <v>20.9</v>
      </c>
      <c r="AX603">
        <v>19</v>
      </c>
      <c r="AY603">
        <v>10</v>
      </c>
      <c r="AZ603">
        <v>10</v>
      </c>
      <c r="BA603">
        <v>10.8</v>
      </c>
      <c r="BB603">
        <v>10</v>
      </c>
    </row>
    <row r="604" spans="1:54" x14ac:dyDescent="0.35">
      <c r="A604" s="1">
        <v>46059.879166666666</v>
      </c>
      <c r="B604">
        <v>22.7</v>
      </c>
      <c r="C604">
        <v>3</v>
      </c>
      <c r="D604">
        <v>21.4</v>
      </c>
      <c r="E604">
        <v>2</v>
      </c>
      <c r="F604">
        <v>9.9</v>
      </c>
      <c r="G604">
        <v>13.3</v>
      </c>
      <c r="H604">
        <v>0</v>
      </c>
      <c r="I604">
        <v>15.8</v>
      </c>
      <c r="J604">
        <v>12</v>
      </c>
      <c r="K604">
        <v>0</v>
      </c>
      <c r="L604">
        <v>13.5</v>
      </c>
      <c r="M604">
        <v>16.8</v>
      </c>
      <c r="N604">
        <v>0</v>
      </c>
      <c r="O604">
        <v>15.5</v>
      </c>
      <c r="P604">
        <v>11.4</v>
      </c>
      <c r="Q604">
        <v>0</v>
      </c>
      <c r="R604">
        <v>11</v>
      </c>
      <c r="S604">
        <v>14.3</v>
      </c>
      <c r="T604">
        <v>0</v>
      </c>
      <c r="U604">
        <v>-19.399999999999999</v>
      </c>
      <c r="V604">
        <v>-21.7</v>
      </c>
      <c r="W604">
        <v>-22</v>
      </c>
      <c r="X604">
        <v>-19.8</v>
      </c>
      <c r="Y604">
        <v>-17.899999999999999</v>
      </c>
      <c r="Z604">
        <v>-22</v>
      </c>
      <c r="AA604">
        <v>-4.0999999999999996</v>
      </c>
      <c r="AB604">
        <v>-4.4000000000000004</v>
      </c>
      <c r="AC604">
        <v>-5</v>
      </c>
      <c r="AD604">
        <v>12</v>
      </c>
      <c r="AE604">
        <v>10.4</v>
      </c>
      <c r="AF604">
        <v>0</v>
      </c>
      <c r="AG604">
        <v>11.9</v>
      </c>
      <c r="AH604">
        <v>10</v>
      </c>
      <c r="AI604">
        <v>11.2</v>
      </c>
      <c r="AJ604">
        <v>10</v>
      </c>
      <c r="AK604">
        <v>11.2</v>
      </c>
      <c r="AL604">
        <v>10</v>
      </c>
      <c r="AM604">
        <v>12.3</v>
      </c>
      <c r="AN604">
        <v>9</v>
      </c>
      <c r="AO604">
        <v>10.1</v>
      </c>
      <c r="AP604">
        <v>10</v>
      </c>
      <c r="AQ604">
        <v>11.1</v>
      </c>
      <c r="AR604">
        <v>10</v>
      </c>
      <c r="AS604">
        <v>10.8</v>
      </c>
      <c r="AT604">
        <v>10</v>
      </c>
      <c r="AU604">
        <v>19.7</v>
      </c>
      <c r="AV604">
        <v>19</v>
      </c>
      <c r="AW604">
        <v>21</v>
      </c>
      <c r="AX604">
        <v>19</v>
      </c>
      <c r="AY604">
        <v>9.9</v>
      </c>
      <c r="AZ604">
        <v>10</v>
      </c>
      <c r="BA604">
        <v>9.6</v>
      </c>
      <c r="BB604">
        <v>10</v>
      </c>
    </row>
    <row r="605" spans="1:54" x14ac:dyDescent="0.35">
      <c r="A605" s="1">
        <v>46059.879861111112</v>
      </c>
      <c r="B605">
        <v>22.7</v>
      </c>
      <c r="C605">
        <v>3</v>
      </c>
      <c r="D605">
        <v>21.4</v>
      </c>
      <c r="E605">
        <v>2</v>
      </c>
      <c r="F605">
        <v>9.9</v>
      </c>
      <c r="G605">
        <v>13.3</v>
      </c>
      <c r="H605">
        <v>0</v>
      </c>
      <c r="I605">
        <v>15.8</v>
      </c>
      <c r="J605">
        <v>12</v>
      </c>
      <c r="K605">
        <v>0</v>
      </c>
      <c r="L605">
        <v>13.5</v>
      </c>
      <c r="M605">
        <v>16.8</v>
      </c>
      <c r="N605">
        <v>0</v>
      </c>
      <c r="O605">
        <v>15.5</v>
      </c>
      <c r="P605">
        <v>11.4</v>
      </c>
      <c r="Q605">
        <v>0</v>
      </c>
      <c r="R605">
        <v>11</v>
      </c>
      <c r="S605">
        <v>14.3</v>
      </c>
      <c r="T605">
        <v>0</v>
      </c>
      <c r="U605">
        <v>-19.5</v>
      </c>
      <c r="V605">
        <v>-21.9</v>
      </c>
      <c r="W605">
        <v>-22</v>
      </c>
      <c r="X605">
        <v>-19.899999999999999</v>
      </c>
      <c r="Y605">
        <v>-17.899999999999999</v>
      </c>
      <c r="Z605">
        <v>-22</v>
      </c>
      <c r="AA605">
        <v>-3.4</v>
      </c>
      <c r="AB605">
        <v>-3.5</v>
      </c>
      <c r="AC605">
        <v>-5</v>
      </c>
      <c r="AD605">
        <v>12.1</v>
      </c>
      <c r="AE605">
        <v>10.4</v>
      </c>
      <c r="AF605">
        <v>0</v>
      </c>
      <c r="AG605">
        <v>12</v>
      </c>
      <c r="AH605">
        <v>10</v>
      </c>
      <c r="AI605">
        <v>11.3</v>
      </c>
      <c r="AJ605">
        <v>10</v>
      </c>
      <c r="AK605">
        <v>11.3</v>
      </c>
      <c r="AL605">
        <v>10</v>
      </c>
      <c r="AM605">
        <v>12.2</v>
      </c>
      <c r="AN605">
        <v>9</v>
      </c>
      <c r="AO605">
        <v>10.199999999999999</v>
      </c>
      <c r="AP605">
        <v>10</v>
      </c>
      <c r="AQ605">
        <v>11</v>
      </c>
      <c r="AR605">
        <v>10</v>
      </c>
      <c r="AS605">
        <v>8.3000000000000007</v>
      </c>
      <c r="AT605">
        <v>10</v>
      </c>
      <c r="AU605">
        <v>19.7</v>
      </c>
      <c r="AV605">
        <v>19</v>
      </c>
      <c r="AW605">
        <v>21</v>
      </c>
      <c r="AX605">
        <v>19</v>
      </c>
      <c r="AY605">
        <v>10.199999999999999</v>
      </c>
      <c r="AZ605">
        <v>10</v>
      </c>
      <c r="BA605">
        <v>9.8000000000000007</v>
      </c>
      <c r="BB605">
        <v>10</v>
      </c>
    </row>
    <row r="606" spans="1:54" x14ac:dyDescent="0.35">
      <c r="A606" s="1">
        <v>46059.880555555559</v>
      </c>
      <c r="B606">
        <v>22.7</v>
      </c>
      <c r="C606">
        <v>3</v>
      </c>
      <c r="D606">
        <v>21.4</v>
      </c>
      <c r="E606">
        <v>2</v>
      </c>
      <c r="F606">
        <v>9.9</v>
      </c>
      <c r="G606">
        <v>13.3</v>
      </c>
      <c r="H606">
        <v>0</v>
      </c>
      <c r="I606">
        <v>15.8</v>
      </c>
      <c r="J606">
        <v>12</v>
      </c>
      <c r="K606">
        <v>0</v>
      </c>
      <c r="L606">
        <v>13.5</v>
      </c>
      <c r="M606">
        <v>16.8</v>
      </c>
      <c r="N606">
        <v>0</v>
      </c>
      <c r="O606">
        <v>15.5</v>
      </c>
      <c r="P606">
        <v>11.4</v>
      </c>
      <c r="Q606">
        <v>0</v>
      </c>
      <c r="R606">
        <v>11</v>
      </c>
      <c r="S606">
        <v>14.3</v>
      </c>
      <c r="T606">
        <v>0</v>
      </c>
      <c r="U606">
        <v>-19.5</v>
      </c>
      <c r="V606">
        <v>-21.9</v>
      </c>
      <c r="W606">
        <v>-22</v>
      </c>
      <c r="X606">
        <v>-19.899999999999999</v>
      </c>
      <c r="Y606">
        <v>-18</v>
      </c>
      <c r="Z606">
        <v>-22</v>
      </c>
      <c r="AA606">
        <v>-2.8</v>
      </c>
      <c r="AB606">
        <v>-3</v>
      </c>
      <c r="AC606">
        <v>-5</v>
      </c>
      <c r="AD606">
        <v>12.1</v>
      </c>
      <c r="AE606">
        <v>10.4</v>
      </c>
      <c r="AF606">
        <v>0</v>
      </c>
      <c r="AG606">
        <v>11.6</v>
      </c>
      <c r="AH606">
        <v>10</v>
      </c>
      <c r="AI606">
        <v>11.4</v>
      </c>
      <c r="AJ606">
        <v>10</v>
      </c>
      <c r="AK606">
        <v>11.4</v>
      </c>
      <c r="AL606">
        <v>10</v>
      </c>
      <c r="AM606">
        <v>12.2</v>
      </c>
      <c r="AN606">
        <v>9</v>
      </c>
      <c r="AO606">
        <v>10.9</v>
      </c>
      <c r="AP606">
        <v>10</v>
      </c>
      <c r="AQ606">
        <v>10.9</v>
      </c>
      <c r="AR606">
        <v>10</v>
      </c>
      <c r="AS606">
        <v>7.8</v>
      </c>
      <c r="AT606">
        <v>10</v>
      </c>
      <c r="AU606">
        <v>19.5</v>
      </c>
      <c r="AV606">
        <v>19</v>
      </c>
      <c r="AW606">
        <v>20.399999999999999</v>
      </c>
      <c r="AX606">
        <v>19</v>
      </c>
      <c r="AY606">
        <v>10.6</v>
      </c>
      <c r="AZ606">
        <v>10</v>
      </c>
      <c r="BA606">
        <v>10.199999999999999</v>
      </c>
      <c r="BB606">
        <v>10</v>
      </c>
    </row>
    <row r="607" spans="1:54" x14ac:dyDescent="0.35">
      <c r="A607" s="1">
        <v>46059.881249999999</v>
      </c>
      <c r="B607">
        <v>22.7</v>
      </c>
      <c r="C607">
        <v>3</v>
      </c>
      <c r="D607">
        <v>21.4</v>
      </c>
      <c r="E607">
        <v>2</v>
      </c>
      <c r="F607">
        <v>9.9</v>
      </c>
      <c r="G607">
        <v>13.3</v>
      </c>
      <c r="H607">
        <v>0</v>
      </c>
      <c r="I607">
        <v>15.8</v>
      </c>
      <c r="J607">
        <v>12</v>
      </c>
      <c r="K607">
        <v>0</v>
      </c>
      <c r="L607">
        <v>13.5</v>
      </c>
      <c r="M607">
        <v>16.8</v>
      </c>
      <c r="N607">
        <v>0</v>
      </c>
      <c r="O607">
        <v>15.5</v>
      </c>
      <c r="P607">
        <v>11.4</v>
      </c>
      <c r="Q607">
        <v>0</v>
      </c>
      <c r="R607">
        <v>11</v>
      </c>
      <c r="S607">
        <v>14.3</v>
      </c>
      <c r="T607">
        <v>0</v>
      </c>
      <c r="U607">
        <v>-19.5</v>
      </c>
      <c r="V607">
        <v>-21.8</v>
      </c>
      <c r="W607">
        <v>-22</v>
      </c>
      <c r="X607">
        <v>-19.899999999999999</v>
      </c>
      <c r="Y607">
        <v>-18</v>
      </c>
      <c r="Z607">
        <v>-22</v>
      </c>
      <c r="AA607">
        <v>-2.8</v>
      </c>
      <c r="AB607">
        <v>-4.0999999999999996</v>
      </c>
      <c r="AC607">
        <v>-5</v>
      </c>
      <c r="AD607">
        <v>12.1</v>
      </c>
      <c r="AE607">
        <v>10.4</v>
      </c>
      <c r="AF607">
        <v>0</v>
      </c>
      <c r="AG607">
        <v>10.8</v>
      </c>
      <c r="AH607">
        <v>10</v>
      </c>
      <c r="AI607">
        <v>11.5</v>
      </c>
      <c r="AJ607">
        <v>10</v>
      </c>
      <c r="AK607">
        <v>11.4</v>
      </c>
      <c r="AL607">
        <v>10</v>
      </c>
      <c r="AM607">
        <v>12.2</v>
      </c>
      <c r="AN607">
        <v>9</v>
      </c>
      <c r="AO607">
        <v>11.2</v>
      </c>
      <c r="AP607">
        <v>10</v>
      </c>
      <c r="AQ607">
        <v>10.9</v>
      </c>
      <c r="AR607">
        <v>10</v>
      </c>
      <c r="AS607">
        <v>8.3000000000000007</v>
      </c>
      <c r="AT607">
        <v>10</v>
      </c>
      <c r="AU607">
        <v>19.2</v>
      </c>
      <c r="AV607">
        <v>19</v>
      </c>
      <c r="AW607">
        <v>20</v>
      </c>
      <c r="AX607">
        <v>19</v>
      </c>
      <c r="AY607">
        <v>10.9</v>
      </c>
      <c r="AZ607">
        <v>10</v>
      </c>
      <c r="BA607">
        <v>10.7</v>
      </c>
      <c r="BB607">
        <v>10</v>
      </c>
    </row>
    <row r="608" spans="1:54" x14ac:dyDescent="0.35">
      <c r="A608" s="1">
        <v>46059.881944444445</v>
      </c>
      <c r="B608">
        <v>22.7</v>
      </c>
      <c r="C608">
        <v>3</v>
      </c>
      <c r="D608">
        <v>21.4</v>
      </c>
      <c r="E608">
        <v>2</v>
      </c>
      <c r="F608">
        <v>9.9</v>
      </c>
      <c r="G608">
        <v>13.3</v>
      </c>
      <c r="H608">
        <v>0</v>
      </c>
      <c r="I608">
        <v>15.8</v>
      </c>
      <c r="J608">
        <v>12</v>
      </c>
      <c r="K608">
        <v>0</v>
      </c>
      <c r="L608">
        <v>13.5</v>
      </c>
      <c r="M608">
        <v>16.8</v>
      </c>
      <c r="N608">
        <v>0</v>
      </c>
      <c r="O608">
        <v>15.5</v>
      </c>
      <c r="P608">
        <v>11.4</v>
      </c>
      <c r="Q608">
        <v>0</v>
      </c>
      <c r="R608">
        <v>11</v>
      </c>
      <c r="S608">
        <v>14.3</v>
      </c>
      <c r="T608">
        <v>0</v>
      </c>
      <c r="U608">
        <v>-19.5</v>
      </c>
      <c r="V608">
        <v>-22.1</v>
      </c>
      <c r="W608">
        <v>-22</v>
      </c>
      <c r="X608">
        <v>-19.899999999999999</v>
      </c>
      <c r="Y608">
        <v>-18</v>
      </c>
      <c r="Z608">
        <v>-22</v>
      </c>
      <c r="AA608">
        <v>-3.2</v>
      </c>
      <c r="AB608">
        <v>-5.0999999999999996</v>
      </c>
      <c r="AC608">
        <v>-5</v>
      </c>
      <c r="AD608">
        <v>12.1</v>
      </c>
      <c r="AE608">
        <v>10.4</v>
      </c>
      <c r="AF608">
        <v>0</v>
      </c>
      <c r="AG608">
        <v>10</v>
      </c>
      <c r="AH608">
        <v>10</v>
      </c>
      <c r="AI608">
        <v>11.6</v>
      </c>
      <c r="AJ608">
        <v>10</v>
      </c>
      <c r="AK608">
        <v>11.6</v>
      </c>
      <c r="AL608">
        <v>10</v>
      </c>
      <c r="AM608">
        <v>12.2</v>
      </c>
      <c r="AN608">
        <v>9</v>
      </c>
      <c r="AO608">
        <v>11.4</v>
      </c>
      <c r="AP608">
        <v>10</v>
      </c>
      <c r="AQ608">
        <v>10.7</v>
      </c>
      <c r="AR608">
        <v>10</v>
      </c>
      <c r="AS608">
        <v>8.9</v>
      </c>
      <c r="AT608">
        <v>10</v>
      </c>
      <c r="AU608">
        <v>19</v>
      </c>
      <c r="AV608">
        <v>19</v>
      </c>
      <c r="AW608">
        <v>19.7</v>
      </c>
      <c r="AX608">
        <v>19</v>
      </c>
      <c r="AY608">
        <v>11.1</v>
      </c>
      <c r="AZ608">
        <v>10</v>
      </c>
      <c r="BA608">
        <v>11</v>
      </c>
      <c r="BB608">
        <v>10</v>
      </c>
    </row>
    <row r="609" spans="1:54" x14ac:dyDescent="0.35">
      <c r="A609" s="1">
        <v>46059.882638888892</v>
      </c>
      <c r="B609">
        <v>22.7</v>
      </c>
      <c r="C609">
        <v>3</v>
      </c>
      <c r="D609">
        <v>21.4</v>
      </c>
      <c r="E609">
        <v>2</v>
      </c>
      <c r="F609">
        <v>9.9</v>
      </c>
      <c r="G609">
        <v>13.3</v>
      </c>
      <c r="H609">
        <v>0</v>
      </c>
      <c r="I609">
        <v>15.8</v>
      </c>
      <c r="J609">
        <v>12</v>
      </c>
      <c r="K609">
        <v>0</v>
      </c>
      <c r="L609">
        <v>13.5</v>
      </c>
      <c r="M609">
        <v>16.8</v>
      </c>
      <c r="N609">
        <v>0</v>
      </c>
      <c r="O609">
        <v>15.5</v>
      </c>
      <c r="P609">
        <v>11.4</v>
      </c>
      <c r="Q609">
        <v>0</v>
      </c>
      <c r="R609">
        <v>11</v>
      </c>
      <c r="S609">
        <v>14.3</v>
      </c>
      <c r="T609">
        <v>0</v>
      </c>
      <c r="U609">
        <v>-19.5</v>
      </c>
      <c r="V609">
        <v>-21.8</v>
      </c>
      <c r="W609">
        <v>-22</v>
      </c>
      <c r="X609">
        <v>-19.899999999999999</v>
      </c>
      <c r="Y609">
        <v>-18</v>
      </c>
      <c r="Z609">
        <v>-22</v>
      </c>
      <c r="AA609">
        <v>-3.8</v>
      </c>
      <c r="AB609">
        <v>-5.9</v>
      </c>
      <c r="AC609">
        <v>-5</v>
      </c>
      <c r="AD609">
        <v>12.1</v>
      </c>
      <c r="AE609">
        <v>10.4</v>
      </c>
      <c r="AF609">
        <v>0</v>
      </c>
      <c r="AG609">
        <v>9.6999999999999993</v>
      </c>
      <c r="AH609">
        <v>10</v>
      </c>
      <c r="AI609">
        <v>11.7</v>
      </c>
      <c r="AJ609">
        <v>10</v>
      </c>
      <c r="AK609">
        <v>11.6</v>
      </c>
      <c r="AL609">
        <v>10</v>
      </c>
      <c r="AM609">
        <v>12.2</v>
      </c>
      <c r="AN609">
        <v>9</v>
      </c>
      <c r="AO609">
        <v>11.6</v>
      </c>
      <c r="AP609">
        <v>10</v>
      </c>
      <c r="AQ609">
        <v>10.4</v>
      </c>
      <c r="AR609">
        <v>10</v>
      </c>
      <c r="AS609">
        <v>9.6</v>
      </c>
      <c r="AT609">
        <v>10</v>
      </c>
      <c r="AU609">
        <v>18.899999999999999</v>
      </c>
      <c r="AV609">
        <v>19</v>
      </c>
      <c r="AW609">
        <v>19.5</v>
      </c>
      <c r="AX609">
        <v>19</v>
      </c>
      <c r="AY609">
        <v>11.4</v>
      </c>
      <c r="AZ609">
        <v>10</v>
      </c>
      <c r="BA609">
        <v>11.3</v>
      </c>
      <c r="BB609">
        <v>10</v>
      </c>
    </row>
    <row r="610" spans="1:54" x14ac:dyDescent="0.35">
      <c r="A610" s="1">
        <v>46059.884027777778</v>
      </c>
      <c r="B610">
        <v>22.7</v>
      </c>
      <c r="C610">
        <v>3</v>
      </c>
      <c r="D610">
        <v>21.4</v>
      </c>
      <c r="E610">
        <v>2</v>
      </c>
      <c r="F610">
        <v>9.9</v>
      </c>
      <c r="G610">
        <v>13.3</v>
      </c>
      <c r="H610">
        <v>0</v>
      </c>
      <c r="I610">
        <v>15.8</v>
      </c>
      <c r="J610">
        <v>12</v>
      </c>
      <c r="K610">
        <v>0</v>
      </c>
      <c r="L610">
        <v>13.6</v>
      </c>
      <c r="M610">
        <v>16.8</v>
      </c>
      <c r="N610">
        <v>0</v>
      </c>
      <c r="O610">
        <v>15.5</v>
      </c>
      <c r="P610">
        <v>11.5</v>
      </c>
      <c r="Q610">
        <v>0</v>
      </c>
      <c r="R610">
        <v>11</v>
      </c>
      <c r="S610">
        <v>14.4</v>
      </c>
      <c r="T610">
        <v>0</v>
      </c>
      <c r="U610">
        <v>-19.600000000000001</v>
      </c>
      <c r="V610">
        <v>-21.8</v>
      </c>
      <c r="W610">
        <v>-22</v>
      </c>
      <c r="X610">
        <v>-20</v>
      </c>
      <c r="Y610">
        <v>-18.100000000000001</v>
      </c>
      <c r="Z610">
        <v>-22</v>
      </c>
      <c r="AA610">
        <v>-4.5999999999999996</v>
      </c>
      <c r="AB610">
        <v>-6.9</v>
      </c>
      <c r="AC610">
        <v>-5</v>
      </c>
      <c r="AD610">
        <v>12.1</v>
      </c>
      <c r="AE610">
        <v>10.4</v>
      </c>
      <c r="AF610">
        <v>0</v>
      </c>
      <c r="AG610">
        <v>10.1</v>
      </c>
      <c r="AH610">
        <v>10</v>
      </c>
      <c r="AI610">
        <v>11.9</v>
      </c>
      <c r="AJ610">
        <v>10</v>
      </c>
      <c r="AK610">
        <v>11.8</v>
      </c>
      <c r="AL610">
        <v>10</v>
      </c>
      <c r="AM610">
        <v>12.3</v>
      </c>
      <c r="AN610">
        <v>9</v>
      </c>
      <c r="AO610">
        <v>11.8</v>
      </c>
      <c r="AP610">
        <v>10</v>
      </c>
      <c r="AQ610">
        <v>10.4</v>
      </c>
      <c r="AR610">
        <v>10</v>
      </c>
      <c r="AS610">
        <v>10.3</v>
      </c>
      <c r="AT610">
        <v>10</v>
      </c>
      <c r="AU610">
        <v>18.8</v>
      </c>
      <c r="AV610">
        <v>19</v>
      </c>
      <c r="AW610">
        <v>19.3</v>
      </c>
      <c r="AX610">
        <v>19</v>
      </c>
      <c r="AY610">
        <v>11.8</v>
      </c>
      <c r="AZ610">
        <v>10</v>
      </c>
      <c r="BA610">
        <v>11.8</v>
      </c>
      <c r="BB610">
        <v>10</v>
      </c>
    </row>
    <row r="611" spans="1:54" x14ac:dyDescent="0.35">
      <c r="A611" s="1">
        <v>46059.884722222225</v>
      </c>
      <c r="B611">
        <v>22.7</v>
      </c>
      <c r="C611">
        <v>3</v>
      </c>
      <c r="D611">
        <v>21.4</v>
      </c>
      <c r="E611">
        <v>2</v>
      </c>
      <c r="F611">
        <v>10</v>
      </c>
      <c r="G611">
        <v>13.3</v>
      </c>
      <c r="H611">
        <v>0</v>
      </c>
      <c r="I611">
        <v>15.8</v>
      </c>
      <c r="J611">
        <v>12</v>
      </c>
      <c r="K611">
        <v>0</v>
      </c>
      <c r="L611">
        <v>13.6</v>
      </c>
      <c r="M611">
        <v>16.8</v>
      </c>
      <c r="N611">
        <v>0</v>
      </c>
      <c r="O611">
        <v>15.5</v>
      </c>
      <c r="P611">
        <v>11.5</v>
      </c>
      <c r="Q611">
        <v>0</v>
      </c>
      <c r="R611">
        <v>11</v>
      </c>
      <c r="S611">
        <v>14.4</v>
      </c>
      <c r="T611">
        <v>0</v>
      </c>
      <c r="U611">
        <v>-19.600000000000001</v>
      </c>
      <c r="V611">
        <v>-21.7</v>
      </c>
      <c r="W611">
        <v>-22</v>
      </c>
      <c r="X611">
        <v>-20</v>
      </c>
      <c r="Y611">
        <v>-18.100000000000001</v>
      </c>
      <c r="Z611">
        <v>-22</v>
      </c>
      <c r="AA611">
        <v>-5</v>
      </c>
      <c r="AB611">
        <v>-7.3</v>
      </c>
      <c r="AC611">
        <v>-5</v>
      </c>
      <c r="AD611">
        <v>12.1</v>
      </c>
      <c r="AE611">
        <v>10.4</v>
      </c>
      <c r="AF611">
        <v>0</v>
      </c>
      <c r="AG611">
        <v>10.4</v>
      </c>
      <c r="AH611">
        <v>10</v>
      </c>
      <c r="AI611">
        <v>11.9</v>
      </c>
      <c r="AJ611">
        <v>10</v>
      </c>
      <c r="AK611">
        <v>11.9</v>
      </c>
      <c r="AL611">
        <v>10</v>
      </c>
      <c r="AM611">
        <v>12.3</v>
      </c>
      <c r="AN611">
        <v>9</v>
      </c>
      <c r="AO611">
        <v>11.9</v>
      </c>
      <c r="AP611">
        <v>10</v>
      </c>
      <c r="AQ611">
        <v>10</v>
      </c>
      <c r="AR611">
        <v>10</v>
      </c>
      <c r="AS611">
        <v>10.6</v>
      </c>
      <c r="AT611">
        <v>10</v>
      </c>
      <c r="AU611">
        <v>18.7</v>
      </c>
      <c r="AV611">
        <v>19</v>
      </c>
      <c r="AW611">
        <v>19.3</v>
      </c>
      <c r="AX611">
        <v>19</v>
      </c>
      <c r="AY611">
        <v>11.9</v>
      </c>
      <c r="AZ611">
        <v>10</v>
      </c>
      <c r="BA611">
        <v>12</v>
      </c>
      <c r="BB611">
        <v>10</v>
      </c>
    </row>
    <row r="612" spans="1:54" x14ac:dyDescent="0.35">
      <c r="A612" s="1">
        <v>46059.885416666664</v>
      </c>
      <c r="B612">
        <v>22.7</v>
      </c>
      <c r="C612">
        <v>3</v>
      </c>
      <c r="D612">
        <v>21.4</v>
      </c>
      <c r="E612">
        <v>2</v>
      </c>
      <c r="F612">
        <v>10</v>
      </c>
      <c r="G612">
        <v>13.3</v>
      </c>
      <c r="H612">
        <v>0</v>
      </c>
      <c r="I612">
        <v>15.8</v>
      </c>
      <c r="J612">
        <v>12</v>
      </c>
      <c r="K612">
        <v>0</v>
      </c>
      <c r="L612">
        <v>13.6</v>
      </c>
      <c r="M612">
        <v>16.8</v>
      </c>
      <c r="N612">
        <v>0</v>
      </c>
      <c r="O612">
        <v>15.5</v>
      </c>
      <c r="P612">
        <v>11.5</v>
      </c>
      <c r="Q612">
        <v>0</v>
      </c>
      <c r="R612">
        <v>11</v>
      </c>
      <c r="S612">
        <v>14.4</v>
      </c>
      <c r="T612">
        <v>0</v>
      </c>
      <c r="U612">
        <v>-19.600000000000001</v>
      </c>
      <c r="V612">
        <v>-22.2</v>
      </c>
      <c r="W612">
        <v>-22</v>
      </c>
      <c r="X612">
        <v>-20</v>
      </c>
      <c r="Y612">
        <v>-18.100000000000001</v>
      </c>
      <c r="Z612">
        <v>-22</v>
      </c>
      <c r="AA612">
        <v>-5</v>
      </c>
      <c r="AB612">
        <v>-5.9</v>
      </c>
      <c r="AC612">
        <v>-5</v>
      </c>
      <c r="AD612">
        <v>12.1</v>
      </c>
      <c r="AE612">
        <v>10.4</v>
      </c>
      <c r="AF612">
        <v>0</v>
      </c>
      <c r="AG612">
        <v>10.6</v>
      </c>
      <c r="AH612">
        <v>10</v>
      </c>
      <c r="AI612">
        <v>11.5</v>
      </c>
      <c r="AJ612">
        <v>10</v>
      </c>
      <c r="AK612">
        <v>11.9</v>
      </c>
      <c r="AL612">
        <v>10</v>
      </c>
      <c r="AM612">
        <v>12.4</v>
      </c>
      <c r="AN612">
        <v>9</v>
      </c>
      <c r="AO612">
        <v>12</v>
      </c>
      <c r="AP612">
        <v>10</v>
      </c>
      <c r="AQ612">
        <v>10</v>
      </c>
      <c r="AR612">
        <v>10</v>
      </c>
      <c r="AS612">
        <v>10.9</v>
      </c>
      <c r="AT612">
        <v>10</v>
      </c>
      <c r="AU612">
        <v>18.7</v>
      </c>
      <c r="AV612">
        <v>19</v>
      </c>
      <c r="AW612">
        <v>19.2</v>
      </c>
      <c r="AX612">
        <v>19</v>
      </c>
      <c r="AY612">
        <v>11.8</v>
      </c>
      <c r="AZ612">
        <v>10</v>
      </c>
      <c r="BA612">
        <v>11.4</v>
      </c>
      <c r="BB612">
        <v>10</v>
      </c>
    </row>
    <row r="613" spans="1:54" x14ac:dyDescent="0.35">
      <c r="A613" s="1">
        <v>46059.886111111111</v>
      </c>
      <c r="B613">
        <v>22.7</v>
      </c>
      <c r="C613">
        <v>3</v>
      </c>
      <c r="D613">
        <v>21.4</v>
      </c>
      <c r="E613">
        <v>2</v>
      </c>
      <c r="F613">
        <v>10</v>
      </c>
      <c r="G613">
        <v>13.3</v>
      </c>
      <c r="H613">
        <v>0</v>
      </c>
      <c r="I613">
        <v>15.8</v>
      </c>
      <c r="J613">
        <v>12</v>
      </c>
      <c r="K613">
        <v>0</v>
      </c>
      <c r="L613">
        <v>13.6</v>
      </c>
      <c r="M613">
        <v>16.899999999999999</v>
      </c>
      <c r="N613">
        <v>0</v>
      </c>
      <c r="O613">
        <v>15.6</v>
      </c>
      <c r="P613">
        <v>11.5</v>
      </c>
      <c r="Q613">
        <v>0</v>
      </c>
      <c r="R613">
        <v>11</v>
      </c>
      <c r="S613">
        <v>14.4</v>
      </c>
      <c r="T613">
        <v>0</v>
      </c>
      <c r="U613">
        <v>-19.600000000000001</v>
      </c>
      <c r="V613">
        <v>-21.9</v>
      </c>
      <c r="W613">
        <v>-22</v>
      </c>
      <c r="X613">
        <v>-20</v>
      </c>
      <c r="Y613">
        <v>-18.100000000000001</v>
      </c>
      <c r="Z613">
        <v>-22</v>
      </c>
      <c r="AA613">
        <v>-4</v>
      </c>
      <c r="AB613">
        <v>-4.3</v>
      </c>
      <c r="AC613">
        <v>-5</v>
      </c>
      <c r="AD613">
        <v>12.1</v>
      </c>
      <c r="AE613">
        <v>10.4</v>
      </c>
      <c r="AF613">
        <v>0</v>
      </c>
      <c r="AG613">
        <v>10.9</v>
      </c>
      <c r="AH613">
        <v>10</v>
      </c>
      <c r="AI613">
        <v>10.1</v>
      </c>
      <c r="AJ613">
        <v>10</v>
      </c>
      <c r="AK613">
        <v>12</v>
      </c>
      <c r="AL613">
        <v>10</v>
      </c>
      <c r="AM613">
        <v>12.5</v>
      </c>
      <c r="AN613">
        <v>9</v>
      </c>
      <c r="AO613">
        <v>11.1</v>
      </c>
      <c r="AP613">
        <v>10</v>
      </c>
      <c r="AQ613">
        <v>10.3</v>
      </c>
      <c r="AR613">
        <v>10</v>
      </c>
      <c r="AS613">
        <v>11.1</v>
      </c>
      <c r="AT613">
        <v>10</v>
      </c>
      <c r="AU613">
        <v>18.7</v>
      </c>
      <c r="AV613">
        <v>19</v>
      </c>
      <c r="AW613">
        <v>19.100000000000001</v>
      </c>
      <c r="AX613">
        <v>19</v>
      </c>
      <c r="AY613">
        <v>10.9</v>
      </c>
      <c r="AZ613">
        <v>10</v>
      </c>
      <c r="BA613">
        <v>10.6</v>
      </c>
      <c r="BB613">
        <v>10</v>
      </c>
    </row>
    <row r="614" spans="1:54" x14ac:dyDescent="0.35">
      <c r="A614" s="1">
        <v>46059.886805555558</v>
      </c>
      <c r="B614">
        <v>22.7</v>
      </c>
      <c r="C614">
        <v>3</v>
      </c>
      <c r="D614">
        <v>21.4</v>
      </c>
      <c r="E614">
        <v>2</v>
      </c>
      <c r="F614">
        <v>10</v>
      </c>
      <c r="G614">
        <v>13.3</v>
      </c>
      <c r="H614">
        <v>0</v>
      </c>
      <c r="I614">
        <v>15.8</v>
      </c>
      <c r="J614">
        <v>12</v>
      </c>
      <c r="K614">
        <v>0</v>
      </c>
      <c r="L614">
        <v>13.6</v>
      </c>
      <c r="M614">
        <v>16.899999999999999</v>
      </c>
      <c r="N614">
        <v>0</v>
      </c>
      <c r="O614">
        <v>15.6</v>
      </c>
      <c r="P614">
        <v>11.5</v>
      </c>
      <c r="Q614">
        <v>0</v>
      </c>
      <c r="R614">
        <v>11</v>
      </c>
      <c r="S614">
        <v>14.4</v>
      </c>
      <c r="T614">
        <v>0</v>
      </c>
      <c r="U614">
        <v>-19.600000000000001</v>
      </c>
      <c r="V614">
        <v>-22</v>
      </c>
      <c r="W614">
        <v>-22</v>
      </c>
      <c r="X614">
        <v>-20.100000000000001</v>
      </c>
      <c r="Y614">
        <v>-18.100000000000001</v>
      </c>
      <c r="Z614">
        <v>-22</v>
      </c>
      <c r="AA614">
        <v>-3.4</v>
      </c>
      <c r="AB614">
        <v>-3.4</v>
      </c>
      <c r="AC614">
        <v>-5</v>
      </c>
      <c r="AD614">
        <v>12.1</v>
      </c>
      <c r="AE614">
        <v>10.4</v>
      </c>
      <c r="AF614">
        <v>0</v>
      </c>
      <c r="AG614">
        <v>11</v>
      </c>
      <c r="AH614">
        <v>10</v>
      </c>
      <c r="AI614">
        <v>9.1999999999999993</v>
      </c>
      <c r="AJ614">
        <v>10</v>
      </c>
      <c r="AK614">
        <v>10.9</v>
      </c>
      <c r="AL614">
        <v>10</v>
      </c>
      <c r="AM614">
        <v>12.5</v>
      </c>
      <c r="AN614">
        <v>9</v>
      </c>
      <c r="AO614">
        <v>10.7</v>
      </c>
      <c r="AP614">
        <v>10</v>
      </c>
      <c r="AQ614">
        <v>10.9</v>
      </c>
      <c r="AR614">
        <v>10</v>
      </c>
      <c r="AS614">
        <v>11.4</v>
      </c>
      <c r="AT614">
        <v>10</v>
      </c>
      <c r="AU614">
        <v>18.600000000000001</v>
      </c>
      <c r="AV614">
        <v>19</v>
      </c>
      <c r="AW614">
        <v>19.100000000000001</v>
      </c>
      <c r="AX614">
        <v>19</v>
      </c>
      <c r="AY614">
        <v>9.9</v>
      </c>
      <c r="AZ614">
        <v>10</v>
      </c>
      <c r="BA614">
        <v>9.9</v>
      </c>
      <c r="BB614">
        <v>10</v>
      </c>
    </row>
    <row r="615" spans="1:54" x14ac:dyDescent="0.35">
      <c r="A615" s="1">
        <v>46059.887499999997</v>
      </c>
      <c r="B615">
        <v>22.7</v>
      </c>
      <c r="C615">
        <v>3</v>
      </c>
      <c r="D615">
        <v>21.4</v>
      </c>
      <c r="E615">
        <v>2</v>
      </c>
      <c r="F615">
        <v>10</v>
      </c>
      <c r="G615">
        <v>13.3</v>
      </c>
      <c r="H615">
        <v>0</v>
      </c>
      <c r="I615">
        <v>15.8</v>
      </c>
      <c r="J615">
        <v>12</v>
      </c>
      <c r="K615">
        <v>0</v>
      </c>
      <c r="L615">
        <v>13.6</v>
      </c>
      <c r="M615">
        <v>16.899999999999999</v>
      </c>
      <c r="N615">
        <v>0</v>
      </c>
      <c r="O615">
        <v>15.6</v>
      </c>
      <c r="P615">
        <v>11.5</v>
      </c>
      <c r="Q615">
        <v>0</v>
      </c>
      <c r="R615">
        <v>11</v>
      </c>
      <c r="S615">
        <v>14.4</v>
      </c>
      <c r="T615">
        <v>0</v>
      </c>
      <c r="U615">
        <v>-19.600000000000001</v>
      </c>
      <c r="V615">
        <v>-22.2</v>
      </c>
      <c r="W615">
        <v>-22</v>
      </c>
      <c r="X615">
        <v>-20.100000000000001</v>
      </c>
      <c r="Y615">
        <v>-18.2</v>
      </c>
      <c r="Z615">
        <v>-22</v>
      </c>
      <c r="AA615">
        <v>-2.8</v>
      </c>
      <c r="AB615">
        <v>-2.9</v>
      </c>
      <c r="AC615">
        <v>-5</v>
      </c>
      <c r="AD615">
        <v>12.1</v>
      </c>
      <c r="AE615">
        <v>10.4</v>
      </c>
      <c r="AF615">
        <v>0</v>
      </c>
      <c r="AG615">
        <v>11.2</v>
      </c>
      <c r="AH615">
        <v>10</v>
      </c>
      <c r="AI615">
        <v>9.1</v>
      </c>
      <c r="AJ615">
        <v>10</v>
      </c>
      <c r="AK615">
        <v>9.9</v>
      </c>
      <c r="AL615">
        <v>10</v>
      </c>
      <c r="AM615">
        <v>12.5</v>
      </c>
      <c r="AN615">
        <v>9</v>
      </c>
      <c r="AO615">
        <v>10.199999999999999</v>
      </c>
      <c r="AP615">
        <v>10</v>
      </c>
      <c r="AQ615">
        <v>11.5</v>
      </c>
      <c r="AR615">
        <v>10</v>
      </c>
      <c r="AS615">
        <v>11.6</v>
      </c>
      <c r="AT615">
        <v>10</v>
      </c>
      <c r="AU615">
        <v>18.5</v>
      </c>
      <c r="AV615">
        <v>19</v>
      </c>
      <c r="AW615">
        <v>19</v>
      </c>
      <c r="AX615">
        <v>19</v>
      </c>
      <c r="AY615">
        <v>9.6999999999999993</v>
      </c>
      <c r="AZ615">
        <v>10</v>
      </c>
      <c r="BA615">
        <v>9.6999999999999993</v>
      </c>
      <c r="BB615">
        <v>10</v>
      </c>
    </row>
    <row r="616" spans="1:54" x14ac:dyDescent="0.35">
      <c r="A616" s="1">
        <v>46059.888194444444</v>
      </c>
      <c r="B616">
        <v>22.7</v>
      </c>
      <c r="C616">
        <v>3</v>
      </c>
      <c r="D616">
        <v>21.4</v>
      </c>
      <c r="E616">
        <v>2</v>
      </c>
      <c r="F616">
        <v>10</v>
      </c>
      <c r="G616">
        <v>13.3</v>
      </c>
      <c r="H616">
        <v>0</v>
      </c>
      <c r="I616">
        <v>15.8</v>
      </c>
      <c r="J616">
        <v>12</v>
      </c>
      <c r="K616">
        <v>0</v>
      </c>
      <c r="L616">
        <v>13.6</v>
      </c>
      <c r="M616">
        <v>16.899999999999999</v>
      </c>
      <c r="N616">
        <v>0</v>
      </c>
      <c r="O616">
        <v>15.6</v>
      </c>
      <c r="P616">
        <v>11.5</v>
      </c>
      <c r="Q616">
        <v>0</v>
      </c>
      <c r="R616">
        <v>11.1</v>
      </c>
      <c r="S616">
        <v>14.4</v>
      </c>
      <c r="T616">
        <v>0</v>
      </c>
      <c r="U616">
        <v>-19.600000000000001</v>
      </c>
      <c r="V616">
        <v>-21.9</v>
      </c>
      <c r="W616">
        <v>-22</v>
      </c>
      <c r="X616">
        <v>-20.100000000000001</v>
      </c>
      <c r="Y616">
        <v>-18.2</v>
      </c>
      <c r="Z616">
        <v>-22</v>
      </c>
      <c r="AA616">
        <v>-2.8</v>
      </c>
      <c r="AB616">
        <v>-4.0999999999999996</v>
      </c>
      <c r="AC616">
        <v>-5</v>
      </c>
      <c r="AD616">
        <v>12.1</v>
      </c>
      <c r="AE616">
        <v>10.4</v>
      </c>
      <c r="AF616">
        <v>0</v>
      </c>
      <c r="AG616">
        <v>11.3</v>
      </c>
      <c r="AH616">
        <v>10</v>
      </c>
      <c r="AI616">
        <v>9.3000000000000007</v>
      </c>
      <c r="AJ616">
        <v>10</v>
      </c>
      <c r="AK616">
        <v>9.6</v>
      </c>
      <c r="AL616">
        <v>10</v>
      </c>
      <c r="AM616">
        <v>12.4</v>
      </c>
      <c r="AN616">
        <v>9</v>
      </c>
      <c r="AO616">
        <v>10</v>
      </c>
      <c r="AP616">
        <v>10</v>
      </c>
      <c r="AQ616">
        <v>12.2</v>
      </c>
      <c r="AR616">
        <v>10</v>
      </c>
      <c r="AS616">
        <v>11.8</v>
      </c>
      <c r="AT616">
        <v>10</v>
      </c>
      <c r="AU616">
        <v>18.5</v>
      </c>
      <c r="AV616">
        <v>19</v>
      </c>
      <c r="AW616">
        <v>19.100000000000001</v>
      </c>
      <c r="AX616">
        <v>19</v>
      </c>
      <c r="AY616">
        <v>9.8000000000000007</v>
      </c>
      <c r="AZ616">
        <v>10</v>
      </c>
      <c r="BA616">
        <v>9.9</v>
      </c>
      <c r="BB616">
        <v>10</v>
      </c>
    </row>
    <row r="617" spans="1:54" x14ac:dyDescent="0.35">
      <c r="A617" s="1">
        <v>46059.888888888891</v>
      </c>
      <c r="B617">
        <v>22.7</v>
      </c>
      <c r="C617">
        <v>3</v>
      </c>
      <c r="D617">
        <v>21.4</v>
      </c>
      <c r="E617">
        <v>2</v>
      </c>
      <c r="F617">
        <v>10</v>
      </c>
      <c r="G617">
        <v>13.3</v>
      </c>
      <c r="H617">
        <v>0</v>
      </c>
      <c r="I617">
        <v>15.8</v>
      </c>
      <c r="J617">
        <v>12</v>
      </c>
      <c r="K617">
        <v>0</v>
      </c>
      <c r="L617">
        <v>13.6</v>
      </c>
      <c r="M617">
        <v>16.899999999999999</v>
      </c>
      <c r="N617">
        <v>0</v>
      </c>
      <c r="O617">
        <v>15.6</v>
      </c>
      <c r="P617">
        <v>11.5</v>
      </c>
      <c r="Q617">
        <v>0</v>
      </c>
      <c r="R617">
        <v>11.1</v>
      </c>
      <c r="S617">
        <v>14.4</v>
      </c>
      <c r="T617">
        <v>0</v>
      </c>
      <c r="U617">
        <v>-19.600000000000001</v>
      </c>
      <c r="V617">
        <v>-22.2</v>
      </c>
      <c r="W617">
        <v>-22</v>
      </c>
      <c r="X617">
        <v>-20.100000000000001</v>
      </c>
      <c r="Y617">
        <v>-18.2</v>
      </c>
      <c r="Z617">
        <v>-22</v>
      </c>
      <c r="AA617">
        <v>-3.3</v>
      </c>
      <c r="AB617">
        <v>-5.0999999999999996</v>
      </c>
      <c r="AC617">
        <v>-5</v>
      </c>
      <c r="AD617">
        <v>12.1</v>
      </c>
      <c r="AE617">
        <v>10.4</v>
      </c>
      <c r="AF617">
        <v>0</v>
      </c>
      <c r="AG617">
        <v>11.4</v>
      </c>
      <c r="AH617">
        <v>10</v>
      </c>
      <c r="AI617">
        <v>9.6</v>
      </c>
      <c r="AJ617">
        <v>10</v>
      </c>
      <c r="AK617">
        <v>9.9</v>
      </c>
      <c r="AL617">
        <v>10</v>
      </c>
      <c r="AM617">
        <v>12.3</v>
      </c>
      <c r="AN617">
        <v>9</v>
      </c>
      <c r="AO617">
        <v>10.8</v>
      </c>
      <c r="AP617">
        <v>10</v>
      </c>
      <c r="AQ617">
        <v>11.9</v>
      </c>
      <c r="AR617">
        <v>10</v>
      </c>
      <c r="AS617">
        <v>11.9</v>
      </c>
      <c r="AT617">
        <v>10</v>
      </c>
      <c r="AU617">
        <v>18.5</v>
      </c>
      <c r="AV617">
        <v>19</v>
      </c>
      <c r="AW617">
        <v>19.5</v>
      </c>
      <c r="AX617">
        <v>19</v>
      </c>
      <c r="AY617">
        <v>10.3</v>
      </c>
      <c r="AZ617">
        <v>10</v>
      </c>
      <c r="BA617">
        <v>10.4</v>
      </c>
      <c r="BB617">
        <v>10</v>
      </c>
    </row>
    <row r="618" spans="1:54" x14ac:dyDescent="0.35">
      <c r="A618" s="1">
        <v>46059.88958333333</v>
      </c>
      <c r="B618">
        <v>22.7</v>
      </c>
      <c r="C618">
        <v>3</v>
      </c>
      <c r="D618">
        <v>21.4</v>
      </c>
      <c r="E618">
        <v>2</v>
      </c>
      <c r="F618">
        <v>10</v>
      </c>
      <c r="G618">
        <v>13.4</v>
      </c>
      <c r="H618">
        <v>0</v>
      </c>
      <c r="I618">
        <v>15.8</v>
      </c>
      <c r="J618">
        <v>12</v>
      </c>
      <c r="K618">
        <v>0</v>
      </c>
      <c r="L618">
        <v>13.6</v>
      </c>
      <c r="M618">
        <v>16.899999999999999</v>
      </c>
      <c r="N618">
        <v>0</v>
      </c>
      <c r="O618">
        <v>15.6</v>
      </c>
      <c r="P618">
        <v>11.5</v>
      </c>
      <c r="Q618">
        <v>0</v>
      </c>
      <c r="R618">
        <v>11.1</v>
      </c>
      <c r="S618">
        <v>14.4</v>
      </c>
      <c r="T618">
        <v>0</v>
      </c>
      <c r="U618">
        <v>-19.600000000000001</v>
      </c>
      <c r="V618">
        <v>-21.9</v>
      </c>
      <c r="W618">
        <v>-22</v>
      </c>
      <c r="X618">
        <v>-20.100000000000001</v>
      </c>
      <c r="Y618">
        <v>-18.3</v>
      </c>
      <c r="Z618">
        <v>-22</v>
      </c>
      <c r="AA618">
        <v>-3.7</v>
      </c>
      <c r="AB618">
        <v>-5.8</v>
      </c>
      <c r="AC618">
        <v>-5</v>
      </c>
      <c r="AD618">
        <v>12.1</v>
      </c>
      <c r="AE618">
        <v>10.4</v>
      </c>
      <c r="AF618">
        <v>0</v>
      </c>
      <c r="AG618">
        <v>11.6</v>
      </c>
      <c r="AH618">
        <v>10</v>
      </c>
      <c r="AI618">
        <v>9.9</v>
      </c>
      <c r="AJ618">
        <v>10</v>
      </c>
      <c r="AK618">
        <v>10.3</v>
      </c>
      <c r="AL618">
        <v>10</v>
      </c>
      <c r="AM618">
        <v>12.3</v>
      </c>
      <c r="AN618">
        <v>9</v>
      </c>
      <c r="AO618">
        <v>11.2</v>
      </c>
      <c r="AP618">
        <v>10</v>
      </c>
      <c r="AQ618">
        <v>11.5</v>
      </c>
      <c r="AR618">
        <v>10</v>
      </c>
      <c r="AS618">
        <v>11.3</v>
      </c>
      <c r="AT618">
        <v>10</v>
      </c>
      <c r="AU618">
        <v>18.7</v>
      </c>
      <c r="AV618">
        <v>19</v>
      </c>
      <c r="AW618">
        <v>19.7</v>
      </c>
      <c r="AX618">
        <v>19</v>
      </c>
      <c r="AY618">
        <v>10.6</v>
      </c>
      <c r="AZ618">
        <v>10</v>
      </c>
      <c r="BA618">
        <v>10.8</v>
      </c>
      <c r="BB618">
        <v>10</v>
      </c>
    </row>
    <row r="619" spans="1:54" x14ac:dyDescent="0.35">
      <c r="A619" s="1">
        <v>46059.890277777777</v>
      </c>
      <c r="B619">
        <v>22.7</v>
      </c>
      <c r="C619">
        <v>3</v>
      </c>
      <c r="D619">
        <v>21.4</v>
      </c>
      <c r="E619">
        <v>2</v>
      </c>
      <c r="F619">
        <v>10</v>
      </c>
      <c r="G619">
        <v>13.4</v>
      </c>
      <c r="H619">
        <v>0</v>
      </c>
      <c r="I619">
        <v>15.8</v>
      </c>
      <c r="J619">
        <v>12</v>
      </c>
      <c r="K619">
        <v>0</v>
      </c>
      <c r="L619">
        <v>13.6</v>
      </c>
      <c r="M619">
        <v>16.899999999999999</v>
      </c>
      <c r="N619">
        <v>0</v>
      </c>
      <c r="O619">
        <v>15.6</v>
      </c>
      <c r="P619">
        <v>11.5</v>
      </c>
      <c r="Q619">
        <v>0</v>
      </c>
      <c r="R619">
        <v>11.1</v>
      </c>
      <c r="S619">
        <v>14.4</v>
      </c>
      <c r="T619">
        <v>0</v>
      </c>
      <c r="U619">
        <v>-19.600000000000001</v>
      </c>
      <c r="V619">
        <v>-22</v>
      </c>
      <c r="W619">
        <v>-22</v>
      </c>
      <c r="X619">
        <v>-20.100000000000001</v>
      </c>
      <c r="Y619">
        <v>-18.3</v>
      </c>
      <c r="Z619">
        <v>-22</v>
      </c>
      <c r="AA619">
        <v>-4.3</v>
      </c>
      <c r="AB619">
        <v>-6.5</v>
      </c>
      <c r="AC619">
        <v>-5</v>
      </c>
      <c r="AD619">
        <v>12.1</v>
      </c>
      <c r="AE619">
        <v>10.4</v>
      </c>
      <c r="AF619">
        <v>0</v>
      </c>
      <c r="AG619">
        <v>11.7</v>
      </c>
      <c r="AH619">
        <v>10</v>
      </c>
      <c r="AI619">
        <v>10.1</v>
      </c>
      <c r="AJ619">
        <v>10</v>
      </c>
      <c r="AK619">
        <v>10.6</v>
      </c>
      <c r="AL619">
        <v>10</v>
      </c>
      <c r="AM619">
        <v>12.3</v>
      </c>
      <c r="AN619">
        <v>9</v>
      </c>
      <c r="AO619">
        <v>11.4</v>
      </c>
      <c r="AP619">
        <v>10</v>
      </c>
      <c r="AQ619">
        <v>11.3</v>
      </c>
      <c r="AR619">
        <v>10</v>
      </c>
      <c r="AS619">
        <v>8.5</v>
      </c>
      <c r="AT619">
        <v>10</v>
      </c>
      <c r="AU619">
        <v>18.8</v>
      </c>
      <c r="AV619">
        <v>19</v>
      </c>
      <c r="AW619">
        <v>20</v>
      </c>
      <c r="AX619">
        <v>19</v>
      </c>
      <c r="AY619">
        <v>10.9</v>
      </c>
      <c r="AZ619">
        <v>10</v>
      </c>
      <c r="BA619">
        <v>11.1</v>
      </c>
      <c r="BB619">
        <v>10</v>
      </c>
    </row>
    <row r="620" spans="1:54" x14ac:dyDescent="0.35">
      <c r="A620" s="1">
        <v>46059.890972222223</v>
      </c>
      <c r="B620">
        <v>22.7</v>
      </c>
      <c r="C620">
        <v>3</v>
      </c>
      <c r="D620">
        <v>21.4</v>
      </c>
      <c r="E620">
        <v>2</v>
      </c>
      <c r="F620">
        <v>10</v>
      </c>
      <c r="G620">
        <v>13.4</v>
      </c>
      <c r="H620">
        <v>0</v>
      </c>
      <c r="I620">
        <v>15.8</v>
      </c>
      <c r="J620">
        <v>12</v>
      </c>
      <c r="K620">
        <v>0</v>
      </c>
      <c r="L620">
        <v>13.6</v>
      </c>
      <c r="M620">
        <v>16.899999999999999</v>
      </c>
      <c r="N620">
        <v>0</v>
      </c>
      <c r="O620">
        <v>15.6</v>
      </c>
      <c r="P620">
        <v>11.5</v>
      </c>
      <c r="Q620">
        <v>0</v>
      </c>
      <c r="R620">
        <v>11.1</v>
      </c>
      <c r="S620">
        <v>14.4</v>
      </c>
      <c r="T620">
        <v>0</v>
      </c>
      <c r="U620">
        <v>-19.600000000000001</v>
      </c>
      <c r="V620">
        <v>-22</v>
      </c>
      <c r="W620">
        <v>-22</v>
      </c>
      <c r="X620">
        <v>-20.100000000000001</v>
      </c>
      <c r="Y620">
        <v>-18.3</v>
      </c>
      <c r="Z620">
        <v>-22</v>
      </c>
      <c r="AA620">
        <v>-4.7</v>
      </c>
      <c r="AB620">
        <v>-7</v>
      </c>
      <c r="AC620">
        <v>-5</v>
      </c>
      <c r="AD620">
        <v>12.1</v>
      </c>
      <c r="AE620">
        <v>10.4</v>
      </c>
      <c r="AF620">
        <v>0</v>
      </c>
      <c r="AG620">
        <v>11.8</v>
      </c>
      <c r="AH620">
        <v>10</v>
      </c>
      <c r="AI620">
        <v>10.3</v>
      </c>
      <c r="AJ620">
        <v>10</v>
      </c>
      <c r="AK620">
        <v>10.8</v>
      </c>
      <c r="AL620">
        <v>10</v>
      </c>
      <c r="AM620">
        <v>12.3</v>
      </c>
      <c r="AN620">
        <v>9</v>
      </c>
      <c r="AO620">
        <v>11.5</v>
      </c>
      <c r="AP620">
        <v>10</v>
      </c>
      <c r="AQ620">
        <v>11.2</v>
      </c>
      <c r="AR620">
        <v>10</v>
      </c>
      <c r="AS620">
        <v>7.9</v>
      </c>
      <c r="AT620">
        <v>10</v>
      </c>
      <c r="AU620">
        <v>18.899999999999999</v>
      </c>
      <c r="AV620">
        <v>19</v>
      </c>
      <c r="AW620">
        <v>20.100000000000001</v>
      </c>
      <c r="AX620">
        <v>19</v>
      </c>
      <c r="AY620">
        <v>11.2</v>
      </c>
      <c r="AZ620">
        <v>10</v>
      </c>
      <c r="BA620">
        <v>11.4</v>
      </c>
      <c r="BB620">
        <v>10</v>
      </c>
    </row>
    <row r="621" spans="1:54" x14ac:dyDescent="0.35">
      <c r="A621" s="1">
        <v>46059.89166666667</v>
      </c>
      <c r="B621">
        <v>22.8</v>
      </c>
      <c r="C621">
        <v>3</v>
      </c>
      <c r="D621">
        <v>21.4</v>
      </c>
      <c r="E621">
        <v>2</v>
      </c>
      <c r="F621">
        <v>10</v>
      </c>
      <c r="G621">
        <v>13.4</v>
      </c>
      <c r="H621">
        <v>0</v>
      </c>
      <c r="I621">
        <v>15.8</v>
      </c>
      <c r="J621">
        <v>12</v>
      </c>
      <c r="K621">
        <v>0</v>
      </c>
      <c r="L621">
        <v>13.6</v>
      </c>
      <c r="M621">
        <v>16.899999999999999</v>
      </c>
      <c r="N621">
        <v>0</v>
      </c>
      <c r="O621">
        <v>15.6</v>
      </c>
      <c r="P621">
        <v>11.5</v>
      </c>
      <c r="Q621">
        <v>0</v>
      </c>
      <c r="R621">
        <v>11.1</v>
      </c>
      <c r="S621">
        <v>14.4</v>
      </c>
      <c r="T621">
        <v>0</v>
      </c>
      <c r="U621">
        <v>-19.600000000000001</v>
      </c>
      <c r="V621">
        <v>-21.8</v>
      </c>
      <c r="W621">
        <v>-22</v>
      </c>
      <c r="X621">
        <v>-20.100000000000001</v>
      </c>
      <c r="Y621">
        <v>-18.3</v>
      </c>
      <c r="Z621">
        <v>-22</v>
      </c>
      <c r="AA621">
        <v>-5</v>
      </c>
      <c r="AB621">
        <v>-7.3</v>
      </c>
      <c r="AC621">
        <v>-5</v>
      </c>
      <c r="AD621">
        <v>12.1</v>
      </c>
      <c r="AE621">
        <v>10.4</v>
      </c>
      <c r="AF621">
        <v>0</v>
      </c>
      <c r="AG621">
        <v>11.9</v>
      </c>
      <c r="AH621">
        <v>10</v>
      </c>
      <c r="AI621">
        <v>10.5</v>
      </c>
      <c r="AJ621">
        <v>10</v>
      </c>
      <c r="AK621">
        <v>10.9</v>
      </c>
      <c r="AL621">
        <v>10</v>
      </c>
      <c r="AM621">
        <v>12.3</v>
      </c>
      <c r="AN621">
        <v>9</v>
      </c>
      <c r="AO621">
        <v>11.5</v>
      </c>
      <c r="AP621">
        <v>10</v>
      </c>
      <c r="AQ621">
        <v>11</v>
      </c>
      <c r="AR621">
        <v>10</v>
      </c>
      <c r="AS621">
        <v>8.1999999999999993</v>
      </c>
      <c r="AT621">
        <v>10</v>
      </c>
      <c r="AU621">
        <v>19</v>
      </c>
      <c r="AV621">
        <v>19</v>
      </c>
      <c r="AW621">
        <v>20.100000000000001</v>
      </c>
      <c r="AX621">
        <v>19</v>
      </c>
      <c r="AY621">
        <v>11.4</v>
      </c>
      <c r="AZ621">
        <v>10</v>
      </c>
      <c r="BA621">
        <v>11.7</v>
      </c>
      <c r="BB621">
        <v>10</v>
      </c>
    </row>
    <row r="622" spans="1:54" x14ac:dyDescent="0.35">
      <c r="A622" s="1">
        <v>46059.892361111109</v>
      </c>
      <c r="B622">
        <v>22.8</v>
      </c>
      <c r="C622">
        <v>3</v>
      </c>
      <c r="D622">
        <v>21.4</v>
      </c>
      <c r="E622">
        <v>2</v>
      </c>
      <c r="F622">
        <v>10</v>
      </c>
      <c r="G622">
        <v>13.4</v>
      </c>
      <c r="H622">
        <v>0</v>
      </c>
      <c r="I622">
        <v>15.8</v>
      </c>
      <c r="J622">
        <v>12</v>
      </c>
      <c r="K622">
        <v>0</v>
      </c>
      <c r="L622">
        <v>13.6</v>
      </c>
      <c r="M622">
        <v>16.899999999999999</v>
      </c>
      <c r="N622">
        <v>0</v>
      </c>
      <c r="O622">
        <v>15.6</v>
      </c>
      <c r="P622">
        <v>11.5</v>
      </c>
      <c r="Q622">
        <v>0</v>
      </c>
      <c r="R622">
        <v>11.1</v>
      </c>
      <c r="S622">
        <v>14.4</v>
      </c>
      <c r="T622">
        <v>0</v>
      </c>
      <c r="U622">
        <v>-19.600000000000001</v>
      </c>
      <c r="V622">
        <v>-22.2</v>
      </c>
      <c r="W622">
        <v>-22</v>
      </c>
      <c r="X622">
        <v>-20.100000000000001</v>
      </c>
      <c r="Y622">
        <v>-18.3</v>
      </c>
      <c r="Z622">
        <v>-22</v>
      </c>
      <c r="AA622">
        <v>-4.9000000000000004</v>
      </c>
      <c r="AB622">
        <v>-5.7</v>
      </c>
      <c r="AC622">
        <v>-5</v>
      </c>
      <c r="AD622">
        <v>12.1</v>
      </c>
      <c r="AE622">
        <v>10.4</v>
      </c>
      <c r="AF622">
        <v>0</v>
      </c>
      <c r="AG622">
        <v>11.9</v>
      </c>
      <c r="AH622">
        <v>10</v>
      </c>
      <c r="AI622">
        <v>10.7</v>
      </c>
      <c r="AJ622">
        <v>10</v>
      </c>
      <c r="AK622">
        <v>11.1</v>
      </c>
      <c r="AL622">
        <v>10</v>
      </c>
      <c r="AM622">
        <v>12.4</v>
      </c>
      <c r="AN622">
        <v>9</v>
      </c>
      <c r="AO622">
        <v>11.6</v>
      </c>
      <c r="AP622">
        <v>10</v>
      </c>
      <c r="AQ622">
        <v>10.7</v>
      </c>
      <c r="AR622">
        <v>10</v>
      </c>
      <c r="AS622">
        <v>8.9</v>
      </c>
      <c r="AT622">
        <v>10</v>
      </c>
      <c r="AU622">
        <v>19.100000000000001</v>
      </c>
      <c r="AV622">
        <v>19</v>
      </c>
      <c r="AW622">
        <v>20.100000000000001</v>
      </c>
      <c r="AX622">
        <v>19</v>
      </c>
      <c r="AY622">
        <v>11.6</v>
      </c>
      <c r="AZ622">
        <v>10</v>
      </c>
      <c r="BA622">
        <v>11.9</v>
      </c>
      <c r="BB622">
        <v>10</v>
      </c>
    </row>
    <row r="623" spans="1:54" x14ac:dyDescent="0.35">
      <c r="A623" s="1">
        <v>46059.893055555556</v>
      </c>
      <c r="B623">
        <v>22.8</v>
      </c>
      <c r="C623">
        <v>3</v>
      </c>
      <c r="D623">
        <v>21.4</v>
      </c>
      <c r="E623">
        <v>2</v>
      </c>
      <c r="F623">
        <v>10</v>
      </c>
      <c r="G623">
        <v>13.4</v>
      </c>
      <c r="H623">
        <v>0</v>
      </c>
      <c r="I623">
        <v>15.8</v>
      </c>
      <c r="J623">
        <v>12</v>
      </c>
      <c r="K623">
        <v>0</v>
      </c>
      <c r="L623">
        <v>13.6</v>
      </c>
      <c r="M623">
        <v>16.899999999999999</v>
      </c>
      <c r="N623">
        <v>0</v>
      </c>
      <c r="O623">
        <v>15.6</v>
      </c>
      <c r="P623">
        <v>11.5</v>
      </c>
      <c r="Q623">
        <v>0</v>
      </c>
      <c r="R623">
        <v>11.1</v>
      </c>
      <c r="S623">
        <v>14.4</v>
      </c>
      <c r="T623">
        <v>0</v>
      </c>
      <c r="U623">
        <v>-19.7</v>
      </c>
      <c r="V623">
        <v>-22</v>
      </c>
      <c r="W623">
        <v>-22</v>
      </c>
      <c r="X623">
        <v>-20.100000000000001</v>
      </c>
      <c r="Y623">
        <v>-18.3</v>
      </c>
      <c r="Z623">
        <v>-22</v>
      </c>
      <c r="AA623">
        <v>-4.0999999999999996</v>
      </c>
      <c r="AB623">
        <v>-4.3</v>
      </c>
      <c r="AC623">
        <v>-5</v>
      </c>
      <c r="AD623">
        <v>12.1</v>
      </c>
      <c r="AE623">
        <v>10.4</v>
      </c>
      <c r="AF623">
        <v>0</v>
      </c>
      <c r="AG623">
        <v>12</v>
      </c>
      <c r="AH623">
        <v>10</v>
      </c>
      <c r="AI623">
        <v>10.8</v>
      </c>
      <c r="AJ623">
        <v>10</v>
      </c>
      <c r="AK623">
        <v>11.2</v>
      </c>
      <c r="AL623">
        <v>10</v>
      </c>
      <c r="AM623">
        <v>12.4</v>
      </c>
      <c r="AN623">
        <v>9</v>
      </c>
      <c r="AO623">
        <v>11.8</v>
      </c>
      <c r="AP623">
        <v>10</v>
      </c>
      <c r="AQ623">
        <v>10.7</v>
      </c>
      <c r="AR623">
        <v>10</v>
      </c>
      <c r="AS623">
        <v>9.4</v>
      </c>
      <c r="AT623">
        <v>10</v>
      </c>
      <c r="AU623">
        <v>19.2</v>
      </c>
      <c r="AV623">
        <v>19</v>
      </c>
      <c r="AW623">
        <v>20.100000000000001</v>
      </c>
      <c r="AX623">
        <v>19</v>
      </c>
      <c r="AY623">
        <v>11.8</v>
      </c>
      <c r="AZ623">
        <v>10</v>
      </c>
      <c r="BA623">
        <v>11.9</v>
      </c>
      <c r="BB623">
        <v>10</v>
      </c>
    </row>
    <row r="624" spans="1:54" x14ac:dyDescent="0.35">
      <c r="A624" s="1">
        <v>46059.893750000003</v>
      </c>
      <c r="B624">
        <v>22.8</v>
      </c>
      <c r="C624">
        <v>3</v>
      </c>
      <c r="D624">
        <v>21.4</v>
      </c>
      <c r="E624">
        <v>2</v>
      </c>
      <c r="F624">
        <v>10</v>
      </c>
      <c r="G624">
        <v>13.4</v>
      </c>
      <c r="H624">
        <v>0</v>
      </c>
      <c r="I624">
        <v>15.8</v>
      </c>
      <c r="J624">
        <v>12.1</v>
      </c>
      <c r="K624">
        <v>0</v>
      </c>
      <c r="L624">
        <v>13.6</v>
      </c>
      <c r="M624">
        <v>16.899999999999999</v>
      </c>
      <c r="N624">
        <v>0</v>
      </c>
      <c r="O624">
        <v>15.6</v>
      </c>
      <c r="P624">
        <v>11.5</v>
      </c>
      <c r="Q624">
        <v>0</v>
      </c>
      <c r="R624">
        <v>11.1</v>
      </c>
      <c r="S624">
        <v>14.4</v>
      </c>
      <c r="T624">
        <v>0</v>
      </c>
      <c r="U624">
        <v>-19.7</v>
      </c>
      <c r="V624">
        <v>-22.1</v>
      </c>
      <c r="W624">
        <v>-22</v>
      </c>
      <c r="X624">
        <v>-20.2</v>
      </c>
      <c r="Y624">
        <v>-18.3</v>
      </c>
      <c r="Z624">
        <v>-22</v>
      </c>
      <c r="AA624">
        <v>-3.4</v>
      </c>
      <c r="AB624">
        <v>-3.4</v>
      </c>
      <c r="AC624">
        <v>-5</v>
      </c>
      <c r="AD624">
        <v>12.1</v>
      </c>
      <c r="AE624">
        <v>10.4</v>
      </c>
      <c r="AF624">
        <v>0</v>
      </c>
      <c r="AG624">
        <v>11.3</v>
      </c>
      <c r="AH624">
        <v>10</v>
      </c>
      <c r="AI624">
        <v>11</v>
      </c>
      <c r="AJ624">
        <v>10</v>
      </c>
      <c r="AK624">
        <v>11.3</v>
      </c>
      <c r="AL624">
        <v>10</v>
      </c>
      <c r="AM624">
        <v>12.5</v>
      </c>
      <c r="AN624">
        <v>9</v>
      </c>
      <c r="AO624">
        <v>12</v>
      </c>
      <c r="AP624">
        <v>10</v>
      </c>
      <c r="AQ624">
        <v>10.6</v>
      </c>
      <c r="AR624">
        <v>10</v>
      </c>
      <c r="AS624">
        <v>9.9</v>
      </c>
      <c r="AT624">
        <v>10</v>
      </c>
      <c r="AU624">
        <v>19.2</v>
      </c>
      <c r="AV624">
        <v>19</v>
      </c>
      <c r="AW624">
        <v>20.3</v>
      </c>
      <c r="AX624">
        <v>19</v>
      </c>
      <c r="AY624">
        <v>12</v>
      </c>
      <c r="AZ624">
        <v>10</v>
      </c>
      <c r="BA624">
        <v>11</v>
      </c>
      <c r="BB624">
        <v>10</v>
      </c>
    </row>
    <row r="625" spans="1:54" x14ac:dyDescent="0.35">
      <c r="A625" s="1">
        <v>46059.894444444442</v>
      </c>
      <c r="B625">
        <v>22.8</v>
      </c>
      <c r="C625">
        <v>3</v>
      </c>
      <c r="D625">
        <v>21.4</v>
      </c>
      <c r="E625">
        <v>2</v>
      </c>
      <c r="F625">
        <v>10</v>
      </c>
      <c r="G625">
        <v>13.4</v>
      </c>
      <c r="H625">
        <v>0</v>
      </c>
      <c r="I625">
        <v>15.8</v>
      </c>
      <c r="J625">
        <v>12.1</v>
      </c>
      <c r="K625">
        <v>0</v>
      </c>
      <c r="L625">
        <v>13.6</v>
      </c>
      <c r="M625">
        <v>16.899999999999999</v>
      </c>
      <c r="N625">
        <v>0</v>
      </c>
      <c r="O625">
        <v>15.6</v>
      </c>
      <c r="P625">
        <v>11.5</v>
      </c>
      <c r="Q625">
        <v>0</v>
      </c>
      <c r="R625">
        <v>11.1</v>
      </c>
      <c r="S625">
        <v>14.4</v>
      </c>
      <c r="T625">
        <v>0</v>
      </c>
      <c r="U625">
        <v>-19.7</v>
      </c>
      <c r="V625">
        <v>-22.2</v>
      </c>
      <c r="W625">
        <v>-22</v>
      </c>
      <c r="X625">
        <v>-20.2</v>
      </c>
      <c r="Y625">
        <v>-18.3</v>
      </c>
      <c r="Z625">
        <v>-22</v>
      </c>
      <c r="AA625">
        <v>-2.8</v>
      </c>
      <c r="AB625">
        <v>-3</v>
      </c>
      <c r="AC625">
        <v>-5</v>
      </c>
      <c r="AD625">
        <v>12.1</v>
      </c>
      <c r="AE625">
        <v>10.4</v>
      </c>
      <c r="AF625">
        <v>0</v>
      </c>
      <c r="AG625">
        <v>10.6</v>
      </c>
      <c r="AH625">
        <v>10</v>
      </c>
      <c r="AI625">
        <v>11.1</v>
      </c>
      <c r="AJ625">
        <v>10</v>
      </c>
      <c r="AK625">
        <v>11.4</v>
      </c>
      <c r="AL625">
        <v>10</v>
      </c>
      <c r="AM625">
        <v>12.5</v>
      </c>
      <c r="AN625">
        <v>9</v>
      </c>
      <c r="AO625">
        <v>10.8</v>
      </c>
      <c r="AP625">
        <v>10</v>
      </c>
      <c r="AQ625">
        <v>10.5</v>
      </c>
      <c r="AR625">
        <v>10</v>
      </c>
      <c r="AS625">
        <v>10.3</v>
      </c>
      <c r="AT625">
        <v>10</v>
      </c>
      <c r="AU625">
        <v>19.3</v>
      </c>
      <c r="AV625">
        <v>19</v>
      </c>
      <c r="AW625">
        <v>20.3</v>
      </c>
      <c r="AX625">
        <v>19</v>
      </c>
      <c r="AY625">
        <v>11.8</v>
      </c>
      <c r="AZ625">
        <v>10</v>
      </c>
      <c r="BA625">
        <v>10.3</v>
      </c>
      <c r="BB625">
        <v>10</v>
      </c>
    </row>
    <row r="626" spans="1:54" x14ac:dyDescent="0.35">
      <c r="A626" s="1">
        <v>46059.895138888889</v>
      </c>
      <c r="B626">
        <v>22.8</v>
      </c>
      <c r="C626">
        <v>3</v>
      </c>
      <c r="D626">
        <v>21.4</v>
      </c>
      <c r="E626">
        <v>2</v>
      </c>
      <c r="F626">
        <v>10</v>
      </c>
      <c r="G626">
        <v>13.4</v>
      </c>
      <c r="H626">
        <v>0</v>
      </c>
      <c r="I626">
        <v>15.8</v>
      </c>
      <c r="J626">
        <v>12.1</v>
      </c>
      <c r="K626">
        <v>0</v>
      </c>
      <c r="L626">
        <v>13.6</v>
      </c>
      <c r="M626">
        <v>16.899999999999999</v>
      </c>
      <c r="N626">
        <v>0</v>
      </c>
      <c r="O626">
        <v>15.6</v>
      </c>
      <c r="P626">
        <v>11.5</v>
      </c>
      <c r="Q626">
        <v>0</v>
      </c>
      <c r="R626">
        <v>11.1</v>
      </c>
      <c r="S626">
        <v>14.4</v>
      </c>
      <c r="T626">
        <v>0</v>
      </c>
      <c r="U626">
        <v>-19.7</v>
      </c>
      <c r="V626">
        <v>-22</v>
      </c>
      <c r="W626">
        <v>-22</v>
      </c>
      <c r="X626">
        <v>-20.2</v>
      </c>
      <c r="Y626">
        <v>-18.3</v>
      </c>
      <c r="Z626">
        <v>-22</v>
      </c>
      <c r="AA626">
        <v>-2.8</v>
      </c>
      <c r="AB626">
        <v>-4</v>
      </c>
      <c r="AC626">
        <v>-5</v>
      </c>
      <c r="AD626">
        <v>12.1</v>
      </c>
      <c r="AE626">
        <v>10.4</v>
      </c>
      <c r="AF626">
        <v>0</v>
      </c>
      <c r="AG626">
        <v>9.9</v>
      </c>
      <c r="AH626">
        <v>10</v>
      </c>
      <c r="AI626">
        <v>11.2</v>
      </c>
      <c r="AJ626">
        <v>10</v>
      </c>
      <c r="AK626">
        <v>11.4</v>
      </c>
      <c r="AL626">
        <v>10</v>
      </c>
      <c r="AM626">
        <v>12.5</v>
      </c>
      <c r="AN626">
        <v>9</v>
      </c>
      <c r="AO626">
        <v>10.4</v>
      </c>
      <c r="AP626">
        <v>10</v>
      </c>
      <c r="AQ626">
        <v>10.5</v>
      </c>
      <c r="AR626">
        <v>10</v>
      </c>
      <c r="AS626">
        <v>10.6</v>
      </c>
      <c r="AT626">
        <v>10</v>
      </c>
      <c r="AU626">
        <v>19.399999999999999</v>
      </c>
      <c r="AV626">
        <v>19</v>
      </c>
      <c r="AW626">
        <v>20.399999999999999</v>
      </c>
      <c r="AX626">
        <v>19</v>
      </c>
      <c r="AY626">
        <v>10.7</v>
      </c>
      <c r="AZ626">
        <v>10</v>
      </c>
      <c r="BA626">
        <v>9.6999999999999993</v>
      </c>
      <c r="BB626">
        <v>10</v>
      </c>
    </row>
    <row r="627" spans="1:54" x14ac:dyDescent="0.35">
      <c r="A627" s="1">
        <v>46059.895833333336</v>
      </c>
      <c r="B627">
        <v>22.8</v>
      </c>
      <c r="C627">
        <v>3</v>
      </c>
      <c r="D627">
        <v>21.4</v>
      </c>
      <c r="E627">
        <v>2</v>
      </c>
      <c r="F627">
        <v>10</v>
      </c>
      <c r="G627">
        <v>13.4</v>
      </c>
      <c r="H627">
        <v>0</v>
      </c>
      <c r="I627">
        <v>15.8</v>
      </c>
      <c r="J627">
        <v>12.1</v>
      </c>
      <c r="K627">
        <v>0</v>
      </c>
      <c r="L627">
        <v>13.6</v>
      </c>
      <c r="M627">
        <v>16.899999999999999</v>
      </c>
      <c r="N627">
        <v>0</v>
      </c>
      <c r="O627">
        <v>15.6</v>
      </c>
      <c r="P627">
        <v>11.5</v>
      </c>
      <c r="Q627">
        <v>0</v>
      </c>
      <c r="R627">
        <v>11.1</v>
      </c>
      <c r="S627">
        <v>14.4</v>
      </c>
      <c r="T627">
        <v>0</v>
      </c>
      <c r="U627">
        <v>-19.7</v>
      </c>
      <c r="V627">
        <v>-22.3</v>
      </c>
      <c r="W627">
        <v>-22</v>
      </c>
      <c r="X627">
        <v>-20.2</v>
      </c>
      <c r="Y627">
        <v>-18.3</v>
      </c>
      <c r="Z627">
        <v>-22</v>
      </c>
      <c r="AA627">
        <v>-3.2</v>
      </c>
      <c r="AB627">
        <v>-5</v>
      </c>
      <c r="AC627">
        <v>-5</v>
      </c>
      <c r="AD627">
        <v>12.1</v>
      </c>
      <c r="AE627">
        <v>10.4</v>
      </c>
      <c r="AF627">
        <v>0</v>
      </c>
      <c r="AG627">
        <v>9.6999999999999993</v>
      </c>
      <c r="AH627">
        <v>10</v>
      </c>
      <c r="AI627">
        <v>11.3</v>
      </c>
      <c r="AJ627">
        <v>10</v>
      </c>
      <c r="AK627">
        <v>11.4</v>
      </c>
      <c r="AL627">
        <v>10</v>
      </c>
      <c r="AM627">
        <v>12.5</v>
      </c>
      <c r="AN627">
        <v>9</v>
      </c>
      <c r="AO627">
        <v>10.1</v>
      </c>
      <c r="AP627">
        <v>10</v>
      </c>
      <c r="AQ627">
        <v>10.5</v>
      </c>
      <c r="AR627">
        <v>10</v>
      </c>
      <c r="AS627">
        <v>10.8</v>
      </c>
      <c r="AT627">
        <v>10</v>
      </c>
      <c r="AU627">
        <v>19.399999999999999</v>
      </c>
      <c r="AV627">
        <v>19</v>
      </c>
      <c r="AW627">
        <v>20.399999999999999</v>
      </c>
      <c r="AX627">
        <v>19</v>
      </c>
      <c r="AY627">
        <v>9.9</v>
      </c>
      <c r="AZ627">
        <v>10</v>
      </c>
      <c r="BA627">
        <v>9.6999999999999993</v>
      </c>
      <c r="BB627">
        <v>10</v>
      </c>
    </row>
    <row r="628" spans="1:54" x14ac:dyDescent="0.35">
      <c r="A628" s="1">
        <v>46059.896527777775</v>
      </c>
      <c r="B628">
        <v>22.8</v>
      </c>
      <c r="C628">
        <v>3</v>
      </c>
      <c r="D628">
        <v>21.4</v>
      </c>
      <c r="E628">
        <v>2</v>
      </c>
      <c r="F628">
        <v>10</v>
      </c>
      <c r="G628">
        <v>13.4</v>
      </c>
      <c r="H628">
        <v>0</v>
      </c>
      <c r="I628">
        <v>15.9</v>
      </c>
      <c r="J628">
        <v>12.1</v>
      </c>
      <c r="K628">
        <v>0</v>
      </c>
      <c r="L628">
        <v>13.6</v>
      </c>
      <c r="M628">
        <v>16.899999999999999</v>
      </c>
      <c r="N628">
        <v>0</v>
      </c>
      <c r="O628">
        <v>15.6</v>
      </c>
      <c r="P628">
        <v>11.5</v>
      </c>
      <c r="Q628">
        <v>0</v>
      </c>
      <c r="R628">
        <v>11.1</v>
      </c>
      <c r="S628">
        <v>14.4</v>
      </c>
      <c r="T628">
        <v>0</v>
      </c>
      <c r="U628">
        <v>-19.7</v>
      </c>
      <c r="V628">
        <v>-22</v>
      </c>
      <c r="W628">
        <v>-22</v>
      </c>
      <c r="X628">
        <v>-20.2</v>
      </c>
      <c r="Y628">
        <v>-18.3</v>
      </c>
      <c r="Z628">
        <v>-22</v>
      </c>
      <c r="AA628">
        <v>-3.7</v>
      </c>
      <c r="AB628">
        <v>-5.8</v>
      </c>
      <c r="AC628">
        <v>-5</v>
      </c>
      <c r="AD628">
        <v>12.1</v>
      </c>
      <c r="AE628">
        <v>10.4</v>
      </c>
      <c r="AF628">
        <v>0</v>
      </c>
      <c r="AG628">
        <v>9.8000000000000007</v>
      </c>
      <c r="AH628">
        <v>10</v>
      </c>
      <c r="AI628">
        <v>11.4</v>
      </c>
      <c r="AJ628">
        <v>10</v>
      </c>
      <c r="AK628">
        <v>11.4</v>
      </c>
      <c r="AL628">
        <v>10</v>
      </c>
      <c r="AM628">
        <v>12.5</v>
      </c>
      <c r="AN628">
        <v>9</v>
      </c>
      <c r="AO628">
        <v>10.1</v>
      </c>
      <c r="AP628">
        <v>10</v>
      </c>
      <c r="AQ628">
        <v>10.5</v>
      </c>
      <c r="AR628">
        <v>10</v>
      </c>
      <c r="AS628">
        <v>11.1</v>
      </c>
      <c r="AT628">
        <v>10</v>
      </c>
      <c r="AU628">
        <v>19.399999999999999</v>
      </c>
      <c r="AV628">
        <v>19</v>
      </c>
      <c r="AW628">
        <v>20.399999999999999</v>
      </c>
      <c r="AX628">
        <v>19</v>
      </c>
      <c r="AY628">
        <v>9.6999999999999993</v>
      </c>
      <c r="AZ628">
        <v>10</v>
      </c>
      <c r="BA628">
        <v>10.1</v>
      </c>
      <c r="BB628">
        <v>10</v>
      </c>
    </row>
    <row r="629" spans="1:54" x14ac:dyDescent="0.35">
      <c r="A629" s="1">
        <v>46059.897222222222</v>
      </c>
      <c r="B629">
        <v>22.8</v>
      </c>
      <c r="C629">
        <v>3</v>
      </c>
      <c r="D629">
        <v>21.5</v>
      </c>
      <c r="E629">
        <v>2</v>
      </c>
      <c r="F629">
        <v>10</v>
      </c>
      <c r="G629">
        <v>13.4</v>
      </c>
      <c r="H629">
        <v>0</v>
      </c>
      <c r="I629">
        <v>15.9</v>
      </c>
      <c r="J629">
        <v>12.1</v>
      </c>
      <c r="K629">
        <v>0</v>
      </c>
      <c r="L629">
        <v>13.6</v>
      </c>
      <c r="M629">
        <v>16.899999999999999</v>
      </c>
      <c r="N629">
        <v>0</v>
      </c>
      <c r="O629">
        <v>15.6</v>
      </c>
      <c r="P629">
        <v>11.6</v>
      </c>
      <c r="Q629">
        <v>0</v>
      </c>
      <c r="R629">
        <v>11.1</v>
      </c>
      <c r="S629">
        <v>14.4</v>
      </c>
      <c r="T629">
        <v>0</v>
      </c>
      <c r="U629">
        <v>-19.7</v>
      </c>
      <c r="V629">
        <v>-22</v>
      </c>
      <c r="W629">
        <v>-22</v>
      </c>
      <c r="X629">
        <v>-20.2</v>
      </c>
      <c r="Y629">
        <v>-18.399999999999999</v>
      </c>
      <c r="Z629">
        <v>-22</v>
      </c>
      <c r="AA629">
        <v>-4.2</v>
      </c>
      <c r="AB629">
        <v>-6.4</v>
      </c>
      <c r="AC629">
        <v>-5</v>
      </c>
      <c r="AD629">
        <v>12.1</v>
      </c>
      <c r="AE629">
        <v>10.4</v>
      </c>
      <c r="AF629">
        <v>0</v>
      </c>
      <c r="AG629">
        <v>10.1</v>
      </c>
      <c r="AH629">
        <v>10</v>
      </c>
      <c r="AI629">
        <v>11.5</v>
      </c>
      <c r="AJ629">
        <v>10</v>
      </c>
      <c r="AK629">
        <v>11.4</v>
      </c>
      <c r="AL629">
        <v>10</v>
      </c>
      <c r="AM629">
        <v>12.4</v>
      </c>
      <c r="AN629">
        <v>9</v>
      </c>
      <c r="AO629">
        <v>10.9</v>
      </c>
      <c r="AP629">
        <v>10</v>
      </c>
      <c r="AQ629">
        <v>10.5</v>
      </c>
      <c r="AR629">
        <v>10</v>
      </c>
      <c r="AS629">
        <v>11.3</v>
      </c>
      <c r="AT629">
        <v>10</v>
      </c>
      <c r="AU629">
        <v>19.399999999999999</v>
      </c>
      <c r="AV629">
        <v>19</v>
      </c>
      <c r="AW629">
        <v>20.5</v>
      </c>
      <c r="AX629">
        <v>19</v>
      </c>
      <c r="AY629">
        <v>9.9</v>
      </c>
      <c r="AZ629">
        <v>10</v>
      </c>
      <c r="BA629">
        <v>10.6</v>
      </c>
      <c r="BB629">
        <v>10</v>
      </c>
    </row>
    <row r="630" spans="1:54" x14ac:dyDescent="0.35">
      <c r="A630" s="1">
        <v>46059.897916666669</v>
      </c>
      <c r="B630">
        <v>22.8</v>
      </c>
      <c r="C630">
        <v>3</v>
      </c>
      <c r="D630">
        <v>21.5</v>
      </c>
      <c r="E630">
        <v>2</v>
      </c>
      <c r="F630">
        <v>10</v>
      </c>
      <c r="G630">
        <v>13.4</v>
      </c>
      <c r="H630">
        <v>0</v>
      </c>
      <c r="I630">
        <v>15.9</v>
      </c>
      <c r="J630">
        <v>12.1</v>
      </c>
      <c r="K630">
        <v>0</v>
      </c>
      <c r="L630">
        <v>13.6</v>
      </c>
      <c r="M630">
        <v>16.899999999999999</v>
      </c>
      <c r="N630">
        <v>0</v>
      </c>
      <c r="O630">
        <v>15.6</v>
      </c>
      <c r="P630">
        <v>11.6</v>
      </c>
      <c r="Q630">
        <v>0</v>
      </c>
      <c r="R630">
        <v>11.1</v>
      </c>
      <c r="S630">
        <v>14.4</v>
      </c>
      <c r="T630">
        <v>0</v>
      </c>
      <c r="U630">
        <v>-19.7</v>
      </c>
      <c r="V630">
        <v>-22.1</v>
      </c>
      <c r="W630">
        <v>-22</v>
      </c>
      <c r="X630">
        <v>-20.2</v>
      </c>
      <c r="Y630">
        <v>-18.399999999999999</v>
      </c>
      <c r="Z630">
        <v>-22</v>
      </c>
      <c r="AA630">
        <v>-4.7</v>
      </c>
      <c r="AB630">
        <v>-7</v>
      </c>
      <c r="AC630">
        <v>-5</v>
      </c>
      <c r="AD630">
        <v>12.1</v>
      </c>
      <c r="AE630">
        <v>10.4</v>
      </c>
      <c r="AF630">
        <v>0</v>
      </c>
      <c r="AG630">
        <v>10.4</v>
      </c>
      <c r="AH630">
        <v>10</v>
      </c>
      <c r="AI630">
        <v>11.6</v>
      </c>
      <c r="AJ630">
        <v>10</v>
      </c>
      <c r="AK630">
        <v>11.5</v>
      </c>
      <c r="AL630">
        <v>10</v>
      </c>
      <c r="AM630">
        <v>12.4</v>
      </c>
      <c r="AN630">
        <v>9</v>
      </c>
      <c r="AO630">
        <v>11.2</v>
      </c>
      <c r="AP630">
        <v>10</v>
      </c>
      <c r="AQ630">
        <v>10.5</v>
      </c>
      <c r="AR630">
        <v>10</v>
      </c>
      <c r="AS630">
        <v>11.5</v>
      </c>
      <c r="AT630">
        <v>10</v>
      </c>
      <c r="AU630">
        <v>19.399999999999999</v>
      </c>
      <c r="AV630">
        <v>19</v>
      </c>
      <c r="AW630">
        <v>20.6</v>
      </c>
      <c r="AX630">
        <v>19</v>
      </c>
      <c r="AY630">
        <v>10.3</v>
      </c>
      <c r="AZ630">
        <v>10</v>
      </c>
      <c r="BA630">
        <v>10.9</v>
      </c>
      <c r="BB630">
        <v>10</v>
      </c>
    </row>
    <row r="631" spans="1:54" x14ac:dyDescent="0.35">
      <c r="A631" s="1">
        <v>46059.898611111108</v>
      </c>
      <c r="B631">
        <v>22.8</v>
      </c>
      <c r="C631">
        <v>3</v>
      </c>
      <c r="D631">
        <v>21.5</v>
      </c>
      <c r="E631">
        <v>2</v>
      </c>
      <c r="F631">
        <v>10</v>
      </c>
      <c r="G631">
        <v>13.4</v>
      </c>
      <c r="H631">
        <v>0</v>
      </c>
      <c r="I631">
        <v>15.9</v>
      </c>
      <c r="J631">
        <v>12.1</v>
      </c>
      <c r="K631">
        <v>0</v>
      </c>
      <c r="L631">
        <v>13.6</v>
      </c>
      <c r="M631">
        <v>16.899999999999999</v>
      </c>
      <c r="N631">
        <v>0</v>
      </c>
      <c r="O631">
        <v>15.6</v>
      </c>
      <c r="P631">
        <v>11.6</v>
      </c>
      <c r="Q631">
        <v>0</v>
      </c>
      <c r="R631">
        <v>11.1</v>
      </c>
      <c r="S631">
        <v>14.4</v>
      </c>
      <c r="T631">
        <v>0</v>
      </c>
      <c r="U631">
        <v>-19.7</v>
      </c>
      <c r="V631">
        <v>-21.8</v>
      </c>
      <c r="W631">
        <v>-22</v>
      </c>
      <c r="X631">
        <v>-20.2</v>
      </c>
      <c r="Y631">
        <v>-18.399999999999999</v>
      </c>
      <c r="Z631">
        <v>-22</v>
      </c>
      <c r="AA631">
        <v>-5.0999999999999996</v>
      </c>
      <c r="AB631">
        <v>-7.4</v>
      </c>
      <c r="AC631">
        <v>-5</v>
      </c>
      <c r="AD631">
        <v>12.2</v>
      </c>
      <c r="AE631">
        <v>10.4</v>
      </c>
      <c r="AF631">
        <v>0</v>
      </c>
      <c r="AG631">
        <v>10.6</v>
      </c>
      <c r="AH631">
        <v>10</v>
      </c>
      <c r="AI631">
        <v>11.7</v>
      </c>
      <c r="AJ631">
        <v>10</v>
      </c>
      <c r="AK631">
        <v>11.6</v>
      </c>
      <c r="AL631">
        <v>10</v>
      </c>
      <c r="AM631">
        <v>12.4</v>
      </c>
      <c r="AN631">
        <v>9</v>
      </c>
      <c r="AO631">
        <v>11.4</v>
      </c>
      <c r="AP631">
        <v>10</v>
      </c>
      <c r="AQ631">
        <v>10.5</v>
      </c>
      <c r="AR631">
        <v>10</v>
      </c>
      <c r="AS631">
        <v>11.7</v>
      </c>
      <c r="AT631">
        <v>10</v>
      </c>
      <c r="AU631">
        <v>19.5</v>
      </c>
      <c r="AV631">
        <v>19</v>
      </c>
      <c r="AW631">
        <v>20.7</v>
      </c>
      <c r="AX631">
        <v>19</v>
      </c>
      <c r="AY631">
        <v>10.7</v>
      </c>
      <c r="AZ631">
        <v>10</v>
      </c>
      <c r="BA631">
        <v>11.3</v>
      </c>
      <c r="BB631">
        <v>10</v>
      </c>
    </row>
    <row r="632" spans="1:54" x14ac:dyDescent="0.35">
      <c r="A632" s="1">
        <v>46059.9</v>
      </c>
      <c r="B632">
        <v>22.8</v>
      </c>
      <c r="C632">
        <v>3</v>
      </c>
      <c r="D632">
        <v>21.5</v>
      </c>
      <c r="E632">
        <v>2</v>
      </c>
      <c r="F632">
        <v>10.1</v>
      </c>
      <c r="G632">
        <v>13.4</v>
      </c>
      <c r="H632">
        <v>0</v>
      </c>
      <c r="I632">
        <v>15.9</v>
      </c>
      <c r="J632">
        <v>12.1</v>
      </c>
      <c r="K632">
        <v>0</v>
      </c>
      <c r="L632">
        <v>13.6</v>
      </c>
      <c r="M632">
        <v>16.899999999999999</v>
      </c>
      <c r="N632">
        <v>0</v>
      </c>
      <c r="O632">
        <v>15.6</v>
      </c>
      <c r="P632">
        <v>11.6</v>
      </c>
      <c r="Q632">
        <v>0</v>
      </c>
      <c r="R632">
        <v>11.1</v>
      </c>
      <c r="S632">
        <v>14.4</v>
      </c>
      <c r="T632">
        <v>0</v>
      </c>
      <c r="U632">
        <v>-19.7</v>
      </c>
      <c r="V632">
        <v>-22.1</v>
      </c>
      <c r="W632">
        <v>-22</v>
      </c>
      <c r="X632">
        <v>-20.2</v>
      </c>
      <c r="Y632">
        <v>-18.399999999999999</v>
      </c>
      <c r="Z632">
        <v>-22</v>
      </c>
      <c r="AA632">
        <v>-4.0999999999999996</v>
      </c>
      <c r="AB632">
        <v>-4.3</v>
      </c>
      <c r="AC632">
        <v>-5</v>
      </c>
      <c r="AD632">
        <v>12.2</v>
      </c>
      <c r="AE632">
        <v>10.4</v>
      </c>
      <c r="AF632">
        <v>0</v>
      </c>
      <c r="AG632">
        <v>11</v>
      </c>
      <c r="AH632">
        <v>10</v>
      </c>
      <c r="AI632">
        <v>11.9</v>
      </c>
      <c r="AJ632">
        <v>10</v>
      </c>
      <c r="AK632">
        <v>11.7</v>
      </c>
      <c r="AL632">
        <v>10</v>
      </c>
      <c r="AM632">
        <v>12.4</v>
      </c>
      <c r="AN632">
        <v>9</v>
      </c>
      <c r="AO632">
        <v>11.7</v>
      </c>
      <c r="AP632">
        <v>10</v>
      </c>
      <c r="AQ632">
        <v>10.3</v>
      </c>
      <c r="AR632">
        <v>10</v>
      </c>
      <c r="AS632">
        <v>11.7</v>
      </c>
      <c r="AT632">
        <v>10</v>
      </c>
      <c r="AU632">
        <v>19.600000000000001</v>
      </c>
      <c r="AV632">
        <v>19</v>
      </c>
      <c r="AW632">
        <v>20.7</v>
      </c>
      <c r="AX632">
        <v>19</v>
      </c>
      <c r="AY632">
        <v>11.2</v>
      </c>
      <c r="AZ632">
        <v>10</v>
      </c>
      <c r="BA632">
        <v>11.8</v>
      </c>
      <c r="BB632">
        <v>10</v>
      </c>
    </row>
    <row r="633" spans="1:54" x14ac:dyDescent="0.35">
      <c r="A633" s="1">
        <v>46059.900694444441</v>
      </c>
      <c r="B633">
        <v>22.8</v>
      </c>
      <c r="C633">
        <v>3</v>
      </c>
      <c r="D633">
        <v>21.5</v>
      </c>
      <c r="E633">
        <v>2</v>
      </c>
      <c r="F633">
        <v>10.1</v>
      </c>
      <c r="G633">
        <v>13.4</v>
      </c>
      <c r="H633">
        <v>0</v>
      </c>
      <c r="I633">
        <v>15.9</v>
      </c>
      <c r="J633">
        <v>12.1</v>
      </c>
      <c r="K633">
        <v>0</v>
      </c>
      <c r="L633">
        <v>13.6</v>
      </c>
      <c r="M633">
        <v>16.899999999999999</v>
      </c>
      <c r="N633">
        <v>0</v>
      </c>
      <c r="O633">
        <v>15.6</v>
      </c>
      <c r="P633">
        <v>11.6</v>
      </c>
      <c r="Q633">
        <v>0</v>
      </c>
      <c r="R633">
        <v>11.1</v>
      </c>
      <c r="S633">
        <v>14.4</v>
      </c>
      <c r="T633">
        <v>0</v>
      </c>
      <c r="U633">
        <v>-19.8</v>
      </c>
      <c r="V633">
        <v>-22.1</v>
      </c>
      <c r="W633">
        <v>-22</v>
      </c>
      <c r="X633">
        <v>-20.2</v>
      </c>
      <c r="Y633">
        <v>-18.5</v>
      </c>
      <c r="Z633">
        <v>-22</v>
      </c>
      <c r="AA633">
        <v>-3.4</v>
      </c>
      <c r="AB633">
        <v>-3.4</v>
      </c>
      <c r="AC633">
        <v>-5</v>
      </c>
      <c r="AD633">
        <v>12.2</v>
      </c>
      <c r="AE633">
        <v>10.4</v>
      </c>
      <c r="AF633">
        <v>0</v>
      </c>
      <c r="AG633">
        <v>11.2</v>
      </c>
      <c r="AH633">
        <v>10</v>
      </c>
      <c r="AI633">
        <v>11.9</v>
      </c>
      <c r="AJ633">
        <v>10</v>
      </c>
      <c r="AK633">
        <v>11.8</v>
      </c>
      <c r="AL633">
        <v>10</v>
      </c>
      <c r="AM633">
        <v>12.4</v>
      </c>
      <c r="AN633">
        <v>9</v>
      </c>
      <c r="AO633">
        <v>11.8</v>
      </c>
      <c r="AP633">
        <v>10</v>
      </c>
      <c r="AQ633">
        <v>10.199999999999999</v>
      </c>
      <c r="AR633">
        <v>10</v>
      </c>
      <c r="AS633">
        <v>9.4</v>
      </c>
      <c r="AT633">
        <v>10</v>
      </c>
      <c r="AU633">
        <v>19.600000000000001</v>
      </c>
      <c r="AV633">
        <v>19</v>
      </c>
      <c r="AW633">
        <v>20.8</v>
      </c>
      <c r="AX633">
        <v>19</v>
      </c>
      <c r="AY633">
        <v>11.4</v>
      </c>
      <c r="AZ633">
        <v>10</v>
      </c>
      <c r="BA633">
        <v>12</v>
      </c>
      <c r="BB633">
        <v>10</v>
      </c>
    </row>
    <row r="634" spans="1:54" x14ac:dyDescent="0.35">
      <c r="A634" s="1">
        <v>46059.901388888888</v>
      </c>
      <c r="B634">
        <v>22.8</v>
      </c>
      <c r="C634">
        <v>3</v>
      </c>
      <c r="D634">
        <v>21.5</v>
      </c>
      <c r="E634">
        <v>2</v>
      </c>
      <c r="F634">
        <v>10.1</v>
      </c>
      <c r="G634">
        <v>13.4</v>
      </c>
      <c r="H634">
        <v>0</v>
      </c>
      <c r="I634">
        <v>15.9</v>
      </c>
      <c r="J634">
        <v>12.1</v>
      </c>
      <c r="K634">
        <v>0</v>
      </c>
      <c r="L634">
        <v>13.6</v>
      </c>
      <c r="M634">
        <v>16.899999999999999</v>
      </c>
      <c r="N634">
        <v>0</v>
      </c>
      <c r="O634">
        <v>15.6</v>
      </c>
      <c r="P634">
        <v>11.6</v>
      </c>
      <c r="Q634">
        <v>0</v>
      </c>
      <c r="R634">
        <v>11.1</v>
      </c>
      <c r="S634">
        <v>14.4</v>
      </c>
      <c r="T634">
        <v>0</v>
      </c>
      <c r="U634">
        <v>-19.8</v>
      </c>
      <c r="V634">
        <v>-22.4</v>
      </c>
      <c r="W634">
        <v>-22</v>
      </c>
      <c r="X634">
        <v>-20.2</v>
      </c>
      <c r="Y634">
        <v>-18.5</v>
      </c>
      <c r="Z634">
        <v>-22</v>
      </c>
      <c r="AA634">
        <v>-2.8</v>
      </c>
      <c r="AB634">
        <v>-2.9</v>
      </c>
      <c r="AC634">
        <v>-5</v>
      </c>
      <c r="AD634">
        <v>12.2</v>
      </c>
      <c r="AE634">
        <v>10.4</v>
      </c>
      <c r="AF634">
        <v>0</v>
      </c>
      <c r="AG634">
        <v>11.4</v>
      </c>
      <c r="AH634">
        <v>10</v>
      </c>
      <c r="AI634">
        <v>11.7</v>
      </c>
      <c r="AJ634">
        <v>10</v>
      </c>
      <c r="AK634">
        <v>11.9</v>
      </c>
      <c r="AL634">
        <v>10</v>
      </c>
      <c r="AM634">
        <v>12.4</v>
      </c>
      <c r="AN634">
        <v>9</v>
      </c>
      <c r="AO634">
        <v>11.9</v>
      </c>
      <c r="AP634">
        <v>10</v>
      </c>
      <c r="AQ634">
        <v>10.1</v>
      </c>
      <c r="AR634">
        <v>10</v>
      </c>
      <c r="AS634">
        <v>8.1</v>
      </c>
      <c r="AT634">
        <v>10</v>
      </c>
      <c r="AU634">
        <v>19.600000000000001</v>
      </c>
      <c r="AV634">
        <v>19</v>
      </c>
      <c r="AW634">
        <v>20.8</v>
      </c>
      <c r="AX634">
        <v>19</v>
      </c>
      <c r="AY634">
        <v>11.6</v>
      </c>
      <c r="AZ634">
        <v>10</v>
      </c>
      <c r="BA634">
        <v>11.6</v>
      </c>
      <c r="BB634">
        <v>10</v>
      </c>
    </row>
    <row r="635" spans="1:54" x14ac:dyDescent="0.35">
      <c r="A635" s="1">
        <v>46059.902777777781</v>
      </c>
      <c r="B635">
        <v>22.8</v>
      </c>
      <c r="C635">
        <v>3</v>
      </c>
      <c r="D635">
        <v>21.5</v>
      </c>
      <c r="E635">
        <v>2</v>
      </c>
      <c r="F635">
        <v>10.1</v>
      </c>
      <c r="G635">
        <v>13.4</v>
      </c>
      <c r="H635">
        <v>0</v>
      </c>
      <c r="I635">
        <v>15.9</v>
      </c>
      <c r="J635">
        <v>12.1</v>
      </c>
      <c r="K635">
        <v>0</v>
      </c>
      <c r="L635">
        <v>13.6</v>
      </c>
      <c r="M635">
        <v>16.899999999999999</v>
      </c>
      <c r="N635">
        <v>0</v>
      </c>
      <c r="O635">
        <v>15.6</v>
      </c>
      <c r="P635">
        <v>11.6</v>
      </c>
      <c r="Q635">
        <v>0</v>
      </c>
      <c r="R635">
        <v>11.1</v>
      </c>
      <c r="S635">
        <v>14.4</v>
      </c>
      <c r="T635">
        <v>0</v>
      </c>
      <c r="U635">
        <v>-19.8</v>
      </c>
      <c r="V635">
        <v>-22.2</v>
      </c>
      <c r="W635">
        <v>-22</v>
      </c>
      <c r="X635">
        <v>-20.2</v>
      </c>
      <c r="Y635">
        <v>-18.5</v>
      </c>
      <c r="Z635">
        <v>-22</v>
      </c>
      <c r="AA635">
        <v>-3.2</v>
      </c>
      <c r="AB635">
        <v>-5</v>
      </c>
      <c r="AC635">
        <v>-5</v>
      </c>
      <c r="AD635">
        <v>12.2</v>
      </c>
      <c r="AE635">
        <v>10.4</v>
      </c>
      <c r="AF635">
        <v>0</v>
      </c>
      <c r="AG635">
        <v>11.6</v>
      </c>
      <c r="AH635">
        <v>10</v>
      </c>
      <c r="AI635">
        <v>8.8000000000000007</v>
      </c>
      <c r="AJ635">
        <v>10</v>
      </c>
      <c r="AK635">
        <v>12</v>
      </c>
      <c r="AL635">
        <v>10</v>
      </c>
      <c r="AM635">
        <v>12.5</v>
      </c>
      <c r="AN635">
        <v>9</v>
      </c>
      <c r="AO635">
        <v>10.5</v>
      </c>
      <c r="AP635">
        <v>10</v>
      </c>
      <c r="AQ635">
        <v>10.1</v>
      </c>
      <c r="AR635">
        <v>10</v>
      </c>
      <c r="AS635">
        <v>8.9</v>
      </c>
      <c r="AT635">
        <v>10</v>
      </c>
      <c r="AU635">
        <v>19.7</v>
      </c>
      <c r="AV635">
        <v>19</v>
      </c>
      <c r="AW635">
        <v>20.7</v>
      </c>
      <c r="AX635">
        <v>19</v>
      </c>
      <c r="AY635">
        <v>12</v>
      </c>
      <c r="AZ635">
        <v>10</v>
      </c>
      <c r="BA635">
        <v>9.8000000000000007</v>
      </c>
      <c r="BB635">
        <v>10</v>
      </c>
    </row>
    <row r="636" spans="1:54" x14ac:dyDescent="0.35">
      <c r="A636" s="1">
        <v>46059.90347222222</v>
      </c>
      <c r="B636">
        <v>22.8</v>
      </c>
      <c r="C636">
        <v>3</v>
      </c>
      <c r="D636">
        <v>21.5</v>
      </c>
      <c r="E636">
        <v>2</v>
      </c>
      <c r="F636">
        <v>10.1</v>
      </c>
      <c r="G636">
        <v>13.4</v>
      </c>
      <c r="H636">
        <v>0</v>
      </c>
      <c r="I636">
        <v>15.9</v>
      </c>
      <c r="J636">
        <v>12.1</v>
      </c>
      <c r="K636">
        <v>0</v>
      </c>
      <c r="L636">
        <v>13.6</v>
      </c>
      <c r="M636">
        <v>16.899999999999999</v>
      </c>
      <c r="N636">
        <v>0</v>
      </c>
      <c r="O636">
        <v>15.6</v>
      </c>
      <c r="P636">
        <v>11.6</v>
      </c>
      <c r="Q636">
        <v>0</v>
      </c>
      <c r="R636">
        <v>11.2</v>
      </c>
      <c r="S636">
        <v>14.5</v>
      </c>
      <c r="T636">
        <v>0</v>
      </c>
      <c r="U636">
        <v>-19.8</v>
      </c>
      <c r="V636">
        <v>-22.1</v>
      </c>
      <c r="W636">
        <v>-22</v>
      </c>
      <c r="X636">
        <v>-20.2</v>
      </c>
      <c r="Y636">
        <v>-18.5</v>
      </c>
      <c r="Z636">
        <v>-22</v>
      </c>
      <c r="AA636">
        <v>-3.7</v>
      </c>
      <c r="AB636">
        <v>-5.7</v>
      </c>
      <c r="AC636">
        <v>-5</v>
      </c>
      <c r="AD636">
        <v>12.2</v>
      </c>
      <c r="AE636">
        <v>10.4</v>
      </c>
      <c r="AF636">
        <v>0</v>
      </c>
      <c r="AG636">
        <v>11.7</v>
      </c>
      <c r="AH636">
        <v>10</v>
      </c>
      <c r="AI636">
        <v>8.6</v>
      </c>
      <c r="AJ636">
        <v>10</v>
      </c>
      <c r="AK636">
        <v>10.4</v>
      </c>
      <c r="AL636">
        <v>10</v>
      </c>
      <c r="AM636">
        <v>12.5</v>
      </c>
      <c r="AN636">
        <v>9</v>
      </c>
      <c r="AO636">
        <v>9.9</v>
      </c>
      <c r="AP636">
        <v>10</v>
      </c>
      <c r="AQ636">
        <v>10.1</v>
      </c>
      <c r="AR636">
        <v>10</v>
      </c>
      <c r="AS636">
        <v>9.4</v>
      </c>
      <c r="AT636">
        <v>10</v>
      </c>
      <c r="AU636">
        <v>19.8</v>
      </c>
      <c r="AV636">
        <v>19</v>
      </c>
      <c r="AW636">
        <v>20.7</v>
      </c>
      <c r="AX636">
        <v>19</v>
      </c>
      <c r="AY636">
        <v>11.6</v>
      </c>
      <c r="AZ636">
        <v>10</v>
      </c>
      <c r="BA636">
        <v>9.6</v>
      </c>
      <c r="BB636">
        <v>10</v>
      </c>
    </row>
    <row r="637" spans="1:54" x14ac:dyDescent="0.35">
      <c r="A637" s="1">
        <v>46059.904166666667</v>
      </c>
      <c r="B637">
        <v>22.8</v>
      </c>
      <c r="C637">
        <v>3</v>
      </c>
      <c r="D637">
        <v>21.5</v>
      </c>
      <c r="E637">
        <v>2</v>
      </c>
      <c r="F637">
        <v>10.1</v>
      </c>
      <c r="G637">
        <v>13.4</v>
      </c>
      <c r="H637">
        <v>0</v>
      </c>
      <c r="I637">
        <v>15.9</v>
      </c>
      <c r="J637">
        <v>12.1</v>
      </c>
      <c r="K637">
        <v>0</v>
      </c>
      <c r="L637">
        <v>13.6</v>
      </c>
      <c r="M637">
        <v>16.899999999999999</v>
      </c>
      <c r="N637">
        <v>0</v>
      </c>
      <c r="O637">
        <v>15.6</v>
      </c>
      <c r="P637">
        <v>11.6</v>
      </c>
      <c r="Q637">
        <v>0</v>
      </c>
      <c r="R637">
        <v>11.2</v>
      </c>
      <c r="S637">
        <v>14.5</v>
      </c>
      <c r="T637">
        <v>0</v>
      </c>
      <c r="U637">
        <v>-19.8</v>
      </c>
      <c r="V637">
        <v>-22.1</v>
      </c>
      <c r="W637">
        <v>-22</v>
      </c>
      <c r="X637">
        <v>-20.2</v>
      </c>
      <c r="Y637">
        <v>-18.5</v>
      </c>
      <c r="Z637">
        <v>-22</v>
      </c>
      <c r="AA637">
        <v>-4.2</v>
      </c>
      <c r="AB637">
        <v>-6.5</v>
      </c>
      <c r="AC637">
        <v>-5</v>
      </c>
      <c r="AD637">
        <v>12.2</v>
      </c>
      <c r="AE637">
        <v>10.4</v>
      </c>
      <c r="AF637">
        <v>0</v>
      </c>
      <c r="AG637">
        <v>11.8</v>
      </c>
      <c r="AH637">
        <v>10</v>
      </c>
      <c r="AI637">
        <v>8.8000000000000007</v>
      </c>
      <c r="AJ637">
        <v>10</v>
      </c>
      <c r="AK637">
        <v>9</v>
      </c>
      <c r="AL637">
        <v>10</v>
      </c>
      <c r="AM637">
        <v>12.5</v>
      </c>
      <c r="AN637">
        <v>9</v>
      </c>
      <c r="AO637">
        <v>10.9</v>
      </c>
      <c r="AP637">
        <v>10</v>
      </c>
      <c r="AQ637">
        <v>9.9</v>
      </c>
      <c r="AR637">
        <v>10</v>
      </c>
      <c r="AS637">
        <v>9.9</v>
      </c>
      <c r="AT637">
        <v>10</v>
      </c>
      <c r="AU637">
        <v>19.8</v>
      </c>
      <c r="AV637">
        <v>19</v>
      </c>
      <c r="AW637">
        <v>20.8</v>
      </c>
      <c r="AX637">
        <v>19</v>
      </c>
      <c r="AY637">
        <v>10.7</v>
      </c>
      <c r="AZ637">
        <v>10</v>
      </c>
      <c r="BA637">
        <v>9.8000000000000007</v>
      </c>
      <c r="BB637">
        <v>10</v>
      </c>
    </row>
    <row r="638" spans="1:54" x14ac:dyDescent="0.35">
      <c r="A638" s="1">
        <v>46059.904861111114</v>
      </c>
      <c r="B638">
        <v>22.8</v>
      </c>
      <c r="C638">
        <v>3</v>
      </c>
      <c r="D638">
        <v>21.5</v>
      </c>
      <c r="E638">
        <v>2</v>
      </c>
      <c r="F638">
        <v>10.1</v>
      </c>
      <c r="G638">
        <v>13.4</v>
      </c>
      <c r="H638">
        <v>0</v>
      </c>
      <c r="I638">
        <v>15.9</v>
      </c>
      <c r="J638">
        <v>12.1</v>
      </c>
      <c r="K638">
        <v>0</v>
      </c>
      <c r="L638">
        <v>13.6</v>
      </c>
      <c r="M638">
        <v>16.899999999999999</v>
      </c>
      <c r="N638">
        <v>0</v>
      </c>
      <c r="O638">
        <v>15.6</v>
      </c>
      <c r="P638">
        <v>11.6</v>
      </c>
      <c r="Q638">
        <v>0</v>
      </c>
      <c r="R638">
        <v>11.2</v>
      </c>
      <c r="S638">
        <v>14.5</v>
      </c>
      <c r="T638">
        <v>0</v>
      </c>
      <c r="U638">
        <v>-19.8</v>
      </c>
      <c r="V638">
        <v>-22.2</v>
      </c>
      <c r="W638">
        <v>-22</v>
      </c>
      <c r="X638">
        <v>-20.2</v>
      </c>
      <c r="Y638">
        <v>-18.5</v>
      </c>
      <c r="Z638">
        <v>-22</v>
      </c>
      <c r="AA638">
        <v>-4.7</v>
      </c>
      <c r="AB638">
        <v>-6.9</v>
      </c>
      <c r="AC638">
        <v>-5</v>
      </c>
      <c r="AD638">
        <v>12.2</v>
      </c>
      <c r="AE638">
        <v>10.4</v>
      </c>
      <c r="AF638">
        <v>0</v>
      </c>
      <c r="AG638">
        <v>11.9</v>
      </c>
      <c r="AH638">
        <v>10</v>
      </c>
      <c r="AI638">
        <v>9.1999999999999993</v>
      </c>
      <c r="AJ638">
        <v>10</v>
      </c>
      <c r="AK638">
        <v>9.1</v>
      </c>
      <c r="AL638">
        <v>10</v>
      </c>
      <c r="AM638">
        <v>12.4</v>
      </c>
      <c r="AN638">
        <v>9</v>
      </c>
      <c r="AO638">
        <v>11.3</v>
      </c>
      <c r="AP638">
        <v>10</v>
      </c>
      <c r="AQ638">
        <v>10.199999999999999</v>
      </c>
      <c r="AR638">
        <v>10</v>
      </c>
      <c r="AS638">
        <v>10.199999999999999</v>
      </c>
      <c r="AT638">
        <v>10</v>
      </c>
      <c r="AU638">
        <v>19.8</v>
      </c>
      <c r="AV638">
        <v>19</v>
      </c>
      <c r="AW638">
        <v>20.8</v>
      </c>
      <c r="AX638">
        <v>19</v>
      </c>
      <c r="AY638">
        <v>9.6999999999999993</v>
      </c>
      <c r="AZ638">
        <v>10</v>
      </c>
      <c r="BA638">
        <v>10.3</v>
      </c>
      <c r="BB638">
        <v>10</v>
      </c>
    </row>
    <row r="639" spans="1:54" x14ac:dyDescent="0.35">
      <c r="A639" s="1">
        <v>46059.905555555553</v>
      </c>
      <c r="B639">
        <v>22.8</v>
      </c>
      <c r="C639">
        <v>3</v>
      </c>
      <c r="D639">
        <v>21.5</v>
      </c>
      <c r="E639">
        <v>2</v>
      </c>
      <c r="F639">
        <v>10.1</v>
      </c>
      <c r="G639">
        <v>13.4</v>
      </c>
      <c r="H639">
        <v>0</v>
      </c>
      <c r="I639">
        <v>16</v>
      </c>
      <c r="J639">
        <v>12.1</v>
      </c>
      <c r="K639">
        <v>0</v>
      </c>
      <c r="L639">
        <v>13.7</v>
      </c>
      <c r="M639">
        <v>16.899999999999999</v>
      </c>
      <c r="N639">
        <v>0</v>
      </c>
      <c r="O639">
        <v>15.6</v>
      </c>
      <c r="P639">
        <v>11.6</v>
      </c>
      <c r="Q639">
        <v>0</v>
      </c>
      <c r="R639">
        <v>11.2</v>
      </c>
      <c r="S639">
        <v>14.5</v>
      </c>
      <c r="T639">
        <v>0</v>
      </c>
      <c r="U639">
        <v>-19.8</v>
      </c>
      <c r="V639">
        <v>-21.9</v>
      </c>
      <c r="W639">
        <v>-22</v>
      </c>
      <c r="X639">
        <v>-20.2</v>
      </c>
      <c r="Y639">
        <v>-18.5</v>
      </c>
      <c r="Z639">
        <v>-22</v>
      </c>
      <c r="AA639">
        <v>-5</v>
      </c>
      <c r="AB639">
        <v>-7.4</v>
      </c>
      <c r="AC639">
        <v>-5</v>
      </c>
      <c r="AD639">
        <v>12.2</v>
      </c>
      <c r="AE639">
        <v>10.4</v>
      </c>
      <c r="AF639">
        <v>0</v>
      </c>
      <c r="AG639">
        <v>11.9</v>
      </c>
      <c r="AH639">
        <v>10</v>
      </c>
      <c r="AI639">
        <v>9.5</v>
      </c>
      <c r="AJ639">
        <v>10</v>
      </c>
      <c r="AK639">
        <v>9.8000000000000007</v>
      </c>
      <c r="AL639">
        <v>10</v>
      </c>
      <c r="AM639">
        <v>12.4</v>
      </c>
      <c r="AN639">
        <v>9</v>
      </c>
      <c r="AO639">
        <v>11.5</v>
      </c>
      <c r="AP639">
        <v>10</v>
      </c>
      <c r="AQ639">
        <v>10.8</v>
      </c>
      <c r="AR639">
        <v>10</v>
      </c>
      <c r="AS639">
        <v>10.5</v>
      </c>
      <c r="AT639">
        <v>10</v>
      </c>
      <c r="AU639">
        <v>19.8</v>
      </c>
      <c r="AV639">
        <v>19</v>
      </c>
      <c r="AW639">
        <v>20.8</v>
      </c>
      <c r="AX639">
        <v>19</v>
      </c>
      <c r="AY639">
        <v>9.6</v>
      </c>
      <c r="AZ639">
        <v>10</v>
      </c>
      <c r="BA639">
        <v>10.7</v>
      </c>
      <c r="BB639">
        <v>10</v>
      </c>
    </row>
    <row r="640" spans="1:54" x14ac:dyDescent="0.35">
      <c r="A640" s="1">
        <v>46059.90625</v>
      </c>
      <c r="B640">
        <v>22.8</v>
      </c>
      <c r="C640">
        <v>3</v>
      </c>
      <c r="D640">
        <v>21.5</v>
      </c>
      <c r="E640">
        <v>2</v>
      </c>
      <c r="F640">
        <v>10.1</v>
      </c>
      <c r="G640">
        <v>13.4</v>
      </c>
      <c r="H640">
        <v>0</v>
      </c>
      <c r="I640">
        <v>16</v>
      </c>
      <c r="J640">
        <v>12.1</v>
      </c>
      <c r="K640">
        <v>0</v>
      </c>
      <c r="L640">
        <v>13.7</v>
      </c>
      <c r="M640">
        <v>16.899999999999999</v>
      </c>
      <c r="N640">
        <v>0</v>
      </c>
      <c r="O640">
        <v>15.6</v>
      </c>
      <c r="P640">
        <v>11.6</v>
      </c>
      <c r="Q640">
        <v>0</v>
      </c>
      <c r="R640">
        <v>11.2</v>
      </c>
      <c r="S640">
        <v>14.5</v>
      </c>
      <c r="T640">
        <v>0</v>
      </c>
      <c r="U640">
        <v>-19.8</v>
      </c>
      <c r="V640">
        <v>-22.3</v>
      </c>
      <c r="W640">
        <v>-22</v>
      </c>
      <c r="X640">
        <v>-20.2</v>
      </c>
      <c r="Y640">
        <v>-18.5</v>
      </c>
      <c r="Z640">
        <v>-22</v>
      </c>
      <c r="AA640">
        <v>-4.9000000000000004</v>
      </c>
      <c r="AB640">
        <v>-5.9</v>
      </c>
      <c r="AC640">
        <v>-5</v>
      </c>
      <c r="AD640">
        <v>12.2</v>
      </c>
      <c r="AE640">
        <v>10.4</v>
      </c>
      <c r="AF640">
        <v>0</v>
      </c>
      <c r="AG640">
        <v>12</v>
      </c>
      <c r="AH640">
        <v>10</v>
      </c>
      <c r="AI640">
        <v>9.6999999999999993</v>
      </c>
      <c r="AJ640">
        <v>10</v>
      </c>
      <c r="AK640">
        <v>10.199999999999999</v>
      </c>
      <c r="AL640">
        <v>10</v>
      </c>
      <c r="AM640">
        <v>12.4</v>
      </c>
      <c r="AN640">
        <v>9</v>
      </c>
      <c r="AO640">
        <v>11.6</v>
      </c>
      <c r="AP640">
        <v>10</v>
      </c>
      <c r="AQ640">
        <v>11.6</v>
      </c>
      <c r="AR640">
        <v>10</v>
      </c>
      <c r="AS640">
        <v>10.9</v>
      </c>
      <c r="AT640">
        <v>10</v>
      </c>
      <c r="AU640">
        <v>19.8</v>
      </c>
      <c r="AV640">
        <v>19</v>
      </c>
      <c r="AW640">
        <v>20.8</v>
      </c>
      <c r="AX640">
        <v>19</v>
      </c>
      <c r="AY640">
        <v>9.9</v>
      </c>
      <c r="AZ640">
        <v>10</v>
      </c>
      <c r="BA640">
        <v>11</v>
      </c>
      <c r="BB640">
        <v>10</v>
      </c>
    </row>
    <row r="641" spans="1:54" x14ac:dyDescent="0.35">
      <c r="A641" s="1">
        <v>46059.906944444447</v>
      </c>
      <c r="B641">
        <v>22.8</v>
      </c>
      <c r="C641">
        <v>3</v>
      </c>
      <c r="D641">
        <v>21.5</v>
      </c>
      <c r="E641">
        <v>2</v>
      </c>
      <c r="F641">
        <v>10.1</v>
      </c>
      <c r="G641">
        <v>13.4</v>
      </c>
      <c r="H641">
        <v>0</v>
      </c>
      <c r="I641">
        <v>16</v>
      </c>
      <c r="J641">
        <v>12.1</v>
      </c>
      <c r="K641">
        <v>0</v>
      </c>
      <c r="L641">
        <v>13.7</v>
      </c>
      <c r="M641">
        <v>16.899999999999999</v>
      </c>
      <c r="N641">
        <v>0</v>
      </c>
      <c r="O641">
        <v>15.7</v>
      </c>
      <c r="P641">
        <v>11.6</v>
      </c>
      <c r="Q641">
        <v>0</v>
      </c>
      <c r="R641">
        <v>11.2</v>
      </c>
      <c r="S641">
        <v>14.5</v>
      </c>
      <c r="T641">
        <v>0</v>
      </c>
      <c r="U641">
        <v>-19.8</v>
      </c>
      <c r="V641">
        <v>-22.1</v>
      </c>
      <c r="W641">
        <v>-22</v>
      </c>
      <c r="X641">
        <v>-20.2</v>
      </c>
      <c r="Y641">
        <v>-18.5</v>
      </c>
      <c r="Z641">
        <v>-22</v>
      </c>
      <c r="AA641">
        <v>-4.2</v>
      </c>
      <c r="AB641">
        <v>-4.5</v>
      </c>
      <c r="AC641">
        <v>-5</v>
      </c>
      <c r="AD641">
        <v>12.2</v>
      </c>
      <c r="AE641">
        <v>10.4</v>
      </c>
      <c r="AF641">
        <v>0</v>
      </c>
      <c r="AG641">
        <v>11.4</v>
      </c>
      <c r="AH641">
        <v>10</v>
      </c>
      <c r="AI641">
        <v>10</v>
      </c>
      <c r="AJ641">
        <v>10</v>
      </c>
      <c r="AK641">
        <v>10.5</v>
      </c>
      <c r="AL641">
        <v>10</v>
      </c>
      <c r="AM641">
        <v>12.4</v>
      </c>
      <c r="AN641">
        <v>9</v>
      </c>
      <c r="AO641">
        <v>11.7</v>
      </c>
      <c r="AP641">
        <v>10</v>
      </c>
      <c r="AQ641">
        <v>12.1</v>
      </c>
      <c r="AR641">
        <v>10</v>
      </c>
      <c r="AS641">
        <v>11.1</v>
      </c>
      <c r="AT641">
        <v>10</v>
      </c>
      <c r="AU641">
        <v>19.8</v>
      </c>
      <c r="AV641">
        <v>19</v>
      </c>
      <c r="AW641">
        <v>20.8</v>
      </c>
      <c r="AX641">
        <v>19</v>
      </c>
      <c r="AY641">
        <v>10.4</v>
      </c>
      <c r="AZ641">
        <v>10</v>
      </c>
      <c r="BA641">
        <v>11.4</v>
      </c>
      <c r="BB641">
        <v>10</v>
      </c>
    </row>
    <row r="642" spans="1:54" x14ac:dyDescent="0.35">
      <c r="A642" s="1">
        <v>46059.907638888886</v>
      </c>
      <c r="B642">
        <v>22.8</v>
      </c>
      <c r="C642">
        <v>3</v>
      </c>
      <c r="D642">
        <v>21.5</v>
      </c>
      <c r="E642">
        <v>2</v>
      </c>
      <c r="F642">
        <v>10.1</v>
      </c>
      <c r="G642">
        <v>13.4</v>
      </c>
      <c r="H642">
        <v>0</v>
      </c>
      <c r="I642">
        <v>16</v>
      </c>
      <c r="J642">
        <v>12.1</v>
      </c>
      <c r="K642">
        <v>0</v>
      </c>
      <c r="L642">
        <v>13.7</v>
      </c>
      <c r="M642">
        <v>16.899999999999999</v>
      </c>
      <c r="N642">
        <v>0</v>
      </c>
      <c r="O642">
        <v>15.7</v>
      </c>
      <c r="P642">
        <v>11.6</v>
      </c>
      <c r="Q642">
        <v>0</v>
      </c>
      <c r="R642">
        <v>11.2</v>
      </c>
      <c r="S642">
        <v>14.5</v>
      </c>
      <c r="T642">
        <v>0</v>
      </c>
      <c r="U642">
        <v>-19.8</v>
      </c>
      <c r="V642">
        <v>-22.2</v>
      </c>
      <c r="W642">
        <v>-22</v>
      </c>
      <c r="X642">
        <v>-20.2</v>
      </c>
      <c r="Y642">
        <v>-18.600000000000001</v>
      </c>
      <c r="Z642">
        <v>-22</v>
      </c>
      <c r="AA642">
        <v>-3.4</v>
      </c>
      <c r="AB642">
        <v>-3.4</v>
      </c>
      <c r="AC642">
        <v>-5</v>
      </c>
      <c r="AD642">
        <v>12.2</v>
      </c>
      <c r="AE642">
        <v>10.4</v>
      </c>
      <c r="AF642">
        <v>0</v>
      </c>
      <c r="AG642">
        <v>11</v>
      </c>
      <c r="AH642">
        <v>10</v>
      </c>
      <c r="AI642">
        <v>10.199999999999999</v>
      </c>
      <c r="AJ642">
        <v>10</v>
      </c>
      <c r="AK642">
        <v>10.7</v>
      </c>
      <c r="AL642">
        <v>10</v>
      </c>
      <c r="AM642">
        <v>12.4</v>
      </c>
      <c r="AN642">
        <v>9</v>
      </c>
      <c r="AO642">
        <v>11.8</v>
      </c>
      <c r="AP642">
        <v>10</v>
      </c>
      <c r="AQ642">
        <v>12</v>
      </c>
      <c r="AR642">
        <v>10</v>
      </c>
      <c r="AS642">
        <v>11.3</v>
      </c>
      <c r="AT642">
        <v>10</v>
      </c>
      <c r="AU642">
        <v>19.8</v>
      </c>
      <c r="AV642">
        <v>19</v>
      </c>
      <c r="AW642">
        <v>20.8</v>
      </c>
      <c r="AX642">
        <v>19</v>
      </c>
      <c r="AY642">
        <v>10.7</v>
      </c>
      <c r="AZ642">
        <v>10</v>
      </c>
      <c r="BA642">
        <v>11.6</v>
      </c>
      <c r="BB642">
        <v>10</v>
      </c>
    </row>
    <row r="643" spans="1:54" x14ac:dyDescent="0.35">
      <c r="A643" s="1">
        <v>46059.908333333333</v>
      </c>
      <c r="B643">
        <v>22.8</v>
      </c>
      <c r="C643">
        <v>3</v>
      </c>
      <c r="D643">
        <v>21.5</v>
      </c>
      <c r="E643">
        <v>2</v>
      </c>
      <c r="F643">
        <v>10.1</v>
      </c>
      <c r="G643">
        <v>13.4</v>
      </c>
      <c r="H643">
        <v>0</v>
      </c>
      <c r="I643">
        <v>16</v>
      </c>
      <c r="J643">
        <v>12.1</v>
      </c>
      <c r="K643">
        <v>0</v>
      </c>
      <c r="L643">
        <v>13.7</v>
      </c>
      <c r="M643">
        <v>16.899999999999999</v>
      </c>
      <c r="N643">
        <v>0</v>
      </c>
      <c r="O643">
        <v>15.7</v>
      </c>
      <c r="P643">
        <v>11.6</v>
      </c>
      <c r="Q643">
        <v>0</v>
      </c>
      <c r="R643">
        <v>11.2</v>
      </c>
      <c r="S643">
        <v>14.5</v>
      </c>
      <c r="T643">
        <v>0</v>
      </c>
      <c r="U643">
        <v>-19.8</v>
      </c>
      <c r="V643">
        <v>-22.5</v>
      </c>
      <c r="W643">
        <v>-22</v>
      </c>
      <c r="X643">
        <v>-20.3</v>
      </c>
      <c r="Y643">
        <v>-18.600000000000001</v>
      </c>
      <c r="Z643">
        <v>-22</v>
      </c>
      <c r="AA643">
        <v>-2.8</v>
      </c>
      <c r="AB643">
        <v>-2.9</v>
      </c>
      <c r="AC643">
        <v>-5</v>
      </c>
      <c r="AD643">
        <v>12.2</v>
      </c>
      <c r="AE643">
        <v>10.4</v>
      </c>
      <c r="AF643">
        <v>0</v>
      </c>
      <c r="AG643">
        <v>10.7</v>
      </c>
      <c r="AH643">
        <v>10</v>
      </c>
      <c r="AI643">
        <v>10.4</v>
      </c>
      <c r="AJ643">
        <v>10</v>
      </c>
      <c r="AK643">
        <v>10.9</v>
      </c>
      <c r="AL643">
        <v>10</v>
      </c>
      <c r="AM643">
        <v>12.4</v>
      </c>
      <c r="AN643">
        <v>9</v>
      </c>
      <c r="AO643">
        <v>11.9</v>
      </c>
      <c r="AP643">
        <v>10</v>
      </c>
      <c r="AQ643">
        <v>11.5</v>
      </c>
      <c r="AR643">
        <v>10</v>
      </c>
      <c r="AS643">
        <v>11.6</v>
      </c>
      <c r="AT643">
        <v>10</v>
      </c>
      <c r="AU643">
        <v>19.8</v>
      </c>
      <c r="AV643">
        <v>19</v>
      </c>
      <c r="AW643">
        <v>20.8</v>
      </c>
      <c r="AX643">
        <v>19</v>
      </c>
      <c r="AY643">
        <v>10.9</v>
      </c>
      <c r="AZ643">
        <v>10</v>
      </c>
      <c r="BA643">
        <v>11.9</v>
      </c>
      <c r="BB643">
        <v>10</v>
      </c>
    </row>
    <row r="644" spans="1:54" x14ac:dyDescent="0.35">
      <c r="A644" s="1">
        <v>46059.90902777778</v>
      </c>
      <c r="B644">
        <v>22.8</v>
      </c>
      <c r="C644">
        <v>3</v>
      </c>
      <c r="D644">
        <v>21.5</v>
      </c>
      <c r="E644">
        <v>2</v>
      </c>
      <c r="F644">
        <v>10.1</v>
      </c>
      <c r="G644">
        <v>13.4</v>
      </c>
      <c r="H644">
        <v>0</v>
      </c>
      <c r="I644">
        <v>16</v>
      </c>
      <c r="J644">
        <v>12.1</v>
      </c>
      <c r="K644">
        <v>0</v>
      </c>
      <c r="L644">
        <v>13.7</v>
      </c>
      <c r="M644">
        <v>16.899999999999999</v>
      </c>
      <c r="N644">
        <v>0</v>
      </c>
      <c r="O644">
        <v>15.7</v>
      </c>
      <c r="P644">
        <v>11.6</v>
      </c>
      <c r="Q644">
        <v>0</v>
      </c>
      <c r="R644">
        <v>11.2</v>
      </c>
      <c r="S644">
        <v>14.5</v>
      </c>
      <c r="T644">
        <v>0</v>
      </c>
      <c r="U644">
        <v>-19.8</v>
      </c>
      <c r="V644">
        <v>-22.1</v>
      </c>
      <c r="W644">
        <v>-22</v>
      </c>
      <c r="X644">
        <v>-20.3</v>
      </c>
      <c r="Y644">
        <v>-18.600000000000001</v>
      </c>
      <c r="Z644">
        <v>-22</v>
      </c>
      <c r="AA644">
        <v>-2.8</v>
      </c>
      <c r="AB644">
        <v>-3.9</v>
      </c>
      <c r="AC644">
        <v>-5</v>
      </c>
      <c r="AD644">
        <v>12.2</v>
      </c>
      <c r="AE644">
        <v>10.4</v>
      </c>
      <c r="AF644">
        <v>0</v>
      </c>
      <c r="AG644">
        <v>10.199999999999999</v>
      </c>
      <c r="AH644">
        <v>10</v>
      </c>
      <c r="AI644">
        <v>10.6</v>
      </c>
      <c r="AJ644">
        <v>10</v>
      </c>
      <c r="AK644">
        <v>11</v>
      </c>
      <c r="AL644">
        <v>10</v>
      </c>
      <c r="AM644">
        <v>12.4</v>
      </c>
      <c r="AN644">
        <v>9</v>
      </c>
      <c r="AO644">
        <v>12</v>
      </c>
      <c r="AP644">
        <v>10</v>
      </c>
      <c r="AQ644">
        <v>11.5</v>
      </c>
      <c r="AR644">
        <v>10</v>
      </c>
      <c r="AS644">
        <v>11.7</v>
      </c>
      <c r="AT644">
        <v>10</v>
      </c>
      <c r="AU644">
        <v>19.8</v>
      </c>
      <c r="AV644">
        <v>19</v>
      </c>
      <c r="AW644">
        <v>20.9</v>
      </c>
      <c r="AX644">
        <v>19</v>
      </c>
      <c r="AY644">
        <v>11.3</v>
      </c>
      <c r="AZ644">
        <v>10</v>
      </c>
      <c r="BA644">
        <v>12</v>
      </c>
      <c r="BB644">
        <v>10</v>
      </c>
    </row>
    <row r="645" spans="1:54" x14ac:dyDescent="0.35">
      <c r="A645" s="1">
        <v>46059.909722222219</v>
      </c>
      <c r="B645">
        <v>22.8</v>
      </c>
      <c r="C645">
        <v>3</v>
      </c>
      <c r="D645">
        <v>21.5</v>
      </c>
      <c r="E645">
        <v>2</v>
      </c>
      <c r="F645">
        <v>10.1</v>
      </c>
      <c r="G645">
        <v>13.4</v>
      </c>
      <c r="H645">
        <v>0</v>
      </c>
      <c r="I645">
        <v>16</v>
      </c>
      <c r="J645">
        <v>12.1</v>
      </c>
      <c r="K645">
        <v>0</v>
      </c>
      <c r="L645">
        <v>13.7</v>
      </c>
      <c r="M645">
        <v>16.899999999999999</v>
      </c>
      <c r="N645">
        <v>0</v>
      </c>
      <c r="O645">
        <v>15.7</v>
      </c>
      <c r="P645">
        <v>11.7</v>
      </c>
      <c r="Q645">
        <v>0</v>
      </c>
      <c r="R645">
        <v>11.2</v>
      </c>
      <c r="S645">
        <v>14.5</v>
      </c>
      <c r="T645">
        <v>0</v>
      </c>
      <c r="U645">
        <v>-19.899999999999999</v>
      </c>
      <c r="V645">
        <v>-22.3</v>
      </c>
      <c r="W645">
        <v>-22</v>
      </c>
      <c r="X645">
        <v>-20.3</v>
      </c>
      <c r="Y645">
        <v>-18.600000000000001</v>
      </c>
      <c r="Z645">
        <v>-22</v>
      </c>
      <c r="AA645">
        <v>-3.3</v>
      </c>
      <c r="AB645">
        <v>-5.0999999999999996</v>
      </c>
      <c r="AC645">
        <v>-5</v>
      </c>
      <c r="AD645">
        <v>12.2</v>
      </c>
      <c r="AE645">
        <v>10.4</v>
      </c>
      <c r="AF645">
        <v>0</v>
      </c>
      <c r="AG645">
        <v>9.8000000000000007</v>
      </c>
      <c r="AH645">
        <v>10</v>
      </c>
      <c r="AI645">
        <v>10.7</v>
      </c>
      <c r="AJ645">
        <v>10</v>
      </c>
      <c r="AK645">
        <v>11.1</v>
      </c>
      <c r="AL645">
        <v>10</v>
      </c>
      <c r="AM645">
        <v>12.5</v>
      </c>
      <c r="AN645">
        <v>9</v>
      </c>
      <c r="AO645">
        <v>11.1</v>
      </c>
      <c r="AP645">
        <v>10</v>
      </c>
      <c r="AQ645">
        <v>11.5</v>
      </c>
      <c r="AR645">
        <v>10</v>
      </c>
      <c r="AS645">
        <v>11.9</v>
      </c>
      <c r="AT645">
        <v>10</v>
      </c>
      <c r="AU645">
        <v>19.8</v>
      </c>
      <c r="AV645">
        <v>19</v>
      </c>
      <c r="AW645">
        <v>20.9</v>
      </c>
      <c r="AX645">
        <v>19</v>
      </c>
      <c r="AY645">
        <v>11.4</v>
      </c>
      <c r="AZ645">
        <v>10</v>
      </c>
      <c r="BA645">
        <v>11.3</v>
      </c>
      <c r="BB645">
        <v>10</v>
      </c>
    </row>
    <row r="646" spans="1:54" x14ac:dyDescent="0.35">
      <c r="A646" s="1">
        <v>46059.910416666666</v>
      </c>
      <c r="B646">
        <v>22.8</v>
      </c>
      <c r="C646">
        <v>3</v>
      </c>
      <c r="D646">
        <v>21.5</v>
      </c>
      <c r="E646">
        <v>2</v>
      </c>
      <c r="F646">
        <v>10.1</v>
      </c>
      <c r="G646">
        <v>13.5</v>
      </c>
      <c r="H646">
        <v>0</v>
      </c>
      <c r="I646">
        <v>16</v>
      </c>
      <c r="J646">
        <v>12.2</v>
      </c>
      <c r="K646">
        <v>0</v>
      </c>
      <c r="L646">
        <v>13.7</v>
      </c>
      <c r="M646">
        <v>16.899999999999999</v>
      </c>
      <c r="N646">
        <v>0</v>
      </c>
      <c r="O646">
        <v>15.7</v>
      </c>
      <c r="P646">
        <v>11.7</v>
      </c>
      <c r="Q646">
        <v>0</v>
      </c>
      <c r="R646">
        <v>11.2</v>
      </c>
      <c r="S646">
        <v>14.5</v>
      </c>
      <c r="T646">
        <v>0</v>
      </c>
      <c r="U646">
        <v>-19.899999999999999</v>
      </c>
      <c r="V646">
        <v>-22.2</v>
      </c>
      <c r="W646">
        <v>-22</v>
      </c>
      <c r="X646">
        <v>-20.3</v>
      </c>
      <c r="Y646">
        <v>-18.600000000000001</v>
      </c>
      <c r="Z646">
        <v>-22</v>
      </c>
      <c r="AA646">
        <v>-3.7</v>
      </c>
      <c r="AB646">
        <v>-5.7</v>
      </c>
      <c r="AC646">
        <v>-5</v>
      </c>
      <c r="AD646">
        <v>12.2</v>
      </c>
      <c r="AE646">
        <v>10.4</v>
      </c>
      <c r="AF646">
        <v>0</v>
      </c>
      <c r="AG646">
        <v>9.8000000000000007</v>
      </c>
      <c r="AH646">
        <v>10</v>
      </c>
      <c r="AI646">
        <v>10.9</v>
      </c>
      <c r="AJ646">
        <v>10</v>
      </c>
      <c r="AK646">
        <v>11.1</v>
      </c>
      <c r="AL646">
        <v>10</v>
      </c>
      <c r="AM646">
        <v>12.5</v>
      </c>
      <c r="AN646">
        <v>9</v>
      </c>
      <c r="AO646">
        <v>10.7</v>
      </c>
      <c r="AP646">
        <v>10</v>
      </c>
      <c r="AQ646">
        <v>11.4</v>
      </c>
      <c r="AR646">
        <v>10</v>
      </c>
      <c r="AS646">
        <v>11.3</v>
      </c>
      <c r="AT646">
        <v>10</v>
      </c>
      <c r="AU646">
        <v>19.8</v>
      </c>
      <c r="AV646">
        <v>19</v>
      </c>
      <c r="AW646">
        <v>20.7</v>
      </c>
      <c r="AX646">
        <v>19</v>
      </c>
      <c r="AY646">
        <v>11.7</v>
      </c>
      <c r="AZ646">
        <v>10</v>
      </c>
      <c r="BA646">
        <v>10.5</v>
      </c>
      <c r="BB646">
        <v>10</v>
      </c>
    </row>
    <row r="647" spans="1:54" x14ac:dyDescent="0.35">
      <c r="A647" s="1">
        <v>46059.911111111112</v>
      </c>
      <c r="B647">
        <v>22.9</v>
      </c>
      <c r="C647">
        <v>3</v>
      </c>
      <c r="D647">
        <v>21.5</v>
      </c>
      <c r="E647">
        <v>2</v>
      </c>
      <c r="F647">
        <v>10.1</v>
      </c>
      <c r="G647">
        <v>13.5</v>
      </c>
      <c r="H647">
        <v>0</v>
      </c>
      <c r="I647">
        <v>16</v>
      </c>
      <c r="J647">
        <v>12.2</v>
      </c>
      <c r="K647">
        <v>0</v>
      </c>
      <c r="L647">
        <v>13.7</v>
      </c>
      <c r="M647">
        <v>16.899999999999999</v>
      </c>
      <c r="N647">
        <v>0</v>
      </c>
      <c r="O647">
        <v>15.7</v>
      </c>
      <c r="P647">
        <v>11.7</v>
      </c>
      <c r="Q647">
        <v>0</v>
      </c>
      <c r="R647">
        <v>11.2</v>
      </c>
      <c r="S647">
        <v>14.5</v>
      </c>
      <c r="T647">
        <v>0</v>
      </c>
      <c r="U647">
        <v>-19.899999999999999</v>
      </c>
      <c r="V647">
        <v>-22.2</v>
      </c>
      <c r="W647">
        <v>-22</v>
      </c>
      <c r="X647">
        <v>-20.3</v>
      </c>
      <c r="Y647">
        <v>-18.600000000000001</v>
      </c>
      <c r="Z647">
        <v>-22</v>
      </c>
      <c r="AA647">
        <v>-4.0999999999999996</v>
      </c>
      <c r="AB647">
        <v>-6.4</v>
      </c>
      <c r="AC647">
        <v>-5</v>
      </c>
      <c r="AD647">
        <v>12.2</v>
      </c>
      <c r="AE647">
        <v>10.4</v>
      </c>
      <c r="AF647">
        <v>0</v>
      </c>
      <c r="AG647">
        <v>10</v>
      </c>
      <c r="AH647">
        <v>10</v>
      </c>
      <c r="AI647">
        <v>11</v>
      </c>
      <c r="AJ647">
        <v>10</v>
      </c>
      <c r="AK647">
        <v>11.1</v>
      </c>
      <c r="AL647">
        <v>10</v>
      </c>
      <c r="AM647">
        <v>12.5</v>
      </c>
      <c r="AN647">
        <v>9</v>
      </c>
      <c r="AO647">
        <v>10.6</v>
      </c>
      <c r="AP647">
        <v>10</v>
      </c>
      <c r="AQ647">
        <v>11.4</v>
      </c>
      <c r="AR647">
        <v>10</v>
      </c>
      <c r="AS647">
        <v>9.3000000000000007</v>
      </c>
      <c r="AT647">
        <v>10</v>
      </c>
      <c r="AU647">
        <v>19.8</v>
      </c>
      <c r="AV647">
        <v>19</v>
      </c>
      <c r="AW647">
        <v>20.8</v>
      </c>
      <c r="AX647">
        <v>19</v>
      </c>
      <c r="AY647">
        <v>11.8</v>
      </c>
      <c r="AZ647">
        <v>10</v>
      </c>
      <c r="BA647">
        <v>9.6999999999999993</v>
      </c>
      <c r="BB647">
        <v>10</v>
      </c>
    </row>
    <row r="648" spans="1:54" x14ac:dyDescent="0.35">
      <c r="A648" s="1">
        <v>46059.911805555559</v>
      </c>
      <c r="B648">
        <v>22.9</v>
      </c>
      <c r="C648">
        <v>3</v>
      </c>
      <c r="D648">
        <v>21.5</v>
      </c>
      <c r="E648">
        <v>2</v>
      </c>
      <c r="F648">
        <v>10.1</v>
      </c>
      <c r="G648">
        <v>13.5</v>
      </c>
      <c r="H648">
        <v>0</v>
      </c>
      <c r="I648">
        <v>16</v>
      </c>
      <c r="J648">
        <v>12.2</v>
      </c>
      <c r="K648">
        <v>0</v>
      </c>
      <c r="L648">
        <v>13.7</v>
      </c>
      <c r="M648">
        <v>16.899999999999999</v>
      </c>
      <c r="N648">
        <v>0</v>
      </c>
      <c r="O648">
        <v>15.7</v>
      </c>
      <c r="P648">
        <v>11.7</v>
      </c>
      <c r="Q648">
        <v>0</v>
      </c>
      <c r="R648">
        <v>11.2</v>
      </c>
      <c r="S648">
        <v>14.5</v>
      </c>
      <c r="T648">
        <v>0</v>
      </c>
      <c r="U648">
        <v>-19.899999999999999</v>
      </c>
      <c r="V648">
        <v>-22.3</v>
      </c>
      <c r="W648">
        <v>-22</v>
      </c>
      <c r="X648">
        <v>-20.3</v>
      </c>
      <c r="Y648">
        <v>-18.600000000000001</v>
      </c>
      <c r="Z648">
        <v>-22</v>
      </c>
      <c r="AA648">
        <v>-4.7</v>
      </c>
      <c r="AB648">
        <v>-6.9</v>
      </c>
      <c r="AC648">
        <v>-5</v>
      </c>
      <c r="AD648">
        <v>12.2</v>
      </c>
      <c r="AE648">
        <v>10.4</v>
      </c>
      <c r="AF648">
        <v>0</v>
      </c>
      <c r="AG648">
        <v>10.3</v>
      </c>
      <c r="AH648">
        <v>10</v>
      </c>
      <c r="AI648">
        <v>11.1</v>
      </c>
      <c r="AJ648">
        <v>10</v>
      </c>
      <c r="AK648">
        <v>11.1</v>
      </c>
      <c r="AL648">
        <v>10</v>
      </c>
      <c r="AM648">
        <v>12.4</v>
      </c>
      <c r="AN648">
        <v>9</v>
      </c>
      <c r="AO648">
        <v>10.6</v>
      </c>
      <c r="AP648">
        <v>10</v>
      </c>
      <c r="AQ648">
        <v>11.4</v>
      </c>
      <c r="AR648">
        <v>10</v>
      </c>
      <c r="AS648">
        <v>8.1999999999999993</v>
      </c>
      <c r="AT648">
        <v>10</v>
      </c>
      <c r="AU648">
        <v>19.8</v>
      </c>
      <c r="AV648">
        <v>19</v>
      </c>
      <c r="AW648">
        <v>20.8</v>
      </c>
      <c r="AX648">
        <v>19</v>
      </c>
      <c r="AY648">
        <v>12</v>
      </c>
      <c r="AZ648">
        <v>10</v>
      </c>
      <c r="BA648">
        <v>9.6</v>
      </c>
      <c r="BB648">
        <v>10</v>
      </c>
    </row>
    <row r="649" spans="1:54" x14ac:dyDescent="0.35">
      <c r="A649" s="1">
        <v>46059.912499999999</v>
      </c>
      <c r="B649">
        <v>22.9</v>
      </c>
      <c r="C649">
        <v>3</v>
      </c>
      <c r="D649">
        <v>21.5</v>
      </c>
      <c r="E649">
        <v>2</v>
      </c>
      <c r="F649">
        <v>10.199999999999999</v>
      </c>
      <c r="G649">
        <v>13.5</v>
      </c>
      <c r="H649">
        <v>0</v>
      </c>
      <c r="I649">
        <v>16</v>
      </c>
      <c r="J649">
        <v>12.2</v>
      </c>
      <c r="K649">
        <v>0</v>
      </c>
      <c r="L649">
        <v>13.7</v>
      </c>
      <c r="M649">
        <v>16.899999999999999</v>
      </c>
      <c r="N649">
        <v>0</v>
      </c>
      <c r="O649">
        <v>15.7</v>
      </c>
      <c r="P649">
        <v>11.7</v>
      </c>
      <c r="Q649">
        <v>0</v>
      </c>
      <c r="R649">
        <v>11.2</v>
      </c>
      <c r="S649">
        <v>14.5</v>
      </c>
      <c r="T649">
        <v>0</v>
      </c>
      <c r="U649">
        <v>-19.899999999999999</v>
      </c>
      <c r="V649">
        <v>-22</v>
      </c>
      <c r="W649">
        <v>-22</v>
      </c>
      <c r="X649">
        <v>-20.3</v>
      </c>
      <c r="Y649">
        <v>-18.600000000000001</v>
      </c>
      <c r="Z649">
        <v>-22</v>
      </c>
      <c r="AA649">
        <v>-5</v>
      </c>
      <c r="AB649">
        <v>-7.4</v>
      </c>
      <c r="AC649">
        <v>-5</v>
      </c>
      <c r="AD649">
        <v>12.2</v>
      </c>
      <c r="AE649">
        <v>10.4</v>
      </c>
      <c r="AF649">
        <v>0</v>
      </c>
      <c r="AG649">
        <v>10.5</v>
      </c>
      <c r="AH649">
        <v>10</v>
      </c>
      <c r="AI649">
        <v>11.2</v>
      </c>
      <c r="AJ649">
        <v>10</v>
      </c>
      <c r="AK649">
        <v>11.1</v>
      </c>
      <c r="AL649">
        <v>10</v>
      </c>
      <c r="AM649">
        <v>12.4</v>
      </c>
      <c r="AN649">
        <v>9</v>
      </c>
      <c r="AO649">
        <v>10.4</v>
      </c>
      <c r="AP649">
        <v>10</v>
      </c>
      <c r="AQ649">
        <v>11.4</v>
      </c>
      <c r="AR649">
        <v>10</v>
      </c>
      <c r="AS649">
        <v>8.3000000000000007</v>
      </c>
      <c r="AT649">
        <v>10</v>
      </c>
      <c r="AU649">
        <v>19.8</v>
      </c>
      <c r="AV649">
        <v>19</v>
      </c>
      <c r="AW649">
        <v>20.9</v>
      </c>
      <c r="AX649">
        <v>19</v>
      </c>
      <c r="AY649">
        <v>11.5</v>
      </c>
      <c r="AZ649">
        <v>10</v>
      </c>
      <c r="BA649">
        <v>9.9</v>
      </c>
      <c r="BB649">
        <v>10</v>
      </c>
    </row>
    <row r="650" spans="1:54" x14ac:dyDescent="0.35">
      <c r="A650" s="1">
        <v>46059.913194444445</v>
      </c>
      <c r="B650">
        <v>22.9</v>
      </c>
      <c r="C650">
        <v>3</v>
      </c>
      <c r="D650">
        <v>21.5</v>
      </c>
      <c r="E650">
        <v>2</v>
      </c>
      <c r="F650">
        <v>10.199999999999999</v>
      </c>
      <c r="G650">
        <v>13.5</v>
      </c>
      <c r="H650">
        <v>0</v>
      </c>
      <c r="I650">
        <v>16</v>
      </c>
      <c r="J650">
        <v>12.2</v>
      </c>
      <c r="K650">
        <v>0</v>
      </c>
      <c r="L650">
        <v>13.7</v>
      </c>
      <c r="M650">
        <v>16.899999999999999</v>
      </c>
      <c r="N650">
        <v>0</v>
      </c>
      <c r="O650">
        <v>15.7</v>
      </c>
      <c r="P650">
        <v>11.7</v>
      </c>
      <c r="Q650">
        <v>0</v>
      </c>
      <c r="R650">
        <v>11.2</v>
      </c>
      <c r="S650">
        <v>14.5</v>
      </c>
      <c r="T650">
        <v>0</v>
      </c>
      <c r="U650">
        <v>-19.899999999999999</v>
      </c>
      <c r="V650">
        <v>-22.3</v>
      </c>
      <c r="W650">
        <v>-22</v>
      </c>
      <c r="X650">
        <v>-20.3</v>
      </c>
      <c r="Y650">
        <v>-18.7</v>
      </c>
      <c r="Z650">
        <v>-22</v>
      </c>
      <c r="AA650">
        <v>-5.0999999999999996</v>
      </c>
      <c r="AB650">
        <v>-6.3</v>
      </c>
      <c r="AC650">
        <v>-5</v>
      </c>
      <c r="AD650">
        <v>12.2</v>
      </c>
      <c r="AE650">
        <v>10.4</v>
      </c>
      <c r="AF650">
        <v>0</v>
      </c>
      <c r="AG650">
        <v>10.8</v>
      </c>
      <c r="AH650">
        <v>10</v>
      </c>
      <c r="AI650">
        <v>11.3</v>
      </c>
      <c r="AJ650">
        <v>10</v>
      </c>
      <c r="AK650">
        <v>11.2</v>
      </c>
      <c r="AL650">
        <v>10</v>
      </c>
      <c r="AM650">
        <v>12.3</v>
      </c>
      <c r="AN650">
        <v>9</v>
      </c>
      <c r="AO650">
        <v>10.199999999999999</v>
      </c>
      <c r="AP650">
        <v>10</v>
      </c>
      <c r="AQ650">
        <v>11.3</v>
      </c>
      <c r="AR650">
        <v>10</v>
      </c>
      <c r="AS650">
        <v>8.9</v>
      </c>
      <c r="AT650">
        <v>10</v>
      </c>
      <c r="AU650">
        <v>19.8</v>
      </c>
      <c r="AV650">
        <v>19</v>
      </c>
      <c r="AW650">
        <v>20.9</v>
      </c>
      <c r="AX650">
        <v>19</v>
      </c>
      <c r="AY650">
        <v>10.5</v>
      </c>
      <c r="AZ650">
        <v>10</v>
      </c>
      <c r="BA650">
        <v>10.4</v>
      </c>
      <c r="BB650">
        <v>10</v>
      </c>
    </row>
    <row r="651" spans="1:54" x14ac:dyDescent="0.35">
      <c r="A651" s="1">
        <v>46059.913888888892</v>
      </c>
      <c r="B651">
        <v>22.9</v>
      </c>
      <c r="C651">
        <v>3</v>
      </c>
      <c r="D651">
        <v>21.5</v>
      </c>
      <c r="E651">
        <v>2</v>
      </c>
      <c r="F651">
        <v>10.199999999999999</v>
      </c>
      <c r="G651">
        <v>13.5</v>
      </c>
      <c r="H651">
        <v>0</v>
      </c>
      <c r="I651">
        <v>16</v>
      </c>
      <c r="J651">
        <v>12.2</v>
      </c>
      <c r="K651">
        <v>0</v>
      </c>
      <c r="L651">
        <v>13.7</v>
      </c>
      <c r="M651">
        <v>16.899999999999999</v>
      </c>
      <c r="N651">
        <v>0</v>
      </c>
      <c r="O651">
        <v>15.7</v>
      </c>
      <c r="P651">
        <v>11.7</v>
      </c>
      <c r="Q651">
        <v>0</v>
      </c>
      <c r="R651">
        <v>11.2</v>
      </c>
      <c r="S651">
        <v>14.5</v>
      </c>
      <c r="T651">
        <v>0</v>
      </c>
      <c r="U651">
        <v>-19.899999999999999</v>
      </c>
      <c r="V651">
        <v>-22.2</v>
      </c>
      <c r="W651">
        <v>-22</v>
      </c>
      <c r="X651">
        <v>-20.3</v>
      </c>
      <c r="Y651">
        <v>-18.7</v>
      </c>
      <c r="Z651">
        <v>-22</v>
      </c>
      <c r="AA651">
        <v>-4.2</v>
      </c>
      <c r="AB651">
        <v>-4.5</v>
      </c>
      <c r="AC651">
        <v>-5</v>
      </c>
      <c r="AD651">
        <v>12.2</v>
      </c>
      <c r="AE651">
        <v>10.4</v>
      </c>
      <c r="AF651">
        <v>0</v>
      </c>
      <c r="AG651">
        <v>10.9</v>
      </c>
      <c r="AH651">
        <v>10</v>
      </c>
      <c r="AI651">
        <v>11.4</v>
      </c>
      <c r="AJ651">
        <v>10</v>
      </c>
      <c r="AK651">
        <v>11.2</v>
      </c>
      <c r="AL651">
        <v>10</v>
      </c>
      <c r="AM651">
        <v>12.3</v>
      </c>
      <c r="AN651">
        <v>9</v>
      </c>
      <c r="AO651">
        <v>10</v>
      </c>
      <c r="AP651">
        <v>10</v>
      </c>
      <c r="AQ651">
        <v>11.3</v>
      </c>
      <c r="AR651">
        <v>10</v>
      </c>
      <c r="AS651">
        <v>9.6</v>
      </c>
      <c r="AT651">
        <v>10</v>
      </c>
      <c r="AU651">
        <v>19.8</v>
      </c>
      <c r="AV651">
        <v>19</v>
      </c>
      <c r="AW651">
        <v>20.9</v>
      </c>
      <c r="AX651">
        <v>19</v>
      </c>
      <c r="AY651">
        <v>9.6999999999999993</v>
      </c>
      <c r="AZ651">
        <v>10</v>
      </c>
      <c r="BA651">
        <v>10.8</v>
      </c>
      <c r="BB651">
        <v>10</v>
      </c>
    </row>
    <row r="652" spans="1:54" x14ac:dyDescent="0.35">
      <c r="A652" s="1">
        <v>46059.914583333331</v>
      </c>
      <c r="B652">
        <v>22.9</v>
      </c>
      <c r="C652">
        <v>3</v>
      </c>
      <c r="D652">
        <v>21.5</v>
      </c>
      <c r="E652">
        <v>2</v>
      </c>
      <c r="F652">
        <v>10.199999999999999</v>
      </c>
      <c r="G652">
        <v>13.5</v>
      </c>
      <c r="H652">
        <v>0</v>
      </c>
      <c r="I652">
        <v>16</v>
      </c>
      <c r="J652">
        <v>12.2</v>
      </c>
      <c r="K652">
        <v>0</v>
      </c>
      <c r="L652">
        <v>13.7</v>
      </c>
      <c r="M652">
        <v>16.899999999999999</v>
      </c>
      <c r="N652">
        <v>0</v>
      </c>
      <c r="O652">
        <v>15.7</v>
      </c>
      <c r="P652">
        <v>11.7</v>
      </c>
      <c r="Q652">
        <v>0</v>
      </c>
      <c r="R652">
        <v>11.2</v>
      </c>
      <c r="S652">
        <v>14.5</v>
      </c>
      <c r="T652">
        <v>0</v>
      </c>
      <c r="U652">
        <v>-19.899999999999999</v>
      </c>
      <c r="V652">
        <v>-22.2</v>
      </c>
      <c r="W652">
        <v>-22</v>
      </c>
      <c r="X652">
        <v>-20.399999999999999</v>
      </c>
      <c r="Y652">
        <v>-18.7</v>
      </c>
      <c r="Z652">
        <v>-22</v>
      </c>
      <c r="AA652">
        <v>-3.5</v>
      </c>
      <c r="AB652">
        <v>-3.6</v>
      </c>
      <c r="AC652">
        <v>-5</v>
      </c>
      <c r="AD652">
        <v>12.2</v>
      </c>
      <c r="AE652">
        <v>10.4</v>
      </c>
      <c r="AF652">
        <v>0</v>
      </c>
      <c r="AG652">
        <v>11.1</v>
      </c>
      <c r="AH652">
        <v>10</v>
      </c>
      <c r="AI652">
        <v>11.5</v>
      </c>
      <c r="AJ652">
        <v>10</v>
      </c>
      <c r="AK652">
        <v>11.2</v>
      </c>
      <c r="AL652">
        <v>10</v>
      </c>
      <c r="AM652">
        <v>12.2</v>
      </c>
      <c r="AN652">
        <v>9</v>
      </c>
      <c r="AO652">
        <v>10.3</v>
      </c>
      <c r="AP652">
        <v>10</v>
      </c>
      <c r="AQ652">
        <v>11.1</v>
      </c>
      <c r="AR652">
        <v>10</v>
      </c>
      <c r="AS652">
        <v>10</v>
      </c>
      <c r="AT652">
        <v>10</v>
      </c>
      <c r="AU652">
        <v>19.8</v>
      </c>
      <c r="AV652">
        <v>19</v>
      </c>
      <c r="AW652">
        <v>20.8</v>
      </c>
      <c r="AX652">
        <v>19</v>
      </c>
      <c r="AY652">
        <v>9.6</v>
      </c>
      <c r="AZ652">
        <v>10</v>
      </c>
      <c r="BA652">
        <v>11.2</v>
      </c>
      <c r="BB652">
        <v>10</v>
      </c>
    </row>
    <row r="653" spans="1:54" x14ac:dyDescent="0.35">
      <c r="A653" s="1">
        <v>46059.915277777778</v>
      </c>
      <c r="B653">
        <v>22.9</v>
      </c>
      <c r="C653">
        <v>3</v>
      </c>
      <c r="D653">
        <v>21.5</v>
      </c>
      <c r="E653">
        <v>2</v>
      </c>
      <c r="F653">
        <v>10.199999999999999</v>
      </c>
      <c r="G653">
        <v>13.5</v>
      </c>
      <c r="H653">
        <v>0</v>
      </c>
      <c r="I653">
        <v>16</v>
      </c>
      <c r="J653">
        <v>12.2</v>
      </c>
      <c r="K653">
        <v>0</v>
      </c>
      <c r="L653">
        <v>13.7</v>
      </c>
      <c r="M653">
        <v>16.899999999999999</v>
      </c>
      <c r="N653">
        <v>0</v>
      </c>
      <c r="O653">
        <v>15.7</v>
      </c>
      <c r="P653">
        <v>11.7</v>
      </c>
      <c r="Q653">
        <v>0</v>
      </c>
      <c r="R653">
        <v>11.2</v>
      </c>
      <c r="S653">
        <v>14.5</v>
      </c>
      <c r="T653">
        <v>0</v>
      </c>
      <c r="U653">
        <v>-19.899999999999999</v>
      </c>
      <c r="V653">
        <v>-22.5</v>
      </c>
      <c r="W653">
        <v>-22</v>
      </c>
      <c r="X653">
        <v>-20.399999999999999</v>
      </c>
      <c r="Y653">
        <v>-18.7</v>
      </c>
      <c r="Z653">
        <v>-22</v>
      </c>
      <c r="AA653">
        <v>-2.9</v>
      </c>
      <c r="AB653">
        <v>-2.9</v>
      </c>
      <c r="AC653">
        <v>-5</v>
      </c>
      <c r="AD653">
        <v>12.2</v>
      </c>
      <c r="AE653">
        <v>10.4</v>
      </c>
      <c r="AF653">
        <v>0</v>
      </c>
      <c r="AG653">
        <v>11.2</v>
      </c>
      <c r="AH653">
        <v>10</v>
      </c>
      <c r="AI653">
        <v>11.6</v>
      </c>
      <c r="AJ653">
        <v>10</v>
      </c>
      <c r="AK653">
        <v>11.3</v>
      </c>
      <c r="AL653">
        <v>10</v>
      </c>
      <c r="AM653">
        <v>12.2</v>
      </c>
      <c r="AN653">
        <v>9</v>
      </c>
      <c r="AO653">
        <v>10.9</v>
      </c>
      <c r="AP653">
        <v>10</v>
      </c>
      <c r="AQ653">
        <v>11</v>
      </c>
      <c r="AR653">
        <v>10</v>
      </c>
      <c r="AS653">
        <v>10.3</v>
      </c>
      <c r="AT653">
        <v>10</v>
      </c>
      <c r="AU653">
        <v>19.8</v>
      </c>
      <c r="AV653">
        <v>19</v>
      </c>
      <c r="AW653">
        <v>20.8</v>
      </c>
      <c r="AX653">
        <v>19</v>
      </c>
      <c r="AY653">
        <v>10</v>
      </c>
      <c r="AZ653">
        <v>10</v>
      </c>
      <c r="BA653">
        <v>11.5</v>
      </c>
      <c r="BB653">
        <v>10</v>
      </c>
    </row>
    <row r="654" spans="1:54" x14ac:dyDescent="0.35">
      <c r="A654" s="1">
        <v>46059.915972222225</v>
      </c>
      <c r="B654">
        <v>22.9</v>
      </c>
      <c r="C654">
        <v>3</v>
      </c>
      <c r="D654">
        <v>21.5</v>
      </c>
      <c r="E654">
        <v>2</v>
      </c>
      <c r="F654">
        <v>10.199999999999999</v>
      </c>
      <c r="G654">
        <v>13.5</v>
      </c>
      <c r="H654">
        <v>0</v>
      </c>
      <c r="I654">
        <v>16</v>
      </c>
      <c r="J654">
        <v>12.2</v>
      </c>
      <c r="K654">
        <v>0</v>
      </c>
      <c r="L654">
        <v>13.7</v>
      </c>
      <c r="M654">
        <v>16.899999999999999</v>
      </c>
      <c r="N654">
        <v>0</v>
      </c>
      <c r="O654">
        <v>15.7</v>
      </c>
      <c r="P654">
        <v>11.7</v>
      </c>
      <c r="Q654">
        <v>0</v>
      </c>
      <c r="R654">
        <v>11.2</v>
      </c>
      <c r="S654">
        <v>14.5</v>
      </c>
      <c r="T654">
        <v>0</v>
      </c>
      <c r="U654">
        <v>-19.899999999999999</v>
      </c>
      <c r="V654">
        <v>-22.2</v>
      </c>
      <c r="W654">
        <v>-22</v>
      </c>
      <c r="X654">
        <v>-20.399999999999999</v>
      </c>
      <c r="Y654">
        <v>-18.7</v>
      </c>
      <c r="Z654">
        <v>-22</v>
      </c>
      <c r="AA654">
        <v>-2.8</v>
      </c>
      <c r="AB654">
        <v>-3.9</v>
      </c>
      <c r="AC654">
        <v>-5</v>
      </c>
      <c r="AD654">
        <v>12.3</v>
      </c>
      <c r="AE654">
        <v>10.4</v>
      </c>
      <c r="AF654">
        <v>0</v>
      </c>
      <c r="AG654">
        <v>11.4</v>
      </c>
      <c r="AH654">
        <v>10</v>
      </c>
      <c r="AI654">
        <v>11.7</v>
      </c>
      <c r="AJ654">
        <v>10</v>
      </c>
      <c r="AK654">
        <v>11.4</v>
      </c>
      <c r="AL654">
        <v>10</v>
      </c>
      <c r="AM654">
        <v>12.2</v>
      </c>
      <c r="AN654">
        <v>9</v>
      </c>
      <c r="AO654">
        <v>11.3</v>
      </c>
      <c r="AP654">
        <v>10</v>
      </c>
      <c r="AQ654">
        <v>10.8</v>
      </c>
      <c r="AR654">
        <v>10</v>
      </c>
      <c r="AS654">
        <v>10.6</v>
      </c>
      <c r="AT654">
        <v>10</v>
      </c>
      <c r="AU654">
        <v>19.8</v>
      </c>
      <c r="AV654">
        <v>19</v>
      </c>
      <c r="AW654">
        <v>20.8</v>
      </c>
      <c r="AX654">
        <v>19</v>
      </c>
      <c r="AY654">
        <v>10.3</v>
      </c>
      <c r="AZ654">
        <v>10</v>
      </c>
      <c r="BA654">
        <v>11.7</v>
      </c>
      <c r="BB654">
        <v>10</v>
      </c>
    </row>
    <row r="655" spans="1:54" x14ac:dyDescent="0.35">
      <c r="A655" s="1">
        <v>46059.916666666664</v>
      </c>
      <c r="B655">
        <v>22.9</v>
      </c>
      <c r="C655">
        <v>3</v>
      </c>
      <c r="D655">
        <v>21.5</v>
      </c>
      <c r="E655">
        <v>2</v>
      </c>
      <c r="F655">
        <v>10.199999999999999</v>
      </c>
      <c r="G655">
        <v>13.5</v>
      </c>
      <c r="H655">
        <v>0</v>
      </c>
      <c r="I655">
        <v>16</v>
      </c>
      <c r="J655">
        <v>12.2</v>
      </c>
      <c r="K655">
        <v>0</v>
      </c>
      <c r="L655">
        <v>13.7</v>
      </c>
      <c r="M655">
        <v>16.899999999999999</v>
      </c>
      <c r="N655">
        <v>0</v>
      </c>
      <c r="O655">
        <v>15.7</v>
      </c>
      <c r="P655">
        <v>11.7</v>
      </c>
      <c r="Q655">
        <v>0</v>
      </c>
      <c r="R655">
        <v>11.2</v>
      </c>
      <c r="S655">
        <v>14.5</v>
      </c>
      <c r="T655">
        <v>0</v>
      </c>
      <c r="U655">
        <v>-19.899999999999999</v>
      </c>
      <c r="V655">
        <v>-22.3</v>
      </c>
      <c r="W655">
        <v>-22</v>
      </c>
      <c r="X655">
        <v>-20.399999999999999</v>
      </c>
      <c r="Y655">
        <v>-18.7</v>
      </c>
      <c r="Z655">
        <v>-22</v>
      </c>
      <c r="AA655">
        <v>-3.2</v>
      </c>
      <c r="AB655">
        <v>-4.9000000000000004</v>
      </c>
      <c r="AC655">
        <v>-5</v>
      </c>
      <c r="AD655">
        <v>12.3</v>
      </c>
      <c r="AE655">
        <v>10.4</v>
      </c>
      <c r="AF655">
        <v>0</v>
      </c>
      <c r="AG655">
        <v>11.5</v>
      </c>
      <c r="AH655">
        <v>10</v>
      </c>
      <c r="AI655">
        <v>11.8</v>
      </c>
      <c r="AJ655">
        <v>10</v>
      </c>
      <c r="AK655">
        <v>11.5</v>
      </c>
      <c r="AL655">
        <v>10</v>
      </c>
      <c r="AM655">
        <v>12.2</v>
      </c>
      <c r="AN655">
        <v>9</v>
      </c>
      <c r="AO655">
        <v>11.4</v>
      </c>
      <c r="AP655">
        <v>10</v>
      </c>
      <c r="AQ655">
        <v>10.5</v>
      </c>
      <c r="AR655">
        <v>10</v>
      </c>
      <c r="AS655">
        <v>10.9</v>
      </c>
      <c r="AT655">
        <v>10</v>
      </c>
      <c r="AU655">
        <v>19.8</v>
      </c>
      <c r="AV655">
        <v>19</v>
      </c>
      <c r="AW655">
        <v>20.9</v>
      </c>
      <c r="AX655">
        <v>19</v>
      </c>
      <c r="AY655">
        <v>10.7</v>
      </c>
      <c r="AZ655">
        <v>10</v>
      </c>
      <c r="BA655">
        <v>12</v>
      </c>
      <c r="BB655">
        <v>10</v>
      </c>
    </row>
    <row r="656" spans="1:54" x14ac:dyDescent="0.35">
      <c r="A656" s="1">
        <v>46059.917361111111</v>
      </c>
      <c r="B656">
        <v>22.9</v>
      </c>
      <c r="C656">
        <v>3</v>
      </c>
      <c r="D656">
        <v>21.5</v>
      </c>
      <c r="E656">
        <v>2</v>
      </c>
      <c r="F656">
        <v>10.199999999999999</v>
      </c>
      <c r="G656">
        <v>13.5</v>
      </c>
      <c r="H656">
        <v>0</v>
      </c>
      <c r="I656">
        <v>16</v>
      </c>
      <c r="J656">
        <v>12.2</v>
      </c>
      <c r="K656">
        <v>0</v>
      </c>
      <c r="L656">
        <v>13.7</v>
      </c>
      <c r="M656">
        <v>16.899999999999999</v>
      </c>
      <c r="N656">
        <v>0</v>
      </c>
      <c r="O656">
        <v>15.7</v>
      </c>
      <c r="P656">
        <v>11.7</v>
      </c>
      <c r="Q656">
        <v>0</v>
      </c>
      <c r="R656">
        <v>11.2</v>
      </c>
      <c r="S656">
        <v>14.5</v>
      </c>
      <c r="T656">
        <v>0</v>
      </c>
      <c r="U656">
        <v>-19.899999999999999</v>
      </c>
      <c r="V656">
        <v>-22.2</v>
      </c>
      <c r="W656">
        <v>-22</v>
      </c>
      <c r="X656">
        <v>-20.399999999999999</v>
      </c>
      <c r="Y656">
        <v>-18.7</v>
      </c>
      <c r="Z656">
        <v>-22</v>
      </c>
      <c r="AA656">
        <v>-3.6</v>
      </c>
      <c r="AB656">
        <v>-5.6</v>
      </c>
      <c r="AC656">
        <v>-5</v>
      </c>
      <c r="AD656">
        <v>12.3</v>
      </c>
      <c r="AE656">
        <v>10.4</v>
      </c>
      <c r="AF656">
        <v>0</v>
      </c>
      <c r="AG656">
        <v>11.6</v>
      </c>
      <c r="AH656">
        <v>10</v>
      </c>
      <c r="AI656">
        <v>11.9</v>
      </c>
      <c r="AJ656">
        <v>10</v>
      </c>
      <c r="AK656">
        <v>11.6</v>
      </c>
      <c r="AL656">
        <v>10</v>
      </c>
      <c r="AM656">
        <v>12.2</v>
      </c>
      <c r="AN656">
        <v>9</v>
      </c>
      <c r="AO656">
        <v>11.5</v>
      </c>
      <c r="AP656">
        <v>10</v>
      </c>
      <c r="AQ656">
        <v>10.3</v>
      </c>
      <c r="AR656">
        <v>10</v>
      </c>
      <c r="AS656">
        <v>11.1</v>
      </c>
      <c r="AT656">
        <v>10</v>
      </c>
      <c r="AU656">
        <v>19.8</v>
      </c>
      <c r="AV656">
        <v>19</v>
      </c>
      <c r="AW656">
        <v>20.9</v>
      </c>
      <c r="AX656">
        <v>19</v>
      </c>
      <c r="AY656">
        <v>11</v>
      </c>
      <c r="AZ656">
        <v>10</v>
      </c>
      <c r="BA656">
        <v>12</v>
      </c>
      <c r="BB656">
        <v>10</v>
      </c>
    </row>
    <row r="657" spans="1:54" x14ac:dyDescent="0.35">
      <c r="A657" s="1">
        <v>46059.918055555558</v>
      </c>
      <c r="B657">
        <v>22.9</v>
      </c>
      <c r="C657">
        <v>3</v>
      </c>
      <c r="D657">
        <v>21.5</v>
      </c>
      <c r="E657">
        <v>2</v>
      </c>
      <c r="F657">
        <v>10.199999999999999</v>
      </c>
      <c r="G657">
        <v>13.5</v>
      </c>
      <c r="H657">
        <v>0</v>
      </c>
      <c r="I657">
        <v>16</v>
      </c>
      <c r="J657">
        <v>12.2</v>
      </c>
      <c r="K657">
        <v>0</v>
      </c>
      <c r="L657">
        <v>13.7</v>
      </c>
      <c r="M657">
        <v>16.899999999999999</v>
      </c>
      <c r="N657">
        <v>0</v>
      </c>
      <c r="O657">
        <v>15.7</v>
      </c>
      <c r="P657">
        <v>11.7</v>
      </c>
      <c r="Q657">
        <v>0</v>
      </c>
      <c r="R657">
        <v>11.2</v>
      </c>
      <c r="S657">
        <v>14.5</v>
      </c>
      <c r="T657">
        <v>0</v>
      </c>
      <c r="U657">
        <v>-19.899999999999999</v>
      </c>
      <c r="V657">
        <v>-22.2</v>
      </c>
      <c r="W657">
        <v>-22</v>
      </c>
      <c r="X657">
        <v>-20.399999999999999</v>
      </c>
      <c r="Y657">
        <v>-18.7</v>
      </c>
      <c r="Z657">
        <v>-22</v>
      </c>
      <c r="AA657">
        <v>-4.0999999999999996</v>
      </c>
      <c r="AB657">
        <v>-6.3</v>
      </c>
      <c r="AC657">
        <v>-5</v>
      </c>
      <c r="AD657">
        <v>12.3</v>
      </c>
      <c r="AE657">
        <v>10.4</v>
      </c>
      <c r="AF657">
        <v>0</v>
      </c>
      <c r="AG657">
        <v>11.7</v>
      </c>
      <c r="AH657">
        <v>10</v>
      </c>
      <c r="AI657">
        <v>11.9</v>
      </c>
      <c r="AJ657">
        <v>10</v>
      </c>
      <c r="AK657">
        <v>11.7</v>
      </c>
      <c r="AL657">
        <v>10</v>
      </c>
      <c r="AM657">
        <v>12.2</v>
      </c>
      <c r="AN657">
        <v>9</v>
      </c>
      <c r="AO657">
        <v>11.7</v>
      </c>
      <c r="AP657">
        <v>10</v>
      </c>
      <c r="AQ657">
        <v>10.3</v>
      </c>
      <c r="AR657">
        <v>10</v>
      </c>
      <c r="AS657">
        <v>11.4</v>
      </c>
      <c r="AT657">
        <v>10</v>
      </c>
      <c r="AU657">
        <v>19.8</v>
      </c>
      <c r="AV657">
        <v>19</v>
      </c>
      <c r="AW657">
        <v>20.9</v>
      </c>
      <c r="AX657">
        <v>19</v>
      </c>
      <c r="AY657">
        <v>11.3</v>
      </c>
      <c r="AZ657">
        <v>10</v>
      </c>
      <c r="BA657">
        <v>11.1</v>
      </c>
      <c r="BB657">
        <v>10</v>
      </c>
    </row>
    <row r="658" spans="1:54" x14ac:dyDescent="0.35">
      <c r="A658" s="1">
        <v>46059.918749999997</v>
      </c>
      <c r="B658">
        <v>22.9</v>
      </c>
      <c r="C658">
        <v>3</v>
      </c>
      <c r="D658">
        <v>21.5</v>
      </c>
      <c r="E658">
        <v>2</v>
      </c>
      <c r="F658">
        <v>10.199999999999999</v>
      </c>
      <c r="G658">
        <v>13.5</v>
      </c>
      <c r="H658">
        <v>0</v>
      </c>
      <c r="I658">
        <v>16</v>
      </c>
      <c r="J658">
        <v>12.2</v>
      </c>
      <c r="K658">
        <v>0</v>
      </c>
      <c r="L658">
        <v>13.7</v>
      </c>
      <c r="M658">
        <v>16.899999999999999</v>
      </c>
      <c r="N658">
        <v>0</v>
      </c>
      <c r="O658">
        <v>15.7</v>
      </c>
      <c r="P658">
        <v>11.7</v>
      </c>
      <c r="Q658">
        <v>0</v>
      </c>
      <c r="R658">
        <v>11.3</v>
      </c>
      <c r="S658">
        <v>14.5</v>
      </c>
      <c r="T658">
        <v>0</v>
      </c>
      <c r="U658">
        <v>-19.899999999999999</v>
      </c>
      <c r="V658">
        <v>-22.5</v>
      </c>
      <c r="W658">
        <v>-22</v>
      </c>
      <c r="X658">
        <v>-20.399999999999999</v>
      </c>
      <c r="Y658">
        <v>-18.7</v>
      </c>
      <c r="Z658">
        <v>-22</v>
      </c>
      <c r="AA658">
        <v>-4.5</v>
      </c>
      <c r="AB658">
        <v>-6.8</v>
      </c>
      <c r="AC658">
        <v>-5</v>
      </c>
      <c r="AD658">
        <v>12.3</v>
      </c>
      <c r="AE658">
        <v>10.4</v>
      </c>
      <c r="AF658">
        <v>0</v>
      </c>
      <c r="AG658">
        <v>11.8</v>
      </c>
      <c r="AH658">
        <v>10</v>
      </c>
      <c r="AI658">
        <v>11.9</v>
      </c>
      <c r="AJ658">
        <v>10</v>
      </c>
      <c r="AK658">
        <v>11.7</v>
      </c>
      <c r="AL658">
        <v>10</v>
      </c>
      <c r="AM658">
        <v>12.3</v>
      </c>
      <c r="AN658">
        <v>9</v>
      </c>
      <c r="AO658">
        <v>11.8</v>
      </c>
      <c r="AP658">
        <v>10</v>
      </c>
      <c r="AQ658">
        <v>10.199999999999999</v>
      </c>
      <c r="AR658">
        <v>10</v>
      </c>
      <c r="AS658">
        <v>11.6</v>
      </c>
      <c r="AT658">
        <v>10</v>
      </c>
      <c r="AU658">
        <v>19.899999999999999</v>
      </c>
      <c r="AV658">
        <v>19</v>
      </c>
      <c r="AW658">
        <v>21</v>
      </c>
      <c r="AX658">
        <v>19</v>
      </c>
      <c r="AY658">
        <v>11.5</v>
      </c>
      <c r="AZ658">
        <v>10</v>
      </c>
      <c r="BA658">
        <v>10.1</v>
      </c>
      <c r="BB658">
        <v>10</v>
      </c>
    </row>
    <row r="659" spans="1:54" x14ac:dyDescent="0.35">
      <c r="A659" s="1">
        <v>46059.919444444444</v>
      </c>
      <c r="B659">
        <v>22.9</v>
      </c>
      <c r="C659">
        <v>3</v>
      </c>
      <c r="D659">
        <v>21.5</v>
      </c>
      <c r="E659">
        <v>2</v>
      </c>
      <c r="F659">
        <v>10.199999999999999</v>
      </c>
      <c r="G659">
        <v>13.5</v>
      </c>
      <c r="H659">
        <v>0</v>
      </c>
      <c r="I659">
        <v>16</v>
      </c>
      <c r="J659">
        <v>12.2</v>
      </c>
      <c r="K659">
        <v>0</v>
      </c>
      <c r="L659">
        <v>13.7</v>
      </c>
      <c r="M659">
        <v>16.899999999999999</v>
      </c>
      <c r="N659">
        <v>0</v>
      </c>
      <c r="O659">
        <v>15.7</v>
      </c>
      <c r="P659">
        <v>11.7</v>
      </c>
      <c r="Q659">
        <v>0</v>
      </c>
      <c r="R659">
        <v>11.3</v>
      </c>
      <c r="S659">
        <v>14.5</v>
      </c>
      <c r="T659">
        <v>0</v>
      </c>
      <c r="U659">
        <v>-19.899999999999999</v>
      </c>
      <c r="V659">
        <v>-22.1</v>
      </c>
      <c r="W659">
        <v>-22</v>
      </c>
      <c r="X659">
        <v>-20.399999999999999</v>
      </c>
      <c r="Y659">
        <v>-18.7</v>
      </c>
      <c r="Z659">
        <v>-22</v>
      </c>
      <c r="AA659">
        <v>-5</v>
      </c>
      <c r="AB659">
        <v>-7.3</v>
      </c>
      <c r="AC659">
        <v>-5</v>
      </c>
      <c r="AD659">
        <v>12.3</v>
      </c>
      <c r="AE659">
        <v>10.4</v>
      </c>
      <c r="AF659">
        <v>0</v>
      </c>
      <c r="AG659">
        <v>11.9</v>
      </c>
      <c r="AH659">
        <v>10</v>
      </c>
      <c r="AI659">
        <v>10.4</v>
      </c>
      <c r="AJ659">
        <v>10</v>
      </c>
      <c r="AK659">
        <v>11.8</v>
      </c>
      <c r="AL659">
        <v>10</v>
      </c>
      <c r="AM659">
        <v>12.4</v>
      </c>
      <c r="AN659">
        <v>9</v>
      </c>
      <c r="AO659">
        <v>11.8</v>
      </c>
      <c r="AP659">
        <v>10</v>
      </c>
      <c r="AQ659">
        <v>9.9</v>
      </c>
      <c r="AR659">
        <v>10</v>
      </c>
      <c r="AS659">
        <v>11.7</v>
      </c>
      <c r="AT659">
        <v>10</v>
      </c>
      <c r="AU659">
        <v>19.899999999999999</v>
      </c>
      <c r="AV659">
        <v>19</v>
      </c>
      <c r="AW659">
        <v>20.6</v>
      </c>
      <c r="AX659">
        <v>19</v>
      </c>
      <c r="AY659">
        <v>11.6</v>
      </c>
      <c r="AZ659">
        <v>10</v>
      </c>
      <c r="BA659">
        <v>9.6999999999999993</v>
      </c>
      <c r="BB659">
        <v>10</v>
      </c>
    </row>
    <row r="660" spans="1:54" x14ac:dyDescent="0.35">
      <c r="A660" s="1">
        <v>46059.920138888891</v>
      </c>
      <c r="B660">
        <v>22.9</v>
      </c>
      <c r="C660">
        <v>3</v>
      </c>
      <c r="D660">
        <v>21.5</v>
      </c>
      <c r="E660">
        <v>2</v>
      </c>
      <c r="F660">
        <v>10.199999999999999</v>
      </c>
      <c r="G660">
        <v>13.5</v>
      </c>
      <c r="H660">
        <v>0</v>
      </c>
      <c r="I660">
        <v>16</v>
      </c>
      <c r="J660">
        <v>12.2</v>
      </c>
      <c r="K660">
        <v>0</v>
      </c>
      <c r="L660">
        <v>13.7</v>
      </c>
      <c r="M660">
        <v>16.899999999999999</v>
      </c>
      <c r="N660">
        <v>0</v>
      </c>
      <c r="O660">
        <v>15.7</v>
      </c>
      <c r="P660">
        <v>11.7</v>
      </c>
      <c r="Q660">
        <v>0</v>
      </c>
      <c r="R660">
        <v>11.3</v>
      </c>
      <c r="S660">
        <v>14.5</v>
      </c>
      <c r="T660">
        <v>0</v>
      </c>
      <c r="U660">
        <v>-19.899999999999999</v>
      </c>
      <c r="V660">
        <v>-22.2</v>
      </c>
      <c r="W660">
        <v>-22</v>
      </c>
      <c r="X660">
        <v>-20.399999999999999</v>
      </c>
      <c r="Y660">
        <v>-18.7</v>
      </c>
      <c r="Z660">
        <v>-22</v>
      </c>
      <c r="AA660">
        <v>-5.0999999999999996</v>
      </c>
      <c r="AB660">
        <v>-6.4</v>
      </c>
      <c r="AC660">
        <v>-5</v>
      </c>
      <c r="AD660">
        <v>12.3</v>
      </c>
      <c r="AE660">
        <v>10.4</v>
      </c>
      <c r="AF660">
        <v>0</v>
      </c>
      <c r="AG660">
        <v>12</v>
      </c>
      <c r="AH660">
        <v>10</v>
      </c>
      <c r="AI660">
        <v>8.8000000000000007</v>
      </c>
      <c r="AJ660">
        <v>10</v>
      </c>
      <c r="AK660">
        <v>11.9</v>
      </c>
      <c r="AL660">
        <v>10</v>
      </c>
      <c r="AM660">
        <v>12.4</v>
      </c>
      <c r="AN660">
        <v>9</v>
      </c>
      <c r="AO660">
        <v>11.8</v>
      </c>
      <c r="AP660">
        <v>10</v>
      </c>
      <c r="AQ660">
        <v>10.199999999999999</v>
      </c>
      <c r="AR660">
        <v>10</v>
      </c>
      <c r="AS660">
        <v>11.9</v>
      </c>
      <c r="AT660">
        <v>10</v>
      </c>
      <c r="AU660">
        <v>19.5</v>
      </c>
      <c r="AV660">
        <v>19</v>
      </c>
      <c r="AW660">
        <v>20.2</v>
      </c>
      <c r="AX660">
        <v>19</v>
      </c>
      <c r="AY660">
        <v>11.8</v>
      </c>
      <c r="AZ660">
        <v>10</v>
      </c>
      <c r="BA660">
        <v>9.6999999999999993</v>
      </c>
      <c r="BB660">
        <v>10</v>
      </c>
    </row>
    <row r="661" spans="1:54" x14ac:dyDescent="0.35">
      <c r="A661" s="1">
        <v>46059.92083333333</v>
      </c>
      <c r="B661">
        <v>22.9</v>
      </c>
      <c r="C661">
        <v>3</v>
      </c>
      <c r="D661">
        <v>21.6</v>
      </c>
      <c r="E661">
        <v>2</v>
      </c>
      <c r="F661">
        <v>10.199999999999999</v>
      </c>
      <c r="G661">
        <v>13.5</v>
      </c>
      <c r="H661">
        <v>0</v>
      </c>
      <c r="I661">
        <v>16</v>
      </c>
      <c r="J661">
        <v>12.2</v>
      </c>
      <c r="K661">
        <v>0</v>
      </c>
      <c r="L661">
        <v>13.7</v>
      </c>
      <c r="M661">
        <v>16.899999999999999</v>
      </c>
      <c r="N661">
        <v>0</v>
      </c>
      <c r="O661">
        <v>15.7</v>
      </c>
      <c r="P661">
        <v>11.7</v>
      </c>
      <c r="Q661">
        <v>0</v>
      </c>
      <c r="R661">
        <v>11.3</v>
      </c>
      <c r="S661">
        <v>14.5</v>
      </c>
      <c r="T661">
        <v>0</v>
      </c>
      <c r="U661">
        <v>-19.899999999999999</v>
      </c>
      <c r="V661">
        <v>-22.3</v>
      </c>
      <c r="W661">
        <v>-22</v>
      </c>
      <c r="X661">
        <v>-20.399999999999999</v>
      </c>
      <c r="Y661">
        <v>-18.7</v>
      </c>
      <c r="Z661">
        <v>-22</v>
      </c>
      <c r="AA661">
        <v>-4.4000000000000004</v>
      </c>
      <c r="AB661">
        <v>-4.8</v>
      </c>
      <c r="AC661">
        <v>-5</v>
      </c>
      <c r="AD661">
        <v>12.3</v>
      </c>
      <c r="AE661">
        <v>10.4</v>
      </c>
      <c r="AF661">
        <v>0</v>
      </c>
      <c r="AG661">
        <v>11.9</v>
      </c>
      <c r="AH661">
        <v>10</v>
      </c>
      <c r="AI661">
        <v>8.6</v>
      </c>
      <c r="AJ661">
        <v>10</v>
      </c>
      <c r="AK661">
        <v>12</v>
      </c>
      <c r="AL661">
        <v>10</v>
      </c>
      <c r="AM661">
        <v>12.5</v>
      </c>
      <c r="AN661">
        <v>9</v>
      </c>
      <c r="AO661">
        <v>11.8</v>
      </c>
      <c r="AP661">
        <v>10</v>
      </c>
      <c r="AQ661">
        <v>10.7</v>
      </c>
      <c r="AR661">
        <v>10</v>
      </c>
      <c r="AS661">
        <v>11.5</v>
      </c>
      <c r="AT661">
        <v>10</v>
      </c>
      <c r="AU661">
        <v>19.3</v>
      </c>
      <c r="AV661">
        <v>19</v>
      </c>
      <c r="AW661">
        <v>19.899999999999999</v>
      </c>
      <c r="AX661">
        <v>19</v>
      </c>
      <c r="AY661">
        <v>12</v>
      </c>
      <c r="AZ661">
        <v>10</v>
      </c>
      <c r="BA661">
        <v>10.199999999999999</v>
      </c>
      <c r="BB661">
        <v>10</v>
      </c>
    </row>
    <row r="662" spans="1:54" x14ac:dyDescent="0.35">
      <c r="A662" s="1">
        <v>46059.921527777777</v>
      </c>
      <c r="B662">
        <v>22.9</v>
      </c>
      <c r="C662">
        <v>3</v>
      </c>
      <c r="D662">
        <v>21.6</v>
      </c>
      <c r="E662">
        <v>2</v>
      </c>
      <c r="F662">
        <v>10.199999999999999</v>
      </c>
      <c r="G662">
        <v>13.5</v>
      </c>
      <c r="H662">
        <v>0</v>
      </c>
      <c r="I662">
        <v>16</v>
      </c>
      <c r="J662">
        <v>12.2</v>
      </c>
      <c r="K662">
        <v>0</v>
      </c>
      <c r="L662">
        <v>13.7</v>
      </c>
      <c r="M662">
        <v>16.899999999999999</v>
      </c>
      <c r="N662">
        <v>0</v>
      </c>
      <c r="O662">
        <v>15.7</v>
      </c>
      <c r="P662">
        <v>11.7</v>
      </c>
      <c r="Q662">
        <v>0</v>
      </c>
      <c r="R662">
        <v>11.3</v>
      </c>
      <c r="S662">
        <v>14.5</v>
      </c>
      <c r="T662">
        <v>0</v>
      </c>
      <c r="U662">
        <v>-20</v>
      </c>
      <c r="V662">
        <v>-22.3</v>
      </c>
      <c r="W662">
        <v>-22</v>
      </c>
      <c r="X662">
        <v>-20.399999999999999</v>
      </c>
      <c r="Y662">
        <v>-18.7</v>
      </c>
      <c r="Z662">
        <v>-22</v>
      </c>
      <c r="AA662">
        <v>-3.5</v>
      </c>
      <c r="AB662">
        <v>-3.6</v>
      </c>
      <c r="AC662">
        <v>-5</v>
      </c>
      <c r="AD662">
        <v>12.3</v>
      </c>
      <c r="AE662">
        <v>10.4</v>
      </c>
      <c r="AF662">
        <v>0</v>
      </c>
      <c r="AG662">
        <v>11.2</v>
      </c>
      <c r="AH662">
        <v>10</v>
      </c>
      <c r="AI662">
        <v>8.8000000000000007</v>
      </c>
      <c r="AJ662">
        <v>10</v>
      </c>
      <c r="AK662">
        <v>11.4</v>
      </c>
      <c r="AL662">
        <v>10</v>
      </c>
      <c r="AM662">
        <v>12.5</v>
      </c>
      <c r="AN662">
        <v>9</v>
      </c>
      <c r="AO662">
        <v>11.9</v>
      </c>
      <c r="AP662">
        <v>10</v>
      </c>
      <c r="AQ662">
        <v>11.5</v>
      </c>
      <c r="AR662">
        <v>10</v>
      </c>
      <c r="AS662">
        <v>10.3</v>
      </c>
      <c r="AT662">
        <v>10</v>
      </c>
      <c r="AU662">
        <v>19.100000000000001</v>
      </c>
      <c r="AV662">
        <v>19</v>
      </c>
      <c r="AW662">
        <v>19.7</v>
      </c>
      <c r="AX662">
        <v>19</v>
      </c>
      <c r="AY662">
        <v>11.5</v>
      </c>
      <c r="AZ662">
        <v>10</v>
      </c>
      <c r="BA662">
        <v>10.6</v>
      </c>
      <c r="BB662">
        <v>10</v>
      </c>
    </row>
    <row r="663" spans="1:54" x14ac:dyDescent="0.35">
      <c r="A663" s="1">
        <v>46059.922222222223</v>
      </c>
      <c r="B663">
        <v>22.9</v>
      </c>
      <c r="C663">
        <v>3</v>
      </c>
      <c r="D663">
        <v>21.6</v>
      </c>
      <c r="E663">
        <v>2</v>
      </c>
      <c r="F663">
        <v>10.199999999999999</v>
      </c>
      <c r="G663">
        <v>13.5</v>
      </c>
      <c r="H663">
        <v>0</v>
      </c>
      <c r="I663">
        <v>16</v>
      </c>
      <c r="J663">
        <v>12.2</v>
      </c>
      <c r="K663">
        <v>0</v>
      </c>
      <c r="L663">
        <v>13.7</v>
      </c>
      <c r="M663">
        <v>16.899999999999999</v>
      </c>
      <c r="N663">
        <v>0</v>
      </c>
      <c r="O663">
        <v>15.7</v>
      </c>
      <c r="P663">
        <v>11.7</v>
      </c>
      <c r="Q663">
        <v>0</v>
      </c>
      <c r="R663">
        <v>11.3</v>
      </c>
      <c r="S663">
        <v>14.5</v>
      </c>
      <c r="T663">
        <v>0</v>
      </c>
      <c r="U663">
        <v>-20</v>
      </c>
      <c r="V663">
        <v>-22.6</v>
      </c>
      <c r="W663">
        <v>-22</v>
      </c>
      <c r="X663">
        <v>-20.399999999999999</v>
      </c>
      <c r="Y663">
        <v>-18.7</v>
      </c>
      <c r="Z663">
        <v>-22</v>
      </c>
      <c r="AA663">
        <v>-2.9</v>
      </c>
      <c r="AB663">
        <v>-2.9</v>
      </c>
      <c r="AC663">
        <v>-5</v>
      </c>
      <c r="AD663">
        <v>12.3</v>
      </c>
      <c r="AE663">
        <v>10.4</v>
      </c>
      <c r="AF663">
        <v>0</v>
      </c>
      <c r="AG663">
        <v>10.6</v>
      </c>
      <c r="AH663">
        <v>10</v>
      </c>
      <c r="AI663">
        <v>9.1</v>
      </c>
      <c r="AJ663">
        <v>10</v>
      </c>
      <c r="AK663">
        <v>10.3</v>
      </c>
      <c r="AL663">
        <v>10</v>
      </c>
      <c r="AM663">
        <v>12.5</v>
      </c>
      <c r="AN663">
        <v>9</v>
      </c>
      <c r="AO663">
        <v>12</v>
      </c>
      <c r="AP663">
        <v>10</v>
      </c>
      <c r="AQ663">
        <v>12.1</v>
      </c>
      <c r="AR663">
        <v>10</v>
      </c>
      <c r="AS663">
        <v>8.9</v>
      </c>
      <c r="AT663">
        <v>10</v>
      </c>
      <c r="AU663">
        <v>19</v>
      </c>
      <c r="AV663">
        <v>19</v>
      </c>
      <c r="AW663">
        <v>19.600000000000001</v>
      </c>
      <c r="AX663">
        <v>19</v>
      </c>
      <c r="AY663">
        <v>10.5</v>
      </c>
      <c r="AZ663">
        <v>10</v>
      </c>
      <c r="BA663">
        <v>11</v>
      </c>
      <c r="BB663">
        <v>10</v>
      </c>
    </row>
    <row r="664" spans="1:54" x14ac:dyDescent="0.35">
      <c r="A664" s="1">
        <v>46059.92291666667</v>
      </c>
      <c r="B664">
        <v>22.9</v>
      </c>
      <c r="C664">
        <v>3</v>
      </c>
      <c r="D664">
        <v>21.6</v>
      </c>
      <c r="E664">
        <v>2</v>
      </c>
      <c r="F664">
        <v>10.199999999999999</v>
      </c>
      <c r="G664">
        <v>13.5</v>
      </c>
      <c r="H664">
        <v>0</v>
      </c>
      <c r="I664">
        <v>16</v>
      </c>
      <c r="J664">
        <v>12.2</v>
      </c>
      <c r="K664">
        <v>0</v>
      </c>
      <c r="L664">
        <v>13.7</v>
      </c>
      <c r="M664">
        <v>16.899999999999999</v>
      </c>
      <c r="N664">
        <v>0</v>
      </c>
      <c r="O664">
        <v>15.7</v>
      </c>
      <c r="P664">
        <v>11.7</v>
      </c>
      <c r="Q664">
        <v>0</v>
      </c>
      <c r="R664">
        <v>11.3</v>
      </c>
      <c r="S664">
        <v>14.5</v>
      </c>
      <c r="T664">
        <v>0</v>
      </c>
      <c r="U664">
        <v>-20</v>
      </c>
      <c r="V664">
        <v>-22.2</v>
      </c>
      <c r="W664">
        <v>-22</v>
      </c>
      <c r="X664">
        <v>-20.399999999999999</v>
      </c>
      <c r="Y664">
        <v>-18.7</v>
      </c>
      <c r="Z664">
        <v>-22</v>
      </c>
      <c r="AA664">
        <v>-2.8</v>
      </c>
      <c r="AB664">
        <v>-3.6</v>
      </c>
      <c r="AC664">
        <v>-5</v>
      </c>
      <c r="AD664">
        <v>12.3</v>
      </c>
      <c r="AE664">
        <v>10.4</v>
      </c>
      <c r="AF664">
        <v>0</v>
      </c>
      <c r="AG664">
        <v>10.3</v>
      </c>
      <c r="AH664">
        <v>10</v>
      </c>
      <c r="AI664">
        <v>9.5</v>
      </c>
      <c r="AJ664">
        <v>10</v>
      </c>
      <c r="AK664">
        <v>9.5</v>
      </c>
      <c r="AL664">
        <v>10</v>
      </c>
      <c r="AM664">
        <v>12.6</v>
      </c>
      <c r="AN664">
        <v>9</v>
      </c>
      <c r="AO664">
        <v>11.4</v>
      </c>
      <c r="AP664">
        <v>10</v>
      </c>
      <c r="AQ664">
        <v>12.2</v>
      </c>
      <c r="AR664">
        <v>10</v>
      </c>
      <c r="AS664">
        <v>9</v>
      </c>
      <c r="AT664">
        <v>10</v>
      </c>
      <c r="AU664">
        <v>19</v>
      </c>
      <c r="AV664">
        <v>19</v>
      </c>
      <c r="AW664">
        <v>19.5</v>
      </c>
      <c r="AX664">
        <v>19</v>
      </c>
      <c r="AY664">
        <v>9.6999999999999993</v>
      </c>
      <c r="AZ664">
        <v>10</v>
      </c>
      <c r="BA664">
        <v>11.3</v>
      </c>
      <c r="BB664">
        <v>10</v>
      </c>
    </row>
    <row r="665" spans="1:54" x14ac:dyDescent="0.35">
      <c r="A665" s="1">
        <v>46059.923611111109</v>
      </c>
      <c r="B665">
        <v>22.9</v>
      </c>
      <c r="C665">
        <v>3</v>
      </c>
      <c r="D665">
        <v>21.6</v>
      </c>
      <c r="E665">
        <v>2</v>
      </c>
      <c r="F665">
        <v>10.199999999999999</v>
      </c>
      <c r="G665">
        <v>13.5</v>
      </c>
      <c r="H665">
        <v>0</v>
      </c>
      <c r="I665">
        <v>16</v>
      </c>
      <c r="J665">
        <v>12.2</v>
      </c>
      <c r="K665">
        <v>0</v>
      </c>
      <c r="L665">
        <v>13.7</v>
      </c>
      <c r="M665">
        <v>16.899999999999999</v>
      </c>
      <c r="N665">
        <v>0</v>
      </c>
      <c r="O665">
        <v>15.7</v>
      </c>
      <c r="P665">
        <v>11.7</v>
      </c>
      <c r="Q665">
        <v>0</v>
      </c>
      <c r="R665">
        <v>11.3</v>
      </c>
      <c r="S665">
        <v>14.5</v>
      </c>
      <c r="T665">
        <v>0</v>
      </c>
      <c r="U665">
        <v>-20</v>
      </c>
      <c r="V665">
        <v>-22.3</v>
      </c>
      <c r="W665">
        <v>-22</v>
      </c>
      <c r="X665">
        <v>-20.399999999999999</v>
      </c>
      <c r="Y665">
        <v>-18.8</v>
      </c>
      <c r="Z665">
        <v>-22</v>
      </c>
      <c r="AA665">
        <v>-3.1</v>
      </c>
      <c r="AB665">
        <v>-4.8</v>
      </c>
      <c r="AC665">
        <v>-5</v>
      </c>
      <c r="AD665">
        <v>12.3</v>
      </c>
      <c r="AE665">
        <v>10.4</v>
      </c>
      <c r="AF665">
        <v>0</v>
      </c>
      <c r="AG665">
        <v>10.1</v>
      </c>
      <c r="AH665">
        <v>10</v>
      </c>
      <c r="AI665">
        <v>9.6999999999999993</v>
      </c>
      <c r="AJ665">
        <v>10</v>
      </c>
      <c r="AK665">
        <v>9.6</v>
      </c>
      <c r="AL665">
        <v>10</v>
      </c>
      <c r="AM665">
        <v>12.6</v>
      </c>
      <c r="AN665">
        <v>9</v>
      </c>
      <c r="AO665">
        <v>10.8</v>
      </c>
      <c r="AP665">
        <v>10</v>
      </c>
      <c r="AQ665">
        <v>12.2</v>
      </c>
      <c r="AR665">
        <v>10</v>
      </c>
      <c r="AS665">
        <v>9.6</v>
      </c>
      <c r="AT665">
        <v>10</v>
      </c>
      <c r="AU665">
        <v>18.899999999999999</v>
      </c>
      <c r="AV665">
        <v>19</v>
      </c>
      <c r="AW665">
        <v>19.399999999999999</v>
      </c>
      <c r="AX665">
        <v>19</v>
      </c>
      <c r="AY665">
        <v>9.6999999999999993</v>
      </c>
      <c r="AZ665">
        <v>10</v>
      </c>
      <c r="BA665">
        <v>11.6</v>
      </c>
      <c r="BB665">
        <v>10</v>
      </c>
    </row>
    <row r="666" spans="1:54" x14ac:dyDescent="0.35">
      <c r="A666" s="1">
        <v>46059.924305555556</v>
      </c>
      <c r="B666">
        <v>22.9</v>
      </c>
      <c r="C666">
        <v>3</v>
      </c>
      <c r="D666">
        <v>21.6</v>
      </c>
      <c r="E666">
        <v>2</v>
      </c>
      <c r="F666">
        <v>10.199999999999999</v>
      </c>
      <c r="G666">
        <v>13.5</v>
      </c>
      <c r="H666">
        <v>0</v>
      </c>
      <c r="I666">
        <v>16</v>
      </c>
      <c r="J666">
        <v>12.2</v>
      </c>
      <c r="K666">
        <v>0</v>
      </c>
      <c r="L666">
        <v>13.7</v>
      </c>
      <c r="M666">
        <v>16.899999999999999</v>
      </c>
      <c r="N666">
        <v>0</v>
      </c>
      <c r="O666">
        <v>15.7</v>
      </c>
      <c r="P666">
        <v>11.7</v>
      </c>
      <c r="Q666">
        <v>0</v>
      </c>
      <c r="R666">
        <v>11.3</v>
      </c>
      <c r="S666">
        <v>14.5</v>
      </c>
      <c r="T666">
        <v>0</v>
      </c>
      <c r="U666">
        <v>-20</v>
      </c>
      <c r="V666">
        <v>-22.3</v>
      </c>
      <c r="W666">
        <v>-22</v>
      </c>
      <c r="X666">
        <v>-20.399999999999999</v>
      </c>
      <c r="Y666">
        <v>-18.8</v>
      </c>
      <c r="Z666">
        <v>-22</v>
      </c>
      <c r="AA666">
        <v>-3.6</v>
      </c>
      <c r="AB666">
        <v>-5.5</v>
      </c>
      <c r="AC666">
        <v>-5</v>
      </c>
      <c r="AD666">
        <v>12.3</v>
      </c>
      <c r="AE666">
        <v>10.4</v>
      </c>
      <c r="AF666">
        <v>0</v>
      </c>
      <c r="AG666">
        <v>10</v>
      </c>
      <c r="AH666">
        <v>10</v>
      </c>
      <c r="AI666">
        <v>10</v>
      </c>
      <c r="AJ666">
        <v>10</v>
      </c>
      <c r="AK666">
        <v>10</v>
      </c>
      <c r="AL666">
        <v>10</v>
      </c>
      <c r="AM666">
        <v>12.6</v>
      </c>
      <c r="AN666">
        <v>9</v>
      </c>
      <c r="AO666">
        <v>10.7</v>
      </c>
      <c r="AP666">
        <v>10</v>
      </c>
      <c r="AQ666">
        <v>12.1</v>
      </c>
      <c r="AR666">
        <v>10</v>
      </c>
      <c r="AS666">
        <v>10</v>
      </c>
      <c r="AT666">
        <v>10</v>
      </c>
      <c r="AU666">
        <v>18.7</v>
      </c>
      <c r="AV666">
        <v>19</v>
      </c>
      <c r="AW666">
        <v>19.3</v>
      </c>
      <c r="AX666">
        <v>19</v>
      </c>
      <c r="AY666">
        <v>10</v>
      </c>
      <c r="AZ666">
        <v>10</v>
      </c>
      <c r="BA666">
        <v>11.9</v>
      </c>
      <c r="BB666">
        <v>10</v>
      </c>
    </row>
    <row r="667" spans="1:54" x14ac:dyDescent="0.35">
      <c r="A667" s="1">
        <v>46059.925000000003</v>
      </c>
      <c r="B667">
        <v>22.9</v>
      </c>
      <c r="C667">
        <v>3</v>
      </c>
      <c r="D667">
        <v>21.6</v>
      </c>
      <c r="E667">
        <v>2</v>
      </c>
      <c r="F667">
        <v>10.199999999999999</v>
      </c>
      <c r="G667">
        <v>13.5</v>
      </c>
      <c r="H667">
        <v>0</v>
      </c>
      <c r="I667">
        <v>16</v>
      </c>
      <c r="J667">
        <v>12.2</v>
      </c>
      <c r="K667">
        <v>0</v>
      </c>
      <c r="L667">
        <v>13.7</v>
      </c>
      <c r="M667">
        <v>16.899999999999999</v>
      </c>
      <c r="N667">
        <v>0</v>
      </c>
      <c r="O667">
        <v>15.8</v>
      </c>
      <c r="P667">
        <v>11.8</v>
      </c>
      <c r="Q667">
        <v>0</v>
      </c>
      <c r="R667">
        <v>11.3</v>
      </c>
      <c r="S667">
        <v>14.5</v>
      </c>
      <c r="T667">
        <v>0</v>
      </c>
      <c r="U667">
        <v>-20</v>
      </c>
      <c r="V667">
        <v>-22.2</v>
      </c>
      <c r="W667">
        <v>-22</v>
      </c>
      <c r="X667">
        <v>-20.399999999999999</v>
      </c>
      <c r="Y667">
        <v>-18.8</v>
      </c>
      <c r="Z667">
        <v>-22</v>
      </c>
      <c r="AA667">
        <v>-4</v>
      </c>
      <c r="AB667">
        <v>-6.2</v>
      </c>
      <c r="AC667">
        <v>-5</v>
      </c>
      <c r="AD667">
        <v>12.3</v>
      </c>
      <c r="AE667">
        <v>10.4</v>
      </c>
      <c r="AF667">
        <v>0</v>
      </c>
      <c r="AG667">
        <v>10</v>
      </c>
      <c r="AH667">
        <v>10</v>
      </c>
      <c r="AI667">
        <v>10.199999999999999</v>
      </c>
      <c r="AJ667">
        <v>10</v>
      </c>
      <c r="AK667">
        <v>10.4</v>
      </c>
      <c r="AL667">
        <v>10</v>
      </c>
      <c r="AM667">
        <v>12.6</v>
      </c>
      <c r="AN667">
        <v>9</v>
      </c>
      <c r="AO667">
        <v>10.7</v>
      </c>
      <c r="AP667">
        <v>10</v>
      </c>
      <c r="AQ667">
        <v>11.9</v>
      </c>
      <c r="AR667">
        <v>10</v>
      </c>
      <c r="AS667">
        <v>10.4</v>
      </c>
      <c r="AT667">
        <v>10</v>
      </c>
      <c r="AU667">
        <v>18.600000000000001</v>
      </c>
      <c r="AV667">
        <v>19</v>
      </c>
      <c r="AW667">
        <v>19.2</v>
      </c>
      <c r="AX667">
        <v>19</v>
      </c>
      <c r="AY667">
        <v>10.4</v>
      </c>
      <c r="AZ667">
        <v>10</v>
      </c>
      <c r="BA667">
        <v>12</v>
      </c>
      <c r="BB667">
        <v>10</v>
      </c>
    </row>
    <row r="668" spans="1:54" x14ac:dyDescent="0.35">
      <c r="A668" s="1">
        <v>46059.925694444442</v>
      </c>
      <c r="B668">
        <v>22.9</v>
      </c>
      <c r="C668">
        <v>3</v>
      </c>
      <c r="D668">
        <v>21.6</v>
      </c>
      <c r="E668">
        <v>2</v>
      </c>
      <c r="F668">
        <v>10.199999999999999</v>
      </c>
      <c r="G668">
        <v>13.5</v>
      </c>
      <c r="H668">
        <v>0</v>
      </c>
      <c r="I668">
        <v>16</v>
      </c>
      <c r="J668">
        <v>12.3</v>
      </c>
      <c r="K668">
        <v>0</v>
      </c>
      <c r="L668">
        <v>13.7</v>
      </c>
      <c r="M668">
        <v>16.899999999999999</v>
      </c>
      <c r="N668">
        <v>0</v>
      </c>
      <c r="O668">
        <v>15.8</v>
      </c>
      <c r="P668">
        <v>11.8</v>
      </c>
      <c r="Q668">
        <v>0</v>
      </c>
      <c r="R668">
        <v>11.3</v>
      </c>
      <c r="S668">
        <v>14.5</v>
      </c>
      <c r="T668">
        <v>0</v>
      </c>
      <c r="U668">
        <v>-20</v>
      </c>
      <c r="V668">
        <v>-22.5</v>
      </c>
      <c r="W668">
        <v>-22</v>
      </c>
      <c r="X668">
        <v>-20.399999999999999</v>
      </c>
      <c r="Y668">
        <v>-18.8</v>
      </c>
      <c r="Z668">
        <v>-22</v>
      </c>
      <c r="AA668">
        <v>-4.5</v>
      </c>
      <c r="AB668">
        <v>-6.8</v>
      </c>
      <c r="AC668">
        <v>-5</v>
      </c>
      <c r="AD668">
        <v>12.3</v>
      </c>
      <c r="AE668">
        <v>10.4</v>
      </c>
      <c r="AF668">
        <v>0</v>
      </c>
      <c r="AG668">
        <v>10.199999999999999</v>
      </c>
      <c r="AH668">
        <v>10</v>
      </c>
      <c r="AI668">
        <v>10.4</v>
      </c>
      <c r="AJ668">
        <v>10</v>
      </c>
      <c r="AK668">
        <v>10.6</v>
      </c>
      <c r="AL668">
        <v>10</v>
      </c>
      <c r="AM668">
        <v>12.5</v>
      </c>
      <c r="AN668">
        <v>9</v>
      </c>
      <c r="AO668">
        <v>10.6</v>
      </c>
      <c r="AP668">
        <v>10</v>
      </c>
      <c r="AQ668">
        <v>11.8</v>
      </c>
      <c r="AR668">
        <v>10</v>
      </c>
      <c r="AS668">
        <v>10.8</v>
      </c>
      <c r="AT668">
        <v>10</v>
      </c>
      <c r="AU668">
        <v>18.5</v>
      </c>
      <c r="AV668">
        <v>19</v>
      </c>
      <c r="AW668">
        <v>19.100000000000001</v>
      </c>
      <c r="AX668">
        <v>19</v>
      </c>
      <c r="AY668">
        <v>10.7</v>
      </c>
      <c r="AZ668">
        <v>10</v>
      </c>
      <c r="BA668">
        <v>11.6</v>
      </c>
      <c r="BB668">
        <v>10</v>
      </c>
    </row>
    <row r="669" spans="1:54" x14ac:dyDescent="0.35">
      <c r="A669" s="1">
        <v>46059.926388888889</v>
      </c>
      <c r="B669">
        <v>22.9</v>
      </c>
      <c r="C669">
        <v>3</v>
      </c>
      <c r="D669">
        <v>21.6</v>
      </c>
      <c r="E669">
        <v>2</v>
      </c>
      <c r="F669">
        <v>10.199999999999999</v>
      </c>
      <c r="G669">
        <v>13.5</v>
      </c>
      <c r="H669">
        <v>0</v>
      </c>
      <c r="I669">
        <v>16</v>
      </c>
      <c r="J669">
        <v>12.3</v>
      </c>
      <c r="K669">
        <v>0</v>
      </c>
      <c r="L669">
        <v>13.7</v>
      </c>
      <c r="M669">
        <v>16.899999999999999</v>
      </c>
      <c r="N669">
        <v>0</v>
      </c>
      <c r="O669">
        <v>15.8</v>
      </c>
      <c r="P669">
        <v>11.8</v>
      </c>
      <c r="Q669">
        <v>0</v>
      </c>
      <c r="R669">
        <v>11.3</v>
      </c>
      <c r="S669">
        <v>14.5</v>
      </c>
      <c r="T669">
        <v>0</v>
      </c>
      <c r="U669">
        <v>-20</v>
      </c>
      <c r="V669">
        <v>-22.2</v>
      </c>
      <c r="W669">
        <v>-22</v>
      </c>
      <c r="X669">
        <v>-20.399999999999999</v>
      </c>
      <c r="Y669">
        <v>-18.8</v>
      </c>
      <c r="Z669">
        <v>-22</v>
      </c>
      <c r="AA669">
        <v>-4.9000000000000004</v>
      </c>
      <c r="AB669">
        <v>-7.2</v>
      </c>
      <c r="AC669">
        <v>-5</v>
      </c>
      <c r="AD669">
        <v>12.3</v>
      </c>
      <c r="AE669">
        <v>10.4</v>
      </c>
      <c r="AF669">
        <v>0</v>
      </c>
      <c r="AG669">
        <v>10.5</v>
      </c>
      <c r="AH669">
        <v>10</v>
      </c>
      <c r="AI669">
        <v>10.5</v>
      </c>
      <c r="AJ669">
        <v>10</v>
      </c>
      <c r="AK669">
        <v>10.7</v>
      </c>
      <c r="AL669">
        <v>10</v>
      </c>
      <c r="AM669">
        <v>12.5</v>
      </c>
      <c r="AN669">
        <v>9</v>
      </c>
      <c r="AO669">
        <v>10.6</v>
      </c>
      <c r="AP669">
        <v>10</v>
      </c>
      <c r="AQ669">
        <v>11.7</v>
      </c>
      <c r="AR669">
        <v>10</v>
      </c>
      <c r="AS669">
        <v>11.1</v>
      </c>
      <c r="AT669">
        <v>10</v>
      </c>
      <c r="AU669">
        <v>18.5</v>
      </c>
      <c r="AV669">
        <v>19</v>
      </c>
      <c r="AW669">
        <v>19</v>
      </c>
      <c r="AX669">
        <v>19</v>
      </c>
      <c r="AY669">
        <v>11</v>
      </c>
      <c r="AZ669">
        <v>10</v>
      </c>
      <c r="BA669">
        <v>10.6</v>
      </c>
      <c r="BB669">
        <v>10</v>
      </c>
    </row>
    <row r="670" spans="1:54" x14ac:dyDescent="0.35">
      <c r="A670" s="1">
        <v>46059.927083333336</v>
      </c>
      <c r="B670">
        <v>22.9</v>
      </c>
      <c r="C670">
        <v>3</v>
      </c>
      <c r="D670">
        <v>21.6</v>
      </c>
      <c r="E670">
        <v>2</v>
      </c>
      <c r="F670">
        <v>10.199999999999999</v>
      </c>
      <c r="G670">
        <v>13.5</v>
      </c>
      <c r="H670">
        <v>0</v>
      </c>
      <c r="I670">
        <v>16</v>
      </c>
      <c r="J670">
        <v>12.3</v>
      </c>
      <c r="K670">
        <v>0</v>
      </c>
      <c r="L670">
        <v>13.7</v>
      </c>
      <c r="M670">
        <v>16.899999999999999</v>
      </c>
      <c r="N670">
        <v>0</v>
      </c>
      <c r="O670">
        <v>15.8</v>
      </c>
      <c r="P670">
        <v>11.8</v>
      </c>
      <c r="Q670">
        <v>0</v>
      </c>
      <c r="R670">
        <v>11.3</v>
      </c>
      <c r="S670">
        <v>14.5</v>
      </c>
      <c r="T670">
        <v>0</v>
      </c>
      <c r="U670">
        <v>-20</v>
      </c>
      <c r="V670">
        <v>-22.3</v>
      </c>
      <c r="W670">
        <v>-22</v>
      </c>
      <c r="X670">
        <v>-20.399999999999999</v>
      </c>
      <c r="Y670">
        <v>-18.8</v>
      </c>
      <c r="Z670">
        <v>-22</v>
      </c>
      <c r="AA670">
        <v>-5.0999999999999996</v>
      </c>
      <c r="AB670">
        <v>-6.8</v>
      </c>
      <c r="AC670">
        <v>-5</v>
      </c>
      <c r="AD670">
        <v>12.3</v>
      </c>
      <c r="AE670">
        <v>10.4</v>
      </c>
      <c r="AF670">
        <v>0</v>
      </c>
      <c r="AG670">
        <v>10.7</v>
      </c>
      <c r="AH670">
        <v>10</v>
      </c>
      <c r="AI670">
        <v>10.7</v>
      </c>
      <c r="AJ670">
        <v>10</v>
      </c>
      <c r="AK670">
        <v>10.8</v>
      </c>
      <c r="AL670">
        <v>10</v>
      </c>
      <c r="AM670">
        <v>12.4</v>
      </c>
      <c r="AN670">
        <v>9</v>
      </c>
      <c r="AO670">
        <v>10.5</v>
      </c>
      <c r="AP670">
        <v>10</v>
      </c>
      <c r="AQ670">
        <v>11.5</v>
      </c>
      <c r="AR670">
        <v>10</v>
      </c>
      <c r="AS670">
        <v>11.3</v>
      </c>
      <c r="AT670">
        <v>10</v>
      </c>
      <c r="AU670">
        <v>18.5</v>
      </c>
      <c r="AV670">
        <v>19</v>
      </c>
      <c r="AW670">
        <v>19</v>
      </c>
      <c r="AX670">
        <v>19</v>
      </c>
      <c r="AY670">
        <v>11.3</v>
      </c>
      <c r="AZ670">
        <v>10</v>
      </c>
      <c r="BA670">
        <v>9.9</v>
      </c>
      <c r="BB670">
        <v>10</v>
      </c>
    </row>
    <row r="671" spans="1:54" x14ac:dyDescent="0.35">
      <c r="A671" s="1">
        <v>46059.927777777775</v>
      </c>
      <c r="B671">
        <v>22.9</v>
      </c>
      <c r="C671">
        <v>3</v>
      </c>
      <c r="D671">
        <v>21.6</v>
      </c>
      <c r="E671">
        <v>2</v>
      </c>
      <c r="F671">
        <v>10.199999999999999</v>
      </c>
      <c r="G671">
        <v>13.5</v>
      </c>
      <c r="H671">
        <v>0</v>
      </c>
      <c r="I671">
        <v>16</v>
      </c>
      <c r="J671">
        <v>12.3</v>
      </c>
      <c r="K671">
        <v>0</v>
      </c>
      <c r="L671">
        <v>13.7</v>
      </c>
      <c r="M671">
        <v>16.899999999999999</v>
      </c>
      <c r="N671">
        <v>0</v>
      </c>
      <c r="O671">
        <v>15.8</v>
      </c>
      <c r="P671">
        <v>11.8</v>
      </c>
      <c r="Q671">
        <v>0</v>
      </c>
      <c r="R671">
        <v>11.3</v>
      </c>
      <c r="S671">
        <v>14.5</v>
      </c>
      <c r="T671">
        <v>0</v>
      </c>
      <c r="U671">
        <v>-20</v>
      </c>
      <c r="V671">
        <v>-22.4</v>
      </c>
      <c r="W671">
        <v>-22</v>
      </c>
      <c r="X671">
        <v>-20.399999999999999</v>
      </c>
      <c r="Y671">
        <v>-18.8</v>
      </c>
      <c r="Z671">
        <v>-22</v>
      </c>
      <c r="AA671">
        <v>-4.4000000000000004</v>
      </c>
      <c r="AB671">
        <v>-4.9000000000000004</v>
      </c>
      <c r="AC671">
        <v>-5</v>
      </c>
      <c r="AD671">
        <v>12.3</v>
      </c>
      <c r="AE671">
        <v>10.4</v>
      </c>
      <c r="AF671">
        <v>0</v>
      </c>
      <c r="AG671">
        <v>10.9</v>
      </c>
      <c r="AH671">
        <v>10</v>
      </c>
      <c r="AI671">
        <v>10.8</v>
      </c>
      <c r="AJ671">
        <v>10</v>
      </c>
      <c r="AK671">
        <v>10.9</v>
      </c>
      <c r="AL671">
        <v>10</v>
      </c>
      <c r="AM671">
        <v>12.4</v>
      </c>
      <c r="AN671">
        <v>9</v>
      </c>
      <c r="AO671">
        <v>10.4</v>
      </c>
      <c r="AP671">
        <v>10</v>
      </c>
      <c r="AQ671">
        <v>11.4</v>
      </c>
      <c r="AR671">
        <v>10</v>
      </c>
      <c r="AS671">
        <v>11.5</v>
      </c>
      <c r="AT671">
        <v>10</v>
      </c>
      <c r="AU671">
        <v>18.600000000000001</v>
      </c>
      <c r="AV671">
        <v>19</v>
      </c>
      <c r="AW671">
        <v>19.399999999999999</v>
      </c>
      <c r="AX671">
        <v>19</v>
      </c>
      <c r="AY671">
        <v>11.5</v>
      </c>
      <c r="AZ671">
        <v>10</v>
      </c>
      <c r="BA671">
        <v>9.6</v>
      </c>
      <c r="BB671">
        <v>10</v>
      </c>
    </row>
    <row r="672" spans="1:54" x14ac:dyDescent="0.35">
      <c r="A672" s="1">
        <v>46059.928472222222</v>
      </c>
      <c r="B672">
        <v>22.9</v>
      </c>
      <c r="C672">
        <v>3</v>
      </c>
      <c r="D672">
        <v>21.6</v>
      </c>
      <c r="E672">
        <v>2</v>
      </c>
      <c r="F672">
        <v>10.199999999999999</v>
      </c>
      <c r="G672">
        <v>13.6</v>
      </c>
      <c r="H672">
        <v>0</v>
      </c>
      <c r="I672">
        <v>16</v>
      </c>
      <c r="J672">
        <v>12.3</v>
      </c>
      <c r="K672">
        <v>0</v>
      </c>
      <c r="L672">
        <v>13.7</v>
      </c>
      <c r="M672">
        <v>17</v>
      </c>
      <c r="N672">
        <v>0</v>
      </c>
      <c r="O672">
        <v>15.8</v>
      </c>
      <c r="P672">
        <v>11.8</v>
      </c>
      <c r="Q672">
        <v>0</v>
      </c>
      <c r="R672">
        <v>11.3</v>
      </c>
      <c r="S672">
        <v>14.5</v>
      </c>
      <c r="T672">
        <v>0</v>
      </c>
      <c r="U672">
        <v>-20</v>
      </c>
      <c r="V672">
        <v>-22.3</v>
      </c>
      <c r="W672">
        <v>-22</v>
      </c>
      <c r="X672">
        <v>-20.5</v>
      </c>
      <c r="Y672">
        <v>-18.8</v>
      </c>
      <c r="Z672">
        <v>-22</v>
      </c>
      <c r="AA672">
        <v>-3.7</v>
      </c>
      <c r="AB672">
        <v>-3.8</v>
      </c>
      <c r="AC672">
        <v>-5</v>
      </c>
      <c r="AD672">
        <v>12.3</v>
      </c>
      <c r="AE672">
        <v>10.4</v>
      </c>
      <c r="AF672">
        <v>0</v>
      </c>
      <c r="AG672">
        <v>11.1</v>
      </c>
      <c r="AH672">
        <v>10</v>
      </c>
      <c r="AI672">
        <v>11</v>
      </c>
      <c r="AJ672">
        <v>10</v>
      </c>
      <c r="AK672">
        <v>10.9</v>
      </c>
      <c r="AL672">
        <v>10</v>
      </c>
      <c r="AM672">
        <v>12.3</v>
      </c>
      <c r="AN672">
        <v>9</v>
      </c>
      <c r="AO672">
        <v>10</v>
      </c>
      <c r="AP672">
        <v>10</v>
      </c>
      <c r="AQ672">
        <v>11.4</v>
      </c>
      <c r="AR672">
        <v>10</v>
      </c>
      <c r="AS672">
        <v>11.7</v>
      </c>
      <c r="AT672">
        <v>10</v>
      </c>
      <c r="AU672">
        <v>18.8</v>
      </c>
      <c r="AV672">
        <v>19</v>
      </c>
      <c r="AW672">
        <v>19.399999999999999</v>
      </c>
      <c r="AX672">
        <v>19</v>
      </c>
      <c r="AY672">
        <v>11.7</v>
      </c>
      <c r="AZ672">
        <v>10</v>
      </c>
      <c r="BA672">
        <v>9.9</v>
      </c>
      <c r="BB672">
        <v>10</v>
      </c>
    </row>
    <row r="673" spans="1:54" x14ac:dyDescent="0.35">
      <c r="A673" s="1">
        <v>46059.929166666669</v>
      </c>
      <c r="B673">
        <v>22.9</v>
      </c>
      <c r="C673">
        <v>3</v>
      </c>
      <c r="D673">
        <v>21.6</v>
      </c>
      <c r="E673">
        <v>2</v>
      </c>
      <c r="F673">
        <v>10.3</v>
      </c>
      <c r="G673">
        <v>13.6</v>
      </c>
      <c r="H673">
        <v>0</v>
      </c>
      <c r="I673">
        <v>16</v>
      </c>
      <c r="J673">
        <v>12.3</v>
      </c>
      <c r="K673">
        <v>0</v>
      </c>
      <c r="L673">
        <v>13.7</v>
      </c>
      <c r="M673">
        <v>17</v>
      </c>
      <c r="N673">
        <v>0</v>
      </c>
      <c r="O673">
        <v>15.8</v>
      </c>
      <c r="P673">
        <v>11.8</v>
      </c>
      <c r="Q673">
        <v>0</v>
      </c>
      <c r="R673">
        <v>11.3</v>
      </c>
      <c r="S673">
        <v>14.6</v>
      </c>
      <c r="T673">
        <v>0</v>
      </c>
      <c r="U673">
        <v>-20</v>
      </c>
      <c r="V673">
        <v>-22.6</v>
      </c>
      <c r="W673">
        <v>-22</v>
      </c>
      <c r="X673">
        <v>-20.5</v>
      </c>
      <c r="Y673">
        <v>-18.8</v>
      </c>
      <c r="Z673">
        <v>-22</v>
      </c>
      <c r="AA673">
        <v>-3</v>
      </c>
      <c r="AB673">
        <v>-3</v>
      </c>
      <c r="AC673">
        <v>-5</v>
      </c>
      <c r="AD673">
        <v>12.3</v>
      </c>
      <c r="AE673">
        <v>10.4</v>
      </c>
      <c r="AF673">
        <v>0</v>
      </c>
      <c r="AG673">
        <v>11.2</v>
      </c>
      <c r="AH673">
        <v>10</v>
      </c>
      <c r="AI673">
        <v>11.1</v>
      </c>
      <c r="AJ673">
        <v>10</v>
      </c>
      <c r="AK673">
        <v>10.9</v>
      </c>
      <c r="AL673">
        <v>10</v>
      </c>
      <c r="AM673">
        <v>12.2</v>
      </c>
      <c r="AN673">
        <v>9</v>
      </c>
      <c r="AO673">
        <v>10.4</v>
      </c>
      <c r="AP673">
        <v>10</v>
      </c>
      <c r="AQ673">
        <v>11.3</v>
      </c>
      <c r="AR673">
        <v>10</v>
      </c>
      <c r="AS673">
        <v>11.9</v>
      </c>
      <c r="AT673">
        <v>10</v>
      </c>
      <c r="AU673">
        <v>18.8</v>
      </c>
      <c r="AV673">
        <v>19</v>
      </c>
      <c r="AW673">
        <v>19.7</v>
      </c>
      <c r="AX673">
        <v>19</v>
      </c>
      <c r="AY673">
        <v>11.8</v>
      </c>
      <c r="AZ673">
        <v>10</v>
      </c>
      <c r="BA673">
        <v>10.3</v>
      </c>
      <c r="BB673">
        <v>10</v>
      </c>
    </row>
    <row r="674" spans="1:54" x14ac:dyDescent="0.35">
      <c r="A674" s="1">
        <v>46059.929861111108</v>
      </c>
      <c r="B674">
        <v>22.9</v>
      </c>
      <c r="C674">
        <v>3</v>
      </c>
      <c r="D674">
        <v>21.6</v>
      </c>
      <c r="E674">
        <v>2</v>
      </c>
      <c r="F674">
        <v>10.3</v>
      </c>
      <c r="G674">
        <v>13.6</v>
      </c>
      <c r="H674">
        <v>0</v>
      </c>
      <c r="I674">
        <v>16.100000000000001</v>
      </c>
      <c r="J674">
        <v>12.3</v>
      </c>
      <c r="K674">
        <v>0</v>
      </c>
      <c r="L674">
        <v>13.7</v>
      </c>
      <c r="M674">
        <v>17</v>
      </c>
      <c r="N674">
        <v>0</v>
      </c>
      <c r="O674">
        <v>15.8</v>
      </c>
      <c r="P674">
        <v>11.8</v>
      </c>
      <c r="Q674">
        <v>0</v>
      </c>
      <c r="R674">
        <v>11.3</v>
      </c>
      <c r="S674">
        <v>14.6</v>
      </c>
      <c r="T674">
        <v>0</v>
      </c>
      <c r="U674">
        <v>-20.100000000000001</v>
      </c>
      <c r="V674">
        <v>-22.3</v>
      </c>
      <c r="W674">
        <v>-22</v>
      </c>
      <c r="X674">
        <v>-20.5</v>
      </c>
      <c r="Y674">
        <v>-18.8</v>
      </c>
      <c r="Z674">
        <v>-22</v>
      </c>
      <c r="AA674">
        <v>-2.8</v>
      </c>
      <c r="AB674">
        <v>-3.5</v>
      </c>
      <c r="AC674">
        <v>-5</v>
      </c>
      <c r="AD674">
        <v>12.3</v>
      </c>
      <c r="AE674">
        <v>10.4</v>
      </c>
      <c r="AF674">
        <v>0</v>
      </c>
      <c r="AG674">
        <v>11.3</v>
      </c>
      <c r="AH674">
        <v>10</v>
      </c>
      <c r="AI674">
        <v>11.2</v>
      </c>
      <c r="AJ674">
        <v>10</v>
      </c>
      <c r="AK674">
        <v>11</v>
      </c>
      <c r="AL674">
        <v>10</v>
      </c>
      <c r="AM674">
        <v>12.2</v>
      </c>
      <c r="AN674">
        <v>9</v>
      </c>
      <c r="AO674">
        <v>11</v>
      </c>
      <c r="AP674">
        <v>10</v>
      </c>
      <c r="AQ674">
        <v>11.1</v>
      </c>
      <c r="AR674">
        <v>10</v>
      </c>
      <c r="AS674">
        <v>11.3</v>
      </c>
      <c r="AT674">
        <v>10</v>
      </c>
      <c r="AU674">
        <v>18.899999999999999</v>
      </c>
      <c r="AV674">
        <v>19</v>
      </c>
      <c r="AW674">
        <v>19.899999999999999</v>
      </c>
      <c r="AX674">
        <v>19</v>
      </c>
      <c r="AY674">
        <v>12</v>
      </c>
      <c r="AZ674">
        <v>10</v>
      </c>
      <c r="BA674">
        <v>10.7</v>
      </c>
      <c r="BB674">
        <v>10</v>
      </c>
    </row>
    <row r="675" spans="1:54" x14ac:dyDescent="0.35">
      <c r="A675" s="1">
        <v>46059.930555555555</v>
      </c>
      <c r="B675">
        <v>22.9</v>
      </c>
      <c r="C675">
        <v>3</v>
      </c>
      <c r="D675">
        <v>21.6</v>
      </c>
      <c r="E675">
        <v>2</v>
      </c>
      <c r="F675">
        <v>10.3</v>
      </c>
      <c r="G675">
        <v>13.6</v>
      </c>
      <c r="H675">
        <v>0</v>
      </c>
      <c r="I675">
        <v>16.100000000000001</v>
      </c>
      <c r="J675">
        <v>12.3</v>
      </c>
      <c r="K675">
        <v>0</v>
      </c>
      <c r="L675">
        <v>13.7</v>
      </c>
      <c r="M675">
        <v>17</v>
      </c>
      <c r="N675">
        <v>0</v>
      </c>
      <c r="O675">
        <v>15.8</v>
      </c>
      <c r="P675">
        <v>11.8</v>
      </c>
      <c r="Q675">
        <v>0</v>
      </c>
      <c r="R675">
        <v>11.3</v>
      </c>
      <c r="S675">
        <v>14.6</v>
      </c>
      <c r="T675">
        <v>0</v>
      </c>
      <c r="U675">
        <v>-20.100000000000001</v>
      </c>
      <c r="V675">
        <v>-22.4</v>
      </c>
      <c r="W675">
        <v>-22</v>
      </c>
      <c r="X675">
        <v>-20.5</v>
      </c>
      <c r="Y675">
        <v>-18.8</v>
      </c>
      <c r="Z675">
        <v>-22</v>
      </c>
      <c r="AA675">
        <v>-3</v>
      </c>
      <c r="AB675">
        <v>-4.5</v>
      </c>
      <c r="AC675">
        <v>-5</v>
      </c>
      <c r="AD675">
        <v>12.3</v>
      </c>
      <c r="AE675">
        <v>10.4</v>
      </c>
      <c r="AF675">
        <v>0</v>
      </c>
      <c r="AG675">
        <v>11.5</v>
      </c>
      <c r="AH675">
        <v>10</v>
      </c>
      <c r="AI675">
        <v>11.3</v>
      </c>
      <c r="AJ675">
        <v>10</v>
      </c>
      <c r="AK675">
        <v>11.1</v>
      </c>
      <c r="AL675">
        <v>10</v>
      </c>
      <c r="AM675">
        <v>12.2</v>
      </c>
      <c r="AN675">
        <v>9</v>
      </c>
      <c r="AO675">
        <v>11.4</v>
      </c>
      <c r="AP675">
        <v>10</v>
      </c>
      <c r="AQ675">
        <v>11</v>
      </c>
      <c r="AR675">
        <v>10</v>
      </c>
      <c r="AS675">
        <v>8.8000000000000007</v>
      </c>
      <c r="AT675">
        <v>10</v>
      </c>
      <c r="AU675">
        <v>18.899999999999999</v>
      </c>
      <c r="AV675">
        <v>19</v>
      </c>
      <c r="AW675">
        <v>20</v>
      </c>
      <c r="AX675">
        <v>19</v>
      </c>
      <c r="AY675">
        <v>11.4</v>
      </c>
      <c r="AZ675">
        <v>10</v>
      </c>
      <c r="BA675">
        <v>11</v>
      </c>
      <c r="BB675">
        <v>10</v>
      </c>
    </row>
    <row r="676" spans="1:54" x14ac:dyDescent="0.35">
      <c r="A676" s="1">
        <v>46059.931250000001</v>
      </c>
      <c r="B676">
        <v>22.9</v>
      </c>
      <c r="C676">
        <v>3</v>
      </c>
      <c r="D676">
        <v>21.6</v>
      </c>
      <c r="E676">
        <v>2</v>
      </c>
      <c r="F676">
        <v>10.3</v>
      </c>
      <c r="G676">
        <v>13.6</v>
      </c>
      <c r="H676">
        <v>0</v>
      </c>
      <c r="I676">
        <v>16.100000000000001</v>
      </c>
      <c r="J676">
        <v>12.3</v>
      </c>
      <c r="K676">
        <v>0</v>
      </c>
      <c r="L676">
        <v>13.7</v>
      </c>
      <c r="M676">
        <v>17</v>
      </c>
      <c r="N676">
        <v>0</v>
      </c>
      <c r="O676">
        <v>15.8</v>
      </c>
      <c r="P676">
        <v>11.8</v>
      </c>
      <c r="Q676">
        <v>0</v>
      </c>
      <c r="R676">
        <v>11.3</v>
      </c>
      <c r="S676">
        <v>14.6</v>
      </c>
      <c r="T676">
        <v>0</v>
      </c>
      <c r="U676">
        <v>-20.100000000000001</v>
      </c>
      <c r="V676">
        <v>-22.5</v>
      </c>
      <c r="W676">
        <v>-22</v>
      </c>
      <c r="X676">
        <v>-20.5</v>
      </c>
      <c r="Y676">
        <v>-18.8</v>
      </c>
      <c r="Z676">
        <v>-22</v>
      </c>
      <c r="AA676">
        <v>-3.5</v>
      </c>
      <c r="AB676">
        <v>-5.5</v>
      </c>
      <c r="AC676">
        <v>-5</v>
      </c>
      <c r="AD676">
        <v>12.4</v>
      </c>
      <c r="AE676">
        <v>10.4</v>
      </c>
      <c r="AF676">
        <v>0</v>
      </c>
      <c r="AG676">
        <v>11.6</v>
      </c>
      <c r="AH676">
        <v>10</v>
      </c>
      <c r="AI676">
        <v>11.4</v>
      </c>
      <c r="AJ676">
        <v>10</v>
      </c>
      <c r="AK676">
        <v>11.2</v>
      </c>
      <c r="AL676">
        <v>10</v>
      </c>
      <c r="AM676">
        <v>12.2</v>
      </c>
      <c r="AN676">
        <v>9</v>
      </c>
      <c r="AO676">
        <v>11.5</v>
      </c>
      <c r="AP676">
        <v>10</v>
      </c>
      <c r="AQ676">
        <v>10.6</v>
      </c>
      <c r="AR676">
        <v>10</v>
      </c>
      <c r="AS676">
        <v>8</v>
      </c>
      <c r="AT676">
        <v>10</v>
      </c>
      <c r="AU676">
        <v>19.100000000000001</v>
      </c>
      <c r="AV676">
        <v>19</v>
      </c>
      <c r="AW676">
        <v>20.100000000000001</v>
      </c>
      <c r="AX676">
        <v>19</v>
      </c>
      <c r="AY676">
        <v>10.5</v>
      </c>
      <c r="AZ676">
        <v>10</v>
      </c>
      <c r="BA676">
        <v>11.3</v>
      </c>
      <c r="BB676">
        <v>10</v>
      </c>
    </row>
    <row r="677" spans="1:54" x14ac:dyDescent="0.35">
      <c r="A677" s="1">
        <v>46059.931944444441</v>
      </c>
      <c r="B677">
        <v>22.9</v>
      </c>
      <c r="C677">
        <v>3</v>
      </c>
      <c r="D677">
        <v>21.6</v>
      </c>
      <c r="E677">
        <v>2</v>
      </c>
      <c r="F677">
        <v>10.3</v>
      </c>
      <c r="G677">
        <v>13.6</v>
      </c>
      <c r="H677">
        <v>0</v>
      </c>
      <c r="I677">
        <v>16.100000000000001</v>
      </c>
      <c r="J677">
        <v>12.3</v>
      </c>
      <c r="K677">
        <v>0</v>
      </c>
      <c r="L677">
        <v>13.7</v>
      </c>
      <c r="M677">
        <v>17</v>
      </c>
      <c r="N677">
        <v>0</v>
      </c>
      <c r="O677">
        <v>15.8</v>
      </c>
      <c r="P677">
        <v>11.8</v>
      </c>
      <c r="Q677">
        <v>0</v>
      </c>
      <c r="R677">
        <v>11.3</v>
      </c>
      <c r="S677">
        <v>14.6</v>
      </c>
      <c r="T677">
        <v>0</v>
      </c>
      <c r="U677">
        <v>-20.100000000000001</v>
      </c>
      <c r="V677">
        <v>-22.2</v>
      </c>
      <c r="W677">
        <v>-22</v>
      </c>
      <c r="X677">
        <v>-20.5</v>
      </c>
      <c r="Y677">
        <v>-18.899999999999999</v>
      </c>
      <c r="Z677">
        <v>-22</v>
      </c>
      <c r="AA677">
        <v>-3.9</v>
      </c>
      <c r="AB677">
        <v>-6.1</v>
      </c>
      <c r="AC677">
        <v>-5</v>
      </c>
      <c r="AD677">
        <v>12.4</v>
      </c>
      <c r="AE677">
        <v>10.4</v>
      </c>
      <c r="AF677">
        <v>0</v>
      </c>
      <c r="AG677">
        <v>11.7</v>
      </c>
      <c r="AH677">
        <v>10</v>
      </c>
      <c r="AI677">
        <v>11.5</v>
      </c>
      <c r="AJ677">
        <v>10</v>
      </c>
      <c r="AK677">
        <v>11.3</v>
      </c>
      <c r="AL677">
        <v>10</v>
      </c>
      <c r="AM677">
        <v>12.2</v>
      </c>
      <c r="AN677">
        <v>9</v>
      </c>
      <c r="AO677">
        <v>11.6</v>
      </c>
      <c r="AP677">
        <v>10</v>
      </c>
      <c r="AQ677">
        <v>10.5</v>
      </c>
      <c r="AR677">
        <v>10</v>
      </c>
      <c r="AS677">
        <v>8.4</v>
      </c>
      <c r="AT677">
        <v>10</v>
      </c>
      <c r="AU677">
        <v>19.100000000000001</v>
      </c>
      <c r="AV677">
        <v>19</v>
      </c>
      <c r="AW677">
        <v>20.2</v>
      </c>
      <c r="AX677">
        <v>19</v>
      </c>
      <c r="AY677">
        <v>9.6</v>
      </c>
      <c r="AZ677">
        <v>10</v>
      </c>
      <c r="BA677">
        <v>11.6</v>
      </c>
      <c r="BB677">
        <v>10</v>
      </c>
    </row>
    <row r="678" spans="1:54" x14ac:dyDescent="0.35">
      <c r="A678" s="1">
        <v>46059.933333333334</v>
      </c>
      <c r="B678">
        <v>22.9</v>
      </c>
      <c r="C678">
        <v>3</v>
      </c>
      <c r="D678">
        <v>21.6</v>
      </c>
      <c r="E678">
        <v>2</v>
      </c>
      <c r="F678">
        <v>10.3</v>
      </c>
      <c r="G678">
        <v>13.6</v>
      </c>
      <c r="H678">
        <v>0</v>
      </c>
      <c r="I678">
        <v>16.100000000000001</v>
      </c>
      <c r="J678">
        <v>12.3</v>
      </c>
      <c r="K678">
        <v>0</v>
      </c>
      <c r="L678">
        <v>13.7</v>
      </c>
      <c r="M678">
        <v>17</v>
      </c>
      <c r="N678">
        <v>0</v>
      </c>
      <c r="O678">
        <v>15.8</v>
      </c>
      <c r="P678">
        <v>11.8</v>
      </c>
      <c r="Q678">
        <v>0</v>
      </c>
      <c r="R678">
        <v>11.4</v>
      </c>
      <c r="S678">
        <v>14.6</v>
      </c>
      <c r="T678">
        <v>0</v>
      </c>
      <c r="U678">
        <v>-20.100000000000001</v>
      </c>
      <c r="V678">
        <v>-22.2</v>
      </c>
      <c r="W678">
        <v>-22</v>
      </c>
      <c r="X678">
        <v>-20.5</v>
      </c>
      <c r="Y678">
        <v>-18.899999999999999</v>
      </c>
      <c r="Z678">
        <v>-22</v>
      </c>
      <c r="AA678">
        <v>-4.9000000000000004</v>
      </c>
      <c r="AB678">
        <v>-7.2</v>
      </c>
      <c r="AC678">
        <v>-5</v>
      </c>
      <c r="AD678">
        <v>12.4</v>
      </c>
      <c r="AE678">
        <v>10.4</v>
      </c>
      <c r="AF678">
        <v>0</v>
      </c>
      <c r="AG678">
        <v>11.9</v>
      </c>
      <c r="AH678">
        <v>10</v>
      </c>
      <c r="AI678">
        <v>11.7</v>
      </c>
      <c r="AJ678">
        <v>10</v>
      </c>
      <c r="AK678">
        <v>11.5</v>
      </c>
      <c r="AL678">
        <v>10</v>
      </c>
      <c r="AM678">
        <v>12.3</v>
      </c>
      <c r="AN678">
        <v>9</v>
      </c>
      <c r="AO678">
        <v>11.9</v>
      </c>
      <c r="AP678">
        <v>10</v>
      </c>
      <c r="AQ678">
        <v>10.4</v>
      </c>
      <c r="AR678">
        <v>10</v>
      </c>
      <c r="AS678">
        <v>9.6</v>
      </c>
      <c r="AT678">
        <v>10</v>
      </c>
      <c r="AU678">
        <v>19.3</v>
      </c>
      <c r="AV678">
        <v>19</v>
      </c>
      <c r="AW678">
        <v>20.399999999999999</v>
      </c>
      <c r="AX678">
        <v>19</v>
      </c>
      <c r="AY678">
        <v>10</v>
      </c>
      <c r="AZ678">
        <v>10</v>
      </c>
      <c r="BA678">
        <v>12</v>
      </c>
      <c r="BB678">
        <v>10</v>
      </c>
    </row>
    <row r="679" spans="1:54" x14ac:dyDescent="0.35">
      <c r="A679" s="1">
        <v>46059.934027777781</v>
      </c>
      <c r="B679">
        <v>22.9</v>
      </c>
      <c r="C679">
        <v>3</v>
      </c>
      <c r="D679">
        <v>21.6</v>
      </c>
      <c r="E679">
        <v>2</v>
      </c>
      <c r="F679">
        <v>10.3</v>
      </c>
      <c r="G679">
        <v>13.6</v>
      </c>
      <c r="H679">
        <v>0</v>
      </c>
      <c r="I679">
        <v>16.100000000000001</v>
      </c>
      <c r="J679">
        <v>12.3</v>
      </c>
      <c r="K679">
        <v>0</v>
      </c>
      <c r="L679">
        <v>13.7</v>
      </c>
      <c r="M679">
        <v>17</v>
      </c>
      <c r="N679">
        <v>0</v>
      </c>
      <c r="O679">
        <v>15.8</v>
      </c>
      <c r="P679">
        <v>11.8</v>
      </c>
      <c r="Q679">
        <v>0</v>
      </c>
      <c r="R679">
        <v>11.4</v>
      </c>
      <c r="S679">
        <v>14.6</v>
      </c>
      <c r="T679">
        <v>0</v>
      </c>
      <c r="U679">
        <v>-20.100000000000001</v>
      </c>
      <c r="V679">
        <v>-22.2</v>
      </c>
      <c r="W679">
        <v>-22</v>
      </c>
      <c r="X679">
        <v>-20.5</v>
      </c>
      <c r="Y679">
        <v>-18.899999999999999</v>
      </c>
      <c r="Z679">
        <v>-22</v>
      </c>
      <c r="AA679">
        <v>-5.0999999999999996</v>
      </c>
      <c r="AB679">
        <v>-7</v>
      </c>
      <c r="AC679">
        <v>-5</v>
      </c>
      <c r="AD679">
        <v>12.4</v>
      </c>
      <c r="AE679">
        <v>10.4</v>
      </c>
      <c r="AF679">
        <v>0</v>
      </c>
      <c r="AG679">
        <v>11.9</v>
      </c>
      <c r="AH679">
        <v>10</v>
      </c>
      <c r="AI679">
        <v>11.8</v>
      </c>
      <c r="AJ679">
        <v>10</v>
      </c>
      <c r="AK679">
        <v>11.6</v>
      </c>
      <c r="AL679">
        <v>10</v>
      </c>
      <c r="AM679">
        <v>12.4</v>
      </c>
      <c r="AN679">
        <v>9</v>
      </c>
      <c r="AO679">
        <v>11.9</v>
      </c>
      <c r="AP679">
        <v>10</v>
      </c>
      <c r="AQ679">
        <v>10.4</v>
      </c>
      <c r="AR679">
        <v>10</v>
      </c>
      <c r="AS679">
        <v>10</v>
      </c>
      <c r="AT679">
        <v>10</v>
      </c>
      <c r="AU679">
        <v>19.399999999999999</v>
      </c>
      <c r="AV679">
        <v>19</v>
      </c>
      <c r="AW679">
        <v>20.399999999999999</v>
      </c>
      <c r="AX679">
        <v>19</v>
      </c>
      <c r="AY679">
        <v>10.4</v>
      </c>
      <c r="AZ679">
        <v>10</v>
      </c>
      <c r="BA679">
        <v>11.3</v>
      </c>
      <c r="BB679">
        <v>10</v>
      </c>
    </row>
    <row r="680" spans="1:54" x14ac:dyDescent="0.35">
      <c r="A680" s="1">
        <v>46059.93472222222</v>
      </c>
      <c r="B680">
        <v>22.9</v>
      </c>
      <c r="C680">
        <v>3</v>
      </c>
      <c r="D680">
        <v>21.6</v>
      </c>
      <c r="E680">
        <v>2</v>
      </c>
      <c r="F680">
        <v>10.3</v>
      </c>
      <c r="G680">
        <v>13.6</v>
      </c>
      <c r="H680">
        <v>0</v>
      </c>
      <c r="I680">
        <v>16.100000000000001</v>
      </c>
      <c r="J680">
        <v>12.3</v>
      </c>
      <c r="K680">
        <v>0</v>
      </c>
      <c r="L680">
        <v>13.7</v>
      </c>
      <c r="M680">
        <v>17</v>
      </c>
      <c r="N680">
        <v>0</v>
      </c>
      <c r="O680">
        <v>15.8</v>
      </c>
      <c r="P680">
        <v>11.8</v>
      </c>
      <c r="Q680">
        <v>0</v>
      </c>
      <c r="R680">
        <v>11.4</v>
      </c>
      <c r="S680">
        <v>14.6</v>
      </c>
      <c r="T680">
        <v>0</v>
      </c>
      <c r="U680">
        <v>-20.100000000000001</v>
      </c>
      <c r="V680">
        <v>-22.5</v>
      </c>
      <c r="W680">
        <v>-22</v>
      </c>
      <c r="X680">
        <v>-20.5</v>
      </c>
      <c r="Y680">
        <v>-18.899999999999999</v>
      </c>
      <c r="Z680">
        <v>-22</v>
      </c>
      <c r="AA680">
        <v>-4.7</v>
      </c>
      <c r="AB680">
        <v>-5.3</v>
      </c>
      <c r="AC680">
        <v>-5</v>
      </c>
      <c r="AD680">
        <v>12.4</v>
      </c>
      <c r="AE680">
        <v>10.4</v>
      </c>
      <c r="AF680">
        <v>0</v>
      </c>
      <c r="AG680">
        <v>11.9</v>
      </c>
      <c r="AH680">
        <v>10</v>
      </c>
      <c r="AI680">
        <v>11.8</v>
      </c>
      <c r="AJ680">
        <v>10</v>
      </c>
      <c r="AK680">
        <v>11.7</v>
      </c>
      <c r="AL680">
        <v>10</v>
      </c>
      <c r="AM680">
        <v>12.4</v>
      </c>
      <c r="AN680">
        <v>9</v>
      </c>
      <c r="AO680">
        <v>11.2</v>
      </c>
      <c r="AP680">
        <v>10</v>
      </c>
      <c r="AQ680">
        <v>10.4</v>
      </c>
      <c r="AR680">
        <v>10</v>
      </c>
      <c r="AS680">
        <v>10.4</v>
      </c>
      <c r="AT680">
        <v>10</v>
      </c>
      <c r="AU680">
        <v>19.399999999999999</v>
      </c>
      <c r="AV680">
        <v>19</v>
      </c>
      <c r="AW680">
        <v>20.3</v>
      </c>
      <c r="AX680">
        <v>19</v>
      </c>
      <c r="AY680">
        <v>10.7</v>
      </c>
      <c r="AZ680">
        <v>10</v>
      </c>
      <c r="BA680">
        <v>10.5</v>
      </c>
      <c r="BB680">
        <v>10</v>
      </c>
    </row>
    <row r="681" spans="1:54" x14ac:dyDescent="0.35">
      <c r="A681" s="1">
        <v>46059.935416666667</v>
      </c>
      <c r="B681">
        <v>22.9</v>
      </c>
      <c r="C681">
        <v>3</v>
      </c>
      <c r="D681">
        <v>21.6</v>
      </c>
      <c r="E681">
        <v>2</v>
      </c>
      <c r="F681">
        <v>10.3</v>
      </c>
      <c r="G681">
        <v>13.6</v>
      </c>
      <c r="H681">
        <v>0</v>
      </c>
      <c r="I681">
        <v>16.100000000000001</v>
      </c>
      <c r="J681">
        <v>12.3</v>
      </c>
      <c r="K681">
        <v>0</v>
      </c>
      <c r="L681">
        <v>13.7</v>
      </c>
      <c r="M681">
        <v>17</v>
      </c>
      <c r="N681">
        <v>0</v>
      </c>
      <c r="O681">
        <v>15.8</v>
      </c>
      <c r="P681">
        <v>11.8</v>
      </c>
      <c r="Q681">
        <v>0</v>
      </c>
      <c r="R681">
        <v>11.4</v>
      </c>
      <c r="S681">
        <v>14.6</v>
      </c>
      <c r="T681">
        <v>0</v>
      </c>
      <c r="U681">
        <v>-20.100000000000001</v>
      </c>
      <c r="V681">
        <v>-22.4</v>
      </c>
      <c r="W681">
        <v>-22</v>
      </c>
      <c r="X681">
        <v>-20.5</v>
      </c>
      <c r="Y681">
        <v>-18.899999999999999</v>
      </c>
      <c r="Z681">
        <v>-22</v>
      </c>
      <c r="AA681">
        <v>-3.8</v>
      </c>
      <c r="AB681">
        <v>-3.9</v>
      </c>
      <c r="AC681">
        <v>-5</v>
      </c>
      <c r="AD681">
        <v>12.4</v>
      </c>
      <c r="AE681">
        <v>10.4</v>
      </c>
      <c r="AF681">
        <v>0</v>
      </c>
      <c r="AG681">
        <v>11</v>
      </c>
      <c r="AH681">
        <v>10</v>
      </c>
      <c r="AI681">
        <v>11.9</v>
      </c>
      <c r="AJ681">
        <v>10</v>
      </c>
      <c r="AK681">
        <v>11.7</v>
      </c>
      <c r="AL681">
        <v>10</v>
      </c>
      <c r="AM681">
        <v>12.4</v>
      </c>
      <c r="AN681">
        <v>9</v>
      </c>
      <c r="AO681">
        <v>10</v>
      </c>
      <c r="AP681">
        <v>10</v>
      </c>
      <c r="AQ681">
        <v>10.3</v>
      </c>
      <c r="AR681">
        <v>10</v>
      </c>
      <c r="AS681">
        <v>10.7</v>
      </c>
      <c r="AT681">
        <v>10</v>
      </c>
      <c r="AU681">
        <v>19.5</v>
      </c>
      <c r="AV681">
        <v>19</v>
      </c>
      <c r="AW681">
        <v>20.3</v>
      </c>
      <c r="AX681">
        <v>19</v>
      </c>
      <c r="AY681">
        <v>11</v>
      </c>
      <c r="AZ681">
        <v>10</v>
      </c>
      <c r="BA681">
        <v>9.6999999999999993</v>
      </c>
      <c r="BB681">
        <v>10</v>
      </c>
    </row>
    <row r="682" spans="1:54" x14ac:dyDescent="0.35">
      <c r="A682" s="1">
        <v>46059.936111111114</v>
      </c>
      <c r="B682">
        <v>22.9</v>
      </c>
      <c r="C682">
        <v>3</v>
      </c>
      <c r="D682">
        <v>21.6</v>
      </c>
      <c r="E682">
        <v>2</v>
      </c>
      <c r="F682">
        <v>10.3</v>
      </c>
      <c r="G682">
        <v>13.6</v>
      </c>
      <c r="H682">
        <v>0</v>
      </c>
      <c r="I682">
        <v>16.100000000000001</v>
      </c>
      <c r="J682">
        <v>12.3</v>
      </c>
      <c r="K682">
        <v>0</v>
      </c>
      <c r="L682">
        <v>13.7</v>
      </c>
      <c r="M682">
        <v>17</v>
      </c>
      <c r="N682">
        <v>0</v>
      </c>
      <c r="O682">
        <v>15.8</v>
      </c>
      <c r="P682">
        <v>11.8</v>
      </c>
      <c r="Q682">
        <v>0</v>
      </c>
      <c r="R682">
        <v>11.4</v>
      </c>
      <c r="S682">
        <v>14.6</v>
      </c>
      <c r="T682">
        <v>0</v>
      </c>
      <c r="U682">
        <v>-20.100000000000001</v>
      </c>
      <c r="V682">
        <v>-22.5</v>
      </c>
      <c r="W682">
        <v>-22</v>
      </c>
      <c r="X682">
        <v>-20.6</v>
      </c>
      <c r="Y682">
        <v>-18.899999999999999</v>
      </c>
      <c r="Z682">
        <v>-22</v>
      </c>
      <c r="AA682">
        <v>-3.2</v>
      </c>
      <c r="AB682">
        <v>-3.2</v>
      </c>
      <c r="AC682">
        <v>-5</v>
      </c>
      <c r="AD682">
        <v>12.4</v>
      </c>
      <c r="AE682">
        <v>10.4</v>
      </c>
      <c r="AF682">
        <v>0</v>
      </c>
      <c r="AG682">
        <v>10.199999999999999</v>
      </c>
      <c r="AH682">
        <v>10</v>
      </c>
      <c r="AI682">
        <v>12</v>
      </c>
      <c r="AJ682">
        <v>10</v>
      </c>
      <c r="AK682">
        <v>11.7</v>
      </c>
      <c r="AL682">
        <v>10</v>
      </c>
      <c r="AM682">
        <v>12.5</v>
      </c>
      <c r="AN682">
        <v>9</v>
      </c>
      <c r="AO682">
        <v>10.4</v>
      </c>
      <c r="AP682">
        <v>10</v>
      </c>
      <c r="AQ682">
        <v>10.199999999999999</v>
      </c>
      <c r="AR682">
        <v>10</v>
      </c>
      <c r="AS682">
        <v>10.9</v>
      </c>
      <c r="AT682">
        <v>10</v>
      </c>
      <c r="AU682">
        <v>19.5</v>
      </c>
      <c r="AV682">
        <v>19</v>
      </c>
      <c r="AW682">
        <v>20.399999999999999</v>
      </c>
      <c r="AX682">
        <v>19</v>
      </c>
      <c r="AY682">
        <v>11.3</v>
      </c>
      <c r="AZ682">
        <v>10</v>
      </c>
      <c r="BA682">
        <v>9.6</v>
      </c>
      <c r="BB682">
        <v>10</v>
      </c>
    </row>
    <row r="683" spans="1:54" x14ac:dyDescent="0.35">
      <c r="A683" s="1">
        <v>46059.936805555553</v>
      </c>
      <c r="B683">
        <v>22.9</v>
      </c>
      <c r="C683">
        <v>3</v>
      </c>
      <c r="D683">
        <v>21.6</v>
      </c>
      <c r="E683">
        <v>2</v>
      </c>
      <c r="F683">
        <v>10.3</v>
      </c>
      <c r="G683">
        <v>13.6</v>
      </c>
      <c r="H683">
        <v>0</v>
      </c>
      <c r="I683">
        <v>16.100000000000001</v>
      </c>
      <c r="J683">
        <v>12.3</v>
      </c>
      <c r="K683">
        <v>0</v>
      </c>
      <c r="L683">
        <v>13.7</v>
      </c>
      <c r="M683">
        <v>17</v>
      </c>
      <c r="N683">
        <v>0</v>
      </c>
      <c r="O683">
        <v>15.8</v>
      </c>
      <c r="P683">
        <v>11.8</v>
      </c>
      <c r="Q683">
        <v>0</v>
      </c>
      <c r="R683">
        <v>11.4</v>
      </c>
      <c r="S683">
        <v>14.6</v>
      </c>
      <c r="T683">
        <v>0</v>
      </c>
      <c r="U683">
        <v>-20.100000000000001</v>
      </c>
      <c r="V683">
        <v>-22.4</v>
      </c>
      <c r="W683">
        <v>-22</v>
      </c>
      <c r="X683">
        <v>-20.6</v>
      </c>
      <c r="Y683">
        <v>-18.899999999999999</v>
      </c>
      <c r="Z683">
        <v>-22</v>
      </c>
      <c r="AA683">
        <v>-2.8</v>
      </c>
      <c r="AB683">
        <v>-3.2</v>
      </c>
      <c r="AC683">
        <v>-5</v>
      </c>
      <c r="AD683">
        <v>12.4</v>
      </c>
      <c r="AE683">
        <v>10.4</v>
      </c>
      <c r="AF683">
        <v>0</v>
      </c>
      <c r="AG683">
        <v>9.6</v>
      </c>
      <c r="AH683">
        <v>10</v>
      </c>
      <c r="AI683">
        <v>10.7</v>
      </c>
      <c r="AJ683">
        <v>10</v>
      </c>
      <c r="AK683">
        <v>11.7</v>
      </c>
      <c r="AL683">
        <v>10</v>
      </c>
      <c r="AM683">
        <v>12.5</v>
      </c>
      <c r="AN683">
        <v>9</v>
      </c>
      <c r="AO683">
        <v>11.1</v>
      </c>
      <c r="AP683">
        <v>10</v>
      </c>
      <c r="AQ683">
        <v>10.199999999999999</v>
      </c>
      <c r="AR683">
        <v>10</v>
      </c>
      <c r="AS683">
        <v>11.2</v>
      </c>
      <c r="AT683">
        <v>10</v>
      </c>
      <c r="AU683">
        <v>19.5</v>
      </c>
      <c r="AV683">
        <v>19</v>
      </c>
      <c r="AW683">
        <v>20.5</v>
      </c>
      <c r="AX683">
        <v>19</v>
      </c>
      <c r="AY683">
        <v>11.5</v>
      </c>
      <c r="AZ683">
        <v>10</v>
      </c>
      <c r="BA683">
        <v>10</v>
      </c>
      <c r="BB683">
        <v>10</v>
      </c>
    </row>
    <row r="684" spans="1:54" x14ac:dyDescent="0.35">
      <c r="A684" s="1">
        <v>46059.9375</v>
      </c>
      <c r="B684">
        <v>23</v>
      </c>
      <c r="C684">
        <v>3</v>
      </c>
      <c r="D684">
        <v>21.6</v>
      </c>
      <c r="E684">
        <v>2</v>
      </c>
      <c r="F684">
        <v>10.3</v>
      </c>
      <c r="G684">
        <v>13.6</v>
      </c>
      <c r="H684">
        <v>0</v>
      </c>
      <c r="I684">
        <v>16.100000000000001</v>
      </c>
      <c r="J684">
        <v>12.3</v>
      </c>
      <c r="K684">
        <v>0</v>
      </c>
      <c r="L684">
        <v>13.7</v>
      </c>
      <c r="M684">
        <v>17</v>
      </c>
      <c r="N684">
        <v>0</v>
      </c>
      <c r="O684">
        <v>15.8</v>
      </c>
      <c r="P684">
        <v>11.9</v>
      </c>
      <c r="Q684">
        <v>0</v>
      </c>
      <c r="R684">
        <v>11.4</v>
      </c>
      <c r="S684">
        <v>14.6</v>
      </c>
      <c r="T684">
        <v>0</v>
      </c>
      <c r="U684">
        <v>-20.100000000000001</v>
      </c>
      <c r="V684">
        <v>-22.4</v>
      </c>
      <c r="W684">
        <v>-22</v>
      </c>
      <c r="X684">
        <v>-20.6</v>
      </c>
      <c r="Y684">
        <v>-18.899999999999999</v>
      </c>
      <c r="Z684">
        <v>-22</v>
      </c>
      <c r="AA684">
        <v>-2.9</v>
      </c>
      <c r="AB684">
        <v>-4.4000000000000004</v>
      </c>
      <c r="AC684">
        <v>-5</v>
      </c>
      <c r="AD684">
        <v>12.4</v>
      </c>
      <c r="AE684">
        <v>10.4</v>
      </c>
      <c r="AF684">
        <v>0</v>
      </c>
      <c r="AG684">
        <v>9.6</v>
      </c>
      <c r="AH684">
        <v>10</v>
      </c>
      <c r="AI684">
        <v>9</v>
      </c>
      <c r="AJ684">
        <v>10</v>
      </c>
      <c r="AK684">
        <v>11.7</v>
      </c>
      <c r="AL684">
        <v>10</v>
      </c>
      <c r="AM684">
        <v>12.5</v>
      </c>
      <c r="AN684">
        <v>9</v>
      </c>
      <c r="AO684">
        <v>11.6</v>
      </c>
      <c r="AP684">
        <v>10</v>
      </c>
      <c r="AQ684">
        <v>10.1</v>
      </c>
      <c r="AR684">
        <v>10</v>
      </c>
      <c r="AS684">
        <v>11.4</v>
      </c>
      <c r="AT684">
        <v>10</v>
      </c>
      <c r="AU684">
        <v>19.5</v>
      </c>
      <c r="AV684">
        <v>19</v>
      </c>
      <c r="AW684">
        <v>20.6</v>
      </c>
      <c r="AX684">
        <v>19</v>
      </c>
      <c r="AY684">
        <v>11.7</v>
      </c>
      <c r="AZ684">
        <v>10</v>
      </c>
      <c r="BA684">
        <v>10.4</v>
      </c>
      <c r="BB684">
        <v>10</v>
      </c>
    </row>
    <row r="685" spans="1:54" x14ac:dyDescent="0.35">
      <c r="A685" s="1">
        <v>46059.938194444447</v>
      </c>
      <c r="B685">
        <v>23</v>
      </c>
      <c r="C685">
        <v>3</v>
      </c>
      <c r="D685">
        <v>21.6</v>
      </c>
      <c r="E685">
        <v>2</v>
      </c>
      <c r="F685">
        <v>10.3</v>
      </c>
      <c r="G685">
        <v>13.6</v>
      </c>
      <c r="H685">
        <v>0</v>
      </c>
      <c r="I685">
        <v>16.100000000000001</v>
      </c>
      <c r="J685">
        <v>12.3</v>
      </c>
      <c r="K685">
        <v>0</v>
      </c>
      <c r="L685">
        <v>13.8</v>
      </c>
      <c r="M685">
        <v>17</v>
      </c>
      <c r="N685">
        <v>0</v>
      </c>
      <c r="O685">
        <v>15.8</v>
      </c>
      <c r="P685">
        <v>11.9</v>
      </c>
      <c r="Q685">
        <v>0</v>
      </c>
      <c r="R685">
        <v>11.4</v>
      </c>
      <c r="S685">
        <v>14.6</v>
      </c>
      <c r="T685">
        <v>0</v>
      </c>
      <c r="U685">
        <v>-20.100000000000001</v>
      </c>
      <c r="V685">
        <v>-22.6</v>
      </c>
      <c r="W685">
        <v>-22</v>
      </c>
      <c r="X685">
        <v>-20.6</v>
      </c>
      <c r="Y685">
        <v>-18.899999999999999</v>
      </c>
      <c r="Z685">
        <v>-22</v>
      </c>
      <c r="AA685">
        <v>-3.1</v>
      </c>
      <c r="AB685">
        <v>-4</v>
      </c>
      <c r="AC685">
        <v>-5</v>
      </c>
      <c r="AD685">
        <v>12.4</v>
      </c>
      <c r="AE685">
        <v>10.4</v>
      </c>
      <c r="AF685">
        <v>0</v>
      </c>
      <c r="AG685">
        <v>10</v>
      </c>
      <c r="AH685">
        <v>10</v>
      </c>
      <c r="AI685">
        <v>8.6</v>
      </c>
      <c r="AJ685">
        <v>10</v>
      </c>
      <c r="AK685">
        <v>11.8</v>
      </c>
      <c r="AL685">
        <v>10</v>
      </c>
      <c r="AM685">
        <v>12.5</v>
      </c>
      <c r="AN685">
        <v>9</v>
      </c>
      <c r="AO685">
        <v>11.7</v>
      </c>
      <c r="AP685">
        <v>10</v>
      </c>
      <c r="AQ685">
        <v>10</v>
      </c>
      <c r="AR685">
        <v>10</v>
      </c>
      <c r="AS685">
        <v>11.6</v>
      </c>
      <c r="AT685">
        <v>10</v>
      </c>
      <c r="AU685">
        <v>19.5</v>
      </c>
      <c r="AV685">
        <v>19</v>
      </c>
      <c r="AW685">
        <v>20.6</v>
      </c>
      <c r="AX685">
        <v>19</v>
      </c>
      <c r="AY685">
        <v>11.9</v>
      </c>
      <c r="AZ685">
        <v>10</v>
      </c>
      <c r="BA685">
        <v>10.8</v>
      </c>
      <c r="BB685">
        <v>10</v>
      </c>
    </row>
    <row r="686" spans="1:54" x14ac:dyDescent="0.35">
      <c r="A686" s="1">
        <v>46059.938888888886</v>
      </c>
      <c r="B686">
        <v>23</v>
      </c>
      <c r="C686">
        <v>3</v>
      </c>
      <c r="D686">
        <v>21.6</v>
      </c>
      <c r="E686">
        <v>2</v>
      </c>
      <c r="F686">
        <v>10.3</v>
      </c>
      <c r="G686">
        <v>13.6</v>
      </c>
      <c r="H686">
        <v>0</v>
      </c>
      <c r="I686">
        <v>16.100000000000001</v>
      </c>
      <c r="J686">
        <v>12.3</v>
      </c>
      <c r="K686">
        <v>0</v>
      </c>
      <c r="L686">
        <v>13.8</v>
      </c>
      <c r="M686">
        <v>17</v>
      </c>
      <c r="N686">
        <v>0</v>
      </c>
      <c r="O686">
        <v>15.8</v>
      </c>
      <c r="P686">
        <v>11.9</v>
      </c>
      <c r="Q686">
        <v>0</v>
      </c>
      <c r="R686">
        <v>11.4</v>
      </c>
      <c r="S686">
        <v>14.6</v>
      </c>
      <c r="T686">
        <v>0</v>
      </c>
      <c r="U686">
        <v>-20.100000000000001</v>
      </c>
      <c r="V686">
        <v>-22.3</v>
      </c>
      <c r="W686">
        <v>-22</v>
      </c>
      <c r="X686">
        <v>-20.6</v>
      </c>
      <c r="Y686">
        <v>-18.899999999999999</v>
      </c>
      <c r="Z686">
        <v>-22</v>
      </c>
      <c r="AA686">
        <v>-2.8</v>
      </c>
      <c r="AB686">
        <v>-3</v>
      </c>
      <c r="AC686">
        <v>-5</v>
      </c>
      <c r="AD686">
        <v>12.4</v>
      </c>
      <c r="AE686">
        <v>10.4</v>
      </c>
      <c r="AF686">
        <v>0</v>
      </c>
      <c r="AG686">
        <v>10.3</v>
      </c>
      <c r="AH686">
        <v>10</v>
      </c>
      <c r="AI686">
        <v>8.6999999999999993</v>
      </c>
      <c r="AJ686">
        <v>10</v>
      </c>
      <c r="AK686">
        <v>11.9</v>
      </c>
      <c r="AL686">
        <v>10</v>
      </c>
      <c r="AM686">
        <v>12.5</v>
      </c>
      <c r="AN686">
        <v>9</v>
      </c>
      <c r="AO686">
        <v>11.9</v>
      </c>
      <c r="AP686">
        <v>10</v>
      </c>
      <c r="AQ686">
        <v>10.3</v>
      </c>
      <c r="AR686">
        <v>10</v>
      </c>
      <c r="AS686">
        <v>11.8</v>
      </c>
      <c r="AT686">
        <v>10</v>
      </c>
      <c r="AU686">
        <v>19.600000000000001</v>
      </c>
      <c r="AV686">
        <v>19</v>
      </c>
      <c r="AW686">
        <v>20.7</v>
      </c>
      <c r="AX686">
        <v>19</v>
      </c>
      <c r="AY686">
        <v>12</v>
      </c>
      <c r="AZ686">
        <v>10</v>
      </c>
      <c r="BA686">
        <v>11.1</v>
      </c>
      <c r="BB686">
        <v>10</v>
      </c>
    </row>
    <row r="687" spans="1:54" x14ac:dyDescent="0.35">
      <c r="A687" s="1">
        <v>46059.939583333333</v>
      </c>
      <c r="B687">
        <v>23</v>
      </c>
      <c r="C687">
        <v>3</v>
      </c>
      <c r="D687">
        <v>21.6</v>
      </c>
      <c r="E687">
        <v>2</v>
      </c>
      <c r="F687">
        <v>10.3</v>
      </c>
      <c r="G687">
        <v>13.6</v>
      </c>
      <c r="H687">
        <v>0</v>
      </c>
      <c r="I687">
        <v>16.100000000000001</v>
      </c>
      <c r="J687">
        <v>12.3</v>
      </c>
      <c r="K687">
        <v>0</v>
      </c>
      <c r="L687">
        <v>13.8</v>
      </c>
      <c r="M687">
        <v>17</v>
      </c>
      <c r="N687">
        <v>0</v>
      </c>
      <c r="O687">
        <v>15.8</v>
      </c>
      <c r="P687">
        <v>11.9</v>
      </c>
      <c r="Q687">
        <v>0</v>
      </c>
      <c r="R687">
        <v>11.4</v>
      </c>
      <c r="S687">
        <v>14.6</v>
      </c>
      <c r="T687">
        <v>0</v>
      </c>
      <c r="U687">
        <v>-20.100000000000001</v>
      </c>
      <c r="V687">
        <v>-22.4</v>
      </c>
      <c r="W687">
        <v>-22</v>
      </c>
      <c r="X687">
        <v>-20.6</v>
      </c>
      <c r="Y687">
        <v>-18.899999999999999</v>
      </c>
      <c r="Z687">
        <v>-22</v>
      </c>
      <c r="AA687">
        <v>-2.2000000000000002</v>
      </c>
      <c r="AB687">
        <v>-2.2000000000000002</v>
      </c>
      <c r="AC687">
        <v>-5</v>
      </c>
      <c r="AD687">
        <v>12.4</v>
      </c>
      <c r="AE687">
        <v>10.4</v>
      </c>
      <c r="AF687">
        <v>0</v>
      </c>
      <c r="AG687">
        <v>10.5</v>
      </c>
      <c r="AH687">
        <v>10</v>
      </c>
      <c r="AI687">
        <v>9</v>
      </c>
      <c r="AJ687">
        <v>10</v>
      </c>
      <c r="AK687">
        <v>11.9</v>
      </c>
      <c r="AL687">
        <v>10</v>
      </c>
      <c r="AM687">
        <v>12.5</v>
      </c>
      <c r="AN687">
        <v>9</v>
      </c>
      <c r="AO687">
        <v>12</v>
      </c>
      <c r="AP687">
        <v>10</v>
      </c>
      <c r="AQ687">
        <v>11</v>
      </c>
      <c r="AR687">
        <v>10</v>
      </c>
      <c r="AS687">
        <v>12</v>
      </c>
      <c r="AT687">
        <v>10</v>
      </c>
      <c r="AU687">
        <v>19.600000000000001</v>
      </c>
      <c r="AV687">
        <v>19</v>
      </c>
      <c r="AW687">
        <v>20.7</v>
      </c>
      <c r="AX687">
        <v>19</v>
      </c>
      <c r="AY687">
        <v>11.4</v>
      </c>
      <c r="AZ687">
        <v>10</v>
      </c>
      <c r="BA687">
        <v>11.4</v>
      </c>
      <c r="BB687">
        <v>10</v>
      </c>
    </row>
    <row r="688" spans="1:54" x14ac:dyDescent="0.35">
      <c r="A688" s="1">
        <v>46059.94027777778</v>
      </c>
      <c r="B688">
        <v>23</v>
      </c>
      <c r="C688">
        <v>3</v>
      </c>
      <c r="D688">
        <v>21.7</v>
      </c>
      <c r="E688">
        <v>2</v>
      </c>
      <c r="F688">
        <v>10.3</v>
      </c>
      <c r="G688">
        <v>13.6</v>
      </c>
      <c r="H688">
        <v>0</v>
      </c>
      <c r="I688">
        <v>16.100000000000001</v>
      </c>
      <c r="J688">
        <v>12.4</v>
      </c>
      <c r="K688">
        <v>0</v>
      </c>
      <c r="L688">
        <v>13.8</v>
      </c>
      <c r="M688">
        <v>17</v>
      </c>
      <c r="N688">
        <v>0</v>
      </c>
      <c r="O688">
        <v>15.8</v>
      </c>
      <c r="P688">
        <v>11.9</v>
      </c>
      <c r="Q688">
        <v>0</v>
      </c>
      <c r="R688">
        <v>11.4</v>
      </c>
      <c r="S688">
        <v>14.6</v>
      </c>
      <c r="T688">
        <v>0</v>
      </c>
      <c r="U688">
        <v>-20.100000000000001</v>
      </c>
      <c r="V688">
        <v>-22.3</v>
      </c>
      <c r="W688">
        <v>-22</v>
      </c>
      <c r="X688">
        <v>-20.6</v>
      </c>
      <c r="Y688">
        <v>-18.899999999999999</v>
      </c>
      <c r="Z688">
        <v>-22</v>
      </c>
      <c r="AA688">
        <v>-2.2000000000000002</v>
      </c>
      <c r="AB688">
        <v>-1.9</v>
      </c>
      <c r="AC688">
        <v>-5</v>
      </c>
      <c r="AD688">
        <v>12.4</v>
      </c>
      <c r="AE688">
        <v>10.4</v>
      </c>
      <c r="AF688">
        <v>0</v>
      </c>
      <c r="AG688">
        <v>10.8</v>
      </c>
      <c r="AH688">
        <v>10</v>
      </c>
      <c r="AI688">
        <v>9.4</v>
      </c>
      <c r="AJ688">
        <v>10</v>
      </c>
      <c r="AK688">
        <v>12</v>
      </c>
      <c r="AL688">
        <v>10</v>
      </c>
      <c r="AM688">
        <v>12.5</v>
      </c>
      <c r="AN688">
        <v>9</v>
      </c>
      <c r="AO688">
        <v>11.5</v>
      </c>
      <c r="AP688">
        <v>10</v>
      </c>
      <c r="AQ688">
        <v>11.7</v>
      </c>
      <c r="AR688">
        <v>10</v>
      </c>
      <c r="AS688">
        <v>10.9</v>
      </c>
      <c r="AT688">
        <v>10</v>
      </c>
      <c r="AU688">
        <v>19.600000000000001</v>
      </c>
      <c r="AV688">
        <v>19</v>
      </c>
      <c r="AW688">
        <v>20.7</v>
      </c>
      <c r="AX688">
        <v>19</v>
      </c>
      <c r="AY688">
        <v>10.3</v>
      </c>
      <c r="AZ688">
        <v>10</v>
      </c>
      <c r="BA688">
        <v>11.7</v>
      </c>
      <c r="BB688">
        <v>10</v>
      </c>
    </row>
    <row r="689" spans="1:54" x14ac:dyDescent="0.35">
      <c r="A689" s="1">
        <v>46059.940972222219</v>
      </c>
      <c r="B689">
        <v>23</v>
      </c>
      <c r="C689">
        <v>3</v>
      </c>
      <c r="D689">
        <v>21.7</v>
      </c>
      <c r="E689">
        <v>2</v>
      </c>
      <c r="F689">
        <v>10.3</v>
      </c>
      <c r="G689">
        <v>13.6</v>
      </c>
      <c r="H689">
        <v>0</v>
      </c>
      <c r="I689">
        <v>16.100000000000001</v>
      </c>
      <c r="J689">
        <v>12.4</v>
      </c>
      <c r="K689">
        <v>0</v>
      </c>
      <c r="L689">
        <v>13.8</v>
      </c>
      <c r="M689">
        <v>17</v>
      </c>
      <c r="N689">
        <v>0</v>
      </c>
      <c r="O689">
        <v>15.9</v>
      </c>
      <c r="P689">
        <v>11.9</v>
      </c>
      <c r="Q689">
        <v>0</v>
      </c>
      <c r="R689">
        <v>11.4</v>
      </c>
      <c r="S689">
        <v>14.6</v>
      </c>
      <c r="T689">
        <v>0</v>
      </c>
      <c r="U689">
        <v>-20.100000000000001</v>
      </c>
      <c r="V689">
        <v>-22.3</v>
      </c>
      <c r="W689">
        <v>-22</v>
      </c>
      <c r="X689">
        <v>-20.6</v>
      </c>
      <c r="Y689">
        <v>-19</v>
      </c>
      <c r="Z689">
        <v>-22</v>
      </c>
      <c r="AA689">
        <v>-2.2000000000000002</v>
      </c>
      <c r="AB689">
        <v>-1</v>
      </c>
      <c r="AC689">
        <v>-5</v>
      </c>
      <c r="AD689">
        <v>12.4</v>
      </c>
      <c r="AE689">
        <v>10.4</v>
      </c>
      <c r="AF689">
        <v>0</v>
      </c>
      <c r="AG689">
        <v>11</v>
      </c>
      <c r="AH689">
        <v>10</v>
      </c>
      <c r="AI689">
        <v>9.6</v>
      </c>
      <c r="AJ689">
        <v>10</v>
      </c>
      <c r="AK689">
        <v>11.1</v>
      </c>
      <c r="AL689">
        <v>10</v>
      </c>
      <c r="AM689">
        <v>12.5</v>
      </c>
      <c r="AN689">
        <v>9</v>
      </c>
      <c r="AO689">
        <v>10.8</v>
      </c>
      <c r="AP689">
        <v>10</v>
      </c>
      <c r="AQ689">
        <v>12.2</v>
      </c>
      <c r="AR689">
        <v>10</v>
      </c>
      <c r="AS689">
        <v>8.4</v>
      </c>
      <c r="AT689">
        <v>10</v>
      </c>
      <c r="AU689">
        <v>19.7</v>
      </c>
      <c r="AV689">
        <v>19</v>
      </c>
      <c r="AW689">
        <v>20.8</v>
      </c>
      <c r="AX689">
        <v>19</v>
      </c>
      <c r="AY689">
        <v>9.6</v>
      </c>
      <c r="AZ689">
        <v>10</v>
      </c>
      <c r="BA689">
        <v>11.9</v>
      </c>
      <c r="BB689">
        <v>10</v>
      </c>
    </row>
    <row r="690" spans="1:54" x14ac:dyDescent="0.35">
      <c r="A690" s="1">
        <v>46059.941666666666</v>
      </c>
      <c r="B690">
        <v>23</v>
      </c>
      <c r="C690">
        <v>3</v>
      </c>
      <c r="D690">
        <v>21.7</v>
      </c>
      <c r="E690">
        <v>2</v>
      </c>
      <c r="F690">
        <v>10.3</v>
      </c>
      <c r="G690">
        <v>13.6</v>
      </c>
      <c r="H690">
        <v>0</v>
      </c>
      <c r="I690">
        <v>16.100000000000001</v>
      </c>
      <c r="J690">
        <v>12.4</v>
      </c>
      <c r="K690">
        <v>0</v>
      </c>
      <c r="L690">
        <v>13.8</v>
      </c>
      <c r="M690">
        <v>17</v>
      </c>
      <c r="N690">
        <v>0</v>
      </c>
      <c r="O690">
        <v>15.9</v>
      </c>
      <c r="P690">
        <v>11.9</v>
      </c>
      <c r="Q690">
        <v>0</v>
      </c>
      <c r="R690">
        <v>11.4</v>
      </c>
      <c r="S690">
        <v>14.6</v>
      </c>
      <c r="T690">
        <v>0</v>
      </c>
      <c r="U690">
        <v>-20.100000000000001</v>
      </c>
      <c r="V690">
        <v>-22.6</v>
      </c>
      <c r="W690">
        <v>-22</v>
      </c>
      <c r="X690">
        <v>-20.6</v>
      </c>
      <c r="Y690">
        <v>-19</v>
      </c>
      <c r="Z690">
        <v>-22</v>
      </c>
      <c r="AA690">
        <v>-2.2000000000000002</v>
      </c>
      <c r="AB690">
        <v>-0.2</v>
      </c>
      <c r="AC690">
        <v>-5</v>
      </c>
      <c r="AD690">
        <v>12.4</v>
      </c>
      <c r="AE690">
        <v>10.4</v>
      </c>
      <c r="AF690">
        <v>0</v>
      </c>
      <c r="AG690">
        <v>11.1</v>
      </c>
      <c r="AH690">
        <v>10</v>
      </c>
      <c r="AI690">
        <v>9.9</v>
      </c>
      <c r="AJ690">
        <v>10</v>
      </c>
      <c r="AK690">
        <v>10.3</v>
      </c>
      <c r="AL690">
        <v>10</v>
      </c>
      <c r="AM690">
        <v>12.5</v>
      </c>
      <c r="AN690">
        <v>9</v>
      </c>
      <c r="AO690">
        <v>10.4</v>
      </c>
      <c r="AP690">
        <v>10</v>
      </c>
      <c r="AQ690">
        <v>12.2</v>
      </c>
      <c r="AR690">
        <v>10</v>
      </c>
      <c r="AS690">
        <v>7.8</v>
      </c>
      <c r="AT690">
        <v>10</v>
      </c>
      <c r="AU690">
        <v>19.7</v>
      </c>
      <c r="AV690">
        <v>19</v>
      </c>
      <c r="AW690">
        <v>20.8</v>
      </c>
      <c r="AX690">
        <v>19</v>
      </c>
      <c r="AY690">
        <v>9.6</v>
      </c>
      <c r="AZ690">
        <v>10</v>
      </c>
      <c r="BA690">
        <v>12</v>
      </c>
      <c r="BB690">
        <v>10</v>
      </c>
    </row>
    <row r="691" spans="1:54" x14ac:dyDescent="0.35">
      <c r="A691" s="1">
        <v>46059.942361111112</v>
      </c>
      <c r="B691">
        <v>23</v>
      </c>
      <c r="C691">
        <v>3</v>
      </c>
      <c r="D691">
        <v>21.7</v>
      </c>
      <c r="E691">
        <v>2</v>
      </c>
      <c r="F691">
        <v>10.3</v>
      </c>
      <c r="G691">
        <v>13.6</v>
      </c>
      <c r="H691">
        <v>0</v>
      </c>
      <c r="I691">
        <v>16.100000000000001</v>
      </c>
      <c r="J691">
        <v>12.4</v>
      </c>
      <c r="K691">
        <v>0</v>
      </c>
      <c r="L691">
        <v>13.8</v>
      </c>
      <c r="M691">
        <v>17</v>
      </c>
      <c r="N691">
        <v>0</v>
      </c>
      <c r="O691">
        <v>15.9</v>
      </c>
      <c r="P691">
        <v>11.9</v>
      </c>
      <c r="Q691">
        <v>0</v>
      </c>
      <c r="R691">
        <v>11.4</v>
      </c>
      <c r="S691">
        <v>14.6</v>
      </c>
      <c r="T691">
        <v>0</v>
      </c>
      <c r="U691">
        <v>-20.100000000000001</v>
      </c>
      <c r="V691">
        <v>-22.4</v>
      </c>
      <c r="W691">
        <v>-22</v>
      </c>
      <c r="X691">
        <v>-20.6</v>
      </c>
      <c r="Y691">
        <v>-19</v>
      </c>
      <c r="Z691">
        <v>-22</v>
      </c>
      <c r="AA691">
        <v>-2.2000000000000002</v>
      </c>
      <c r="AB691">
        <v>0</v>
      </c>
      <c r="AC691">
        <v>-5</v>
      </c>
      <c r="AD691">
        <v>12.4</v>
      </c>
      <c r="AE691">
        <v>10.4</v>
      </c>
      <c r="AF691">
        <v>0</v>
      </c>
      <c r="AG691">
        <v>11.3</v>
      </c>
      <c r="AH691">
        <v>10</v>
      </c>
      <c r="AI691">
        <v>10.1</v>
      </c>
      <c r="AJ691">
        <v>10</v>
      </c>
      <c r="AK691">
        <v>10</v>
      </c>
      <c r="AL691">
        <v>10</v>
      </c>
      <c r="AM691">
        <v>12.5</v>
      </c>
      <c r="AN691">
        <v>9</v>
      </c>
      <c r="AO691">
        <v>10.4</v>
      </c>
      <c r="AP691">
        <v>10</v>
      </c>
      <c r="AQ691">
        <v>12</v>
      </c>
      <c r="AR691">
        <v>10</v>
      </c>
      <c r="AS691">
        <v>8.3000000000000007</v>
      </c>
      <c r="AT691">
        <v>10</v>
      </c>
      <c r="AU691">
        <v>19.7</v>
      </c>
      <c r="AV691">
        <v>19</v>
      </c>
      <c r="AW691">
        <v>20.7</v>
      </c>
      <c r="AX691">
        <v>19</v>
      </c>
      <c r="AY691">
        <v>10</v>
      </c>
      <c r="AZ691">
        <v>10</v>
      </c>
      <c r="BA691">
        <v>11</v>
      </c>
      <c r="BB691">
        <v>10</v>
      </c>
    </row>
    <row r="692" spans="1:54" x14ac:dyDescent="0.35">
      <c r="A692" s="1">
        <v>46059.943055555559</v>
      </c>
      <c r="B692">
        <v>23</v>
      </c>
      <c r="C692">
        <v>3</v>
      </c>
      <c r="D692">
        <v>21.7</v>
      </c>
      <c r="E692">
        <v>2</v>
      </c>
      <c r="F692">
        <v>10.3</v>
      </c>
      <c r="G692">
        <v>13.6</v>
      </c>
      <c r="H692">
        <v>0</v>
      </c>
      <c r="I692">
        <v>16.100000000000001</v>
      </c>
      <c r="J692">
        <v>12.4</v>
      </c>
      <c r="K692">
        <v>0</v>
      </c>
      <c r="L692">
        <v>13.8</v>
      </c>
      <c r="M692">
        <v>17</v>
      </c>
      <c r="N692">
        <v>0</v>
      </c>
      <c r="O692">
        <v>15.9</v>
      </c>
      <c r="P692">
        <v>11.9</v>
      </c>
      <c r="Q692">
        <v>0</v>
      </c>
      <c r="R692">
        <v>11.4</v>
      </c>
      <c r="S692">
        <v>14.6</v>
      </c>
      <c r="T692">
        <v>0</v>
      </c>
      <c r="U692">
        <v>-20.100000000000001</v>
      </c>
      <c r="V692">
        <v>-22.5</v>
      </c>
      <c r="W692">
        <v>-22</v>
      </c>
      <c r="X692">
        <v>-20.6</v>
      </c>
      <c r="Y692">
        <v>-19</v>
      </c>
      <c r="Z692">
        <v>-22</v>
      </c>
      <c r="AA692">
        <v>-2.2000000000000002</v>
      </c>
      <c r="AB692">
        <v>0.2</v>
      </c>
      <c r="AC692">
        <v>-5</v>
      </c>
      <c r="AD692">
        <v>12.4</v>
      </c>
      <c r="AE692">
        <v>10.4</v>
      </c>
      <c r="AF692">
        <v>0</v>
      </c>
      <c r="AG692">
        <v>11.4</v>
      </c>
      <c r="AH692">
        <v>10</v>
      </c>
      <c r="AI692">
        <v>10.3</v>
      </c>
      <c r="AJ692">
        <v>10</v>
      </c>
      <c r="AK692">
        <v>10</v>
      </c>
      <c r="AL692">
        <v>10</v>
      </c>
      <c r="AM692">
        <v>12.4</v>
      </c>
      <c r="AN692">
        <v>9</v>
      </c>
      <c r="AO692">
        <v>10.6</v>
      </c>
      <c r="AP692">
        <v>10</v>
      </c>
      <c r="AQ692">
        <v>11.8</v>
      </c>
      <c r="AR692">
        <v>10</v>
      </c>
      <c r="AS692">
        <v>8.9</v>
      </c>
      <c r="AT692">
        <v>10</v>
      </c>
      <c r="AU692">
        <v>19.7</v>
      </c>
      <c r="AV692">
        <v>19</v>
      </c>
      <c r="AW692">
        <v>20.6</v>
      </c>
      <c r="AX692">
        <v>19</v>
      </c>
      <c r="AY692">
        <v>10.4</v>
      </c>
      <c r="AZ692">
        <v>10</v>
      </c>
      <c r="BA692">
        <v>10.199999999999999</v>
      </c>
      <c r="BB692">
        <v>10</v>
      </c>
    </row>
    <row r="693" spans="1:54" x14ac:dyDescent="0.35">
      <c r="A693" s="1">
        <v>46059.943749999999</v>
      </c>
      <c r="B693">
        <v>23</v>
      </c>
      <c r="C693">
        <v>3</v>
      </c>
      <c r="D693">
        <v>21.7</v>
      </c>
      <c r="E693">
        <v>2</v>
      </c>
      <c r="F693">
        <v>10.3</v>
      </c>
      <c r="G693">
        <v>13.6</v>
      </c>
      <c r="H693">
        <v>0</v>
      </c>
      <c r="I693">
        <v>16.100000000000001</v>
      </c>
      <c r="J693">
        <v>12.4</v>
      </c>
      <c r="K693">
        <v>0</v>
      </c>
      <c r="L693">
        <v>13.8</v>
      </c>
      <c r="M693">
        <v>17</v>
      </c>
      <c r="N693">
        <v>0</v>
      </c>
      <c r="O693">
        <v>15.9</v>
      </c>
      <c r="P693">
        <v>11.9</v>
      </c>
      <c r="Q693">
        <v>0</v>
      </c>
      <c r="R693">
        <v>11.4</v>
      </c>
      <c r="S693">
        <v>14.6</v>
      </c>
      <c r="T693">
        <v>0</v>
      </c>
      <c r="U693">
        <v>-20.100000000000001</v>
      </c>
      <c r="V693">
        <v>-22.5</v>
      </c>
      <c r="W693">
        <v>-22</v>
      </c>
      <c r="X693">
        <v>-20.6</v>
      </c>
      <c r="Y693">
        <v>-19</v>
      </c>
      <c r="Z693">
        <v>-22</v>
      </c>
      <c r="AA693">
        <v>-2.2000000000000002</v>
      </c>
      <c r="AB693">
        <v>0.9</v>
      </c>
      <c r="AC693">
        <v>-5</v>
      </c>
      <c r="AD693">
        <v>12.4</v>
      </c>
      <c r="AE693">
        <v>10.4</v>
      </c>
      <c r="AF693">
        <v>0</v>
      </c>
      <c r="AG693">
        <v>11.5</v>
      </c>
      <c r="AH693">
        <v>10</v>
      </c>
      <c r="AI693">
        <v>10.5</v>
      </c>
      <c r="AJ693">
        <v>10</v>
      </c>
      <c r="AK693">
        <v>10.3</v>
      </c>
      <c r="AL693">
        <v>10</v>
      </c>
      <c r="AM693">
        <v>12.4</v>
      </c>
      <c r="AN693">
        <v>9</v>
      </c>
      <c r="AO693">
        <v>10.6</v>
      </c>
      <c r="AP693">
        <v>10</v>
      </c>
      <c r="AQ693">
        <v>11.6</v>
      </c>
      <c r="AR693">
        <v>10</v>
      </c>
      <c r="AS693">
        <v>9.5</v>
      </c>
      <c r="AT693">
        <v>10</v>
      </c>
      <c r="AU693">
        <v>19.7</v>
      </c>
      <c r="AV693">
        <v>19</v>
      </c>
      <c r="AW693">
        <v>20.6</v>
      </c>
      <c r="AX693">
        <v>19</v>
      </c>
      <c r="AY693">
        <v>10.8</v>
      </c>
      <c r="AZ693">
        <v>10</v>
      </c>
      <c r="BA693">
        <v>9.6</v>
      </c>
      <c r="BB693">
        <v>10</v>
      </c>
    </row>
    <row r="694" spans="1:54" x14ac:dyDescent="0.35">
      <c r="A694" s="1">
        <v>46059.944444444445</v>
      </c>
      <c r="B694">
        <v>23</v>
      </c>
      <c r="C694">
        <v>3</v>
      </c>
      <c r="D694">
        <v>21.7</v>
      </c>
      <c r="E694">
        <v>2</v>
      </c>
      <c r="F694">
        <v>10.3</v>
      </c>
      <c r="G694">
        <v>13.6</v>
      </c>
      <c r="H694">
        <v>0</v>
      </c>
      <c r="I694">
        <v>16.100000000000001</v>
      </c>
      <c r="J694">
        <v>12.4</v>
      </c>
      <c r="K694">
        <v>0</v>
      </c>
      <c r="L694">
        <v>13.8</v>
      </c>
      <c r="M694">
        <v>17</v>
      </c>
      <c r="N694">
        <v>0</v>
      </c>
      <c r="O694">
        <v>15.9</v>
      </c>
      <c r="P694">
        <v>11.9</v>
      </c>
      <c r="Q694">
        <v>0</v>
      </c>
      <c r="R694">
        <v>11.4</v>
      </c>
      <c r="S694">
        <v>14.6</v>
      </c>
      <c r="T694">
        <v>0</v>
      </c>
      <c r="U694">
        <v>-20.100000000000001</v>
      </c>
      <c r="V694">
        <v>-22.3</v>
      </c>
      <c r="W694">
        <v>-22</v>
      </c>
      <c r="X694">
        <v>-20.6</v>
      </c>
      <c r="Y694">
        <v>-19</v>
      </c>
      <c r="Z694">
        <v>-22</v>
      </c>
      <c r="AA694">
        <v>-2.2000000000000002</v>
      </c>
      <c r="AB694">
        <v>4.9000000000000004</v>
      </c>
      <c r="AC694">
        <v>-5</v>
      </c>
      <c r="AD694">
        <v>12.4</v>
      </c>
      <c r="AE694">
        <v>10.4</v>
      </c>
      <c r="AF694">
        <v>0</v>
      </c>
      <c r="AG694">
        <v>11.6</v>
      </c>
      <c r="AH694">
        <v>10</v>
      </c>
      <c r="AI694">
        <v>10.6</v>
      </c>
      <c r="AJ694">
        <v>10</v>
      </c>
      <c r="AK694">
        <v>10.5</v>
      </c>
      <c r="AL694">
        <v>10</v>
      </c>
      <c r="AM694">
        <v>12.4</v>
      </c>
      <c r="AN694">
        <v>9</v>
      </c>
      <c r="AO694">
        <v>10.4</v>
      </c>
      <c r="AP694">
        <v>10</v>
      </c>
      <c r="AQ694">
        <v>11.5</v>
      </c>
      <c r="AR694">
        <v>10</v>
      </c>
      <c r="AS694">
        <v>9.9</v>
      </c>
      <c r="AT694">
        <v>10</v>
      </c>
      <c r="AU694">
        <v>19.7</v>
      </c>
      <c r="AV694">
        <v>19</v>
      </c>
      <c r="AW694">
        <v>20.6</v>
      </c>
      <c r="AX694">
        <v>19</v>
      </c>
      <c r="AY694">
        <v>11</v>
      </c>
      <c r="AZ694">
        <v>10</v>
      </c>
      <c r="BA694">
        <v>9.6999999999999993</v>
      </c>
      <c r="BB694">
        <v>10</v>
      </c>
    </row>
    <row r="695" spans="1:54" x14ac:dyDescent="0.35">
      <c r="A695" s="1">
        <v>46059.945138888892</v>
      </c>
      <c r="B695">
        <v>23</v>
      </c>
      <c r="C695">
        <v>3</v>
      </c>
      <c r="D695">
        <v>21.7</v>
      </c>
      <c r="E695">
        <v>2</v>
      </c>
      <c r="F695">
        <v>10.4</v>
      </c>
      <c r="G695">
        <v>13.7</v>
      </c>
      <c r="H695">
        <v>0</v>
      </c>
      <c r="I695">
        <v>16.2</v>
      </c>
      <c r="J695">
        <v>12.4</v>
      </c>
      <c r="K695">
        <v>0</v>
      </c>
      <c r="L695">
        <v>13.8</v>
      </c>
      <c r="M695">
        <v>17</v>
      </c>
      <c r="N695">
        <v>0</v>
      </c>
      <c r="O695">
        <v>15.9</v>
      </c>
      <c r="P695">
        <v>11.9</v>
      </c>
      <c r="Q695">
        <v>0</v>
      </c>
      <c r="R695">
        <v>11.4</v>
      </c>
      <c r="S695">
        <v>14.6</v>
      </c>
      <c r="T695">
        <v>0</v>
      </c>
      <c r="U695">
        <v>-20.100000000000001</v>
      </c>
      <c r="V695">
        <v>-22.7</v>
      </c>
      <c r="W695">
        <v>-22</v>
      </c>
      <c r="X695">
        <v>-20.6</v>
      </c>
      <c r="Y695">
        <v>-19</v>
      </c>
      <c r="Z695">
        <v>-22</v>
      </c>
      <c r="AA695">
        <v>-2.2000000000000002</v>
      </c>
      <c r="AB695">
        <v>12.7</v>
      </c>
      <c r="AC695">
        <v>-5</v>
      </c>
      <c r="AD695">
        <v>12.4</v>
      </c>
      <c r="AE695">
        <v>10.4</v>
      </c>
      <c r="AF695">
        <v>0</v>
      </c>
      <c r="AG695">
        <v>11.7</v>
      </c>
      <c r="AH695">
        <v>10</v>
      </c>
      <c r="AI695">
        <v>10.8</v>
      </c>
      <c r="AJ695">
        <v>10</v>
      </c>
      <c r="AK695">
        <v>10.7</v>
      </c>
      <c r="AL695">
        <v>10</v>
      </c>
      <c r="AM695">
        <v>12.4</v>
      </c>
      <c r="AN695">
        <v>9</v>
      </c>
      <c r="AO695">
        <v>10.4</v>
      </c>
      <c r="AP695">
        <v>10</v>
      </c>
      <c r="AQ695">
        <v>11.5</v>
      </c>
      <c r="AR695">
        <v>10</v>
      </c>
      <c r="AS695">
        <v>10.4</v>
      </c>
      <c r="AT695">
        <v>10</v>
      </c>
      <c r="AU695">
        <v>19.7</v>
      </c>
      <c r="AV695">
        <v>19</v>
      </c>
      <c r="AW695">
        <v>20.6</v>
      </c>
      <c r="AX695">
        <v>19</v>
      </c>
      <c r="AY695">
        <v>11.3</v>
      </c>
      <c r="AZ695">
        <v>10</v>
      </c>
      <c r="BA695">
        <v>10.1</v>
      </c>
      <c r="BB695">
        <v>10</v>
      </c>
    </row>
    <row r="696" spans="1:54" x14ac:dyDescent="0.35">
      <c r="A696" s="1">
        <v>46059.945833333331</v>
      </c>
      <c r="B696">
        <v>23</v>
      </c>
      <c r="C696">
        <v>3</v>
      </c>
      <c r="D696">
        <v>21.7</v>
      </c>
      <c r="E696">
        <v>2</v>
      </c>
      <c r="F696">
        <v>10.4</v>
      </c>
      <c r="G696">
        <v>13.7</v>
      </c>
      <c r="H696">
        <v>0</v>
      </c>
      <c r="I696">
        <v>16.2</v>
      </c>
      <c r="J696">
        <v>12.4</v>
      </c>
      <c r="K696">
        <v>0</v>
      </c>
      <c r="L696">
        <v>13.8</v>
      </c>
      <c r="M696">
        <v>17</v>
      </c>
      <c r="N696">
        <v>0</v>
      </c>
      <c r="O696">
        <v>15.9</v>
      </c>
      <c r="P696">
        <v>11.9</v>
      </c>
      <c r="Q696">
        <v>0</v>
      </c>
      <c r="R696">
        <v>11.4</v>
      </c>
      <c r="S696">
        <v>14.6</v>
      </c>
      <c r="T696">
        <v>0</v>
      </c>
      <c r="U696">
        <v>-20.100000000000001</v>
      </c>
      <c r="V696">
        <v>-22.4</v>
      </c>
      <c r="W696">
        <v>-22</v>
      </c>
      <c r="X696">
        <v>-20.6</v>
      </c>
      <c r="Y696">
        <v>-19</v>
      </c>
      <c r="Z696">
        <v>-22</v>
      </c>
      <c r="AA696">
        <v>-2.2000000000000002</v>
      </c>
      <c r="AB696">
        <v>19.899999999999999</v>
      </c>
      <c r="AC696">
        <v>-5</v>
      </c>
      <c r="AD696">
        <v>12.4</v>
      </c>
      <c r="AE696">
        <v>10.4</v>
      </c>
      <c r="AF696">
        <v>0</v>
      </c>
      <c r="AG696">
        <v>11.8</v>
      </c>
      <c r="AH696">
        <v>10</v>
      </c>
      <c r="AI696">
        <v>10.9</v>
      </c>
      <c r="AJ696">
        <v>10</v>
      </c>
      <c r="AK696">
        <v>10.8</v>
      </c>
      <c r="AL696">
        <v>10</v>
      </c>
      <c r="AM696">
        <v>12.3</v>
      </c>
      <c r="AN696">
        <v>9</v>
      </c>
      <c r="AO696">
        <v>10.1</v>
      </c>
      <c r="AP696">
        <v>10</v>
      </c>
      <c r="AQ696">
        <v>11.5</v>
      </c>
      <c r="AR696">
        <v>10</v>
      </c>
      <c r="AS696">
        <v>10.6</v>
      </c>
      <c r="AT696">
        <v>10</v>
      </c>
      <c r="AU696">
        <v>19.7</v>
      </c>
      <c r="AV696">
        <v>19</v>
      </c>
      <c r="AW696">
        <v>20.8</v>
      </c>
      <c r="AX696">
        <v>19</v>
      </c>
      <c r="AY696">
        <v>11.5</v>
      </c>
      <c r="AZ696">
        <v>10</v>
      </c>
      <c r="BA696">
        <v>10.5</v>
      </c>
      <c r="BB696">
        <v>10</v>
      </c>
    </row>
    <row r="697" spans="1:54" x14ac:dyDescent="0.35">
      <c r="A697" s="1">
        <v>46059.946527777778</v>
      </c>
      <c r="B697">
        <v>23</v>
      </c>
      <c r="C697">
        <v>3</v>
      </c>
      <c r="D697">
        <v>21.7</v>
      </c>
      <c r="E697">
        <v>2</v>
      </c>
      <c r="F697">
        <v>10.4</v>
      </c>
      <c r="G697">
        <v>13.7</v>
      </c>
      <c r="H697">
        <v>0</v>
      </c>
      <c r="I697">
        <v>16.2</v>
      </c>
      <c r="J697">
        <v>12.4</v>
      </c>
      <c r="K697">
        <v>0</v>
      </c>
      <c r="L697">
        <v>13.8</v>
      </c>
      <c r="M697">
        <v>17</v>
      </c>
      <c r="N697">
        <v>0</v>
      </c>
      <c r="O697">
        <v>15.9</v>
      </c>
      <c r="P697">
        <v>11.9</v>
      </c>
      <c r="Q697">
        <v>0</v>
      </c>
      <c r="R697">
        <v>11.4</v>
      </c>
      <c r="S697">
        <v>14.6</v>
      </c>
      <c r="T697">
        <v>0</v>
      </c>
      <c r="U697">
        <v>-20.100000000000001</v>
      </c>
      <c r="V697">
        <v>-22.5</v>
      </c>
      <c r="W697">
        <v>-22</v>
      </c>
      <c r="X697">
        <v>-20.6</v>
      </c>
      <c r="Y697">
        <v>-19</v>
      </c>
      <c r="Z697">
        <v>-22</v>
      </c>
      <c r="AA697">
        <v>-2.2000000000000002</v>
      </c>
      <c r="AB697">
        <v>24.8</v>
      </c>
      <c r="AC697">
        <v>-5</v>
      </c>
      <c r="AD697">
        <v>12.4</v>
      </c>
      <c r="AE697">
        <v>10.4</v>
      </c>
      <c r="AF697">
        <v>0</v>
      </c>
      <c r="AG697">
        <v>11.9</v>
      </c>
      <c r="AH697">
        <v>10</v>
      </c>
      <c r="AI697">
        <v>11</v>
      </c>
      <c r="AJ697">
        <v>10</v>
      </c>
      <c r="AK697">
        <v>10.9</v>
      </c>
      <c r="AL697">
        <v>10</v>
      </c>
      <c r="AM697">
        <v>12.3</v>
      </c>
      <c r="AN697">
        <v>9</v>
      </c>
      <c r="AO697">
        <v>10</v>
      </c>
      <c r="AP697">
        <v>10</v>
      </c>
      <c r="AQ697">
        <v>11.4</v>
      </c>
      <c r="AR697">
        <v>10</v>
      </c>
      <c r="AS697">
        <v>10.9</v>
      </c>
      <c r="AT697">
        <v>10</v>
      </c>
      <c r="AU697">
        <v>19.7</v>
      </c>
      <c r="AV697">
        <v>19</v>
      </c>
      <c r="AW697">
        <v>20.7</v>
      </c>
      <c r="AX697">
        <v>19</v>
      </c>
      <c r="AY697">
        <v>11.7</v>
      </c>
      <c r="AZ697">
        <v>10</v>
      </c>
      <c r="BA697">
        <v>10.9</v>
      </c>
      <c r="BB697">
        <v>10</v>
      </c>
    </row>
    <row r="698" spans="1:54" x14ac:dyDescent="0.35">
      <c r="A698" s="1">
        <v>46059.947222222225</v>
      </c>
      <c r="B698">
        <v>23</v>
      </c>
      <c r="C698">
        <v>3</v>
      </c>
      <c r="D698">
        <v>21.7</v>
      </c>
      <c r="E698">
        <v>2</v>
      </c>
      <c r="F698">
        <v>10.4</v>
      </c>
      <c r="G698">
        <v>13.7</v>
      </c>
      <c r="H698">
        <v>0</v>
      </c>
      <c r="I698">
        <v>16.2</v>
      </c>
      <c r="J698">
        <v>12.4</v>
      </c>
      <c r="K698">
        <v>0</v>
      </c>
      <c r="L698">
        <v>13.8</v>
      </c>
      <c r="M698">
        <v>17</v>
      </c>
      <c r="N698">
        <v>0</v>
      </c>
      <c r="O698">
        <v>15.9</v>
      </c>
      <c r="P698">
        <v>11.9</v>
      </c>
      <c r="Q698">
        <v>0</v>
      </c>
      <c r="R698">
        <v>11.4</v>
      </c>
      <c r="S698">
        <v>14.7</v>
      </c>
      <c r="T698">
        <v>0</v>
      </c>
      <c r="U698">
        <v>-20.100000000000001</v>
      </c>
      <c r="V698">
        <v>-22.5</v>
      </c>
      <c r="W698">
        <v>-22</v>
      </c>
      <c r="X698">
        <v>-20.6</v>
      </c>
      <c r="Y698">
        <v>-19</v>
      </c>
      <c r="Z698">
        <v>-22</v>
      </c>
      <c r="AA698">
        <v>-2.2000000000000002</v>
      </c>
      <c r="AB698">
        <v>28</v>
      </c>
      <c r="AC698">
        <v>-5</v>
      </c>
      <c r="AD698">
        <v>12.4</v>
      </c>
      <c r="AE698">
        <v>10.4</v>
      </c>
      <c r="AF698">
        <v>0</v>
      </c>
      <c r="AG698">
        <v>11.9</v>
      </c>
      <c r="AH698">
        <v>10</v>
      </c>
      <c r="AI698">
        <v>11.1</v>
      </c>
      <c r="AJ698">
        <v>10</v>
      </c>
      <c r="AK698">
        <v>10.9</v>
      </c>
      <c r="AL698">
        <v>10</v>
      </c>
      <c r="AM698">
        <v>12.2</v>
      </c>
      <c r="AN698">
        <v>9</v>
      </c>
      <c r="AO698">
        <v>10.8</v>
      </c>
      <c r="AP698">
        <v>10</v>
      </c>
      <c r="AQ698">
        <v>11.1</v>
      </c>
      <c r="AR698">
        <v>10</v>
      </c>
      <c r="AS698">
        <v>11.1</v>
      </c>
      <c r="AT698">
        <v>10</v>
      </c>
      <c r="AU698">
        <v>19.7</v>
      </c>
      <c r="AV698">
        <v>19</v>
      </c>
      <c r="AW698">
        <v>20.7</v>
      </c>
      <c r="AX698">
        <v>19</v>
      </c>
      <c r="AY698">
        <v>11.9</v>
      </c>
      <c r="AZ698">
        <v>10</v>
      </c>
      <c r="BA698">
        <v>11.2</v>
      </c>
      <c r="BB698">
        <v>10</v>
      </c>
    </row>
    <row r="699" spans="1:54" x14ac:dyDescent="0.35">
      <c r="A699" s="1">
        <v>46059.947916666664</v>
      </c>
      <c r="B699">
        <v>23</v>
      </c>
      <c r="C699">
        <v>3</v>
      </c>
      <c r="D699">
        <v>21.7</v>
      </c>
      <c r="E699">
        <v>2</v>
      </c>
      <c r="F699">
        <v>10.4</v>
      </c>
      <c r="G699">
        <v>13.7</v>
      </c>
      <c r="H699">
        <v>0</v>
      </c>
      <c r="I699">
        <v>16.2</v>
      </c>
      <c r="J699">
        <v>12.4</v>
      </c>
      <c r="K699">
        <v>0</v>
      </c>
      <c r="L699">
        <v>13.8</v>
      </c>
      <c r="M699">
        <v>17</v>
      </c>
      <c r="N699">
        <v>0</v>
      </c>
      <c r="O699">
        <v>15.9</v>
      </c>
      <c r="P699">
        <v>11.9</v>
      </c>
      <c r="Q699">
        <v>0</v>
      </c>
      <c r="R699">
        <v>11.4</v>
      </c>
      <c r="S699">
        <v>14.7</v>
      </c>
      <c r="T699">
        <v>0</v>
      </c>
      <c r="U699">
        <v>-20.100000000000001</v>
      </c>
      <c r="V699">
        <v>-22.3</v>
      </c>
      <c r="W699">
        <v>-22</v>
      </c>
      <c r="X699">
        <v>-20.6</v>
      </c>
      <c r="Y699">
        <v>-19</v>
      </c>
      <c r="Z699">
        <v>-22</v>
      </c>
      <c r="AA699">
        <v>-2.2000000000000002</v>
      </c>
      <c r="AB699">
        <v>29.6</v>
      </c>
      <c r="AC699">
        <v>-5</v>
      </c>
      <c r="AD699">
        <v>12.4</v>
      </c>
      <c r="AE699">
        <v>10.4</v>
      </c>
      <c r="AF699">
        <v>0</v>
      </c>
      <c r="AG699">
        <v>12</v>
      </c>
      <c r="AH699">
        <v>10</v>
      </c>
      <c r="AI699">
        <v>11.2</v>
      </c>
      <c r="AJ699">
        <v>10</v>
      </c>
      <c r="AK699">
        <v>11</v>
      </c>
      <c r="AL699">
        <v>10</v>
      </c>
      <c r="AM699">
        <v>12.2</v>
      </c>
      <c r="AN699">
        <v>9</v>
      </c>
      <c r="AO699">
        <v>11.2</v>
      </c>
      <c r="AP699">
        <v>10</v>
      </c>
      <c r="AQ699">
        <v>10.9</v>
      </c>
      <c r="AR699">
        <v>10</v>
      </c>
      <c r="AS699">
        <v>11.4</v>
      </c>
      <c r="AT699">
        <v>10</v>
      </c>
      <c r="AU699">
        <v>19.7</v>
      </c>
      <c r="AV699">
        <v>19</v>
      </c>
      <c r="AW699">
        <v>20.8</v>
      </c>
      <c r="AX699">
        <v>19</v>
      </c>
      <c r="AY699">
        <v>12</v>
      </c>
      <c r="AZ699">
        <v>10</v>
      </c>
      <c r="BA699">
        <v>11.6</v>
      </c>
      <c r="BB699">
        <v>10</v>
      </c>
    </row>
    <row r="700" spans="1:54" x14ac:dyDescent="0.35">
      <c r="A700" s="1">
        <v>46059.948611111111</v>
      </c>
      <c r="B700">
        <v>23</v>
      </c>
      <c r="C700">
        <v>3</v>
      </c>
      <c r="D700">
        <v>21.7</v>
      </c>
      <c r="E700">
        <v>2</v>
      </c>
      <c r="F700">
        <v>10.4</v>
      </c>
      <c r="G700">
        <v>13.7</v>
      </c>
      <c r="H700">
        <v>0</v>
      </c>
      <c r="I700">
        <v>16.2</v>
      </c>
      <c r="J700">
        <v>12.4</v>
      </c>
      <c r="K700">
        <v>0</v>
      </c>
      <c r="L700">
        <v>13.8</v>
      </c>
      <c r="M700">
        <v>17</v>
      </c>
      <c r="N700">
        <v>0</v>
      </c>
      <c r="O700">
        <v>15.9</v>
      </c>
      <c r="P700">
        <v>11.9</v>
      </c>
      <c r="Q700">
        <v>0</v>
      </c>
      <c r="R700">
        <v>11.4</v>
      </c>
      <c r="S700">
        <v>14.7</v>
      </c>
      <c r="T700">
        <v>0</v>
      </c>
      <c r="U700">
        <v>-20.100000000000001</v>
      </c>
      <c r="V700">
        <v>-22.7</v>
      </c>
      <c r="W700">
        <v>-22</v>
      </c>
      <c r="X700">
        <v>-20.6</v>
      </c>
      <c r="Y700">
        <v>-19</v>
      </c>
      <c r="Z700">
        <v>-22</v>
      </c>
      <c r="AA700">
        <v>-2.2000000000000002</v>
      </c>
      <c r="AB700">
        <v>31</v>
      </c>
      <c r="AC700">
        <v>-5</v>
      </c>
      <c r="AD700">
        <v>12.4</v>
      </c>
      <c r="AE700">
        <v>10.4</v>
      </c>
      <c r="AF700">
        <v>0</v>
      </c>
      <c r="AG700">
        <v>11.1</v>
      </c>
      <c r="AH700">
        <v>10</v>
      </c>
      <c r="AI700">
        <v>11.3</v>
      </c>
      <c r="AJ700">
        <v>10</v>
      </c>
      <c r="AK700">
        <v>11.1</v>
      </c>
      <c r="AL700">
        <v>10</v>
      </c>
      <c r="AM700">
        <v>12.2</v>
      </c>
      <c r="AN700">
        <v>9</v>
      </c>
      <c r="AO700">
        <v>11.4</v>
      </c>
      <c r="AP700">
        <v>10</v>
      </c>
      <c r="AQ700">
        <v>10.9</v>
      </c>
      <c r="AR700">
        <v>10</v>
      </c>
      <c r="AS700">
        <v>11.6</v>
      </c>
      <c r="AT700">
        <v>10</v>
      </c>
      <c r="AU700">
        <v>19.7</v>
      </c>
      <c r="AV700">
        <v>19</v>
      </c>
      <c r="AW700">
        <v>20.8</v>
      </c>
      <c r="AX700">
        <v>19</v>
      </c>
      <c r="AY700">
        <v>11.3</v>
      </c>
      <c r="AZ700">
        <v>10</v>
      </c>
      <c r="BA700">
        <v>11.8</v>
      </c>
      <c r="BB700">
        <v>10</v>
      </c>
    </row>
    <row r="701" spans="1:54" x14ac:dyDescent="0.35">
      <c r="A701" s="1">
        <v>46059.949305555558</v>
      </c>
      <c r="B701">
        <v>23</v>
      </c>
      <c r="C701">
        <v>3</v>
      </c>
      <c r="D701">
        <v>21.7</v>
      </c>
      <c r="E701">
        <v>2</v>
      </c>
      <c r="F701">
        <v>10.4</v>
      </c>
      <c r="G701">
        <v>13.7</v>
      </c>
      <c r="H701">
        <v>0</v>
      </c>
      <c r="I701">
        <v>16.2</v>
      </c>
      <c r="J701">
        <v>12.4</v>
      </c>
      <c r="K701">
        <v>0</v>
      </c>
      <c r="L701">
        <v>13.8</v>
      </c>
      <c r="M701">
        <v>17</v>
      </c>
      <c r="N701">
        <v>0</v>
      </c>
      <c r="O701">
        <v>15.9</v>
      </c>
      <c r="P701">
        <v>11.9</v>
      </c>
      <c r="Q701">
        <v>0</v>
      </c>
      <c r="R701">
        <v>11.4</v>
      </c>
      <c r="S701">
        <v>14.7</v>
      </c>
      <c r="T701">
        <v>0</v>
      </c>
      <c r="U701">
        <v>-20.100000000000001</v>
      </c>
      <c r="V701">
        <v>-22.5</v>
      </c>
      <c r="W701">
        <v>-22</v>
      </c>
      <c r="X701">
        <v>-20.6</v>
      </c>
      <c r="Y701">
        <v>-19</v>
      </c>
      <c r="Z701">
        <v>-22</v>
      </c>
      <c r="AA701">
        <v>-2.2000000000000002</v>
      </c>
      <c r="AB701">
        <v>31.1</v>
      </c>
      <c r="AC701">
        <v>-5</v>
      </c>
      <c r="AD701">
        <v>12.4</v>
      </c>
      <c r="AE701">
        <v>10.4</v>
      </c>
      <c r="AF701">
        <v>0</v>
      </c>
      <c r="AG701">
        <v>10.3</v>
      </c>
      <c r="AH701">
        <v>10</v>
      </c>
      <c r="AI701">
        <v>11.4</v>
      </c>
      <c r="AJ701">
        <v>10</v>
      </c>
      <c r="AK701">
        <v>11.2</v>
      </c>
      <c r="AL701">
        <v>10</v>
      </c>
      <c r="AM701">
        <v>12.2</v>
      </c>
      <c r="AN701">
        <v>9</v>
      </c>
      <c r="AO701">
        <v>11.5</v>
      </c>
      <c r="AP701">
        <v>10</v>
      </c>
      <c r="AQ701">
        <v>10.8</v>
      </c>
      <c r="AR701">
        <v>10</v>
      </c>
      <c r="AS701">
        <v>11.8</v>
      </c>
      <c r="AT701">
        <v>10</v>
      </c>
      <c r="AU701">
        <v>19.7</v>
      </c>
      <c r="AV701">
        <v>19</v>
      </c>
      <c r="AW701">
        <v>20.8</v>
      </c>
      <c r="AX701">
        <v>19</v>
      </c>
      <c r="AY701">
        <v>10.5</v>
      </c>
      <c r="AZ701">
        <v>10</v>
      </c>
      <c r="BA701">
        <v>12</v>
      </c>
      <c r="BB701">
        <v>10</v>
      </c>
    </row>
    <row r="702" spans="1:54" x14ac:dyDescent="0.35">
      <c r="A702" s="1">
        <v>46059.95</v>
      </c>
      <c r="B702">
        <v>23</v>
      </c>
      <c r="C702">
        <v>3</v>
      </c>
      <c r="D702">
        <v>21.7</v>
      </c>
      <c r="E702">
        <v>2</v>
      </c>
      <c r="F702">
        <v>10.4</v>
      </c>
      <c r="G702">
        <v>13.7</v>
      </c>
      <c r="H702">
        <v>0</v>
      </c>
      <c r="I702">
        <v>16.2</v>
      </c>
      <c r="J702">
        <v>12.4</v>
      </c>
      <c r="K702">
        <v>0</v>
      </c>
      <c r="L702">
        <v>13.8</v>
      </c>
      <c r="M702">
        <v>17</v>
      </c>
      <c r="N702">
        <v>0</v>
      </c>
      <c r="O702">
        <v>15.9</v>
      </c>
      <c r="P702">
        <v>11.9</v>
      </c>
      <c r="Q702">
        <v>0</v>
      </c>
      <c r="R702">
        <v>11.5</v>
      </c>
      <c r="S702">
        <v>14.7</v>
      </c>
      <c r="T702">
        <v>0</v>
      </c>
      <c r="U702">
        <v>-20.2</v>
      </c>
      <c r="V702">
        <v>-22.5</v>
      </c>
      <c r="W702">
        <v>-22</v>
      </c>
      <c r="X702">
        <v>-20.6</v>
      </c>
      <c r="Y702">
        <v>-19</v>
      </c>
      <c r="Z702">
        <v>-22</v>
      </c>
      <c r="AA702">
        <v>-2.2000000000000002</v>
      </c>
      <c r="AB702">
        <v>29.6</v>
      </c>
      <c r="AC702">
        <v>-5</v>
      </c>
      <c r="AD702">
        <v>12.4</v>
      </c>
      <c r="AE702">
        <v>10.4</v>
      </c>
      <c r="AF702">
        <v>0</v>
      </c>
      <c r="AG702">
        <v>9.6</v>
      </c>
      <c r="AH702">
        <v>10</v>
      </c>
      <c r="AI702">
        <v>11.5</v>
      </c>
      <c r="AJ702">
        <v>10</v>
      </c>
      <c r="AK702">
        <v>11.3</v>
      </c>
      <c r="AL702">
        <v>10</v>
      </c>
      <c r="AM702">
        <v>12.3</v>
      </c>
      <c r="AN702">
        <v>9</v>
      </c>
      <c r="AO702">
        <v>11.6</v>
      </c>
      <c r="AP702">
        <v>10</v>
      </c>
      <c r="AQ702">
        <v>10.5</v>
      </c>
      <c r="AR702">
        <v>10</v>
      </c>
      <c r="AS702">
        <v>11.9</v>
      </c>
      <c r="AT702">
        <v>10</v>
      </c>
      <c r="AU702">
        <v>19.7</v>
      </c>
      <c r="AV702">
        <v>19</v>
      </c>
      <c r="AW702">
        <v>20.9</v>
      </c>
      <c r="AX702">
        <v>19</v>
      </c>
      <c r="AY702">
        <v>9.6999999999999993</v>
      </c>
      <c r="AZ702">
        <v>10</v>
      </c>
      <c r="BA702">
        <v>11.6</v>
      </c>
      <c r="BB702">
        <v>10</v>
      </c>
    </row>
    <row r="703" spans="1:54" x14ac:dyDescent="0.35">
      <c r="A703" s="1">
        <v>46059.950694444444</v>
      </c>
      <c r="B703">
        <v>23</v>
      </c>
      <c r="C703">
        <v>3</v>
      </c>
      <c r="D703">
        <v>21.7</v>
      </c>
      <c r="E703">
        <v>2</v>
      </c>
      <c r="F703">
        <v>10.4</v>
      </c>
      <c r="G703">
        <v>13.7</v>
      </c>
      <c r="H703">
        <v>0</v>
      </c>
      <c r="I703">
        <v>16.2</v>
      </c>
      <c r="J703">
        <v>12.4</v>
      </c>
      <c r="K703">
        <v>0</v>
      </c>
      <c r="L703">
        <v>13.8</v>
      </c>
      <c r="M703">
        <v>17</v>
      </c>
      <c r="N703">
        <v>0</v>
      </c>
      <c r="O703">
        <v>15.9</v>
      </c>
      <c r="P703">
        <v>11.9</v>
      </c>
      <c r="Q703">
        <v>0</v>
      </c>
      <c r="R703">
        <v>11.5</v>
      </c>
      <c r="S703">
        <v>14.7</v>
      </c>
      <c r="T703">
        <v>0</v>
      </c>
      <c r="U703">
        <v>-20.2</v>
      </c>
      <c r="V703">
        <v>-22.6</v>
      </c>
      <c r="W703">
        <v>-22</v>
      </c>
      <c r="X703">
        <v>-20.6</v>
      </c>
      <c r="Y703">
        <v>-19</v>
      </c>
      <c r="Z703">
        <v>-22</v>
      </c>
      <c r="AA703">
        <v>22.5</v>
      </c>
      <c r="AB703">
        <v>26.8</v>
      </c>
      <c r="AC703">
        <v>-5</v>
      </c>
      <c r="AD703">
        <v>12.4</v>
      </c>
      <c r="AE703">
        <v>10.4</v>
      </c>
      <c r="AF703">
        <v>0</v>
      </c>
      <c r="AG703">
        <v>9.6</v>
      </c>
      <c r="AH703">
        <v>10</v>
      </c>
      <c r="AI703">
        <v>11.6</v>
      </c>
      <c r="AJ703">
        <v>10</v>
      </c>
      <c r="AK703">
        <v>11.4</v>
      </c>
      <c r="AL703">
        <v>10</v>
      </c>
      <c r="AM703">
        <v>12.3</v>
      </c>
      <c r="AN703">
        <v>9</v>
      </c>
      <c r="AO703">
        <v>11.8</v>
      </c>
      <c r="AP703">
        <v>10</v>
      </c>
      <c r="AQ703">
        <v>10.5</v>
      </c>
      <c r="AR703">
        <v>10</v>
      </c>
      <c r="AS703">
        <v>11.3</v>
      </c>
      <c r="AT703">
        <v>10</v>
      </c>
      <c r="AU703">
        <v>19.7</v>
      </c>
      <c r="AV703">
        <v>19</v>
      </c>
      <c r="AW703">
        <v>20.9</v>
      </c>
      <c r="AX703">
        <v>19</v>
      </c>
      <c r="AY703">
        <v>9.6999999999999993</v>
      </c>
      <c r="AZ703">
        <v>10</v>
      </c>
      <c r="BA703">
        <v>10.7</v>
      </c>
      <c r="BB703">
        <v>10</v>
      </c>
    </row>
    <row r="704" spans="1:54" x14ac:dyDescent="0.35">
      <c r="A704" s="1">
        <v>46059.951388888891</v>
      </c>
      <c r="B704">
        <v>23</v>
      </c>
      <c r="C704">
        <v>3</v>
      </c>
      <c r="D704">
        <v>21.7</v>
      </c>
      <c r="E704">
        <v>2</v>
      </c>
      <c r="F704">
        <v>10.4</v>
      </c>
      <c r="G704">
        <v>13.7</v>
      </c>
      <c r="H704">
        <v>0</v>
      </c>
      <c r="I704">
        <v>16.2</v>
      </c>
      <c r="J704">
        <v>12.4</v>
      </c>
      <c r="K704">
        <v>0</v>
      </c>
      <c r="L704">
        <v>13.8</v>
      </c>
      <c r="M704">
        <v>17</v>
      </c>
      <c r="N704">
        <v>0</v>
      </c>
      <c r="O704">
        <v>15.9</v>
      </c>
      <c r="P704">
        <v>12</v>
      </c>
      <c r="Q704">
        <v>0</v>
      </c>
      <c r="R704">
        <v>11.5</v>
      </c>
      <c r="S704">
        <v>14.7</v>
      </c>
      <c r="T704">
        <v>0</v>
      </c>
      <c r="U704">
        <v>-20.2</v>
      </c>
      <c r="V704">
        <v>-22.4</v>
      </c>
      <c r="W704">
        <v>-22</v>
      </c>
      <c r="X704">
        <v>-20.6</v>
      </c>
      <c r="Y704">
        <v>-19</v>
      </c>
      <c r="Z704">
        <v>-22</v>
      </c>
      <c r="AA704">
        <v>17.899999999999999</v>
      </c>
      <c r="AB704">
        <v>13.7</v>
      </c>
      <c r="AC704">
        <v>-5</v>
      </c>
      <c r="AD704">
        <v>12.4</v>
      </c>
      <c r="AE704">
        <v>10.4</v>
      </c>
      <c r="AF704">
        <v>0</v>
      </c>
      <c r="AG704">
        <v>9.9</v>
      </c>
      <c r="AH704">
        <v>10</v>
      </c>
      <c r="AI704">
        <v>11.7</v>
      </c>
      <c r="AJ704">
        <v>10</v>
      </c>
      <c r="AK704">
        <v>11.5</v>
      </c>
      <c r="AL704">
        <v>10</v>
      </c>
      <c r="AM704">
        <v>12.4</v>
      </c>
      <c r="AN704">
        <v>9</v>
      </c>
      <c r="AO704">
        <v>11.9</v>
      </c>
      <c r="AP704">
        <v>10</v>
      </c>
      <c r="AQ704">
        <v>10.3</v>
      </c>
      <c r="AR704">
        <v>10</v>
      </c>
      <c r="AS704">
        <v>8.5</v>
      </c>
      <c r="AT704">
        <v>10</v>
      </c>
      <c r="AU704">
        <v>19.8</v>
      </c>
      <c r="AV704">
        <v>19</v>
      </c>
      <c r="AW704">
        <v>20.9</v>
      </c>
      <c r="AX704">
        <v>19</v>
      </c>
      <c r="AY704">
        <v>10</v>
      </c>
      <c r="AZ704">
        <v>10</v>
      </c>
      <c r="BA704">
        <v>10</v>
      </c>
      <c r="BB704">
        <v>10</v>
      </c>
    </row>
    <row r="705" spans="1:54" x14ac:dyDescent="0.35">
      <c r="A705" s="1">
        <v>46059.95208333333</v>
      </c>
      <c r="B705">
        <v>23</v>
      </c>
      <c r="C705">
        <v>3</v>
      </c>
      <c r="D705">
        <v>21.7</v>
      </c>
      <c r="E705">
        <v>2</v>
      </c>
      <c r="F705">
        <v>10.4</v>
      </c>
      <c r="G705">
        <v>13.7</v>
      </c>
      <c r="H705">
        <v>0</v>
      </c>
      <c r="I705">
        <v>16.2</v>
      </c>
      <c r="J705">
        <v>12.4</v>
      </c>
      <c r="K705">
        <v>0</v>
      </c>
      <c r="L705">
        <v>13.8</v>
      </c>
      <c r="M705">
        <v>17</v>
      </c>
      <c r="N705">
        <v>0</v>
      </c>
      <c r="O705">
        <v>15.9</v>
      </c>
      <c r="P705">
        <v>12</v>
      </c>
      <c r="Q705">
        <v>0</v>
      </c>
      <c r="R705">
        <v>11.5</v>
      </c>
      <c r="S705">
        <v>14.7</v>
      </c>
      <c r="T705">
        <v>0</v>
      </c>
      <c r="U705">
        <v>-20.2</v>
      </c>
      <c r="V705">
        <v>-22.7</v>
      </c>
      <c r="W705">
        <v>-22</v>
      </c>
      <c r="X705">
        <v>-20.6</v>
      </c>
      <c r="Y705">
        <v>-19</v>
      </c>
      <c r="Z705">
        <v>-22</v>
      </c>
      <c r="AA705">
        <v>9.6</v>
      </c>
      <c r="AB705">
        <v>7.4</v>
      </c>
      <c r="AC705">
        <v>-5</v>
      </c>
      <c r="AD705">
        <v>12.4</v>
      </c>
      <c r="AE705">
        <v>10.5</v>
      </c>
      <c r="AF705">
        <v>0</v>
      </c>
      <c r="AG705">
        <v>10.199999999999999</v>
      </c>
      <c r="AH705">
        <v>10</v>
      </c>
      <c r="AI705">
        <v>11.8</v>
      </c>
      <c r="AJ705">
        <v>10</v>
      </c>
      <c r="AK705">
        <v>11.6</v>
      </c>
      <c r="AL705">
        <v>10</v>
      </c>
      <c r="AM705">
        <v>12.4</v>
      </c>
      <c r="AN705">
        <v>9</v>
      </c>
      <c r="AO705">
        <v>11.8</v>
      </c>
      <c r="AP705">
        <v>10</v>
      </c>
      <c r="AQ705">
        <v>10.199999999999999</v>
      </c>
      <c r="AR705">
        <v>10</v>
      </c>
      <c r="AS705">
        <v>8</v>
      </c>
      <c r="AT705">
        <v>10</v>
      </c>
      <c r="AU705">
        <v>19.8</v>
      </c>
      <c r="AV705">
        <v>19</v>
      </c>
      <c r="AW705">
        <v>20.9</v>
      </c>
      <c r="AX705">
        <v>19</v>
      </c>
      <c r="AY705">
        <v>10.5</v>
      </c>
      <c r="AZ705">
        <v>10</v>
      </c>
      <c r="BA705">
        <v>9.6</v>
      </c>
      <c r="BB705">
        <v>10</v>
      </c>
    </row>
    <row r="706" spans="1:54" x14ac:dyDescent="0.35">
      <c r="A706" s="1">
        <v>46059.952777777777</v>
      </c>
      <c r="B706">
        <v>23</v>
      </c>
      <c r="C706">
        <v>3</v>
      </c>
      <c r="D706">
        <v>21.7</v>
      </c>
      <c r="E706">
        <v>2</v>
      </c>
      <c r="F706">
        <v>10.4</v>
      </c>
      <c r="G706">
        <v>13.7</v>
      </c>
      <c r="H706">
        <v>0</v>
      </c>
      <c r="I706">
        <v>16.2</v>
      </c>
      <c r="J706">
        <v>12.4</v>
      </c>
      <c r="K706">
        <v>0</v>
      </c>
      <c r="L706">
        <v>13.8</v>
      </c>
      <c r="M706">
        <v>17</v>
      </c>
      <c r="N706">
        <v>0</v>
      </c>
      <c r="O706">
        <v>15.9</v>
      </c>
      <c r="P706">
        <v>12</v>
      </c>
      <c r="Q706">
        <v>0</v>
      </c>
      <c r="R706">
        <v>11.5</v>
      </c>
      <c r="S706">
        <v>14.7</v>
      </c>
      <c r="T706">
        <v>0</v>
      </c>
      <c r="U706">
        <v>-20.2</v>
      </c>
      <c r="V706">
        <v>-22.5</v>
      </c>
      <c r="W706">
        <v>-22</v>
      </c>
      <c r="X706">
        <v>-20.6</v>
      </c>
      <c r="Y706">
        <v>-19</v>
      </c>
      <c r="Z706">
        <v>-22</v>
      </c>
      <c r="AA706">
        <v>6</v>
      </c>
      <c r="AB706">
        <v>5.5</v>
      </c>
      <c r="AC706">
        <v>-5</v>
      </c>
      <c r="AD706">
        <v>12.4</v>
      </c>
      <c r="AE706">
        <v>10.5</v>
      </c>
      <c r="AF706">
        <v>0</v>
      </c>
      <c r="AG706">
        <v>10.5</v>
      </c>
      <c r="AH706">
        <v>10</v>
      </c>
      <c r="AI706">
        <v>11.9</v>
      </c>
      <c r="AJ706">
        <v>10</v>
      </c>
      <c r="AK706">
        <v>11.7</v>
      </c>
      <c r="AL706">
        <v>10</v>
      </c>
      <c r="AM706">
        <v>12.4</v>
      </c>
      <c r="AN706">
        <v>9</v>
      </c>
      <c r="AO706">
        <v>10.3</v>
      </c>
      <c r="AP706">
        <v>10</v>
      </c>
      <c r="AQ706">
        <v>10.199999999999999</v>
      </c>
      <c r="AR706">
        <v>10</v>
      </c>
      <c r="AS706">
        <v>8.3000000000000007</v>
      </c>
      <c r="AT706">
        <v>10</v>
      </c>
      <c r="AU706">
        <v>19.8</v>
      </c>
      <c r="AV706">
        <v>19</v>
      </c>
      <c r="AW706">
        <v>20.9</v>
      </c>
      <c r="AX706">
        <v>19</v>
      </c>
      <c r="AY706">
        <v>10.8</v>
      </c>
      <c r="AZ706">
        <v>10</v>
      </c>
      <c r="BA706">
        <v>9.9</v>
      </c>
      <c r="BB706">
        <v>10</v>
      </c>
    </row>
    <row r="707" spans="1:54" x14ac:dyDescent="0.35">
      <c r="A707" s="1">
        <v>46059.953472222223</v>
      </c>
      <c r="B707">
        <v>23</v>
      </c>
      <c r="C707">
        <v>3</v>
      </c>
      <c r="D707">
        <v>21.7</v>
      </c>
      <c r="E707">
        <v>2</v>
      </c>
      <c r="F707">
        <v>10.4</v>
      </c>
      <c r="G707">
        <v>13.7</v>
      </c>
      <c r="H707">
        <v>0</v>
      </c>
      <c r="I707">
        <v>16.2</v>
      </c>
      <c r="J707">
        <v>12.4</v>
      </c>
      <c r="K707">
        <v>0</v>
      </c>
      <c r="L707">
        <v>13.8</v>
      </c>
      <c r="M707">
        <v>17</v>
      </c>
      <c r="N707">
        <v>0</v>
      </c>
      <c r="O707">
        <v>15.9</v>
      </c>
      <c r="P707">
        <v>12</v>
      </c>
      <c r="Q707">
        <v>0</v>
      </c>
      <c r="R707">
        <v>11.5</v>
      </c>
      <c r="S707">
        <v>14.7</v>
      </c>
      <c r="T707">
        <v>0</v>
      </c>
      <c r="U707">
        <v>-20.2</v>
      </c>
      <c r="V707">
        <v>-22.5</v>
      </c>
      <c r="W707">
        <v>-22</v>
      </c>
      <c r="X707">
        <v>-20.7</v>
      </c>
      <c r="Y707">
        <v>-19</v>
      </c>
      <c r="Z707">
        <v>-22</v>
      </c>
      <c r="AA707">
        <v>4</v>
      </c>
      <c r="AB707">
        <v>3.5</v>
      </c>
      <c r="AC707">
        <v>-5</v>
      </c>
      <c r="AD707">
        <v>12.4</v>
      </c>
      <c r="AE707">
        <v>10.5</v>
      </c>
      <c r="AF707">
        <v>0</v>
      </c>
      <c r="AG707">
        <v>10.7</v>
      </c>
      <c r="AH707">
        <v>10</v>
      </c>
      <c r="AI707">
        <v>12</v>
      </c>
      <c r="AJ707">
        <v>10</v>
      </c>
      <c r="AK707">
        <v>11.7</v>
      </c>
      <c r="AL707">
        <v>10</v>
      </c>
      <c r="AM707">
        <v>12.5</v>
      </c>
      <c r="AN707">
        <v>9</v>
      </c>
      <c r="AO707">
        <v>10</v>
      </c>
      <c r="AP707">
        <v>10</v>
      </c>
      <c r="AQ707">
        <v>10</v>
      </c>
      <c r="AR707">
        <v>10</v>
      </c>
      <c r="AS707">
        <v>9</v>
      </c>
      <c r="AT707">
        <v>10</v>
      </c>
      <c r="AU707">
        <v>19.8</v>
      </c>
      <c r="AV707">
        <v>19</v>
      </c>
      <c r="AW707">
        <v>20.9</v>
      </c>
      <c r="AX707">
        <v>19</v>
      </c>
      <c r="AY707">
        <v>11</v>
      </c>
      <c r="AZ707">
        <v>10</v>
      </c>
      <c r="BA707">
        <v>10.3</v>
      </c>
      <c r="BB707">
        <v>10</v>
      </c>
    </row>
    <row r="708" spans="1:54" x14ac:dyDescent="0.35">
      <c r="A708" s="1">
        <v>46059.95416666667</v>
      </c>
      <c r="B708">
        <v>23</v>
      </c>
      <c r="C708">
        <v>3</v>
      </c>
      <c r="D708">
        <v>21.7</v>
      </c>
      <c r="E708">
        <v>2</v>
      </c>
      <c r="F708">
        <v>10.4</v>
      </c>
      <c r="G708">
        <v>13.7</v>
      </c>
      <c r="H708">
        <v>0</v>
      </c>
      <c r="I708">
        <v>16.2</v>
      </c>
      <c r="J708">
        <v>12.4</v>
      </c>
      <c r="K708">
        <v>0</v>
      </c>
      <c r="L708">
        <v>13.8</v>
      </c>
      <c r="M708">
        <v>17</v>
      </c>
      <c r="N708">
        <v>0</v>
      </c>
      <c r="O708">
        <v>15.9</v>
      </c>
      <c r="P708">
        <v>12</v>
      </c>
      <c r="Q708">
        <v>0</v>
      </c>
      <c r="R708">
        <v>11.5</v>
      </c>
      <c r="S708">
        <v>14.7</v>
      </c>
      <c r="T708">
        <v>0</v>
      </c>
      <c r="U708">
        <v>-20.2</v>
      </c>
      <c r="V708">
        <v>-22.6</v>
      </c>
      <c r="W708">
        <v>-22</v>
      </c>
      <c r="X708">
        <v>-20.7</v>
      </c>
      <c r="Y708">
        <v>-19</v>
      </c>
      <c r="Z708">
        <v>-22</v>
      </c>
      <c r="AA708">
        <v>2.9</v>
      </c>
      <c r="AB708">
        <v>2.1</v>
      </c>
      <c r="AC708">
        <v>-5</v>
      </c>
      <c r="AD708">
        <v>12.4</v>
      </c>
      <c r="AE708">
        <v>10.5</v>
      </c>
      <c r="AF708">
        <v>0</v>
      </c>
      <c r="AG708">
        <v>10.9</v>
      </c>
      <c r="AH708">
        <v>10</v>
      </c>
      <c r="AI708">
        <v>11</v>
      </c>
      <c r="AJ708">
        <v>10</v>
      </c>
      <c r="AK708">
        <v>11.7</v>
      </c>
      <c r="AL708">
        <v>10</v>
      </c>
      <c r="AM708">
        <v>12.5</v>
      </c>
      <c r="AN708">
        <v>9</v>
      </c>
      <c r="AO708">
        <v>10.7</v>
      </c>
      <c r="AP708">
        <v>10</v>
      </c>
      <c r="AQ708">
        <v>10</v>
      </c>
      <c r="AR708">
        <v>10</v>
      </c>
      <c r="AS708">
        <v>9.5</v>
      </c>
      <c r="AT708">
        <v>10</v>
      </c>
      <c r="AU708">
        <v>19.8</v>
      </c>
      <c r="AV708">
        <v>19</v>
      </c>
      <c r="AW708">
        <v>20.8</v>
      </c>
      <c r="AX708">
        <v>19</v>
      </c>
      <c r="AY708">
        <v>11.3</v>
      </c>
      <c r="AZ708">
        <v>10</v>
      </c>
      <c r="BA708">
        <v>10.7</v>
      </c>
      <c r="BB708">
        <v>10</v>
      </c>
    </row>
    <row r="709" spans="1:54" x14ac:dyDescent="0.35">
      <c r="A709" s="1">
        <v>46059.954861111109</v>
      </c>
      <c r="B709">
        <v>23</v>
      </c>
      <c r="C709">
        <v>3</v>
      </c>
      <c r="D709">
        <v>21.7</v>
      </c>
      <c r="E709">
        <v>2</v>
      </c>
      <c r="F709">
        <v>10.4</v>
      </c>
      <c r="G709">
        <v>13.7</v>
      </c>
      <c r="H709">
        <v>0</v>
      </c>
      <c r="I709">
        <v>16.2</v>
      </c>
      <c r="J709">
        <v>12.4</v>
      </c>
      <c r="K709">
        <v>0</v>
      </c>
      <c r="L709">
        <v>13.8</v>
      </c>
      <c r="M709">
        <v>17</v>
      </c>
      <c r="N709">
        <v>0</v>
      </c>
      <c r="O709">
        <v>15.9</v>
      </c>
      <c r="P709">
        <v>12</v>
      </c>
      <c r="Q709">
        <v>0</v>
      </c>
      <c r="R709">
        <v>11.5</v>
      </c>
      <c r="S709">
        <v>14.7</v>
      </c>
      <c r="T709">
        <v>0</v>
      </c>
      <c r="U709">
        <v>-20.2</v>
      </c>
      <c r="V709">
        <v>-22.3</v>
      </c>
      <c r="W709">
        <v>-22</v>
      </c>
      <c r="X709">
        <v>-20.7</v>
      </c>
      <c r="Y709">
        <v>-19</v>
      </c>
      <c r="Z709">
        <v>-22</v>
      </c>
      <c r="AA709">
        <v>1.8</v>
      </c>
      <c r="AB709">
        <v>0.9</v>
      </c>
      <c r="AC709">
        <v>-5</v>
      </c>
      <c r="AD709">
        <v>12.4</v>
      </c>
      <c r="AE709">
        <v>10.5</v>
      </c>
      <c r="AF709">
        <v>0</v>
      </c>
      <c r="AG709">
        <v>11.1</v>
      </c>
      <c r="AH709">
        <v>10</v>
      </c>
      <c r="AI709">
        <v>9.5</v>
      </c>
      <c r="AJ709">
        <v>10</v>
      </c>
      <c r="AK709">
        <v>11.7</v>
      </c>
      <c r="AL709">
        <v>10</v>
      </c>
      <c r="AM709">
        <v>12.5</v>
      </c>
      <c r="AN709">
        <v>9</v>
      </c>
      <c r="AO709">
        <v>11.3</v>
      </c>
      <c r="AP709">
        <v>10</v>
      </c>
      <c r="AQ709">
        <v>10.8</v>
      </c>
      <c r="AR709">
        <v>10</v>
      </c>
      <c r="AS709">
        <v>9.9</v>
      </c>
      <c r="AT709">
        <v>10</v>
      </c>
      <c r="AU709">
        <v>19.8</v>
      </c>
      <c r="AV709">
        <v>19</v>
      </c>
      <c r="AW709">
        <v>20.8</v>
      </c>
      <c r="AX709">
        <v>19</v>
      </c>
      <c r="AY709">
        <v>11.5</v>
      </c>
      <c r="AZ709">
        <v>10</v>
      </c>
      <c r="BA709">
        <v>11</v>
      </c>
      <c r="BB709">
        <v>10</v>
      </c>
    </row>
    <row r="710" spans="1:54" x14ac:dyDescent="0.35">
      <c r="A710" s="1">
        <v>46059.955555555556</v>
      </c>
      <c r="B710">
        <v>23</v>
      </c>
      <c r="C710">
        <v>3</v>
      </c>
      <c r="D710">
        <v>21.7</v>
      </c>
      <c r="E710">
        <v>2</v>
      </c>
      <c r="F710">
        <v>10.4</v>
      </c>
      <c r="G710">
        <v>13.7</v>
      </c>
      <c r="H710">
        <v>0</v>
      </c>
      <c r="I710">
        <v>16.2</v>
      </c>
      <c r="J710">
        <v>12.4</v>
      </c>
      <c r="K710">
        <v>0</v>
      </c>
      <c r="L710">
        <v>13.9</v>
      </c>
      <c r="M710">
        <v>17</v>
      </c>
      <c r="N710">
        <v>0</v>
      </c>
      <c r="O710">
        <v>15.9</v>
      </c>
      <c r="P710">
        <v>12</v>
      </c>
      <c r="Q710">
        <v>0</v>
      </c>
      <c r="R710">
        <v>11.5</v>
      </c>
      <c r="S710">
        <v>14.7</v>
      </c>
      <c r="T710">
        <v>0</v>
      </c>
      <c r="U710">
        <v>-20.2</v>
      </c>
      <c r="V710">
        <v>-22.5</v>
      </c>
      <c r="W710">
        <v>-22</v>
      </c>
      <c r="X710">
        <v>-20.7</v>
      </c>
      <c r="Y710">
        <v>-19</v>
      </c>
      <c r="Z710">
        <v>-22</v>
      </c>
      <c r="AA710">
        <v>1.1000000000000001</v>
      </c>
      <c r="AB710">
        <v>0.2</v>
      </c>
      <c r="AC710">
        <v>-5</v>
      </c>
      <c r="AD710">
        <v>12.4</v>
      </c>
      <c r="AE710">
        <v>10.5</v>
      </c>
      <c r="AF710">
        <v>0</v>
      </c>
      <c r="AG710">
        <v>11.2</v>
      </c>
      <c r="AH710">
        <v>10</v>
      </c>
      <c r="AI710">
        <v>9</v>
      </c>
      <c r="AJ710">
        <v>10</v>
      </c>
      <c r="AK710">
        <v>11.8</v>
      </c>
      <c r="AL710">
        <v>10</v>
      </c>
      <c r="AM710">
        <v>12.5</v>
      </c>
      <c r="AN710">
        <v>9</v>
      </c>
      <c r="AO710">
        <v>11.5</v>
      </c>
      <c r="AP710">
        <v>10</v>
      </c>
      <c r="AQ710">
        <v>11.4</v>
      </c>
      <c r="AR710">
        <v>10</v>
      </c>
      <c r="AS710">
        <v>10.4</v>
      </c>
      <c r="AT710">
        <v>10</v>
      </c>
      <c r="AU710">
        <v>19.8</v>
      </c>
      <c r="AV710">
        <v>19</v>
      </c>
      <c r="AW710">
        <v>20.8</v>
      </c>
      <c r="AX710">
        <v>19</v>
      </c>
      <c r="AY710">
        <v>11.7</v>
      </c>
      <c r="AZ710">
        <v>10</v>
      </c>
      <c r="BA710">
        <v>11.4</v>
      </c>
      <c r="BB710">
        <v>10</v>
      </c>
    </row>
    <row r="711" spans="1:54" x14ac:dyDescent="0.35">
      <c r="A711" s="1">
        <v>46059.956250000003</v>
      </c>
      <c r="B711">
        <v>23</v>
      </c>
      <c r="C711">
        <v>3</v>
      </c>
      <c r="D711">
        <v>21.7</v>
      </c>
      <c r="E711">
        <v>2</v>
      </c>
      <c r="F711">
        <v>10.4</v>
      </c>
      <c r="G711">
        <v>13.7</v>
      </c>
      <c r="H711">
        <v>0</v>
      </c>
      <c r="I711">
        <v>16.2</v>
      </c>
      <c r="J711">
        <v>12.4</v>
      </c>
      <c r="K711">
        <v>0</v>
      </c>
      <c r="L711">
        <v>13.9</v>
      </c>
      <c r="M711">
        <v>17</v>
      </c>
      <c r="N711">
        <v>0</v>
      </c>
      <c r="O711">
        <v>15.9</v>
      </c>
      <c r="P711">
        <v>12</v>
      </c>
      <c r="Q711">
        <v>0</v>
      </c>
      <c r="R711">
        <v>11.5</v>
      </c>
      <c r="S711">
        <v>14.7</v>
      </c>
      <c r="T711">
        <v>0</v>
      </c>
      <c r="U711">
        <v>-20.2</v>
      </c>
      <c r="V711">
        <v>-22.4</v>
      </c>
      <c r="W711">
        <v>-22</v>
      </c>
      <c r="X711">
        <v>-20.7</v>
      </c>
      <c r="Y711">
        <v>-19</v>
      </c>
      <c r="Z711">
        <v>-22</v>
      </c>
      <c r="AA711">
        <v>0.4</v>
      </c>
      <c r="AB711">
        <v>-0.8</v>
      </c>
      <c r="AC711">
        <v>-5</v>
      </c>
      <c r="AD711">
        <v>12.4</v>
      </c>
      <c r="AE711">
        <v>10.5</v>
      </c>
      <c r="AF711">
        <v>0</v>
      </c>
      <c r="AG711">
        <v>11.4</v>
      </c>
      <c r="AH711">
        <v>10</v>
      </c>
      <c r="AI711">
        <v>9</v>
      </c>
      <c r="AJ711">
        <v>10</v>
      </c>
      <c r="AK711">
        <v>11.9</v>
      </c>
      <c r="AL711">
        <v>10</v>
      </c>
      <c r="AM711">
        <v>12.5</v>
      </c>
      <c r="AN711">
        <v>9</v>
      </c>
      <c r="AO711">
        <v>11.7</v>
      </c>
      <c r="AP711">
        <v>10</v>
      </c>
      <c r="AQ711">
        <v>12</v>
      </c>
      <c r="AR711">
        <v>10</v>
      </c>
      <c r="AS711">
        <v>10.6</v>
      </c>
      <c r="AT711">
        <v>10</v>
      </c>
      <c r="AU711">
        <v>19.8</v>
      </c>
      <c r="AV711">
        <v>19</v>
      </c>
      <c r="AW711">
        <v>20.8</v>
      </c>
      <c r="AX711">
        <v>19</v>
      </c>
      <c r="AY711">
        <v>11.9</v>
      </c>
      <c r="AZ711">
        <v>10</v>
      </c>
      <c r="BA711">
        <v>11.7</v>
      </c>
      <c r="BB711">
        <v>10</v>
      </c>
    </row>
    <row r="712" spans="1:54" x14ac:dyDescent="0.35">
      <c r="A712" s="1">
        <v>46059.956944444442</v>
      </c>
      <c r="B712">
        <v>23</v>
      </c>
      <c r="C712">
        <v>3</v>
      </c>
      <c r="D712">
        <v>21.7</v>
      </c>
      <c r="E712">
        <v>2</v>
      </c>
      <c r="F712">
        <v>10.4</v>
      </c>
      <c r="G712">
        <v>13.7</v>
      </c>
      <c r="H712">
        <v>0</v>
      </c>
      <c r="I712">
        <v>16.2</v>
      </c>
      <c r="J712">
        <v>12.4</v>
      </c>
      <c r="K712">
        <v>0</v>
      </c>
      <c r="L712">
        <v>13.9</v>
      </c>
      <c r="M712">
        <v>17</v>
      </c>
      <c r="N712">
        <v>0</v>
      </c>
      <c r="O712">
        <v>15.9</v>
      </c>
      <c r="P712">
        <v>12</v>
      </c>
      <c r="Q712">
        <v>0</v>
      </c>
      <c r="R712">
        <v>11.5</v>
      </c>
      <c r="S712">
        <v>14.7</v>
      </c>
      <c r="T712">
        <v>0</v>
      </c>
      <c r="U712">
        <v>-20.2</v>
      </c>
      <c r="V712">
        <v>-22.4</v>
      </c>
      <c r="W712">
        <v>-22</v>
      </c>
      <c r="X712">
        <v>-20.7</v>
      </c>
      <c r="Y712">
        <v>-19.100000000000001</v>
      </c>
      <c r="Z712">
        <v>-22</v>
      </c>
      <c r="AA712">
        <v>-0.4</v>
      </c>
      <c r="AB712">
        <v>-2</v>
      </c>
      <c r="AC712">
        <v>-5</v>
      </c>
      <c r="AD712">
        <v>12.4</v>
      </c>
      <c r="AE712">
        <v>10.5</v>
      </c>
      <c r="AF712">
        <v>0</v>
      </c>
      <c r="AG712">
        <v>11.5</v>
      </c>
      <c r="AH712">
        <v>10</v>
      </c>
      <c r="AI712">
        <v>9.3000000000000007</v>
      </c>
      <c r="AJ712">
        <v>10</v>
      </c>
      <c r="AK712">
        <v>11.9</v>
      </c>
      <c r="AL712">
        <v>10</v>
      </c>
      <c r="AM712">
        <v>12.5</v>
      </c>
      <c r="AN712">
        <v>9</v>
      </c>
      <c r="AO712">
        <v>11.8</v>
      </c>
      <c r="AP712">
        <v>10</v>
      </c>
      <c r="AQ712">
        <v>12.3</v>
      </c>
      <c r="AR712">
        <v>10</v>
      </c>
      <c r="AS712">
        <v>10.9</v>
      </c>
      <c r="AT712">
        <v>10</v>
      </c>
      <c r="AU712">
        <v>19.8</v>
      </c>
      <c r="AV712">
        <v>19</v>
      </c>
      <c r="AW712">
        <v>20.8</v>
      </c>
      <c r="AX712">
        <v>19</v>
      </c>
      <c r="AY712">
        <v>12</v>
      </c>
      <c r="AZ712">
        <v>10</v>
      </c>
      <c r="BA712">
        <v>11.9</v>
      </c>
      <c r="BB712">
        <v>10</v>
      </c>
    </row>
    <row r="713" spans="1:54" x14ac:dyDescent="0.35">
      <c r="A713" s="1">
        <v>46059.957638888889</v>
      </c>
      <c r="B713">
        <v>23</v>
      </c>
      <c r="C713">
        <v>3</v>
      </c>
      <c r="D713">
        <v>21.7</v>
      </c>
      <c r="E713">
        <v>2</v>
      </c>
      <c r="F713">
        <v>10.4</v>
      </c>
      <c r="G713">
        <v>13.7</v>
      </c>
      <c r="H713">
        <v>0</v>
      </c>
      <c r="I713">
        <v>16.2</v>
      </c>
      <c r="J713">
        <v>12.4</v>
      </c>
      <c r="K713">
        <v>0</v>
      </c>
      <c r="L713">
        <v>13.9</v>
      </c>
      <c r="M713">
        <v>17</v>
      </c>
      <c r="N713">
        <v>0</v>
      </c>
      <c r="O713">
        <v>15.9</v>
      </c>
      <c r="P713">
        <v>12</v>
      </c>
      <c r="Q713">
        <v>0</v>
      </c>
      <c r="R713">
        <v>11.5</v>
      </c>
      <c r="S713">
        <v>14.7</v>
      </c>
      <c r="T713">
        <v>0</v>
      </c>
      <c r="U713">
        <v>-20.2</v>
      </c>
      <c r="V713">
        <v>-22.7</v>
      </c>
      <c r="W713">
        <v>-22</v>
      </c>
      <c r="X713">
        <v>-20.7</v>
      </c>
      <c r="Y713">
        <v>-19.100000000000001</v>
      </c>
      <c r="Z713">
        <v>-22</v>
      </c>
      <c r="AA713">
        <v>-1</v>
      </c>
      <c r="AB713">
        <v>-2.8</v>
      </c>
      <c r="AC713">
        <v>-5</v>
      </c>
      <c r="AD713">
        <v>12.4</v>
      </c>
      <c r="AE713">
        <v>10.5</v>
      </c>
      <c r="AF713">
        <v>0</v>
      </c>
      <c r="AG713">
        <v>11.6</v>
      </c>
      <c r="AH713">
        <v>10</v>
      </c>
      <c r="AI713">
        <v>9.5</v>
      </c>
      <c r="AJ713">
        <v>10</v>
      </c>
      <c r="AK713">
        <v>12</v>
      </c>
      <c r="AL713">
        <v>10</v>
      </c>
      <c r="AM713">
        <v>12.5</v>
      </c>
      <c r="AN713">
        <v>9</v>
      </c>
      <c r="AO713">
        <v>11.8</v>
      </c>
      <c r="AP713">
        <v>10</v>
      </c>
      <c r="AQ713">
        <v>11.9</v>
      </c>
      <c r="AR713">
        <v>10</v>
      </c>
      <c r="AS713">
        <v>11.2</v>
      </c>
      <c r="AT713">
        <v>10</v>
      </c>
      <c r="AU713">
        <v>19.899999999999999</v>
      </c>
      <c r="AV713">
        <v>19</v>
      </c>
      <c r="AW713">
        <v>20.8</v>
      </c>
      <c r="AX713">
        <v>19</v>
      </c>
      <c r="AY713">
        <v>11.1</v>
      </c>
      <c r="AZ713">
        <v>10</v>
      </c>
      <c r="BA713">
        <v>12</v>
      </c>
      <c r="BB713">
        <v>10</v>
      </c>
    </row>
    <row r="714" spans="1:54" x14ac:dyDescent="0.35">
      <c r="A714" s="1">
        <v>46059.958333333336</v>
      </c>
      <c r="B714">
        <v>23</v>
      </c>
      <c r="C714">
        <v>3</v>
      </c>
      <c r="D714">
        <v>21.7</v>
      </c>
      <c r="E714">
        <v>2</v>
      </c>
      <c r="F714">
        <v>10.4</v>
      </c>
      <c r="G714">
        <v>13.7</v>
      </c>
      <c r="H714">
        <v>0</v>
      </c>
      <c r="I714">
        <v>16.2</v>
      </c>
      <c r="J714">
        <v>12.4</v>
      </c>
      <c r="K714">
        <v>0</v>
      </c>
      <c r="L714">
        <v>13.9</v>
      </c>
      <c r="M714">
        <v>17</v>
      </c>
      <c r="N714">
        <v>0</v>
      </c>
      <c r="O714">
        <v>15.9</v>
      </c>
      <c r="P714">
        <v>12</v>
      </c>
      <c r="Q714">
        <v>0</v>
      </c>
      <c r="R714">
        <v>11.5</v>
      </c>
      <c r="S714">
        <v>14.7</v>
      </c>
      <c r="T714">
        <v>0</v>
      </c>
      <c r="U714">
        <v>-20.2</v>
      </c>
      <c r="V714">
        <v>-22.3</v>
      </c>
      <c r="W714">
        <v>-22</v>
      </c>
      <c r="X714">
        <v>-20.7</v>
      </c>
      <c r="Y714">
        <v>-19.100000000000001</v>
      </c>
      <c r="Z714">
        <v>-22</v>
      </c>
      <c r="AA714">
        <v>-1.6</v>
      </c>
      <c r="AB714">
        <v>-3.5</v>
      </c>
      <c r="AC714">
        <v>-5</v>
      </c>
      <c r="AD714">
        <v>12.4</v>
      </c>
      <c r="AE714">
        <v>10.5</v>
      </c>
      <c r="AF714">
        <v>0</v>
      </c>
      <c r="AG714">
        <v>11.7</v>
      </c>
      <c r="AH714">
        <v>10</v>
      </c>
      <c r="AI714">
        <v>9.9</v>
      </c>
      <c r="AJ714">
        <v>10</v>
      </c>
      <c r="AK714">
        <v>11.1</v>
      </c>
      <c r="AL714">
        <v>10</v>
      </c>
      <c r="AM714">
        <v>12.5</v>
      </c>
      <c r="AN714">
        <v>9</v>
      </c>
      <c r="AO714">
        <v>12</v>
      </c>
      <c r="AP714">
        <v>10</v>
      </c>
      <c r="AQ714">
        <v>11.7</v>
      </c>
      <c r="AR714">
        <v>10</v>
      </c>
      <c r="AS714">
        <v>11.4</v>
      </c>
      <c r="AT714">
        <v>10</v>
      </c>
      <c r="AU714">
        <v>19.899999999999999</v>
      </c>
      <c r="AV714">
        <v>19</v>
      </c>
      <c r="AW714">
        <v>20.8</v>
      </c>
      <c r="AX714">
        <v>19</v>
      </c>
      <c r="AY714">
        <v>10.199999999999999</v>
      </c>
      <c r="AZ714">
        <v>10</v>
      </c>
      <c r="BA714">
        <v>11.2</v>
      </c>
      <c r="BB714">
        <v>10</v>
      </c>
    </row>
    <row r="715" spans="1:54" x14ac:dyDescent="0.35">
      <c r="A715" s="1">
        <v>46059.959027777775</v>
      </c>
      <c r="B715">
        <v>23</v>
      </c>
      <c r="C715">
        <v>3</v>
      </c>
      <c r="D715">
        <v>21.7</v>
      </c>
      <c r="E715">
        <v>2</v>
      </c>
      <c r="F715">
        <v>10.4</v>
      </c>
      <c r="G715">
        <v>13.7</v>
      </c>
      <c r="H715">
        <v>0</v>
      </c>
      <c r="I715">
        <v>16.2</v>
      </c>
      <c r="J715">
        <v>12.5</v>
      </c>
      <c r="K715">
        <v>0</v>
      </c>
      <c r="L715">
        <v>13.9</v>
      </c>
      <c r="M715">
        <v>17</v>
      </c>
      <c r="N715">
        <v>0</v>
      </c>
      <c r="O715">
        <v>15.9</v>
      </c>
      <c r="P715">
        <v>12</v>
      </c>
      <c r="Q715">
        <v>0</v>
      </c>
      <c r="R715">
        <v>11.5</v>
      </c>
      <c r="S715">
        <v>14.7</v>
      </c>
      <c r="T715">
        <v>0</v>
      </c>
      <c r="U715">
        <v>-20.2</v>
      </c>
      <c r="V715">
        <v>-22.6</v>
      </c>
      <c r="W715">
        <v>-22</v>
      </c>
      <c r="X715">
        <v>-20.7</v>
      </c>
      <c r="Y715">
        <v>-19.100000000000001</v>
      </c>
      <c r="Z715">
        <v>-22</v>
      </c>
      <c r="AA715">
        <v>-2</v>
      </c>
      <c r="AB715">
        <v>-4.2</v>
      </c>
      <c r="AC715">
        <v>-5</v>
      </c>
      <c r="AD715">
        <v>12.4</v>
      </c>
      <c r="AE715">
        <v>10.5</v>
      </c>
      <c r="AF715">
        <v>0</v>
      </c>
      <c r="AG715">
        <v>11.8</v>
      </c>
      <c r="AH715">
        <v>10</v>
      </c>
      <c r="AI715">
        <v>10.1</v>
      </c>
      <c r="AJ715">
        <v>10</v>
      </c>
      <c r="AK715">
        <v>10.199999999999999</v>
      </c>
      <c r="AL715">
        <v>10</v>
      </c>
      <c r="AM715">
        <v>12.6</v>
      </c>
      <c r="AN715">
        <v>9</v>
      </c>
      <c r="AO715">
        <v>11.3</v>
      </c>
      <c r="AP715">
        <v>10</v>
      </c>
      <c r="AQ715">
        <v>11.6</v>
      </c>
      <c r="AR715">
        <v>10</v>
      </c>
      <c r="AS715">
        <v>11.6</v>
      </c>
      <c r="AT715">
        <v>10</v>
      </c>
      <c r="AU715">
        <v>19.899999999999999</v>
      </c>
      <c r="AV715">
        <v>19</v>
      </c>
      <c r="AW715">
        <v>20.9</v>
      </c>
      <c r="AX715">
        <v>19</v>
      </c>
      <c r="AY715">
        <v>9.6</v>
      </c>
      <c r="AZ715">
        <v>10</v>
      </c>
      <c r="BA715">
        <v>10.4</v>
      </c>
      <c r="BB715">
        <v>10</v>
      </c>
    </row>
    <row r="716" spans="1:54" x14ac:dyDescent="0.35">
      <c r="A716" s="1">
        <v>46059.959722222222</v>
      </c>
      <c r="B716">
        <v>23</v>
      </c>
      <c r="C716">
        <v>3</v>
      </c>
      <c r="D716">
        <v>21.7</v>
      </c>
      <c r="E716">
        <v>2</v>
      </c>
      <c r="F716">
        <v>10.4</v>
      </c>
      <c r="G716">
        <v>13.7</v>
      </c>
      <c r="H716">
        <v>0</v>
      </c>
      <c r="I716">
        <v>16.2</v>
      </c>
      <c r="J716">
        <v>12.5</v>
      </c>
      <c r="K716">
        <v>0</v>
      </c>
      <c r="L716">
        <v>13.9</v>
      </c>
      <c r="M716">
        <v>17</v>
      </c>
      <c r="N716">
        <v>0</v>
      </c>
      <c r="O716">
        <v>15.9</v>
      </c>
      <c r="P716">
        <v>12</v>
      </c>
      <c r="Q716">
        <v>0</v>
      </c>
      <c r="R716">
        <v>11.5</v>
      </c>
      <c r="S716">
        <v>14.7</v>
      </c>
      <c r="T716">
        <v>0</v>
      </c>
      <c r="U716">
        <v>-20.2</v>
      </c>
      <c r="V716">
        <v>-22.4</v>
      </c>
      <c r="W716">
        <v>-22</v>
      </c>
      <c r="X716">
        <v>-20.7</v>
      </c>
      <c r="Y716">
        <v>-19.100000000000001</v>
      </c>
      <c r="Z716">
        <v>-22</v>
      </c>
      <c r="AA716">
        <v>-2.1</v>
      </c>
      <c r="AB716">
        <v>-4.8</v>
      </c>
      <c r="AC716">
        <v>-5</v>
      </c>
      <c r="AD716">
        <v>12.4</v>
      </c>
      <c r="AE716">
        <v>10.5</v>
      </c>
      <c r="AF716">
        <v>0</v>
      </c>
      <c r="AG716">
        <v>11.9</v>
      </c>
      <c r="AH716">
        <v>10</v>
      </c>
      <c r="AI716">
        <v>10.3</v>
      </c>
      <c r="AJ716">
        <v>10</v>
      </c>
      <c r="AK716">
        <v>10.1</v>
      </c>
      <c r="AL716">
        <v>10</v>
      </c>
      <c r="AM716">
        <v>12.6</v>
      </c>
      <c r="AN716">
        <v>9</v>
      </c>
      <c r="AO716">
        <v>10.9</v>
      </c>
      <c r="AP716">
        <v>10</v>
      </c>
      <c r="AQ716">
        <v>11.5</v>
      </c>
      <c r="AR716">
        <v>10</v>
      </c>
      <c r="AS716">
        <v>11.8</v>
      </c>
      <c r="AT716">
        <v>10</v>
      </c>
      <c r="AU716">
        <v>19.899999999999999</v>
      </c>
      <c r="AV716">
        <v>19</v>
      </c>
      <c r="AW716">
        <v>20.9</v>
      </c>
      <c r="AX716">
        <v>19</v>
      </c>
      <c r="AY716">
        <v>9.6999999999999993</v>
      </c>
      <c r="AZ716">
        <v>10</v>
      </c>
      <c r="BA716">
        <v>9.6999999999999993</v>
      </c>
      <c r="BB716">
        <v>10</v>
      </c>
    </row>
    <row r="717" spans="1:54" x14ac:dyDescent="0.35">
      <c r="A717" s="1">
        <v>46059.960416666669</v>
      </c>
      <c r="B717">
        <v>23</v>
      </c>
      <c r="C717">
        <v>3</v>
      </c>
      <c r="D717">
        <v>21.7</v>
      </c>
      <c r="E717">
        <v>2</v>
      </c>
      <c r="F717">
        <v>10.4</v>
      </c>
      <c r="G717">
        <v>13.7</v>
      </c>
      <c r="H717">
        <v>0</v>
      </c>
      <c r="I717">
        <v>16.2</v>
      </c>
      <c r="J717">
        <v>12.5</v>
      </c>
      <c r="K717">
        <v>0</v>
      </c>
      <c r="L717">
        <v>13.9</v>
      </c>
      <c r="M717">
        <v>17</v>
      </c>
      <c r="N717">
        <v>0</v>
      </c>
      <c r="O717">
        <v>15.9</v>
      </c>
      <c r="P717">
        <v>12</v>
      </c>
      <c r="Q717">
        <v>0</v>
      </c>
      <c r="R717">
        <v>11.5</v>
      </c>
      <c r="S717">
        <v>14.7</v>
      </c>
      <c r="T717">
        <v>0</v>
      </c>
      <c r="U717">
        <v>-20.2</v>
      </c>
      <c r="V717">
        <v>-22.4</v>
      </c>
      <c r="W717">
        <v>-22</v>
      </c>
      <c r="X717">
        <v>-20.7</v>
      </c>
      <c r="Y717">
        <v>-19.100000000000001</v>
      </c>
      <c r="Z717">
        <v>-22</v>
      </c>
      <c r="AA717">
        <v>-2.5</v>
      </c>
      <c r="AB717">
        <v>-5.4</v>
      </c>
      <c r="AC717">
        <v>-5</v>
      </c>
      <c r="AD717">
        <v>12.5</v>
      </c>
      <c r="AE717">
        <v>10.5</v>
      </c>
      <c r="AF717">
        <v>0</v>
      </c>
      <c r="AG717">
        <v>12</v>
      </c>
      <c r="AH717">
        <v>10</v>
      </c>
      <c r="AI717">
        <v>10.5</v>
      </c>
      <c r="AJ717">
        <v>10</v>
      </c>
      <c r="AK717">
        <v>10.199999999999999</v>
      </c>
      <c r="AL717">
        <v>10</v>
      </c>
      <c r="AM717">
        <v>12.6</v>
      </c>
      <c r="AN717">
        <v>9</v>
      </c>
      <c r="AO717">
        <v>10.7</v>
      </c>
      <c r="AP717">
        <v>10</v>
      </c>
      <c r="AQ717">
        <v>11.5</v>
      </c>
      <c r="AR717">
        <v>10</v>
      </c>
      <c r="AS717">
        <v>12</v>
      </c>
      <c r="AT717">
        <v>10</v>
      </c>
      <c r="AU717">
        <v>19.899999999999999</v>
      </c>
      <c r="AV717">
        <v>19</v>
      </c>
      <c r="AW717">
        <v>20.9</v>
      </c>
      <c r="AX717">
        <v>19</v>
      </c>
      <c r="AY717">
        <v>10.1</v>
      </c>
      <c r="AZ717">
        <v>10</v>
      </c>
      <c r="BA717">
        <v>9.6</v>
      </c>
      <c r="BB717">
        <v>10</v>
      </c>
    </row>
    <row r="718" spans="1:54" x14ac:dyDescent="0.35">
      <c r="A718" s="1">
        <v>46059.961111111108</v>
      </c>
      <c r="B718">
        <v>23</v>
      </c>
      <c r="C718">
        <v>3</v>
      </c>
      <c r="D718">
        <v>21.7</v>
      </c>
      <c r="E718">
        <v>2</v>
      </c>
      <c r="F718">
        <v>10.4</v>
      </c>
      <c r="G718">
        <v>13.7</v>
      </c>
      <c r="H718">
        <v>0</v>
      </c>
      <c r="I718">
        <v>16.2</v>
      </c>
      <c r="J718">
        <v>12.5</v>
      </c>
      <c r="K718">
        <v>0</v>
      </c>
      <c r="L718">
        <v>13.9</v>
      </c>
      <c r="M718">
        <v>17</v>
      </c>
      <c r="N718">
        <v>0</v>
      </c>
      <c r="O718">
        <v>15.9</v>
      </c>
      <c r="P718">
        <v>12</v>
      </c>
      <c r="Q718">
        <v>0</v>
      </c>
      <c r="R718">
        <v>11.5</v>
      </c>
      <c r="S718">
        <v>14.7</v>
      </c>
      <c r="T718">
        <v>0</v>
      </c>
      <c r="U718">
        <v>-20.2</v>
      </c>
      <c r="V718">
        <v>-22.6</v>
      </c>
      <c r="W718">
        <v>-22</v>
      </c>
      <c r="X718">
        <v>-20.7</v>
      </c>
      <c r="Y718">
        <v>-19.100000000000001</v>
      </c>
      <c r="Z718">
        <v>-22</v>
      </c>
      <c r="AA718">
        <v>-2</v>
      </c>
      <c r="AB718">
        <v>-6</v>
      </c>
      <c r="AC718">
        <v>-5</v>
      </c>
      <c r="AD718">
        <v>12.5</v>
      </c>
      <c r="AE718">
        <v>10.5</v>
      </c>
      <c r="AF718">
        <v>0</v>
      </c>
      <c r="AG718">
        <v>11.4</v>
      </c>
      <c r="AH718">
        <v>10</v>
      </c>
      <c r="AI718">
        <v>10.6</v>
      </c>
      <c r="AJ718">
        <v>10</v>
      </c>
      <c r="AK718">
        <v>10.5</v>
      </c>
      <c r="AL718">
        <v>10</v>
      </c>
      <c r="AM718">
        <v>12.6</v>
      </c>
      <c r="AN718">
        <v>9</v>
      </c>
      <c r="AO718">
        <v>10.6</v>
      </c>
      <c r="AP718">
        <v>10</v>
      </c>
      <c r="AQ718">
        <v>11.5</v>
      </c>
      <c r="AR718">
        <v>10</v>
      </c>
      <c r="AS718">
        <v>10.6</v>
      </c>
      <c r="AT718">
        <v>10</v>
      </c>
      <c r="AU718">
        <v>19.899999999999999</v>
      </c>
      <c r="AV718">
        <v>19</v>
      </c>
      <c r="AW718">
        <v>20.9</v>
      </c>
      <c r="AX718">
        <v>19</v>
      </c>
      <c r="AY718">
        <v>10.5</v>
      </c>
      <c r="AZ718">
        <v>10</v>
      </c>
      <c r="BA718">
        <v>10</v>
      </c>
      <c r="BB718">
        <v>10</v>
      </c>
    </row>
    <row r="719" spans="1:54" x14ac:dyDescent="0.35">
      <c r="A719" s="1">
        <v>46059.961805555555</v>
      </c>
      <c r="B719">
        <v>23</v>
      </c>
      <c r="C719">
        <v>3</v>
      </c>
      <c r="D719">
        <v>21.7</v>
      </c>
      <c r="E719">
        <v>2</v>
      </c>
      <c r="F719">
        <v>10.4</v>
      </c>
      <c r="G719">
        <v>13.7</v>
      </c>
      <c r="H719">
        <v>0</v>
      </c>
      <c r="I719">
        <v>16.2</v>
      </c>
      <c r="J719">
        <v>12.5</v>
      </c>
      <c r="K719">
        <v>0</v>
      </c>
      <c r="L719">
        <v>13.9</v>
      </c>
      <c r="M719">
        <v>17</v>
      </c>
      <c r="N719">
        <v>0</v>
      </c>
      <c r="O719">
        <v>15.9</v>
      </c>
      <c r="P719">
        <v>12</v>
      </c>
      <c r="Q719">
        <v>0</v>
      </c>
      <c r="R719">
        <v>11.5</v>
      </c>
      <c r="S719">
        <v>14.7</v>
      </c>
      <c r="T719">
        <v>0</v>
      </c>
      <c r="U719">
        <v>-20.2</v>
      </c>
      <c r="V719">
        <v>-22.3</v>
      </c>
      <c r="W719">
        <v>-22</v>
      </c>
      <c r="X719">
        <v>-20.7</v>
      </c>
      <c r="Y719">
        <v>-19.100000000000001</v>
      </c>
      <c r="Z719">
        <v>-22</v>
      </c>
      <c r="AA719">
        <v>-2.4</v>
      </c>
      <c r="AB719">
        <v>-6.5</v>
      </c>
      <c r="AC719">
        <v>-5</v>
      </c>
      <c r="AD719">
        <v>12.5</v>
      </c>
      <c r="AE719">
        <v>10.5</v>
      </c>
      <c r="AF719">
        <v>0</v>
      </c>
      <c r="AG719">
        <v>10.6</v>
      </c>
      <c r="AH719">
        <v>10</v>
      </c>
      <c r="AI719">
        <v>10.8</v>
      </c>
      <c r="AJ719">
        <v>10</v>
      </c>
      <c r="AK719">
        <v>10.6</v>
      </c>
      <c r="AL719">
        <v>10</v>
      </c>
      <c r="AM719">
        <v>12.5</v>
      </c>
      <c r="AN719">
        <v>9</v>
      </c>
      <c r="AO719">
        <v>10.6</v>
      </c>
      <c r="AP719">
        <v>10</v>
      </c>
      <c r="AQ719">
        <v>11.5</v>
      </c>
      <c r="AR719">
        <v>10</v>
      </c>
      <c r="AS719">
        <v>8.8000000000000007</v>
      </c>
      <c r="AT719">
        <v>10</v>
      </c>
      <c r="AU719">
        <v>19.899999999999999</v>
      </c>
      <c r="AV719">
        <v>19</v>
      </c>
      <c r="AW719">
        <v>20.8</v>
      </c>
      <c r="AX719">
        <v>19</v>
      </c>
      <c r="AY719">
        <v>10.8</v>
      </c>
      <c r="AZ719">
        <v>10</v>
      </c>
      <c r="BA719">
        <v>10.4</v>
      </c>
      <c r="BB719">
        <v>10</v>
      </c>
    </row>
    <row r="720" spans="1:54" x14ac:dyDescent="0.35">
      <c r="A720" s="1">
        <v>46059.962500000001</v>
      </c>
      <c r="B720">
        <v>23</v>
      </c>
      <c r="C720">
        <v>3</v>
      </c>
      <c r="D720">
        <v>21.7</v>
      </c>
      <c r="E720">
        <v>2</v>
      </c>
      <c r="F720">
        <v>10.4</v>
      </c>
      <c r="G720">
        <v>13.7</v>
      </c>
      <c r="H720">
        <v>0</v>
      </c>
      <c r="I720">
        <v>16.2</v>
      </c>
      <c r="J720">
        <v>12.5</v>
      </c>
      <c r="K720">
        <v>0</v>
      </c>
      <c r="L720">
        <v>13.9</v>
      </c>
      <c r="M720">
        <v>17</v>
      </c>
      <c r="N720">
        <v>0</v>
      </c>
      <c r="O720">
        <v>15.9</v>
      </c>
      <c r="P720">
        <v>12</v>
      </c>
      <c r="Q720">
        <v>0</v>
      </c>
      <c r="R720">
        <v>11.5</v>
      </c>
      <c r="S720">
        <v>14.7</v>
      </c>
      <c r="T720">
        <v>0</v>
      </c>
      <c r="U720">
        <v>-20.2</v>
      </c>
      <c r="V720">
        <v>-22.6</v>
      </c>
      <c r="W720">
        <v>-22</v>
      </c>
      <c r="X720">
        <v>-20.7</v>
      </c>
      <c r="Y720">
        <v>-19.100000000000001</v>
      </c>
      <c r="Z720">
        <v>-22</v>
      </c>
      <c r="AA720">
        <v>-3.3</v>
      </c>
      <c r="AB720">
        <v>-6.9</v>
      </c>
      <c r="AC720">
        <v>-5</v>
      </c>
      <c r="AD720">
        <v>12.5</v>
      </c>
      <c r="AE720">
        <v>10.5</v>
      </c>
      <c r="AF720">
        <v>0</v>
      </c>
      <c r="AG720">
        <v>10.1</v>
      </c>
      <c r="AH720">
        <v>10</v>
      </c>
      <c r="AI720">
        <v>10.9</v>
      </c>
      <c r="AJ720">
        <v>10</v>
      </c>
      <c r="AK720">
        <v>10.6</v>
      </c>
      <c r="AL720">
        <v>10</v>
      </c>
      <c r="AM720">
        <v>12.5</v>
      </c>
      <c r="AN720">
        <v>9</v>
      </c>
      <c r="AO720">
        <v>10.199999999999999</v>
      </c>
      <c r="AP720">
        <v>10</v>
      </c>
      <c r="AQ720">
        <v>11.5</v>
      </c>
      <c r="AR720">
        <v>10</v>
      </c>
      <c r="AS720">
        <v>8.3000000000000007</v>
      </c>
      <c r="AT720">
        <v>10</v>
      </c>
      <c r="AU720">
        <v>19.899999999999999</v>
      </c>
      <c r="AV720">
        <v>19</v>
      </c>
      <c r="AW720">
        <v>20.8</v>
      </c>
      <c r="AX720">
        <v>19</v>
      </c>
      <c r="AY720">
        <v>11.1</v>
      </c>
      <c r="AZ720">
        <v>10</v>
      </c>
      <c r="BA720">
        <v>10.8</v>
      </c>
      <c r="BB720">
        <v>10</v>
      </c>
    </row>
    <row r="721" spans="1:54" x14ac:dyDescent="0.35">
      <c r="A721" s="1">
        <v>46059.963194444441</v>
      </c>
      <c r="B721">
        <v>23</v>
      </c>
      <c r="C721">
        <v>3</v>
      </c>
      <c r="D721">
        <v>21.7</v>
      </c>
      <c r="E721">
        <v>2</v>
      </c>
      <c r="F721">
        <v>10.5</v>
      </c>
      <c r="G721">
        <v>13.7</v>
      </c>
      <c r="H721">
        <v>0</v>
      </c>
      <c r="I721">
        <v>16.2</v>
      </c>
      <c r="J721">
        <v>12.5</v>
      </c>
      <c r="K721">
        <v>0</v>
      </c>
      <c r="L721">
        <v>13.9</v>
      </c>
      <c r="M721">
        <v>17</v>
      </c>
      <c r="N721">
        <v>0</v>
      </c>
      <c r="O721">
        <v>15.9</v>
      </c>
      <c r="P721">
        <v>12</v>
      </c>
      <c r="Q721">
        <v>0</v>
      </c>
      <c r="R721">
        <v>11.5</v>
      </c>
      <c r="S721">
        <v>14.7</v>
      </c>
      <c r="T721">
        <v>0</v>
      </c>
      <c r="U721">
        <v>-20.2</v>
      </c>
      <c r="V721">
        <v>-22.4</v>
      </c>
      <c r="W721">
        <v>-22</v>
      </c>
      <c r="X721">
        <v>-20.7</v>
      </c>
      <c r="Y721">
        <v>-19.100000000000001</v>
      </c>
      <c r="Z721">
        <v>-22</v>
      </c>
      <c r="AA721">
        <v>-4.5999999999999996</v>
      </c>
      <c r="AB721">
        <v>-7.4</v>
      </c>
      <c r="AC721">
        <v>-5</v>
      </c>
      <c r="AD721">
        <v>12.5</v>
      </c>
      <c r="AE721">
        <v>10.5</v>
      </c>
      <c r="AF721">
        <v>0</v>
      </c>
      <c r="AG721">
        <v>9.8000000000000007</v>
      </c>
      <c r="AH721">
        <v>10</v>
      </c>
      <c r="AI721">
        <v>11</v>
      </c>
      <c r="AJ721">
        <v>10</v>
      </c>
      <c r="AK721">
        <v>10.5</v>
      </c>
      <c r="AL721">
        <v>10</v>
      </c>
      <c r="AM721">
        <v>12.4</v>
      </c>
      <c r="AN721">
        <v>9</v>
      </c>
      <c r="AO721">
        <v>10.199999999999999</v>
      </c>
      <c r="AP721">
        <v>10</v>
      </c>
      <c r="AQ721">
        <v>11.3</v>
      </c>
      <c r="AR721">
        <v>10</v>
      </c>
      <c r="AS721">
        <v>8.6999999999999993</v>
      </c>
      <c r="AT721">
        <v>10</v>
      </c>
      <c r="AU721">
        <v>19.899999999999999</v>
      </c>
      <c r="AV721">
        <v>19</v>
      </c>
      <c r="AW721">
        <v>20.9</v>
      </c>
      <c r="AX721">
        <v>19</v>
      </c>
      <c r="AY721">
        <v>11.3</v>
      </c>
      <c r="AZ721">
        <v>10</v>
      </c>
      <c r="BA721">
        <v>11.1</v>
      </c>
      <c r="BB721">
        <v>10</v>
      </c>
    </row>
    <row r="722" spans="1:54" x14ac:dyDescent="0.35">
      <c r="A722" s="1">
        <v>46059.963888888888</v>
      </c>
      <c r="B722">
        <v>23</v>
      </c>
      <c r="C722">
        <v>3</v>
      </c>
      <c r="D722">
        <v>21.8</v>
      </c>
      <c r="E722">
        <v>2</v>
      </c>
      <c r="F722">
        <v>10.5</v>
      </c>
      <c r="G722">
        <v>13.7</v>
      </c>
      <c r="H722">
        <v>0</v>
      </c>
      <c r="I722">
        <v>16.2</v>
      </c>
      <c r="J722">
        <v>12.5</v>
      </c>
      <c r="K722">
        <v>0</v>
      </c>
      <c r="L722">
        <v>13.9</v>
      </c>
      <c r="M722">
        <v>17</v>
      </c>
      <c r="N722">
        <v>0</v>
      </c>
      <c r="O722">
        <v>15.9</v>
      </c>
      <c r="P722">
        <v>12</v>
      </c>
      <c r="Q722">
        <v>0</v>
      </c>
      <c r="R722">
        <v>11.5</v>
      </c>
      <c r="S722">
        <v>14.8</v>
      </c>
      <c r="T722">
        <v>0</v>
      </c>
      <c r="U722">
        <v>-20.2</v>
      </c>
      <c r="V722">
        <v>-22.5</v>
      </c>
      <c r="W722">
        <v>-22</v>
      </c>
      <c r="X722">
        <v>-20.7</v>
      </c>
      <c r="Y722">
        <v>-19.100000000000001</v>
      </c>
      <c r="Z722">
        <v>-22</v>
      </c>
      <c r="AA722">
        <v>-5</v>
      </c>
      <c r="AB722">
        <v>-7.7</v>
      </c>
      <c r="AC722">
        <v>-5</v>
      </c>
      <c r="AD722">
        <v>12.5</v>
      </c>
      <c r="AE722">
        <v>10.5</v>
      </c>
      <c r="AF722">
        <v>0</v>
      </c>
      <c r="AG722">
        <v>9.8000000000000007</v>
      </c>
      <c r="AH722">
        <v>10</v>
      </c>
      <c r="AI722">
        <v>11.2</v>
      </c>
      <c r="AJ722">
        <v>10</v>
      </c>
      <c r="AK722">
        <v>10.1</v>
      </c>
      <c r="AL722">
        <v>10</v>
      </c>
      <c r="AM722">
        <v>12.3</v>
      </c>
      <c r="AN722">
        <v>9</v>
      </c>
      <c r="AO722">
        <v>10</v>
      </c>
      <c r="AP722">
        <v>10</v>
      </c>
      <c r="AQ722">
        <v>11.3</v>
      </c>
      <c r="AR722">
        <v>10</v>
      </c>
      <c r="AS722">
        <v>9.1999999999999993</v>
      </c>
      <c r="AT722">
        <v>10</v>
      </c>
      <c r="AU722">
        <v>19.899999999999999</v>
      </c>
      <c r="AV722">
        <v>19</v>
      </c>
      <c r="AW722">
        <v>20.9</v>
      </c>
      <c r="AX722">
        <v>19</v>
      </c>
      <c r="AY722">
        <v>11.5</v>
      </c>
      <c r="AZ722">
        <v>10</v>
      </c>
      <c r="BA722">
        <v>11.5</v>
      </c>
      <c r="BB722">
        <v>10</v>
      </c>
    </row>
    <row r="723" spans="1:54" x14ac:dyDescent="0.35">
      <c r="A723" s="1">
        <v>46059.964583333334</v>
      </c>
      <c r="B723">
        <v>23</v>
      </c>
      <c r="C723">
        <v>3</v>
      </c>
      <c r="D723">
        <v>21.8</v>
      </c>
      <c r="E723">
        <v>2</v>
      </c>
      <c r="F723">
        <v>10.5</v>
      </c>
      <c r="G723">
        <v>13.7</v>
      </c>
      <c r="H723">
        <v>0</v>
      </c>
      <c r="I723">
        <v>16.2</v>
      </c>
      <c r="J723">
        <v>12.5</v>
      </c>
      <c r="K723">
        <v>0</v>
      </c>
      <c r="L723">
        <v>13.9</v>
      </c>
      <c r="M723">
        <v>17</v>
      </c>
      <c r="N723">
        <v>0</v>
      </c>
      <c r="O723">
        <v>15.9</v>
      </c>
      <c r="P723">
        <v>12</v>
      </c>
      <c r="Q723">
        <v>0</v>
      </c>
      <c r="R723">
        <v>11.5</v>
      </c>
      <c r="S723">
        <v>14.8</v>
      </c>
      <c r="T723">
        <v>0</v>
      </c>
      <c r="U723">
        <v>-20.2</v>
      </c>
      <c r="V723">
        <v>-22.8</v>
      </c>
      <c r="W723">
        <v>-22</v>
      </c>
      <c r="X723">
        <v>-20.7</v>
      </c>
      <c r="Y723">
        <v>-19.100000000000001</v>
      </c>
      <c r="Z723">
        <v>-22</v>
      </c>
      <c r="AA723">
        <v>-4.7</v>
      </c>
      <c r="AB723">
        <v>-5.6</v>
      </c>
      <c r="AC723">
        <v>-5</v>
      </c>
      <c r="AD723">
        <v>12.5</v>
      </c>
      <c r="AE723">
        <v>10.5</v>
      </c>
      <c r="AF723">
        <v>0</v>
      </c>
      <c r="AG723">
        <v>10</v>
      </c>
      <c r="AH723">
        <v>10</v>
      </c>
      <c r="AI723">
        <v>11.3</v>
      </c>
      <c r="AJ723">
        <v>10</v>
      </c>
      <c r="AK723">
        <v>9.6999999999999993</v>
      </c>
      <c r="AL723">
        <v>10</v>
      </c>
      <c r="AM723">
        <v>12.3</v>
      </c>
      <c r="AN723">
        <v>9</v>
      </c>
      <c r="AO723">
        <v>10.5</v>
      </c>
      <c r="AP723">
        <v>10</v>
      </c>
      <c r="AQ723">
        <v>11.3</v>
      </c>
      <c r="AR723">
        <v>10</v>
      </c>
      <c r="AS723">
        <v>9.6999999999999993</v>
      </c>
      <c r="AT723">
        <v>10</v>
      </c>
      <c r="AU723">
        <v>19.899999999999999</v>
      </c>
      <c r="AV723">
        <v>19</v>
      </c>
      <c r="AW723">
        <v>20.8</v>
      </c>
      <c r="AX723">
        <v>19</v>
      </c>
      <c r="AY723">
        <v>11.7</v>
      </c>
      <c r="AZ723">
        <v>10</v>
      </c>
      <c r="BA723">
        <v>11.7</v>
      </c>
      <c r="BB723">
        <v>10</v>
      </c>
    </row>
    <row r="724" spans="1:54" x14ac:dyDescent="0.35">
      <c r="A724" s="1">
        <v>46059.965277777781</v>
      </c>
      <c r="B724">
        <v>23</v>
      </c>
      <c r="C724">
        <v>3</v>
      </c>
      <c r="D724">
        <v>21.8</v>
      </c>
      <c r="E724">
        <v>2</v>
      </c>
      <c r="F724">
        <v>10.5</v>
      </c>
      <c r="G724">
        <v>13.8</v>
      </c>
      <c r="H724">
        <v>0</v>
      </c>
      <c r="I724">
        <v>16.2</v>
      </c>
      <c r="J724">
        <v>12.5</v>
      </c>
      <c r="K724">
        <v>0</v>
      </c>
      <c r="L724">
        <v>13.9</v>
      </c>
      <c r="M724">
        <v>17</v>
      </c>
      <c r="N724">
        <v>0</v>
      </c>
      <c r="O724">
        <v>15.9</v>
      </c>
      <c r="P724">
        <v>12</v>
      </c>
      <c r="Q724">
        <v>0</v>
      </c>
      <c r="R724">
        <v>11.5</v>
      </c>
      <c r="S724">
        <v>14.8</v>
      </c>
      <c r="T724">
        <v>0</v>
      </c>
      <c r="U724">
        <v>-20.2</v>
      </c>
      <c r="V724">
        <v>-22.5</v>
      </c>
      <c r="W724">
        <v>-22</v>
      </c>
      <c r="X724">
        <v>-20.7</v>
      </c>
      <c r="Y724">
        <v>-19.100000000000001</v>
      </c>
      <c r="Z724">
        <v>-22</v>
      </c>
      <c r="AA724">
        <v>-3.8</v>
      </c>
      <c r="AB724">
        <v>-4</v>
      </c>
      <c r="AC724">
        <v>-5</v>
      </c>
      <c r="AD724">
        <v>12.5</v>
      </c>
      <c r="AE724">
        <v>10.5</v>
      </c>
      <c r="AF724">
        <v>0</v>
      </c>
      <c r="AG724">
        <v>10.3</v>
      </c>
      <c r="AH724">
        <v>10</v>
      </c>
      <c r="AI724">
        <v>11.4</v>
      </c>
      <c r="AJ724">
        <v>10</v>
      </c>
      <c r="AK724">
        <v>9.8000000000000007</v>
      </c>
      <c r="AL724">
        <v>10</v>
      </c>
      <c r="AM724">
        <v>12.2</v>
      </c>
      <c r="AN724">
        <v>9</v>
      </c>
      <c r="AO724">
        <v>11</v>
      </c>
      <c r="AP724">
        <v>10</v>
      </c>
      <c r="AQ724">
        <v>11.3</v>
      </c>
      <c r="AR724">
        <v>10</v>
      </c>
      <c r="AS724">
        <v>10.199999999999999</v>
      </c>
      <c r="AT724">
        <v>10</v>
      </c>
      <c r="AU724">
        <v>19.899999999999999</v>
      </c>
      <c r="AV724">
        <v>19</v>
      </c>
      <c r="AW724">
        <v>20.8</v>
      </c>
      <c r="AX724">
        <v>19</v>
      </c>
      <c r="AY724">
        <v>11.9</v>
      </c>
      <c r="AZ724">
        <v>10</v>
      </c>
      <c r="BA724">
        <v>11.9</v>
      </c>
      <c r="BB724">
        <v>10</v>
      </c>
    </row>
    <row r="725" spans="1:54" x14ac:dyDescent="0.35">
      <c r="A725" s="1">
        <v>46059.96597222222</v>
      </c>
      <c r="B725">
        <v>23</v>
      </c>
      <c r="C725">
        <v>3</v>
      </c>
      <c r="D725">
        <v>21.8</v>
      </c>
      <c r="E725">
        <v>2</v>
      </c>
      <c r="F725">
        <v>10.5</v>
      </c>
      <c r="G725">
        <v>13.8</v>
      </c>
      <c r="H725">
        <v>0</v>
      </c>
      <c r="I725">
        <v>16.2</v>
      </c>
      <c r="J725">
        <v>12.5</v>
      </c>
      <c r="K725">
        <v>0</v>
      </c>
      <c r="L725">
        <v>13.9</v>
      </c>
      <c r="M725">
        <v>17</v>
      </c>
      <c r="N725">
        <v>0</v>
      </c>
      <c r="O725">
        <v>15.9</v>
      </c>
      <c r="P725">
        <v>12.1</v>
      </c>
      <c r="Q725">
        <v>0</v>
      </c>
      <c r="R725">
        <v>11.6</v>
      </c>
      <c r="S725">
        <v>14.8</v>
      </c>
      <c r="T725">
        <v>0</v>
      </c>
      <c r="U725">
        <v>-20.3</v>
      </c>
      <c r="V725">
        <v>-22.5</v>
      </c>
      <c r="W725">
        <v>-22</v>
      </c>
      <c r="X725">
        <v>-20.7</v>
      </c>
      <c r="Y725">
        <v>-19.100000000000001</v>
      </c>
      <c r="Z725">
        <v>-22</v>
      </c>
      <c r="AA725">
        <v>-3</v>
      </c>
      <c r="AB725">
        <v>-3.1</v>
      </c>
      <c r="AC725">
        <v>-5</v>
      </c>
      <c r="AD725">
        <v>12.5</v>
      </c>
      <c r="AE725">
        <v>10.5</v>
      </c>
      <c r="AF725">
        <v>0</v>
      </c>
      <c r="AG725">
        <v>10.6</v>
      </c>
      <c r="AH725">
        <v>10</v>
      </c>
      <c r="AI725">
        <v>11.5</v>
      </c>
      <c r="AJ725">
        <v>10</v>
      </c>
      <c r="AK725">
        <v>10.199999999999999</v>
      </c>
      <c r="AL725">
        <v>10</v>
      </c>
      <c r="AM725">
        <v>12.2</v>
      </c>
      <c r="AN725">
        <v>9</v>
      </c>
      <c r="AO725">
        <v>11.3</v>
      </c>
      <c r="AP725">
        <v>10</v>
      </c>
      <c r="AQ725">
        <v>11.1</v>
      </c>
      <c r="AR725">
        <v>10</v>
      </c>
      <c r="AS725">
        <v>10.5</v>
      </c>
      <c r="AT725">
        <v>10</v>
      </c>
      <c r="AU725">
        <v>19.899999999999999</v>
      </c>
      <c r="AV725">
        <v>19</v>
      </c>
      <c r="AW725">
        <v>20.8</v>
      </c>
      <c r="AX725">
        <v>19</v>
      </c>
      <c r="AY725">
        <v>12</v>
      </c>
      <c r="AZ725">
        <v>10</v>
      </c>
      <c r="BA725">
        <v>11.9</v>
      </c>
      <c r="BB725">
        <v>10</v>
      </c>
    </row>
    <row r="726" spans="1:54" x14ac:dyDescent="0.35">
      <c r="A726" s="1">
        <v>46059.966666666667</v>
      </c>
      <c r="B726">
        <v>23</v>
      </c>
      <c r="C726">
        <v>3</v>
      </c>
      <c r="D726">
        <v>21.8</v>
      </c>
      <c r="E726">
        <v>2</v>
      </c>
      <c r="F726">
        <v>10.5</v>
      </c>
      <c r="G726">
        <v>13.8</v>
      </c>
      <c r="H726">
        <v>0</v>
      </c>
      <c r="I726">
        <v>16.2</v>
      </c>
      <c r="J726">
        <v>12.5</v>
      </c>
      <c r="K726">
        <v>0</v>
      </c>
      <c r="L726">
        <v>13.9</v>
      </c>
      <c r="M726">
        <v>17</v>
      </c>
      <c r="N726">
        <v>0</v>
      </c>
      <c r="O726">
        <v>15.9</v>
      </c>
      <c r="P726">
        <v>12.1</v>
      </c>
      <c r="Q726">
        <v>0</v>
      </c>
      <c r="R726">
        <v>11.6</v>
      </c>
      <c r="S726">
        <v>14.8</v>
      </c>
      <c r="T726">
        <v>0</v>
      </c>
      <c r="U726">
        <v>-20.3</v>
      </c>
      <c r="V726">
        <v>-22.5</v>
      </c>
      <c r="W726">
        <v>-22</v>
      </c>
      <c r="X726">
        <v>-20.7</v>
      </c>
      <c r="Y726">
        <v>-19.100000000000001</v>
      </c>
      <c r="Z726">
        <v>-22</v>
      </c>
      <c r="AA726">
        <v>-2.7</v>
      </c>
      <c r="AB726">
        <v>-3.5</v>
      </c>
      <c r="AC726">
        <v>-5</v>
      </c>
      <c r="AD726">
        <v>12.5</v>
      </c>
      <c r="AE726">
        <v>10.5</v>
      </c>
      <c r="AF726">
        <v>0</v>
      </c>
      <c r="AG726">
        <v>10.8</v>
      </c>
      <c r="AH726">
        <v>10</v>
      </c>
      <c r="AI726">
        <v>11.6</v>
      </c>
      <c r="AJ726">
        <v>10</v>
      </c>
      <c r="AK726">
        <v>10.5</v>
      </c>
      <c r="AL726">
        <v>10</v>
      </c>
      <c r="AM726">
        <v>12.2</v>
      </c>
      <c r="AN726">
        <v>9</v>
      </c>
      <c r="AO726">
        <v>11.5</v>
      </c>
      <c r="AP726">
        <v>10</v>
      </c>
      <c r="AQ726">
        <v>11</v>
      </c>
      <c r="AR726">
        <v>10</v>
      </c>
      <c r="AS726">
        <v>10.8</v>
      </c>
      <c r="AT726">
        <v>10</v>
      </c>
      <c r="AU726">
        <v>19.899999999999999</v>
      </c>
      <c r="AV726">
        <v>19</v>
      </c>
      <c r="AW726">
        <v>20.8</v>
      </c>
      <c r="AX726">
        <v>19</v>
      </c>
      <c r="AY726">
        <v>11.1</v>
      </c>
      <c r="AZ726">
        <v>10</v>
      </c>
      <c r="BA726">
        <v>11</v>
      </c>
      <c r="BB726">
        <v>10</v>
      </c>
    </row>
    <row r="727" spans="1:54" x14ac:dyDescent="0.35">
      <c r="A727" s="1">
        <v>46059.967361111114</v>
      </c>
      <c r="B727">
        <v>23</v>
      </c>
      <c r="C727">
        <v>3</v>
      </c>
      <c r="D727">
        <v>21.8</v>
      </c>
      <c r="E727">
        <v>2</v>
      </c>
      <c r="F727">
        <v>10.5</v>
      </c>
      <c r="G727">
        <v>13.8</v>
      </c>
      <c r="H727">
        <v>0</v>
      </c>
      <c r="I727">
        <v>16.2</v>
      </c>
      <c r="J727">
        <v>12.5</v>
      </c>
      <c r="K727">
        <v>0</v>
      </c>
      <c r="L727">
        <v>13.9</v>
      </c>
      <c r="M727">
        <v>17</v>
      </c>
      <c r="N727">
        <v>0</v>
      </c>
      <c r="O727">
        <v>15.9</v>
      </c>
      <c r="P727">
        <v>12.1</v>
      </c>
      <c r="Q727">
        <v>0</v>
      </c>
      <c r="R727">
        <v>11.6</v>
      </c>
      <c r="S727">
        <v>14.8</v>
      </c>
      <c r="T727">
        <v>0</v>
      </c>
      <c r="U727">
        <v>-20.3</v>
      </c>
      <c r="V727">
        <v>-22.5</v>
      </c>
      <c r="W727">
        <v>-22</v>
      </c>
      <c r="X727">
        <v>-20.7</v>
      </c>
      <c r="Y727">
        <v>-19.100000000000001</v>
      </c>
      <c r="Z727">
        <v>-22</v>
      </c>
      <c r="AA727">
        <v>-2.9</v>
      </c>
      <c r="AB727">
        <v>-4.5</v>
      </c>
      <c r="AC727">
        <v>-5</v>
      </c>
      <c r="AD727">
        <v>12.5</v>
      </c>
      <c r="AE727">
        <v>10.5</v>
      </c>
      <c r="AF727">
        <v>0</v>
      </c>
      <c r="AG727">
        <v>11</v>
      </c>
      <c r="AH727">
        <v>10</v>
      </c>
      <c r="AI727">
        <v>11.7</v>
      </c>
      <c r="AJ727">
        <v>10</v>
      </c>
      <c r="AK727">
        <v>10.6</v>
      </c>
      <c r="AL727">
        <v>10</v>
      </c>
      <c r="AM727">
        <v>12.2</v>
      </c>
      <c r="AN727">
        <v>9</v>
      </c>
      <c r="AO727">
        <v>11.6</v>
      </c>
      <c r="AP727">
        <v>10</v>
      </c>
      <c r="AQ727">
        <v>10.8</v>
      </c>
      <c r="AR727">
        <v>10</v>
      </c>
      <c r="AS727">
        <v>11.1</v>
      </c>
      <c r="AT727">
        <v>10</v>
      </c>
      <c r="AU727">
        <v>19.899999999999999</v>
      </c>
      <c r="AV727">
        <v>19</v>
      </c>
      <c r="AW727">
        <v>20.8</v>
      </c>
      <c r="AX727">
        <v>19</v>
      </c>
      <c r="AY727">
        <v>10.1</v>
      </c>
      <c r="AZ727">
        <v>10</v>
      </c>
      <c r="BA727">
        <v>10.199999999999999</v>
      </c>
      <c r="BB727">
        <v>10</v>
      </c>
    </row>
    <row r="728" spans="1:54" x14ac:dyDescent="0.35">
      <c r="A728" s="1">
        <v>46059.968055555553</v>
      </c>
      <c r="B728">
        <v>23</v>
      </c>
      <c r="C728">
        <v>3</v>
      </c>
      <c r="D728">
        <v>21.8</v>
      </c>
      <c r="E728">
        <v>2</v>
      </c>
      <c r="F728">
        <v>10.5</v>
      </c>
      <c r="G728">
        <v>13.8</v>
      </c>
      <c r="H728">
        <v>0</v>
      </c>
      <c r="I728">
        <v>16.2</v>
      </c>
      <c r="J728">
        <v>12.5</v>
      </c>
      <c r="K728">
        <v>0</v>
      </c>
      <c r="L728">
        <v>13.9</v>
      </c>
      <c r="M728">
        <v>17</v>
      </c>
      <c r="N728">
        <v>0</v>
      </c>
      <c r="O728">
        <v>15.9</v>
      </c>
      <c r="P728">
        <v>12.1</v>
      </c>
      <c r="Q728">
        <v>0</v>
      </c>
      <c r="R728">
        <v>11.6</v>
      </c>
      <c r="S728">
        <v>14.8</v>
      </c>
      <c r="T728">
        <v>0</v>
      </c>
      <c r="U728">
        <v>-20.3</v>
      </c>
      <c r="V728">
        <v>-22.8</v>
      </c>
      <c r="W728">
        <v>-22</v>
      </c>
      <c r="X728">
        <v>-20.7</v>
      </c>
      <c r="Y728">
        <v>-19.100000000000001</v>
      </c>
      <c r="Z728">
        <v>-22</v>
      </c>
      <c r="AA728">
        <v>-3.3</v>
      </c>
      <c r="AB728">
        <v>-5.3</v>
      </c>
      <c r="AC728">
        <v>-5</v>
      </c>
      <c r="AD728">
        <v>12.5</v>
      </c>
      <c r="AE728">
        <v>10.5</v>
      </c>
      <c r="AF728">
        <v>0</v>
      </c>
      <c r="AG728">
        <v>11.1</v>
      </c>
      <c r="AH728">
        <v>10</v>
      </c>
      <c r="AI728">
        <v>11.8</v>
      </c>
      <c r="AJ728">
        <v>10</v>
      </c>
      <c r="AK728">
        <v>10.8</v>
      </c>
      <c r="AL728">
        <v>10</v>
      </c>
      <c r="AM728">
        <v>12.3</v>
      </c>
      <c r="AN728">
        <v>9</v>
      </c>
      <c r="AO728">
        <v>11.7</v>
      </c>
      <c r="AP728">
        <v>10</v>
      </c>
      <c r="AQ728">
        <v>10.7</v>
      </c>
      <c r="AR728">
        <v>10</v>
      </c>
      <c r="AS728">
        <v>11.3</v>
      </c>
      <c r="AT728">
        <v>10</v>
      </c>
      <c r="AU728">
        <v>19.899999999999999</v>
      </c>
      <c r="AV728">
        <v>19</v>
      </c>
      <c r="AW728">
        <v>20.8</v>
      </c>
      <c r="AX728">
        <v>19</v>
      </c>
      <c r="AY728">
        <v>9.6</v>
      </c>
      <c r="AZ728">
        <v>10</v>
      </c>
      <c r="BA728">
        <v>9.6</v>
      </c>
      <c r="BB728">
        <v>10</v>
      </c>
    </row>
    <row r="729" spans="1:54" x14ac:dyDescent="0.35">
      <c r="A729" s="1">
        <v>46059.96875</v>
      </c>
      <c r="B729">
        <v>23</v>
      </c>
      <c r="C729">
        <v>3</v>
      </c>
      <c r="D729">
        <v>21.8</v>
      </c>
      <c r="E729">
        <v>2</v>
      </c>
      <c r="F729">
        <v>10.5</v>
      </c>
      <c r="G729">
        <v>13.8</v>
      </c>
      <c r="H729">
        <v>0</v>
      </c>
      <c r="I729">
        <v>16.2</v>
      </c>
      <c r="J729">
        <v>12.5</v>
      </c>
      <c r="K729">
        <v>0</v>
      </c>
      <c r="L729">
        <v>13.9</v>
      </c>
      <c r="M729">
        <v>17</v>
      </c>
      <c r="N729">
        <v>0</v>
      </c>
      <c r="O729">
        <v>15.9</v>
      </c>
      <c r="P729">
        <v>12.1</v>
      </c>
      <c r="Q729">
        <v>0</v>
      </c>
      <c r="R729">
        <v>11.6</v>
      </c>
      <c r="S729">
        <v>14.8</v>
      </c>
      <c r="T729">
        <v>0</v>
      </c>
      <c r="U729">
        <v>-20.3</v>
      </c>
      <c r="V729">
        <v>-22.4</v>
      </c>
      <c r="W729">
        <v>-22</v>
      </c>
      <c r="X729">
        <v>-20.7</v>
      </c>
      <c r="Y729">
        <v>-19.100000000000001</v>
      </c>
      <c r="Z729">
        <v>-22</v>
      </c>
      <c r="AA729">
        <v>-3.8</v>
      </c>
      <c r="AB729">
        <v>-6.1</v>
      </c>
      <c r="AC729">
        <v>-5</v>
      </c>
      <c r="AD729">
        <v>12.5</v>
      </c>
      <c r="AE729">
        <v>10.5</v>
      </c>
      <c r="AF729">
        <v>0</v>
      </c>
      <c r="AG729">
        <v>11.3</v>
      </c>
      <c r="AH729">
        <v>10</v>
      </c>
      <c r="AI729">
        <v>11.8</v>
      </c>
      <c r="AJ729">
        <v>10</v>
      </c>
      <c r="AK729">
        <v>10.9</v>
      </c>
      <c r="AL729">
        <v>10</v>
      </c>
      <c r="AM729">
        <v>12.3</v>
      </c>
      <c r="AN729">
        <v>9</v>
      </c>
      <c r="AO729">
        <v>11.8</v>
      </c>
      <c r="AP729">
        <v>10</v>
      </c>
      <c r="AQ729">
        <v>10.6</v>
      </c>
      <c r="AR729">
        <v>10</v>
      </c>
      <c r="AS729">
        <v>11.5</v>
      </c>
      <c r="AT729">
        <v>10</v>
      </c>
      <c r="AU729">
        <v>19.899999999999999</v>
      </c>
      <c r="AV729">
        <v>19</v>
      </c>
      <c r="AW729">
        <v>20.8</v>
      </c>
      <c r="AX729">
        <v>19</v>
      </c>
      <c r="AY729">
        <v>9.6999999999999993</v>
      </c>
      <c r="AZ729">
        <v>10</v>
      </c>
      <c r="BA729">
        <v>9.6999999999999993</v>
      </c>
      <c r="BB729">
        <v>10</v>
      </c>
    </row>
    <row r="730" spans="1:54" x14ac:dyDescent="0.35">
      <c r="A730" s="1">
        <v>46059.969444444447</v>
      </c>
      <c r="B730">
        <v>23</v>
      </c>
      <c r="C730">
        <v>3</v>
      </c>
      <c r="D730">
        <v>21.8</v>
      </c>
      <c r="E730">
        <v>2</v>
      </c>
      <c r="F730">
        <v>10.5</v>
      </c>
      <c r="G730">
        <v>13.8</v>
      </c>
      <c r="H730">
        <v>0</v>
      </c>
      <c r="I730">
        <v>16.2</v>
      </c>
      <c r="J730">
        <v>12.5</v>
      </c>
      <c r="K730">
        <v>0</v>
      </c>
      <c r="L730">
        <v>13.9</v>
      </c>
      <c r="M730">
        <v>17</v>
      </c>
      <c r="N730">
        <v>0</v>
      </c>
      <c r="O730">
        <v>15.9</v>
      </c>
      <c r="P730">
        <v>12.1</v>
      </c>
      <c r="Q730">
        <v>0</v>
      </c>
      <c r="R730">
        <v>11.6</v>
      </c>
      <c r="S730">
        <v>14.8</v>
      </c>
      <c r="T730">
        <v>0</v>
      </c>
      <c r="U730">
        <v>-20.3</v>
      </c>
      <c r="V730">
        <v>-22.5</v>
      </c>
      <c r="W730">
        <v>-22</v>
      </c>
      <c r="X730">
        <v>-20.7</v>
      </c>
      <c r="Y730">
        <v>-19.100000000000001</v>
      </c>
      <c r="Z730">
        <v>-22</v>
      </c>
      <c r="AA730">
        <v>-4.3</v>
      </c>
      <c r="AB730">
        <v>-6.7</v>
      </c>
      <c r="AC730">
        <v>-5</v>
      </c>
      <c r="AD730">
        <v>12.5</v>
      </c>
      <c r="AE730">
        <v>10.5</v>
      </c>
      <c r="AF730">
        <v>0</v>
      </c>
      <c r="AG730">
        <v>11.4</v>
      </c>
      <c r="AH730">
        <v>10</v>
      </c>
      <c r="AI730">
        <v>11.9</v>
      </c>
      <c r="AJ730">
        <v>10</v>
      </c>
      <c r="AK730">
        <v>11</v>
      </c>
      <c r="AL730">
        <v>10</v>
      </c>
      <c r="AM730">
        <v>12.3</v>
      </c>
      <c r="AN730">
        <v>9</v>
      </c>
      <c r="AO730">
        <v>11.9</v>
      </c>
      <c r="AP730">
        <v>10</v>
      </c>
      <c r="AQ730">
        <v>10.5</v>
      </c>
      <c r="AR730">
        <v>10</v>
      </c>
      <c r="AS730">
        <v>11.7</v>
      </c>
      <c r="AT730">
        <v>10</v>
      </c>
      <c r="AU730">
        <v>19.899999999999999</v>
      </c>
      <c r="AV730">
        <v>19</v>
      </c>
      <c r="AW730">
        <v>20.9</v>
      </c>
      <c r="AX730">
        <v>19</v>
      </c>
      <c r="AY730">
        <v>10.199999999999999</v>
      </c>
      <c r="AZ730">
        <v>10</v>
      </c>
      <c r="BA730">
        <v>10.199999999999999</v>
      </c>
      <c r="BB730">
        <v>10</v>
      </c>
    </row>
    <row r="731" spans="1:54" x14ac:dyDescent="0.35">
      <c r="A731" s="1">
        <v>46059.970138888886</v>
      </c>
      <c r="B731">
        <v>23.1</v>
      </c>
      <c r="C731">
        <v>3</v>
      </c>
      <c r="D731">
        <v>21.8</v>
      </c>
      <c r="E731">
        <v>2</v>
      </c>
      <c r="F731">
        <v>10.5</v>
      </c>
      <c r="G731">
        <v>13.8</v>
      </c>
      <c r="H731">
        <v>0</v>
      </c>
      <c r="I731">
        <v>16.2</v>
      </c>
      <c r="J731">
        <v>12.5</v>
      </c>
      <c r="K731">
        <v>0</v>
      </c>
      <c r="L731">
        <v>13.9</v>
      </c>
      <c r="M731">
        <v>17</v>
      </c>
      <c r="N731">
        <v>0</v>
      </c>
      <c r="O731">
        <v>15.9</v>
      </c>
      <c r="P731">
        <v>12.1</v>
      </c>
      <c r="Q731">
        <v>0</v>
      </c>
      <c r="R731">
        <v>11.6</v>
      </c>
      <c r="S731">
        <v>14.8</v>
      </c>
      <c r="T731">
        <v>0</v>
      </c>
      <c r="U731">
        <v>-20.3</v>
      </c>
      <c r="V731">
        <v>-22.7</v>
      </c>
      <c r="W731">
        <v>-22</v>
      </c>
      <c r="X731">
        <v>-20.7</v>
      </c>
      <c r="Y731">
        <v>-19.100000000000001</v>
      </c>
      <c r="Z731">
        <v>-22</v>
      </c>
      <c r="AA731">
        <v>-4.7</v>
      </c>
      <c r="AB731">
        <v>-7.1</v>
      </c>
      <c r="AC731">
        <v>-5</v>
      </c>
      <c r="AD731">
        <v>12.5</v>
      </c>
      <c r="AE731">
        <v>10.5</v>
      </c>
      <c r="AF731">
        <v>0</v>
      </c>
      <c r="AG731">
        <v>11.5</v>
      </c>
      <c r="AH731">
        <v>10</v>
      </c>
      <c r="AI731">
        <v>12</v>
      </c>
      <c r="AJ731">
        <v>10</v>
      </c>
      <c r="AK731">
        <v>11.2</v>
      </c>
      <c r="AL731">
        <v>10</v>
      </c>
      <c r="AM731">
        <v>12.4</v>
      </c>
      <c r="AN731">
        <v>9</v>
      </c>
      <c r="AO731">
        <v>12</v>
      </c>
      <c r="AP731">
        <v>10</v>
      </c>
      <c r="AQ731">
        <v>10.4</v>
      </c>
      <c r="AR731">
        <v>10</v>
      </c>
      <c r="AS731">
        <v>11.9</v>
      </c>
      <c r="AT731">
        <v>10</v>
      </c>
      <c r="AU731">
        <v>19.899999999999999</v>
      </c>
      <c r="AV731">
        <v>19</v>
      </c>
      <c r="AW731">
        <v>20.9</v>
      </c>
      <c r="AX731">
        <v>19</v>
      </c>
      <c r="AY731">
        <v>10.5</v>
      </c>
      <c r="AZ731">
        <v>10</v>
      </c>
      <c r="BA731">
        <v>10.6</v>
      </c>
      <c r="BB731">
        <v>10</v>
      </c>
    </row>
    <row r="732" spans="1:54" x14ac:dyDescent="0.35">
      <c r="A732" s="1">
        <v>46059.970833333333</v>
      </c>
      <c r="B732">
        <v>23.1</v>
      </c>
      <c r="C732">
        <v>3</v>
      </c>
      <c r="D732">
        <v>21.8</v>
      </c>
      <c r="E732">
        <v>2</v>
      </c>
      <c r="F732">
        <v>10.5</v>
      </c>
      <c r="G732">
        <v>13.8</v>
      </c>
      <c r="H732">
        <v>0</v>
      </c>
      <c r="I732">
        <v>16.2</v>
      </c>
      <c r="J732">
        <v>12.5</v>
      </c>
      <c r="K732">
        <v>0</v>
      </c>
      <c r="L732">
        <v>13.9</v>
      </c>
      <c r="M732">
        <v>17</v>
      </c>
      <c r="N732">
        <v>0</v>
      </c>
      <c r="O732">
        <v>15.9</v>
      </c>
      <c r="P732">
        <v>12.1</v>
      </c>
      <c r="Q732">
        <v>0</v>
      </c>
      <c r="R732">
        <v>11.6</v>
      </c>
      <c r="S732">
        <v>14.8</v>
      </c>
      <c r="T732">
        <v>0</v>
      </c>
      <c r="U732">
        <v>-20.3</v>
      </c>
      <c r="V732">
        <v>-22.5</v>
      </c>
      <c r="W732">
        <v>-22</v>
      </c>
      <c r="X732">
        <v>-20.7</v>
      </c>
      <c r="Y732">
        <v>-19.100000000000001</v>
      </c>
      <c r="Z732">
        <v>-22</v>
      </c>
      <c r="AA732">
        <v>-5.0999999999999996</v>
      </c>
      <c r="AB732">
        <v>-7.5</v>
      </c>
      <c r="AC732">
        <v>-5</v>
      </c>
      <c r="AD732">
        <v>12.5</v>
      </c>
      <c r="AE732">
        <v>10.5</v>
      </c>
      <c r="AF732">
        <v>0</v>
      </c>
      <c r="AG732">
        <v>11.7</v>
      </c>
      <c r="AH732">
        <v>10</v>
      </c>
      <c r="AI732">
        <v>11.2</v>
      </c>
      <c r="AJ732">
        <v>10</v>
      </c>
      <c r="AK732">
        <v>11.2</v>
      </c>
      <c r="AL732">
        <v>10</v>
      </c>
      <c r="AM732">
        <v>12.4</v>
      </c>
      <c r="AN732">
        <v>9</v>
      </c>
      <c r="AO732">
        <v>10.8</v>
      </c>
      <c r="AP732">
        <v>10</v>
      </c>
      <c r="AQ732">
        <v>10.3</v>
      </c>
      <c r="AR732">
        <v>10</v>
      </c>
      <c r="AS732">
        <v>11.7</v>
      </c>
      <c r="AT732">
        <v>10</v>
      </c>
      <c r="AU732">
        <v>19.899999999999999</v>
      </c>
      <c r="AV732">
        <v>19</v>
      </c>
      <c r="AW732">
        <v>20.9</v>
      </c>
      <c r="AX732">
        <v>19</v>
      </c>
      <c r="AY732">
        <v>10.8</v>
      </c>
      <c r="AZ732">
        <v>10</v>
      </c>
      <c r="BA732">
        <v>10.9</v>
      </c>
      <c r="BB732">
        <v>10</v>
      </c>
    </row>
    <row r="733" spans="1:54" x14ac:dyDescent="0.35">
      <c r="A733" s="1">
        <v>46059.97152777778</v>
      </c>
      <c r="B733">
        <v>23.1</v>
      </c>
      <c r="C733">
        <v>3</v>
      </c>
      <c r="D733">
        <v>21.8</v>
      </c>
      <c r="E733">
        <v>2</v>
      </c>
      <c r="F733">
        <v>10.5</v>
      </c>
      <c r="G733">
        <v>13.8</v>
      </c>
      <c r="H733">
        <v>0</v>
      </c>
      <c r="I733">
        <v>16.2</v>
      </c>
      <c r="J733">
        <v>12.5</v>
      </c>
      <c r="K733">
        <v>0</v>
      </c>
      <c r="L733">
        <v>13.9</v>
      </c>
      <c r="M733">
        <v>17.100000000000001</v>
      </c>
      <c r="N733">
        <v>0</v>
      </c>
      <c r="O733">
        <v>15.9</v>
      </c>
      <c r="P733">
        <v>12.1</v>
      </c>
      <c r="Q733">
        <v>0</v>
      </c>
      <c r="R733">
        <v>11.6</v>
      </c>
      <c r="S733">
        <v>14.8</v>
      </c>
      <c r="T733">
        <v>0</v>
      </c>
      <c r="U733">
        <v>-20.3</v>
      </c>
      <c r="V733">
        <v>-22.9</v>
      </c>
      <c r="W733">
        <v>-22</v>
      </c>
      <c r="X733">
        <v>-20.7</v>
      </c>
      <c r="Y733">
        <v>-19.100000000000001</v>
      </c>
      <c r="Z733">
        <v>-22</v>
      </c>
      <c r="AA733">
        <v>-4.9000000000000004</v>
      </c>
      <c r="AB733">
        <v>-5.9</v>
      </c>
      <c r="AC733">
        <v>-5</v>
      </c>
      <c r="AD733">
        <v>12.5</v>
      </c>
      <c r="AE733">
        <v>10.5</v>
      </c>
      <c r="AF733">
        <v>0</v>
      </c>
      <c r="AG733">
        <v>11.8</v>
      </c>
      <c r="AH733">
        <v>10</v>
      </c>
      <c r="AI733">
        <v>9.6</v>
      </c>
      <c r="AJ733">
        <v>10</v>
      </c>
      <c r="AK733">
        <v>11.2</v>
      </c>
      <c r="AL733">
        <v>10</v>
      </c>
      <c r="AM733">
        <v>12.4</v>
      </c>
      <c r="AN733">
        <v>9</v>
      </c>
      <c r="AO733">
        <v>10.1</v>
      </c>
      <c r="AP733">
        <v>10</v>
      </c>
      <c r="AQ733">
        <v>10.3</v>
      </c>
      <c r="AR733">
        <v>10</v>
      </c>
      <c r="AS733">
        <v>9.4</v>
      </c>
      <c r="AT733">
        <v>10</v>
      </c>
      <c r="AU733">
        <v>19.899999999999999</v>
      </c>
      <c r="AV733">
        <v>19</v>
      </c>
      <c r="AW733">
        <v>21</v>
      </c>
      <c r="AX733">
        <v>19</v>
      </c>
      <c r="AY733">
        <v>11.1</v>
      </c>
      <c r="AZ733">
        <v>10</v>
      </c>
      <c r="BA733">
        <v>11.3</v>
      </c>
      <c r="BB733">
        <v>10</v>
      </c>
    </row>
    <row r="734" spans="1:54" x14ac:dyDescent="0.35">
      <c r="A734" s="1">
        <v>46059.972222222219</v>
      </c>
      <c r="B734">
        <v>23.1</v>
      </c>
      <c r="C734">
        <v>3</v>
      </c>
      <c r="D734">
        <v>21.8</v>
      </c>
      <c r="E734">
        <v>2</v>
      </c>
      <c r="F734">
        <v>10.5</v>
      </c>
      <c r="G734">
        <v>13.8</v>
      </c>
      <c r="H734">
        <v>0</v>
      </c>
      <c r="I734">
        <v>16.2</v>
      </c>
      <c r="J734">
        <v>12.5</v>
      </c>
      <c r="K734">
        <v>0</v>
      </c>
      <c r="L734">
        <v>13.9</v>
      </c>
      <c r="M734">
        <v>17.100000000000001</v>
      </c>
      <c r="N734">
        <v>0</v>
      </c>
      <c r="O734">
        <v>15.9</v>
      </c>
      <c r="P734">
        <v>12.1</v>
      </c>
      <c r="Q734">
        <v>0</v>
      </c>
      <c r="R734">
        <v>11.6</v>
      </c>
      <c r="S734">
        <v>14.8</v>
      </c>
      <c r="T734">
        <v>0</v>
      </c>
      <c r="U734">
        <v>-20.3</v>
      </c>
      <c r="V734">
        <v>-22.6</v>
      </c>
      <c r="W734">
        <v>-22</v>
      </c>
      <c r="X734">
        <v>-20.8</v>
      </c>
      <c r="Y734">
        <v>-19.100000000000001</v>
      </c>
      <c r="Z734">
        <v>-22</v>
      </c>
      <c r="AA734">
        <v>-4</v>
      </c>
      <c r="AB734">
        <v>-4.4000000000000004</v>
      </c>
      <c r="AC734">
        <v>-5</v>
      </c>
      <c r="AD734">
        <v>12.5</v>
      </c>
      <c r="AE734">
        <v>10.5</v>
      </c>
      <c r="AF734">
        <v>0</v>
      </c>
      <c r="AG734">
        <v>11.8</v>
      </c>
      <c r="AH734">
        <v>10</v>
      </c>
      <c r="AI734">
        <v>8.6999999999999993</v>
      </c>
      <c r="AJ734">
        <v>10</v>
      </c>
      <c r="AK734">
        <v>11.2</v>
      </c>
      <c r="AL734">
        <v>10</v>
      </c>
      <c r="AM734">
        <v>12.4</v>
      </c>
      <c r="AN734">
        <v>9</v>
      </c>
      <c r="AO734">
        <v>10.199999999999999</v>
      </c>
      <c r="AP734">
        <v>10</v>
      </c>
      <c r="AQ734">
        <v>10.3</v>
      </c>
      <c r="AR734">
        <v>10</v>
      </c>
      <c r="AS734">
        <v>7.9</v>
      </c>
      <c r="AT734">
        <v>10</v>
      </c>
      <c r="AU734">
        <v>19.899999999999999</v>
      </c>
      <c r="AV734">
        <v>19</v>
      </c>
      <c r="AW734">
        <v>20.8</v>
      </c>
      <c r="AX734">
        <v>19</v>
      </c>
      <c r="AY734">
        <v>11.3</v>
      </c>
      <c r="AZ734">
        <v>10</v>
      </c>
      <c r="BA734">
        <v>11.6</v>
      </c>
      <c r="BB734">
        <v>10</v>
      </c>
    </row>
    <row r="735" spans="1:54" x14ac:dyDescent="0.35">
      <c r="A735" s="1">
        <v>46059.972916666666</v>
      </c>
      <c r="B735">
        <v>23.1</v>
      </c>
      <c r="C735">
        <v>3</v>
      </c>
      <c r="D735">
        <v>21.8</v>
      </c>
      <c r="E735">
        <v>2</v>
      </c>
      <c r="F735">
        <v>10.5</v>
      </c>
      <c r="G735">
        <v>13.8</v>
      </c>
      <c r="H735">
        <v>0</v>
      </c>
      <c r="I735">
        <v>16.2</v>
      </c>
      <c r="J735">
        <v>12.5</v>
      </c>
      <c r="K735">
        <v>0</v>
      </c>
      <c r="L735">
        <v>13.9</v>
      </c>
      <c r="M735">
        <v>17.100000000000001</v>
      </c>
      <c r="N735">
        <v>0</v>
      </c>
      <c r="O735">
        <v>15.9</v>
      </c>
      <c r="P735">
        <v>12.1</v>
      </c>
      <c r="Q735">
        <v>0</v>
      </c>
      <c r="R735">
        <v>11.6</v>
      </c>
      <c r="S735">
        <v>14.8</v>
      </c>
      <c r="T735">
        <v>0</v>
      </c>
      <c r="U735">
        <v>-20.399999999999999</v>
      </c>
      <c r="V735">
        <v>-22.6</v>
      </c>
      <c r="W735">
        <v>-22</v>
      </c>
      <c r="X735">
        <v>-20.8</v>
      </c>
      <c r="Y735">
        <v>-19.100000000000001</v>
      </c>
      <c r="Z735">
        <v>-22</v>
      </c>
      <c r="AA735">
        <v>-3.2</v>
      </c>
      <c r="AB735">
        <v>-3.2</v>
      </c>
      <c r="AC735">
        <v>-5</v>
      </c>
      <c r="AD735">
        <v>12.5</v>
      </c>
      <c r="AE735">
        <v>10.5</v>
      </c>
      <c r="AF735">
        <v>0</v>
      </c>
      <c r="AG735">
        <v>11.9</v>
      </c>
      <c r="AH735">
        <v>10</v>
      </c>
      <c r="AI735">
        <v>8.6999999999999993</v>
      </c>
      <c r="AJ735">
        <v>10</v>
      </c>
      <c r="AK735">
        <v>11.2</v>
      </c>
      <c r="AL735">
        <v>10</v>
      </c>
      <c r="AM735">
        <v>12.3</v>
      </c>
      <c r="AN735">
        <v>9</v>
      </c>
      <c r="AO735">
        <v>10.9</v>
      </c>
      <c r="AP735">
        <v>10</v>
      </c>
      <c r="AQ735">
        <v>10.1</v>
      </c>
      <c r="AR735">
        <v>10</v>
      </c>
      <c r="AS735">
        <v>8.1</v>
      </c>
      <c r="AT735">
        <v>10</v>
      </c>
      <c r="AU735">
        <v>19.5</v>
      </c>
      <c r="AV735">
        <v>19</v>
      </c>
      <c r="AW735">
        <v>20.5</v>
      </c>
      <c r="AX735">
        <v>19</v>
      </c>
      <c r="AY735">
        <v>11.5</v>
      </c>
      <c r="AZ735">
        <v>10</v>
      </c>
      <c r="BA735">
        <v>11.8</v>
      </c>
      <c r="BB735">
        <v>10</v>
      </c>
    </row>
    <row r="736" spans="1:54" x14ac:dyDescent="0.35">
      <c r="A736" s="1">
        <v>46059.973611111112</v>
      </c>
      <c r="B736">
        <v>23.1</v>
      </c>
      <c r="C736">
        <v>3</v>
      </c>
      <c r="D736">
        <v>21.8</v>
      </c>
      <c r="E736">
        <v>2</v>
      </c>
      <c r="F736">
        <v>10.5</v>
      </c>
      <c r="G736">
        <v>13.8</v>
      </c>
      <c r="H736">
        <v>0</v>
      </c>
      <c r="I736">
        <v>16.2</v>
      </c>
      <c r="J736">
        <v>12.5</v>
      </c>
      <c r="K736">
        <v>0</v>
      </c>
      <c r="L736">
        <v>13.9</v>
      </c>
      <c r="M736">
        <v>17.100000000000001</v>
      </c>
      <c r="N736">
        <v>0</v>
      </c>
      <c r="O736">
        <v>15.9</v>
      </c>
      <c r="P736">
        <v>12.1</v>
      </c>
      <c r="Q736">
        <v>0</v>
      </c>
      <c r="R736">
        <v>11.6</v>
      </c>
      <c r="S736">
        <v>14.8</v>
      </c>
      <c r="T736">
        <v>0</v>
      </c>
      <c r="U736">
        <v>-20.399999999999999</v>
      </c>
      <c r="V736">
        <v>-22.7</v>
      </c>
      <c r="W736">
        <v>-22</v>
      </c>
      <c r="X736">
        <v>-20.8</v>
      </c>
      <c r="Y736">
        <v>-19.100000000000001</v>
      </c>
      <c r="Z736">
        <v>-22</v>
      </c>
      <c r="AA736">
        <v>-2.7</v>
      </c>
      <c r="AB736">
        <v>-3.3</v>
      </c>
      <c r="AC736">
        <v>-5</v>
      </c>
      <c r="AD736">
        <v>12.5</v>
      </c>
      <c r="AE736">
        <v>10.5</v>
      </c>
      <c r="AF736">
        <v>0</v>
      </c>
      <c r="AG736">
        <v>12</v>
      </c>
      <c r="AH736">
        <v>10</v>
      </c>
      <c r="AI736">
        <v>8.9</v>
      </c>
      <c r="AJ736">
        <v>10</v>
      </c>
      <c r="AK736">
        <v>11.3</v>
      </c>
      <c r="AL736">
        <v>10</v>
      </c>
      <c r="AM736">
        <v>12.3</v>
      </c>
      <c r="AN736">
        <v>9</v>
      </c>
      <c r="AO736">
        <v>11.4</v>
      </c>
      <c r="AP736">
        <v>10</v>
      </c>
      <c r="AQ736">
        <v>10</v>
      </c>
      <c r="AR736">
        <v>10</v>
      </c>
      <c r="AS736">
        <v>8.6999999999999993</v>
      </c>
      <c r="AT736">
        <v>10</v>
      </c>
      <c r="AU736">
        <v>19.3</v>
      </c>
      <c r="AV736">
        <v>19</v>
      </c>
      <c r="AW736">
        <v>20</v>
      </c>
      <c r="AX736">
        <v>19</v>
      </c>
      <c r="AY736">
        <v>11.7</v>
      </c>
      <c r="AZ736">
        <v>10</v>
      </c>
      <c r="BA736">
        <v>12</v>
      </c>
      <c r="BB736">
        <v>10</v>
      </c>
    </row>
    <row r="737" spans="1:54" x14ac:dyDescent="0.35">
      <c r="A737" s="1">
        <v>46059.974305555559</v>
      </c>
      <c r="B737">
        <v>23.1</v>
      </c>
      <c r="C737">
        <v>3</v>
      </c>
      <c r="D737">
        <v>21.8</v>
      </c>
      <c r="E737">
        <v>2</v>
      </c>
      <c r="F737">
        <v>10.5</v>
      </c>
      <c r="G737">
        <v>13.8</v>
      </c>
      <c r="H737">
        <v>0</v>
      </c>
      <c r="I737">
        <v>16.2</v>
      </c>
      <c r="J737">
        <v>12.5</v>
      </c>
      <c r="K737">
        <v>0</v>
      </c>
      <c r="L737">
        <v>13.9</v>
      </c>
      <c r="M737">
        <v>17.100000000000001</v>
      </c>
      <c r="N737">
        <v>0</v>
      </c>
      <c r="O737">
        <v>15.9</v>
      </c>
      <c r="P737">
        <v>12.1</v>
      </c>
      <c r="Q737">
        <v>0</v>
      </c>
      <c r="R737">
        <v>11.6</v>
      </c>
      <c r="S737">
        <v>14.8</v>
      </c>
      <c r="T737">
        <v>0</v>
      </c>
      <c r="U737">
        <v>-20.399999999999999</v>
      </c>
      <c r="V737">
        <v>-22.5</v>
      </c>
      <c r="W737">
        <v>-22</v>
      </c>
      <c r="X737">
        <v>-20.8</v>
      </c>
      <c r="Y737">
        <v>-19.2</v>
      </c>
      <c r="Z737">
        <v>-22</v>
      </c>
      <c r="AA737">
        <v>-2.8</v>
      </c>
      <c r="AB737">
        <v>-4.3</v>
      </c>
      <c r="AC737">
        <v>-5</v>
      </c>
      <c r="AD737">
        <v>12.5</v>
      </c>
      <c r="AE737">
        <v>10.5</v>
      </c>
      <c r="AF737">
        <v>0</v>
      </c>
      <c r="AG737">
        <v>11.5</v>
      </c>
      <c r="AH737">
        <v>10</v>
      </c>
      <c r="AI737">
        <v>9.3000000000000007</v>
      </c>
      <c r="AJ737">
        <v>10</v>
      </c>
      <c r="AK737">
        <v>11.4</v>
      </c>
      <c r="AL737">
        <v>10</v>
      </c>
      <c r="AM737">
        <v>12.3</v>
      </c>
      <c r="AN737">
        <v>9</v>
      </c>
      <c r="AO737">
        <v>11.6</v>
      </c>
      <c r="AP737">
        <v>10</v>
      </c>
      <c r="AQ737">
        <v>10.4</v>
      </c>
      <c r="AR737">
        <v>10</v>
      </c>
      <c r="AS737">
        <v>9.3000000000000007</v>
      </c>
      <c r="AT737">
        <v>10</v>
      </c>
      <c r="AU737">
        <v>19.2</v>
      </c>
      <c r="AV737">
        <v>19</v>
      </c>
      <c r="AW737">
        <v>19.7</v>
      </c>
      <c r="AX737">
        <v>19</v>
      </c>
      <c r="AY737">
        <v>11.9</v>
      </c>
      <c r="AZ737">
        <v>10</v>
      </c>
      <c r="BA737">
        <v>11.6</v>
      </c>
      <c r="BB737">
        <v>10</v>
      </c>
    </row>
    <row r="738" spans="1:54" x14ac:dyDescent="0.35">
      <c r="A738" s="1">
        <v>46059.974999999999</v>
      </c>
      <c r="B738">
        <v>23.1</v>
      </c>
      <c r="C738">
        <v>3</v>
      </c>
      <c r="D738">
        <v>21.8</v>
      </c>
      <c r="E738">
        <v>2</v>
      </c>
      <c r="F738">
        <v>10.5</v>
      </c>
      <c r="G738">
        <v>13.8</v>
      </c>
      <c r="H738">
        <v>0</v>
      </c>
      <c r="I738">
        <v>16.2</v>
      </c>
      <c r="J738">
        <v>12.5</v>
      </c>
      <c r="K738">
        <v>0</v>
      </c>
      <c r="L738">
        <v>14</v>
      </c>
      <c r="M738">
        <v>17.100000000000001</v>
      </c>
      <c r="N738">
        <v>0</v>
      </c>
      <c r="O738">
        <v>15.9</v>
      </c>
      <c r="P738">
        <v>12.1</v>
      </c>
      <c r="Q738">
        <v>0</v>
      </c>
      <c r="R738">
        <v>11.6</v>
      </c>
      <c r="S738">
        <v>14.8</v>
      </c>
      <c r="T738">
        <v>0</v>
      </c>
      <c r="U738">
        <v>-20.399999999999999</v>
      </c>
      <c r="V738">
        <v>-22.9</v>
      </c>
      <c r="W738">
        <v>-22</v>
      </c>
      <c r="X738">
        <v>-20.8</v>
      </c>
      <c r="Y738">
        <v>-19.2</v>
      </c>
      <c r="Z738">
        <v>-22</v>
      </c>
      <c r="AA738">
        <v>-3.4</v>
      </c>
      <c r="AB738">
        <v>-5.5</v>
      </c>
      <c r="AC738">
        <v>-5</v>
      </c>
      <c r="AD738">
        <v>12.5</v>
      </c>
      <c r="AE738">
        <v>10.5</v>
      </c>
      <c r="AF738">
        <v>0</v>
      </c>
      <c r="AG738">
        <v>10.7</v>
      </c>
      <c r="AH738">
        <v>10</v>
      </c>
      <c r="AI738">
        <v>9.6</v>
      </c>
      <c r="AJ738">
        <v>10</v>
      </c>
      <c r="AK738">
        <v>11.4</v>
      </c>
      <c r="AL738">
        <v>10</v>
      </c>
      <c r="AM738">
        <v>12.3</v>
      </c>
      <c r="AN738">
        <v>9</v>
      </c>
      <c r="AO738">
        <v>11.6</v>
      </c>
      <c r="AP738">
        <v>10</v>
      </c>
      <c r="AQ738">
        <v>10.9</v>
      </c>
      <c r="AR738">
        <v>10</v>
      </c>
      <c r="AS738">
        <v>9.8000000000000007</v>
      </c>
      <c r="AT738">
        <v>10</v>
      </c>
      <c r="AU738">
        <v>19</v>
      </c>
      <c r="AV738">
        <v>19</v>
      </c>
      <c r="AW738">
        <v>19.5</v>
      </c>
      <c r="AX738">
        <v>19</v>
      </c>
      <c r="AY738">
        <v>12</v>
      </c>
      <c r="AZ738">
        <v>10</v>
      </c>
      <c r="BA738">
        <v>10.8</v>
      </c>
      <c r="BB738">
        <v>10</v>
      </c>
    </row>
    <row r="739" spans="1:54" x14ac:dyDescent="0.35">
      <c r="A739" s="1">
        <v>46059.975694444445</v>
      </c>
      <c r="B739">
        <v>23.1</v>
      </c>
      <c r="C739">
        <v>3</v>
      </c>
      <c r="D739">
        <v>21.8</v>
      </c>
      <c r="E739">
        <v>2</v>
      </c>
      <c r="F739">
        <v>10.5</v>
      </c>
      <c r="G739">
        <v>13.8</v>
      </c>
      <c r="H739">
        <v>0</v>
      </c>
      <c r="I739">
        <v>16.2</v>
      </c>
      <c r="J739">
        <v>12.5</v>
      </c>
      <c r="K739">
        <v>0</v>
      </c>
      <c r="L739">
        <v>14</v>
      </c>
      <c r="M739">
        <v>17.100000000000001</v>
      </c>
      <c r="N739">
        <v>0</v>
      </c>
      <c r="O739">
        <v>15.9</v>
      </c>
      <c r="P739">
        <v>12.1</v>
      </c>
      <c r="Q739">
        <v>0</v>
      </c>
      <c r="R739">
        <v>11.6</v>
      </c>
      <c r="S739">
        <v>14.8</v>
      </c>
      <c r="T739">
        <v>0</v>
      </c>
      <c r="U739">
        <v>-20.399999999999999</v>
      </c>
      <c r="V739">
        <v>-22.5</v>
      </c>
      <c r="W739">
        <v>-22</v>
      </c>
      <c r="X739">
        <v>-20.8</v>
      </c>
      <c r="Y739">
        <v>-19.2</v>
      </c>
      <c r="Z739">
        <v>-22</v>
      </c>
      <c r="AA739">
        <v>-3.9</v>
      </c>
      <c r="AB739">
        <v>-6.1</v>
      </c>
      <c r="AC739">
        <v>-5</v>
      </c>
      <c r="AD739">
        <v>12.5</v>
      </c>
      <c r="AE739">
        <v>10.5</v>
      </c>
      <c r="AF739">
        <v>0</v>
      </c>
      <c r="AG739">
        <v>10.1</v>
      </c>
      <c r="AH739">
        <v>10</v>
      </c>
      <c r="AI739">
        <v>9.9</v>
      </c>
      <c r="AJ739">
        <v>10</v>
      </c>
      <c r="AK739">
        <v>11.5</v>
      </c>
      <c r="AL739">
        <v>10</v>
      </c>
      <c r="AM739">
        <v>12.3</v>
      </c>
      <c r="AN739">
        <v>9</v>
      </c>
      <c r="AO739">
        <v>11.8</v>
      </c>
      <c r="AP739">
        <v>10</v>
      </c>
      <c r="AQ739">
        <v>11.6</v>
      </c>
      <c r="AR739">
        <v>10</v>
      </c>
      <c r="AS739">
        <v>10.199999999999999</v>
      </c>
      <c r="AT739">
        <v>10</v>
      </c>
      <c r="AU739">
        <v>18.899999999999999</v>
      </c>
      <c r="AV739">
        <v>19</v>
      </c>
      <c r="AW739">
        <v>19.399999999999999</v>
      </c>
      <c r="AX739">
        <v>19</v>
      </c>
      <c r="AY739">
        <v>11.1</v>
      </c>
      <c r="AZ739">
        <v>10</v>
      </c>
      <c r="BA739">
        <v>9.9</v>
      </c>
      <c r="BB739">
        <v>10</v>
      </c>
    </row>
    <row r="740" spans="1:54" x14ac:dyDescent="0.35">
      <c r="A740" s="1">
        <v>46059.976388888892</v>
      </c>
      <c r="B740">
        <v>23.1</v>
      </c>
      <c r="C740">
        <v>3</v>
      </c>
      <c r="D740">
        <v>21.8</v>
      </c>
      <c r="E740">
        <v>2</v>
      </c>
      <c r="F740">
        <v>10.5</v>
      </c>
      <c r="G740">
        <v>13.8</v>
      </c>
      <c r="H740">
        <v>0</v>
      </c>
      <c r="I740">
        <v>16.2</v>
      </c>
      <c r="J740">
        <v>12.5</v>
      </c>
      <c r="K740">
        <v>0</v>
      </c>
      <c r="L740">
        <v>14</v>
      </c>
      <c r="M740">
        <v>17.100000000000001</v>
      </c>
      <c r="N740">
        <v>0</v>
      </c>
      <c r="O740">
        <v>15.9</v>
      </c>
      <c r="P740">
        <v>12.1</v>
      </c>
      <c r="Q740">
        <v>0</v>
      </c>
      <c r="R740">
        <v>11.6</v>
      </c>
      <c r="S740">
        <v>14.8</v>
      </c>
      <c r="T740">
        <v>0</v>
      </c>
      <c r="U740">
        <v>-20.399999999999999</v>
      </c>
      <c r="V740">
        <v>-22.5</v>
      </c>
      <c r="W740">
        <v>-22</v>
      </c>
      <c r="X740">
        <v>-20.8</v>
      </c>
      <c r="Y740">
        <v>-19.2</v>
      </c>
      <c r="Z740">
        <v>-22</v>
      </c>
      <c r="AA740">
        <v>-4.4000000000000004</v>
      </c>
      <c r="AB740">
        <v>-6.7</v>
      </c>
      <c r="AC740">
        <v>-5</v>
      </c>
      <c r="AD740">
        <v>12.5</v>
      </c>
      <c r="AE740">
        <v>10.6</v>
      </c>
      <c r="AF740">
        <v>0</v>
      </c>
      <c r="AG740">
        <v>9.8000000000000007</v>
      </c>
      <c r="AH740">
        <v>10</v>
      </c>
      <c r="AI740">
        <v>10.1</v>
      </c>
      <c r="AJ740">
        <v>10</v>
      </c>
      <c r="AK740">
        <v>11.6</v>
      </c>
      <c r="AL740">
        <v>10</v>
      </c>
      <c r="AM740">
        <v>12.3</v>
      </c>
      <c r="AN740">
        <v>9</v>
      </c>
      <c r="AO740">
        <v>11.9</v>
      </c>
      <c r="AP740">
        <v>10</v>
      </c>
      <c r="AQ740">
        <v>12.2</v>
      </c>
      <c r="AR740">
        <v>10</v>
      </c>
      <c r="AS740">
        <v>10.5</v>
      </c>
      <c r="AT740">
        <v>10</v>
      </c>
      <c r="AU740">
        <v>18.8</v>
      </c>
      <c r="AV740">
        <v>19</v>
      </c>
      <c r="AW740">
        <v>19.399999999999999</v>
      </c>
      <c r="AX740">
        <v>19</v>
      </c>
      <c r="AY740">
        <v>10.199999999999999</v>
      </c>
      <c r="AZ740">
        <v>10</v>
      </c>
      <c r="BA740">
        <v>9.6999999999999993</v>
      </c>
      <c r="BB740">
        <v>10</v>
      </c>
    </row>
    <row r="741" spans="1:54" x14ac:dyDescent="0.35">
      <c r="A741" s="1">
        <v>46059.977083333331</v>
      </c>
      <c r="B741">
        <v>23.1</v>
      </c>
      <c r="C741">
        <v>3</v>
      </c>
      <c r="D741">
        <v>21.8</v>
      </c>
      <c r="E741">
        <v>2</v>
      </c>
      <c r="F741">
        <v>10.5</v>
      </c>
      <c r="G741">
        <v>13.8</v>
      </c>
      <c r="H741">
        <v>0</v>
      </c>
      <c r="I741">
        <v>16.2</v>
      </c>
      <c r="J741">
        <v>12.5</v>
      </c>
      <c r="K741">
        <v>0</v>
      </c>
      <c r="L741">
        <v>14</v>
      </c>
      <c r="M741">
        <v>17.100000000000001</v>
      </c>
      <c r="N741">
        <v>0</v>
      </c>
      <c r="O741">
        <v>15.9</v>
      </c>
      <c r="P741">
        <v>12.1</v>
      </c>
      <c r="Q741">
        <v>0</v>
      </c>
      <c r="R741">
        <v>11.6</v>
      </c>
      <c r="S741">
        <v>14.8</v>
      </c>
      <c r="T741">
        <v>0</v>
      </c>
      <c r="U741">
        <v>-20.399999999999999</v>
      </c>
      <c r="V741">
        <v>-22.7</v>
      </c>
      <c r="W741">
        <v>-22</v>
      </c>
      <c r="X741">
        <v>-20.8</v>
      </c>
      <c r="Y741">
        <v>-19.2</v>
      </c>
      <c r="Z741">
        <v>-22</v>
      </c>
      <c r="AA741">
        <v>-4.8</v>
      </c>
      <c r="AB741">
        <v>-7.2</v>
      </c>
      <c r="AC741">
        <v>-5</v>
      </c>
      <c r="AD741">
        <v>12.5</v>
      </c>
      <c r="AE741">
        <v>10.6</v>
      </c>
      <c r="AF741">
        <v>0</v>
      </c>
      <c r="AG741">
        <v>9.8000000000000007</v>
      </c>
      <c r="AH741">
        <v>10</v>
      </c>
      <c r="AI741">
        <v>10.3</v>
      </c>
      <c r="AJ741">
        <v>10</v>
      </c>
      <c r="AK741">
        <v>11.6</v>
      </c>
      <c r="AL741">
        <v>10</v>
      </c>
      <c r="AM741">
        <v>12.4</v>
      </c>
      <c r="AN741">
        <v>9</v>
      </c>
      <c r="AO741">
        <v>12</v>
      </c>
      <c r="AP741">
        <v>10</v>
      </c>
      <c r="AQ741">
        <v>12</v>
      </c>
      <c r="AR741">
        <v>10</v>
      </c>
      <c r="AS741">
        <v>10.8</v>
      </c>
      <c r="AT741">
        <v>10</v>
      </c>
      <c r="AU741">
        <v>18.7</v>
      </c>
      <c r="AV741">
        <v>19</v>
      </c>
      <c r="AW741">
        <v>19.3</v>
      </c>
      <c r="AX741">
        <v>19</v>
      </c>
      <c r="AY741">
        <v>9.6</v>
      </c>
      <c r="AZ741">
        <v>10</v>
      </c>
      <c r="BA741">
        <v>9.8000000000000007</v>
      </c>
      <c r="BB741">
        <v>10</v>
      </c>
    </row>
    <row r="742" spans="1:54" x14ac:dyDescent="0.35">
      <c r="A742" s="1">
        <v>46059.977777777778</v>
      </c>
      <c r="B742">
        <v>23.1</v>
      </c>
      <c r="C742">
        <v>3</v>
      </c>
      <c r="D742">
        <v>21.8</v>
      </c>
      <c r="E742">
        <v>2</v>
      </c>
      <c r="F742">
        <v>10.5</v>
      </c>
      <c r="G742">
        <v>13.8</v>
      </c>
      <c r="H742">
        <v>0</v>
      </c>
      <c r="I742">
        <v>16.2</v>
      </c>
      <c r="J742">
        <v>12.5</v>
      </c>
      <c r="K742">
        <v>0</v>
      </c>
      <c r="L742">
        <v>14</v>
      </c>
      <c r="M742">
        <v>17.100000000000001</v>
      </c>
      <c r="N742">
        <v>0</v>
      </c>
      <c r="O742">
        <v>15.9</v>
      </c>
      <c r="P742">
        <v>12.1</v>
      </c>
      <c r="Q742">
        <v>0</v>
      </c>
      <c r="R742">
        <v>11.6</v>
      </c>
      <c r="S742">
        <v>14.8</v>
      </c>
      <c r="T742">
        <v>0</v>
      </c>
      <c r="U742">
        <v>-20.399999999999999</v>
      </c>
      <c r="V742">
        <v>-22.5</v>
      </c>
      <c r="W742">
        <v>-22</v>
      </c>
      <c r="X742">
        <v>-20.8</v>
      </c>
      <c r="Y742">
        <v>-19.2</v>
      </c>
      <c r="Z742">
        <v>-22</v>
      </c>
      <c r="AA742">
        <v>-5.0999999999999996</v>
      </c>
      <c r="AB742">
        <v>-7.3</v>
      </c>
      <c r="AC742">
        <v>-5</v>
      </c>
      <c r="AD742">
        <v>12.5</v>
      </c>
      <c r="AE742">
        <v>10.6</v>
      </c>
      <c r="AF742">
        <v>0</v>
      </c>
      <c r="AG742">
        <v>10.199999999999999</v>
      </c>
      <c r="AH742">
        <v>10</v>
      </c>
      <c r="AI742">
        <v>10.5</v>
      </c>
      <c r="AJ742">
        <v>10</v>
      </c>
      <c r="AK742">
        <v>11.7</v>
      </c>
      <c r="AL742">
        <v>10</v>
      </c>
      <c r="AM742">
        <v>12.4</v>
      </c>
      <c r="AN742">
        <v>9</v>
      </c>
      <c r="AO742">
        <v>11.7</v>
      </c>
      <c r="AP742">
        <v>10</v>
      </c>
      <c r="AQ742">
        <v>11.9</v>
      </c>
      <c r="AR742">
        <v>10</v>
      </c>
      <c r="AS742">
        <v>11</v>
      </c>
      <c r="AT742">
        <v>10</v>
      </c>
      <c r="AU742">
        <v>18.7</v>
      </c>
      <c r="AV742">
        <v>19</v>
      </c>
      <c r="AW742">
        <v>19.2</v>
      </c>
      <c r="AX742">
        <v>19</v>
      </c>
      <c r="AY742">
        <v>9.6999999999999993</v>
      </c>
      <c r="AZ742">
        <v>10</v>
      </c>
      <c r="BA742">
        <v>10.3</v>
      </c>
      <c r="BB742">
        <v>10</v>
      </c>
    </row>
    <row r="743" spans="1:54" x14ac:dyDescent="0.35">
      <c r="A743" s="1">
        <v>46059.978472222225</v>
      </c>
      <c r="B743">
        <v>23.1</v>
      </c>
      <c r="C743">
        <v>3</v>
      </c>
      <c r="D743">
        <v>21.8</v>
      </c>
      <c r="E743">
        <v>2</v>
      </c>
      <c r="F743">
        <v>10.5</v>
      </c>
      <c r="G743">
        <v>13.8</v>
      </c>
      <c r="H743">
        <v>0</v>
      </c>
      <c r="I743">
        <v>16.2</v>
      </c>
      <c r="J743">
        <v>12.5</v>
      </c>
      <c r="K743">
        <v>0</v>
      </c>
      <c r="L743">
        <v>14</v>
      </c>
      <c r="M743">
        <v>17.100000000000001</v>
      </c>
      <c r="N743">
        <v>0</v>
      </c>
      <c r="O743">
        <v>15.9</v>
      </c>
      <c r="P743">
        <v>12.1</v>
      </c>
      <c r="Q743">
        <v>0</v>
      </c>
      <c r="R743">
        <v>11.6</v>
      </c>
      <c r="S743">
        <v>14.8</v>
      </c>
      <c r="T743">
        <v>0</v>
      </c>
      <c r="U743">
        <v>-20.399999999999999</v>
      </c>
      <c r="V743">
        <v>-22.9</v>
      </c>
      <c r="W743">
        <v>-22</v>
      </c>
      <c r="X743">
        <v>-20.8</v>
      </c>
      <c r="Y743">
        <v>-19.2</v>
      </c>
      <c r="Z743">
        <v>-22</v>
      </c>
      <c r="AA743">
        <v>-4.5999999999999996</v>
      </c>
      <c r="AB743">
        <v>-5.2</v>
      </c>
      <c r="AC743">
        <v>-5</v>
      </c>
      <c r="AD743">
        <v>12.5</v>
      </c>
      <c r="AE743">
        <v>10.6</v>
      </c>
      <c r="AF743">
        <v>0</v>
      </c>
      <c r="AG743">
        <v>10.5</v>
      </c>
      <c r="AH743">
        <v>10</v>
      </c>
      <c r="AI743">
        <v>10.6</v>
      </c>
      <c r="AJ743">
        <v>10</v>
      </c>
      <c r="AK743">
        <v>11.7</v>
      </c>
      <c r="AL743">
        <v>10</v>
      </c>
      <c r="AM743">
        <v>12.4</v>
      </c>
      <c r="AN743">
        <v>9</v>
      </c>
      <c r="AO743">
        <v>10.8</v>
      </c>
      <c r="AP743">
        <v>10</v>
      </c>
      <c r="AQ743">
        <v>11.8</v>
      </c>
      <c r="AR743">
        <v>10</v>
      </c>
      <c r="AS743">
        <v>11.3</v>
      </c>
      <c r="AT743">
        <v>10</v>
      </c>
      <c r="AU743">
        <v>18.7</v>
      </c>
      <c r="AV743">
        <v>19</v>
      </c>
      <c r="AW743">
        <v>19.100000000000001</v>
      </c>
      <c r="AX743">
        <v>19</v>
      </c>
      <c r="AY743">
        <v>10.1</v>
      </c>
      <c r="AZ743">
        <v>10</v>
      </c>
      <c r="BA743">
        <v>10.7</v>
      </c>
      <c r="BB743">
        <v>10</v>
      </c>
    </row>
    <row r="744" spans="1:54" x14ac:dyDescent="0.35">
      <c r="A744" s="1">
        <v>46059.979166666664</v>
      </c>
      <c r="B744">
        <v>23.1</v>
      </c>
      <c r="C744">
        <v>3</v>
      </c>
      <c r="D744">
        <v>21.8</v>
      </c>
      <c r="E744">
        <v>2</v>
      </c>
      <c r="F744">
        <v>10.6</v>
      </c>
      <c r="G744">
        <v>13.8</v>
      </c>
      <c r="H744">
        <v>0</v>
      </c>
      <c r="I744">
        <v>16.2</v>
      </c>
      <c r="J744">
        <v>12.5</v>
      </c>
      <c r="K744">
        <v>0</v>
      </c>
      <c r="L744">
        <v>14</v>
      </c>
      <c r="M744">
        <v>17.100000000000001</v>
      </c>
      <c r="N744">
        <v>0</v>
      </c>
      <c r="O744">
        <v>15.9</v>
      </c>
      <c r="P744">
        <v>12.2</v>
      </c>
      <c r="Q744">
        <v>0</v>
      </c>
      <c r="R744">
        <v>11.6</v>
      </c>
      <c r="S744">
        <v>14.8</v>
      </c>
      <c r="T744">
        <v>0</v>
      </c>
      <c r="U744">
        <v>-20.399999999999999</v>
      </c>
      <c r="V744">
        <v>-22.6</v>
      </c>
      <c r="W744">
        <v>-22</v>
      </c>
      <c r="X744">
        <v>-20.8</v>
      </c>
      <c r="Y744">
        <v>-19.2</v>
      </c>
      <c r="Z744">
        <v>-22</v>
      </c>
      <c r="AA744">
        <v>-3.8</v>
      </c>
      <c r="AB744">
        <v>-4</v>
      </c>
      <c r="AC744">
        <v>-5</v>
      </c>
      <c r="AD744">
        <v>12.5</v>
      </c>
      <c r="AE744">
        <v>10.6</v>
      </c>
      <c r="AF744">
        <v>0</v>
      </c>
      <c r="AG744">
        <v>10.7</v>
      </c>
      <c r="AH744">
        <v>10</v>
      </c>
      <c r="AI744">
        <v>10.8</v>
      </c>
      <c r="AJ744">
        <v>10</v>
      </c>
      <c r="AK744">
        <v>11.7</v>
      </c>
      <c r="AL744">
        <v>10</v>
      </c>
      <c r="AM744">
        <v>12.4</v>
      </c>
      <c r="AN744">
        <v>9</v>
      </c>
      <c r="AO744">
        <v>10.7</v>
      </c>
      <c r="AP744">
        <v>10</v>
      </c>
      <c r="AQ744">
        <v>11.6</v>
      </c>
      <c r="AR744">
        <v>10</v>
      </c>
      <c r="AS744">
        <v>11.5</v>
      </c>
      <c r="AT744">
        <v>10</v>
      </c>
      <c r="AU744">
        <v>18.600000000000001</v>
      </c>
      <c r="AV744">
        <v>19</v>
      </c>
      <c r="AW744">
        <v>19.100000000000001</v>
      </c>
      <c r="AX744">
        <v>19</v>
      </c>
      <c r="AY744">
        <v>10.6</v>
      </c>
      <c r="AZ744">
        <v>10</v>
      </c>
      <c r="BA744">
        <v>11</v>
      </c>
      <c r="BB744">
        <v>10</v>
      </c>
    </row>
    <row r="745" spans="1:54" x14ac:dyDescent="0.35">
      <c r="A745" s="1">
        <v>46059.979861111111</v>
      </c>
      <c r="B745">
        <v>23.1</v>
      </c>
      <c r="C745">
        <v>3</v>
      </c>
      <c r="D745">
        <v>21.8</v>
      </c>
      <c r="E745">
        <v>2</v>
      </c>
      <c r="F745">
        <v>10.6</v>
      </c>
      <c r="G745">
        <v>13.8</v>
      </c>
      <c r="H745">
        <v>0</v>
      </c>
      <c r="I745">
        <v>16.2</v>
      </c>
      <c r="J745">
        <v>12.6</v>
      </c>
      <c r="K745">
        <v>0</v>
      </c>
      <c r="L745">
        <v>14</v>
      </c>
      <c r="M745">
        <v>17.100000000000001</v>
      </c>
      <c r="N745">
        <v>0</v>
      </c>
      <c r="O745">
        <v>16</v>
      </c>
      <c r="P745">
        <v>12.2</v>
      </c>
      <c r="Q745">
        <v>0</v>
      </c>
      <c r="R745">
        <v>11.6</v>
      </c>
      <c r="S745">
        <v>14.8</v>
      </c>
      <c r="T745">
        <v>0</v>
      </c>
      <c r="U745">
        <v>-20.399999999999999</v>
      </c>
      <c r="V745">
        <v>-22.7</v>
      </c>
      <c r="W745">
        <v>-22</v>
      </c>
      <c r="X745">
        <v>-20.8</v>
      </c>
      <c r="Y745">
        <v>-19.3</v>
      </c>
      <c r="Z745">
        <v>-22</v>
      </c>
      <c r="AA745">
        <v>-3.1</v>
      </c>
      <c r="AB745">
        <v>-3.2</v>
      </c>
      <c r="AC745">
        <v>-5</v>
      </c>
      <c r="AD745">
        <v>12.5</v>
      </c>
      <c r="AE745">
        <v>10.6</v>
      </c>
      <c r="AF745">
        <v>0</v>
      </c>
      <c r="AG745">
        <v>10.9</v>
      </c>
      <c r="AH745">
        <v>10</v>
      </c>
      <c r="AI745">
        <v>10.9</v>
      </c>
      <c r="AJ745">
        <v>10</v>
      </c>
      <c r="AK745">
        <v>11.7</v>
      </c>
      <c r="AL745">
        <v>10</v>
      </c>
      <c r="AM745">
        <v>12.4</v>
      </c>
      <c r="AN745">
        <v>9</v>
      </c>
      <c r="AO745">
        <v>10.7</v>
      </c>
      <c r="AP745">
        <v>10</v>
      </c>
      <c r="AQ745">
        <v>11.4</v>
      </c>
      <c r="AR745">
        <v>10</v>
      </c>
      <c r="AS745">
        <v>11.7</v>
      </c>
      <c r="AT745">
        <v>10</v>
      </c>
      <c r="AU745">
        <v>18.600000000000001</v>
      </c>
      <c r="AV745">
        <v>19</v>
      </c>
      <c r="AW745">
        <v>19</v>
      </c>
      <c r="AX745">
        <v>19</v>
      </c>
      <c r="AY745">
        <v>10.8</v>
      </c>
      <c r="AZ745">
        <v>10</v>
      </c>
      <c r="BA745">
        <v>11.4</v>
      </c>
      <c r="BB745">
        <v>10</v>
      </c>
    </row>
    <row r="746" spans="1:54" x14ac:dyDescent="0.35">
      <c r="A746" s="1">
        <v>46059.980555555558</v>
      </c>
      <c r="B746">
        <v>23.1</v>
      </c>
      <c r="C746">
        <v>3</v>
      </c>
      <c r="D746">
        <v>21.8</v>
      </c>
      <c r="E746">
        <v>2</v>
      </c>
      <c r="F746">
        <v>10.6</v>
      </c>
      <c r="G746">
        <v>13.8</v>
      </c>
      <c r="H746">
        <v>0</v>
      </c>
      <c r="I746">
        <v>16.2</v>
      </c>
      <c r="J746">
        <v>12.6</v>
      </c>
      <c r="K746">
        <v>0</v>
      </c>
      <c r="L746">
        <v>14</v>
      </c>
      <c r="M746">
        <v>17.100000000000001</v>
      </c>
      <c r="N746">
        <v>0</v>
      </c>
      <c r="O746">
        <v>16</v>
      </c>
      <c r="P746">
        <v>12.2</v>
      </c>
      <c r="Q746">
        <v>0</v>
      </c>
      <c r="R746">
        <v>11.6</v>
      </c>
      <c r="S746">
        <v>14.8</v>
      </c>
      <c r="T746">
        <v>0</v>
      </c>
      <c r="U746">
        <v>-20.399999999999999</v>
      </c>
      <c r="V746">
        <v>-22.8</v>
      </c>
      <c r="W746">
        <v>-22</v>
      </c>
      <c r="X746">
        <v>-20.8</v>
      </c>
      <c r="Y746">
        <v>-19.3</v>
      </c>
      <c r="Z746">
        <v>-22</v>
      </c>
      <c r="AA746">
        <v>-2.8</v>
      </c>
      <c r="AB746">
        <v>-3.6</v>
      </c>
      <c r="AC746">
        <v>-5</v>
      </c>
      <c r="AD746">
        <v>12.5</v>
      </c>
      <c r="AE746">
        <v>10.6</v>
      </c>
      <c r="AF746">
        <v>0</v>
      </c>
      <c r="AG746">
        <v>11.1</v>
      </c>
      <c r="AH746">
        <v>10</v>
      </c>
      <c r="AI746">
        <v>11</v>
      </c>
      <c r="AJ746">
        <v>10</v>
      </c>
      <c r="AK746">
        <v>11.7</v>
      </c>
      <c r="AL746">
        <v>10</v>
      </c>
      <c r="AM746">
        <v>12.4</v>
      </c>
      <c r="AN746">
        <v>9</v>
      </c>
      <c r="AO746">
        <v>10.5</v>
      </c>
      <c r="AP746">
        <v>10</v>
      </c>
      <c r="AQ746">
        <v>11.3</v>
      </c>
      <c r="AR746">
        <v>10</v>
      </c>
      <c r="AS746">
        <v>11.9</v>
      </c>
      <c r="AT746">
        <v>10</v>
      </c>
      <c r="AU746">
        <v>18.600000000000001</v>
      </c>
      <c r="AV746">
        <v>19</v>
      </c>
      <c r="AW746">
        <v>19</v>
      </c>
      <c r="AX746">
        <v>19</v>
      </c>
      <c r="AY746">
        <v>11.1</v>
      </c>
      <c r="AZ746">
        <v>10</v>
      </c>
      <c r="BA746">
        <v>11.6</v>
      </c>
      <c r="BB746">
        <v>10</v>
      </c>
    </row>
    <row r="747" spans="1:54" x14ac:dyDescent="0.35">
      <c r="A747" s="1">
        <v>46059.981944444444</v>
      </c>
      <c r="B747">
        <v>23.1</v>
      </c>
      <c r="C747">
        <v>3</v>
      </c>
      <c r="D747">
        <v>21.8</v>
      </c>
      <c r="E747">
        <v>2</v>
      </c>
      <c r="F747">
        <v>10.6</v>
      </c>
      <c r="G747">
        <v>13.8</v>
      </c>
      <c r="H747">
        <v>0</v>
      </c>
      <c r="I747">
        <v>16.2</v>
      </c>
      <c r="J747">
        <v>12.6</v>
      </c>
      <c r="K747">
        <v>0</v>
      </c>
      <c r="L747">
        <v>14</v>
      </c>
      <c r="M747">
        <v>17.100000000000001</v>
      </c>
      <c r="N747">
        <v>0</v>
      </c>
      <c r="O747">
        <v>16.100000000000001</v>
      </c>
      <c r="P747">
        <v>12.2</v>
      </c>
      <c r="Q747">
        <v>0</v>
      </c>
      <c r="R747">
        <v>11.6</v>
      </c>
      <c r="S747">
        <v>14.8</v>
      </c>
      <c r="T747">
        <v>0</v>
      </c>
      <c r="U747">
        <v>-20.399999999999999</v>
      </c>
      <c r="V747">
        <v>-22.7</v>
      </c>
      <c r="W747">
        <v>-22</v>
      </c>
      <c r="X747">
        <v>-20.8</v>
      </c>
      <c r="Y747">
        <v>-19.3</v>
      </c>
      <c r="Z747">
        <v>-22</v>
      </c>
      <c r="AA747">
        <v>-3.5</v>
      </c>
      <c r="AB747">
        <v>-5.5</v>
      </c>
      <c r="AC747">
        <v>-5</v>
      </c>
      <c r="AD747">
        <v>12.5</v>
      </c>
      <c r="AE747">
        <v>10.6</v>
      </c>
      <c r="AF747">
        <v>0</v>
      </c>
      <c r="AG747">
        <v>11.4</v>
      </c>
      <c r="AH747">
        <v>10</v>
      </c>
      <c r="AI747">
        <v>11.3</v>
      </c>
      <c r="AJ747">
        <v>10</v>
      </c>
      <c r="AK747">
        <v>11.8</v>
      </c>
      <c r="AL747">
        <v>10</v>
      </c>
      <c r="AM747">
        <v>12.3</v>
      </c>
      <c r="AN747">
        <v>9</v>
      </c>
      <c r="AO747">
        <v>10.4</v>
      </c>
      <c r="AP747">
        <v>10</v>
      </c>
      <c r="AQ747">
        <v>11.3</v>
      </c>
      <c r="AR747">
        <v>10</v>
      </c>
      <c r="AS747">
        <v>10.1</v>
      </c>
      <c r="AT747">
        <v>10</v>
      </c>
      <c r="AU747">
        <v>18.8</v>
      </c>
      <c r="AV747">
        <v>19</v>
      </c>
      <c r="AW747">
        <v>19.7</v>
      </c>
      <c r="AX747">
        <v>19</v>
      </c>
      <c r="AY747">
        <v>11.6</v>
      </c>
      <c r="AZ747">
        <v>10</v>
      </c>
      <c r="BA747">
        <v>12</v>
      </c>
      <c r="BB747">
        <v>10</v>
      </c>
    </row>
    <row r="748" spans="1:54" x14ac:dyDescent="0.35">
      <c r="A748" s="1">
        <v>46059.982638888891</v>
      </c>
      <c r="B748">
        <v>23.1</v>
      </c>
      <c r="C748">
        <v>3</v>
      </c>
      <c r="D748">
        <v>21.8</v>
      </c>
      <c r="E748">
        <v>2</v>
      </c>
      <c r="F748">
        <v>10.6</v>
      </c>
      <c r="G748">
        <v>13.8</v>
      </c>
      <c r="H748">
        <v>0</v>
      </c>
      <c r="I748">
        <v>16.2</v>
      </c>
      <c r="J748">
        <v>12.6</v>
      </c>
      <c r="K748">
        <v>0</v>
      </c>
      <c r="L748">
        <v>14</v>
      </c>
      <c r="M748">
        <v>17.100000000000001</v>
      </c>
      <c r="N748">
        <v>0</v>
      </c>
      <c r="O748">
        <v>16.100000000000001</v>
      </c>
      <c r="P748">
        <v>12.2</v>
      </c>
      <c r="Q748">
        <v>0</v>
      </c>
      <c r="R748">
        <v>11.6</v>
      </c>
      <c r="S748">
        <v>14.8</v>
      </c>
      <c r="T748">
        <v>0</v>
      </c>
      <c r="U748">
        <v>-20.399999999999999</v>
      </c>
      <c r="V748">
        <v>-22.6</v>
      </c>
      <c r="W748">
        <v>-22</v>
      </c>
      <c r="X748">
        <v>-20.8</v>
      </c>
      <c r="Y748">
        <v>-19.3</v>
      </c>
      <c r="Z748">
        <v>-22</v>
      </c>
      <c r="AA748">
        <v>-4</v>
      </c>
      <c r="AB748">
        <v>-6.2</v>
      </c>
      <c r="AC748">
        <v>-5</v>
      </c>
      <c r="AD748">
        <v>12.5</v>
      </c>
      <c r="AE748">
        <v>10.6</v>
      </c>
      <c r="AF748">
        <v>0</v>
      </c>
      <c r="AG748">
        <v>11.5</v>
      </c>
      <c r="AH748">
        <v>10</v>
      </c>
      <c r="AI748">
        <v>11.4</v>
      </c>
      <c r="AJ748">
        <v>10</v>
      </c>
      <c r="AK748">
        <v>11.8</v>
      </c>
      <c r="AL748">
        <v>10</v>
      </c>
      <c r="AM748">
        <v>12.3</v>
      </c>
      <c r="AN748">
        <v>9</v>
      </c>
      <c r="AO748">
        <v>10.1</v>
      </c>
      <c r="AP748">
        <v>10</v>
      </c>
      <c r="AQ748">
        <v>11.2</v>
      </c>
      <c r="AR748">
        <v>10</v>
      </c>
      <c r="AS748">
        <v>8.1999999999999993</v>
      </c>
      <c r="AT748">
        <v>10</v>
      </c>
      <c r="AU748">
        <v>18.899999999999999</v>
      </c>
      <c r="AV748">
        <v>19</v>
      </c>
      <c r="AW748">
        <v>19.8</v>
      </c>
      <c r="AX748">
        <v>19</v>
      </c>
      <c r="AY748">
        <v>11.7</v>
      </c>
      <c r="AZ748">
        <v>10</v>
      </c>
      <c r="BA748">
        <v>11.3</v>
      </c>
      <c r="BB748">
        <v>10</v>
      </c>
    </row>
    <row r="749" spans="1:54" x14ac:dyDescent="0.35">
      <c r="A749" s="1">
        <v>46059.98333333333</v>
      </c>
      <c r="B749">
        <v>23.1</v>
      </c>
      <c r="C749">
        <v>3</v>
      </c>
      <c r="D749">
        <v>21.8</v>
      </c>
      <c r="E749">
        <v>2</v>
      </c>
      <c r="F749">
        <v>10.6</v>
      </c>
      <c r="G749">
        <v>13.8</v>
      </c>
      <c r="H749">
        <v>0</v>
      </c>
      <c r="I749">
        <v>16.2</v>
      </c>
      <c r="J749">
        <v>12.6</v>
      </c>
      <c r="K749">
        <v>0</v>
      </c>
      <c r="L749">
        <v>14</v>
      </c>
      <c r="M749">
        <v>17.100000000000001</v>
      </c>
      <c r="N749">
        <v>0</v>
      </c>
      <c r="O749">
        <v>16.100000000000001</v>
      </c>
      <c r="P749">
        <v>12.2</v>
      </c>
      <c r="Q749">
        <v>0</v>
      </c>
      <c r="R749">
        <v>11.6</v>
      </c>
      <c r="S749">
        <v>14.8</v>
      </c>
      <c r="T749">
        <v>0</v>
      </c>
      <c r="U749">
        <v>-20.399999999999999</v>
      </c>
      <c r="V749">
        <v>-22.6</v>
      </c>
      <c r="W749">
        <v>-22</v>
      </c>
      <c r="X749">
        <v>-20.8</v>
      </c>
      <c r="Y749">
        <v>-19.3</v>
      </c>
      <c r="Z749">
        <v>-22</v>
      </c>
      <c r="AA749">
        <v>-4.5</v>
      </c>
      <c r="AB749">
        <v>-6.7</v>
      </c>
      <c r="AC749">
        <v>-5</v>
      </c>
      <c r="AD749">
        <v>12.5</v>
      </c>
      <c r="AE749">
        <v>10.6</v>
      </c>
      <c r="AF749">
        <v>0</v>
      </c>
      <c r="AG749">
        <v>11.6</v>
      </c>
      <c r="AH749">
        <v>10</v>
      </c>
      <c r="AI749">
        <v>11.4</v>
      </c>
      <c r="AJ749">
        <v>10</v>
      </c>
      <c r="AK749">
        <v>11.8</v>
      </c>
      <c r="AL749">
        <v>10</v>
      </c>
      <c r="AM749">
        <v>12.2</v>
      </c>
      <c r="AN749">
        <v>9</v>
      </c>
      <c r="AO749">
        <v>10.199999999999999</v>
      </c>
      <c r="AP749">
        <v>10</v>
      </c>
      <c r="AQ749">
        <v>11.1</v>
      </c>
      <c r="AR749">
        <v>10</v>
      </c>
      <c r="AS749">
        <v>8.1</v>
      </c>
      <c r="AT749">
        <v>10</v>
      </c>
      <c r="AU749">
        <v>19</v>
      </c>
      <c r="AV749">
        <v>19</v>
      </c>
      <c r="AW749">
        <v>20</v>
      </c>
      <c r="AX749">
        <v>19</v>
      </c>
      <c r="AY749">
        <v>11.9</v>
      </c>
      <c r="AZ749">
        <v>10</v>
      </c>
      <c r="BA749">
        <v>10.3</v>
      </c>
      <c r="BB749">
        <v>10</v>
      </c>
    </row>
    <row r="750" spans="1:54" x14ac:dyDescent="0.35">
      <c r="A750" s="1">
        <v>46059.984027777777</v>
      </c>
      <c r="B750">
        <v>23.1</v>
      </c>
      <c r="C750">
        <v>3</v>
      </c>
      <c r="D750">
        <v>21.8</v>
      </c>
      <c r="E750">
        <v>2</v>
      </c>
      <c r="F750">
        <v>10.6</v>
      </c>
      <c r="G750">
        <v>13.8</v>
      </c>
      <c r="H750">
        <v>0</v>
      </c>
      <c r="I750">
        <v>16.2</v>
      </c>
      <c r="J750">
        <v>12.6</v>
      </c>
      <c r="K750">
        <v>0</v>
      </c>
      <c r="L750">
        <v>14</v>
      </c>
      <c r="M750">
        <v>17.100000000000001</v>
      </c>
      <c r="N750">
        <v>0</v>
      </c>
      <c r="O750">
        <v>16.100000000000001</v>
      </c>
      <c r="P750">
        <v>12.2</v>
      </c>
      <c r="Q750">
        <v>0</v>
      </c>
      <c r="R750">
        <v>11.6</v>
      </c>
      <c r="S750">
        <v>14.8</v>
      </c>
      <c r="T750">
        <v>0</v>
      </c>
      <c r="U750">
        <v>-20.399999999999999</v>
      </c>
      <c r="V750">
        <v>-22.8</v>
      </c>
      <c r="W750">
        <v>-22</v>
      </c>
      <c r="X750">
        <v>-20.8</v>
      </c>
      <c r="Y750">
        <v>-19.3</v>
      </c>
      <c r="Z750">
        <v>-22</v>
      </c>
      <c r="AA750">
        <v>-4.9000000000000004</v>
      </c>
      <c r="AB750">
        <v>-7.2</v>
      </c>
      <c r="AC750">
        <v>-5</v>
      </c>
      <c r="AD750">
        <v>12.6</v>
      </c>
      <c r="AE750">
        <v>10.6</v>
      </c>
      <c r="AF750">
        <v>0</v>
      </c>
      <c r="AG750">
        <v>11.7</v>
      </c>
      <c r="AH750">
        <v>10</v>
      </c>
      <c r="AI750">
        <v>11.6</v>
      </c>
      <c r="AJ750">
        <v>10</v>
      </c>
      <c r="AK750">
        <v>11.8</v>
      </c>
      <c r="AL750">
        <v>10</v>
      </c>
      <c r="AM750">
        <v>12.1</v>
      </c>
      <c r="AN750">
        <v>9</v>
      </c>
      <c r="AO750">
        <v>10.8</v>
      </c>
      <c r="AP750">
        <v>10</v>
      </c>
      <c r="AQ750">
        <v>11</v>
      </c>
      <c r="AR750">
        <v>10</v>
      </c>
      <c r="AS750">
        <v>8.6999999999999993</v>
      </c>
      <c r="AT750">
        <v>10</v>
      </c>
      <c r="AU750">
        <v>19</v>
      </c>
      <c r="AV750">
        <v>19</v>
      </c>
      <c r="AW750">
        <v>20</v>
      </c>
      <c r="AX750">
        <v>19</v>
      </c>
      <c r="AY750">
        <v>12</v>
      </c>
      <c r="AZ750">
        <v>10</v>
      </c>
      <c r="BA750">
        <v>9.6999999999999993</v>
      </c>
      <c r="BB750">
        <v>10</v>
      </c>
    </row>
    <row r="751" spans="1:54" x14ac:dyDescent="0.35">
      <c r="A751" s="1">
        <v>46059.984722222223</v>
      </c>
      <c r="B751">
        <v>23.1</v>
      </c>
      <c r="C751">
        <v>3</v>
      </c>
      <c r="D751">
        <v>21.8</v>
      </c>
      <c r="E751">
        <v>2</v>
      </c>
      <c r="F751">
        <v>10.6</v>
      </c>
      <c r="G751">
        <v>13.8</v>
      </c>
      <c r="H751">
        <v>0</v>
      </c>
      <c r="I751">
        <v>16.2</v>
      </c>
      <c r="J751">
        <v>12.6</v>
      </c>
      <c r="K751">
        <v>0</v>
      </c>
      <c r="L751">
        <v>14</v>
      </c>
      <c r="M751">
        <v>17.100000000000001</v>
      </c>
      <c r="N751">
        <v>0</v>
      </c>
      <c r="O751">
        <v>16.100000000000001</v>
      </c>
      <c r="P751">
        <v>12.2</v>
      </c>
      <c r="Q751">
        <v>0</v>
      </c>
      <c r="R751">
        <v>11.7</v>
      </c>
      <c r="S751">
        <v>14.8</v>
      </c>
      <c r="T751">
        <v>0</v>
      </c>
      <c r="U751">
        <v>-20.399999999999999</v>
      </c>
      <c r="V751">
        <v>-22.6</v>
      </c>
      <c r="W751">
        <v>-22</v>
      </c>
      <c r="X751">
        <v>-20.8</v>
      </c>
      <c r="Y751">
        <v>-19.3</v>
      </c>
      <c r="Z751">
        <v>-22</v>
      </c>
      <c r="AA751">
        <v>-5.0999999999999996</v>
      </c>
      <c r="AB751">
        <v>-6.5</v>
      </c>
      <c r="AC751">
        <v>-5</v>
      </c>
      <c r="AD751">
        <v>12.6</v>
      </c>
      <c r="AE751">
        <v>10.6</v>
      </c>
      <c r="AF751">
        <v>0</v>
      </c>
      <c r="AG751">
        <v>11.8</v>
      </c>
      <c r="AH751">
        <v>10</v>
      </c>
      <c r="AI751">
        <v>11.6</v>
      </c>
      <c r="AJ751">
        <v>10</v>
      </c>
      <c r="AK751">
        <v>11.8</v>
      </c>
      <c r="AL751">
        <v>10</v>
      </c>
      <c r="AM751">
        <v>12.1</v>
      </c>
      <c r="AN751">
        <v>9</v>
      </c>
      <c r="AO751">
        <v>11.2</v>
      </c>
      <c r="AP751">
        <v>10</v>
      </c>
      <c r="AQ751">
        <v>10.9</v>
      </c>
      <c r="AR751">
        <v>10</v>
      </c>
      <c r="AS751">
        <v>9.3000000000000007</v>
      </c>
      <c r="AT751">
        <v>10</v>
      </c>
      <c r="AU751">
        <v>19</v>
      </c>
      <c r="AV751">
        <v>19</v>
      </c>
      <c r="AW751">
        <v>20</v>
      </c>
      <c r="AX751">
        <v>19</v>
      </c>
      <c r="AY751">
        <v>11.1</v>
      </c>
      <c r="AZ751">
        <v>10</v>
      </c>
      <c r="BA751">
        <v>9.6</v>
      </c>
      <c r="BB751">
        <v>10</v>
      </c>
    </row>
    <row r="752" spans="1:54" x14ac:dyDescent="0.35">
      <c r="A752" s="1">
        <v>46059.98541666667</v>
      </c>
      <c r="B752">
        <v>23.1</v>
      </c>
      <c r="C752">
        <v>3</v>
      </c>
      <c r="D752">
        <v>21.8</v>
      </c>
      <c r="E752">
        <v>2</v>
      </c>
      <c r="F752">
        <v>10.6</v>
      </c>
      <c r="G752">
        <v>13.8</v>
      </c>
      <c r="H752">
        <v>0</v>
      </c>
      <c r="I752">
        <v>16.2</v>
      </c>
      <c r="J752">
        <v>12.6</v>
      </c>
      <c r="K752">
        <v>0</v>
      </c>
      <c r="L752">
        <v>14</v>
      </c>
      <c r="M752">
        <v>17.100000000000001</v>
      </c>
      <c r="N752">
        <v>0</v>
      </c>
      <c r="O752">
        <v>16.100000000000001</v>
      </c>
      <c r="P752">
        <v>12.2</v>
      </c>
      <c r="Q752">
        <v>0</v>
      </c>
      <c r="R752">
        <v>11.7</v>
      </c>
      <c r="S752">
        <v>14.8</v>
      </c>
      <c r="T752">
        <v>0</v>
      </c>
      <c r="U752">
        <v>-20.399999999999999</v>
      </c>
      <c r="V752">
        <v>-22.7</v>
      </c>
      <c r="W752">
        <v>-22</v>
      </c>
      <c r="X752">
        <v>-20.9</v>
      </c>
      <c r="Y752">
        <v>-19.3</v>
      </c>
      <c r="Z752">
        <v>-22</v>
      </c>
      <c r="AA752">
        <v>-4.5</v>
      </c>
      <c r="AB752">
        <v>-5</v>
      </c>
      <c r="AC752">
        <v>-5</v>
      </c>
      <c r="AD752">
        <v>12.6</v>
      </c>
      <c r="AE752">
        <v>10.6</v>
      </c>
      <c r="AF752">
        <v>0</v>
      </c>
      <c r="AG752">
        <v>11.9</v>
      </c>
      <c r="AH752">
        <v>10</v>
      </c>
      <c r="AI752">
        <v>11.7</v>
      </c>
      <c r="AJ752">
        <v>10</v>
      </c>
      <c r="AK752">
        <v>11.9</v>
      </c>
      <c r="AL752">
        <v>10</v>
      </c>
      <c r="AM752">
        <v>12.1</v>
      </c>
      <c r="AN752">
        <v>9</v>
      </c>
      <c r="AO752">
        <v>11.4</v>
      </c>
      <c r="AP752">
        <v>10</v>
      </c>
      <c r="AQ752">
        <v>10.8</v>
      </c>
      <c r="AR752">
        <v>10</v>
      </c>
      <c r="AS752">
        <v>9.8000000000000007</v>
      </c>
      <c r="AT752">
        <v>10</v>
      </c>
      <c r="AU752">
        <v>19.100000000000001</v>
      </c>
      <c r="AV752">
        <v>19</v>
      </c>
      <c r="AW752">
        <v>20.100000000000001</v>
      </c>
      <c r="AX752">
        <v>19</v>
      </c>
      <c r="AY752">
        <v>10</v>
      </c>
      <c r="AZ752">
        <v>10</v>
      </c>
      <c r="BA752">
        <v>10</v>
      </c>
      <c r="BB752">
        <v>10</v>
      </c>
    </row>
    <row r="753" spans="1:54" x14ac:dyDescent="0.35">
      <c r="A753" s="1">
        <v>46059.986805555556</v>
      </c>
      <c r="B753">
        <v>23.1</v>
      </c>
      <c r="C753">
        <v>3</v>
      </c>
      <c r="D753">
        <v>21.8</v>
      </c>
      <c r="E753">
        <v>2</v>
      </c>
      <c r="F753">
        <v>10.6</v>
      </c>
      <c r="G753">
        <v>13.8</v>
      </c>
      <c r="H753">
        <v>0</v>
      </c>
      <c r="I753">
        <v>16.2</v>
      </c>
      <c r="J753">
        <v>12.6</v>
      </c>
      <c r="K753">
        <v>0</v>
      </c>
      <c r="L753">
        <v>14</v>
      </c>
      <c r="M753">
        <v>17.100000000000001</v>
      </c>
      <c r="N753">
        <v>0</v>
      </c>
      <c r="O753">
        <v>16.100000000000001</v>
      </c>
      <c r="P753">
        <v>12.2</v>
      </c>
      <c r="Q753">
        <v>0</v>
      </c>
      <c r="R753">
        <v>11.7</v>
      </c>
      <c r="S753">
        <v>14.8</v>
      </c>
      <c r="T753">
        <v>0</v>
      </c>
      <c r="U753">
        <v>-20.5</v>
      </c>
      <c r="V753">
        <v>-22.7</v>
      </c>
      <c r="W753">
        <v>-22</v>
      </c>
      <c r="X753">
        <v>-20.9</v>
      </c>
      <c r="Y753">
        <v>-19.3</v>
      </c>
      <c r="Z753">
        <v>-22</v>
      </c>
      <c r="AA753">
        <v>-3</v>
      </c>
      <c r="AB753">
        <v>-3</v>
      </c>
      <c r="AC753">
        <v>-5</v>
      </c>
      <c r="AD753">
        <v>12.6</v>
      </c>
      <c r="AE753">
        <v>10.6</v>
      </c>
      <c r="AF753">
        <v>0</v>
      </c>
      <c r="AG753">
        <v>12</v>
      </c>
      <c r="AH753">
        <v>10</v>
      </c>
      <c r="AI753">
        <v>11.9</v>
      </c>
      <c r="AJ753">
        <v>10</v>
      </c>
      <c r="AK753">
        <v>11.2</v>
      </c>
      <c r="AL753">
        <v>10</v>
      </c>
      <c r="AM753">
        <v>12.1</v>
      </c>
      <c r="AN753">
        <v>9</v>
      </c>
      <c r="AO753">
        <v>11.7</v>
      </c>
      <c r="AP753">
        <v>10</v>
      </c>
      <c r="AQ753">
        <v>10.6</v>
      </c>
      <c r="AR753">
        <v>10</v>
      </c>
      <c r="AS753">
        <v>10.5</v>
      </c>
      <c r="AT753">
        <v>10</v>
      </c>
      <c r="AU753">
        <v>19.2</v>
      </c>
      <c r="AV753">
        <v>19</v>
      </c>
      <c r="AW753">
        <v>20.100000000000001</v>
      </c>
      <c r="AX753">
        <v>19</v>
      </c>
      <c r="AY753">
        <v>9.8000000000000007</v>
      </c>
      <c r="AZ753">
        <v>10</v>
      </c>
      <c r="BA753">
        <v>10.8</v>
      </c>
      <c r="BB753">
        <v>10</v>
      </c>
    </row>
    <row r="754" spans="1:54" x14ac:dyDescent="0.35">
      <c r="A754" s="1">
        <v>46059.987500000003</v>
      </c>
      <c r="B754">
        <v>23.1</v>
      </c>
      <c r="C754">
        <v>3</v>
      </c>
      <c r="D754">
        <v>21.8</v>
      </c>
      <c r="E754">
        <v>2</v>
      </c>
      <c r="F754">
        <v>10.6</v>
      </c>
      <c r="G754">
        <v>13.8</v>
      </c>
      <c r="H754">
        <v>0</v>
      </c>
      <c r="I754">
        <v>16.2</v>
      </c>
      <c r="J754">
        <v>12.6</v>
      </c>
      <c r="K754">
        <v>0</v>
      </c>
      <c r="L754">
        <v>14</v>
      </c>
      <c r="M754">
        <v>17.100000000000001</v>
      </c>
      <c r="N754">
        <v>0</v>
      </c>
      <c r="O754">
        <v>16.100000000000001</v>
      </c>
      <c r="P754">
        <v>12.2</v>
      </c>
      <c r="Q754">
        <v>0</v>
      </c>
      <c r="R754">
        <v>11.7</v>
      </c>
      <c r="S754">
        <v>14.9</v>
      </c>
      <c r="T754">
        <v>0</v>
      </c>
      <c r="U754">
        <v>-20.5</v>
      </c>
      <c r="V754">
        <v>-23</v>
      </c>
      <c r="W754">
        <v>-22</v>
      </c>
      <c r="X754">
        <v>-20.9</v>
      </c>
      <c r="Y754">
        <v>-19.3</v>
      </c>
      <c r="Z754">
        <v>-22</v>
      </c>
      <c r="AA754">
        <v>-2.8</v>
      </c>
      <c r="AB754">
        <v>-3.6</v>
      </c>
      <c r="AC754">
        <v>-5</v>
      </c>
      <c r="AD754">
        <v>12.6</v>
      </c>
      <c r="AE754">
        <v>10.6</v>
      </c>
      <c r="AF754">
        <v>0</v>
      </c>
      <c r="AG754">
        <v>11.2</v>
      </c>
      <c r="AH754">
        <v>10</v>
      </c>
      <c r="AI754">
        <v>12</v>
      </c>
      <c r="AJ754">
        <v>10</v>
      </c>
      <c r="AK754">
        <v>9.6</v>
      </c>
      <c r="AL754">
        <v>10</v>
      </c>
      <c r="AM754">
        <v>12.1</v>
      </c>
      <c r="AN754">
        <v>9</v>
      </c>
      <c r="AO754">
        <v>11.7</v>
      </c>
      <c r="AP754">
        <v>10</v>
      </c>
      <c r="AQ754">
        <v>10.6</v>
      </c>
      <c r="AR754">
        <v>10</v>
      </c>
      <c r="AS754">
        <v>10.8</v>
      </c>
      <c r="AT754">
        <v>10</v>
      </c>
      <c r="AU754">
        <v>19.399999999999999</v>
      </c>
      <c r="AV754">
        <v>19</v>
      </c>
      <c r="AW754">
        <v>20.100000000000001</v>
      </c>
      <c r="AX754">
        <v>19</v>
      </c>
      <c r="AY754">
        <v>10.199999999999999</v>
      </c>
      <c r="AZ754">
        <v>10</v>
      </c>
      <c r="BA754">
        <v>11.2</v>
      </c>
      <c r="BB754">
        <v>10</v>
      </c>
    </row>
    <row r="755" spans="1:54" x14ac:dyDescent="0.35">
      <c r="A755" s="1">
        <v>46059.988194444442</v>
      </c>
      <c r="B755">
        <v>23.1</v>
      </c>
      <c r="C755">
        <v>3</v>
      </c>
      <c r="D755">
        <v>21.8</v>
      </c>
      <c r="E755">
        <v>2</v>
      </c>
      <c r="F755">
        <v>10.6</v>
      </c>
      <c r="G755">
        <v>13.8</v>
      </c>
      <c r="H755">
        <v>0</v>
      </c>
      <c r="I755">
        <v>16.2</v>
      </c>
      <c r="J755">
        <v>12.6</v>
      </c>
      <c r="K755">
        <v>0</v>
      </c>
      <c r="L755">
        <v>14</v>
      </c>
      <c r="M755">
        <v>17.100000000000001</v>
      </c>
      <c r="N755">
        <v>0</v>
      </c>
      <c r="O755">
        <v>16.100000000000001</v>
      </c>
      <c r="P755">
        <v>12.2</v>
      </c>
      <c r="Q755">
        <v>0</v>
      </c>
      <c r="R755">
        <v>11.7</v>
      </c>
      <c r="S755">
        <v>14.9</v>
      </c>
      <c r="T755">
        <v>0</v>
      </c>
      <c r="U755">
        <v>-20.5</v>
      </c>
      <c r="V755">
        <v>-22.6</v>
      </c>
      <c r="W755">
        <v>-22</v>
      </c>
      <c r="X755">
        <v>-20.9</v>
      </c>
      <c r="Y755">
        <v>-19.3</v>
      </c>
      <c r="Z755">
        <v>-22</v>
      </c>
      <c r="AA755">
        <v>-3</v>
      </c>
      <c r="AB755">
        <v>-4.5999999999999996</v>
      </c>
      <c r="AC755">
        <v>-5</v>
      </c>
      <c r="AD755">
        <v>12.6</v>
      </c>
      <c r="AE755">
        <v>10.6</v>
      </c>
      <c r="AF755">
        <v>0</v>
      </c>
      <c r="AG755">
        <v>10.4</v>
      </c>
      <c r="AH755">
        <v>10</v>
      </c>
      <c r="AI755">
        <v>11</v>
      </c>
      <c r="AJ755">
        <v>10</v>
      </c>
      <c r="AK755">
        <v>9.1999999999999993</v>
      </c>
      <c r="AL755">
        <v>10</v>
      </c>
      <c r="AM755">
        <v>12.2</v>
      </c>
      <c r="AN755">
        <v>9</v>
      </c>
      <c r="AO755">
        <v>11.8</v>
      </c>
      <c r="AP755">
        <v>10</v>
      </c>
      <c r="AQ755">
        <v>10.5</v>
      </c>
      <c r="AR755">
        <v>10</v>
      </c>
      <c r="AS755">
        <v>11</v>
      </c>
      <c r="AT755">
        <v>10</v>
      </c>
      <c r="AU755">
        <v>19.399999999999999</v>
      </c>
      <c r="AV755">
        <v>19</v>
      </c>
      <c r="AW755">
        <v>20.3</v>
      </c>
      <c r="AX755">
        <v>19</v>
      </c>
      <c r="AY755">
        <v>10.6</v>
      </c>
      <c r="AZ755">
        <v>10</v>
      </c>
      <c r="BA755">
        <v>11.5</v>
      </c>
      <c r="BB755">
        <v>10</v>
      </c>
    </row>
    <row r="756" spans="1:54" x14ac:dyDescent="0.35">
      <c r="A756" s="1">
        <v>46059.988888888889</v>
      </c>
      <c r="B756">
        <v>23.1</v>
      </c>
      <c r="C756">
        <v>3</v>
      </c>
      <c r="D756">
        <v>21.8</v>
      </c>
      <c r="E756">
        <v>2</v>
      </c>
      <c r="F756">
        <v>10.6</v>
      </c>
      <c r="G756">
        <v>13.8</v>
      </c>
      <c r="H756">
        <v>0</v>
      </c>
      <c r="I756">
        <v>16.3</v>
      </c>
      <c r="J756">
        <v>12.6</v>
      </c>
      <c r="K756">
        <v>0</v>
      </c>
      <c r="L756">
        <v>14</v>
      </c>
      <c r="M756">
        <v>17.100000000000001</v>
      </c>
      <c r="N756">
        <v>0</v>
      </c>
      <c r="O756">
        <v>16.100000000000001</v>
      </c>
      <c r="P756">
        <v>12.2</v>
      </c>
      <c r="Q756">
        <v>0</v>
      </c>
      <c r="R756">
        <v>11.7</v>
      </c>
      <c r="S756">
        <v>14.9</v>
      </c>
      <c r="T756">
        <v>0</v>
      </c>
      <c r="U756">
        <v>-20.5</v>
      </c>
      <c r="V756">
        <v>-22.7</v>
      </c>
      <c r="W756">
        <v>-22</v>
      </c>
      <c r="X756">
        <v>-20.9</v>
      </c>
      <c r="Y756">
        <v>-19.3</v>
      </c>
      <c r="Z756">
        <v>-22</v>
      </c>
      <c r="AA756">
        <v>-3.5</v>
      </c>
      <c r="AB756">
        <v>-5.5</v>
      </c>
      <c r="AC756">
        <v>-5</v>
      </c>
      <c r="AD756">
        <v>12.6</v>
      </c>
      <c r="AE756">
        <v>10.6</v>
      </c>
      <c r="AF756">
        <v>0</v>
      </c>
      <c r="AG756">
        <v>9.6999999999999993</v>
      </c>
      <c r="AH756">
        <v>10</v>
      </c>
      <c r="AI756">
        <v>9.4</v>
      </c>
      <c r="AJ756">
        <v>10</v>
      </c>
      <c r="AK756">
        <v>9.6999999999999993</v>
      </c>
      <c r="AL756">
        <v>10</v>
      </c>
      <c r="AM756">
        <v>12.3</v>
      </c>
      <c r="AN756">
        <v>9</v>
      </c>
      <c r="AO756">
        <v>11.9</v>
      </c>
      <c r="AP756">
        <v>10</v>
      </c>
      <c r="AQ756">
        <v>10.4</v>
      </c>
      <c r="AR756">
        <v>10</v>
      </c>
      <c r="AS756">
        <v>11.3</v>
      </c>
      <c r="AT756">
        <v>10</v>
      </c>
      <c r="AU756">
        <v>19.399999999999999</v>
      </c>
      <c r="AV756">
        <v>19</v>
      </c>
      <c r="AW756">
        <v>20.399999999999999</v>
      </c>
      <c r="AX756">
        <v>19</v>
      </c>
      <c r="AY756">
        <v>10.9</v>
      </c>
      <c r="AZ756">
        <v>10</v>
      </c>
      <c r="BA756">
        <v>11.7</v>
      </c>
      <c r="BB756">
        <v>10</v>
      </c>
    </row>
    <row r="757" spans="1:54" x14ac:dyDescent="0.35">
      <c r="A757" s="1">
        <v>46059.989583333336</v>
      </c>
      <c r="B757">
        <v>23.1</v>
      </c>
      <c r="C757">
        <v>3</v>
      </c>
      <c r="D757">
        <v>21.8</v>
      </c>
      <c r="E757">
        <v>2</v>
      </c>
      <c r="F757">
        <v>10.6</v>
      </c>
      <c r="G757">
        <v>13.8</v>
      </c>
      <c r="H757">
        <v>0</v>
      </c>
      <c r="I757">
        <v>16.3</v>
      </c>
      <c r="J757">
        <v>12.6</v>
      </c>
      <c r="K757">
        <v>0</v>
      </c>
      <c r="L757">
        <v>14</v>
      </c>
      <c r="M757">
        <v>17.100000000000001</v>
      </c>
      <c r="N757">
        <v>0</v>
      </c>
      <c r="O757">
        <v>16.100000000000001</v>
      </c>
      <c r="P757">
        <v>12.2</v>
      </c>
      <c r="Q757">
        <v>0</v>
      </c>
      <c r="R757">
        <v>11.7</v>
      </c>
      <c r="S757">
        <v>14.9</v>
      </c>
      <c r="T757">
        <v>0</v>
      </c>
      <c r="U757">
        <v>-20.5</v>
      </c>
      <c r="V757">
        <v>-22.7</v>
      </c>
      <c r="W757">
        <v>-22</v>
      </c>
      <c r="X757">
        <v>-20.9</v>
      </c>
      <c r="Y757">
        <v>-19.3</v>
      </c>
      <c r="Z757">
        <v>-22</v>
      </c>
      <c r="AA757">
        <v>-4</v>
      </c>
      <c r="AB757">
        <v>-6.1</v>
      </c>
      <c r="AC757">
        <v>-5</v>
      </c>
      <c r="AD757">
        <v>12.6</v>
      </c>
      <c r="AE757">
        <v>10.6</v>
      </c>
      <c r="AF757">
        <v>0</v>
      </c>
      <c r="AG757">
        <v>9.6</v>
      </c>
      <c r="AH757">
        <v>10</v>
      </c>
      <c r="AI757">
        <v>8.6999999999999993</v>
      </c>
      <c r="AJ757">
        <v>10</v>
      </c>
      <c r="AK757">
        <v>10.3</v>
      </c>
      <c r="AL757">
        <v>10</v>
      </c>
      <c r="AM757">
        <v>12.3</v>
      </c>
      <c r="AN757">
        <v>9</v>
      </c>
      <c r="AO757">
        <v>12</v>
      </c>
      <c r="AP757">
        <v>10</v>
      </c>
      <c r="AQ757">
        <v>10.3</v>
      </c>
      <c r="AR757">
        <v>10</v>
      </c>
      <c r="AS757">
        <v>11.5</v>
      </c>
      <c r="AT757">
        <v>10</v>
      </c>
      <c r="AU757">
        <v>19.399999999999999</v>
      </c>
      <c r="AV757">
        <v>19</v>
      </c>
      <c r="AW757">
        <v>20.5</v>
      </c>
      <c r="AX757">
        <v>19</v>
      </c>
      <c r="AY757">
        <v>11.2</v>
      </c>
      <c r="AZ757">
        <v>10</v>
      </c>
      <c r="BA757">
        <v>12</v>
      </c>
      <c r="BB757">
        <v>10</v>
      </c>
    </row>
    <row r="758" spans="1:54" x14ac:dyDescent="0.35">
      <c r="A758" s="1">
        <v>46059.990277777775</v>
      </c>
      <c r="B758">
        <v>23.1</v>
      </c>
      <c r="C758">
        <v>3</v>
      </c>
      <c r="D758">
        <v>21.8</v>
      </c>
      <c r="E758">
        <v>2</v>
      </c>
      <c r="F758">
        <v>10.6</v>
      </c>
      <c r="G758">
        <v>13.8</v>
      </c>
      <c r="H758">
        <v>0</v>
      </c>
      <c r="I758">
        <v>16.3</v>
      </c>
      <c r="J758">
        <v>12.6</v>
      </c>
      <c r="K758">
        <v>0</v>
      </c>
      <c r="L758">
        <v>14</v>
      </c>
      <c r="M758">
        <v>17.100000000000001</v>
      </c>
      <c r="N758">
        <v>0</v>
      </c>
      <c r="O758">
        <v>16.100000000000001</v>
      </c>
      <c r="P758">
        <v>12.2</v>
      </c>
      <c r="Q758">
        <v>0</v>
      </c>
      <c r="R758">
        <v>11.7</v>
      </c>
      <c r="S758">
        <v>14.9</v>
      </c>
      <c r="T758">
        <v>0</v>
      </c>
      <c r="U758">
        <v>-20.5</v>
      </c>
      <c r="V758">
        <v>-22.5</v>
      </c>
      <c r="W758">
        <v>-22</v>
      </c>
      <c r="X758">
        <v>-20.9</v>
      </c>
      <c r="Y758">
        <v>-19.3</v>
      </c>
      <c r="Z758">
        <v>-22</v>
      </c>
      <c r="AA758">
        <v>-4.5</v>
      </c>
      <c r="AB758">
        <v>-6.7</v>
      </c>
      <c r="AC758">
        <v>-5</v>
      </c>
      <c r="AD758">
        <v>12.6</v>
      </c>
      <c r="AE758">
        <v>10.6</v>
      </c>
      <c r="AF758">
        <v>0</v>
      </c>
      <c r="AG758">
        <v>9.8000000000000007</v>
      </c>
      <c r="AH758">
        <v>10</v>
      </c>
      <c r="AI758">
        <v>8.6999999999999993</v>
      </c>
      <c r="AJ758">
        <v>10</v>
      </c>
      <c r="AK758">
        <v>10.5</v>
      </c>
      <c r="AL758">
        <v>10</v>
      </c>
      <c r="AM758">
        <v>12.4</v>
      </c>
      <c r="AN758">
        <v>9</v>
      </c>
      <c r="AO758">
        <v>10.7</v>
      </c>
      <c r="AP758">
        <v>10</v>
      </c>
      <c r="AQ758">
        <v>10.3</v>
      </c>
      <c r="AR758">
        <v>10</v>
      </c>
      <c r="AS758">
        <v>11.7</v>
      </c>
      <c r="AT758">
        <v>10</v>
      </c>
      <c r="AU758">
        <v>19.399999999999999</v>
      </c>
      <c r="AV758">
        <v>19</v>
      </c>
      <c r="AW758">
        <v>20.5</v>
      </c>
      <c r="AX758">
        <v>19</v>
      </c>
      <c r="AY758">
        <v>11.4</v>
      </c>
      <c r="AZ758">
        <v>10</v>
      </c>
      <c r="BA758">
        <v>11.9</v>
      </c>
      <c r="BB758">
        <v>10</v>
      </c>
    </row>
    <row r="759" spans="1:54" x14ac:dyDescent="0.35">
      <c r="A759" s="1">
        <v>46059.990972222222</v>
      </c>
      <c r="B759">
        <v>23.1</v>
      </c>
      <c r="C759">
        <v>3</v>
      </c>
      <c r="D759">
        <v>21.8</v>
      </c>
      <c r="E759">
        <v>2</v>
      </c>
      <c r="F759">
        <v>10.6</v>
      </c>
      <c r="G759">
        <v>13.8</v>
      </c>
      <c r="H759">
        <v>0</v>
      </c>
      <c r="I759">
        <v>16.3</v>
      </c>
      <c r="J759">
        <v>12.6</v>
      </c>
      <c r="K759">
        <v>0</v>
      </c>
      <c r="L759">
        <v>14</v>
      </c>
      <c r="M759">
        <v>17.100000000000001</v>
      </c>
      <c r="N759">
        <v>0</v>
      </c>
      <c r="O759">
        <v>16.100000000000001</v>
      </c>
      <c r="P759">
        <v>12.2</v>
      </c>
      <c r="Q759">
        <v>0</v>
      </c>
      <c r="R759">
        <v>11.7</v>
      </c>
      <c r="S759">
        <v>14.9</v>
      </c>
      <c r="T759">
        <v>0</v>
      </c>
      <c r="U759">
        <v>-20.5</v>
      </c>
      <c r="V759">
        <v>-22.9</v>
      </c>
      <c r="W759">
        <v>-22</v>
      </c>
      <c r="X759">
        <v>-20.9</v>
      </c>
      <c r="Y759">
        <v>-19.3</v>
      </c>
      <c r="Z759">
        <v>-22</v>
      </c>
      <c r="AA759">
        <v>-4.9000000000000004</v>
      </c>
      <c r="AB759">
        <v>-7.2</v>
      </c>
      <c r="AC759">
        <v>-5</v>
      </c>
      <c r="AD759">
        <v>12.6</v>
      </c>
      <c r="AE759">
        <v>10.6</v>
      </c>
      <c r="AF759">
        <v>0</v>
      </c>
      <c r="AG759">
        <v>10.199999999999999</v>
      </c>
      <c r="AH759">
        <v>10</v>
      </c>
      <c r="AI759">
        <v>9</v>
      </c>
      <c r="AJ759">
        <v>10</v>
      </c>
      <c r="AK759">
        <v>10.7</v>
      </c>
      <c r="AL759">
        <v>10</v>
      </c>
      <c r="AM759">
        <v>12.4</v>
      </c>
      <c r="AN759">
        <v>9</v>
      </c>
      <c r="AO759">
        <v>10.1</v>
      </c>
      <c r="AP759">
        <v>10</v>
      </c>
      <c r="AQ759">
        <v>10.3</v>
      </c>
      <c r="AR759">
        <v>10</v>
      </c>
      <c r="AS759">
        <v>11.9</v>
      </c>
      <c r="AT759">
        <v>10</v>
      </c>
      <c r="AU759">
        <v>19.399999999999999</v>
      </c>
      <c r="AV759">
        <v>19</v>
      </c>
      <c r="AW759">
        <v>20.5</v>
      </c>
      <c r="AX759">
        <v>19</v>
      </c>
      <c r="AY759">
        <v>11.6</v>
      </c>
      <c r="AZ759">
        <v>10</v>
      </c>
      <c r="BA759">
        <v>11</v>
      </c>
      <c r="BB759">
        <v>10</v>
      </c>
    </row>
    <row r="760" spans="1:54" x14ac:dyDescent="0.35">
      <c r="A760" s="1">
        <v>46059.991666666669</v>
      </c>
      <c r="B760">
        <v>23.1</v>
      </c>
      <c r="C760">
        <v>3</v>
      </c>
      <c r="D760">
        <v>21.8</v>
      </c>
      <c r="E760">
        <v>2</v>
      </c>
      <c r="F760">
        <v>10.6</v>
      </c>
      <c r="G760">
        <v>13.9</v>
      </c>
      <c r="H760">
        <v>0</v>
      </c>
      <c r="I760">
        <v>16.3</v>
      </c>
      <c r="J760">
        <v>12.6</v>
      </c>
      <c r="K760">
        <v>0</v>
      </c>
      <c r="L760">
        <v>14</v>
      </c>
      <c r="M760">
        <v>17.100000000000001</v>
      </c>
      <c r="N760">
        <v>0</v>
      </c>
      <c r="O760">
        <v>16.100000000000001</v>
      </c>
      <c r="P760">
        <v>12.2</v>
      </c>
      <c r="Q760">
        <v>0</v>
      </c>
      <c r="R760">
        <v>11.7</v>
      </c>
      <c r="S760">
        <v>14.9</v>
      </c>
      <c r="T760">
        <v>0</v>
      </c>
      <c r="U760">
        <v>-20.5</v>
      </c>
      <c r="V760">
        <v>-22.6</v>
      </c>
      <c r="W760">
        <v>-22</v>
      </c>
      <c r="X760">
        <v>-20.9</v>
      </c>
      <c r="Y760">
        <v>-19.3</v>
      </c>
      <c r="Z760">
        <v>-22</v>
      </c>
      <c r="AA760">
        <v>-5.0999999999999996</v>
      </c>
      <c r="AB760">
        <v>-6.7</v>
      </c>
      <c r="AC760">
        <v>-5</v>
      </c>
      <c r="AD760">
        <v>12.6</v>
      </c>
      <c r="AE760">
        <v>10.6</v>
      </c>
      <c r="AF760">
        <v>0</v>
      </c>
      <c r="AG760">
        <v>10.5</v>
      </c>
      <c r="AH760">
        <v>10</v>
      </c>
      <c r="AI760">
        <v>9.4</v>
      </c>
      <c r="AJ760">
        <v>10</v>
      </c>
      <c r="AK760">
        <v>10.7</v>
      </c>
      <c r="AL760">
        <v>10</v>
      </c>
      <c r="AM760">
        <v>12.4</v>
      </c>
      <c r="AN760">
        <v>9</v>
      </c>
      <c r="AO760">
        <v>9.9</v>
      </c>
      <c r="AP760">
        <v>10</v>
      </c>
      <c r="AQ760">
        <v>10.3</v>
      </c>
      <c r="AR760">
        <v>10</v>
      </c>
      <c r="AS760">
        <v>12</v>
      </c>
      <c r="AT760">
        <v>10</v>
      </c>
      <c r="AU760">
        <v>19.399999999999999</v>
      </c>
      <c r="AV760">
        <v>19</v>
      </c>
      <c r="AW760">
        <v>20.399999999999999</v>
      </c>
      <c r="AX760">
        <v>19</v>
      </c>
      <c r="AY760">
        <v>11.8</v>
      </c>
      <c r="AZ760">
        <v>10</v>
      </c>
      <c r="BA760">
        <v>10.1</v>
      </c>
      <c r="BB760">
        <v>10</v>
      </c>
    </row>
    <row r="761" spans="1:54" x14ac:dyDescent="0.35">
      <c r="A761" s="1">
        <v>46059.992361111108</v>
      </c>
      <c r="B761">
        <v>23.1</v>
      </c>
      <c r="C761">
        <v>3</v>
      </c>
      <c r="D761">
        <v>21.8</v>
      </c>
      <c r="E761">
        <v>2</v>
      </c>
      <c r="F761">
        <v>10.7</v>
      </c>
      <c r="G761">
        <v>13.9</v>
      </c>
      <c r="H761">
        <v>0</v>
      </c>
      <c r="I761">
        <v>16.3</v>
      </c>
      <c r="J761">
        <v>12.6</v>
      </c>
      <c r="K761">
        <v>0</v>
      </c>
      <c r="L761">
        <v>14</v>
      </c>
      <c r="M761">
        <v>17.100000000000001</v>
      </c>
      <c r="N761">
        <v>0</v>
      </c>
      <c r="O761">
        <v>16.100000000000001</v>
      </c>
      <c r="P761">
        <v>12.2</v>
      </c>
      <c r="Q761">
        <v>0</v>
      </c>
      <c r="R761">
        <v>11.7</v>
      </c>
      <c r="S761">
        <v>14.9</v>
      </c>
      <c r="T761">
        <v>0</v>
      </c>
      <c r="U761">
        <v>-20.5</v>
      </c>
      <c r="V761">
        <v>-22.7</v>
      </c>
      <c r="W761">
        <v>-22</v>
      </c>
      <c r="X761">
        <v>-20.9</v>
      </c>
      <c r="Y761">
        <v>-19.3</v>
      </c>
      <c r="Z761">
        <v>-22</v>
      </c>
      <c r="AA761">
        <v>-4.4000000000000004</v>
      </c>
      <c r="AB761">
        <v>-4.8</v>
      </c>
      <c r="AC761">
        <v>-5</v>
      </c>
      <c r="AD761">
        <v>12.6</v>
      </c>
      <c r="AE761">
        <v>10.6</v>
      </c>
      <c r="AF761">
        <v>0</v>
      </c>
      <c r="AG761">
        <v>10.7</v>
      </c>
      <c r="AH761">
        <v>10</v>
      </c>
      <c r="AI761">
        <v>9.6</v>
      </c>
      <c r="AJ761">
        <v>10</v>
      </c>
      <c r="AK761">
        <v>10.8</v>
      </c>
      <c r="AL761">
        <v>10</v>
      </c>
      <c r="AM761">
        <v>12.2</v>
      </c>
      <c r="AN761">
        <v>9</v>
      </c>
      <c r="AO761">
        <v>10.7</v>
      </c>
      <c r="AP761">
        <v>10</v>
      </c>
      <c r="AQ761">
        <v>10</v>
      </c>
      <c r="AR761">
        <v>10</v>
      </c>
      <c r="AS761">
        <v>9.3000000000000007</v>
      </c>
      <c r="AT761">
        <v>10</v>
      </c>
      <c r="AU761">
        <v>19.399999999999999</v>
      </c>
      <c r="AV761">
        <v>19</v>
      </c>
      <c r="AW761">
        <v>20.399999999999999</v>
      </c>
      <c r="AX761">
        <v>19</v>
      </c>
      <c r="AY761">
        <v>11.9</v>
      </c>
      <c r="AZ761">
        <v>10</v>
      </c>
      <c r="BA761">
        <v>9.6</v>
      </c>
      <c r="BB761">
        <v>10</v>
      </c>
    </row>
    <row r="762" spans="1:54" x14ac:dyDescent="0.35">
      <c r="A762" s="1">
        <v>46059.993055555555</v>
      </c>
      <c r="B762">
        <v>23.1</v>
      </c>
      <c r="C762">
        <v>3</v>
      </c>
      <c r="D762">
        <v>21.8</v>
      </c>
      <c r="E762">
        <v>2</v>
      </c>
      <c r="F762">
        <v>10.7</v>
      </c>
      <c r="G762">
        <v>13.9</v>
      </c>
      <c r="H762">
        <v>0</v>
      </c>
      <c r="I762">
        <v>16.3</v>
      </c>
      <c r="J762">
        <v>12.6</v>
      </c>
      <c r="K762">
        <v>0</v>
      </c>
      <c r="L762">
        <v>14</v>
      </c>
      <c r="M762">
        <v>17.100000000000001</v>
      </c>
      <c r="N762">
        <v>0</v>
      </c>
      <c r="O762">
        <v>16.100000000000001</v>
      </c>
      <c r="P762">
        <v>12.2</v>
      </c>
      <c r="Q762">
        <v>0</v>
      </c>
      <c r="R762">
        <v>11.7</v>
      </c>
      <c r="S762">
        <v>14.9</v>
      </c>
      <c r="T762">
        <v>0</v>
      </c>
      <c r="U762">
        <v>-20.5</v>
      </c>
      <c r="V762">
        <v>-22.8</v>
      </c>
      <c r="W762">
        <v>-22</v>
      </c>
      <c r="X762">
        <v>-20.9</v>
      </c>
      <c r="Y762">
        <v>-19.3</v>
      </c>
      <c r="Z762">
        <v>-22</v>
      </c>
      <c r="AA762">
        <v>-3.7</v>
      </c>
      <c r="AB762">
        <v>-3.8</v>
      </c>
      <c r="AC762">
        <v>-5</v>
      </c>
      <c r="AD762">
        <v>12.6</v>
      </c>
      <c r="AE762">
        <v>10.6</v>
      </c>
      <c r="AF762">
        <v>0</v>
      </c>
      <c r="AG762">
        <v>10.9</v>
      </c>
      <c r="AH762">
        <v>10</v>
      </c>
      <c r="AI762">
        <v>9.9</v>
      </c>
      <c r="AJ762">
        <v>10</v>
      </c>
      <c r="AK762">
        <v>10.9</v>
      </c>
      <c r="AL762">
        <v>10</v>
      </c>
      <c r="AM762">
        <v>12.2</v>
      </c>
      <c r="AN762">
        <v>9</v>
      </c>
      <c r="AO762">
        <v>11.2</v>
      </c>
      <c r="AP762">
        <v>10</v>
      </c>
      <c r="AQ762">
        <v>10.4</v>
      </c>
      <c r="AR762">
        <v>10</v>
      </c>
      <c r="AS762">
        <v>8.1999999999999993</v>
      </c>
      <c r="AT762">
        <v>10</v>
      </c>
      <c r="AU762">
        <v>19.399999999999999</v>
      </c>
      <c r="AV762">
        <v>19</v>
      </c>
      <c r="AW762">
        <v>20.5</v>
      </c>
      <c r="AX762">
        <v>19</v>
      </c>
      <c r="AY762">
        <v>11.7</v>
      </c>
      <c r="AZ762">
        <v>10</v>
      </c>
      <c r="BA762">
        <v>9.8000000000000007</v>
      </c>
      <c r="BB762">
        <v>10</v>
      </c>
    </row>
    <row r="763" spans="1:54" x14ac:dyDescent="0.35">
      <c r="A763" s="1">
        <v>46059.993750000001</v>
      </c>
      <c r="B763">
        <v>23.1</v>
      </c>
      <c r="C763">
        <v>3</v>
      </c>
      <c r="D763">
        <v>21.8</v>
      </c>
      <c r="E763">
        <v>2</v>
      </c>
      <c r="F763">
        <v>10.7</v>
      </c>
      <c r="G763">
        <v>13.9</v>
      </c>
      <c r="H763">
        <v>0</v>
      </c>
      <c r="I763">
        <v>16.3</v>
      </c>
      <c r="J763">
        <v>12.6</v>
      </c>
      <c r="K763">
        <v>0</v>
      </c>
      <c r="L763">
        <v>14</v>
      </c>
      <c r="M763">
        <v>17.100000000000001</v>
      </c>
      <c r="N763">
        <v>0</v>
      </c>
      <c r="O763">
        <v>16.100000000000001</v>
      </c>
      <c r="P763">
        <v>12.2</v>
      </c>
      <c r="Q763">
        <v>0</v>
      </c>
      <c r="R763">
        <v>11.7</v>
      </c>
      <c r="S763">
        <v>14.9</v>
      </c>
      <c r="T763">
        <v>0</v>
      </c>
      <c r="U763">
        <v>-20.5</v>
      </c>
      <c r="V763">
        <v>-22.7</v>
      </c>
      <c r="W763">
        <v>-22</v>
      </c>
      <c r="X763">
        <v>-20.9</v>
      </c>
      <c r="Y763">
        <v>-19.3</v>
      </c>
      <c r="Z763">
        <v>-22</v>
      </c>
      <c r="AA763">
        <v>-3.1</v>
      </c>
      <c r="AB763">
        <v>-3</v>
      </c>
      <c r="AC763">
        <v>-5</v>
      </c>
      <c r="AD763">
        <v>12.6</v>
      </c>
      <c r="AE763">
        <v>10.6</v>
      </c>
      <c r="AF763">
        <v>0</v>
      </c>
      <c r="AG763">
        <v>11</v>
      </c>
      <c r="AH763">
        <v>10</v>
      </c>
      <c r="AI763">
        <v>10.1</v>
      </c>
      <c r="AJ763">
        <v>10</v>
      </c>
      <c r="AK763">
        <v>11</v>
      </c>
      <c r="AL763">
        <v>10</v>
      </c>
      <c r="AM763">
        <v>12.2</v>
      </c>
      <c r="AN763">
        <v>9</v>
      </c>
      <c r="AO763">
        <v>11.4</v>
      </c>
      <c r="AP763">
        <v>10</v>
      </c>
      <c r="AQ763">
        <v>10.9</v>
      </c>
      <c r="AR763">
        <v>10</v>
      </c>
      <c r="AS763">
        <v>8.3000000000000007</v>
      </c>
      <c r="AT763">
        <v>10</v>
      </c>
      <c r="AU763">
        <v>19.399999999999999</v>
      </c>
      <c r="AV763">
        <v>19</v>
      </c>
      <c r="AW763">
        <v>20.5</v>
      </c>
      <c r="AX763">
        <v>19</v>
      </c>
      <c r="AY763">
        <v>10.8</v>
      </c>
      <c r="AZ763">
        <v>10</v>
      </c>
      <c r="BA763">
        <v>10.199999999999999</v>
      </c>
      <c r="BB763">
        <v>10</v>
      </c>
    </row>
    <row r="764" spans="1:54" x14ac:dyDescent="0.35">
      <c r="A764" s="1">
        <v>46059.994444444441</v>
      </c>
      <c r="B764">
        <v>23.1</v>
      </c>
      <c r="C764">
        <v>3</v>
      </c>
      <c r="D764">
        <v>21.8</v>
      </c>
      <c r="E764">
        <v>2</v>
      </c>
      <c r="F764">
        <v>10.7</v>
      </c>
      <c r="G764">
        <v>13.9</v>
      </c>
      <c r="H764">
        <v>0</v>
      </c>
      <c r="I764">
        <v>16.3</v>
      </c>
      <c r="J764">
        <v>12.6</v>
      </c>
      <c r="K764">
        <v>0</v>
      </c>
      <c r="L764">
        <v>14</v>
      </c>
      <c r="M764">
        <v>17.100000000000001</v>
      </c>
      <c r="N764">
        <v>0</v>
      </c>
      <c r="O764">
        <v>16.100000000000001</v>
      </c>
      <c r="P764">
        <v>12.3</v>
      </c>
      <c r="Q764">
        <v>0</v>
      </c>
      <c r="R764">
        <v>11.7</v>
      </c>
      <c r="S764">
        <v>14.9</v>
      </c>
      <c r="T764">
        <v>0</v>
      </c>
      <c r="U764">
        <v>-20.5</v>
      </c>
      <c r="V764">
        <v>-23</v>
      </c>
      <c r="W764">
        <v>-22</v>
      </c>
      <c r="X764">
        <v>-20.9</v>
      </c>
      <c r="Y764">
        <v>-19.3</v>
      </c>
      <c r="Z764">
        <v>-22</v>
      </c>
      <c r="AA764">
        <v>-2.8</v>
      </c>
      <c r="AB764">
        <v>-3.6</v>
      </c>
      <c r="AC764">
        <v>-5</v>
      </c>
      <c r="AD764">
        <v>12.6</v>
      </c>
      <c r="AE764">
        <v>10.6</v>
      </c>
      <c r="AF764">
        <v>0</v>
      </c>
      <c r="AG764">
        <v>11.2</v>
      </c>
      <c r="AH764">
        <v>10</v>
      </c>
      <c r="AI764">
        <v>10.3</v>
      </c>
      <c r="AJ764">
        <v>10</v>
      </c>
      <c r="AK764">
        <v>11.1</v>
      </c>
      <c r="AL764">
        <v>10</v>
      </c>
      <c r="AM764">
        <v>12.2</v>
      </c>
      <c r="AN764">
        <v>9</v>
      </c>
      <c r="AO764">
        <v>11.5</v>
      </c>
      <c r="AP764">
        <v>10</v>
      </c>
      <c r="AQ764">
        <v>11.8</v>
      </c>
      <c r="AR764">
        <v>10</v>
      </c>
      <c r="AS764">
        <v>9</v>
      </c>
      <c r="AT764">
        <v>10</v>
      </c>
      <c r="AU764">
        <v>19.399999999999999</v>
      </c>
      <c r="AV764">
        <v>19</v>
      </c>
      <c r="AW764">
        <v>20.5</v>
      </c>
      <c r="AX764">
        <v>19</v>
      </c>
      <c r="AY764">
        <v>9.9</v>
      </c>
      <c r="AZ764">
        <v>10</v>
      </c>
      <c r="BA764">
        <v>10.6</v>
      </c>
      <c r="BB764">
        <v>10</v>
      </c>
    </row>
    <row r="765" spans="1:54" x14ac:dyDescent="0.35">
      <c r="A765" s="1">
        <v>46059.995138888888</v>
      </c>
      <c r="B765">
        <v>23.1</v>
      </c>
      <c r="C765">
        <v>3</v>
      </c>
      <c r="D765">
        <v>21.8</v>
      </c>
      <c r="E765">
        <v>2</v>
      </c>
      <c r="F765">
        <v>10.7</v>
      </c>
      <c r="G765">
        <v>13.9</v>
      </c>
      <c r="H765">
        <v>0</v>
      </c>
      <c r="I765">
        <v>16.3</v>
      </c>
      <c r="J765">
        <v>12.6</v>
      </c>
      <c r="K765">
        <v>0</v>
      </c>
      <c r="L765">
        <v>14</v>
      </c>
      <c r="M765">
        <v>17.100000000000001</v>
      </c>
      <c r="N765">
        <v>0</v>
      </c>
      <c r="O765">
        <v>16.100000000000001</v>
      </c>
      <c r="P765">
        <v>12.3</v>
      </c>
      <c r="Q765">
        <v>0</v>
      </c>
      <c r="R765">
        <v>11.7</v>
      </c>
      <c r="S765">
        <v>14.9</v>
      </c>
      <c r="T765">
        <v>0</v>
      </c>
      <c r="U765">
        <v>-20.5</v>
      </c>
      <c r="V765">
        <v>-22.7</v>
      </c>
      <c r="W765">
        <v>-22</v>
      </c>
      <c r="X765">
        <v>-20.9</v>
      </c>
      <c r="Y765">
        <v>-19.3</v>
      </c>
      <c r="Z765">
        <v>-22</v>
      </c>
      <c r="AA765">
        <v>-3</v>
      </c>
      <c r="AB765">
        <v>-4.5</v>
      </c>
      <c r="AC765">
        <v>-5</v>
      </c>
      <c r="AD765">
        <v>12.6</v>
      </c>
      <c r="AE765">
        <v>10.6</v>
      </c>
      <c r="AF765">
        <v>0</v>
      </c>
      <c r="AG765">
        <v>11.4</v>
      </c>
      <c r="AH765">
        <v>10</v>
      </c>
      <c r="AI765">
        <v>10.4</v>
      </c>
      <c r="AJ765">
        <v>10</v>
      </c>
      <c r="AK765">
        <v>11.2</v>
      </c>
      <c r="AL765">
        <v>10</v>
      </c>
      <c r="AM765">
        <v>12.2</v>
      </c>
      <c r="AN765">
        <v>9</v>
      </c>
      <c r="AO765">
        <v>11.6</v>
      </c>
      <c r="AP765">
        <v>10</v>
      </c>
      <c r="AQ765">
        <v>12.2</v>
      </c>
      <c r="AR765">
        <v>10</v>
      </c>
      <c r="AS765">
        <v>9.5</v>
      </c>
      <c r="AT765">
        <v>10</v>
      </c>
      <c r="AU765">
        <v>19.399999999999999</v>
      </c>
      <c r="AV765">
        <v>19</v>
      </c>
      <c r="AW765">
        <v>20.6</v>
      </c>
      <c r="AX765">
        <v>19</v>
      </c>
      <c r="AY765">
        <v>9.6</v>
      </c>
      <c r="AZ765">
        <v>10</v>
      </c>
      <c r="BA765">
        <v>11</v>
      </c>
      <c r="BB765">
        <v>10</v>
      </c>
    </row>
    <row r="766" spans="1:54" x14ac:dyDescent="0.35">
      <c r="A766" s="1">
        <v>46059.995833333334</v>
      </c>
      <c r="B766">
        <v>23.1</v>
      </c>
      <c r="C766">
        <v>3</v>
      </c>
      <c r="D766">
        <v>21.8</v>
      </c>
      <c r="E766">
        <v>2</v>
      </c>
      <c r="F766">
        <v>10.7</v>
      </c>
      <c r="G766">
        <v>13.9</v>
      </c>
      <c r="H766">
        <v>0</v>
      </c>
      <c r="I766">
        <v>16.3</v>
      </c>
      <c r="J766">
        <v>12.6</v>
      </c>
      <c r="K766">
        <v>0</v>
      </c>
      <c r="L766">
        <v>14</v>
      </c>
      <c r="M766">
        <v>17.100000000000001</v>
      </c>
      <c r="N766">
        <v>0</v>
      </c>
      <c r="O766">
        <v>16.100000000000001</v>
      </c>
      <c r="P766">
        <v>12.3</v>
      </c>
      <c r="Q766">
        <v>0</v>
      </c>
      <c r="R766">
        <v>11.7</v>
      </c>
      <c r="S766">
        <v>14.9</v>
      </c>
      <c r="T766">
        <v>0</v>
      </c>
      <c r="U766">
        <v>-20.5</v>
      </c>
      <c r="V766">
        <v>-22.7</v>
      </c>
      <c r="W766">
        <v>-22</v>
      </c>
      <c r="X766">
        <v>-20.9</v>
      </c>
      <c r="Y766">
        <v>-19.3</v>
      </c>
      <c r="Z766">
        <v>-22</v>
      </c>
      <c r="AA766">
        <v>-3.5</v>
      </c>
      <c r="AB766">
        <v>-5.3</v>
      </c>
      <c r="AC766">
        <v>-5</v>
      </c>
      <c r="AD766">
        <v>12.6</v>
      </c>
      <c r="AE766">
        <v>10.6</v>
      </c>
      <c r="AF766">
        <v>0</v>
      </c>
      <c r="AG766">
        <v>11.5</v>
      </c>
      <c r="AH766">
        <v>10</v>
      </c>
      <c r="AI766">
        <v>10.6</v>
      </c>
      <c r="AJ766">
        <v>10</v>
      </c>
      <c r="AK766">
        <v>11.3</v>
      </c>
      <c r="AL766">
        <v>10</v>
      </c>
      <c r="AM766">
        <v>12.2</v>
      </c>
      <c r="AN766">
        <v>9</v>
      </c>
      <c r="AO766">
        <v>11.8</v>
      </c>
      <c r="AP766">
        <v>10</v>
      </c>
      <c r="AQ766">
        <v>12</v>
      </c>
      <c r="AR766">
        <v>10</v>
      </c>
      <c r="AS766">
        <v>10</v>
      </c>
      <c r="AT766">
        <v>10</v>
      </c>
      <c r="AU766">
        <v>19.5</v>
      </c>
      <c r="AV766">
        <v>19</v>
      </c>
      <c r="AW766">
        <v>20.6</v>
      </c>
      <c r="AX766">
        <v>19</v>
      </c>
      <c r="AY766">
        <v>9.9</v>
      </c>
      <c r="AZ766">
        <v>10</v>
      </c>
      <c r="BA766">
        <v>11.3</v>
      </c>
      <c r="BB766">
        <v>10</v>
      </c>
    </row>
    <row r="767" spans="1:54" x14ac:dyDescent="0.35">
      <c r="A767" s="1">
        <v>46059.996527777781</v>
      </c>
      <c r="B767">
        <v>23.1</v>
      </c>
      <c r="C767">
        <v>3</v>
      </c>
      <c r="D767">
        <v>21.8</v>
      </c>
      <c r="E767">
        <v>2</v>
      </c>
      <c r="F767">
        <v>10.7</v>
      </c>
      <c r="G767">
        <v>13.9</v>
      </c>
      <c r="H767">
        <v>0</v>
      </c>
      <c r="I767">
        <v>16.3</v>
      </c>
      <c r="J767">
        <v>12.6</v>
      </c>
      <c r="K767">
        <v>0</v>
      </c>
      <c r="L767">
        <v>14</v>
      </c>
      <c r="M767">
        <v>17.100000000000001</v>
      </c>
      <c r="N767">
        <v>0</v>
      </c>
      <c r="O767">
        <v>16.100000000000001</v>
      </c>
      <c r="P767">
        <v>12.3</v>
      </c>
      <c r="Q767">
        <v>0</v>
      </c>
      <c r="R767">
        <v>11.7</v>
      </c>
      <c r="S767">
        <v>14.9</v>
      </c>
      <c r="T767">
        <v>0</v>
      </c>
      <c r="U767">
        <v>-20.5</v>
      </c>
      <c r="V767">
        <v>-22.8</v>
      </c>
      <c r="W767">
        <v>-22</v>
      </c>
      <c r="X767">
        <v>-20.9</v>
      </c>
      <c r="Y767">
        <v>-19.3</v>
      </c>
      <c r="Z767">
        <v>-22</v>
      </c>
      <c r="AA767">
        <v>-4</v>
      </c>
      <c r="AB767">
        <v>-6.1</v>
      </c>
      <c r="AC767">
        <v>-5</v>
      </c>
      <c r="AD767">
        <v>12.6</v>
      </c>
      <c r="AE767">
        <v>10.6</v>
      </c>
      <c r="AF767">
        <v>0</v>
      </c>
      <c r="AG767">
        <v>11.6</v>
      </c>
      <c r="AH767">
        <v>10</v>
      </c>
      <c r="AI767">
        <v>10.8</v>
      </c>
      <c r="AJ767">
        <v>10</v>
      </c>
      <c r="AK767">
        <v>11.3</v>
      </c>
      <c r="AL767">
        <v>10</v>
      </c>
      <c r="AM767">
        <v>12.2</v>
      </c>
      <c r="AN767">
        <v>9</v>
      </c>
      <c r="AO767">
        <v>12</v>
      </c>
      <c r="AP767">
        <v>10</v>
      </c>
      <c r="AQ767">
        <v>11.5</v>
      </c>
      <c r="AR767">
        <v>10</v>
      </c>
      <c r="AS767">
        <v>10.4</v>
      </c>
      <c r="AT767">
        <v>10</v>
      </c>
      <c r="AU767">
        <v>19.5</v>
      </c>
      <c r="AV767">
        <v>19</v>
      </c>
      <c r="AW767">
        <v>20.6</v>
      </c>
      <c r="AX767">
        <v>19</v>
      </c>
      <c r="AY767">
        <v>10.3</v>
      </c>
      <c r="AZ767">
        <v>10</v>
      </c>
      <c r="BA767">
        <v>11.6</v>
      </c>
      <c r="BB767">
        <v>10</v>
      </c>
    </row>
    <row r="768" spans="1:54" x14ac:dyDescent="0.35">
      <c r="A768" s="1">
        <v>46059.99722222222</v>
      </c>
      <c r="B768">
        <v>23.1</v>
      </c>
      <c r="C768">
        <v>3</v>
      </c>
      <c r="D768">
        <v>21.8</v>
      </c>
      <c r="E768">
        <v>2</v>
      </c>
      <c r="F768">
        <v>10.7</v>
      </c>
      <c r="G768">
        <v>13.9</v>
      </c>
      <c r="H768">
        <v>0</v>
      </c>
      <c r="I768">
        <v>16.3</v>
      </c>
      <c r="J768">
        <v>12.6</v>
      </c>
      <c r="K768">
        <v>0</v>
      </c>
      <c r="L768">
        <v>14</v>
      </c>
      <c r="M768">
        <v>17.100000000000001</v>
      </c>
      <c r="N768">
        <v>0</v>
      </c>
      <c r="O768">
        <v>16.100000000000001</v>
      </c>
      <c r="P768">
        <v>12.3</v>
      </c>
      <c r="Q768">
        <v>0</v>
      </c>
      <c r="R768">
        <v>11.7</v>
      </c>
      <c r="S768">
        <v>14.9</v>
      </c>
      <c r="T768">
        <v>0</v>
      </c>
      <c r="U768">
        <v>-20.5</v>
      </c>
      <c r="V768">
        <v>-22.5</v>
      </c>
      <c r="W768">
        <v>-22</v>
      </c>
      <c r="X768">
        <v>-20.9</v>
      </c>
      <c r="Y768">
        <v>-19.3</v>
      </c>
      <c r="Z768">
        <v>-22</v>
      </c>
      <c r="AA768">
        <v>-4.5</v>
      </c>
      <c r="AB768">
        <v>-6.6</v>
      </c>
      <c r="AC768">
        <v>-5</v>
      </c>
      <c r="AD768">
        <v>12.6</v>
      </c>
      <c r="AE768">
        <v>10.6</v>
      </c>
      <c r="AF768">
        <v>0</v>
      </c>
      <c r="AG768">
        <v>11.7</v>
      </c>
      <c r="AH768">
        <v>10</v>
      </c>
      <c r="AI768">
        <v>10.9</v>
      </c>
      <c r="AJ768">
        <v>10</v>
      </c>
      <c r="AK768">
        <v>11.4</v>
      </c>
      <c r="AL768">
        <v>10</v>
      </c>
      <c r="AM768">
        <v>12.3</v>
      </c>
      <c r="AN768">
        <v>9</v>
      </c>
      <c r="AO768">
        <v>11.4</v>
      </c>
      <c r="AP768">
        <v>10</v>
      </c>
      <c r="AQ768">
        <v>11.5</v>
      </c>
      <c r="AR768">
        <v>10</v>
      </c>
      <c r="AS768">
        <v>10.7</v>
      </c>
      <c r="AT768">
        <v>10</v>
      </c>
      <c r="AU768">
        <v>19.600000000000001</v>
      </c>
      <c r="AV768">
        <v>19</v>
      </c>
      <c r="AW768">
        <v>20.6</v>
      </c>
      <c r="AX768">
        <v>19</v>
      </c>
      <c r="AY768">
        <v>10.6</v>
      </c>
      <c r="AZ768">
        <v>10</v>
      </c>
      <c r="BA768">
        <v>11.8</v>
      </c>
      <c r="BB768">
        <v>10</v>
      </c>
    </row>
    <row r="769" spans="1:54" x14ac:dyDescent="0.35">
      <c r="A769" s="1">
        <v>46059.997916666667</v>
      </c>
      <c r="B769">
        <v>23.1</v>
      </c>
      <c r="C769">
        <v>3</v>
      </c>
      <c r="D769">
        <v>21.8</v>
      </c>
      <c r="E769">
        <v>2</v>
      </c>
      <c r="F769">
        <v>10.7</v>
      </c>
      <c r="G769">
        <v>13.9</v>
      </c>
      <c r="H769">
        <v>0</v>
      </c>
      <c r="I769">
        <v>16.3</v>
      </c>
      <c r="J769">
        <v>12.6</v>
      </c>
      <c r="K769">
        <v>0</v>
      </c>
      <c r="L769">
        <v>14</v>
      </c>
      <c r="M769">
        <v>17.100000000000001</v>
      </c>
      <c r="N769">
        <v>0</v>
      </c>
      <c r="O769">
        <v>16.100000000000001</v>
      </c>
      <c r="P769">
        <v>12.3</v>
      </c>
      <c r="Q769">
        <v>0</v>
      </c>
      <c r="R769">
        <v>11.7</v>
      </c>
      <c r="S769">
        <v>14.9</v>
      </c>
      <c r="T769">
        <v>0</v>
      </c>
      <c r="U769">
        <v>-20.5</v>
      </c>
      <c r="V769">
        <v>-22.8</v>
      </c>
      <c r="W769">
        <v>-22</v>
      </c>
      <c r="X769">
        <v>-20.9</v>
      </c>
      <c r="Y769">
        <v>-19.3</v>
      </c>
      <c r="Z769">
        <v>-22</v>
      </c>
      <c r="AA769">
        <v>-4.8</v>
      </c>
      <c r="AB769">
        <v>-7.1</v>
      </c>
      <c r="AC769">
        <v>-5</v>
      </c>
      <c r="AD769">
        <v>12.6</v>
      </c>
      <c r="AE769">
        <v>10.6</v>
      </c>
      <c r="AF769">
        <v>0</v>
      </c>
      <c r="AG769">
        <v>11.8</v>
      </c>
      <c r="AH769">
        <v>10</v>
      </c>
      <c r="AI769">
        <v>11</v>
      </c>
      <c r="AJ769">
        <v>10</v>
      </c>
      <c r="AK769">
        <v>11.4</v>
      </c>
      <c r="AL769">
        <v>10</v>
      </c>
      <c r="AM769">
        <v>12.3</v>
      </c>
      <c r="AN769">
        <v>9</v>
      </c>
      <c r="AO769">
        <v>10.5</v>
      </c>
      <c r="AP769">
        <v>10</v>
      </c>
      <c r="AQ769">
        <v>11.5</v>
      </c>
      <c r="AR769">
        <v>10</v>
      </c>
      <c r="AS769">
        <v>10.9</v>
      </c>
      <c r="AT769">
        <v>10</v>
      </c>
      <c r="AU769">
        <v>19.600000000000001</v>
      </c>
      <c r="AV769">
        <v>19</v>
      </c>
      <c r="AW769">
        <v>20.6</v>
      </c>
      <c r="AX769">
        <v>19</v>
      </c>
      <c r="AY769">
        <v>10.9</v>
      </c>
      <c r="AZ769">
        <v>10</v>
      </c>
      <c r="BA769">
        <v>12</v>
      </c>
      <c r="BB769">
        <v>10</v>
      </c>
    </row>
    <row r="770" spans="1:54" x14ac:dyDescent="0.35">
      <c r="A770" s="1">
        <v>46059.998611111114</v>
      </c>
      <c r="B770">
        <v>23.1</v>
      </c>
      <c r="C770">
        <v>3</v>
      </c>
      <c r="D770">
        <v>21.8</v>
      </c>
      <c r="E770">
        <v>2</v>
      </c>
      <c r="F770">
        <v>10.7</v>
      </c>
      <c r="G770">
        <v>13.9</v>
      </c>
      <c r="H770">
        <v>0</v>
      </c>
      <c r="I770">
        <v>16.3</v>
      </c>
      <c r="J770">
        <v>12.6</v>
      </c>
      <c r="K770">
        <v>0</v>
      </c>
      <c r="L770">
        <v>14</v>
      </c>
      <c r="M770">
        <v>17.100000000000001</v>
      </c>
      <c r="N770">
        <v>0</v>
      </c>
      <c r="O770">
        <v>16.100000000000001</v>
      </c>
      <c r="P770">
        <v>12.3</v>
      </c>
      <c r="Q770">
        <v>0</v>
      </c>
      <c r="R770">
        <v>11.7</v>
      </c>
      <c r="S770">
        <v>14.9</v>
      </c>
      <c r="T770">
        <v>0</v>
      </c>
      <c r="U770">
        <v>-20.5</v>
      </c>
      <c r="V770">
        <v>-22.6</v>
      </c>
      <c r="W770">
        <v>-22</v>
      </c>
      <c r="X770">
        <v>-20.9</v>
      </c>
      <c r="Y770">
        <v>-19.3</v>
      </c>
      <c r="Z770">
        <v>-22</v>
      </c>
      <c r="AA770">
        <v>-5.0999999999999996</v>
      </c>
      <c r="AB770">
        <v>-6.8</v>
      </c>
      <c r="AC770">
        <v>-5</v>
      </c>
      <c r="AD770">
        <v>12.6</v>
      </c>
      <c r="AE770">
        <v>10.6</v>
      </c>
      <c r="AF770">
        <v>0</v>
      </c>
      <c r="AG770">
        <v>11.9</v>
      </c>
      <c r="AH770">
        <v>10</v>
      </c>
      <c r="AI770">
        <v>11.1</v>
      </c>
      <c r="AJ770">
        <v>10</v>
      </c>
      <c r="AK770">
        <v>11.4</v>
      </c>
      <c r="AL770">
        <v>10</v>
      </c>
      <c r="AM770">
        <v>12.3</v>
      </c>
      <c r="AN770">
        <v>9</v>
      </c>
      <c r="AO770">
        <v>10.4</v>
      </c>
      <c r="AP770">
        <v>10</v>
      </c>
      <c r="AQ770">
        <v>11.5</v>
      </c>
      <c r="AR770">
        <v>10</v>
      </c>
      <c r="AS770">
        <v>11.2</v>
      </c>
      <c r="AT770">
        <v>10</v>
      </c>
      <c r="AU770">
        <v>19.600000000000001</v>
      </c>
      <c r="AV770">
        <v>19</v>
      </c>
      <c r="AW770">
        <v>20.6</v>
      </c>
      <c r="AX770">
        <v>19</v>
      </c>
      <c r="AY770">
        <v>11.2</v>
      </c>
      <c r="AZ770">
        <v>10</v>
      </c>
      <c r="BA770">
        <v>11.6</v>
      </c>
      <c r="BB770">
        <v>10</v>
      </c>
    </row>
    <row r="771" spans="1:54" x14ac:dyDescent="0.35">
      <c r="A771" s="1">
        <v>46059.999305555553</v>
      </c>
      <c r="B771">
        <v>23.1</v>
      </c>
      <c r="C771">
        <v>3</v>
      </c>
      <c r="D771">
        <v>21.8</v>
      </c>
      <c r="E771">
        <v>2</v>
      </c>
      <c r="F771">
        <v>10.7</v>
      </c>
      <c r="G771">
        <v>13.9</v>
      </c>
      <c r="H771">
        <v>0</v>
      </c>
      <c r="I771">
        <v>16.3</v>
      </c>
      <c r="J771">
        <v>12.6</v>
      </c>
      <c r="K771">
        <v>0</v>
      </c>
      <c r="L771">
        <v>14.1</v>
      </c>
      <c r="M771">
        <v>17.100000000000001</v>
      </c>
      <c r="N771">
        <v>0</v>
      </c>
      <c r="O771">
        <v>16.100000000000001</v>
      </c>
      <c r="P771">
        <v>12.3</v>
      </c>
      <c r="Q771">
        <v>0</v>
      </c>
      <c r="R771">
        <v>11.7</v>
      </c>
      <c r="S771">
        <v>14.9</v>
      </c>
      <c r="T771">
        <v>0</v>
      </c>
      <c r="U771">
        <v>-20.5</v>
      </c>
      <c r="V771">
        <v>-22.7</v>
      </c>
      <c r="W771">
        <v>-22</v>
      </c>
      <c r="X771">
        <v>-21</v>
      </c>
      <c r="Y771">
        <v>-19.3</v>
      </c>
      <c r="Z771">
        <v>-22</v>
      </c>
      <c r="AA771">
        <v>-4.5999999999999996</v>
      </c>
      <c r="AB771">
        <v>-5.0999999999999996</v>
      </c>
      <c r="AC771">
        <v>-5</v>
      </c>
      <c r="AD771">
        <v>12.6</v>
      </c>
      <c r="AE771">
        <v>10.6</v>
      </c>
      <c r="AF771">
        <v>0</v>
      </c>
      <c r="AG771">
        <v>12</v>
      </c>
      <c r="AH771">
        <v>10</v>
      </c>
      <c r="AI771">
        <v>11.3</v>
      </c>
      <c r="AJ771">
        <v>10</v>
      </c>
      <c r="AK771">
        <v>11.4</v>
      </c>
      <c r="AL771">
        <v>10</v>
      </c>
      <c r="AM771">
        <v>12.3</v>
      </c>
      <c r="AN771">
        <v>9</v>
      </c>
      <c r="AO771">
        <v>10.3</v>
      </c>
      <c r="AP771">
        <v>10</v>
      </c>
      <c r="AQ771">
        <v>11.5</v>
      </c>
      <c r="AR771">
        <v>10</v>
      </c>
      <c r="AS771">
        <v>11.4</v>
      </c>
      <c r="AT771">
        <v>10</v>
      </c>
      <c r="AU771">
        <v>19.600000000000001</v>
      </c>
      <c r="AV771">
        <v>19</v>
      </c>
      <c r="AW771">
        <v>20.5</v>
      </c>
      <c r="AX771">
        <v>19</v>
      </c>
      <c r="AY771">
        <v>11.4</v>
      </c>
      <c r="AZ771">
        <v>10</v>
      </c>
      <c r="BA771">
        <v>10.6</v>
      </c>
      <c r="BB771">
        <v>10</v>
      </c>
    </row>
    <row r="772" spans="1:54" x14ac:dyDescent="0.35">
      <c r="A772" s="2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</row>
    <row r="773" spans="1:54" x14ac:dyDescent="0.35">
      <c r="A773" s="2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</row>
    <row r="774" spans="1:54" x14ac:dyDescent="0.35">
      <c r="A774" s="2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</row>
    <row r="775" spans="1:54" x14ac:dyDescent="0.35">
      <c r="A775" s="2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</row>
    <row r="776" spans="1:54" x14ac:dyDescent="0.35">
      <c r="A776" s="2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</row>
    <row r="777" spans="1:54" x14ac:dyDescent="0.35">
      <c r="A777" s="2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</row>
    <row r="778" spans="1:54" x14ac:dyDescent="0.35">
      <c r="A778" s="2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</row>
    <row r="779" spans="1:54" x14ac:dyDescent="0.35">
      <c r="A779" s="2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</row>
    <row r="780" spans="1:54" x14ac:dyDescent="0.35">
      <c r="A780" s="2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</row>
    <row r="781" spans="1:54" x14ac:dyDescent="0.35">
      <c r="A781" s="2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</row>
    <row r="782" spans="1:54" x14ac:dyDescent="0.35">
      <c r="A782" s="2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</row>
    <row r="783" spans="1:54" x14ac:dyDescent="0.35">
      <c r="A783" s="2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</row>
    <row r="784" spans="1:54" x14ac:dyDescent="0.35">
      <c r="A784" s="2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</row>
    <row r="785" spans="1:54" x14ac:dyDescent="0.35">
      <c r="A785" s="2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</row>
    <row r="786" spans="1:54" x14ac:dyDescent="0.35">
      <c r="A786" s="2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</row>
    <row r="787" spans="1:54" x14ac:dyDescent="0.35">
      <c r="A787" s="2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</row>
    <row r="788" spans="1:54" x14ac:dyDescent="0.35">
      <c r="A788" s="2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</row>
    <row r="789" spans="1:54" x14ac:dyDescent="0.35">
      <c r="A789" s="2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</row>
    <row r="790" spans="1:54" x14ac:dyDescent="0.35">
      <c r="A790" s="2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</row>
    <row r="791" spans="1:54" x14ac:dyDescent="0.35">
      <c r="A791" s="2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</row>
    <row r="792" spans="1:54" x14ac:dyDescent="0.35">
      <c r="A792" s="2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</row>
    <row r="793" spans="1:54" x14ac:dyDescent="0.35">
      <c r="A793" s="2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</row>
    <row r="794" spans="1:54" x14ac:dyDescent="0.35">
      <c r="A794" s="2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</row>
    <row r="795" spans="1:54" x14ac:dyDescent="0.35">
      <c r="A795" s="2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</row>
    <row r="796" spans="1:54" x14ac:dyDescent="0.35">
      <c r="A796" s="2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</row>
    <row r="797" spans="1:54" x14ac:dyDescent="0.35">
      <c r="A797" s="2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</row>
    <row r="798" spans="1:54" x14ac:dyDescent="0.35">
      <c r="A798" s="2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</row>
    <row r="799" spans="1:54" x14ac:dyDescent="0.35">
      <c r="A799" s="2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</row>
    <row r="800" spans="1:54" x14ac:dyDescent="0.35">
      <c r="A800" s="2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</row>
    <row r="801" spans="1:54" x14ac:dyDescent="0.35">
      <c r="A801" s="2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</row>
    <row r="802" spans="1:54" x14ac:dyDescent="0.35">
      <c r="A802" s="2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</row>
    <row r="803" spans="1:54" x14ac:dyDescent="0.35">
      <c r="A803" s="2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</row>
    <row r="804" spans="1:54" x14ac:dyDescent="0.35">
      <c r="A804" s="2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</row>
    <row r="805" spans="1:54" x14ac:dyDescent="0.35">
      <c r="A805" s="2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</row>
    <row r="806" spans="1:54" x14ac:dyDescent="0.35">
      <c r="A806" s="2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</row>
    <row r="807" spans="1:54" x14ac:dyDescent="0.35">
      <c r="A807" s="2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</row>
    <row r="808" spans="1:54" x14ac:dyDescent="0.35">
      <c r="A808" s="2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</row>
    <row r="809" spans="1:54" x14ac:dyDescent="0.35">
      <c r="A809" s="2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</row>
    <row r="810" spans="1:54" x14ac:dyDescent="0.35">
      <c r="A810" s="2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</row>
    <row r="811" spans="1:54" x14ac:dyDescent="0.35">
      <c r="A811" s="2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</row>
    <row r="812" spans="1:54" x14ac:dyDescent="0.35">
      <c r="A812" s="2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</row>
    <row r="813" spans="1:54" x14ac:dyDescent="0.35">
      <c r="A813" s="2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</row>
    <row r="814" spans="1:54" x14ac:dyDescent="0.35">
      <c r="A814" s="2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</row>
    <row r="815" spans="1:54" x14ac:dyDescent="0.35">
      <c r="A815" s="2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</row>
    <row r="816" spans="1:54" x14ac:dyDescent="0.35">
      <c r="A816" s="2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</row>
    <row r="817" spans="1:54" x14ac:dyDescent="0.35">
      <c r="A817" s="2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</row>
    <row r="818" spans="1:54" x14ac:dyDescent="0.35">
      <c r="A818" s="2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</row>
    <row r="819" spans="1:54" x14ac:dyDescent="0.35">
      <c r="A819" s="2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</row>
    <row r="820" spans="1:54" x14ac:dyDescent="0.35">
      <c r="A820" s="2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</row>
    <row r="821" spans="1:54" x14ac:dyDescent="0.35">
      <c r="A821" s="2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</row>
    <row r="822" spans="1:54" x14ac:dyDescent="0.35">
      <c r="A822" s="2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</row>
    <row r="823" spans="1:54" x14ac:dyDescent="0.35">
      <c r="A823" s="2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</row>
    <row r="824" spans="1:54" x14ac:dyDescent="0.35">
      <c r="A824" s="2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</row>
    <row r="825" spans="1:54" x14ac:dyDescent="0.35">
      <c r="A825" s="2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</row>
    <row r="826" spans="1:54" x14ac:dyDescent="0.35">
      <c r="A826" s="2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</row>
    <row r="827" spans="1:54" x14ac:dyDescent="0.35">
      <c r="A827" s="2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</row>
    <row r="828" spans="1:54" x14ac:dyDescent="0.35">
      <c r="A828" s="2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</row>
    <row r="829" spans="1:54" x14ac:dyDescent="0.35">
      <c r="A829" s="2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</row>
    <row r="830" spans="1:54" x14ac:dyDescent="0.35">
      <c r="A830" s="2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</row>
    <row r="831" spans="1:54" x14ac:dyDescent="0.35">
      <c r="A831" s="2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</row>
    <row r="832" spans="1:54" x14ac:dyDescent="0.35">
      <c r="A832" s="2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</row>
    <row r="833" spans="1:54" x14ac:dyDescent="0.35">
      <c r="A833" s="2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</row>
    <row r="834" spans="1:54" x14ac:dyDescent="0.35">
      <c r="A834" s="2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</row>
    <row r="835" spans="1:54" x14ac:dyDescent="0.35">
      <c r="A835" s="2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</row>
    <row r="836" spans="1:54" x14ac:dyDescent="0.35">
      <c r="A836" s="2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</row>
    <row r="837" spans="1:54" x14ac:dyDescent="0.35">
      <c r="A837" s="2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</row>
    <row r="838" spans="1:54" x14ac:dyDescent="0.35">
      <c r="A838" s="2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</row>
    <row r="839" spans="1:54" x14ac:dyDescent="0.35">
      <c r="A839" s="2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</row>
    <row r="840" spans="1:54" x14ac:dyDescent="0.35">
      <c r="A840" s="2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</row>
    <row r="841" spans="1:54" x14ac:dyDescent="0.35">
      <c r="A841" s="2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</row>
    <row r="842" spans="1:54" x14ac:dyDescent="0.35">
      <c r="A842" s="2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</row>
    <row r="843" spans="1:54" x14ac:dyDescent="0.35">
      <c r="A843" s="2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</row>
    <row r="844" spans="1:54" x14ac:dyDescent="0.35">
      <c r="A844" s="2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</row>
    <row r="845" spans="1:54" x14ac:dyDescent="0.35">
      <c r="A845" s="2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</row>
    <row r="846" spans="1:54" x14ac:dyDescent="0.35">
      <c r="A846" s="2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</row>
    <row r="847" spans="1:54" x14ac:dyDescent="0.35">
      <c r="A847" s="2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</row>
    <row r="848" spans="1:54" x14ac:dyDescent="0.35">
      <c r="A848" s="2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</row>
    <row r="849" spans="1:54" x14ac:dyDescent="0.35">
      <c r="A849" s="2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</row>
    <row r="850" spans="1:54" x14ac:dyDescent="0.35">
      <c r="A850" s="2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</row>
    <row r="851" spans="1:54" x14ac:dyDescent="0.35">
      <c r="A851" s="2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</row>
    <row r="852" spans="1:54" x14ac:dyDescent="0.35">
      <c r="A852" s="2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</row>
    <row r="853" spans="1:54" x14ac:dyDescent="0.35">
      <c r="A853" s="2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</row>
    <row r="854" spans="1:54" x14ac:dyDescent="0.35">
      <c r="A854" s="2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</row>
    <row r="855" spans="1:54" x14ac:dyDescent="0.35">
      <c r="A855" s="2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</row>
    <row r="856" spans="1:54" x14ac:dyDescent="0.35">
      <c r="A856" s="2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</row>
    <row r="857" spans="1:54" x14ac:dyDescent="0.35">
      <c r="A857" s="2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</row>
    <row r="858" spans="1:54" x14ac:dyDescent="0.35">
      <c r="A858" s="2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</row>
    <row r="859" spans="1:54" x14ac:dyDescent="0.35">
      <c r="A859" s="2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</row>
    <row r="860" spans="1:54" x14ac:dyDescent="0.35">
      <c r="A860" s="2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</row>
    <row r="861" spans="1:54" x14ac:dyDescent="0.35">
      <c r="A861" s="2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</row>
    <row r="862" spans="1:54" x14ac:dyDescent="0.35">
      <c r="A862" s="2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</row>
    <row r="863" spans="1:54" x14ac:dyDescent="0.35">
      <c r="A863" s="2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</row>
    <row r="864" spans="1:54" x14ac:dyDescent="0.35">
      <c r="A864" s="2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</row>
    <row r="865" spans="1:54" x14ac:dyDescent="0.35">
      <c r="A865" s="2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</row>
    <row r="866" spans="1:54" x14ac:dyDescent="0.35">
      <c r="A866" s="2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</row>
    <row r="867" spans="1:54" x14ac:dyDescent="0.35">
      <c r="A867" s="2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</row>
    <row r="868" spans="1:54" x14ac:dyDescent="0.35">
      <c r="A868" s="2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</row>
    <row r="869" spans="1:54" x14ac:dyDescent="0.35">
      <c r="A869" s="2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</row>
    <row r="870" spans="1:54" x14ac:dyDescent="0.35">
      <c r="A870" s="2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</row>
    <row r="871" spans="1:54" x14ac:dyDescent="0.35">
      <c r="A871" s="2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</row>
    <row r="872" spans="1:54" x14ac:dyDescent="0.35">
      <c r="A872" s="2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</row>
    <row r="873" spans="1:54" x14ac:dyDescent="0.35">
      <c r="A873" s="2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</row>
    <row r="874" spans="1:54" x14ac:dyDescent="0.35">
      <c r="A874" s="2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</row>
    <row r="875" spans="1:54" x14ac:dyDescent="0.35">
      <c r="A875" s="2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</row>
    <row r="876" spans="1:54" x14ac:dyDescent="0.35">
      <c r="A876" s="2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</row>
    <row r="877" spans="1:54" x14ac:dyDescent="0.35">
      <c r="A877" s="2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</row>
    <row r="878" spans="1:54" x14ac:dyDescent="0.35">
      <c r="A878" s="2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</row>
    <row r="879" spans="1:54" x14ac:dyDescent="0.35">
      <c r="A879" s="2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</row>
    <row r="880" spans="1:54" x14ac:dyDescent="0.35">
      <c r="A880" s="2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</row>
    <row r="881" spans="1:54" x14ac:dyDescent="0.35">
      <c r="A881" s="2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</row>
    <row r="882" spans="1:54" x14ac:dyDescent="0.35">
      <c r="A882" s="2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</row>
    <row r="883" spans="1:54" x14ac:dyDescent="0.35">
      <c r="A883" s="2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</row>
    <row r="884" spans="1:54" x14ac:dyDescent="0.35">
      <c r="A884" s="2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</row>
    <row r="885" spans="1:54" x14ac:dyDescent="0.35">
      <c r="A885" s="2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</row>
    <row r="886" spans="1:54" x14ac:dyDescent="0.35">
      <c r="A886" s="2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</row>
    <row r="887" spans="1:54" x14ac:dyDescent="0.35">
      <c r="A887" s="2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</row>
    <row r="888" spans="1:54" x14ac:dyDescent="0.35">
      <c r="A888" s="2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</row>
    <row r="889" spans="1:54" x14ac:dyDescent="0.35">
      <c r="A889" s="2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</row>
    <row r="890" spans="1:54" x14ac:dyDescent="0.35">
      <c r="A890" s="2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</row>
    <row r="891" spans="1:54" x14ac:dyDescent="0.35">
      <c r="A891" s="2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</row>
    <row r="892" spans="1:54" x14ac:dyDescent="0.35">
      <c r="A892" s="2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</row>
    <row r="893" spans="1:54" x14ac:dyDescent="0.35">
      <c r="A893" s="2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</row>
    <row r="894" spans="1:54" x14ac:dyDescent="0.35">
      <c r="A894" s="2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</row>
    <row r="895" spans="1:54" x14ac:dyDescent="0.35">
      <c r="A895" s="2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</row>
    <row r="896" spans="1:54" x14ac:dyDescent="0.35">
      <c r="A896" s="2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</row>
    <row r="897" spans="1:54" x14ac:dyDescent="0.35">
      <c r="A897" s="2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</row>
    <row r="898" spans="1:54" x14ac:dyDescent="0.35">
      <c r="A898" s="2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</row>
    <row r="899" spans="1:54" x14ac:dyDescent="0.35">
      <c r="A899" s="2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</row>
    <row r="900" spans="1:54" x14ac:dyDescent="0.35">
      <c r="A900" s="2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</row>
    <row r="901" spans="1:54" x14ac:dyDescent="0.35">
      <c r="A901" s="2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</row>
    <row r="902" spans="1:54" x14ac:dyDescent="0.35">
      <c r="A902" s="2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</row>
    <row r="903" spans="1:54" x14ac:dyDescent="0.35">
      <c r="A903" s="2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</row>
    <row r="904" spans="1:54" x14ac:dyDescent="0.35">
      <c r="A904" s="2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</row>
    <row r="905" spans="1:54" x14ac:dyDescent="0.35">
      <c r="A905" s="2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</row>
    <row r="906" spans="1:54" x14ac:dyDescent="0.35">
      <c r="A906" s="2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</row>
    <row r="907" spans="1:54" x14ac:dyDescent="0.35">
      <c r="A907" s="2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</row>
    <row r="908" spans="1:54" x14ac:dyDescent="0.35">
      <c r="A908" s="2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</row>
    <row r="909" spans="1:54" x14ac:dyDescent="0.35">
      <c r="A909" s="2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</row>
    <row r="910" spans="1:54" x14ac:dyDescent="0.35">
      <c r="A910" s="2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</row>
    <row r="911" spans="1:54" x14ac:dyDescent="0.35">
      <c r="A911" s="2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</row>
    <row r="912" spans="1:54" x14ac:dyDescent="0.35">
      <c r="A912" s="2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</row>
    <row r="913" spans="1:54" x14ac:dyDescent="0.35">
      <c r="A913" s="2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</row>
    <row r="914" spans="1:54" x14ac:dyDescent="0.35">
      <c r="A914" s="2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</row>
    <row r="915" spans="1:54" x14ac:dyDescent="0.35">
      <c r="A915" s="2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</row>
    <row r="916" spans="1:54" x14ac:dyDescent="0.35">
      <c r="A916" s="2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</row>
    <row r="917" spans="1:54" x14ac:dyDescent="0.35">
      <c r="A917" s="2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</row>
    <row r="918" spans="1:54" x14ac:dyDescent="0.35">
      <c r="A918" s="2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</row>
    <row r="919" spans="1:54" x14ac:dyDescent="0.35">
      <c r="A919" s="2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</row>
    <row r="920" spans="1:54" x14ac:dyDescent="0.35">
      <c r="A920" s="2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</row>
    <row r="921" spans="1:54" x14ac:dyDescent="0.35">
      <c r="A921" s="2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</row>
    <row r="922" spans="1:54" x14ac:dyDescent="0.35">
      <c r="A922" s="2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</row>
    <row r="923" spans="1:54" x14ac:dyDescent="0.35">
      <c r="A923" s="2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</row>
    <row r="924" spans="1:54" x14ac:dyDescent="0.35">
      <c r="A924" s="2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</row>
    <row r="925" spans="1:54" x14ac:dyDescent="0.35">
      <c r="A925" s="2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</row>
    <row r="926" spans="1:54" x14ac:dyDescent="0.35">
      <c r="A926" s="2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</row>
    <row r="927" spans="1:54" x14ac:dyDescent="0.35">
      <c r="A927" s="2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</row>
    <row r="928" spans="1:54" x14ac:dyDescent="0.35">
      <c r="A928" s="2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</row>
    <row r="929" spans="1:54" x14ac:dyDescent="0.35">
      <c r="A929" s="2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</row>
    <row r="930" spans="1:54" x14ac:dyDescent="0.35">
      <c r="A930" s="2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</row>
    <row r="931" spans="1:54" x14ac:dyDescent="0.35">
      <c r="A931" s="2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</row>
    <row r="932" spans="1:54" x14ac:dyDescent="0.35">
      <c r="A932" s="2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</row>
    <row r="933" spans="1:54" x14ac:dyDescent="0.35">
      <c r="A933" s="2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</row>
    <row r="934" spans="1:54" x14ac:dyDescent="0.35">
      <c r="A934" s="2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</row>
    <row r="935" spans="1:54" x14ac:dyDescent="0.35">
      <c r="A935" s="2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</row>
    <row r="936" spans="1:54" x14ac:dyDescent="0.35">
      <c r="A936" s="2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</row>
    <row r="937" spans="1:54" x14ac:dyDescent="0.35">
      <c r="A937" s="2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</row>
    <row r="938" spans="1:54" x14ac:dyDescent="0.35">
      <c r="A938" s="2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</row>
    <row r="939" spans="1:54" x14ac:dyDescent="0.35">
      <c r="A939" s="2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</row>
    <row r="940" spans="1:54" x14ac:dyDescent="0.35">
      <c r="A940" s="2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</row>
    <row r="941" spans="1:54" x14ac:dyDescent="0.35">
      <c r="A941" s="2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</row>
    <row r="942" spans="1:54" x14ac:dyDescent="0.35">
      <c r="A942" s="2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</row>
    <row r="943" spans="1:54" x14ac:dyDescent="0.35">
      <c r="A943" s="2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</row>
    <row r="944" spans="1:54" x14ac:dyDescent="0.35">
      <c r="A944" s="2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</row>
    <row r="945" spans="1:54" x14ac:dyDescent="0.35">
      <c r="A945" s="2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</row>
    <row r="946" spans="1:54" x14ac:dyDescent="0.35">
      <c r="A946" s="2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</row>
    <row r="947" spans="1:54" x14ac:dyDescent="0.35">
      <c r="A947" s="2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</row>
    <row r="948" spans="1:54" x14ac:dyDescent="0.35">
      <c r="A948" s="2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</row>
    <row r="949" spans="1:54" x14ac:dyDescent="0.35">
      <c r="A949" s="2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</row>
    <row r="950" spans="1:54" x14ac:dyDescent="0.35">
      <c r="A950" s="2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</row>
    <row r="951" spans="1:54" x14ac:dyDescent="0.35">
      <c r="A951" s="2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</row>
    <row r="952" spans="1:54" x14ac:dyDescent="0.35">
      <c r="A952" s="2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</row>
    <row r="953" spans="1:54" x14ac:dyDescent="0.35">
      <c r="A953" s="2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</row>
    <row r="954" spans="1:54" x14ac:dyDescent="0.35">
      <c r="A954" s="2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</row>
    <row r="955" spans="1:54" x14ac:dyDescent="0.35">
      <c r="A955" s="2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</row>
    <row r="956" spans="1:54" x14ac:dyDescent="0.35">
      <c r="A956" s="2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</row>
    <row r="957" spans="1:54" x14ac:dyDescent="0.35">
      <c r="A957" s="2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</row>
    <row r="958" spans="1:54" x14ac:dyDescent="0.35">
      <c r="A958" s="2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</row>
    <row r="959" spans="1:54" x14ac:dyDescent="0.35">
      <c r="A959" s="2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</row>
    <row r="960" spans="1:54" x14ac:dyDescent="0.35">
      <c r="A960" s="2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</row>
    <row r="961" spans="1:54" x14ac:dyDescent="0.35">
      <c r="A961" s="2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</row>
    <row r="962" spans="1:54" x14ac:dyDescent="0.35">
      <c r="A962" s="2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</row>
    <row r="963" spans="1:54" x14ac:dyDescent="0.35">
      <c r="A963" s="2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</row>
    <row r="964" spans="1:54" x14ac:dyDescent="0.35">
      <c r="A964" s="2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</row>
    <row r="965" spans="1:54" x14ac:dyDescent="0.35">
      <c r="A965" s="2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</row>
    <row r="966" spans="1:54" x14ac:dyDescent="0.35">
      <c r="A966" s="2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</row>
    <row r="967" spans="1:54" x14ac:dyDescent="0.35">
      <c r="A967" s="2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</row>
    <row r="968" spans="1:54" x14ac:dyDescent="0.35">
      <c r="A968" s="2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</row>
    <row r="969" spans="1:54" x14ac:dyDescent="0.35">
      <c r="A969" s="2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</row>
    <row r="970" spans="1:54" x14ac:dyDescent="0.35">
      <c r="A970" s="2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</row>
    <row r="971" spans="1:54" x14ac:dyDescent="0.35">
      <c r="A971" s="2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</row>
    <row r="972" spans="1:54" x14ac:dyDescent="0.35">
      <c r="A972" s="2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</row>
    <row r="973" spans="1:54" x14ac:dyDescent="0.35">
      <c r="A973" s="2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</row>
    <row r="974" spans="1:54" x14ac:dyDescent="0.35">
      <c r="A974" s="2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</row>
    <row r="975" spans="1:54" x14ac:dyDescent="0.35">
      <c r="A975" s="2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</row>
    <row r="976" spans="1:54" x14ac:dyDescent="0.35">
      <c r="A976" s="2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</row>
    <row r="977" spans="1:54" x14ac:dyDescent="0.35">
      <c r="A977" s="2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</row>
    <row r="978" spans="1:54" x14ac:dyDescent="0.35">
      <c r="A978" s="2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</row>
    <row r="979" spans="1:54" x14ac:dyDescent="0.35">
      <c r="A979" s="2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</row>
    <row r="980" spans="1:54" x14ac:dyDescent="0.35">
      <c r="A980" s="2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</row>
    <row r="981" spans="1:54" x14ac:dyDescent="0.35">
      <c r="A981" s="2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</row>
    <row r="982" spans="1:54" x14ac:dyDescent="0.35">
      <c r="A982" s="2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</row>
    <row r="983" spans="1:54" x14ac:dyDescent="0.35">
      <c r="A983" s="2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</row>
    <row r="984" spans="1:54" x14ac:dyDescent="0.35">
      <c r="A984" s="2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</row>
    <row r="985" spans="1:54" x14ac:dyDescent="0.35">
      <c r="A985" s="2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</row>
    <row r="986" spans="1:54" x14ac:dyDescent="0.35">
      <c r="A986" s="2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</row>
    <row r="987" spans="1:54" x14ac:dyDescent="0.35">
      <c r="A987" s="2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</row>
    <row r="988" spans="1:54" x14ac:dyDescent="0.35">
      <c r="A988" s="2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</row>
    <row r="989" spans="1:54" x14ac:dyDescent="0.35">
      <c r="A989" s="2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</row>
    <row r="990" spans="1:54" x14ac:dyDescent="0.35">
      <c r="A990" s="2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</row>
    <row r="991" spans="1:54" x14ac:dyDescent="0.35">
      <c r="A991" s="2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</row>
    <row r="992" spans="1:54" x14ac:dyDescent="0.35">
      <c r="A992" s="2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</row>
    <row r="993" spans="1:54" x14ac:dyDescent="0.35">
      <c r="A993" s="2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</row>
    <row r="994" spans="1:54" x14ac:dyDescent="0.35">
      <c r="A994" s="2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</row>
    <row r="995" spans="1:54" x14ac:dyDescent="0.35">
      <c r="A995" s="2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</row>
    <row r="996" spans="1:54" x14ac:dyDescent="0.35">
      <c r="A996" s="2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</row>
    <row r="997" spans="1:54" x14ac:dyDescent="0.35">
      <c r="A997" s="2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</row>
    <row r="998" spans="1:54" x14ac:dyDescent="0.35">
      <c r="A998" s="2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</row>
    <row r="999" spans="1:54" x14ac:dyDescent="0.35">
      <c r="A999" s="2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</row>
    <row r="1000" spans="1:54" x14ac:dyDescent="0.35">
      <c r="A1000" s="2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</row>
    <row r="1001" spans="1:54" x14ac:dyDescent="0.35">
      <c r="A1001" s="2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</row>
    <row r="1002" spans="1:54" x14ac:dyDescent="0.35">
      <c r="A1002" s="2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</row>
    <row r="1003" spans="1:54" x14ac:dyDescent="0.35">
      <c r="A1003" s="2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</row>
    <row r="1004" spans="1:54" x14ac:dyDescent="0.35">
      <c r="A1004" s="2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</row>
    <row r="1005" spans="1:54" x14ac:dyDescent="0.35">
      <c r="A1005" s="2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</row>
    <row r="1006" spans="1:54" x14ac:dyDescent="0.35">
      <c r="A1006" s="2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</row>
    <row r="1007" spans="1:54" x14ac:dyDescent="0.35">
      <c r="A1007" s="2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</row>
    <row r="1008" spans="1:54" x14ac:dyDescent="0.35">
      <c r="A1008" s="2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</row>
    <row r="1009" spans="1:54" x14ac:dyDescent="0.35">
      <c r="A1009" s="2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</row>
    <row r="1010" spans="1:54" x14ac:dyDescent="0.35">
      <c r="A1010" s="2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</row>
    <row r="1011" spans="1:54" x14ac:dyDescent="0.35">
      <c r="A1011" s="2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</row>
    <row r="1012" spans="1:54" x14ac:dyDescent="0.35">
      <c r="A1012" s="2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</row>
    <row r="1013" spans="1:54" x14ac:dyDescent="0.35">
      <c r="A1013" s="2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5"/>
      <c r="AP1013" s="15"/>
      <c r="AQ1013" s="15"/>
      <c r="AR1013" s="15"/>
      <c r="AS1013" s="15"/>
      <c r="AT1013" s="15"/>
      <c r="AU1013" s="15"/>
      <c r="AV1013" s="15"/>
      <c r="AW1013" s="15"/>
      <c r="AX1013" s="15"/>
      <c r="AY1013" s="15"/>
      <c r="AZ1013" s="15"/>
      <c r="BA1013" s="15"/>
      <c r="BB1013" s="15"/>
    </row>
    <row r="1014" spans="1:54" x14ac:dyDescent="0.35">
      <c r="A1014" s="2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5"/>
      <c r="AP1014" s="15"/>
      <c r="AQ1014" s="15"/>
      <c r="AR1014" s="15"/>
      <c r="AS1014" s="15"/>
      <c r="AT1014" s="15"/>
      <c r="AU1014" s="15"/>
      <c r="AV1014" s="15"/>
      <c r="AW1014" s="15"/>
      <c r="AX1014" s="15"/>
      <c r="AY1014" s="15"/>
      <c r="AZ1014" s="15"/>
      <c r="BA1014" s="15"/>
      <c r="BB1014" s="15"/>
    </row>
    <row r="1015" spans="1:54" x14ac:dyDescent="0.35">
      <c r="A1015" s="2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5"/>
      <c r="AP1015" s="15"/>
      <c r="AQ1015" s="15"/>
      <c r="AR1015" s="15"/>
      <c r="AS1015" s="15"/>
      <c r="AT1015" s="15"/>
      <c r="AU1015" s="15"/>
      <c r="AV1015" s="15"/>
      <c r="AW1015" s="15"/>
      <c r="AX1015" s="15"/>
      <c r="AY1015" s="15"/>
      <c r="AZ1015" s="15"/>
      <c r="BA1015" s="15"/>
      <c r="BB1015" s="15"/>
    </row>
    <row r="1016" spans="1:54" x14ac:dyDescent="0.35">
      <c r="A1016" s="2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5"/>
      <c r="AP1016" s="15"/>
      <c r="AQ1016" s="15"/>
      <c r="AR1016" s="15"/>
      <c r="AS1016" s="15"/>
      <c r="AT1016" s="15"/>
      <c r="AU1016" s="15"/>
      <c r="AV1016" s="15"/>
      <c r="AW1016" s="15"/>
      <c r="AX1016" s="15"/>
      <c r="AY1016" s="15"/>
      <c r="AZ1016" s="15"/>
      <c r="BA1016" s="15"/>
      <c r="BB1016" s="15"/>
    </row>
    <row r="1017" spans="1:54" x14ac:dyDescent="0.35">
      <c r="A1017" s="2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5"/>
      <c r="AP1017" s="15"/>
      <c r="AQ1017" s="15"/>
      <c r="AR1017" s="15"/>
      <c r="AS1017" s="15"/>
      <c r="AT1017" s="15"/>
      <c r="AU1017" s="15"/>
      <c r="AV1017" s="15"/>
      <c r="AW1017" s="15"/>
      <c r="AX1017" s="15"/>
      <c r="AY1017" s="15"/>
      <c r="AZ1017" s="15"/>
      <c r="BA1017" s="15"/>
      <c r="BB1017" s="15"/>
    </row>
    <row r="1018" spans="1:54" x14ac:dyDescent="0.35">
      <c r="A1018" s="2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5"/>
      <c r="AP1018" s="15"/>
      <c r="AQ1018" s="15"/>
      <c r="AR1018" s="15"/>
      <c r="AS1018" s="15"/>
      <c r="AT1018" s="15"/>
      <c r="AU1018" s="15"/>
      <c r="AV1018" s="15"/>
      <c r="AW1018" s="15"/>
      <c r="AX1018" s="15"/>
      <c r="AY1018" s="15"/>
      <c r="AZ1018" s="15"/>
      <c r="BA1018" s="15"/>
      <c r="BB1018" s="15"/>
    </row>
    <row r="1019" spans="1:54" x14ac:dyDescent="0.35">
      <c r="A1019" s="2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5"/>
      <c r="AP1019" s="15"/>
      <c r="AQ1019" s="15"/>
      <c r="AR1019" s="15"/>
      <c r="AS1019" s="15"/>
      <c r="AT1019" s="15"/>
      <c r="AU1019" s="15"/>
      <c r="AV1019" s="15"/>
      <c r="AW1019" s="15"/>
      <c r="AX1019" s="15"/>
      <c r="AY1019" s="15"/>
      <c r="AZ1019" s="15"/>
      <c r="BA1019" s="15"/>
      <c r="BB1019" s="15"/>
    </row>
    <row r="1020" spans="1:54" x14ac:dyDescent="0.35">
      <c r="A1020" s="2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5"/>
      <c r="AP1020" s="15"/>
      <c r="AQ1020" s="15"/>
      <c r="AR1020" s="15"/>
      <c r="AS1020" s="15"/>
      <c r="AT1020" s="15"/>
      <c r="AU1020" s="15"/>
      <c r="AV1020" s="15"/>
      <c r="AW1020" s="15"/>
      <c r="AX1020" s="15"/>
      <c r="AY1020" s="15"/>
      <c r="AZ1020" s="15"/>
      <c r="BA1020" s="15"/>
      <c r="BB1020" s="15"/>
    </row>
    <row r="1021" spans="1:54" x14ac:dyDescent="0.35">
      <c r="A1021" s="2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5"/>
      <c r="AP1021" s="15"/>
      <c r="AQ1021" s="15"/>
      <c r="AR1021" s="15"/>
      <c r="AS1021" s="15"/>
      <c r="AT1021" s="15"/>
      <c r="AU1021" s="15"/>
      <c r="AV1021" s="15"/>
      <c r="AW1021" s="15"/>
      <c r="AX1021" s="15"/>
      <c r="AY1021" s="15"/>
      <c r="AZ1021" s="15"/>
      <c r="BA1021" s="15"/>
      <c r="BB1021" s="15"/>
    </row>
    <row r="1022" spans="1:54" x14ac:dyDescent="0.35">
      <c r="A1022" s="2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5"/>
      <c r="AP1022" s="15"/>
      <c r="AQ1022" s="15"/>
      <c r="AR1022" s="15"/>
      <c r="AS1022" s="15"/>
      <c r="AT1022" s="15"/>
      <c r="AU1022" s="15"/>
      <c r="AV1022" s="15"/>
      <c r="AW1022" s="15"/>
      <c r="AX1022" s="15"/>
      <c r="AY1022" s="15"/>
      <c r="AZ1022" s="15"/>
      <c r="BA1022" s="15"/>
      <c r="BB1022" s="15"/>
    </row>
    <row r="1023" spans="1:54" x14ac:dyDescent="0.35">
      <c r="A1023" s="2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5"/>
      <c r="AP1023" s="15"/>
      <c r="AQ1023" s="15"/>
      <c r="AR1023" s="15"/>
      <c r="AS1023" s="15"/>
      <c r="AT1023" s="15"/>
      <c r="AU1023" s="15"/>
      <c r="AV1023" s="15"/>
      <c r="AW1023" s="15"/>
      <c r="AX1023" s="15"/>
      <c r="AY1023" s="15"/>
      <c r="AZ1023" s="15"/>
      <c r="BA1023" s="15"/>
      <c r="BB1023" s="15"/>
    </row>
    <row r="1024" spans="1:54" x14ac:dyDescent="0.35">
      <c r="A1024" s="2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  <c r="AW1024" s="15"/>
      <c r="AX1024" s="15"/>
      <c r="AY1024" s="15"/>
      <c r="AZ1024" s="15"/>
      <c r="BA1024" s="15"/>
      <c r="BB1024" s="15"/>
    </row>
    <row r="1025" spans="1:54" x14ac:dyDescent="0.35">
      <c r="A1025" s="2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5"/>
      <c r="AP1025" s="15"/>
      <c r="AQ1025" s="15"/>
      <c r="AR1025" s="15"/>
      <c r="AS1025" s="15"/>
      <c r="AT1025" s="15"/>
      <c r="AU1025" s="15"/>
      <c r="AV1025" s="15"/>
      <c r="AW1025" s="15"/>
      <c r="AX1025" s="15"/>
      <c r="AY1025" s="15"/>
      <c r="AZ1025" s="15"/>
      <c r="BA1025" s="15"/>
      <c r="BB1025" s="15"/>
    </row>
    <row r="1026" spans="1:54" x14ac:dyDescent="0.35">
      <c r="A1026" s="2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5"/>
      <c r="AP1026" s="15"/>
      <c r="AQ1026" s="15"/>
      <c r="AR1026" s="15"/>
      <c r="AS1026" s="15"/>
      <c r="AT1026" s="15"/>
      <c r="AU1026" s="15"/>
      <c r="AV1026" s="15"/>
      <c r="AW1026" s="15"/>
      <c r="AX1026" s="15"/>
      <c r="AY1026" s="15"/>
      <c r="AZ1026" s="15"/>
      <c r="BA1026" s="15"/>
      <c r="BB1026" s="15"/>
    </row>
    <row r="1027" spans="1:54" x14ac:dyDescent="0.35">
      <c r="A1027" s="2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5"/>
      <c r="AP1027" s="15"/>
      <c r="AQ1027" s="15"/>
      <c r="AR1027" s="15"/>
      <c r="AS1027" s="15"/>
      <c r="AT1027" s="15"/>
      <c r="AU1027" s="15"/>
      <c r="AV1027" s="15"/>
      <c r="AW1027" s="15"/>
      <c r="AX1027" s="15"/>
      <c r="AY1027" s="15"/>
      <c r="AZ1027" s="15"/>
      <c r="BA1027" s="15"/>
      <c r="BB1027" s="15"/>
    </row>
    <row r="1028" spans="1:54" x14ac:dyDescent="0.35">
      <c r="A1028" s="2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5"/>
      <c r="AP1028" s="15"/>
      <c r="AQ1028" s="15"/>
      <c r="AR1028" s="15"/>
      <c r="AS1028" s="15"/>
      <c r="AT1028" s="15"/>
      <c r="AU1028" s="15"/>
      <c r="AV1028" s="15"/>
      <c r="AW1028" s="15"/>
      <c r="AX1028" s="15"/>
      <c r="AY1028" s="15"/>
      <c r="AZ1028" s="15"/>
      <c r="BA1028" s="15"/>
      <c r="BB1028" s="15"/>
    </row>
    <row r="1029" spans="1:54" x14ac:dyDescent="0.35">
      <c r="A1029" s="2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5"/>
      <c r="AP1029" s="15"/>
      <c r="AQ1029" s="15"/>
      <c r="AR1029" s="15"/>
      <c r="AS1029" s="15"/>
      <c r="AT1029" s="15"/>
      <c r="AU1029" s="15"/>
      <c r="AV1029" s="15"/>
      <c r="AW1029" s="15"/>
      <c r="AX1029" s="15"/>
      <c r="AY1029" s="15"/>
      <c r="AZ1029" s="15"/>
      <c r="BA1029" s="15"/>
      <c r="BB1029" s="15"/>
    </row>
    <row r="1030" spans="1:54" x14ac:dyDescent="0.35">
      <c r="A1030" s="2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5"/>
      <c r="AP1030" s="15"/>
      <c r="AQ1030" s="15"/>
      <c r="AR1030" s="15"/>
      <c r="AS1030" s="15"/>
      <c r="AT1030" s="15"/>
      <c r="AU1030" s="15"/>
      <c r="AV1030" s="15"/>
      <c r="AW1030" s="15"/>
      <c r="AX1030" s="15"/>
      <c r="AY1030" s="15"/>
      <c r="AZ1030" s="15"/>
      <c r="BA1030" s="15"/>
      <c r="BB1030" s="15"/>
    </row>
    <row r="1031" spans="1:54" x14ac:dyDescent="0.35">
      <c r="A1031" s="2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/>
      <c r="BA1031" s="15"/>
      <c r="BB1031" s="15"/>
    </row>
    <row r="1032" spans="1:54" x14ac:dyDescent="0.35">
      <c r="A1032" s="2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5"/>
      <c r="AP1032" s="15"/>
      <c r="AQ1032" s="15"/>
      <c r="AR1032" s="15"/>
      <c r="AS1032" s="15"/>
      <c r="AT1032" s="15"/>
      <c r="AU1032" s="15"/>
      <c r="AV1032" s="15"/>
      <c r="AW1032" s="15"/>
      <c r="AX1032" s="15"/>
      <c r="AY1032" s="15"/>
      <c r="AZ1032" s="15"/>
      <c r="BA1032" s="15"/>
      <c r="BB1032" s="15"/>
    </row>
    <row r="1033" spans="1:54" x14ac:dyDescent="0.35">
      <c r="A1033" s="2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/>
      <c r="BA1033" s="15"/>
      <c r="BB1033" s="15"/>
    </row>
    <row r="1034" spans="1:54" x14ac:dyDescent="0.35">
      <c r="A1034" s="2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5"/>
      <c r="AP1034" s="15"/>
      <c r="AQ1034" s="15"/>
      <c r="AR1034" s="15"/>
      <c r="AS1034" s="15"/>
      <c r="AT1034" s="15"/>
      <c r="AU1034" s="15"/>
      <c r="AV1034" s="15"/>
      <c r="AW1034" s="15"/>
      <c r="AX1034" s="15"/>
      <c r="AY1034" s="15"/>
      <c r="AZ1034" s="15"/>
      <c r="BA1034" s="15"/>
      <c r="BB1034" s="15"/>
    </row>
    <row r="1035" spans="1:54" x14ac:dyDescent="0.35">
      <c r="A1035" s="2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5"/>
      <c r="AP1035" s="15"/>
      <c r="AQ1035" s="15"/>
      <c r="AR1035" s="15"/>
      <c r="AS1035" s="15"/>
      <c r="AT1035" s="15"/>
      <c r="AU1035" s="15"/>
      <c r="AV1035" s="15"/>
      <c r="AW1035" s="15"/>
      <c r="AX1035" s="15"/>
      <c r="AY1035" s="15"/>
      <c r="AZ1035" s="15"/>
      <c r="BA1035" s="15"/>
      <c r="BB1035" s="15"/>
    </row>
    <row r="1036" spans="1:54" x14ac:dyDescent="0.35">
      <c r="A1036" s="2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5"/>
      <c r="AP1036" s="15"/>
      <c r="AQ1036" s="15"/>
      <c r="AR1036" s="15"/>
      <c r="AS1036" s="15"/>
      <c r="AT1036" s="15"/>
      <c r="AU1036" s="15"/>
      <c r="AV1036" s="15"/>
      <c r="AW1036" s="15"/>
      <c r="AX1036" s="15"/>
      <c r="AY1036" s="15"/>
      <c r="AZ1036" s="15"/>
      <c r="BA1036" s="15"/>
      <c r="BB1036" s="15"/>
    </row>
    <row r="1037" spans="1:54" x14ac:dyDescent="0.35">
      <c r="A1037" s="2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5"/>
      <c r="AP1037" s="15"/>
      <c r="AQ1037" s="15"/>
      <c r="AR1037" s="15"/>
      <c r="AS1037" s="15"/>
      <c r="AT1037" s="15"/>
      <c r="AU1037" s="15"/>
      <c r="AV1037" s="15"/>
      <c r="AW1037" s="15"/>
      <c r="AX1037" s="15"/>
      <c r="AY1037" s="15"/>
      <c r="AZ1037" s="15"/>
      <c r="BA1037" s="15"/>
      <c r="BB1037" s="15"/>
    </row>
    <row r="1038" spans="1:54" x14ac:dyDescent="0.35">
      <c r="A1038" s="2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5"/>
      <c r="AP1038" s="15"/>
      <c r="AQ1038" s="15"/>
      <c r="AR1038" s="15"/>
      <c r="AS1038" s="15"/>
      <c r="AT1038" s="15"/>
      <c r="AU1038" s="15"/>
      <c r="AV1038" s="15"/>
      <c r="AW1038" s="15"/>
      <c r="AX1038" s="15"/>
      <c r="AY1038" s="15"/>
      <c r="AZ1038" s="15"/>
      <c r="BA1038" s="15"/>
      <c r="BB1038" s="15"/>
    </row>
    <row r="1039" spans="1:54" x14ac:dyDescent="0.35">
      <c r="A1039" s="2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5"/>
      <c r="AP1039" s="15"/>
      <c r="AQ1039" s="15"/>
      <c r="AR1039" s="15"/>
      <c r="AS1039" s="15"/>
      <c r="AT1039" s="15"/>
      <c r="AU1039" s="15"/>
      <c r="AV1039" s="15"/>
      <c r="AW1039" s="15"/>
      <c r="AX1039" s="15"/>
      <c r="AY1039" s="15"/>
      <c r="AZ1039" s="15"/>
      <c r="BA1039" s="15"/>
      <c r="BB1039" s="15"/>
    </row>
    <row r="1040" spans="1:54" x14ac:dyDescent="0.35">
      <c r="A1040" s="2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5"/>
      <c r="AP1040" s="15"/>
      <c r="AQ1040" s="15"/>
      <c r="AR1040" s="15"/>
      <c r="AS1040" s="15"/>
      <c r="AT1040" s="15"/>
      <c r="AU1040" s="15"/>
      <c r="AV1040" s="15"/>
      <c r="AW1040" s="15"/>
      <c r="AX1040" s="15"/>
      <c r="AY1040" s="15"/>
      <c r="AZ1040" s="15"/>
      <c r="BA1040" s="15"/>
      <c r="BB1040" s="15"/>
    </row>
    <row r="1041" spans="1:54" x14ac:dyDescent="0.35">
      <c r="A1041" s="2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5"/>
      <c r="AP1041" s="15"/>
      <c r="AQ1041" s="15"/>
      <c r="AR1041" s="15"/>
      <c r="AS1041" s="15"/>
      <c r="AT1041" s="15"/>
      <c r="AU1041" s="15"/>
      <c r="AV1041" s="15"/>
      <c r="AW1041" s="15"/>
      <c r="AX1041" s="15"/>
      <c r="AY1041" s="15"/>
      <c r="AZ1041" s="15"/>
      <c r="BA1041" s="15"/>
      <c r="BB1041" s="15"/>
    </row>
    <row r="1042" spans="1:54" x14ac:dyDescent="0.35">
      <c r="A1042" s="2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5"/>
      <c r="AP1042" s="15"/>
      <c r="AQ1042" s="15"/>
      <c r="AR1042" s="15"/>
      <c r="AS1042" s="15"/>
      <c r="AT1042" s="15"/>
      <c r="AU1042" s="15"/>
      <c r="AV1042" s="15"/>
      <c r="AW1042" s="15"/>
      <c r="AX1042" s="15"/>
      <c r="AY1042" s="15"/>
      <c r="AZ1042" s="15"/>
      <c r="BA1042" s="15"/>
      <c r="BB1042" s="15"/>
    </row>
    <row r="1043" spans="1:54" x14ac:dyDescent="0.35">
      <c r="A1043" s="2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5"/>
      <c r="AP1043" s="15"/>
      <c r="AQ1043" s="15"/>
      <c r="AR1043" s="15"/>
      <c r="AS1043" s="15"/>
      <c r="AT1043" s="15"/>
      <c r="AU1043" s="15"/>
      <c r="AV1043" s="15"/>
      <c r="AW1043" s="15"/>
      <c r="AX1043" s="15"/>
      <c r="AY1043" s="15"/>
      <c r="AZ1043" s="15"/>
      <c r="BA1043" s="15"/>
      <c r="BB1043" s="15"/>
    </row>
    <row r="1044" spans="1:54" x14ac:dyDescent="0.35">
      <c r="A1044" s="2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5"/>
      <c r="AP1044" s="15"/>
      <c r="AQ1044" s="15"/>
      <c r="AR1044" s="15"/>
      <c r="AS1044" s="15"/>
      <c r="AT1044" s="15"/>
      <c r="AU1044" s="15"/>
      <c r="AV1044" s="15"/>
      <c r="AW1044" s="15"/>
      <c r="AX1044" s="15"/>
      <c r="AY1044" s="15"/>
      <c r="AZ1044" s="15"/>
      <c r="BA1044" s="15"/>
      <c r="BB1044" s="15"/>
    </row>
    <row r="1045" spans="1:54" x14ac:dyDescent="0.35">
      <c r="A1045" s="2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  <c r="AQ1045" s="15"/>
      <c r="AR1045" s="15"/>
      <c r="AS1045" s="15"/>
      <c r="AT1045" s="15"/>
      <c r="AU1045" s="15"/>
      <c r="AV1045" s="15"/>
      <c r="AW1045" s="15"/>
      <c r="AX1045" s="15"/>
      <c r="AY1045" s="15"/>
      <c r="AZ1045" s="15"/>
      <c r="BA1045" s="15"/>
      <c r="BB1045" s="15"/>
    </row>
    <row r="1046" spans="1:54" x14ac:dyDescent="0.35">
      <c r="A1046" s="2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5"/>
      <c r="AP1046" s="15"/>
      <c r="AQ1046" s="15"/>
      <c r="AR1046" s="15"/>
      <c r="AS1046" s="15"/>
      <c r="AT1046" s="15"/>
      <c r="AU1046" s="15"/>
      <c r="AV1046" s="15"/>
      <c r="AW1046" s="15"/>
      <c r="AX1046" s="15"/>
      <c r="AY1046" s="15"/>
      <c r="AZ1046" s="15"/>
      <c r="BA1046" s="15"/>
      <c r="BB1046" s="15"/>
    </row>
    <row r="1047" spans="1:54" x14ac:dyDescent="0.35">
      <c r="A1047" s="2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5"/>
      <c r="AP1047" s="15"/>
      <c r="AQ1047" s="15"/>
      <c r="AR1047" s="15"/>
      <c r="AS1047" s="15"/>
      <c r="AT1047" s="15"/>
      <c r="AU1047" s="15"/>
      <c r="AV1047" s="15"/>
      <c r="AW1047" s="15"/>
      <c r="AX1047" s="15"/>
      <c r="AY1047" s="15"/>
      <c r="AZ1047" s="15"/>
      <c r="BA1047" s="15"/>
      <c r="BB1047" s="15"/>
    </row>
    <row r="1048" spans="1:54" x14ac:dyDescent="0.35">
      <c r="A1048" s="2"/>
      <c r="B1048" s="15"/>
      <c r="C1048" s="15"/>
      <c r="D1048" s="15"/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5"/>
      <c r="AP1048" s="15"/>
      <c r="AQ1048" s="15"/>
      <c r="AR1048" s="15"/>
      <c r="AS1048" s="15"/>
      <c r="AT1048" s="15"/>
      <c r="AU1048" s="15"/>
      <c r="AV1048" s="15"/>
      <c r="AW1048" s="15"/>
      <c r="AX1048" s="15"/>
      <c r="AY1048" s="15"/>
      <c r="AZ1048" s="15"/>
      <c r="BA1048" s="15"/>
      <c r="BB1048" s="15"/>
    </row>
    <row r="1049" spans="1:54" x14ac:dyDescent="0.35">
      <c r="A1049" s="2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5"/>
      <c r="AP1049" s="15"/>
      <c r="AQ1049" s="15"/>
      <c r="AR1049" s="15"/>
      <c r="AS1049" s="15"/>
      <c r="AT1049" s="15"/>
      <c r="AU1049" s="15"/>
      <c r="AV1049" s="15"/>
      <c r="AW1049" s="15"/>
      <c r="AX1049" s="15"/>
      <c r="AY1049" s="15"/>
      <c r="AZ1049" s="15"/>
      <c r="BA1049" s="15"/>
      <c r="BB1049" s="15"/>
    </row>
    <row r="1050" spans="1:54" x14ac:dyDescent="0.35">
      <c r="A1050" s="2"/>
      <c r="B1050" s="15"/>
      <c r="C1050" s="15"/>
      <c r="D1050" s="15"/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5"/>
      <c r="AP1050" s="15"/>
      <c r="AQ1050" s="15"/>
      <c r="AR1050" s="15"/>
      <c r="AS1050" s="15"/>
      <c r="AT1050" s="15"/>
      <c r="AU1050" s="15"/>
      <c r="AV1050" s="15"/>
      <c r="AW1050" s="15"/>
      <c r="AX1050" s="15"/>
      <c r="AY1050" s="15"/>
      <c r="AZ1050" s="15"/>
      <c r="BA1050" s="15"/>
      <c r="BB1050" s="15"/>
    </row>
    <row r="1051" spans="1:54" x14ac:dyDescent="0.35">
      <c r="A1051" s="2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5"/>
      <c r="AP1051" s="15"/>
      <c r="AQ1051" s="15"/>
      <c r="AR1051" s="15"/>
      <c r="AS1051" s="15"/>
      <c r="AT1051" s="15"/>
      <c r="AU1051" s="15"/>
      <c r="AV1051" s="15"/>
      <c r="AW1051" s="15"/>
      <c r="AX1051" s="15"/>
      <c r="AY1051" s="15"/>
      <c r="AZ1051" s="15"/>
      <c r="BA1051" s="15"/>
      <c r="BB1051" s="15"/>
    </row>
    <row r="1052" spans="1:54" x14ac:dyDescent="0.35">
      <c r="A1052" s="2"/>
      <c r="B1052" s="15"/>
      <c r="C1052" s="15"/>
      <c r="D1052" s="15"/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5"/>
      <c r="AP1052" s="15"/>
      <c r="AQ1052" s="15"/>
      <c r="AR1052" s="15"/>
      <c r="AS1052" s="15"/>
      <c r="AT1052" s="15"/>
      <c r="AU1052" s="15"/>
      <c r="AV1052" s="15"/>
      <c r="AW1052" s="15"/>
      <c r="AX1052" s="15"/>
      <c r="AY1052" s="15"/>
      <c r="AZ1052" s="15"/>
      <c r="BA1052" s="15"/>
      <c r="BB1052" s="15"/>
    </row>
    <row r="1053" spans="1:54" x14ac:dyDescent="0.35">
      <c r="A1053" s="2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5"/>
      <c r="AP1053" s="15"/>
      <c r="AQ1053" s="15"/>
      <c r="AR1053" s="15"/>
      <c r="AS1053" s="15"/>
      <c r="AT1053" s="15"/>
      <c r="AU1053" s="15"/>
      <c r="AV1053" s="15"/>
      <c r="AW1053" s="15"/>
      <c r="AX1053" s="15"/>
      <c r="AY1053" s="15"/>
      <c r="AZ1053" s="15"/>
      <c r="BA1053" s="15"/>
      <c r="BB1053" s="15"/>
    </row>
    <row r="1054" spans="1:54" x14ac:dyDescent="0.35">
      <c r="A1054" s="2"/>
      <c r="B1054" s="15"/>
      <c r="C1054" s="15"/>
      <c r="D1054" s="15"/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5"/>
      <c r="AP1054" s="15"/>
      <c r="AQ1054" s="15"/>
      <c r="AR1054" s="15"/>
      <c r="AS1054" s="15"/>
      <c r="AT1054" s="15"/>
      <c r="AU1054" s="15"/>
      <c r="AV1054" s="15"/>
      <c r="AW1054" s="15"/>
      <c r="AX1054" s="15"/>
      <c r="AY1054" s="15"/>
      <c r="AZ1054" s="15"/>
      <c r="BA1054" s="15"/>
      <c r="BB1054" s="15"/>
    </row>
    <row r="1055" spans="1:54" x14ac:dyDescent="0.35">
      <c r="A1055" s="2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5"/>
      <c r="AP1055" s="15"/>
      <c r="AQ1055" s="15"/>
      <c r="AR1055" s="15"/>
      <c r="AS1055" s="15"/>
      <c r="AT1055" s="15"/>
      <c r="AU1055" s="15"/>
      <c r="AV1055" s="15"/>
      <c r="AW1055" s="15"/>
      <c r="AX1055" s="15"/>
      <c r="AY1055" s="15"/>
      <c r="AZ1055" s="15"/>
      <c r="BA1055" s="15"/>
      <c r="BB1055" s="15"/>
    </row>
    <row r="1056" spans="1:54" x14ac:dyDescent="0.35">
      <c r="A1056" s="2"/>
      <c r="B1056" s="15"/>
      <c r="C1056" s="15"/>
      <c r="D1056" s="15"/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5"/>
      <c r="AP1056" s="15"/>
      <c r="AQ1056" s="15"/>
      <c r="AR1056" s="15"/>
      <c r="AS1056" s="15"/>
      <c r="AT1056" s="15"/>
      <c r="AU1056" s="15"/>
      <c r="AV1056" s="15"/>
      <c r="AW1056" s="15"/>
      <c r="AX1056" s="15"/>
      <c r="AY1056" s="15"/>
      <c r="AZ1056" s="15"/>
      <c r="BA1056" s="15"/>
      <c r="BB1056" s="15"/>
    </row>
    <row r="1057" spans="1:54" x14ac:dyDescent="0.35">
      <c r="A1057" s="2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/>
      <c r="BB1057" s="15"/>
    </row>
    <row r="1058" spans="1:54" x14ac:dyDescent="0.35">
      <c r="A1058" s="2"/>
      <c r="B1058" s="15"/>
      <c r="C1058" s="15"/>
      <c r="D1058" s="15"/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5"/>
      <c r="AP1058" s="15"/>
      <c r="AQ1058" s="15"/>
      <c r="AR1058" s="15"/>
      <c r="AS1058" s="15"/>
      <c r="AT1058" s="15"/>
      <c r="AU1058" s="15"/>
      <c r="AV1058" s="15"/>
      <c r="AW1058" s="15"/>
      <c r="AX1058" s="15"/>
      <c r="AY1058" s="15"/>
      <c r="AZ1058" s="15"/>
      <c r="BA1058" s="15"/>
      <c r="BB1058" s="15"/>
    </row>
    <row r="1059" spans="1:54" x14ac:dyDescent="0.35">
      <c r="A1059" s="2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/>
    </row>
    <row r="1060" spans="1:54" x14ac:dyDescent="0.35">
      <c r="A1060" s="2"/>
      <c r="B1060" s="15"/>
      <c r="C1060" s="15"/>
      <c r="D1060" s="15"/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5"/>
      <c r="AP1060" s="15"/>
      <c r="AQ1060" s="15"/>
      <c r="AR1060" s="15"/>
      <c r="AS1060" s="15"/>
      <c r="AT1060" s="15"/>
      <c r="AU1060" s="15"/>
      <c r="AV1060" s="15"/>
      <c r="AW1060" s="15"/>
      <c r="AX1060" s="15"/>
      <c r="AY1060" s="15"/>
      <c r="AZ1060" s="15"/>
      <c r="BA1060" s="15"/>
      <c r="BB1060" s="15"/>
    </row>
    <row r="1061" spans="1:54" x14ac:dyDescent="0.35">
      <c r="A1061" s="2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5"/>
      <c r="AP1061" s="15"/>
      <c r="AQ1061" s="15"/>
      <c r="AR1061" s="15"/>
      <c r="AS1061" s="15"/>
      <c r="AT1061" s="15"/>
      <c r="AU1061" s="15"/>
      <c r="AV1061" s="15"/>
      <c r="AW1061" s="15"/>
      <c r="AX1061" s="15"/>
      <c r="AY1061" s="15"/>
      <c r="AZ1061" s="15"/>
      <c r="BA1061" s="15"/>
      <c r="BB1061" s="15"/>
    </row>
    <row r="1062" spans="1:54" x14ac:dyDescent="0.35">
      <c r="A1062" s="2"/>
      <c r="B1062" s="15"/>
      <c r="C1062" s="15"/>
      <c r="D1062" s="15"/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5"/>
      <c r="AP1062" s="15"/>
      <c r="AQ1062" s="15"/>
      <c r="AR1062" s="15"/>
      <c r="AS1062" s="15"/>
      <c r="AT1062" s="15"/>
      <c r="AU1062" s="15"/>
      <c r="AV1062" s="15"/>
      <c r="AW1062" s="15"/>
      <c r="AX1062" s="15"/>
      <c r="AY1062" s="15"/>
      <c r="AZ1062" s="15"/>
      <c r="BA1062" s="15"/>
      <c r="BB1062" s="15"/>
    </row>
    <row r="1063" spans="1:54" x14ac:dyDescent="0.35">
      <c r="A1063" s="2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5"/>
      <c r="AP1063" s="15"/>
      <c r="AQ1063" s="15"/>
      <c r="AR1063" s="15"/>
      <c r="AS1063" s="15"/>
      <c r="AT1063" s="15"/>
      <c r="AU1063" s="15"/>
      <c r="AV1063" s="15"/>
      <c r="AW1063" s="15"/>
      <c r="AX1063" s="15"/>
      <c r="AY1063" s="15"/>
      <c r="AZ1063" s="15"/>
      <c r="BA1063" s="15"/>
      <c r="BB1063" s="15"/>
    </row>
    <row r="1064" spans="1:54" x14ac:dyDescent="0.35">
      <c r="A1064" s="2"/>
      <c r="B1064" s="15"/>
      <c r="C1064" s="15"/>
      <c r="D1064" s="15"/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5"/>
      <c r="AP1064" s="15"/>
      <c r="AQ1064" s="15"/>
      <c r="AR1064" s="15"/>
      <c r="AS1064" s="15"/>
      <c r="AT1064" s="15"/>
      <c r="AU1064" s="15"/>
      <c r="AV1064" s="15"/>
      <c r="AW1064" s="15"/>
      <c r="AX1064" s="15"/>
      <c r="AY1064" s="15"/>
      <c r="AZ1064" s="15"/>
      <c r="BA1064" s="15"/>
      <c r="BB1064" s="15"/>
    </row>
    <row r="1065" spans="1:54" x14ac:dyDescent="0.35">
      <c r="A1065" s="2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5"/>
      <c r="AP1065" s="15"/>
      <c r="AQ1065" s="15"/>
      <c r="AR1065" s="15"/>
      <c r="AS1065" s="15"/>
      <c r="AT1065" s="15"/>
      <c r="AU1065" s="15"/>
      <c r="AV1065" s="15"/>
      <c r="AW1065" s="15"/>
      <c r="AX1065" s="15"/>
      <c r="AY1065" s="15"/>
      <c r="AZ1065" s="15"/>
      <c r="BA1065" s="15"/>
      <c r="BB1065" s="15"/>
    </row>
    <row r="1066" spans="1:54" x14ac:dyDescent="0.35">
      <c r="A1066" s="2"/>
      <c r="B1066" s="15"/>
      <c r="C1066" s="15"/>
      <c r="D1066" s="15"/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5"/>
      <c r="AP1066" s="15"/>
      <c r="AQ1066" s="15"/>
      <c r="AR1066" s="15"/>
      <c r="AS1066" s="15"/>
      <c r="AT1066" s="15"/>
      <c r="AU1066" s="15"/>
      <c r="AV1066" s="15"/>
      <c r="AW1066" s="15"/>
      <c r="AX1066" s="15"/>
      <c r="AY1066" s="15"/>
      <c r="AZ1066" s="15"/>
      <c r="BA1066" s="15"/>
      <c r="BB1066" s="15"/>
    </row>
    <row r="1067" spans="1:54" x14ac:dyDescent="0.35">
      <c r="A1067" s="2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5"/>
      <c r="AP1067" s="15"/>
      <c r="AQ1067" s="15"/>
      <c r="AR1067" s="15"/>
      <c r="AS1067" s="15"/>
      <c r="AT1067" s="15"/>
      <c r="AU1067" s="15"/>
      <c r="AV1067" s="15"/>
      <c r="AW1067" s="15"/>
      <c r="AX1067" s="15"/>
      <c r="AY1067" s="15"/>
      <c r="AZ1067" s="15"/>
      <c r="BA1067" s="15"/>
      <c r="BB1067" s="15"/>
    </row>
    <row r="1068" spans="1:54" x14ac:dyDescent="0.35">
      <c r="A1068" s="2"/>
      <c r="B1068" s="15"/>
      <c r="C1068" s="15"/>
      <c r="D1068" s="15"/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5"/>
      <c r="AP1068" s="15"/>
      <c r="AQ1068" s="15"/>
      <c r="AR1068" s="15"/>
      <c r="AS1068" s="15"/>
      <c r="AT1068" s="15"/>
      <c r="AU1068" s="15"/>
      <c r="AV1068" s="15"/>
      <c r="AW1068" s="15"/>
      <c r="AX1068" s="15"/>
      <c r="AY1068" s="15"/>
      <c r="AZ1068" s="15"/>
      <c r="BA1068" s="15"/>
      <c r="BB1068" s="15"/>
    </row>
    <row r="1069" spans="1:54" x14ac:dyDescent="0.35">
      <c r="A1069" s="2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5"/>
      <c r="AP1069" s="15"/>
      <c r="AQ1069" s="15"/>
      <c r="AR1069" s="15"/>
      <c r="AS1069" s="15"/>
      <c r="AT1069" s="15"/>
      <c r="AU1069" s="15"/>
      <c r="AV1069" s="15"/>
      <c r="AW1069" s="15"/>
      <c r="AX1069" s="15"/>
      <c r="AY1069" s="15"/>
      <c r="AZ1069" s="15"/>
      <c r="BA1069" s="15"/>
      <c r="BB1069" s="15"/>
    </row>
    <row r="1070" spans="1:54" x14ac:dyDescent="0.35">
      <c r="A1070" s="2"/>
      <c r="B1070" s="15"/>
      <c r="C1070" s="15"/>
      <c r="D1070" s="15"/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5"/>
      <c r="AP1070" s="15"/>
      <c r="AQ1070" s="15"/>
      <c r="AR1070" s="15"/>
      <c r="AS1070" s="15"/>
      <c r="AT1070" s="15"/>
      <c r="AU1070" s="15"/>
      <c r="AV1070" s="15"/>
      <c r="AW1070" s="15"/>
      <c r="AX1070" s="15"/>
      <c r="AY1070" s="15"/>
      <c r="AZ1070" s="15"/>
      <c r="BA1070" s="15"/>
      <c r="BB1070" s="15"/>
    </row>
    <row r="1071" spans="1:54" x14ac:dyDescent="0.35">
      <c r="A1071" s="2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5"/>
      <c r="AP1071" s="15"/>
      <c r="AQ1071" s="15"/>
      <c r="AR1071" s="15"/>
      <c r="AS1071" s="15"/>
      <c r="AT1071" s="15"/>
      <c r="AU1071" s="15"/>
      <c r="AV1071" s="15"/>
      <c r="AW1071" s="15"/>
      <c r="AX1071" s="15"/>
      <c r="AY1071" s="15"/>
      <c r="AZ1071" s="15"/>
      <c r="BA1071" s="15"/>
      <c r="BB1071" s="15"/>
    </row>
    <row r="1072" spans="1:54" x14ac:dyDescent="0.35">
      <c r="A1072" s="2"/>
      <c r="B1072" s="15"/>
      <c r="C1072" s="15"/>
      <c r="D1072" s="15"/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5"/>
      <c r="AP1072" s="15"/>
      <c r="AQ1072" s="15"/>
      <c r="AR1072" s="15"/>
      <c r="AS1072" s="15"/>
      <c r="AT1072" s="15"/>
      <c r="AU1072" s="15"/>
      <c r="AV1072" s="15"/>
      <c r="AW1072" s="15"/>
      <c r="AX1072" s="15"/>
      <c r="AY1072" s="15"/>
      <c r="AZ1072" s="15"/>
      <c r="BA1072" s="15"/>
      <c r="BB1072" s="15"/>
    </row>
    <row r="1073" spans="1:54" x14ac:dyDescent="0.35">
      <c r="A1073" s="2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5"/>
      <c r="AP1073" s="15"/>
      <c r="AQ1073" s="15"/>
      <c r="AR1073" s="15"/>
      <c r="AS1073" s="15"/>
      <c r="AT1073" s="15"/>
      <c r="AU1073" s="15"/>
      <c r="AV1073" s="15"/>
      <c r="AW1073" s="15"/>
      <c r="AX1073" s="15"/>
      <c r="AY1073" s="15"/>
      <c r="AZ1073" s="15"/>
      <c r="BA1073" s="15"/>
      <c r="BB1073" s="15"/>
    </row>
    <row r="1074" spans="1:54" x14ac:dyDescent="0.35">
      <c r="A1074" s="2"/>
      <c r="B1074" s="15"/>
      <c r="C1074" s="15"/>
      <c r="D1074" s="15"/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5"/>
      <c r="AP1074" s="15"/>
      <c r="AQ1074" s="15"/>
      <c r="AR1074" s="15"/>
      <c r="AS1074" s="15"/>
      <c r="AT1074" s="15"/>
      <c r="AU1074" s="15"/>
      <c r="AV1074" s="15"/>
      <c r="AW1074" s="15"/>
      <c r="AX1074" s="15"/>
      <c r="AY1074" s="15"/>
      <c r="AZ1074" s="15"/>
      <c r="BA1074" s="15"/>
      <c r="BB1074" s="15"/>
    </row>
    <row r="1075" spans="1:54" x14ac:dyDescent="0.35">
      <c r="A1075" s="2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5"/>
      <c r="AP1075" s="15"/>
      <c r="AQ1075" s="15"/>
      <c r="AR1075" s="15"/>
      <c r="AS1075" s="15"/>
      <c r="AT1075" s="15"/>
      <c r="AU1075" s="15"/>
      <c r="AV1075" s="15"/>
      <c r="AW1075" s="15"/>
      <c r="AX1075" s="15"/>
      <c r="AY1075" s="15"/>
      <c r="AZ1075" s="15"/>
      <c r="BA1075" s="15"/>
      <c r="BB1075" s="15"/>
    </row>
    <row r="1076" spans="1:54" x14ac:dyDescent="0.35">
      <c r="A1076" s="2"/>
      <c r="B1076" s="15"/>
      <c r="C1076" s="15"/>
      <c r="D1076" s="15"/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5"/>
      <c r="AP1076" s="15"/>
      <c r="AQ1076" s="15"/>
      <c r="AR1076" s="15"/>
      <c r="AS1076" s="15"/>
      <c r="AT1076" s="15"/>
      <c r="AU1076" s="15"/>
      <c r="AV1076" s="15"/>
      <c r="AW1076" s="15"/>
      <c r="AX1076" s="15"/>
      <c r="AY1076" s="15"/>
      <c r="AZ1076" s="15"/>
      <c r="BA1076" s="15"/>
      <c r="BB1076" s="15"/>
    </row>
    <row r="1077" spans="1:54" x14ac:dyDescent="0.35">
      <c r="A1077" s="2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5"/>
      <c r="AP1077" s="15"/>
      <c r="AQ1077" s="15"/>
      <c r="AR1077" s="15"/>
      <c r="AS1077" s="15"/>
      <c r="AT1077" s="15"/>
      <c r="AU1077" s="15"/>
      <c r="AV1077" s="15"/>
      <c r="AW1077" s="15"/>
      <c r="AX1077" s="15"/>
      <c r="AY1077" s="15"/>
      <c r="AZ1077" s="15"/>
      <c r="BA1077" s="15"/>
      <c r="BB1077" s="15"/>
    </row>
    <row r="1078" spans="1:54" x14ac:dyDescent="0.35">
      <c r="A1078" s="2"/>
      <c r="B1078" s="15"/>
      <c r="C1078" s="15"/>
      <c r="D1078" s="15"/>
      <c r="E1078" s="15"/>
      <c r="F1078" s="15"/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  <c r="AF1078" s="15"/>
      <c r="AG1078" s="15"/>
      <c r="AH1078" s="15"/>
      <c r="AI1078" s="15"/>
      <c r="AJ1078" s="15"/>
      <c r="AK1078" s="15"/>
      <c r="AL1078" s="15"/>
      <c r="AM1078" s="15"/>
      <c r="AN1078" s="15"/>
      <c r="AO1078" s="15"/>
      <c r="AP1078" s="15"/>
      <c r="AQ1078" s="15"/>
      <c r="AR1078" s="15"/>
      <c r="AS1078" s="15"/>
      <c r="AT1078" s="15"/>
      <c r="AU1078" s="15"/>
      <c r="AV1078" s="15"/>
      <c r="AW1078" s="15"/>
      <c r="AX1078" s="15"/>
      <c r="AY1078" s="15"/>
      <c r="AZ1078" s="15"/>
      <c r="BA1078" s="15"/>
      <c r="BB1078" s="15"/>
    </row>
    <row r="1079" spans="1:54" x14ac:dyDescent="0.35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5"/>
      <c r="AP1079" s="15"/>
      <c r="AQ1079" s="15"/>
      <c r="AR1079" s="15"/>
      <c r="AS1079" s="15"/>
      <c r="AT1079" s="15"/>
      <c r="AU1079" s="15"/>
      <c r="AV1079" s="15"/>
      <c r="AW1079" s="15"/>
      <c r="AX1079" s="15"/>
      <c r="AY1079" s="15"/>
      <c r="AZ1079" s="15"/>
      <c r="BA1079" s="15"/>
      <c r="BB1079" s="15"/>
    </row>
    <row r="1080" spans="1:54" x14ac:dyDescent="0.35">
      <c r="A1080" s="15"/>
      <c r="B1080" s="15"/>
      <c r="C1080" s="15"/>
      <c r="D1080" s="15"/>
      <c r="E1080" s="15"/>
      <c r="F1080" s="15"/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5"/>
      <c r="AP1080" s="15"/>
      <c r="AQ1080" s="15"/>
      <c r="AR1080" s="15"/>
      <c r="AS1080" s="15"/>
      <c r="AT1080" s="15"/>
      <c r="AU1080" s="15"/>
      <c r="AV1080" s="15"/>
      <c r="AW1080" s="15"/>
      <c r="AX1080" s="15"/>
      <c r="AY1080" s="15"/>
      <c r="AZ1080" s="15"/>
      <c r="BA1080" s="15"/>
      <c r="BB1080" s="15"/>
    </row>
    <row r="1081" spans="1:54" x14ac:dyDescent="0.35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5"/>
      <c r="AP1081" s="15"/>
      <c r="AQ1081" s="15"/>
      <c r="AR1081" s="15"/>
      <c r="AS1081" s="15"/>
      <c r="AT1081" s="15"/>
      <c r="AU1081" s="15"/>
      <c r="AV1081" s="15"/>
      <c r="AW1081" s="15"/>
      <c r="AX1081" s="15"/>
      <c r="AY1081" s="15"/>
      <c r="AZ1081" s="15"/>
      <c r="BA1081" s="15"/>
      <c r="BB1081" s="15"/>
    </row>
    <row r="1082" spans="1:54" x14ac:dyDescent="0.35">
      <c r="A1082" s="15"/>
      <c r="B1082" s="15"/>
      <c r="C1082" s="15"/>
      <c r="D1082" s="15"/>
      <c r="E1082" s="15"/>
      <c r="F1082" s="15"/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5"/>
      <c r="AP1082" s="15"/>
      <c r="AQ1082" s="15"/>
      <c r="AR1082" s="15"/>
      <c r="AS1082" s="15"/>
      <c r="AT1082" s="15"/>
      <c r="AU1082" s="15"/>
      <c r="AV1082" s="15"/>
      <c r="AW1082" s="15"/>
      <c r="AX1082" s="15"/>
      <c r="AY1082" s="15"/>
      <c r="AZ1082" s="15"/>
      <c r="BA1082" s="15"/>
      <c r="BB1082" s="15"/>
    </row>
    <row r="1083" spans="1:54" x14ac:dyDescent="0.35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</row>
    <row r="1084" spans="1:54" x14ac:dyDescent="0.35">
      <c r="A1084" s="15"/>
      <c r="B1084" s="15"/>
      <c r="C1084" s="15"/>
      <c r="D1084" s="15"/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5"/>
      <c r="AP1084" s="15"/>
      <c r="AQ1084" s="15"/>
      <c r="AR1084" s="15"/>
      <c r="AS1084" s="15"/>
      <c r="AT1084" s="15"/>
      <c r="AU1084" s="15"/>
      <c r="AV1084" s="15"/>
      <c r="AW1084" s="15"/>
      <c r="AX1084" s="15"/>
      <c r="AY1084" s="15"/>
      <c r="AZ1084" s="15"/>
      <c r="BA1084" s="15"/>
      <c r="BB1084" s="15"/>
    </row>
    <row r="1085" spans="1:54" x14ac:dyDescent="0.35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</row>
    <row r="1086" spans="1:54" x14ac:dyDescent="0.35">
      <c r="A1086" s="15"/>
      <c r="B1086" s="15"/>
      <c r="C1086" s="15"/>
      <c r="D1086" s="15"/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5"/>
      <c r="AP1086" s="15"/>
      <c r="AQ1086" s="15"/>
      <c r="AR1086" s="15"/>
      <c r="AS1086" s="15"/>
      <c r="AT1086" s="15"/>
      <c r="AU1086" s="15"/>
      <c r="AV1086" s="15"/>
      <c r="AW1086" s="15"/>
      <c r="AX1086" s="15"/>
      <c r="AY1086" s="15"/>
      <c r="AZ1086" s="15"/>
      <c r="BA1086" s="15"/>
      <c r="BB1086" s="15"/>
    </row>
    <row r="1087" spans="1:54" x14ac:dyDescent="0.35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5"/>
      <c r="AP1087" s="15"/>
      <c r="AQ1087" s="15"/>
      <c r="AR1087" s="15"/>
      <c r="AS1087" s="15"/>
      <c r="AT1087" s="15"/>
      <c r="AU1087" s="15"/>
      <c r="AV1087" s="15"/>
      <c r="AW1087" s="15"/>
      <c r="AX1087" s="15"/>
      <c r="AY1087" s="15"/>
      <c r="AZ1087" s="15"/>
      <c r="BA1087" s="15"/>
      <c r="BB1087" s="15"/>
    </row>
    <row r="1088" spans="1:54" x14ac:dyDescent="0.35">
      <c r="A1088" s="15"/>
      <c r="B1088" s="15"/>
      <c r="C1088" s="15"/>
      <c r="D1088" s="15"/>
      <c r="E1088" s="15"/>
      <c r="F1088" s="15"/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5"/>
      <c r="AP1088" s="15"/>
      <c r="AQ1088" s="15"/>
      <c r="AR1088" s="15"/>
      <c r="AS1088" s="15"/>
      <c r="AT1088" s="15"/>
      <c r="AU1088" s="15"/>
      <c r="AV1088" s="15"/>
      <c r="AW1088" s="15"/>
      <c r="AX1088" s="15"/>
      <c r="AY1088" s="15"/>
      <c r="AZ1088" s="15"/>
      <c r="BA1088" s="15"/>
      <c r="BB1088" s="15"/>
    </row>
    <row r="1089" spans="1:54" x14ac:dyDescent="0.35">
      <c r="A1089" s="15"/>
      <c r="B1089" s="15"/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5"/>
      <c r="AP1089" s="15"/>
      <c r="AQ1089" s="15"/>
      <c r="AR1089" s="15"/>
      <c r="AS1089" s="15"/>
      <c r="AT1089" s="15"/>
      <c r="AU1089" s="15"/>
      <c r="AV1089" s="15"/>
      <c r="AW1089" s="15"/>
      <c r="AX1089" s="15"/>
      <c r="AY1089" s="15"/>
      <c r="AZ1089" s="15"/>
      <c r="BA1089" s="15"/>
      <c r="BB1089" s="15"/>
    </row>
    <row r="1090" spans="1:54" x14ac:dyDescent="0.35">
      <c r="A1090" s="15"/>
      <c r="B1090" s="15"/>
      <c r="C1090" s="15"/>
      <c r="D1090" s="15"/>
      <c r="E1090" s="15"/>
      <c r="F1090" s="15"/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5"/>
      <c r="AP1090" s="15"/>
      <c r="AQ1090" s="15"/>
      <c r="AR1090" s="15"/>
      <c r="AS1090" s="15"/>
      <c r="AT1090" s="15"/>
      <c r="AU1090" s="15"/>
      <c r="AV1090" s="15"/>
      <c r="AW1090" s="15"/>
      <c r="AX1090" s="15"/>
      <c r="AY1090" s="15"/>
      <c r="AZ1090" s="15"/>
      <c r="BA1090" s="15"/>
      <c r="BB1090" s="15"/>
    </row>
    <row r="1091" spans="1:54" x14ac:dyDescent="0.35">
      <c r="A1091" s="15"/>
      <c r="B1091" s="15"/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5"/>
      <c r="AP1091" s="15"/>
      <c r="AQ1091" s="15"/>
      <c r="AR1091" s="15"/>
      <c r="AS1091" s="15"/>
      <c r="AT1091" s="15"/>
      <c r="AU1091" s="15"/>
      <c r="AV1091" s="15"/>
      <c r="AW1091" s="15"/>
      <c r="AX1091" s="15"/>
      <c r="AY1091" s="15"/>
      <c r="AZ1091" s="15"/>
      <c r="BA1091" s="15"/>
      <c r="BB1091" s="15"/>
    </row>
    <row r="1092" spans="1:54" x14ac:dyDescent="0.35">
      <c r="A1092" s="15"/>
      <c r="B1092" s="15"/>
      <c r="C1092" s="15"/>
      <c r="D1092" s="15"/>
      <c r="E1092" s="15"/>
      <c r="F1092" s="15"/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5"/>
      <c r="AP1092" s="15"/>
      <c r="AQ1092" s="15"/>
      <c r="AR1092" s="15"/>
      <c r="AS1092" s="15"/>
      <c r="AT1092" s="15"/>
      <c r="AU1092" s="15"/>
      <c r="AV1092" s="15"/>
      <c r="AW1092" s="15"/>
      <c r="AX1092" s="15"/>
      <c r="AY1092" s="15"/>
      <c r="AZ1092" s="15"/>
      <c r="BA1092" s="15"/>
      <c r="BB1092" s="15"/>
    </row>
    <row r="1093" spans="1:54" x14ac:dyDescent="0.35">
      <c r="A1093" s="15"/>
      <c r="B1093" s="15"/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5"/>
      <c r="AP1093" s="15"/>
      <c r="AQ1093" s="15"/>
      <c r="AR1093" s="15"/>
      <c r="AS1093" s="15"/>
      <c r="AT1093" s="15"/>
      <c r="AU1093" s="15"/>
      <c r="AV1093" s="15"/>
      <c r="AW1093" s="15"/>
      <c r="AX1093" s="15"/>
      <c r="AY1093" s="15"/>
      <c r="AZ1093" s="15"/>
      <c r="BA1093" s="15"/>
      <c r="BB1093" s="15"/>
    </row>
  </sheetData>
  <phoneticPr fontId="6" type="noConversion"/>
  <conditionalFormatting sqref="B2:BB568">
    <cfRule type="expression" dxfId="0" priority="19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D332A-85D0-431D-B833-63E75588EB65}">
  <dimension ref="A1:AE1087"/>
  <sheetViews>
    <sheetView workbookViewId="0">
      <selection activeCell="D7" sqref="D7"/>
    </sheetView>
  </sheetViews>
  <sheetFormatPr defaultRowHeight="14.5" x14ac:dyDescent="0.35"/>
  <cols>
    <col min="2" max="31" width="8.6328125" customWidth="1"/>
  </cols>
  <sheetData>
    <row r="1" spans="1:31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</row>
    <row r="2" spans="1:31" x14ac:dyDescent="0.35">
      <c r="A2" s="36">
        <v>46059.011111111111</v>
      </c>
      <c r="B2" s="35">
        <v>-21.5</v>
      </c>
      <c r="C2" s="35">
        <v>-22.1</v>
      </c>
      <c r="D2" s="35">
        <v>-23</v>
      </c>
      <c r="E2" s="35">
        <v>-21.5</v>
      </c>
      <c r="F2" s="35">
        <v>-21.6</v>
      </c>
      <c r="G2" s="35">
        <v>-23</v>
      </c>
      <c r="H2" s="35">
        <v>-21.8</v>
      </c>
      <c r="I2" s="35">
        <v>-22.6</v>
      </c>
      <c r="J2" s="35">
        <v>-23</v>
      </c>
      <c r="K2" s="35">
        <v>-22.7</v>
      </c>
      <c r="L2" s="35">
        <v>21.1</v>
      </c>
      <c r="M2" s="35">
        <v>-23</v>
      </c>
      <c r="N2" s="35">
        <v>-4.7</v>
      </c>
      <c r="O2" s="35">
        <v>-5.2</v>
      </c>
      <c r="P2" s="35">
        <v>-5</v>
      </c>
      <c r="Q2" s="35">
        <v>-3.7</v>
      </c>
      <c r="R2" s="35">
        <v>-4.7</v>
      </c>
      <c r="S2" s="35">
        <v>-5</v>
      </c>
      <c r="T2" s="35">
        <v>8.6999999999999993</v>
      </c>
      <c r="U2" s="35">
        <v>9</v>
      </c>
      <c r="V2" s="35">
        <v>10</v>
      </c>
      <c r="W2" s="35">
        <v>9</v>
      </c>
      <c r="X2" s="35">
        <v>10.3</v>
      </c>
      <c r="Y2" s="35">
        <v>9</v>
      </c>
      <c r="Z2" s="35">
        <v>11</v>
      </c>
      <c r="AA2" s="35">
        <v>9</v>
      </c>
      <c r="AB2" s="35">
        <v>21.7</v>
      </c>
      <c r="AC2" s="35">
        <v>20</v>
      </c>
      <c r="AD2" s="35">
        <v>21.6</v>
      </c>
      <c r="AE2" s="35">
        <v>20</v>
      </c>
    </row>
    <row r="3" spans="1:31" x14ac:dyDescent="0.35">
      <c r="A3" s="36">
        <v>46059.011805555558</v>
      </c>
      <c r="B3" s="35">
        <v>-21.3</v>
      </c>
      <c r="C3" s="35">
        <v>-21.9</v>
      </c>
      <c r="D3" s="35">
        <v>-23</v>
      </c>
      <c r="E3" s="35">
        <v>-21.4</v>
      </c>
      <c r="F3" s="35">
        <v>-21.5</v>
      </c>
      <c r="G3" s="35">
        <v>-23</v>
      </c>
      <c r="H3" s="35">
        <v>-21.8</v>
      </c>
      <c r="I3" s="35">
        <v>-22.6</v>
      </c>
      <c r="J3" s="35">
        <v>-23</v>
      </c>
      <c r="K3" s="35">
        <v>-22.7</v>
      </c>
      <c r="L3" s="35">
        <v>21.3</v>
      </c>
      <c r="M3" s="35">
        <v>-23</v>
      </c>
      <c r="N3" s="35">
        <v>-4.7</v>
      </c>
      <c r="O3" s="35">
        <v>-5.3</v>
      </c>
      <c r="P3" s="35">
        <v>-5</v>
      </c>
      <c r="Q3" s="35">
        <v>-3.8</v>
      </c>
      <c r="R3" s="35">
        <v>-4.8</v>
      </c>
      <c r="S3" s="35">
        <v>-5</v>
      </c>
      <c r="T3" s="35">
        <v>8.5</v>
      </c>
      <c r="U3" s="35">
        <v>9</v>
      </c>
      <c r="V3" s="35">
        <v>9.6999999999999993</v>
      </c>
      <c r="W3" s="35">
        <v>9</v>
      </c>
      <c r="X3" s="35">
        <v>10</v>
      </c>
      <c r="Y3" s="35">
        <v>9</v>
      </c>
      <c r="Z3" s="35">
        <v>11</v>
      </c>
      <c r="AA3" s="35">
        <v>9</v>
      </c>
      <c r="AB3" s="35">
        <v>21.7</v>
      </c>
      <c r="AC3" s="35">
        <v>20</v>
      </c>
      <c r="AD3" s="35">
        <v>21.6</v>
      </c>
      <c r="AE3" s="35">
        <v>20</v>
      </c>
    </row>
    <row r="4" spans="1:31" x14ac:dyDescent="0.35">
      <c r="A4" s="36">
        <v>46059.438888888886</v>
      </c>
      <c r="B4" s="35">
        <v>-20.6</v>
      </c>
      <c r="C4" s="35">
        <v>-23.6</v>
      </c>
      <c r="D4" s="35">
        <v>-23</v>
      </c>
      <c r="E4" s="35">
        <v>-22.3</v>
      </c>
      <c r="F4" s="35">
        <v>-2.1</v>
      </c>
      <c r="G4" s="35">
        <v>-23</v>
      </c>
      <c r="H4" s="35">
        <v>-20.7</v>
      </c>
      <c r="I4" s="35">
        <v>-17.7</v>
      </c>
      <c r="J4" s="35">
        <v>-23</v>
      </c>
      <c r="K4" s="35">
        <v>-21.1</v>
      </c>
      <c r="L4" s="35">
        <v>-20.9</v>
      </c>
      <c r="M4" s="35">
        <v>-23</v>
      </c>
      <c r="N4" s="35">
        <v>-3.8</v>
      </c>
      <c r="O4" s="35">
        <v>-4.5999999999999996</v>
      </c>
      <c r="P4" s="35">
        <v>-5</v>
      </c>
      <c r="Q4" s="35">
        <v>-2.9</v>
      </c>
      <c r="R4" s="35">
        <v>-3.4</v>
      </c>
      <c r="S4" s="35">
        <v>-5</v>
      </c>
      <c r="T4" s="35">
        <v>11</v>
      </c>
      <c r="U4" s="35">
        <v>40</v>
      </c>
      <c r="V4" s="35">
        <v>12.2</v>
      </c>
      <c r="W4" s="35">
        <v>40</v>
      </c>
      <c r="X4" s="35">
        <v>10.6</v>
      </c>
      <c r="Y4" s="35">
        <v>41.6</v>
      </c>
      <c r="Z4" s="35">
        <v>10.3</v>
      </c>
      <c r="AA4" s="35">
        <v>40.200000000000003</v>
      </c>
      <c r="AB4" s="35">
        <v>20.5</v>
      </c>
      <c r="AC4" s="35">
        <v>20</v>
      </c>
      <c r="AD4" s="35">
        <v>20.5</v>
      </c>
      <c r="AE4" s="35">
        <v>20</v>
      </c>
    </row>
    <row r="5" spans="1:31" x14ac:dyDescent="0.35">
      <c r="A5" s="36">
        <v>46059.439583333333</v>
      </c>
      <c r="B5" s="35">
        <v>-20.6</v>
      </c>
      <c r="C5" s="35">
        <v>-22.7</v>
      </c>
      <c r="D5" s="35">
        <v>-23</v>
      </c>
      <c r="E5" s="35">
        <v>-22.3</v>
      </c>
      <c r="F5" s="35">
        <v>-2.5</v>
      </c>
      <c r="G5" s="35">
        <v>-23</v>
      </c>
      <c r="H5" s="35">
        <v>-20.6</v>
      </c>
      <c r="I5" s="35">
        <v>-17.7</v>
      </c>
      <c r="J5" s="35">
        <v>-23</v>
      </c>
      <c r="K5" s="35">
        <v>-21</v>
      </c>
      <c r="L5" s="35">
        <v>-20.8</v>
      </c>
      <c r="M5" s="35">
        <v>-23</v>
      </c>
      <c r="N5" s="35">
        <v>-3.9</v>
      </c>
      <c r="O5" s="35">
        <v>-4.7</v>
      </c>
      <c r="P5" s="35">
        <v>-5</v>
      </c>
      <c r="Q5" s="35">
        <v>-2.9</v>
      </c>
      <c r="R5" s="35">
        <v>-3</v>
      </c>
      <c r="S5" s="35">
        <v>-5</v>
      </c>
      <c r="T5" s="35">
        <v>11.6</v>
      </c>
      <c r="U5" s="35">
        <v>40</v>
      </c>
      <c r="V5" s="35">
        <v>12</v>
      </c>
      <c r="W5" s="35">
        <v>40</v>
      </c>
      <c r="X5" s="35">
        <v>10.8</v>
      </c>
      <c r="Y5" s="35">
        <v>41.6</v>
      </c>
      <c r="Z5" s="35">
        <v>10.6</v>
      </c>
      <c r="AA5" s="35">
        <v>40.200000000000003</v>
      </c>
      <c r="AB5" s="35">
        <v>20.5</v>
      </c>
      <c r="AC5" s="35">
        <v>20</v>
      </c>
      <c r="AD5" s="35">
        <v>20.5</v>
      </c>
      <c r="AE5" s="35">
        <v>20</v>
      </c>
    </row>
    <row r="6" spans="1:31" x14ac:dyDescent="0.35">
      <c r="A6" s="36">
        <v>46059.44027777778</v>
      </c>
      <c r="B6" s="35">
        <v>-20.6</v>
      </c>
      <c r="C6" s="35">
        <v>-22</v>
      </c>
      <c r="D6" s="35">
        <v>-23</v>
      </c>
      <c r="E6" s="35">
        <v>-22.3</v>
      </c>
      <c r="F6" s="35">
        <v>-2.2000000000000002</v>
      </c>
      <c r="G6" s="35">
        <v>-23</v>
      </c>
      <c r="H6" s="35">
        <v>-21.3</v>
      </c>
      <c r="I6" s="35">
        <v>-17.600000000000001</v>
      </c>
      <c r="J6" s="35">
        <v>-23</v>
      </c>
      <c r="K6" s="35">
        <v>-21.1</v>
      </c>
      <c r="L6" s="35">
        <v>-21.3</v>
      </c>
      <c r="M6" s="35">
        <v>-23</v>
      </c>
      <c r="N6" s="35">
        <v>-4.0999999999999996</v>
      </c>
      <c r="O6" s="35">
        <v>-4.8</v>
      </c>
      <c r="P6" s="35">
        <v>-5</v>
      </c>
      <c r="Q6" s="35">
        <v>-2.9</v>
      </c>
      <c r="R6" s="35">
        <v>-2</v>
      </c>
      <c r="S6" s="35">
        <v>-5</v>
      </c>
      <c r="T6" s="35">
        <v>12</v>
      </c>
      <c r="U6" s="35">
        <v>40</v>
      </c>
      <c r="V6" s="35">
        <v>11.9</v>
      </c>
      <c r="W6" s="35">
        <v>40</v>
      </c>
      <c r="X6" s="35">
        <v>11.1</v>
      </c>
      <c r="Y6" s="35">
        <v>41.6</v>
      </c>
      <c r="Z6" s="35">
        <v>10.8</v>
      </c>
      <c r="AA6" s="35">
        <v>40.200000000000003</v>
      </c>
      <c r="AB6" s="35">
        <v>20.5</v>
      </c>
      <c r="AC6" s="35">
        <v>20</v>
      </c>
      <c r="AD6" s="35">
        <v>20.5</v>
      </c>
      <c r="AE6" s="35">
        <v>20</v>
      </c>
    </row>
    <row r="7" spans="1:31" x14ac:dyDescent="0.35">
      <c r="A7" s="36">
        <v>46059.440972222219</v>
      </c>
      <c r="B7" s="35">
        <v>-20.5</v>
      </c>
      <c r="C7" s="35">
        <v>-21.4</v>
      </c>
      <c r="D7" s="35">
        <v>-23</v>
      </c>
      <c r="E7" s="35">
        <v>-22.3</v>
      </c>
      <c r="F7" s="35">
        <v>-1.1000000000000001</v>
      </c>
      <c r="G7" s="35">
        <v>-23</v>
      </c>
      <c r="H7" s="35">
        <v>-21.9</v>
      </c>
      <c r="I7" s="35">
        <v>-17.600000000000001</v>
      </c>
      <c r="J7" s="35">
        <v>-23</v>
      </c>
      <c r="K7" s="35">
        <v>-21.5</v>
      </c>
      <c r="L7" s="35">
        <v>-21.7</v>
      </c>
      <c r="M7" s="35">
        <v>-23</v>
      </c>
      <c r="N7" s="35">
        <v>-4.2</v>
      </c>
      <c r="O7" s="35">
        <v>-5</v>
      </c>
      <c r="P7" s="35">
        <v>-5</v>
      </c>
      <c r="Q7" s="35">
        <v>-2.9</v>
      </c>
      <c r="R7" s="35">
        <v>-0.6</v>
      </c>
      <c r="S7" s="35">
        <v>-5</v>
      </c>
      <c r="T7" s="35">
        <v>12</v>
      </c>
      <c r="U7" s="35">
        <v>40</v>
      </c>
      <c r="V7" s="35">
        <v>11.8</v>
      </c>
      <c r="W7" s="35">
        <v>40</v>
      </c>
      <c r="X7" s="35">
        <v>11.2</v>
      </c>
      <c r="Y7" s="35">
        <v>41.6</v>
      </c>
      <c r="Z7" s="35">
        <v>11.5</v>
      </c>
      <c r="AA7" s="35">
        <v>40.200000000000003</v>
      </c>
      <c r="AB7" s="35">
        <v>20.5</v>
      </c>
      <c r="AC7" s="35">
        <v>20</v>
      </c>
      <c r="AD7" s="35">
        <v>20.5</v>
      </c>
      <c r="AE7" s="35">
        <v>20</v>
      </c>
    </row>
    <row r="8" spans="1:31" x14ac:dyDescent="0.35">
      <c r="A8" s="36">
        <v>46059.441666666666</v>
      </c>
      <c r="B8" s="35">
        <v>-20.100000000000001</v>
      </c>
      <c r="C8" s="35">
        <v>-20.9</v>
      </c>
      <c r="D8" s="35">
        <v>-23</v>
      </c>
      <c r="E8" s="35">
        <v>-22.3</v>
      </c>
      <c r="F8" s="35">
        <v>-1.1000000000000001</v>
      </c>
      <c r="G8" s="35">
        <v>-23</v>
      </c>
      <c r="H8" s="35">
        <v>-22.3</v>
      </c>
      <c r="I8" s="35">
        <v>-17.600000000000001</v>
      </c>
      <c r="J8" s="35">
        <v>-23</v>
      </c>
      <c r="K8" s="35">
        <v>-21.8</v>
      </c>
      <c r="L8" s="35">
        <v>-22.1</v>
      </c>
      <c r="M8" s="35">
        <v>-23</v>
      </c>
      <c r="N8" s="35">
        <v>-4.3</v>
      </c>
      <c r="O8" s="35">
        <v>-5.0999999999999996</v>
      </c>
      <c r="P8" s="35">
        <v>-5</v>
      </c>
      <c r="Q8" s="35">
        <v>-2.9</v>
      </c>
      <c r="R8" s="35">
        <v>1.7</v>
      </c>
      <c r="S8" s="35">
        <v>-5</v>
      </c>
      <c r="T8" s="35">
        <v>12</v>
      </c>
      <c r="U8" s="35">
        <v>40</v>
      </c>
      <c r="V8" s="35">
        <v>11.9</v>
      </c>
      <c r="W8" s="35">
        <v>40</v>
      </c>
      <c r="X8" s="35">
        <v>11.4</v>
      </c>
      <c r="Y8" s="35">
        <v>41.6</v>
      </c>
      <c r="Z8" s="35">
        <v>11.9</v>
      </c>
      <c r="AA8" s="35">
        <v>40.200000000000003</v>
      </c>
      <c r="AB8" s="35">
        <v>20.5</v>
      </c>
      <c r="AC8" s="35">
        <v>20</v>
      </c>
      <c r="AD8" s="35">
        <v>20.5</v>
      </c>
      <c r="AE8" s="35">
        <v>20</v>
      </c>
    </row>
    <row r="9" spans="1:31" x14ac:dyDescent="0.35">
      <c r="A9" s="36">
        <v>46059.442361111112</v>
      </c>
      <c r="B9" s="35">
        <v>-19.899999999999999</v>
      </c>
      <c r="C9" s="35">
        <v>-20.399999999999999</v>
      </c>
      <c r="D9" s="35">
        <v>-23</v>
      </c>
      <c r="E9" s="35">
        <v>-22.3</v>
      </c>
      <c r="F9" s="35">
        <v>-1.2</v>
      </c>
      <c r="G9" s="35">
        <v>-23</v>
      </c>
      <c r="H9" s="35">
        <v>-22.1</v>
      </c>
      <c r="I9" s="35">
        <v>-17.600000000000001</v>
      </c>
      <c r="J9" s="35">
        <v>-23</v>
      </c>
      <c r="K9" s="35">
        <v>-20.6</v>
      </c>
      <c r="L9" s="35">
        <v>-21.2</v>
      </c>
      <c r="M9" s="35">
        <v>-23</v>
      </c>
      <c r="N9" s="35">
        <v>-4.4000000000000004</v>
      </c>
      <c r="O9" s="35">
        <v>-5.2</v>
      </c>
      <c r="P9" s="35">
        <v>-5</v>
      </c>
      <c r="Q9" s="35">
        <v>-2.9</v>
      </c>
      <c r="R9" s="35">
        <v>3.7</v>
      </c>
      <c r="S9" s="35">
        <v>-5</v>
      </c>
      <c r="T9" s="35">
        <v>12</v>
      </c>
      <c r="U9" s="35">
        <v>40</v>
      </c>
      <c r="V9" s="35">
        <v>12</v>
      </c>
      <c r="W9" s="35">
        <v>40</v>
      </c>
      <c r="X9" s="35">
        <v>11.5</v>
      </c>
      <c r="Y9" s="35">
        <v>41.6</v>
      </c>
      <c r="Z9" s="35">
        <v>12</v>
      </c>
      <c r="AA9" s="35">
        <v>40.200000000000003</v>
      </c>
      <c r="AB9" s="35">
        <v>20.5</v>
      </c>
      <c r="AC9" s="35">
        <v>20</v>
      </c>
      <c r="AD9" s="35">
        <v>20.5</v>
      </c>
      <c r="AE9" s="35">
        <v>20</v>
      </c>
    </row>
    <row r="10" spans="1:31" x14ac:dyDescent="0.35">
      <c r="A10" s="36">
        <v>46059.443055555559</v>
      </c>
      <c r="B10" s="35">
        <v>-17.2</v>
      </c>
      <c r="C10" s="35">
        <v>-19.600000000000001</v>
      </c>
      <c r="D10" s="35">
        <v>-23</v>
      </c>
      <c r="E10" s="35">
        <v>-22.3</v>
      </c>
      <c r="F10" s="35">
        <v>-1.2</v>
      </c>
      <c r="G10" s="35">
        <v>-23</v>
      </c>
      <c r="H10" s="35">
        <v>-22.2</v>
      </c>
      <c r="I10" s="35">
        <v>-17.600000000000001</v>
      </c>
      <c r="J10" s="35">
        <v>-23</v>
      </c>
      <c r="K10" s="35">
        <v>-21.3</v>
      </c>
      <c r="L10" s="35">
        <v>-21.8</v>
      </c>
      <c r="M10" s="35">
        <v>-23</v>
      </c>
      <c r="N10" s="35">
        <v>-4.5</v>
      </c>
      <c r="O10" s="35">
        <v>-5.3</v>
      </c>
      <c r="P10" s="35">
        <v>-5</v>
      </c>
      <c r="Q10" s="35">
        <v>-2.9</v>
      </c>
      <c r="R10" s="35">
        <v>4.5999999999999996</v>
      </c>
      <c r="S10" s="35">
        <v>-5</v>
      </c>
      <c r="T10" s="35">
        <v>12</v>
      </c>
      <c r="U10" s="35">
        <v>40</v>
      </c>
      <c r="V10" s="35">
        <v>12</v>
      </c>
      <c r="W10" s="35">
        <v>40</v>
      </c>
      <c r="X10" s="35">
        <v>11.6</v>
      </c>
      <c r="Y10" s="35">
        <v>41.6</v>
      </c>
      <c r="Z10" s="35">
        <v>12</v>
      </c>
      <c r="AA10" s="35">
        <v>40.200000000000003</v>
      </c>
      <c r="AB10" s="35">
        <v>20.5</v>
      </c>
      <c r="AC10" s="35">
        <v>20</v>
      </c>
      <c r="AD10" s="35">
        <v>20.5</v>
      </c>
      <c r="AE10" s="35">
        <v>20</v>
      </c>
    </row>
    <row r="11" spans="1:31" x14ac:dyDescent="0.35">
      <c r="A11" s="36">
        <v>46059.443749999999</v>
      </c>
      <c r="B11" s="35">
        <v>-18.2</v>
      </c>
      <c r="C11" s="35">
        <v>-19.3</v>
      </c>
      <c r="D11" s="35">
        <v>-23</v>
      </c>
      <c r="E11" s="35">
        <v>-22.3</v>
      </c>
      <c r="F11" s="35">
        <v>-1.7</v>
      </c>
      <c r="G11" s="35">
        <v>-23</v>
      </c>
      <c r="H11" s="35">
        <v>-22.5</v>
      </c>
      <c r="I11" s="35">
        <v>-17.600000000000001</v>
      </c>
      <c r="J11" s="35">
        <v>-23</v>
      </c>
      <c r="K11" s="35">
        <v>-21.9</v>
      </c>
      <c r="L11" s="35">
        <v>-22.4</v>
      </c>
      <c r="M11" s="35">
        <v>-23</v>
      </c>
      <c r="N11" s="35">
        <v>-4.5999999999999996</v>
      </c>
      <c r="O11" s="35">
        <v>-5.4</v>
      </c>
      <c r="P11" s="35">
        <v>-5</v>
      </c>
      <c r="Q11" s="35">
        <v>-2.9</v>
      </c>
      <c r="R11" s="35">
        <v>8.6</v>
      </c>
      <c r="S11" s="35">
        <v>-5</v>
      </c>
      <c r="T11" s="35">
        <v>12</v>
      </c>
      <c r="U11" s="35">
        <v>40</v>
      </c>
      <c r="V11" s="35">
        <v>12.1</v>
      </c>
      <c r="W11" s="35">
        <v>40</v>
      </c>
      <c r="X11" s="35">
        <v>11.8</v>
      </c>
      <c r="Y11" s="35">
        <v>41.6</v>
      </c>
      <c r="Z11" s="35">
        <v>12</v>
      </c>
      <c r="AA11" s="35">
        <v>40.200000000000003</v>
      </c>
      <c r="AB11" s="35">
        <v>20.5</v>
      </c>
      <c r="AC11" s="35">
        <v>20</v>
      </c>
      <c r="AD11" s="35">
        <v>20.5</v>
      </c>
      <c r="AE11" s="35">
        <v>20</v>
      </c>
    </row>
    <row r="12" spans="1:31" x14ac:dyDescent="0.35">
      <c r="A12" s="36">
        <v>46059.444444444445</v>
      </c>
      <c r="B12" s="35">
        <v>-18.600000000000001</v>
      </c>
      <c r="C12" s="35">
        <v>-19.2</v>
      </c>
      <c r="D12" s="35">
        <v>-23</v>
      </c>
      <c r="E12" s="35">
        <v>-15.8</v>
      </c>
      <c r="F12" s="35">
        <v>-3.5</v>
      </c>
      <c r="G12" s="35">
        <v>-23</v>
      </c>
      <c r="H12" s="35">
        <v>-22.7</v>
      </c>
      <c r="I12" s="35">
        <v>-17.7</v>
      </c>
      <c r="J12" s="35">
        <v>-23</v>
      </c>
      <c r="K12" s="35">
        <v>-22.2</v>
      </c>
      <c r="L12" s="35">
        <v>-22.6</v>
      </c>
      <c r="M12" s="35">
        <v>-23</v>
      </c>
      <c r="N12" s="35">
        <v>-4.5999999999999996</v>
      </c>
      <c r="O12" s="35">
        <v>-5.5</v>
      </c>
      <c r="P12" s="35">
        <v>-5</v>
      </c>
      <c r="Q12" s="35">
        <v>-2.9</v>
      </c>
      <c r="R12" s="35">
        <v>10.4</v>
      </c>
      <c r="S12" s="35">
        <v>-5</v>
      </c>
      <c r="T12" s="35">
        <v>12</v>
      </c>
      <c r="U12" s="35">
        <v>40</v>
      </c>
      <c r="V12" s="35">
        <v>12.3</v>
      </c>
      <c r="W12" s="35">
        <v>40</v>
      </c>
      <c r="X12" s="35">
        <v>11.9</v>
      </c>
      <c r="Y12" s="35">
        <v>41.6</v>
      </c>
      <c r="Z12" s="35">
        <v>12</v>
      </c>
      <c r="AA12" s="35">
        <v>40.200000000000003</v>
      </c>
      <c r="AB12" s="35">
        <v>20.5</v>
      </c>
      <c r="AC12" s="35">
        <v>20</v>
      </c>
      <c r="AD12" s="35">
        <v>20.5</v>
      </c>
      <c r="AE12" s="35">
        <v>20</v>
      </c>
    </row>
    <row r="13" spans="1:31" x14ac:dyDescent="0.35">
      <c r="A13" s="36">
        <v>46059.445138888892</v>
      </c>
      <c r="B13" s="35">
        <v>-18.8</v>
      </c>
      <c r="C13" s="35">
        <v>-19.2</v>
      </c>
      <c r="D13" s="35">
        <v>-23</v>
      </c>
      <c r="E13" s="35">
        <v>-16.3</v>
      </c>
      <c r="F13" s="35">
        <v>-4.2</v>
      </c>
      <c r="G13" s="35">
        <v>-23</v>
      </c>
      <c r="H13" s="35">
        <v>-22.9</v>
      </c>
      <c r="I13" s="35">
        <v>-17.8</v>
      </c>
      <c r="J13" s="35">
        <v>-23</v>
      </c>
      <c r="K13" s="35">
        <v>-22.5</v>
      </c>
      <c r="L13" s="35">
        <v>-22.7</v>
      </c>
      <c r="M13" s="35">
        <v>-23</v>
      </c>
      <c r="N13" s="35">
        <v>-4.7</v>
      </c>
      <c r="O13" s="35">
        <v>-5.5</v>
      </c>
      <c r="P13" s="35">
        <v>-5</v>
      </c>
      <c r="Q13" s="35">
        <v>-2.9</v>
      </c>
      <c r="R13" s="35">
        <v>11</v>
      </c>
      <c r="S13" s="35">
        <v>-5</v>
      </c>
      <c r="T13" s="35">
        <v>12</v>
      </c>
      <c r="U13" s="35">
        <v>40</v>
      </c>
      <c r="V13" s="35">
        <v>12.3</v>
      </c>
      <c r="W13" s="35">
        <v>40</v>
      </c>
      <c r="X13" s="35">
        <v>12.1</v>
      </c>
      <c r="Y13" s="35">
        <v>41.6</v>
      </c>
      <c r="Z13" s="35">
        <v>12.1</v>
      </c>
      <c r="AA13" s="35">
        <v>40.200000000000003</v>
      </c>
      <c r="AB13" s="35">
        <v>20.5</v>
      </c>
      <c r="AC13" s="35">
        <v>20</v>
      </c>
      <c r="AD13" s="35">
        <v>20.5</v>
      </c>
      <c r="AE13" s="35">
        <v>20</v>
      </c>
    </row>
    <row r="14" spans="1:31" x14ac:dyDescent="0.35">
      <c r="A14" s="36">
        <v>46059.445833333331</v>
      </c>
      <c r="B14" s="35">
        <v>-18.899999999999999</v>
      </c>
      <c r="C14" s="35">
        <v>-19.7</v>
      </c>
      <c r="D14" s="35">
        <v>-23</v>
      </c>
      <c r="E14" s="35">
        <v>-16.899999999999999</v>
      </c>
      <c r="F14" s="35">
        <v>-5.5</v>
      </c>
      <c r="G14" s="35">
        <v>-23</v>
      </c>
      <c r="H14" s="35">
        <v>-22.9</v>
      </c>
      <c r="I14" s="35">
        <v>-17.8</v>
      </c>
      <c r="J14" s="35">
        <v>-23</v>
      </c>
      <c r="K14" s="35">
        <v>-22.6</v>
      </c>
      <c r="L14" s="35">
        <v>-22.7</v>
      </c>
      <c r="M14" s="35">
        <v>-23</v>
      </c>
      <c r="N14" s="35">
        <v>-4.8</v>
      </c>
      <c r="O14" s="35">
        <v>-5.6</v>
      </c>
      <c r="P14" s="35">
        <v>-5</v>
      </c>
      <c r="Q14" s="35">
        <v>-2.9</v>
      </c>
      <c r="R14" s="35">
        <v>12.6</v>
      </c>
      <c r="S14" s="35">
        <v>-5</v>
      </c>
      <c r="T14" s="35">
        <v>12.1</v>
      </c>
      <c r="U14" s="35">
        <v>40</v>
      </c>
      <c r="V14" s="35">
        <v>12.3</v>
      </c>
      <c r="W14" s="35">
        <v>40</v>
      </c>
      <c r="X14" s="35">
        <v>12.3</v>
      </c>
      <c r="Y14" s="35">
        <v>41.6</v>
      </c>
      <c r="Z14" s="35">
        <v>12.1</v>
      </c>
      <c r="AA14" s="35">
        <v>40.200000000000003</v>
      </c>
      <c r="AB14" s="35">
        <v>20.5</v>
      </c>
      <c r="AC14" s="35">
        <v>20</v>
      </c>
      <c r="AD14" s="35">
        <v>20.5</v>
      </c>
      <c r="AE14" s="35">
        <v>20</v>
      </c>
    </row>
    <row r="15" spans="1:31" x14ac:dyDescent="0.35">
      <c r="A15" s="36">
        <v>46059.446527777778</v>
      </c>
      <c r="B15" s="35">
        <v>-19</v>
      </c>
      <c r="C15" s="35">
        <v>-21.3</v>
      </c>
      <c r="D15" s="35">
        <v>-23</v>
      </c>
      <c r="E15" s="35">
        <v>-17.5</v>
      </c>
      <c r="F15" s="35">
        <v>-6.7</v>
      </c>
      <c r="G15" s="35">
        <v>-23</v>
      </c>
      <c r="H15" s="35">
        <v>-22.9</v>
      </c>
      <c r="I15" s="35">
        <v>-17.899999999999999</v>
      </c>
      <c r="J15" s="35">
        <v>-23</v>
      </c>
      <c r="K15" s="35">
        <v>-22.6</v>
      </c>
      <c r="L15" s="35">
        <v>-22.7</v>
      </c>
      <c r="M15" s="35">
        <v>-23</v>
      </c>
      <c r="N15" s="35">
        <v>-3.5</v>
      </c>
      <c r="O15" s="35">
        <v>-5.2</v>
      </c>
      <c r="P15" s="35">
        <v>-5</v>
      </c>
      <c r="Q15" s="35">
        <v>-2.9</v>
      </c>
      <c r="R15" s="35">
        <v>14.2</v>
      </c>
      <c r="S15" s="35">
        <v>-5</v>
      </c>
      <c r="T15" s="35">
        <v>12.2</v>
      </c>
      <c r="U15" s="35">
        <v>40</v>
      </c>
      <c r="V15" s="35">
        <v>12.3</v>
      </c>
      <c r="W15" s="35">
        <v>40</v>
      </c>
      <c r="X15" s="35">
        <v>12.4</v>
      </c>
      <c r="Y15" s="35">
        <v>41.6</v>
      </c>
      <c r="Z15" s="35">
        <v>12.1</v>
      </c>
      <c r="AA15" s="35">
        <v>40.200000000000003</v>
      </c>
      <c r="AB15" s="35">
        <v>20.5</v>
      </c>
      <c r="AC15" s="35">
        <v>20</v>
      </c>
      <c r="AD15" s="35">
        <v>20.5</v>
      </c>
      <c r="AE15" s="35">
        <v>20</v>
      </c>
    </row>
    <row r="16" spans="1:31" x14ac:dyDescent="0.35">
      <c r="A16" s="36">
        <v>46059.447222222225</v>
      </c>
      <c r="B16" s="35">
        <v>-16.7</v>
      </c>
      <c r="C16" s="35">
        <v>-20.6</v>
      </c>
      <c r="D16" s="35">
        <v>-23</v>
      </c>
      <c r="E16" s="35">
        <v>-17.100000000000001</v>
      </c>
      <c r="F16" s="35">
        <v>-7.4</v>
      </c>
      <c r="G16" s="35">
        <v>-23</v>
      </c>
      <c r="H16" s="35">
        <v>-22.4</v>
      </c>
      <c r="I16" s="35">
        <v>-18</v>
      </c>
      <c r="J16" s="35">
        <v>-23</v>
      </c>
      <c r="K16" s="35">
        <v>-20.9</v>
      </c>
      <c r="L16" s="35">
        <v>-21.1</v>
      </c>
      <c r="M16" s="35">
        <v>-23</v>
      </c>
      <c r="N16" s="35">
        <v>-0.9</v>
      </c>
      <c r="O16" s="35">
        <v>-3.2</v>
      </c>
      <c r="P16" s="35">
        <v>-5</v>
      </c>
      <c r="Q16" s="35">
        <v>-2.9</v>
      </c>
      <c r="R16" s="35">
        <v>16.3</v>
      </c>
      <c r="S16" s="35">
        <v>-5</v>
      </c>
      <c r="T16" s="35">
        <v>12.2</v>
      </c>
      <c r="U16" s="35">
        <v>40</v>
      </c>
      <c r="V16" s="35">
        <v>12.3</v>
      </c>
      <c r="W16" s="35">
        <v>40</v>
      </c>
      <c r="X16" s="35">
        <v>12.6</v>
      </c>
      <c r="Y16" s="35">
        <v>41.6</v>
      </c>
      <c r="Z16" s="35">
        <v>12.2</v>
      </c>
      <c r="AA16" s="35">
        <v>40.200000000000003</v>
      </c>
      <c r="AB16" s="35">
        <v>20.5</v>
      </c>
      <c r="AC16" s="35">
        <v>20</v>
      </c>
      <c r="AD16" s="35">
        <v>20.5</v>
      </c>
      <c r="AE16" s="35">
        <v>20</v>
      </c>
    </row>
    <row r="17" spans="1:31" x14ac:dyDescent="0.35">
      <c r="A17" s="36">
        <v>46059.447916666664</v>
      </c>
      <c r="B17" s="35">
        <v>-17.5</v>
      </c>
      <c r="C17" s="35">
        <v>-19.5</v>
      </c>
      <c r="D17" s="35">
        <v>-23</v>
      </c>
      <c r="E17" s="35">
        <v>-16.8</v>
      </c>
      <c r="F17" s="35">
        <v>-7.5</v>
      </c>
      <c r="G17" s="35">
        <v>-23</v>
      </c>
      <c r="H17" s="35">
        <v>-22.4</v>
      </c>
      <c r="I17" s="35">
        <v>-18</v>
      </c>
      <c r="J17" s="35">
        <v>-23</v>
      </c>
      <c r="K17" s="35">
        <v>-21.7</v>
      </c>
      <c r="L17" s="35">
        <v>-22.1</v>
      </c>
      <c r="M17" s="35">
        <v>-23</v>
      </c>
      <c r="N17" s="35">
        <v>-2.2999999999999998</v>
      </c>
      <c r="O17" s="35">
        <v>-3.3</v>
      </c>
      <c r="P17" s="35">
        <v>-5</v>
      </c>
      <c r="Q17" s="35">
        <v>-2.9</v>
      </c>
      <c r="R17" s="35">
        <v>18.2</v>
      </c>
      <c r="S17" s="35">
        <v>-5</v>
      </c>
      <c r="T17" s="35">
        <v>12.2</v>
      </c>
      <c r="U17" s="35">
        <v>40</v>
      </c>
      <c r="V17" s="35">
        <v>12.4</v>
      </c>
      <c r="W17" s="35">
        <v>40</v>
      </c>
      <c r="X17" s="35">
        <v>12.8</v>
      </c>
      <c r="Y17" s="35">
        <v>41.6</v>
      </c>
      <c r="Z17" s="35">
        <v>12.3</v>
      </c>
      <c r="AA17" s="35">
        <v>40.200000000000003</v>
      </c>
      <c r="AB17" s="35">
        <v>20.5</v>
      </c>
      <c r="AC17" s="35">
        <v>20</v>
      </c>
      <c r="AD17" s="35">
        <v>20.5</v>
      </c>
      <c r="AE17" s="35">
        <v>20</v>
      </c>
    </row>
    <row r="18" spans="1:31" x14ac:dyDescent="0.35">
      <c r="A18" s="36">
        <v>46059.448611111111</v>
      </c>
      <c r="B18" s="35">
        <v>-17.899999999999999</v>
      </c>
      <c r="C18" s="35">
        <v>-18.899999999999999</v>
      </c>
      <c r="D18" s="35">
        <v>-23</v>
      </c>
      <c r="E18" s="35">
        <v>-16.8</v>
      </c>
      <c r="F18" s="35">
        <v>-7.5</v>
      </c>
      <c r="G18" s="35">
        <v>-23</v>
      </c>
      <c r="H18" s="35">
        <v>-22.8</v>
      </c>
      <c r="I18" s="35">
        <v>-18.100000000000001</v>
      </c>
      <c r="J18" s="35">
        <v>-23</v>
      </c>
      <c r="K18" s="35">
        <v>-22.2</v>
      </c>
      <c r="L18" s="35">
        <v>-22.7</v>
      </c>
      <c r="M18" s="35">
        <v>-23</v>
      </c>
      <c r="N18" s="35">
        <v>-3.1</v>
      </c>
      <c r="O18" s="35">
        <v>-3.6</v>
      </c>
      <c r="P18" s="35">
        <v>-5</v>
      </c>
      <c r="Q18" s="35">
        <v>-2.9</v>
      </c>
      <c r="R18" s="35">
        <v>19.100000000000001</v>
      </c>
      <c r="S18" s="35">
        <v>-5</v>
      </c>
      <c r="T18" s="35">
        <v>12.3</v>
      </c>
      <c r="U18" s="35">
        <v>40</v>
      </c>
      <c r="V18" s="35">
        <v>12.4</v>
      </c>
      <c r="W18" s="35">
        <v>40</v>
      </c>
      <c r="X18" s="35">
        <v>12.8</v>
      </c>
      <c r="Y18" s="35">
        <v>41.6</v>
      </c>
      <c r="Z18" s="35">
        <v>12.4</v>
      </c>
      <c r="AA18" s="35">
        <v>40.200000000000003</v>
      </c>
      <c r="AB18" s="35">
        <v>20.5</v>
      </c>
      <c r="AC18" s="35">
        <v>20</v>
      </c>
      <c r="AD18" s="35">
        <v>20.5</v>
      </c>
      <c r="AE18" s="35">
        <v>20</v>
      </c>
    </row>
    <row r="19" spans="1:31" x14ac:dyDescent="0.35">
      <c r="A19" s="36">
        <v>46059.449305555558</v>
      </c>
      <c r="B19" s="35">
        <v>-18</v>
      </c>
      <c r="C19" s="35">
        <v>-18.7</v>
      </c>
      <c r="D19" s="35">
        <v>-23</v>
      </c>
      <c r="E19" s="35">
        <v>-16.899999999999999</v>
      </c>
      <c r="F19" s="35">
        <v>-7.6</v>
      </c>
      <c r="G19" s="35">
        <v>-23</v>
      </c>
      <c r="H19" s="35">
        <v>-23.1</v>
      </c>
      <c r="I19" s="35">
        <v>-18.2</v>
      </c>
      <c r="J19" s="35">
        <v>-23</v>
      </c>
      <c r="K19" s="35">
        <v>-22.6</v>
      </c>
      <c r="L19" s="35">
        <v>-23</v>
      </c>
      <c r="M19" s="35">
        <v>-23</v>
      </c>
      <c r="N19" s="35">
        <v>-3.4</v>
      </c>
      <c r="O19" s="35">
        <v>-3.8</v>
      </c>
      <c r="P19" s="35">
        <v>-5</v>
      </c>
      <c r="Q19" s="35">
        <v>-2.9</v>
      </c>
      <c r="R19" s="35">
        <v>19.8</v>
      </c>
      <c r="S19" s="35">
        <v>-5</v>
      </c>
      <c r="T19" s="35">
        <v>12.4</v>
      </c>
      <c r="U19" s="35">
        <v>40</v>
      </c>
      <c r="V19" s="35">
        <v>12.5</v>
      </c>
      <c r="W19" s="35">
        <v>40</v>
      </c>
      <c r="X19" s="35">
        <v>12.8</v>
      </c>
      <c r="Y19" s="35">
        <v>41.6</v>
      </c>
      <c r="Z19" s="35">
        <v>12.4</v>
      </c>
      <c r="AA19" s="35">
        <v>40.200000000000003</v>
      </c>
      <c r="AB19" s="35">
        <v>20.5</v>
      </c>
      <c r="AC19" s="35">
        <v>20</v>
      </c>
      <c r="AD19" s="35">
        <v>20.5</v>
      </c>
      <c r="AE19" s="35">
        <v>20</v>
      </c>
    </row>
    <row r="20" spans="1:31" x14ac:dyDescent="0.35">
      <c r="A20" s="36">
        <v>46059.45</v>
      </c>
      <c r="B20" s="35">
        <v>-18.100000000000001</v>
      </c>
      <c r="C20" s="35">
        <v>-18.600000000000001</v>
      </c>
      <c r="D20" s="35">
        <v>-23</v>
      </c>
      <c r="E20" s="35">
        <v>-17.100000000000001</v>
      </c>
      <c r="F20" s="35">
        <v>-8.1999999999999993</v>
      </c>
      <c r="G20" s="35">
        <v>-23</v>
      </c>
      <c r="H20" s="35">
        <v>-23.2</v>
      </c>
      <c r="I20" s="35">
        <v>-18.2</v>
      </c>
      <c r="J20" s="35">
        <v>-23</v>
      </c>
      <c r="K20" s="35">
        <v>-22.8</v>
      </c>
      <c r="L20" s="35">
        <v>-23.2</v>
      </c>
      <c r="M20" s="35">
        <v>-23</v>
      </c>
      <c r="N20" s="35">
        <v>-3.7</v>
      </c>
      <c r="O20" s="35">
        <v>-4.0999999999999996</v>
      </c>
      <c r="P20" s="35">
        <v>-5</v>
      </c>
      <c r="Q20" s="35">
        <v>-2.9</v>
      </c>
      <c r="R20" s="35">
        <v>20.2</v>
      </c>
      <c r="S20" s="35">
        <v>-5</v>
      </c>
      <c r="T20" s="35">
        <v>12.5</v>
      </c>
      <c r="U20" s="35">
        <v>40</v>
      </c>
      <c r="V20" s="35">
        <v>12.8</v>
      </c>
      <c r="W20" s="35">
        <v>40</v>
      </c>
      <c r="X20" s="35">
        <v>13.1</v>
      </c>
      <c r="Y20" s="35">
        <v>41.6</v>
      </c>
      <c r="Z20" s="35">
        <v>12.5</v>
      </c>
      <c r="AA20" s="35">
        <v>40.200000000000003</v>
      </c>
      <c r="AB20" s="35">
        <v>20.5</v>
      </c>
      <c r="AC20" s="35">
        <v>20</v>
      </c>
      <c r="AD20" s="35">
        <v>20.5</v>
      </c>
      <c r="AE20" s="35">
        <v>20</v>
      </c>
    </row>
    <row r="21" spans="1:31" x14ac:dyDescent="0.35">
      <c r="A21" s="36">
        <v>46059.450694444444</v>
      </c>
      <c r="B21" s="35">
        <v>-18.2</v>
      </c>
      <c r="C21" s="35">
        <v>-18.600000000000001</v>
      </c>
      <c r="D21" s="35">
        <v>-23</v>
      </c>
      <c r="E21" s="35">
        <v>-17.3</v>
      </c>
      <c r="F21" s="35">
        <v>-8.8000000000000007</v>
      </c>
      <c r="G21" s="35">
        <v>-23</v>
      </c>
      <c r="H21" s="35">
        <v>-23.4</v>
      </c>
      <c r="I21" s="35">
        <v>-18.3</v>
      </c>
      <c r="J21" s="35">
        <v>-23</v>
      </c>
      <c r="K21" s="35">
        <v>-23</v>
      </c>
      <c r="L21" s="35">
        <v>-23.3</v>
      </c>
      <c r="M21" s="35">
        <v>-23</v>
      </c>
      <c r="N21" s="35">
        <v>-3.8</v>
      </c>
      <c r="O21" s="35">
        <v>-4.4000000000000004</v>
      </c>
      <c r="P21" s="35">
        <v>-5</v>
      </c>
      <c r="Q21" s="35">
        <v>-2.9</v>
      </c>
      <c r="R21" s="35">
        <v>20.7</v>
      </c>
      <c r="S21" s="35">
        <v>-5</v>
      </c>
      <c r="T21" s="35">
        <v>12.6</v>
      </c>
      <c r="U21" s="35">
        <v>40</v>
      </c>
      <c r="V21" s="35">
        <v>13</v>
      </c>
      <c r="W21" s="35">
        <v>40</v>
      </c>
      <c r="X21" s="35">
        <v>13.4</v>
      </c>
      <c r="Y21" s="35">
        <v>41.6</v>
      </c>
      <c r="Z21" s="35">
        <v>12.5</v>
      </c>
      <c r="AA21" s="35">
        <v>40.200000000000003</v>
      </c>
      <c r="AB21" s="35">
        <v>20.5</v>
      </c>
      <c r="AC21" s="35">
        <v>20</v>
      </c>
      <c r="AD21" s="35">
        <v>20.5</v>
      </c>
      <c r="AE21" s="35">
        <v>20</v>
      </c>
    </row>
    <row r="22" spans="1:31" x14ac:dyDescent="0.35">
      <c r="A22" s="36">
        <v>46059.451388888891</v>
      </c>
      <c r="B22" s="35">
        <v>-18.3</v>
      </c>
      <c r="C22" s="35">
        <v>-18.8</v>
      </c>
      <c r="D22" s="35">
        <v>-23</v>
      </c>
      <c r="E22" s="35">
        <v>-17.8</v>
      </c>
      <c r="F22" s="35">
        <v>-9.5</v>
      </c>
      <c r="G22" s="35">
        <v>-23</v>
      </c>
      <c r="H22" s="35">
        <v>-23.5</v>
      </c>
      <c r="I22" s="35">
        <v>-18.399999999999999</v>
      </c>
      <c r="J22" s="35">
        <v>-23</v>
      </c>
      <c r="K22" s="35">
        <v>-23.1</v>
      </c>
      <c r="L22" s="35">
        <v>-23.3</v>
      </c>
      <c r="M22" s="35">
        <v>-23</v>
      </c>
      <c r="N22" s="35">
        <v>-3.9</v>
      </c>
      <c r="O22" s="35">
        <v>-4.5999999999999996</v>
      </c>
      <c r="P22" s="35">
        <v>-5</v>
      </c>
      <c r="Q22" s="35">
        <v>-2.9</v>
      </c>
      <c r="R22" s="35">
        <v>21.5</v>
      </c>
      <c r="S22" s="35">
        <v>-5</v>
      </c>
      <c r="T22" s="35">
        <v>12.6</v>
      </c>
      <c r="U22" s="35">
        <v>40</v>
      </c>
      <c r="V22" s="35">
        <v>13.1</v>
      </c>
      <c r="W22" s="35">
        <v>40</v>
      </c>
      <c r="X22" s="35">
        <v>13.5</v>
      </c>
      <c r="Y22" s="35">
        <v>41.6</v>
      </c>
      <c r="Z22" s="35">
        <v>12.6</v>
      </c>
      <c r="AA22" s="35">
        <v>40.200000000000003</v>
      </c>
      <c r="AB22" s="35">
        <v>20.5</v>
      </c>
      <c r="AC22" s="35">
        <v>20</v>
      </c>
      <c r="AD22" s="35">
        <v>20.5</v>
      </c>
      <c r="AE22" s="35">
        <v>20</v>
      </c>
    </row>
    <row r="23" spans="1:31" x14ac:dyDescent="0.35">
      <c r="A23" s="36">
        <v>46059.45208333333</v>
      </c>
      <c r="B23" s="35">
        <v>-18.600000000000001</v>
      </c>
      <c r="C23" s="35">
        <v>-22</v>
      </c>
      <c r="D23" s="35">
        <v>-23</v>
      </c>
      <c r="E23" s="35">
        <v>-18.3</v>
      </c>
      <c r="F23" s="35">
        <v>-10.6</v>
      </c>
      <c r="G23" s="35">
        <v>-23</v>
      </c>
      <c r="H23" s="35">
        <v>-23</v>
      </c>
      <c r="I23" s="35">
        <v>-18.399999999999999</v>
      </c>
      <c r="J23" s="35">
        <v>-23</v>
      </c>
      <c r="K23" s="35">
        <v>-23.1</v>
      </c>
      <c r="L23" s="35">
        <v>-23.1</v>
      </c>
      <c r="M23" s="35">
        <v>-23</v>
      </c>
      <c r="N23" s="35">
        <v>-4</v>
      </c>
      <c r="O23" s="35">
        <v>-4.7</v>
      </c>
      <c r="P23" s="35">
        <v>-5</v>
      </c>
      <c r="Q23" s="35">
        <v>-2.9</v>
      </c>
      <c r="R23" s="35">
        <v>22.5</v>
      </c>
      <c r="S23" s="35">
        <v>-5</v>
      </c>
      <c r="T23" s="35">
        <v>12.8</v>
      </c>
      <c r="U23" s="35">
        <v>40</v>
      </c>
      <c r="V23" s="35">
        <v>13.2</v>
      </c>
      <c r="W23" s="35">
        <v>40</v>
      </c>
      <c r="X23" s="35">
        <v>13.6</v>
      </c>
      <c r="Y23" s="35">
        <v>41.6</v>
      </c>
      <c r="Z23" s="35">
        <v>12.8</v>
      </c>
      <c r="AA23" s="35">
        <v>40.200000000000003</v>
      </c>
      <c r="AB23" s="35">
        <v>20.5</v>
      </c>
      <c r="AC23" s="35">
        <v>20</v>
      </c>
      <c r="AD23" s="35">
        <v>20.5</v>
      </c>
      <c r="AE23" s="35">
        <v>20</v>
      </c>
    </row>
    <row r="24" spans="1:31" x14ac:dyDescent="0.35">
      <c r="A24" s="36">
        <v>46059.452777777777</v>
      </c>
      <c r="B24" s="35">
        <v>-18.8</v>
      </c>
      <c r="C24" s="35">
        <v>-24.2</v>
      </c>
      <c r="D24" s="35">
        <v>-23</v>
      </c>
      <c r="E24" s="35">
        <v>-18.899999999999999</v>
      </c>
      <c r="F24" s="35">
        <v>-11.3</v>
      </c>
      <c r="G24" s="35">
        <v>-23</v>
      </c>
      <c r="H24" s="35">
        <v>-22.7</v>
      </c>
      <c r="I24" s="35">
        <v>-18.5</v>
      </c>
      <c r="J24" s="35">
        <v>-23</v>
      </c>
      <c r="K24" s="35">
        <v>-22.9</v>
      </c>
      <c r="L24" s="35">
        <v>-22.8</v>
      </c>
      <c r="M24" s="35">
        <v>-23</v>
      </c>
      <c r="N24" s="35">
        <v>-4</v>
      </c>
      <c r="O24" s="35">
        <v>-4.8</v>
      </c>
      <c r="P24" s="35">
        <v>-5</v>
      </c>
      <c r="Q24" s="35">
        <v>-2.9</v>
      </c>
      <c r="R24" s="35">
        <v>23.4</v>
      </c>
      <c r="S24" s="35">
        <v>-5</v>
      </c>
      <c r="T24" s="35">
        <v>12.8</v>
      </c>
      <c r="U24" s="35">
        <v>40</v>
      </c>
      <c r="V24" s="35">
        <v>13.2</v>
      </c>
      <c r="W24" s="35">
        <v>40</v>
      </c>
      <c r="X24" s="35">
        <v>13.6</v>
      </c>
      <c r="Y24" s="35">
        <v>41.6</v>
      </c>
      <c r="Z24" s="35">
        <v>12.8</v>
      </c>
      <c r="AA24" s="35">
        <v>40.200000000000003</v>
      </c>
      <c r="AB24" s="35">
        <v>20.5</v>
      </c>
      <c r="AC24" s="35">
        <v>20</v>
      </c>
      <c r="AD24" s="35">
        <v>20.5</v>
      </c>
      <c r="AE24" s="35">
        <v>20</v>
      </c>
    </row>
    <row r="25" spans="1:31" x14ac:dyDescent="0.35">
      <c r="A25" s="36">
        <v>46059.453472222223</v>
      </c>
      <c r="B25" s="35">
        <v>-19.100000000000001</v>
      </c>
      <c r="C25" s="35">
        <v>-23.9</v>
      </c>
      <c r="D25" s="35">
        <v>-23</v>
      </c>
      <c r="E25" s="35">
        <v>-19.2</v>
      </c>
      <c r="F25" s="35">
        <v>-12.2</v>
      </c>
      <c r="G25" s="35">
        <v>-23</v>
      </c>
      <c r="H25" s="35">
        <v>-22.4</v>
      </c>
      <c r="I25" s="35">
        <v>-18.5</v>
      </c>
      <c r="J25" s="35">
        <v>-23</v>
      </c>
      <c r="K25" s="35">
        <v>-22.7</v>
      </c>
      <c r="L25" s="35">
        <v>-22.5</v>
      </c>
      <c r="M25" s="35">
        <v>-23</v>
      </c>
      <c r="N25" s="35">
        <v>-4</v>
      </c>
      <c r="O25" s="35">
        <v>-4.8</v>
      </c>
      <c r="P25" s="35">
        <v>-5</v>
      </c>
      <c r="Q25" s="35">
        <v>-2.9</v>
      </c>
      <c r="R25" s="35">
        <v>23.2</v>
      </c>
      <c r="S25" s="35">
        <v>-5</v>
      </c>
      <c r="T25" s="35">
        <v>12.9</v>
      </c>
      <c r="U25" s="35">
        <v>40</v>
      </c>
      <c r="V25" s="35">
        <v>13.3</v>
      </c>
      <c r="W25" s="35">
        <v>40</v>
      </c>
      <c r="X25" s="35">
        <v>13.6</v>
      </c>
      <c r="Y25" s="35">
        <v>41.6</v>
      </c>
      <c r="Z25" s="35">
        <v>12.9</v>
      </c>
      <c r="AA25" s="35">
        <v>40.200000000000003</v>
      </c>
      <c r="AB25" s="35">
        <v>20.5</v>
      </c>
      <c r="AC25" s="35">
        <v>20</v>
      </c>
      <c r="AD25" s="35">
        <v>20.5</v>
      </c>
      <c r="AE25" s="35">
        <v>20</v>
      </c>
    </row>
    <row r="26" spans="1:31" x14ac:dyDescent="0.35">
      <c r="A26" s="36">
        <v>46059.45416666667</v>
      </c>
      <c r="B26" s="35">
        <v>-19.3</v>
      </c>
      <c r="C26" s="35">
        <v>-23.4</v>
      </c>
      <c r="D26" s="35">
        <v>-23</v>
      </c>
      <c r="E26" s="35">
        <v>-19.600000000000001</v>
      </c>
      <c r="F26" s="35">
        <v>-12.7</v>
      </c>
      <c r="G26" s="35">
        <v>-23</v>
      </c>
      <c r="H26" s="35">
        <v>-22.1</v>
      </c>
      <c r="I26" s="35">
        <v>-18.5</v>
      </c>
      <c r="J26" s="35">
        <v>-23</v>
      </c>
      <c r="K26" s="35">
        <v>-22.4</v>
      </c>
      <c r="L26" s="35">
        <v>-22.3</v>
      </c>
      <c r="M26" s="35">
        <v>-23</v>
      </c>
      <c r="N26" s="35">
        <v>-4.0999999999999996</v>
      </c>
      <c r="O26" s="35">
        <v>-4.9000000000000004</v>
      </c>
      <c r="P26" s="35">
        <v>-5</v>
      </c>
      <c r="Q26" s="35">
        <v>-2.9</v>
      </c>
      <c r="R26" s="35">
        <v>22.2</v>
      </c>
      <c r="S26" s="35">
        <v>-5</v>
      </c>
      <c r="T26" s="35">
        <v>12.9</v>
      </c>
      <c r="U26" s="35">
        <v>40</v>
      </c>
      <c r="V26" s="35">
        <v>13.4</v>
      </c>
      <c r="W26" s="35">
        <v>40</v>
      </c>
      <c r="X26" s="35">
        <v>13.7</v>
      </c>
      <c r="Y26" s="35">
        <v>41.6</v>
      </c>
      <c r="Z26" s="35">
        <v>13</v>
      </c>
      <c r="AA26" s="35">
        <v>40.200000000000003</v>
      </c>
      <c r="AB26" s="35">
        <v>20.5</v>
      </c>
      <c r="AC26" s="35">
        <v>20</v>
      </c>
      <c r="AD26" s="35">
        <v>20.5</v>
      </c>
      <c r="AE26" s="35">
        <v>20</v>
      </c>
    </row>
    <row r="27" spans="1:31" x14ac:dyDescent="0.35">
      <c r="A27" s="36">
        <v>46059.463888888888</v>
      </c>
      <c r="B27" s="35">
        <v>-19.600000000000001</v>
      </c>
      <c r="C27" s="35">
        <v>-23.4</v>
      </c>
      <c r="D27" s="35">
        <v>-23</v>
      </c>
      <c r="E27" s="35">
        <v>-19.899999999999999</v>
      </c>
      <c r="F27" s="35">
        <v>-13.3</v>
      </c>
      <c r="G27" s="35">
        <v>-23</v>
      </c>
      <c r="H27" s="35">
        <v>-21.9</v>
      </c>
      <c r="I27" s="35">
        <v>-18.5</v>
      </c>
      <c r="J27" s="35">
        <v>-23</v>
      </c>
      <c r="K27" s="35">
        <v>-22.3</v>
      </c>
      <c r="L27" s="35">
        <v>-22.1</v>
      </c>
      <c r="M27" s="35">
        <v>-23</v>
      </c>
      <c r="N27" s="35">
        <v>-4.2</v>
      </c>
      <c r="O27" s="35">
        <v>-5</v>
      </c>
      <c r="P27" s="35">
        <v>-5</v>
      </c>
      <c r="Q27" s="35">
        <v>36</v>
      </c>
      <c r="R27" s="35">
        <v>21.2</v>
      </c>
      <c r="S27" s="35">
        <v>-5</v>
      </c>
      <c r="T27" s="35">
        <v>13.2</v>
      </c>
      <c r="U27" s="35">
        <v>40</v>
      </c>
      <c r="V27" s="35">
        <v>13.4</v>
      </c>
      <c r="W27" s="35">
        <v>40</v>
      </c>
      <c r="X27" s="35">
        <v>13.7</v>
      </c>
      <c r="Y27" s="35">
        <v>41.6</v>
      </c>
      <c r="Z27" s="35">
        <v>13.1</v>
      </c>
      <c r="AA27" s="35">
        <v>40.200000000000003</v>
      </c>
      <c r="AB27" s="35">
        <v>20.5</v>
      </c>
      <c r="AC27" s="35">
        <v>20</v>
      </c>
      <c r="AD27" s="35">
        <v>20.5</v>
      </c>
      <c r="AE27" s="35">
        <v>20</v>
      </c>
    </row>
    <row r="28" spans="1:31" x14ac:dyDescent="0.35">
      <c r="A28" s="36">
        <v>46059.464583333334</v>
      </c>
      <c r="B28" s="35">
        <v>-20.5</v>
      </c>
      <c r="C28" s="35">
        <v>-21</v>
      </c>
      <c r="D28" s="35">
        <v>-23</v>
      </c>
      <c r="E28" s="35">
        <v>-20.5</v>
      </c>
      <c r="F28" s="35">
        <v>-18.600000000000001</v>
      </c>
      <c r="G28" s="35">
        <v>-23</v>
      </c>
      <c r="H28" s="35">
        <v>-21.5</v>
      </c>
      <c r="I28" s="35">
        <v>-22.3</v>
      </c>
      <c r="J28" s="35">
        <v>-23</v>
      </c>
      <c r="K28" s="35">
        <v>-21.7</v>
      </c>
      <c r="L28" s="35">
        <v>12.6</v>
      </c>
      <c r="M28" s="35">
        <v>-23</v>
      </c>
      <c r="N28" s="35">
        <v>-4.7</v>
      </c>
      <c r="O28" s="35">
        <v>-5.5</v>
      </c>
      <c r="P28" s="35">
        <v>-5</v>
      </c>
      <c r="Q28" s="35">
        <v>2.2000000000000002</v>
      </c>
      <c r="R28" s="35">
        <v>1.2</v>
      </c>
      <c r="S28" s="35">
        <v>-5</v>
      </c>
      <c r="T28" s="35">
        <v>14.7</v>
      </c>
      <c r="U28" s="35">
        <v>40</v>
      </c>
      <c r="V28" s="35">
        <v>14</v>
      </c>
      <c r="W28" s="35">
        <v>40</v>
      </c>
      <c r="X28" s="35">
        <v>14</v>
      </c>
      <c r="Y28" s="35">
        <v>41.6</v>
      </c>
      <c r="Z28" s="35">
        <v>13.9</v>
      </c>
      <c r="AA28" s="35">
        <v>40.200000000000003</v>
      </c>
      <c r="AB28" s="35">
        <v>20.5</v>
      </c>
      <c r="AC28" s="35">
        <v>20</v>
      </c>
      <c r="AD28" s="35">
        <v>20.5</v>
      </c>
      <c r="AE28" s="35">
        <v>20</v>
      </c>
    </row>
    <row r="29" spans="1:31" x14ac:dyDescent="0.35">
      <c r="A29" s="36">
        <v>46059.465277777781</v>
      </c>
      <c r="B29" s="35">
        <v>-20.5</v>
      </c>
      <c r="C29" s="35">
        <v>-20.9</v>
      </c>
      <c r="D29" s="35">
        <v>-23</v>
      </c>
      <c r="E29" s="35">
        <v>-20.6</v>
      </c>
      <c r="F29" s="35">
        <v>-18.7</v>
      </c>
      <c r="G29" s="35">
        <v>-23</v>
      </c>
      <c r="H29" s="35">
        <v>-21.5</v>
      </c>
      <c r="I29" s="35">
        <v>-22.2</v>
      </c>
      <c r="J29" s="35">
        <v>-23</v>
      </c>
      <c r="K29" s="35">
        <v>-21.7</v>
      </c>
      <c r="L29" s="35">
        <v>15.3</v>
      </c>
      <c r="M29" s="35">
        <v>-23</v>
      </c>
      <c r="N29" s="35">
        <v>-4.4000000000000004</v>
      </c>
      <c r="O29" s="35">
        <v>-5.2</v>
      </c>
      <c r="P29" s="35">
        <v>-5</v>
      </c>
      <c r="Q29" s="35">
        <v>1.9</v>
      </c>
      <c r="R29" s="35">
        <v>0.9</v>
      </c>
      <c r="S29" s="35">
        <v>-5</v>
      </c>
      <c r="T29" s="35">
        <v>14.8</v>
      </c>
      <c r="U29" s="35">
        <v>40</v>
      </c>
      <c r="V29" s="35">
        <v>14.1</v>
      </c>
      <c r="W29" s="35">
        <v>40</v>
      </c>
      <c r="X29" s="35">
        <v>14</v>
      </c>
      <c r="Y29" s="35">
        <v>41.6</v>
      </c>
      <c r="Z29" s="35">
        <v>13.9</v>
      </c>
      <c r="AA29" s="35">
        <v>40.200000000000003</v>
      </c>
      <c r="AB29" s="35">
        <v>20.5</v>
      </c>
      <c r="AC29" s="35">
        <v>20</v>
      </c>
      <c r="AD29" s="35">
        <v>20.5</v>
      </c>
      <c r="AE29" s="35">
        <v>20</v>
      </c>
    </row>
    <row r="30" spans="1:31" x14ac:dyDescent="0.35">
      <c r="A30" s="36">
        <v>46059.46597222222</v>
      </c>
      <c r="B30" s="35">
        <v>-20.5</v>
      </c>
      <c r="C30" s="35">
        <v>-20.9</v>
      </c>
      <c r="D30" s="35">
        <v>-23</v>
      </c>
      <c r="E30" s="35">
        <v>-20.7</v>
      </c>
      <c r="F30" s="35">
        <v>-18.899999999999999</v>
      </c>
      <c r="G30" s="35">
        <v>-23</v>
      </c>
      <c r="H30" s="35">
        <v>-21.5</v>
      </c>
      <c r="I30" s="35">
        <v>-22.1</v>
      </c>
      <c r="J30" s="35">
        <v>-23</v>
      </c>
      <c r="K30" s="35">
        <v>-21.7</v>
      </c>
      <c r="L30" s="35">
        <v>15</v>
      </c>
      <c r="M30" s="35">
        <v>-23</v>
      </c>
      <c r="N30" s="35">
        <v>-4.0999999999999996</v>
      </c>
      <c r="O30" s="35">
        <v>-4.9000000000000004</v>
      </c>
      <c r="P30" s="35">
        <v>-5</v>
      </c>
      <c r="Q30" s="35">
        <v>1.7</v>
      </c>
      <c r="R30" s="35">
        <v>0.7</v>
      </c>
      <c r="S30" s="35">
        <v>-5</v>
      </c>
      <c r="T30" s="35">
        <v>15.1</v>
      </c>
      <c r="U30" s="35">
        <v>40</v>
      </c>
      <c r="V30" s="35">
        <v>14.1</v>
      </c>
      <c r="W30" s="35">
        <v>40</v>
      </c>
      <c r="X30" s="35">
        <v>14.1</v>
      </c>
      <c r="Y30" s="35">
        <v>41.6</v>
      </c>
      <c r="Z30" s="35">
        <v>13.9</v>
      </c>
      <c r="AA30" s="35">
        <v>40.200000000000003</v>
      </c>
      <c r="AB30" s="35">
        <v>20.5</v>
      </c>
      <c r="AC30" s="35">
        <v>20</v>
      </c>
      <c r="AD30" s="35">
        <v>20.5</v>
      </c>
      <c r="AE30" s="35">
        <v>20</v>
      </c>
    </row>
    <row r="31" spans="1:31" x14ac:dyDescent="0.35">
      <c r="A31" s="36">
        <v>46059.466666666667</v>
      </c>
      <c r="B31" s="35">
        <v>-20.5</v>
      </c>
      <c r="C31" s="35">
        <v>-21.4</v>
      </c>
      <c r="D31" s="35">
        <v>-23</v>
      </c>
      <c r="E31" s="35">
        <v>-21</v>
      </c>
      <c r="F31" s="35">
        <v>-19</v>
      </c>
      <c r="G31" s="35">
        <v>-23</v>
      </c>
      <c r="H31" s="35">
        <v>-21.5</v>
      </c>
      <c r="I31" s="35">
        <v>-22</v>
      </c>
      <c r="J31" s="35">
        <v>-23</v>
      </c>
      <c r="K31" s="35">
        <v>-21.7</v>
      </c>
      <c r="L31" s="35">
        <v>16</v>
      </c>
      <c r="M31" s="35">
        <v>-23</v>
      </c>
      <c r="N31" s="35">
        <v>-3.9</v>
      </c>
      <c r="O31" s="35">
        <v>-4.5999999999999996</v>
      </c>
      <c r="P31" s="35">
        <v>-5</v>
      </c>
      <c r="Q31" s="35">
        <v>1.4</v>
      </c>
      <c r="R31" s="35">
        <v>0.5</v>
      </c>
      <c r="S31" s="35">
        <v>-5</v>
      </c>
      <c r="T31" s="35">
        <v>15.4</v>
      </c>
      <c r="U31" s="35">
        <v>40</v>
      </c>
      <c r="V31" s="35">
        <v>14.4</v>
      </c>
      <c r="W31" s="35">
        <v>40</v>
      </c>
      <c r="X31" s="35">
        <v>14.2</v>
      </c>
      <c r="Y31" s="35">
        <v>41.6</v>
      </c>
      <c r="Z31" s="35">
        <v>13.9</v>
      </c>
      <c r="AA31" s="35">
        <v>40.200000000000003</v>
      </c>
      <c r="AB31" s="35">
        <v>20.5</v>
      </c>
      <c r="AC31" s="35">
        <v>20</v>
      </c>
      <c r="AD31" s="35">
        <v>20.5</v>
      </c>
      <c r="AE31" s="35">
        <v>20</v>
      </c>
    </row>
    <row r="32" spans="1:31" x14ac:dyDescent="0.35">
      <c r="A32" s="36">
        <v>46059.467361111114</v>
      </c>
      <c r="B32" s="35">
        <v>-20.7</v>
      </c>
      <c r="C32" s="35">
        <v>-22.8</v>
      </c>
      <c r="D32" s="35">
        <v>-23</v>
      </c>
      <c r="E32" s="35">
        <v>-21.2</v>
      </c>
      <c r="F32" s="35">
        <v>-19.2</v>
      </c>
      <c r="G32" s="35">
        <v>-23</v>
      </c>
      <c r="H32" s="35">
        <v>-21.5</v>
      </c>
      <c r="I32" s="35">
        <v>-21.8</v>
      </c>
      <c r="J32" s="35">
        <v>-23</v>
      </c>
      <c r="K32" s="35">
        <v>-21.7</v>
      </c>
      <c r="L32" s="35">
        <v>17.100000000000001</v>
      </c>
      <c r="M32" s="35">
        <v>-23</v>
      </c>
      <c r="N32" s="35">
        <v>-3.7</v>
      </c>
      <c r="O32" s="35">
        <v>-4.3</v>
      </c>
      <c r="P32" s="35">
        <v>-5</v>
      </c>
      <c r="Q32" s="35">
        <v>1.2</v>
      </c>
      <c r="R32" s="35">
        <v>0.2</v>
      </c>
      <c r="S32" s="35">
        <v>-5</v>
      </c>
      <c r="T32" s="35">
        <v>15.4</v>
      </c>
      <c r="U32" s="35">
        <v>40</v>
      </c>
      <c r="V32" s="35">
        <v>14.5</v>
      </c>
      <c r="W32" s="35">
        <v>40</v>
      </c>
      <c r="X32" s="35">
        <v>14.4</v>
      </c>
      <c r="Y32" s="35">
        <v>41.6</v>
      </c>
      <c r="Z32" s="35">
        <v>14.1</v>
      </c>
      <c r="AA32" s="35">
        <v>40.200000000000003</v>
      </c>
      <c r="AB32" s="35">
        <v>20.5</v>
      </c>
      <c r="AC32" s="35">
        <v>20</v>
      </c>
      <c r="AD32" s="35">
        <v>20.5</v>
      </c>
      <c r="AE32" s="35">
        <v>20</v>
      </c>
    </row>
    <row r="33" spans="1:31" x14ac:dyDescent="0.35">
      <c r="A33" s="36">
        <v>46059.468055555553</v>
      </c>
      <c r="B33" s="35">
        <v>-20.8</v>
      </c>
      <c r="C33" s="35">
        <v>-23.8</v>
      </c>
      <c r="D33" s="35">
        <v>-23</v>
      </c>
      <c r="E33" s="35">
        <v>-21.4</v>
      </c>
      <c r="F33" s="35">
        <v>-19.399999999999999</v>
      </c>
      <c r="G33" s="35">
        <v>-23</v>
      </c>
      <c r="H33" s="35">
        <v>-21.3</v>
      </c>
      <c r="I33" s="35">
        <v>-21.7</v>
      </c>
      <c r="J33" s="35">
        <v>-23</v>
      </c>
      <c r="K33" s="35">
        <v>-21.7</v>
      </c>
      <c r="L33" s="35">
        <v>20.8</v>
      </c>
      <c r="M33" s="35">
        <v>-23</v>
      </c>
      <c r="N33" s="35">
        <v>-3.5</v>
      </c>
      <c r="O33" s="35">
        <v>-4.0999999999999996</v>
      </c>
      <c r="P33" s="35">
        <v>-5</v>
      </c>
      <c r="Q33" s="35">
        <v>1</v>
      </c>
      <c r="R33" s="35">
        <v>0</v>
      </c>
      <c r="S33" s="35">
        <v>-5</v>
      </c>
      <c r="T33" s="35">
        <v>15.7</v>
      </c>
      <c r="U33" s="35">
        <v>40</v>
      </c>
      <c r="V33" s="35">
        <v>14.6</v>
      </c>
      <c r="W33" s="35">
        <v>40</v>
      </c>
      <c r="X33" s="35">
        <v>14.4</v>
      </c>
      <c r="Y33" s="35">
        <v>41.6</v>
      </c>
      <c r="Z33" s="35">
        <v>14.2</v>
      </c>
      <c r="AA33" s="35">
        <v>40.200000000000003</v>
      </c>
      <c r="AB33" s="35">
        <v>20.5</v>
      </c>
      <c r="AC33" s="35">
        <v>20</v>
      </c>
      <c r="AD33" s="35">
        <v>20.5</v>
      </c>
      <c r="AE33" s="35">
        <v>20</v>
      </c>
    </row>
    <row r="34" spans="1:31" x14ac:dyDescent="0.35">
      <c r="A34" s="36">
        <v>46059.46875</v>
      </c>
      <c r="B34" s="35">
        <v>-20.9</v>
      </c>
      <c r="C34" s="35">
        <v>-23.2</v>
      </c>
      <c r="D34" s="35">
        <v>-23</v>
      </c>
      <c r="E34" s="35">
        <v>-21.4</v>
      </c>
      <c r="F34" s="35">
        <v>-19.399999999999999</v>
      </c>
      <c r="G34" s="35">
        <v>-23</v>
      </c>
      <c r="H34" s="35">
        <v>-21.2</v>
      </c>
      <c r="I34" s="35">
        <v>-21.7</v>
      </c>
      <c r="J34" s="35">
        <v>-23</v>
      </c>
      <c r="K34" s="35">
        <v>-21.7</v>
      </c>
      <c r="L34" s="35">
        <v>22</v>
      </c>
      <c r="M34" s="35">
        <v>-23</v>
      </c>
      <c r="N34" s="35">
        <v>-3.4</v>
      </c>
      <c r="O34" s="35">
        <v>-3.9</v>
      </c>
      <c r="P34" s="35">
        <v>-5</v>
      </c>
      <c r="Q34" s="35">
        <v>0.9</v>
      </c>
      <c r="R34" s="35">
        <v>-0.2</v>
      </c>
      <c r="S34" s="35">
        <v>-5</v>
      </c>
      <c r="T34" s="35">
        <v>15.7</v>
      </c>
      <c r="U34" s="35">
        <v>40</v>
      </c>
      <c r="V34" s="35">
        <v>14.7</v>
      </c>
      <c r="W34" s="35">
        <v>40</v>
      </c>
      <c r="X34" s="35">
        <v>14.4</v>
      </c>
      <c r="Y34" s="35">
        <v>41.6</v>
      </c>
      <c r="Z34" s="35">
        <v>14.2</v>
      </c>
      <c r="AA34" s="35">
        <v>40.200000000000003</v>
      </c>
      <c r="AB34" s="35">
        <v>20.5</v>
      </c>
      <c r="AC34" s="35">
        <v>20</v>
      </c>
      <c r="AD34" s="35">
        <v>20.5</v>
      </c>
      <c r="AE34" s="35">
        <v>20</v>
      </c>
    </row>
    <row r="35" spans="1:31" x14ac:dyDescent="0.35">
      <c r="A35" s="36">
        <v>46059.469444444447</v>
      </c>
      <c r="B35" s="35">
        <v>-20.9</v>
      </c>
      <c r="C35" s="35">
        <v>-22.3</v>
      </c>
      <c r="D35" s="35">
        <v>-23</v>
      </c>
      <c r="E35" s="35">
        <v>-21.2</v>
      </c>
      <c r="F35" s="35">
        <v>-19.5</v>
      </c>
      <c r="G35" s="35">
        <v>-23</v>
      </c>
      <c r="H35" s="35">
        <v>-21.2</v>
      </c>
      <c r="I35" s="35">
        <v>-21.7</v>
      </c>
      <c r="J35" s="35">
        <v>-23</v>
      </c>
      <c r="K35" s="35">
        <v>-21.7</v>
      </c>
      <c r="L35" s="35">
        <v>23.4</v>
      </c>
      <c r="M35" s="35">
        <v>-23</v>
      </c>
      <c r="N35" s="35">
        <v>1</v>
      </c>
      <c r="O35" s="35">
        <v>-1.6</v>
      </c>
      <c r="P35" s="35">
        <v>-5</v>
      </c>
      <c r="Q35" s="35">
        <v>0.7</v>
      </c>
      <c r="R35" s="35">
        <v>-0.4</v>
      </c>
      <c r="S35" s="35">
        <v>-5</v>
      </c>
      <c r="T35" s="35">
        <v>15.7</v>
      </c>
      <c r="U35" s="35">
        <v>40</v>
      </c>
      <c r="V35" s="35">
        <v>14.8</v>
      </c>
      <c r="W35" s="35">
        <v>40</v>
      </c>
      <c r="X35" s="35">
        <v>14.5</v>
      </c>
      <c r="Y35" s="35">
        <v>41.6</v>
      </c>
      <c r="Z35" s="35">
        <v>14.2</v>
      </c>
      <c r="AA35" s="35">
        <v>40.200000000000003</v>
      </c>
      <c r="AB35" s="35">
        <v>20.5</v>
      </c>
      <c r="AC35" s="35">
        <v>20</v>
      </c>
      <c r="AD35" s="35">
        <v>20.5</v>
      </c>
      <c r="AE35" s="35">
        <v>20</v>
      </c>
    </row>
    <row r="36" spans="1:31" x14ac:dyDescent="0.35">
      <c r="A36" s="36">
        <v>46059.470138888886</v>
      </c>
      <c r="B36" s="35">
        <v>-19.600000000000001</v>
      </c>
      <c r="C36" s="35">
        <v>-20.9</v>
      </c>
      <c r="D36" s="35">
        <v>-23</v>
      </c>
      <c r="E36" s="35">
        <v>-19.8</v>
      </c>
      <c r="F36" s="35">
        <v>-19.399999999999999</v>
      </c>
      <c r="G36" s="35">
        <v>-23</v>
      </c>
      <c r="H36" s="35">
        <v>-21.2</v>
      </c>
      <c r="I36" s="35">
        <v>-21.7</v>
      </c>
      <c r="J36" s="35">
        <v>-23</v>
      </c>
      <c r="K36" s="35">
        <v>-21.7</v>
      </c>
      <c r="L36" s="35">
        <v>23.3</v>
      </c>
      <c r="M36" s="35">
        <v>-23</v>
      </c>
      <c r="N36" s="35">
        <v>3.3</v>
      </c>
      <c r="O36" s="35">
        <v>0.3</v>
      </c>
      <c r="P36" s="35">
        <v>-5</v>
      </c>
      <c r="Q36" s="35">
        <v>0.6</v>
      </c>
      <c r="R36" s="35">
        <v>-0.5</v>
      </c>
      <c r="S36" s="35">
        <v>-5</v>
      </c>
      <c r="T36" s="35">
        <v>15.3</v>
      </c>
      <c r="U36" s="35">
        <v>40</v>
      </c>
      <c r="V36" s="35">
        <v>14.8</v>
      </c>
      <c r="W36" s="35">
        <v>40</v>
      </c>
      <c r="X36" s="35">
        <v>14.5</v>
      </c>
      <c r="Y36" s="35">
        <v>41.6</v>
      </c>
      <c r="Z36" s="35">
        <v>14.3</v>
      </c>
      <c r="AA36" s="35">
        <v>40.200000000000003</v>
      </c>
      <c r="AB36" s="35">
        <v>20.5</v>
      </c>
      <c r="AC36" s="35">
        <v>20</v>
      </c>
      <c r="AD36" s="35">
        <v>20.5</v>
      </c>
      <c r="AE36" s="35">
        <v>20</v>
      </c>
    </row>
    <row r="37" spans="1:31" x14ac:dyDescent="0.35">
      <c r="A37" s="36">
        <v>46059.470833333333</v>
      </c>
      <c r="B37" s="35">
        <v>-19.3</v>
      </c>
      <c r="C37" s="35">
        <v>-20.2</v>
      </c>
      <c r="D37" s="35">
        <v>-23</v>
      </c>
      <c r="E37" s="35">
        <v>-19.600000000000001</v>
      </c>
      <c r="F37" s="35">
        <v>-19.3</v>
      </c>
      <c r="G37" s="35">
        <v>-23</v>
      </c>
      <c r="H37" s="35">
        <v>-21.2</v>
      </c>
      <c r="I37" s="35">
        <v>-21.7</v>
      </c>
      <c r="J37" s="35">
        <v>-23</v>
      </c>
      <c r="K37" s="35">
        <v>-21.7</v>
      </c>
      <c r="L37" s="35">
        <v>23</v>
      </c>
      <c r="M37" s="35">
        <v>-23</v>
      </c>
      <c r="N37" s="35">
        <v>0.9</v>
      </c>
      <c r="O37" s="35">
        <v>-0.1</v>
      </c>
      <c r="P37" s="35">
        <v>-5</v>
      </c>
      <c r="Q37" s="35">
        <v>0.5</v>
      </c>
      <c r="R37" s="35">
        <v>-0.5</v>
      </c>
      <c r="S37" s="35">
        <v>-5</v>
      </c>
      <c r="T37" s="35">
        <v>15.4</v>
      </c>
      <c r="U37" s="35">
        <v>40</v>
      </c>
      <c r="V37" s="35">
        <v>14.8</v>
      </c>
      <c r="W37" s="35">
        <v>40</v>
      </c>
      <c r="X37" s="35">
        <v>14.5</v>
      </c>
      <c r="Y37" s="35">
        <v>41.6</v>
      </c>
      <c r="Z37" s="35">
        <v>14.3</v>
      </c>
      <c r="AA37" s="35">
        <v>40.200000000000003</v>
      </c>
      <c r="AB37" s="35">
        <v>20.5</v>
      </c>
      <c r="AC37" s="35">
        <v>20</v>
      </c>
      <c r="AD37" s="35">
        <v>20.5</v>
      </c>
      <c r="AE37" s="35">
        <v>20</v>
      </c>
    </row>
    <row r="38" spans="1:31" x14ac:dyDescent="0.35">
      <c r="A38" s="36">
        <v>46059.47152777778</v>
      </c>
      <c r="B38" s="35">
        <v>-19.3</v>
      </c>
      <c r="C38" s="35">
        <v>-20</v>
      </c>
      <c r="D38" s="35">
        <v>-23</v>
      </c>
      <c r="E38" s="35">
        <v>-19.600000000000001</v>
      </c>
      <c r="F38" s="35">
        <v>-19.3</v>
      </c>
      <c r="G38" s="35">
        <v>-23</v>
      </c>
      <c r="H38" s="35">
        <v>-19.8</v>
      </c>
      <c r="I38" s="35">
        <v>-21.1</v>
      </c>
      <c r="J38" s="35">
        <v>-23</v>
      </c>
      <c r="K38" s="35">
        <v>-21.7</v>
      </c>
      <c r="L38" s="35">
        <v>18.100000000000001</v>
      </c>
      <c r="M38" s="35">
        <v>-23</v>
      </c>
      <c r="N38" s="35">
        <v>-0.4</v>
      </c>
      <c r="O38" s="35">
        <v>-0.6</v>
      </c>
      <c r="P38" s="35">
        <v>-5</v>
      </c>
      <c r="Q38" s="35">
        <v>0.3</v>
      </c>
      <c r="R38" s="35">
        <v>-0.8</v>
      </c>
      <c r="S38" s="35">
        <v>-5</v>
      </c>
      <c r="T38" s="35">
        <v>15.4</v>
      </c>
      <c r="U38" s="35">
        <v>40</v>
      </c>
      <c r="V38" s="35">
        <v>14.7</v>
      </c>
      <c r="W38" s="35">
        <v>40</v>
      </c>
      <c r="X38" s="35">
        <v>14.5</v>
      </c>
      <c r="Y38" s="35">
        <v>41.6</v>
      </c>
      <c r="Z38" s="35">
        <v>14.3</v>
      </c>
      <c r="AA38" s="35">
        <v>40.200000000000003</v>
      </c>
      <c r="AB38" s="35">
        <v>20.5</v>
      </c>
      <c r="AC38" s="35">
        <v>20</v>
      </c>
      <c r="AD38" s="35">
        <v>20.5</v>
      </c>
      <c r="AE38" s="35">
        <v>20</v>
      </c>
    </row>
    <row r="39" spans="1:31" x14ac:dyDescent="0.35">
      <c r="A39" s="36">
        <v>46059.472222222219</v>
      </c>
      <c r="B39" s="35">
        <v>-19.5</v>
      </c>
      <c r="C39" s="35">
        <v>-20.5</v>
      </c>
      <c r="D39" s="35">
        <v>-23</v>
      </c>
      <c r="E39" s="35">
        <v>-19.899999999999999</v>
      </c>
      <c r="F39" s="35">
        <v>-19.3</v>
      </c>
      <c r="G39" s="35">
        <v>-23</v>
      </c>
      <c r="H39" s="35">
        <v>-18.2</v>
      </c>
      <c r="I39" s="35">
        <v>-19.7</v>
      </c>
      <c r="J39" s="35">
        <v>-23</v>
      </c>
      <c r="K39" s="35">
        <v>-21.7</v>
      </c>
      <c r="L39" s="35">
        <v>8.1999999999999993</v>
      </c>
      <c r="M39" s="35">
        <v>-23</v>
      </c>
      <c r="N39" s="35">
        <v>-1</v>
      </c>
      <c r="O39" s="35">
        <v>-1.2</v>
      </c>
      <c r="P39" s="35">
        <v>-5</v>
      </c>
      <c r="Q39" s="35">
        <v>0.2</v>
      </c>
      <c r="R39" s="35">
        <v>-0.9</v>
      </c>
      <c r="S39" s="35">
        <v>-5</v>
      </c>
      <c r="T39" s="35">
        <v>15.4</v>
      </c>
      <c r="U39" s="35">
        <v>40</v>
      </c>
      <c r="V39" s="35">
        <v>14.7</v>
      </c>
      <c r="W39" s="35">
        <v>40</v>
      </c>
      <c r="X39" s="35">
        <v>14.5</v>
      </c>
      <c r="Y39" s="35">
        <v>41.6</v>
      </c>
      <c r="Z39" s="35">
        <v>14.6</v>
      </c>
      <c r="AA39" s="35">
        <v>40.200000000000003</v>
      </c>
      <c r="AB39" s="35">
        <v>20.5</v>
      </c>
      <c r="AC39" s="35">
        <v>20</v>
      </c>
      <c r="AD39" s="35">
        <v>20.5</v>
      </c>
      <c r="AE39" s="35">
        <v>20</v>
      </c>
    </row>
    <row r="40" spans="1:31" x14ac:dyDescent="0.35">
      <c r="A40" s="36">
        <v>46059.472916666666</v>
      </c>
      <c r="B40" s="35">
        <v>-19.8</v>
      </c>
      <c r="C40" s="35">
        <v>-22.7</v>
      </c>
      <c r="D40" s="35">
        <v>-23</v>
      </c>
      <c r="E40" s="35">
        <v>-20.3</v>
      </c>
      <c r="F40" s="35">
        <v>-19.3</v>
      </c>
      <c r="G40" s="35">
        <v>-23</v>
      </c>
      <c r="H40" s="35">
        <v>-17.3</v>
      </c>
      <c r="I40" s="35">
        <v>-18.899999999999999</v>
      </c>
      <c r="J40" s="35">
        <v>-23</v>
      </c>
      <c r="K40" s="35">
        <v>-21.7</v>
      </c>
      <c r="L40" s="35">
        <v>2.7</v>
      </c>
      <c r="M40" s="35">
        <v>-23</v>
      </c>
      <c r="N40" s="35">
        <v>-1.5</v>
      </c>
      <c r="O40" s="35">
        <v>-1.7</v>
      </c>
      <c r="P40" s="35">
        <v>-5</v>
      </c>
      <c r="Q40" s="35">
        <v>0</v>
      </c>
      <c r="R40" s="35">
        <v>-1</v>
      </c>
      <c r="S40" s="35">
        <v>-5</v>
      </c>
      <c r="T40" s="35">
        <v>15.2</v>
      </c>
      <c r="U40" s="35">
        <v>40</v>
      </c>
      <c r="V40" s="35">
        <v>14.7</v>
      </c>
      <c r="W40" s="35">
        <v>40</v>
      </c>
      <c r="X40" s="35">
        <v>14.5</v>
      </c>
      <c r="Y40" s="35">
        <v>41.6</v>
      </c>
      <c r="Z40" s="35">
        <v>14.8</v>
      </c>
      <c r="AA40" s="35">
        <v>40.200000000000003</v>
      </c>
      <c r="AB40" s="35">
        <v>20.5</v>
      </c>
      <c r="AC40" s="35">
        <v>20</v>
      </c>
      <c r="AD40" s="35">
        <v>20.5</v>
      </c>
      <c r="AE40" s="35">
        <v>20</v>
      </c>
    </row>
    <row r="41" spans="1:31" x14ac:dyDescent="0.35">
      <c r="A41" s="36">
        <v>46059.473611111112</v>
      </c>
      <c r="B41" s="35">
        <v>-20</v>
      </c>
      <c r="C41" s="35">
        <v>-23.7</v>
      </c>
      <c r="D41" s="35">
        <v>-23</v>
      </c>
      <c r="E41" s="35">
        <v>-20.6</v>
      </c>
      <c r="F41" s="35">
        <v>-19.399999999999999</v>
      </c>
      <c r="G41" s="35">
        <v>-23</v>
      </c>
      <c r="H41" s="35">
        <v>-16.7</v>
      </c>
      <c r="I41" s="35">
        <v>-18.2</v>
      </c>
      <c r="J41" s="35">
        <v>-23</v>
      </c>
      <c r="K41" s="35">
        <v>-21.7</v>
      </c>
      <c r="L41" s="35">
        <v>0.3</v>
      </c>
      <c r="M41" s="35">
        <v>-23</v>
      </c>
      <c r="N41" s="35">
        <v>-1.8</v>
      </c>
      <c r="O41" s="35">
        <v>-2</v>
      </c>
      <c r="P41" s="35">
        <v>-5</v>
      </c>
      <c r="Q41" s="35">
        <v>-0.1</v>
      </c>
      <c r="R41" s="35">
        <v>-1.2</v>
      </c>
      <c r="S41" s="35">
        <v>-5</v>
      </c>
      <c r="T41" s="35">
        <v>15.1</v>
      </c>
      <c r="U41" s="35">
        <v>40</v>
      </c>
      <c r="V41" s="35">
        <v>14.7</v>
      </c>
      <c r="W41" s="35">
        <v>40</v>
      </c>
      <c r="X41" s="35">
        <v>14.5</v>
      </c>
      <c r="Y41" s="35">
        <v>41.6</v>
      </c>
      <c r="Z41" s="35">
        <v>15.1</v>
      </c>
      <c r="AA41" s="35">
        <v>40.200000000000003</v>
      </c>
      <c r="AB41" s="35">
        <v>20.5</v>
      </c>
      <c r="AC41" s="35">
        <v>20</v>
      </c>
      <c r="AD41" s="35">
        <v>20.5</v>
      </c>
      <c r="AE41" s="35">
        <v>20</v>
      </c>
    </row>
    <row r="42" spans="1:31" x14ac:dyDescent="0.35">
      <c r="A42" s="36">
        <v>46059.474305555559</v>
      </c>
      <c r="B42" s="35">
        <v>-20.2</v>
      </c>
      <c r="C42" s="35">
        <v>-22.7</v>
      </c>
      <c r="D42" s="35">
        <v>-23</v>
      </c>
      <c r="E42" s="35">
        <v>-20.6</v>
      </c>
      <c r="F42" s="35">
        <v>-19.399999999999999</v>
      </c>
      <c r="G42" s="35">
        <v>-23</v>
      </c>
      <c r="H42" s="35">
        <v>-16.899999999999999</v>
      </c>
      <c r="I42" s="35">
        <v>-18.2</v>
      </c>
      <c r="J42" s="35">
        <v>-23</v>
      </c>
      <c r="K42" s="35">
        <v>-21.7</v>
      </c>
      <c r="L42" s="35">
        <v>-0.3</v>
      </c>
      <c r="M42" s="35">
        <v>-23</v>
      </c>
      <c r="N42" s="35">
        <v>-0.7</v>
      </c>
      <c r="O42" s="35">
        <v>-2</v>
      </c>
      <c r="P42" s="35">
        <v>-5</v>
      </c>
      <c r="Q42" s="35">
        <v>-0.2</v>
      </c>
      <c r="R42" s="35">
        <v>-1.3</v>
      </c>
      <c r="S42" s="35">
        <v>-5</v>
      </c>
      <c r="T42" s="35">
        <v>15.1</v>
      </c>
      <c r="U42" s="35">
        <v>40</v>
      </c>
      <c r="V42" s="35">
        <v>14.7</v>
      </c>
      <c r="W42" s="35">
        <v>40</v>
      </c>
      <c r="X42" s="35">
        <v>14.5</v>
      </c>
      <c r="Y42" s="35">
        <v>41.6</v>
      </c>
      <c r="Z42" s="35">
        <v>15.2</v>
      </c>
      <c r="AA42" s="35">
        <v>40.200000000000003</v>
      </c>
      <c r="AB42" s="35">
        <v>20.5</v>
      </c>
      <c r="AC42" s="35">
        <v>20</v>
      </c>
      <c r="AD42" s="35">
        <v>20.5</v>
      </c>
      <c r="AE42" s="35">
        <v>20</v>
      </c>
    </row>
    <row r="43" spans="1:31" x14ac:dyDescent="0.35">
      <c r="A43" s="36">
        <v>46059.474999999999</v>
      </c>
      <c r="B43" s="35">
        <v>-19.2</v>
      </c>
      <c r="C43" s="35">
        <v>-20.5</v>
      </c>
      <c r="D43" s="35">
        <v>-23</v>
      </c>
      <c r="E43" s="35">
        <v>-19.399999999999999</v>
      </c>
      <c r="F43" s="35">
        <v>-19.3</v>
      </c>
      <c r="G43" s="35">
        <v>-23</v>
      </c>
      <c r="H43" s="35">
        <v>-18</v>
      </c>
      <c r="I43" s="35">
        <v>-18.8</v>
      </c>
      <c r="J43" s="35">
        <v>-23</v>
      </c>
      <c r="K43" s="35">
        <v>-21.7</v>
      </c>
      <c r="L43" s="35">
        <v>-0.4</v>
      </c>
      <c r="M43" s="35">
        <v>-23</v>
      </c>
      <c r="N43" s="35">
        <v>5.6</v>
      </c>
      <c r="O43" s="35">
        <v>1.4</v>
      </c>
      <c r="P43" s="35">
        <v>-5</v>
      </c>
      <c r="Q43" s="35">
        <v>-0.4</v>
      </c>
      <c r="R43" s="35">
        <v>-1.4</v>
      </c>
      <c r="S43" s="35">
        <v>-5</v>
      </c>
      <c r="T43" s="35">
        <v>15.1</v>
      </c>
      <c r="U43" s="35">
        <v>40</v>
      </c>
      <c r="V43" s="35">
        <v>14.7</v>
      </c>
      <c r="W43" s="35">
        <v>40</v>
      </c>
      <c r="X43" s="35">
        <v>14.5</v>
      </c>
      <c r="Y43" s="35">
        <v>41.6</v>
      </c>
      <c r="Z43" s="35">
        <v>15.3</v>
      </c>
      <c r="AA43" s="35">
        <v>40.200000000000003</v>
      </c>
      <c r="AB43" s="35">
        <v>20.5</v>
      </c>
      <c r="AC43" s="35">
        <v>20</v>
      </c>
      <c r="AD43" s="35">
        <v>20.5</v>
      </c>
      <c r="AE43" s="35">
        <v>20</v>
      </c>
    </row>
    <row r="44" spans="1:31" x14ac:dyDescent="0.35">
      <c r="A44" s="36">
        <v>46059.475694444445</v>
      </c>
      <c r="B44" s="35">
        <v>-17.100000000000001</v>
      </c>
      <c r="C44" s="35">
        <v>-18</v>
      </c>
      <c r="D44" s="35">
        <v>-23</v>
      </c>
      <c r="E44" s="35">
        <v>-17.2</v>
      </c>
      <c r="F44" s="35">
        <v>-18.600000000000001</v>
      </c>
      <c r="G44" s="35">
        <v>-23</v>
      </c>
      <c r="H44" s="35">
        <v>-18.399999999999999</v>
      </c>
      <c r="I44" s="35">
        <v>-19.100000000000001</v>
      </c>
      <c r="J44" s="35">
        <v>-23</v>
      </c>
      <c r="K44" s="35">
        <v>-21.7</v>
      </c>
      <c r="L44" s="35">
        <v>-0.4</v>
      </c>
      <c r="M44" s="35">
        <v>-23</v>
      </c>
      <c r="N44" s="35">
        <v>8.1999999999999993</v>
      </c>
      <c r="O44" s="35">
        <v>3.3</v>
      </c>
      <c r="P44" s="35">
        <v>-5</v>
      </c>
      <c r="Q44" s="35">
        <v>-0.5</v>
      </c>
      <c r="R44" s="35">
        <v>-1.5</v>
      </c>
      <c r="S44" s="35">
        <v>-5</v>
      </c>
      <c r="T44" s="35">
        <v>15.1</v>
      </c>
      <c r="U44" s="35">
        <v>40</v>
      </c>
      <c r="V44" s="35">
        <v>14.6</v>
      </c>
      <c r="W44" s="35">
        <v>40</v>
      </c>
      <c r="X44" s="35">
        <v>14.5</v>
      </c>
      <c r="Y44" s="35">
        <v>41.6</v>
      </c>
      <c r="Z44" s="35">
        <v>15.3</v>
      </c>
      <c r="AA44" s="35">
        <v>40.200000000000003</v>
      </c>
      <c r="AB44" s="35">
        <v>20.5</v>
      </c>
      <c r="AC44" s="35">
        <v>20</v>
      </c>
      <c r="AD44" s="35">
        <v>20.5</v>
      </c>
      <c r="AE44" s="35">
        <v>20</v>
      </c>
    </row>
    <row r="45" spans="1:31" x14ac:dyDescent="0.35">
      <c r="A45" s="36">
        <v>46059.476388888892</v>
      </c>
      <c r="B45" s="35">
        <v>-13.8</v>
      </c>
      <c r="C45" s="35">
        <v>-16.2</v>
      </c>
      <c r="D45" s="35">
        <v>-23</v>
      </c>
      <c r="E45" s="35">
        <v>-14.7</v>
      </c>
      <c r="F45" s="35">
        <v>-17.8</v>
      </c>
      <c r="G45" s="35">
        <v>-23</v>
      </c>
      <c r="H45" s="35">
        <v>-18.8</v>
      </c>
      <c r="I45" s="35">
        <v>-19.3</v>
      </c>
      <c r="J45" s="35">
        <v>-23</v>
      </c>
      <c r="K45" s="35">
        <v>-21.7</v>
      </c>
      <c r="L45" s="35">
        <v>1.3</v>
      </c>
      <c r="M45" s="35">
        <v>-23</v>
      </c>
      <c r="N45" s="35">
        <v>9</v>
      </c>
      <c r="O45" s="35">
        <v>4.5999999999999996</v>
      </c>
      <c r="P45" s="35">
        <v>-5</v>
      </c>
      <c r="Q45" s="35">
        <v>-0.6</v>
      </c>
      <c r="R45" s="35">
        <v>-1.7</v>
      </c>
      <c r="S45" s="35">
        <v>-5</v>
      </c>
      <c r="T45" s="35">
        <v>15</v>
      </c>
      <c r="U45" s="35">
        <v>40</v>
      </c>
      <c r="V45" s="35">
        <v>14.6</v>
      </c>
      <c r="W45" s="35">
        <v>40</v>
      </c>
      <c r="X45" s="35">
        <v>14.5</v>
      </c>
      <c r="Y45" s="35">
        <v>41.6</v>
      </c>
      <c r="Z45" s="35">
        <v>15.3</v>
      </c>
      <c r="AA45" s="35">
        <v>40.200000000000003</v>
      </c>
      <c r="AB45" s="35">
        <v>20.5</v>
      </c>
      <c r="AC45" s="35">
        <v>20</v>
      </c>
      <c r="AD45" s="35">
        <v>20.5</v>
      </c>
      <c r="AE45" s="35">
        <v>20</v>
      </c>
    </row>
    <row r="46" spans="1:31" x14ac:dyDescent="0.35">
      <c r="A46" s="36">
        <v>46059.477083333331</v>
      </c>
      <c r="B46" s="35">
        <v>-11.7</v>
      </c>
      <c r="C46" s="35">
        <v>-13.8</v>
      </c>
      <c r="D46" s="35">
        <v>-23</v>
      </c>
      <c r="E46" s="35">
        <v>-12.5</v>
      </c>
      <c r="F46" s="35">
        <v>-17</v>
      </c>
      <c r="G46" s="35">
        <v>-23</v>
      </c>
      <c r="H46" s="35">
        <v>-18.899999999999999</v>
      </c>
      <c r="I46" s="35">
        <v>-19.399999999999999</v>
      </c>
      <c r="J46" s="35">
        <v>-23</v>
      </c>
      <c r="K46" s="35">
        <v>-2</v>
      </c>
      <c r="L46" s="35">
        <v>5.2</v>
      </c>
      <c r="M46" s="35">
        <v>-23</v>
      </c>
      <c r="N46" s="35">
        <v>9.5</v>
      </c>
      <c r="O46" s="35">
        <v>5.8</v>
      </c>
      <c r="P46" s="35">
        <v>-5</v>
      </c>
      <c r="Q46" s="35">
        <v>-0.8</v>
      </c>
      <c r="R46" s="35">
        <v>-1.8</v>
      </c>
      <c r="S46" s="35">
        <v>-5</v>
      </c>
      <c r="T46" s="35">
        <v>15</v>
      </c>
      <c r="U46" s="35">
        <v>40</v>
      </c>
      <c r="V46" s="35">
        <v>14.5</v>
      </c>
      <c r="W46" s="35">
        <v>40</v>
      </c>
      <c r="X46" s="35">
        <v>14.5</v>
      </c>
      <c r="Y46" s="35">
        <v>41.6</v>
      </c>
      <c r="Z46" s="35">
        <v>15.3</v>
      </c>
      <c r="AA46" s="35">
        <v>40.200000000000003</v>
      </c>
      <c r="AB46" s="35">
        <v>20.5</v>
      </c>
      <c r="AC46" s="35">
        <v>20</v>
      </c>
      <c r="AD46" s="35">
        <v>20.5</v>
      </c>
      <c r="AE46" s="35">
        <v>20</v>
      </c>
    </row>
    <row r="47" spans="1:31" x14ac:dyDescent="0.35">
      <c r="A47" s="36">
        <v>46059.477777777778</v>
      </c>
      <c r="B47" s="35">
        <v>-10.9</v>
      </c>
      <c r="C47" s="35">
        <v>-12.8</v>
      </c>
      <c r="D47" s="35">
        <v>-23</v>
      </c>
      <c r="E47" s="35">
        <v>-11.6</v>
      </c>
      <c r="F47" s="35">
        <v>-15.8</v>
      </c>
      <c r="G47" s="35">
        <v>-23</v>
      </c>
      <c r="H47" s="35">
        <v>-18.899999999999999</v>
      </c>
      <c r="I47" s="35">
        <v>-19.399999999999999</v>
      </c>
      <c r="J47" s="35">
        <v>-23</v>
      </c>
      <c r="K47" s="35">
        <v>-1</v>
      </c>
      <c r="L47" s="35">
        <v>6.5</v>
      </c>
      <c r="M47" s="35">
        <v>-23</v>
      </c>
      <c r="N47" s="35">
        <v>9.6</v>
      </c>
      <c r="O47" s="35">
        <v>6.6</v>
      </c>
      <c r="P47" s="35">
        <v>-5</v>
      </c>
      <c r="Q47" s="35">
        <v>-0.9</v>
      </c>
      <c r="R47" s="35">
        <v>-1.9</v>
      </c>
      <c r="S47" s="35">
        <v>-5</v>
      </c>
      <c r="T47" s="35">
        <v>15</v>
      </c>
      <c r="U47" s="35">
        <v>40</v>
      </c>
      <c r="V47" s="35">
        <v>14.5</v>
      </c>
      <c r="W47" s="35">
        <v>40</v>
      </c>
      <c r="X47" s="35">
        <v>14.5</v>
      </c>
      <c r="Y47" s="35">
        <v>41.6</v>
      </c>
      <c r="Z47" s="35">
        <v>15.3</v>
      </c>
      <c r="AA47" s="35">
        <v>40.200000000000003</v>
      </c>
      <c r="AB47" s="35">
        <v>20.5</v>
      </c>
      <c r="AC47" s="35">
        <v>20</v>
      </c>
      <c r="AD47" s="35">
        <v>20.5</v>
      </c>
      <c r="AE47" s="35">
        <v>20</v>
      </c>
    </row>
    <row r="48" spans="1:31" x14ac:dyDescent="0.35">
      <c r="A48" s="36">
        <v>46059.478472222225</v>
      </c>
      <c r="B48" s="35">
        <v>-10</v>
      </c>
      <c r="C48" s="35">
        <v>-14</v>
      </c>
      <c r="D48" s="35">
        <v>-23</v>
      </c>
      <c r="E48" s="35">
        <v>-10.8</v>
      </c>
      <c r="F48" s="35">
        <v>-14.9</v>
      </c>
      <c r="G48" s="35">
        <v>-23</v>
      </c>
      <c r="H48" s="35">
        <v>-18.899999999999999</v>
      </c>
      <c r="I48" s="35">
        <v>-19.3</v>
      </c>
      <c r="J48" s="35">
        <v>-23</v>
      </c>
      <c r="K48" s="35">
        <v>-1.9</v>
      </c>
      <c r="L48" s="35">
        <v>6.7</v>
      </c>
      <c r="M48" s="35">
        <v>-23</v>
      </c>
      <c r="N48" s="35">
        <v>9.9</v>
      </c>
      <c r="O48" s="35">
        <v>6.6</v>
      </c>
      <c r="P48" s="35">
        <v>-5</v>
      </c>
      <c r="Q48" s="35">
        <v>2</v>
      </c>
      <c r="R48" s="35">
        <v>3.5</v>
      </c>
      <c r="S48" s="35">
        <v>-5</v>
      </c>
      <c r="T48" s="35">
        <v>14.9</v>
      </c>
      <c r="U48" s="35">
        <v>40</v>
      </c>
      <c r="V48" s="35">
        <v>14.4</v>
      </c>
      <c r="W48" s="35">
        <v>40</v>
      </c>
      <c r="X48" s="35">
        <v>14.5</v>
      </c>
      <c r="Y48" s="35">
        <v>41.6</v>
      </c>
      <c r="Z48" s="35">
        <v>15.4</v>
      </c>
      <c r="AA48" s="35">
        <v>40.200000000000003</v>
      </c>
      <c r="AB48" s="35">
        <v>20.5</v>
      </c>
      <c r="AC48" s="35">
        <v>20</v>
      </c>
      <c r="AD48" s="35">
        <v>20.5</v>
      </c>
      <c r="AE48" s="35">
        <v>20</v>
      </c>
    </row>
    <row r="49" spans="1:31" x14ac:dyDescent="0.35">
      <c r="A49" s="36">
        <v>46059.479166666664</v>
      </c>
      <c r="B49" s="35">
        <v>-9.6999999999999993</v>
      </c>
      <c r="C49" s="35">
        <v>-14</v>
      </c>
      <c r="D49" s="35">
        <v>-23</v>
      </c>
      <c r="E49" s="35">
        <v>-10.3</v>
      </c>
      <c r="F49" s="35">
        <v>-14.1</v>
      </c>
      <c r="G49" s="35">
        <v>-23</v>
      </c>
      <c r="H49" s="35">
        <v>-18.899999999999999</v>
      </c>
      <c r="I49" s="35">
        <v>-19.2</v>
      </c>
      <c r="J49" s="35">
        <v>-23</v>
      </c>
      <c r="K49" s="35">
        <v>-7.5</v>
      </c>
      <c r="L49" s="35">
        <v>8</v>
      </c>
      <c r="M49" s="35">
        <v>-23</v>
      </c>
      <c r="N49" s="35">
        <v>9.8000000000000007</v>
      </c>
      <c r="O49" s="35">
        <v>7.5</v>
      </c>
      <c r="P49" s="35">
        <v>-5</v>
      </c>
      <c r="Q49" s="35">
        <v>1.5</v>
      </c>
      <c r="R49" s="35">
        <v>1</v>
      </c>
      <c r="S49" s="35">
        <v>-5</v>
      </c>
      <c r="T49" s="35">
        <v>14.8</v>
      </c>
      <c r="U49" s="35">
        <v>40</v>
      </c>
      <c r="V49" s="35">
        <v>14.4</v>
      </c>
      <c r="W49" s="35">
        <v>40</v>
      </c>
      <c r="X49" s="35">
        <v>14.5</v>
      </c>
      <c r="Y49" s="35">
        <v>41.6</v>
      </c>
      <c r="Z49" s="35">
        <v>15.4</v>
      </c>
      <c r="AA49" s="35">
        <v>40.200000000000003</v>
      </c>
      <c r="AB49" s="35">
        <v>20.5</v>
      </c>
      <c r="AC49" s="35">
        <v>20</v>
      </c>
      <c r="AD49" s="35">
        <v>20.5</v>
      </c>
      <c r="AE49" s="35">
        <v>20</v>
      </c>
    </row>
    <row r="50" spans="1:31" x14ac:dyDescent="0.35">
      <c r="A50" s="36">
        <v>46059.479861111111</v>
      </c>
      <c r="B50" s="35">
        <v>-9.9</v>
      </c>
      <c r="C50" s="35">
        <v>-12.6</v>
      </c>
      <c r="D50" s="35">
        <v>-23</v>
      </c>
      <c r="E50" s="35">
        <v>-10.7</v>
      </c>
      <c r="F50" s="35">
        <v>-13.6</v>
      </c>
      <c r="G50" s="35">
        <v>-23</v>
      </c>
      <c r="H50" s="35">
        <v>-18.899999999999999</v>
      </c>
      <c r="I50" s="35">
        <v>-19.2</v>
      </c>
      <c r="J50" s="35">
        <v>-23</v>
      </c>
      <c r="K50" s="35">
        <v>-10.5</v>
      </c>
      <c r="L50" s="35">
        <v>9.1999999999999993</v>
      </c>
      <c r="M50" s="35">
        <v>-23</v>
      </c>
      <c r="N50" s="35">
        <v>7.1</v>
      </c>
      <c r="O50" s="35">
        <v>6.4</v>
      </c>
      <c r="P50" s="35">
        <v>-5</v>
      </c>
      <c r="Q50" s="35">
        <v>1.4</v>
      </c>
      <c r="R50" s="35">
        <v>0.4</v>
      </c>
      <c r="S50" s="35">
        <v>-5</v>
      </c>
      <c r="T50" s="35">
        <v>14.7</v>
      </c>
      <c r="U50" s="35">
        <v>40</v>
      </c>
      <c r="V50" s="35">
        <v>14.3</v>
      </c>
      <c r="W50" s="35">
        <v>40</v>
      </c>
      <c r="X50" s="35">
        <v>14.4</v>
      </c>
      <c r="Y50" s="35">
        <v>41.6</v>
      </c>
      <c r="Z50" s="35">
        <v>15.4</v>
      </c>
      <c r="AA50" s="35">
        <v>40.200000000000003</v>
      </c>
      <c r="AB50" s="35">
        <v>20.5</v>
      </c>
      <c r="AC50" s="35">
        <v>20</v>
      </c>
      <c r="AD50" s="35">
        <v>20.5</v>
      </c>
      <c r="AE50" s="35">
        <v>20</v>
      </c>
    </row>
    <row r="51" spans="1:31" x14ac:dyDescent="0.35">
      <c r="A51" s="36">
        <v>46059.480555555558</v>
      </c>
      <c r="B51" s="35">
        <v>-11.1</v>
      </c>
      <c r="C51" s="35">
        <v>-13.1</v>
      </c>
      <c r="D51" s="35">
        <v>-23</v>
      </c>
      <c r="E51" s="35">
        <v>-11.8</v>
      </c>
      <c r="F51" s="35">
        <v>-13.4</v>
      </c>
      <c r="G51" s="35">
        <v>-23</v>
      </c>
      <c r="H51" s="35">
        <v>-18.899999999999999</v>
      </c>
      <c r="I51" s="35">
        <v>-19.2</v>
      </c>
      <c r="J51" s="35">
        <v>-23</v>
      </c>
      <c r="K51" s="35">
        <v>-11.2</v>
      </c>
      <c r="L51" s="35">
        <v>9.4</v>
      </c>
      <c r="M51" s="35">
        <v>-23</v>
      </c>
      <c r="N51" s="35">
        <v>5.3</v>
      </c>
      <c r="O51" s="35">
        <v>5.3</v>
      </c>
      <c r="P51" s="35">
        <v>-5</v>
      </c>
      <c r="Q51" s="35">
        <v>1.3</v>
      </c>
      <c r="R51" s="35">
        <v>0.1</v>
      </c>
      <c r="S51" s="35">
        <v>-5</v>
      </c>
      <c r="T51" s="35">
        <v>14.7</v>
      </c>
      <c r="U51" s="35">
        <v>40</v>
      </c>
      <c r="V51" s="35">
        <v>14.3</v>
      </c>
      <c r="W51" s="35">
        <v>40</v>
      </c>
      <c r="X51" s="35">
        <v>14.3</v>
      </c>
      <c r="Y51" s="35">
        <v>41.6</v>
      </c>
      <c r="Z51" s="35">
        <v>15.3</v>
      </c>
      <c r="AA51" s="35">
        <v>40.200000000000003</v>
      </c>
      <c r="AB51" s="35">
        <v>20.5</v>
      </c>
      <c r="AC51" s="35">
        <v>20</v>
      </c>
      <c r="AD51" s="35">
        <v>20.5</v>
      </c>
      <c r="AE51" s="35">
        <v>20</v>
      </c>
    </row>
    <row r="52" spans="1:31" x14ac:dyDescent="0.35">
      <c r="A52" s="36">
        <v>46059.481249999997</v>
      </c>
      <c r="B52" s="35">
        <v>-12.1</v>
      </c>
      <c r="C52" s="35">
        <v>-15.1</v>
      </c>
      <c r="D52" s="35">
        <v>-23</v>
      </c>
      <c r="E52" s="35">
        <v>-12.8</v>
      </c>
      <c r="F52" s="35">
        <v>-13.4</v>
      </c>
      <c r="G52" s="35">
        <v>-23</v>
      </c>
      <c r="H52" s="35">
        <v>-18.899999999999999</v>
      </c>
      <c r="I52" s="35">
        <v>-19.2</v>
      </c>
      <c r="J52" s="35">
        <v>-23</v>
      </c>
      <c r="K52" s="35">
        <v>-12.1</v>
      </c>
      <c r="L52" s="35">
        <v>9</v>
      </c>
      <c r="M52" s="35">
        <v>-23</v>
      </c>
      <c r="N52" s="35">
        <v>4.4000000000000004</v>
      </c>
      <c r="O52" s="35">
        <v>4.5</v>
      </c>
      <c r="P52" s="35">
        <v>-5</v>
      </c>
      <c r="Q52" s="35">
        <v>1.1000000000000001</v>
      </c>
      <c r="R52" s="35">
        <v>0</v>
      </c>
      <c r="S52" s="35">
        <v>-5</v>
      </c>
      <c r="T52" s="35">
        <v>14.7</v>
      </c>
      <c r="U52" s="35">
        <v>40</v>
      </c>
      <c r="V52" s="35">
        <v>14.3</v>
      </c>
      <c r="W52" s="35">
        <v>40</v>
      </c>
      <c r="X52" s="35">
        <v>14.1</v>
      </c>
      <c r="Y52" s="35">
        <v>41.6</v>
      </c>
      <c r="Z52" s="35">
        <v>15.2</v>
      </c>
      <c r="AA52" s="35">
        <v>40.200000000000003</v>
      </c>
      <c r="AB52" s="35">
        <v>20.5</v>
      </c>
      <c r="AC52" s="35">
        <v>20</v>
      </c>
      <c r="AD52" s="35">
        <v>20.5</v>
      </c>
      <c r="AE52" s="35">
        <v>20</v>
      </c>
    </row>
    <row r="53" spans="1:31" x14ac:dyDescent="0.35">
      <c r="A53" s="36">
        <v>46059.481944444444</v>
      </c>
      <c r="B53" s="35">
        <v>-13.2</v>
      </c>
      <c r="C53" s="35">
        <v>-16.3</v>
      </c>
      <c r="D53" s="35">
        <v>-23</v>
      </c>
      <c r="E53" s="35">
        <v>-13.8</v>
      </c>
      <c r="F53" s="35">
        <v>-13.4</v>
      </c>
      <c r="G53" s="35">
        <v>-23</v>
      </c>
      <c r="H53" s="35">
        <v>-18.899999999999999</v>
      </c>
      <c r="I53" s="35">
        <v>-19.2</v>
      </c>
      <c r="J53" s="35">
        <v>-23</v>
      </c>
      <c r="K53" s="35">
        <v>-13.4</v>
      </c>
      <c r="L53" s="35">
        <v>8.1</v>
      </c>
      <c r="M53" s="35">
        <v>-23</v>
      </c>
      <c r="N53" s="35">
        <v>3.7</v>
      </c>
      <c r="O53" s="35">
        <v>3.7</v>
      </c>
      <c r="P53" s="35">
        <v>-5</v>
      </c>
      <c r="Q53" s="35">
        <v>1</v>
      </c>
      <c r="R53" s="35">
        <v>-0.1</v>
      </c>
      <c r="S53" s="35">
        <v>-5</v>
      </c>
      <c r="T53" s="35">
        <v>14.7</v>
      </c>
      <c r="U53" s="35">
        <v>40</v>
      </c>
      <c r="V53" s="35">
        <v>14.2</v>
      </c>
      <c r="W53" s="35">
        <v>40</v>
      </c>
      <c r="X53" s="35">
        <v>14.1</v>
      </c>
      <c r="Y53" s="35">
        <v>41.6</v>
      </c>
      <c r="Z53" s="35">
        <v>15</v>
      </c>
      <c r="AA53" s="35">
        <v>40.200000000000003</v>
      </c>
      <c r="AB53" s="35">
        <v>20.5</v>
      </c>
      <c r="AC53" s="35">
        <v>20</v>
      </c>
      <c r="AD53" s="35">
        <v>20.5</v>
      </c>
      <c r="AE53" s="35">
        <v>20</v>
      </c>
    </row>
    <row r="54" spans="1:31" x14ac:dyDescent="0.35">
      <c r="A54" s="36">
        <v>46059.482638888891</v>
      </c>
      <c r="B54" s="35">
        <v>-13.9</v>
      </c>
      <c r="C54" s="35">
        <v>-16.100000000000001</v>
      </c>
      <c r="D54" s="35">
        <v>-23</v>
      </c>
      <c r="E54" s="35">
        <v>-14.3</v>
      </c>
      <c r="F54" s="35">
        <v>-13.5</v>
      </c>
      <c r="G54" s="35">
        <v>-23</v>
      </c>
      <c r="H54" s="35">
        <v>-18.899999999999999</v>
      </c>
      <c r="I54" s="35">
        <v>-19.600000000000001</v>
      </c>
      <c r="J54" s="35">
        <v>-23</v>
      </c>
      <c r="K54" s="35">
        <v>-15.5</v>
      </c>
      <c r="L54" s="35">
        <v>7.7</v>
      </c>
      <c r="M54" s="35">
        <v>-23</v>
      </c>
      <c r="N54" s="35">
        <v>3.2</v>
      </c>
      <c r="O54" s="35">
        <v>3.2</v>
      </c>
      <c r="P54" s="35">
        <v>-5</v>
      </c>
      <c r="Q54" s="35">
        <v>1</v>
      </c>
      <c r="R54" s="35">
        <v>-0.2</v>
      </c>
      <c r="S54" s="35">
        <v>-5</v>
      </c>
      <c r="T54" s="35">
        <v>14.7</v>
      </c>
      <c r="U54" s="35">
        <v>40</v>
      </c>
      <c r="V54" s="35">
        <v>14.2</v>
      </c>
      <c r="W54" s="35">
        <v>40</v>
      </c>
      <c r="X54" s="35">
        <v>14.1</v>
      </c>
      <c r="Y54" s="35">
        <v>41.6</v>
      </c>
      <c r="Z54" s="35">
        <v>14.9</v>
      </c>
      <c r="AA54" s="35">
        <v>40.200000000000003</v>
      </c>
      <c r="AB54" s="35">
        <v>20.5</v>
      </c>
      <c r="AC54" s="35">
        <v>20</v>
      </c>
      <c r="AD54" s="35">
        <v>20.5</v>
      </c>
      <c r="AE54" s="35">
        <v>20</v>
      </c>
    </row>
    <row r="55" spans="1:31" x14ac:dyDescent="0.35">
      <c r="A55" s="36">
        <v>46059.48333333333</v>
      </c>
      <c r="B55" s="35">
        <v>-14.2</v>
      </c>
      <c r="C55" s="35">
        <v>-15.6</v>
      </c>
      <c r="D55" s="35">
        <v>-23</v>
      </c>
      <c r="E55" s="35">
        <v>-14.5</v>
      </c>
      <c r="F55" s="35">
        <v>-13.6</v>
      </c>
      <c r="G55" s="35">
        <v>-23</v>
      </c>
      <c r="H55" s="35">
        <v>-19.100000000000001</v>
      </c>
      <c r="I55" s="35">
        <v>-19.899999999999999</v>
      </c>
      <c r="J55" s="35">
        <v>-23</v>
      </c>
      <c r="K55" s="35">
        <v>-15.5</v>
      </c>
      <c r="L55" s="35">
        <v>6</v>
      </c>
      <c r="M55" s="35">
        <v>-23</v>
      </c>
      <c r="N55" s="35">
        <v>2.8</v>
      </c>
      <c r="O55" s="35">
        <v>2.7</v>
      </c>
      <c r="P55" s="35">
        <v>-5</v>
      </c>
      <c r="Q55" s="35">
        <v>0.9</v>
      </c>
      <c r="R55" s="35">
        <v>-0.4</v>
      </c>
      <c r="S55" s="35">
        <v>-5</v>
      </c>
      <c r="T55" s="35">
        <v>14.7</v>
      </c>
      <c r="U55" s="35">
        <v>40</v>
      </c>
      <c r="V55" s="35">
        <v>14.2</v>
      </c>
      <c r="W55" s="35">
        <v>40</v>
      </c>
      <c r="X55" s="35">
        <v>14.1</v>
      </c>
      <c r="Y55" s="35">
        <v>41.6</v>
      </c>
      <c r="Z55" s="35">
        <v>14.8</v>
      </c>
      <c r="AA55" s="35">
        <v>40.200000000000003</v>
      </c>
      <c r="AB55" s="35">
        <v>20.5</v>
      </c>
      <c r="AC55" s="35">
        <v>20</v>
      </c>
      <c r="AD55" s="35">
        <v>20.5</v>
      </c>
      <c r="AE55" s="35">
        <v>20</v>
      </c>
    </row>
    <row r="56" spans="1:31" x14ac:dyDescent="0.35">
      <c r="A56" s="36">
        <v>46059.484027777777</v>
      </c>
      <c r="B56" s="35">
        <v>-14.5</v>
      </c>
      <c r="C56" s="35">
        <v>-15.4</v>
      </c>
      <c r="D56" s="35">
        <v>-23</v>
      </c>
      <c r="E56" s="35">
        <v>-14.6</v>
      </c>
      <c r="F56" s="35">
        <v>-13.7</v>
      </c>
      <c r="G56" s="35">
        <v>-23</v>
      </c>
      <c r="H56" s="35">
        <v>-19.3</v>
      </c>
      <c r="I56" s="35">
        <v>-20.100000000000001</v>
      </c>
      <c r="J56" s="35">
        <v>-23</v>
      </c>
      <c r="K56" s="35">
        <v>-16.600000000000001</v>
      </c>
      <c r="L56" s="35">
        <v>4.5999999999999996</v>
      </c>
      <c r="M56" s="35">
        <v>-23</v>
      </c>
      <c r="N56" s="35">
        <v>2.4</v>
      </c>
      <c r="O56" s="35">
        <v>2.2999999999999998</v>
      </c>
      <c r="P56" s="35">
        <v>-5</v>
      </c>
      <c r="Q56" s="35">
        <v>0.8</v>
      </c>
      <c r="R56" s="35">
        <v>-0.4</v>
      </c>
      <c r="S56" s="35">
        <v>-5</v>
      </c>
      <c r="T56" s="35">
        <v>14.7</v>
      </c>
      <c r="U56" s="35">
        <v>40</v>
      </c>
      <c r="V56" s="35">
        <v>14.2</v>
      </c>
      <c r="W56" s="35">
        <v>40</v>
      </c>
      <c r="X56" s="35">
        <v>14.1</v>
      </c>
      <c r="Y56" s="35">
        <v>41.6</v>
      </c>
      <c r="Z56" s="35">
        <v>14.7</v>
      </c>
      <c r="AA56" s="35">
        <v>40.200000000000003</v>
      </c>
      <c r="AB56" s="35">
        <v>20.5</v>
      </c>
      <c r="AC56" s="35">
        <v>20</v>
      </c>
      <c r="AD56" s="35">
        <v>20.5</v>
      </c>
      <c r="AE56" s="35">
        <v>20</v>
      </c>
    </row>
    <row r="57" spans="1:31" x14ac:dyDescent="0.35">
      <c r="A57" s="36">
        <v>46059.484722222223</v>
      </c>
      <c r="B57" s="35">
        <v>-14.7</v>
      </c>
      <c r="C57" s="35">
        <v>-15.4</v>
      </c>
      <c r="D57" s="35">
        <v>-23</v>
      </c>
      <c r="E57" s="35">
        <v>-15</v>
      </c>
      <c r="F57" s="35">
        <v>-13.8</v>
      </c>
      <c r="G57" s="35">
        <v>-23</v>
      </c>
      <c r="H57" s="35">
        <v>-18.8</v>
      </c>
      <c r="I57" s="35">
        <v>-19.7</v>
      </c>
      <c r="J57" s="35">
        <v>-23</v>
      </c>
      <c r="K57" s="35">
        <v>-17.3</v>
      </c>
      <c r="L57" s="35">
        <v>3.8</v>
      </c>
      <c r="M57" s="35">
        <v>-23</v>
      </c>
      <c r="N57" s="35">
        <v>2.1</v>
      </c>
      <c r="O57" s="35">
        <v>1.9</v>
      </c>
      <c r="P57" s="35">
        <v>-5</v>
      </c>
      <c r="Q57" s="35">
        <v>0.5</v>
      </c>
      <c r="R57" s="35">
        <v>-0.4</v>
      </c>
      <c r="S57" s="35">
        <v>-5</v>
      </c>
      <c r="T57" s="35">
        <v>14.7</v>
      </c>
      <c r="U57" s="35">
        <v>40</v>
      </c>
      <c r="V57" s="35">
        <v>14.2</v>
      </c>
      <c r="W57" s="35">
        <v>40</v>
      </c>
      <c r="X57" s="35">
        <v>14.1</v>
      </c>
      <c r="Y57" s="35">
        <v>41.6</v>
      </c>
      <c r="Z57" s="35">
        <v>14.6</v>
      </c>
      <c r="AA57" s="35">
        <v>40.200000000000003</v>
      </c>
      <c r="AB57" s="35">
        <v>20.5</v>
      </c>
      <c r="AC57" s="35">
        <v>20</v>
      </c>
      <c r="AD57" s="35">
        <v>20.5</v>
      </c>
      <c r="AE57" s="35">
        <v>20</v>
      </c>
    </row>
    <row r="58" spans="1:31" x14ac:dyDescent="0.35">
      <c r="A58" s="36">
        <v>46059.48541666667</v>
      </c>
      <c r="B58" s="35">
        <v>-15</v>
      </c>
      <c r="C58" s="35">
        <v>-16.899999999999999</v>
      </c>
      <c r="D58" s="35">
        <v>-23</v>
      </c>
      <c r="E58" s="35">
        <v>-15.6</v>
      </c>
      <c r="F58" s="35">
        <v>-14</v>
      </c>
      <c r="G58" s="35">
        <v>-23</v>
      </c>
      <c r="H58" s="35">
        <v>-18.899999999999999</v>
      </c>
      <c r="I58" s="35">
        <v>-19.5</v>
      </c>
      <c r="J58" s="35">
        <v>-23</v>
      </c>
      <c r="K58" s="35">
        <v>-17.5</v>
      </c>
      <c r="L58" s="35">
        <v>2.4</v>
      </c>
      <c r="M58" s="35">
        <v>-23</v>
      </c>
      <c r="N58" s="35">
        <v>1.8</v>
      </c>
      <c r="O58" s="35">
        <v>1.6</v>
      </c>
      <c r="P58" s="35">
        <v>-5</v>
      </c>
      <c r="Q58" s="35">
        <v>0.4</v>
      </c>
      <c r="R58" s="35">
        <v>-0.5</v>
      </c>
      <c r="S58" s="35">
        <v>-5</v>
      </c>
      <c r="T58" s="35">
        <v>14.6</v>
      </c>
      <c r="U58" s="35">
        <v>40</v>
      </c>
      <c r="V58" s="35">
        <v>14.2</v>
      </c>
      <c r="W58" s="35">
        <v>40</v>
      </c>
      <c r="X58" s="35">
        <v>14.1</v>
      </c>
      <c r="Y58" s="35">
        <v>41.6</v>
      </c>
      <c r="Z58" s="35">
        <v>14.6</v>
      </c>
      <c r="AA58" s="35">
        <v>40.200000000000003</v>
      </c>
      <c r="AB58" s="35">
        <v>20.5</v>
      </c>
      <c r="AC58" s="35">
        <v>20</v>
      </c>
      <c r="AD58" s="35">
        <v>20.5</v>
      </c>
      <c r="AE58" s="35">
        <v>20</v>
      </c>
    </row>
    <row r="59" spans="1:31" x14ac:dyDescent="0.35">
      <c r="A59" s="36">
        <v>46059.486111111109</v>
      </c>
      <c r="B59" s="35">
        <v>-15.4</v>
      </c>
      <c r="C59" s="35">
        <v>-19</v>
      </c>
      <c r="D59" s="35">
        <v>-23</v>
      </c>
      <c r="E59" s="35">
        <v>-16.2</v>
      </c>
      <c r="F59" s="35">
        <v>-14.5</v>
      </c>
      <c r="G59" s="35">
        <v>-23</v>
      </c>
      <c r="H59" s="35">
        <v>-19</v>
      </c>
      <c r="I59" s="35">
        <v>-19.5</v>
      </c>
      <c r="J59" s="35">
        <v>-23</v>
      </c>
      <c r="K59" s="35">
        <v>-17.5</v>
      </c>
      <c r="L59" s="35">
        <v>1.5</v>
      </c>
      <c r="M59" s="35">
        <v>-23</v>
      </c>
      <c r="N59" s="35">
        <v>1.5</v>
      </c>
      <c r="O59" s="35">
        <v>1.3</v>
      </c>
      <c r="P59" s="35">
        <v>-5</v>
      </c>
      <c r="Q59" s="35">
        <v>0.3</v>
      </c>
      <c r="R59" s="35">
        <v>-0.6</v>
      </c>
      <c r="S59" s="35">
        <v>-5</v>
      </c>
      <c r="T59" s="35">
        <v>14.6</v>
      </c>
      <c r="U59" s="35">
        <v>40</v>
      </c>
      <c r="V59" s="35">
        <v>14.2</v>
      </c>
      <c r="W59" s="35">
        <v>40</v>
      </c>
      <c r="X59" s="35">
        <v>14.1</v>
      </c>
      <c r="Y59" s="35">
        <v>41.6</v>
      </c>
      <c r="Z59" s="35">
        <v>14.5</v>
      </c>
      <c r="AA59" s="35">
        <v>40.200000000000003</v>
      </c>
      <c r="AB59" s="35">
        <v>20.5</v>
      </c>
      <c r="AC59" s="35">
        <v>20</v>
      </c>
      <c r="AD59" s="35">
        <v>20.5</v>
      </c>
      <c r="AE59" s="35">
        <v>20</v>
      </c>
    </row>
    <row r="60" spans="1:31" x14ac:dyDescent="0.35">
      <c r="A60" s="36">
        <v>46059.486805555556</v>
      </c>
      <c r="B60" s="35">
        <v>-15.8</v>
      </c>
      <c r="C60" s="35">
        <v>-18.5</v>
      </c>
      <c r="D60" s="35">
        <v>-23</v>
      </c>
      <c r="E60" s="35">
        <v>-16.5</v>
      </c>
      <c r="F60" s="35">
        <v>-14.7</v>
      </c>
      <c r="G60" s="35">
        <v>-23</v>
      </c>
      <c r="H60" s="35">
        <v>-19</v>
      </c>
      <c r="I60" s="35">
        <v>-19.5</v>
      </c>
      <c r="J60" s="35">
        <v>-23</v>
      </c>
      <c r="K60" s="35">
        <v>-17.600000000000001</v>
      </c>
      <c r="L60" s="35">
        <v>1.1000000000000001</v>
      </c>
      <c r="M60" s="35">
        <v>-23</v>
      </c>
      <c r="N60" s="35">
        <v>1.3</v>
      </c>
      <c r="O60" s="35">
        <v>1.1000000000000001</v>
      </c>
      <c r="P60" s="35">
        <v>-5</v>
      </c>
      <c r="Q60" s="35">
        <v>0.2</v>
      </c>
      <c r="R60" s="35">
        <v>-0.7</v>
      </c>
      <c r="S60" s="35">
        <v>-5</v>
      </c>
      <c r="T60" s="35">
        <v>14.5</v>
      </c>
      <c r="U60" s="35">
        <v>40</v>
      </c>
      <c r="V60" s="35">
        <v>14.2</v>
      </c>
      <c r="W60" s="35">
        <v>40</v>
      </c>
      <c r="X60" s="35">
        <v>14.1</v>
      </c>
      <c r="Y60" s="35">
        <v>41.6</v>
      </c>
      <c r="Z60" s="35">
        <v>14.5</v>
      </c>
      <c r="AA60" s="35">
        <v>40.200000000000003</v>
      </c>
      <c r="AB60" s="35">
        <v>20.5</v>
      </c>
      <c r="AC60" s="35">
        <v>20</v>
      </c>
      <c r="AD60" s="35">
        <v>20.5</v>
      </c>
      <c r="AE60" s="35">
        <v>20</v>
      </c>
    </row>
    <row r="61" spans="1:31" x14ac:dyDescent="0.35">
      <c r="A61" s="36">
        <v>46059.487500000003</v>
      </c>
      <c r="B61" s="35">
        <v>-16.100000000000001</v>
      </c>
      <c r="C61" s="35">
        <v>-17.8</v>
      </c>
      <c r="D61" s="35">
        <v>-23</v>
      </c>
      <c r="E61" s="35">
        <v>-16.7</v>
      </c>
      <c r="F61" s="35">
        <v>-14.9</v>
      </c>
      <c r="G61" s="35">
        <v>-23</v>
      </c>
      <c r="H61" s="35">
        <v>-19.100000000000001</v>
      </c>
      <c r="I61" s="35">
        <v>-19.600000000000001</v>
      </c>
      <c r="J61" s="35">
        <v>-23</v>
      </c>
      <c r="K61" s="35">
        <v>-17.899999999999999</v>
      </c>
      <c r="L61" s="35">
        <v>0.4</v>
      </c>
      <c r="M61" s="35">
        <v>-23</v>
      </c>
      <c r="N61" s="35">
        <v>1.1000000000000001</v>
      </c>
      <c r="O61" s="35">
        <v>0.8</v>
      </c>
      <c r="P61" s="35">
        <v>-5</v>
      </c>
      <c r="Q61" s="35">
        <v>0.2</v>
      </c>
      <c r="R61" s="35">
        <v>-0.9</v>
      </c>
      <c r="S61" s="35">
        <v>-5</v>
      </c>
      <c r="T61" s="35">
        <v>14.5</v>
      </c>
      <c r="U61" s="35">
        <v>40</v>
      </c>
      <c r="V61" s="35">
        <v>14.2</v>
      </c>
      <c r="W61" s="35">
        <v>40</v>
      </c>
      <c r="X61" s="35">
        <v>14.1</v>
      </c>
      <c r="Y61" s="35">
        <v>41.6</v>
      </c>
      <c r="Z61" s="35">
        <v>14.5</v>
      </c>
      <c r="AA61" s="35">
        <v>40.200000000000003</v>
      </c>
      <c r="AB61" s="35">
        <v>20.5</v>
      </c>
      <c r="AC61" s="35">
        <v>20</v>
      </c>
      <c r="AD61" s="35">
        <v>20.5</v>
      </c>
      <c r="AE61" s="35">
        <v>20</v>
      </c>
    </row>
    <row r="62" spans="1:31" x14ac:dyDescent="0.35">
      <c r="A62" s="36">
        <v>46059.488194444442</v>
      </c>
      <c r="B62" s="35">
        <v>-16.3</v>
      </c>
      <c r="C62" s="35">
        <v>-17.399999999999999</v>
      </c>
      <c r="D62" s="35">
        <v>-23</v>
      </c>
      <c r="E62" s="35">
        <v>-16.7</v>
      </c>
      <c r="F62" s="35">
        <v>-15</v>
      </c>
      <c r="G62" s="35">
        <v>-23</v>
      </c>
      <c r="H62" s="35">
        <v>-19.3</v>
      </c>
      <c r="I62" s="35">
        <v>-20.100000000000001</v>
      </c>
      <c r="J62" s="35">
        <v>-23</v>
      </c>
      <c r="K62" s="35">
        <v>-18.3</v>
      </c>
      <c r="L62" s="35">
        <v>-0.1</v>
      </c>
      <c r="M62" s="35">
        <v>-23</v>
      </c>
      <c r="N62" s="35">
        <v>0.9</v>
      </c>
      <c r="O62" s="35">
        <v>0.6</v>
      </c>
      <c r="P62" s="35">
        <v>-5</v>
      </c>
      <c r="Q62" s="35">
        <v>0.2</v>
      </c>
      <c r="R62" s="35">
        <v>-0.9</v>
      </c>
      <c r="S62" s="35">
        <v>-5</v>
      </c>
      <c r="T62" s="35">
        <v>14.7</v>
      </c>
      <c r="U62" s="35">
        <v>40</v>
      </c>
      <c r="V62" s="35">
        <v>14.3</v>
      </c>
      <c r="W62" s="35">
        <v>40</v>
      </c>
      <c r="X62" s="35">
        <v>14.2</v>
      </c>
      <c r="Y62" s="35">
        <v>41.6</v>
      </c>
      <c r="Z62" s="35">
        <v>14.5</v>
      </c>
      <c r="AA62" s="35">
        <v>40.200000000000003</v>
      </c>
      <c r="AB62" s="35">
        <v>20.5</v>
      </c>
      <c r="AC62" s="35">
        <v>20</v>
      </c>
      <c r="AD62" s="35">
        <v>20.5</v>
      </c>
      <c r="AE62" s="35">
        <v>20</v>
      </c>
    </row>
    <row r="63" spans="1:31" x14ac:dyDescent="0.35">
      <c r="A63" s="36">
        <v>46059.488888888889</v>
      </c>
      <c r="B63" s="35">
        <v>-16.3</v>
      </c>
      <c r="C63" s="35">
        <v>-17.3</v>
      </c>
      <c r="D63" s="35">
        <v>-23</v>
      </c>
      <c r="E63" s="35">
        <v>-16.7</v>
      </c>
      <c r="F63" s="35">
        <v>-15.2</v>
      </c>
      <c r="G63" s="35">
        <v>-23</v>
      </c>
      <c r="H63" s="35">
        <v>-19.5</v>
      </c>
      <c r="I63" s="35">
        <v>-20.100000000000001</v>
      </c>
      <c r="J63" s="35">
        <v>-23</v>
      </c>
      <c r="K63" s="35">
        <v>-18.600000000000001</v>
      </c>
      <c r="L63" s="35">
        <v>-0.8</v>
      </c>
      <c r="M63" s="35">
        <v>-23</v>
      </c>
      <c r="N63" s="35">
        <v>0.7</v>
      </c>
      <c r="O63" s="35">
        <v>0.4</v>
      </c>
      <c r="P63" s="35">
        <v>-5</v>
      </c>
      <c r="Q63" s="35">
        <v>0.1</v>
      </c>
      <c r="R63" s="35">
        <v>-1.1000000000000001</v>
      </c>
      <c r="S63" s="35">
        <v>-5</v>
      </c>
      <c r="T63" s="35">
        <v>14.7</v>
      </c>
      <c r="U63" s="35">
        <v>40</v>
      </c>
      <c r="V63" s="35">
        <v>14.4</v>
      </c>
      <c r="W63" s="35">
        <v>40</v>
      </c>
      <c r="X63" s="35">
        <v>14.4</v>
      </c>
      <c r="Y63" s="35">
        <v>41.6</v>
      </c>
      <c r="Z63" s="35">
        <v>14.4</v>
      </c>
      <c r="AA63" s="35">
        <v>40.200000000000003</v>
      </c>
      <c r="AB63" s="35">
        <v>20.5</v>
      </c>
      <c r="AC63" s="35">
        <v>20</v>
      </c>
      <c r="AD63" s="35">
        <v>20.5</v>
      </c>
      <c r="AE63" s="35">
        <v>20</v>
      </c>
    </row>
    <row r="64" spans="1:31" x14ac:dyDescent="0.35">
      <c r="A64" s="36">
        <v>46059.489583333336</v>
      </c>
      <c r="B64" s="35">
        <v>-16.5</v>
      </c>
      <c r="C64" s="35">
        <v>-17.600000000000001</v>
      </c>
      <c r="D64" s="35">
        <v>-23</v>
      </c>
      <c r="E64" s="35">
        <v>-17</v>
      </c>
      <c r="F64" s="35">
        <v>-15.4</v>
      </c>
      <c r="G64" s="35">
        <v>-23</v>
      </c>
      <c r="H64" s="35">
        <v>-19.600000000000001</v>
      </c>
      <c r="I64" s="35">
        <v>-20.100000000000001</v>
      </c>
      <c r="J64" s="35">
        <v>-23</v>
      </c>
      <c r="K64" s="35">
        <v>-18.600000000000001</v>
      </c>
      <c r="L64" s="35">
        <v>-1.5</v>
      </c>
      <c r="M64" s="35">
        <v>-23</v>
      </c>
      <c r="N64" s="35">
        <v>0.5</v>
      </c>
      <c r="O64" s="35">
        <v>0.2</v>
      </c>
      <c r="P64" s="35">
        <v>-5</v>
      </c>
      <c r="Q64" s="35">
        <v>0.1</v>
      </c>
      <c r="R64" s="35">
        <v>-1.1000000000000001</v>
      </c>
      <c r="S64" s="35">
        <v>-5</v>
      </c>
      <c r="T64" s="35">
        <v>14.7</v>
      </c>
      <c r="U64" s="35">
        <v>40</v>
      </c>
      <c r="V64" s="35">
        <v>14.4</v>
      </c>
      <c r="W64" s="35">
        <v>40</v>
      </c>
      <c r="X64" s="35">
        <v>14.4</v>
      </c>
      <c r="Y64" s="35">
        <v>41.6</v>
      </c>
      <c r="Z64" s="35">
        <v>14.4</v>
      </c>
      <c r="AA64" s="35">
        <v>40.200000000000003</v>
      </c>
      <c r="AB64" s="35">
        <v>20.5</v>
      </c>
      <c r="AC64" s="35">
        <v>20</v>
      </c>
      <c r="AD64" s="35">
        <v>20.5</v>
      </c>
      <c r="AE64" s="35">
        <v>20</v>
      </c>
    </row>
    <row r="65" spans="1:31" x14ac:dyDescent="0.35">
      <c r="A65" s="36">
        <v>46059.490277777775</v>
      </c>
      <c r="B65" s="35">
        <v>-16.7</v>
      </c>
      <c r="C65" s="35">
        <v>-19.600000000000001</v>
      </c>
      <c r="D65" s="35">
        <v>-23</v>
      </c>
      <c r="E65" s="35">
        <v>-17.399999999999999</v>
      </c>
      <c r="F65" s="35">
        <v>-15.7</v>
      </c>
      <c r="G65" s="35">
        <v>-23</v>
      </c>
      <c r="H65" s="35">
        <v>-19.600000000000001</v>
      </c>
      <c r="I65" s="35">
        <v>-20.100000000000001</v>
      </c>
      <c r="J65" s="35">
        <v>-23</v>
      </c>
      <c r="K65" s="35">
        <v>-18.600000000000001</v>
      </c>
      <c r="L65" s="35">
        <v>-2.1</v>
      </c>
      <c r="M65" s="35">
        <v>-23</v>
      </c>
      <c r="N65" s="35">
        <v>0.3</v>
      </c>
      <c r="O65" s="35">
        <v>0</v>
      </c>
      <c r="P65" s="35">
        <v>-5</v>
      </c>
      <c r="Q65" s="35">
        <v>0</v>
      </c>
      <c r="R65" s="35">
        <v>-1.2</v>
      </c>
      <c r="S65" s="35">
        <v>-5</v>
      </c>
      <c r="T65" s="35">
        <v>14.7</v>
      </c>
      <c r="U65" s="35">
        <v>40</v>
      </c>
      <c r="V65" s="35">
        <v>14.4</v>
      </c>
      <c r="W65" s="35">
        <v>40</v>
      </c>
      <c r="X65" s="35">
        <v>14.4</v>
      </c>
      <c r="Y65" s="35">
        <v>41.6</v>
      </c>
      <c r="Z65" s="35">
        <v>14.4</v>
      </c>
      <c r="AA65" s="35">
        <v>40.200000000000003</v>
      </c>
      <c r="AB65" s="35">
        <v>20.5</v>
      </c>
      <c r="AC65" s="35">
        <v>20</v>
      </c>
      <c r="AD65" s="35">
        <v>20.5</v>
      </c>
      <c r="AE65" s="35">
        <v>20</v>
      </c>
    </row>
    <row r="66" spans="1:31" x14ac:dyDescent="0.35">
      <c r="A66" s="36">
        <v>46059.490972222222</v>
      </c>
      <c r="B66" s="35">
        <v>-17</v>
      </c>
      <c r="C66" s="35">
        <v>-19.899999999999999</v>
      </c>
      <c r="D66" s="35">
        <v>-23</v>
      </c>
      <c r="E66" s="35">
        <v>-17.7</v>
      </c>
      <c r="F66" s="35">
        <v>-16</v>
      </c>
      <c r="G66" s="35">
        <v>-23</v>
      </c>
      <c r="H66" s="35">
        <v>-19.600000000000001</v>
      </c>
      <c r="I66" s="35">
        <v>-20</v>
      </c>
      <c r="J66" s="35">
        <v>-23</v>
      </c>
      <c r="K66" s="35">
        <v>-18.600000000000001</v>
      </c>
      <c r="L66" s="35">
        <v>-3</v>
      </c>
      <c r="M66" s="35">
        <v>-23</v>
      </c>
      <c r="N66" s="35">
        <v>0.2</v>
      </c>
      <c r="O66" s="35">
        <v>0</v>
      </c>
      <c r="P66" s="35">
        <v>-5</v>
      </c>
      <c r="Q66" s="35">
        <v>-0.1</v>
      </c>
      <c r="R66" s="35">
        <v>-1.3</v>
      </c>
      <c r="S66" s="35">
        <v>-5</v>
      </c>
      <c r="T66" s="35">
        <v>14.7</v>
      </c>
      <c r="U66" s="35">
        <v>40</v>
      </c>
      <c r="V66" s="35">
        <v>14.4</v>
      </c>
      <c r="W66" s="35">
        <v>40</v>
      </c>
      <c r="X66" s="35">
        <v>14.4</v>
      </c>
      <c r="Y66" s="35">
        <v>41.6</v>
      </c>
      <c r="Z66" s="35">
        <v>14.4</v>
      </c>
      <c r="AA66" s="35">
        <v>40.200000000000003</v>
      </c>
      <c r="AB66" s="35">
        <v>20.5</v>
      </c>
      <c r="AC66" s="35">
        <v>20</v>
      </c>
      <c r="AD66" s="35">
        <v>20.5</v>
      </c>
      <c r="AE66" s="35">
        <v>20</v>
      </c>
    </row>
    <row r="67" spans="1:31" x14ac:dyDescent="0.35">
      <c r="A67" s="36">
        <v>46059.491666666669</v>
      </c>
      <c r="B67" s="35">
        <v>-17.2</v>
      </c>
      <c r="C67" s="35">
        <v>-19.2</v>
      </c>
      <c r="D67" s="35">
        <v>-23</v>
      </c>
      <c r="E67" s="35">
        <v>-17.8</v>
      </c>
      <c r="F67" s="35">
        <v>-16.100000000000001</v>
      </c>
      <c r="G67" s="35">
        <v>-23</v>
      </c>
      <c r="H67" s="35">
        <v>-19.600000000000001</v>
      </c>
      <c r="I67" s="35">
        <v>-20</v>
      </c>
      <c r="J67" s="35">
        <v>-23</v>
      </c>
      <c r="K67" s="35">
        <v>-18.8</v>
      </c>
      <c r="L67" s="35">
        <v>-3.5</v>
      </c>
      <c r="M67" s="35">
        <v>-23</v>
      </c>
      <c r="N67" s="35">
        <v>0.1</v>
      </c>
      <c r="O67" s="35">
        <v>0</v>
      </c>
      <c r="P67" s="35">
        <v>-5</v>
      </c>
      <c r="Q67" s="35">
        <v>-0.1</v>
      </c>
      <c r="R67" s="35">
        <v>-1.3</v>
      </c>
      <c r="S67" s="35">
        <v>-5</v>
      </c>
      <c r="T67" s="35">
        <v>14.9</v>
      </c>
      <c r="U67" s="35">
        <v>40</v>
      </c>
      <c r="V67" s="35">
        <v>14.5</v>
      </c>
      <c r="W67" s="35">
        <v>40</v>
      </c>
      <c r="X67" s="35">
        <v>14.5</v>
      </c>
      <c r="Y67" s="35">
        <v>41.6</v>
      </c>
      <c r="Z67" s="35">
        <v>14.4</v>
      </c>
      <c r="AA67" s="35">
        <v>40.200000000000003</v>
      </c>
      <c r="AB67" s="35">
        <v>20.5</v>
      </c>
      <c r="AC67" s="35">
        <v>20</v>
      </c>
      <c r="AD67" s="35">
        <v>20.5</v>
      </c>
      <c r="AE67" s="35">
        <v>20</v>
      </c>
    </row>
    <row r="68" spans="1:31" x14ac:dyDescent="0.35">
      <c r="A68" s="36">
        <v>46059.492361111108</v>
      </c>
      <c r="B68" s="35">
        <v>-17.3</v>
      </c>
      <c r="C68" s="35">
        <v>-18.7</v>
      </c>
      <c r="D68" s="35">
        <v>-23</v>
      </c>
      <c r="E68" s="35">
        <v>-17.8</v>
      </c>
      <c r="F68" s="35">
        <v>-16.3</v>
      </c>
      <c r="G68" s="35">
        <v>-23</v>
      </c>
      <c r="H68" s="35">
        <v>-19.7</v>
      </c>
      <c r="I68" s="35">
        <v>-20.5</v>
      </c>
      <c r="J68" s="35">
        <v>-23</v>
      </c>
      <c r="K68" s="35">
        <v>-19.100000000000001</v>
      </c>
      <c r="L68" s="35">
        <v>-4.0999999999999996</v>
      </c>
      <c r="M68" s="35">
        <v>-23</v>
      </c>
      <c r="N68" s="35">
        <v>-0.1</v>
      </c>
      <c r="O68" s="35">
        <v>-0.1</v>
      </c>
      <c r="P68" s="35">
        <v>-5</v>
      </c>
      <c r="Q68" s="35">
        <v>-0.2</v>
      </c>
      <c r="R68" s="35">
        <v>-1.4</v>
      </c>
      <c r="S68" s="35">
        <v>-5</v>
      </c>
      <c r="T68" s="35">
        <v>14.9</v>
      </c>
      <c r="U68" s="35">
        <v>40</v>
      </c>
      <c r="V68" s="35">
        <v>14.5</v>
      </c>
      <c r="W68" s="35">
        <v>40</v>
      </c>
      <c r="X68" s="35">
        <v>14.6</v>
      </c>
      <c r="Y68" s="35">
        <v>41.6</v>
      </c>
      <c r="Z68" s="35">
        <v>14.4</v>
      </c>
      <c r="AA68" s="35">
        <v>40.200000000000003</v>
      </c>
      <c r="AB68" s="35">
        <v>20.5</v>
      </c>
      <c r="AC68" s="35">
        <v>20</v>
      </c>
      <c r="AD68" s="35">
        <v>20.5</v>
      </c>
      <c r="AE68" s="35">
        <v>20</v>
      </c>
    </row>
    <row r="69" spans="1:31" x14ac:dyDescent="0.35">
      <c r="A69" s="36">
        <v>46059.493055555555</v>
      </c>
      <c r="B69" s="35">
        <v>-17.399999999999999</v>
      </c>
      <c r="C69" s="35">
        <v>-18.399999999999999</v>
      </c>
      <c r="D69" s="35">
        <v>-23</v>
      </c>
      <c r="E69" s="35">
        <v>-17.8</v>
      </c>
      <c r="F69" s="35">
        <v>-16.399999999999999</v>
      </c>
      <c r="G69" s="35">
        <v>-23</v>
      </c>
      <c r="H69" s="35">
        <v>-19.899999999999999</v>
      </c>
      <c r="I69" s="35">
        <v>-20.6</v>
      </c>
      <c r="J69" s="35">
        <v>-23</v>
      </c>
      <c r="K69" s="35">
        <v>-19.3</v>
      </c>
      <c r="L69" s="35">
        <v>-5</v>
      </c>
      <c r="M69" s="35">
        <v>-23</v>
      </c>
      <c r="N69" s="35">
        <v>-0.2</v>
      </c>
      <c r="O69" s="35">
        <v>-0.1</v>
      </c>
      <c r="P69" s="35">
        <v>-5</v>
      </c>
      <c r="Q69" s="35">
        <v>-0.2</v>
      </c>
      <c r="R69" s="35">
        <v>-1.4</v>
      </c>
      <c r="S69" s="35">
        <v>-5</v>
      </c>
      <c r="T69" s="35">
        <v>15</v>
      </c>
      <c r="U69" s="35">
        <v>40</v>
      </c>
      <c r="V69" s="35">
        <v>14.6</v>
      </c>
      <c r="W69" s="35">
        <v>40</v>
      </c>
      <c r="X69" s="35">
        <v>14.6</v>
      </c>
      <c r="Y69" s="35">
        <v>41.6</v>
      </c>
      <c r="Z69" s="35">
        <v>14.4</v>
      </c>
      <c r="AA69" s="35">
        <v>40.200000000000003</v>
      </c>
      <c r="AB69" s="35">
        <v>20.5</v>
      </c>
      <c r="AC69" s="35">
        <v>20</v>
      </c>
      <c r="AD69" s="35">
        <v>20.5</v>
      </c>
      <c r="AE69" s="35">
        <v>20</v>
      </c>
    </row>
    <row r="70" spans="1:31" x14ac:dyDescent="0.35">
      <c r="A70" s="36">
        <v>46059.493750000001</v>
      </c>
      <c r="B70" s="35">
        <v>-17.399999999999999</v>
      </c>
      <c r="C70" s="35">
        <v>-18.3</v>
      </c>
      <c r="D70" s="35">
        <v>-23</v>
      </c>
      <c r="E70" s="35">
        <v>-17.8</v>
      </c>
      <c r="F70" s="35">
        <v>-16.5</v>
      </c>
      <c r="G70" s="35">
        <v>-23</v>
      </c>
      <c r="H70" s="35">
        <v>-20.100000000000001</v>
      </c>
      <c r="I70" s="35">
        <v>-20.6</v>
      </c>
      <c r="J70" s="35">
        <v>-23</v>
      </c>
      <c r="K70" s="35">
        <v>-19.5</v>
      </c>
      <c r="L70" s="35">
        <v>-5.6</v>
      </c>
      <c r="M70" s="35">
        <v>-23</v>
      </c>
      <c r="N70" s="35">
        <v>-0.3</v>
      </c>
      <c r="O70" s="35">
        <v>-0.1</v>
      </c>
      <c r="P70" s="35">
        <v>-5</v>
      </c>
      <c r="Q70" s="35">
        <v>-0.2</v>
      </c>
      <c r="R70" s="35">
        <v>-1.5</v>
      </c>
      <c r="S70" s="35">
        <v>-5</v>
      </c>
      <c r="T70" s="35">
        <v>15</v>
      </c>
      <c r="U70" s="35">
        <v>40</v>
      </c>
      <c r="V70" s="35">
        <v>14.6</v>
      </c>
      <c r="W70" s="35">
        <v>40</v>
      </c>
      <c r="X70" s="35">
        <v>14.7</v>
      </c>
      <c r="Y70" s="35">
        <v>41.6</v>
      </c>
      <c r="Z70" s="35">
        <v>14.4</v>
      </c>
      <c r="AA70" s="35">
        <v>40.200000000000003</v>
      </c>
      <c r="AB70" s="35">
        <v>20.5</v>
      </c>
      <c r="AC70" s="35">
        <v>20</v>
      </c>
      <c r="AD70" s="35">
        <v>20.5</v>
      </c>
      <c r="AE70" s="35">
        <v>20</v>
      </c>
    </row>
    <row r="71" spans="1:31" x14ac:dyDescent="0.35">
      <c r="A71" s="36">
        <v>46059.494444444441</v>
      </c>
      <c r="B71" s="35">
        <v>-17.5</v>
      </c>
      <c r="C71" s="35">
        <v>-19</v>
      </c>
      <c r="D71" s="35">
        <v>-23</v>
      </c>
      <c r="E71" s="35">
        <v>-18.100000000000001</v>
      </c>
      <c r="F71" s="35">
        <v>-16.7</v>
      </c>
      <c r="G71" s="35">
        <v>-23</v>
      </c>
      <c r="H71" s="35">
        <v>-20.100000000000001</v>
      </c>
      <c r="I71" s="35">
        <v>-20.6</v>
      </c>
      <c r="J71" s="35">
        <v>-23</v>
      </c>
      <c r="K71" s="35">
        <v>-19.5</v>
      </c>
      <c r="L71" s="35">
        <v>-6.3</v>
      </c>
      <c r="M71" s="35">
        <v>-23</v>
      </c>
      <c r="N71" s="35">
        <v>-0.5</v>
      </c>
      <c r="O71" s="35">
        <v>-0.2</v>
      </c>
      <c r="P71" s="35">
        <v>-5</v>
      </c>
      <c r="Q71" s="35">
        <v>-0.3</v>
      </c>
      <c r="R71" s="35">
        <v>-1.5</v>
      </c>
      <c r="S71" s="35">
        <v>-5</v>
      </c>
      <c r="T71" s="35">
        <v>15</v>
      </c>
      <c r="U71" s="35">
        <v>40</v>
      </c>
      <c r="V71" s="35">
        <v>14.6</v>
      </c>
      <c r="W71" s="35">
        <v>40</v>
      </c>
      <c r="X71" s="35">
        <v>14.7</v>
      </c>
      <c r="Y71" s="35">
        <v>41.6</v>
      </c>
      <c r="Z71" s="35">
        <v>14.4</v>
      </c>
      <c r="AA71" s="35">
        <v>40.200000000000003</v>
      </c>
      <c r="AB71" s="35">
        <v>20.5</v>
      </c>
      <c r="AC71" s="35">
        <v>20</v>
      </c>
      <c r="AD71" s="35">
        <v>20.5</v>
      </c>
      <c r="AE71" s="35">
        <v>20</v>
      </c>
    </row>
    <row r="72" spans="1:31" x14ac:dyDescent="0.35">
      <c r="A72" s="36">
        <v>46059.495138888888</v>
      </c>
      <c r="B72" s="35">
        <v>-17.7</v>
      </c>
      <c r="C72" s="35">
        <v>-20.8</v>
      </c>
      <c r="D72" s="35">
        <v>-23</v>
      </c>
      <c r="E72" s="35">
        <v>-18.399999999999999</v>
      </c>
      <c r="F72" s="35">
        <v>-16.899999999999999</v>
      </c>
      <c r="G72" s="35">
        <v>-23</v>
      </c>
      <c r="H72" s="35">
        <v>-20.100000000000001</v>
      </c>
      <c r="I72" s="35">
        <v>-20.5</v>
      </c>
      <c r="J72" s="35">
        <v>-23</v>
      </c>
      <c r="K72" s="35">
        <v>-19.5</v>
      </c>
      <c r="L72" s="35">
        <v>-6.4</v>
      </c>
      <c r="M72" s="35">
        <v>-23</v>
      </c>
      <c r="N72" s="35">
        <v>-0.6</v>
      </c>
      <c r="O72" s="35">
        <v>-0.4</v>
      </c>
      <c r="P72" s="35">
        <v>-5</v>
      </c>
      <c r="Q72" s="35">
        <v>-0.4</v>
      </c>
      <c r="R72" s="35">
        <v>-1.6</v>
      </c>
      <c r="S72" s="35">
        <v>-5</v>
      </c>
      <c r="T72" s="35">
        <v>15</v>
      </c>
      <c r="U72" s="35">
        <v>40</v>
      </c>
      <c r="V72" s="35">
        <v>14.6</v>
      </c>
      <c r="W72" s="35">
        <v>40</v>
      </c>
      <c r="X72" s="35">
        <v>14.7</v>
      </c>
      <c r="Y72" s="35">
        <v>41.6</v>
      </c>
      <c r="Z72" s="35">
        <v>14.4</v>
      </c>
      <c r="AA72" s="35">
        <v>40.200000000000003</v>
      </c>
      <c r="AB72" s="35">
        <v>20.5</v>
      </c>
      <c r="AC72" s="35">
        <v>20</v>
      </c>
      <c r="AD72" s="35">
        <v>20.5</v>
      </c>
      <c r="AE72" s="35">
        <v>20</v>
      </c>
    </row>
    <row r="73" spans="1:31" x14ac:dyDescent="0.35">
      <c r="A73" s="36">
        <v>46059.495833333334</v>
      </c>
      <c r="B73" s="35">
        <v>-17.899999999999999</v>
      </c>
      <c r="C73" s="35">
        <v>-20.6</v>
      </c>
      <c r="D73" s="35">
        <v>-23</v>
      </c>
      <c r="E73" s="35">
        <v>-18.600000000000001</v>
      </c>
      <c r="F73" s="35">
        <v>-17.100000000000001</v>
      </c>
      <c r="G73" s="35">
        <v>-23</v>
      </c>
      <c r="H73" s="35">
        <v>-20.100000000000001</v>
      </c>
      <c r="I73" s="35">
        <v>-20.5</v>
      </c>
      <c r="J73" s="35">
        <v>-23</v>
      </c>
      <c r="K73" s="35">
        <v>-19.5</v>
      </c>
      <c r="L73" s="35">
        <v>-7</v>
      </c>
      <c r="M73" s="35">
        <v>-23</v>
      </c>
      <c r="N73" s="35">
        <v>-0.7</v>
      </c>
      <c r="O73" s="35">
        <v>-0.7</v>
      </c>
      <c r="P73" s="35">
        <v>-5</v>
      </c>
      <c r="Q73" s="35">
        <v>-0.6</v>
      </c>
      <c r="R73" s="35">
        <v>-1.7</v>
      </c>
      <c r="S73" s="35">
        <v>-5</v>
      </c>
      <c r="T73" s="35">
        <v>15</v>
      </c>
      <c r="U73" s="35">
        <v>40</v>
      </c>
      <c r="V73" s="35">
        <v>14.6</v>
      </c>
      <c r="W73" s="35">
        <v>40</v>
      </c>
      <c r="X73" s="35">
        <v>14.7</v>
      </c>
      <c r="Y73" s="35">
        <v>41.6</v>
      </c>
      <c r="Z73" s="35">
        <v>14.4</v>
      </c>
      <c r="AA73" s="35">
        <v>40.200000000000003</v>
      </c>
      <c r="AB73" s="35">
        <v>20.5</v>
      </c>
      <c r="AC73" s="35">
        <v>20</v>
      </c>
      <c r="AD73" s="35">
        <v>20.5</v>
      </c>
      <c r="AE73" s="35">
        <v>20</v>
      </c>
    </row>
    <row r="74" spans="1:31" x14ac:dyDescent="0.35">
      <c r="A74" s="36">
        <v>46059.496527777781</v>
      </c>
      <c r="B74" s="35">
        <v>-18.100000000000001</v>
      </c>
      <c r="C74" s="35">
        <v>-19.8</v>
      </c>
      <c r="D74" s="35">
        <v>-23</v>
      </c>
      <c r="E74" s="35">
        <v>-18.7</v>
      </c>
      <c r="F74" s="35">
        <v>-17.2</v>
      </c>
      <c r="G74" s="35">
        <v>-23</v>
      </c>
      <c r="H74" s="35">
        <v>-20.100000000000001</v>
      </c>
      <c r="I74" s="35">
        <v>-20.5</v>
      </c>
      <c r="J74" s="35">
        <v>-23</v>
      </c>
      <c r="K74" s="35">
        <v>-19.5</v>
      </c>
      <c r="L74" s="35">
        <v>-7.8</v>
      </c>
      <c r="M74" s="35">
        <v>-23</v>
      </c>
      <c r="N74" s="35">
        <v>-0.8</v>
      </c>
      <c r="O74" s="35">
        <v>-0.9</v>
      </c>
      <c r="P74" s="35">
        <v>-5</v>
      </c>
      <c r="Q74" s="35">
        <v>-0.6</v>
      </c>
      <c r="R74" s="35">
        <v>-1.7</v>
      </c>
      <c r="S74" s="35">
        <v>-5</v>
      </c>
      <c r="T74" s="35">
        <v>15</v>
      </c>
      <c r="U74" s="35">
        <v>40</v>
      </c>
      <c r="V74" s="35">
        <v>14.6</v>
      </c>
      <c r="W74" s="35">
        <v>40</v>
      </c>
      <c r="X74" s="35">
        <v>14.7</v>
      </c>
      <c r="Y74" s="35">
        <v>41.6</v>
      </c>
      <c r="Z74" s="35">
        <v>14.4</v>
      </c>
      <c r="AA74" s="35">
        <v>40.200000000000003</v>
      </c>
      <c r="AB74" s="35">
        <v>20.5</v>
      </c>
      <c r="AC74" s="35">
        <v>20</v>
      </c>
      <c r="AD74" s="35">
        <v>20.5</v>
      </c>
      <c r="AE74" s="35">
        <v>20</v>
      </c>
    </row>
    <row r="75" spans="1:31" x14ac:dyDescent="0.35">
      <c r="A75" s="36">
        <v>46059.49722222222</v>
      </c>
      <c r="B75" s="35">
        <v>-18.2</v>
      </c>
      <c r="C75" s="35">
        <v>-19.399999999999999</v>
      </c>
      <c r="D75" s="35">
        <v>-23</v>
      </c>
      <c r="E75" s="35">
        <v>-18.7</v>
      </c>
      <c r="F75" s="35">
        <v>-17.3</v>
      </c>
      <c r="G75" s="35">
        <v>-23</v>
      </c>
      <c r="H75" s="35">
        <v>-20.2</v>
      </c>
      <c r="I75" s="35">
        <v>-20.9</v>
      </c>
      <c r="J75" s="35">
        <v>-23</v>
      </c>
      <c r="K75" s="35">
        <v>-19.8</v>
      </c>
      <c r="L75" s="35">
        <v>-8.6</v>
      </c>
      <c r="M75" s="35">
        <v>-23</v>
      </c>
      <c r="N75" s="35">
        <v>-0.9</v>
      </c>
      <c r="O75" s="35">
        <v>-1</v>
      </c>
      <c r="P75" s="35">
        <v>-5</v>
      </c>
      <c r="Q75" s="35">
        <v>-0.6</v>
      </c>
      <c r="R75" s="35">
        <v>-1.7</v>
      </c>
      <c r="S75" s="35">
        <v>-5</v>
      </c>
      <c r="T75" s="35">
        <v>15</v>
      </c>
      <c r="U75" s="35">
        <v>40</v>
      </c>
      <c r="V75" s="35">
        <v>14.6</v>
      </c>
      <c r="W75" s="35">
        <v>40</v>
      </c>
      <c r="X75" s="35">
        <v>14.7</v>
      </c>
      <c r="Y75" s="35">
        <v>41.6</v>
      </c>
      <c r="Z75" s="35">
        <v>14.4</v>
      </c>
      <c r="AA75" s="35">
        <v>40.200000000000003</v>
      </c>
      <c r="AB75" s="35">
        <v>20.5</v>
      </c>
      <c r="AC75" s="35">
        <v>20</v>
      </c>
      <c r="AD75" s="35">
        <v>20.5</v>
      </c>
      <c r="AE75" s="35">
        <v>20</v>
      </c>
    </row>
    <row r="76" spans="1:31" x14ac:dyDescent="0.35">
      <c r="A76" s="36">
        <v>46059.497916666667</v>
      </c>
      <c r="B76" s="35">
        <v>-18.2</v>
      </c>
      <c r="C76" s="35">
        <v>-19.2</v>
      </c>
      <c r="D76" s="35">
        <v>-23</v>
      </c>
      <c r="E76" s="35">
        <v>-18.7</v>
      </c>
      <c r="F76" s="35">
        <v>-17.3</v>
      </c>
      <c r="G76" s="35">
        <v>-23</v>
      </c>
      <c r="H76" s="35">
        <v>-20.3</v>
      </c>
      <c r="I76" s="35">
        <v>-21</v>
      </c>
      <c r="J76" s="35">
        <v>-23</v>
      </c>
      <c r="K76" s="35">
        <v>-20</v>
      </c>
      <c r="L76" s="35">
        <v>-9.1999999999999993</v>
      </c>
      <c r="M76" s="35">
        <v>-23</v>
      </c>
      <c r="N76" s="35">
        <v>-1</v>
      </c>
      <c r="O76" s="35">
        <v>-1.1000000000000001</v>
      </c>
      <c r="P76" s="35">
        <v>-5</v>
      </c>
      <c r="Q76" s="35">
        <v>-0.6</v>
      </c>
      <c r="R76" s="35">
        <v>-1.7</v>
      </c>
      <c r="S76" s="35">
        <v>-5</v>
      </c>
      <c r="T76" s="35">
        <v>15</v>
      </c>
      <c r="U76" s="35">
        <v>40</v>
      </c>
      <c r="V76" s="35">
        <v>14.6</v>
      </c>
      <c r="W76" s="35">
        <v>40</v>
      </c>
      <c r="X76" s="35">
        <v>14.7</v>
      </c>
      <c r="Y76" s="35">
        <v>41.6</v>
      </c>
      <c r="Z76" s="35">
        <v>14.4</v>
      </c>
      <c r="AA76" s="35">
        <v>40.200000000000003</v>
      </c>
      <c r="AB76" s="35">
        <v>20.5</v>
      </c>
      <c r="AC76" s="35">
        <v>20</v>
      </c>
      <c r="AD76" s="35">
        <v>20.5</v>
      </c>
      <c r="AE76" s="35">
        <v>20</v>
      </c>
    </row>
    <row r="77" spans="1:31" x14ac:dyDescent="0.35">
      <c r="A77" s="36">
        <v>46059.498611111114</v>
      </c>
      <c r="B77" s="35">
        <v>-18.2</v>
      </c>
      <c r="C77" s="35">
        <v>-19.100000000000001</v>
      </c>
      <c r="D77" s="35">
        <v>-23</v>
      </c>
      <c r="E77" s="35">
        <v>-18.7</v>
      </c>
      <c r="F77" s="35">
        <v>-17.5</v>
      </c>
      <c r="G77" s="35">
        <v>-23</v>
      </c>
      <c r="H77" s="35">
        <v>-20.5</v>
      </c>
      <c r="I77" s="35">
        <v>-21</v>
      </c>
      <c r="J77" s="35">
        <v>-23</v>
      </c>
      <c r="K77" s="35">
        <v>-20.2</v>
      </c>
      <c r="L77" s="35">
        <v>-9.6999999999999993</v>
      </c>
      <c r="M77" s="35">
        <v>-23</v>
      </c>
      <c r="N77" s="35">
        <v>-1</v>
      </c>
      <c r="O77" s="35">
        <v>-1.2</v>
      </c>
      <c r="P77" s="35">
        <v>-5</v>
      </c>
      <c r="Q77" s="35">
        <v>-0.6</v>
      </c>
      <c r="R77" s="35">
        <v>-1.7</v>
      </c>
      <c r="S77" s="35">
        <v>-5</v>
      </c>
      <c r="T77" s="35">
        <v>15</v>
      </c>
      <c r="U77" s="35">
        <v>40</v>
      </c>
      <c r="V77" s="35">
        <v>14.6</v>
      </c>
      <c r="W77" s="35">
        <v>40</v>
      </c>
      <c r="X77" s="35">
        <v>14.7</v>
      </c>
      <c r="Y77" s="35">
        <v>41.6</v>
      </c>
      <c r="Z77" s="35">
        <v>14.4</v>
      </c>
      <c r="AA77" s="35">
        <v>40.200000000000003</v>
      </c>
      <c r="AB77" s="35">
        <v>20.5</v>
      </c>
      <c r="AC77" s="35">
        <v>20</v>
      </c>
      <c r="AD77" s="35">
        <v>20.5</v>
      </c>
      <c r="AE77" s="35">
        <v>20</v>
      </c>
    </row>
    <row r="78" spans="1:31" x14ac:dyDescent="0.35">
      <c r="A78" s="36">
        <v>46059.499305555553</v>
      </c>
      <c r="B78" s="35">
        <v>-18.3</v>
      </c>
      <c r="C78" s="35">
        <v>-19.399999999999999</v>
      </c>
      <c r="D78" s="35">
        <v>-23</v>
      </c>
      <c r="E78" s="35">
        <v>-18.899999999999999</v>
      </c>
      <c r="F78" s="35">
        <v>-17.7</v>
      </c>
      <c r="G78" s="35">
        <v>-23</v>
      </c>
      <c r="H78" s="35">
        <v>-20.6</v>
      </c>
      <c r="I78" s="35">
        <v>-21</v>
      </c>
      <c r="J78" s="35">
        <v>-23</v>
      </c>
      <c r="K78" s="35">
        <v>-20.2</v>
      </c>
      <c r="L78" s="35">
        <v>-10.199999999999999</v>
      </c>
      <c r="M78" s="35">
        <v>-23</v>
      </c>
      <c r="N78" s="35">
        <v>-1.1000000000000001</v>
      </c>
      <c r="O78" s="35">
        <v>-1.3</v>
      </c>
      <c r="P78" s="35">
        <v>-5</v>
      </c>
      <c r="Q78" s="35">
        <v>-0.6</v>
      </c>
      <c r="R78" s="35">
        <v>-1.7</v>
      </c>
      <c r="S78" s="35">
        <v>-5</v>
      </c>
      <c r="T78" s="35">
        <v>15</v>
      </c>
      <c r="U78" s="35">
        <v>40</v>
      </c>
      <c r="V78" s="35">
        <v>14.6</v>
      </c>
      <c r="W78" s="35">
        <v>40</v>
      </c>
      <c r="X78" s="35">
        <v>14.7</v>
      </c>
      <c r="Y78" s="35">
        <v>41.6</v>
      </c>
      <c r="Z78" s="35">
        <v>14.4</v>
      </c>
      <c r="AA78" s="35">
        <v>40.200000000000003</v>
      </c>
      <c r="AB78" s="35">
        <v>20.5</v>
      </c>
      <c r="AC78" s="35">
        <v>20</v>
      </c>
      <c r="AD78" s="35">
        <v>20.5</v>
      </c>
      <c r="AE78" s="35">
        <v>20</v>
      </c>
    </row>
    <row r="79" spans="1:31" x14ac:dyDescent="0.35">
      <c r="A79" s="36">
        <v>46059.5</v>
      </c>
      <c r="B79" s="35">
        <v>-18.5</v>
      </c>
      <c r="C79" s="35">
        <v>-21.6</v>
      </c>
      <c r="D79" s="35">
        <v>-23</v>
      </c>
      <c r="E79" s="35">
        <v>-19.100000000000001</v>
      </c>
      <c r="F79" s="35">
        <v>-17.899999999999999</v>
      </c>
      <c r="G79" s="35">
        <v>-23</v>
      </c>
      <c r="H79" s="35">
        <v>-20.6</v>
      </c>
      <c r="I79" s="35">
        <v>-21</v>
      </c>
      <c r="J79" s="35">
        <v>-23</v>
      </c>
      <c r="K79" s="35">
        <v>-20.2</v>
      </c>
      <c r="L79" s="35">
        <v>-10.6</v>
      </c>
      <c r="M79" s="35">
        <v>-23</v>
      </c>
      <c r="N79" s="35">
        <v>-1.2</v>
      </c>
      <c r="O79" s="35">
        <v>-1.4</v>
      </c>
      <c r="P79" s="35">
        <v>-5</v>
      </c>
      <c r="Q79" s="35">
        <v>-0.7</v>
      </c>
      <c r="R79" s="35">
        <v>-1.8</v>
      </c>
      <c r="S79" s="35">
        <v>-5</v>
      </c>
      <c r="T79" s="35">
        <v>15</v>
      </c>
      <c r="U79" s="35">
        <v>40</v>
      </c>
      <c r="V79" s="35">
        <v>14.6</v>
      </c>
      <c r="W79" s="35">
        <v>40</v>
      </c>
      <c r="X79" s="35">
        <v>14.7</v>
      </c>
      <c r="Y79" s="35">
        <v>41.6</v>
      </c>
      <c r="Z79" s="35">
        <v>14.5</v>
      </c>
      <c r="AA79" s="35">
        <v>40.200000000000003</v>
      </c>
      <c r="AB79" s="35">
        <v>20.5</v>
      </c>
      <c r="AC79" s="35">
        <v>20</v>
      </c>
      <c r="AD79" s="35">
        <v>20.5</v>
      </c>
      <c r="AE79" s="35">
        <v>20</v>
      </c>
    </row>
    <row r="80" spans="1:31" x14ac:dyDescent="0.35">
      <c r="A80" s="36">
        <v>46059.500694444447</v>
      </c>
      <c r="B80" s="35">
        <v>-18.600000000000001</v>
      </c>
      <c r="C80" s="35">
        <v>-21.4</v>
      </c>
      <c r="D80" s="35">
        <v>-23</v>
      </c>
      <c r="E80" s="35">
        <v>-19.3</v>
      </c>
      <c r="F80" s="35">
        <v>-18</v>
      </c>
      <c r="G80" s="35">
        <v>-23</v>
      </c>
      <c r="H80" s="35">
        <v>-20.6</v>
      </c>
      <c r="I80" s="35">
        <v>-20.9</v>
      </c>
      <c r="J80" s="35">
        <v>-23</v>
      </c>
      <c r="K80" s="35">
        <v>-20.2</v>
      </c>
      <c r="L80" s="35">
        <v>-11.1</v>
      </c>
      <c r="M80" s="35">
        <v>-23</v>
      </c>
      <c r="N80" s="35">
        <v>-1.2</v>
      </c>
      <c r="O80" s="35">
        <v>-1.4</v>
      </c>
      <c r="P80" s="35">
        <v>-5</v>
      </c>
      <c r="Q80" s="35">
        <v>-0.9</v>
      </c>
      <c r="R80" s="35">
        <v>-1.9</v>
      </c>
      <c r="S80" s="35">
        <v>-5</v>
      </c>
      <c r="T80" s="35">
        <v>15</v>
      </c>
      <c r="U80" s="35">
        <v>40</v>
      </c>
      <c r="V80" s="35">
        <v>14.6</v>
      </c>
      <c r="W80" s="35">
        <v>40</v>
      </c>
      <c r="X80" s="35">
        <v>14.7</v>
      </c>
      <c r="Y80" s="35">
        <v>41.6</v>
      </c>
      <c r="Z80" s="35">
        <v>14.5</v>
      </c>
      <c r="AA80" s="35">
        <v>40.200000000000003</v>
      </c>
      <c r="AB80" s="35">
        <v>20.5</v>
      </c>
      <c r="AC80" s="35">
        <v>20</v>
      </c>
      <c r="AD80" s="35">
        <v>20.5</v>
      </c>
      <c r="AE80" s="35">
        <v>20</v>
      </c>
    </row>
    <row r="81" spans="1:31" x14ac:dyDescent="0.35">
      <c r="A81" s="36">
        <v>46059.501388888886</v>
      </c>
      <c r="B81" s="35">
        <v>-18.8</v>
      </c>
      <c r="C81" s="35">
        <v>-20.7</v>
      </c>
      <c r="D81" s="35">
        <v>-23</v>
      </c>
      <c r="E81" s="35">
        <v>-19.5</v>
      </c>
      <c r="F81" s="35">
        <v>-18.100000000000001</v>
      </c>
      <c r="G81" s="35">
        <v>-23</v>
      </c>
      <c r="H81" s="35">
        <v>-20.6</v>
      </c>
      <c r="I81" s="35">
        <v>-20.9</v>
      </c>
      <c r="J81" s="35">
        <v>-23</v>
      </c>
      <c r="K81" s="35">
        <v>-20.2</v>
      </c>
      <c r="L81" s="35">
        <v>-11.5</v>
      </c>
      <c r="M81" s="35">
        <v>-23</v>
      </c>
      <c r="N81" s="35">
        <v>-1.3</v>
      </c>
      <c r="O81" s="35">
        <v>-1.5</v>
      </c>
      <c r="P81" s="35">
        <v>-5</v>
      </c>
      <c r="Q81" s="35">
        <v>-0.9</v>
      </c>
      <c r="R81" s="35">
        <v>-1.9</v>
      </c>
      <c r="S81" s="35">
        <v>-5</v>
      </c>
      <c r="T81" s="35">
        <v>15</v>
      </c>
      <c r="U81" s="35">
        <v>40</v>
      </c>
      <c r="V81" s="35">
        <v>14.6</v>
      </c>
      <c r="W81" s="35">
        <v>40</v>
      </c>
      <c r="X81" s="35">
        <v>14.7</v>
      </c>
      <c r="Y81" s="35">
        <v>41.6</v>
      </c>
      <c r="Z81" s="35">
        <v>14.5</v>
      </c>
      <c r="AA81" s="35">
        <v>40.200000000000003</v>
      </c>
      <c r="AB81" s="35">
        <v>20.5</v>
      </c>
      <c r="AC81" s="35">
        <v>20</v>
      </c>
      <c r="AD81" s="35">
        <v>20.5</v>
      </c>
      <c r="AE81" s="35">
        <v>20</v>
      </c>
    </row>
    <row r="82" spans="1:31" x14ac:dyDescent="0.35">
      <c r="A82" s="36">
        <v>46059.502083333333</v>
      </c>
      <c r="B82" s="35">
        <v>-18.899999999999999</v>
      </c>
      <c r="C82" s="35">
        <v>-20.2</v>
      </c>
      <c r="D82" s="35">
        <v>-23</v>
      </c>
      <c r="E82" s="35">
        <v>-19.5</v>
      </c>
      <c r="F82" s="35">
        <v>-18.2</v>
      </c>
      <c r="G82" s="35">
        <v>-23</v>
      </c>
      <c r="H82" s="35">
        <v>-20.6</v>
      </c>
      <c r="I82" s="35">
        <v>-21</v>
      </c>
      <c r="J82" s="35">
        <v>-23</v>
      </c>
      <c r="K82" s="35">
        <v>-20.3</v>
      </c>
      <c r="L82" s="35">
        <v>-11.9</v>
      </c>
      <c r="M82" s="35">
        <v>-23</v>
      </c>
      <c r="N82" s="35">
        <v>-1.3</v>
      </c>
      <c r="O82" s="35">
        <v>-1.6</v>
      </c>
      <c r="P82" s="35">
        <v>-5</v>
      </c>
      <c r="Q82" s="35">
        <v>-0.9</v>
      </c>
      <c r="R82" s="35">
        <v>-1.9</v>
      </c>
      <c r="S82" s="35">
        <v>-5</v>
      </c>
      <c r="T82" s="35">
        <v>15</v>
      </c>
      <c r="U82" s="35">
        <v>40</v>
      </c>
      <c r="V82" s="35">
        <v>14.6</v>
      </c>
      <c r="W82" s="35">
        <v>40</v>
      </c>
      <c r="X82" s="35">
        <v>14.7</v>
      </c>
      <c r="Y82" s="35">
        <v>41.6</v>
      </c>
      <c r="Z82" s="35">
        <v>14.5</v>
      </c>
      <c r="AA82" s="35">
        <v>40.200000000000003</v>
      </c>
      <c r="AB82" s="35">
        <v>20.5</v>
      </c>
      <c r="AC82" s="35">
        <v>20</v>
      </c>
      <c r="AD82" s="35">
        <v>20.5</v>
      </c>
      <c r="AE82" s="35">
        <v>20</v>
      </c>
    </row>
    <row r="83" spans="1:31" x14ac:dyDescent="0.35">
      <c r="A83" s="36">
        <v>46059.50277777778</v>
      </c>
      <c r="B83" s="35">
        <v>-18.899999999999999</v>
      </c>
      <c r="C83" s="35">
        <v>-20.100000000000001</v>
      </c>
      <c r="D83" s="35">
        <v>-23</v>
      </c>
      <c r="E83" s="35">
        <v>-19.5</v>
      </c>
      <c r="F83" s="35">
        <v>-18.3</v>
      </c>
      <c r="G83" s="35">
        <v>-23</v>
      </c>
      <c r="H83" s="35">
        <v>-20.7</v>
      </c>
      <c r="I83" s="35">
        <v>-21.2</v>
      </c>
      <c r="J83" s="35">
        <v>-23</v>
      </c>
      <c r="K83" s="35">
        <v>-20.6</v>
      </c>
      <c r="L83" s="35">
        <v>-12.2</v>
      </c>
      <c r="M83" s="35">
        <v>-23</v>
      </c>
      <c r="N83" s="35">
        <v>-1.3</v>
      </c>
      <c r="O83" s="35">
        <v>-1.6</v>
      </c>
      <c r="P83" s="35">
        <v>-5</v>
      </c>
      <c r="Q83" s="35">
        <v>-0.9</v>
      </c>
      <c r="R83" s="35">
        <v>-1.9</v>
      </c>
      <c r="S83" s="35">
        <v>-5</v>
      </c>
      <c r="T83" s="35">
        <v>15</v>
      </c>
      <c r="U83" s="35">
        <v>40</v>
      </c>
      <c r="V83" s="35">
        <v>14.6</v>
      </c>
      <c r="W83" s="35">
        <v>40</v>
      </c>
      <c r="X83" s="35">
        <v>14.7</v>
      </c>
      <c r="Y83" s="35">
        <v>41.6</v>
      </c>
      <c r="Z83" s="35">
        <v>14.5</v>
      </c>
      <c r="AA83" s="35">
        <v>40.200000000000003</v>
      </c>
      <c r="AB83" s="35">
        <v>20.5</v>
      </c>
      <c r="AC83" s="35">
        <v>20</v>
      </c>
      <c r="AD83" s="35">
        <v>20.5</v>
      </c>
      <c r="AE83" s="35">
        <v>20</v>
      </c>
    </row>
    <row r="84" spans="1:31" x14ac:dyDescent="0.35">
      <c r="A84" s="36">
        <v>46059.503472222219</v>
      </c>
      <c r="B84" s="35">
        <v>-19</v>
      </c>
      <c r="C84" s="35">
        <v>-20</v>
      </c>
      <c r="D84" s="35">
        <v>-23</v>
      </c>
      <c r="E84" s="35">
        <v>-19.600000000000001</v>
      </c>
      <c r="F84" s="35">
        <v>-18.399999999999999</v>
      </c>
      <c r="G84" s="35">
        <v>-23</v>
      </c>
      <c r="H84" s="35">
        <v>-20.8</v>
      </c>
      <c r="I84" s="35">
        <v>-21.3</v>
      </c>
      <c r="J84" s="35">
        <v>-23</v>
      </c>
      <c r="K84" s="35">
        <v>-20.6</v>
      </c>
      <c r="L84" s="35">
        <v>-12.6</v>
      </c>
      <c r="M84" s="35">
        <v>-23</v>
      </c>
      <c r="N84" s="35">
        <v>-1.4</v>
      </c>
      <c r="O84" s="35">
        <v>-1.7</v>
      </c>
      <c r="P84" s="35">
        <v>-5</v>
      </c>
      <c r="Q84" s="35">
        <v>-0.9</v>
      </c>
      <c r="R84" s="35">
        <v>-1.9</v>
      </c>
      <c r="S84" s="35">
        <v>-5</v>
      </c>
      <c r="T84" s="35">
        <v>15</v>
      </c>
      <c r="U84" s="35">
        <v>40</v>
      </c>
      <c r="V84" s="35">
        <v>14.6</v>
      </c>
      <c r="W84" s="35">
        <v>40</v>
      </c>
      <c r="X84" s="35">
        <v>14.7</v>
      </c>
      <c r="Y84" s="35">
        <v>41.6</v>
      </c>
      <c r="Z84" s="35">
        <v>14.5</v>
      </c>
      <c r="AA84" s="35">
        <v>40.200000000000003</v>
      </c>
      <c r="AB84" s="35">
        <v>20.5</v>
      </c>
      <c r="AC84" s="35">
        <v>20</v>
      </c>
      <c r="AD84" s="35">
        <v>20.5</v>
      </c>
      <c r="AE84" s="35">
        <v>20</v>
      </c>
    </row>
    <row r="85" spans="1:31" x14ac:dyDescent="0.35">
      <c r="A85" s="36">
        <v>46059.504166666666</v>
      </c>
      <c r="B85" s="35">
        <v>-19.100000000000001</v>
      </c>
      <c r="C85" s="35">
        <v>-21.1</v>
      </c>
      <c r="D85" s="35">
        <v>-23</v>
      </c>
      <c r="E85" s="35">
        <v>-19.8</v>
      </c>
      <c r="F85" s="35">
        <v>-18.5</v>
      </c>
      <c r="G85" s="35">
        <v>-23</v>
      </c>
      <c r="H85" s="35">
        <v>-20.8</v>
      </c>
      <c r="I85" s="35">
        <v>-21.3</v>
      </c>
      <c r="J85" s="35">
        <v>-23</v>
      </c>
      <c r="K85" s="35">
        <v>-20.7</v>
      </c>
      <c r="L85" s="35">
        <v>-13</v>
      </c>
      <c r="M85" s="35">
        <v>-23</v>
      </c>
      <c r="N85" s="35">
        <v>-1.4</v>
      </c>
      <c r="O85" s="35">
        <v>-1.8</v>
      </c>
      <c r="P85" s="35">
        <v>-5</v>
      </c>
      <c r="Q85" s="35">
        <v>-0.9</v>
      </c>
      <c r="R85" s="35">
        <v>-2</v>
      </c>
      <c r="S85" s="35">
        <v>-5</v>
      </c>
      <c r="T85" s="35">
        <v>15</v>
      </c>
      <c r="U85" s="35">
        <v>40</v>
      </c>
      <c r="V85" s="35">
        <v>14.6</v>
      </c>
      <c r="W85" s="35">
        <v>40</v>
      </c>
      <c r="X85" s="35">
        <v>14.6</v>
      </c>
      <c r="Y85" s="35">
        <v>41.6</v>
      </c>
      <c r="Z85" s="35">
        <v>14.5</v>
      </c>
      <c r="AA85" s="35">
        <v>40.200000000000003</v>
      </c>
      <c r="AB85" s="35">
        <v>20.5</v>
      </c>
      <c r="AC85" s="35">
        <v>20</v>
      </c>
      <c r="AD85" s="35">
        <v>20.5</v>
      </c>
      <c r="AE85" s="35">
        <v>20</v>
      </c>
    </row>
    <row r="86" spans="1:31" x14ac:dyDescent="0.35">
      <c r="A86" s="36">
        <v>46059.504861111112</v>
      </c>
      <c r="B86" s="35">
        <v>-19.2</v>
      </c>
      <c r="C86" s="35">
        <v>-22.2</v>
      </c>
      <c r="D86" s="35">
        <v>-23</v>
      </c>
      <c r="E86" s="35">
        <v>-20</v>
      </c>
      <c r="F86" s="35">
        <v>-18.600000000000001</v>
      </c>
      <c r="G86" s="35">
        <v>-23</v>
      </c>
      <c r="H86" s="35">
        <v>-20.8</v>
      </c>
      <c r="I86" s="35">
        <v>-21.3</v>
      </c>
      <c r="J86" s="35">
        <v>-23</v>
      </c>
      <c r="K86" s="35">
        <v>-20.7</v>
      </c>
      <c r="L86" s="35">
        <v>-13.3</v>
      </c>
      <c r="M86" s="35">
        <v>-23</v>
      </c>
      <c r="N86" s="35">
        <v>-1.5</v>
      </c>
      <c r="O86" s="35">
        <v>-1.9</v>
      </c>
      <c r="P86" s="35">
        <v>-5</v>
      </c>
      <c r="Q86" s="35">
        <v>-1</v>
      </c>
      <c r="R86" s="35">
        <v>-2</v>
      </c>
      <c r="S86" s="35">
        <v>-5</v>
      </c>
      <c r="T86" s="35">
        <v>15</v>
      </c>
      <c r="U86" s="35">
        <v>40</v>
      </c>
      <c r="V86" s="35">
        <v>14.6</v>
      </c>
      <c r="W86" s="35">
        <v>40</v>
      </c>
      <c r="X86" s="35">
        <v>14.6</v>
      </c>
      <c r="Y86" s="35">
        <v>41.6</v>
      </c>
      <c r="Z86" s="35">
        <v>14.5</v>
      </c>
      <c r="AA86" s="35">
        <v>40.200000000000003</v>
      </c>
      <c r="AB86" s="35">
        <v>20.5</v>
      </c>
      <c r="AC86" s="35">
        <v>20</v>
      </c>
      <c r="AD86" s="35">
        <v>20.5</v>
      </c>
      <c r="AE86" s="35">
        <v>20</v>
      </c>
    </row>
    <row r="87" spans="1:31" x14ac:dyDescent="0.35">
      <c r="A87" s="36">
        <v>46059.505555555559</v>
      </c>
      <c r="B87" s="35">
        <v>-19.399999999999999</v>
      </c>
      <c r="C87" s="35">
        <v>-21.8</v>
      </c>
      <c r="D87" s="35">
        <v>-23</v>
      </c>
      <c r="E87" s="35">
        <v>-20.100000000000001</v>
      </c>
      <c r="F87" s="35">
        <v>-18.7</v>
      </c>
      <c r="G87" s="35">
        <v>-23</v>
      </c>
      <c r="H87" s="35">
        <v>-20.8</v>
      </c>
      <c r="I87" s="35">
        <v>-21.3</v>
      </c>
      <c r="J87" s="35">
        <v>-23</v>
      </c>
      <c r="K87" s="35">
        <v>-20.7</v>
      </c>
      <c r="L87" s="35">
        <v>-13.5</v>
      </c>
      <c r="M87" s="35">
        <v>-23</v>
      </c>
      <c r="N87" s="35">
        <v>-1.5</v>
      </c>
      <c r="O87" s="35">
        <v>-2</v>
      </c>
      <c r="P87" s="35">
        <v>-5</v>
      </c>
      <c r="Q87" s="35">
        <v>-1</v>
      </c>
      <c r="R87" s="35">
        <v>-2</v>
      </c>
      <c r="S87" s="35">
        <v>-5</v>
      </c>
      <c r="T87" s="35">
        <v>15</v>
      </c>
      <c r="U87" s="35">
        <v>40</v>
      </c>
      <c r="V87" s="35">
        <v>14.5</v>
      </c>
      <c r="W87" s="35">
        <v>40</v>
      </c>
      <c r="X87" s="35">
        <v>14.6</v>
      </c>
      <c r="Y87" s="35">
        <v>41.6</v>
      </c>
      <c r="Z87" s="35">
        <v>14.5</v>
      </c>
      <c r="AA87" s="35">
        <v>40.200000000000003</v>
      </c>
      <c r="AB87" s="35">
        <v>20.5</v>
      </c>
      <c r="AC87" s="35">
        <v>20</v>
      </c>
      <c r="AD87" s="35">
        <v>20.5</v>
      </c>
      <c r="AE87" s="35">
        <v>20</v>
      </c>
    </row>
    <row r="88" spans="1:31" x14ac:dyDescent="0.35">
      <c r="A88" s="36">
        <v>46059.506249999999</v>
      </c>
      <c r="B88" s="35">
        <v>-19.399999999999999</v>
      </c>
      <c r="C88" s="35">
        <v>-21</v>
      </c>
      <c r="D88" s="35">
        <v>-23</v>
      </c>
      <c r="E88" s="35">
        <v>-20</v>
      </c>
      <c r="F88" s="35">
        <v>-18.7</v>
      </c>
      <c r="G88" s="35">
        <v>-23</v>
      </c>
      <c r="H88" s="35">
        <v>-20.9</v>
      </c>
      <c r="I88" s="35">
        <v>-21.7</v>
      </c>
      <c r="J88" s="35">
        <v>-23</v>
      </c>
      <c r="K88" s="35">
        <v>-21</v>
      </c>
      <c r="L88" s="35">
        <v>-13.7</v>
      </c>
      <c r="M88" s="35">
        <v>-23</v>
      </c>
      <c r="N88" s="35">
        <v>-1.6</v>
      </c>
      <c r="O88" s="35">
        <v>-2.1</v>
      </c>
      <c r="P88" s="35">
        <v>-5</v>
      </c>
      <c r="Q88" s="35">
        <v>-1</v>
      </c>
      <c r="R88" s="35">
        <v>-2</v>
      </c>
      <c r="S88" s="35">
        <v>-5</v>
      </c>
      <c r="T88" s="35">
        <v>15</v>
      </c>
      <c r="U88" s="35">
        <v>40</v>
      </c>
      <c r="V88" s="35">
        <v>14.5</v>
      </c>
      <c r="W88" s="35">
        <v>40</v>
      </c>
      <c r="X88" s="35">
        <v>14.6</v>
      </c>
      <c r="Y88" s="35">
        <v>41.6</v>
      </c>
      <c r="Z88" s="35">
        <v>14.5</v>
      </c>
      <c r="AA88" s="35">
        <v>40.200000000000003</v>
      </c>
      <c r="AB88" s="35">
        <v>20.5</v>
      </c>
      <c r="AC88" s="35">
        <v>20</v>
      </c>
      <c r="AD88" s="35">
        <v>20.5</v>
      </c>
      <c r="AE88" s="35">
        <v>20</v>
      </c>
    </row>
    <row r="89" spans="1:31" x14ac:dyDescent="0.35">
      <c r="A89" s="36">
        <v>46059.506944444445</v>
      </c>
      <c r="B89" s="35">
        <v>-19.399999999999999</v>
      </c>
      <c r="C89" s="35">
        <v>-20.5</v>
      </c>
      <c r="D89" s="35">
        <v>-23</v>
      </c>
      <c r="E89" s="35">
        <v>-19.8</v>
      </c>
      <c r="F89" s="35">
        <v>-18.8</v>
      </c>
      <c r="G89" s="35">
        <v>-23</v>
      </c>
      <c r="H89" s="35">
        <v>-21.1</v>
      </c>
      <c r="I89" s="35">
        <v>-21.8</v>
      </c>
      <c r="J89" s="35">
        <v>-23</v>
      </c>
      <c r="K89" s="35">
        <v>-21.2</v>
      </c>
      <c r="L89" s="35">
        <v>-13.9</v>
      </c>
      <c r="M89" s="35">
        <v>-23</v>
      </c>
      <c r="N89" s="35">
        <v>-1.6</v>
      </c>
      <c r="O89" s="35">
        <v>-2.2000000000000002</v>
      </c>
      <c r="P89" s="35">
        <v>-5</v>
      </c>
      <c r="Q89" s="35">
        <v>-1</v>
      </c>
      <c r="R89" s="35">
        <v>-2.1</v>
      </c>
      <c r="S89" s="35">
        <v>-5</v>
      </c>
      <c r="T89" s="35">
        <v>15</v>
      </c>
      <c r="U89" s="35">
        <v>40</v>
      </c>
      <c r="V89" s="35">
        <v>14.5</v>
      </c>
      <c r="W89" s="35">
        <v>40</v>
      </c>
      <c r="X89" s="35">
        <v>14.6</v>
      </c>
      <c r="Y89" s="35">
        <v>41.6</v>
      </c>
      <c r="Z89" s="35">
        <v>14.6</v>
      </c>
      <c r="AA89" s="35">
        <v>40.200000000000003</v>
      </c>
      <c r="AB89" s="35">
        <v>20.5</v>
      </c>
      <c r="AC89" s="35">
        <v>20</v>
      </c>
      <c r="AD89" s="35">
        <v>20.5</v>
      </c>
      <c r="AE89" s="35">
        <v>20</v>
      </c>
    </row>
    <row r="90" spans="1:31" x14ac:dyDescent="0.35">
      <c r="A90" s="36">
        <v>46059.507638888892</v>
      </c>
      <c r="B90" s="35">
        <v>-19.399999999999999</v>
      </c>
      <c r="C90" s="35">
        <v>-20.100000000000001</v>
      </c>
      <c r="D90" s="35">
        <v>-23</v>
      </c>
      <c r="E90" s="35">
        <v>-19.7</v>
      </c>
      <c r="F90" s="35">
        <v>-18.8</v>
      </c>
      <c r="G90" s="35">
        <v>-23</v>
      </c>
      <c r="H90" s="35">
        <v>-21.2</v>
      </c>
      <c r="I90" s="35">
        <v>-21.8</v>
      </c>
      <c r="J90" s="35">
        <v>-23</v>
      </c>
      <c r="K90" s="35">
        <v>-21.4</v>
      </c>
      <c r="L90" s="35">
        <v>-14.2</v>
      </c>
      <c r="M90" s="35">
        <v>-23</v>
      </c>
      <c r="N90" s="35">
        <v>-1.7</v>
      </c>
      <c r="O90" s="35">
        <v>-2.2999999999999998</v>
      </c>
      <c r="P90" s="35">
        <v>-5</v>
      </c>
      <c r="Q90" s="35">
        <v>-1</v>
      </c>
      <c r="R90" s="35">
        <v>-2.1</v>
      </c>
      <c r="S90" s="35">
        <v>-5</v>
      </c>
      <c r="T90" s="35">
        <v>15</v>
      </c>
      <c r="U90" s="35">
        <v>40</v>
      </c>
      <c r="V90" s="35">
        <v>14.5</v>
      </c>
      <c r="W90" s="35">
        <v>40</v>
      </c>
      <c r="X90" s="35">
        <v>14.6</v>
      </c>
      <c r="Y90" s="35">
        <v>41.6</v>
      </c>
      <c r="Z90" s="35">
        <v>14.6</v>
      </c>
      <c r="AA90" s="35">
        <v>40.200000000000003</v>
      </c>
      <c r="AB90" s="35">
        <v>20.5</v>
      </c>
      <c r="AC90" s="35">
        <v>20</v>
      </c>
      <c r="AD90" s="35">
        <v>20.5</v>
      </c>
      <c r="AE90" s="35">
        <v>20</v>
      </c>
    </row>
    <row r="91" spans="1:31" x14ac:dyDescent="0.35">
      <c r="A91" s="36">
        <v>46059.509027777778</v>
      </c>
      <c r="B91" s="35">
        <v>-19.399999999999999</v>
      </c>
      <c r="C91" s="35">
        <v>-20.100000000000001</v>
      </c>
      <c r="D91" s="35">
        <v>-23</v>
      </c>
      <c r="E91" s="35">
        <v>-19.7</v>
      </c>
      <c r="F91" s="35">
        <v>-18.8</v>
      </c>
      <c r="G91" s="35">
        <v>-23</v>
      </c>
      <c r="H91" s="35">
        <v>-21.4</v>
      </c>
      <c r="I91" s="35">
        <v>-21.9</v>
      </c>
      <c r="J91" s="35">
        <v>-23</v>
      </c>
      <c r="K91" s="35">
        <v>-21.5</v>
      </c>
      <c r="L91" s="35">
        <v>-14.6</v>
      </c>
      <c r="M91" s="35">
        <v>-23</v>
      </c>
      <c r="N91" s="35">
        <v>-1.8</v>
      </c>
      <c r="O91" s="35">
        <v>-2.4</v>
      </c>
      <c r="P91" s="35">
        <v>-5</v>
      </c>
      <c r="Q91" s="35">
        <v>-1.1000000000000001</v>
      </c>
      <c r="R91" s="35">
        <v>-2.2000000000000002</v>
      </c>
      <c r="S91" s="35">
        <v>-5</v>
      </c>
      <c r="T91" s="35">
        <v>15</v>
      </c>
      <c r="U91" s="35">
        <v>40</v>
      </c>
      <c r="V91" s="35">
        <v>14.5</v>
      </c>
      <c r="W91" s="35">
        <v>40</v>
      </c>
      <c r="X91" s="35">
        <v>14.6</v>
      </c>
      <c r="Y91" s="35">
        <v>41.6</v>
      </c>
      <c r="Z91" s="35">
        <v>14.6</v>
      </c>
      <c r="AA91" s="35">
        <v>40.200000000000003</v>
      </c>
      <c r="AB91" s="35">
        <v>20.6</v>
      </c>
      <c r="AC91" s="35">
        <v>20</v>
      </c>
      <c r="AD91" s="35">
        <v>20.5</v>
      </c>
      <c r="AE91" s="35">
        <v>20</v>
      </c>
    </row>
    <row r="92" spans="1:31" x14ac:dyDescent="0.35">
      <c r="A92" s="36">
        <v>46059.509722222225</v>
      </c>
      <c r="B92" s="35">
        <v>-19.399999999999999</v>
      </c>
      <c r="C92" s="35">
        <v>-22.1</v>
      </c>
      <c r="D92" s="35">
        <v>-23</v>
      </c>
      <c r="E92" s="35">
        <v>-20.100000000000001</v>
      </c>
      <c r="F92" s="35">
        <v>-18.899999999999999</v>
      </c>
      <c r="G92" s="35">
        <v>-23</v>
      </c>
      <c r="H92" s="35">
        <v>-21.4</v>
      </c>
      <c r="I92" s="35">
        <v>-21.8</v>
      </c>
      <c r="J92" s="35">
        <v>-23</v>
      </c>
      <c r="K92" s="35">
        <v>-21.3</v>
      </c>
      <c r="L92" s="35">
        <v>-14.8</v>
      </c>
      <c r="M92" s="35">
        <v>-23</v>
      </c>
      <c r="N92" s="35">
        <v>-1.9</v>
      </c>
      <c r="O92" s="35">
        <v>-2.5</v>
      </c>
      <c r="P92" s="35">
        <v>-5</v>
      </c>
      <c r="Q92" s="35">
        <v>-1.2</v>
      </c>
      <c r="R92" s="35">
        <v>-2.2000000000000002</v>
      </c>
      <c r="S92" s="35">
        <v>-5</v>
      </c>
      <c r="T92" s="35">
        <v>14.9</v>
      </c>
      <c r="U92" s="35">
        <v>40</v>
      </c>
      <c r="V92" s="35">
        <v>14.5</v>
      </c>
      <c r="W92" s="35">
        <v>40</v>
      </c>
      <c r="X92" s="35">
        <v>14.6</v>
      </c>
      <c r="Y92" s="35">
        <v>41.6</v>
      </c>
      <c r="Z92" s="35">
        <v>14.6</v>
      </c>
      <c r="AA92" s="35">
        <v>40.200000000000003</v>
      </c>
      <c r="AB92" s="35">
        <v>20.6</v>
      </c>
      <c r="AC92" s="35">
        <v>20</v>
      </c>
      <c r="AD92" s="35">
        <v>20.5</v>
      </c>
      <c r="AE92" s="35">
        <v>20</v>
      </c>
    </row>
    <row r="93" spans="1:31" x14ac:dyDescent="0.35">
      <c r="A93" s="36">
        <v>46059.510416666664</v>
      </c>
      <c r="B93" s="35">
        <v>-19.600000000000001</v>
      </c>
      <c r="C93" s="35">
        <v>-22.9</v>
      </c>
      <c r="D93" s="35">
        <v>-23</v>
      </c>
      <c r="E93" s="35">
        <v>-20.399999999999999</v>
      </c>
      <c r="F93" s="35">
        <v>-19</v>
      </c>
      <c r="G93" s="35">
        <v>-23</v>
      </c>
      <c r="H93" s="35">
        <v>-21.4</v>
      </c>
      <c r="I93" s="35">
        <v>-21.7</v>
      </c>
      <c r="J93" s="35">
        <v>-23</v>
      </c>
      <c r="K93" s="35">
        <v>-21.1</v>
      </c>
      <c r="L93" s="35">
        <v>-14.9</v>
      </c>
      <c r="M93" s="35">
        <v>-23</v>
      </c>
      <c r="N93" s="35">
        <v>-1.9</v>
      </c>
      <c r="O93" s="35">
        <v>-2.5</v>
      </c>
      <c r="P93" s="35">
        <v>-5</v>
      </c>
      <c r="Q93" s="35">
        <v>-1.3</v>
      </c>
      <c r="R93" s="35">
        <v>-2.2999999999999998</v>
      </c>
      <c r="S93" s="35">
        <v>-5</v>
      </c>
      <c r="T93" s="35">
        <v>14.9</v>
      </c>
      <c r="U93" s="35">
        <v>40</v>
      </c>
      <c r="V93" s="35">
        <v>14.5</v>
      </c>
      <c r="W93" s="35">
        <v>40</v>
      </c>
      <c r="X93" s="35">
        <v>14.6</v>
      </c>
      <c r="Y93" s="35">
        <v>41.6</v>
      </c>
      <c r="Z93" s="35">
        <v>14.6</v>
      </c>
      <c r="AA93" s="35">
        <v>40.200000000000003</v>
      </c>
      <c r="AB93" s="35">
        <v>20.6</v>
      </c>
      <c r="AC93" s="35">
        <v>20</v>
      </c>
      <c r="AD93" s="35">
        <v>20.5</v>
      </c>
      <c r="AE93" s="35">
        <v>20</v>
      </c>
    </row>
    <row r="94" spans="1:31" x14ac:dyDescent="0.35">
      <c r="A94" s="36">
        <v>46059.511111111111</v>
      </c>
      <c r="B94" s="35">
        <v>-19.7</v>
      </c>
      <c r="C94" s="35">
        <v>-22.1</v>
      </c>
      <c r="D94" s="35">
        <v>-23</v>
      </c>
      <c r="E94" s="35">
        <v>-20.5</v>
      </c>
      <c r="F94" s="35">
        <v>-19.100000000000001</v>
      </c>
      <c r="G94" s="35">
        <v>-23</v>
      </c>
      <c r="H94" s="35">
        <v>-21.4</v>
      </c>
      <c r="I94" s="35">
        <v>-21.6</v>
      </c>
      <c r="J94" s="35">
        <v>-23</v>
      </c>
      <c r="K94" s="35">
        <v>-21.1</v>
      </c>
      <c r="L94" s="35">
        <v>-15</v>
      </c>
      <c r="M94" s="35">
        <v>-23</v>
      </c>
      <c r="N94" s="35">
        <v>-1.9</v>
      </c>
      <c r="O94" s="35">
        <v>-2.5</v>
      </c>
      <c r="P94" s="35">
        <v>-5</v>
      </c>
      <c r="Q94" s="35">
        <v>-1.3</v>
      </c>
      <c r="R94" s="35">
        <v>-2.2999999999999998</v>
      </c>
      <c r="S94" s="35">
        <v>-5</v>
      </c>
      <c r="T94" s="35">
        <v>14.9</v>
      </c>
      <c r="U94" s="35">
        <v>40</v>
      </c>
      <c r="V94" s="35">
        <v>14.5</v>
      </c>
      <c r="W94" s="35">
        <v>40</v>
      </c>
      <c r="X94" s="35">
        <v>14.6</v>
      </c>
      <c r="Y94" s="35">
        <v>41.6</v>
      </c>
      <c r="Z94" s="35">
        <v>14.6</v>
      </c>
      <c r="AA94" s="35">
        <v>40.200000000000003</v>
      </c>
      <c r="AB94" s="35">
        <v>20.6</v>
      </c>
      <c r="AC94" s="35">
        <v>20</v>
      </c>
      <c r="AD94" s="35">
        <v>20.5</v>
      </c>
      <c r="AE94" s="35">
        <v>20</v>
      </c>
    </row>
    <row r="95" spans="1:31" x14ac:dyDescent="0.35">
      <c r="A95" s="36">
        <v>46059.511805555558</v>
      </c>
      <c r="B95" s="35">
        <v>-19.8</v>
      </c>
      <c r="C95" s="35">
        <v>-21.5</v>
      </c>
      <c r="D95" s="35">
        <v>-23</v>
      </c>
      <c r="E95" s="35">
        <v>-20.6</v>
      </c>
      <c r="F95" s="35">
        <v>-19.100000000000001</v>
      </c>
      <c r="G95" s="35">
        <v>-23</v>
      </c>
      <c r="H95" s="35">
        <v>-21.4</v>
      </c>
      <c r="I95" s="35">
        <v>-21.7</v>
      </c>
      <c r="J95" s="35">
        <v>-23</v>
      </c>
      <c r="K95" s="35">
        <v>-21.2</v>
      </c>
      <c r="L95" s="35">
        <v>-15.2</v>
      </c>
      <c r="M95" s="35">
        <v>-23</v>
      </c>
      <c r="N95" s="35">
        <v>-2</v>
      </c>
      <c r="O95" s="35">
        <v>-2.6</v>
      </c>
      <c r="P95" s="35">
        <v>-5</v>
      </c>
      <c r="Q95" s="35">
        <v>-1.3</v>
      </c>
      <c r="R95" s="35">
        <v>-2.2999999999999998</v>
      </c>
      <c r="S95" s="35">
        <v>-5</v>
      </c>
      <c r="T95" s="35">
        <v>14.9</v>
      </c>
      <c r="U95" s="35">
        <v>40</v>
      </c>
      <c r="V95" s="35">
        <v>14.5</v>
      </c>
      <c r="W95" s="35">
        <v>40</v>
      </c>
      <c r="X95" s="35">
        <v>14.6</v>
      </c>
      <c r="Y95" s="35">
        <v>41.6</v>
      </c>
      <c r="Z95" s="35">
        <v>14.6</v>
      </c>
      <c r="AA95" s="35">
        <v>40.200000000000003</v>
      </c>
      <c r="AB95" s="35">
        <v>20.6</v>
      </c>
      <c r="AC95" s="35">
        <v>20</v>
      </c>
      <c r="AD95" s="35">
        <v>20.6</v>
      </c>
      <c r="AE95" s="35">
        <v>20</v>
      </c>
    </row>
    <row r="96" spans="1:31" x14ac:dyDescent="0.35">
      <c r="A96" s="36">
        <v>46059.512499999997</v>
      </c>
      <c r="B96" s="35">
        <v>-19.8</v>
      </c>
      <c r="C96" s="35">
        <v>-21.1</v>
      </c>
      <c r="D96" s="35">
        <v>-23</v>
      </c>
      <c r="E96" s="35">
        <v>-20.6</v>
      </c>
      <c r="F96" s="35">
        <v>-19.2</v>
      </c>
      <c r="G96" s="35">
        <v>-23</v>
      </c>
      <c r="H96" s="35">
        <v>-21.4</v>
      </c>
      <c r="I96" s="35">
        <v>-22.1</v>
      </c>
      <c r="J96" s="35">
        <v>-23</v>
      </c>
      <c r="K96" s="35">
        <v>-21.5</v>
      </c>
      <c r="L96" s="35">
        <v>-15.3</v>
      </c>
      <c r="M96" s="35">
        <v>-23</v>
      </c>
      <c r="N96" s="35">
        <v>-2</v>
      </c>
      <c r="O96" s="35">
        <v>-2.7</v>
      </c>
      <c r="P96" s="35">
        <v>-5</v>
      </c>
      <c r="Q96" s="35">
        <v>-1.3</v>
      </c>
      <c r="R96" s="35">
        <v>-2.2999999999999998</v>
      </c>
      <c r="S96" s="35">
        <v>-5</v>
      </c>
      <c r="T96" s="35">
        <v>14.9</v>
      </c>
      <c r="U96" s="35">
        <v>40</v>
      </c>
      <c r="V96" s="35">
        <v>14.5</v>
      </c>
      <c r="W96" s="35">
        <v>40</v>
      </c>
      <c r="X96" s="35">
        <v>14.6</v>
      </c>
      <c r="Y96" s="35">
        <v>41.6</v>
      </c>
      <c r="Z96" s="35">
        <v>14.6</v>
      </c>
      <c r="AA96" s="35">
        <v>40.200000000000003</v>
      </c>
      <c r="AB96" s="35">
        <v>20.6</v>
      </c>
      <c r="AC96" s="35">
        <v>20</v>
      </c>
      <c r="AD96" s="35">
        <v>20.6</v>
      </c>
      <c r="AE96" s="35">
        <v>20</v>
      </c>
    </row>
    <row r="97" spans="1:31" x14ac:dyDescent="0.35">
      <c r="A97" s="36">
        <v>46059.513194444444</v>
      </c>
      <c r="B97" s="35">
        <v>-19.8</v>
      </c>
      <c r="C97" s="35">
        <v>-20.8</v>
      </c>
      <c r="D97" s="35">
        <v>-23</v>
      </c>
      <c r="E97" s="35">
        <v>-20.5</v>
      </c>
      <c r="F97" s="35">
        <v>-19.2</v>
      </c>
      <c r="G97" s="35">
        <v>-23</v>
      </c>
      <c r="H97" s="35">
        <v>-21.5</v>
      </c>
      <c r="I97" s="35">
        <v>-22.1</v>
      </c>
      <c r="J97" s="35">
        <v>-23</v>
      </c>
      <c r="K97" s="35">
        <v>-21.6</v>
      </c>
      <c r="L97" s="35">
        <v>-15.5</v>
      </c>
      <c r="M97" s="35">
        <v>-23</v>
      </c>
      <c r="N97" s="35">
        <v>-2</v>
      </c>
      <c r="O97" s="35">
        <v>-2.8</v>
      </c>
      <c r="P97" s="35">
        <v>-5</v>
      </c>
      <c r="Q97" s="35">
        <v>-1.3</v>
      </c>
      <c r="R97" s="35">
        <v>-2.2999999999999998</v>
      </c>
      <c r="S97" s="35">
        <v>-5</v>
      </c>
      <c r="T97" s="35">
        <v>14.9</v>
      </c>
      <c r="U97" s="35">
        <v>40</v>
      </c>
      <c r="V97" s="35">
        <v>14.5</v>
      </c>
      <c r="W97" s="35">
        <v>40</v>
      </c>
      <c r="X97" s="35">
        <v>14.6</v>
      </c>
      <c r="Y97" s="35">
        <v>41.6</v>
      </c>
      <c r="Z97" s="35">
        <v>14.7</v>
      </c>
      <c r="AA97" s="35">
        <v>40.200000000000003</v>
      </c>
      <c r="AB97" s="35">
        <v>20.6</v>
      </c>
      <c r="AC97" s="35">
        <v>20</v>
      </c>
      <c r="AD97" s="35">
        <v>20.6</v>
      </c>
      <c r="AE97" s="35">
        <v>20</v>
      </c>
    </row>
    <row r="98" spans="1:31" x14ac:dyDescent="0.35">
      <c r="A98" s="36">
        <v>46059.513888888891</v>
      </c>
      <c r="B98" s="35">
        <v>-19.8</v>
      </c>
      <c r="C98" s="35">
        <v>-20.8</v>
      </c>
      <c r="D98" s="35">
        <v>-23</v>
      </c>
      <c r="E98" s="35">
        <v>-20.5</v>
      </c>
      <c r="F98" s="35">
        <v>-19.3</v>
      </c>
      <c r="G98" s="35">
        <v>-23</v>
      </c>
      <c r="H98" s="35">
        <v>-21.6</v>
      </c>
      <c r="I98" s="35">
        <v>-22.1</v>
      </c>
      <c r="J98" s="35">
        <v>-23</v>
      </c>
      <c r="K98" s="35">
        <v>-21.7</v>
      </c>
      <c r="L98" s="35">
        <v>-15.7</v>
      </c>
      <c r="M98" s="35">
        <v>-23</v>
      </c>
      <c r="N98" s="35">
        <v>-2.1</v>
      </c>
      <c r="O98" s="35">
        <v>-2.8</v>
      </c>
      <c r="P98" s="35">
        <v>-5</v>
      </c>
      <c r="Q98" s="35">
        <v>-1.3</v>
      </c>
      <c r="R98" s="35">
        <v>-2.2999999999999998</v>
      </c>
      <c r="S98" s="35">
        <v>-5</v>
      </c>
      <c r="T98" s="35">
        <v>14.9</v>
      </c>
      <c r="U98" s="35">
        <v>40</v>
      </c>
      <c r="V98" s="35">
        <v>14.5</v>
      </c>
      <c r="W98" s="35">
        <v>40</v>
      </c>
      <c r="X98" s="35">
        <v>14.6</v>
      </c>
      <c r="Y98" s="35">
        <v>41.6</v>
      </c>
      <c r="Z98" s="35">
        <v>14.7</v>
      </c>
      <c r="AA98" s="35">
        <v>40.200000000000003</v>
      </c>
      <c r="AB98" s="35">
        <v>20.6</v>
      </c>
      <c r="AC98" s="35">
        <v>20</v>
      </c>
      <c r="AD98" s="35">
        <v>20.6</v>
      </c>
      <c r="AE98" s="35">
        <v>20</v>
      </c>
    </row>
    <row r="99" spans="1:31" x14ac:dyDescent="0.35">
      <c r="A99" s="36">
        <v>46059.51458333333</v>
      </c>
      <c r="B99" s="35">
        <v>-19.8</v>
      </c>
      <c r="C99" s="35">
        <v>-21.4</v>
      </c>
      <c r="D99" s="35">
        <v>-23</v>
      </c>
      <c r="E99" s="35">
        <v>-20.6</v>
      </c>
      <c r="F99" s="35">
        <v>-19.3</v>
      </c>
      <c r="G99" s="35">
        <v>-23</v>
      </c>
      <c r="H99" s="35">
        <v>-21.6</v>
      </c>
      <c r="I99" s="35">
        <v>-22.1</v>
      </c>
      <c r="J99" s="35">
        <v>-23</v>
      </c>
      <c r="K99" s="35">
        <v>-21.7</v>
      </c>
      <c r="L99" s="35">
        <v>-15.8</v>
      </c>
      <c r="M99" s="35">
        <v>-23</v>
      </c>
      <c r="N99" s="35">
        <v>-2.1</v>
      </c>
      <c r="O99" s="35">
        <v>-2.9</v>
      </c>
      <c r="P99" s="35">
        <v>-5</v>
      </c>
      <c r="Q99" s="35">
        <v>-1.3</v>
      </c>
      <c r="R99" s="35">
        <v>-2.2999999999999998</v>
      </c>
      <c r="S99" s="35">
        <v>-5</v>
      </c>
      <c r="T99" s="35">
        <v>14.9</v>
      </c>
      <c r="U99" s="35">
        <v>40</v>
      </c>
      <c r="V99" s="35">
        <v>14.5</v>
      </c>
      <c r="W99" s="35">
        <v>40</v>
      </c>
      <c r="X99" s="35">
        <v>14.6</v>
      </c>
      <c r="Y99" s="35">
        <v>41.6</v>
      </c>
      <c r="Z99" s="35">
        <v>14.7</v>
      </c>
      <c r="AA99" s="35">
        <v>40.200000000000003</v>
      </c>
      <c r="AB99" s="35">
        <v>20.6</v>
      </c>
      <c r="AC99" s="35">
        <v>20</v>
      </c>
      <c r="AD99" s="35">
        <v>20.6</v>
      </c>
      <c r="AE99" s="35">
        <v>20</v>
      </c>
    </row>
    <row r="100" spans="1:31" x14ac:dyDescent="0.35">
      <c r="A100" s="36">
        <v>46059.515277777777</v>
      </c>
      <c r="B100" s="35">
        <v>-20.100000000000001</v>
      </c>
      <c r="C100" s="35">
        <v>-23.3</v>
      </c>
      <c r="D100" s="35">
        <v>-23</v>
      </c>
      <c r="E100" s="35">
        <v>-20.9</v>
      </c>
      <c r="F100" s="35">
        <v>-19.399999999999999</v>
      </c>
      <c r="G100" s="35">
        <v>-23</v>
      </c>
      <c r="H100" s="35">
        <v>-21.6</v>
      </c>
      <c r="I100" s="35">
        <v>-22.1</v>
      </c>
      <c r="J100" s="35">
        <v>-23</v>
      </c>
      <c r="K100" s="35">
        <v>-21.7</v>
      </c>
      <c r="L100" s="35">
        <v>-15.9</v>
      </c>
      <c r="M100" s="35">
        <v>-23</v>
      </c>
      <c r="N100" s="35">
        <v>-2.2000000000000002</v>
      </c>
      <c r="O100" s="35">
        <v>-2.9</v>
      </c>
      <c r="P100" s="35">
        <v>-5</v>
      </c>
      <c r="Q100" s="35">
        <v>-1.4</v>
      </c>
      <c r="R100" s="35">
        <v>-2.4</v>
      </c>
      <c r="S100" s="35">
        <v>-5</v>
      </c>
      <c r="T100" s="35">
        <v>14.9</v>
      </c>
      <c r="U100" s="35">
        <v>40</v>
      </c>
      <c r="V100" s="35">
        <v>14.5</v>
      </c>
      <c r="W100" s="35">
        <v>40</v>
      </c>
      <c r="X100" s="35">
        <v>14.6</v>
      </c>
      <c r="Y100" s="35">
        <v>41.6</v>
      </c>
      <c r="Z100" s="35">
        <v>14.7</v>
      </c>
      <c r="AA100" s="35">
        <v>40.200000000000003</v>
      </c>
      <c r="AB100" s="35">
        <v>20.6</v>
      </c>
      <c r="AC100" s="35">
        <v>20</v>
      </c>
      <c r="AD100" s="35">
        <v>20.6</v>
      </c>
      <c r="AE100" s="35">
        <v>20</v>
      </c>
    </row>
    <row r="101" spans="1:31" x14ac:dyDescent="0.35">
      <c r="A101" s="36">
        <v>46059.515972222223</v>
      </c>
      <c r="B101" s="35">
        <v>-20.2</v>
      </c>
      <c r="C101" s="35">
        <v>-23</v>
      </c>
      <c r="D101" s="35">
        <v>-23</v>
      </c>
      <c r="E101" s="35">
        <v>-21.1</v>
      </c>
      <c r="F101" s="35">
        <v>-19.5</v>
      </c>
      <c r="G101" s="35">
        <v>-23</v>
      </c>
      <c r="H101" s="35">
        <v>-21.6</v>
      </c>
      <c r="I101" s="35">
        <v>-22</v>
      </c>
      <c r="J101" s="35">
        <v>-23</v>
      </c>
      <c r="K101" s="35">
        <v>-21.6</v>
      </c>
      <c r="L101" s="35">
        <v>-16</v>
      </c>
      <c r="M101" s="35">
        <v>-23</v>
      </c>
      <c r="N101" s="35">
        <v>-2.2000000000000002</v>
      </c>
      <c r="O101" s="35">
        <v>-3</v>
      </c>
      <c r="P101" s="35">
        <v>-5</v>
      </c>
      <c r="Q101" s="35">
        <v>-1.6</v>
      </c>
      <c r="R101" s="35">
        <v>-2.5</v>
      </c>
      <c r="S101" s="35">
        <v>-5</v>
      </c>
      <c r="T101" s="35">
        <v>14.9</v>
      </c>
      <c r="U101" s="35">
        <v>40</v>
      </c>
      <c r="V101" s="35">
        <v>14.4</v>
      </c>
      <c r="W101" s="35">
        <v>40</v>
      </c>
      <c r="X101" s="35">
        <v>14.6</v>
      </c>
      <c r="Y101" s="35">
        <v>41.6</v>
      </c>
      <c r="Z101" s="35">
        <v>14.7</v>
      </c>
      <c r="AA101" s="35">
        <v>40.200000000000003</v>
      </c>
      <c r="AB101" s="35">
        <v>20.6</v>
      </c>
      <c r="AC101" s="35">
        <v>20</v>
      </c>
      <c r="AD101" s="35">
        <v>20.6</v>
      </c>
      <c r="AE101" s="35">
        <v>20</v>
      </c>
    </row>
    <row r="102" spans="1:31" x14ac:dyDescent="0.35">
      <c r="A102" s="36">
        <v>46059.51666666667</v>
      </c>
      <c r="B102" s="35">
        <v>-20.3</v>
      </c>
      <c r="C102" s="35">
        <v>-22.3</v>
      </c>
      <c r="D102" s="35">
        <v>-23</v>
      </c>
      <c r="E102" s="35">
        <v>-21.1</v>
      </c>
      <c r="F102" s="35">
        <v>-19.600000000000001</v>
      </c>
      <c r="G102" s="35">
        <v>-23</v>
      </c>
      <c r="H102" s="35">
        <v>-21.6</v>
      </c>
      <c r="I102" s="35">
        <v>-22</v>
      </c>
      <c r="J102" s="35">
        <v>-23</v>
      </c>
      <c r="K102" s="35">
        <v>-21.6</v>
      </c>
      <c r="L102" s="35">
        <v>-16.100000000000001</v>
      </c>
      <c r="M102" s="35">
        <v>-23</v>
      </c>
      <c r="N102" s="35">
        <v>-2.2999999999999998</v>
      </c>
      <c r="O102" s="35">
        <v>-3</v>
      </c>
      <c r="P102" s="35">
        <v>-5</v>
      </c>
      <c r="Q102" s="35">
        <v>-1.6</v>
      </c>
      <c r="R102" s="35">
        <v>-2.5</v>
      </c>
      <c r="S102" s="35">
        <v>-5</v>
      </c>
      <c r="T102" s="35">
        <v>14.9</v>
      </c>
      <c r="U102" s="35">
        <v>40</v>
      </c>
      <c r="V102" s="35">
        <v>14.4</v>
      </c>
      <c r="W102" s="35">
        <v>40</v>
      </c>
      <c r="X102" s="35">
        <v>14.6</v>
      </c>
      <c r="Y102" s="35">
        <v>41.6</v>
      </c>
      <c r="Z102" s="35">
        <v>14.7</v>
      </c>
      <c r="AA102" s="35">
        <v>40.200000000000003</v>
      </c>
      <c r="AB102" s="35">
        <v>20.6</v>
      </c>
      <c r="AC102" s="35">
        <v>20</v>
      </c>
      <c r="AD102" s="35">
        <v>20.6</v>
      </c>
      <c r="AE102" s="35">
        <v>20</v>
      </c>
    </row>
    <row r="103" spans="1:31" x14ac:dyDescent="0.35">
      <c r="A103" s="36">
        <v>46059.517361111109</v>
      </c>
      <c r="B103" s="35">
        <v>-20.399999999999999</v>
      </c>
      <c r="C103" s="35">
        <v>-21.8</v>
      </c>
      <c r="D103" s="35">
        <v>-23</v>
      </c>
      <c r="E103" s="35">
        <v>-21.1</v>
      </c>
      <c r="F103" s="35">
        <v>-19.7</v>
      </c>
      <c r="G103" s="35">
        <v>-23</v>
      </c>
      <c r="H103" s="35">
        <v>-21.6</v>
      </c>
      <c r="I103" s="35">
        <v>-22</v>
      </c>
      <c r="J103" s="35">
        <v>-23</v>
      </c>
      <c r="K103" s="35">
        <v>-21.7</v>
      </c>
      <c r="L103" s="35">
        <v>-16.2</v>
      </c>
      <c r="M103" s="35">
        <v>-23</v>
      </c>
      <c r="N103" s="35">
        <v>-2.2999999999999998</v>
      </c>
      <c r="O103" s="35">
        <v>-3.1</v>
      </c>
      <c r="P103" s="35">
        <v>-5</v>
      </c>
      <c r="Q103" s="35">
        <v>-1.6</v>
      </c>
      <c r="R103" s="35">
        <v>-2.5</v>
      </c>
      <c r="S103" s="35">
        <v>-5</v>
      </c>
      <c r="T103" s="35">
        <v>14.9</v>
      </c>
      <c r="U103" s="35">
        <v>40</v>
      </c>
      <c r="V103" s="35">
        <v>14.4</v>
      </c>
      <c r="W103" s="35">
        <v>40</v>
      </c>
      <c r="X103" s="35">
        <v>14.6</v>
      </c>
      <c r="Y103" s="35">
        <v>41.6</v>
      </c>
      <c r="Z103" s="35">
        <v>14.8</v>
      </c>
      <c r="AA103" s="35">
        <v>40.200000000000003</v>
      </c>
      <c r="AB103" s="35">
        <v>20.6</v>
      </c>
      <c r="AC103" s="35">
        <v>20</v>
      </c>
      <c r="AD103" s="35">
        <v>20.6</v>
      </c>
      <c r="AE103" s="35">
        <v>20</v>
      </c>
    </row>
    <row r="104" spans="1:31" x14ac:dyDescent="0.35">
      <c r="A104" s="36">
        <v>46059.518055555556</v>
      </c>
      <c r="B104" s="35">
        <v>-20.5</v>
      </c>
      <c r="C104" s="35">
        <v>-21.6</v>
      </c>
      <c r="D104" s="35">
        <v>-23</v>
      </c>
      <c r="E104" s="35">
        <v>-21.1</v>
      </c>
      <c r="F104" s="35">
        <v>-19.7</v>
      </c>
      <c r="G104" s="35">
        <v>-23</v>
      </c>
      <c r="H104" s="35">
        <v>-21.6</v>
      </c>
      <c r="I104" s="35">
        <v>-22.2</v>
      </c>
      <c r="J104" s="35">
        <v>-23</v>
      </c>
      <c r="K104" s="35">
        <v>-21.9</v>
      </c>
      <c r="L104" s="35">
        <v>-16.399999999999999</v>
      </c>
      <c r="M104" s="35">
        <v>-23</v>
      </c>
      <c r="N104" s="35">
        <v>-2.2999999999999998</v>
      </c>
      <c r="O104" s="35">
        <v>-3.1</v>
      </c>
      <c r="P104" s="35">
        <v>-5</v>
      </c>
      <c r="Q104" s="35">
        <v>-1.6</v>
      </c>
      <c r="R104" s="35">
        <v>-2.5</v>
      </c>
      <c r="S104" s="35">
        <v>-5</v>
      </c>
      <c r="T104" s="35">
        <v>14.9</v>
      </c>
      <c r="U104" s="35">
        <v>40</v>
      </c>
      <c r="V104" s="35">
        <v>14.4</v>
      </c>
      <c r="W104" s="35">
        <v>40</v>
      </c>
      <c r="X104" s="35">
        <v>14.6</v>
      </c>
      <c r="Y104" s="35">
        <v>41.6</v>
      </c>
      <c r="Z104" s="35">
        <v>14.8</v>
      </c>
      <c r="AA104" s="35">
        <v>40.200000000000003</v>
      </c>
      <c r="AB104" s="35">
        <v>20.6</v>
      </c>
      <c r="AC104" s="35">
        <v>20</v>
      </c>
      <c r="AD104" s="35">
        <v>20.6</v>
      </c>
      <c r="AE104" s="35">
        <v>20</v>
      </c>
    </row>
    <row r="105" spans="1:31" x14ac:dyDescent="0.35">
      <c r="A105" s="36">
        <v>46059.518750000003</v>
      </c>
      <c r="B105" s="35">
        <v>-20.5</v>
      </c>
      <c r="C105" s="35">
        <v>-21.5</v>
      </c>
      <c r="D105" s="35">
        <v>-23</v>
      </c>
      <c r="E105" s="35">
        <v>-21.1</v>
      </c>
      <c r="F105" s="35">
        <v>-19.8</v>
      </c>
      <c r="G105" s="35">
        <v>-23</v>
      </c>
      <c r="H105" s="35">
        <v>-21.7</v>
      </c>
      <c r="I105" s="35">
        <v>-22.2</v>
      </c>
      <c r="J105" s="35">
        <v>-23</v>
      </c>
      <c r="K105" s="35">
        <v>-21.9</v>
      </c>
      <c r="L105" s="35">
        <v>-16.5</v>
      </c>
      <c r="M105" s="35">
        <v>-23</v>
      </c>
      <c r="N105" s="35">
        <v>-2.4</v>
      </c>
      <c r="O105" s="35">
        <v>-3.1</v>
      </c>
      <c r="P105" s="35">
        <v>-5</v>
      </c>
      <c r="Q105" s="35">
        <v>-1.6</v>
      </c>
      <c r="R105" s="35">
        <v>-2.5</v>
      </c>
      <c r="S105" s="35">
        <v>-5</v>
      </c>
      <c r="T105" s="35">
        <v>14.9</v>
      </c>
      <c r="U105" s="35">
        <v>40</v>
      </c>
      <c r="V105" s="35">
        <v>14.4</v>
      </c>
      <c r="W105" s="35">
        <v>40</v>
      </c>
      <c r="X105" s="35">
        <v>14.6</v>
      </c>
      <c r="Y105" s="35">
        <v>41.6</v>
      </c>
      <c r="Z105" s="35">
        <v>14.8</v>
      </c>
      <c r="AA105" s="35">
        <v>40.200000000000003</v>
      </c>
      <c r="AB105" s="35">
        <v>20.6</v>
      </c>
      <c r="AC105" s="35">
        <v>20</v>
      </c>
      <c r="AD105" s="35">
        <v>20.6</v>
      </c>
      <c r="AE105" s="35">
        <v>20</v>
      </c>
    </row>
    <row r="106" spans="1:31" x14ac:dyDescent="0.35">
      <c r="A106" s="36">
        <v>46059.519444444442</v>
      </c>
      <c r="B106" s="35">
        <v>-20.5</v>
      </c>
      <c r="C106" s="35">
        <v>-21.8</v>
      </c>
      <c r="D106" s="35">
        <v>-23</v>
      </c>
      <c r="E106" s="35">
        <v>-21.2</v>
      </c>
      <c r="F106" s="35">
        <v>-19.8</v>
      </c>
      <c r="G106" s="35">
        <v>-23</v>
      </c>
      <c r="H106" s="35">
        <v>-21.8</v>
      </c>
      <c r="I106" s="35">
        <v>-22.2</v>
      </c>
      <c r="J106" s="35">
        <v>-23</v>
      </c>
      <c r="K106" s="35">
        <v>-21.9</v>
      </c>
      <c r="L106" s="35">
        <v>-16.600000000000001</v>
      </c>
      <c r="M106" s="35">
        <v>-23</v>
      </c>
      <c r="N106" s="35">
        <v>-2.4</v>
      </c>
      <c r="O106" s="35">
        <v>-3.2</v>
      </c>
      <c r="P106" s="35">
        <v>-5</v>
      </c>
      <c r="Q106" s="35">
        <v>-1.6</v>
      </c>
      <c r="R106" s="35">
        <v>-2.5</v>
      </c>
      <c r="S106" s="35">
        <v>-5</v>
      </c>
      <c r="T106" s="35">
        <v>14.9</v>
      </c>
      <c r="U106" s="35">
        <v>40</v>
      </c>
      <c r="V106" s="35">
        <v>14.4</v>
      </c>
      <c r="W106" s="35">
        <v>40</v>
      </c>
      <c r="X106" s="35">
        <v>14.6</v>
      </c>
      <c r="Y106" s="35">
        <v>41.6</v>
      </c>
      <c r="Z106" s="35">
        <v>14.8</v>
      </c>
      <c r="AA106" s="35">
        <v>40.200000000000003</v>
      </c>
      <c r="AB106" s="35">
        <v>20.6</v>
      </c>
      <c r="AC106" s="35">
        <v>20</v>
      </c>
      <c r="AD106" s="35">
        <v>20.6</v>
      </c>
      <c r="AE106" s="35">
        <v>20</v>
      </c>
    </row>
    <row r="107" spans="1:31" x14ac:dyDescent="0.35">
      <c r="A107" s="36">
        <v>46059.520138888889</v>
      </c>
      <c r="B107" s="35">
        <v>-20.6</v>
      </c>
      <c r="C107" s="35">
        <v>-23.1</v>
      </c>
      <c r="D107" s="35">
        <v>-23</v>
      </c>
      <c r="E107" s="35">
        <v>-21.4</v>
      </c>
      <c r="F107" s="35">
        <v>-20</v>
      </c>
      <c r="G107" s="35">
        <v>-23</v>
      </c>
      <c r="H107" s="35">
        <v>-21.8</v>
      </c>
      <c r="I107" s="35">
        <v>-22.2</v>
      </c>
      <c r="J107" s="35">
        <v>-23</v>
      </c>
      <c r="K107" s="35">
        <v>-21.9</v>
      </c>
      <c r="L107" s="35">
        <v>-16.7</v>
      </c>
      <c r="M107" s="35">
        <v>-23</v>
      </c>
      <c r="N107" s="35">
        <v>-2.4</v>
      </c>
      <c r="O107" s="35">
        <v>-3.2</v>
      </c>
      <c r="P107" s="35">
        <v>-5</v>
      </c>
      <c r="Q107" s="35">
        <v>-1.6</v>
      </c>
      <c r="R107" s="35">
        <v>-2.5</v>
      </c>
      <c r="S107" s="35">
        <v>-5</v>
      </c>
      <c r="T107" s="35">
        <v>14.9</v>
      </c>
      <c r="U107" s="35">
        <v>40</v>
      </c>
      <c r="V107" s="35">
        <v>14.4</v>
      </c>
      <c r="W107" s="35">
        <v>40</v>
      </c>
      <c r="X107" s="35">
        <v>14.6</v>
      </c>
      <c r="Y107" s="35">
        <v>41.6</v>
      </c>
      <c r="Z107" s="35">
        <v>14.8</v>
      </c>
      <c r="AA107" s="35">
        <v>40.200000000000003</v>
      </c>
      <c r="AB107" s="35">
        <v>20.6</v>
      </c>
      <c r="AC107" s="35">
        <v>20</v>
      </c>
      <c r="AD107" s="35">
        <v>20.6</v>
      </c>
      <c r="AE107" s="35">
        <v>20</v>
      </c>
    </row>
    <row r="108" spans="1:31" x14ac:dyDescent="0.35">
      <c r="A108" s="36">
        <v>46059.520833333336</v>
      </c>
      <c r="B108" s="35">
        <v>-20.8</v>
      </c>
      <c r="C108" s="35">
        <v>-23.7</v>
      </c>
      <c r="D108" s="35">
        <v>-23</v>
      </c>
      <c r="E108" s="35">
        <v>-21.6</v>
      </c>
      <c r="F108" s="35">
        <v>-20.100000000000001</v>
      </c>
      <c r="G108" s="35">
        <v>-23</v>
      </c>
      <c r="H108" s="35">
        <v>-21.8</v>
      </c>
      <c r="I108" s="35">
        <v>-22.2</v>
      </c>
      <c r="J108" s="35">
        <v>-23</v>
      </c>
      <c r="K108" s="35">
        <v>-21.9</v>
      </c>
      <c r="L108" s="35">
        <v>-16.899999999999999</v>
      </c>
      <c r="M108" s="35">
        <v>-23</v>
      </c>
      <c r="N108" s="35">
        <v>-2.2999999999999998</v>
      </c>
      <c r="O108" s="35">
        <v>-3</v>
      </c>
      <c r="P108" s="35">
        <v>-5</v>
      </c>
      <c r="Q108" s="35">
        <v>-1.6</v>
      </c>
      <c r="R108" s="35">
        <v>-2.5</v>
      </c>
      <c r="S108" s="35">
        <v>-5</v>
      </c>
      <c r="T108" s="35">
        <v>14.9</v>
      </c>
      <c r="U108" s="35">
        <v>40</v>
      </c>
      <c r="V108" s="35">
        <v>14.3</v>
      </c>
      <c r="W108" s="35">
        <v>40</v>
      </c>
      <c r="X108" s="35">
        <v>14.6</v>
      </c>
      <c r="Y108" s="35">
        <v>41.6</v>
      </c>
      <c r="Z108" s="35">
        <v>14.8</v>
      </c>
      <c r="AA108" s="35">
        <v>40.200000000000003</v>
      </c>
      <c r="AB108" s="35">
        <v>20.6</v>
      </c>
      <c r="AC108" s="35">
        <v>20</v>
      </c>
      <c r="AD108" s="35">
        <v>20.6</v>
      </c>
      <c r="AE108" s="35">
        <v>20</v>
      </c>
    </row>
    <row r="109" spans="1:31" x14ac:dyDescent="0.35">
      <c r="A109" s="36">
        <v>46059.521527777775</v>
      </c>
      <c r="B109" s="35">
        <v>-20.8</v>
      </c>
      <c r="C109" s="35">
        <v>-22.9</v>
      </c>
      <c r="D109" s="35">
        <v>-23</v>
      </c>
      <c r="E109" s="35">
        <v>-21.6</v>
      </c>
      <c r="F109" s="35">
        <v>-20.100000000000001</v>
      </c>
      <c r="G109" s="35">
        <v>-23</v>
      </c>
      <c r="H109" s="35">
        <v>-21.8</v>
      </c>
      <c r="I109" s="35">
        <v>-22.6</v>
      </c>
      <c r="J109" s="35">
        <v>-23</v>
      </c>
      <c r="K109" s="35">
        <v>-22</v>
      </c>
      <c r="L109" s="35">
        <v>-16.899999999999999</v>
      </c>
      <c r="M109" s="35">
        <v>-23</v>
      </c>
      <c r="N109" s="35">
        <v>-2.2000000000000002</v>
      </c>
      <c r="O109" s="35">
        <v>-2.6</v>
      </c>
      <c r="P109" s="35">
        <v>-5</v>
      </c>
      <c r="Q109" s="35">
        <v>-1.6</v>
      </c>
      <c r="R109" s="35">
        <v>-2.5</v>
      </c>
      <c r="S109" s="35">
        <v>-5</v>
      </c>
      <c r="T109" s="35">
        <v>14.9</v>
      </c>
      <c r="U109" s="35">
        <v>40</v>
      </c>
      <c r="V109" s="35">
        <v>14.3</v>
      </c>
      <c r="W109" s="35">
        <v>40</v>
      </c>
      <c r="X109" s="35">
        <v>14.6</v>
      </c>
      <c r="Y109" s="35">
        <v>41.6</v>
      </c>
      <c r="Z109" s="35">
        <v>14.8</v>
      </c>
      <c r="AA109" s="35">
        <v>40.200000000000003</v>
      </c>
      <c r="AB109" s="35">
        <v>20.7</v>
      </c>
      <c r="AC109" s="35">
        <v>20</v>
      </c>
      <c r="AD109" s="35">
        <v>20.6</v>
      </c>
      <c r="AE109" s="35">
        <v>20</v>
      </c>
    </row>
    <row r="110" spans="1:31" x14ac:dyDescent="0.35">
      <c r="A110" s="36">
        <v>46059.522222222222</v>
      </c>
      <c r="B110" s="35">
        <v>-20.9</v>
      </c>
      <c r="C110" s="35">
        <v>-22.2</v>
      </c>
      <c r="D110" s="35">
        <v>-23</v>
      </c>
      <c r="E110" s="35">
        <v>-21.4</v>
      </c>
      <c r="F110" s="35">
        <v>-20.100000000000001</v>
      </c>
      <c r="G110" s="35">
        <v>-23</v>
      </c>
      <c r="H110" s="35">
        <v>-21.9</v>
      </c>
      <c r="I110" s="35">
        <v>-22.6</v>
      </c>
      <c r="J110" s="35">
        <v>-23</v>
      </c>
      <c r="K110" s="35">
        <v>-22.2</v>
      </c>
      <c r="L110" s="35">
        <v>-17</v>
      </c>
      <c r="M110" s="35">
        <v>-23</v>
      </c>
      <c r="N110" s="35">
        <v>-2.2000000000000002</v>
      </c>
      <c r="O110" s="35">
        <v>-1.5</v>
      </c>
      <c r="P110" s="35">
        <v>-5</v>
      </c>
      <c r="Q110" s="35">
        <v>-1.6</v>
      </c>
      <c r="R110" s="35">
        <v>-2.5</v>
      </c>
      <c r="S110" s="35">
        <v>-5</v>
      </c>
      <c r="T110" s="35">
        <v>14.9</v>
      </c>
      <c r="U110" s="35">
        <v>40</v>
      </c>
      <c r="V110" s="35">
        <v>14.3</v>
      </c>
      <c r="W110" s="35">
        <v>40</v>
      </c>
      <c r="X110" s="35">
        <v>14.6</v>
      </c>
      <c r="Y110" s="35">
        <v>41.6</v>
      </c>
      <c r="Z110" s="35">
        <v>14.8</v>
      </c>
      <c r="AA110" s="35">
        <v>40.200000000000003</v>
      </c>
      <c r="AB110" s="35">
        <v>20.7</v>
      </c>
      <c r="AC110" s="35">
        <v>20</v>
      </c>
      <c r="AD110" s="35">
        <v>20.6</v>
      </c>
      <c r="AE110" s="35">
        <v>20</v>
      </c>
    </row>
    <row r="111" spans="1:31" x14ac:dyDescent="0.35">
      <c r="A111" s="36">
        <v>46059.522916666669</v>
      </c>
      <c r="B111" s="35">
        <v>-20.9</v>
      </c>
      <c r="C111" s="35">
        <v>-21.7</v>
      </c>
      <c r="D111" s="35">
        <v>-23</v>
      </c>
      <c r="E111" s="35">
        <v>-21.2</v>
      </c>
      <c r="F111" s="35">
        <v>-20.100000000000001</v>
      </c>
      <c r="G111" s="35">
        <v>-23</v>
      </c>
      <c r="H111" s="35">
        <v>-22.1</v>
      </c>
      <c r="I111" s="35">
        <v>-22.7</v>
      </c>
      <c r="J111" s="35">
        <v>-23</v>
      </c>
      <c r="K111" s="35">
        <v>-22.4</v>
      </c>
      <c r="L111" s="35">
        <v>-17</v>
      </c>
      <c r="M111" s="35">
        <v>-23</v>
      </c>
      <c r="N111" s="35">
        <v>-2.2000000000000002</v>
      </c>
      <c r="O111" s="35">
        <v>-0.8</v>
      </c>
      <c r="P111" s="35">
        <v>-5</v>
      </c>
      <c r="Q111" s="35">
        <v>-1.6</v>
      </c>
      <c r="R111" s="35">
        <v>-2.5</v>
      </c>
      <c r="S111" s="35">
        <v>-5</v>
      </c>
      <c r="T111" s="35">
        <v>14.9</v>
      </c>
      <c r="U111" s="35">
        <v>40</v>
      </c>
      <c r="V111" s="35">
        <v>14.3</v>
      </c>
      <c r="W111" s="35">
        <v>40</v>
      </c>
      <c r="X111" s="35">
        <v>14.6</v>
      </c>
      <c r="Y111" s="35">
        <v>41.6</v>
      </c>
      <c r="Z111" s="35">
        <v>14.9</v>
      </c>
      <c r="AA111" s="35">
        <v>40.200000000000003</v>
      </c>
      <c r="AB111" s="35">
        <v>20.7</v>
      </c>
      <c r="AC111" s="35">
        <v>20</v>
      </c>
      <c r="AD111" s="35">
        <v>20.6</v>
      </c>
      <c r="AE111" s="35">
        <v>20</v>
      </c>
    </row>
    <row r="112" spans="1:31" x14ac:dyDescent="0.35">
      <c r="A112" s="36">
        <v>46059.524305555555</v>
      </c>
      <c r="B112" s="35">
        <v>-20.7</v>
      </c>
      <c r="C112" s="35">
        <v>-21.3</v>
      </c>
      <c r="D112" s="35">
        <v>-23</v>
      </c>
      <c r="E112" s="35">
        <v>-21.1</v>
      </c>
      <c r="F112" s="35">
        <v>-20.100000000000001</v>
      </c>
      <c r="G112" s="35">
        <v>-23</v>
      </c>
      <c r="H112" s="35">
        <v>-22.3</v>
      </c>
      <c r="I112" s="35">
        <v>-22.8</v>
      </c>
      <c r="J112" s="35">
        <v>-23</v>
      </c>
      <c r="K112" s="35">
        <v>-22.6</v>
      </c>
      <c r="L112" s="35">
        <v>-17.100000000000001</v>
      </c>
      <c r="M112" s="35">
        <v>-23</v>
      </c>
      <c r="N112" s="35">
        <v>-2.2000000000000002</v>
      </c>
      <c r="O112" s="35">
        <v>1.1000000000000001</v>
      </c>
      <c r="P112" s="35">
        <v>-5</v>
      </c>
      <c r="Q112" s="35">
        <v>-1.6</v>
      </c>
      <c r="R112" s="35">
        <v>-2.6</v>
      </c>
      <c r="S112" s="35">
        <v>-5</v>
      </c>
      <c r="T112" s="35">
        <v>14.9</v>
      </c>
      <c r="U112" s="35">
        <v>40</v>
      </c>
      <c r="V112" s="35">
        <v>14.3</v>
      </c>
      <c r="W112" s="35">
        <v>40</v>
      </c>
      <c r="X112" s="35">
        <v>14.6</v>
      </c>
      <c r="Y112" s="35">
        <v>41.6</v>
      </c>
      <c r="Z112" s="35">
        <v>14.9</v>
      </c>
      <c r="AA112" s="35">
        <v>40.200000000000003</v>
      </c>
      <c r="AB112" s="35">
        <v>20.7</v>
      </c>
      <c r="AC112" s="35">
        <v>20</v>
      </c>
      <c r="AD112" s="35">
        <v>20.7</v>
      </c>
      <c r="AE112" s="35">
        <v>20</v>
      </c>
    </row>
    <row r="113" spans="1:31" x14ac:dyDescent="0.35">
      <c r="A113" s="36">
        <v>46059.525000000001</v>
      </c>
      <c r="B113" s="35">
        <v>-20.6</v>
      </c>
      <c r="C113" s="35">
        <v>-21.3</v>
      </c>
      <c r="D113" s="35">
        <v>-23</v>
      </c>
      <c r="E113" s="35">
        <v>-21.1</v>
      </c>
      <c r="F113" s="35">
        <v>-20.100000000000001</v>
      </c>
      <c r="G113" s="35">
        <v>-23</v>
      </c>
      <c r="H113" s="35">
        <v>-22.3</v>
      </c>
      <c r="I113" s="35">
        <v>-22.8</v>
      </c>
      <c r="J113" s="35">
        <v>-23</v>
      </c>
      <c r="K113" s="35">
        <v>-22.6</v>
      </c>
      <c r="L113" s="35">
        <v>-17.2</v>
      </c>
      <c r="M113" s="35">
        <v>-23</v>
      </c>
      <c r="N113" s="35">
        <v>-2.2000000000000002</v>
      </c>
      <c r="O113" s="35">
        <v>4.2</v>
      </c>
      <c r="P113" s="35">
        <v>-5</v>
      </c>
      <c r="Q113" s="35">
        <v>-1.6</v>
      </c>
      <c r="R113" s="35">
        <v>-2.6</v>
      </c>
      <c r="S113" s="35">
        <v>-5</v>
      </c>
      <c r="T113" s="35">
        <v>14.9</v>
      </c>
      <c r="U113" s="35">
        <v>40</v>
      </c>
      <c r="V113" s="35">
        <v>14.3</v>
      </c>
      <c r="W113" s="35">
        <v>40</v>
      </c>
      <c r="X113" s="35">
        <v>14.6</v>
      </c>
      <c r="Y113" s="35">
        <v>41.6</v>
      </c>
      <c r="Z113" s="35">
        <v>14.9</v>
      </c>
      <c r="AA113" s="35">
        <v>40.200000000000003</v>
      </c>
      <c r="AB113" s="35">
        <v>20.7</v>
      </c>
      <c r="AC113" s="35">
        <v>20</v>
      </c>
      <c r="AD113" s="35">
        <v>20.7</v>
      </c>
      <c r="AE113" s="35">
        <v>20</v>
      </c>
    </row>
    <row r="114" spans="1:31" x14ac:dyDescent="0.35">
      <c r="A114" s="36">
        <v>46059.525694444441</v>
      </c>
      <c r="B114" s="35">
        <v>-20.6</v>
      </c>
      <c r="C114" s="35">
        <v>-22</v>
      </c>
      <c r="D114" s="35">
        <v>-23</v>
      </c>
      <c r="E114" s="35">
        <v>-21.2</v>
      </c>
      <c r="F114" s="35">
        <v>-20.100000000000001</v>
      </c>
      <c r="G114" s="35">
        <v>-23</v>
      </c>
      <c r="H114" s="35">
        <v>-22.3</v>
      </c>
      <c r="I114" s="35">
        <v>-22.8</v>
      </c>
      <c r="J114" s="35">
        <v>-23</v>
      </c>
      <c r="K114" s="35">
        <v>-22.6</v>
      </c>
      <c r="L114" s="35">
        <v>-17.2</v>
      </c>
      <c r="M114" s="35">
        <v>-23</v>
      </c>
      <c r="N114" s="35">
        <v>-2.2000000000000002</v>
      </c>
      <c r="O114" s="35">
        <v>7.5</v>
      </c>
      <c r="P114" s="35">
        <v>-5</v>
      </c>
      <c r="Q114" s="35">
        <v>-1.7</v>
      </c>
      <c r="R114" s="35">
        <v>-2.6</v>
      </c>
      <c r="S114" s="35">
        <v>-5</v>
      </c>
      <c r="T114" s="35">
        <v>14.9</v>
      </c>
      <c r="U114" s="35">
        <v>40</v>
      </c>
      <c r="V114" s="35">
        <v>14.3</v>
      </c>
      <c r="W114" s="35">
        <v>40</v>
      </c>
      <c r="X114" s="35">
        <v>14.6</v>
      </c>
      <c r="Y114" s="35">
        <v>41.6</v>
      </c>
      <c r="Z114" s="35">
        <v>14.9</v>
      </c>
      <c r="AA114" s="35">
        <v>40.200000000000003</v>
      </c>
      <c r="AB114" s="35">
        <v>20.7</v>
      </c>
      <c r="AC114" s="35">
        <v>20</v>
      </c>
      <c r="AD114" s="35">
        <v>20.7</v>
      </c>
      <c r="AE114" s="35">
        <v>20</v>
      </c>
    </row>
    <row r="115" spans="1:31" x14ac:dyDescent="0.35">
      <c r="A115" s="36">
        <v>46059.526388888888</v>
      </c>
      <c r="B115" s="35">
        <v>-20.7</v>
      </c>
      <c r="C115" s="35">
        <v>-24.1</v>
      </c>
      <c r="D115" s="35">
        <v>-23</v>
      </c>
      <c r="E115" s="35">
        <v>-21.5</v>
      </c>
      <c r="F115" s="35">
        <v>-20.2</v>
      </c>
      <c r="G115" s="35">
        <v>-23</v>
      </c>
      <c r="H115" s="35">
        <v>-22.3</v>
      </c>
      <c r="I115" s="35">
        <v>-22.7</v>
      </c>
      <c r="J115" s="35">
        <v>-23</v>
      </c>
      <c r="K115" s="35">
        <v>-22.3</v>
      </c>
      <c r="L115" s="35">
        <v>-17.3</v>
      </c>
      <c r="M115" s="35">
        <v>-23</v>
      </c>
      <c r="N115" s="35">
        <v>-2.2000000000000002</v>
      </c>
      <c r="O115" s="35">
        <v>10.199999999999999</v>
      </c>
      <c r="P115" s="35">
        <v>-5</v>
      </c>
      <c r="Q115" s="35">
        <v>-1.8</v>
      </c>
      <c r="R115" s="35">
        <v>-2.7</v>
      </c>
      <c r="S115" s="35">
        <v>-5</v>
      </c>
      <c r="T115" s="35">
        <v>14.9</v>
      </c>
      <c r="U115" s="35">
        <v>40</v>
      </c>
      <c r="V115" s="35">
        <v>14.3</v>
      </c>
      <c r="W115" s="35">
        <v>40</v>
      </c>
      <c r="X115" s="35">
        <v>14.6</v>
      </c>
      <c r="Y115" s="35">
        <v>41.6</v>
      </c>
      <c r="Z115" s="35">
        <v>14.9</v>
      </c>
      <c r="AA115" s="35">
        <v>40.200000000000003</v>
      </c>
      <c r="AB115" s="35">
        <v>20.7</v>
      </c>
      <c r="AC115" s="35">
        <v>20</v>
      </c>
      <c r="AD115" s="35">
        <v>20.7</v>
      </c>
      <c r="AE115" s="35">
        <v>20</v>
      </c>
    </row>
    <row r="116" spans="1:31" x14ac:dyDescent="0.35">
      <c r="A116" s="36">
        <v>46059.527083333334</v>
      </c>
      <c r="B116" s="35">
        <v>-20.8</v>
      </c>
      <c r="C116" s="35">
        <v>-23.8</v>
      </c>
      <c r="D116" s="35">
        <v>-23</v>
      </c>
      <c r="E116" s="35">
        <v>-21.7</v>
      </c>
      <c r="F116" s="35">
        <v>-20.3</v>
      </c>
      <c r="G116" s="35">
        <v>-23</v>
      </c>
      <c r="H116" s="35">
        <v>-22.3</v>
      </c>
      <c r="I116" s="35">
        <v>-22.5</v>
      </c>
      <c r="J116" s="35">
        <v>-23</v>
      </c>
      <c r="K116" s="35">
        <v>-22.2</v>
      </c>
      <c r="L116" s="35">
        <v>-17.3</v>
      </c>
      <c r="M116" s="35">
        <v>-23</v>
      </c>
      <c r="N116" s="35">
        <v>-2.2000000000000002</v>
      </c>
      <c r="O116" s="35">
        <v>19.8</v>
      </c>
      <c r="P116" s="35">
        <v>-5</v>
      </c>
      <c r="Q116" s="35">
        <v>-1.9</v>
      </c>
      <c r="R116" s="35">
        <v>-2.7</v>
      </c>
      <c r="S116" s="35">
        <v>-5</v>
      </c>
      <c r="T116" s="35">
        <v>14.9</v>
      </c>
      <c r="U116" s="35">
        <v>40</v>
      </c>
      <c r="V116" s="35">
        <v>14.3</v>
      </c>
      <c r="W116" s="35">
        <v>40</v>
      </c>
      <c r="X116" s="35">
        <v>14.6</v>
      </c>
      <c r="Y116" s="35">
        <v>41.6</v>
      </c>
      <c r="Z116" s="35">
        <v>14.9</v>
      </c>
      <c r="AA116" s="35">
        <v>40.200000000000003</v>
      </c>
      <c r="AB116" s="35">
        <v>20.7</v>
      </c>
      <c r="AC116" s="35">
        <v>20</v>
      </c>
      <c r="AD116" s="35">
        <v>20.7</v>
      </c>
      <c r="AE116" s="35">
        <v>20</v>
      </c>
    </row>
    <row r="117" spans="1:31" x14ac:dyDescent="0.35">
      <c r="A117" s="36">
        <v>46059.527777777781</v>
      </c>
      <c r="B117" s="35">
        <v>-21</v>
      </c>
      <c r="C117" s="35">
        <v>-23</v>
      </c>
      <c r="D117" s="35">
        <v>-23</v>
      </c>
      <c r="E117" s="35">
        <v>-21.8</v>
      </c>
      <c r="F117" s="35">
        <v>-20.3</v>
      </c>
      <c r="G117" s="35">
        <v>-23</v>
      </c>
      <c r="H117" s="35">
        <v>-22.2</v>
      </c>
      <c r="I117" s="35">
        <v>-22.5</v>
      </c>
      <c r="J117" s="35">
        <v>-23</v>
      </c>
      <c r="K117" s="35">
        <v>-22.2</v>
      </c>
      <c r="L117" s="35">
        <v>-17.5</v>
      </c>
      <c r="M117" s="35">
        <v>-23</v>
      </c>
      <c r="N117" s="35">
        <v>-2.2000000000000002</v>
      </c>
      <c r="O117" s="35">
        <v>25.1</v>
      </c>
      <c r="P117" s="35">
        <v>-5</v>
      </c>
      <c r="Q117" s="35">
        <v>-1.9</v>
      </c>
      <c r="R117" s="35">
        <v>-2.7</v>
      </c>
      <c r="S117" s="35">
        <v>-5</v>
      </c>
      <c r="T117" s="35">
        <v>14.8</v>
      </c>
      <c r="U117" s="35">
        <v>40</v>
      </c>
      <c r="V117" s="35">
        <v>14.3</v>
      </c>
      <c r="W117" s="35">
        <v>40</v>
      </c>
      <c r="X117" s="35">
        <v>14.6</v>
      </c>
      <c r="Y117" s="35">
        <v>41.6</v>
      </c>
      <c r="Z117" s="35">
        <v>14.9</v>
      </c>
      <c r="AA117" s="35">
        <v>40.200000000000003</v>
      </c>
      <c r="AB117" s="35">
        <v>20.7</v>
      </c>
      <c r="AC117" s="35">
        <v>20</v>
      </c>
      <c r="AD117" s="35">
        <v>20.7</v>
      </c>
      <c r="AE117" s="35">
        <v>20</v>
      </c>
    </row>
    <row r="118" spans="1:31" x14ac:dyDescent="0.35">
      <c r="A118" s="36">
        <v>46059.52847222222</v>
      </c>
      <c r="B118" s="35">
        <v>-21.1</v>
      </c>
      <c r="C118" s="35">
        <v>-22.6</v>
      </c>
      <c r="D118" s="35">
        <v>-23</v>
      </c>
      <c r="E118" s="35">
        <v>-21.9</v>
      </c>
      <c r="F118" s="35">
        <v>-20.399999999999999</v>
      </c>
      <c r="G118" s="35">
        <v>-23</v>
      </c>
      <c r="H118" s="35">
        <v>-22.2</v>
      </c>
      <c r="I118" s="35">
        <v>-22.5</v>
      </c>
      <c r="J118" s="35">
        <v>-23</v>
      </c>
      <c r="K118" s="35">
        <v>-22.2</v>
      </c>
      <c r="L118" s="35">
        <v>-17.5</v>
      </c>
      <c r="M118" s="35">
        <v>-23</v>
      </c>
      <c r="N118" s="35">
        <v>-2.2000000000000002</v>
      </c>
      <c r="O118" s="35">
        <v>22</v>
      </c>
      <c r="P118" s="35">
        <v>-5</v>
      </c>
      <c r="Q118" s="35">
        <v>-1.9</v>
      </c>
      <c r="R118" s="35">
        <v>-2.7</v>
      </c>
      <c r="S118" s="35">
        <v>-5</v>
      </c>
      <c r="T118" s="35">
        <v>14.8</v>
      </c>
      <c r="U118" s="35">
        <v>40</v>
      </c>
      <c r="V118" s="35">
        <v>14.3</v>
      </c>
      <c r="W118" s="35">
        <v>40</v>
      </c>
      <c r="X118" s="35">
        <v>14.6</v>
      </c>
      <c r="Y118" s="35">
        <v>41.6</v>
      </c>
      <c r="Z118" s="35">
        <v>14.9</v>
      </c>
      <c r="AA118" s="35">
        <v>40.200000000000003</v>
      </c>
      <c r="AB118" s="35">
        <v>20.7</v>
      </c>
      <c r="AC118" s="35">
        <v>20</v>
      </c>
      <c r="AD118" s="35">
        <v>20.7</v>
      </c>
      <c r="AE118" s="35">
        <v>20</v>
      </c>
    </row>
    <row r="119" spans="1:31" x14ac:dyDescent="0.35">
      <c r="A119" s="36">
        <v>46059.529166666667</v>
      </c>
      <c r="B119" s="35">
        <v>-21.2</v>
      </c>
      <c r="C119" s="35">
        <v>-22.5</v>
      </c>
      <c r="D119" s="35">
        <v>-23</v>
      </c>
      <c r="E119" s="35">
        <v>-21.9</v>
      </c>
      <c r="F119" s="35">
        <v>-20.5</v>
      </c>
      <c r="G119" s="35">
        <v>-23</v>
      </c>
      <c r="H119" s="35">
        <v>-22.2</v>
      </c>
      <c r="I119" s="35">
        <v>-22.5</v>
      </c>
      <c r="J119" s="35">
        <v>-23</v>
      </c>
      <c r="K119" s="35">
        <v>-22.2</v>
      </c>
      <c r="L119" s="35">
        <v>-17.5</v>
      </c>
      <c r="M119" s="35">
        <v>-23</v>
      </c>
      <c r="N119" s="35">
        <v>-2.2000000000000002</v>
      </c>
      <c r="O119" s="35">
        <v>19.399999999999999</v>
      </c>
      <c r="P119" s="35">
        <v>-5</v>
      </c>
      <c r="Q119" s="35">
        <v>-1.9</v>
      </c>
      <c r="R119" s="35">
        <v>-2.7</v>
      </c>
      <c r="S119" s="35">
        <v>-5</v>
      </c>
      <c r="T119" s="35">
        <v>14.8</v>
      </c>
      <c r="U119" s="35">
        <v>40</v>
      </c>
      <c r="V119" s="35">
        <v>14.3</v>
      </c>
      <c r="W119" s="35">
        <v>40</v>
      </c>
      <c r="X119" s="35">
        <v>14.6</v>
      </c>
      <c r="Y119" s="35">
        <v>41.6</v>
      </c>
      <c r="Z119" s="35">
        <v>15</v>
      </c>
      <c r="AA119" s="35">
        <v>40.200000000000003</v>
      </c>
      <c r="AB119" s="35">
        <v>20.7</v>
      </c>
      <c r="AC119" s="35">
        <v>20</v>
      </c>
      <c r="AD119" s="35">
        <v>20.7</v>
      </c>
      <c r="AE119" s="35">
        <v>20</v>
      </c>
    </row>
    <row r="120" spans="1:31" x14ac:dyDescent="0.35">
      <c r="A120" s="36">
        <v>46059.529861111114</v>
      </c>
      <c r="B120" s="35">
        <v>-21.2</v>
      </c>
      <c r="C120" s="35">
        <v>-22.4</v>
      </c>
      <c r="D120" s="35">
        <v>-23</v>
      </c>
      <c r="E120" s="35">
        <v>-21.9</v>
      </c>
      <c r="F120" s="35">
        <v>-20.6</v>
      </c>
      <c r="G120" s="35">
        <v>-23</v>
      </c>
      <c r="H120" s="35">
        <v>-22.2</v>
      </c>
      <c r="I120" s="35">
        <v>-22.6</v>
      </c>
      <c r="J120" s="35">
        <v>-23</v>
      </c>
      <c r="K120" s="35">
        <v>-22.3</v>
      </c>
      <c r="L120" s="35">
        <v>-17.5</v>
      </c>
      <c r="M120" s="35">
        <v>-23</v>
      </c>
      <c r="N120" s="35">
        <v>4.2</v>
      </c>
      <c r="O120" s="35">
        <v>17.3</v>
      </c>
      <c r="P120" s="35">
        <v>-5</v>
      </c>
      <c r="Q120" s="35">
        <v>-1.9</v>
      </c>
      <c r="R120" s="35">
        <v>-2.7</v>
      </c>
      <c r="S120" s="35">
        <v>-5</v>
      </c>
      <c r="T120" s="35">
        <v>14.8</v>
      </c>
      <c r="U120" s="35">
        <v>40</v>
      </c>
      <c r="V120" s="35">
        <v>14.3</v>
      </c>
      <c r="W120" s="35">
        <v>40</v>
      </c>
      <c r="X120" s="35">
        <v>14.6</v>
      </c>
      <c r="Y120" s="35">
        <v>41.6</v>
      </c>
      <c r="Z120" s="35">
        <v>15</v>
      </c>
      <c r="AA120" s="35">
        <v>40.200000000000003</v>
      </c>
      <c r="AB120" s="35">
        <v>20.7</v>
      </c>
      <c r="AC120" s="35">
        <v>20</v>
      </c>
      <c r="AD120" s="35">
        <v>20.7</v>
      </c>
      <c r="AE120" s="35">
        <v>20</v>
      </c>
    </row>
    <row r="121" spans="1:31" x14ac:dyDescent="0.35">
      <c r="A121" s="36">
        <v>46059.530555555553</v>
      </c>
      <c r="B121" s="35">
        <v>-21.3</v>
      </c>
      <c r="C121" s="35">
        <v>-22.4</v>
      </c>
      <c r="D121" s="35">
        <v>-23</v>
      </c>
      <c r="E121" s="35">
        <v>-22</v>
      </c>
      <c r="F121" s="35">
        <v>-20.6</v>
      </c>
      <c r="G121" s="35">
        <v>-23</v>
      </c>
      <c r="H121" s="35">
        <v>-22.2</v>
      </c>
      <c r="I121" s="35">
        <v>-22.7</v>
      </c>
      <c r="J121" s="35">
        <v>-23</v>
      </c>
      <c r="K121" s="35">
        <v>-22.4</v>
      </c>
      <c r="L121" s="35">
        <v>-17.600000000000001</v>
      </c>
      <c r="M121" s="35">
        <v>-23</v>
      </c>
      <c r="N121" s="35">
        <v>4</v>
      </c>
      <c r="O121" s="35">
        <v>14.5</v>
      </c>
      <c r="P121" s="35">
        <v>-5</v>
      </c>
      <c r="Q121" s="35">
        <v>-1.9</v>
      </c>
      <c r="R121" s="35">
        <v>-2.7</v>
      </c>
      <c r="S121" s="35">
        <v>-5</v>
      </c>
      <c r="T121" s="35">
        <v>14.8</v>
      </c>
      <c r="U121" s="35">
        <v>40</v>
      </c>
      <c r="V121" s="35">
        <v>14.3</v>
      </c>
      <c r="W121" s="35">
        <v>40</v>
      </c>
      <c r="X121" s="35">
        <v>14.6</v>
      </c>
      <c r="Y121" s="35">
        <v>41.6</v>
      </c>
      <c r="Z121" s="35">
        <v>15</v>
      </c>
      <c r="AA121" s="35">
        <v>40.200000000000003</v>
      </c>
      <c r="AB121" s="35">
        <v>20.7</v>
      </c>
      <c r="AC121" s="35">
        <v>20</v>
      </c>
      <c r="AD121" s="35">
        <v>20.7</v>
      </c>
      <c r="AE121" s="35">
        <v>20</v>
      </c>
    </row>
    <row r="122" spans="1:31" x14ac:dyDescent="0.35">
      <c r="A122" s="36">
        <v>46059.53125</v>
      </c>
      <c r="B122" s="35">
        <v>-21.4</v>
      </c>
      <c r="C122" s="35">
        <v>-24.1</v>
      </c>
      <c r="D122" s="35">
        <v>-23</v>
      </c>
      <c r="E122" s="35">
        <v>-22.2</v>
      </c>
      <c r="F122" s="35">
        <v>-20.7</v>
      </c>
      <c r="G122" s="35">
        <v>-23</v>
      </c>
      <c r="H122" s="35">
        <v>-22.2</v>
      </c>
      <c r="I122" s="35">
        <v>-22.7</v>
      </c>
      <c r="J122" s="35">
        <v>-23</v>
      </c>
      <c r="K122" s="35">
        <v>-22.4</v>
      </c>
      <c r="L122" s="35">
        <v>-17.7</v>
      </c>
      <c r="M122" s="35">
        <v>-23</v>
      </c>
      <c r="N122" s="35">
        <v>3.6</v>
      </c>
      <c r="O122" s="35">
        <v>11.9</v>
      </c>
      <c r="P122" s="35">
        <v>-5</v>
      </c>
      <c r="Q122" s="35">
        <v>-1.9</v>
      </c>
      <c r="R122" s="35">
        <v>-2.7</v>
      </c>
      <c r="S122" s="35">
        <v>-5</v>
      </c>
      <c r="T122" s="35">
        <v>14.8</v>
      </c>
      <c r="U122" s="35">
        <v>40</v>
      </c>
      <c r="V122" s="35">
        <v>14.3</v>
      </c>
      <c r="W122" s="35">
        <v>40</v>
      </c>
      <c r="X122" s="35">
        <v>14.6</v>
      </c>
      <c r="Y122" s="35">
        <v>41.6</v>
      </c>
      <c r="Z122" s="35">
        <v>15</v>
      </c>
      <c r="AA122" s="35">
        <v>40.200000000000003</v>
      </c>
      <c r="AB122" s="35">
        <v>20.7</v>
      </c>
      <c r="AC122" s="35">
        <v>20</v>
      </c>
      <c r="AD122" s="35">
        <v>20.7</v>
      </c>
      <c r="AE122" s="35">
        <v>20</v>
      </c>
    </row>
    <row r="123" spans="1:31" x14ac:dyDescent="0.35">
      <c r="A123" s="36">
        <v>46059.531944444447</v>
      </c>
      <c r="B123" s="35">
        <v>-21.5</v>
      </c>
      <c r="C123" s="35">
        <v>-24.3</v>
      </c>
      <c r="D123" s="35">
        <v>-23</v>
      </c>
      <c r="E123" s="35">
        <v>-22.3</v>
      </c>
      <c r="F123" s="35">
        <v>-20.8</v>
      </c>
      <c r="G123" s="35">
        <v>-23</v>
      </c>
      <c r="H123" s="35">
        <v>-22.2</v>
      </c>
      <c r="I123" s="35">
        <v>-22.6</v>
      </c>
      <c r="J123" s="35">
        <v>-23</v>
      </c>
      <c r="K123" s="35">
        <v>-22.3</v>
      </c>
      <c r="L123" s="35">
        <v>-17.7</v>
      </c>
      <c r="M123" s="35">
        <v>-23</v>
      </c>
      <c r="N123" s="35">
        <v>1.9</v>
      </c>
      <c r="O123" s="35">
        <v>11.2</v>
      </c>
      <c r="P123" s="35">
        <v>-5</v>
      </c>
      <c r="Q123" s="35">
        <v>-1.9</v>
      </c>
      <c r="R123" s="35">
        <v>-2.7</v>
      </c>
      <c r="S123" s="35">
        <v>-5</v>
      </c>
      <c r="T123" s="35">
        <v>14.8</v>
      </c>
      <c r="U123" s="35">
        <v>40</v>
      </c>
      <c r="V123" s="35">
        <v>14.3</v>
      </c>
      <c r="W123" s="35">
        <v>40</v>
      </c>
      <c r="X123" s="35">
        <v>14.6</v>
      </c>
      <c r="Y123" s="35">
        <v>41.6</v>
      </c>
      <c r="Z123" s="35">
        <v>15</v>
      </c>
      <c r="AA123" s="35">
        <v>40.200000000000003</v>
      </c>
      <c r="AB123" s="35">
        <v>20.7</v>
      </c>
      <c r="AC123" s="35">
        <v>20</v>
      </c>
      <c r="AD123" s="35">
        <v>20.7</v>
      </c>
      <c r="AE123" s="35">
        <v>20</v>
      </c>
    </row>
    <row r="124" spans="1:31" x14ac:dyDescent="0.35">
      <c r="A124" s="36">
        <v>46059.532638888886</v>
      </c>
      <c r="B124" s="35">
        <v>-21.6</v>
      </c>
      <c r="C124" s="35">
        <v>-23.5</v>
      </c>
      <c r="D124" s="35">
        <v>-23</v>
      </c>
      <c r="E124" s="35">
        <v>-22.3</v>
      </c>
      <c r="F124" s="35">
        <v>-20.9</v>
      </c>
      <c r="G124" s="35">
        <v>-23</v>
      </c>
      <c r="H124" s="35">
        <v>-22.2</v>
      </c>
      <c r="I124" s="35">
        <v>-22.6</v>
      </c>
      <c r="J124" s="35">
        <v>-23</v>
      </c>
      <c r="K124" s="35">
        <v>-22.3</v>
      </c>
      <c r="L124" s="35">
        <v>-17.7</v>
      </c>
      <c r="M124" s="35">
        <v>-23</v>
      </c>
      <c r="N124" s="35">
        <v>1.3</v>
      </c>
      <c r="O124" s="35">
        <v>8.3000000000000007</v>
      </c>
      <c r="P124" s="35">
        <v>-5</v>
      </c>
      <c r="Q124" s="35">
        <v>-1.9</v>
      </c>
      <c r="R124" s="35">
        <v>-2.7</v>
      </c>
      <c r="S124" s="35">
        <v>-5</v>
      </c>
      <c r="T124" s="35">
        <v>14.8</v>
      </c>
      <c r="U124" s="35">
        <v>40</v>
      </c>
      <c r="V124" s="35">
        <v>14.3</v>
      </c>
      <c r="W124" s="35">
        <v>40</v>
      </c>
      <c r="X124" s="35">
        <v>14.6</v>
      </c>
      <c r="Y124" s="35">
        <v>41.6</v>
      </c>
      <c r="Z124" s="35">
        <v>15</v>
      </c>
      <c r="AA124" s="35">
        <v>40.200000000000003</v>
      </c>
      <c r="AB124" s="35">
        <v>20.7</v>
      </c>
      <c r="AC124" s="35">
        <v>20</v>
      </c>
      <c r="AD124" s="35">
        <v>20.7</v>
      </c>
      <c r="AE124" s="35">
        <v>20</v>
      </c>
    </row>
    <row r="125" spans="1:31" x14ac:dyDescent="0.35">
      <c r="A125" s="36">
        <v>46059.533333333333</v>
      </c>
      <c r="B125" s="35">
        <v>-21.6</v>
      </c>
      <c r="C125" s="35">
        <v>-22.9</v>
      </c>
      <c r="D125" s="35">
        <v>-23</v>
      </c>
      <c r="E125" s="35">
        <v>-22.2</v>
      </c>
      <c r="F125" s="35">
        <v>-20.9</v>
      </c>
      <c r="G125" s="35">
        <v>-23</v>
      </c>
      <c r="H125" s="35">
        <v>-22.2</v>
      </c>
      <c r="I125" s="35">
        <v>-22.9</v>
      </c>
      <c r="J125" s="35">
        <v>-23</v>
      </c>
      <c r="K125" s="35">
        <v>-22.6</v>
      </c>
      <c r="L125" s="35">
        <v>-17.7</v>
      </c>
      <c r="M125" s="35">
        <v>-23</v>
      </c>
      <c r="N125" s="35">
        <v>1</v>
      </c>
      <c r="O125" s="35">
        <v>6.6</v>
      </c>
      <c r="P125" s="35">
        <v>-5</v>
      </c>
      <c r="Q125" s="35">
        <v>-1.9</v>
      </c>
      <c r="R125" s="35">
        <v>-2.7</v>
      </c>
      <c r="S125" s="35">
        <v>-5</v>
      </c>
      <c r="T125" s="35">
        <v>14.8</v>
      </c>
      <c r="U125" s="35">
        <v>40</v>
      </c>
      <c r="V125" s="35">
        <v>14.3</v>
      </c>
      <c r="W125" s="35">
        <v>40</v>
      </c>
      <c r="X125" s="35">
        <v>14.6</v>
      </c>
      <c r="Y125" s="35">
        <v>41.6</v>
      </c>
      <c r="Z125" s="35">
        <v>15</v>
      </c>
      <c r="AA125" s="35">
        <v>40.200000000000003</v>
      </c>
      <c r="AB125" s="35">
        <v>20.7</v>
      </c>
      <c r="AC125" s="35">
        <v>20</v>
      </c>
      <c r="AD125" s="35">
        <v>20.7</v>
      </c>
      <c r="AE125" s="35">
        <v>20</v>
      </c>
    </row>
    <row r="126" spans="1:31" x14ac:dyDescent="0.35">
      <c r="A126" s="36">
        <v>46059.53402777778</v>
      </c>
      <c r="B126" s="35">
        <v>-21.6</v>
      </c>
      <c r="C126" s="35">
        <v>-22.5</v>
      </c>
      <c r="D126" s="35">
        <v>-23</v>
      </c>
      <c r="E126" s="35">
        <v>-22</v>
      </c>
      <c r="F126" s="35">
        <v>-20.9</v>
      </c>
      <c r="G126" s="35">
        <v>-23</v>
      </c>
      <c r="H126" s="35">
        <v>-22.3</v>
      </c>
      <c r="I126" s="35">
        <v>-23</v>
      </c>
      <c r="J126" s="35">
        <v>-23</v>
      </c>
      <c r="K126" s="35">
        <v>-22.7</v>
      </c>
      <c r="L126" s="35">
        <v>-17.7</v>
      </c>
      <c r="M126" s="35">
        <v>-23</v>
      </c>
      <c r="N126" s="35">
        <v>0.8</v>
      </c>
      <c r="O126" s="35">
        <v>4.8</v>
      </c>
      <c r="P126" s="35">
        <v>-5</v>
      </c>
      <c r="Q126" s="35">
        <v>-1.9</v>
      </c>
      <c r="R126" s="35">
        <v>-2.8</v>
      </c>
      <c r="S126" s="35">
        <v>-5</v>
      </c>
      <c r="T126" s="35">
        <v>14.8</v>
      </c>
      <c r="U126" s="35">
        <v>40</v>
      </c>
      <c r="V126" s="35">
        <v>14.3</v>
      </c>
      <c r="W126" s="35">
        <v>40</v>
      </c>
      <c r="X126" s="35">
        <v>14.6</v>
      </c>
      <c r="Y126" s="35">
        <v>41.6</v>
      </c>
      <c r="Z126" s="35">
        <v>15</v>
      </c>
      <c r="AA126" s="35">
        <v>40.200000000000003</v>
      </c>
      <c r="AB126" s="35">
        <v>20.7</v>
      </c>
      <c r="AC126" s="35">
        <v>20</v>
      </c>
      <c r="AD126" s="35">
        <v>20.7</v>
      </c>
      <c r="AE126" s="35">
        <v>20</v>
      </c>
    </row>
    <row r="127" spans="1:31" x14ac:dyDescent="0.35">
      <c r="A127" s="36">
        <v>46059.534722222219</v>
      </c>
      <c r="B127" s="35">
        <v>-21.5</v>
      </c>
      <c r="C127" s="35">
        <v>-22.2</v>
      </c>
      <c r="D127" s="35">
        <v>-23</v>
      </c>
      <c r="E127" s="35">
        <v>-21.9</v>
      </c>
      <c r="F127" s="35">
        <v>-20.9</v>
      </c>
      <c r="G127" s="35">
        <v>-23</v>
      </c>
      <c r="H127" s="35">
        <v>-22.4</v>
      </c>
      <c r="I127" s="35">
        <v>-23.1</v>
      </c>
      <c r="J127" s="35">
        <v>-23</v>
      </c>
      <c r="K127" s="35">
        <v>-22.8</v>
      </c>
      <c r="L127" s="35">
        <v>-17.7</v>
      </c>
      <c r="M127" s="35">
        <v>-23</v>
      </c>
      <c r="N127" s="35">
        <v>0.6</v>
      </c>
      <c r="O127" s="35">
        <v>3.5</v>
      </c>
      <c r="P127" s="35">
        <v>-5</v>
      </c>
      <c r="Q127" s="35">
        <v>-1.9</v>
      </c>
      <c r="R127" s="35">
        <v>-2.8</v>
      </c>
      <c r="S127" s="35">
        <v>-5</v>
      </c>
      <c r="T127" s="35">
        <v>14.8</v>
      </c>
      <c r="U127" s="35">
        <v>40</v>
      </c>
      <c r="V127" s="35">
        <v>14.3</v>
      </c>
      <c r="W127" s="35">
        <v>40</v>
      </c>
      <c r="X127" s="35">
        <v>14.6</v>
      </c>
      <c r="Y127" s="35">
        <v>41.6</v>
      </c>
      <c r="Z127" s="35">
        <v>15</v>
      </c>
      <c r="AA127" s="35">
        <v>40.200000000000003</v>
      </c>
      <c r="AB127" s="35">
        <v>20.7</v>
      </c>
      <c r="AC127" s="35">
        <v>20</v>
      </c>
      <c r="AD127" s="35">
        <v>20.7</v>
      </c>
      <c r="AE127" s="35">
        <v>20</v>
      </c>
    </row>
    <row r="128" spans="1:31" x14ac:dyDescent="0.35">
      <c r="A128" s="36">
        <v>46059.536111111112</v>
      </c>
      <c r="B128" s="35">
        <v>-21.3</v>
      </c>
      <c r="C128" s="35">
        <v>-22</v>
      </c>
      <c r="D128" s="35">
        <v>-23</v>
      </c>
      <c r="E128" s="35">
        <v>-21.8</v>
      </c>
      <c r="F128" s="35">
        <v>-20.9</v>
      </c>
      <c r="G128" s="35">
        <v>-23</v>
      </c>
      <c r="H128" s="35">
        <v>-22.5</v>
      </c>
      <c r="I128" s="35">
        <v>-23.1</v>
      </c>
      <c r="J128" s="35">
        <v>-23</v>
      </c>
      <c r="K128" s="35">
        <v>-22.9</v>
      </c>
      <c r="L128" s="35">
        <v>-17.7</v>
      </c>
      <c r="M128" s="35">
        <v>-23</v>
      </c>
      <c r="N128" s="35">
        <v>0.2</v>
      </c>
      <c r="O128" s="35">
        <v>1.7</v>
      </c>
      <c r="P128" s="35">
        <v>-5</v>
      </c>
      <c r="Q128" s="35">
        <v>-2</v>
      </c>
      <c r="R128" s="35">
        <v>-2.8</v>
      </c>
      <c r="S128" s="35">
        <v>-5</v>
      </c>
      <c r="T128" s="35">
        <v>14.8</v>
      </c>
      <c r="U128" s="35">
        <v>40</v>
      </c>
      <c r="V128" s="35">
        <v>14.3</v>
      </c>
      <c r="W128" s="35">
        <v>40</v>
      </c>
      <c r="X128" s="35">
        <v>14.6</v>
      </c>
      <c r="Y128" s="35">
        <v>41.6</v>
      </c>
      <c r="Z128" s="35">
        <v>15.1</v>
      </c>
      <c r="AA128" s="35">
        <v>40.200000000000003</v>
      </c>
      <c r="AB128" s="35">
        <v>20.8</v>
      </c>
      <c r="AC128" s="35">
        <v>20</v>
      </c>
      <c r="AD128" s="35">
        <v>20.7</v>
      </c>
      <c r="AE128" s="35">
        <v>20</v>
      </c>
    </row>
    <row r="129" spans="1:31" x14ac:dyDescent="0.35">
      <c r="A129" s="36">
        <v>46059.536805555559</v>
      </c>
      <c r="B129" s="35">
        <v>-21.3</v>
      </c>
      <c r="C129" s="35">
        <v>-23.2</v>
      </c>
      <c r="D129" s="35">
        <v>-23</v>
      </c>
      <c r="E129" s="35">
        <v>-21.9</v>
      </c>
      <c r="F129" s="35">
        <v>-20.9</v>
      </c>
      <c r="G129" s="35">
        <v>-23</v>
      </c>
      <c r="H129" s="35">
        <v>-22.5</v>
      </c>
      <c r="I129" s="35">
        <v>-23.1</v>
      </c>
      <c r="J129" s="35">
        <v>-23</v>
      </c>
      <c r="K129" s="35">
        <v>-22.8</v>
      </c>
      <c r="L129" s="35">
        <v>-17.8</v>
      </c>
      <c r="M129" s="35">
        <v>-23</v>
      </c>
      <c r="N129" s="35">
        <v>0.1</v>
      </c>
      <c r="O129" s="35">
        <v>1.1000000000000001</v>
      </c>
      <c r="P129" s="35">
        <v>-5</v>
      </c>
      <c r="Q129" s="35">
        <v>-2</v>
      </c>
      <c r="R129" s="35">
        <v>-2.9</v>
      </c>
      <c r="S129" s="35">
        <v>-5</v>
      </c>
      <c r="T129" s="35">
        <v>14.8</v>
      </c>
      <c r="U129" s="35">
        <v>40</v>
      </c>
      <c r="V129" s="35">
        <v>14.3</v>
      </c>
      <c r="W129" s="35">
        <v>40</v>
      </c>
      <c r="X129" s="35">
        <v>14.6</v>
      </c>
      <c r="Y129" s="35">
        <v>41.6</v>
      </c>
      <c r="Z129" s="35">
        <v>15.1</v>
      </c>
      <c r="AA129" s="35">
        <v>40.200000000000003</v>
      </c>
      <c r="AB129" s="35">
        <v>20.8</v>
      </c>
      <c r="AC129" s="35">
        <v>20</v>
      </c>
      <c r="AD129" s="35">
        <v>20.7</v>
      </c>
      <c r="AE129" s="35">
        <v>20</v>
      </c>
    </row>
    <row r="130" spans="1:31" x14ac:dyDescent="0.35">
      <c r="A130" s="36">
        <v>46059.537499999999</v>
      </c>
      <c r="B130" s="35">
        <v>-21.4</v>
      </c>
      <c r="C130" s="35">
        <v>-25</v>
      </c>
      <c r="D130" s="35">
        <v>-23</v>
      </c>
      <c r="E130" s="35">
        <v>-22.3</v>
      </c>
      <c r="F130" s="35">
        <v>-21</v>
      </c>
      <c r="G130" s="35">
        <v>-23</v>
      </c>
      <c r="H130" s="35">
        <v>-22.5</v>
      </c>
      <c r="I130" s="35">
        <v>-22.9</v>
      </c>
      <c r="J130" s="35">
        <v>-23</v>
      </c>
      <c r="K130" s="35">
        <v>-22.6</v>
      </c>
      <c r="L130" s="35">
        <v>-17.8</v>
      </c>
      <c r="M130" s="35">
        <v>-23</v>
      </c>
      <c r="N130" s="35">
        <v>-0.1</v>
      </c>
      <c r="O130" s="35">
        <v>0.6</v>
      </c>
      <c r="P130" s="35">
        <v>-5</v>
      </c>
      <c r="Q130" s="35">
        <v>-2.1</v>
      </c>
      <c r="R130" s="35">
        <v>-2.9</v>
      </c>
      <c r="S130" s="35">
        <v>-5</v>
      </c>
      <c r="T130" s="35">
        <v>14.8</v>
      </c>
      <c r="U130" s="35">
        <v>40</v>
      </c>
      <c r="V130" s="35">
        <v>14.3</v>
      </c>
      <c r="W130" s="35">
        <v>40</v>
      </c>
      <c r="X130" s="35">
        <v>14.6</v>
      </c>
      <c r="Y130" s="35">
        <v>41.6</v>
      </c>
      <c r="Z130" s="35">
        <v>15.1</v>
      </c>
      <c r="AA130" s="35">
        <v>40.200000000000003</v>
      </c>
      <c r="AB130" s="35">
        <v>20.8</v>
      </c>
      <c r="AC130" s="35">
        <v>20</v>
      </c>
      <c r="AD130" s="35">
        <v>20.7</v>
      </c>
      <c r="AE130" s="35">
        <v>20</v>
      </c>
    </row>
    <row r="131" spans="1:31" x14ac:dyDescent="0.35">
      <c r="A131" s="36">
        <v>46059.538194444445</v>
      </c>
      <c r="B131" s="35">
        <v>-21.6</v>
      </c>
      <c r="C131" s="35">
        <v>-24.2</v>
      </c>
      <c r="D131" s="35">
        <v>-23</v>
      </c>
      <c r="E131" s="35">
        <v>-22.4</v>
      </c>
      <c r="F131" s="35">
        <v>-21.1</v>
      </c>
      <c r="G131" s="35">
        <v>-23</v>
      </c>
      <c r="H131" s="35">
        <v>-22.5</v>
      </c>
      <c r="I131" s="35">
        <v>-22.8</v>
      </c>
      <c r="J131" s="35">
        <v>-23</v>
      </c>
      <c r="K131" s="35">
        <v>-22.5</v>
      </c>
      <c r="L131" s="35">
        <v>-17.8</v>
      </c>
      <c r="M131" s="35">
        <v>-23</v>
      </c>
      <c r="N131" s="35">
        <v>-0.2</v>
      </c>
      <c r="O131" s="35">
        <v>0.2</v>
      </c>
      <c r="P131" s="35">
        <v>-5</v>
      </c>
      <c r="Q131" s="35">
        <v>-2.1</v>
      </c>
      <c r="R131" s="35">
        <v>-2.9</v>
      </c>
      <c r="S131" s="35">
        <v>-5</v>
      </c>
      <c r="T131" s="35">
        <v>14.8</v>
      </c>
      <c r="U131" s="35">
        <v>40</v>
      </c>
      <c r="V131" s="35">
        <v>14.3</v>
      </c>
      <c r="W131" s="35">
        <v>40</v>
      </c>
      <c r="X131" s="35">
        <v>14.6</v>
      </c>
      <c r="Y131" s="35">
        <v>41.6</v>
      </c>
      <c r="Z131" s="35">
        <v>15.1</v>
      </c>
      <c r="AA131" s="35">
        <v>40.200000000000003</v>
      </c>
      <c r="AB131" s="35">
        <v>20.8</v>
      </c>
      <c r="AC131" s="35">
        <v>20</v>
      </c>
      <c r="AD131" s="35">
        <v>20.7</v>
      </c>
      <c r="AE131" s="35">
        <v>20</v>
      </c>
    </row>
    <row r="132" spans="1:31" x14ac:dyDescent="0.35">
      <c r="A132" s="36">
        <v>46059.538888888892</v>
      </c>
      <c r="B132" s="35">
        <v>-21.7</v>
      </c>
      <c r="C132" s="35">
        <v>-23.4</v>
      </c>
      <c r="D132" s="35">
        <v>-23</v>
      </c>
      <c r="E132" s="35">
        <v>-22.4</v>
      </c>
      <c r="F132" s="35">
        <v>-21.1</v>
      </c>
      <c r="G132" s="35">
        <v>-23</v>
      </c>
      <c r="H132" s="35">
        <v>-22.5</v>
      </c>
      <c r="I132" s="35">
        <v>-22.8</v>
      </c>
      <c r="J132" s="35">
        <v>-23</v>
      </c>
      <c r="K132" s="35">
        <v>-22.5</v>
      </c>
      <c r="L132" s="35">
        <v>-17.8</v>
      </c>
      <c r="M132" s="35">
        <v>-23</v>
      </c>
      <c r="N132" s="35">
        <v>-0.3</v>
      </c>
      <c r="O132" s="35">
        <v>-0.1</v>
      </c>
      <c r="P132" s="35">
        <v>-5</v>
      </c>
      <c r="Q132" s="35">
        <v>-2.1</v>
      </c>
      <c r="R132" s="35">
        <v>-2.9</v>
      </c>
      <c r="S132" s="35">
        <v>-5</v>
      </c>
      <c r="T132" s="35">
        <v>14.8</v>
      </c>
      <c r="U132" s="35">
        <v>40</v>
      </c>
      <c r="V132" s="35">
        <v>14.3</v>
      </c>
      <c r="W132" s="35">
        <v>40</v>
      </c>
      <c r="X132" s="35">
        <v>14.6</v>
      </c>
      <c r="Y132" s="35">
        <v>41.6</v>
      </c>
      <c r="Z132" s="35">
        <v>15.1</v>
      </c>
      <c r="AA132" s="35">
        <v>40.200000000000003</v>
      </c>
      <c r="AB132" s="35">
        <v>20.8</v>
      </c>
      <c r="AC132" s="35">
        <v>20</v>
      </c>
      <c r="AD132" s="35">
        <v>20.7</v>
      </c>
      <c r="AE132" s="35">
        <v>20</v>
      </c>
    </row>
    <row r="133" spans="1:31" x14ac:dyDescent="0.35">
      <c r="A133" s="36">
        <v>46059.539583333331</v>
      </c>
      <c r="B133" s="35">
        <v>-21.7</v>
      </c>
      <c r="C133" s="35">
        <v>-23</v>
      </c>
      <c r="D133" s="35">
        <v>-23</v>
      </c>
      <c r="E133" s="35">
        <v>-22.4</v>
      </c>
      <c r="F133" s="35">
        <v>-21.1</v>
      </c>
      <c r="G133" s="35">
        <v>-23</v>
      </c>
      <c r="H133" s="35">
        <v>-22.5</v>
      </c>
      <c r="I133" s="35">
        <v>-22.9</v>
      </c>
      <c r="J133" s="35">
        <v>-23</v>
      </c>
      <c r="K133" s="35">
        <v>-22.6</v>
      </c>
      <c r="L133" s="35">
        <v>-17.8</v>
      </c>
      <c r="M133" s="35">
        <v>-23</v>
      </c>
      <c r="N133" s="35">
        <v>-0.4</v>
      </c>
      <c r="O133" s="35">
        <v>-0.4</v>
      </c>
      <c r="P133" s="35">
        <v>-5</v>
      </c>
      <c r="Q133" s="35">
        <v>-2.1</v>
      </c>
      <c r="R133" s="35">
        <v>-2.9</v>
      </c>
      <c r="S133" s="35">
        <v>-5</v>
      </c>
      <c r="T133" s="35">
        <v>14.8</v>
      </c>
      <c r="U133" s="35">
        <v>40</v>
      </c>
      <c r="V133" s="35">
        <v>14.3</v>
      </c>
      <c r="W133" s="35">
        <v>40</v>
      </c>
      <c r="X133" s="35">
        <v>14.6</v>
      </c>
      <c r="Y133" s="35">
        <v>41.6</v>
      </c>
      <c r="Z133" s="35">
        <v>15.1</v>
      </c>
      <c r="AA133" s="35">
        <v>40.200000000000003</v>
      </c>
      <c r="AB133" s="35">
        <v>20.8</v>
      </c>
      <c r="AC133" s="35">
        <v>20</v>
      </c>
      <c r="AD133" s="35">
        <v>20.8</v>
      </c>
      <c r="AE133" s="35">
        <v>20</v>
      </c>
    </row>
    <row r="134" spans="1:31" x14ac:dyDescent="0.35">
      <c r="A134" s="36">
        <v>46059.540277777778</v>
      </c>
      <c r="B134" s="35">
        <v>-21.7</v>
      </c>
      <c r="C134" s="35">
        <v>-22.7</v>
      </c>
      <c r="D134" s="35">
        <v>-23</v>
      </c>
      <c r="E134" s="35">
        <v>-22.3</v>
      </c>
      <c r="F134" s="35">
        <v>-21.1</v>
      </c>
      <c r="G134" s="35">
        <v>-23</v>
      </c>
      <c r="H134" s="35">
        <v>-22.5</v>
      </c>
      <c r="I134" s="35">
        <v>-23.2</v>
      </c>
      <c r="J134" s="35">
        <v>-23</v>
      </c>
      <c r="K134" s="35">
        <v>-22.8</v>
      </c>
      <c r="L134" s="35">
        <v>-17.8</v>
      </c>
      <c r="M134" s="35">
        <v>-23</v>
      </c>
      <c r="N134" s="35">
        <v>-0.5</v>
      </c>
      <c r="O134" s="35">
        <v>-0.3</v>
      </c>
      <c r="P134" s="35">
        <v>-5</v>
      </c>
      <c r="Q134" s="35">
        <v>-2.1</v>
      </c>
      <c r="R134" s="35">
        <v>-2.9</v>
      </c>
      <c r="S134" s="35">
        <v>-5</v>
      </c>
      <c r="T134" s="35">
        <v>14.8</v>
      </c>
      <c r="U134" s="35">
        <v>40</v>
      </c>
      <c r="V134" s="35">
        <v>14.3</v>
      </c>
      <c r="W134" s="35">
        <v>40</v>
      </c>
      <c r="X134" s="35">
        <v>14.6</v>
      </c>
      <c r="Y134" s="35">
        <v>41.6</v>
      </c>
      <c r="Z134" s="35">
        <v>15.1</v>
      </c>
      <c r="AA134" s="35">
        <v>40.200000000000003</v>
      </c>
      <c r="AB134" s="35">
        <v>20.8</v>
      </c>
      <c r="AC134" s="35">
        <v>20</v>
      </c>
      <c r="AD134" s="35">
        <v>20.8</v>
      </c>
      <c r="AE134" s="35">
        <v>20</v>
      </c>
    </row>
    <row r="135" spans="1:31" x14ac:dyDescent="0.35">
      <c r="A135" s="36">
        <v>46059.540972222225</v>
      </c>
      <c r="B135" s="35">
        <v>-21.7</v>
      </c>
      <c r="C135" s="35">
        <v>-22.5</v>
      </c>
      <c r="D135" s="35">
        <v>-23</v>
      </c>
      <c r="E135" s="35">
        <v>-22.3</v>
      </c>
      <c r="F135" s="35">
        <v>-21.1</v>
      </c>
      <c r="G135" s="35">
        <v>-23</v>
      </c>
      <c r="H135" s="35">
        <v>-22.5</v>
      </c>
      <c r="I135" s="35">
        <v>-23.2</v>
      </c>
      <c r="J135" s="35">
        <v>-23</v>
      </c>
      <c r="K135" s="35">
        <v>-22.9</v>
      </c>
      <c r="L135" s="35">
        <v>-17.899999999999999</v>
      </c>
      <c r="M135" s="35">
        <v>-23</v>
      </c>
      <c r="N135" s="35">
        <v>-0.6</v>
      </c>
      <c r="O135" s="35">
        <v>-0.3</v>
      </c>
      <c r="P135" s="35">
        <v>-5</v>
      </c>
      <c r="Q135" s="35">
        <v>-2.1</v>
      </c>
      <c r="R135" s="35">
        <v>-2.9</v>
      </c>
      <c r="S135" s="35">
        <v>-5</v>
      </c>
      <c r="T135" s="35">
        <v>14.8</v>
      </c>
      <c r="U135" s="35">
        <v>40</v>
      </c>
      <c r="V135" s="35">
        <v>14.3</v>
      </c>
      <c r="W135" s="35">
        <v>40</v>
      </c>
      <c r="X135" s="35">
        <v>14.6</v>
      </c>
      <c r="Y135" s="35">
        <v>41.6</v>
      </c>
      <c r="Z135" s="35">
        <v>15.1</v>
      </c>
      <c r="AA135" s="35">
        <v>40.200000000000003</v>
      </c>
      <c r="AB135" s="35">
        <v>20.8</v>
      </c>
      <c r="AC135" s="35">
        <v>20</v>
      </c>
      <c r="AD135" s="35">
        <v>20.8</v>
      </c>
      <c r="AE135" s="35">
        <v>20</v>
      </c>
    </row>
    <row r="136" spans="1:31" x14ac:dyDescent="0.35">
      <c r="A136" s="36">
        <v>46059.541666666664</v>
      </c>
      <c r="B136" s="35">
        <v>-21.7</v>
      </c>
      <c r="C136" s="35">
        <v>-22.5</v>
      </c>
      <c r="D136" s="35">
        <v>-23</v>
      </c>
      <c r="E136" s="35">
        <v>-22.3</v>
      </c>
      <c r="F136" s="35">
        <v>-21.1</v>
      </c>
      <c r="G136" s="35">
        <v>-23</v>
      </c>
      <c r="H136" s="35">
        <v>-22.6</v>
      </c>
      <c r="I136" s="35">
        <v>-23.2</v>
      </c>
      <c r="J136" s="35">
        <v>-23</v>
      </c>
      <c r="K136" s="35">
        <v>-22.9</v>
      </c>
      <c r="L136" s="35">
        <v>-17.899999999999999</v>
      </c>
      <c r="M136" s="35">
        <v>-23</v>
      </c>
      <c r="N136" s="35">
        <v>-0.7</v>
      </c>
      <c r="O136" s="35">
        <v>-0.4</v>
      </c>
      <c r="P136" s="35">
        <v>-5</v>
      </c>
      <c r="Q136" s="35">
        <v>-2.1</v>
      </c>
      <c r="R136" s="35">
        <v>-2.9</v>
      </c>
      <c r="S136" s="35">
        <v>-5</v>
      </c>
      <c r="T136" s="35">
        <v>14.8</v>
      </c>
      <c r="U136" s="35">
        <v>40</v>
      </c>
      <c r="V136" s="35">
        <v>14.4</v>
      </c>
      <c r="W136" s="35">
        <v>40</v>
      </c>
      <c r="X136" s="35">
        <v>14.6</v>
      </c>
      <c r="Y136" s="35">
        <v>41.6</v>
      </c>
      <c r="Z136" s="35">
        <v>15.1</v>
      </c>
      <c r="AA136" s="35">
        <v>40.200000000000003</v>
      </c>
      <c r="AB136" s="35">
        <v>20.8</v>
      </c>
      <c r="AC136" s="35">
        <v>20</v>
      </c>
      <c r="AD136" s="35">
        <v>20.8</v>
      </c>
      <c r="AE136" s="35">
        <v>20</v>
      </c>
    </row>
    <row r="137" spans="1:31" x14ac:dyDescent="0.35">
      <c r="A137" s="36">
        <v>46059.542361111111</v>
      </c>
      <c r="B137" s="35">
        <v>-21.7</v>
      </c>
      <c r="C137" s="35">
        <v>-22.7</v>
      </c>
      <c r="D137" s="35">
        <v>-23</v>
      </c>
      <c r="E137" s="35">
        <v>-22.3</v>
      </c>
      <c r="F137" s="35">
        <v>-21.1</v>
      </c>
      <c r="G137" s="35">
        <v>-23</v>
      </c>
      <c r="H137" s="35">
        <v>-22.6</v>
      </c>
      <c r="I137" s="35">
        <v>-23.2</v>
      </c>
      <c r="J137" s="35">
        <v>-23</v>
      </c>
      <c r="K137" s="35">
        <v>-22.9</v>
      </c>
      <c r="L137" s="35">
        <v>-18</v>
      </c>
      <c r="M137" s="35">
        <v>-23</v>
      </c>
      <c r="N137" s="35">
        <v>-0.8</v>
      </c>
      <c r="O137" s="35">
        <v>-0.8</v>
      </c>
      <c r="P137" s="35">
        <v>-5</v>
      </c>
      <c r="Q137" s="35">
        <v>-2.1</v>
      </c>
      <c r="R137" s="35">
        <v>-2.9</v>
      </c>
      <c r="S137" s="35">
        <v>-5</v>
      </c>
      <c r="T137" s="35">
        <v>14.8</v>
      </c>
      <c r="U137" s="35">
        <v>40</v>
      </c>
      <c r="V137" s="35">
        <v>14.4</v>
      </c>
      <c r="W137" s="35">
        <v>40</v>
      </c>
      <c r="X137" s="35">
        <v>14.6</v>
      </c>
      <c r="Y137" s="35">
        <v>41.6</v>
      </c>
      <c r="Z137" s="35">
        <v>15.2</v>
      </c>
      <c r="AA137" s="35">
        <v>40.200000000000003</v>
      </c>
      <c r="AB137" s="35">
        <v>20.8</v>
      </c>
      <c r="AC137" s="35">
        <v>20</v>
      </c>
      <c r="AD137" s="35">
        <v>20.8</v>
      </c>
      <c r="AE137" s="35">
        <v>20</v>
      </c>
    </row>
    <row r="138" spans="1:31" x14ac:dyDescent="0.35">
      <c r="A138" s="36">
        <v>46059.543055555558</v>
      </c>
      <c r="B138" s="35">
        <v>-21.8</v>
      </c>
      <c r="C138" s="35">
        <v>-24.9</v>
      </c>
      <c r="D138" s="35">
        <v>-23</v>
      </c>
      <c r="E138" s="35">
        <v>-22.5</v>
      </c>
      <c r="F138" s="35">
        <v>-21.2</v>
      </c>
      <c r="G138" s="35">
        <v>-23</v>
      </c>
      <c r="H138" s="35">
        <v>-22.6</v>
      </c>
      <c r="I138" s="35">
        <v>-23.2</v>
      </c>
      <c r="J138" s="35">
        <v>-23</v>
      </c>
      <c r="K138" s="35">
        <v>-22.9</v>
      </c>
      <c r="L138" s="35">
        <v>-18</v>
      </c>
      <c r="M138" s="35">
        <v>-23</v>
      </c>
      <c r="N138" s="35">
        <v>-0.9</v>
      </c>
      <c r="O138" s="35">
        <v>-1</v>
      </c>
      <c r="P138" s="35">
        <v>-5</v>
      </c>
      <c r="Q138" s="35">
        <v>-2.1</v>
      </c>
      <c r="R138" s="35">
        <v>-2.9</v>
      </c>
      <c r="S138" s="35">
        <v>-5</v>
      </c>
      <c r="T138" s="35">
        <v>14.8</v>
      </c>
      <c r="U138" s="35">
        <v>40</v>
      </c>
      <c r="V138" s="35">
        <v>14.4</v>
      </c>
      <c r="W138" s="35">
        <v>40</v>
      </c>
      <c r="X138" s="35">
        <v>14.6</v>
      </c>
      <c r="Y138" s="35">
        <v>41.6</v>
      </c>
      <c r="Z138" s="35">
        <v>15.2</v>
      </c>
      <c r="AA138" s="35">
        <v>40.200000000000003</v>
      </c>
      <c r="AB138" s="35">
        <v>20.8</v>
      </c>
      <c r="AC138" s="35">
        <v>20</v>
      </c>
      <c r="AD138" s="35">
        <v>20.8</v>
      </c>
      <c r="AE138" s="35">
        <v>20</v>
      </c>
    </row>
    <row r="139" spans="1:31" x14ac:dyDescent="0.35">
      <c r="A139" s="36">
        <v>46059.543749999997</v>
      </c>
      <c r="B139" s="35">
        <v>-21.9</v>
      </c>
      <c r="C139" s="35">
        <v>-24.8</v>
      </c>
      <c r="D139" s="35">
        <v>-23</v>
      </c>
      <c r="E139" s="35">
        <v>-22.7</v>
      </c>
      <c r="F139" s="35">
        <v>-21.3</v>
      </c>
      <c r="G139" s="35">
        <v>-23</v>
      </c>
      <c r="H139" s="35">
        <v>-22.6</v>
      </c>
      <c r="I139" s="35">
        <v>-23</v>
      </c>
      <c r="J139" s="35">
        <v>-23</v>
      </c>
      <c r="K139" s="35">
        <v>-22.8</v>
      </c>
      <c r="L139" s="35">
        <v>-18</v>
      </c>
      <c r="M139" s="35">
        <v>-23</v>
      </c>
      <c r="N139" s="35">
        <v>-1</v>
      </c>
      <c r="O139" s="35">
        <v>-1.1000000000000001</v>
      </c>
      <c r="P139" s="35">
        <v>-5</v>
      </c>
      <c r="Q139" s="35">
        <v>-2.1</v>
      </c>
      <c r="R139" s="35">
        <v>-2.9</v>
      </c>
      <c r="S139" s="35">
        <v>-5</v>
      </c>
      <c r="T139" s="35">
        <v>14.8</v>
      </c>
      <c r="U139" s="35">
        <v>40</v>
      </c>
      <c r="V139" s="35">
        <v>14.4</v>
      </c>
      <c r="W139" s="35">
        <v>40</v>
      </c>
      <c r="X139" s="35">
        <v>14.6</v>
      </c>
      <c r="Y139" s="35">
        <v>41.6</v>
      </c>
      <c r="Z139" s="35">
        <v>15.2</v>
      </c>
      <c r="AA139" s="35">
        <v>40.200000000000003</v>
      </c>
      <c r="AB139" s="35">
        <v>20.8</v>
      </c>
      <c r="AC139" s="35">
        <v>20</v>
      </c>
      <c r="AD139" s="35">
        <v>20.8</v>
      </c>
      <c r="AE139" s="35">
        <v>20</v>
      </c>
    </row>
    <row r="140" spans="1:31" x14ac:dyDescent="0.35">
      <c r="A140" s="36">
        <v>46059.544444444444</v>
      </c>
      <c r="B140" s="35">
        <v>-22</v>
      </c>
      <c r="C140" s="35">
        <v>-24</v>
      </c>
      <c r="D140" s="35">
        <v>-23</v>
      </c>
      <c r="E140" s="35">
        <v>-22.7</v>
      </c>
      <c r="F140" s="35">
        <v>-21.4</v>
      </c>
      <c r="G140" s="35">
        <v>-23</v>
      </c>
      <c r="H140" s="35">
        <v>-22.6</v>
      </c>
      <c r="I140" s="35">
        <v>-23</v>
      </c>
      <c r="J140" s="35">
        <v>-23</v>
      </c>
      <c r="K140" s="35">
        <v>-22.8</v>
      </c>
      <c r="L140" s="35">
        <v>-18</v>
      </c>
      <c r="M140" s="35">
        <v>-23</v>
      </c>
      <c r="N140" s="35">
        <v>-1</v>
      </c>
      <c r="O140" s="35">
        <v>-1.3</v>
      </c>
      <c r="P140" s="35">
        <v>-5</v>
      </c>
      <c r="Q140" s="35">
        <v>-2.1</v>
      </c>
      <c r="R140" s="35">
        <v>-3</v>
      </c>
      <c r="S140" s="35">
        <v>-5</v>
      </c>
      <c r="T140" s="35">
        <v>14.9</v>
      </c>
      <c r="U140" s="35">
        <v>40</v>
      </c>
      <c r="V140" s="35">
        <v>14.5</v>
      </c>
      <c r="W140" s="35">
        <v>40</v>
      </c>
      <c r="X140" s="35">
        <v>14.7</v>
      </c>
      <c r="Y140" s="35">
        <v>41.6</v>
      </c>
      <c r="Z140" s="35">
        <v>15.2</v>
      </c>
      <c r="AA140" s="35">
        <v>40.200000000000003</v>
      </c>
      <c r="AB140" s="35">
        <v>20.8</v>
      </c>
      <c r="AC140" s="35">
        <v>20</v>
      </c>
      <c r="AD140" s="35">
        <v>20.8</v>
      </c>
      <c r="AE140" s="35">
        <v>20</v>
      </c>
    </row>
    <row r="141" spans="1:31" x14ac:dyDescent="0.35">
      <c r="A141" s="36">
        <v>46059.545138888891</v>
      </c>
      <c r="B141" s="35">
        <v>-22</v>
      </c>
      <c r="C141" s="35">
        <v>-23.4</v>
      </c>
      <c r="D141" s="35">
        <v>-23</v>
      </c>
      <c r="E141" s="35">
        <v>-22.7</v>
      </c>
      <c r="F141" s="35">
        <v>-21.4</v>
      </c>
      <c r="G141" s="35">
        <v>-23</v>
      </c>
      <c r="H141" s="35">
        <v>-22.6</v>
      </c>
      <c r="I141" s="35">
        <v>-23</v>
      </c>
      <c r="J141" s="35">
        <v>-23</v>
      </c>
      <c r="K141" s="35">
        <v>-22.8</v>
      </c>
      <c r="L141" s="35">
        <v>-18</v>
      </c>
      <c r="M141" s="35">
        <v>-23</v>
      </c>
      <c r="N141" s="35">
        <v>-1.1000000000000001</v>
      </c>
      <c r="O141" s="35">
        <v>-1.4</v>
      </c>
      <c r="P141" s="35">
        <v>-5</v>
      </c>
      <c r="Q141" s="35">
        <v>-2.1</v>
      </c>
      <c r="R141" s="35">
        <v>-3</v>
      </c>
      <c r="S141" s="35">
        <v>-5</v>
      </c>
      <c r="T141" s="35">
        <v>14.9</v>
      </c>
      <c r="U141" s="35">
        <v>40</v>
      </c>
      <c r="V141" s="35">
        <v>14.8</v>
      </c>
      <c r="W141" s="35">
        <v>40</v>
      </c>
      <c r="X141" s="35">
        <v>14.9</v>
      </c>
      <c r="Y141" s="35">
        <v>41.6</v>
      </c>
      <c r="Z141" s="35">
        <v>15.2</v>
      </c>
      <c r="AA141" s="35">
        <v>40.200000000000003</v>
      </c>
      <c r="AB141" s="35">
        <v>20.8</v>
      </c>
      <c r="AC141" s="35">
        <v>20</v>
      </c>
      <c r="AD141" s="35">
        <v>20.8</v>
      </c>
      <c r="AE141" s="35">
        <v>20</v>
      </c>
    </row>
    <row r="142" spans="1:31" x14ac:dyDescent="0.35">
      <c r="A142" s="36">
        <v>46059.54583333333</v>
      </c>
      <c r="B142" s="35">
        <v>-22</v>
      </c>
      <c r="C142" s="35">
        <v>-23.1</v>
      </c>
      <c r="D142" s="35">
        <v>-23</v>
      </c>
      <c r="E142" s="35">
        <v>-22.7</v>
      </c>
      <c r="F142" s="35">
        <v>-21.5</v>
      </c>
      <c r="G142" s="35">
        <v>-23</v>
      </c>
      <c r="H142" s="35">
        <v>-22.6</v>
      </c>
      <c r="I142" s="35">
        <v>-23.2</v>
      </c>
      <c r="J142" s="35">
        <v>-23</v>
      </c>
      <c r="K142" s="35">
        <v>-22.9</v>
      </c>
      <c r="L142" s="35">
        <v>-18</v>
      </c>
      <c r="M142" s="35">
        <v>-23</v>
      </c>
      <c r="N142" s="35">
        <v>-1.2</v>
      </c>
      <c r="O142" s="35">
        <v>-1.5</v>
      </c>
      <c r="P142" s="35">
        <v>-5</v>
      </c>
      <c r="Q142" s="35">
        <v>-2.2000000000000002</v>
      </c>
      <c r="R142" s="35">
        <v>-3</v>
      </c>
      <c r="S142" s="35">
        <v>-5</v>
      </c>
      <c r="T142" s="35">
        <v>14.9</v>
      </c>
      <c r="U142" s="35">
        <v>40</v>
      </c>
      <c r="V142" s="35">
        <v>15</v>
      </c>
      <c r="W142" s="35">
        <v>40</v>
      </c>
      <c r="X142" s="35">
        <v>15</v>
      </c>
      <c r="Y142" s="35">
        <v>41.6</v>
      </c>
      <c r="Z142" s="35">
        <v>15.2</v>
      </c>
      <c r="AA142" s="35">
        <v>40.200000000000003</v>
      </c>
      <c r="AB142" s="35">
        <v>20.8</v>
      </c>
      <c r="AC142" s="35">
        <v>20</v>
      </c>
      <c r="AD142" s="35">
        <v>20.8</v>
      </c>
      <c r="AE142" s="35">
        <v>20</v>
      </c>
    </row>
    <row r="143" spans="1:31" x14ac:dyDescent="0.35">
      <c r="A143" s="36">
        <v>46059.546527777777</v>
      </c>
      <c r="B143" s="35">
        <v>-22</v>
      </c>
      <c r="C143" s="35">
        <v>-23</v>
      </c>
      <c r="D143" s="35">
        <v>-23</v>
      </c>
      <c r="E143" s="35">
        <v>-22.7</v>
      </c>
      <c r="F143" s="35">
        <v>-21.5</v>
      </c>
      <c r="G143" s="35">
        <v>-23</v>
      </c>
      <c r="H143" s="35">
        <v>-22.6</v>
      </c>
      <c r="I143" s="35">
        <v>-23.2</v>
      </c>
      <c r="J143" s="35">
        <v>-23</v>
      </c>
      <c r="K143" s="35">
        <v>-23</v>
      </c>
      <c r="L143" s="35">
        <v>-18</v>
      </c>
      <c r="M143" s="35">
        <v>-23</v>
      </c>
      <c r="N143" s="35">
        <v>-1.3</v>
      </c>
      <c r="O143" s="35">
        <v>-1.6</v>
      </c>
      <c r="P143" s="35">
        <v>-5</v>
      </c>
      <c r="Q143" s="35">
        <v>-2.2000000000000002</v>
      </c>
      <c r="R143" s="35">
        <v>-3</v>
      </c>
      <c r="S143" s="35">
        <v>-5</v>
      </c>
      <c r="T143" s="35">
        <v>14.9</v>
      </c>
      <c r="U143" s="35">
        <v>40</v>
      </c>
      <c r="V143" s="35">
        <v>15</v>
      </c>
      <c r="W143" s="35">
        <v>40</v>
      </c>
      <c r="X143" s="35">
        <v>15</v>
      </c>
      <c r="Y143" s="35">
        <v>41.6</v>
      </c>
      <c r="Z143" s="35">
        <v>15.2</v>
      </c>
      <c r="AA143" s="35">
        <v>40.200000000000003</v>
      </c>
      <c r="AB143" s="35">
        <v>20.8</v>
      </c>
      <c r="AC143" s="35">
        <v>20</v>
      </c>
      <c r="AD143" s="35">
        <v>20.8</v>
      </c>
      <c r="AE143" s="35">
        <v>20</v>
      </c>
    </row>
    <row r="144" spans="1:31" x14ac:dyDescent="0.35">
      <c r="A144" s="36">
        <v>46059.547222222223</v>
      </c>
      <c r="B144" s="35">
        <v>-22</v>
      </c>
      <c r="C144" s="35">
        <v>-23</v>
      </c>
      <c r="D144" s="35">
        <v>-23</v>
      </c>
      <c r="E144" s="35">
        <v>-22.7</v>
      </c>
      <c r="F144" s="35">
        <v>-21.5</v>
      </c>
      <c r="G144" s="35">
        <v>-23</v>
      </c>
      <c r="H144" s="35">
        <v>-22.6</v>
      </c>
      <c r="I144" s="35">
        <v>-23.3</v>
      </c>
      <c r="J144" s="35">
        <v>-23</v>
      </c>
      <c r="K144" s="35">
        <v>-23</v>
      </c>
      <c r="L144" s="35">
        <v>-18</v>
      </c>
      <c r="M144" s="35">
        <v>-23</v>
      </c>
      <c r="N144" s="35">
        <v>-1.4</v>
      </c>
      <c r="O144" s="35">
        <v>-1.7</v>
      </c>
      <c r="P144" s="35">
        <v>-5</v>
      </c>
      <c r="Q144" s="35">
        <v>-2.2999999999999998</v>
      </c>
      <c r="R144" s="35">
        <v>-3</v>
      </c>
      <c r="S144" s="35">
        <v>-5</v>
      </c>
      <c r="T144" s="35">
        <v>15.1</v>
      </c>
      <c r="U144" s="35">
        <v>40</v>
      </c>
      <c r="V144" s="35">
        <v>15</v>
      </c>
      <c r="W144" s="35">
        <v>40</v>
      </c>
      <c r="X144" s="35">
        <v>15.2</v>
      </c>
      <c r="Y144" s="35">
        <v>41.6</v>
      </c>
      <c r="Z144" s="35">
        <v>15.2</v>
      </c>
      <c r="AA144" s="35">
        <v>40.200000000000003</v>
      </c>
      <c r="AB144" s="35">
        <v>20.8</v>
      </c>
      <c r="AC144" s="35">
        <v>20</v>
      </c>
      <c r="AD144" s="35">
        <v>20.8</v>
      </c>
      <c r="AE144" s="35">
        <v>20</v>
      </c>
    </row>
    <row r="145" spans="1:31" x14ac:dyDescent="0.35">
      <c r="A145" s="36">
        <v>46059.54791666667</v>
      </c>
      <c r="B145" s="35">
        <v>-22</v>
      </c>
      <c r="C145" s="35">
        <v>-23.6</v>
      </c>
      <c r="D145" s="35">
        <v>-23</v>
      </c>
      <c r="E145" s="35">
        <v>-22.8</v>
      </c>
      <c r="F145" s="35">
        <v>-21.6</v>
      </c>
      <c r="G145" s="35">
        <v>-23</v>
      </c>
      <c r="H145" s="35">
        <v>-22.7</v>
      </c>
      <c r="I145" s="35">
        <v>-23.3</v>
      </c>
      <c r="J145" s="35">
        <v>-23</v>
      </c>
      <c r="K145" s="35">
        <v>-23</v>
      </c>
      <c r="L145" s="35">
        <v>-18.100000000000001</v>
      </c>
      <c r="M145" s="35">
        <v>-23</v>
      </c>
      <c r="N145" s="35">
        <v>-1.4</v>
      </c>
      <c r="O145" s="35">
        <v>-1.8</v>
      </c>
      <c r="P145" s="35">
        <v>-5</v>
      </c>
      <c r="Q145" s="35">
        <v>-2.2999999999999998</v>
      </c>
      <c r="R145" s="35">
        <v>-3.1</v>
      </c>
      <c r="S145" s="35">
        <v>-5</v>
      </c>
      <c r="T145" s="35">
        <v>15.4</v>
      </c>
      <c r="U145" s="35">
        <v>40</v>
      </c>
      <c r="V145" s="35">
        <v>15</v>
      </c>
      <c r="W145" s="35">
        <v>40</v>
      </c>
      <c r="X145" s="35">
        <v>15.2</v>
      </c>
      <c r="Y145" s="35">
        <v>41.6</v>
      </c>
      <c r="Z145" s="35">
        <v>15.2</v>
      </c>
      <c r="AA145" s="35">
        <v>40.200000000000003</v>
      </c>
      <c r="AB145" s="35">
        <v>20.8</v>
      </c>
      <c r="AC145" s="35">
        <v>20</v>
      </c>
      <c r="AD145" s="35">
        <v>20.8</v>
      </c>
      <c r="AE145" s="35">
        <v>20</v>
      </c>
    </row>
    <row r="146" spans="1:31" x14ac:dyDescent="0.35">
      <c r="A146" s="36">
        <v>46059.548611111109</v>
      </c>
      <c r="B146" s="35">
        <v>-22.1</v>
      </c>
      <c r="C146" s="35">
        <v>-25.1</v>
      </c>
      <c r="D146" s="35">
        <v>-23</v>
      </c>
      <c r="E146" s="35">
        <v>-23</v>
      </c>
      <c r="F146" s="35">
        <v>-21.6</v>
      </c>
      <c r="G146" s="35">
        <v>-23</v>
      </c>
      <c r="H146" s="35">
        <v>-22.7</v>
      </c>
      <c r="I146" s="35">
        <v>-23.2</v>
      </c>
      <c r="J146" s="35">
        <v>-23</v>
      </c>
      <c r="K146" s="35">
        <v>-22.9</v>
      </c>
      <c r="L146" s="35">
        <v>-18.100000000000001</v>
      </c>
      <c r="M146" s="35">
        <v>-23</v>
      </c>
      <c r="N146" s="35">
        <v>-1.5</v>
      </c>
      <c r="O146" s="35">
        <v>-1.8</v>
      </c>
      <c r="P146" s="35">
        <v>-5</v>
      </c>
      <c r="Q146" s="35">
        <v>-2.2999999999999998</v>
      </c>
      <c r="R146" s="35">
        <v>-3.1</v>
      </c>
      <c r="S146" s="35">
        <v>-5</v>
      </c>
      <c r="T146" s="35">
        <v>15.8</v>
      </c>
      <c r="U146" s="35">
        <v>40</v>
      </c>
      <c r="V146" s="35">
        <v>15</v>
      </c>
      <c r="W146" s="35">
        <v>40</v>
      </c>
      <c r="X146" s="35">
        <v>15.2</v>
      </c>
      <c r="Y146" s="35">
        <v>41.6</v>
      </c>
      <c r="Z146" s="35">
        <v>15.2</v>
      </c>
      <c r="AA146" s="35">
        <v>40.200000000000003</v>
      </c>
      <c r="AB146" s="35">
        <v>20.8</v>
      </c>
      <c r="AC146" s="35">
        <v>20</v>
      </c>
      <c r="AD146" s="35">
        <v>20.8</v>
      </c>
      <c r="AE146" s="35">
        <v>20</v>
      </c>
    </row>
    <row r="147" spans="1:31" x14ac:dyDescent="0.35">
      <c r="A147" s="36">
        <v>46059.549305555556</v>
      </c>
      <c r="B147" s="35">
        <v>-22.2</v>
      </c>
      <c r="C147" s="35">
        <v>-24.9</v>
      </c>
      <c r="D147" s="35">
        <v>-23</v>
      </c>
      <c r="E147" s="35">
        <v>-23</v>
      </c>
      <c r="F147" s="35">
        <v>-21.7</v>
      </c>
      <c r="G147" s="35">
        <v>-23</v>
      </c>
      <c r="H147" s="35">
        <v>-22.7</v>
      </c>
      <c r="I147" s="35">
        <v>-23.2</v>
      </c>
      <c r="J147" s="35">
        <v>-23</v>
      </c>
      <c r="K147" s="35">
        <v>-22.9</v>
      </c>
      <c r="L147" s="35">
        <v>-18.100000000000001</v>
      </c>
      <c r="M147" s="35">
        <v>-23</v>
      </c>
      <c r="N147" s="35">
        <v>-1.5</v>
      </c>
      <c r="O147" s="35">
        <v>-1.9</v>
      </c>
      <c r="P147" s="35">
        <v>-5</v>
      </c>
      <c r="Q147" s="35">
        <v>-2.2999999999999998</v>
      </c>
      <c r="R147" s="35">
        <v>-3.1</v>
      </c>
      <c r="S147" s="35">
        <v>-5</v>
      </c>
      <c r="T147" s="35">
        <v>15.9</v>
      </c>
      <c r="U147" s="35">
        <v>40</v>
      </c>
      <c r="V147" s="35">
        <v>15</v>
      </c>
      <c r="W147" s="35">
        <v>40</v>
      </c>
      <c r="X147" s="35">
        <v>15.2</v>
      </c>
      <c r="Y147" s="35">
        <v>41.6</v>
      </c>
      <c r="Z147" s="35">
        <v>15.2</v>
      </c>
      <c r="AA147" s="35">
        <v>40.200000000000003</v>
      </c>
      <c r="AB147" s="35">
        <v>20.9</v>
      </c>
      <c r="AC147" s="35">
        <v>20</v>
      </c>
      <c r="AD147" s="35">
        <v>20.8</v>
      </c>
      <c r="AE147" s="35">
        <v>20</v>
      </c>
    </row>
    <row r="148" spans="1:31" x14ac:dyDescent="0.35">
      <c r="A148" s="36">
        <v>46059.55</v>
      </c>
      <c r="B148" s="35">
        <v>-22.2</v>
      </c>
      <c r="C148" s="35">
        <v>-24</v>
      </c>
      <c r="D148" s="35">
        <v>-23</v>
      </c>
      <c r="E148" s="35">
        <v>-23</v>
      </c>
      <c r="F148" s="35">
        <v>-21.7</v>
      </c>
      <c r="G148" s="35">
        <v>-23</v>
      </c>
      <c r="H148" s="35">
        <v>-22.7</v>
      </c>
      <c r="I148" s="35">
        <v>-23.4</v>
      </c>
      <c r="J148" s="35">
        <v>-23</v>
      </c>
      <c r="K148" s="35">
        <v>-23</v>
      </c>
      <c r="L148" s="35">
        <v>-18.100000000000001</v>
      </c>
      <c r="M148" s="35">
        <v>-23</v>
      </c>
      <c r="N148" s="35">
        <v>-1.6</v>
      </c>
      <c r="O148" s="35">
        <v>-2</v>
      </c>
      <c r="P148" s="35">
        <v>-5</v>
      </c>
      <c r="Q148" s="35">
        <v>-2.2999999999999998</v>
      </c>
      <c r="R148" s="35">
        <v>-3.1</v>
      </c>
      <c r="S148" s="35">
        <v>-5</v>
      </c>
      <c r="T148" s="35">
        <v>16</v>
      </c>
      <c r="U148" s="35">
        <v>40</v>
      </c>
      <c r="V148" s="35">
        <v>15</v>
      </c>
      <c r="W148" s="35">
        <v>40</v>
      </c>
      <c r="X148" s="35">
        <v>15.2</v>
      </c>
      <c r="Y148" s="35">
        <v>41.6</v>
      </c>
      <c r="Z148" s="35">
        <v>15.2</v>
      </c>
      <c r="AA148" s="35">
        <v>40.200000000000003</v>
      </c>
      <c r="AB148" s="35">
        <v>20.9</v>
      </c>
      <c r="AC148" s="35">
        <v>20</v>
      </c>
      <c r="AD148" s="35">
        <v>20.8</v>
      </c>
      <c r="AE148" s="35">
        <v>20</v>
      </c>
    </row>
    <row r="149" spans="1:31" x14ac:dyDescent="0.35">
      <c r="A149" s="36">
        <v>46059.550694444442</v>
      </c>
      <c r="B149" s="35">
        <v>-22.2</v>
      </c>
      <c r="C149" s="35">
        <v>-23.4</v>
      </c>
      <c r="D149" s="35">
        <v>-23</v>
      </c>
      <c r="E149" s="35">
        <v>-22.7</v>
      </c>
      <c r="F149" s="35">
        <v>-21.7</v>
      </c>
      <c r="G149" s="35">
        <v>-23</v>
      </c>
      <c r="H149" s="35">
        <v>-22.7</v>
      </c>
      <c r="I149" s="35">
        <v>-23.5</v>
      </c>
      <c r="J149" s="35">
        <v>-23</v>
      </c>
      <c r="K149" s="35">
        <v>-23.3</v>
      </c>
      <c r="L149" s="35">
        <v>-18.2</v>
      </c>
      <c r="M149" s="35">
        <v>-23</v>
      </c>
      <c r="N149" s="35">
        <v>-1.6</v>
      </c>
      <c r="O149" s="35">
        <v>-2.1</v>
      </c>
      <c r="P149" s="35">
        <v>-5</v>
      </c>
      <c r="Q149" s="35">
        <v>-2.2999999999999998</v>
      </c>
      <c r="R149" s="35">
        <v>-3.1</v>
      </c>
      <c r="S149" s="35">
        <v>-5</v>
      </c>
      <c r="T149" s="35">
        <v>16.2</v>
      </c>
      <c r="U149" s="35">
        <v>40</v>
      </c>
      <c r="V149" s="35">
        <v>15</v>
      </c>
      <c r="W149" s="35">
        <v>40</v>
      </c>
      <c r="X149" s="35">
        <v>15.2</v>
      </c>
      <c r="Y149" s="35">
        <v>41.6</v>
      </c>
      <c r="Z149" s="35">
        <v>15.3</v>
      </c>
      <c r="AA149" s="35">
        <v>40.200000000000003</v>
      </c>
      <c r="AB149" s="35">
        <v>20.9</v>
      </c>
      <c r="AC149" s="35">
        <v>20</v>
      </c>
      <c r="AD149" s="35">
        <v>20.8</v>
      </c>
      <c r="AE149" s="35">
        <v>20</v>
      </c>
    </row>
    <row r="150" spans="1:31" x14ac:dyDescent="0.35">
      <c r="A150" s="36">
        <v>46059.551388888889</v>
      </c>
      <c r="B150" s="35">
        <v>-22.1</v>
      </c>
      <c r="C150" s="35">
        <v>-23</v>
      </c>
      <c r="D150" s="35">
        <v>-23</v>
      </c>
      <c r="E150" s="35">
        <v>-22.4</v>
      </c>
      <c r="F150" s="35">
        <v>-21.7</v>
      </c>
      <c r="G150" s="35">
        <v>-23</v>
      </c>
      <c r="H150" s="35">
        <v>-22.9</v>
      </c>
      <c r="I150" s="35">
        <v>-23.6</v>
      </c>
      <c r="J150" s="35">
        <v>-23</v>
      </c>
      <c r="K150" s="35">
        <v>-23.4</v>
      </c>
      <c r="L150" s="35">
        <v>-18.3</v>
      </c>
      <c r="M150" s="35">
        <v>-23</v>
      </c>
      <c r="N150" s="35">
        <v>-1.7</v>
      </c>
      <c r="O150" s="35">
        <v>-2.2000000000000002</v>
      </c>
      <c r="P150" s="35">
        <v>-5</v>
      </c>
      <c r="Q150" s="35">
        <v>-2.2999999999999998</v>
      </c>
      <c r="R150" s="35">
        <v>-3.1</v>
      </c>
      <c r="S150" s="35">
        <v>-5</v>
      </c>
      <c r="T150" s="35">
        <v>16.3</v>
      </c>
      <c r="U150" s="35">
        <v>40</v>
      </c>
      <c r="V150" s="35">
        <v>15</v>
      </c>
      <c r="W150" s="35">
        <v>40</v>
      </c>
      <c r="X150" s="35">
        <v>15.2</v>
      </c>
      <c r="Y150" s="35">
        <v>41.6</v>
      </c>
      <c r="Z150" s="35">
        <v>15.3</v>
      </c>
      <c r="AA150" s="35">
        <v>40.200000000000003</v>
      </c>
      <c r="AB150" s="35">
        <v>20.9</v>
      </c>
      <c r="AC150" s="35">
        <v>20</v>
      </c>
      <c r="AD150" s="35">
        <v>20.8</v>
      </c>
      <c r="AE150" s="35">
        <v>20</v>
      </c>
    </row>
    <row r="151" spans="1:31" x14ac:dyDescent="0.35">
      <c r="A151" s="36">
        <v>46059.552083333336</v>
      </c>
      <c r="B151" s="35">
        <v>-22</v>
      </c>
      <c r="C151" s="35">
        <v>-22.7</v>
      </c>
      <c r="D151" s="35">
        <v>-23</v>
      </c>
      <c r="E151" s="35">
        <v>-22.3</v>
      </c>
      <c r="F151" s="35">
        <v>-21.7</v>
      </c>
      <c r="G151" s="35">
        <v>-23</v>
      </c>
      <c r="H151" s="35">
        <v>-23</v>
      </c>
      <c r="I151" s="35">
        <v>-23.7</v>
      </c>
      <c r="J151" s="35">
        <v>-23</v>
      </c>
      <c r="K151" s="35">
        <v>-23.5</v>
      </c>
      <c r="L151" s="35">
        <v>-18.3</v>
      </c>
      <c r="M151" s="35">
        <v>-23</v>
      </c>
      <c r="N151" s="35">
        <v>-1.8</v>
      </c>
      <c r="O151" s="35">
        <v>-2.2999999999999998</v>
      </c>
      <c r="P151" s="35">
        <v>-5</v>
      </c>
      <c r="Q151" s="35">
        <v>-2.2999999999999998</v>
      </c>
      <c r="R151" s="35">
        <v>-3.1</v>
      </c>
      <c r="S151" s="35">
        <v>-5</v>
      </c>
      <c r="T151" s="35">
        <v>16.600000000000001</v>
      </c>
      <c r="U151" s="35">
        <v>40</v>
      </c>
      <c r="V151" s="35">
        <v>15</v>
      </c>
      <c r="W151" s="35">
        <v>40</v>
      </c>
      <c r="X151" s="35">
        <v>15.2</v>
      </c>
      <c r="Y151" s="35">
        <v>41.6</v>
      </c>
      <c r="Z151" s="35">
        <v>15.3</v>
      </c>
      <c r="AA151" s="35">
        <v>40.200000000000003</v>
      </c>
      <c r="AB151" s="35">
        <v>20.9</v>
      </c>
      <c r="AC151" s="35">
        <v>20</v>
      </c>
      <c r="AD151" s="35">
        <v>20.8</v>
      </c>
      <c r="AE151" s="35">
        <v>20</v>
      </c>
    </row>
    <row r="152" spans="1:31" x14ac:dyDescent="0.35">
      <c r="A152" s="36">
        <v>46059.552777777775</v>
      </c>
      <c r="B152" s="35">
        <v>-21.9</v>
      </c>
      <c r="C152" s="35">
        <v>-22.5</v>
      </c>
      <c r="D152" s="35">
        <v>-23</v>
      </c>
      <c r="E152" s="35">
        <v>-22.2</v>
      </c>
      <c r="F152" s="35">
        <v>-21.7</v>
      </c>
      <c r="G152" s="35">
        <v>-23</v>
      </c>
      <c r="H152" s="35">
        <v>-23.1</v>
      </c>
      <c r="I152" s="35">
        <v>-23.7</v>
      </c>
      <c r="J152" s="35">
        <v>-23</v>
      </c>
      <c r="K152" s="35">
        <v>-23.5</v>
      </c>
      <c r="L152" s="35">
        <v>-18.399999999999999</v>
      </c>
      <c r="M152" s="35">
        <v>-23</v>
      </c>
      <c r="N152" s="35">
        <v>-1.8</v>
      </c>
      <c r="O152" s="35">
        <v>-2.2999999999999998</v>
      </c>
      <c r="P152" s="35">
        <v>-5</v>
      </c>
      <c r="Q152" s="35">
        <v>-2.2999999999999998</v>
      </c>
      <c r="R152" s="35">
        <v>-3.1</v>
      </c>
      <c r="S152" s="35">
        <v>-5</v>
      </c>
      <c r="T152" s="35">
        <v>16.7</v>
      </c>
      <c r="U152" s="35">
        <v>40</v>
      </c>
      <c r="V152" s="35">
        <v>15.2</v>
      </c>
      <c r="W152" s="35">
        <v>40</v>
      </c>
      <c r="X152" s="35">
        <v>15.2</v>
      </c>
      <c r="Y152" s="35">
        <v>41.6</v>
      </c>
      <c r="Z152" s="35">
        <v>15.3</v>
      </c>
      <c r="AA152" s="35">
        <v>40.200000000000003</v>
      </c>
      <c r="AB152" s="35">
        <v>20.9</v>
      </c>
      <c r="AC152" s="35">
        <v>20</v>
      </c>
      <c r="AD152" s="35">
        <v>20.9</v>
      </c>
      <c r="AE152" s="35">
        <v>20</v>
      </c>
    </row>
    <row r="153" spans="1:31" x14ac:dyDescent="0.35">
      <c r="A153" s="36">
        <v>46059.553472222222</v>
      </c>
      <c r="B153" s="35">
        <v>-21.9</v>
      </c>
      <c r="C153" s="35">
        <v>-23</v>
      </c>
      <c r="D153" s="35">
        <v>-23</v>
      </c>
      <c r="E153" s="35">
        <v>-22.4</v>
      </c>
      <c r="F153" s="35">
        <v>-21.7</v>
      </c>
      <c r="G153" s="35">
        <v>-23</v>
      </c>
      <c r="H153" s="35">
        <v>-23.1</v>
      </c>
      <c r="I153" s="35">
        <v>-23.6</v>
      </c>
      <c r="J153" s="35">
        <v>-23</v>
      </c>
      <c r="K153" s="35">
        <v>-23.3</v>
      </c>
      <c r="L153" s="35">
        <v>-18.5</v>
      </c>
      <c r="M153" s="35">
        <v>-23</v>
      </c>
      <c r="N153" s="35">
        <v>-1.8</v>
      </c>
      <c r="O153" s="35">
        <v>-2.4</v>
      </c>
      <c r="P153" s="35">
        <v>-5</v>
      </c>
      <c r="Q153" s="35">
        <v>-2.4</v>
      </c>
      <c r="R153" s="35">
        <v>-3.2</v>
      </c>
      <c r="S153" s="35">
        <v>-5</v>
      </c>
      <c r="T153" s="35">
        <v>16.8</v>
      </c>
      <c r="U153" s="35">
        <v>40</v>
      </c>
      <c r="V153" s="35">
        <v>15.4</v>
      </c>
      <c r="W153" s="35">
        <v>40</v>
      </c>
      <c r="X153" s="35">
        <v>15.3</v>
      </c>
      <c r="Y153" s="35">
        <v>41.6</v>
      </c>
      <c r="Z153" s="35">
        <v>15.3</v>
      </c>
      <c r="AA153" s="35">
        <v>40.200000000000003</v>
      </c>
      <c r="AB153" s="35">
        <v>20.9</v>
      </c>
      <c r="AC153" s="35">
        <v>20</v>
      </c>
      <c r="AD153" s="35">
        <v>20.9</v>
      </c>
      <c r="AE153" s="35">
        <v>20</v>
      </c>
    </row>
    <row r="154" spans="1:31" x14ac:dyDescent="0.35">
      <c r="A154" s="36">
        <v>46059.554166666669</v>
      </c>
      <c r="B154" s="35">
        <v>-21.9</v>
      </c>
      <c r="C154" s="35">
        <v>-25.3</v>
      </c>
      <c r="D154" s="35">
        <v>-23</v>
      </c>
      <c r="E154" s="35">
        <v>-22.7</v>
      </c>
      <c r="F154" s="35">
        <v>-21.7</v>
      </c>
      <c r="G154" s="35">
        <v>-23</v>
      </c>
      <c r="H154" s="35">
        <v>-23</v>
      </c>
      <c r="I154" s="35">
        <v>-23.3</v>
      </c>
      <c r="J154" s="35">
        <v>-23</v>
      </c>
      <c r="K154" s="35">
        <v>-23</v>
      </c>
      <c r="L154" s="35">
        <v>-18.5</v>
      </c>
      <c r="M154" s="35">
        <v>-23</v>
      </c>
      <c r="N154" s="35">
        <v>-1.9</v>
      </c>
      <c r="O154" s="35">
        <v>-2.4</v>
      </c>
      <c r="P154" s="35">
        <v>-5</v>
      </c>
      <c r="Q154" s="35">
        <v>-2.5</v>
      </c>
      <c r="R154" s="35">
        <v>-3.3</v>
      </c>
      <c r="S154" s="35">
        <v>-5</v>
      </c>
      <c r="T154" s="35">
        <v>17</v>
      </c>
      <c r="U154" s="35">
        <v>40</v>
      </c>
      <c r="V154" s="35">
        <v>15.5</v>
      </c>
      <c r="W154" s="35">
        <v>40</v>
      </c>
      <c r="X154" s="35">
        <v>15.5</v>
      </c>
      <c r="Y154" s="35">
        <v>41.6</v>
      </c>
      <c r="Z154" s="35">
        <v>15.4</v>
      </c>
      <c r="AA154" s="35">
        <v>40.200000000000003</v>
      </c>
      <c r="AB154" s="35">
        <v>20.9</v>
      </c>
      <c r="AC154" s="35">
        <v>20</v>
      </c>
      <c r="AD154" s="35">
        <v>20.9</v>
      </c>
      <c r="AE154" s="35">
        <v>20</v>
      </c>
    </row>
    <row r="155" spans="1:31" x14ac:dyDescent="0.35">
      <c r="A155" s="36">
        <v>46059.554861111108</v>
      </c>
      <c r="B155" s="35">
        <v>-22.1</v>
      </c>
      <c r="C155" s="35">
        <v>-25.6</v>
      </c>
      <c r="D155" s="35">
        <v>-23</v>
      </c>
      <c r="E155" s="35">
        <v>-23</v>
      </c>
      <c r="F155" s="35">
        <v>-21.7</v>
      </c>
      <c r="G155" s="35">
        <v>-23</v>
      </c>
      <c r="H155" s="35">
        <v>-22.8</v>
      </c>
      <c r="I155" s="35">
        <v>-23.2</v>
      </c>
      <c r="J155" s="35">
        <v>-23</v>
      </c>
      <c r="K155" s="35">
        <v>-22.8</v>
      </c>
      <c r="L155" s="35">
        <v>-18.5</v>
      </c>
      <c r="M155" s="35">
        <v>-23</v>
      </c>
      <c r="N155" s="35">
        <v>-1.9</v>
      </c>
      <c r="O155" s="35">
        <v>-2.5</v>
      </c>
      <c r="P155" s="35">
        <v>-5</v>
      </c>
      <c r="Q155" s="35">
        <v>-2.6</v>
      </c>
      <c r="R155" s="35">
        <v>-3.3</v>
      </c>
      <c r="S155" s="35">
        <v>-5</v>
      </c>
      <c r="T155" s="35">
        <v>17</v>
      </c>
      <c r="U155" s="35">
        <v>40</v>
      </c>
      <c r="V155" s="35">
        <v>15.6</v>
      </c>
      <c r="W155" s="35">
        <v>40</v>
      </c>
      <c r="X155" s="35">
        <v>15.6</v>
      </c>
      <c r="Y155" s="35">
        <v>41.6</v>
      </c>
      <c r="Z155" s="35">
        <v>15.4</v>
      </c>
      <c r="AA155" s="35">
        <v>40.200000000000003</v>
      </c>
      <c r="AB155" s="35">
        <v>20.9</v>
      </c>
      <c r="AC155" s="35">
        <v>20</v>
      </c>
      <c r="AD155" s="35">
        <v>20.9</v>
      </c>
      <c r="AE155" s="35">
        <v>20</v>
      </c>
    </row>
    <row r="156" spans="1:31" x14ac:dyDescent="0.35">
      <c r="A156" s="36">
        <v>46059.555555555555</v>
      </c>
      <c r="B156" s="35">
        <v>-22.3</v>
      </c>
      <c r="C156" s="35">
        <v>-24.6</v>
      </c>
      <c r="D156" s="35">
        <v>-23</v>
      </c>
      <c r="E156" s="35">
        <v>-23.2</v>
      </c>
      <c r="F156" s="35">
        <v>-21.8</v>
      </c>
      <c r="G156" s="35">
        <v>-23</v>
      </c>
      <c r="H156" s="35">
        <v>-22.7</v>
      </c>
      <c r="I156" s="35">
        <v>-23</v>
      </c>
      <c r="J156" s="35">
        <v>-23</v>
      </c>
      <c r="K156" s="35">
        <v>-22.6</v>
      </c>
      <c r="L156" s="35">
        <v>-18.600000000000001</v>
      </c>
      <c r="M156" s="35">
        <v>-23</v>
      </c>
      <c r="N156" s="35">
        <v>-1.9</v>
      </c>
      <c r="O156" s="35">
        <v>-2.5</v>
      </c>
      <c r="P156" s="35">
        <v>-5</v>
      </c>
      <c r="Q156" s="35">
        <v>-2.6</v>
      </c>
      <c r="R156" s="35">
        <v>-3.4</v>
      </c>
      <c r="S156" s="35">
        <v>-5</v>
      </c>
      <c r="T156" s="35">
        <v>17.100000000000001</v>
      </c>
      <c r="U156" s="35">
        <v>40</v>
      </c>
      <c r="V156" s="35">
        <v>15.7</v>
      </c>
      <c r="W156" s="35">
        <v>40</v>
      </c>
      <c r="X156" s="35">
        <v>15.7</v>
      </c>
      <c r="Y156" s="35">
        <v>41.6</v>
      </c>
      <c r="Z156" s="35">
        <v>15.4</v>
      </c>
      <c r="AA156" s="35">
        <v>40.200000000000003</v>
      </c>
      <c r="AB156" s="35">
        <v>20.9</v>
      </c>
      <c r="AC156" s="35">
        <v>20</v>
      </c>
      <c r="AD156" s="35">
        <v>20.9</v>
      </c>
      <c r="AE156" s="35">
        <v>20</v>
      </c>
    </row>
    <row r="157" spans="1:31" x14ac:dyDescent="0.35">
      <c r="A157" s="36">
        <v>46059.556250000001</v>
      </c>
      <c r="B157" s="35">
        <v>-22.4</v>
      </c>
      <c r="C157" s="35">
        <v>-24.3</v>
      </c>
      <c r="D157" s="35">
        <v>-23</v>
      </c>
      <c r="E157" s="35">
        <v>-23.3</v>
      </c>
      <c r="F157" s="35">
        <v>-21.9</v>
      </c>
      <c r="G157" s="35">
        <v>-23</v>
      </c>
      <c r="H157" s="35">
        <v>-22.5</v>
      </c>
      <c r="I157" s="35">
        <v>-22.8</v>
      </c>
      <c r="J157" s="35">
        <v>-23</v>
      </c>
      <c r="K157" s="35">
        <v>-22.4</v>
      </c>
      <c r="L157" s="35">
        <v>-18.600000000000001</v>
      </c>
      <c r="M157" s="35">
        <v>-23</v>
      </c>
      <c r="N157" s="35">
        <v>-1.9</v>
      </c>
      <c r="O157" s="35">
        <v>-2.5</v>
      </c>
      <c r="P157" s="35">
        <v>-5</v>
      </c>
      <c r="Q157" s="35">
        <v>-2.6</v>
      </c>
      <c r="R157" s="35">
        <v>-3.4</v>
      </c>
      <c r="S157" s="35">
        <v>-5</v>
      </c>
      <c r="T157" s="35">
        <v>17.2</v>
      </c>
      <c r="U157" s="35">
        <v>40</v>
      </c>
      <c r="V157" s="35">
        <v>15.8</v>
      </c>
      <c r="W157" s="35">
        <v>40</v>
      </c>
      <c r="X157" s="35">
        <v>15.8</v>
      </c>
      <c r="Y157" s="35">
        <v>41.6</v>
      </c>
      <c r="Z157" s="35">
        <v>15.6</v>
      </c>
      <c r="AA157" s="35">
        <v>40.200000000000003</v>
      </c>
      <c r="AB157" s="35">
        <v>20.9</v>
      </c>
      <c r="AC157" s="35">
        <v>20</v>
      </c>
      <c r="AD157" s="35">
        <v>20.9</v>
      </c>
      <c r="AE157" s="35">
        <v>20</v>
      </c>
    </row>
    <row r="158" spans="1:31" x14ac:dyDescent="0.35">
      <c r="A158" s="36">
        <v>46059.556944444441</v>
      </c>
      <c r="B158" s="35">
        <v>-22.5</v>
      </c>
      <c r="C158" s="35">
        <v>-24.5</v>
      </c>
      <c r="D158" s="35">
        <v>-23</v>
      </c>
      <c r="E158" s="35">
        <v>-23.5</v>
      </c>
      <c r="F158" s="35">
        <v>-22.1</v>
      </c>
      <c r="G158" s="35">
        <v>-23</v>
      </c>
      <c r="H158" s="35">
        <v>-22.3</v>
      </c>
      <c r="I158" s="35">
        <v>-22.7</v>
      </c>
      <c r="J158" s="35">
        <v>-23</v>
      </c>
      <c r="K158" s="35">
        <v>-22.3</v>
      </c>
      <c r="L158" s="35">
        <v>-18.600000000000001</v>
      </c>
      <c r="M158" s="35">
        <v>-23</v>
      </c>
      <c r="N158" s="35">
        <v>-2</v>
      </c>
      <c r="O158" s="35">
        <v>-2.6</v>
      </c>
      <c r="P158" s="35">
        <v>-5</v>
      </c>
      <c r="Q158" s="35">
        <v>-2.6</v>
      </c>
      <c r="R158" s="35">
        <v>-3.4</v>
      </c>
      <c r="S158" s="35">
        <v>-5</v>
      </c>
      <c r="T158" s="35">
        <v>17.3</v>
      </c>
      <c r="U158" s="35">
        <v>40</v>
      </c>
      <c r="V158" s="35">
        <v>15.9</v>
      </c>
      <c r="W158" s="35">
        <v>40</v>
      </c>
      <c r="X158" s="35">
        <v>15.8</v>
      </c>
      <c r="Y158" s="35">
        <v>41.6</v>
      </c>
      <c r="Z158" s="35">
        <v>15.6</v>
      </c>
      <c r="AA158" s="35">
        <v>40.200000000000003</v>
      </c>
      <c r="AB158" s="35">
        <v>20.9</v>
      </c>
      <c r="AC158" s="35">
        <v>20</v>
      </c>
      <c r="AD158" s="35">
        <v>20.9</v>
      </c>
      <c r="AE158" s="35">
        <v>20</v>
      </c>
    </row>
    <row r="159" spans="1:31" x14ac:dyDescent="0.35">
      <c r="A159" s="36">
        <v>46059.557638888888</v>
      </c>
      <c r="B159" s="35">
        <v>-22.7</v>
      </c>
      <c r="C159" s="35">
        <v>-26.1</v>
      </c>
      <c r="D159" s="35">
        <v>-23</v>
      </c>
      <c r="E159" s="35">
        <v>-23.7</v>
      </c>
      <c r="F159" s="35">
        <v>-22.2</v>
      </c>
      <c r="G159" s="35">
        <v>-23</v>
      </c>
      <c r="H159" s="35">
        <v>-22.2</v>
      </c>
      <c r="I159" s="35">
        <v>-22.5</v>
      </c>
      <c r="J159" s="35">
        <v>-23</v>
      </c>
      <c r="K159" s="35">
        <v>-22.1</v>
      </c>
      <c r="L159" s="35">
        <v>-18.600000000000001</v>
      </c>
      <c r="M159" s="35">
        <v>-23</v>
      </c>
      <c r="N159" s="35">
        <v>-2</v>
      </c>
      <c r="O159" s="35">
        <v>-2.7</v>
      </c>
      <c r="P159" s="35">
        <v>-5</v>
      </c>
      <c r="Q159" s="35">
        <v>-2.6</v>
      </c>
      <c r="R159" s="35">
        <v>-3.4</v>
      </c>
      <c r="S159" s="35">
        <v>-5</v>
      </c>
      <c r="T159" s="35">
        <v>16.7</v>
      </c>
      <c r="U159" s="35">
        <v>40</v>
      </c>
      <c r="V159" s="35">
        <v>15.9</v>
      </c>
      <c r="W159" s="35">
        <v>40</v>
      </c>
      <c r="X159" s="35">
        <v>15.8</v>
      </c>
      <c r="Y159" s="35">
        <v>41.6</v>
      </c>
      <c r="Z159" s="35">
        <v>15.6</v>
      </c>
      <c r="AA159" s="35">
        <v>40.200000000000003</v>
      </c>
      <c r="AB159" s="35">
        <v>20.9</v>
      </c>
      <c r="AC159" s="35">
        <v>20</v>
      </c>
      <c r="AD159" s="35">
        <v>20.9</v>
      </c>
      <c r="AE159" s="35">
        <v>20</v>
      </c>
    </row>
    <row r="160" spans="1:31" x14ac:dyDescent="0.35">
      <c r="A160" s="36">
        <v>46059.558333333334</v>
      </c>
      <c r="B160" s="35">
        <v>-22.8</v>
      </c>
      <c r="C160" s="35">
        <v>-26</v>
      </c>
      <c r="D160" s="35">
        <v>-23</v>
      </c>
      <c r="E160" s="35">
        <v>-23.9</v>
      </c>
      <c r="F160" s="35">
        <v>-22.3</v>
      </c>
      <c r="G160" s="35">
        <v>-23</v>
      </c>
      <c r="H160" s="35">
        <v>-22.1</v>
      </c>
      <c r="I160" s="35">
        <v>-22.4</v>
      </c>
      <c r="J160" s="35">
        <v>-23</v>
      </c>
      <c r="K160" s="35">
        <v>-22</v>
      </c>
      <c r="L160" s="35">
        <v>-18.600000000000001</v>
      </c>
      <c r="M160" s="35">
        <v>-23</v>
      </c>
      <c r="N160" s="35">
        <v>-2</v>
      </c>
      <c r="O160" s="35">
        <v>-2.7</v>
      </c>
      <c r="P160" s="35">
        <v>-5</v>
      </c>
      <c r="Q160" s="35">
        <v>-2.6</v>
      </c>
      <c r="R160" s="35">
        <v>-3.4</v>
      </c>
      <c r="S160" s="35">
        <v>-5</v>
      </c>
      <c r="T160" s="35">
        <v>16.399999999999999</v>
      </c>
      <c r="U160" s="35">
        <v>40</v>
      </c>
      <c r="V160" s="35">
        <v>15.9</v>
      </c>
      <c r="W160" s="35">
        <v>40</v>
      </c>
      <c r="X160" s="35">
        <v>15.8</v>
      </c>
      <c r="Y160" s="35">
        <v>41.6</v>
      </c>
      <c r="Z160" s="35">
        <v>15.6</v>
      </c>
      <c r="AA160" s="35">
        <v>40.200000000000003</v>
      </c>
      <c r="AB160" s="35">
        <v>20.9</v>
      </c>
      <c r="AC160" s="35">
        <v>20</v>
      </c>
      <c r="AD160" s="35">
        <v>20.9</v>
      </c>
      <c r="AE160" s="35">
        <v>20</v>
      </c>
    </row>
    <row r="161" spans="1:31" x14ac:dyDescent="0.35">
      <c r="A161" s="36">
        <v>46059.559027777781</v>
      </c>
      <c r="B161" s="35">
        <v>-22.9</v>
      </c>
      <c r="C161" s="35">
        <v>-25.2</v>
      </c>
      <c r="D161" s="35">
        <v>-23</v>
      </c>
      <c r="E161" s="35">
        <v>-24</v>
      </c>
      <c r="F161" s="35">
        <v>-22.4</v>
      </c>
      <c r="G161" s="35">
        <v>-23</v>
      </c>
      <c r="H161" s="35">
        <v>-22</v>
      </c>
      <c r="I161" s="35">
        <v>-22.3</v>
      </c>
      <c r="J161" s="35">
        <v>-23</v>
      </c>
      <c r="K161" s="35">
        <v>-21.8</v>
      </c>
      <c r="L161" s="35">
        <v>-18.600000000000001</v>
      </c>
      <c r="M161" s="35">
        <v>-23</v>
      </c>
      <c r="N161" s="35">
        <v>-2.1</v>
      </c>
      <c r="O161" s="35">
        <v>-2.7</v>
      </c>
      <c r="P161" s="35">
        <v>-5</v>
      </c>
      <c r="Q161" s="35">
        <v>-2.7</v>
      </c>
      <c r="R161" s="35">
        <v>-3.5</v>
      </c>
      <c r="S161" s="35">
        <v>-5</v>
      </c>
      <c r="T161" s="35">
        <v>16.3</v>
      </c>
      <c r="U161" s="35">
        <v>40</v>
      </c>
      <c r="V161" s="35">
        <v>15.9</v>
      </c>
      <c r="W161" s="35">
        <v>40</v>
      </c>
      <c r="X161" s="35">
        <v>15.8</v>
      </c>
      <c r="Y161" s="35">
        <v>41.6</v>
      </c>
      <c r="Z161" s="35">
        <v>15.7</v>
      </c>
      <c r="AA161" s="35">
        <v>40.200000000000003</v>
      </c>
      <c r="AB161" s="35">
        <v>20.9</v>
      </c>
      <c r="AC161" s="35">
        <v>20</v>
      </c>
      <c r="AD161" s="35">
        <v>20.9</v>
      </c>
      <c r="AE161" s="35">
        <v>20</v>
      </c>
    </row>
    <row r="162" spans="1:31" x14ac:dyDescent="0.35">
      <c r="A162" s="36">
        <v>46059.55972222222</v>
      </c>
      <c r="B162" s="35">
        <v>-23</v>
      </c>
      <c r="C162" s="35">
        <v>-24.9</v>
      </c>
      <c r="D162" s="35">
        <v>-23</v>
      </c>
      <c r="E162" s="35">
        <v>-24</v>
      </c>
      <c r="F162" s="35">
        <v>-22.5</v>
      </c>
      <c r="G162" s="35">
        <v>-23</v>
      </c>
      <c r="H162" s="35">
        <v>-21.8</v>
      </c>
      <c r="I162" s="35">
        <v>-22.1</v>
      </c>
      <c r="J162" s="35">
        <v>-23</v>
      </c>
      <c r="K162" s="35">
        <v>-21.7</v>
      </c>
      <c r="L162" s="35">
        <v>-18.600000000000001</v>
      </c>
      <c r="M162" s="35">
        <v>-23</v>
      </c>
      <c r="N162" s="35">
        <v>-2.1</v>
      </c>
      <c r="O162" s="35">
        <v>-2.8</v>
      </c>
      <c r="P162" s="35">
        <v>-5</v>
      </c>
      <c r="Q162" s="35">
        <v>-2.7</v>
      </c>
      <c r="R162" s="35">
        <v>-3.5</v>
      </c>
      <c r="S162" s="35">
        <v>-5</v>
      </c>
      <c r="T162" s="35">
        <v>16.2</v>
      </c>
      <c r="U162" s="35">
        <v>40</v>
      </c>
      <c r="V162" s="35">
        <v>15.9</v>
      </c>
      <c r="W162" s="35">
        <v>40</v>
      </c>
      <c r="X162" s="35">
        <v>15.8</v>
      </c>
      <c r="Y162" s="35">
        <v>41.6</v>
      </c>
      <c r="Z162" s="35">
        <v>15.7</v>
      </c>
      <c r="AA162" s="35">
        <v>40.200000000000003</v>
      </c>
      <c r="AB162" s="35">
        <v>20.9</v>
      </c>
      <c r="AC162" s="35">
        <v>20</v>
      </c>
      <c r="AD162" s="35">
        <v>20.9</v>
      </c>
      <c r="AE162" s="35">
        <v>20</v>
      </c>
    </row>
    <row r="163" spans="1:31" x14ac:dyDescent="0.35">
      <c r="A163" s="36">
        <v>46059.560416666667</v>
      </c>
      <c r="B163" s="35">
        <v>-23.1</v>
      </c>
      <c r="C163" s="35">
        <v>-24.5</v>
      </c>
      <c r="D163" s="35">
        <v>-23</v>
      </c>
      <c r="E163" s="35">
        <v>-23.8</v>
      </c>
      <c r="F163" s="35">
        <v>-22.5</v>
      </c>
      <c r="G163" s="35">
        <v>-23</v>
      </c>
      <c r="H163" s="35">
        <v>-21.7</v>
      </c>
      <c r="I163" s="35">
        <v>-22</v>
      </c>
      <c r="J163" s="35">
        <v>-23</v>
      </c>
      <c r="K163" s="35">
        <v>-21.6</v>
      </c>
      <c r="L163" s="35">
        <v>-18.600000000000001</v>
      </c>
      <c r="M163" s="35">
        <v>-23</v>
      </c>
      <c r="N163" s="35">
        <v>-2.2000000000000002</v>
      </c>
      <c r="O163" s="35">
        <v>-2.8</v>
      </c>
      <c r="P163" s="35">
        <v>-5</v>
      </c>
      <c r="Q163" s="35">
        <v>-2.8</v>
      </c>
      <c r="R163" s="35">
        <v>-3.5</v>
      </c>
      <c r="S163" s="35">
        <v>-5</v>
      </c>
      <c r="T163" s="35">
        <v>16.100000000000001</v>
      </c>
      <c r="U163" s="35">
        <v>40</v>
      </c>
      <c r="V163" s="35">
        <v>15.8</v>
      </c>
      <c r="W163" s="35">
        <v>40</v>
      </c>
      <c r="X163" s="35">
        <v>15.8</v>
      </c>
      <c r="Y163" s="35">
        <v>41.6</v>
      </c>
      <c r="Z163" s="35">
        <v>15.7</v>
      </c>
      <c r="AA163" s="35">
        <v>40.200000000000003</v>
      </c>
      <c r="AB163" s="35">
        <v>20.9</v>
      </c>
      <c r="AC163" s="35">
        <v>20</v>
      </c>
      <c r="AD163" s="35">
        <v>20.9</v>
      </c>
      <c r="AE163" s="35">
        <v>20</v>
      </c>
    </row>
    <row r="164" spans="1:31" x14ac:dyDescent="0.35">
      <c r="A164" s="36">
        <v>46059.561111111114</v>
      </c>
      <c r="B164" s="35">
        <v>-23.1</v>
      </c>
      <c r="C164" s="35">
        <v>-24.2</v>
      </c>
      <c r="D164" s="35">
        <v>-23</v>
      </c>
      <c r="E164" s="35">
        <v>-23.4</v>
      </c>
      <c r="F164" s="35">
        <v>-22.5</v>
      </c>
      <c r="G164" s="35">
        <v>-23</v>
      </c>
      <c r="H164" s="35">
        <v>-21.6</v>
      </c>
      <c r="I164" s="35">
        <v>-21.9</v>
      </c>
      <c r="J164" s="35">
        <v>-23</v>
      </c>
      <c r="K164" s="35">
        <v>-21.4</v>
      </c>
      <c r="L164" s="35">
        <v>-18.600000000000001</v>
      </c>
      <c r="M164" s="35">
        <v>-23</v>
      </c>
      <c r="N164" s="35">
        <v>-2.2000000000000002</v>
      </c>
      <c r="O164" s="35">
        <v>-2.9</v>
      </c>
      <c r="P164" s="35">
        <v>-5</v>
      </c>
      <c r="Q164" s="35">
        <v>-2.9</v>
      </c>
      <c r="R164" s="35">
        <v>-3.6</v>
      </c>
      <c r="S164" s="35">
        <v>-5</v>
      </c>
      <c r="T164" s="35">
        <v>16</v>
      </c>
      <c r="U164" s="35">
        <v>40</v>
      </c>
      <c r="V164" s="35">
        <v>15.8</v>
      </c>
      <c r="W164" s="35">
        <v>40</v>
      </c>
      <c r="X164" s="35">
        <v>15.8</v>
      </c>
      <c r="Y164" s="35">
        <v>41.6</v>
      </c>
      <c r="Z164" s="35">
        <v>15.7</v>
      </c>
      <c r="AA164" s="35">
        <v>40.200000000000003</v>
      </c>
      <c r="AB164" s="35">
        <v>20.9</v>
      </c>
      <c r="AC164" s="35">
        <v>20</v>
      </c>
      <c r="AD164" s="35">
        <v>20.9</v>
      </c>
      <c r="AE164" s="35">
        <v>20</v>
      </c>
    </row>
    <row r="165" spans="1:31" x14ac:dyDescent="0.35">
      <c r="A165" s="36">
        <v>46059.561805555553</v>
      </c>
      <c r="B165" s="35">
        <v>-22.9</v>
      </c>
      <c r="C165" s="35">
        <v>-23.8</v>
      </c>
      <c r="D165" s="35">
        <v>-23</v>
      </c>
      <c r="E165" s="35">
        <v>-23.1</v>
      </c>
      <c r="F165" s="35">
        <v>-22.5</v>
      </c>
      <c r="G165" s="35">
        <v>-23</v>
      </c>
      <c r="H165" s="35">
        <v>-21.5</v>
      </c>
      <c r="I165" s="35">
        <v>-21.8</v>
      </c>
      <c r="J165" s="35">
        <v>-23</v>
      </c>
      <c r="K165" s="35">
        <v>-21.3</v>
      </c>
      <c r="L165" s="35">
        <v>-18.600000000000001</v>
      </c>
      <c r="M165" s="35">
        <v>-23</v>
      </c>
      <c r="N165" s="35">
        <v>-2.2999999999999998</v>
      </c>
      <c r="O165" s="35">
        <v>-3</v>
      </c>
      <c r="P165" s="35">
        <v>-5</v>
      </c>
      <c r="Q165" s="35">
        <v>-2.9</v>
      </c>
      <c r="R165" s="35">
        <v>-3.7</v>
      </c>
      <c r="S165" s="35">
        <v>-5</v>
      </c>
      <c r="T165" s="35">
        <v>16</v>
      </c>
      <c r="U165" s="35">
        <v>40</v>
      </c>
      <c r="V165" s="35">
        <v>15.8</v>
      </c>
      <c r="W165" s="35">
        <v>40</v>
      </c>
      <c r="X165" s="35">
        <v>15.8</v>
      </c>
      <c r="Y165" s="35">
        <v>41.6</v>
      </c>
      <c r="Z165" s="35">
        <v>15.8</v>
      </c>
      <c r="AA165" s="35">
        <v>40.200000000000003</v>
      </c>
      <c r="AB165" s="35">
        <v>20.9</v>
      </c>
      <c r="AC165" s="35">
        <v>20</v>
      </c>
      <c r="AD165" s="35">
        <v>20.9</v>
      </c>
      <c r="AE165" s="35">
        <v>20</v>
      </c>
    </row>
    <row r="166" spans="1:31" x14ac:dyDescent="0.35">
      <c r="A166" s="36">
        <v>46059.5625</v>
      </c>
      <c r="B166" s="35">
        <v>-22.6</v>
      </c>
      <c r="C166" s="35">
        <v>-23.4</v>
      </c>
      <c r="D166" s="35">
        <v>-23</v>
      </c>
      <c r="E166" s="35">
        <v>-22.8</v>
      </c>
      <c r="F166" s="35">
        <v>-22.4</v>
      </c>
      <c r="G166" s="35">
        <v>-23</v>
      </c>
      <c r="H166" s="35">
        <v>-21.4</v>
      </c>
      <c r="I166" s="35">
        <v>-21.7</v>
      </c>
      <c r="J166" s="35">
        <v>-23</v>
      </c>
      <c r="K166" s="35">
        <v>-21.2</v>
      </c>
      <c r="L166" s="35">
        <v>-18.5</v>
      </c>
      <c r="M166" s="35">
        <v>-23</v>
      </c>
      <c r="N166" s="35">
        <v>-2.2999999999999998</v>
      </c>
      <c r="O166" s="35">
        <v>-3</v>
      </c>
      <c r="P166" s="35">
        <v>-5</v>
      </c>
      <c r="Q166" s="35">
        <v>-3</v>
      </c>
      <c r="R166" s="35">
        <v>-3.7</v>
      </c>
      <c r="S166" s="35">
        <v>-5</v>
      </c>
      <c r="T166" s="35">
        <v>15.9</v>
      </c>
      <c r="U166" s="35">
        <v>40</v>
      </c>
      <c r="V166" s="35">
        <v>15.8</v>
      </c>
      <c r="W166" s="35">
        <v>40</v>
      </c>
      <c r="X166" s="35">
        <v>15.8</v>
      </c>
      <c r="Y166" s="35">
        <v>41.6</v>
      </c>
      <c r="Z166" s="35">
        <v>15.8</v>
      </c>
      <c r="AA166" s="35">
        <v>40.200000000000003</v>
      </c>
      <c r="AB166" s="35">
        <v>20.9</v>
      </c>
      <c r="AC166" s="35">
        <v>20</v>
      </c>
      <c r="AD166" s="35">
        <v>20.9</v>
      </c>
      <c r="AE166" s="35">
        <v>20</v>
      </c>
    </row>
    <row r="167" spans="1:31" x14ac:dyDescent="0.35">
      <c r="A167" s="36">
        <v>46059.563194444447</v>
      </c>
      <c r="B167" s="35">
        <v>-22.4</v>
      </c>
      <c r="C167" s="35">
        <v>-23.2</v>
      </c>
      <c r="D167" s="35">
        <v>-23</v>
      </c>
      <c r="E167" s="35">
        <v>-22.6</v>
      </c>
      <c r="F167" s="35">
        <v>-22.3</v>
      </c>
      <c r="G167" s="35">
        <v>-23</v>
      </c>
      <c r="H167" s="35">
        <v>-21.3</v>
      </c>
      <c r="I167" s="35">
        <v>-21.6</v>
      </c>
      <c r="J167" s="35">
        <v>-23</v>
      </c>
      <c r="K167" s="35">
        <v>-21.1</v>
      </c>
      <c r="L167" s="35">
        <v>-18.399999999999999</v>
      </c>
      <c r="M167" s="35">
        <v>-23</v>
      </c>
      <c r="N167" s="35">
        <v>-2.4</v>
      </c>
      <c r="O167" s="35">
        <v>-3.1</v>
      </c>
      <c r="P167" s="35">
        <v>-5</v>
      </c>
      <c r="Q167" s="35">
        <v>-3</v>
      </c>
      <c r="R167" s="35">
        <v>-3.7</v>
      </c>
      <c r="S167" s="35">
        <v>-5</v>
      </c>
      <c r="T167" s="35">
        <v>15.9</v>
      </c>
      <c r="U167" s="35">
        <v>40</v>
      </c>
      <c r="V167" s="35">
        <v>15.8</v>
      </c>
      <c r="W167" s="35">
        <v>40</v>
      </c>
      <c r="X167" s="35">
        <v>15.8</v>
      </c>
      <c r="Y167" s="35">
        <v>41.6</v>
      </c>
      <c r="Z167" s="35">
        <v>15.8</v>
      </c>
      <c r="AA167" s="35">
        <v>40.200000000000003</v>
      </c>
      <c r="AB167" s="35">
        <v>20.9</v>
      </c>
      <c r="AC167" s="35">
        <v>20</v>
      </c>
      <c r="AD167" s="35">
        <v>20.9</v>
      </c>
      <c r="AE167" s="35">
        <v>20</v>
      </c>
    </row>
    <row r="168" spans="1:31" x14ac:dyDescent="0.35">
      <c r="A168" s="36">
        <v>46059.563888888886</v>
      </c>
      <c r="B168" s="35">
        <v>-22.3</v>
      </c>
      <c r="C168" s="35">
        <v>-22.9</v>
      </c>
      <c r="D168" s="35">
        <v>-23</v>
      </c>
      <c r="E168" s="35">
        <v>-22.4</v>
      </c>
      <c r="F168" s="35">
        <v>-22.2</v>
      </c>
      <c r="G168" s="35">
        <v>-23</v>
      </c>
      <c r="H168" s="35">
        <v>-21.2</v>
      </c>
      <c r="I168" s="35">
        <v>-21.5</v>
      </c>
      <c r="J168" s="35">
        <v>-23</v>
      </c>
      <c r="K168" s="35">
        <v>-21</v>
      </c>
      <c r="L168" s="35">
        <v>-18.3</v>
      </c>
      <c r="M168" s="35">
        <v>-23</v>
      </c>
      <c r="N168" s="35">
        <v>-2.4</v>
      </c>
      <c r="O168" s="35">
        <v>-3.2</v>
      </c>
      <c r="P168" s="35">
        <v>-5</v>
      </c>
      <c r="Q168" s="35">
        <v>-3</v>
      </c>
      <c r="R168" s="35">
        <v>-3.8</v>
      </c>
      <c r="S168" s="35">
        <v>-5</v>
      </c>
      <c r="T168" s="35">
        <v>15.9</v>
      </c>
      <c r="U168" s="35">
        <v>40</v>
      </c>
      <c r="V168" s="35">
        <v>15.8</v>
      </c>
      <c r="W168" s="35">
        <v>40</v>
      </c>
      <c r="X168" s="35">
        <v>15.8</v>
      </c>
      <c r="Y168" s="35">
        <v>41.6</v>
      </c>
      <c r="Z168" s="35">
        <v>15.8</v>
      </c>
      <c r="AA168" s="35">
        <v>40.200000000000003</v>
      </c>
      <c r="AB168" s="35">
        <v>21</v>
      </c>
      <c r="AC168" s="35">
        <v>20</v>
      </c>
      <c r="AD168" s="35">
        <v>20.9</v>
      </c>
      <c r="AE168" s="35">
        <v>20</v>
      </c>
    </row>
    <row r="169" spans="1:31" x14ac:dyDescent="0.35">
      <c r="A169" s="36">
        <v>46059.564583333333</v>
      </c>
      <c r="B169" s="35">
        <v>-22.1</v>
      </c>
      <c r="C169" s="35">
        <v>-22.7</v>
      </c>
      <c r="D169" s="35">
        <v>-23</v>
      </c>
      <c r="E169" s="35">
        <v>-22.2</v>
      </c>
      <c r="F169" s="35">
        <v>-22</v>
      </c>
      <c r="G169" s="35">
        <v>-23</v>
      </c>
      <c r="H169" s="35">
        <v>-21.1</v>
      </c>
      <c r="I169" s="35">
        <v>-21.3</v>
      </c>
      <c r="J169" s="35">
        <v>-23</v>
      </c>
      <c r="K169" s="35">
        <v>-20.8</v>
      </c>
      <c r="L169" s="35">
        <v>-18.2</v>
      </c>
      <c r="M169" s="35">
        <v>-23</v>
      </c>
      <c r="N169" s="35">
        <v>-2.5</v>
      </c>
      <c r="O169" s="35">
        <v>-3.2</v>
      </c>
      <c r="P169" s="35">
        <v>-5</v>
      </c>
      <c r="Q169" s="35">
        <v>-3</v>
      </c>
      <c r="R169" s="35">
        <v>-3.8</v>
      </c>
      <c r="S169" s="35">
        <v>-5</v>
      </c>
      <c r="T169" s="35">
        <v>15.9</v>
      </c>
      <c r="U169" s="35">
        <v>40</v>
      </c>
      <c r="V169" s="35">
        <v>15.7</v>
      </c>
      <c r="W169" s="35">
        <v>40</v>
      </c>
      <c r="X169" s="35">
        <v>15.8</v>
      </c>
      <c r="Y169" s="35">
        <v>41.6</v>
      </c>
      <c r="Z169" s="35">
        <v>15.8</v>
      </c>
      <c r="AA169" s="35">
        <v>40.200000000000003</v>
      </c>
      <c r="AB169" s="35">
        <v>21</v>
      </c>
      <c r="AC169" s="35">
        <v>20</v>
      </c>
      <c r="AD169" s="35">
        <v>20.9</v>
      </c>
      <c r="AE169" s="35">
        <v>20</v>
      </c>
    </row>
    <row r="170" spans="1:31" x14ac:dyDescent="0.35">
      <c r="A170" s="36">
        <v>46059.56527777778</v>
      </c>
      <c r="B170" s="35">
        <v>-21.9</v>
      </c>
      <c r="C170" s="35">
        <v>-22.5</v>
      </c>
      <c r="D170" s="35">
        <v>-23</v>
      </c>
      <c r="E170" s="35">
        <v>-22</v>
      </c>
      <c r="F170" s="35">
        <v>-21.9</v>
      </c>
      <c r="G170" s="35">
        <v>-23</v>
      </c>
      <c r="H170" s="35">
        <v>-21</v>
      </c>
      <c r="I170" s="35">
        <v>-21.2</v>
      </c>
      <c r="J170" s="35">
        <v>-23</v>
      </c>
      <c r="K170" s="35">
        <v>-20.7</v>
      </c>
      <c r="L170" s="35">
        <v>-18</v>
      </c>
      <c r="M170" s="35">
        <v>-23</v>
      </c>
      <c r="N170" s="35">
        <v>-2.6</v>
      </c>
      <c r="O170" s="35">
        <v>-3.3</v>
      </c>
      <c r="P170" s="35">
        <v>-5</v>
      </c>
      <c r="Q170" s="35">
        <v>-3.1</v>
      </c>
      <c r="R170" s="35">
        <v>-3.8</v>
      </c>
      <c r="S170" s="35">
        <v>-5</v>
      </c>
      <c r="T170" s="35">
        <v>15.9</v>
      </c>
      <c r="U170" s="35">
        <v>40</v>
      </c>
      <c r="V170" s="35">
        <v>15.7</v>
      </c>
      <c r="W170" s="35">
        <v>40</v>
      </c>
      <c r="X170" s="35">
        <v>15.8</v>
      </c>
      <c r="Y170" s="35">
        <v>41.6</v>
      </c>
      <c r="Z170" s="35">
        <v>15.8</v>
      </c>
      <c r="AA170" s="35">
        <v>40.200000000000003</v>
      </c>
      <c r="AB170" s="35">
        <v>21</v>
      </c>
      <c r="AC170" s="35">
        <v>20</v>
      </c>
      <c r="AD170" s="35">
        <v>20.9</v>
      </c>
      <c r="AE170" s="35">
        <v>20</v>
      </c>
    </row>
    <row r="171" spans="1:31" x14ac:dyDescent="0.35">
      <c r="A171" s="36">
        <v>46059.565972222219</v>
      </c>
      <c r="B171" s="35">
        <v>-21.8</v>
      </c>
      <c r="C171" s="35">
        <v>-22.2</v>
      </c>
      <c r="D171" s="35">
        <v>-23</v>
      </c>
      <c r="E171" s="35">
        <v>-21.8</v>
      </c>
      <c r="F171" s="35">
        <v>-21.7</v>
      </c>
      <c r="G171" s="35">
        <v>-23</v>
      </c>
      <c r="H171" s="35">
        <v>-21</v>
      </c>
      <c r="I171" s="35">
        <v>-21.3</v>
      </c>
      <c r="J171" s="35">
        <v>-23</v>
      </c>
      <c r="K171" s="35">
        <v>-20.7</v>
      </c>
      <c r="L171" s="35">
        <v>-17.8</v>
      </c>
      <c r="M171" s="35">
        <v>-23</v>
      </c>
      <c r="N171" s="35">
        <v>-2.6</v>
      </c>
      <c r="O171" s="35">
        <v>-3.3</v>
      </c>
      <c r="P171" s="35">
        <v>-5</v>
      </c>
      <c r="Q171" s="35">
        <v>-3.1</v>
      </c>
      <c r="R171" s="35">
        <v>-3.8</v>
      </c>
      <c r="S171" s="35">
        <v>-5</v>
      </c>
      <c r="T171" s="35">
        <v>15.8</v>
      </c>
      <c r="U171" s="35">
        <v>40</v>
      </c>
      <c r="V171" s="35">
        <v>15.7</v>
      </c>
      <c r="W171" s="35">
        <v>40</v>
      </c>
      <c r="X171" s="35">
        <v>15.8</v>
      </c>
      <c r="Y171" s="35">
        <v>41.6</v>
      </c>
      <c r="Z171" s="35">
        <v>15.8</v>
      </c>
      <c r="AA171" s="35">
        <v>40.200000000000003</v>
      </c>
      <c r="AB171" s="35">
        <v>21</v>
      </c>
      <c r="AC171" s="35">
        <v>20</v>
      </c>
      <c r="AD171" s="35">
        <v>20.9</v>
      </c>
      <c r="AE171" s="35">
        <v>20</v>
      </c>
    </row>
    <row r="172" spans="1:31" x14ac:dyDescent="0.35">
      <c r="A172" s="36">
        <v>46059.567361111112</v>
      </c>
      <c r="B172" s="35">
        <v>-21.5</v>
      </c>
      <c r="C172" s="35">
        <v>-21.9</v>
      </c>
      <c r="D172" s="35">
        <v>-23</v>
      </c>
      <c r="E172" s="35">
        <v>-21.5</v>
      </c>
      <c r="F172" s="35">
        <v>-21.4</v>
      </c>
      <c r="G172" s="35">
        <v>-23</v>
      </c>
      <c r="H172" s="35">
        <v>-21.1</v>
      </c>
      <c r="I172" s="35">
        <v>-22.4</v>
      </c>
      <c r="J172" s="35">
        <v>-23</v>
      </c>
      <c r="K172" s="35">
        <v>-21.2</v>
      </c>
      <c r="L172" s="35">
        <v>-17.600000000000001</v>
      </c>
      <c r="M172" s="35">
        <v>-23</v>
      </c>
      <c r="N172" s="35">
        <v>-2.7</v>
      </c>
      <c r="O172" s="35">
        <v>-3.4</v>
      </c>
      <c r="P172" s="35">
        <v>-5</v>
      </c>
      <c r="Q172" s="35">
        <v>-3</v>
      </c>
      <c r="R172" s="35">
        <v>-3.8</v>
      </c>
      <c r="S172" s="35">
        <v>-5</v>
      </c>
      <c r="T172" s="35">
        <v>15.8</v>
      </c>
      <c r="U172" s="35">
        <v>40</v>
      </c>
      <c r="V172" s="35">
        <v>15.6</v>
      </c>
      <c r="W172" s="35">
        <v>40</v>
      </c>
      <c r="X172" s="35">
        <v>15.8</v>
      </c>
      <c r="Y172" s="35">
        <v>41.6</v>
      </c>
      <c r="Z172" s="35">
        <v>15.9</v>
      </c>
      <c r="AA172" s="35">
        <v>40.200000000000003</v>
      </c>
      <c r="AB172" s="35">
        <v>21</v>
      </c>
      <c r="AC172" s="35">
        <v>20</v>
      </c>
      <c r="AD172" s="35">
        <v>20.9</v>
      </c>
      <c r="AE172" s="35">
        <v>20</v>
      </c>
    </row>
    <row r="173" spans="1:31" x14ac:dyDescent="0.35">
      <c r="A173" s="36">
        <v>46059.568055555559</v>
      </c>
      <c r="B173" s="35">
        <v>-21.3</v>
      </c>
      <c r="C173" s="35">
        <v>-21.7</v>
      </c>
      <c r="D173" s="35">
        <v>-23</v>
      </c>
      <c r="E173" s="35">
        <v>-21.3</v>
      </c>
      <c r="F173" s="35">
        <v>-21.2</v>
      </c>
      <c r="G173" s="35">
        <v>-23</v>
      </c>
      <c r="H173" s="35">
        <v>-21.2</v>
      </c>
      <c r="I173" s="35">
        <v>-22.2</v>
      </c>
      <c r="J173" s="35">
        <v>-23</v>
      </c>
      <c r="K173" s="35">
        <v>-21.4</v>
      </c>
      <c r="L173" s="35">
        <v>-17.5</v>
      </c>
      <c r="M173" s="35">
        <v>-23</v>
      </c>
      <c r="N173" s="35">
        <v>-2.7</v>
      </c>
      <c r="O173" s="35">
        <v>-3.4</v>
      </c>
      <c r="P173" s="35">
        <v>-5</v>
      </c>
      <c r="Q173" s="35">
        <v>-3</v>
      </c>
      <c r="R173" s="35">
        <v>-3.8</v>
      </c>
      <c r="S173" s="35">
        <v>-5</v>
      </c>
      <c r="T173" s="35">
        <v>15.8</v>
      </c>
      <c r="U173" s="35">
        <v>40</v>
      </c>
      <c r="V173" s="35">
        <v>15.6</v>
      </c>
      <c r="W173" s="35">
        <v>40</v>
      </c>
      <c r="X173" s="35">
        <v>15.8</v>
      </c>
      <c r="Y173" s="35">
        <v>41.6</v>
      </c>
      <c r="Z173" s="35">
        <v>15.9</v>
      </c>
      <c r="AA173" s="35">
        <v>40.200000000000003</v>
      </c>
      <c r="AB173" s="35">
        <v>21</v>
      </c>
      <c r="AC173" s="35">
        <v>20</v>
      </c>
      <c r="AD173" s="35">
        <v>20.9</v>
      </c>
      <c r="AE173" s="35">
        <v>20</v>
      </c>
    </row>
    <row r="174" spans="1:31" x14ac:dyDescent="0.35">
      <c r="A174" s="36">
        <v>46059.568749999999</v>
      </c>
      <c r="B174" s="35">
        <v>-21.2</v>
      </c>
      <c r="C174" s="35">
        <v>-21.5</v>
      </c>
      <c r="D174" s="35">
        <v>-23</v>
      </c>
      <c r="E174" s="35">
        <v>-21.2</v>
      </c>
      <c r="F174" s="35">
        <v>-21.1</v>
      </c>
      <c r="G174" s="35">
        <v>-23</v>
      </c>
      <c r="H174" s="35">
        <v>-21.3</v>
      </c>
      <c r="I174" s="35">
        <v>-22.2</v>
      </c>
      <c r="J174" s="35">
        <v>-23</v>
      </c>
      <c r="K174" s="35">
        <v>-21.6</v>
      </c>
      <c r="L174" s="35">
        <v>-17.3</v>
      </c>
      <c r="M174" s="35">
        <v>-23</v>
      </c>
      <c r="N174" s="35">
        <v>-2.7</v>
      </c>
      <c r="O174" s="35">
        <v>-3.5</v>
      </c>
      <c r="P174" s="35">
        <v>-5</v>
      </c>
      <c r="Q174" s="35">
        <v>-3</v>
      </c>
      <c r="R174" s="35">
        <v>-3.8</v>
      </c>
      <c r="S174" s="35">
        <v>-5</v>
      </c>
      <c r="T174" s="35">
        <v>15.8</v>
      </c>
      <c r="U174" s="35">
        <v>40</v>
      </c>
      <c r="V174" s="35">
        <v>15.6</v>
      </c>
      <c r="W174" s="35">
        <v>40</v>
      </c>
      <c r="X174" s="35">
        <v>15.8</v>
      </c>
      <c r="Y174" s="35">
        <v>41.6</v>
      </c>
      <c r="Z174" s="35">
        <v>15.9</v>
      </c>
      <c r="AA174" s="35">
        <v>40.200000000000003</v>
      </c>
      <c r="AB174" s="35">
        <v>21</v>
      </c>
      <c r="AC174" s="35">
        <v>20</v>
      </c>
      <c r="AD174" s="35">
        <v>20.9</v>
      </c>
      <c r="AE174" s="35">
        <v>20</v>
      </c>
    </row>
    <row r="175" spans="1:31" x14ac:dyDescent="0.35">
      <c r="A175" s="36">
        <v>46059.569444444445</v>
      </c>
      <c r="B175" s="35">
        <v>-21.1</v>
      </c>
      <c r="C175" s="35">
        <v>-21.4</v>
      </c>
      <c r="D175" s="35">
        <v>-23</v>
      </c>
      <c r="E175" s="35">
        <v>-21</v>
      </c>
      <c r="F175" s="35">
        <v>-20.9</v>
      </c>
      <c r="G175" s="35">
        <v>-23</v>
      </c>
      <c r="H175" s="35">
        <v>-21.4</v>
      </c>
      <c r="I175" s="35">
        <v>-22.2</v>
      </c>
      <c r="J175" s="35">
        <v>-23</v>
      </c>
      <c r="K175" s="35">
        <v>-21.6</v>
      </c>
      <c r="L175" s="35">
        <v>-17.2</v>
      </c>
      <c r="M175" s="35">
        <v>-23</v>
      </c>
      <c r="N175" s="35">
        <v>-2.8</v>
      </c>
      <c r="O175" s="35">
        <v>-3.5</v>
      </c>
      <c r="P175" s="35">
        <v>-5</v>
      </c>
      <c r="Q175" s="35">
        <v>-3.2</v>
      </c>
      <c r="R175" s="35">
        <v>-3.9</v>
      </c>
      <c r="S175" s="35">
        <v>-5</v>
      </c>
      <c r="T175" s="35">
        <v>15.8</v>
      </c>
      <c r="U175" s="35">
        <v>40</v>
      </c>
      <c r="V175" s="35">
        <v>15.6</v>
      </c>
      <c r="W175" s="35">
        <v>40</v>
      </c>
      <c r="X175" s="35">
        <v>15.8</v>
      </c>
      <c r="Y175" s="35">
        <v>41.6</v>
      </c>
      <c r="Z175" s="35">
        <v>15.9</v>
      </c>
      <c r="AA175" s="35">
        <v>40.200000000000003</v>
      </c>
      <c r="AB175" s="35">
        <v>21</v>
      </c>
      <c r="AC175" s="35">
        <v>20</v>
      </c>
      <c r="AD175" s="35">
        <v>20.9</v>
      </c>
      <c r="AE175" s="35">
        <v>20</v>
      </c>
    </row>
    <row r="176" spans="1:31" x14ac:dyDescent="0.35">
      <c r="A176" s="36">
        <v>46059.570138888892</v>
      </c>
      <c r="B176" s="35">
        <v>-21</v>
      </c>
      <c r="C176" s="35">
        <v>-21.2</v>
      </c>
      <c r="D176" s="35">
        <v>-23</v>
      </c>
      <c r="E176" s="35">
        <v>-20.9</v>
      </c>
      <c r="F176" s="35">
        <v>-20.8</v>
      </c>
      <c r="G176" s="35">
        <v>-23</v>
      </c>
      <c r="H176" s="35">
        <v>-21.6</v>
      </c>
      <c r="I176" s="35">
        <v>-22.2</v>
      </c>
      <c r="J176" s="35">
        <v>-23</v>
      </c>
      <c r="K176" s="35">
        <v>-21.8</v>
      </c>
      <c r="L176" s="35">
        <v>-17.100000000000001</v>
      </c>
      <c r="M176" s="35">
        <v>-23</v>
      </c>
      <c r="N176" s="35">
        <v>-2.9</v>
      </c>
      <c r="O176" s="35">
        <v>-3.6</v>
      </c>
      <c r="P176" s="35">
        <v>-5</v>
      </c>
      <c r="Q176" s="35">
        <v>-3.2</v>
      </c>
      <c r="R176" s="35">
        <v>-3.9</v>
      </c>
      <c r="S176" s="35">
        <v>-5</v>
      </c>
      <c r="T176" s="35">
        <v>15.8</v>
      </c>
      <c r="U176" s="35">
        <v>40</v>
      </c>
      <c r="V176" s="35">
        <v>15.5</v>
      </c>
      <c r="W176" s="35">
        <v>40</v>
      </c>
      <c r="X176" s="35">
        <v>15.8</v>
      </c>
      <c r="Y176" s="35">
        <v>41.6</v>
      </c>
      <c r="Z176" s="35">
        <v>15.9</v>
      </c>
      <c r="AA176" s="35">
        <v>40.200000000000003</v>
      </c>
      <c r="AB176" s="35">
        <v>21</v>
      </c>
      <c r="AC176" s="35">
        <v>20</v>
      </c>
      <c r="AD176" s="35">
        <v>20.9</v>
      </c>
      <c r="AE176" s="35">
        <v>20</v>
      </c>
    </row>
    <row r="177" spans="1:31" x14ac:dyDescent="0.35">
      <c r="A177" s="36">
        <v>46059.570833333331</v>
      </c>
      <c r="B177" s="35">
        <v>-20.8</v>
      </c>
      <c r="C177" s="35">
        <v>-21.1</v>
      </c>
      <c r="D177" s="35">
        <v>-23</v>
      </c>
      <c r="E177" s="35">
        <v>-20.9</v>
      </c>
      <c r="F177" s="35">
        <v>-20.7</v>
      </c>
      <c r="G177" s="35">
        <v>-23</v>
      </c>
      <c r="H177" s="35">
        <v>-21.6</v>
      </c>
      <c r="I177" s="35">
        <v>-22.2</v>
      </c>
      <c r="J177" s="35">
        <v>-23</v>
      </c>
      <c r="K177" s="35">
        <v>-21.8</v>
      </c>
      <c r="L177" s="35">
        <v>-17.100000000000001</v>
      </c>
      <c r="M177" s="35">
        <v>-23</v>
      </c>
      <c r="N177" s="35">
        <v>-2.9</v>
      </c>
      <c r="O177" s="35">
        <v>-3.6</v>
      </c>
      <c r="P177" s="35">
        <v>-5</v>
      </c>
      <c r="Q177" s="35">
        <v>-3.2</v>
      </c>
      <c r="R177" s="35">
        <v>-3.9</v>
      </c>
      <c r="S177" s="35">
        <v>-5</v>
      </c>
      <c r="T177" s="35">
        <v>15.8</v>
      </c>
      <c r="U177" s="35">
        <v>40</v>
      </c>
      <c r="V177" s="35">
        <v>15.5</v>
      </c>
      <c r="W177" s="35">
        <v>40</v>
      </c>
      <c r="X177" s="35">
        <v>15.8</v>
      </c>
      <c r="Y177" s="35">
        <v>41.6</v>
      </c>
      <c r="Z177" s="35">
        <v>15.9</v>
      </c>
      <c r="AA177" s="35">
        <v>40.200000000000003</v>
      </c>
      <c r="AB177" s="35">
        <v>21</v>
      </c>
      <c r="AC177" s="35">
        <v>20</v>
      </c>
      <c r="AD177" s="35">
        <v>20.9</v>
      </c>
      <c r="AE177" s="35">
        <v>20</v>
      </c>
    </row>
    <row r="178" spans="1:31" x14ac:dyDescent="0.35">
      <c r="A178" s="36">
        <v>46059.571527777778</v>
      </c>
      <c r="B178" s="35">
        <v>-20.8</v>
      </c>
      <c r="C178" s="35">
        <v>-21.1</v>
      </c>
      <c r="D178" s="35">
        <v>-23</v>
      </c>
      <c r="E178" s="35">
        <v>-20.9</v>
      </c>
      <c r="F178" s="35">
        <v>-20.7</v>
      </c>
      <c r="G178" s="35">
        <v>-23</v>
      </c>
      <c r="H178" s="35">
        <v>-21.6</v>
      </c>
      <c r="I178" s="35">
        <v>-22.1</v>
      </c>
      <c r="J178" s="35">
        <v>-23</v>
      </c>
      <c r="K178" s="35">
        <v>-21.8</v>
      </c>
      <c r="L178" s="35">
        <v>-17.100000000000001</v>
      </c>
      <c r="M178" s="35">
        <v>-23</v>
      </c>
      <c r="N178" s="35">
        <v>-3</v>
      </c>
      <c r="O178" s="35">
        <v>-3.7</v>
      </c>
      <c r="P178" s="35">
        <v>-5</v>
      </c>
      <c r="Q178" s="35">
        <v>-3.2</v>
      </c>
      <c r="R178" s="35">
        <v>-3.9</v>
      </c>
      <c r="S178" s="35">
        <v>-5</v>
      </c>
      <c r="T178" s="35">
        <v>15.8</v>
      </c>
      <c r="U178" s="35">
        <v>40</v>
      </c>
      <c r="V178" s="35">
        <v>15.5</v>
      </c>
      <c r="W178" s="35">
        <v>40</v>
      </c>
      <c r="X178" s="35">
        <v>15.8</v>
      </c>
      <c r="Y178" s="35">
        <v>41.6</v>
      </c>
      <c r="Z178" s="35">
        <v>15.9</v>
      </c>
      <c r="AA178" s="35">
        <v>40.200000000000003</v>
      </c>
      <c r="AB178" s="35">
        <v>21</v>
      </c>
      <c r="AC178" s="35">
        <v>20</v>
      </c>
      <c r="AD178" s="35">
        <v>20.9</v>
      </c>
      <c r="AE178" s="35">
        <v>20</v>
      </c>
    </row>
    <row r="179" spans="1:31" x14ac:dyDescent="0.35">
      <c r="A179" s="36">
        <v>46059.572222222225</v>
      </c>
      <c r="B179" s="35">
        <v>-20.8</v>
      </c>
      <c r="C179" s="35">
        <v>-21.1</v>
      </c>
      <c r="D179" s="35">
        <v>-23</v>
      </c>
      <c r="E179" s="35">
        <v>-21</v>
      </c>
      <c r="F179" s="35">
        <v>-20.6</v>
      </c>
      <c r="G179" s="35">
        <v>-23</v>
      </c>
      <c r="H179" s="35">
        <v>-21.6</v>
      </c>
      <c r="I179" s="35">
        <v>-22</v>
      </c>
      <c r="J179" s="35">
        <v>-23</v>
      </c>
      <c r="K179" s="35">
        <v>-21.7</v>
      </c>
      <c r="L179" s="35">
        <v>-17.100000000000001</v>
      </c>
      <c r="M179" s="35">
        <v>-23</v>
      </c>
      <c r="N179" s="35">
        <v>-3</v>
      </c>
      <c r="O179" s="35">
        <v>-3.7</v>
      </c>
      <c r="P179" s="35">
        <v>-5</v>
      </c>
      <c r="Q179" s="35">
        <v>-3.2</v>
      </c>
      <c r="R179" s="35">
        <v>-4</v>
      </c>
      <c r="S179" s="35">
        <v>-5</v>
      </c>
      <c r="T179" s="35">
        <v>15.8</v>
      </c>
      <c r="U179" s="35">
        <v>40</v>
      </c>
      <c r="V179" s="35">
        <v>15.5</v>
      </c>
      <c r="W179" s="35">
        <v>40</v>
      </c>
      <c r="X179" s="35">
        <v>15.8</v>
      </c>
      <c r="Y179" s="35">
        <v>41.6</v>
      </c>
      <c r="Z179" s="35">
        <v>15.9</v>
      </c>
      <c r="AA179" s="35">
        <v>40.200000000000003</v>
      </c>
      <c r="AB179" s="35">
        <v>21</v>
      </c>
      <c r="AC179" s="35">
        <v>20</v>
      </c>
      <c r="AD179" s="35">
        <v>21</v>
      </c>
      <c r="AE179" s="35">
        <v>20</v>
      </c>
    </row>
    <row r="180" spans="1:31" x14ac:dyDescent="0.35">
      <c r="A180" s="36">
        <v>46059.572916666664</v>
      </c>
      <c r="B180" s="35">
        <v>-20.8</v>
      </c>
      <c r="C180" s="35">
        <v>-21.2</v>
      </c>
      <c r="D180" s="35">
        <v>-23</v>
      </c>
      <c r="E180" s="35">
        <v>-21.1</v>
      </c>
      <c r="F180" s="35">
        <v>-20.6</v>
      </c>
      <c r="G180" s="35">
        <v>-23</v>
      </c>
      <c r="H180" s="35">
        <v>-21.6</v>
      </c>
      <c r="I180" s="35">
        <v>-21.9</v>
      </c>
      <c r="J180" s="35">
        <v>-23</v>
      </c>
      <c r="K180" s="35">
        <v>-21.5</v>
      </c>
      <c r="L180" s="35">
        <v>-17.100000000000001</v>
      </c>
      <c r="M180" s="35">
        <v>-23</v>
      </c>
      <c r="N180" s="35">
        <v>-3</v>
      </c>
      <c r="O180" s="35">
        <v>-3.7</v>
      </c>
      <c r="P180" s="35">
        <v>-5</v>
      </c>
      <c r="Q180" s="35">
        <v>-3.3</v>
      </c>
      <c r="R180" s="35">
        <v>-4</v>
      </c>
      <c r="S180" s="35">
        <v>-5</v>
      </c>
      <c r="T180" s="35">
        <v>15.8</v>
      </c>
      <c r="U180" s="35">
        <v>40</v>
      </c>
      <c r="V180" s="35">
        <v>15.5</v>
      </c>
      <c r="W180" s="35">
        <v>40</v>
      </c>
      <c r="X180" s="35">
        <v>15.8</v>
      </c>
      <c r="Y180" s="35">
        <v>41.6</v>
      </c>
      <c r="Z180" s="35">
        <v>15.9</v>
      </c>
      <c r="AA180" s="35">
        <v>40.200000000000003</v>
      </c>
      <c r="AB180" s="35">
        <v>21</v>
      </c>
      <c r="AC180" s="35">
        <v>20</v>
      </c>
      <c r="AD180" s="35">
        <v>21</v>
      </c>
      <c r="AE180" s="35">
        <v>20</v>
      </c>
    </row>
    <row r="181" spans="1:31" x14ac:dyDescent="0.35">
      <c r="A181" s="36">
        <v>46059.573611111111</v>
      </c>
      <c r="B181" s="35">
        <v>-20.9</v>
      </c>
      <c r="C181" s="35">
        <v>-21.6</v>
      </c>
      <c r="D181" s="35">
        <v>-23</v>
      </c>
      <c r="E181" s="35">
        <v>-21.3</v>
      </c>
      <c r="F181" s="35">
        <v>-20.6</v>
      </c>
      <c r="G181" s="35">
        <v>-23</v>
      </c>
      <c r="H181" s="35">
        <v>-21.6</v>
      </c>
      <c r="I181" s="35">
        <v>-21.8</v>
      </c>
      <c r="J181" s="35">
        <v>-23</v>
      </c>
      <c r="K181" s="35">
        <v>-21.4</v>
      </c>
      <c r="L181" s="35">
        <v>-17.100000000000001</v>
      </c>
      <c r="M181" s="35">
        <v>-23</v>
      </c>
      <c r="N181" s="35">
        <v>-3</v>
      </c>
      <c r="O181" s="35">
        <v>-3.7</v>
      </c>
      <c r="P181" s="35">
        <v>-5</v>
      </c>
      <c r="Q181" s="35">
        <v>-3.3</v>
      </c>
      <c r="R181" s="35">
        <v>-4</v>
      </c>
      <c r="S181" s="35">
        <v>-5</v>
      </c>
      <c r="T181" s="35">
        <v>15.8</v>
      </c>
      <c r="U181" s="35">
        <v>40</v>
      </c>
      <c r="V181" s="35">
        <v>15.5</v>
      </c>
      <c r="W181" s="35">
        <v>40</v>
      </c>
      <c r="X181" s="35">
        <v>15.8</v>
      </c>
      <c r="Y181" s="35">
        <v>41.6</v>
      </c>
      <c r="Z181" s="35">
        <v>15.9</v>
      </c>
      <c r="AA181" s="35">
        <v>40.200000000000003</v>
      </c>
      <c r="AB181" s="35">
        <v>21</v>
      </c>
      <c r="AC181" s="35">
        <v>20</v>
      </c>
      <c r="AD181" s="35">
        <v>21</v>
      </c>
      <c r="AE181" s="35">
        <v>20</v>
      </c>
    </row>
    <row r="182" spans="1:31" x14ac:dyDescent="0.35">
      <c r="A182" s="36">
        <v>46059.574305555558</v>
      </c>
      <c r="B182" s="35">
        <v>-21</v>
      </c>
      <c r="C182" s="35">
        <v>-22.3</v>
      </c>
      <c r="D182" s="35">
        <v>-23</v>
      </c>
      <c r="E182" s="35">
        <v>-21.4</v>
      </c>
      <c r="F182" s="35">
        <v>-20.6</v>
      </c>
      <c r="G182" s="35">
        <v>-23</v>
      </c>
      <c r="H182" s="35">
        <v>-21.5</v>
      </c>
      <c r="I182" s="35">
        <v>-21.7</v>
      </c>
      <c r="J182" s="35">
        <v>-23</v>
      </c>
      <c r="K182" s="35">
        <v>-21.3</v>
      </c>
      <c r="L182" s="35">
        <v>-17.100000000000001</v>
      </c>
      <c r="M182" s="35">
        <v>-23</v>
      </c>
      <c r="N182" s="35">
        <v>-3</v>
      </c>
      <c r="O182" s="35">
        <v>-3.7</v>
      </c>
      <c r="P182" s="35">
        <v>-5</v>
      </c>
      <c r="Q182" s="35">
        <v>-3.3</v>
      </c>
      <c r="R182" s="35">
        <v>-4</v>
      </c>
      <c r="S182" s="35">
        <v>-5</v>
      </c>
      <c r="T182" s="35">
        <v>15.8</v>
      </c>
      <c r="U182" s="35">
        <v>40</v>
      </c>
      <c r="V182" s="35">
        <v>15.5</v>
      </c>
      <c r="W182" s="35">
        <v>40</v>
      </c>
      <c r="X182" s="35">
        <v>15.8</v>
      </c>
      <c r="Y182" s="35">
        <v>41.6</v>
      </c>
      <c r="Z182" s="35">
        <v>16.100000000000001</v>
      </c>
      <c r="AA182" s="35">
        <v>40.200000000000003</v>
      </c>
      <c r="AB182" s="35">
        <v>21</v>
      </c>
      <c r="AC182" s="35">
        <v>20</v>
      </c>
      <c r="AD182" s="35">
        <v>21</v>
      </c>
      <c r="AE182" s="35">
        <v>20</v>
      </c>
    </row>
    <row r="183" spans="1:31" x14ac:dyDescent="0.35">
      <c r="A183" s="36">
        <v>46059.574999999997</v>
      </c>
      <c r="B183" s="35">
        <v>-21.1</v>
      </c>
      <c r="C183" s="35">
        <v>-22.6</v>
      </c>
      <c r="D183" s="35">
        <v>-23</v>
      </c>
      <c r="E183" s="35">
        <v>-21.6</v>
      </c>
      <c r="F183" s="35">
        <v>-20.6</v>
      </c>
      <c r="G183" s="35">
        <v>-23</v>
      </c>
      <c r="H183" s="35">
        <v>-21.4</v>
      </c>
      <c r="I183" s="35">
        <v>-21.7</v>
      </c>
      <c r="J183" s="35">
        <v>-23</v>
      </c>
      <c r="K183" s="35">
        <v>-21.2</v>
      </c>
      <c r="L183" s="35">
        <v>-17.100000000000001</v>
      </c>
      <c r="M183" s="35">
        <v>-23</v>
      </c>
      <c r="N183" s="35">
        <v>-3</v>
      </c>
      <c r="O183" s="35">
        <v>-3.7</v>
      </c>
      <c r="P183" s="35">
        <v>-5</v>
      </c>
      <c r="Q183" s="35">
        <v>-3.3</v>
      </c>
      <c r="R183" s="35">
        <v>-4.0999999999999996</v>
      </c>
      <c r="S183" s="35">
        <v>-5</v>
      </c>
      <c r="T183" s="35">
        <v>15.8</v>
      </c>
      <c r="U183" s="35">
        <v>40</v>
      </c>
      <c r="V183" s="35">
        <v>15.5</v>
      </c>
      <c r="W183" s="35">
        <v>40</v>
      </c>
      <c r="X183" s="35">
        <v>15.9</v>
      </c>
      <c r="Y183" s="35">
        <v>41.6</v>
      </c>
      <c r="Z183" s="35">
        <v>16.5</v>
      </c>
      <c r="AA183" s="35">
        <v>40.200000000000003</v>
      </c>
      <c r="AB183" s="35">
        <v>21</v>
      </c>
      <c r="AC183" s="35">
        <v>20</v>
      </c>
      <c r="AD183" s="35">
        <v>21</v>
      </c>
      <c r="AE183" s="35">
        <v>20</v>
      </c>
    </row>
    <row r="184" spans="1:31" x14ac:dyDescent="0.35">
      <c r="A184" s="36">
        <v>46059.575694444444</v>
      </c>
      <c r="B184" s="35">
        <v>-21.1</v>
      </c>
      <c r="C184" s="35">
        <v>-22.6</v>
      </c>
      <c r="D184" s="35">
        <v>-23</v>
      </c>
      <c r="E184" s="35">
        <v>-21.6</v>
      </c>
      <c r="F184" s="35">
        <v>-20.6</v>
      </c>
      <c r="G184" s="35">
        <v>-23</v>
      </c>
      <c r="H184" s="35">
        <v>-21.3</v>
      </c>
      <c r="I184" s="35">
        <v>-21.7</v>
      </c>
      <c r="J184" s="35">
        <v>-23</v>
      </c>
      <c r="K184" s="35">
        <v>-21.2</v>
      </c>
      <c r="L184" s="35">
        <v>-17.100000000000001</v>
      </c>
      <c r="M184" s="35">
        <v>-23</v>
      </c>
      <c r="N184" s="35">
        <v>-3.1</v>
      </c>
      <c r="O184" s="35">
        <v>-3.8</v>
      </c>
      <c r="P184" s="35">
        <v>-5</v>
      </c>
      <c r="Q184" s="35">
        <v>-3.3</v>
      </c>
      <c r="R184" s="35">
        <v>-4.2</v>
      </c>
      <c r="S184" s="35">
        <v>-5</v>
      </c>
      <c r="T184" s="35">
        <v>15.8</v>
      </c>
      <c r="U184" s="35">
        <v>40</v>
      </c>
      <c r="V184" s="35">
        <v>15.7</v>
      </c>
      <c r="W184" s="35">
        <v>40</v>
      </c>
      <c r="X184" s="35">
        <v>16.100000000000001</v>
      </c>
      <c r="Y184" s="35">
        <v>41.6</v>
      </c>
      <c r="Z184" s="35">
        <v>16.7</v>
      </c>
      <c r="AA184" s="35">
        <v>40.200000000000003</v>
      </c>
      <c r="AB184" s="35">
        <v>21</v>
      </c>
      <c r="AC184" s="35">
        <v>20</v>
      </c>
      <c r="AD184" s="35">
        <v>21</v>
      </c>
      <c r="AE184" s="35">
        <v>20</v>
      </c>
    </row>
    <row r="185" spans="1:31" x14ac:dyDescent="0.35">
      <c r="A185" s="36">
        <v>46059.576388888891</v>
      </c>
      <c r="B185" s="35">
        <v>-21.2</v>
      </c>
      <c r="C185" s="35">
        <v>-22.1</v>
      </c>
      <c r="D185" s="35">
        <v>-23</v>
      </c>
      <c r="E185" s="35">
        <v>-21.5</v>
      </c>
      <c r="F185" s="35">
        <v>-20.6</v>
      </c>
      <c r="G185" s="35">
        <v>-23</v>
      </c>
      <c r="H185" s="35">
        <v>-21.3</v>
      </c>
      <c r="I185" s="35">
        <v>-21.8</v>
      </c>
      <c r="J185" s="35">
        <v>-23</v>
      </c>
      <c r="K185" s="35">
        <v>-21.3</v>
      </c>
      <c r="L185" s="35">
        <v>-17</v>
      </c>
      <c r="M185" s="35">
        <v>-23</v>
      </c>
      <c r="N185" s="35">
        <v>-3.1</v>
      </c>
      <c r="O185" s="35">
        <v>-3.8</v>
      </c>
      <c r="P185" s="35">
        <v>-5</v>
      </c>
      <c r="Q185" s="35">
        <v>-3.4</v>
      </c>
      <c r="R185" s="35">
        <v>-4.2</v>
      </c>
      <c r="S185" s="35">
        <v>-5</v>
      </c>
      <c r="T185" s="35">
        <v>15.8</v>
      </c>
      <c r="U185" s="35">
        <v>40</v>
      </c>
      <c r="V185" s="35">
        <v>15.8</v>
      </c>
      <c r="W185" s="35">
        <v>40</v>
      </c>
      <c r="X185" s="35">
        <v>16.2</v>
      </c>
      <c r="Y185" s="35">
        <v>41.6</v>
      </c>
      <c r="Z185" s="35">
        <v>17.100000000000001</v>
      </c>
      <c r="AA185" s="35">
        <v>40.200000000000003</v>
      </c>
      <c r="AB185" s="35">
        <v>21</v>
      </c>
      <c r="AC185" s="35">
        <v>20</v>
      </c>
      <c r="AD185" s="35">
        <v>21</v>
      </c>
      <c r="AE185" s="35">
        <v>20</v>
      </c>
    </row>
    <row r="186" spans="1:31" x14ac:dyDescent="0.35">
      <c r="A186" s="36">
        <v>46059.57708333333</v>
      </c>
      <c r="B186" s="35">
        <v>-21.2</v>
      </c>
      <c r="C186" s="35">
        <v>-21.8</v>
      </c>
      <c r="D186" s="35">
        <v>-23</v>
      </c>
      <c r="E186" s="35">
        <v>-21.2</v>
      </c>
      <c r="F186" s="35">
        <v>-20.6</v>
      </c>
      <c r="G186" s="35">
        <v>-23</v>
      </c>
      <c r="H186" s="35">
        <v>-21.3</v>
      </c>
      <c r="I186" s="35">
        <v>-22.1</v>
      </c>
      <c r="J186" s="35">
        <v>-23</v>
      </c>
      <c r="K186" s="35">
        <v>-21.4</v>
      </c>
      <c r="L186" s="35">
        <v>-17</v>
      </c>
      <c r="M186" s="35">
        <v>-23</v>
      </c>
      <c r="N186" s="35">
        <v>-3.1</v>
      </c>
      <c r="O186" s="35">
        <v>-3.8</v>
      </c>
      <c r="P186" s="35">
        <v>-5</v>
      </c>
      <c r="Q186" s="35">
        <v>-3.4</v>
      </c>
      <c r="R186" s="35">
        <v>-4.2</v>
      </c>
      <c r="S186" s="35">
        <v>-5</v>
      </c>
      <c r="T186" s="35">
        <v>15.8</v>
      </c>
      <c r="U186" s="35">
        <v>40</v>
      </c>
      <c r="V186" s="35">
        <v>16</v>
      </c>
      <c r="W186" s="35">
        <v>40</v>
      </c>
      <c r="X186" s="35">
        <v>16.5</v>
      </c>
      <c r="Y186" s="35">
        <v>41.6</v>
      </c>
      <c r="Z186" s="35">
        <v>17.100000000000001</v>
      </c>
      <c r="AA186" s="35">
        <v>40.200000000000003</v>
      </c>
      <c r="AB186" s="35">
        <v>21.1</v>
      </c>
      <c r="AC186" s="35">
        <v>20</v>
      </c>
      <c r="AD186" s="35">
        <v>21</v>
      </c>
      <c r="AE186" s="35">
        <v>20</v>
      </c>
    </row>
    <row r="187" spans="1:31" x14ac:dyDescent="0.35">
      <c r="A187" s="36">
        <v>46059.577777777777</v>
      </c>
      <c r="B187" s="35">
        <v>-21</v>
      </c>
      <c r="C187" s="35">
        <v>-21.5</v>
      </c>
      <c r="D187" s="35">
        <v>-23</v>
      </c>
      <c r="E187" s="35">
        <v>-21</v>
      </c>
      <c r="F187" s="35">
        <v>-20.5</v>
      </c>
      <c r="G187" s="35">
        <v>-23</v>
      </c>
      <c r="H187" s="35">
        <v>-21.3</v>
      </c>
      <c r="I187" s="35">
        <v>-22.1</v>
      </c>
      <c r="J187" s="35">
        <v>-23</v>
      </c>
      <c r="K187" s="35">
        <v>-21.6</v>
      </c>
      <c r="L187" s="35">
        <v>-17</v>
      </c>
      <c r="M187" s="35">
        <v>-23</v>
      </c>
      <c r="N187" s="35">
        <v>-3.1</v>
      </c>
      <c r="O187" s="35">
        <v>-3.8</v>
      </c>
      <c r="P187" s="35">
        <v>-5</v>
      </c>
      <c r="Q187" s="35">
        <v>-3.3</v>
      </c>
      <c r="R187" s="35">
        <v>-4.0999999999999996</v>
      </c>
      <c r="S187" s="35">
        <v>-5</v>
      </c>
      <c r="T187" s="35">
        <v>15.9</v>
      </c>
      <c r="U187" s="35">
        <v>40</v>
      </c>
      <c r="V187" s="35">
        <v>16.100000000000001</v>
      </c>
      <c r="W187" s="35">
        <v>40</v>
      </c>
      <c r="X187" s="35">
        <v>16.5</v>
      </c>
      <c r="Y187" s="35">
        <v>41.6</v>
      </c>
      <c r="Z187" s="35">
        <v>17.100000000000001</v>
      </c>
      <c r="AA187" s="35">
        <v>40.200000000000003</v>
      </c>
      <c r="AB187" s="35">
        <v>21.1</v>
      </c>
      <c r="AC187" s="35">
        <v>20</v>
      </c>
      <c r="AD187" s="35">
        <v>21.1</v>
      </c>
      <c r="AE187" s="35">
        <v>20</v>
      </c>
    </row>
    <row r="188" spans="1:31" x14ac:dyDescent="0.35">
      <c r="A188" s="36">
        <v>46059.578472222223</v>
      </c>
      <c r="B188" s="35">
        <v>-20.8</v>
      </c>
      <c r="C188" s="35">
        <v>-21.2</v>
      </c>
      <c r="D188" s="35">
        <v>-23</v>
      </c>
      <c r="E188" s="35">
        <v>-20.8</v>
      </c>
      <c r="F188" s="35">
        <v>-20.399999999999999</v>
      </c>
      <c r="G188" s="35">
        <v>-23</v>
      </c>
      <c r="H188" s="35">
        <v>-21.4</v>
      </c>
      <c r="I188" s="35">
        <v>-22.1</v>
      </c>
      <c r="J188" s="35">
        <v>-23</v>
      </c>
      <c r="K188" s="35">
        <v>-21.7</v>
      </c>
      <c r="L188" s="35">
        <v>-17</v>
      </c>
      <c r="M188" s="35">
        <v>-23</v>
      </c>
      <c r="N188" s="35">
        <v>-3.1</v>
      </c>
      <c r="O188" s="35">
        <v>-3.8</v>
      </c>
      <c r="P188" s="35">
        <v>-5</v>
      </c>
      <c r="Q188" s="35">
        <v>-3.3</v>
      </c>
      <c r="R188" s="35">
        <v>-4.0999999999999996</v>
      </c>
      <c r="S188" s="35">
        <v>-5</v>
      </c>
      <c r="T188" s="35">
        <v>15.9</v>
      </c>
      <c r="U188" s="35">
        <v>40</v>
      </c>
      <c r="V188" s="35">
        <v>16.399999999999999</v>
      </c>
      <c r="W188" s="35">
        <v>40</v>
      </c>
      <c r="X188" s="35">
        <v>16.899999999999999</v>
      </c>
      <c r="Y188" s="35">
        <v>41.6</v>
      </c>
      <c r="Z188" s="35">
        <v>17.100000000000001</v>
      </c>
      <c r="AA188" s="35">
        <v>40.200000000000003</v>
      </c>
      <c r="AB188" s="35">
        <v>21.1</v>
      </c>
      <c r="AC188" s="35">
        <v>20</v>
      </c>
      <c r="AD188" s="35">
        <v>21.1</v>
      </c>
      <c r="AE188" s="35">
        <v>20</v>
      </c>
    </row>
    <row r="189" spans="1:31" x14ac:dyDescent="0.35">
      <c r="A189" s="36">
        <v>46059.57916666667</v>
      </c>
      <c r="B189" s="35">
        <v>-20.7</v>
      </c>
      <c r="C189" s="35">
        <v>-21.1</v>
      </c>
      <c r="D189" s="35">
        <v>-23</v>
      </c>
      <c r="E189" s="35">
        <v>-20.7</v>
      </c>
      <c r="F189" s="35">
        <v>-20.3</v>
      </c>
      <c r="G189" s="35">
        <v>-23</v>
      </c>
      <c r="H189" s="35">
        <v>-21.5</v>
      </c>
      <c r="I189" s="35">
        <v>-22.1</v>
      </c>
      <c r="J189" s="35">
        <v>-23</v>
      </c>
      <c r="K189" s="35">
        <v>-21.8</v>
      </c>
      <c r="L189" s="35">
        <v>-17</v>
      </c>
      <c r="M189" s="35">
        <v>-23</v>
      </c>
      <c r="N189" s="35">
        <v>-3.1</v>
      </c>
      <c r="O189" s="35">
        <v>-3.8</v>
      </c>
      <c r="P189" s="35">
        <v>-5</v>
      </c>
      <c r="Q189" s="35">
        <v>-3.3</v>
      </c>
      <c r="R189" s="35">
        <v>-4.0999999999999996</v>
      </c>
      <c r="S189" s="35">
        <v>-5</v>
      </c>
      <c r="T189" s="35">
        <v>16.100000000000001</v>
      </c>
      <c r="U189" s="35">
        <v>40</v>
      </c>
      <c r="V189" s="35">
        <v>16.5</v>
      </c>
      <c r="W189" s="35">
        <v>40</v>
      </c>
      <c r="X189" s="35">
        <v>16.899999999999999</v>
      </c>
      <c r="Y189" s="35">
        <v>41.6</v>
      </c>
      <c r="Z189" s="35">
        <v>21.5</v>
      </c>
      <c r="AA189" s="35">
        <v>40.200000000000003</v>
      </c>
      <c r="AB189" s="35">
        <v>21.1</v>
      </c>
      <c r="AC189" s="35">
        <v>20</v>
      </c>
      <c r="AD189" s="35">
        <v>21.1</v>
      </c>
      <c r="AE189" s="35">
        <v>20</v>
      </c>
    </row>
    <row r="190" spans="1:31" x14ac:dyDescent="0.35">
      <c r="A190" s="36">
        <v>46059.579861111109</v>
      </c>
      <c r="B190" s="35">
        <v>-20.6</v>
      </c>
      <c r="C190" s="35">
        <v>-20.9</v>
      </c>
      <c r="D190" s="35">
        <v>-23</v>
      </c>
      <c r="E190" s="35">
        <v>-20.5</v>
      </c>
      <c r="F190" s="35">
        <v>-20.2</v>
      </c>
      <c r="G190" s="35">
        <v>-23</v>
      </c>
      <c r="H190" s="35">
        <v>-21.5</v>
      </c>
      <c r="I190" s="35">
        <v>-22.1</v>
      </c>
      <c r="J190" s="35">
        <v>-23</v>
      </c>
      <c r="K190" s="35">
        <v>-21.8</v>
      </c>
      <c r="L190" s="35">
        <v>-17</v>
      </c>
      <c r="M190" s="35">
        <v>-23</v>
      </c>
      <c r="N190" s="35">
        <v>-3.1</v>
      </c>
      <c r="O190" s="35">
        <v>-3.8</v>
      </c>
      <c r="P190" s="35">
        <v>-5</v>
      </c>
      <c r="Q190" s="35">
        <v>-3.3</v>
      </c>
      <c r="R190" s="35">
        <v>-4</v>
      </c>
      <c r="S190" s="35">
        <v>-5</v>
      </c>
      <c r="T190" s="35">
        <v>16.100000000000001</v>
      </c>
      <c r="U190" s="35">
        <v>40</v>
      </c>
      <c r="V190" s="35">
        <v>16.5</v>
      </c>
      <c r="W190" s="35">
        <v>40</v>
      </c>
      <c r="X190" s="35">
        <v>16.899999999999999</v>
      </c>
      <c r="Y190" s="35">
        <v>41.6</v>
      </c>
      <c r="Z190" s="35">
        <v>18.7</v>
      </c>
      <c r="AA190" s="35">
        <v>40.200000000000003</v>
      </c>
      <c r="AB190" s="35">
        <v>21.1</v>
      </c>
      <c r="AC190" s="35">
        <v>20</v>
      </c>
      <c r="AD190" s="35">
        <v>21.1</v>
      </c>
      <c r="AE190" s="35">
        <v>20</v>
      </c>
    </row>
    <row r="191" spans="1:31" x14ac:dyDescent="0.35">
      <c r="A191" s="36">
        <v>46059.580555555556</v>
      </c>
      <c r="B191" s="35">
        <v>-20.5</v>
      </c>
      <c r="C191" s="35">
        <v>-20.7</v>
      </c>
      <c r="D191" s="35">
        <v>-23</v>
      </c>
      <c r="E191" s="35">
        <v>-20.399999999999999</v>
      </c>
      <c r="F191" s="35">
        <v>-20.100000000000001</v>
      </c>
      <c r="G191" s="35">
        <v>-23</v>
      </c>
      <c r="H191" s="35">
        <v>-21.6</v>
      </c>
      <c r="I191" s="35">
        <v>-22.2</v>
      </c>
      <c r="J191" s="35">
        <v>-23</v>
      </c>
      <c r="K191" s="35">
        <v>-21.8</v>
      </c>
      <c r="L191" s="35">
        <v>-17</v>
      </c>
      <c r="M191" s="35">
        <v>-23</v>
      </c>
      <c r="N191" s="35">
        <v>-3.1</v>
      </c>
      <c r="O191" s="35">
        <v>-3.8</v>
      </c>
      <c r="P191" s="35">
        <v>-5</v>
      </c>
      <c r="Q191" s="35">
        <v>-3.3</v>
      </c>
      <c r="R191" s="35">
        <v>-4</v>
      </c>
      <c r="S191" s="35">
        <v>-5</v>
      </c>
      <c r="T191" s="35">
        <v>16.100000000000001</v>
      </c>
      <c r="U191" s="35">
        <v>40</v>
      </c>
      <c r="V191" s="35">
        <v>16.600000000000001</v>
      </c>
      <c r="W191" s="35">
        <v>40</v>
      </c>
      <c r="X191" s="35">
        <v>16.899999999999999</v>
      </c>
      <c r="Y191" s="35">
        <v>41.6</v>
      </c>
      <c r="Z191" s="35">
        <v>18.5</v>
      </c>
      <c r="AA191" s="35">
        <v>40.200000000000003</v>
      </c>
      <c r="AB191" s="35">
        <v>21.1</v>
      </c>
      <c r="AC191" s="35">
        <v>20</v>
      </c>
      <c r="AD191" s="35">
        <v>21.1</v>
      </c>
      <c r="AE191" s="35">
        <v>20</v>
      </c>
    </row>
    <row r="192" spans="1:31" x14ac:dyDescent="0.35">
      <c r="A192" s="36">
        <v>46059.581250000003</v>
      </c>
      <c r="B192" s="35">
        <v>-20.399999999999999</v>
      </c>
      <c r="C192" s="35">
        <v>-20.6</v>
      </c>
      <c r="D192" s="35">
        <v>-23</v>
      </c>
      <c r="E192" s="35">
        <v>-20.399999999999999</v>
      </c>
      <c r="F192" s="35">
        <v>-20</v>
      </c>
      <c r="G192" s="35">
        <v>-23</v>
      </c>
      <c r="H192" s="35">
        <v>-21.6</v>
      </c>
      <c r="I192" s="35">
        <v>-22.2</v>
      </c>
      <c r="J192" s="35">
        <v>-23</v>
      </c>
      <c r="K192" s="35">
        <v>-21.8</v>
      </c>
      <c r="L192" s="35">
        <v>-17</v>
      </c>
      <c r="M192" s="35">
        <v>-23</v>
      </c>
      <c r="N192" s="35">
        <v>-3.1</v>
      </c>
      <c r="O192" s="35">
        <v>-3.8</v>
      </c>
      <c r="P192" s="35">
        <v>-5</v>
      </c>
      <c r="Q192" s="35">
        <v>-3.3</v>
      </c>
      <c r="R192" s="35">
        <v>-4</v>
      </c>
      <c r="S192" s="35">
        <v>-5</v>
      </c>
      <c r="T192" s="35">
        <v>16.100000000000001</v>
      </c>
      <c r="U192" s="35">
        <v>40</v>
      </c>
      <c r="V192" s="35">
        <v>16.7</v>
      </c>
      <c r="W192" s="35">
        <v>40</v>
      </c>
      <c r="X192" s="35">
        <v>17.3</v>
      </c>
      <c r="Y192" s="35">
        <v>41.6</v>
      </c>
      <c r="Z192" s="35">
        <v>18.5</v>
      </c>
      <c r="AA192" s="35">
        <v>40.200000000000003</v>
      </c>
      <c r="AB192" s="35">
        <v>21.1</v>
      </c>
      <c r="AC192" s="35">
        <v>20</v>
      </c>
      <c r="AD192" s="35">
        <v>21.1</v>
      </c>
      <c r="AE192" s="35">
        <v>20</v>
      </c>
    </row>
    <row r="193" spans="1:31" x14ac:dyDescent="0.35">
      <c r="A193" s="36">
        <v>46059.581944444442</v>
      </c>
      <c r="B193" s="35">
        <v>-20.3</v>
      </c>
      <c r="C193" s="35">
        <v>-20.6</v>
      </c>
      <c r="D193" s="35">
        <v>-23</v>
      </c>
      <c r="E193" s="35">
        <v>-20.399999999999999</v>
      </c>
      <c r="F193" s="35">
        <v>-20</v>
      </c>
      <c r="G193" s="35">
        <v>-23</v>
      </c>
      <c r="H193" s="35">
        <v>-21.6</v>
      </c>
      <c r="I193" s="35">
        <v>-22.2</v>
      </c>
      <c r="J193" s="35">
        <v>-23</v>
      </c>
      <c r="K193" s="35">
        <v>-21.8</v>
      </c>
      <c r="L193" s="35">
        <v>-17</v>
      </c>
      <c r="M193" s="35">
        <v>-23</v>
      </c>
      <c r="N193" s="35">
        <v>-3.1</v>
      </c>
      <c r="O193" s="35">
        <v>-3.8</v>
      </c>
      <c r="P193" s="35">
        <v>-5</v>
      </c>
      <c r="Q193" s="35">
        <v>-3.2</v>
      </c>
      <c r="R193" s="35">
        <v>-4</v>
      </c>
      <c r="S193" s="35">
        <v>-5</v>
      </c>
      <c r="T193" s="35">
        <v>16.3</v>
      </c>
      <c r="U193" s="35">
        <v>40</v>
      </c>
      <c r="V193" s="35">
        <v>17</v>
      </c>
      <c r="W193" s="35">
        <v>40</v>
      </c>
      <c r="X193" s="35">
        <v>17.600000000000001</v>
      </c>
      <c r="Y193" s="35">
        <v>41.6</v>
      </c>
      <c r="Z193" s="35">
        <v>19.399999999999999</v>
      </c>
      <c r="AA193" s="35">
        <v>40.200000000000003</v>
      </c>
      <c r="AB193" s="35">
        <v>21.1</v>
      </c>
      <c r="AC193" s="35">
        <v>20</v>
      </c>
      <c r="AD193" s="35">
        <v>21.1</v>
      </c>
      <c r="AE193" s="35">
        <v>20</v>
      </c>
    </row>
    <row r="194" spans="1:31" x14ac:dyDescent="0.35">
      <c r="A194" s="36">
        <v>46059.582638888889</v>
      </c>
      <c r="B194" s="35">
        <v>-20.3</v>
      </c>
      <c r="C194" s="35">
        <v>-20.6</v>
      </c>
      <c r="D194" s="35">
        <v>-23</v>
      </c>
      <c r="E194" s="35">
        <v>-20.399999999999999</v>
      </c>
      <c r="F194" s="35">
        <v>-19.899999999999999</v>
      </c>
      <c r="G194" s="35">
        <v>-23</v>
      </c>
      <c r="H194" s="35">
        <v>-21.6</v>
      </c>
      <c r="I194" s="35">
        <v>-22.2</v>
      </c>
      <c r="J194" s="35">
        <v>-23</v>
      </c>
      <c r="K194" s="35">
        <v>-21.8</v>
      </c>
      <c r="L194" s="35">
        <v>-17</v>
      </c>
      <c r="M194" s="35">
        <v>-23</v>
      </c>
      <c r="N194" s="35">
        <v>-3.1</v>
      </c>
      <c r="O194" s="35">
        <v>-3.8</v>
      </c>
      <c r="P194" s="35">
        <v>-5</v>
      </c>
      <c r="Q194" s="35">
        <v>-3.2</v>
      </c>
      <c r="R194" s="35">
        <v>-4</v>
      </c>
      <c r="S194" s="35">
        <v>-5</v>
      </c>
      <c r="T194" s="35">
        <v>16.399999999999999</v>
      </c>
      <c r="U194" s="35">
        <v>40</v>
      </c>
      <c r="V194" s="35">
        <v>17.2</v>
      </c>
      <c r="W194" s="35">
        <v>40</v>
      </c>
      <c r="X194" s="35">
        <v>17.8</v>
      </c>
      <c r="Y194" s="35">
        <v>41.6</v>
      </c>
      <c r="Z194" s="35">
        <v>19.5</v>
      </c>
      <c r="AA194" s="35">
        <v>40.200000000000003</v>
      </c>
      <c r="AB194" s="35">
        <v>21.1</v>
      </c>
      <c r="AC194" s="35">
        <v>20</v>
      </c>
      <c r="AD194" s="35">
        <v>21.1</v>
      </c>
      <c r="AE194" s="35">
        <v>20</v>
      </c>
    </row>
    <row r="195" spans="1:31" x14ac:dyDescent="0.35">
      <c r="A195" s="36">
        <v>46059.583333333336</v>
      </c>
      <c r="B195" s="35">
        <v>-20.3</v>
      </c>
      <c r="C195" s="35">
        <v>-20.6</v>
      </c>
      <c r="D195" s="35">
        <v>-23</v>
      </c>
      <c r="E195" s="35">
        <v>-20.399999999999999</v>
      </c>
      <c r="F195" s="35">
        <v>-19.899999999999999</v>
      </c>
      <c r="G195" s="35">
        <v>-23</v>
      </c>
      <c r="H195" s="35">
        <v>-21.6</v>
      </c>
      <c r="I195" s="35">
        <v>-22.2</v>
      </c>
      <c r="J195" s="35">
        <v>-23</v>
      </c>
      <c r="K195" s="35">
        <v>-21.8</v>
      </c>
      <c r="L195" s="35">
        <v>-17</v>
      </c>
      <c r="M195" s="35">
        <v>-23</v>
      </c>
      <c r="N195" s="35">
        <v>-3.1</v>
      </c>
      <c r="O195" s="35">
        <v>-3.8</v>
      </c>
      <c r="P195" s="35">
        <v>-5</v>
      </c>
      <c r="Q195" s="35">
        <v>-3.2</v>
      </c>
      <c r="R195" s="35">
        <v>-4</v>
      </c>
      <c r="S195" s="35">
        <v>-5</v>
      </c>
      <c r="T195" s="35">
        <v>16.5</v>
      </c>
      <c r="U195" s="35">
        <v>40</v>
      </c>
      <c r="V195" s="35">
        <v>17.2</v>
      </c>
      <c r="W195" s="35">
        <v>40</v>
      </c>
      <c r="X195" s="35">
        <v>17.8</v>
      </c>
      <c r="Y195" s="35">
        <v>41.6</v>
      </c>
      <c r="Z195" s="35">
        <v>19.5</v>
      </c>
      <c r="AA195" s="35">
        <v>40.200000000000003</v>
      </c>
      <c r="AB195" s="35">
        <v>21.1</v>
      </c>
      <c r="AC195" s="35">
        <v>20</v>
      </c>
      <c r="AD195" s="35">
        <v>21.1</v>
      </c>
      <c r="AE195" s="35">
        <v>20</v>
      </c>
    </row>
    <row r="196" spans="1:31" x14ac:dyDescent="0.35">
      <c r="A196" s="36">
        <v>46059.584027777775</v>
      </c>
      <c r="B196" s="35">
        <v>-20.3</v>
      </c>
      <c r="C196" s="35">
        <v>-20.5</v>
      </c>
      <c r="D196" s="35">
        <v>-23</v>
      </c>
      <c r="E196" s="35">
        <v>-20.2</v>
      </c>
      <c r="F196" s="35">
        <v>-19.8</v>
      </c>
      <c r="G196" s="35">
        <v>-23</v>
      </c>
      <c r="H196" s="35">
        <v>-21.7</v>
      </c>
      <c r="I196" s="35">
        <v>-22.2</v>
      </c>
      <c r="J196" s="35">
        <v>-23</v>
      </c>
      <c r="K196" s="35">
        <v>-21.9</v>
      </c>
      <c r="L196" s="35">
        <v>-17</v>
      </c>
      <c r="M196" s="35">
        <v>-23</v>
      </c>
      <c r="N196" s="35">
        <v>-3.1</v>
      </c>
      <c r="O196" s="35">
        <v>-3.8</v>
      </c>
      <c r="P196" s="35">
        <v>-5</v>
      </c>
      <c r="Q196" s="35">
        <v>-3.2</v>
      </c>
      <c r="R196" s="35">
        <v>-4</v>
      </c>
      <c r="S196" s="35">
        <v>-5</v>
      </c>
      <c r="T196" s="35">
        <v>16.600000000000001</v>
      </c>
      <c r="U196" s="35">
        <v>40</v>
      </c>
      <c r="V196" s="35">
        <v>17.3</v>
      </c>
      <c r="W196" s="35">
        <v>40</v>
      </c>
      <c r="X196" s="35">
        <v>17.8</v>
      </c>
      <c r="Y196" s="35">
        <v>41.6</v>
      </c>
      <c r="Z196" s="35">
        <v>19.2</v>
      </c>
      <c r="AA196" s="35">
        <v>40.200000000000003</v>
      </c>
      <c r="AB196" s="35">
        <v>21.1</v>
      </c>
      <c r="AC196" s="35">
        <v>20</v>
      </c>
      <c r="AD196" s="35">
        <v>21.1</v>
      </c>
      <c r="AE196" s="35">
        <v>20</v>
      </c>
    </row>
    <row r="197" spans="1:31" x14ac:dyDescent="0.35">
      <c r="A197" s="36">
        <v>46059.584722222222</v>
      </c>
      <c r="B197" s="35">
        <v>-20.3</v>
      </c>
      <c r="C197" s="35">
        <v>-20</v>
      </c>
      <c r="D197" s="35">
        <v>-23</v>
      </c>
      <c r="E197" s="35">
        <v>-20.2</v>
      </c>
      <c r="F197" s="35">
        <v>-20.100000000000001</v>
      </c>
      <c r="G197" s="35">
        <v>-23</v>
      </c>
      <c r="H197" s="35">
        <v>-21.7</v>
      </c>
      <c r="I197" s="35">
        <v>-22.3</v>
      </c>
      <c r="J197" s="35">
        <v>-23</v>
      </c>
      <c r="K197" s="35">
        <v>-21.9</v>
      </c>
      <c r="L197" s="35">
        <v>-17</v>
      </c>
      <c r="M197" s="35">
        <v>-23</v>
      </c>
      <c r="N197" s="35">
        <v>-3.1</v>
      </c>
      <c r="O197" s="35">
        <v>-3.8</v>
      </c>
      <c r="P197" s="35">
        <v>-5</v>
      </c>
      <c r="Q197" s="35">
        <v>-3.2</v>
      </c>
      <c r="R197" s="35">
        <v>-4</v>
      </c>
      <c r="S197" s="35">
        <v>-5</v>
      </c>
      <c r="T197" s="35">
        <v>16.600000000000001</v>
      </c>
      <c r="U197" s="35">
        <v>40</v>
      </c>
      <c r="V197" s="35">
        <v>17.3</v>
      </c>
      <c r="W197" s="35">
        <v>40</v>
      </c>
      <c r="X197" s="35">
        <v>17.8</v>
      </c>
      <c r="Y197" s="35">
        <v>41.6</v>
      </c>
      <c r="Z197" s="35">
        <v>18.899999999999999</v>
      </c>
      <c r="AA197" s="35">
        <v>40.200000000000003</v>
      </c>
      <c r="AB197" s="35">
        <v>21.1</v>
      </c>
      <c r="AC197" s="35">
        <v>20</v>
      </c>
      <c r="AD197" s="35">
        <v>21.1</v>
      </c>
      <c r="AE197" s="35">
        <v>20</v>
      </c>
    </row>
    <row r="198" spans="1:31" x14ac:dyDescent="0.35">
      <c r="A198" s="36">
        <v>46059.585416666669</v>
      </c>
      <c r="B198" s="35">
        <v>-20.3</v>
      </c>
      <c r="C198" s="35">
        <v>-18.2</v>
      </c>
      <c r="D198" s="35">
        <v>-23</v>
      </c>
      <c r="E198" s="35">
        <v>-20.2</v>
      </c>
      <c r="F198" s="35">
        <v>-20.8</v>
      </c>
      <c r="G198" s="35">
        <v>-23</v>
      </c>
      <c r="H198" s="35">
        <v>-21.7</v>
      </c>
      <c r="I198" s="35">
        <v>-22.3</v>
      </c>
      <c r="J198" s="35">
        <v>-23</v>
      </c>
      <c r="K198" s="35">
        <v>-21.9</v>
      </c>
      <c r="L198" s="35">
        <v>-17.100000000000001</v>
      </c>
      <c r="M198" s="35">
        <v>-23</v>
      </c>
      <c r="N198" s="35">
        <v>-3.1</v>
      </c>
      <c r="O198" s="35">
        <v>-3.8</v>
      </c>
      <c r="P198" s="35">
        <v>-5</v>
      </c>
      <c r="Q198" s="35">
        <v>-3.2</v>
      </c>
      <c r="R198" s="35">
        <v>-4</v>
      </c>
      <c r="S198" s="35">
        <v>-5</v>
      </c>
      <c r="T198" s="35">
        <v>16.600000000000001</v>
      </c>
      <c r="U198" s="35">
        <v>40</v>
      </c>
      <c r="V198" s="35">
        <v>17.2</v>
      </c>
      <c r="W198" s="35">
        <v>40</v>
      </c>
      <c r="X198" s="35">
        <v>17.600000000000001</v>
      </c>
      <c r="Y198" s="35">
        <v>41.6</v>
      </c>
      <c r="Z198" s="35">
        <v>18.600000000000001</v>
      </c>
      <c r="AA198" s="35">
        <v>40.200000000000003</v>
      </c>
      <c r="AB198" s="35">
        <v>21.1</v>
      </c>
      <c r="AC198" s="35">
        <v>20</v>
      </c>
      <c r="AD198" s="35">
        <v>21.1</v>
      </c>
      <c r="AE198" s="35">
        <v>20</v>
      </c>
    </row>
    <row r="199" spans="1:31" x14ac:dyDescent="0.35">
      <c r="A199" s="36">
        <v>46059.586111111108</v>
      </c>
      <c r="B199" s="35">
        <v>-20.3</v>
      </c>
      <c r="C199" s="35">
        <v>-15.2</v>
      </c>
      <c r="D199" s="35">
        <v>-23</v>
      </c>
      <c r="E199" s="35">
        <v>-20.399999999999999</v>
      </c>
      <c r="F199" s="35">
        <v>-21.4</v>
      </c>
      <c r="G199" s="35">
        <v>-23</v>
      </c>
      <c r="H199" s="35">
        <v>-21.7</v>
      </c>
      <c r="I199" s="35">
        <v>-22.1</v>
      </c>
      <c r="J199" s="35">
        <v>-23</v>
      </c>
      <c r="K199" s="35">
        <v>-21.7</v>
      </c>
      <c r="L199" s="35">
        <v>-17.2</v>
      </c>
      <c r="M199" s="35">
        <v>-23</v>
      </c>
      <c r="N199" s="35">
        <v>-3.1</v>
      </c>
      <c r="O199" s="35">
        <v>-3.7</v>
      </c>
      <c r="P199" s="35">
        <v>-5</v>
      </c>
      <c r="Q199" s="35">
        <v>-3.2</v>
      </c>
      <c r="R199" s="35">
        <v>-4</v>
      </c>
      <c r="S199" s="35">
        <v>-5</v>
      </c>
      <c r="T199" s="35">
        <v>16.600000000000001</v>
      </c>
      <c r="U199" s="35">
        <v>40</v>
      </c>
      <c r="V199" s="35">
        <v>17.2</v>
      </c>
      <c r="W199" s="35">
        <v>40</v>
      </c>
      <c r="X199" s="35">
        <v>17.5</v>
      </c>
      <c r="Y199" s="35">
        <v>41.6</v>
      </c>
      <c r="Z199" s="35">
        <v>18.399999999999999</v>
      </c>
      <c r="AA199" s="35">
        <v>40.200000000000003</v>
      </c>
      <c r="AB199" s="35">
        <v>21.1</v>
      </c>
      <c r="AC199" s="35">
        <v>20</v>
      </c>
      <c r="AD199" s="35">
        <v>21.1</v>
      </c>
      <c r="AE199" s="35">
        <v>20</v>
      </c>
    </row>
    <row r="200" spans="1:31" x14ac:dyDescent="0.35">
      <c r="A200" s="36">
        <v>46059.586805555555</v>
      </c>
      <c r="B200" s="35">
        <v>-20.3</v>
      </c>
      <c r="C200" s="35">
        <v>-11.1</v>
      </c>
      <c r="D200" s="35">
        <v>-23</v>
      </c>
      <c r="E200" s="35">
        <v>-20.7</v>
      </c>
      <c r="F200" s="35">
        <v>-21.6</v>
      </c>
      <c r="G200" s="35">
        <v>-23</v>
      </c>
      <c r="H200" s="35">
        <v>-21.6</v>
      </c>
      <c r="I200" s="35">
        <v>-21.9</v>
      </c>
      <c r="J200" s="35">
        <v>-23</v>
      </c>
      <c r="K200" s="35">
        <v>-21.5</v>
      </c>
      <c r="L200" s="35">
        <v>-17.3</v>
      </c>
      <c r="M200" s="35">
        <v>-23</v>
      </c>
      <c r="N200" s="35">
        <v>-3.1</v>
      </c>
      <c r="O200" s="35">
        <v>-3.7</v>
      </c>
      <c r="P200" s="35">
        <v>-5</v>
      </c>
      <c r="Q200" s="35">
        <v>-3.2</v>
      </c>
      <c r="R200" s="35">
        <v>-4</v>
      </c>
      <c r="S200" s="35">
        <v>-5</v>
      </c>
      <c r="T200" s="35">
        <v>16.5</v>
      </c>
      <c r="U200" s="35">
        <v>40</v>
      </c>
      <c r="V200" s="35">
        <v>17.100000000000001</v>
      </c>
      <c r="W200" s="35">
        <v>40</v>
      </c>
      <c r="X200" s="35">
        <v>17.399999999999999</v>
      </c>
      <c r="Y200" s="35">
        <v>41.6</v>
      </c>
      <c r="Z200" s="35">
        <v>18.100000000000001</v>
      </c>
      <c r="AA200" s="35">
        <v>40.200000000000003</v>
      </c>
      <c r="AB200" s="35">
        <v>21.1</v>
      </c>
      <c r="AC200" s="35">
        <v>20</v>
      </c>
      <c r="AD200" s="35">
        <v>21.1</v>
      </c>
      <c r="AE200" s="35">
        <v>20</v>
      </c>
    </row>
    <row r="201" spans="1:31" x14ac:dyDescent="0.35">
      <c r="A201" s="36">
        <v>46059.587500000001</v>
      </c>
      <c r="B201" s="35">
        <v>-20.3</v>
      </c>
      <c r="C201" s="35">
        <v>-7.4</v>
      </c>
      <c r="D201" s="35">
        <v>-23</v>
      </c>
      <c r="E201" s="35">
        <v>-21</v>
      </c>
      <c r="F201" s="35">
        <v>-21.6</v>
      </c>
      <c r="G201" s="35">
        <v>-23</v>
      </c>
      <c r="H201" s="35">
        <v>-21.6</v>
      </c>
      <c r="I201" s="35">
        <v>-21.8</v>
      </c>
      <c r="J201" s="35">
        <v>-23</v>
      </c>
      <c r="K201" s="35">
        <v>-21.5</v>
      </c>
      <c r="L201" s="35">
        <v>-17.3</v>
      </c>
      <c r="M201" s="35">
        <v>-23</v>
      </c>
      <c r="N201" s="35">
        <v>-3.1</v>
      </c>
      <c r="O201" s="35">
        <v>-3.6</v>
      </c>
      <c r="P201" s="35">
        <v>-5</v>
      </c>
      <c r="Q201" s="35">
        <v>-3.2</v>
      </c>
      <c r="R201" s="35">
        <v>-3.9</v>
      </c>
      <c r="S201" s="35">
        <v>-5</v>
      </c>
      <c r="T201" s="35">
        <v>16.5</v>
      </c>
      <c r="U201" s="35">
        <v>40</v>
      </c>
      <c r="V201" s="35">
        <v>17</v>
      </c>
      <c r="W201" s="35">
        <v>40</v>
      </c>
      <c r="X201" s="35">
        <v>17.399999999999999</v>
      </c>
      <c r="Y201" s="35">
        <v>41.6</v>
      </c>
      <c r="Z201" s="35">
        <v>17.8</v>
      </c>
      <c r="AA201" s="35">
        <v>40.200000000000003</v>
      </c>
      <c r="AB201" s="35">
        <v>21.1</v>
      </c>
      <c r="AC201" s="35">
        <v>20</v>
      </c>
      <c r="AD201" s="35">
        <v>21.1</v>
      </c>
      <c r="AE201" s="35">
        <v>20</v>
      </c>
    </row>
    <row r="202" spans="1:31" x14ac:dyDescent="0.35">
      <c r="A202" s="36">
        <v>46059.588194444441</v>
      </c>
      <c r="B202" s="35">
        <v>-20.3</v>
      </c>
      <c r="C202" s="35">
        <v>-3.9</v>
      </c>
      <c r="D202" s="35">
        <v>-23</v>
      </c>
      <c r="E202" s="35">
        <v>-21.3</v>
      </c>
      <c r="F202" s="35">
        <v>-22.6</v>
      </c>
      <c r="G202" s="35">
        <v>-23</v>
      </c>
      <c r="H202" s="35">
        <v>-21.5</v>
      </c>
      <c r="I202" s="35">
        <v>-21.8</v>
      </c>
      <c r="J202" s="35">
        <v>-23</v>
      </c>
      <c r="K202" s="35">
        <v>-21.4</v>
      </c>
      <c r="L202" s="35">
        <v>-17.3</v>
      </c>
      <c r="M202" s="35">
        <v>-23</v>
      </c>
      <c r="N202" s="35">
        <v>-3.1</v>
      </c>
      <c r="O202" s="35">
        <v>-3.6</v>
      </c>
      <c r="P202" s="35">
        <v>-5</v>
      </c>
      <c r="Q202" s="35">
        <v>-3.1</v>
      </c>
      <c r="R202" s="35">
        <v>-3.9</v>
      </c>
      <c r="S202" s="35">
        <v>-5</v>
      </c>
      <c r="T202" s="35">
        <v>16.5</v>
      </c>
      <c r="U202" s="35">
        <v>40</v>
      </c>
      <c r="V202" s="35">
        <v>17</v>
      </c>
      <c r="W202" s="35">
        <v>40</v>
      </c>
      <c r="X202" s="35">
        <v>17.399999999999999</v>
      </c>
      <c r="Y202" s="35">
        <v>41.6</v>
      </c>
      <c r="Z202" s="35">
        <v>17.8</v>
      </c>
      <c r="AA202" s="35">
        <v>40.200000000000003</v>
      </c>
      <c r="AB202" s="35">
        <v>21.2</v>
      </c>
      <c r="AC202" s="35">
        <v>20</v>
      </c>
      <c r="AD202" s="35">
        <v>21.1</v>
      </c>
      <c r="AE202" s="35">
        <v>20</v>
      </c>
    </row>
    <row r="203" spans="1:31" x14ac:dyDescent="0.35">
      <c r="A203" s="36">
        <v>46059.588888888888</v>
      </c>
      <c r="B203" s="35">
        <v>-20.3</v>
      </c>
      <c r="C203" s="35">
        <v>-1.8</v>
      </c>
      <c r="D203" s="35">
        <v>-23</v>
      </c>
      <c r="E203" s="35">
        <v>-21.6</v>
      </c>
      <c r="F203" s="35">
        <v>-23.1</v>
      </c>
      <c r="G203" s="35">
        <v>-23</v>
      </c>
      <c r="H203" s="35">
        <v>-21.4</v>
      </c>
      <c r="I203" s="35">
        <v>-21.7</v>
      </c>
      <c r="J203" s="35">
        <v>-23</v>
      </c>
      <c r="K203" s="35">
        <v>-21.3</v>
      </c>
      <c r="L203" s="35">
        <v>-17.3</v>
      </c>
      <c r="M203" s="35">
        <v>-23</v>
      </c>
      <c r="N203" s="35">
        <v>-3</v>
      </c>
      <c r="O203" s="35">
        <v>-3.5</v>
      </c>
      <c r="P203" s="35">
        <v>-5</v>
      </c>
      <c r="Q203" s="35">
        <v>-3.1</v>
      </c>
      <c r="R203" s="35">
        <v>-3.8</v>
      </c>
      <c r="S203" s="35">
        <v>-5</v>
      </c>
      <c r="T203" s="35">
        <v>16.5</v>
      </c>
      <c r="U203" s="35">
        <v>40</v>
      </c>
      <c r="V203" s="35">
        <v>17</v>
      </c>
      <c r="W203" s="35">
        <v>40</v>
      </c>
      <c r="X203" s="35">
        <v>17.399999999999999</v>
      </c>
      <c r="Y203" s="35">
        <v>41.6</v>
      </c>
      <c r="Z203" s="35">
        <v>18</v>
      </c>
      <c r="AA203" s="35">
        <v>40.200000000000003</v>
      </c>
      <c r="AB203" s="35">
        <v>21.2</v>
      </c>
      <c r="AC203" s="35">
        <v>20</v>
      </c>
      <c r="AD203" s="35">
        <v>21.1</v>
      </c>
      <c r="AE203" s="35">
        <v>20</v>
      </c>
    </row>
    <row r="204" spans="1:31" x14ac:dyDescent="0.35">
      <c r="A204" s="36">
        <v>46059.589583333334</v>
      </c>
      <c r="B204" s="35">
        <v>-20.3</v>
      </c>
      <c r="C204" s="35">
        <v>-0.5</v>
      </c>
      <c r="D204" s="35">
        <v>-23</v>
      </c>
      <c r="E204" s="35">
        <v>-21.7</v>
      </c>
      <c r="F204" s="35">
        <v>-22.9</v>
      </c>
      <c r="G204" s="35">
        <v>-23</v>
      </c>
      <c r="H204" s="35">
        <v>-21.4</v>
      </c>
      <c r="I204" s="35">
        <v>-21.7</v>
      </c>
      <c r="J204" s="35">
        <v>-23</v>
      </c>
      <c r="K204" s="35">
        <v>-21.3</v>
      </c>
      <c r="L204" s="35">
        <v>-17.3</v>
      </c>
      <c r="M204" s="35">
        <v>-23</v>
      </c>
      <c r="N204" s="35">
        <v>-3</v>
      </c>
      <c r="O204" s="35">
        <v>-3.5</v>
      </c>
      <c r="P204" s="35">
        <v>-5</v>
      </c>
      <c r="Q204" s="35">
        <v>-3.1</v>
      </c>
      <c r="R204" s="35">
        <v>-3.8</v>
      </c>
      <c r="S204" s="35">
        <v>-5</v>
      </c>
      <c r="T204" s="35">
        <v>16.5</v>
      </c>
      <c r="U204" s="35">
        <v>40</v>
      </c>
      <c r="V204" s="35">
        <v>17</v>
      </c>
      <c r="W204" s="35">
        <v>40</v>
      </c>
      <c r="X204" s="35">
        <v>17.399999999999999</v>
      </c>
      <c r="Y204" s="35">
        <v>41.6</v>
      </c>
      <c r="Z204" s="35">
        <v>18.100000000000001</v>
      </c>
      <c r="AA204" s="35">
        <v>40.200000000000003</v>
      </c>
      <c r="AB204" s="35">
        <v>21.2</v>
      </c>
      <c r="AC204" s="35">
        <v>20</v>
      </c>
      <c r="AD204" s="35">
        <v>21.1</v>
      </c>
      <c r="AE204" s="35">
        <v>20</v>
      </c>
    </row>
    <row r="205" spans="1:31" x14ac:dyDescent="0.35">
      <c r="A205" s="36">
        <v>46059.590277777781</v>
      </c>
      <c r="B205" s="35">
        <v>-20.3</v>
      </c>
      <c r="C205" s="35">
        <v>0.3</v>
      </c>
      <c r="D205" s="35">
        <v>-23</v>
      </c>
      <c r="E205" s="35">
        <v>-21.9</v>
      </c>
      <c r="F205" s="35">
        <v>-22.7</v>
      </c>
      <c r="G205" s="35">
        <v>-23</v>
      </c>
      <c r="H205" s="35">
        <v>-21.4</v>
      </c>
      <c r="I205" s="35">
        <v>-21.7</v>
      </c>
      <c r="J205" s="35">
        <v>-23</v>
      </c>
      <c r="K205" s="35">
        <v>-21.3</v>
      </c>
      <c r="L205" s="35">
        <v>-17.3</v>
      </c>
      <c r="M205" s="35">
        <v>-23</v>
      </c>
      <c r="N205" s="35">
        <v>-3</v>
      </c>
      <c r="O205" s="35">
        <v>-3.5</v>
      </c>
      <c r="P205" s="35">
        <v>-5</v>
      </c>
      <c r="Q205" s="35">
        <v>-3.1</v>
      </c>
      <c r="R205" s="35">
        <v>-3.8</v>
      </c>
      <c r="S205" s="35">
        <v>-5</v>
      </c>
      <c r="T205" s="35">
        <v>16.5</v>
      </c>
      <c r="U205" s="35">
        <v>40</v>
      </c>
      <c r="V205" s="35">
        <v>17</v>
      </c>
      <c r="W205" s="35">
        <v>40</v>
      </c>
      <c r="X205" s="35">
        <v>17.399999999999999</v>
      </c>
      <c r="Y205" s="35">
        <v>41.6</v>
      </c>
      <c r="Z205" s="35">
        <v>18.3</v>
      </c>
      <c r="AA205" s="35">
        <v>40.200000000000003</v>
      </c>
      <c r="AB205" s="35">
        <v>21.2</v>
      </c>
      <c r="AC205" s="35">
        <v>20</v>
      </c>
      <c r="AD205" s="35">
        <v>21.1</v>
      </c>
      <c r="AE205" s="35">
        <v>20</v>
      </c>
    </row>
    <row r="206" spans="1:31" x14ac:dyDescent="0.35">
      <c r="A206" s="36">
        <v>46059.591666666667</v>
      </c>
      <c r="B206" s="35">
        <v>-20.3</v>
      </c>
      <c r="C206" s="35">
        <v>3.6</v>
      </c>
      <c r="D206" s="35">
        <v>-23</v>
      </c>
      <c r="E206" s="35">
        <v>-22.1</v>
      </c>
      <c r="F206" s="35">
        <v>-22.7</v>
      </c>
      <c r="G206" s="35">
        <v>-23</v>
      </c>
      <c r="H206" s="35">
        <v>-21.4</v>
      </c>
      <c r="I206" s="35">
        <v>-22</v>
      </c>
      <c r="J206" s="35">
        <v>-23</v>
      </c>
      <c r="K206" s="35">
        <v>-21.4</v>
      </c>
      <c r="L206" s="35">
        <v>-17.3</v>
      </c>
      <c r="M206" s="35">
        <v>-23</v>
      </c>
      <c r="N206" s="35">
        <v>-3</v>
      </c>
      <c r="O206" s="35">
        <v>-3.5</v>
      </c>
      <c r="P206" s="35">
        <v>-5</v>
      </c>
      <c r="Q206" s="35">
        <v>-3.1</v>
      </c>
      <c r="R206" s="35">
        <v>-3.8</v>
      </c>
      <c r="S206" s="35">
        <v>-5</v>
      </c>
      <c r="T206" s="35">
        <v>16.600000000000001</v>
      </c>
      <c r="U206" s="35">
        <v>40</v>
      </c>
      <c r="V206" s="35">
        <v>17</v>
      </c>
      <c r="W206" s="35">
        <v>40</v>
      </c>
      <c r="X206" s="35">
        <v>17.399999999999999</v>
      </c>
      <c r="Y206" s="35">
        <v>41.6</v>
      </c>
      <c r="Z206" s="35">
        <v>18.3</v>
      </c>
      <c r="AA206" s="35">
        <v>40.200000000000003</v>
      </c>
      <c r="AB206" s="35">
        <v>21.2</v>
      </c>
      <c r="AC206" s="35">
        <v>20</v>
      </c>
      <c r="AD206" s="35">
        <v>21.1</v>
      </c>
      <c r="AE206" s="35">
        <v>20</v>
      </c>
    </row>
    <row r="207" spans="1:31" x14ac:dyDescent="0.35">
      <c r="A207" s="36">
        <v>46059.592361111114</v>
      </c>
      <c r="B207" s="35">
        <v>-20.3</v>
      </c>
      <c r="C207" s="35">
        <v>5.2</v>
      </c>
      <c r="D207" s="35">
        <v>-23</v>
      </c>
      <c r="E207" s="35">
        <v>-22.1</v>
      </c>
      <c r="F207" s="35">
        <v>-22.7</v>
      </c>
      <c r="G207" s="35">
        <v>-23</v>
      </c>
      <c r="H207" s="35">
        <v>-21.4</v>
      </c>
      <c r="I207" s="35">
        <v>-22</v>
      </c>
      <c r="J207" s="35">
        <v>-23</v>
      </c>
      <c r="K207" s="35">
        <v>-21.6</v>
      </c>
      <c r="L207" s="35">
        <v>-17.2</v>
      </c>
      <c r="M207" s="35">
        <v>-23</v>
      </c>
      <c r="N207" s="35">
        <v>-3</v>
      </c>
      <c r="O207" s="35">
        <v>-3.5</v>
      </c>
      <c r="P207" s="35">
        <v>-5</v>
      </c>
      <c r="Q207" s="35">
        <v>-3.2</v>
      </c>
      <c r="R207" s="35">
        <v>-3.9</v>
      </c>
      <c r="S207" s="35">
        <v>-5</v>
      </c>
      <c r="T207" s="35">
        <v>16.600000000000001</v>
      </c>
      <c r="U207" s="35">
        <v>40</v>
      </c>
      <c r="V207" s="35">
        <v>17</v>
      </c>
      <c r="W207" s="35">
        <v>40</v>
      </c>
      <c r="X207" s="35">
        <v>17.399999999999999</v>
      </c>
      <c r="Y207" s="35">
        <v>41.6</v>
      </c>
      <c r="Z207" s="35">
        <v>18</v>
      </c>
      <c r="AA207" s="35">
        <v>40.200000000000003</v>
      </c>
      <c r="AB207" s="35">
        <v>21.2</v>
      </c>
      <c r="AC207" s="35">
        <v>20</v>
      </c>
      <c r="AD207" s="35">
        <v>21.1</v>
      </c>
      <c r="AE207" s="35">
        <v>20</v>
      </c>
    </row>
    <row r="208" spans="1:31" x14ac:dyDescent="0.35">
      <c r="A208" s="36">
        <v>46059.593055555553</v>
      </c>
      <c r="B208" s="35">
        <v>-20.3</v>
      </c>
      <c r="C208" s="35">
        <v>6.2</v>
      </c>
      <c r="D208" s="35">
        <v>-23</v>
      </c>
      <c r="E208" s="35">
        <v>-22.1</v>
      </c>
      <c r="F208" s="35">
        <v>-22.7</v>
      </c>
      <c r="G208" s="35">
        <v>-23</v>
      </c>
      <c r="H208" s="35">
        <v>-21.4</v>
      </c>
      <c r="I208" s="35">
        <v>-22</v>
      </c>
      <c r="J208" s="35">
        <v>-23</v>
      </c>
      <c r="K208" s="35">
        <v>-21.6</v>
      </c>
      <c r="L208" s="35">
        <v>-17.2</v>
      </c>
      <c r="M208" s="35">
        <v>-23</v>
      </c>
      <c r="N208" s="35">
        <v>-3</v>
      </c>
      <c r="O208" s="35">
        <v>-3.5</v>
      </c>
      <c r="P208" s="35">
        <v>-5</v>
      </c>
      <c r="Q208" s="35">
        <v>-3.1</v>
      </c>
      <c r="R208" s="35">
        <v>-3.9</v>
      </c>
      <c r="S208" s="35">
        <v>-5</v>
      </c>
      <c r="T208" s="35">
        <v>16.600000000000001</v>
      </c>
      <c r="U208" s="35">
        <v>40</v>
      </c>
      <c r="V208" s="35">
        <v>17</v>
      </c>
      <c r="W208" s="35">
        <v>40</v>
      </c>
      <c r="X208" s="35">
        <v>17.399999999999999</v>
      </c>
      <c r="Y208" s="35">
        <v>41.6</v>
      </c>
      <c r="Z208" s="35">
        <v>17.100000000000001</v>
      </c>
      <c r="AA208" s="35">
        <v>40.200000000000003</v>
      </c>
      <c r="AB208" s="35">
        <v>21.2</v>
      </c>
      <c r="AC208" s="35">
        <v>20</v>
      </c>
      <c r="AD208" s="35">
        <v>21.1</v>
      </c>
      <c r="AE208" s="35">
        <v>20</v>
      </c>
    </row>
    <row r="209" spans="1:31" x14ac:dyDescent="0.35">
      <c r="A209" s="36">
        <v>46059.59375</v>
      </c>
      <c r="B209" s="35">
        <v>-20.3</v>
      </c>
      <c r="C209" s="35">
        <v>7</v>
      </c>
      <c r="D209" s="35">
        <v>-23</v>
      </c>
      <c r="E209" s="35">
        <v>-22.1</v>
      </c>
      <c r="F209" s="35">
        <v>-22.7</v>
      </c>
      <c r="G209" s="35">
        <v>-23</v>
      </c>
      <c r="H209" s="35">
        <v>-21.4</v>
      </c>
      <c r="I209" s="35">
        <v>-22</v>
      </c>
      <c r="J209" s="35">
        <v>-23</v>
      </c>
      <c r="K209" s="35">
        <v>-21.6</v>
      </c>
      <c r="L209" s="35">
        <v>-17.2</v>
      </c>
      <c r="M209" s="35">
        <v>-23</v>
      </c>
      <c r="N209" s="35">
        <v>-3</v>
      </c>
      <c r="O209" s="35">
        <v>-3.5</v>
      </c>
      <c r="P209" s="35">
        <v>-5</v>
      </c>
      <c r="Q209" s="35">
        <v>-3.1</v>
      </c>
      <c r="R209" s="35">
        <v>-3.8</v>
      </c>
      <c r="S209" s="35">
        <v>-5</v>
      </c>
      <c r="T209" s="35">
        <v>16.600000000000001</v>
      </c>
      <c r="U209" s="35">
        <v>40</v>
      </c>
      <c r="V209" s="35">
        <v>16.7</v>
      </c>
      <c r="W209" s="35">
        <v>40</v>
      </c>
      <c r="X209" s="35">
        <v>16.8</v>
      </c>
      <c r="Y209" s="35">
        <v>41.6</v>
      </c>
      <c r="Z209" s="35">
        <v>16.899999999999999</v>
      </c>
      <c r="AA209" s="35">
        <v>40.200000000000003</v>
      </c>
      <c r="AB209" s="35">
        <v>21.2</v>
      </c>
      <c r="AC209" s="35">
        <v>20</v>
      </c>
      <c r="AD209" s="35">
        <v>21.1</v>
      </c>
      <c r="AE209" s="35">
        <v>20</v>
      </c>
    </row>
    <row r="210" spans="1:31" x14ac:dyDescent="0.35">
      <c r="A210" s="36">
        <v>46059.594444444447</v>
      </c>
      <c r="B210" s="35">
        <v>-20.3</v>
      </c>
      <c r="C210" s="35">
        <v>7.4</v>
      </c>
      <c r="D210" s="35">
        <v>-23</v>
      </c>
      <c r="E210" s="35">
        <v>-22.2</v>
      </c>
      <c r="F210" s="35">
        <v>-22.9</v>
      </c>
      <c r="G210" s="35">
        <v>-23</v>
      </c>
      <c r="H210" s="35">
        <v>-21.4</v>
      </c>
      <c r="I210" s="35">
        <v>-22</v>
      </c>
      <c r="J210" s="35">
        <v>-23</v>
      </c>
      <c r="K210" s="35">
        <v>-21.6</v>
      </c>
      <c r="L210" s="35">
        <v>-17.2</v>
      </c>
      <c r="M210" s="35">
        <v>-23</v>
      </c>
      <c r="N210" s="35">
        <v>-2.9</v>
      </c>
      <c r="O210" s="35">
        <v>-3.2</v>
      </c>
      <c r="P210" s="35">
        <v>-5</v>
      </c>
      <c r="Q210" s="35">
        <v>-3.1</v>
      </c>
      <c r="R210" s="35">
        <v>-3.8</v>
      </c>
      <c r="S210" s="35">
        <v>-5</v>
      </c>
      <c r="T210" s="35">
        <v>16.600000000000001</v>
      </c>
      <c r="U210" s="35">
        <v>40</v>
      </c>
      <c r="V210" s="35">
        <v>16.5</v>
      </c>
      <c r="W210" s="35">
        <v>40</v>
      </c>
      <c r="X210" s="35">
        <v>16.8</v>
      </c>
      <c r="Y210" s="35">
        <v>41.6</v>
      </c>
      <c r="Z210" s="35">
        <v>16.899999999999999</v>
      </c>
      <c r="AA210" s="35">
        <v>40.200000000000003</v>
      </c>
      <c r="AB210" s="35">
        <v>21.2</v>
      </c>
      <c r="AC210" s="35">
        <v>20</v>
      </c>
      <c r="AD210" s="35">
        <v>21.1</v>
      </c>
      <c r="AE210" s="35">
        <v>20</v>
      </c>
    </row>
    <row r="211" spans="1:31" x14ac:dyDescent="0.35">
      <c r="A211" s="36">
        <v>46059.595138888886</v>
      </c>
      <c r="B211" s="35">
        <v>-20.3</v>
      </c>
      <c r="C211" s="35">
        <v>7.7</v>
      </c>
      <c r="D211" s="35">
        <v>-23</v>
      </c>
      <c r="E211" s="35">
        <v>-22.3</v>
      </c>
      <c r="F211" s="35">
        <v>-23.1</v>
      </c>
      <c r="G211" s="35">
        <v>-23</v>
      </c>
      <c r="H211" s="35">
        <v>-21.5</v>
      </c>
      <c r="I211" s="35">
        <v>-22</v>
      </c>
      <c r="J211" s="35">
        <v>-23</v>
      </c>
      <c r="K211" s="35">
        <v>-21.6</v>
      </c>
      <c r="L211" s="35">
        <v>-17.2</v>
      </c>
      <c r="M211" s="35">
        <v>-23</v>
      </c>
      <c r="N211" s="35">
        <v>2.5</v>
      </c>
      <c r="O211" s="35">
        <v>0.6</v>
      </c>
      <c r="P211" s="35">
        <v>-5</v>
      </c>
      <c r="Q211" s="35">
        <v>-3.1</v>
      </c>
      <c r="R211" s="35">
        <v>-3.9</v>
      </c>
      <c r="S211" s="35">
        <v>-5</v>
      </c>
      <c r="T211" s="35">
        <v>16.600000000000001</v>
      </c>
      <c r="U211" s="35">
        <v>40</v>
      </c>
      <c r="V211" s="35">
        <v>16.5</v>
      </c>
      <c r="W211" s="35">
        <v>40</v>
      </c>
      <c r="X211" s="35">
        <v>16.8</v>
      </c>
      <c r="Y211" s="35">
        <v>41.6</v>
      </c>
      <c r="Z211" s="35">
        <v>16.899999999999999</v>
      </c>
      <c r="AA211" s="35">
        <v>40.200000000000003</v>
      </c>
      <c r="AB211" s="35">
        <v>21.2</v>
      </c>
      <c r="AC211" s="35">
        <v>20</v>
      </c>
      <c r="AD211" s="35">
        <v>21.1</v>
      </c>
      <c r="AE211" s="35">
        <v>20</v>
      </c>
    </row>
    <row r="212" spans="1:31" x14ac:dyDescent="0.35">
      <c r="A212" s="36">
        <v>46059.59652777778</v>
      </c>
      <c r="B212" s="35">
        <v>-20.3</v>
      </c>
      <c r="C212" s="35">
        <v>8.1999999999999993</v>
      </c>
      <c r="D212" s="35">
        <v>-23</v>
      </c>
      <c r="E212" s="35">
        <v>-22.5</v>
      </c>
      <c r="F212" s="35">
        <v>-23.2</v>
      </c>
      <c r="G212" s="35">
        <v>-23</v>
      </c>
      <c r="H212" s="35">
        <v>-21.5</v>
      </c>
      <c r="I212" s="35">
        <v>-22</v>
      </c>
      <c r="J212" s="35">
        <v>-23</v>
      </c>
      <c r="K212" s="35">
        <v>-21.6</v>
      </c>
      <c r="L212" s="35">
        <v>-17.2</v>
      </c>
      <c r="M212" s="35">
        <v>-23</v>
      </c>
      <c r="N212" s="35">
        <v>1.4</v>
      </c>
      <c r="O212" s="35">
        <v>0.8</v>
      </c>
      <c r="P212" s="35">
        <v>-5</v>
      </c>
      <c r="Q212" s="35">
        <v>-3.3</v>
      </c>
      <c r="R212" s="35">
        <v>-4</v>
      </c>
      <c r="S212" s="35">
        <v>-5</v>
      </c>
      <c r="T212" s="35">
        <v>16.5</v>
      </c>
      <c r="U212" s="35">
        <v>40</v>
      </c>
      <c r="V212" s="35">
        <v>16.5</v>
      </c>
      <c r="W212" s="35">
        <v>40</v>
      </c>
      <c r="X212" s="35">
        <v>16.899999999999999</v>
      </c>
      <c r="Y212" s="35">
        <v>41.6</v>
      </c>
      <c r="Z212" s="35">
        <v>17</v>
      </c>
      <c r="AA212" s="35">
        <v>40.200000000000003</v>
      </c>
      <c r="AB212" s="35">
        <v>21.2</v>
      </c>
      <c r="AC212" s="35">
        <v>20</v>
      </c>
      <c r="AD212" s="35">
        <v>21.1</v>
      </c>
      <c r="AE212" s="35">
        <v>20</v>
      </c>
    </row>
    <row r="213" spans="1:31" x14ac:dyDescent="0.35">
      <c r="A213" s="36">
        <v>46059.597222222219</v>
      </c>
      <c r="B213" s="35">
        <v>-20.3</v>
      </c>
      <c r="C213" s="35">
        <v>8.6</v>
      </c>
      <c r="D213" s="35">
        <v>-23</v>
      </c>
      <c r="E213" s="35">
        <v>-22.5</v>
      </c>
      <c r="F213" s="35">
        <v>-23.3</v>
      </c>
      <c r="G213" s="35">
        <v>-23</v>
      </c>
      <c r="H213" s="35">
        <v>-21.5</v>
      </c>
      <c r="I213" s="35">
        <v>-22</v>
      </c>
      <c r="J213" s="35">
        <v>-23</v>
      </c>
      <c r="K213" s="35">
        <v>-21.6</v>
      </c>
      <c r="L213" s="35">
        <v>-17.2</v>
      </c>
      <c r="M213" s="35">
        <v>-23</v>
      </c>
      <c r="N213" s="35">
        <v>0.8</v>
      </c>
      <c r="O213" s="35">
        <v>0.5</v>
      </c>
      <c r="P213" s="35">
        <v>-5</v>
      </c>
      <c r="Q213" s="35">
        <v>-3.3</v>
      </c>
      <c r="R213" s="35">
        <v>-4.0999999999999996</v>
      </c>
      <c r="S213" s="35">
        <v>-5</v>
      </c>
      <c r="T213" s="35">
        <v>16.5</v>
      </c>
      <c r="U213" s="35">
        <v>40</v>
      </c>
      <c r="V213" s="35">
        <v>16.5</v>
      </c>
      <c r="W213" s="35">
        <v>40</v>
      </c>
      <c r="X213" s="35">
        <v>16.899999999999999</v>
      </c>
      <c r="Y213" s="35">
        <v>41.6</v>
      </c>
      <c r="Z213" s="35">
        <v>17</v>
      </c>
      <c r="AA213" s="35">
        <v>40.200000000000003</v>
      </c>
      <c r="AB213" s="35">
        <v>21.2</v>
      </c>
      <c r="AC213" s="35">
        <v>20</v>
      </c>
      <c r="AD213" s="35">
        <v>21.1</v>
      </c>
      <c r="AE213" s="35">
        <v>20</v>
      </c>
    </row>
    <row r="214" spans="1:31" x14ac:dyDescent="0.35">
      <c r="A214" s="36">
        <v>46059.597916666666</v>
      </c>
      <c r="B214" s="35">
        <v>-20.3</v>
      </c>
      <c r="C214" s="35">
        <v>9</v>
      </c>
      <c r="D214" s="35">
        <v>-23</v>
      </c>
      <c r="E214" s="35">
        <v>-22.6</v>
      </c>
      <c r="F214" s="35">
        <v>-23.3</v>
      </c>
      <c r="G214" s="35">
        <v>-23</v>
      </c>
      <c r="H214" s="35">
        <v>-21.5</v>
      </c>
      <c r="I214" s="35">
        <v>-22</v>
      </c>
      <c r="J214" s="35">
        <v>-23</v>
      </c>
      <c r="K214" s="35">
        <v>-21.6</v>
      </c>
      <c r="L214" s="35">
        <v>-17.2</v>
      </c>
      <c r="M214" s="35">
        <v>-23</v>
      </c>
      <c r="N214" s="35">
        <v>0.5</v>
      </c>
      <c r="O214" s="35">
        <v>0.2</v>
      </c>
      <c r="P214" s="35">
        <v>-5</v>
      </c>
      <c r="Q214" s="35">
        <v>-3.3</v>
      </c>
      <c r="R214" s="35">
        <v>-4.0999999999999996</v>
      </c>
      <c r="S214" s="35">
        <v>-5</v>
      </c>
      <c r="T214" s="35">
        <v>16.5</v>
      </c>
      <c r="U214" s="35">
        <v>40</v>
      </c>
      <c r="V214" s="35">
        <v>16.5</v>
      </c>
      <c r="W214" s="35">
        <v>40</v>
      </c>
      <c r="X214" s="35">
        <v>17</v>
      </c>
      <c r="Y214" s="35">
        <v>41.6</v>
      </c>
      <c r="Z214" s="35">
        <v>17</v>
      </c>
      <c r="AA214" s="35">
        <v>40.200000000000003</v>
      </c>
      <c r="AB214" s="35">
        <v>21.2</v>
      </c>
      <c r="AC214" s="35">
        <v>20</v>
      </c>
      <c r="AD214" s="35">
        <v>21.1</v>
      </c>
      <c r="AE214" s="35">
        <v>20</v>
      </c>
    </row>
    <row r="215" spans="1:31" x14ac:dyDescent="0.35">
      <c r="A215" s="36">
        <v>46059.598611111112</v>
      </c>
      <c r="B215" s="35">
        <v>-20.3</v>
      </c>
      <c r="C215" s="35">
        <v>9.5</v>
      </c>
      <c r="D215" s="35">
        <v>-23</v>
      </c>
      <c r="E215" s="35">
        <v>-22.6</v>
      </c>
      <c r="F215" s="35">
        <v>-23.3</v>
      </c>
      <c r="G215" s="35">
        <v>-23</v>
      </c>
      <c r="H215" s="35">
        <v>-21.5</v>
      </c>
      <c r="I215" s="35">
        <v>-22</v>
      </c>
      <c r="J215" s="35">
        <v>-23</v>
      </c>
      <c r="K215" s="35">
        <v>-21.7</v>
      </c>
      <c r="L215" s="35">
        <v>-17.2</v>
      </c>
      <c r="M215" s="35">
        <v>-23</v>
      </c>
      <c r="N215" s="35">
        <v>0.2</v>
      </c>
      <c r="O215" s="35">
        <v>0</v>
      </c>
      <c r="P215" s="35">
        <v>-5</v>
      </c>
      <c r="Q215" s="35">
        <v>-3.3</v>
      </c>
      <c r="R215" s="35">
        <v>-4.0999999999999996</v>
      </c>
      <c r="S215" s="35">
        <v>-5</v>
      </c>
      <c r="T215" s="35">
        <v>16.5</v>
      </c>
      <c r="U215" s="35">
        <v>40</v>
      </c>
      <c r="V215" s="35">
        <v>16.5</v>
      </c>
      <c r="W215" s="35">
        <v>40</v>
      </c>
      <c r="X215" s="35">
        <v>17</v>
      </c>
      <c r="Y215" s="35">
        <v>41.6</v>
      </c>
      <c r="Z215" s="35">
        <v>17</v>
      </c>
      <c r="AA215" s="35">
        <v>40.200000000000003</v>
      </c>
      <c r="AB215" s="35">
        <v>21.2</v>
      </c>
      <c r="AC215" s="35">
        <v>20</v>
      </c>
      <c r="AD215" s="35">
        <v>21.1</v>
      </c>
      <c r="AE215" s="35">
        <v>20</v>
      </c>
    </row>
    <row r="216" spans="1:31" x14ac:dyDescent="0.35">
      <c r="A216" s="36">
        <v>46059.599305555559</v>
      </c>
      <c r="B216" s="35">
        <v>-20.3</v>
      </c>
      <c r="C216" s="35">
        <v>10.199999999999999</v>
      </c>
      <c r="D216" s="35">
        <v>-23</v>
      </c>
      <c r="E216" s="35">
        <v>-22.6</v>
      </c>
      <c r="F216" s="35">
        <v>-23.3</v>
      </c>
      <c r="G216" s="35">
        <v>-23</v>
      </c>
      <c r="H216" s="35">
        <v>-21.5</v>
      </c>
      <c r="I216" s="35">
        <v>-22</v>
      </c>
      <c r="J216" s="35">
        <v>-23</v>
      </c>
      <c r="K216" s="35">
        <v>-21.7</v>
      </c>
      <c r="L216" s="35">
        <v>-17.2</v>
      </c>
      <c r="M216" s="35">
        <v>-23</v>
      </c>
      <c r="N216" s="35">
        <v>0</v>
      </c>
      <c r="O216" s="35">
        <v>-0.1</v>
      </c>
      <c r="P216" s="35">
        <v>-5</v>
      </c>
      <c r="Q216" s="35">
        <v>-3.3</v>
      </c>
      <c r="R216" s="35">
        <v>-4.0999999999999996</v>
      </c>
      <c r="S216" s="35">
        <v>-5</v>
      </c>
      <c r="T216" s="35">
        <v>16.5</v>
      </c>
      <c r="U216" s="35">
        <v>40</v>
      </c>
      <c r="V216" s="35">
        <v>16.5</v>
      </c>
      <c r="W216" s="35">
        <v>40</v>
      </c>
      <c r="X216" s="35">
        <v>17</v>
      </c>
      <c r="Y216" s="35">
        <v>41.6</v>
      </c>
      <c r="Z216" s="35">
        <v>17</v>
      </c>
      <c r="AA216" s="35">
        <v>40.200000000000003</v>
      </c>
      <c r="AB216" s="35">
        <v>21.2</v>
      </c>
      <c r="AC216" s="35">
        <v>20</v>
      </c>
      <c r="AD216" s="35">
        <v>21.1</v>
      </c>
      <c r="AE216" s="35">
        <v>20</v>
      </c>
    </row>
    <row r="217" spans="1:31" x14ac:dyDescent="0.35">
      <c r="A217" s="36">
        <v>46059.6</v>
      </c>
      <c r="B217" s="35">
        <v>-20.3</v>
      </c>
      <c r="C217" s="35">
        <v>10.9</v>
      </c>
      <c r="D217" s="35">
        <v>-23</v>
      </c>
      <c r="E217" s="35">
        <v>-22.6</v>
      </c>
      <c r="F217" s="35">
        <v>-23.3</v>
      </c>
      <c r="G217" s="35">
        <v>-23</v>
      </c>
      <c r="H217" s="35">
        <v>-21.5</v>
      </c>
      <c r="I217" s="35">
        <v>-22</v>
      </c>
      <c r="J217" s="35">
        <v>-23</v>
      </c>
      <c r="K217" s="35">
        <v>-21.7</v>
      </c>
      <c r="L217" s="35">
        <v>-17.2</v>
      </c>
      <c r="M217" s="35">
        <v>-23</v>
      </c>
      <c r="N217" s="35">
        <v>-0.2</v>
      </c>
      <c r="O217" s="35">
        <v>-0.2</v>
      </c>
      <c r="P217" s="35">
        <v>-5</v>
      </c>
      <c r="Q217" s="35">
        <v>-3.3</v>
      </c>
      <c r="R217" s="35">
        <v>-4.0999999999999996</v>
      </c>
      <c r="S217" s="35">
        <v>-5</v>
      </c>
      <c r="T217" s="35">
        <v>16.5</v>
      </c>
      <c r="U217" s="35">
        <v>40</v>
      </c>
      <c r="V217" s="35">
        <v>16.5</v>
      </c>
      <c r="W217" s="35">
        <v>40</v>
      </c>
      <c r="X217" s="35">
        <v>17</v>
      </c>
      <c r="Y217" s="35">
        <v>41.6</v>
      </c>
      <c r="Z217" s="35">
        <v>17</v>
      </c>
      <c r="AA217" s="35">
        <v>40.200000000000003</v>
      </c>
      <c r="AB217" s="35">
        <v>21.2</v>
      </c>
      <c r="AC217" s="35">
        <v>20</v>
      </c>
      <c r="AD217" s="35">
        <v>21.1</v>
      </c>
      <c r="AE217" s="35">
        <v>20</v>
      </c>
    </row>
    <row r="218" spans="1:31" x14ac:dyDescent="0.35">
      <c r="A218" s="36">
        <v>46059.600694444445</v>
      </c>
      <c r="B218" s="35">
        <v>-20.3</v>
      </c>
      <c r="C218" s="35">
        <v>11.6</v>
      </c>
      <c r="D218" s="35">
        <v>-23</v>
      </c>
      <c r="E218" s="35">
        <v>-22.6</v>
      </c>
      <c r="F218" s="35">
        <v>-23.9</v>
      </c>
      <c r="G218" s="35">
        <v>-23</v>
      </c>
      <c r="H218" s="35">
        <v>-21.5</v>
      </c>
      <c r="I218" s="35">
        <v>-22</v>
      </c>
      <c r="J218" s="35">
        <v>-23</v>
      </c>
      <c r="K218" s="35">
        <v>-21.7</v>
      </c>
      <c r="L218" s="35">
        <v>-17.3</v>
      </c>
      <c r="M218" s="35">
        <v>-23</v>
      </c>
      <c r="N218" s="35">
        <v>-0.3</v>
      </c>
      <c r="O218" s="35">
        <v>-0.3</v>
      </c>
      <c r="P218" s="35">
        <v>-5</v>
      </c>
      <c r="Q218" s="35">
        <v>-3.2</v>
      </c>
      <c r="R218" s="35">
        <v>-4.0999999999999996</v>
      </c>
      <c r="S218" s="35">
        <v>-5</v>
      </c>
      <c r="T218" s="35">
        <v>16.399999999999999</v>
      </c>
      <c r="U218" s="35">
        <v>40</v>
      </c>
      <c r="V218" s="35">
        <v>16.5</v>
      </c>
      <c r="W218" s="35">
        <v>40</v>
      </c>
      <c r="X218" s="35">
        <v>17</v>
      </c>
      <c r="Y218" s="35">
        <v>41.6</v>
      </c>
      <c r="Z218" s="35">
        <v>17</v>
      </c>
      <c r="AA218" s="35">
        <v>40.200000000000003</v>
      </c>
      <c r="AB218" s="35">
        <v>21.2</v>
      </c>
      <c r="AC218" s="35">
        <v>20</v>
      </c>
      <c r="AD218" s="35">
        <v>21.1</v>
      </c>
      <c r="AE218" s="35">
        <v>20</v>
      </c>
    </row>
    <row r="219" spans="1:31" x14ac:dyDescent="0.35">
      <c r="A219" s="36">
        <v>46059.601388888892</v>
      </c>
      <c r="B219" s="35">
        <v>-20.3</v>
      </c>
      <c r="C219" s="35">
        <v>12.4</v>
      </c>
      <c r="D219" s="35">
        <v>-23</v>
      </c>
      <c r="E219" s="35">
        <v>-22.6</v>
      </c>
      <c r="F219" s="35">
        <v>-24.3</v>
      </c>
      <c r="G219" s="35">
        <v>-23</v>
      </c>
      <c r="H219" s="35">
        <v>-21.5</v>
      </c>
      <c r="I219" s="35">
        <v>-22</v>
      </c>
      <c r="J219" s="35">
        <v>-23</v>
      </c>
      <c r="K219" s="35">
        <v>-21.7</v>
      </c>
      <c r="L219" s="35">
        <v>-17.3</v>
      </c>
      <c r="M219" s="35">
        <v>-23</v>
      </c>
      <c r="N219" s="35">
        <v>-0.5</v>
      </c>
      <c r="O219" s="35">
        <v>-0.5</v>
      </c>
      <c r="P219" s="35">
        <v>-5</v>
      </c>
      <c r="Q219" s="35">
        <v>-3.2</v>
      </c>
      <c r="R219" s="35">
        <v>-4.0999999999999996</v>
      </c>
      <c r="S219" s="35">
        <v>-5</v>
      </c>
      <c r="T219" s="35">
        <v>16.399999999999999</v>
      </c>
      <c r="U219" s="35">
        <v>40</v>
      </c>
      <c r="V219" s="35">
        <v>16.399999999999999</v>
      </c>
      <c r="W219" s="35">
        <v>40</v>
      </c>
      <c r="X219" s="35">
        <v>16.899999999999999</v>
      </c>
      <c r="Y219" s="35">
        <v>41.6</v>
      </c>
      <c r="Z219" s="35">
        <v>17</v>
      </c>
      <c r="AA219" s="35">
        <v>40.200000000000003</v>
      </c>
      <c r="AB219" s="35">
        <v>21.2</v>
      </c>
      <c r="AC219" s="35">
        <v>20</v>
      </c>
      <c r="AD219" s="35">
        <v>21.1</v>
      </c>
      <c r="AE219" s="35">
        <v>20</v>
      </c>
    </row>
    <row r="220" spans="1:31" x14ac:dyDescent="0.35">
      <c r="A220" s="36">
        <v>46059.602083333331</v>
      </c>
      <c r="B220" s="35">
        <v>-20.3</v>
      </c>
      <c r="C220" s="35">
        <v>13</v>
      </c>
      <c r="D220" s="35">
        <v>-23</v>
      </c>
      <c r="E220" s="35">
        <v>-22.7</v>
      </c>
      <c r="F220" s="35">
        <v>-24.4</v>
      </c>
      <c r="G220" s="35">
        <v>-23</v>
      </c>
      <c r="H220" s="35">
        <v>-21.5</v>
      </c>
      <c r="I220" s="35">
        <v>-22</v>
      </c>
      <c r="J220" s="35">
        <v>-23</v>
      </c>
      <c r="K220" s="35">
        <v>-21.7</v>
      </c>
      <c r="L220" s="35">
        <v>-17.3</v>
      </c>
      <c r="M220" s="35">
        <v>-23</v>
      </c>
      <c r="N220" s="35">
        <v>2.7</v>
      </c>
      <c r="O220" s="35">
        <v>1</v>
      </c>
      <c r="P220" s="35">
        <v>-5</v>
      </c>
      <c r="Q220" s="35">
        <v>-3.3</v>
      </c>
      <c r="R220" s="35">
        <v>-4.0999999999999996</v>
      </c>
      <c r="S220" s="35">
        <v>-5</v>
      </c>
      <c r="T220" s="35">
        <v>16.399999999999999</v>
      </c>
      <c r="U220" s="35">
        <v>40</v>
      </c>
      <c r="V220" s="35">
        <v>16.399999999999999</v>
      </c>
      <c r="W220" s="35">
        <v>40</v>
      </c>
      <c r="X220" s="35">
        <v>16.8</v>
      </c>
      <c r="Y220" s="35">
        <v>41.6</v>
      </c>
      <c r="Z220" s="35">
        <v>17</v>
      </c>
      <c r="AA220" s="35">
        <v>40.200000000000003</v>
      </c>
      <c r="AB220" s="35">
        <v>21.2</v>
      </c>
      <c r="AC220" s="35">
        <v>20</v>
      </c>
      <c r="AD220" s="35">
        <v>21.1</v>
      </c>
      <c r="AE220" s="35">
        <v>20</v>
      </c>
    </row>
    <row r="221" spans="1:31" x14ac:dyDescent="0.35">
      <c r="A221" s="36">
        <v>46059.602777777778</v>
      </c>
      <c r="B221" s="35">
        <v>-20.3</v>
      </c>
      <c r="C221" s="35">
        <v>13.7</v>
      </c>
      <c r="D221" s="35">
        <v>-23</v>
      </c>
      <c r="E221" s="35">
        <v>-22.8</v>
      </c>
      <c r="F221" s="35">
        <v>-24.1</v>
      </c>
      <c r="G221" s="35">
        <v>-23</v>
      </c>
      <c r="H221" s="35">
        <v>-21.5</v>
      </c>
      <c r="I221" s="35">
        <v>-22</v>
      </c>
      <c r="J221" s="35">
        <v>-23</v>
      </c>
      <c r="K221" s="35">
        <v>-21.7</v>
      </c>
      <c r="L221" s="35">
        <v>-17.3</v>
      </c>
      <c r="M221" s="35">
        <v>-23</v>
      </c>
      <c r="N221" s="35">
        <v>7.1</v>
      </c>
      <c r="O221" s="35">
        <v>5.0999999999999996</v>
      </c>
      <c r="P221" s="35">
        <v>-5</v>
      </c>
      <c r="Q221" s="35">
        <v>-3.4</v>
      </c>
      <c r="R221" s="35">
        <v>-4.0999999999999996</v>
      </c>
      <c r="S221" s="35">
        <v>-5</v>
      </c>
      <c r="T221" s="35">
        <v>16.399999999999999</v>
      </c>
      <c r="U221" s="35">
        <v>40</v>
      </c>
      <c r="V221" s="35">
        <v>16.3</v>
      </c>
      <c r="W221" s="35">
        <v>40</v>
      </c>
      <c r="X221" s="35">
        <v>16.7</v>
      </c>
      <c r="Y221" s="35">
        <v>41.6</v>
      </c>
      <c r="Z221" s="35">
        <v>17</v>
      </c>
      <c r="AA221" s="35">
        <v>40.200000000000003</v>
      </c>
      <c r="AB221" s="35">
        <v>21.2</v>
      </c>
      <c r="AC221" s="35">
        <v>20</v>
      </c>
      <c r="AD221" s="35">
        <v>21.1</v>
      </c>
      <c r="AE221" s="35">
        <v>20</v>
      </c>
    </row>
    <row r="222" spans="1:31" x14ac:dyDescent="0.35">
      <c r="A222" s="36">
        <v>46059.603472222225</v>
      </c>
      <c r="B222" s="35">
        <v>-20.3</v>
      </c>
      <c r="C222" s="35">
        <v>14.4</v>
      </c>
      <c r="D222" s="35">
        <v>-23</v>
      </c>
      <c r="E222" s="35">
        <v>-22.8</v>
      </c>
      <c r="F222" s="35">
        <v>-24</v>
      </c>
      <c r="G222" s="35">
        <v>-23</v>
      </c>
      <c r="H222" s="35">
        <v>-21.5</v>
      </c>
      <c r="I222" s="35">
        <v>-22</v>
      </c>
      <c r="J222" s="35">
        <v>-23</v>
      </c>
      <c r="K222" s="35">
        <v>-21.7</v>
      </c>
      <c r="L222" s="35">
        <v>-17.3</v>
      </c>
      <c r="M222" s="35">
        <v>-23</v>
      </c>
      <c r="N222" s="35">
        <v>8.8000000000000007</v>
      </c>
      <c r="O222" s="35">
        <v>7.8</v>
      </c>
      <c r="P222" s="35">
        <v>-5</v>
      </c>
      <c r="Q222" s="35">
        <v>-3.3</v>
      </c>
      <c r="R222" s="35">
        <v>-3.9</v>
      </c>
      <c r="S222" s="35">
        <v>-5</v>
      </c>
      <c r="T222" s="35">
        <v>16.399999999999999</v>
      </c>
      <c r="U222" s="35">
        <v>40</v>
      </c>
      <c r="V222" s="35">
        <v>16.2</v>
      </c>
      <c r="W222" s="35">
        <v>40</v>
      </c>
      <c r="X222" s="35">
        <v>16.399999999999999</v>
      </c>
      <c r="Y222" s="35">
        <v>41.6</v>
      </c>
      <c r="Z222" s="35">
        <v>17</v>
      </c>
      <c r="AA222" s="35">
        <v>40.200000000000003</v>
      </c>
      <c r="AB222" s="35">
        <v>21.2</v>
      </c>
      <c r="AC222" s="35">
        <v>20</v>
      </c>
      <c r="AD222" s="35">
        <v>21.1</v>
      </c>
      <c r="AE222" s="35">
        <v>20</v>
      </c>
    </row>
    <row r="223" spans="1:31" x14ac:dyDescent="0.35">
      <c r="A223" s="36">
        <v>46059.604166666664</v>
      </c>
      <c r="B223" s="35">
        <v>-20.3</v>
      </c>
      <c r="C223" s="35">
        <v>14.9</v>
      </c>
      <c r="D223" s="35">
        <v>-23</v>
      </c>
      <c r="E223" s="35">
        <v>-22.9</v>
      </c>
      <c r="F223" s="35">
        <v>-24</v>
      </c>
      <c r="G223" s="35">
        <v>-23</v>
      </c>
      <c r="H223" s="35">
        <v>-21.5</v>
      </c>
      <c r="I223" s="35">
        <v>-22</v>
      </c>
      <c r="J223" s="35">
        <v>-23</v>
      </c>
      <c r="K223" s="35">
        <v>-21.7</v>
      </c>
      <c r="L223" s="35">
        <v>-17.3</v>
      </c>
      <c r="M223" s="35">
        <v>-23</v>
      </c>
      <c r="N223" s="35">
        <v>9.6</v>
      </c>
      <c r="O223" s="35">
        <v>8.6</v>
      </c>
      <c r="P223" s="35">
        <v>-5</v>
      </c>
      <c r="Q223" s="35">
        <v>-3.1</v>
      </c>
      <c r="R223" s="35">
        <v>-3.6</v>
      </c>
      <c r="S223" s="35">
        <v>-5</v>
      </c>
      <c r="T223" s="35">
        <v>16.399999999999999</v>
      </c>
      <c r="U223" s="35">
        <v>40</v>
      </c>
      <c r="V223" s="35">
        <v>16.100000000000001</v>
      </c>
      <c r="W223" s="35">
        <v>40</v>
      </c>
      <c r="X223" s="35">
        <v>16.2</v>
      </c>
      <c r="Y223" s="35">
        <v>41.6</v>
      </c>
      <c r="Z223" s="35">
        <v>17</v>
      </c>
      <c r="AA223" s="35">
        <v>40.200000000000003</v>
      </c>
      <c r="AB223" s="35">
        <v>21.2</v>
      </c>
      <c r="AC223" s="35">
        <v>20</v>
      </c>
      <c r="AD223" s="35">
        <v>21.1</v>
      </c>
      <c r="AE223" s="35">
        <v>20</v>
      </c>
    </row>
    <row r="224" spans="1:31" x14ac:dyDescent="0.35">
      <c r="A224" s="36">
        <v>46059.604861111111</v>
      </c>
      <c r="B224" s="35">
        <v>-20.3</v>
      </c>
      <c r="C224" s="35">
        <v>15.3</v>
      </c>
      <c r="D224" s="35">
        <v>-23</v>
      </c>
      <c r="E224" s="35">
        <v>-22.9</v>
      </c>
      <c r="F224" s="35">
        <v>-24</v>
      </c>
      <c r="G224" s="35">
        <v>-23</v>
      </c>
      <c r="H224" s="35">
        <v>-21.5</v>
      </c>
      <c r="I224" s="35">
        <v>-22</v>
      </c>
      <c r="J224" s="35">
        <v>-23</v>
      </c>
      <c r="K224" s="35">
        <v>-21.7</v>
      </c>
      <c r="L224" s="35">
        <v>-17.3</v>
      </c>
      <c r="M224" s="35">
        <v>-23</v>
      </c>
      <c r="N224" s="35">
        <v>10</v>
      </c>
      <c r="O224" s="35">
        <v>9</v>
      </c>
      <c r="P224" s="35">
        <v>-5</v>
      </c>
      <c r="Q224" s="35">
        <v>-2.9</v>
      </c>
      <c r="R224" s="35">
        <v>-3.2</v>
      </c>
      <c r="S224" s="35">
        <v>-5</v>
      </c>
      <c r="T224" s="35">
        <v>16.399999999999999</v>
      </c>
      <c r="U224" s="35">
        <v>40</v>
      </c>
      <c r="V224" s="35">
        <v>16.100000000000001</v>
      </c>
      <c r="W224" s="35">
        <v>40</v>
      </c>
      <c r="X224" s="35">
        <v>16.2</v>
      </c>
      <c r="Y224" s="35">
        <v>41.6</v>
      </c>
      <c r="Z224" s="35">
        <v>17</v>
      </c>
      <c r="AA224" s="35">
        <v>40.200000000000003</v>
      </c>
      <c r="AB224" s="35">
        <v>21.2</v>
      </c>
      <c r="AC224" s="35">
        <v>20</v>
      </c>
      <c r="AD224" s="35">
        <v>21.1</v>
      </c>
      <c r="AE224" s="35">
        <v>20</v>
      </c>
    </row>
    <row r="225" spans="1:31" x14ac:dyDescent="0.35">
      <c r="A225" s="36">
        <v>46059.605555555558</v>
      </c>
      <c r="B225" s="35">
        <v>-20.3</v>
      </c>
      <c r="C225" s="35">
        <v>15.7</v>
      </c>
      <c r="D225" s="35">
        <v>-23</v>
      </c>
      <c r="E225" s="35">
        <v>-22.9</v>
      </c>
      <c r="F225" s="35">
        <v>-23.9</v>
      </c>
      <c r="G225" s="35">
        <v>-23</v>
      </c>
      <c r="H225" s="35">
        <v>-21.5</v>
      </c>
      <c r="I225" s="35">
        <v>-22</v>
      </c>
      <c r="J225" s="35">
        <v>-23</v>
      </c>
      <c r="K225" s="35">
        <v>-21.7</v>
      </c>
      <c r="L225" s="35">
        <v>-17.3</v>
      </c>
      <c r="M225" s="35">
        <v>-23</v>
      </c>
      <c r="N225" s="35">
        <v>9.1</v>
      </c>
      <c r="O225" s="35">
        <v>8.9</v>
      </c>
      <c r="P225" s="35">
        <v>-5</v>
      </c>
      <c r="Q225" s="35">
        <v>-2.8</v>
      </c>
      <c r="R225" s="35">
        <v>1.9</v>
      </c>
      <c r="S225" s="35">
        <v>-5</v>
      </c>
      <c r="T225" s="35">
        <v>16.399999999999999</v>
      </c>
      <c r="U225" s="35">
        <v>40</v>
      </c>
      <c r="V225" s="35">
        <v>16.100000000000001</v>
      </c>
      <c r="W225" s="35">
        <v>40</v>
      </c>
      <c r="X225" s="35">
        <v>16.2</v>
      </c>
      <c r="Y225" s="35">
        <v>41.6</v>
      </c>
      <c r="Z225" s="35">
        <v>17</v>
      </c>
      <c r="AA225" s="35">
        <v>40.200000000000003</v>
      </c>
      <c r="AB225" s="35">
        <v>21.2</v>
      </c>
      <c r="AC225" s="35">
        <v>20</v>
      </c>
      <c r="AD225" s="35">
        <v>21.1</v>
      </c>
      <c r="AE225" s="35">
        <v>20</v>
      </c>
    </row>
    <row r="226" spans="1:31" x14ac:dyDescent="0.35">
      <c r="A226" s="36">
        <v>46059.606249999997</v>
      </c>
      <c r="B226" s="35">
        <v>-20.3</v>
      </c>
      <c r="C226" s="35">
        <v>16.100000000000001</v>
      </c>
      <c r="D226" s="35">
        <v>-23</v>
      </c>
      <c r="E226" s="35">
        <v>-22.9</v>
      </c>
      <c r="F226" s="35">
        <v>-23.7</v>
      </c>
      <c r="G226" s="35">
        <v>-23</v>
      </c>
      <c r="H226" s="35">
        <v>-21.5</v>
      </c>
      <c r="I226" s="35">
        <v>-22</v>
      </c>
      <c r="J226" s="35">
        <v>-23</v>
      </c>
      <c r="K226" s="35">
        <v>-21.7</v>
      </c>
      <c r="L226" s="35">
        <v>-17.3</v>
      </c>
      <c r="M226" s="35">
        <v>-23</v>
      </c>
      <c r="N226" s="35">
        <v>8</v>
      </c>
      <c r="O226" s="35">
        <v>8.1</v>
      </c>
      <c r="P226" s="35">
        <v>-5</v>
      </c>
      <c r="Q226" s="35">
        <v>-2.8</v>
      </c>
      <c r="R226" s="35">
        <v>2.2000000000000002</v>
      </c>
      <c r="S226" s="35">
        <v>-5</v>
      </c>
      <c r="T226" s="35">
        <v>16.399999999999999</v>
      </c>
      <c r="U226" s="35">
        <v>40</v>
      </c>
      <c r="V226" s="35">
        <v>16.100000000000001</v>
      </c>
      <c r="W226" s="35">
        <v>40</v>
      </c>
      <c r="X226" s="35">
        <v>16.2</v>
      </c>
      <c r="Y226" s="35">
        <v>41.6</v>
      </c>
      <c r="Z226" s="35">
        <v>17</v>
      </c>
      <c r="AA226" s="35">
        <v>40.200000000000003</v>
      </c>
      <c r="AB226" s="35">
        <v>21.2</v>
      </c>
      <c r="AC226" s="35">
        <v>20</v>
      </c>
      <c r="AD226" s="35">
        <v>21.2</v>
      </c>
      <c r="AE226" s="35">
        <v>20</v>
      </c>
    </row>
    <row r="227" spans="1:31" x14ac:dyDescent="0.35">
      <c r="A227" s="36">
        <v>46059.606944444444</v>
      </c>
      <c r="B227" s="35">
        <v>-20.3</v>
      </c>
      <c r="C227" s="35">
        <v>16.2</v>
      </c>
      <c r="D227" s="35">
        <v>-23</v>
      </c>
      <c r="E227" s="35">
        <v>-22.9</v>
      </c>
      <c r="F227" s="35">
        <v>-23.6</v>
      </c>
      <c r="G227" s="35">
        <v>-23</v>
      </c>
      <c r="H227" s="35">
        <v>-21.5</v>
      </c>
      <c r="I227" s="35">
        <v>-22</v>
      </c>
      <c r="J227" s="35">
        <v>-23</v>
      </c>
      <c r="K227" s="35">
        <v>-21.7</v>
      </c>
      <c r="L227" s="35">
        <v>-17.3</v>
      </c>
      <c r="M227" s="35">
        <v>-23</v>
      </c>
      <c r="N227" s="35">
        <v>7.1</v>
      </c>
      <c r="O227" s="35">
        <v>7.2</v>
      </c>
      <c r="P227" s="35">
        <v>-5</v>
      </c>
      <c r="Q227" s="35">
        <v>-2.8</v>
      </c>
      <c r="R227" s="35">
        <v>1.7</v>
      </c>
      <c r="S227" s="35">
        <v>-5</v>
      </c>
      <c r="T227" s="35">
        <v>16.399999999999999</v>
      </c>
      <c r="U227" s="35">
        <v>40</v>
      </c>
      <c r="V227" s="35">
        <v>16.100000000000001</v>
      </c>
      <c r="W227" s="35">
        <v>40</v>
      </c>
      <c r="X227" s="35">
        <v>16.2</v>
      </c>
      <c r="Y227" s="35">
        <v>41.6</v>
      </c>
      <c r="Z227" s="35">
        <v>17</v>
      </c>
      <c r="AA227" s="35">
        <v>40.200000000000003</v>
      </c>
      <c r="AB227" s="35">
        <v>21.2</v>
      </c>
      <c r="AC227" s="35">
        <v>20</v>
      </c>
      <c r="AD227" s="35">
        <v>21.2</v>
      </c>
      <c r="AE227" s="35">
        <v>20</v>
      </c>
    </row>
    <row r="228" spans="1:31" x14ac:dyDescent="0.35">
      <c r="A228" s="36">
        <v>46059.607638888891</v>
      </c>
      <c r="B228" s="35">
        <v>-20.3</v>
      </c>
      <c r="C228" s="35">
        <v>16.2</v>
      </c>
      <c r="D228" s="35">
        <v>-23</v>
      </c>
      <c r="E228" s="35">
        <v>-22.9</v>
      </c>
      <c r="F228" s="35">
        <v>-24.1</v>
      </c>
      <c r="G228" s="35">
        <v>-23</v>
      </c>
      <c r="H228" s="35">
        <v>-21.5</v>
      </c>
      <c r="I228" s="35">
        <v>-22</v>
      </c>
      <c r="J228" s="35">
        <v>-23</v>
      </c>
      <c r="K228" s="35">
        <v>-21.7</v>
      </c>
      <c r="L228" s="35">
        <v>-17.3</v>
      </c>
      <c r="M228" s="35">
        <v>-23</v>
      </c>
      <c r="N228" s="35">
        <v>6.4</v>
      </c>
      <c r="O228" s="35">
        <v>6.5</v>
      </c>
      <c r="P228" s="35">
        <v>-5</v>
      </c>
      <c r="Q228" s="35">
        <v>-2.8</v>
      </c>
      <c r="R228" s="35">
        <v>2.1</v>
      </c>
      <c r="S228" s="35">
        <v>-5</v>
      </c>
      <c r="T228" s="35">
        <v>16.399999999999999</v>
      </c>
      <c r="U228" s="35">
        <v>40</v>
      </c>
      <c r="V228" s="35">
        <v>16.100000000000001</v>
      </c>
      <c r="W228" s="35">
        <v>40</v>
      </c>
      <c r="X228" s="35">
        <v>16.2</v>
      </c>
      <c r="Y228" s="35">
        <v>41.6</v>
      </c>
      <c r="Z228" s="35">
        <v>16.899999999999999</v>
      </c>
      <c r="AA228" s="35">
        <v>40.200000000000003</v>
      </c>
      <c r="AB228" s="35">
        <v>21.2</v>
      </c>
      <c r="AC228" s="35">
        <v>20</v>
      </c>
      <c r="AD228" s="35">
        <v>21.2</v>
      </c>
      <c r="AE228" s="35">
        <v>20</v>
      </c>
    </row>
    <row r="229" spans="1:31" x14ac:dyDescent="0.35">
      <c r="A229" s="36">
        <v>46059.60833333333</v>
      </c>
      <c r="B229" s="35">
        <v>-20.3</v>
      </c>
      <c r="C229" s="35">
        <v>16.600000000000001</v>
      </c>
      <c r="D229" s="35">
        <v>-23</v>
      </c>
      <c r="E229" s="35">
        <v>-22.9</v>
      </c>
      <c r="F229" s="35">
        <v>-24.6</v>
      </c>
      <c r="G229" s="35">
        <v>-23</v>
      </c>
      <c r="H229" s="35">
        <v>-21.5</v>
      </c>
      <c r="I229" s="35">
        <v>-22</v>
      </c>
      <c r="J229" s="35">
        <v>-23</v>
      </c>
      <c r="K229" s="35">
        <v>-21.6</v>
      </c>
      <c r="L229" s="35">
        <v>-17.3</v>
      </c>
      <c r="M229" s="35">
        <v>-23</v>
      </c>
      <c r="N229" s="35">
        <v>5.9</v>
      </c>
      <c r="O229" s="35">
        <v>5.9</v>
      </c>
      <c r="P229" s="35">
        <v>-5</v>
      </c>
      <c r="Q229" s="35">
        <v>-2.8</v>
      </c>
      <c r="R229" s="35">
        <v>3.3</v>
      </c>
      <c r="S229" s="35">
        <v>-5</v>
      </c>
      <c r="T229" s="35">
        <v>16.3</v>
      </c>
      <c r="U229" s="35">
        <v>40</v>
      </c>
      <c r="V229" s="35">
        <v>16.100000000000001</v>
      </c>
      <c r="W229" s="35">
        <v>40</v>
      </c>
      <c r="X229" s="35">
        <v>16.2</v>
      </c>
      <c r="Y229" s="35">
        <v>41.6</v>
      </c>
      <c r="Z229" s="35">
        <v>16.899999999999999</v>
      </c>
      <c r="AA229" s="35">
        <v>40.200000000000003</v>
      </c>
      <c r="AB229" s="35">
        <v>21.2</v>
      </c>
      <c r="AC229" s="35">
        <v>20</v>
      </c>
      <c r="AD229" s="35">
        <v>21.2</v>
      </c>
      <c r="AE229" s="35">
        <v>20</v>
      </c>
    </row>
    <row r="230" spans="1:31" x14ac:dyDescent="0.35">
      <c r="A230" s="36">
        <v>46059.609027777777</v>
      </c>
      <c r="B230" s="35">
        <v>-20.3</v>
      </c>
      <c r="C230" s="35">
        <v>16.7</v>
      </c>
      <c r="D230" s="35">
        <v>-23</v>
      </c>
      <c r="E230" s="35">
        <v>-23</v>
      </c>
      <c r="F230" s="35">
        <v>-24.6</v>
      </c>
      <c r="G230" s="35">
        <v>-23</v>
      </c>
      <c r="H230" s="35">
        <v>-21.5</v>
      </c>
      <c r="I230" s="35">
        <v>-21.9</v>
      </c>
      <c r="J230" s="35">
        <v>-23</v>
      </c>
      <c r="K230" s="35">
        <v>-21.5</v>
      </c>
      <c r="L230" s="35">
        <v>-17.3</v>
      </c>
      <c r="M230" s="35">
        <v>-23</v>
      </c>
      <c r="N230" s="35">
        <v>5.4</v>
      </c>
      <c r="O230" s="35">
        <v>5.4</v>
      </c>
      <c r="P230" s="35">
        <v>-5</v>
      </c>
      <c r="Q230" s="35">
        <v>-2.8</v>
      </c>
      <c r="R230" s="35">
        <v>4.5999999999999996</v>
      </c>
      <c r="S230" s="35">
        <v>-5</v>
      </c>
      <c r="T230" s="35">
        <v>16.3</v>
      </c>
      <c r="U230" s="35">
        <v>40</v>
      </c>
      <c r="V230" s="35">
        <v>16.100000000000001</v>
      </c>
      <c r="W230" s="35">
        <v>40</v>
      </c>
      <c r="X230" s="35">
        <v>16.3</v>
      </c>
      <c r="Y230" s="35">
        <v>41.6</v>
      </c>
      <c r="Z230" s="35">
        <v>16.899999999999999</v>
      </c>
      <c r="AA230" s="35">
        <v>40.200000000000003</v>
      </c>
      <c r="AB230" s="35">
        <v>21.2</v>
      </c>
      <c r="AC230" s="35">
        <v>20</v>
      </c>
      <c r="AD230" s="35">
        <v>21.2</v>
      </c>
      <c r="AE230" s="35">
        <v>20</v>
      </c>
    </row>
    <row r="231" spans="1:31" x14ac:dyDescent="0.35">
      <c r="A231" s="36">
        <v>46059.609722222223</v>
      </c>
      <c r="B231" s="35">
        <v>-20.3</v>
      </c>
      <c r="C231" s="35">
        <v>15.2</v>
      </c>
      <c r="D231" s="35">
        <v>-23</v>
      </c>
      <c r="E231" s="35">
        <v>-23</v>
      </c>
      <c r="F231" s="35">
        <v>-23.7</v>
      </c>
      <c r="G231" s="35">
        <v>-23</v>
      </c>
      <c r="H231" s="35">
        <v>-21.5</v>
      </c>
      <c r="I231" s="35">
        <v>-22.3</v>
      </c>
      <c r="J231" s="35">
        <v>-23</v>
      </c>
      <c r="K231" s="35">
        <v>-21.7</v>
      </c>
      <c r="L231" s="35">
        <v>-17.3</v>
      </c>
      <c r="M231" s="35">
        <v>-23</v>
      </c>
      <c r="N231" s="35">
        <v>5</v>
      </c>
      <c r="O231" s="35">
        <v>4.9000000000000004</v>
      </c>
      <c r="P231" s="35">
        <v>-5</v>
      </c>
      <c r="Q231" s="35">
        <v>-2.8</v>
      </c>
      <c r="R231" s="35">
        <v>7.6</v>
      </c>
      <c r="S231" s="35">
        <v>-5</v>
      </c>
      <c r="T231" s="35">
        <v>16.3</v>
      </c>
      <c r="U231" s="35">
        <v>40</v>
      </c>
      <c r="V231" s="35">
        <v>16.100000000000001</v>
      </c>
      <c r="W231" s="35">
        <v>40</v>
      </c>
      <c r="X231" s="35">
        <v>16.399999999999999</v>
      </c>
      <c r="Y231" s="35">
        <v>41.6</v>
      </c>
      <c r="Z231" s="35">
        <v>16.899999999999999</v>
      </c>
      <c r="AA231" s="35">
        <v>40.200000000000003</v>
      </c>
      <c r="AB231" s="35">
        <v>21.2</v>
      </c>
      <c r="AC231" s="35">
        <v>20</v>
      </c>
      <c r="AD231" s="35">
        <v>21.2</v>
      </c>
      <c r="AE231" s="35">
        <v>20</v>
      </c>
    </row>
    <row r="232" spans="1:31" x14ac:dyDescent="0.35">
      <c r="A232" s="36">
        <v>46059.61041666667</v>
      </c>
      <c r="B232" s="35">
        <v>-21.6</v>
      </c>
      <c r="C232" s="35">
        <v>12.4</v>
      </c>
      <c r="D232" s="35">
        <v>-23</v>
      </c>
      <c r="E232" s="35">
        <v>-22.7</v>
      </c>
      <c r="F232" s="35">
        <v>-23</v>
      </c>
      <c r="G232" s="35">
        <v>-23</v>
      </c>
      <c r="H232" s="35">
        <v>-21.6</v>
      </c>
      <c r="I232" s="35">
        <v>-22.8</v>
      </c>
      <c r="J232" s="35">
        <v>-23</v>
      </c>
      <c r="K232" s="35">
        <v>-22</v>
      </c>
      <c r="L232" s="35">
        <v>-17.3</v>
      </c>
      <c r="M232" s="35">
        <v>-23</v>
      </c>
      <c r="N232" s="35">
        <v>4.5</v>
      </c>
      <c r="O232" s="35">
        <v>4.5</v>
      </c>
      <c r="P232" s="35">
        <v>-5</v>
      </c>
      <c r="Q232" s="35">
        <v>-2.8</v>
      </c>
      <c r="R232" s="35">
        <v>10.3</v>
      </c>
      <c r="S232" s="35">
        <v>-5</v>
      </c>
      <c r="T232" s="35">
        <v>16.3</v>
      </c>
      <c r="U232" s="35">
        <v>40</v>
      </c>
      <c r="V232" s="35">
        <v>16.100000000000001</v>
      </c>
      <c r="W232" s="35">
        <v>40</v>
      </c>
      <c r="X232" s="35">
        <v>16.399999999999999</v>
      </c>
      <c r="Y232" s="35">
        <v>41.6</v>
      </c>
      <c r="Z232" s="35">
        <v>16.899999999999999</v>
      </c>
      <c r="AA232" s="35">
        <v>40.200000000000003</v>
      </c>
      <c r="AB232" s="35">
        <v>21.2</v>
      </c>
      <c r="AC232" s="35">
        <v>20</v>
      </c>
      <c r="AD232" s="35">
        <v>21.2</v>
      </c>
      <c r="AE232" s="35">
        <v>20</v>
      </c>
    </row>
    <row r="233" spans="1:31" x14ac:dyDescent="0.35">
      <c r="A233" s="36">
        <v>46059.611111111109</v>
      </c>
      <c r="B233" s="35">
        <v>-21.2</v>
      </c>
      <c r="C233" s="35">
        <v>9.3000000000000007</v>
      </c>
      <c r="D233" s="35">
        <v>-23</v>
      </c>
      <c r="E233" s="35">
        <v>-22.3</v>
      </c>
      <c r="F233" s="35">
        <v>-22.6</v>
      </c>
      <c r="G233" s="35">
        <v>-23</v>
      </c>
      <c r="H233" s="35">
        <v>-21.7</v>
      </c>
      <c r="I233" s="35">
        <v>-22.8</v>
      </c>
      <c r="J233" s="35">
        <v>-23</v>
      </c>
      <c r="K233" s="35">
        <v>-22.3</v>
      </c>
      <c r="L233" s="35">
        <v>-17.3</v>
      </c>
      <c r="M233" s="35">
        <v>-23</v>
      </c>
      <c r="N233" s="35">
        <v>4.2</v>
      </c>
      <c r="O233" s="35">
        <v>4.0999999999999996</v>
      </c>
      <c r="P233" s="35">
        <v>-5</v>
      </c>
      <c r="Q233" s="35">
        <v>-2.8</v>
      </c>
      <c r="R233" s="35">
        <v>13.5</v>
      </c>
      <c r="S233" s="35">
        <v>-5</v>
      </c>
      <c r="T233" s="35">
        <v>16.3</v>
      </c>
      <c r="U233" s="35">
        <v>40</v>
      </c>
      <c r="V233" s="35">
        <v>16.100000000000001</v>
      </c>
      <c r="W233" s="35">
        <v>40</v>
      </c>
      <c r="X233" s="35">
        <v>16.5</v>
      </c>
      <c r="Y233" s="35">
        <v>41.6</v>
      </c>
      <c r="Z233" s="35">
        <v>16.899999999999999</v>
      </c>
      <c r="AA233" s="35">
        <v>40.200000000000003</v>
      </c>
      <c r="AB233" s="35">
        <v>21.2</v>
      </c>
      <c r="AC233" s="35">
        <v>20</v>
      </c>
      <c r="AD233" s="35">
        <v>21.2</v>
      </c>
      <c r="AE233" s="35">
        <v>20</v>
      </c>
    </row>
    <row r="234" spans="1:31" x14ac:dyDescent="0.35">
      <c r="A234" s="36">
        <v>46059.611805555556</v>
      </c>
      <c r="B234" s="35">
        <v>-20.8</v>
      </c>
      <c r="C234" s="35">
        <v>6.5</v>
      </c>
      <c r="D234" s="35">
        <v>-23</v>
      </c>
      <c r="E234" s="35">
        <v>-21.9</v>
      </c>
      <c r="F234" s="35">
        <v>-22.2</v>
      </c>
      <c r="G234" s="35">
        <v>-23</v>
      </c>
      <c r="H234" s="35">
        <v>-22</v>
      </c>
      <c r="I234" s="35">
        <v>-22.9</v>
      </c>
      <c r="J234" s="35">
        <v>-23</v>
      </c>
      <c r="K234" s="35">
        <v>-22.5</v>
      </c>
      <c r="L234" s="35">
        <v>-17.3</v>
      </c>
      <c r="M234" s="35">
        <v>-23</v>
      </c>
      <c r="N234" s="35">
        <v>3.8</v>
      </c>
      <c r="O234" s="35">
        <v>3.7</v>
      </c>
      <c r="P234" s="35">
        <v>-5</v>
      </c>
      <c r="Q234" s="35">
        <v>-2.8</v>
      </c>
      <c r="R234" s="35">
        <v>14.9</v>
      </c>
      <c r="S234" s="35">
        <v>-5</v>
      </c>
      <c r="T234" s="35">
        <v>16.3</v>
      </c>
      <c r="U234" s="35">
        <v>40</v>
      </c>
      <c r="V234" s="35">
        <v>16.100000000000001</v>
      </c>
      <c r="W234" s="35">
        <v>40</v>
      </c>
      <c r="X234" s="35">
        <v>16.5</v>
      </c>
      <c r="Y234" s="35">
        <v>41.6</v>
      </c>
      <c r="Z234" s="35">
        <v>16.899999999999999</v>
      </c>
      <c r="AA234" s="35">
        <v>40.200000000000003</v>
      </c>
      <c r="AB234" s="35">
        <v>21.2</v>
      </c>
      <c r="AC234" s="35">
        <v>20</v>
      </c>
      <c r="AD234" s="35">
        <v>21.2</v>
      </c>
      <c r="AE234" s="35">
        <v>20</v>
      </c>
    </row>
    <row r="235" spans="1:31" x14ac:dyDescent="0.35">
      <c r="A235" s="36">
        <v>46059.612500000003</v>
      </c>
      <c r="B235" s="35">
        <v>-20.6</v>
      </c>
      <c r="C235" s="35">
        <v>4.0999999999999996</v>
      </c>
      <c r="D235" s="35">
        <v>-23</v>
      </c>
      <c r="E235" s="35">
        <v>-21.7</v>
      </c>
      <c r="F235" s="35">
        <v>-21.9</v>
      </c>
      <c r="G235" s="35">
        <v>-23</v>
      </c>
      <c r="H235" s="35">
        <v>-22.1</v>
      </c>
      <c r="I235" s="35">
        <v>-22.9</v>
      </c>
      <c r="J235" s="35">
        <v>-23</v>
      </c>
      <c r="K235" s="35">
        <v>-22.7</v>
      </c>
      <c r="L235" s="35">
        <v>-17.3</v>
      </c>
      <c r="M235" s="35">
        <v>-23</v>
      </c>
      <c r="N235" s="35">
        <v>4.4000000000000004</v>
      </c>
      <c r="O235" s="35">
        <v>4</v>
      </c>
      <c r="P235" s="35">
        <v>-5</v>
      </c>
      <c r="Q235" s="35">
        <v>-2.8</v>
      </c>
      <c r="R235" s="35">
        <v>12.6</v>
      </c>
      <c r="S235" s="35">
        <v>-5</v>
      </c>
      <c r="T235" s="35">
        <v>16.3</v>
      </c>
      <c r="U235" s="35">
        <v>40</v>
      </c>
      <c r="V235" s="35">
        <v>16.100000000000001</v>
      </c>
      <c r="W235" s="35">
        <v>40</v>
      </c>
      <c r="X235" s="35">
        <v>16.600000000000001</v>
      </c>
      <c r="Y235" s="35">
        <v>41.6</v>
      </c>
      <c r="Z235" s="35">
        <v>16.8</v>
      </c>
      <c r="AA235" s="35">
        <v>40.200000000000003</v>
      </c>
      <c r="AB235" s="35">
        <v>21.2</v>
      </c>
      <c r="AC235" s="35">
        <v>20</v>
      </c>
      <c r="AD235" s="35">
        <v>21.2</v>
      </c>
      <c r="AE235" s="35">
        <v>20</v>
      </c>
    </row>
    <row r="236" spans="1:31" x14ac:dyDescent="0.35">
      <c r="A236" s="36">
        <v>46059.613194444442</v>
      </c>
      <c r="B236" s="35">
        <v>-20.399999999999999</v>
      </c>
      <c r="C236" s="35">
        <v>1.8</v>
      </c>
      <c r="D236" s="35">
        <v>-23</v>
      </c>
      <c r="E236" s="35">
        <v>-21.4</v>
      </c>
      <c r="F236" s="35">
        <v>-21.5</v>
      </c>
      <c r="G236" s="35">
        <v>-23</v>
      </c>
      <c r="H236" s="35">
        <v>-22.3</v>
      </c>
      <c r="I236" s="35">
        <v>-23.1</v>
      </c>
      <c r="J236" s="35">
        <v>-23</v>
      </c>
      <c r="K236" s="35">
        <v>-22.8</v>
      </c>
      <c r="L236" s="35">
        <v>-17.3</v>
      </c>
      <c r="M236" s="35">
        <v>-23</v>
      </c>
      <c r="N236" s="35">
        <v>4.7</v>
      </c>
      <c r="O236" s="35">
        <v>4.2</v>
      </c>
      <c r="P236" s="35">
        <v>-5</v>
      </c>
      <c r="Q236" s="35">
        <v>-2.8</v>
      </c>
      <c r="R236" s="35">
        <v>11</v>
      </c>
      <c r="S236" s="35">
        <v>-5</v>
      </c>
      <c r="T236" s="35">
        <v>16.3</v>
      </c>
      <c r="U236" s="35">
        <v>40</v>
      </c>
      <c r="V236" s="35">
        <v>16.100000000000001</v>
      </c>
      <c r="W236" s="35">
        <v>40</v>
      </c>
      <c r="X236" s="35">
        <v>16.600000000000001</v>
      </c>
      <c r="Y236" s="35">
        <v>41.6</v>
      </c>
      <c r="Z236" s="35">
        <v>16.8</v>
      </c>
      <c r="AA236" s="35">
        <v>40.200000000000003</v>
      </c>
      <c r="AB236" s="35">
        <v>21.2</v>
      </c>
      <c r="AC236" s="35">
        <v>20</v>
      </c>
      <c r="AD236" s="35">
        <v>21.2</v>
      </c>
      <c r="AE236" s="35">
        <v>20</v>
      </c>
    </row>
    <row r="237" spans="1:31" x14ac:dyDescent="0.35">
      <c r="A237" s="36">
        <v>46059.613888888889</v>
      </c>
      <c r="B237" s="35">
        <v>-20.2</v>
      </c>
      <c r="C237" s="35">
        <v>-0.1</v>
      </c>
      <c r="D237" s="35">
        <v>-23</v>
      </c>
      <c r="E237" s="35">
        <v>-21.1</v>
      </c>
      <c r="F237" s="35">
        <v>-21.3</v>
      </c>
      <c r="G237" s="35">
        <v>-23</v>
      </c>
      <c r="H237" s="35">
        <v>-22.5</v>
      </c>
      <c r="I237" s="35">
        <v>-23.2</v>
      </c>
      <c r="J237" s="35">
        <v>-23</v>
      </c>
      <c r="K237" s="35">
        <v>-23</v>
      </c>
      <c r="L237" s="35">
        <v>-17.3</v>
      </c>
      <c r="M237" s="35">
        <v>-23</v>
      </c>
      <c r="N237" s="35">
        <v>4.3</v>
      </c>
      <c r="O237" s="35">
        <v>4.0999999999999996</v>
      </c>
      <c r="P237" s="35">
        <v>-5</v>
      </c>
      <c r="Q237" s="35">
        <v>-2.8</v>
      </c>
      <c r="R237" s="35">
        <v>10.3</v>
      </c>
      <c r="S237" s="35">
        <v>-5</v>
      </c>
      <c r="T237" s="35">
        <v>16.3</v>
      </c>
      <c r="U237" s="35">
        <v>40</v>
      </c>
      <c r="V237" s="35">
        <v>16.100000000000001</v>
      </c>
      <c r="W237" s="35">
        <v>40</v>
      </c>
      <c r="X237" s="35">
        <v>16.600000000000001</v>
      </c>
      <c r="Y237" s="35">
        <v>41.6</v>
      </c>
      <c r="Z237" s="35">
        <v>17</v>
      </c>
      <c r="AA237" s="35">
        <v>40.200000000000003</v>
      </c>
      <c r="AB237" s="35">
        <v>21.2</v>
      </c>
      <c r="AC237" s="35">
        <v>20</v>
      </c>
      <c r="AD237" s="35">
        <v>21.2</v>
      </c>
      <c r="AE237" s="35">
        <v>20</v>
      </c>
    </row>
    <row r="238" spans="1:31" x14ac:dyDescent="0.35">
      <c r="A238" s="36">
        <v>46059.614583333336</v>
      </c>
      <c r="B238" s="35">
        <v>-20</v>
      </c>
      <c r="C238" s="35">
        <v>-1.7</v>
      </c>
      <c r="D238" s="35">
        <v>-23</v>
      </c>
      <c r="E238" s="35">
        <v>-20.9</v>
      </c>
      <c r="F238" s="35">
        <v>-21</v>
      </c>
      <c r="G238" s="35">
        <v>-23</v>
      </c>
      <c r="H238" s="35">
        <v>-22.6</v>
      </c>
      <c r="I238" s="35">
        <v>-23.3</v>
      </c>
      <c r="J238" s="35">
        <v>-23</v>
      </c>
      <c r="K238" s="35">
        <v>-23.1</v>
      </c>
      <c r="L238" s="35">
        <v>-17.399999999999999</v>
      </c>
      <c r="M238" s="35">
        <v>-23</v>
      </c>
      <c r="N238" s="35">
        <v>3.8</v>
      </c>
      <c r="O238" s="35">
        <v>3.7</v>
      </c>
      <c r="P238" s="35">
        <v>-5</v>
      </c>
      <c r="Q238" s="35">
        <v>-2.8</v>
      </c>
      <c r="R238" s="35">
        <v>11.1</v>
      </c>
      <c r="S238" s="35">
        <v>-5</v>
      </c>
      <c r="T238" s="35">
        <v>16.3</v>
      </c>
      <c r="U238" s="35">
        <v>40</v>
      </c>
      <c r="V238" s="35">
        <v>16.100000000000001</v>
      </c>
      <c r="W238" s="35">
        <v>40</v>
      </c>
      <c r="X238" s="35">
        <v>16.600000000000001</v>
      </c>
      <c r="Y238" s="35">
        <v>41.6</v>
      </c>
      <c r="Z238" s="35">
        <v>17.100000000000001</v>
      </c>
      <c r="AA238" s="35">
        <v>40.200000000000003</v>
      </c>
      <c r="AB238" s="35">
        <v>21.2</v>
      </c>
      <c r="AC238" s="35">
        <v>20</v>
      </c>
      <c r="AD238" s="35">
        <v>21.2</v>
      </c>
      <c r="AE238" s="35">
        <v>20</v>
      </c>
    </row>
    <row r="239" spans="1:31" x14ac:dyDescent="0.35">
      <c r="A239" s="36">
        <v>46059.615277777775</v>
      </c>
      <c r="B239" s="35">
        <v>-20.7</v>
      </c>
      <c r="C239" s="35">
        <v>-3.2</v>
      </c>
      <c r="D239" s="35">
        <v>-23</v>
      </c>
      <c r="E239" s="35">
        <v>-20.9</v>
      </c>
      <c r="F239" s="35">
        <v>-21.8</v>
      </c>
      <c r="G239" s="35">
        <v>-23</v>
      </c>
      <c r="H239" s="35">
        <v>-22.6</v>
      </c>
      <c r="I239" s="35">
        <v>-23.2</v>
      </c>
      <c r="J239" s="35">
        <v>-23</v>
      </c>
      <c r="K239" s="35">
        <v>-23</v>
      </c>
      <c r="L239" s="35">
        <v>-17.5</v>
      </c>
      <c r="M239" s="35">
        <v>-23</v>
      </c>
      <c r="N239" s="35">
        <v>3.5</v>
      </c>
      <c r="O239" s="35">
        <v>3.4</v>
      </c>
      <c r="P239" s="35">
        <v>-5</v>
      </c>
      <c r="Q239" s="35">
        <v>-2.8</v>
      </c>
      <c r="R239" s="35">
        <v>10.5</v>
      </c>
      <c r="S239" s="35">
        <v>-5</v>
      </c>
      <c r="T239" s="35">
        <v>16.3</v>
      </c>
      <c r="U239" s="35">
        <v>40</v>
      </c>
      <c r="V239" s="35">
        <v>16.100000000000001</v>
      </c>
      <c r="W239" s="35">
        <v>40</v>
      </c>
      <c r="X239" s="35">
        <v>16.600000000000001</v>
      </c>
      <c r="Y239" s="35">
        <v>41.6</v>
      </c>
      <c r="Z239" s="35">
        <v>17.3</v>
      </c>
      <c r="AA239" s="35">
        <v>40.200000000000003</v>
      </c>
      <c r="AB239" s="35">
        <v>21.2</v>
      </c>
      <c r="AC239" s="35">
        <v>20</v>
      </c>
      <c r="AD239" s="35">
        <v>21.2</v>
      </c>
      <c r="AE239" s="35">
        <v>20</v>
      </c>
    </row>
    <row r="240" spans="1:31" x14ac:dyDescent="0.35">
      <c r="A240" s="36">
        <v>46059.615972222222</v>
      </c>
      <c r="B240" s="35">
        <v>-21.4</v>
      </c>
      <c r="C240" s="35">
        <v>-4.5</v>
      </c>
      <c r="D240" s="35">
        <v>-23</v>
      </c>
      <c r="E240" s="35">
        <v>-21.3</v>
      </c>
      <c r="F240" s="35">
        <v>-22.9</v>
      </c>
      <c r="G240" s="35">
        <v>-23</v>
      </c>
      <c r="H240" s="35">
        <v>-22.6</v>
      </c>
      <c r="I240" s="35">
        <v>-23</v>
      </c>
      <c r="J240" s="35">
        <v>-23</v>
      </c>
      <c r="K240" s="35">
        <v>-22.7</v>
      </c>
      <c r="L240" s="35">
        <v>-17.600000000000001</v>
      </c>
      <c r="M240" s="35">
        <v>-23</v>
      </c>
      <c r="N240" s="35">
        <v>3.3</v>
      </c>
      <c r="O240" s="35">
        <v>3.1</v>
      </c>
      <c r="P240" s="35">
        <v>-5</v>
      </c>
      <c r="Q240" s="35">
        <v>-2.8</v>
      </c>
      <c r="R240" s="35">
        <v>11.6</v>
      </c>
      <c r="S240" s="35">
        <v>-5</v>
      </c>
      <c r="T240" s="35">
        <v>16.3</v>
      </c>
      <c r="U240" s="35">
        <v>40</v>
      </c>
      <c r="V240" s="35">
        <v>16.100000000000001</v>
      </c>
      <c r="W240" s="35">
        <v>40</v>
      </c>
      <c r="X240" s="35">
        <v>16.600000000000001</v>
      </c>
      <c r="Y240" s="35">
        <v>41.6</v>
      </c>
      <c r="Z240" s="35">
        <v>17.3</v>
      </c>
      <c r="AA240" s="35">
        <v>40.200000000000003</v>
      </c>
      <c r="AB240" s="35">
        <v>21.2</v>
      </c>
      <c r="AC240" s="35">
        <v>20</v>
      </c>
      <c r="AD240" s="35">
        <v>21.2</v>
      </c>
      <c r="AE240" s="35">
        <v>20</v>
      </c>
    </row>
    <row r="241" spans="1:31" x14ac:dyDescent="0.35">
      <c r="A241" s="36">
        <v>46059.616666666669</v>
      </c>
      <c r="B241" s="35">
        <v>-21.8</v>
      </c>
      <c r="C241" s="35">
        <v>-6.1</v>
      </c>
      <c r="D241" s="35">
        <v>-23</v>
      </c>
      <c r="E241" s="35">
        <v>-21.6</v>
      </c>
      <c r="F241" s="35">
        <v>-22.4</v>
      </c>
      <c r="G241" s="35">
        <v>-23</v>
      </c>
      <c r="H241" s="35">
        <v>-22.5</v>
      </c>
      <c r="I241" s="35">
        <v>-22.8</v>
      </c>
      <c r="J241" s="35">
        <v>-23</v>
      </c>
      <c r="K241" s="35">
        <v>-22.5</v>
      </c>
      <c r="L241" s="35">
        <v>-17.600000000000001</v>
      </c>
      <c r="M241" s="35">
        <v>-23</v>
      </c>
      <c r="N241" s="35">
        <v>3.1</v>
      </c>
      <c r="O241" s="35">
        <v>2.9</v>
      </c>
      <c r="P241" s="35">
        <v>-5</v>
      </c>
      <c r="Q241" s="35">
        <v>-2.8</v>
      </c>
      <c r="R241" s="35">
        <v>13.1</v>
      </c>
      <c r="S241" s="35">
        <v>-5</v>
      </c>
      <c r="T241" s="35">
        <v>16.3</v>
      </c>
      <c r="U241" s="35">
        <v>40</v>
      </c>
      <c r="V241" s="35">
        <v>16.100000000000001</v>
      </c>
      <c r="W241" s="35">
        <v>40</v>
      </c>
      <c r="X241" s="35">
        <v>16.600000000000001</v>
      </c>
      <c r="Y241" s="35">
        <v>41.6</v>
      </c>
      <c r="Z241" s="35">
        <v>17.2</v>
      </c>
      <c r="AA241" s="35">
        <v>40.200000000000003</v>
      </c>
      <c r="AB241" s="35">
        <v>21.2</v>
      </c>
      <c r="AC241" s="35">
        <v>20</v>
      </c>
      <c r="AD241" s="35">
        <v>21.2</v>
      </c>
      <c r="AE241" s="35">
        <v>20</v>
      </c>
    </row>
    <row r="242" spans="1:31" x14ac:dyDescent="0.35">
      <c r="A242" s="36">
        <v>46059.618750000001</v>
      </c>
      <c r="B242" s="35">
        <v>-22.8</v>
      </c>
      <c r="C242" s="35">
        <v>-10</v>
      </c>
      <c r="D242" s="35">
        <v>-23</v>
      </c>
      <c r="E242" s="35">
        <v>-22.4</v>
      </c>
      <c r="F242" s="35">
        <v>-23.5</v>
      </c>
      <c r="G242" s="35">
        <v>-23</v>
      </c>
      <c r="H242" s="35">
        <v>-22.1</v>
      </c>
      <c r="I242" s="35">
        <v>-22.4</v>
      </c>
      <c r="J242" s="35">
        <v>-23</v>
      </c>
      <c r="K242" s="35">
        <v>-22</v>
      </c>
      <c r="L242" s="35">
        <v>-17.8</v>
      </c>
      <c r="M242" s="35">
        <v>-23</v>
      </c>
      <c r="N242" s="35">
        <v>2.5</v>
      </c>
      <c r="O242" s="35">
        <v>2.1</v>
      </c>
      <c r="P242" s="35">
        <v>-5</v>
      </c>
      <c r="Q242" s="35">
        <v>-2.8</v>
      </c>
      <c r="R242" s="35">
        <v>16.399999999999999</v>
      </c>
      <c r="S242" s="35">
        <v>-5</v>
      </c>
      <c r="T242" s="35">
        <v>16.2</v>
      </c>
      <c r="U242" s="35">
        <v>40</v>
      </c>
      <c r="V242" s="35">
        <v>16</v>
      </c>
      <c r="W242" s="35">
        <v>40</v>
      </c>
      <c r="X242" s="35">
        <v>16.399999999999999</v>
      </c>
      <c r="Y242" s="35">
        <v>41.6</v>
      </c>
      <c r="Z242" s="35">
        <v>17</v>
      </c>
      <c r="AA242" s="35">
        <v>40.200000000000003</v>
      </c>
      <c r="AB242" s="35">
        <v>21.2</v>
      </c>
      <c r="AC242" s="35">
        <v>20</v>
      </c>
      <c r="AD242" s="35">
        <v>21.2</v>
      </c>
      <c r="AE242" s="35">
        <v>20</v>
      </c>
    </row>
    <row r="243" spans="1:31" x14ac:dyDescent="0.35">
      <c r="A243" s="36">
        <v>46059.619444444441</v>
      </c>
      <c r="B243" s="35">
        <v>-23.1</v>
      </c>
      <c r="C243" s="35">
        <v>-11.1</v>
      </c>
      <c r="D243" s="35">
        <v>-23</v>
      </c>
      <c r="E243" s="35">
        <v>-22.6</v>
      </c>
      <c r="F243" s="35">
        <v>-24.2</v>
      </c>
      <c r="G243" s="35">
        <v>-23</v>
      </c>
      <c r="H243" s="35">
        <v>-22</v>
      </c>
      <c r="I243" s="35">
        <v>-22.2</v>
      </c>
      <c r="J243" s="35">
        <v>-23</v>
      </c>
      <c r="K243" s="35">
        <v>-21.9</v>
      </c>
      <c r="L243" s="35">
        <v>-17.899999999999999</v>
      </c>
      <c r="M243" s="35">
        <v>-23</v>
      </c>
      <c r="N243" s="35">
        <v>2.2999999999999998</v>
      </c>
      <c r="O243" s="35">
        <v>2</v>
      </c>
      <c r="P243" s="35">
        <v>-5</v>
      </c>
      <c r="Q243" s="35">
        <v>-2.8</v>
      </c>
      <c r="R243" s="35">
        <v>16.899999999999999</v>
      </c>
      <c r="S243" s="35">
        <v>-5</v>
      </c>
      <c r="T243" s="35">
        <v>16.2</v>
      </c>
      <c r="U243" s="35">
        <v>40</v>
      </c>
      <c r="V243" s="35">
        <v>16</v>
      </c>
      <c r="W243" s="35">
        <v>40</v>
      </c>
      <c r="X243" s="35">
        <v>16.399999999999999</v>
      </c>
      <c r="Y243" s="35">
        <v>41.6</v>
      </c>
      <c r="Z243" s="35">
        <v>17</v>
      </c>
      <c r="AA243" s="35">
        <v>40.200000000000003</v>
      </c>
      <c r="AB243" s="35">
        <v>21.2</v>
      </c>
      <c r="AC243" s="35">
        <v>20</v>
      </c>
      <c r="AD243" s="35">
        <v>21.2</v>
      </c>
      <c r="AE243" s="35">
        <v>20</v>
      </c>
    </row>
    <row r="244" spans="1:31" x14ac:dyDescent="0.35">
      <c r="A244" s="36">
        <v>46059.620138888888</v>
      </c>
      <c r="B244" s="35">
        <v>-23.5</v>
      </c>
      <c r="C244" s="35">
        <v>-12</v>
      </c>
      <c r="D244" s="35">
        <v>-23</v>
      </c>
      <c r="E244" s="35">
        <v>-22.9</v>
      </c>
      <c r="F244" s="35">
        <v>-24.6</v>
      </c>
      <c r="G244" s="35">
        <v>-23</v>
      </c>
      <c r="H244" s="35">
        <v>-21.9</v>
      </c>
      <c r="I244" s="35">
        <v>-22.1</v>
      </c>
      <c r="J244" s="35">
        <v>-23</v>
      </c>
      <c r="K244" s="35">
        <v>-21.7</v>
      </c>
      <c r="L244" s="35">
        <v>-17.899999999999999</v>
      </c>
      <c r="M244" s="35">
        <v>-23</v>
      </c>
      <c r="N244" s="35">
        <v>2.2000000000000002</v>
      </c>
      <c r="O244" s="35">
        <v>1.8</v>
      </c>
      <c r="P244" s="35">
        <v>-5</v>
      </c>
      <c r="Q244" s="35">
        <v>-2.8</v>
      </c>
      <c r="R244" s="35">
        <v>17</v>
      </c>
      <c r="S244" s="35">
        <v>-5</v>
      </c>
      <c r="T244" s="35">
        <v>16.2</v>
      </c>
      <c r="U244" s="35">
        <v>40</v>
      </c>
      <c r="V244" s="35">
        <v>16</v>
      </c>
      <c r="W244" s="35">
        <v>40</v>
      </c>
      <c r="X244" s="35">
        <v>16.399999999999999</v>
      </c>
      <c r="Y244" s="35">
        <v>41.6</v>
      </c>
      <c r="Z244" s="35">
        <v>16.899999999999999</v>
      </c>
      <c r="AA244" s="35">
        <v>40.200000000000003</v>
      </c>
      <c r="AB244" s="35">
        <v>21.2</v>
      </c>
      <c r="AC244" s="35">
        <v>20</v>
      </c>
      <c r="AD244" s="35">
        <v>21.2</v>
      </c>
      <c r="AE244" s="35">
        <v>20</v>
      </c>
    </row>
    <row r="245" spans="1:31" x14ac:dyDescent="0.35">
      <c r="A245" s="36">
        <v>46059.620833333334</v>
      </c>
      <c r="B245" s="35">
        <v>-23.6</v>
      </c>
      <c r="C245" s="35">
        <v>-13.1</v>
      </c>
      <c r="D245" s="35">
        <v>-23</v>
      </c>
      <c r="E245" s="35">
        <v>-23.1</v>
      </c>
      <c r="F245" s="35">
        <v>-24.6</v>
      </c>
      <c r="G245" s="35">
        <v>-23</v>
      </c>
      <c r="H245" s="35">
        <v>-21.7</v>
      </c>
      <c r="I245" s="35">
        <v>-22</v>
      </c>
      <c r="J245" s="35">
        <v>-23</v>
      </c>
      <c r="K245" s="35">
        <v>-21.6</v>
      </c>
      <c r="L245" s="35">
        <v>-17.899999999999999</v>
      </c>
      <c r="M245" s="35">
        <v>-23</v>
      </c>
      <c r="N245" s="35">
        <v>2.1</v>
      </c>
      <c r="O245" s="35">
        <v>1.7</v>
      </c>
      <c r="P245" s="35">
        <v>-5</v>
      </c>
      <c r="Q245" s="35">
        <v>-2.8</v>
      </c>
      <c r="R245" s="35">
        <v>16.899999999999999</v>
      </c>
      <c r="S245" s="35">
        <v>-5</v>
      </c>
      <c r="T245" s="35">
        <v>16.2</v>
      </c>
      <c r="U245" s="35">
        <v>40</v>
      </c>
      <c r="V245" s="35">
        <v>16</v>
      </c>
      <c r="W245" s="35">
        <v>40</v>
      </c>
      <c r="X245" s="35">
        <v>16.399999999999999</v>
      </c>
      <c r="Y245" s="35">
        <v>41.6</v>
      </c>
      <c r="Z245" s="35">
        <v>16.899999999999999</v>
      </c>
      <c r="AA245" s="35">
        <v>40.200000000000003</v>
      </c>
      <c r="AB245" s="35">
        <v>21.3</v>
      </c>
      <c r="AC245" s="35">
        <v>20</v>
      </c>
      <c r="AD245" s="35">
        <v>21.2</v>
      </c>
      <c r="AE245" s="35">
        <v>20</v>
      </c>
    </row>
    <row r="246" spans="1:31" x14ac:dyDescent="0.35">
      <c r="A246" s="36">
        <v>46059.621527777781</v>
      </c>
      <c r="B246" s="35">
        <v>-23.3</v>
      </c>
      <c r="C246" s="35">
        <v>-14</v>
      </c>
      <c r="D246" s="35">
        <v>-23</v>
      </c>
      <c r="E246" s="35">
        <v>-23.2</v>
      </c>
      <c r="F246" s="35">
        <v>-23.7</v>
      </c>
      <c r="G246" s="35">
        <v>-23</v>
      </c>
      <c r="H246" s="35">
        <v>-21.7</v>
      </c>
      <c r="I246" s="35">
        <v>-22.1</v>
      </c>
      <c r="J246" s="35">
        <v>-23</v>
      </c>
      <c r="K246" s="35">
        <v>-21.7</v>
      </c>
      <c r="L246" s="35">
        <v>-17.899999999999999</v>
      </c>
      <c r="M246" s="35">
        <v>-23</v>
      </c>
      <c r="N246" s="35">
        <v>2</v>
      </c>
      <c r="O246" s="35">
        <v>1.5</v>
      </c>
      <c r="P246" s="35">
        <v>-5</v>
      </c>
      <c r="Q246" s="35">
        <v>24.6</v>
      </c>
      <c r="R246" s="35">
        <v>16.3</v>
      </c>
      <c r="S246" s="35">
        <v>-5</v>
      </c>
      <c r="T246" s="35">
        <v>16.2</v>
      </c>
      <c r="U246" s="35">
        <v>40</v>
      </c>
      <c r="V246" s="35">
        <v>16</v>
      </c>
      <c r="W246" s="35">
        <v>40</v>
      </c>
      <c r="X246" s="35">
        <v>16.399999999999999</v>
      </c>
      <c r="Y246" s="35">
        <v>41.6</v>
      </c>
      <c r="Z246" s="35">
        <v>16.899999999999999</v>
      </c>
      <c r="AA246" s="35">
        <v>40.200000000000003</v>
      </c>
      <c r="AB246" s="35">
        <v>21.3</v>
      </c>
      <c r="AC246" s="35">
        <v>20</v>
      </c>
      <c r="AD246" s="35">
        <v>21.2</v>
      </c>
      <c r="AE246" s="35">
        <v>20</v>
      </c>
    </row>
    <row r="247" spans="1:31" x14ac:dyDescent="0.35">
      <c r="A247" s="36">
        <v>46059.62222222222</v>
      </c>
      <c r="B247" s="35">
        <v>-22.7</v>
      </c>
      <c r="C247" s="35">
        <v>-14.8</v>
      </c>
      <c r="D247" s="35">
        <v>-23</v>
      </c>
      <c r="E247" s="35">
        <v>-23</v>
      </c>
      <c r="F247" s="35">
        <v>-23.1</v>
      </c>
      <c r="G247" s="35">
        <v>-23</v>
      </c>
      <c r="H247" s="35">
        <v>-21.7</v>
      </c>
      <c r="I247" s="35">
        <v>-22.6</v>
      </c>
      <c r="J247" s="35">
        <v>-23</v>
      </c>
      <c r="K247" s="35">
        <v>-22.1</v>
      </c>
      <c r="L247" s="35">
        <v>-17.899999999999999</v>
      </c>
      <c r="M247" s="35">
        <v>-23</v>
      </c>
      <c r="N247" s="35">
        <v>1.8</v>
      </c>
      <c r="O247" s="35">
        <v>1.3</v>
      </c>
      <c r="P247" s="35">
        <v>-5</v>
      </c>
      <c r="Q247" s="35">
        <v>18.5</v>
      </c>
      <c r="R247" s="35">
        <v>14.8</v>
      </c>
      <c r="S247" s="35">
        <v>-5</v>
      </c>
      <c r="T247" s="35">
        <v>16.2</v>
      </c>
      <c r="U247" s="35">
        <v>40</v>
      </c>
      <c r="V247" s="35">
        <v>16</v>
      </c>
      <c r="W247" s="35">
        <v>40</v>
      </c>
      <c r="X247" s="35">
        <v>16.3</v>
      </c>
      <c r="Y247" s="35">
        <v>41.6</v>
      </c>
      <c r="Z247" s="35">
        <v>16.899999999999999</v>
      </c>
      <c r="AA247" s="35">
        <v>40.200000000000003</v>
      </c>
      <c r="AB247" s="35">
        <v>21.3</v>
      </c>
      <c r="AC247" s="35">
        <v>20</v>
      </c>
      <c r="AD247" s="35">
        <v>21.2</v>
      </c>
      <c r="AE247" s="35">
        <v>20</v>
      </c>
    </row>
    <row r="248" spans="1:31" x14ac:dyDescent="0.35">
      <c r="A248" s="36">
        <v>46059.622916666667</v>
      </c>
      <c r="B248" s="35">
        <v>-22.3</v>
      </c>
      <c r="C248" s="35">
        <v>-15.5</v>
      </c>
      <c r="D248" s="35">
        <v>-23</v>
      </c>
      <c r="E248" s="35">
        <v>-22.7</v>
      </c>
      <c r="F248" s="35">
        <v>-22.7</v>
      </c>
      <c r="G248" s="35">
        <v>-23</v>
      </c>
      <c r="H248" s="35">
        <v>-21.9</v>
      </c>
      <c r="I248" s="35">
        <v>-22.9</v>
      </c>
      <c r="J248" s="35">
        <v>-23</v>
      </c>
      <c r="K248" s="35">
        <v>-22.4</v>
      </c>
      <c r="L248" s="35">
        <v>-17.899999999999999</v>
      </c>
      <c r="M248" s="35">
        <v>-23</v>
      </c>
      <c r="N248" s="35">
        <v>1.7</v>
      </c>
      <c r="O248" s="35">
        <v>1.1000000000000001</v>
      </c>
      <c r="P248" s="35">
        <v>-5</v>
      </c>
      <c r="Q248" s="35">
        <v>11.6</v>
      </c>
      <c r="R248" s="35">
        <v>6.5</v>
      </c>
      <c r="S248" s="35">
        <v>-5</v>
      </c>
      <c r="T248" s="35">
        <v>16.2</v>
      </c>
      <c r="U248" s="35">
        <v>40</v>
      </c>
      <c r="V248" s="35">
        <v>16</v>
      </c>
      <c r="W248" s="35">
        <v>40</v>
      </c>
      <c r="X248" s="35">
        <v>16.3</v>
      </c>
      <c r="Y248" s="35">
        <v>41.6</v>
      </c>
      <c r="Z248" s="35">
        <v>16.899999999999999</v>
      </c>
      <c r="AA248" s="35">
        <v>40.200000000000003</v>
      </c>
      <c r="AB248" s="35">
        <v>21.3</v>
      </c>
      <c r="AC248" s="35">
        <v>20</v>
      </c>
      <c r="AD248" s="35">
        <v>21.2</v>
      </c>
      <c r="AE248" s="35">
        <v>20</v>
      </c>
    </row>
    <row r="249" spans="1:31" x14ac:dyDescent="0.35">
      <c r="A249" s="36">
        <v>46059.623611111114</v>
      </c>
      <c r="B249" s="35">
        <v>-22</v>
      </c>
      <c r="C249" s="35">
        <v>-16</v>
      </c>
      <c r="D249" s="35">
        <v>-23</v>
      </c>
      <c r="E249" s="35">
        <v>-22.3</v>
      </c>
      <c r="F249" s="35">
        <v>-22.4</v>
      </c>
      <c r="G249" s="35">
        <v>-23</v>
      </c>
      <c r="H249" s="35">
        <v>-22.1</v>
      </c>
      <c r="I249" s="35">
        <v>-23</v>
      </c>
      <c r="J249" s="35">
        <v>-23</v>
      </c>
      <c r="K249" s="35">
        <v>-22.7</v>
      </c>
      <c r="L249" s="35">
        <v>-17.899999999999999</v>
      </c>
      <c r="M249" s="35">
        <v>-23</v>
      </c>
      <c r="N249" s="35">
        <v>1.5</v>
      </c>
      <c r="O249" s="35">
        <v>1</v>
      </c>
      <c r="P249" s="35">
        <v>-5</v>
      </c>
      <c r="Q249" s="35">
        <v>5.5</v>
      </c>
      <c r="R249" s="35">
        <v>2.7</v>
      </c>
      <c r="S249" s="35">
        <v>-5</v>
      </c>
      <c r="T249" s="35">
        <v>16.100000000000001</v>
      </c>
      <c r="U249" s="35">
        <v>40</v>
      </c>
      <c r="V249" s="35">
        <v>16</v>
      </c>
      <c r="W249" s="35">
        <v>40</v>
      </c>
      <c r="X249" s="35">
        <v>16.3</v>
      </c>
      <c r="Y249" s="35">
        <v>41.6</v>
      </c>
      <c r="Z249" s="35">
        <v>16.899999999999999</v>
      </c>
      <c r="AA249" s="35">
        <v>40.200000000000003</v>
      </c>
      <c r="AB249" s="35">
        <v>21.3</v>
      </c>
      <c r="AC249" s="35">
        <v>20</v>
      </c>
      <c r="AD249" s="35">
        <v>21.2</v>
      </c>
      <c r="AE249" s="35">
        <v>20</v>
      </c>
    </row>
    <row r="250" spans="1:31" x14ac:dyDescent="0.35">
      <c r="A250" s="36">
        <v>46059.624305555553</v>
      </c>
      <c r="B250" s="35">
        <v>-21.7</v>
      </c>
      <c r="C250" s="35">
        <v>-16.399999999999999</v>
      </c>
      <c r="D250" s="35">
        <v>-23</v>
      </c>
      <c r="E250" s="35">
        <v>-22.1</v>
      </c>
      <c r="F250" s="35">
        <v>-22.1</v>
      </c>
      <c r="G250" s="35">
        <v>-23</v>
      </c>
      <c r="H250" s="35">
        <v>-22.3</v>
      </c>
      <c r="I250" s="35">
        <v>-23.1</v>
      </c>
      <c r="J250" s="35">
        <v>-23</v>
      </c>
      <c r="K250" s="35">
        <v>-22.8</v>
      </c>
      <c r="L250" s="35">
        <v>-17.899999999999999</v>
      </c>
      <c r="M250" s="35">
        <v>-23</v>
      </c>
      <c r="N250" s="35">
        <v>1.4</v>
      </c>
      <c r="O250" s="35">
        <v>0.8</v>
      </c>
      <c r="P250" s="35">
        <v>-5</v>
      </c>
      <c r="Q250" s="35">
        <v>4</v>
      </c>
      <c r="R250" s="35">
        <v>2.2000000000000002</v>
      </c>
      <c r="S250" s="35">
        <v>-5</v>
      </c>
      <c r="T250" s="35">
        <v>16</v>
      </c>
      <c r="U250" s="35">
        <v>40</v>
      </c>
      <c r="V250" s="35">
        <v>16</v>
      </c>
      <c r="W250" s="35">
        <v>40</v>
      </c>
      <c r="X250" s="35">
        <v>16.3</v>
      </c>
      <c r="Y250" s="35">
        <v>41.6</v>
      </c>
      <c r="Z250" s="35">
        <v>16.899999999999999</v>
      </c>
      <c r="AA250" s="35">
        <v>40.200000000000003</v>
      </c>
      <c r="AB250" s="35">
        <v>21.3</v>
      </c>
      <c r="AC250" s="35">
        <v>20</v>
      </c>
      <c r="AD250" s="35">
        <v>21.3</v>
      </c>
      <c r="AE250" s="35">
        <v>20</v>
      </c>
    </row>
    <row r="251" spans="1:31" x14ac:dyDescent="0.35">
      <c r="A251" s="36">
        <v>46059.625</v>
      </c>
      <c r="B251" s="35">
        <v>-21.5</v>
      </c>
      <c r="C251" s="35">
        <v>-16.7</v>
      </c>
      <c r="D251" s="35">
        <v>-23</v>
      </c>
      <c r="E251" s="35">
        <v>-21.8</v>
      </c>
      <c r="F251" s="35">
        <v>-21.8</v>
      </c>
      <c r="G251" s="35">
        <v>-23</v>
      </c>
      <c r="H251" s="35">
        <v>-22.4</v>
      </c>
      <c r="I251" s="35">
        <v>-23.1</v>
      </c>
      <c r="J251" s="35">
        <v>-23</v>
      </c>
      <c r="K251" s="35">
        <v>-22.8</v>
      </c>
      <c r="L251" s="35">
        <v>-17.899999999999999</v>
      </c>
      <c r="M251" s="35">
        <v>-23</v>
      </c>
      <c r="N251" s="35">
        <v>1.3</v>
      </c>
      <c r="O251" s="35">
        <v>0.7</v>
      </c>
      <c r="P251" s="35">
        <v>-5</v>
      </c>
      <c r="Q251" s="35">
        <v>3.1</v>
      </c>
      <c r="R251" s="35">
        <v>1.8</v>
      </c>
      <c r="S251" s="35">
        <v>-5</v>
      </c>
      <c r="T251" s="35">
        <v>16</v>
      </c>
      <c r="U251" s="35">
        <v>40</v>
      </c>
      <c r="V251" s="35">
        <v>15.9</v>
      </c>
      <c r="W251" s="35">
        <v>40</v>
      </c>
      <c r="X251" s="35">
        <v>16.3</v>
      </c>
      <c r="Y251" s="35">
        <v>41.6</v>
      </c>
      <c r="Z251" s="35">
        <v>16.899999999999999</v>
      </c>
      <c r="AA251" s="35">
        <v>40.200000000000003</v>
      </c>
      <c r="AB251" s="35">
        <v>21.3</v>
      </c>
      <c r="AC251" s="35">
        <v>20</v>
      </c>
      <c r="AD251" s="35">
        <v>21.3</v>
      </c>
      <c r="AE251" s="35">
        <v>20</v>
      </c>
    </row>
    <row r="252" spans="1:31" x14ac:dyDescent="0.35">
      <c r="A252" s="36">
        <v>46059.625694444447</v>
      </c>
      <c r="B252" s="35">
        <v>-21.3</v>
      </c>
      <c r="C252" s="35">
        <v>-17</v>
      </c>
      <c r="D252" s="35">
        <v>-23</v>
      </c>
      <c r="E252" s="35">
        <v>-21.6</v>
      </c>
      <c r="F252" s="35">
        <v>-21.6</v>
      </c>
      <c r="G252" s="35">
        <v>-23</v>
      </c>
      <c r="H252" s="35">
        <v>-22.4</v>
      </c>
      <c r="I252" s="35">
        <v>-22.8</v>
      </c>
      <c r="J252" s="35">
        <v>-23</v>
      </c>
      <c r="K252" s="35">
        <v>-22.6</v>
      </c>
      <c r="L252" s="35">
        <v>-17.899999999999999</v>
      </c>
      <c r="M252" s="35">
        <v>-23</v>
      </c>
      <c r="N252" s="35">
        <v>1.2</v>
      </c>
      <c r="O252" s="35">
        <v>0.6</v>
      </c>
      <c r="P252" s="35">
        <v>-5</v>
      </c>
      <c r="Q252" s="35">
        <v>2.5</v>
      </c>
      <c r="R252" s="35">
        <v>1.4</v>
      </c>
      <c r="S252" s="35">
        <v>-5</v>
      </c>
      <c r="T252" s="35">
        <v>16</v>
      </c>
      <c r="U252" s="35">
        <v>40</v>
      </c>
      <c r="V252" s="35">
        <v>15.9</v>
      </c>
      <c r="W252" s="35">
        <v>40</v>
      </c>
      <c r="X252" s="35">
        <v>16.3</v>
      </c>
      <c r="Y252" s="35">
        <v>41.6</v>
      </c>
      <c r="Z252" s="35">
        <v>16.8</v>
      </c>
      <c r="AA252" s="35">
        <v>40.200000000000003</v>
      </c>
      <c r="AB252" s="35">
        <v>21.3</v>
      </c>
      <c r="AC252" s="35">
        <v>20</v>
      </c>
      <c r="AD252" s="35">
        <v>21.3</v>
      </c>
      <c r="AE252" s="35">
        <v>20</v>
      </c>
    </row>
    <row r="253" spans="1:31" x14ac:dyDescent="0.35">
      <c r="A253" s="36">
        <v>46059.626388888886</v>
      </c>
      <c r="B253" s="35">
        <v>-21.1</v>
      </c>
      <c r="C253" s="35">
        <v>-17.2</v>
      </c>
      <c r="D253" s="35">
        <v>-23</v>
      </c>
      <c r="E253" s="35">
        <v>-21.4</v>
      </c>
      <c r="F253" s="35">
        <v>-21.4</v>
      </c>
      <c r="G253" s="35">
        <v>-23</v>
      </c>
      <c r="H253" s="35">
        <v>-22.4</v>
      </c>
      <c r="I253" s="35">
        <v>-22.4</v>
      </c>
      <c r="J253" s="35">
        <v>-23</v>
      </c>
      <c r="K253" s="35">
        <v>-22.3</v>
      </c>
      <c r="L253" s="35">
        <v>-19.3</v>
      </c>
      <c r="M253" s="35">
        <v>-23</v>
      </c>
      <c r="N253" s="35">
        <v>1.1000000000000001</v>
      </c>
      <c r="O253" s="35">
        <v>0.5</v>
      </c>
      <c r="P253" s="35">
        <v>-5</v>
      </c>
      <c r="Q253" s="35">
        <v>2.1</v>
      </c>
      <c r="R253" s="35">
        <v>1</v>
      </c>
      <c r="S253" s="35">
        <v>-5</v>
      </c>
      <c r="T253" s="35">
        <v>16</v>
      </c>
      <c r="U253" s="35">
        <v>40</v>
      </c>
      <c r="V253" s="35">
        <v>15.9</v>
      </c>
      <c r="W253" s="35">
        <v>40</v>
      </c>
      <c r="X253" s="35">
        <v>16.3</v>
      </c>
      <c r="Y253" s="35">
        <v>41.6</v>
      </c>
      <c r="Z253" s="35">
        <v>16.8</v>
      </c>
      <c r="AA253" s="35">
        <v>40.200000000000003</v>
      </c>
      <c r="AB253" s="35">
        <v>21.3</v>
      </c>
      <c r="AC253" s="35">
        <v>20</v>
      </c>
      <c r="AD253" s="35">
        <v>21.3</v>
      </c>
      <c r="AE253" s="35">
        <v>20</v>
      </c>
    </row>
    <row r="254" spans="1:31" x14ac:dyDescent="0.35">
      <c r="A254" s="36">
        <v>46059.627083333333</v>
      </c>
      <c r="B254" s="35">
        <v>-20.9</v>
      </c>
      <c r="C254" s="35">
        <v>-17.399999999999999</v>
      </c>
      <c r="D254" s="35">
        <v>-23</v>
      </c>
      <c r="E254" s="35">
        <v>-21.3</v>
      </c>
      <c r="F254" s="35">
        <v>-21.2</v>
      </c>
      <c r="G254" s="35">
        <v>-23</v>
      </c>
      <c r="H254" s="35">
        <v>-22.4</v>
      </c>
      <c r="I254" s="35">
        <v>-19.100000000000001</v>
      </c>
      <c r="J254" s="35">
        <v>-23</v>
      </c>
      <c r="K254" s="35">
        <v>-22.1</v>
      </c>
      <c r="L254" s="35">
        <v>-21.1</v>
      </c>
      <c r="M254" s="35">
        <v>-23</v>
      </c>
      <c r="N254" s="35">
        <v>1</v>
      </c>
      <c r="O254" s="35">
        <v>0.3</v>
      </c>
      <c r="P254" s="35">
        <v>-5</v>
      </c>
      <c r="Q254" s="35">
        <v>1.8</v>
      </c>
      <c r="R254" s="35">
        <v>0.7</v>
      </c>
      <c r="S254" s="35">
        <v>-5</v>
      </c>
      <c r="T254" s="35">
        <v>16</v>
      </c>
      <c r="U254" s="35">
        <v>40</v>
      </c>
      <c r="V254" s="35">
        <v>15.9</v>
      </c>
      <c r="W254" s="35">
        <v>40</v>
      </c>
      <c r="X254" s="35">
        <v>16.2</v>
      </c>
      <c r="Y254" s="35">
        <v>41.6</v>
      </c>
      <c r="Z254" s="35">
        <v>16.8</v>
      </c>
      <c r="AA254" s="35">
        <v>40.200000000000003</v>
      </c>
      <c r="AB254" s="35">
        <v>21.3</v>
      </c>
      <c r="AC254" s="35">
        <v>20</v>
      </c>
      <c r="AD254" s="35">
        <v>21.3</v>
      </c>
      <c r="AE254" s="35">
        <v>20</v>
      </c>
    </row>
    <row r="255" spans="1:31" x14ac:dyDescent="0.35">
      <c r="A255" s="36">
        <v>46059.62777777778</v>
      </c>
      <c r="B255" s="35">
        <v>-20.8</v>
      </c>
      <c r="C255" s="35">
        <v>-17.5</v>
      </c>
      <c r="D255" s="35">
        <v>-23</v>
      </c>
      <c r="E255" s="35">
        <v>-21.1</v>
      </c>
      <c r="F255" s="35">
        <v>-21.1</v>
      </c>
      <c r="G255" s="35">
        <v>-23</v>
      </c>
      <c r="H255" s="35">
        <v>-22.4</v>
      </c>
      <c r="I255" s="35">
        <v>-14.3</v>
      </c>
      <c r="J255" s="35">
        <v>-23</v>
      </c>
      <c r="K255" s="35">
        <v>-21.8</v>
      </c>
      <c r="L255" s="35">
        <v>-21.2</v>
      </c>
      <c r="M255" s="35">
        <v>-23</v>
      </c>
      <c r="N255" s="35">
        <v>0.9</v>
      </c>
      <c r="O255" s="35">
        <v>0.2</v>
      </c>
      <c r="P255" s="35">
        <v>-5</v>
      </c>
      <c r="Q255" s="35">
        <v>1.4</v>
      </c>
      <c r="R255" s="35">
        <v>0.4</v>
      </c>
      <c r="S255" s="35">
        <v>-5</v>
      </c>
      <c r="T255" s="35">
        <v>16</v>
      </c>
      <c r="U255" s="35">
        <v>40</v>
      </c>
      <c r="V255" s="35">
        <v>15.9</v>
      </c>
      <c r="W255" s="35">
        <v>40</v>
      </c>
      <c r="X255" s="35">
        <v>16.2</v>
      </c>
      <c r="Y255" s="35">
        <v>41.6</v>
      </c>
      <c r="Z255" s="35">
        <v>16.8</v>
      </c>
      <c r="AA255" s="35">
        <v>40.200000000000003</v>
      </c>
      <c r="AB255" s="35">
        <v>21.3</v>
      </c>
      <c r="AC255" s="35">
        <v>20</v>
      </c>
      <c r="AD255" s="35">
        <v>21.3</v>
      </c>
      <c r="AE255" s="35">
        <v>20</v>
      </c>
    </row>
    <row r="256" spans="1:31" x14ac:dyDescent="0.35">
      <c r="A256" s="36">
        <v>46059.628472222219</v>
      </c>
      <c r="B256" s="35">
        <v>-20.7</v>
      </c>
      <c r="C256" s="35">
        <v>-17.600000000000001</v>
      </c>
      <c r="D256" s="35">
        <v>-23</v>
      </c>
      <c r="E256" s="35">
        <v>-21</v>
      </c>
      <c r="F256" s="35">
        <v>-20.9</v>
      </c>
      <c r="G256" s="35">
        <v>-23</v>
      </c>
      <c r="H256" s="35">
        <v>-22.4</v>
      </c>
      <c r="I256" s="35">
        <v>-9.4</v>
      </c>
      <c r="J256" s="35">
        <v>-23</v>
      </c>
      <c r="K256" s="35">
        <v>-21.6</v>
      </c>
      <c r="L256" s="35">
        <v>-21.2</v>
      </c>
      <c r="M256" s="35">
        <v>-23</v>
      </c>
      <c r="N256" s="35">
        <v>0.8</v>
      </c>
      <c r="O256" s="35">
        <v>0.1</v>
      </c>
      <c r="P256" s="35">
        <v>-5</v>
      </c>
      <c r="Q256" s="35">
        <v>1.2</v>
      </c>
      <c r="R256" s="35">
        <v>0.2</v>
      </c>
      <c r="S256" s="35">
        <v>-5</v>
      </c>
      <c r="T256" s="35">
        <v>16</v>
      </c>
      <c r="U256" s="35">
        <v>40</v>
      </c>
      <c r="V256" s="35">
        <v>15.9</v>
      </c>
      <c r="W256" s="35">
        <v>40</v>
      </c>
      <c r="X256" s="35">
        <v>16.2</v>
      </c>
      <c r="Y256" s="35">
        <v>41.6</v>
      </c>
      <c r="Z256" s="35">
        <v>16.8</v>
      </c>
      <c r="AA256" s="35">
        <v>40.200000000000003</v>
      </c>
      <c r="AB256" s="35">
        <v>21.3</v>
      </c>
      <c r="AC256" s="35">
        <v>20</v>
      </c>
      <c r="AD256" s="35">
        <v>21.3</v>
      </c>
      <c r="AE256" s="35">
        <v>20</v>
      </c>
    </row>
    <row r="257" spans="1:31" x14ac:dyDescent="0.35">
      <c r="A257" s="36">
        <v>46059.629166666666</v>
      </c>
      <c r="B257" s="35">
        <v>-20.9</v>
      </c>
      <c r="C257" s="35">
        <v>-17.600000000000001</v>
      </c>
      <c r="D257" s="35">
        <v>-23</v>
      </c>
      <c r="E257" s="35">
        <v>-20.9</v>
      </c>
      <c r="F257" s="35">
        <v>-20.9</v>
      </c>
      <c r="G257" s="35">
        <v>-23</v>
      </c>
      <c r="H257" s="35">
        <v>-22.4</v>
      </c>
      <c r="I257" s="35">
        <v>-4.3</v>
      </c>
      <c r="J257" s="35">
        <v>-23</v>
      </c>
      <c r="K257" s="35">
        <v>-21.4</v>
      </c>
      <c r="L257" s="35">
        <v>-21.1</v>
      </c>
      <c r="M257" s="35">
        <v>-23</v>
      </c>
      <c r="N257" s="35">
        <v>0.7</v>
      </c>
      <c r="O257" s="35">
        <v>0</v>
      </c>
      <c r="P257" s="35">
        <v>-5</v>
      </c>
      <c r="Q257" s="35">
        <v>1</v>
      </c>
      <c r="R257" s="35">
        <v>0</v>
      </c>
      <c r="S257" s="35">
        <v>-5</v>
      </c>
      <c r="T257" s="35">
        <v>16</v>
      </c>
      <c r="U257" s="35">
        <v>9</v>
      </c>
      <c r="V257" s="35">
        <v>15.7</v>
      </c>
      <c r="W257" s="35">
        <v>40</v>
      </c>
      <c r="X257" s="35">
        <v>15.9</v>
      </c>
      <c r="Y257" s="35">
        <v>41.6</v>
      </c>
      <c r="Z257" s="35">
        <v>16.8</v>
      </c>
      <c r="AA257" s="35">
        <v>40.200000000000003</v>
      </c>
      <c r="AB257" s="35">
        <v>21.3</v>
      </c>
      <c r="AC257" s="35">
        <v>20</v>
      </c>
      <c r="AD257" s="35">
        <v>21.3</v>
      </c>
      <c r="AE257" s="35">
        <v>20</v>
      </c>
    </row>
    <row r="258" spans="1:31" x14ac:dyDescent="0.35">
      <c r="A258" s="36">
        <v>46059.629861111112</v>
      </c>
      <c r="B258" s="35">
        <v>-21.3</v>
      </c>
      <c r="C258" s="35">
        <v>-17.7</v>
      </c>
      <c r="D258" s="35">
        <v>-23</v>
      </c>
      <c r="E258" s="35">
        <v>-21</v>
      </c>
      <c r="F258" s="35">
        <v>-21</v>
      </c>
      <c r="G258" s="35">
        <v>-23</v>
      </c>
      <c r="H258" s="35">
        <v>-22.4</v>
      </c>
      <c r="I258" s="35">
        <v>-2.1</v>
      </c>
      <c r="J258" s="35">
        <v>-23</v>
      </c>
      <c r="K258" s="35">
        <v>-21.2</v>
      </c>
      <c r="L258" s="35">
        <v>-21</v>
      </c>
      <c r="M258" s="35">
        <v>-23</v>
      </c>
      <c r="N258" s="35">
        <v>0.7</v>
      </c>
      <c r="O258" s="35">
        <v>0</v>
      </c>
      <c r="P258" s="35">
        <v>-5</v>
      </c>
      <c r="Q258" s="35">
        <v>0.9</v>
      </c>
      <c r="R258" s="35">
        <v>-0.1</v>
      </c>
      <c r="S258" s="35">
        <v>-5</v>
      </c>
      <c r="T258" s="35">
        <v>15.5</v>
      </c>
      <c r="U258" s="35">
        <v>9</v>
      </c>
      <c r="V258" s="35">
        <v>15.4</v>
      </c>
      <c r="W258" s="35">
        <v>9</v>
      </c>
      <c r="X258" s="35">
        <v>15.6</v>
      </c>
      <c r="Y258" s="35">
        <v>41.6</v>
      </c>
      <c r="Z258" s="35">
        <v>16.5</v>
      </c>
      <c r="AA258" s="35">
        <v>40.200000000000003</v>
      </c>
      <c r="AB258" s="35">
        <v>21.3</v>
      </c>
      <c r="AC258" s="35">
        <v>20</v>
      </c>
      <c r="AD258" s="35">
        <v>21.3</v>
      </c>
      <c r="AE258" s="35">
        <v>20</v>
      </c>
    </row>
    <row r="259" spans="1:31" x14ac:dyDescent="0.35">
      <c r="A259" s="36">
        <v>46059.630555555559</v>
      </c>
      <c r="B259" s="35">
        <v>-21.7</v>
      </c>
      <c r="C259" s="35">
        <v>-17.899999999999999</v>
      </c>
      <c r="D259" s="35">
        <v>-23</v>
      </c>
      <c r="E259" s="35">
        <v>-21.3</v>
      </c>
      <c r="F259" s="35">
        <v>-22</v>
      </c>
      <c r="G259" s="35">
        <v>-23</v>
      </c>
      <c r="H259" s="35">
        <v>-22.4</v>
      </c>
      <c r="I259" s="35">
        <v>2.2999999999999998</v>
      </c>
      <c r="J259" s="35">
        <v>-23</v>
      </c>
      <c r="K259" s="35">
        <v>-21.1</v>
      </c>
      <c r="L259" s="35">
        <v>-20.8</v>
      </c>
      <c r="M259" s="35">
        <v>-23</v>
      </c>
      <c r="N259" s="35">
        <v>0.6</v>
      </c>
      <c r="O259" s="35">
        <v>0</v>
      </c>
      <c r="P259" s="35">
        <v>-5</v>
      </c>
      <c r="Q259" s="35">
        <v>0.7</v>
      </c>
      <c r="R259" s="35">
        <v>-0.2</v>
      </c>
      <c r="S259" s="35">
        <v>-5</v>
      </c>
      <c r="T259" s="35">
        <v>15</v>
      </c>
      <c r="U259" s="35">
        <v>9</v>
      </c>
      <c r="V259" s="35">
        <v>15.1</v>
      </c>
      <c r="W259" s="35">
        <v>9</v>
      </c>
      <c r="X259" s="35">
        <v>15.4</v>
      </c>
      <c r="Y259" s="35">
        <v>41.6</v>
      </c>
      <c r="Z259" s="35">
        <v>16.3</v>
      </c>
      <c r="AA259" s="35">
        <v>9</v>
      </c>
      <c r="AB259" s="35">
        <v>21.3</v>
      </c>
      <c r="AC259" s="35">
        <v>20</v>
      </c>
      <c r="AD259" s="35">
        <v>21.3</v>
      </c>
      <c r="AE259" s="35">
        <v>20</v>
      </c>
    </row>
    <row r="260" spans="1:31" x14ac:dyDescent="0.35">
      <c r="A260" s="36">
        <v>46059.631249999999</v>
      </c>
      <c r="B260" s="35">
        <v>-22</v>
      </c>
      <c r="C260" s="35">
        <v>-18</v>
      </c>
      <c r="D260" s="35">
        <v>-23</v>
      </c>
      <c r="E260" s="35">
        <v>-21.6</v>
      </c>
      <c r="F260" s="35">
        <v>-22.2</v>
      </c>
      <c r="G260" s="35">
        <v>-23</v>
      </c>
      <c r="H260" s="35">
        <v>-22.4</v>
      </c>
      <c r="I260" s="35">
        <v>8.6</v>
      </c>
      <c r="J260" s="35">
        <v>-23</v>
      </c>
      <c r="K260" s="35">
        <v>-20.9</v>
      </c>
      <c r="L260" s="35">
        <v>-20.7</v>
      </c>
      <c r="M260" s="35">
        <v>-23</v>
      </c>
      <c r="N260" s="35">
        <v>0.5</v>
      </c>
      <c r="O260" s="35">
        <v>0</v>
      </c>
      <c r="P260" s="35">
        <v>-5</v>
      </c>
      <c r="Q260" s="35">
        <v>0.7</v>
      </c>
      <c r="R260" s="35">
        <v>-0.4</v>
      </c>
      <c r="S260" s="35">
        <v>-5</v>
      </c>
      <c r="T260" s="35">
        <v>14.3</v>
      </c>
      <c r="U260" s="35">
        <v>9</v>
      </c>
      <c r="V260" s="35">
        <v>14.7</v>
      </c>
      <c r="W260" s="35">
        <v>9</v>
      </c>
      <c r="X260" s="35">
        <v>15.2</v>
      </c>
      <c r="Y260" s="35">
        <v>9</v>
      </c>
      <c r="Z260" s="35">
        <v>16.100000000000001</v>
      </c>
      <c r="AA260" s="35">
        <v>9</v>
      </c>
      <c r="AB260" s="35">
        <v>21.3</v>
      </c>
      <c r="AC260" s="35">
        <v>20</v>
      </c>
      <c r="AD260" s="35">
        <v>21.3</v>
      </c>
      <c r="AE260" s="35">
        <v>20</v>
      </c>
    </row>
    <row r="261" spans="1:31" x14ac:dyDescent="0.35">
      <c r="A261" s="36">
        <v>46059.631944444445</v>
      </c>
      <c r="B261" s="35">
        <v>-22</v>
      </c>
      <c r="C261" s="35">
        <v>-18.2</v>
      </c>
      <c r="D261" s="35">
        <v>-23</v>
      </c>
      <c r="E261" s="35">
        <v>-21.7</v>
      </c>
      <c r="F261" s="35">
        <v>-22</v>
      </c>
      <c r="G261" s="35">
        <v>-23</v>
      </c>
      <c r="H261" s="35">
        <v>-22.4</v>
      </c>
      <c r="I261" s="35">
        <v>12.6</v>
      </c>
      <c r="J261" s="35">
        <v>-23</v>
      </c>
      <c r="K261" s="35">
        <v>-20.9</v>
      </c>
      <c r="L261" s="35">
        <v>-20.7</v>
      </c>
      <c r="M261" s="35">
        <v>-23</v>
      </c>
      <c r="N261" s="35">
        <v>0.5</v>
      </c>
      <c r="O261" s="35">
        <v>0</v>
      </c>
      <c r="P261" s="35">
        <v>-5</v>
      </c>
      <c r="Q261" s="35">
        <v>0.6</v>
      </c>
      <c r="R261" s="35">
        <v>-0.5</v>
      </c>
      <c r="S261" s="35">
        <v>-5</v>
      </c>
      <c r="T261" s="35">
        <v>13.7</v>
      </c>
      <c r="U261" s="35">
        <v>9</v>
      </c>
      <c r="V261" s="35">
        <v>14.3</v>
      </c>
      <c r="W261" s="35">
        <v>9</v>
      </c>
      <c r="X261" s="35">
        <v>14.8</v>
      </c>
      <c r="Y261" s="35">
        <v>9</v>
      </c>
      <c r="Z261" s="35">
        <v>15.9</v>
      </c>
      <c r="AA261" s="35">
        <v>9</v>
      </c>
      <c r="AB261" s="35">
        <v>21.4</v>
      </c>
      <c r="AC261" s="35">
        <v>20</v>
      </c>
      <c r="AD261" s="35">
        <v>21.3</v>
      </c>
      <c r="AE261" s="35">
        <v>20</v>
      </c>
    </row>
    <row r="262" spans="1:31" x14ac:dyDescent="0.35">
      <c r="A262" s="36">
        <v>46059.632638888892</v>
      </c>
      <c r="B262" s="35">
        <v>-21.6</v>
      </c>
      <c r="C262" s="35">
        <v>-18.3</v>
      </c>
      <c r="D262" s="35">
        <v>-23</v>
      </c>
      <c r="E262" s="35">
        <v>-21.7</v>
      </c>
      <c r="F262" s="35">
        <v>-21.7</v>
      </c>
      <c r="G262" s="35">
        <v>-23</v>
      </c>
      <c r="H262" s="35">
        <v>-22.4</v>
      </c>
      <c r="I262" s="35">
        <v>15.7</v>
      </c>
      <c r="J262" s="35">
        <v>-23</v>
      </c>
      <c r="K262" s="35">
        <v>-20.9</v>
      </c>
      <c r="L262" s="35">
        <v>-20.8</v>
      </c>
      <c r="M262" s="35">
        <v>-23</v>
      </c>
      <c r="N262" s="35">
        <v>0.4</v>
      </c>
      <c r="O262" s="35">
        <v>0</v>
      </c>
      <c r="P262" s="35">
        <v>-5</v>
      </c>
      <c r="Q262" s="35">
        <v>0.3</v>
      </c>
      <c r="R262" s="35">
        <v>-0.7</v>
      </c>
      <c r="S262" s="35">
        <v>-5</v>
      </c>
      <c r="T262" s="35">
        <v>13.3</v>
      </c>
      <c r="U262" s="35">
        <v>9</v>
      </c>
      <c r="V262" s="35">
        <v>13.8</v>
      </c>
      <c r="W262" s="35">
        <v>9</v>
      </c>
      <c r="X262" s="35">
        <v>14.4</v>
      </c>
      <c r="Y262" s="35">
        <v>9</v>
      </c>
      <c r="Z262" s="35">
        <v>15.8</v>
      </c>
      <c r="AA262" s="35">
        <v>9</v>
      </c>
      <c r="AB262" s="35">
        <v>21.4</v>
      </c>
      <c r="AC262" s="35">
        <v>20</v>
      </c>
      <c r="AD262" s="35">
        <v>21.3</v>
      </c>
      <c r="AE262" s="35">
        <v>20</v>
      </c>
    </row>
    <row r="263" spans="1:31" x14ac:dyDescent="0.35">
      <c r="A263" s="36">
        <v>46059.633333333331</v>
      </c>
      <c r="B263" s="35">
        <v>-21.3</v>
      </c>
      <c r="C263" s="35">
        <v>-18.5</v>
      </c>
      <c r="D263" s="35">
        <v>-23</v>
      </c>
      <c r="E263" s="35">
        <v>-21.5</v>
      </c>
      <c r="F263" s="35">
        <v>-21.4</v>
      </c>
      <c r="G263" s="35">
        <v>-23</v>
      </c>
      <c r="H263" s="35">
        <v>-22.4</v>
      </c>
      <c r="I263" s="35">
        <v>17.600000000000001</v>
      </c>
      <c r="J263" s="35">
        <v>-23</v>
      </c>
      <c r="K263" s="35">
        <v>-20.9</v>
      </c>
      <c r="L263" s="35">
        <v>-21</v>
      </c>
      <c r="M263" s="35">
        <v>-23</v>
      </c>
      <c r="N263" s="35">
        <v>0.3</v>
      </c>
      <c r="O263" s="35">
        <v>0</v>
      </c>
      <c r="P263" s="35">
        <v>-5</v>
      </c>
      <c r="Q263" s="35">
        <v>0.2</v>
      </c>
      <c r="R263" s="35">
        <v>-0.7</v>
      </c>
      <c r="S263" s="35">
        <v>-5</v>
      </c>
      <c r="T263" s="35">
        <v>12.9</v>
      </c>
      <c r="U263" s="35">
        <v>9</v>
      </c>
      <c r="V263" s="35">
        <v>13.4</v>
      </c>
      <c r="W263" s="35">
        <v>9</v>
      </c>
      <c r="X263" s="35">
        <v>13.9</v>
      </c>
      <c r="Y263" s="35">
        <v>9</v>
      </c>
      <c r="Z263" s="35">
        <v>15.6</v>
      </c>
      <c r="AA263" s="35">
        <v>9</v>
      </c>
      <c r="AB263" s="35">
        <v>21.4</v>
      </c>
      <c r="AC263" s="35">
        <v>20</v>
      </c>
      <c r="AD263" s="35">
        <v>21.3</v>
      </c>
      <c r="AE263" s="35">
        <v>20</v>
      </c>
    </row>
    <row r="264" spans="1:31" x14ac:dyDescent="0.35">
      <c r="A264" s="36">
        <v>46059.634027777778</v>
      </c>
      <c r="B264" s="35">
        <v>-21</v>
      </c>
      <c r="C264" s="35">
        <v>-18.5</v>
      </c>
      <c r="D264" s="35">
        <v>-23</v>
      </c>
      <c r="E264" s="35">
        <v>-21.3</v>
      </c>
      <c r="F264" s="35">
        <v>-21.2</v>
      </c>
      <c r="G264" s="35">
        <v>-23</v>
      </c>
      <c r="H264" s="35">
        <v>-22.4</v>
      </c>
      <c r="I264" s="35">
        <v>18.600000000000001</v>
      </c>
      <c r="J264" s="35">
        <v>-23</v>
      </c>
      <c r="K264" s="35">
        <v>-21</v>
      </c>
      <c r="L264" s="35">
        <v>-21.1</v>
      </c>
      <c r="M264" s="35">
        <v>-23</v>
      </c>
      <c r="N264" s="35">
        <v>0.3</v>
      </c>
      <c r="O264" s="35">
        <v>-0.1</v>
      </c>
      <c r="P264" s="35">
        <v>-5</v>
      </c>
      <c r="Q264" s="35">
        <v>0.1</v>
      </c>
      <c r="R264" s="35">
        <v>-0.8</v>
      </c>
      <c r="S264" s="35">
        <v>-5</v>
      </c>
      <c r="T264" s="35">
        <v>12.5</v>
      </c>
      <c r="U264" s="35">
        <v>9</v>
      </c>
      <c r="V264" s="35">
        <v>13</v>
      </c>
      <c r="W264" s="35">
        <v>9</v>
      </c>
      <c r="X264" s="35">
        <v>13.5</v>
      </c>
      <c r="Y264" s="35">
        <v>9</v>
      </c>
      <c r="Z264" s="35">
        <v>15.5</v>
      </c>
      <c r="AA264" s="35">
        <v>9</v>
      </c>
      <c r="AB264" s="35">
        <v>21.4</v>
      </c>
      <c r="AC264" s="35">
        <v>20</v>
      </c>
      <c r="AD264" s="35">
        <v>21.3</v>
      </c>
      <c r="AE264" s="35">
        <v>20</v>
      </c>
    </row>
    <row r="265" spans="1:31" x14ac:dyDescent="0.35">
      <c r="A265" s="36">
        <v>46059.634722222225</v>
      </c>
      <c r="B265" s="35">
        <v>-20.8</v>
      </c>
      <c r="C265" s="35">
        <v>-18.600000000000001</v>
      </c>
      <c r="D265" s="35">
        <v>-23</v>
      </c>
      <c r="E265" s="35">
        <v>-21.1</v>
      </c>
      <c r="F265" s="35">
        <v>-21</v>
      </c>
      <c r="G265" s="35">
        <v>-23</v>
      </c>
      <c r="H265" s="35">
        <v>-22.4</v>
      </c>
      <c r="I265" s="35">
        <v>20.2</v>
      </c>
      <c r="J265" s="35">
        <v>-23</v>
      </c>
      <c r="K265" s="35">
        <v>-21.1</v>
      </c>
      <c r="L265" s="35">
        <v>-21.3</v>
      </c>
      <c r="M265" s="35">
        <v>-23</v>
      </c>
      <c r="N265" s="35">
        <v>0.2</v>
      </c>
      <c r="O265" s="35">
        <v>-0.1</v>
      </c>
      <c r="P265" s="35">
        <v>-5</v>
      </c>
      <c r="Q265" s="35">
        <v>0</v>
      </c>
      <c r="R265" s="35">
        <v>-0.9</v>
      </c>
      <c r="S265" s="35">
        <v>-5</v>
      </c>
      <c r="T265" s="35">
        <v>12.1</v>
      </c>
      <c r="U265" s="35">
        <v>9</v>
      </c>
      <c r="V265" s="35">
        <v>12.6</v>
      </c>
      <c r="W265" s="35">
        <v>9</v>
      </c>
      <c r="X265" s="35">
        <v>13.2</v>
      </c>
      <c r="Y265" s="35">
        <v>9</v>
      </c>
      <c r="Z265" s="35">
        <v>15.4</v>
      </c>
      <c r="AA265" s="35">
        <v>9</v>
      </c>
      <c r="AB265" s="35">
        <v>21.4</v>
      </c>
      <c r="AC265" s="35">
        <v>20</v>
      </c>
      <c r="AD265" s="35">
        <v>21.3</v>
      </c>
      <c r="AE265" s="35">
        <v>20</v>
      </c>
    </row>
    <row r="266" spans="1:31" x14ac:dyDescent="0.35">
      <c r="A266" s="36">
        <v>46059.635416666664</v>
      </c>
      <c r="B266" s="35">
        <v>-20.8</v>
      </c>
      <c r="C266" s="35">
        <v>-18.600000000000001</v>
      </c>
      <c r="D266" s="35">
        <v>-23</v>
      </c>
      <c r="E266" s="35">
        <v>-20.9</v>
      </c>
      <c r="F266" s="35">
        <v>-20.8</v>
      </c>
      <c r="G266" s="35">
        <v>-23</v>
      </c>
      <c r="H266" s="35">
        <v>-22.4</v>
      </c>
      <c r="I266" s="35">
        <v>21.6</v>
      </c>
      <c r="J266" s="35">
        <v>-23</v>
      </c>
      <c r="K266" s="35">
        <v>-21.3</v>
      </c>
      <c r="L266" s="35">
        <v>-21.4</v>
      </c>
      <c r="M266" s="35">
        <v>-23</v>
      </c>
      <c r="N266" s="35">
        <v>0.1</v>
      </c>
      <c r="O266" s="35">
        <v>-0.2</v>
      </c>
      <c r="P266" s="35">
        <v>-5</v>
      </c>
      <c r="Q266" s="35">
        <v>0</v>
      </c>
      <c r="R266" s="35">
        <v>-1</v>
      </c>
      <c r="S266" s="35">
        <v>-5</v>
      </c>
      <c r="T266" s="35">
        <v>11.8</v>
      </c>
      <c r="U266" s="35">
        <v>9</v>
      </c>
      <c r="V266" s="35">
        <v>12.3</v>
      </c>
      <c r="W266" s="35">
        <v>9</v>
      </c>
      <c r="X266" s="35">
        <v>12.8</v>
      </c>
      <c r="Y266" s="35">
        <v>9</v>
      </c>
      <c r="Z266" s="35">
        <v>15.3</v>
      </c>
      <c r="AA266" s="35">
        <v>9</v>
      </c>
      <c r="AB266" s="35">
        <v>21.4</v>
      </c>
      <c r="AC266" s="35">
        <v>20</v>
      </c>
      <c r="AD266" s="35">
        <v>21.3</v>
      </c>
      <c r="AE266" s="35">
        <v>20</v>
      </c>
    </row>
    <row r="267" spans="1:31" x14ac:dyDescent="0.35">
      <c r="A267" s="36">
        <v>46059.636111111111</v>
      </c>
      <c r="B267" s="35">
        <v>-20.8</v>
      </c>
      <c r="C267" s="35">
        <v>-18.600000000000001</v>
      </c>
      <c r="D267" s="35">
        <v>-23</v>
      </c>
      <c r="E267" s="35">
        <v>-20.8</v>
      </c>
      <c r="F267" s="35">
        <v>-20.7</v>
      </c>
      <c r="G267" s="35">
        <v>-23</v>
      </c>
      <c r="H267" s="35">
        <v>-22.4</v>
      </c>
      <c r="I267" s="35">
        <v>22.9</v>
      </c>
      <c r="J267" s="35">
        <v>-23</v>
      </c>
      <c r="K267" s="35">
        <v>-21.4</v>
      </c>
      <c r="L267" s="35">
        <v>-21.5</v>
      </c>
      <c r="M267" s="35">
        <v>-23</v>
      </c>
      <c r="N267" s="35">
        <v>0.1</v>
      </c>
      <c r="O267" s="35">
        <v>-0.3</v>
      </c>
      <c r="P267" s="35">
        <v>-5</v>
      </c>
      <c r="Q267" s="35">
        <v>-0.1</v>
      </c>
      <c r="R267" s="35">
        <v>-1</v>
      </c>
      <c r="S267" s="35">
        <v>-5</v>
      </c>
      <c r="T267" s="35">
        <v>11.5</v>
      </c>
      <c r="U267" s="35">
        <v>9</v>
      </c>
      <c r="V267" s="35">
        <v>12</v>
      </c>
      <c r="W267" s="35">
        <v>9</v>
      </c>
      <c r="X267" s="35">
        <v>12.5</v>
      </c>
      <c r="Y267" s="35">
        <v>9</v>
      </c>
      <c r="Z267" s="35">
        <v>15.1</v>
      </c>
      <c r="AA267" s="35">
        <v>9</v>
      </c>
      <c r="AB267" s="35">
        <v>21.4</v>
      </c>
      <c r="AC267" s="35">
        <v>20</v>
      </c>
      <c r="AD267" s="35">
        <v>21.3</v>
      </c>
      <c r="AE267" s="35">
        <v>20</v>
      </c>
    </row>
    <row r="268" spans="1:31" x14ac:dyDescent="0.35">
      <c r="A268" s="36">
        <v>46059.636805555558</v>
      </c>
      <c r="B268" s="35">
        <v>-20.8</v>
      </c>
      <c r="C268" s="35">
        <v>-18.600000000000001</v>
      </c>
      <c r="D268" s="35">
        <v>-23</v>
      </c>
      <c r="E268" s="35">
        <v>-20.8</v>
      </c>
      <c r="F268" s="35">
        <v>-20.7</v>
      </c>
      <c r="G268" s="35">
        <v>-23</v>
      </c>
      <c r="H268" s="35">
        <v>-22.4</v>
      </c>
      <c r="I268" s="35">
        <v>24</v>
      </c>
      <c r="J268" s="35">
        <v>-23</v>
      </c>
      <c r="K268" s="35">
        <v>-21.4</v>
      </c>
      <c r="L268" s="35">
        <v>-21.5</v>
      </c>
      <c r="M268" s="35">
        <v>-23</v>
      </c>
      <c r="N268" s="35">
        <v>0.1</v>
      </c>
      <c r="O268" s="35">
        <v>-0.4</v>
      </c>
      <c r="P268" s="35">
        <v>-5</v>
      </c>
      <c r="Q268" s="35">
        <v>-0.2</v>
      </c>
      <c r="R268" s="35">
        <v>-1.1000000000000001</v>
      </c>
      <c r="S268" s="35">
        <v>-5</v>
      </c>
      <c r="T268" s="35">
        <v>11.3</v>
      </c>
      <c r="U268" s="35">
        <v>9</v>
      </c>
      <c r="V268" s="35">
        <v>11.8</v>
      </c>
      <c r="W268" s="35">
        <v>9</v>
      </c>
      <c r="X268" s="35">
        <v>12.2</v>
      </c>
      <c r="Y268" s="35">
        <v>9</v>
      </c>
      <c r="Z268" s="35">
        <v>15</v>
      </c>
      <c r="AA268" s="35">
        <v>9</v>
      </c>
      <c r="AB268" s="35">
        <v>21.4</v>
      </c>
      <c r="AC268" s="35">
        <v>20</v>
      </c>
      <c r="AD268" s="35">
        <v>21.3</v>
      </c>
      <c r="AE268" s="35">
        <v>20</v>
      </c>
    </row>
    <row r="269" spans="1:31" x14ac:dyDescent="0.35">
      <c r="A269" s="36">
        <v>46059.637499999997</v>
      </c>
      <c r="B269" s="35">
        <v>-20.8</v>
      </c>
      <c r="C269" s="35">
        <v>-18.600000000000001</v>
      </c>
      <c r="D269" s="35">
        <v>-23</v>
      </c>
      <c r="E269" s="35">
        <v>-20.8</v>
      </c>
      <c r="F269" s="35">
        <v>-20.7</v>
      </c>
      <c r="G269" s="35">
        <v>-23</v>
      </c>
      <c r="H269" s="35">
        <v>-22.4</v>
      </c>
      <c r="I269" s="35">
        <v>24.8</v>
      </c>
      <c r="J269" s="35">
        <v>-23</v>
      </c>
      <c r="K269" s="35">
        <v>-21.4</v>
      </c>
      <c r="L269" s="35">
        <v>-21.5</v>
      </c>
      <c r="M269" s="35">
        <v>-23</v>
      </c>
      <c r="N269" s="35">
        <v>0</v>
      </c>
      <c r="O269" s="35">
        <v>-0.5</v>
      </c>
      <c r="P269" s="35">
        <v>-5</v>
      </c>
      <c r="Q269" s="35">
        <v>-0.2</v>
      </c>
      <c r="R269" s="35">
        <v>-1.2</v>
      </c>
      <c r="S269" s="35">
        <v>-5</v>
      </c>
      <c r="T269" s="35">
        <v>11</v>
      </c>
      <c r="U269" s="35">
        <v>9</v>
      </c>
      <c r="V269" s="35">
        <v>11.5</v>
      </c>
      <c r="W269" s="35">
        <v>9</v>
      </c>
      <c r="X269" s="35">
        <v>12</v>
      </c>
      <c r="Y269" s="35">
        <v>9</v>
      </c>
      <c r="Z269" s="35">
        <v>14.9</v>
      </c>
      <c r="AA269" s="35">
        <v>9</v>
      </c>
      <c r="AB269" s="35">
        <v>21.4</v>
      </c>
      <c r="AC269" s="35">
        <v>20</v>
      </c>
      <c r="AD269" s="35">
        <v>21.3</v>
      </c>
      <c r="AE269" s="35">
        <v>20</v>
      </c>
    </row>
    <row r="270" spans="1:31" x14ac:dyDescent="0.35">
      <c r="A270" s="36">
        <v>46059.63958333333</v>
      </c>
      <c r="B270" s="35">
        <v>-20.8</v>
      </c>
      <c r="C270" s="35">
        <v>-18.600000000000001</v>
      </c>
      <c r="D270" s="35">
        <v>-23</v>
      </c>
      <c r="E270" s="35">
        <v>-20.8</v>
      </c>
      <c r="F270" s="35">
        <v>-20.6</v>
      </c>
      <c r="G270" s="35">
        <v>-23</v>
      </c>
      <c r="H270" s="35">
        <v>-22.4</v>
      </c>
      <c r="I270" s="35">
        <v>27.4</v>
      </c>
      <c r="J270" s="35">
        <v>-23</v>
      </c>
      <c r="K270" s="35">
        <v>-21.6</v>
      </c>
      <c r="L270" s="35">
        <v>-21.8</v>
      </c>
      <c r="M270" s="35">
        <v>-23</v>
      </c>
      <c r="N270" s="35">
        <v>-0.2</v>
      </c>
      <c r="O270" s="35">
        <v>-0.7</v>
      </c>
      <c r="P270" s="35">
        <v>-5</v>
      </c>
      <c r="Q270" s="35">
        <v>-0.5</v>
      </c>
      <c r="R270" s="35">
        <v>-1.5</v>
      </c>
      <c r="S270" s="35">
        <v>-5</v>
      </c>
      <c r="T270" s="35">
        <v>10.3</v>
      </c>
      <c r="U270" s="35">
        <v>9</v>
      </c>
      <c r="V270" s="35">
        <v>10.8</v>
      </c>
      <c r="W270" s="35">
        <v>9</v>
      </c>
      <c r="X270" s="35">
        <v>11.3</v>
      </c>
      <c r="Y270" s="35">
        <v>9</v>
      </c>
      <c r="Z270" s="35">
        <v>14.4</v>
      </c>
      <c r="AA270" s="35">
        <v>9</v>
      </c>
      <c r="AB270" s="35">
        <v>21.4</v>
      </c>
      <c r="AC270" s="35">
        <v>20</v>
      </c>
      <c r="AD270" s="35">
        <v>21.4</v>
      </c>
      <c r="AE270" s="35">
        <v>20</v>
      </c>
    </row>
    <row r="271" spans="1:31" x14ac:dyDescent="0.35">
      <c r="A271" s="36">
        <v>46059.640277777777</v>
      </c>
      <c r="B271" s="35">
        <v>-20.8</v>
      </c>
      <c r="C271" s="35">
        <v>-18.600000000000001</v>
      </c>
      <c r="D271" s="35">
        <v>-23</v>
      </c>
      <c r="E271" s="35">
        <v>-20.7</v>
      </c>
      <c r="F271" s="35">
        <v>-20.5</v>
      </c>
      <c r="G271" s="35">
        <v>-23</v>
      </c>
      <c r="H271" s="35">
        <v>-22.4</v>
      </c>
      <c r="I271" s="35">
        <v>28</v>
      </c>
      <c r="J271" s="35">
        <v>-23</v>
      </c>
      <c r="K271" s="35">
        <v>-21.6</v>
      </c>
      <c r="L271" s="35">
        <v>-21.9</v>
      </c>
      <c r="M271" s="35">
        <v>-23</v>
      </c>
      <c r="N271" s="35">
        <v>-0.2</v>
      </c>
      <c r="O271" s="35">
        <v>-0.7</v>
      </c>
      <c r="P271" s="35">
        <v>-5</v>
      </c>
      <c r="Q271" s="35">
        <v>-0.5</v>
      </c>
      <c r="R271" s="35">
        <v>-1.5</v>
      </c>
      <c r="S271" s="35">
        <v>-5</v>
      </c>
      <c r="T271" s="35">
        <v>10.199999999999999</v>
      </c>
      <c r="U271" s="35">
        <v>9</v>
      </c>
      <c r="V271" s="35">
        <v>10.6</v>
      </c>
      <c r="W271" s="35">
        <v>9</v>
      </c>
      <c r="X271" s="35">
        <v>11</v>
      </c>
      <c r="Y271" s="35">
        <v>9</v>
      </c>
      <c r="Z271" s="35">
        <v>14.1</v>
      </c>
      <c r="AA271" s="35">
        <v>9</v>
      </c>
      <c r="AB271" s="35">
        <v>21.4</v>
      </c>
      <c r="AC271" s="35">
        <v>20</v>
      </c>
      <c r="AD271" s="35">
        <v>21.4</v>
      </c>
      <c r="AE271" s="35">
        <v>20</v>
      </c>
    </row>
    <row r="272" spans="1:31" x14ac:dyDescent="0.35">
      <c r="A272" s="36">
        <v>46059.640972222223</v>
      </c>
      <c r="B272" s="35">
        <v>-20.8</v>
      </c>
      <c r="C272" s="35">
        <v>-18.600000000000001</v>
      </c>
      <c r="D272" s="35">
        <v>-23</v>
      </c>
      <c r="E272" s="35">
        <v>-20.7</v>
      </c>
      <c r="F272" s="35">
        <v>-20.5</v>
      </c>
      <c r="G272" s="35">
        <v>-23</v>
      </c>
      <c r="H272" s="35">
        <v>-22.4</v>
      </c>
      <c r="I272" s="35">
        <v>28.5</v>
      </c>
      <c r="J272" s="35">
        <v>-23</v>
      </c>
      <c r="K272" s="35">
        <v>-21.6</v>
      </c>
      <c r="L272" s="35">
        <v>-21.9</v>
      </c>
      <c r="M272" s="35">
        <v>-23</v>
      </c>
      <c r="N272" s="35">
        <v>-0.3</v>
      </c>
      <c r="O272" s="35">
        <v>-0.8</v>
      </c>
      <c r="P272" s="35">
        <v>-5</v>
      </c>
      <c r="Q272" s="35">
        <v>-0.6</v>
      </c>
      <c r="R272" s="35">
        <v>-1.6</v>
      </c>
      <c r="S272" s="35">
        <v>-5</v>
      </c>
      <c r="T272" s="35">
        <v>10</v>
      </c>
      <c r="U272" s="35">
        <v>9</v>
      </c>
      <c r="V272" s="35">
        <v>10.4</v>
      </c>
      <c r="W272" s="35">
        <v>9</v>
      </c>
      <c r="X272" s="35">
        <v>10.8</v>
      </c>
      <c r="Y272" s="35">
        <v>9</v>
      </c>
      <c r="Z272" s="35">
        <v>14</v>
      </c>
      <c r="AA272" s="35">
        <v>9</v>
      </c>
      <c r="AB272" s="35">
        <v>21.4</v>
      </c>
      <c r="AC272" s="35">
        <v>20</v>
      </c>
      <c r="AD272" s="35">
        <v>21.4</v>
      </c>
      <c r="AE272" s="35">
        <v>20</v>
      </c>
    </row>
    <row r="273" spans="1:31" x14ac:dyDescent="0.35">
      <c r="A273" s="36">
        <v>46059.64166666667</v>
      </c>
      <c r="B273" s="35">
        <v>-20.9</v>
      </c>
      <c r="C273" s="35">
        <v>-18.600000000000001</v>
      </c>
      <c r="D273" s="35">
        <v>-23</v>
      </c>
      <c r="E273" s="35">
        <v>-20.7</v>
      </c>
      <c r="F273" s="35">
        <v>-20.5</v>
      </c>
      <c r="G273" s="35">
        <v>-23</v>
      </c>
      <c r="H273" s="35">
        <v>-22.4</v>
      </c>
      <c r="I273" s="35">
        <v>29.6</v>
      </c>
      <c r="J273" s="35">
        <v>-23</v>
      </c>
      <c r="K273" s="35">
        <v>-21.6</v>
      </c>
      <c r="L273" s="35">
        <v>-21.9</v>
      </c>
      <c r="M273" s="35">
        <v>-23</v>
      </c>
      <c r="N273" s="35">
        <v>-0.3</v>
      </c>
      <c r="O273" s="35">
        <v>-0.9</v>
      </c>
      <c r="P273" s="35">
        <v>-5</v>
      </c>
      <c r="Q273" s="35">
        <v>-0.6</v>
      </c>
      <c r="R273" s="35">
        <v>-1.6</v>
      </c>
      <c r="S273" s="35">
        <v>-5</v>
      </c>
      <c r="T273" s="35">
        <v>9.9</v>
      </c>
      <c r="U273" s="35">
        <v>9</v>
      </c>
      <c r="V273" s="35">
        <v>10.199999999999999</v>
      </c>
      <c r="W273" s="35">
        <v>9</v>
      </c>
      <c r="X273" s="35">
        <v>10.7</v>
      </c>
      <c r="Y273" s="35">
        <v>9</v>
      </c>
      <c r="Z273" s="35">
        <v>13.8</v>
      </c>
      <c r="AA273" s="35">
        <v>9</v>
      </c>
      <c r="AB273" s="35">
        <v>21.4</v>
      </c>
      <c r="AC273" s="35">
        <v>20</v>
      </c>
      <c r="AD273" s="35">
        <v>21.4</v>
      </c>
      <c r="AE273" s="35">
        <v>20</v>
      </c>
    </row>
    <row r="274" spans="1:31" x14ac:dyDescent="0.35">
      <c r="A274" s="36">
        <v>46059.642361111109</v>
      </c>
      <c r="B274" s="35">
        <v>-21.1</v>
      </c>
      <c r="C274" s="35">
        <v>-18.600000000000001</v>
      </c>
      <c r="D274" s="35">
        <v>-23</v>
      </c>
      <c r="E274" s="35">
        <v>-20.8</v>
      </c>
      <c r="F274" s="35">
        <v>-20.6</v>
      </c>
      <c r="G274" s="35">
        <v>-23</v>
      </c>
      <c r="H274" s="35">
        <v>-22.4</v>
      </c>
      <c r="I274" s="35">
        <v>30.4</v>
      </c>
      <c r="J274" s="35">
        <v>-23</v>
      </c>
      <c r="K274" s="35">
        <v>-21.6</v>
      </c>
      <c r="L274" s="35">
        <v>-21.8</v>
      </c>
      <c r="M274" s="35">
        <v>-23</v>
      </c>
      <c r="N274" s="35">
        <v>-0.4</v>
      </c>
      <c r="O274" s="35">
        <v>-0.9</v>
      </c>
      <c r="P274" s="35">
        <v>-5</v>
      </c>
      <c r="Q274" s="35">
        <v>-0.7</v>
      </c>
      <c r="R274" s="35">
        <v>-1.7</v>
      </c>
      <c r="S274" s="35">
        <v>-5</v>
      </c>
      <c r="T274" s="35">
        <v>9.6999999999999993</v>
      </c>
      <c r="U274" s="35">
        <v>9</v>
      </c>
      <c r="V274" s="35">
        <v>10</v>
      </c>
      <c r="W274" s="35">
        <v>9</v>
      </c>
      <c r="X274" s="35">
        <v>10.5</v>
      </c>
      <c r="Y274" s="35">
        <v>9</v>
      </c>
      <c r="Z274" s="35">
        <v>13.5</v>
      </c>
      <c r="AA274" s="35">
        <v>9</v>
      </c>
      <c r="AB274" s="35">
        <v>21.4</v>
      </c>
      <c r="AC274" s="35">
        <v>20</v>
      </c>
      <c r="AD274" s="35">
        <v>21.4</v>
      </c>
      <c r="AE274" s="35">
        <v>20</v>
      </c>
    </row>
    <row r="275" spans="1:31" x14ac:dyDescent="0.35">
      <c r="A275" s="36">
        <v>46059.643055555556</v>
      </c>
      <c r="B275" s="35">
        <v>-21.3</v>
      </c>
      <c r="C275" s="35">
        <v>-18.600000000000001</v>
      </c>
      <c r="D275" s="35">
        <v>-23</v>
      </c>
      <c r="E275" s="35">
        <v>-21</v>
      </c>
      <c r="F275" s="35">
        <v>-20.7</v>
      </c>
      <c r="G275" s="35">
        <v>-23</v>
      </c>
      <c r="H275" s="35">
        <v>-22.4</v>
      </c>
      <c r="I275" s="35">
        <v>29.7</v>
      </c>
      <c r="J275" s="35">
        <v>-23</v>
      </c>
      <c r="K275" s="35">
        <v>-21.6</v>
      </c>
      <c r="L275" s="35">
        <v>-21.7</v>
      </c>
      <c r="M275" s="35">
        <v>-23</v>
      </c>
      <c r="N275" s="35">
        <v>-0.4</v>
      </c>
      <c r="O275" s="35">
        <v>-1</v>
      </c>
      <c r="P275" s="35">
        <v>-5</v>
      </c>
      <c r="Q275" s="35">
        <v>-0.7</v>
      </c>
      <c r="R275" s="35">
        <v>-1.8</v>
      </c>
      <c r="S275" s="35">
        <v>-5</v>
      </c>
      <c r="T275" s="35">
        <v>9.5</v>
      </c>
      <c r="U275" s="35">
        <v>9</v>
      </c>
      <c r="V275" s="35">
        <v>9.8000000000000007</v>
      </c>
      <c r="W275" s="35">
        <v>9</v>
      </c>
      <c r="X275" s="35">
        <v>10.3</v>
      </c>
      <c r="Y275" s="35">
        <v>9</v>
      </c>
      <c r="Z275" s="35">
        <v>13.2</v>
      </c>
      <c r="AA275" s="35">
        <v>9</v>
      </c>
      <c r="AB275" s="35">
        <v>21.4</v>
      </c>
      <c r="AC275" s="35">
        <v>20</v>
      </c>
      <c r="AD275" s="35">
        <v>21.4</v>
      </c>
      <c r="AE275" s="35">
        <v>20</v>
      </c>
    </row>
    <row r="276" spans="1:31" x14ac:dyDescent="0.35">
      <c r="A276" s="36">
        <v>46059.643750000003</v>
      </c>
      <c r="B276" s="35">
        <v>-21.5</v>
      </c>
      <c r="C276" s="35">
        <v>-18.7</v>
      </c>
      <c r="D276" s="35">
        <v>-23</v>
      </c>
      <c r="E276" s="35">
        <v>-21.1</v>
      </c>
      <c r="F276" s="35">
        <v>-20.9</v>
      </c>
      <c r="G276" s="35">
        <v>-23</v>
      </c>
      <c r="H276" s="35">
        <v>-22.4</v>
      </c>
      <c r="I276" s="35">
        <v>27.4</v>
      </c>
      <c r="J276" s="35">
        <v>-23</v>
      </c>
      <c r="K276" s="35">
        <v>-21.6</v>
      </c>
      <c r="L276" s="35">
        <v>-21.6</v>
      </c>
      <c r="M276" s="35">
        <v>-23</v>
      </c>
      <c r="N276" s="35">
        <v>-0.5</v>
      </c>
      <c r="O276" s="35">
        <v>-1</v>
      </c>
      <c r="P276" s="35">
        <v>-5</v>
      </c>
      <c r="Q276" s="35">
        <v>-0.8</v>
      </c>
      <c r="R276" s="35">
        <v>-1.8</v>
      </c>
      <c r="S276" s="35">
        <v>-5</v>
      </c>
      <c r="T276" s="35">
        <v>9.3000000000000007</v>
      </c>
      <c r="U276" s="35">
        <v>9</v>
      </c>
      <c r="V276" s="35">
        <v>9.6999999999999993</v>
      </c>
      <c r="W276" s="35">
        <v>9</v>
      </c>
      <c r="X276" s="35">
        <v>10.199999999999999</v>
      </c>
      <c r="Y276" s="35">
        <v>9</v>
      </c>
      <c r="Z276" s="35">
        <v>13</v>
      </c>
      <c r="AA276" s="35">
        <v>9</v>
      </c>
      <c r="AB276" s="35">
        <v>21.4</v>
      </c>
      <c r="AC276" s="35">
        <v>20</v>
      </c>
      <c r="AD276" s="35">
        <v>21.4</v>
      </c>
      <c r="AE276" s="35">
        <v>20</v>
      </c>
    </row>
    <row r="277" spans="1:31" x14ac:dyDescent="0.35">
      <c r="A277" s="36">
        <v>46059.644444444442</v>
      </c>
      <c r="B277" s="35">
        <v>-21.7</v>
      </c>
      <c r="C277" s="35">
        <v>-18.8</v>
      </c>
      <c r="D277" s="35">
        <v>-23</v>
      </c>
      <c r="E277" s="35">
        <v>-21.3</v>
      </c>
      <c r="F277" s="35">
        <v>-21.1</v>
      </c>
      <c r="G277" s="35">
        <v>-23</v>
      </c>
      <c r="H277" s="35">
        <v>-20.100000000000001</v>
      </c>
      <c r="I277" s="35">
        <v>23.6</v>
      </c>
      <c r="J277" s="35">
        <v>-23</v>
      </c>
      <c r="K277" s="35">
        <v>-21.6</v>
      </c>
      <c r="L277" s="35">
        <v>-21.6</v>
      </c>
      <c r="M277" s="35">
        <v>-23</v>
      </c>
      <c r="N277" s="35">
        <v>-0.5</v>
      </c>
      <c r="O277" s="35">
        <v>-1</v>
      </c>
      <c r="P277" s="35">
        <v>-5</v>
      </c>
      <c r="Q277" s="35">
        <v>-0.8</v>
      </c>
      <c r="R277" s="35">
        <v>-1.8</v>
      </c>
      <c r="S277" s="35">
        <v>-5</v>
      </c>
      <c r="T277" s="35">
        <v>9.1999999999999993</v>
      </c>
      <c r="U277" s="35">
        <v>9</v>
      </c>
      <c r="V277" s="35">
        <v>9.6</v>
      </c>
      <c r="W277" s="35">
        <v>9</v>
      </c>
      <c r="X277" s="35">
        <v>10.1</v>
      </c>
      <c r="Y277" s="35">
        <v>9</v>
      </c>
      <c r="Z277" s="35">
        <v>12.9</v>
      </c>
      <c r="AA277" s="35">
        <v>9</v>
      </c>
      <c r="AB277" s="35">
        <v>21.4</v>
      </c>
      <c r="AC277" s="35">
        <v>20</v>
      </c>
      <c r="AD277" s="35">
        <v>21.4</v>
      </c>
      <c r="AE277" s="35">
        <v>20</v>
      </c>
    </row>
    <row r="278" spans="1:31" x14ac:dyDescent="0.35">
      <c r="A278" s="36">
        <v>46059.645138888889</v>
      </c>
      <c r="B278" s="35">
        <v>-21.7</v>
      </c>
      <c r="C278" s="35">
        <v>-18.899999999999999</v>
      </c>
      <c r="D278" s="35">
        <v>-23</v>
      </c>
      <c r="E278" s="35">
        <v>-21.4</v>
      </c>
      <c r="F278" s="35">
        <v>-21.1</v>
      </c>
      <c r="G278" s="35">
        <v>-23</v>
      </c>
      <c r="H278" s="35">
        <v>-20.2</v>
      </c>
      <c r="I278" s="35">
        <v>20.3</v>
      </c>
      <c r="J278" s="35">
        <v>-23</v>
      </c>
      <c r="K278" s="35">
        <v>-21.6</v>
      </c>
      <c r="L278" s="35">
        <v>-21.6</v>
      </c>
      <c r="M278" s="35">
        <v>-23</v>
      </c>
      <c r="N278" s="35">
        <v>-0.5</v>
      </c>
      <c r="O278" s="35">
        <v>-1.1000000000000001</v>
      </c>
      <c r="P278" s="35">
        <v>-5</v>
      </c>
      <c r="Q278" s="35">
        <v>-0.8</v>
      </c>
      <c r="R278" s="35">
        <v>-1.8</v>
      </c>
      <c r="S278" s="35">
        <v>-5</v>
      </c>
      <c r="T278" s="35">
        <v>9.1</v>
      </c>
      <c r="U278" s="35">
        <v>9</v>
      </c>
      <c r="V278" s="35">
        <v>9.5</v>
      </c>
      <c r="W278" s="35">
        <v>9</v>
      </c>
      <c r="X278" s="35">
        <v>10</v>
      </c>
      <c r="Y278" s="35">
        <v>9</v>
      </c>
      <c r="Z278" s="35">
        <v>12.8</v>
      </c>
      <c r="AA278" s="35">
        <v>9</v>
      </c>
      <c r="AB278" s="35">
        <v>21.4</v>
      </c>
      <c r="AC278" s="35">
        <v>20</v>
      </c>
      <c r="AD278" s="35">
        <v>21.4</v>
      </c>
      <c r="AE278" s="35">
        <v>20</v>
      </c>
    </row>
    <row r="279" spans="1:31" x14ac:dyDescent="0.35">
      <c r="A279" s="36">
        <v>46059.645833333336</v>
      </c>
      <c r="B279" s="35">
        <v>-21.8</v>
      </c>
      <c r="C279" s="35">
        <v>-19</v>
      </c>
      <c r="D279" s="35">
        <v>-23</v>
      </c>
      <c r="E279" s="35">
        <v>-21.4</v>
      </c>
      <c r="F279" s="35">
        <v>-21.2</v>
      </c>
      <c r="G279" s="35">
        <v>-23</v>
      </c>
      <c r="H279" s="35">
        <v>-20.5</v>
      </c>
      <c r="I279" s="35">
        <v>16.7</v>
      </c>
      <c r="J279" s="35">
        <v>-23</v>
      </c>
      <c r="K279" s="35">
        <v>-21.6</v>
      </c>
      <c r="L279" s="35">
        <v>-21.7</v>
      </c>
      <c r="M279" s="35">
        <v>-23</v>
      </c>
      <c r="N279" s="35">
        <v>-0.5</v>
      </c>
      <c r="O279" s="35">
        <v>-1.1000000000000001</v>
      </c>
      <c r="P279" s="35">
        <v>-5</v>
      </c>
      <c r="Q279" s="35">
        <v>-0.9</v>
      </c>
      <c r="R279" s="35">
        <v>-1.8</v>
      </c>
      <c r="S279" s="35">
        <v>-5</v>
      </c>
      <c r="T279" s="35">
        <v>9</v>
      </c>
      <c r="U279" s="35">
        <v>9</v>
      </c>
      <c r="V279" s="35">
        <v>9.3000000000000007</v>
      </c>
      <c r="W279" s="35">
        <v>9</v>
      </c>
      <c r="X279" s="35">
        <v>9.9</v>
      </c>
      <c r="Y279" s="35">
        <v>9</v>
      </c>
      <c r="Z279" s="35">
        <v>12.7</v>
      </c>
      <c r="AA279" s="35">
        <v>9</v>
      </c>
      <c r="AB279" s="35">
        <v>21.4</v>
      </c>
      <c r="AC279" s="35">
        <v>20</v>
      </c>
      <c r="AD279" s="35">
        <v>21.4</v>
      </c>
      <c r="AE279" s="35">
        <v>20</v>
      </c>
    </row>
    <row r="280" spans="1:31" x14ac:dyDescent="0.35">
      <c r="A280" s="36">
        <v>46059.646527777775</v>
      </c>
      <c r="B280" s="35">
        <v>-21.8</v>
      </c>
      <c r="C280" s="35">
        <v>-19.100000000000001</v>
      </c>
      <c r="D280" s="35">
        <v>-23</v>
      </c>
      <c r="E280" s="35">
        <v>-21.5</v>
      </c>
      <c r="F280" s="35">
        <v>-21.2</v>
      </c>
      <c r="G280" s="35">
        <v>-23</v>
      </c>
      <c r="H280" s="35">
        <v>-20.7</v>
      </c>
      <c r="I280" s="35">
        <v>13.3</v>
      </c>
      <c r="J280" s="35">
        <v>-23</v>
      </c>
      <c r="K280" s="35">
        <v>-21.6</v>
      </c>
      <c r="L280" s="35">
        <v>-21.8</v>
      </c>
      <c r="M280" s="35">
        <v>-23</v>
      </c>
      <c r="N280" s="35">
        <v>-0.6</v>
      </c>
      <c r="O280" s="35">
        <v>-1.1000000000000001</v>
      </c>
      <c r="P280" s="35">
        <v>-5</v>
      </c>
      <c r="Q280" s="35">
        <v>-0.9</v>
      </c>
      <c r="R280" s="35">
        <v>-1.9</v>
      </c>
      <c r="S280" s="35">
        <v>-5</v>
      </c>
      <c r="T280" s="35">
        <v>9</v>
      </c>
      <c r="U280" s="35">
        <v>9</v>
      </c>
      <c r="V280" s="35">
        <v>9.1999999999999993</v>
      </c>
      <c r="W280" s="35">
        <v>9</v>
      </c>
      <c r="X280" s="35">
        <v>9.8000000000000007</v>
      </c>
      <c r="Y280" s="35">
        <v>9</v>
      </c>
      <c r="Z280" s="35">
        <v>12.7</v>
      </c>
      <c r="AA280" s="35">
        <v>9</v>
      </c>
      <c r="AB280" s="35">
        <v>21.4</v>
      </c>
      <c r="AC280" s="35">
        <v>20</v>
      </c>
      <c r="AD280" s="35">
        <v>21.4</v>
      </c>
      <c r="AE280" s="35">
        <v>20</v>
      </c>
    </row>
    <row r="281" spans="1:31" x14ac:dyDescent="0.35">
      <c r="A281" s="36">
        <v>46059.647222222222</v>
      </c>
      <c r="B281" s="35">
        <v>-21.8</v>
      </c>
      <c r="C281" s="35">
        <v>-19.100000000000001</v>
      </c>
      <c r="D281" s="35">
        <v>-23</v>
      </c>
      <c r="E281" s="35">
        <v>-21.5</v>
      </c>
      <c r="F281" s="35">
        <v>-21.2</v>
      </c>
      <c r="G281" s="35">
        <v>-23</v>
      </c>
      <c r="H281" s="35">
        <v>-21.1</v>
      </c>
      <c r="I281" s="35">
        <v>10.5</v>
      </c>
      <c r="J281" s="35">
        <v>-23</v>
      </c>
      <c r="K281" s="35">
        <v>-21.7</v>
      </c>
      <c r="L281" s="35">
        <v>-21.9</v>
      </c>
      <c r="M281" s="35">
        <v>-23</v>
      </c>
      <c r="N281" s="35">
        <v>-0.6</v>
      </c>
      <c r="O281" s="35">
        <v>-1.2</v>
      </c>
      <c r="P281" s="35">
        <v>-5</v>
      </c>
      <c r="Q281" s="35">
        <v>-0.9</v>
      </c>
      <c r="R281" s="35">
        <v>-1.9</v>
      </c>
      <c r="S281" s="35">
        <v>-5</v>
      </c>
      <c r="T281" s="35">
        <v>9</v>
      </c>
      <c r="U281" s="35">
        <v>9</v>
      </c>
      <c r="V281" s="35">
        <v>9.1</v>
      </c>
      <c r="W281" s="35">
        <v>9</v>
      </c>
      <c r="X281" s="35">
        <v>9.6</v>
      </c>
      <c r="Y281" s="35">
        <v>9</v>
      </c>
      <c r="Z281" s="35">
        <v>12.5</v>
      </c>
      <c r="AA281" s="35">
        <v>9</v>
      </c>
      <c r="AB281" s="35">
        <v>21.4</v>
      </c>
      <c r="AC281" s="35">
        <v>20</v>
      </c>
      <c r="AD281" s="35">
        <v>21.4</v>
      </c>
      <c r="AE281" s="35">
        <v>20</v>
      </c>
    </row>
    <row r="282" spans="1:31" x14ac:dyDescent="0.35">
      <c r="A282" s="36">
        <v>46059.647916666669</v>
      </c>
      <c r="B282" s="35">
        <v>-21.8</v>
      </c>
      <c r="C282" s="35">
        <v>-19.2</v>
      </c>
      <c r="D282" s="35">
        <v>-23</v>
      </c>
      <c r="E282" s="35">
        <v>-21.5</v>
      </c>
      <c r="F282" s="35">
        <v>-21.2</v>
      </c>
      <c r="G282" s="35">
        <v>-23</v>
      </c>
      <c r="H282" s="35">
        <v>-21.2</v>
      </c>
      <c r="I282" s="35">
        <v>8</v>
      </c>
      <c r="J282" s="35">
        <v>-23</v>
      </c>
      <c r="K282" s="35">
        <v>-21.7</v>
      </c>
      <c r="L282" s="35">
        <v>-21.9</v>
      </c>
      <c r="M282" s="35">
        <v>-23</v>
      </c>
      <c r="N282" s="35">
        <v>-0.7</v>
      </c>
      <c r="O282" s="35">
        <v>-1.2</v>
      </c>
      <c r="P282" s="35">
        <v>-5</v>
      </c>
      <c r="Q282" s="35">
        <v>-0.9</v>
      </c>
      <c r="R282" s="35">
        <v>-2</v>
      </c>
      <c r="S282" s="35">
        <v>-5</v>
      </c>
      <c r="T282" s="35">
        <v>9.1999999999999993</v>
      </c>
      <c r="U282" s="35">
        <v>9</v>
      </c>
      <c r="V282" s="35">
        <v>9.1</v>
      </c>
      <c r="W282" s="35">
        <v>9</v>
      </c>
      <c r="X282" s="35">
        <v>9.4</v>
      </c>
      <c r="Y282" s="35">
        <v>9</v>
      </c>
      <c r="Z282" s="35">
        <v>12.2</v>
      </c>
      <c r="AA282" s="35">
        <v>9</v>
      </c>
      <c r="AB282" s="35">
        <v>21.4</v>
      </c>
      <c r="AC282" s="35">
        <v>20</v>
      </c>
      <c r="AD282" s="35">
        <v>21.4</v>
      </c>
      <c r="AE282" s="35">
        <v>20</v>
      </c>
    </row>
    <row r="283" spans="1:31" x14ac:dyDescent="0.35">
      <c r="A283" s="36">
        <v>46059.648611111108</v>
      </c>
      <c r="B283" s="35">
        <v>-21.9</v>
      </c>
      <c r="C283" s="35">
        <v>-19.3</v>
      </c>
      <c r="D283" s="35">
        <v>-23</v>
      </c>
      <c r="E283" s="35">
        <v>-21.6</v>
      </c>
      <c r="F283" s="35">
        <v>-21.3</v>
      </c>
      <c r="G283" s="35">
        <v>-23</v>
      </c>
      <c r="H283" s="35">
        <v>-21.4</v>
      </c>
      <c r="I283" s="35">
        <v>5.5</v>
      </c>
      <c r="J283" s="35">
        <v>-23</v>
      </c>
      <c r="K283" s="35">
        <v>-21.8</v>
      </c>
      <c r="L283" s="35">
        <v>-21.9</v>
      </c>
      <c r="M283" s="35">
        <v>-23</v>
      </c>
      <c r="N283" s="35">
        <v>-0.7</v>
      </c>
      <c r="O283" s="35">
        <v>-1.3</v>
      </c>
      <c r="P283" s="35">
        <v>-5</v>
      </c>
      <c r="Q283" s="35">
        <v>-1</v>
      </c>
      <c r="R283" s="35">
        <v>-2.1</v>
      </c>
      <c r="S283" s="35">
        <v>-5</v>
      </c>
      <c r="T283" s="35">
        <v>9.3000000000000007</v>
      </c>
      <c r="U283" s="35">
        <v>9</v>
      </c>
      <c r="V283" s="35">
        <v>9.1</v>
      </c>
      <c r="W283" s="35">
        <v>9</v>
      </c>
      <c r="X283" s="35">
        <v>9.1999999999999993</v>
      </c>
      <c r="Y283" s="35">
        <v>9</v>
      </c>
      <c r="Z283" s="35">
        <v>12</v>
      </c>
      <c r="AA283" s="35">
        <v>9</v>
      </c>
      <c r="AB283" s="35">
        <v>21.4</v>
      </c>
      <c r="AC283" s="35">
        <v>20</v>
      </c>
      <c r="AD283" s="35">
        <v>21.4</v>
      </c>
      <c r="AE283" s="35">
        <v>20</v>
      </c>
    </row>
    <row r="284" spans="1:31" x14ac:dyDescent="0.35">
      <c r="A284" s="36">
        <v>46059.649305555555</v>
      </c>
      <c r="B284" s="35">
        <v>-21.9</v>
      </c>
      <c r="C284" s="35">
        <v>-19.399999999999999</v>
      </c>
      <c r="D284" s="35">
        <v>-23</v>
      </c>
      <c r="E284" s="35">
        <v>-21.6</v>
      </c>
      <c r="F284" s="35">
        <v>-21.3</v>
      </c>
      <c r="G284" s="35">
        <v>-23</v>
      </c>
      <c r="H284" s="35">
        <v>-21.2</v>
      </c>
      <c r="I284" s="35">
        <v>3.6</v>
      </c>
      <c r="J284" s="35">
        <v>-23</v>
      </c>
      <c r="K284" s="35">
        <v>-20.9</v>
      </c>
      <c r="L284" s="35">
        <v>-20.8</v>
      </c>
      <c r="M284" s="35">
        <v>-23</v>
      </c>
      <c r="N284" s="35">
        <v>-0.8</v>
      </c>
      <c r="O284" s="35">
        <v>-1.4</v>
      </c>
      <c r="P284" s="35">
        <v>-5</v>
      </c>
      <c r="Q284" s="35">
        <v>-0.5</v>
      </c>
      <c r="R284" s="35">
        <v>-2.5</v>
      </c>
      <c r="S284" s="35">
        <v>-5</v>
      </c>
      <c r="T284" s="35">
        <v>9.4</v>
      </c>
      <c r="U284" s="35">
        <v>9</v>
      </c>
      <c r="V284" s="35">
        <v>8.9</v>
      </c>
      <c r="W284" s="35">
        <v>9</v>
      </c>
      <c r="X284" s="35">
        <v>9</v>
      </c>
      <c r="Y284" s="35">
        <v>9</v>
      </c>
      <c r="Z284" s="35">
        <v>11.7</v>
      </c>
      <c r="AA284" s="35">
        <v>9</v>
      </c>
      <c r="AB284" s="35">
        <v>21.4</v>
      </c>
      <c r="AC284" s="35">
        <v>20</v>
      </c>
      <c r="AD284" s="35">
        <v>21.4</v>
      </c>
      <c r="AE284" s="35">
        <v>20</v>
      </c>
    </row>
    <row r="285" spans="1:31" x14ac:dyDescent="0.35">
      <c r="A285" s="36">
        <v>46059.65</v>
      </c>
      <c r="B285" s="35">
        <v>-22</v>
      </c>
      <c r="C285" s="35">
        <v>-19.5</v>
      </c>
      <c r="D285" s="35">
        <v>-23</v>
      </c>
      <c r="E285" s="35">
        <v>-21.7</v>
      </c>
      <c r="F285" s="35">
        <v>-21.3</v>
      </c>
      <c r="G285" s="35">
        <v>-23</v>
      </c>
      <c r="H285" s="35">
        <v>-20.6</v>
      </c>
      <c r="I285" s="35">
        <v>1.5</v>
      </c>
      <c r="J285" s="35">
        <v>-23</v>
      </c>
      <c r="K285" s="35">
        <v>-19.899999999999999</v>
      </c>
      <c r="L285" s="35">
        <v>-20</v>
      </c>
      <c r="M285" s="35">
        <v>-23</v>
      </c>
      <c r="N285" s="35">
        <v>-0.8</v>
      </c>
      <c r="O285" s="35">
        <v>-1.4</v>
      </c>
      <c r="P285" s="35">
        <v>-5</v>
      </c>
      <c r="Q285" s="35">
        <v>0</v>
      </c>
      <c r="R285" s="35">
        <v>-1.5</v>
      </c>
      <c r="S285" s="35">
        <v>-5</v>
      </c>
      <c r="T285" s="35">
        <v>9.5</v>
      </c>
      <c r="U285" s="35">
        <v>9</v>
      </c>
      <c r="V285" s="35">
        <v>8.6</v>
      </c>
      <c r="W285" s="35">
        <v>9</v>
      </c>
      <c r="X285" s="35">
        <v>8.8000000000000007</v>
      </c>
      <c r="Y285" s="35">
        <v>9</v>
      </c>
      <c r="Z285" s="35">
        <v>11.4</v>
      </c>
      <c r="AA285" s="35">
        <v>9</v>
      </c>
      <c r="AB285" s="35">
        <v>21.5</v>
      </c>
      <c r="AC285" s="35">
        <v>20</v>
      </c>
      <c r="AD285" s="35">
        <v>21.4</v>
      </c>
      <c r="AE285" s="35">
        <v>20</v>
      </c>
    </row>
    <row r="286" spans="1:31" x14ac:dyDescent="0.35">
      <c r="A286" s="36">
        <v>46059.650694444441</v>
      </c>
      <c r="B286" s="35">
        <v>-22</v>
      </c>
      <c r="C286" s="35">
        <v>-19.5</v>
      </c>
      <c r="D286" s="35">
        <v>-23</v>
      </c>
      <c r="E286" s="35">
        <v>-21.7</v>
      </c>
      <c r="F286" s="35">
        <v>-21.4</v>
      </c>
      <c r="G286" s="35">
        <v>-23</v>
      </c>
      <c r="H286" s="35">
        <v>-20.100000000000001</v>
      </c>
      <c r="I286" s="35">
        <v>0</v>
      </c>
      <c r="J286" s="35">
        <v>-23</v>
      </c>
      <c r="K286" s="35">
        <v>-19.3</v>
      </c>
      <c r="L286" s="35">
        <v>-19.5</v>
      </c>
      <c r="M286" s="35">
        <v>-23</v>
      </c>
      <c r="N286" s="35">
        <v>-0.9</v>
      </c>
      <c r="O286" s="35">
        <v>-1.5</v>
      </c>
      <c r="P286" s="35">
        <v>-5</v>
      </c>
      <c r="Q286" s="35">
        <v>-0.3</v>
      </c>
      <c r="R286" s="35">
        <v>-2.2000000000000002</v>
      </c>
      <c r="S286" s="35">
        <v>-5</v>
      </c>
      <c r="T286" s="35">
        <v>9.5</v>
      </c>
      <c r="U286" s="35">
        <v>9</v>
      </c>
      <c r="V286" s="35">
        <v>8.3000000000000007</v>
      </c>
      <c r="W286" s="35">
        <v>9</v>
      </c>
      <c r="X286" s="35">
        <v>8.8000000000000007</v>
      </c>
      <c r="Y286" s="35">
        <v>9</v>
      </c>
      <c r="Z286" s="35">
        <v>11.1</v>
      </c>
      <c r="AA286" s="35">
        <v>9</v>
      </c>
      <c r="AB286" s="35">
        <v>21.5</v>
      </c>
      <c r="AC286" s="35">
        <v>20</v>
      </c>
      <c r="AD286" s="35">
        <v>21.4</v>
      </c>
      <c r="AE286" s="35">
        <v>20</v>
      </c>
    </row>
    <row r="287" spans="1:31" x14ac:dyDescent="0.35">
      <c r="A287" s="36">
        <v>46059.651388888888</v>
      </c>
      <c r="B287" s="35">
        <v>-22.1</v>
      </c>
      <c r="C287" s="35">
        <v>-19.600000000000001</v>
      </c>
      <c r="D287" s="35">
        <v>-23</v>
      </c>
      <c r="E287" s="35">
        <v>-21.7</v>
      </c>
      <c r="F287" s="35">
        <v>-21.4</v>
      </c>
      <c r="G287" s="35">
        <v>-23</v>
      </c>
      <c r="H287" s="35">
        <v>-19.8</v>
      </c>
      <c r="I287" s="35">
        <v>-0.4</v>
      </c>
      <c r="J287" s="35">
        <v>-23</v>
      </c>
      <c r="K287" s="35">
        <v>-19.399999999999999</v>
      </c>
      <c r="L287" s="35">
        <v>-19.8</v>
      </c>
      <c r="M287" s="35">
        <v>-23</v>
      </c>
      <c r="N287" s="35">
        <v>-0.9</v>
      </c>
      <c r="O287" s="35">
        <v>-1.5</v>
      </c>
      <c r="P287" s="35">
        <v>-5</v>
      </c>
      <c r="Q287" s="35">
        <v>-0.3</v>
      </c>
      <c r="R287" s="35">
        <v>-1.5</v>
      </c>
      <c r="S287" s="35">
        <v>-5</v>
      </c>
      <c r="T287" s="35">
        <v>9.5</v>
      </c>
      <c r="U287" s="35">
        <v>9</v>
      </c>
      <c r="V287" s="35">
        <v>8</v>
      </c>
      <c r="W287" s="35">
        <v>9</v>
      </c>
      <c r="X287" s="35">
        <v>8.6999999999999993</v>
      </c>
      <c r="Y287" s="35">
        <v>9</v>
      </c>
      <c r="Z287" s="35">
        <v>10.9</v>
      </c>
      <c r="AA287" s="35">
        <v>9</v>
      </c>
      <c r="AB287" s="35">
        <v>21.5</v>
      </c>
      <c r="AC287" s="35">
        <v>20</v>
      </c>
      <c r="AD287" s="35">
        <v>21.4</v>
      </c>
      <c r="AE287" s="35">
        <v>20</v>
      </c>
    </row>
    <row r="288" spans="1:31" x14ac:dyDescent="0.35">
      <c r="A288" s="36">
        <v>46059.652083333334</v>
      </c>
      <c r="B288" s="35">
        <v>-22.1</v>
      </c>
      <c r="C288" s="35">
        <v>-19.600000000000001</v>
      </c>
      <c r="D288" s="35">
        <v>-23</v>
      </c>
      <c r="E288" s="35">
        <v>-21.8</v>
      </c>
      <c r="F288" s="35">
        <v>-21.5</v>
      </c>
      <c r="G288" s="35">
        <v>-23</v>
      </c>
      <c r="H288" s="35">
        <v>-20.100000000000001</v>
      </c>
      <c r="I288" s="35">
        <v>-0.4</v>
      </c>
      <c r="J288" s="35">
        <v>-23</v>
      </c>
      <c r="K288" s="35">
        <v>-20.100000000000001</v>
      </c>
      <c r="L288" s="35">
        <v>-20.7</v>
      </c>
      <c r="M288" s="35">
        <v>-23</v>
      </c>
      <c r="N288" s="35">
        <v>-1</v>
      </c>
      <c r="O288" s="35">
        <v>-1.6</v>
      </c>
      <c r="P288" s="35">
        <v>-5</v>
      </c>
      <c r="Q288" s="35">
        <v>-1.6</v>
      </c>
      <c r="R288" s="35">
        <v>-3.1</v>
      </c>
      <c r="S288" s="35">
        <v>-5</v>
      </c>
      <c r="T288" s="35">
        <v>9.5</v>
      </c>
      <c r="U288" s="35">
        <v>9</v>
      </c>
      <c r="V288" s="35">
        <v>8</v>
      </c>
      <c r="W288" s="35">
        <v>9</v>
      </c>
      <c r="X288" s="35">
        <v>8.5</v>
      </c>
      <c r="Y288" s="35">
        <v>9</v>
      </c>
      <c r="Z288" s="35">
        <v>10.7</v>
      </c>
      <c r="AA288" s="35">
        <v>9</v>
      </c>
      <c r="AB288" s="35">
        <v>21.5</v>
      </c>
      <c r="AC288" s="35">
        <v>20</v>
      </c>
      <c r="AD288" s="35">
        <v>21.4</v>
      </c>
      <c r="AE288" s="35">
        <v>20</v>
      </c>
    </row>
    <row r="289" spans="1:31" x14ac:dyDescent="0.35">
      <c r="A289" s="36">
        <v>46059.652777777781</v>
      </c>
      <c r="B289" s="35">
        <v>-22.1</v>
      </c>
      <c r="C289" s="35">
        <v>-19.7</v>
      </c>
      <c r="D289" s="35">
        <v>-23</v>
      </c>
      <c r="E289" s="35">
        <v>-21.8</v>
      </c>
      <c r="F289" s="35">
        <v>-21.5</v>
      </c>
      <c r="G289" s="35">
        <v>-23</v>
      </c>
      <c r="H289" s="35">
        <v>-20.6</v>
      </c>
      <c r="I289" s="35">
        <v>-0.6</v>
      </c>
      <c r="J289" s="35">
        <v>-23</v>
      </c>
      <c r="K289" s="35">
        <v>-20.6</v>
      </c>
      <c r="L289" s="35">
        <v>-21.1</v>
      </c>
      <c r="M289" s="35">
        <v>-23</v>
      </c>
      <c r="N289" s="35">
        <v>-1</v>
      </c>
      <c r="O289" s="35">
        <v>-1.6</v>
      </c>
      <c r="P289" s="35">
        <v>-5</v>
      </c>
      <c r="Q289" s="35">
        <v>-1.7</v>
      </c>
      <c r="R289" s="35">
        <v>-3.1</v>
      </c>
      <c r="S289" s="35">
        <v>-5</v>
      </c>
      <c r="T289" s="35">
        <v>9.6</v>
      </c>
      <c r="U289" s="35">
        <v>9</v>
      </c>
      <c r="V289" s="35">
        <v>8</v>
      </c>
      <c r="W289" s="35">
        <v>9</v>
      </c>
      <c r="X289" s="35">
        <v>8.5</v>
      </c>
      <c r="Y289" s="35">
        <v>9</v>
      </c>
      <c r="Z289" s="35">
        <v>10.5</v>
      </c>
      <c r="AA289" s="35">
        <v>9</v>
      </c>
      <c r="AB289" s="35">
        <v>21.5</v>
      </c>
      <c r="AC289" s="35">
        <v>20</v>
      </c>
      <c r="AD289" s="35">
        <v>21.4</v>
      </c>
      <c r="AE289" s="35">
        <v>20</v>
      </c>
    </row>
    <row r="290" spans="1:31" x14ac:dyDescent="0.35">
      <c r="A290" s="36">
        <v>46059.65347222222</v>
      </c>
      <c r="B290" s="35">
        <v>-22.1</v>
      </c>
      <c r="C290" s="35">
        <v>-19.7</v>
      </c>
      <c r="D290" s="35">
        <v>-23</v>
      </c>
      <c r="E290" s="35">
        <v>-21.8</v>
      </c>
      <c r="F290" s="35">
        <v>-21.5</v>
      </c>
      <c r="G290" s="35">
        <v>-23</v>
      </c>
      <c r="H290" s="35">
        <v>-20.9</v>
      </c>
      <c r="I290" s="35">
        <v>-0.8</v>
      </c>
      <c r="J290" s="35">
        <v>-23</v>
      </c>
      <c r="K290" s="35">
        <v>-21</v>
      </c>
      <c r="L290" s="35">
        <v>-21.3</v>
      </c>
      <c r="M290" s="35">
        <v>-23</v>
      </c>
      <c r="N290" s="35">
        <v>-1</v>
      </c>
      <c r="O290" s="35">
        <v>-1.7</v>
      </c>
      <c r="P290" s="35">
        <v>-5</v>
      </c>
      <c r="Q290" s="35">
        <v>-1.7</v>
      </c>
      <c r="R290" s="35">
        <v>-3.1</v>
      </c>
      <c r="S290" s="35">
        <v>-5</v>
      </c>
      <c r="T290" s="35">
        <v>9.6999999999999993</v>
      </c>
      <c r="U290" s="35">
        <v>9</v>
      </c>
      <c r="V290" s="35">
        <v>8.1</v>
      </c>
      <c r="W290" s="35">
        <v>9</v>
      </c>
      <c r="X290" s="35">
        <v>8.5</v>
      </c>
      <c r="Y290" s="35">
        <v>9</v>
      </c>
      <c r="Z290" s="35">
        <v>10.4</v>
      </c>
      <c r="AA290" s="35">
        <v>9</v>
      </c>
      <c r="AB290" s="35">
        <v>21.5</v>
      </c>
      <c r="AC290" s="35">
        <v>20</v>
      </c>
      <c r="AD290" s="35">
        <v>21.4</v>
      </c>
      <c r="AE290" s="35">
        <v>20</v>
      </c>
    </row>
    <row r="291" spans="1:31" x14ac:dyDescent="0.35">
      <c r="A291" s="36">
        <v>46059.654166666667</v>
      </c>
      <c r="B291" s="35">
        <v>-22.1</v>
      </c>
      <c r="C291" s="35">
        <v>-19.8</v>
      </c>
      <c r="D291" s="35">
        <v>-23</v>
      </c>
      <c r="E291" s="35">
        <v>-21.9</v>
      </c>
      <c r="F291" s="35">
        <v>-21.6</v>
      </c>
      <c r="G291" s="35">
        <v>-23</v>
      </c>
      <c r="H291" s="35">
        <v>-21.1</v>
      </c>
      <c r="I291" s="35">
        <v>-1.5</v>
      </c>
      <c r="J291" s="35">
        <v>-23</v>
      </c>
      <c r="K291" s="35">
        <v>-21.2</v>
      </c>
      <c r="L291" s="35">
        <v>-21.4</v>
      </c>
      <c r="M291" s="35">
        <v>-23</v>
      </c>
      <c r="N291" s="35">
        <v>-1.1000000000000001</v>
      </c>
      <c r="O291" s="35">
        <v>-1.7</v>
      </c>
      <c r="P291" s="35">
        <v>-5</v>
      </c>
      <c r="Q291" s="35">
        <v>-1.7</v>
      </c>
      <c r="R291" s="35">
        <v>-3.1</v>
      </c>
      <c r="S291" s="35">
        <v>-5</v>
      </c>
      <c r="T291" s="35">
        <v>9.9</v>
      </c>
      <c r="U291" s="35">
        <v>9</v>
      </c>
      <c r="V291" s="35">
        <v>8.3000000000000007</v>
      </c>
      <c r="W291" s="35">
        <v>9</v>
      </c>
      <c r="X291" s="35">
        <v>8.6999999999999993</v>
      </c>
      <c r="Y291" s="35">
        <v>9</v>
      </c>
      <c r="Z291" s="35">
        <v>10.3</v>
      </c>
      <c r="AA291" s="35">
        <v>9</v>
      </c>
      <c r="AB291" s="35">
        <v>21.5</v>
      </c>
      <c r="AC291" s="35">
        <v>20</v>
      </c>
      <c r="AD291" s="35">
        <v>21.4</v>
      </c>
      <c r="AE291" s="35">
        <v>20</v>
      </c>
    </row>
    <row r="292" spans="1:31" x14ac:dyDescent="0.35">
      <c r="A292" s="36">
        <v>46059.654861111114</v>
      </c>
      <c r="B292" s="35">
        <v>-22.2</v>
      </c>
      <c r="C292" s="35">
        <v>-19.8</v>
      </c>
      <c r="D292" s="35">
        <v>-23</v>
      </c>
      <c r="E292" s="35">
        <v>-21.9</v>
      </c>
      <c r="F292" s="35">
        <v>-21.6</v>
      </c>
      <c r="G292" s="35">
        <v>-23</v>
      </c>
      <c r="H292" s="35">
        <v>-21.3</v>
      </c>
      <c r="I292" s="35">
        <v>-2.2999999999999998</v>
      </c>
      <c r="J292" s="35">
        <v>-23</v>
      </c>
      <c r="K292" s="35">
        <v>-21.4</v>
      </c>
      <c r="L292" s="35">
        <v>-21.6</v>
      </c>
      <c r="M292" s="35">
        <v>-23</v>
      </c>
      <c r="N292" s="35">
        <v>-1.1000000000000001</v>
      </c>
      <c r="O292" s="35">
        <v>-1.7</v>
      </c>
      <c r="P292" s="35">
        <v>-5</v>
      </c>
      <c r="Q292" s="35">
        <v>0.3</v>
      </c>
      <c r="R292" s="35">
        <v>1</v>
      </c>
      <c r="S292" s="35">
        <v>-5</v>
      </c>
      <c r="T292" s="35">
        <v>10</v>
      </c>
      <c r="U292" s="35">
        <v>9</v>
      </c>
      <c r="V292" s="35">
        <v>8.6</v>
      </c>
      <c r="W292" s="35">
        <v>9</v>
      </c>
      <c r="X292" s="35">
        <v>8.8000000000000007</v>
      </c>
      <c r="Y292" s="35">
        <v>9</v>
      </c>
      <c r="Z292" s="35">
        <v>10.199999999999999</v>
      </c>
      <c r="AA292" s="35">
        <v>9</v>
      </c>
      <c r="AB292" s="35">
        <v>21.5</v>
      </c>
      <c r="AC292" s="35">
        <v>20</v>
      </c>
      <c r="AD292" s="35">
        <v>21.4</v>
      </c>
      <c r="AE292" s="35">
        <v>20</v>
      </c>
    </row>
    <row r="293" spans="1:31" x14ac:dyDescent="0.35">
      <c r="A293" s="36">
        <v>46059.655555555553</v>
      </c>
      <c r="B293" s="35">
        <v>-22.2</v>
      </c>
      <c r="C293" s="35">
        <v>-19.899999999999999</v>
      </c>
      <c r="D293" s="35">
        <v>-23</v>
      </c>
      <c r="E293" s="35">
        <v>-21.9</v>
      </c>
      <c r="F293" s="35">
        <v>-21.6</v>
      </c>
      <c r="G293" s="35">
        <v>-23</v>
      </c>
      <c r="H293" s="35">
        <v>-21.2</v>
      </c>
      <c r="I293" s="35">
        <v>-3.3</v>
      </c>
      <c r="J293" s="35">
        <v>-23</v>
      </c>
      <c r="K293" s="35">
        <v>-20.8</v>
      </c>
      <c r="L293" s="35">
        <v>-21.2</v>
      </c>
      <c r="M293" s="35">
        <v>-23</v>
      </c>
      <c r="N293" s="35">
        <v>-1.1000000000000001</v>
      </c>
      <c r="O293" s="35">
        <v>-1.8</v>
      </c>
      <c r="P293" s="35">
        <v>-5</v>
      </c>
      <c r="Q293" s="35">
        <v>-1.1000000000000001</v>
      </c>
      <c r="R293" s="35">
        <v>-3.1</v>
      </c>
      <c r="S293" s="35">
        <v>-5</v>
      </c>
      <c r="T293" s="35">
        <v>10.1</v>
      </c>
      <c r="U293" s="35">
        <v>9</v>
      </c>
      <c r="V293" s="35">
        <v>8.6999999999999993</v>
      </c>
      <c r="W293" s="35">
        <v>9</v>
      </c>
      <c r="X293" s="35">
        <v>9</v>
      </c>
      <c r="Y293" s="35">
        <v>9</v>
      </c>
      <c r="Z293" s="35">
        <v>10.199999999999999</v>
      </c>
      <c r="AA293" s="35">
        <v>9</v>
      </c>
      <c r="AB293" s="35">
        <v>21.5</v>
      </c>
      <c r="AC293" s="35">
        <v>20</v>
      </c>
      <c r="AD293" s="35">
        <v>21.4</v>
      </c>
      <c r="AE293" s="35">
        <v>20</v>
      </c>
    </row>
    <row r="294" spans="1:31" x14ac:dyDescent="0.35">
      <c r="A294" s="36">
        <v>46059.65625</v>
      </c>
      <c r="B294" s="35">
        <v>-22.3</v>
      </c>
      <c r="C294" s="35">
        <v>-19.899999999999999</v>
      </c>
      <c r="D294" s="35">
        <v>-23</v>
      </c>
      <c r="E294" s="35">
        <v>-21.9</v>
      </c>
      <c r="F294" s="35">
        <v>-21.7</v>
      </c>
      <c r="G294" s="35">
        <v>-23</v>
      </c>
      <c r="H294" s="35">
        <v>-21.2</v>
      </c>
      <c r="I294" s="35">
        <v>-4.2</v>
      </c>
      <c r="J294" s="35">
        <v>-23</v>
      </c>
      <c r="K294" s="35">
        <v>-20.7</v>
      </c>
      <c r="L294" s="35">
        <v>-20.9</v>
      </c>
      <c r="M294" s="35">
        <v>-23</v>
      </c>
      <c r="N294" s="35">
        <v>-1.2</v>
      </c>
      <c r="O294" s="35">
        <v>-1.8</v>
      </c>
      <c r="P294" s="35">
        <v>-5</v>
      </c>
      <c r="Q294" s="35">
        <v>0</v>
      </c>
      <c r="R294" s="35">
        <v>0.4</v>
      </c>
      <c r="S294" s="35">
        <v>-5</v>
      </c>
      <c r="T294" s="35">
        <v>10.199999999999999</v>
      </c>
      <c r="U294" s="35">
        <v>9</v>
      </c>
      <c r="V294" s="35">
        <v>8.9</v>
      </c>
      <c r="W294" s="35">
        <v>9</v>
      </c>
      <c r="X294" s="35">
        <v>9.1</v>
      </c>
      <c r="Y294" s="35">
        <v>9</v>
      </c>
      <c r="Z294" s="35">
        <v>10.199999999999999</v>
      </c>
      <c r="AA294" s="35">
        <v>9</v>
      </c>
      <c r="AB294" s="35">
        <v>21.5</v>
      </c>
      <c r="AC294" s="35">
        <v>20</v>
      </c>
      <c r="AD294" s="35">
        <v>21.4</v>
      </c>
      <c r="AE294" s="35">
        <v>20</v>
      </c>
    </row>
    <row r="295" spans="1:31" x14ac:dyDescent="0.35">
      <c r="A295" s="36">
        <v>46059.656944444447</v>
      </c>
      <c r="B295" s="35">
        <v>-22.3</v>
      </c>
      <c r="C295" s="35">
        <v>-20</v>
      </c>
      <c r="D295" s="35">
        <v>-23</v>
      </c>
      <c r="E295" s="35">
        <v>-22</v>
      </c>
      <c r="F295" s="35">
        <v>-21.7</v>
      </c>
      <c r="G295" s="35">
        <v>-23</v>
      </c>
      <c r="H295" s="35">
        <v>-21.2</v>
      </c>
      <c r="I295" s="35">
        <v>-5.0999999999999996</v>
      </c>
      <c r="J295" s="35">
        <v>-23</v>
      </c>
      <c r="K295" s="35">
        <v>-20.8</v>
      </c>
      <c r="L295" s="35">
        <v>-21.4</v>
      </c>
      <c r="M295" s="35">
        <v>-23</v>
      </c>
      <c r="N295" s="35">
        <v>-1.2</v>
      </c>
      <c r="O295" s="35">
        <v>-1.8</v>
      </c>
      <c r="P295" s="35">
        <v>-5</v>
      </c>
      <c r="Q295" s="35">
        <v>-1</v>
      </c>
      <c r="R295" s="35">
        <v>-2</v>
      </c>
      <c r="S295" s="35">
        <v>-5</v>
      </c>
      <c r="T295" s="35">
        <v>10.3</v>
      </c>
      <c r="U295" s="35">
        <v>9</v>
      </c>
      <c r="V295" s="35">
        <v>9</v>
      </c>
      <c r="W295" s="35">
        <v>9</v>
      </c>
      <c r="X295" s="35">
        <v>9.1</v>
      </c>
      <c r="Y295" s="35">
        <v>9</v>
      </c>
      <c r="Z295" s="35">
        <v>10.1</v>
      </c>
      <c r="AA295" s="35">
        <v>9</v>
      </c>
      <c r="AB295" s="35">
        <v>21.5</v>
      </c>
      <c r="AC295" s="35">
        <v>20</v>
      </c>
      <c r="AD295" s="35">
        <v>21.4</v>
      </c>
      <c r="AE295" s="35">
        <v>20</v>
      </c>
    </row>
    <row r="296" spans="1:31" x14ac:dyDescent="0.35">
      <c r="A296" s="36">
        <v>46059.657638888886</v>
      </c>
      <c r="B296" s="35">
        <v>-22.3</v>
      </c>
      <c r="C296" s="35">
        <v>-20</v>
      </c>
      <c r="D296" s="35">
        <v>-23</v>
      </c>
      <c r="E296" s="35">
        <v>-22</v>
      </c>
      <c r="F296" s="35">
        <v>-21.8</v>
      </c>
      <c r="G296" s="35">
        <v>-23</v>
      </c>
      <c r="H296" s="35">
        <v>-21.4</v>
      </c>
      <c r="I296" s="35">
        <v>-5.7</v>
      </c>
      <c r="J296" s="35">
        <v>-23</v>
      </c>
      <c r="K296" s="35">
        <v>-21.3</v>
      </c>
      <c r="L296" s="35">
        <v>-21.8</v>
      </c>
      <c r="M296" s="35">
        <v>-23</v>
      </c>
      <c r="N296" s="35">
        <v>-1.2</v>
      </c>
      <c r="O296" s="35">
        <v>-1.9</v>
      </c>
      <c r="P296" s="35">
        <v>-5</v>
      </c>
      <c r="Q296" s="35">
        <v>-1.3</v>
      </c>
      <c r="R296" s="35">
        <v>-2.4</v>
      </c>
      <c r="S296" s="35">
        <v>-5</v>
      </c>
      <c r="T296" s="35">
        <v>10.4</v>
      </c>
      <c r="U296" s="35">
        <v>9</v>
      </c>
      <c r="V296" s="35">
        <v>9</v>
      </c>
      <c r="W296" s="35">
        <v>9</v>
      </c>
      <c r="X296" s="35">
        <v>9.1999999999999993</v>
      </c>
      <c r="Y296" s="35">
        <v>9</v>
      </c>
      <c r="Z296" s="35">
        <v>10.1</v>
      </c>
      <c r="AA296" s="35">
        <v>9</v>
      </c>
      <c r="AB296" s="35">
        <v>21.5</v>
      </c>
      <c r="AC296" s="35">
        <v>20</v>
      </c>
      <c r="AD296" s="35">
        <v>21.4</v>
      </c>
      <c r="AE296" s="35">
        <v>20</v>
      </c>
    </row>
    <row r="297" spans="1:31" x14ac:dyDescent="0.35">
      <c r="A297" s="36">
        <v>46059.658333333333</v>
      </c>
      <c r="B297" s="35">
        <v>-22.4</v>
      </c>
      <c r="C297" s="35">
        <v>-20.100000000000001</v>
      </c>
      <c r="D297" s="35">
        <v>-23</v>
      </c>
      <c r="E297" s="35">
        <v>-22</v>
      </c>
      <c r="F297" s="35">
        <v>-21.8</v>
      </c>
      <c r="G297" s="35">
        <v>-23</v>
      </c>
      <c r="H297" s="35">
        <v>-21.7</v>
      </c>
      <c r="I297" s="35">
        <v>-6.3</v>
      </c>
      <c r="J297" s="35">
        <v>-23</v>
      </c>
      <c r="K297" s="35">
        <v>-21.6</v>
      </c>
      <c r="L297" s="35">
        <v>-22</v>
      </c>
      <c r="M297" s="35">
        <v>-23</v>
      </c>
      <c r="N297" s="35">
        <v>-1.2</v>
      </c>
      <c r="O297" s="35">
        <v>-1.9</v>
      </c>
      <c r="P297" s="35">
        <v>-5</v>
      </c>
      <c r="Q297" s="35">
        <v>-1.3</v>
      </c>
      <c r="R297" s="35">
        <v>-2.4</v>
      </c>
      <c r="S297" s="35">
        <v>-5</v>
      </c>
      <c r="T297" s="35">
        <v>10.4</v>
      </c>
      <c r="U297" s="35">
        <v>9</v>
      </c>
      <c r="V297" s="35">
        <v>9.3000000000000007</v>
      </c>
      <c r="W297" s="35">
        <v>9</v>
      </c>
      <c r="X297" s="35">
        <v>9.3000000000000007</v>
      </c>
      <c r="Y297" s="35">
        <v>9</v>
      </c>
      <c r="Z297" s="35">
        <v>10.1</v>
      </c>
      <c r="AA297" s="35">
        <v>9</v>
      </c>
      <c r="AB297" s="35">
        <v>21.5</v>
      </c>
      <c r="AC297" s="35">
        <v>20</v>
      </c>
      <c r="AD297" s="35">
        <v>21.4</v>
      </c>
      <c r="AE297" s="35">
        <v>20</v>
      </c>
    </row>
    <row r="298" spans="1:31" x14ac:dyDescent="0.35">
      <c r="A298" s="36">
        <v>46059.65902777778</v>
      </c>
      <c r="B298" s="35">
        <v>-22.5</v>
      </c>
      <c r="C298" s="35">
        <v>-20.100000000000001</v>
      </c>
      <c r="D298" s="35">
        <v>-23</v>
      </c>
      <c r="E298" s="35">
        <v>-22.1</v>
      </c>
      <c r="F298" s="35">
        <v>-21.9</v>
      </c>
      <c r="G298" s="35">
        <v>-23</v>
      </c>
      <c r="H298" s="35">
        <v>-21.8</v>
      </c>
      <c r="I298" s="35">
        <v>-6.9</v>
      </c>
      <c r="J298" s="35">
        <v>-23</v>
      </c>
      <c r="K298" s="35">
        <v>-21.8</v>
      </c>
      <c r="L298" s="35">
        <v>-22</v>
      </c>
      <c r="M298" s="35">
        <v>-23</v>
      </c>
      <c r="N298" s="35">
        <v>-1.3</v>
      </c>
      <c r="O298" s="35">
        <v>-2</v>
      </c>
      <c r="P298" s="35">
        <v>-5</v>
      </c>
      <c r="Q298" s="35">
        <v>-1.3</v>
      </c>
      <c r="R298" s="35">
        <v>-2.4</v>
      </c>
      <c r="S298" s="35">
        <v>-5</v>
      </c>
      <c r="T298" s="35">
        <v>10.6</v>
      </c>
      <c r="U298" s="35">
        <v>9</v>
      </c>
      <c r="V298" s="35">
        <v>9.5</v>
      </c>
      <c r="W298" s="35">
        <v>9</v>
      </c>
      <c r="X298" s="35">
        <v>9.4</v>
      </c>
      <c r="Y298" s="35">
        <v>9</v>
      </c>
      <c r="Z298" s="35">
        <v>10.1</v>
      </c>
      <c r="AA298" s="35">
        <v>9</v>
      </c>
      <c r="AB298" s="35">
        <v>21.5</v>
      </c>
      <c r="AC298" s="35">
        <v>20</v>
      </c>
      <c r="AD298" s="35">
        <v>21.4</v>
      </c>
      <c r="AE298" s="35">
        <v>20</v>
      </c>
    </row>
    <row r="299" spans="1:31" x14ac:dyDescent="0.35">
      <c r="A299" s="36">
        <v>46059.659722222219</v>
      </c>
      <c r="B299" s="35">
        <v>-22.7</v>
      </c>
      <c r="C299" s="35">
        <v>-20.2</v>
      </c>
      <c r="D299" s="35">
        <v>-23</v>
      </c>
      <c r="E299" s="35">
        <v>-22.2</v>
      </c>
      <c r="F299" s="35">
        <v>-22.1</v>
      </c>
      <c r="G299" s="35">
        <v>-23</v>
      </c>
      <c r="H299" s="35">
        <v>-21.9</v>
      </c>
      <c r="I299" s="35">
        <v>-7.5</v>
      </c>
      <c r="J299" s="35">
        <v>-23</v>
      </c>
      <c r="K299" s="35">
        <v>-21.9</v>
      </c>
      <c r="L299" s="35">
        <v>-22</v>
      </c>
      <c r="M299" s="35">
        <v>-23</v>
      </c>
      <c r="N299" s="35">
        <v>-1.3</v>
      </c>
      <c r="O299" s="35">
        <v>-2</v>
      </c>
      <c r="P299" s="35">
        <v>-5</v>
      </c>
      <c r="Q299" s="35">
        <v>-1.3</v>
      </c>
      <c r="R299" s="35">
        <v>-2.5</v>
      </c>
      <c r="S299" s="35">
        <v>-5</v>
      </c>
      <c r="T299" s="35">
        <v>10.7</v>
      </c>
      <c r="U299" s="35">
        <v>9</v>
      </c>
      <c r="V299" s="35">
        <v>9.6999999999999993</v>
      </c>
      <c r="W299" s="35">
        <v>9</v>
      </c>
      <c r="X299" s="35">
        <v>9.6</v>
      </c>
      <c r="Y299" s="35">
        <v>9</v>
      </c>
      <c r="Z299" s="35">
        <v>10.1</v>
      </c>
      <c r="AA299" s="35">
        <v>9</v>
      </c>
      <c r="AB299" s="35">
        <v>21.5</v>
      </c>
      <c r="AC299" s="35">
        <v>20</v>
      </c>
      <c r="AD299" s="35">
        <v>21.4</v>
      </c>
      <c r="AE299" s="35">
        <v>20</v>
      </c>
    </row>
    <row r="300" spans="1:31" x14ac:dyDescent="0.35">
      <c r="A300" s="36">
        <v>46059.660416666666</v>
      </c>
      <c r="B300" s="35">
        <v>-22.9</v>
      </c>
      <c r="C300" s="35">
        <v>-20.3</v>
      </c>
      <c r="D300" s="35">
        <v>-23</v>
      </c>
      <c r="E300" s="35">
        <v>-22.4</v>
      </c>
      <c r="F300" s="35">
        <v>-22.4</v>
      </c>
      <c r="G300" s="35">
        <v>-23</v>
      </c>
      <c r="H300" s="35">
        <v>-22</v>
      </c>
      <c r="I300" s="35">
        <v>-8</v>
      </c>
      <c r="J300" s="35">
        <v>-23</v>
      </c>
      <c r="K300" s="35">
        <v>-21.9</v>
      </c>
      <c r="L300" s="35">
        <v>-22</v>
      </c>
      <c r="M300" s="35">
        <v>-23</v>
      </c>
      <c r="N300" s="35">
        <v>-1.3</v>
      </c>
      <c r="O300" s="35">
        <v>-2</v>
      </c>
      <c r="P300" s="35">
        <v>-5</v>
      </c>
      <c r="Q300" s="35">
        <v>-1.3</v>
      </c>
      <c r="R300" s="35">
        <v>-2.5</v>
      </c>
      <c r="S300" s="35">
        <v>-5</v>
      </c>
      <c r="T300" s="35">
        <v>10.8</v>
      </c>
      <c r="U300" s="35">
        <v>9</v>
      </c>
      <c r="V300" s="35">
        <v>9.8000000000000007</v>
      </c>
      <c r="W300" s="35">
        <v>9</v>
      </c>
      <c r="X300" s="35">
        <v>9.6</v>
      </c>
      <c r="Y300" s="35">
        <v>9</v>
      </c>
      <c r="Z300" s="35">
        <v>10.1</v>
      </c>
      <c r="AA300" s="35">
        <v>9</v>
      </c>
      <c r="AB300" s="35">
        <v>21.5</v>
      </c>
      <c r="AC300" s="35">
        <v>20</v>
      </c>
      <c r="AD300" s="35">
        <v>21.4</v>
      </c>
      <c r="AE300" s="35">
        <v>20</v>
      </c>
    </row>
    <row r="301" spans="1:31" x14ac:dyDescent="0.35">
      <c r="A301" s="36">
        <v>46059.661111111112</v>
      </c>
      <c r="B301" s="35">
        <v>-23</v>
      </c>
      <c r="C301" s="35">
        <v>-20.399999999999999</v>
      </c>
      <c r="D301" s="35">
        <v>-23</v>
      </c>
      <c r="E301" s="35">
        <v>-22.5</v>
      </c>
      <c r="F301" s="35">
        <v>-22.5</v>
      </c>
      <c r="G301" s="35">
        <v>-23</v>
      </c>
      <c r="H301" s="35">
        <v>-22.1</v>
      </c>
      <c r="I301" s="35">
        <v>-8.5</v>
      </c>
      <c r="J301" s="35">
        <v>-23</v>
      </c>
      <c r="K301" s="35">
        <v>-22</v>
      </c>
      <c r="L301" s="35">
        <v>-22.1</v>
      </c>
      <c r="M301" s="35">
        <v>-23</v>
      </c>
      <c r="N301" s="35">
        <v>-1.3</v>
      </c>
      <c r="O301" s="35">
        <v>-2</v>
      </c>
      <c r="P301" s="35">
        <v>-5</v>
      </c>
      <c r="Q301" s="35">
        <v>-1.4</v>
      </c>
      <c r="R301" s="35">
        <v>-2.6</v>
      </c>
      <c r="S301" s="35">
        <v>-5</v>
      </c>
      <c r="T301" s="35">
        <v>10.9</v>
      </c>
      <c r="U301" s="35">
        <v>9</v>
      </c>
      <c r="V301" s="35">
        <v>9.9</v>
      </c>
      <c r="W301" s="35">
        <v>9</v>
      </c>
      <c r="X301" s="35">
        <v>9.6999999999999993</v>
      </c>
      <c r="Y301" s="35">
        <v>9</v>
      </c>
      <c r="Z301" s="35">
        <v>10.1</v>
      </c>
      <c r="AA301" s="35">
        <v>9</v>
      </c>
      <c r="AB301" s="35">
        <v>21.5</v>
      </c>
      <c r="AC301" s="35">
        <v>20</v>
      </c>
      <c r="AD301" s="35">
        <v>21.4</v>
      </c>
      <c r="AE301" s="35">
        <v>20</v>
      </c>
    </row>
    <row r="302" spans="1:31" x14ac:dyDescent="0.35">
      <c r="A302" s="36">
        <v>46059.661805555559</v>
      </c>
      <c r="B302" s="35">
        <v>-23</v>
      </c>
      <c r="C302" s="35">
        <v>-20.5</v>
      </c>
      <c r="D302" s="35">
        <v>-23</v>
      </c>
      <c r="E302" s="35">
        <v>-22.5</v>
      </c>
      <c r="F302" s="35">
        <v>-22.5</v>
      </c>
      <c r="G302" s="35">
        <v>-23</v>
      </c>
      <c r="H302" s="35">
        <v>-22.3</v>
      </c>
      <c r="I302" s="35">
        <v>-9</v>
      </c>
      <c r="J302" s="35">
        <v>-23</v>
      </c>
      <c r="K302" s="35">
        <v>-22.1</v>
      </c>
      <c r="L302" s="35">
        <v>-22.4</v>
      </c>
      <c r="M302" s="35">
        <v>-23</v>
      </c>
      <c r="N302" s="35">
        <v>-1.3</v>
      </c>
      <c r="O302" s="35">
        <v>-2.1</v>
      </c>
      <c r="P302" s="35">
        <v>-5</v>
      </c>
      <c r="Q302" s="35">
        <v>-1.4</v>
      </c>
      <c r="R302" s="35">
        <v>-2.6</v>
      </c>
      <c r="S302" s="35">
        <v>-5</v>
      </c>
      <c r="T302" s="35">
        <v>11</v>
      </c>
      <c r="U302" s="35">
        <v>9</v>
      </c>
      <c r="V302" s="35">
        <v>10</v>
      </c>
      <c r="W302" s="35">
        <v>9</v>
      </c>
      <c r="X302" s="35">
        <v>9.6999999999999993</v>
      </c>
      <c r="Y302" s="35">
        <v>9</v>
      </c>
      <c r="Z302" s="35">
        <v>10.1</v>
      </c>
      <c r="AA302" s="35">
        <v>9</v>
      </c>
      <c r="AB302" s="35">
        <v>21.5</v>
      </c>
      <c r="AC302" s="35">
        <v>20</v>
      </c>
      <c r="AD302" s="35">
        <v>21.4</v>
      </c>
      <c r="AE302" s="35">
        <v>20</v>
      </c>
    </row>
    <row r="303" spans="1:31" x14ac:dyDescent="0.35">
      <c r="A303" s="36">
        <v>46059.663194444445</v>
      </c>
      <c r="B303" s="35">
        <v>-23</v>
      </c>
      <c r="C303" s="35">
        <v>-20.6</v>
      </c>
      <c r="D303" s="35">
        <v>-23</v>
      </c>
      <c r="E303" s="35">
        <v>-22.5</v>
      </c>
      <c r="F303" s="35">
        <v>-22.5</v>
      </c>
      <c r="G303" s="35">
        <v>-23</v>
      </c>
      <c r="H303" s="35">
        <v>-22.7</v>
      </c>
      <c r="I303" s="35">
        <v>-10.199999999999999</v>
      </c>
      <c r="J303" s="35">
        <v>-23</v>
      </c>
      <c r="K303" s="35">
        <v>-22.5</v>
      </c>
      <c r="L303" s="35">
        <v>-22.7</v>
      </c>
      <c r="M303" s="35">
        <v>-23</v>
      </c>
      <c r="N303" s="35">
        <v>-1.4</v>
      </c>
      <c r="O303" s="35">
        <v>-2.1</v>
      </c>
      <c r="P303" s="35">
        <v>-5</v>
      </c>
      <c r="Q303" s="35">
        <v>-1.5</v>
      </c>
      <c r="R303" s="35">
        <v>-2.6</v>
      </c>
      <c r="S303" s="35">
        <v>-5</v>
      </c>
      <c r="T303" s="35">
        <v>10.8</v>
      </c>
      <c r="U303" s="35">
        <v>9</v>
      </c>
      <c r="V303" s="35">
        <v>10.199999999999999</v>
      </c>
      <c r="W303" s="35">
        <v>9</v>
      </c>
      <c r="X303" s="35">
        <v>10.1</v>
      </c>
      <c r="Y303" s="35">
        <v>9</v>
      </c>
      <c r="Z303" s="35">
        <v>10.1</v>
      </c>
      <c r="AA303" s="35">
        <v>9</v>
      </c>
      <c r="AB303" s="35">
        <v>21.5</v>
      </c>
      <c r="AC303" s="35">
        <v>20</v>
      </c>
      <c r="AD303" s="35">
        <v>21.4</v>
      </c>
      <c r="AE303" s="35">
        <v>20</v>
      </c>
    </row>
    <row r="304" spans="1:31" x14ac:dyDescent="0.35">
      <c r="A304" s="36">
        <v>46059.663888888892</v>
      </c>
      <c r="B304" s="35">
        <v>-23</v>
      </c>
      <c r="C304" s="35">
        <v>-20.7</v>
      </c>
      <c r="D304" s="35">
        <v>-23</v>
      </c>
      <c r="E304" s="35">
        <v>-22.6</v>
      </c>
      <c r="F304" s="35">
        <v>-22.5</v>
      </c>
      <c r="G304" s="35">
        <v>-23</v>
      </c>
      <c r="H304" s="35">
        <v>-22.7</v>
      </c>
      <c r="I304" s="35">
        <v>-10.7</v>
      </c>
      <c r="J304" s="35">
        <v>-23</v>
      </c>
      <c r="K304" s="35">
        <v>-22.6</v>
      </c>
      <c r="L304" s="35">
        <v>-22.7</v>
      </c>
      <c r="M304" s="35">
        <v>-23</v>
      </c>
      <c r="N304" s="35">
        <v>-1.4</v>
      </c>
      <c r="O304" s="35">
        <v>-2.1</v>
      </c>
      <c r="P304" s="35">
        <v>-5</v>
      </c>
      <c r="Q304" s="35">
        <v>-1.5</v>
      </c>
      <c r="R304" s="35">
        <v>-2.6</v>
      </c>
      <c r="S304" s="35">
        <v>-5</v>
      </c>
      <c r="T304" s="35">
        <v>10.3</v>
      </c>
      <c r="U304" s="35">
        <v>9</v>
      </c>
      <c r="V304" s="35">
        <v>10.199999999999999</v>
      </c>
      <c r="W304" s="35">
        <v>9</v>
      </c>
      <c r="X304" s="35">
        <v>10.199999999999999</v>
      </c>
      <c r="Y304" s="35">
        <v>9</v>
      </c>
      <c r="Z304" s="35">
        <v>10.1</v>
      </c>
      <c r="AA304" s="35">
        <v>9</v>
      </c>
      <c r="AB304" s="35">
        <v>21.5</v>
      </c>
      <c r="AC304" s="35">
        <v>20</v>
      </c>
      <c r="AD304" s="35">
        <v>21.4</v>
      </c>
      <c r="AE304" s="35">
        <v>20</v>
      </c>
    </row>
    <row r="305" spans="1:31" x14ac:dyDescent="0.35">
      <c r="A305" s="36">
        <v>46059.664583333331</v>
      </c>
      <c r="B305" s="35">
        <v>-23.1</v>
      </c>
      <c r="C305" s="35">
        <v>-20.7</v>
      </c>
      <c r="D305" s="35">
        <v>-23</v>
      </c>
      <c r="E305" s="35">
        <v>-22.6</v>
      </c>
      <c r="F305" s="35">
        <v>-22.5</v>
      </c>
      <c r="G305" s="35">
        <v>-23</v>
      </c>
      <c r="H305" s="35">
        <v>-22.8</v>
      </c>
      <c r="I305" s="35">
        <v>-11.2</v>
      </c>
      <c r="J305" s="35">
        <v>-23</v>
      </c>
      <c r="K305" s="35">
        <v>-22.6</v>
      </c>
      <c r="L305" s="35">
        <v>-22.7</v>
      </c>
      <c r="M305" s="35">
        <v>-23</v>
      </c>
      <c r="N305" s="35">
        <v>-1.4</v>
      </c>
      <c r="O305" s="35">
        <v>-2.2000000000000002</v>
      </c>
      <c r="P305" s="35">
        <v>-5</v>
      </c>
      <c r="Q305" s="35">
        <v>-1.5</v>
      </c>
      <c r="R305" s="35">
        <v>-2.6</v>
      </c>
      <c r="S305" s="35">
        <v>-5</v>
      </c>
      <c r="T305" s="35">
        <v>9.8000000000000007</v>
      </c>
      <c r="U305" s="35">
        <v>9</v>
      </c>
      <c r="V305" s="35">
        <v>10.199999999999999</v>
      </c>
      <c r="W305" s="35">
        <v>9</v>
      </c>
      <c r="X305" s="35">
        <v>10.3</v>
      </c>
      <c r="Y305" s="35">
        <v>9</v>
      </c>
      <c r="Z305" s="35">
        <v>10.1</v>
      </c>
      <c r="AA305" s="35">
        <v>9</v>
      </c>
      <c r="AB305" s="35">
        <v>21.5</v>
      </c>
      <c r="AC305" s="35">
        <v>20</v>
      </c>
      <c r="AD305" s="35">
        <v>21.4</v>
      </c>
      <c r="AE305" s="35">
        <v>20</v>
      </c>
    </row>
    <row r="306" spans="1:31" x14ac:dyDescent="0.35">
      <c r="A306" s="36">
        <v>46059.665277777778</v>
      </c>
      <c r="B306" s="35">
        <v>-23.2</v>
      </c>
      <c r="C306" s="35">
        <v>-20.8</v>
      </c>
      <c r="D306" s="35">
        <v>-23</v>
      </c>
      <c r="E306" s="35">
        <v>-22.7</v>
      </c>
      <c r="F306" s="35">
        <v>-22.6</v>
      </c>
      <c r="G306" s="35">
        <v>-23</v>
      </c>
      <c r="H306" s="35">
        <v>-22.8</v>
      </c>
      <c r="I306" s="35">
        <v>-11.6</v>
      </c>
      <c r="J306" s="35">
        <v>-23</v>
      </c>
      <c r="K306" s="35">
        <v>-22.6</v>
      </c>
      <c r="L306" s="35">
        <v>-22.7</v>
      </c>
      <c r="M306" s="35">
        <v>-23</v>
      </c>
      <c r="N306" s="35">
        <v>-1.5</v>
      </c>
      <c r="O306" s="35">
        <v>-2.2000000000000002</v>
      </c>
      <c r="P306" s="35">
        <v>-5</v>
      </c>
      <c r="Q306" s="35">
        <v>-1.6</v>
      </c>
      <c r="R306" s="35">
        <v>-2.7</v>
      </c>
      <c r="S306" s="35">
        <v>-5</v>
      </c>
      <c r="T306" s="35">
        <v>9.4</v>
      </c>
      <c r="U306" s="35">
        <v>9</v>
      </c>
      <c r="V306" s="35">
        <v>10.199999999999999</v>
      </c>
      <c r="W306" s="35">
        <v>9</v>
      </c>
      <c r="X306" s="35">
        <v>10.3</v>
      </c>
      <c r="Y306" s="35">
        <v>9</v>
      </c>
      <c r="Z306" s="35">
        <v>10.199999999999999</v>
      </c>
      <c r="AA306" s="35">
        <v>9</v>
      </c>
      <c r="AB306" s="35">
        <v>21.5</v>
      </c>
      <c r="AC306" s="35">
        <v>20</v>
      </c>
      <c r="AD306" s="35">
        <v>21.4</v>
      </c>
      <c r="AE306" s="35">
        <v>20</v>
      </c>
    </row>
    <row r="307" spans="1:31" x14ac:dyDescent="0.35">
      <c r="A307" s="36">
        <v>46059.665972222225</v>
      </c>
      <c r="B307" s="35">
        <v>-23.3</v>
      </c>
      <c r="C307" s="35">
        <v>-20.8</v>
      </c>
      <c r="D307" s="35">
        <v>-23</v>
      </c>
      <c r="E307" s="35">
        <v>-22.8</v>
      </c>
      <c r="F307" s="35">
        <v>-22.7</v>
      </c>
      <c r="G307" s="35">
        <v>-23</v>
      </c>
      <c r="H307" s="35">
        <v>-22.9</v>
      </c>
      <c r="I307" s="35">
        <v>-12</v>
      </c>
      <c r="J307" s="35">
        <v>-23</v>
      </c>
      <c r="K307" s="35">
        <v>-22.6</v>
      </c>
      <c r="L307" s="35">
        <v>-22.8</v>
      </c>
      <c r="M307" s="35">
        <v>-23</v>
      </c>
      <c r="N307" s="35">
        <v>-1.5</v>
      </c>
      <c r="O307" s="35">
        <v>-2.2000000000000002</v>
      </c>
      <c r="P307" s="35">
        <v>-5</v>
      </c>
      <c r="Q307" s="35">
        <v>-1.6</v>
      </c>
      <c r="R307" s="35">
        <v>-2.7</v>
      </c>
      <c r="S307" s="35">
        <v>-5</v>
      </c>
      <c r="T307" s="35">
        <v>9</v>
      </c>
      <c r="U307" s="35">
        <v>9</v>
      </c>
      <c r="V307" s="35">
        <v>10</v>
      </c>
      <c r="W307" s="35">
        <v>9</v>
      </c>
      <c r="X307" s="35">
        <v>10.3</v>
      </c>
      <c r="Y307" s="35">
        <v>9</v>
      </c>
      <c r="Z307" s="35">
        <v>10.199999999999999</v>
      </c>
      <c r="AA307" s="35">
        <v>9</v>
      </c>
      <c r="AB307" s="35">
        <v>21.5</v>
      </c>
      <c r="AC307" s="35">
        <v>20</v>
      </c>
      <c r="AD307" s="35">
        <v>21.4</v>
      </c>
      <c r="AE307" s="35">
        <v>20</v>
      </c>
    </row>
    <row r="308" spans="1:31" x14ac:dyDescent="0.35">
      <c r="A308" s="36">
        <v>46059.666666666664</v>
      </c>
      <c r="B308" s="35">
        <v>-23.2</v>
      </c>
      <c r="C308" s="35">
        <v>-20.9</v>
      </c>
      <c r="D308" s="35">
        <v>-23</v>
      </c>
      <c r="E308" s="35">
        <v>-22.8</v>
      </c>
      <c r="F308" s="35">
        <v>-22.7</v>
      </c>
      <c r="G308" s="35">
        <v>-23</v>
      </c>
      <c r="H308" s="35">
        <v>-23.2</v>
      </c>
      <c r="I308" s="35">
        <v>-12.5</v>
      </c>
      <c r="J308" s="35">
        <v>-23</v>
      </c>
      <c r="K308" s="35">
        <v>-22.7</v>
      </c>
      <c r="L308" s="35">
        <v>-23.1</v>
      </c>
      <c r="M308" s="35">
        <v>-23</v>
      </c>
      <c r="N308" s="35">
        <v>-1.5</v>
      </c>
      <c r="O308" s="35">
        <v>-2.2000000000000002</v>
      </c>
      <c r="P308" s="35">
        <v>-5</v>
      </c>
      <c r="Q308" s="35">
        <v>-1.7</v>
      </c>
      <c r="R308" s="35">
        <v>-2.8</v>
      </c>
      <c r="S308" s="35">
        <v>-5</v>
      </c>
      <c r="T308" s="35">
        <v>8.8000000000000007</v>
      </c>
      <c r="U308" s="35">
        <v>9</v>
      </c>
      <c r="V308" s="35">
        <v>9.9</v>
      </c>
      <c r="W308" s="35">
        <v>9</v>
      </c>
      <c r="X308" s="35">
        <v>10.3</v>
      </c>
      <c r="Y308" s="35">
        <v>9</v>
      </c>
      <c r="Z308" s="35">
        <v>10.3</v>
      </c>
      <c r="AA308" s="35">
        <v>9</v>
      </c>
      <c r="AB308" s="35">
        <v>21.5</v>
      </c>
      <c r="AC308" s="35">
        <v>20</v>
      </c>
      <c r="AD308" s="35">
        <v>21.4</v>
      </c>
      <c r="AE308" s="35">
        <v>20</v>
      </c>
    </row>
    <row r="309" spans="1:31" x14ac:dyDescent="0.35">
      <c r="A309" s="36">
        <v>46059.667361111111</v>
      </c>
      <c r="B309" s="35">
        <v>-22.8</v>
      </c>
      <c r="C309" s="35">
        <v>-20.9</v>
      </c>
      <c r="D309" s="35">
        <v>-23</v>
      </c>
      <c r="E309" s="35">
        <v>-22.8</v>
      </c>
      <c r="F309" s="35">
        <v>-22.6</v>
      </c>
      <c r="G309" s="35">
        <v>-23</v>
      </c>
      <c r="H309" s="35">
        <v>-23.6</v>
      </c>
      <c r="I309" s="35">
        <v>-12.9</v>
      </c>
      <c r="J309" s="35">
        <v>-23</v>
      </c>
      <c r="K309" s="35">
        <v>-22.9</v>
      </c>
      <c r="L309" s="35">
        <v>-23.4</v>
      </c>
      <c r="M309" s="35">
        <v>-23</v>
      </c>
      <c r="N309" s="35">
        <v>-1.6</v>
      </c>
      <c r="O309" s="35">
        <v>-2.2999999999999998</v>
      </c>
      <c r="P309" s="35">
        <v>-5</v>
      </c>
      <c r="Q309" s="35">
        <v>-1.8</v>
      </c>
      <c r="R309" s="35">
        <v>-2.9</v>
      </c>
      <c r="S309" s="35">
        <v>-5</v>
      </c>
      <c r="T309" s="35">
        <v>8.8000000000000007</v>
      </c>
      <c r="U309" s="35">
        <v>9</v>
      </c>
      <c r="V309" s="35">
        <v>9.6999999999999993</v>
      </c>
      <c r="W309" s="35">
        <v>9</v>
      </c>
      <c r="X309" s="35">
        <v>10.3</v>
      </c>
      <c r="Y309" s="35">
        <v>9</v>
      </c>
      <c r="Z309" s="35">
        <v>10.4</v>
      </c>
      <c r="AA309" s="35">
        <v>9</v>
      </c>
      <c r="AB309" s="35">
        <v>21.5</v>
      </c>
      <c r="AC309" s="35">
        <v>20</v>
      </c>
      <c r="AD309" s="35">
        <v>21.4</v>
      </c>
      <c r="AE309" s="35">
        <v>20</v>
      </c>
    </row>
    <row r="310" spans="1:31" x14ac:dyDescent="0.35">
      <c r="A310" s="36">
        <v>46059.668055555558</v>
      </c>
      <c r="B310" s="35">
        <v>-22.6</v>
      </c>
      <c r="C310" s="35">
        <v>-21.3</v>
      </c>
      <c r="D310" s="35">
        <v>-23</v>
      </c>
      <c r="E310" s="35">
        <v>-22.7</v>
      </c>
      <c r="F310" s="35">
        <v>-22.3</v>
      </c>
      <c r="G310" s="35">
        <v>-23</v>
      </c>
      <c r="H310" s="35">
        <v>-23.8</v>
      </c>
      <c r="I310" s="35">
        <v>-13.3</v>
      </c>
      <c r="J310" s="35">
        <v>-23</v>
      </c>
      <c r="K310" s="35">
        <v>-23.1</v>
      </c>
      <c r="L310" s="35">
        <v>-23.6</v>
      </c>
      <c r="M310" s="35">
        <v>-23</v>
      </c>
      <c r="N310" s="35">
        <v>-1.6</v>
      </c>
      <c r="O310" s="35">
        <v>-2.2999999999999998</v>
      </c>
      <c r="P310" s="35">
        <v>-5</v>
      </c>
      <c r="Q310" s="35">
        <v>-1.9</v>
      </c>
      <c r="R310" s="35">
        <v>-2.9</v>
      </c>
      <c r="S310" s="35">
        <v>-5</v>
      </c>
      <c r="T310" s="35">
        <v>9</v>
      </c>
      <c r="U310" s="35">
        <v>9</v>
      </c>
      <c r="V310" s="35">
        <v>9.6999999999999993</v>
      </c>
      <c r="W310" s="35">
        <v>9</v>
      </c>
      <c r="X310" s="35">
        <v>10.3</v>
      </c>
      <c r="Y310" s="35">
        <v>9</v>
      </c>
      <c r="Z310" s="35">
        <v>10.4</v>
      </c>
      <c r="AA310" s="35">
        <v>9</v>
      </c>
      <c r="AB310" s="35">
        <v>21.5</v>
      </c>
      <c r="AC310" s="35">
        <v>20</v>
      </c>
      <c r="AD310" s="35">
        <v>21.4</v>
      </c>
      <c r="AE310" s="35">
        <v>20</v>
      </c>
    </row>
    <row r="311" spans="1:31" x14ac:dyDescent="0.35">
      <c r="A311" s="36">
        <v>46059.668749999997</v>
      </c>
      <c r="B311" s="35">
        <v>-22.3</v>
      </c>
      <c r="C311" s="35">
        <v>-21.5</v>
      </c>
      <c r="D311" s="35">
        <v>-23</v>
      </c>
      <c r="E311" s="35">
        <v>-22.7</v>
      </c>
      <c r="F311" s="35">
        <v>-21.2</v>
      </c>
      <c r="G311" s="35">
        <v>-23</v>
      </c>
      <c r="H311" s="35">
        <v>-23.4</v>
      </c>
      <c r="I311" s="35">
        <v>-13.6</v>
      </c>
      <c r="J311" s="35">
        <v>-23</v>
      </c>
      <c r="K311" s="35">
        <v>-23.2</v>
      </c>
      <c r="L311" s="35">
        <v>-23.5</v>
      </c>
      <c r="M311" s="35">
        <v>-23</v>
      </c>
      <c r="N311" s="35">
        <v>-1.7</v>
      </c>
      <c r="O311" s="35">
        <v>-2.4</v>
      </c>
      <c r="P311" s="35">
        <v>-5</v>
      </c>
      <c r="Q311" s="35">
        <v>-2</v>
      </c>
      <c r="R311" s="35">
        <v>-3.1</v>
      </c>
      <c r="S311" s="35">
        <v>-5</v>
      </c>
      <c r="T311" s="35">
        <v>9.3000000000000007</v>
      </c>
      <c r="U311" s="35">
        <v>9</v>
      </c>
      <c r="V311" s="35">
        <v>9.6999999999999993</v>
      </c>
      <c r="W311" s="35">
        <v>9</v>
      </c>
      <c r="X311" s="35">
        <v>10.3</v>
      </c>
      <c r="Y311" s="35">
        <v>9</v>
      </c>
      <c r="Z311" s="35">
        <v>10.5</v>
      </c>
      <c r="AA311" s="35">
        <v>9</v>
      </c>
      <c r="AB311" s="35">
        <v>21.5</v>
      </c>
      <c r="AC311" s="35">
        <v>20</v>
      </c>
      <c r="AD311" s="35">
        <v>21.4</v>
      </c>
      <c r="AE311" s="35">
        <v>20</v>
      </c>
    </row>
    <row r="312" spans="1:31" x14ac:dyDescent="0.35">
      <c r="A312" s="36">
        <v>46059.669444444444</v>
      </c>
      <c r="B312" s="35">
        <v>-22</v>
      </c>
      <c r="C312" s="35">
        <v>-21.5</v>
      </c>
      <c r="D312" s="35">
        <v>-23</v>
      </c>
      <c r="E312" s="35">
        <v>-22.7</v>
      </c>
      <c r="F312" s="35">
        <v>-19.2</v>
      </c>
      <c r="G312" s="35">
        <v>-23</v>
      </c>
      <c r="H312" s="35">
        <v>-22.9</v>
      </c>
      <c r="I312" s="35">
        <v>-14</v>
      </c>
      <c r="J312" s="35">
        <v>-23</v>
      </c>
      <c r="K312" s="35">
        <v>-23.1</v>
      </c>
      <c r="L312" s="35">
        <v>-23.1</v>
      </c>
      <c r="M312" s="35">
        <v>-23</v>
      </c>
      <c r="N312" s="35">
        <v>-1.7</v>
      </c>
      <c r="O312" s="35">
        <v>-2.4</v>
      </c>
      <c r="P312" s="35">
        <v>-5</v>
      </c>
      <c r="Q312" s="35">
        <v>-2.1</v>
      </c>
      <c r="R312" s="35">
        <v>-3.2</v>
      </c>
      <c r="S312" s="35">
        <v>-5</v>
      </c>
      <c r="T312" s="35">
        <v>9.5</v>
      </c>
      <c r="U312" s="35">
        <v>9</v>
      </c>
      <c r="V312" s="35">
        <v>9.6999999999999993</v>
      </c>
      <c r="W312" s="35">
        <v>9</v>
      </c>
      <c r="X312" s="35">
        <v>10.3</v>
      </c>
      <c r="Y312" s="35">
        <v>9</v>
      </c>
      <c r="Z312" s="35">
        <v>10.5</v>
      </c>
      <c r="AA312" s="35">
        <v>9</v>
      </c>
      <c r="AB312" s="35">
        <v>21.5</v>
      </c>
      <c r="AC312" s="35">
        <v>20</v>
      </c>
      <c r="AD312" s="35">
        <v>21.4</v>
      </c>
      <c r="AE312" s="35">
        <v>20</v>
      </c>
    </row>
    <row r="313" spans="1:31" x14ac:dyDescent="0.35">
      <c r="A313" s="36">
        <v>46059.670138888891</v>
      </c>
      <c r="B313" s="35">
        <v>-21.8</v>
      </c>
      <c r="C313" s="35">
        <v>-21.5</v>
      </c>
      <c r="D313" s="35">
        <v>-23</v>
      </c>
      <c r="E313" s="35">
        <v>-22.7</v>
      </c>
      <c r="F313" s="35">
        <v>-16.7</v>
      </c>
      <c r="G313" s="35">
        <v>-23</v>
      </c>
      <c r="H313" s="35">
        <v>-22.4</v>
      </c>
      <c r="I313" s="35">
        <v>-14.3</v>
      </c>
      <c r="J313" s="35">
        <v>-23</v>
      </c>
      <c r="K313" s="35">
        <v>-22.8</v>
      </c>
      <c r="L313" s="35">
        <v>-22.7</v>
      </c>
      <c r="M313" s="35">
        <v>-23</v>
      </c>
      <c r="N313" s="35">
        <v>-1.8</v>
      </c>
      <c r="O313" s="35">
        <v>-2.5</v>
      </c>
      <c r="P313" s="35">
        <v>-5</v>
      </c>
      <c r="Q313" s="35">
        <v>-2.2000000000000002</v>
      </c>
      <c r="R313" s="35">
        <v>-3.2</v>
      </c>
      <c r="S313" s="35">
        <v>-5</v>
      </c>
      <c r="T313" s="35">
        <v>9.8000000000000007</v>
      </c>
      <c r="U313" s="35">
        <v>9</v>
      </c>
      <c r="V313" s="35">
        <v>9.6999999999999993</v>
      </c>
      <c r="W313" s="35">
        <v>9</v>
      </c>
      <c r="X313" s="35">
        <v>10.3</v>
      </c>
      <c r="Y313" s="35">
        <v>9</v>
      </c>
      <c r="Z313" s="35">
        <v>10.5</v>
      </c>
      <c r="AA313" s="35">
        <v>9</v>
      </c>
      <c r="AB313" s="35">
        <v>21.5</v>
      </c>
      <c r="AC313" s="35">
        <v>20</v>
      </c>
      <c r="AD313" s="35">
        <v>21.4</v>
      </c>
      <c r="AE313" s="35">
        <v>20</v>
      </c>
    </row>
    <row r="314" spans="1:31" x14ac:dyDescent="0.35">
      <c r="A314" s="36">
        <v>46059.67083333333</v>
      </c>
      <c r="B314" s="35">
        <v>-21.6</v>
      </c>
      <c r="C314" s="35">
        <v>-21.3</v>
      </c>
      <c r="D314" s="35">
        <v>-23</v>
      </c>
      <c r="E314" s="35">
        <v>-22.7</v>
      </c>
      <c r="F314" s="35">
        <v>-13.9</v>
      </c>
      <c r="G314" s="35">
        <v>-23</v>
      </c>
      <c r="H314" s="35">
        <v>-22.1</v>
      </c>
      <c r="I314" s="35">
        <v>-14.5</v>
      </c>
      <c r="J314" s="35">
        <v>-23</v>
      </c>
      <c r="K314" s="35">
        <v>-22.5</v>
      </c>
      <c r="L314" s="35">
        <v>-22.4</v>
      </c>
      <c r="M314" s="35">
        <v>-23</v>
      </c>
      <c r="N314" s="35">
        <v>-1.8</v>
      </c>
      <c r="O314" s="35">
        <v>-2.6</v>
      </c>
      <c r="P314" s="35">
        <v>-5</v>
      </c>
      <c r="Q314" s="35">
        <v>-2.2999999999999998</v>
      </c>
      <c r="R314" s="35">
        <v>-3.3</v>
      </c>
      <c r="S314" s="35">
        <v>-5</v>
      </c>
      <c r="T314" s="35">
        <v>10</v>
      </c>
      <c r="U314" s="35">
        <v>9</v>
      </c>
      <c r="V314" s="35">
        <v>9.8000000000000007</v>
      </c>
      <c r="W314" s="35">
        <v>9</v>
      </c>
      <c r="X314" s="35">
        <v>10.3</v>
      </c>
      <c r="Y314" s="35">
        <v>9</v>
      </c>
      <c r="Z314" s="35">
        <v>10.5</v>
      </c>
      <c r="AA314" s="35">
        <v>9</v>
      </c>
      <c r="AB314" s="35">
        <v>21.5</v>
      </c>
      <c r="AC314" s="35">
        <v>20</v>
      </c>
      <c r="AD314" s="35">
        <v>21.4</v>
      </c>
      <c r="AE314" s="35">
        <v>20</v>
      </c>
    </row>
    <row r="315" spans="1:31" x14ac:dyDescent="0.35">
      <c r="A315" s="36">
        <v>46059.671527777777</v>
      </c>
      <c r="B315" s="35">
        <v>-21.4</v>
      </c>
      <c r="C315" s="35">
        <v>-21.1</v>
      </c>
      <c r="D315" s="35">
        <v>-23</v>
      </c>
      <c r="E315" s="35">
        <v>-22.7</v>
      </c>
      <c r="F315" s="35">
        <v>-11.1</v>
      </c>
      <c r="G315" s="35">
        <v>-23</v>
      </c>
      <c r="H315" s="35">
        <v>-21.9</v>
      </c>
      <c r="I315" s="35">
        <v>-14.7</v>
      </c>
      <c r="J315" s="35">
        <v>-23</v>
      </c>
      <c r="K315" s="35">
        <v>-22.3</v>
      </c>
      <c r="L315" s="35">
        <v>-22.2</v>
      </c>
      <c r="M315" s="35">
        <v>-23</v>
      </c>
      <c r="N315" s="35">
        <v>-1.9</v>
      </c>
      <c r="O315" s="35">
        <v>-2.7</v>
      </c>
      <c r="P315" s="35">
        <v>-5</v>
      </c>
      <c r="Q315" s="35">
        <v>-2.2999999999999998</v>
      </c>
      <c r="R315" s="35">
        <v>-3.4</v>
      </c>
      <c r="S315" s="35">
        <v>-5</v>
      </c>
      <c r="T315" s="35">
        <v>10.199999999999999</v>
      </c>
      <c r="U315" s="35">
        <v>9</v>
      </c>
      <c r="V315" s="35">
        <v>9.9</v>
      </c>
      <c r="W315" s="35">
        <v>9</v>
      </c>
      <c r="X315" s="35">
        <v>10.3</v>
      </c>
      <c r="Y315" s="35">
        <v>9</v>
      </c>
      <c r="Z315" s="35">
        <v>10.5</v>
      </c>
      <c r="AA315" s="35">
        <v>9</v>
      </c>
      <c r="AB315" s="35">
        <v>21.5</v>
      </c>
      <c r="AC315" s="35">
        <v>20</v>
      </c>
      <c r="AD315" s="35">
        <v>21.5</v>
      </c>
      <c r="AE315" s="35">
        <v>20</v>
      </c>
    </row>
    <row r="316" spans="1:31" x14ac:dyDescent="0.35">
      <c r="A316" s="36">
        <v>46059.672222222223</v>
      </c>
      <c r="B316" s="35">
        <v>-21.2</v>
      </c>
      <c r="C316" s="35">
        <v>-20.8</v>
      </c>
      <c r="D316" s="35">
        <v>-23</v>
      </c>
      <c r="E316" s="35">
        <v>-22.7</v>
      </c>
      <c r="F316" s="35">
        <v>-9.5</v>
      </c>
      <c r="G316" s="35">
        <v>-23</v>
      </c>
      <c r="H316" s="35">
        <v>-21.7</v>
      </c>
      <c r="I316" s="35">
        <v>-14.9</v>
      </c>
      <c r="J316" s="35">
        <v>-23</v>
      </c>
      <c r="K316" s="35">
        <v>-22.1</v>
      </c>
      <c r="L316" s="35">
        <v>-22</v>
      </c>
      <c r="M316" s="35">
        <v>-23</v>
      </c>
      <c r="N316" s="35">
        <v>-2</v>
      </c>
      <c r="O316" s="35">
        <v>-2.7</v>
      </c>
      <c r="P316" s="35">
        <v>-5</v>
      </c>
      <c r="Q316" s="35">
        <v>-2.4</v>
      </c>
      <c r="R316" s="35">
        <v>-3.5</v>
      </c>
      <c r="S316" s="35">
        <v>-5</v>
      </c>
      <c r="T316" s="35">
        <v>10.3</v>
      </c>
      <c r="U316" s="35">
        <v>9</v>
      </c>
      <c r="V316" s="35">
        <v>9.9</v>
      </c>
      <c r="W316" s="35">
        <v>9</v>
      </c>
      <c r="X316" s="35">
        <v>10.3</v>
      </c>
      <c r="Y316" s="35">
        <v>9</v>
      </c>
      <c r="Z316" s="35">
        <v>10.5</v>
      </c>
      <c r="AA316" s="35">
        <v>9</v>
      </c>
      <c r="AB316" s="35">
        <v>21.5</v>
      </c>
      <c r="AC316" s="35">
        <v>20</v>
      </c>
      <c r="AD316" s="35">
        <v>21.5</v>
      </c>
      <c r="AE316" s="35">
        <v>20</v>
      </c>
    </row>
    <row r="317" spans="1:31" x14ac:dyDescent="0.35">
      <c r="A317" s="36">
        <v>46059.67291666667</v>
      </c>
      <c r="B317" s="35">
        <v>-20.9</v>
      </c>
      <c r="C317" s="35">
        <v>-20.6</v>
      </c>
      <c r="D317" s="35">
        <v>-23</v>
      </c>
      <c r="E317" s="35">
        <v>-22.7</v>
      </c>
      <c r="F317" s="35">
        <v>-8.6</v>
      </c>
      <c r="G317" s="35">
        <v>-23</v>
      </c>
      <c r="H317" s="35">
        <v>-21.5</v>
      </c>
      <c r="I317" s="35">
        <v>-15.1</v>
      </c>
      <c r="J317" s="35">
        <v>-23</v>
      </c>
      <c r="K317" s="35">
        <v>-21.9</v>
      </c>
      <c r="L317" s="35">
        <v>-21.8</v>
      </c>
      <c r="M317" s="35">
        <v>-23</v>
      </c>
      <c r="N317" s="35">
        <v>-2</v>
      </c>
      <c r="O317" s="35">
        <v>-2.8</v>
      </c>
      <c r="P317" s="35">
        <v>-5</v>
      </c>
      <c r="Q317" s="35">
        <v>-2.5</v>
      </c>
      <c r="R317" s="35">
        <v>-3.6</v>
      </c>
      <c r="S317" s="35">
        <v>-5</v>
      </c>
      <c r="T317" s="35">
        <v>10.5</v>
      </c>
      <c r="U317" s="35">
        <v>9</v>
      </c>
      <c r="V317" s="35">
        <v>10</v>
      </c>
      <c r="W317" s="35">
        <v>9</v>
      </c>
      <c r="X317" s="35">
        <v>10.3</v>
      </c>
      <c r="Y317" s="35">
        <v>9</v>
      </c>
      <c r="Z317" s="35">
        <v>10.5</v>
      </c>
      <c r="AA317" s="35">
        <v>9</v>
      </c>
      <c r="AB317" s="35">
        <v>21.5</v>
      </c>
      <c r="AC317" s="35">
        <v>20</v>
      </c>
      <c r="AD317" s="35">
        <v>21.5</v>
      </c>
      <c r="AE317" s="35">
        <v>20</v>
      </c>
    </row>
    <row r="318" spans="1:31" x14ac:dyDescent="0.35">
      <c r="A318" s="36">
        <v>46059.673611111109</v>
      </c>
      <c r="B318" s="35">
        <v>-20.8</v>
      </c>
      <c r="C318" s="35">
        <v>-22.4</v>
      </c>
      <c r="D318" s="35">
        <v>-23</v>
      </c>
      <c r="E318" s="35">
        <v>-22.7</v>
      </c>
      <c r="F318" s="35">
        <v>-8</v>
      </c>
      <c r="G318" s="35">
        <v>-23</v>
      </c>
      <c r="H318" s="35">
        <v>-21.3</v>
      </c>
      <c r="I318" s="35">
        <v>-15.2</v>
      </c>
      <c r="J318" s="35">
        <v>-23</v>
      </c>
      <c r="K318" s="35">
        <v>-21.7</v>
      </c>
      <c r="L318" s="35">
        <v>-21.6</v>
      </c>
      <c r="M318" s="35">
        <v>-23</v>
      </c>
      <c r="N318" s="35">
        <v>-2.1</v>
      </c>
      <c r="O318" s="35">
        <v>-2.8</v>
      </c>
      <c r="P318" s="35">
        <v>-5</v>
      </c>
      <c r="Q318" s="35">
        <v>-2.5</v>
      </c>
      <c r="R318" s="35">
        <v>-3.6</v>
      </c>
      <c r="S318" s="35">
        <v>-5</v>
      </c>
      <c r="T318" s="35">
        <v>10.6</v>
      </c>
      <c r="U318" s="35">
        <v>9</v>
      </c>
      <c r="V318" s="35">
        <v>10.1</v>
      </c>
      <c r="W318" s="35">
        <v>9</v>
      </c>
      <c r="X318" s="35">
        <v>10.3</v>
      </c>
      <c r="Y318" s="35">
        <v>9</v>
      </c>
      <c r="Z318" s="35">
        <v>10.5</v>
      </c>
      <c r="AA318" s="35">
        <v>9</v>
      </c>
      <c r="AB318" s="35">
        <v>21.5</v>
      </c>
      <c r="AC318" s="35">
        <v>20</v>
      </c>
      <c r="AD318" s="35">
        <v>21.5</v>
      </c>
      <c r="AE318" s="35">
        <v>20</v>
      </c>
    </row>
    <row r="319" spans="1:31" x14ac:dyDescent="0.35">
      <c r="A319" s="36">
        <v>46059.674305555556</v>
      </c>
      <c r="B319" s="35">
        <v>-20.8</v>
      </c>
      <c r="C319" s="35">
        <v>-23.8</v>
      </c>
      <c r="D319" s="35">
        <v>-23</v>
      </c>
      <c r="E319" s="35">
        <v>-22.7</v>
      </c>
      <c r="F319" s="35">
        <v>-8.6</v>
      </c>
      <c r="G319" s="35">
        <v>-23</v>
      </c>
      <c r="H319" s="35">
        <v>-21.1</v>
      </c>
      <c r="I319" s="35">
        <v>-15.3</v>
      </c>
      <c r="J319" s="35">
        <v>-23</v>
      </c>
      <c r="K319" s="35">
        <v>-21.6</v>
      </c>
      <c r="L319" s="35">
        <v>-21.5</v>
      </c>
      <c r="M319" s="35">
        <v>-23</v>
      </c>
      <c r="N319" s="35">
        <v>-2.2000000000000002</v>
      </c>
      <c r="O319" s="35">
        <v>-2.9</v>
      </c>
      <c r="P319" s="35">
        <v>-5</v>
      </c>
      <c r="Q319" s="35">
        <v>-2.5</v>
      </c>
      <c r="R319" s="35">
        <v>-3.6</v>
      </c>
      <c r="S319" s="35">
        <v>-5</v>
      </c>
      <c r="T319" s="35">
        <v>10.7</v>
      </c>
      <c r="U319" s="35">
        <v>9</v>
      </c>
      <c r="V319" s="35">
        <v>10.1</v>
      </c>
      <c r="W319" s="35">
        <v>9</v>
      </c>
      <c r="X319" s="35">
        <v>10.3</v>
      </c>
      <c r="Y319" s="35">
        <v>9</v>
      </c>
      <c r="Z319" s="35">
        <v>10.5</v>
      </c>
      <c r="AA319" s="35">
        <v>9</v>
      </c>
      <c r="AB319" s="35">
        <v>21.5</v>
      </c>
      <c r="AC319" s="35">
        <v>20</v>
      </c>
      <c r="AD319" s="35">
        <v>21.5</v>
      </c>
      <c r="AE319" s="35">
        <v>20</v>
      </c>
    </row>
    <row r="320" spans="1:31" x14ac:dyDescent="0.35">
      <c r="A320" s="36">
        <v>46059.675000000003</v>
      </c>
      <c r="B320" s="35">
        <v>-20.8</v>
      </c>
      <c r="C320" s="35">
        <v>-24.6</v>
      </c>
      <c r="D320" s="35">
        <v>-23</v>
      </c>
      <c r="E320" s="35">
        <v>-22.7</v>
      </c>
      <c r="F320" s="35">
        <v>-7.8</v>
      </c>
      <c r="G320" s="35">
        <v>-23</v>
      </c>
      <c r="H320" s="35">
        <v>-21</v>
      </c>
      <c r="I320" s="35">
        <v>-15.3</v>
      </c>
      <c r="J320" s="35">
        <v>-23</v>
      </c>
      <c r="K320" s="35">
        <v>-21.4</v>
      </c>
      <c r="L320" s="35">
        <v>-21.3</v>
      </c>
      <c r="M320" s="35">
        <v>-23</v>
      </c>
      <c r="N320" s="35">
        <v>-2.2000000000000002</v>
      </c>
      <c r="O320" s="35">
        <v>-2.9</v>
      </c>
      <c r="P320" s="35">
        <v>-5</v>
      </c>
      <c r="Q320" s="35">
        <v>-2.5</v>
      </c>
      <c r="R320" s="35">
        <v>-3.6</v>
      </c>
      <c r="S320" s="35">
        <v>-5</v>
      </c>
      <c r="T320" s="35">
        <v>10.8</v>
      </c>
      <c r="U320" s="35">
        <v>9</v>
      </c>
      <c r="V320" s="35">
        <v>10.199999999999999</v>
      </c>
      <c r="W320" s="35">
        <v>9</v>
      </c>
      <c r="X320" s="35">
        <v>10.3</v>
      </c>
      <c r="Y320" s="35">
        <v>9</v>
      </c>
      <c r="Z320" s="35">
        <v>10.5</v>
      </c>
      <c r="AA320" s="35">
        <v>9</v>
      </c>
      <c r="AB320" s="35">
        <v>21.5</v>
      </c>
      <c r="AC320" s="35">
        <v>20</v>
      </c>
      <c r="AD320" s="35">
        <v>21.5</v>
      </c>
      <c r="AE320" s="35">
        <v>20</v>
      </c>
    </row>
    <row r="321" spans="1:31" x14ac:dyDescent="0.35">
      <c r="A321" s="36">
        <v>46059.675694444442</v>
      </c>
      <c r="B321" s="35">
        <v>-20.8</v>
      </c>
      <c r="C321" s="35">
        <v>-25.4</v>
      </c>
      <c r="D321" s="35">
        <v>-23</v>
      </c>
      <c r="E321" s="35">
        <v>-22.7</v>
      </c>
      <c r="F321" s="35">
        <v>-7.3</v>
      </c>
      <c r="G321" s="35">
        <v>-23</v>
      </c>
      <c r="H321" s="35">
        <v>-20.9</v>
      </c>
      <c r="I321" s="35">
        <v>-15.4</v>
      </c>
      <c r="J321" s="35">
        <v>-23</v>
      </c>
      <c r="K321" s="35">
        <v>-21.3</v>
      </c>
      <c r="L321" s="35">
        <v>-21.2</v>
      </c>
      <c r="M321" s="35">
        <v>-23</v>
      </c>
      <c r="N321" s="35">
        <v>-2.2000000000000002</v>
      </c>
      <c r="O321" s="35">
        <v>-2.9</v>
      </c>
      <c r="P321" s="35">
        <v>-5</v>
      </c>
      <c r="Q321" s="35">
        <v>-2.5</v>
      </c>
      <c r="R321" s="35">
        <v>-3.6</v>
      </c>
      <c r="S321" s="35">
        <v>-5</v>
      </c>
      <c r="T321" s="35">
        <v>10.9</v>
      </c>
      <c r="U321" s="35">
        <v>9</v>
      </c>
      <c r="V321" s="35">
        <v>10.3</v>
      </c>
      <c r="W321" s="35">
        <v>9</v>
      </c>
      <c r="X321" s="35">
        <v>10.3</v>
      </c>
      <c r="Y321" s="35">
        <v>9</v>
      </c>
      <c r="Z321" s="35">
        <v>10.5</v>
      </c>
      <c r="AA321" s="35">
        <v>9</v>
      </c>
      <c r="AB321" s="35">
        <v>21.5</v>
      </c>
      <c r="AC321" s="35">
        <v>20</v>
      </c>
      <c r="AD321" s="35">
        <v>21.5</v>
      </c>
      <c r="AE321" s="35">
        <v>20</v>
      </c>
    </row>
    <row r="322" spans="1:31" x14ac:dyDescent="0.35">
      <c r="A322" s="36">
        <v>46059.676388888889</v>
      </c>
      <c r="B322" s="35">
        <v>-21</v>
      </c>
      <c r="C322" s="35">
        <v>-25.2</v>
      </c>
      <c r="D322" s="35">
        <v>-23</v>
      </c>
      <c r="E322" s="35">
        <v>-22.7</v>
      </c>
      <c r="F322" s="35">
        <v>-7.3</v>
      </c>
      <c r="G322" s="35">
        <v>-23</v>
      </c>
      <c r="H322" s="35">
        <v>-20.7</v>
      </c>
      <c r="I322" s="35">
        <v>-15.4</v>
      </c>
      <c r="J322" s="35">
        <v>-23</v>
      </c>
      <c r="K322" s="35">
        <v>-21.2</v>
      </c>
      <c r="L322" s="35">
        <v>-21.1</v>
      </c>
      <c r="M322" s="35">
        <v>-23</v>
      </c>
      <c r="N322" s="35">
        <v>-2.2999999999999998</v>
      </c>
      <c r="O322" s="35">
        <v>-3</v>
      </c>
      <c r="P322" s="35">
        <v>-5</v>
      </c>
      <c r="Q322" s="35">
        <v>-2.6</v>
      </c>
      <c r="R322" s="35">
        <v>-3.6</v>
      </c>
      <c r="S322" s="35">
        <v>-5</v>
      </c>
      <c r="T322" s="35">
        <v>11</v>
      </c>
      <c r="U322" s="35">
        <v>9</v>
      </c>
      <c r="V322" s="35">
        <v>10.3</v>
      </c>
      <c r="W322" s="35">
        <v>9</v>
      </c>
      <c r="X322" s="35">
        <v>10.4</v>
      </c>
      <c r="Y322" s="35">
        <v>9</v>
      </c>
      <c r="Z322" s="35">
        <v>10.5</v>
      </c>
      <c r="AA322" s="35">
        <v>9</v>
      </c>
      <c r="AB322" s="35">
        <v>21.5</v>
      </c>
      <c r="AC322" s="35">
        <v>20</v>
      </c>
      <c r="AD322" s="35">
        <v>21.5</v>
      </c>
      <c r="AE322" s="35">
        <v>20</v>
      </c>
    </row>
    <row r="323" spans="1:31" x14ac:dyDescent="0.35">
      <c r="A323" s="36">
        <v>46059.677083333336</v>
      </c>
      <c r="B323" s="35">
        <v>-21.1</v>
      </c>
      <c r="C323" s="35">
        <v>-24.1</v>
      </c>
      <c r="D323" s="35">
        <v>-23</v>
      </c>
      <c r="E323" s="35">
        <v>-22.7</v>
      </c>
      <c r="F323" s="35">
        <v>-7.1</v>
      </c>
      <c r="G323" s="35">
        <v>-23</v>
      </c>
      <c r="H323" s="35">
        <v>-20.6</v>
      </c>
      <c r="I323" s="35">
        <v>-15.5</v>
      </c>
      <c r="J323" s="35">
        <v>-23</v>
      </c>
      <c r="K323" s="35">
        <v>-21.1</v>
      </c>
      <c r="L323" s="35">
        <v>-20.9</v>
      </c>
      <c r="M323" s="35">
        <v>-23</v>
      </c>
      <c r="N323" s="35">
        <v>-2.2999999999999998</v>
      </c>
      <c r="O323" s="35">
        <v>-3</v>
      </c>
      <c r="P323" s="35">
        <v>-5</v>
      </c>
      <c r="Q323" s="35">
        <v>-2.6</v>
      </c>
      <c r="R323" s="35">
        <v>-3.6</v>
      </c>
      <c r="S323" s="35">
        <v>-5</v>
      </c>
      <c r="T323" s="35">
        <v>11</v>
      </c>
      <c r="U323" s="35">
        <v>9</v>
      </c>
      <c r="V323" s="35">
        <v>10.4</v>
      </c>
      <c r="W323" s="35">
        <v>9</v>
      </c>
      <c r="X323" s="35">
        <v>10.4</v>
      </c>
      <c r="Y323" s="35">
        <v>9</v>
      </c>
      <c r="Z323" s="35">
        <v>10.5</v>
      </c>
      <c r="AA323" s="35">
        <v>9</v>
      </c>
      <c r="AB323" s="35">
        <v>21.5</v>
      </c>
      <c r="AC323" s="35">
        <v>20</v>
      </c>
      <c r="AD323" s="35">
        <v>21.5</v>
      </c>
      <c r="AE323" s="35">
        <v>20</v>
      </c>
    </row>
    <row r="324" spans="1:31" x14ac:dyDescent="0.35">
      <c r="A324" s="36">
        <v>46059.677777777775</v>
      </c>
      <c r="B324" s="35">
        <v>-21.2</v>
      </c>
      <c r="C324" s="35">
        <v>-23.2</v>
      </c>
      <c r="D324" s="35">
        <v>-23</v>
      </c>
      <c r="E324" s="35">
        <v>-22.7</v>
      </c>
      <c r="F324" s="35">
        <v>-6</v>
      </c>
      <c r="G324" s="35">
        <v>-23</v>
      </c>
      <c r="H324" s="35">
        <v>-20.6</v>
      </c>
      <c r="I324" s="35">
        <v>-15.5</v>
      </c>
      <c r="J324" s="35">
        <v>-23</v>
      </c>
      <c r="K324" s="35">
        <v>-21</v>
      </c>
      <c r="L324" s="35">
        <v>-20.9</v>
      </c>
      <c r="M324" s="35">
        <v>-23</v>
      </c>
      <c r="N324" s="35">
        <v>-2.2999999999999998</v>
      </c>
      <c r="O324" s="35">
        <v>-3</v>
      </c>
      <c r="P324" s="35">
        <v>-5</v>
      </c>
      <c r="Q324" s="35">
        <v>-2.6</v>
      </c>
      <c r="R324" s="35">
        <v>-3.7</v>
      </c>
      <c r="S324" s="35">
        <v>-5</v>
      </c>
      <c r="T324" s="35">
        <v>10.5</v>
      </c>
      <c r="U324" s="35">
        <v>9</v>
      </c>
      <c r="V324" s="35">
        <v>10.4</v>
      </c>
      <c r="W324" s="35">
        <v>9</v>
      </c>
      <c r="X324" s="35">
        <v>10.5</v>
      </c>
      <c r="Y324" s="35">
        <v>9</v>
      </c>
      <c r="Z324" s="35">
        <v>10.5</v>
      </c>
      <c r="AA324" s="35">
        <v>9</v>
      </c>
      <c r="AB324" s="35">
        <v>21.5</v>
      </c>
      <c r="AC324" s="35">
        <v>20</v>
      </c>
      <c r="AD324" s="35">
        <v>21.5</v>
      </c>
      <c r="AE324" s="35">
        <v>20</v>
      </c>
    </row>
    <row r="325" spans="1:31" x14ac:dyDescent="0.35">
      <c r="A325" s="36">
        <v>46059.678472222222</v>
      </c>
      <c r="B325" s="35">
        <v>-21.3</v>
      </c>
      <c r="C325" s="35">
        <v>-22.4</v>
      </c>
      <c r="D325" s="35">
        <v>-23</v>
      </c>
      <c r="E325" s="35">
        <v>-22.7</v>
      </c>
      <c r="F325" s="35">
        <v>-5.2</v>
      </c>
      <c r="G325" s="35">
        <v>-23</v>
      </c>
      <c r="H325" s="35">
        <v>-21.2</v>
      </c>
      <c r="I325" s="35">
        <v>-15.6</v>
      </c>
      <c r="J325" s="35">
        <v>-23</v>
      </c>
      <c r="K325" s="35">
        <v>-21</v>
      </c>
      <c r="L325" s="35">
        <v>-21.3</v>
      </c>
      <c r="M325" s="35">
        <v>-23</v>
      </c>
      <c r="N325" s="35">
        <v>-2.4</v>
      </c>
      <c r="O325" s="35">
        <v>-3.1</v>
      </c>
      <c r="P325" s="35">
        <v>-5</v>
      </c>
      <c r="Q325" s="35">
        <v>-2.6</v>
      </c>
      <c r="R325" s="35">
        <v>-3.7</v>
      </c>
      <c r="S325" s="35">
        <v>-5</v>
      </c>
      <c r="T325" s="35">
        <v>10.1</v>
      </c>
      <c r="U325" s="35">
        <v>9</v>
      </c>
      <c r="V325" s="35">
        <v>10.4</v>
      </c>
      <c r="W325" s="35">
        <v>9</v>
      </c>
      <c r="X325" s="35">
        <v>10.6</v>
      </c>
      <c r="Y325" s="35">
        <v>9</v>
      </c>
      <c r="Z325" s="35">
        <v>10.5</v>
      </c>
      <c r="AA325" s="35">
        <v>9</v>
      </c>
      <c r="AB325" s="35">
        <v>21.5</v>
      </c>
      <c r="AC325" s="35">
        <v>20</v>
      </c>
      <c r="AD325" s="35">
        <v>21.5</v>
      </c>
      <c r="AE325" s="35">
        <v>20</v>
      </c>
    </row>
    <row r="326" spans="1:31" x14ac:dyDescent="0.35">
      <c r="A326" s="36">
        <v>46059.679166666669</v>
      </c>
      <c r="B326" s="35">
        <v>-21.2</v>
      </c>
      <c r="C326" s="35">
        <v>-21.7</v>
      </c>
      <c r="D326" s="35">
        <v>-23</v>
      </c>
      <c r="E326" s="35">
        <v>-22.7</v>
      </c>
      <c r="F326" s="35">
        <v>-4.7</v>
      </c>
      <c r="G326" s="35">
        <v>-23</v>
      </c>
      <c r="H326" s="35">
        <v>-21.8</v>
      </c>
      <c r="I326" s="35">
        <v>-15.7</v>
      </c>
      <c r="J326" s="35">
        <v>-23</v>
      </c>
      <c r="K326" s="35">
        <v>-21.3</v>
      </c>
      <c r="L326" s="35">
        <v>-21.7</v>
      </c>
      <c r="M326" s="35">
        <v>-23</v>
      </c>
      <c r="N326" s="35">
        <v>-2.4</v>
      </c>
      <c r="O326" s="35">
        <v>-3.1</v>
      </c>
      <c r="P326" s="35">
        <v>-5</v>
      </c>
      <c r="Q326" s="35">
        <v>-2.6</v>
      </c>
      <c r="R326" s="35">
        <v>-3.7</v>
      </c>
      <c r="S326" s="35">
        <v>-5</v>
      </c>
      <c r="T326" s="35">
        <v>9.6</v>
      </c>
      <c r="U326" s="35">
        <v>9</v>
      </c>
      <c r="V326" s="35">
        <v>10.4</v>
      </c>
      <c r="W326" s="35">
        <v>9</v>
      </c>
      <c r="X326" s="35">
        <v>10.6</v>
      </c>
      <c r="Y326" s="35">
        <v>9</v>
      </c>
      <c r="Z326" s="35">
        <v>10.5</v>
      </c>
      <c r="AA326" s="35">
        <v>9</v>
      </c>
      <c r="AB326" s="35">
        <v>21.5</v>
      </c>
      <c r="AC326" s="35">
        <v>20</v>
      </c>
      <c r="AD326" s="35">
        <v>21.5</v>
      </c>
      <c r="AE326" s="35">
        <v>20</v>
      </c>
    </row>
    <row r="327" spans="1:31" x14ac:dyDescent="0.35">
      <c r="A327" s="36">
        <v>46059.679861111108</v>
      </c>
      <c r="B327" s="35">
        <v>-21</v>
      </c>
      <c r="C327" s="35">
        <v>-21.3</v>
      </c>
      <c r="D327" s="35">
        <v>-23</v>
      </c>
      <c r="E327" s="35">
        <v>-22.7</v>
      </c>
      <c r="F327" s="35">
        <v>-3.8</v>
      </c>
      <c r="G327" s="35">
        <v>-23</v>
      </c>
      <c r="H327" s="35">
        <v>-22.2</v>
      </c>
      <c r="I327" s="35">
        <v>-15.7</v>
      </c>
      <c r="J327" s="35">
        <v>-23</v>
      </c>
      <c r="K327" s="35">
        <v>-21.7</v>
      </c>
      <c r="L327" s="35">
        <v>-22</v>
      </c>
      <c r="M327" s="35">
        <v>-23</v>
      </c>
      <c r="N327" s="35">
        <v>-2.5</v>
      </c>
      <c r="O327" s="35">
        <v>-3.2</v>
      </c>
      <c r="P327" s="35">
        <v>-5</v>
      </c>
      <c r="Q327" s="35">
        <v>-2.6</v>
      </c>
      <c r="R327" s="35">
        <v>-3.7</v>
      </c>
      <c r="S327" s="35">
        <v>-5</v>
      </c>
      <c r="T327" s="35">
        <v>9.1999999999999993</v>
      </c>
      <c r="U327" s="35">
        <v>9</v>
      </c>
      <c r="V327" s="35">
        <v>10.199999999999999</v>
      </c>
      <c r="W327" s="35">
        <v>9</v>
      </c>
      <c r="X327" s="35">
        <v>10.6</v>
      </c>
      <c r="Y327" s="35">
        <v>9</v>
      </c>
      <c r="Z327" s="35">
        <v>10.6</v>
      </c>
      <c r="AA327" s="35">
        <v>9</v>
      </c>
      <c r="AB327" s="35">
        <v>21.5</v>
      </c>
      <c r="AC327" s="35">
        <v>20</v>
      </c>
      <c r="AD327" s="35">
        <v>21.5</v>
      </c>
      <c r="AE327" s="35">
        <v>20</v>
      </c>
    </row>
    <row r="328" spans="1:31" x14ac:dyDescent="0.35">
      <c r="A328" s="36">
        <v>46059.680555555555</v>
      </c>
      <c r="B328" s="35">
        <v>-20.7</v>
      </c>
      <c r="C328" s="35">
        <v>-20.9</v>
      </c>
      <c r="D328" s="35">
        <v>-23</v>
      </c>
      <c r="E328" s="35">
        <v>-22.7</v>
      </c>
      <c r="F328" s="35">
        <v>-3.6</v>
      </c>
      <c r="G328" s="35">
        <v>-23</v>
      </c>
      <c r="H328" s="35">
        <v>-22.5</v>
      </c>
      <c r="I328" s="35">
        <v>-15.9</v>
      </c>
      <c r="J328" s="35">
        <v>-23</v>
      </c>
      <c r="K328" s="35">
        <v>-21.9</v>
      </c>
      <c r="L328" s="35">
        <v>-22.3</v>
      </c>
      <c r="M328" s="35">
        <v>-23</v>
      </c>
      <c r="N328" s="35">
        <v>-2.5</v>
      </c>
      <c r="O328" s="35">
        <v>-3.2</v>
      </c>
      <c r="P328" s="35">
        <v>-5</v>
      </c>
      <c r="Q328" s="35">
        <v>-2.6</v>
      </c>
      <c r="R328" s="35">
        <v>-3.7</v>
      </c>
      <c r="S328" s="35">
        <v>-5</v>
      </c>
      <c r="T328" s="35">
        <v>8.9</v>
      </c>
      <c r="U328" s="35">
        <v>9</v>
      </c>
      <c r="V328" s="35">
        <v>10.1</v>
      </c>
      <c r="W328" s="35">
        <v>9</v>
      </c>
      <c r="X328" s="35">
        <v>10.6</v>
      </c>
      <c r="Y328" s="35">
        <v>9</v>
      </c>
      <c r="Z328" s="35">
        <v>10.6</v>
      </c>
      <c r="AA328" s="35">
        <v>9</v>
      </c>
      <c r="AB328" s="35">
        <v>21.5</v>
      </c>
      <c r="AC328" s="35">
        <v>20</v>
      </c>
      <c r="AD328" s="35">
        <v>21.5</v>
      </c>
      <c r="AE328" s="35">
        <v>20</v>
      </c>
    </row>
    <row r="329" spans="1:31" x14ac:dyDescent="0.35">
      <c r="A329" s="36">
        <v>46059.681250000001</v>
      </c>
      <c r="B329" s="35">
        <v>-20.5</v>
      </c>
      <c r="C329" s="35">
        <v>-20.5</v>
      </c>
      <c r="D329" s="35">
        <v>-23</v>
      </c>
      <c r="E329" s="35">
        <v>-22.7</v>
      </c>
      <c r="F329" s="35">
        <v>-3.5</v>
      </c>
      <c r="G329" s="35">
        <v>-23</v>
      </c>
      <c r="H329" s="35">
        <v>-22.7</v>
      </c>
      <c r="I329" s="35">
        <v>-16</v>
      </c>
      <c r="J329" s="35">
        <v>-23</v>
      </c>
      <c r="K329" s="35">
        <v>-22.2</v>
      </c>
      <c r="L329" s="35">
        <v>-22.6</v>
      </c>
      <c r="M329" s="35">
        <v>-23</v>
      </c>
      <c r="N329" s="35">
        <v>-2.6</v>
      </c>
      <c r="O329" s="35">
        <v>-3.3</v>
      </c>
      <c r="P329" s="35">
        <v>-5</v>
      </c>
      <c r="Q329" s="35">
        <v>-2.6</v>
      </c>
      <c r="R329" s="35">
        <v>-3.7</v>
      </c>
      <c r="S329" s="35">
        <v>-5</v>
      </c>
      <c r="T329" s="35">
        <v>8.8000000000000007</v>
      </c>
      <c r="U329" s="35">
        <v>9</v>
      </c>
      <c r="V329" s="35">
        <v>9.9</v>
      </c>
      <c r="W329" s="35">
        <v>9</v>
      </c>
      <c r="X329" s="35">
        <v>10.5</v>
      </c>
      <c r="Y329" s="35">
        <v>9</v>
      </c>
      <c r="Z329" s="35">
        <v>10.6</v>
      </c>
      <c r="AA329" s="35">
        <v>9</v>
      </c>
      <c r="AB329" s="35">
        <v>21.5</v>
      </c>
      <c r="AC329" s="35">
        <v>20</v>
      </c>
      <c r="AD329" s="35">
        <v>21.5</v>
      </c>
      <c r="AE329" s="35">
        <v>20</v>
      </c>
    </row>
    <row r="330" spans="1:31" x14ac:dyDescent="0.35">
      <c r="A330" s="36">
        <v>46059.681944444441</v>
      </c>
      <c r="B330" s="35">
        <v>-20.3</v>
      </c>
      <c r="C330" s="35">
        <v>-20.3</v>
      </c>
      <c r="D330" s="35">
        <v>-23</v>
      </c>
      <c r="E330" s="35">
        <v>-22.7</v>
      </c>
      <c r="F330" s="35">
        <v>-3.3</v>
      </c>
      <c r="G330" s="35">
        <v>-23</v>
      </c>
      <c r="H330" s="35">
        <v>-22.9</v>
      </c>
      <c r="I330" s="35">
        <v>-16.100000000000001</v>
      </c>
      <c r="J330" s="35">
        <v>-23</v>
      </c>
      <c r="K330" s="35">
        <v>-22.4</v>
      </c>
      <c r="L330" s="35">
        <v>-22.8</v>
      </c>
      <c r="M330" s="35">
        <v>-23</v>
      </c>
      <c r="N330" s="35">
        <v>-2.6</v>
      </c>
      <c r="O330" s="35">
        <v>-3.3</v>
      </c>
      <c r="P330" s="35">
        <v>-5</v>
      </c>
      <c r="Q330" s="35">
        <v>-2.6</v>
      </c>
      <c r="R330" s="35">
        <v>-3.7</v>
      </c>
      <c r="S330" s="35">
        <v>-5</v>
      </c>
      <c r="T330" s="35">
        <v>8.8000000000000007</v>
      </c>
      <c r="U330" s="35">
        <v>9</v>
      </c>
      <c r="V330" s="35">
        <v>9.8000000000000007</v>
      </c>
      <c r="W330" s="35">
        <v>9</v>
      </c>
      <c r="X330" s="35">
        <v>10.4</v>
      </c>
      <c r="Y330" s="35">
        <v>9</v>
      </c>
      <c r="Z330" s="35">
        <v>10.6</v>
      </c>
      <c r="AA330" s="35">
        <v>9</v>
      </c>
      <c r="AB330" s="35">
        <v>21.5</v>
      </c>
      <c r="AC330" s="35">
        <v>20</v>
      </c>
      <c r="AD330" s="35">
        <v>21.5</v>
      </c>
      <c r="AE330" s="35">
        <v>20</v>
      </c>
    </row>
    <row r="331" spans="1:31" x14ac:dyDescent="0.35">
      <c r="A331" s="36">
        <v>46059.682638888888</v>
      </c>
      <c r="B331" s="35">
        <v>-20.100000000000001</v>
      </c>
      <c r="C331" s="35">
        <v>-20.100000000000001</v>
      </c>
      <c r="D331" s="35">
        <v>-23</v>
      </c>
      <c r="E331" s="35">
        <v>-22.7</v>
      </c>
      <c r="F331" s="35">
        <v>-3</v>
      </c>
      <c r="G331" s="35">
        <v>-23</v>
      </c>
      <c r="H331" s="35">
        <v>-23</v>
      </c>
      <c r="I331" s="35">
        <v>-16.2</v>
      </c>
      <c r="J331" s="35">
        <v>-23</v>
      </c>
      <c r="K331" s="35">
        <v>-22.5</v>
      </c>
      <c r="L331" s="35">
        <v>-22.8</v>
      </c>
      <c r="M331" s="35">
        <v>-23</v>
      </c>
      <c r="N331" s="35">
        <v>-2.6</v>
      </c>
      <c r="O331" s="35">
        <v>-3.3</v>
      </c>
      <c r="P331" s="35">
        <v>-5</v>
      </c>
      <c r="Q331" s="35">
        <v>-2.6</v>
      </c>
      <c r="R331" s="35">
        <v>-3.7</v>
      </c>
      <c r="S331" s="35">
        <v>-5</v>
      </c>
      <c r="T331" s="35">
        <v>9.1</v>
      </c>
      <c r="U331" s="35">
        <v>9</v>
      </c>
      <c r="V331" s="35">
        <v>9.8000000000000007</v>
      </c>
      <c r="W331" s="35">
        <v>9</v>
      </c>
      <c r="X331" s="35">
        <v>10.4</v>
      </c>
      <c r="Y331" s="35">
        <v>9</v>
      </c>
      <c r="Z331" s="35">
        <v>10.6</v>
      </c>
      <c r="AA331" s="35">
        <v>9</v>
      </c>
      <c r="AB331" s="35">
        <v>21.5</v>
      </c>
      <c r="AC331" s="35">
        <v>20</v>
      </c>
      <c r="AD331" s="35">
        <v>21.5</v>
      </c>
      <c r="AE331" s="35">
        <v>20</v>
      </c>
    </row>
    <row r="332" spans="1:31" x14ac:dyDescent="0.35">
      <c r="A332" s="36">
        <v>46059.683333333334</v>
      </c>
      <c r="B332" s="35">
        <v>-20</v>
      </c>
      <c r="C332" s="35">
        <v>-20</v>
      </c>
      <c r="D332" s="35">
        <v>-23</v>
      </c>
      <c r="E332" s="35">
        <v>-22.7</v>
      </c>
      <c r="F332" s="35">
        <v>-2.8</v>
      </c>
      <c r="G332" s="35">
        <v>-23</v>
      </c>
      <c r="H332" s="35">
        <v>-23</v>
      </c>
      <c r="I332" s="35">
        <v>-16.399999999999999</v>
      </c>
      <c r="J332" s="35">
        <v>-23</v>
      </c>
      <c r="K332" s="35">
        <v>-22.6</v>
      </c>
      <c r="L332" s="35">
        <v>-22.8</v>
      </c>
      <c r="M332" s="35">
        <v>-23</v>
      </c>
      <c r="N332" s="35">
        <v>-2.7</v>
      </c>
      <c r="O332" s="35">
        <v>-3.4</v>
      </c>
      <c r="P332" s="35">
        <v>-5</v>
      </c>
      <c r="Q332" s="35">
        <v>-2.6</v>
      </c>
      <c r="R332" s="35">
        <v>-3.7</v>
      </c>
      <c r="S332" s="35">
        <v>-5</v>
      </c>
      <c r="T332" s="35">
        <v>9.4</v>
      </c>
      <c r="U332" s="35">
        <v>9</v>
      </c>
      <c r="V332" s="35">
        <v>9.8000000000000007</v>
      </c>
      <c r="W332" s="35">
        <v>9</v>
      </c>
      <c r="X332" s="35">
        <v>10.4</v>
      </c>
      <c r="Y332" s="35">
        <v>9</v>
      </c>
      <c r="Z332" s="35">
        <v>10.6</v>
      </c>
      <c r="AA332" s="35">
        <v>9</v>
      </c>
      <c r="AB332" s="35">
        <v>21.5</v>
      </c>
      <c r="AC332" s="35">
        <v>20</v>
      </c>
      <c r="AD332" s="35">
        <v>21.5</v>
      </c>
      <c r="AE332" s="35">
        <v>20</v>
      </c>
    </row>
    <row r="333" spans="1:31" x14ac:dyDescent="0.35">
      <c r="A333" s="36">
        <v>46059.684027777781</v>
      </c>
      <c r="B333" s="35">
        <v>-19.899999999999999</v>
      </c>
      <c r="C333" s="35">
        <v>-19.899999999999999</v>
      </c>
      <c r="D333" s="35">
        <v>-23</v>
      </c>
      <c r="E333" s="35">
        <v>-22.7</v>
      </c>
      <c r="F333" s="35">
        <v>-2.2000000000000002</v>
      </c>
      <c r="G333" s="35">
        <v>-23</v>
      </c>
      <c r="H333" s="35">
        <v>-23.1</v>
      </c>
      <c r="I333" s="35">
        <v>-16.5</v>
      </c>
      <c r="J333" s="35">
        <v>-23</v>
      </c>
      <c r="K333" s="35">
        <v>-22.7</v>
      </c>
      <c r="L333" s="35">
        <v>-22.9</v>
      </c>
      <c r="M333" s="35">
        <v>-23</v>
      </c>
      <c r="N333" s="35">
        <v>-2.7</v>
      </c>
      <c r="O333" s="35">
        <v>-3.4</v>
      </c>
      <c r="P333" s="35">
        <v>-5</v>
      </c>
      <c r="Q333" s="35">
        <v>-2.7</v>
      </c>
      <c r="R333" s="35">
        <v>-3.7</v>
      </c>
      <c r="S333" s="35">
        <v>-5</v>
      </c>
      <c r="T333" s="35">
        <v>9.6999999999999993</v>
      </c>
      <c r="U333" s="35">
        <v>9</v>
      </c>
      <c r="V333" s="35">
        <v>9.8000000000000007</v>
      </c>
      <c r="W333" s="35">
        <v>9</v>
      </c>
      <c r="X333" s="35">
        <v>10.4</v>
      </c>
      <c r="Y333" s="35">
        <v>9</v>
      </c>
      <c r="Z333" s="35">
        <v>10.6</v>
      </c>
      <c r="AA333" s="35">
        <v>9</v>
      </c>
      <c r="AB333" s="35">
        <v>21.5</v>
      </c>
      <c r="AC333" s="35">
        <v>20</v>
      </c>
      <c r="AD333" s="35">
        <v>21.5</v>
      </c>
      <c r="AE333" s="35">
        <v>20</v>
      </c>
    </row>
    <row r="334" spans="1:31" x14ac:dyDescent="0.35">
      <c r="A334" s="36">
        <v>46059.68472222222</v>
      </c>
      <c r="B334" s="35">
        <v>-19.899999999999999</v>
      </c>
      <c r="C334" s="35">
        <v>-19.899999999999999</v>
      </c>
      <c r="D334" s="35">
        <v>-23</v>
      </c>
      <c r="E334" s="35">
        <v>-22.7</v>
      </c>
      <c r="F334" s="35">
        <v>-1.7</v>
      </c>
      <c r="G334" s="35">
        <v>-23</v>
      </c>
      <c r="H334" s="35">
        <v>-23.1</v>
      </c>
      <c r="I334" s="35">
        <v>-16.7</v>
      </c>
      <c r="J334" s="35">
        <v>-23</v>
      </c>
      <c r="K334" s="35">
        <v>-22.8</v>
      </c>
      <c r="L334" s="35">
        <v>-22.9</v>
      </c>
      <c r="M334" s="35">
        <v>-23</v>
      </c>
      <c r="N334" s="35">
        <v>-2.7</v>
      </c>
      <c r="O334" s="35">
        <v>-3.4</v>
      </c>
      <c r="P334" s="35">
        <v>-5</v>
      </c>
      <c r="Q334" s="35">
        <v>-2.7</v>
      </c>
      <c r="R334" s="35">
        <v>-3.7</v>
      </c>
      <c r="S334" s="35">
        <v>-5</v>
      </c>
      <c r="T334" s="35">
        <v>9.9</v>
      </c>
      <c r="U334" s="35">
        <v>9</v>
      </c>
      <c r="V334" s="35">
        <v>9.8000000000000007</v>
      </c>
      <c r="W334" s="35">
        <v>9</v>
      </c>
      <c r="X334" s="35">
        <v>10.4</v>
      </c>
      <c r="Y334" s="35">
        <v>9</v>
      </c>
      <c r="Z334" s="35">
        <v>10.6</v>
      </c>
      <c r="AA334" s="35">
        <v>9</v>
      </c>
      <c r="AB334" s="35">
        <v>21.5</v>
      </c>
      <c r="AC334" s="35">
        <v>20</v>
      </c>
      <c r="AD334" s="35">
        <v>21.5</v>
      </c>
      <c r="AE334" s="35">
        <v>20</v>
      </c>
    </row>
    <row r="335" spans="1:31" x14ac:dyDescent="0.35">
      <c r="A335" s="36">
        <v>46059.685416666667</v>
      </c>
      <c r="B335" s="35">
        <v>-19.899999999999999</v>
      </c>
      <c r="C335" s="35">
        <v>-20</v>
      </c>
      <c r="D335" s="35">
        <v>-23</v>
      </c>
      <c r="E335" s="35">
        <v>-22.7</v>
      </c>
      <c r="F335" s="35">
        <v>-2.2999999999999998</v>
      </c>
      <c r="G335" s="35">
        <v>-23</v>
      </c>
      <c r="H335" s="35">
        <v>-23.1</v>
      </c>
      <c r="I335" s="35">
        <v>-16.8</v>
      </c>
      <c r="J335" s="35">
        <v>-23</v>
      </c>
      <c r="K335" s="35">
        <v>-22.8</v>
      </c>
      <c r="L335" s="35">
        <v>-23</v>
      </c>
      <c r="M335" s="35">
        <v>-23</v>
      </c>
      <c r="N335" s="35">
        <v>-2.7</v>
      </c>
      <c r="O335" s="35">
        <v>-3.4</v>
      </c>
      <c r="P335" s="35">
        <v>-5</v>
      </c>
      <c r="Q335" s="35">
        <v>-2.7</v>
      </c>
      <c r="R335" s="35">
        <v>-3.7</v>
      </c>
      <c r="S335" s="35">
        <v>-5</v>
      </c>
      <c r="T335" s="35">
        <v>10</v>
      </c>
      <c r="U335" s="35">
        <v>9</v>
      </c>
      <c r="V335" s="35">
        <v>9.8000000000000007</v>
      </c>
      <c r="W335" s="35">
        <v>9</v>
      </c>
      <c r="X335" s="35">
        <v>10.4</v>
      </c>
      <c r="Y335" s="35">
        <v>9</v>
      </c>
      <c r="Z335" s="35">
        <v>10.6</v>
      </c>
      <c r="AA335" s="35">
        <v>9</v>
      </c>
      <c r="AB335" s="35">
        <v>21.5</v>
      </c>
      <c r="AC335" s="35">
        <v>20</v>
      </c>
      <c r="AD335" s="35">
        <v>21.5</v>
      </c>
      <c r="AE335" s="35">
        <v>20</v>
      </c>
    </row>
    <row r="336" spans="1:31" x14ac:dyDescent="0.35">
      <c r="A336" s="36">
        <v>46059.686111111114</v>
      </c>
      <c r="B336" s="35">
        <v>-19.8</v>
      </c>
      <c r="C336" s="35">
        <v>-20.100000000000001</v>
      </c>
      <c r="D336" s="35">
        <v>-23</v>
      </c>
      <c r="E336" s="35">
        <v>-22.7</v>
      </c>
      <c r="F336" s="35">
        <v>-2.9</v>
      </c>
      <c r="G336" s="35">
        <v>-23</v>
      </c>
      <c r="H336" s="35">
        <v>-23.2</v>
      </c>
      <c r="I336" s="35">
        <v>-17</v>
      </c>
      <c r="J336" s="35">
        <v>-23</v>
      </c>
      <c r="K336" s="35">
        <v>-22.8</v>
      </c>
      <c r="L336" s="35">
        <v>-23.1</v>
      </c>
      <c r="M336" s="35">
        <v>-23</v>
      </c>
      <c r="N336" s="35">
        <v>-2.8</v>
      </c>
      <c r="O336" s="35">
        <v>-3.5</v>
      </c>
      <c r="P336" s="35">
        <v>-5</v>
      </c>
      <c r="Q336" s="35">
        <v>-2.7</v>
      </c>
      <c r="R336" s="35">
        <v>-3.7</v>
      </c>
      <c r="S336" s="35">
        <v>-5</v>
      </c>
      <c r="T336" s="35">
        <v>10.199999999999999</v>
      </c>
      <c r="U336" s="35">
        <v>9</v>
      </c>
      <c r="V336" s="35">
        <v>9.9</v>
      </c>
      <c r="W336" s="35">
        <v>9</v>
      </c>
      <c r="X336" s="35">
        <v>10.4</v>
      </c>
      <c r="Y336" s="35">
        <v>9</v>
      </c>
      <c r="Z336" s="35">
        <v>10.6</v>
      </c>
      <c r="AA336" s="35">
        <v>9</v>
      </c>
      <c r="AB336" s="35">
        <v>21.5</v>
      </c>
      <c r="AC336" s="35">
        <v>20</v>
      </c>
      <c r="AD336" s="35">
        <v>21.5</v>
      </c>
      <c r="AE336" s="35">
        <v>20</v>
      </c>
    </row>
    <row r="337" spans="1:31" x14ac:dyDescent="0.35">
      <c r="A337" s="36">
        <v>46059.686805555553</v>
      </c>
      <c r="B337" s="35">
        <v>-19.8</v>
      </c>
      <c r="C337" s="35">
        <v>-20.100000000000001</v>
      </c>
      <c r="D337" s="35">
        <v>-23</v>
      </c>
      <c r="E337" s="35">
        <v>-22.7</v>
      </c>
      <c r="F337" s="35">
        <v>-1.5</v>
      </c>
      <c r="G337" s="35">
        <v>-23</v>
      </c>
      <c r="H337" s="35">
        <v>-23.4</v>
      </c>
      <c r="I337" s="35">
        <v>-17.100000000000001</v>
      </c>
      <c r="J337" s="35">
        <v>-23</v>
      </c>
      <c r="K337" s="35">
        <v>-23</v>
      </c>
      <c r="L337" s="35">
        <v>-23.3</v>
      </c>
      <c r="M337" s="35">
        <v>-23</v>
      </c>
      <c r="N337" s="35">
        <v>-2.8</v>
      </c>
      <c r="O337" s="35">
        <v>-3.5</v>
      </c>
      <c r="P337" s="35">
        <v>-5</v>
      </c>
      <c r="Q337" s="35">
        <v>-2.7</v>
      </c>
      <c r="R337" s="35">
        <v>-3.7</v>
      </c>
      <c r="S337" s="35">
        <v>-5</v>
      </c>
      <c r="T337" s="35">
        <v>10.4</v>
      </c>
      <c r="U337" s="35">
        <v>9</v>
      </c>
      <c r="V337" s="35">
        <v>9.9</v>
      </c>
      <c r="W337" s="35">
        <v>9</v>
      </c>
      <c r="X337" s="35">
        <v>10.4</v>
      </c>
      <c r="Y337" s="35">
        <v>9</v>
      </c>
      <c r="Z337" s="35">
        <v>10.6</v>
      </c>
      <c r="AA337" s="35">
        <v>9</v>
      </c>
      <c r="AB337" s="35">
        <v>21.6</v>
      </c>
      <c r="AC337" s="35">
        <v>20</v>
      </c>
      <c r="AD337" s="35">
        <v>21.5</v>
      </c>
      <c r="AE337" s="35">
        <v>20</v>
      </c>
    </row>
    <row r="338" spans="1:31" x14ac:dyDescent="0.35">
      <c r="A338" s="36">
        <v>46059.6875</v>
      </c>
      <c r="B338" s="35">
        <v>-19.7</v>
      </c>
      <c r="C338" s="35">
        <v>-19.899999999999999</v>
      </c>
      <c r="D338" s="35">
        <v>-23</v>
      </c>
      <c r="E338" s="35">
        <v>-22.7</v>
      </c>
      <c r="F338" s="35">
        <v>-1.1000000000000001</v>
      </c>
      <c r="G338" s="35">
        <v>-23</v>
      </c>
      <c r="H338" s="35">
        <v>-23.5</v>
      </c>
      <c r="I338" s="35">
        <v>-17.2</v>
      </c>
      <c r="J338" s="35">
        <v>-23</v>
      </c>
      <c r="K338" s="35">
        <v>-23.1</v>
      </c>
      <c r="L338" s="35">
        <v>-23.4</v>
      </c>
      <c r="M338" s="35">
        <v>-23</v>
      </c>
      <c r="N338" s="35">
        <v>-2.7</v>
      </c>
      <c r="O338" s="35">
        <v>-3.3</v>
      </c>
      <c r="P338" s="35">
        <v>-5</v>
      </c>
      <c r="Q338" s="35">
        <v>-2.7</v>
      </c>
      <c r="R338" s="35">
        <v>-3.8</v>
      </c>
      <c r="S338" s="35">
        <v>-5</v>
      </c>
      <c r="T338" s="35">
        <v>10.5</v>
      </c>
      <c r="U338" s="35">
        <v>9</v>
      </c>
      <c r="V338" s="35">
        <v>10</v>
      </c>
      <c r="W338" s="35">
        <v>9</v>
      </c>
      <c r="X338" s="35">
        <v>10.4</v>
      </c>
      <c r="Y338" s="35">
        <v>9</v>
      </c>
      <c r="Z338" s="35">
        <v>10.6</v>
      </c>
      <c r="AA338" s="35">
        <v>9</v>
      </c>
      <c r="AB338" s="35">
        <v>21.6</v>
      </c>
      <c r="AC338" s="35">
        <v>20</v>
      </c>
      <c r="AD338" s="35">
        <v>21.5</v>
      </c>
      <c r="AE338" s="35">
        <v>20</v>
      </c>
    </row>
    <row r="339" spans="1:31" x14ac:dyDescent="0.35">
      <c r="A339" s="36">
        <v>46059.688194444447</v>
      </c>
      <c r="B339" s="35">
        <v>-19.600000000000001</v>
      </c>
      <c r="C339" s="35">
        <v>-19.899999999999999</v>
      </c>
      <c r="D339" s="35">
        <v>-23</v>
      </c>
      <c r="E339" s="35">
        <v>-22.7</v>
      </c>
      <c r="F339" s="35">
        <v>-1.7</v>
      </c>
      <c r="G339" s="35">
        <v>-23</v>
      </c>
      <c r="H339" s="35">
        <v>-23.2</v>
      </c>
      <c r="I339" s="35">
        <v>-17.3</v>
      </c>
      <c r="J339" s="35">
        <v>-23</v>
      </c>
      <c r="K339" s="35">
        <v>-23.1</v>
      </c>
      <c r="L339" s="35">
        <v>-23.3</v>
      </c>
      <c r="M339" s="35">
        <v>-23</v>
      </c>
      <c r="N339" s="35">
        <v>-2.5</v>
      </c>
      <c r="O339" s="35">
        <v>-3</v>
      </c>
      <c r="P339" s="35">
        <v>-5</v>
      </c>
      <c r="Q339" s="35">
        <v>-2.8</v>
      </c>
      <c r="R339" s="35">
        <v>-3.9</v>
      </c>
      <c r="S339" s="35">
        <v>-5</v>
      </c>
      <c r="T339" s="35">
        <v>10.6</v>
      </c>
      <c r="U339" s="35">
        <v>9</v>
      </c>
      <c r="V339" s="35">
        <v>10.1</v>
      </c>
      <c r="W339" s="35">
        <v>9</v>
      </c>
      <c r="X339" s="35">
        <v>10.4</v>
      </c>
      <c r="Y339" s="35">
        <v>9</v>
      </c>
      <c r="Z339" s="35">
        <v>10.6</v>
      </c>
      <c r="AA339" s="35">
        <v>9</v>
      </c>
      <c r="AB339" s="35">
        <v>21.6</v>
      </c>
      <c r="AC339" s="35">
        <v>20</v>
      </c>
      <c r="AD339" s="35">
        <v>21.5</v>
      </c>
      <c r="AE339" s="35">
        <v>20</v>
      </c>
    </row>
    <row r="340" spans="1:31" x14ac:dyDescent="0.35">
      <c r="A340" s="36">
        <v>46059.688888888886</v>
      </c>
      <c r="B340" s="35">
        <v>-19.600000000000001</v>
      </c>
      <c r="C340" s="35">
        <v>-21.9</v>
      </c>
      <c r="D340" s="35">
        <v>-23</v>
      </c>
      <c r="E340" s="35">
        <v>-22.7</v>
      </c>
      <c r="F340" s="35">
        <v>-1.1000000000000001</v>
      </c>
      <c r="G340" s="35">
        <v>-23</v>
      </c>
      <c r="H340" s="35">
        <v>-22.8</v>
      </c>
      <c r="I340" s="35">
        <v>-17.399999999999999</v>
      </c>
      <c r="J340" s="35">
        <v>-23</v>
      </c>
      <c r="K340" s="35">
        <v>-23</v>
      </c>
      <c r="L340" s="35">
        <v>-22.9</v>
      </c>
      <c r="M340" s="35">
        <v>-23</v>
      </c>
      <c r="N340" s="35">
        <v>-2.5</v>
      </c>
      <c r="O340" s="35">
        <v>-1.5</v>
      </c>
      <c r="P340" s="35">
        <v>-5</v>
      </c>
      <c r="Q340" s="35">
        <v>-2.9</v>
      </c>
      <c r="R340" s="35">
        <v>-4</v>
      </c>
      <c r="S340" s="35">
        <v>-5</v>
      </c>
      <c r="T340" s="35">
        <v>10.7</v>
      </c>
      <c r="U340" s="35">
        <v>9</v>
      </c>
      <c r="V340" s="35">
        <v>10.199999999999999</v>
      </c>
      <c r="W340" s="35">
        <v>9</v>
      </c>
      <c r="X340" s="35">
        <v>10.4</v>
      </c>
      <c r="Y340" s="35">
        <v>9</v>
      </c>
      <c r="Z340" s="35">
        <v>10.6</v>
      </c>
      <c r="AA340" s="35">
        <v>9</v>
      </c>
      <c r="AB340" s="35">
        <v>21.6</v>
      </c>
      <c r="AC340" s="35">
        <v>20</v>
      </c>
      <c r="AD340" s="35">
        <v>21.5</v>
      </c>
      <c r="AE340" s="35">
        <v>20</v>
      </c>
    </row>
    <row r="341" spans="1:31" x14ac:dyDescent="0.35">
      <c r="A341" s="36">
        <v>46059.689583333333</v>
      </c>
      <c r="B341" s="35">
        <v>-19.600000000000001</v>
      </c>
      <c r="C341" s="35">
        <v>-24.4</v>
      </c>
      <c r="D341" s="35">
        <v>-23</v>
      </c>
      <c r="E341" s="35">
        <v>-22.7</v>
      </c>
      <c r="F341" s="35">
        <v>-1.5</v>
      </c>
      <c r="G341" s="35">
        <v>-23</v>
      </c>
      <c r="H341" s="35">
        <v>-22.5</v>
      </c>
      <c r="I341" s="35">
        <v>-17.5</v>
      </c>
      <c r="J341" s="35">
        <v>-23</v>
      </c>
      <c r="K341" s="35">
        <v>-22.7</v>
      </c>
      <c r="L341" s="35">
        <v>-22.6</v>
      </c>
      <c r="M341" s="35">
        <v>-23</v>
      </c>
      <c r="N341" s="35">
        <v>-2.5</v>
      </c>
      <c r="O341" s="35">
        <v>-0.7</v>
      </c>
      <c r="P341" s="35">
        <v>-5</v>
      </c>
      <c r="Q341" s="35">
        <v>-3</v>
      </c>
      <c r="R341" s="35">
        <v>-4.0999999999999996</v>
      </c>
      <c r="S341" s="35">
        <v>-5</v>
      </c>
      <c r="T341" s="35">
        <v>10.8</v>
      </c>
      <c r="U341" s="35">
        <v>9</v>
      </c>
      <c r="V341" s="35">
        <v>10.199999999999999</v>
      </c>
      <c r="W341" s="35">
        <v>9</v>
      </c>
      <c r="X341" s="35">
        <v>10.4</v>
      </c>
      <c r="Y341" s="35">
        <v>9</v>
      </c>
      <c r="Z341" s="35">
        <v>10.6</v>
      </c>
      <c r="AA341" s="35">
        <v>9</v>
      </c>
      <c r="AB341" s="35">
        <v>21.6</v>
      </c>
      <c r="AC341" s="35">
        <v>20</v>
      </c>
      <c r="AD341" s="35">
        <v>21.5</v>
      </c>
      <c r="AE341" s="35">
        <v>20</v>
      </c>
    </row>
    <row r="342" spans="1:31" x14ac:dyDescent="0.35">
      <c r="A342" s="36">
        <v>46059.69027777778</v>
      </c>
      <c r="B342" s="35">
        <v>-19.600000000000001</v>
      </c>
      <c r="C342" s="35">
        <v>-23.9</v>
      </c>
      <c r="D342" s="35">
        <v>-23</v>
      </c>
      <c r="E342" s="35">
        <v>-22.7</v>
      </c>
      <c r="F342" s="35">
        <v>-1.6</v>
      </c>
      <c r="G342" s="35">
        <v>-23</v>
      </c>
      <c r="H342" s="35">
        <v>-22.2</v>
      </c>
      <c r="I342" s="35">
        <v>-17.5</v>
      </c>
      <c r="J342" s="35">
        <v>-23</v>
      </c>
      <c r="K342" s="35">
        <v>-22.5</v>
      </c>
      <c r="L342" s="35">
        <v>-22.4</v>
      </c>
      <c r="M342" s="35">
        <v>-23</v>
      </c>
      <c r="N342" s="35">
        <v>-2.5</v>
      </c>
      <c r="O342" s="35">
        <v>0</v>
      </c>
      <c r="P342" s="35">
        <v>-5</v>
      </c>
      <c r="Q342" s="35">
        <v>-3</v>
      </c>
      <c r="R342" s="35">
        <v>-4.0999999999999996</v>
      </c>
      <c r="S342" s="35">
        <v>-5</v>
      </c>
      <c r="T342" s="35">
        <v>10.9</v>
      </c>
      <c r="U342" s="35">
        <v>9</v>
      </c>
      <c r="V342" s="35">
        <v>10.199999999999999</v>
      </c>
      <c r="W342" s="35">
        <v>9</v>
      </c>
      <c r="X342" s="35">
        <v>10.4</v>
      </c>
      <c r="Y342" s="35">
        <v>9</v>
      </c>
      <c r="Z342" s="35">
        <v>10.6</v>
      </c>
      <c r="AA342" s="35">
        <v>9</v>
      </c>
      <c r="AB342" s="35">
        <v>21.6</v>
      </c>
      <c r="AC342" s="35">
        <v>20</v>
      </c>
      <c r="AD342" s="35">
        <v>21.5</v>
      </c>
      <c r="AE342" s="35">
        <v>20</v>
      </c>
    </row>
    <row r="343" spans="1:31" x14ac:dyDescent="0.35">
      <c r="A343" s="36">
        <v>46059.690972222219</v>
      </c>
      <c r="B343" s="35">
        <v>-19.7</v>
      </c>
      <c r="C343" s="35">
        <v>-22.7</v>
      </c>
      <c r="D343" s="35">
        <v>-23</v>
      </c>
      <c r="E343" s="35">
        <v>-22.7</v>
      </c>
      <c r="F343" s="35">
        <v>-2</v>
      </c>
      <c r="G343" s="35">
        <v>-23</v>
      </c>
      <c r="H343" s="35">
        <v>-22</v>
      </c>
      <c r="I343" s="35">
        <v>-17.5</v>
      </c>
      <c r="J343" s="35">
        <v>-23</v>
      </c>
      <c r="K343" s="35">
        <v>-22.3</v>
      </c>
      <c r="L343" s="35">
        <v>-22.2</v>
      </c>
      <c r="M343" s="35">
        <v>-23</v>
      </c>
      <c r="N343" s="35">
        <v>-2.5</v>
      </c>
      <c r="O343" s="35">
        <v>2.5</v>
      </c>
      <c r="P343" s="35">
        <v>-5</v>
      </c>
      <c r="Q343" s="35">
        <v>-3</v>
      </c>
      <c r="R343" s="35">
        <v>-4.0999999999999996</v>
      </c>
      <c r="S343" s="35">
        <v>-5</v>
      </c>
      <c r="T343" s="35">
        <v>11</v>
      </c>
      <c r="U343" s="35">
        <v>9</v>
      </c>
      <c r="V343" s="35">
        <v>10.3</v>
      </c>
      <c r="W343" s="35">
        <v>9</v>
      </c>
      <c r="X343" s="35">
        <v>10.4</v>
      </c>
      <c r="Y343" s="35">
        <v>9</v>
      </c>
      <c r="Z343" s="35">
        <v>10.6</v>
      </c>
      <c r="AA343" s="35">
        <v>9</v>
      </c>
      <c r="AB343" s="35">
        <v>21.6</v>
      </c>
      <c r="AC343" s="35">
        <v>20</v>
      </c>
      <c r="AD343" s="35">
        <v>21.5</v>
      </c>
      <c r="AE343" s="35">
        <v>20</v>
      </c>
    </row>
    <row r="344" spans="1:31" x14ac:dyDescent="0.35">
      <c r="A344" s="36">
        <v>46059.691666666666</v>
      </c>
      <c r="B344" s="35">
        <v>-19.8</v>
      </c>
      <c r="C344" s="35">
        <v>-22.4</v>
      </c>
      <c r="D344" s="35">
        <v>-23</v>
      </c>
      <c r="E344" s="35">
        <v>-22.7</v>
      </c>
      <c r="F344" s="35">
        <v>-2.9</v>
      </c>
      <c r="G344" s="35">
        <v>-23</v>
      </c>
      <c r="H344" s="35">
        <v>-21.2</v>
      </c>
      <c r="I344" s="35">
        <v>-17.600000000000001</v>
      </c>
      <c r="J344" s="35">
        <v>-23</v>
      </c>
      <c r="K344" s="35">
        <v>-19.5</v>
      </c>
      <c r="L344" s="35">
        <v>-19.399999999999999</v>
      </c>
      <c r="M344" s="35">
        <v>-23</v>
      </c>
      <c r="N344" s="35">
        <v>-2.5</v>
      </c>
      <c r="O344" s="35">
        <v>6.3</v>
      </c>
      <c r="P344" s="35">
        <v>-5</v>
      </c>
      <c r="Q344" s="35">
        <v>1.2</v>
      </c>
      <c r="R344" s="35">
        <v>3.7</v>
      </c>
      <c r="S344" s="35">
        <v>-5</v>
      </c>
      <c r="T344" s="35">
        <v>11</v>
      </c>
      <c r="U344" s="35">
        <v>9</v>
      </c>
      <c r="V344" s="35">
        <v>10.3</v>
      </c>
      <c r="W344" s="35">
        <v>9</v>
      </c>
      <c r="X344" s="35">
        <v>10.4</v>
      </c>
      <c r="Y344" s="35">
        <v>9</v>
      </c>
      <c r="Z344" s="35">
        <v>10.6</v>
      </c>
      <c r="AA344" s="35">
        <v>9</v>
      </c>
      <c r="AB344" s="35">
        <v>21.6</v>
      </c>
      <c r="AC344" s="35">
        <v>20</v>
      </c>
      <c r="AD344" s="35">
        <v>21.5</v>
      </c>
      <c r="AE344" s="35">
        <v>20</v>
      </c>
    </row>
    <row r="345" spans="1:31" x14ac:dyDescent="0.35">
      <c r="A345" s="36">
        <v>46059.692361111112</v>
      </c>
      <c r="B345" s="35">
        <v>-19.899999999999999</v>
      </c>
      <c r="C345" s="35">
        <v>-22.4</v>
      </c>
      <c r="D345" s="35">
        <v>-23</v>
      </c>
      <c r="E345" s="35">
        <v>-22.7</v>
      </c>
      <c r="F345" s="35">
        <v>-3</v>
      </c>
      <c r="G345" s="35">
        <v>-23</v>
      </c>
      <c r="H345" s="35">
        <v>-20.8</v>
      </c>
      <c r="I345" s="35">
        <v>-17.600000000000001</v>
      </c>
      <c r="J345" s="35">
        <v>-23</v>
      </c>
      <c r="K345" s="35">
        <v>-19.7</v>
      </c>
      <c r="L345" s="35">
        <v>-20.100000000000001</v>
      </c>
      <c r="M345" s="35">
        <v>-23</v>
      </c>
      <c r="N345" s="35">
        <v>-2.5</v>
      </c>
      <c r="O345" s="35">
        <v>8.8000000000000007</v>
      </c>
      <c r="P345" s="35">
        <v>-5</v>
      </c>
      <c r="Q345" s="35">
        <v>1.8</v>
      </c>
      <c r="R345" s="35">
        <v>0.5</v>
      </c>
      <c r="S345" s="35">
        <v>-5</v>
      </c>
      <c r="T345" s="35">
        <v>10.5</v>
      </c>
      <c r="U345" s="35">
        <v>9</v>
      </c>
      <c r="V345" s="35">
        <v>10.199999999999999</v>
      </c>
      <c r="W345" s="35">
        <v>9</v>
      </c>
      <c r="X345" s="35">
        <v>10.199999999999999</v>
      </c>
      <c r="Y345" s="35">
        <v>9</v>
      </c>
      <c r="Z345" s="35">
        <v>10.6</v>
      </c>
      <c r="AA345" s="35">
        <v>9</v>
      </c>
      <c r="AB345" s="35">
        <v>21.6</v>
      </c>
      <c r="AC345" s="35">
        <v>20</v>
      </c>
      <c r="AD345" s="35">
        <v>21.5</v>
      </c>
      <c r="AE345" s="35">
        <v>20</v>
      </c>
    </row>
    <row r="346" spans="1:31" x14ac:dyDescent="0.35">
      <c r="A346" s="36">
        <v>46059.693055555559</v>
      </c>
      <c r="B346" s="35">
        <v>-19.899999999999999</v>
      </c>
      <c r="C346" s="35">
        <v>-21.6</v>
      </c>
      <c r="D346" s="35">
        <v>-23</v>
      </c>
      <c r="E346" s="35">
        <v>-22.7</v>
      </c>
      <c r="F346" s="35">
        <v>-2.6</v>
      </c>
      <c r="G346" s="35">
        <v>-23</v>
      </c>
      <c r="H346" s="35">
        <v>-21.6</v>
      </c>
      <c r="I346" s="35">
        <v>-17.600000000000001</v>
      </c>
      <c r="J346" s="35">
        <v>-23</v>
      </c>
      <c r="K346" s="35">
        <v>-20.8</v>
      </c>
      <c r="L346" s="35">
        <v>-21.4</v>
      </c>
      <c r="M346" s="35">
        <v>-23</v>
      </c>
      <c r="N346" s="35">
        <v>-2.5</v>
      </c>
      <c r="O346" s="35">
        <v>13.5</v>
      </c>
      <c r="P346" s="35">
        <v>-5</v>
      </c>
      <c r="Q346" s="35">
        <v>0.2</v>
      </c>
      <c r="R346" s="35">
        <v>-0.6</v>
      </c>
      <c r="S346" s="35">
        <v>-5</v>
      </c>
      <c r="T346" s="35">
        <v>9.9</v>
      </c>
      <c r="U346" s="35">
        <v>9</v>
      </c>
      <c r="V346" s="35">
        <v>9.9</v>
      </c>
      <c r="W346" s="35">
        <v>9</v>
      </c>
      <c r="X346" s="35">
        <v>10.1</v>
      </c>
      <c r="Y346" s="35">
        <v>9</v>
      </c>
      <c r="Z346" s="35">
        <v>10.6</v>
      </c>
      <c r="AA346" s="35">
        <v>9</v>
      </c>
      <c r="AB346" s="35">
        <v>21.6</v>
      </c>
      <c r="AC346" s="35">
        <v>20</v>
      </c>
      <c r="AD346" s="35">
        <v>21.5</v>
      </c>
      <c r="AE346" s="35">
        <v>20</v>
      </c>
    </row>
    <row r="347" spans="1:31" x14ac:dyDescent="0.35">
      <c r="A347" s="36">
        <v>46059.693749999999</v>
      </c>
      <c r="B347" s="35">
        <v>-19.899999999999999</v>
      </c>
      <c r="C347" s="35">
        <v>-20.8</v>
      </c>
      <c r="D347" s="35">
        <v>-23</v>
      </c>
      <c r="E347" s="35">
        <v>-22.7</v>
      </c>
      <c r="F347" s="35">
        <v>-3.4</v>
      </c>
      <c r="G347" s="35">
        <v>-23</v>
      </c>
      <c r="H347" s="35">
        <v>-22.2</v>
      </c>
      <c r="I347" s="35">
        <v>-17.600000000000001</v>
      </c>
      <c r="J347" s="35">
        <v>-23</v>
      </c>
      <c r="K347" s="35">
        <v>-21.4</v>
      </c>
      <c r="L347" s="35">
        <v>-22.1</v>
      </c>
      <c r="M347" s="35">
        <v>-23</v>
      </c>
      <c r="N347" s="35">
        <v>-2.5</v>
      </c>
      <c r="O347" s="35">
        <v>18.7</v>
      </c>
      <c r="P347" s="35">
        <v>-5</v>
      </c>
      <c r="Q347" s="35">
        <v>-0.5</v>
      </c>
      <c r="R347" s="35">
        <v>-1.1000000000000001</v>
      </c>
      <c r="S347" s="35">
        <v>-5</v>
      </c>
      <c r="T347" s="35">
        <v>9.3000000000000007</v>
      </c>
      <c r="U347" s="35">
        <v>9</v>
      </c>
      <c r="V347" s="35">
        <v>9.8000000000000007</v>
      </c>
      <c r="W347" s="35">
        <v>9</v>
      </c>
      <c r="X347" s="35">
        <v>10.1</v>
      </c>
      <c r="Y347" s="35">
        <v>9</v>
      </c>
      <c r="Z347" s="35">
        <v>10.7</v>
      </c>
      <c r="AA347" s="35">
        <v>9</v>
      </c>
      <c r="AB347" s="35">
        <v>21.6</v>
      </c>
      <c r="AC347" s="35">
        <v>20</v>
      </c>
      <c r="AD347" s="35">
        <v>21.5</v>
      </c>
      <c r="AE347" s="35">
        <v>20</v>
      </c>
    </row>
    <row r="348" spans="1:31" x14ac:dyDescent="0.35">
      <c r="A348" s="36">
        <v>46059.694444444445</v>
      </c>
      <c r="B348" s="35">
        <v>-19.7</v>
      </c>
      <c r="C348" s="35">
        <v>-20.3</v>
      </c>
      <c r="D348" s="35">
        <v>-23</v>
      </c>
      <c r="E348" s="35">
        <v>-16.5</v>
      </c>
      <c r="F348" s="35">
        <v>-4</v>
      </c>
      <c r="G348" s="35">
        <v>-23</v>
      </c>
      <c r="H348" s="35">
        <v>-22.6</v>
      </c>
      <c r="I348" s="35">
        <v>-17.600000000000001</v>
      </c>
      <c r="J348" s="35">
        <v>-23</v>
      </c>
      <c r="K348" s="35">
        <v>-22</v>
      </c>
      <c r="L348" s="35">
        <v>-22.6</v>
      </c>
      <c r="M348" s="35">
        <v>-23</v>
      </c>
      <c r="N348" s="35">
        <v>-2.5</v>
      </c>
      <c r="O348" s="35">
        <v>23.9</v>
      </c>
      <c r="P348" s="35">
        <v>-5</v>
      </c>
      <c r="Q348" s="35">
        <v>-0.9</v>
      </c>
      <c r="R348" s="35">
        <v>-1.6</v>
      </c>
      <c r="S348" s="35">
        <v>-5</v>
      </c>
      <c r="T348" s="35">
        <v>8.9</v>
      </c>
      <c r="U348" s="35">
        <v>9</v>
      </c>
      <c r="V348" s="35">
        <v>9.6</v>
      </c>
      <c r="W348" s="35">
        <v>9</v>
      </c>
      <c r="X348" s="35">
        <v>10.1</v>
      </c>
      <c r="Y348" s="35">
        <v>9</v>
      </c>
      <c r="Z348" s="35">
        <v>10.7</v>
      </c>
      <c r="AA348" s="35">
        <v>9</v>
      </c>
      <c r="AB348" s="35">
        <v>21.6</v>
      </c>
      <c r="AC348" s="35">
        <v>20</v>
      </c>
      <c r="AD348" s="35">
        <v>21.5</v>
      </c>
      <c r="AE348" s="35">
        <v>20</v>
      </c>
    </row>
    <row r="349" spans="1:31" x14ac:dyDescent="0.35">
      <c r="A349" s="36">
        <v>46059.695138888892</v>
      </c>
      <c r="B349" s="35">
        <v>-19.5</v>
      </c>
      <c r="C349" s="35">
        <v>-19.899999999999999</v>
      </c>
      <c r="D349" s="35">
        <v>-23</v>
      </c>
      <c r="E349" s="35">
        <v>-16.7</v>
      </c>
      <c r="F349" s="35">
        <v>-5.4</v>
      </c>
      <c r="G349" s="35">
        <v>-23</v>
      </c>
      <c r="H349" s="35">
        <v>-22.9</v>
      </c>
      <c r="I349" s="35">
        <v>-17.600000000000001</v>
      </c>
      <c r="J349" s="35">
        <v>-23</v>
      </c>
      <c r="K349" s="35">
        <v>-22.4</v>
      </c>
      <c r="L349" s="35">
        <v>-22.8</v>
      </c>
      <c r="M349" s="35">
        <v>-23</v>
      </c>
      <c r="N349" s="35">
        <v>-2.5</v>
      </c>
      <c r="O349" s="35">
        <v>24</v>
      </c>
      <c r="P349" s="35">
        <v>-5</v>
      </c>
      <c r="Q349" s="35">
        <v>-0.9</v>
      </c>
      <c r="R349" s="35">
        <v>-1.2</v>
      </c>
      <c r="S349" s="35">
        <v>-5</v>
      </c>
      <c r="T349" s="35">
        <v>8.6999999999999993</v>
      </c>
      <c r="U349" s="35">
        <v>9</v>
      </c>
      <c r="V349" s="35">
        <v>9.5</v>
      </c>
      <c r="W349" s="35">
        <v>9</v>
      </c>
      <c r="X349" s="35">
        <v>10.1</v>
      </c>
      <c r="Y349" s="35">
        <v>9</v>
      </c>
      <c r="Z349" s="35">
        <v>10.7</v>
      </c>
      <c r="AA349" s="35">
        <v>9</v>
      </c>
      <c r="AB349" s="35">
        <v>21.6</v>
      </c>
      <c r="AC349" s="35">
        <v>20</v>
      </c>
      <c r="AD349" s="35">
        <v>21.5</v>
      </c>
      <c r="AE349" s="35">
        <v>20</v>
      </c>
    </row>
    <row r="350" spans="1:31" x14ac:dyDescent="0.35">
      <c r="A350" s="36">
        <v>46059.695833333331</v>
      </c>
      <c r="B350" s="35">
        <v>-19.5</v>
      </c>
      <c r="C350" s="35">
        <v>-19.7</v>
      </c>
      <c r="D350" s="35">
        <v>-23</v>
      </c>
      <c r="E350" s="35">
        <v>-17</v>
      </c>
      <c r="F350" s="35">
        <v>-6.1</v>
      </c>
      <c r="G350" s="35">
        <v>-23</v>
      </c>
      <c r="H350" s="35">
        <v>-23.1</v>
      </c>
      <c r="I350" s="35">
        <v>-17.600000000000001</v>
      </c>
      <c r="J350" s="35">
        <v>-23</v>
      </c>
      <c r="K350" s="35">
        <v>-22.6</v>
      </c>
      <c r="L350" s="35">
        <v>-23.1</v>
      </c>
      <c r="M350" s="35">
        <v>-23</v>
      </c>
      <c r="N350" s="35">
        <v>-2.5</v>
      </c>
      <c r="O350" s="35">
        <v>20.6</v>
      </c>
      <c r="P350" s="35">
        <v>-5</v>
      </c>
      <c r="Q350" s="35">
        <v>0.6</v>
      </c>
      <c r="R350" s="35">
        <v>0.1</v>
      </c>
      <c r="S350" s="35">
        <v>-5</v>
      </c>
      <c r="T350" s="35">
        <v>8.6999999999999993</v>
      </c>
      <c r="U350" s="35">
        <v>9</v>
      </c>
      <c r="V350" s="35">
        <v>9.4</v>
      </c>
      <c r="W350" s="35">
        <v>9</v>
      </c>
      <c r="X350" s="35">
        <v>10</v>
      </c>
      <c r="Y350" s="35">
        <v>9</v>
      </c>
      <c r="Z350" s="35">
        <v>10.8</v>
      </c>
      <c r="AA350" s="35">
        <v>9</v>
      </c>
      <c r="AB350" s="35">
        <v>21.6</v>
      </c>
      <c r="AC350" s="35">
        <v>20</v>
      </c>
      <c r="AD350" s="35">
        <v>21.5</v>
      </c>
      <c r="AE350" s="35">
        <v>20</v>
      </c>
    </row>
    <row r="351" spans="1:31" x14ac:dyDescent="0.35">
      <c r="A351" s="36">
        <v>46059.696527777778</v>
      </c>
      <c r="B351" s="35">
        <v>-19.399999999999999</v>
      </c>
      <c r="C351" s="35">
        <v>-19.7</v>
      </c>
      <c r="D351" s="35">
        <v>-23</v>
      </c>
      <c r="E351" s="35">
        <v>-17.399999999999999</v>
      </c>
      <c r="F351" s="35">
        <v>-7</v>
      </c>
      <c r="G351" s="35">
        <v>-23</v>
      </c>
      <c r="H351" s="35">
        <v>-23.2</v>
      </c>
      <c r="I351" s="35">
        <v>-17.7</v>
      </c>
      <c r="J351" s="35">
        <v>-23</v>
      </c>
      <c r="K351" s="35">
        <v>-22.8</v>
      </c>
      <c r="L351" s="35">
        <v>-23.2</v>
      </c>
      <c r="M351" s="35">
        <v>-23</v>
      </c>
      <c r="N351" s="35">
        <v>-2.5</v>
      </c>
      <c r="O351" s="35">
        <v>20.3</v>
      </c>
      <c r="P351" s="35">
        <v>-5</v>
      </c>
      <c r="Q351" s="35">
        <v>0.2</v>
      </c>
      <c r="R351" s="35">
        <v>-0.5</v>
      </c>
      <c r="S351" s="35">
        <v>-5</v>
      </c>
      <c r="T351" s="35">
        <v>8.9</v>
      </c>
      <c r="U351" s="35">
        <v>9</v>
      </c>
      <c r="V351" s="35">
        <v>9.4</v>
      </c>
      <c r="W351" s="35">
        <v>9</v>
      </c>
      <c r="X351" s="35">
        <v>10</v>
      </c>
      <c r="Y351" s="35">
        <v>9</v>
      </c>
      <c r="Z351" s="35">
        <v>10.8</v>
      </c>
      <c r="AA351" s="35">
        <v>9</v>
      </c>
      <c r="AB351" s="35">
        <v>21.6</v>
      </c>
      <c r="AC351" s="35">
        <v>20</v>
      </c>
      <c r="AD351" s="35">
        <v>21.5</v>
      </c>
      <c r="AE351" s="35">
        <v>20</v>
      </c>
    </row>
    <row r="352" spans="1:31" x14ac:dyDescent="0.35">
      <c r="A352" s="36">
        <v>46059.697222222225</v>
      </c>
      <c r="B352" s="35">
        <v>-19.399999999999999</v>
      </c>
      <c r="C352" s="35">
        <v>-19.600000000000001</v>
      </c>
      <c r="D352" s="35">
        <v>-23</v>
      </c>
      <c r="E352" s="35">
        <v>-17.7</v>
      </c>
      <c r="F352" s="35">
        <v>-7.5</v>
      </c>
      <c r="G352" s="35">
        <v>-23</v>
      </c>
      <c r="H352" s="35">
        <v>-23.4</v>
      </c>
      <c r="I352" s="35">
        <v>-17.7</v>
      </c>
      <c r="J352" s="35">
        <v>-23</v>
      </c>
      <c r="K352" s="35">
        <v>-23</v>
      </c>
      <c r="L352" s="35">
        <v>-23.4</v>
      </c>
      <c r="M352" s="35">
        <v>-23</v>
      </c>
      <c r="N352" s="35">
        <v>6</v>
      </c>
      <c r="O352" s="35">
        <v>16.2</v>
      </c>
      <c r="P352" s="35">
        <v>-5</v>
      </c>
      <c r="Q352" s="35">
        <v>0</v>
      </c>
      <c r="R352" s="35">
        <v>-1</v>
      </c>
      <c r="S352" s="35">
        <v>-5</v>
      </c>
      <c r="T352" s="35">
        <v>9.1999999999999993</v>
      </c>
      <c r="U352" s="35">
        <v>9</v>
      </c>
      <c r="V352" s="35">
        <v>9.4</v>
      </c>
      <c r="W352" s="35">
        <v>9</v>
      </c>
      <c r="X352" s="35">
        <v>10</v>
      </c>
      <c r="Y352" s="35">
        <v>9</v>
      </c>
      <c r="Z352" s="35">
        <v>10.8</v>
      </c>
      <c r="AA352" s="35">
        <v>9</v>
      </c>
      <c r="AB352" s="35">
        <v>21.6</v>
      </c>
      <c r="AC352" s="35">
        <v>20</v>
      </c>
      <c r="AD352" s="35">
        <v>21.5</v>
      </c>
      <c r="AE352" s="35">
        <v>20</v>
      </c>
    </row>
    <row r="353" spans="1:31" x14ac:dyDescent="0.35">
      <c r="A353" s="36">
        <v>46059.697916666664</v>
      </c>
      <c r="B353" s="35">
        <v>-19.399999999999999</v>
      </c>
      <c r="C353" s="35">
        <v>-20.9</v>
      </c>
      <c r="D353" s="35">
        <v>-23</v>
      </c>
      <c r="E353" s="35">
        <v>-18.100000000000001</v>
      </c>
      <c r="F353" s="35">
        <v>-8.5</v>
      </c>
      <c r="G353" s="35">
        <v>-23</v>
      </c>
      <c r="H353" s="35">
        <v>-23.4</v>
      </c>
      <c r="I353" s="35">
        <v>-17.8</v>
      </c>
      <c r="J353" s="35">
        <v>-23</v>
      </c>
      <c r="K353" s="35">
        <v>-23.1</v>
      </c>
      <c r="L353" s="35">
        <v>-23.4</v>
      </c>
      <c r="M353" s="35">
        <v>-23</v>
      </c>
      <c r="N353" s="35">
        <v>5.4</v>
      </c>
      <c r="O353" s="35">
        <v>14</v>
      </c>
      <c r="P353" s="35">
        <v>-5</v>
      </c>
      <c r="Q353" s="35">
        <v>-0.2</v>
      </c>
      <c r="R353" s="35">
        <v>-1.3</v>
      </c>
      <c r="S353" s="35">
        <v>-5</v>
      </c>
      <c r="T353" s="35">
        <v>9.4</v>
      </c>
      <c r="U353" s="35">
        <v>9</v>
      </c>
      <c r="V353" s="35">
        <v>9.4</v>
      </c>
      <c r="W353" s="35">
        <v>9</v>
      </c>
      <c r="X353" s="35">
        <v>10</v>
      </c>
      <c r="Y353" s="35">
        <v>9</v>
      </c>
      <c r="Z353" s="35">
        <v>10.8</v>
      </c>
      <c r="AA353" s="35">
        <v>9</v>
      </c>
      <c r="AB353" s="35">
        <v>21.6</v>
      </c>
      <c r="AC353" s="35">
        <v>20</v>
      </c>
      <c r="AD353" s="35">
        <v>21.5</v>
      </c>
      <c r="AE353" s="35">
        <v>20</v>
      </c>
    </row>
    <row r="354" spans="1:31" x14ac:dyDescent="0.35">
      <c r="A354" s="36">
        <v>46059.698611111111</v>
      </c>
      <c r="B354" s="35">
        <v>-19.399999999999999</v>
      </c>
      <c r="C354" s="35">
        <v>-24.1</v>
      </c>
      <c r="D354" s="35">
        <v>-23</v>
      </c>
      <c r="E354" s="35">
        <v>-18.600000000000001</v>
      </c>
      <c r="F354" s="35">
        <v>-9.1999999999999993</v>
      </c>
      <c r="G354" s="35">
        <v>-23</v>
      </c>
      <c r="H354" s="35">
        <v>-23</v>
      </c>
      <c r="I354" s="35">
        <v>-17.899999999999999</v>
      </c>
      <c r="J354" s="35">
        <v>-23</v>
      </c>
      <c r="K354" s="35">
        <v>-23.1</v>
      </c>
      <c r="L354" s="35">
        <v>-23.2</v>
      </c>
      <c r="M354" s="35">
        <v>-23</v>
      </c>
      <c r="N354" s="35">
        <v>3.9</v>
      </c>
      <c r="O354" s="35">
        <v>15.1</v>
      </c>
      <c r="P354" s="35">
        <v>-5</v>
      </c>
      <c r="Q354" s="35">
        <v>-0.5</v>
      </c>
      <c r="R354" s="35">
        <v>-1.6</v>
      </c>
      <c r="S354" s="35">
        <v>-5</v>
      </c>
      <c r="T354" s="35">
        <v>9.6999999999999993</v>
      </c>
      <c r="U354" s="35">
        <v>9</v>
      </c>
      <c r="V354" s="35">
        <v>9.5</v>
      </c>
      <c r="W354" s="35">
        <v>9</v>
      </c>
      <c r="X354" s="35">
        <v>10.1</v>
      </c>
      <c r="Y354" s="35">
        <v>9</v>
      </c>
      <c r="Z354" s="35">
        <v>10.8</v>
      </c>
      <c r="AA354" s="35">
        <v>9</v>
      </c>
      <c r="AB354" s="35">
        <v>21.6</v>
      </c>
      <c r="AC354" s="35">
        <v>20</v>
      </c>
      <c r="AD354" s="35">
        <v>21.5</v>
      </c>
      <c r="AE354" s="35">
        <v>20</v>
      </c>
    </row>
    <row r="355" spans="1:31" x14ac:dyDescent="0.35">
      <c r="A355" s="36">
        <v>46059.699305555558</v>
      </c>
      <c r="B355" s="35">
        <v>-19.600000000000001</v>
      </c>
      <c r="C355" s="35">
        <v>-23.9</v>
      </c>
      <c r="D355" s="35">
        <v>-23</v>
      </c>
      <c r="E355" s="35">
        <v>-19.100000000000001</v>
      </c>
      <c r="F355" s="35">
        <v>-9.9</v>
      </c>
      <c r="G355" s="35">
        <v>-23</v>
      </c>
      <c r="H355" s="35">
        <v>-22.6</v>
      </c>
      <c r="I355" s="35">
        <v>-17.899999999999999</v>
      </c>
      <c r="J355" s="35">
        <v>-23</v>
      </c>
      <c r="K355" s="35">
        <v>-22.8</v>
      </c>
      <c r="L355" s="35">
        <v>-22.8</v>
      </c>
      <c r="M355" s="35">
        <v>-23</v>
      </c>
      <c r="N355" s="35">
        <v>2.7</v>
      </c>
      <c r="O355" s="35">
        <v>11.2</v>
      </c>
      <c r="P355" s="35">
        <v>-5</v>
      </c>
      <c r="Q355" s="35">
        <v>-0.8</v>
      </c>
      <c r="R355" s="35">
        <v>-1.9</v>
      </c>
      <c r="S355" s="35">
        <v>-5</v>
      </c>
      <c r="T355" s="35">
        <v>9.9</v>
      </c>
      <c r="U355" s="35">
        <v>9</v>
      </c>
      <c r="V355" s="35">
        <v>9.6</v>
      </c>
      <c r="W355" s="35">
        <v>9</v>
      </c>
      <c r="X355" s="35">
        <v>10.1</v>
      </c>
      <c r="Y355" s="35">
        <v>9</v>
      </c>
      <c r="Z355" s="35">
        <v>10.7</v>
      </c>
      <c r="AA355" s="35">
        <v>9</v>
      </c>
      <c r="AB355" s="35">
        <v>21.6</v>
      </c>
      <c r="AC355" s="35">
        <v>20</v>
      </c>
      <c r="AD355" s="35">
        <v>21.5</v>
      </c>
      <c r="AE355" s="35">
        <v>20</v>
      </c>
    </row>
    <row r="356" spans="1:31" x14ac:dyDescent="0.35">
      <c r="A356" s="36">
        <v>46059.7</v>
      </c>
      <c r="B356" s="35">
        <v>-19.8</v>
      </c>
      <c r="C356" s="35">
        <v>-23.4</v>
      </c>
      <c r="D356" s="35">
        <v>-23</v>
      </c>
      <c r="E356" s="35">
        <v>-19.5</v>
      </c>
      <c r="F356" s="35">
        <v>-10.8</v>
      </c>
      <c r="G356" s="35">
        <v>-23</v>
      </c>
      <c r="H356" s="35">
        <v>-22.3</v>
      </c>
      <c r="I356" s="35">
        <v>-17.899999999999999</v>
      </c>
      <c r="J356" s="35">
        <v>-23</v>
      </c>
      <c r="K356" s="35">
        <v>-22.6</v>
      </c>
      <c r="L356" s="35">
        <v>-22.5</v>
      </c>
      <c r="M356" s="35">
        <v>-23</v>
      </c>
      <c r="N356" s="35">
        <v>2</v>
      </c>
      <c r="O356" s="35">
        <v>8.3000000000000007</v>
      </c>
      <c r="P356" s="35">
        <v>-5</v>
      </c>
      <c r="Q356" s="35">
        <v>-0.9</v>
      </c>
      <c r="R356" s="35">
        <v>-2</v>
      </c>
      <c r="S356" s="35">
        <v>-5</v>
      </c>
      <c r="T356" s="35">
        <v>10</v>
      </c>
      <c r="U356" s="35">
        <v>9</v>
      </c>
      <c r="V356" s="35">
        <v>9.6999999999999993</v>
      </c>
      <c r="W356" s="35">
        <v>9</v>
      </c>
      <c r="X356" s="35">
        <v>10.1</v>
      </c>
      <c r="Y356" s="35">
        <v>9</v>
      </c>
      <c r="Z356" s="35">
        <v>10.7</v>
      </c>
      <c r="AA356" s="35">
        <v>9</v>
      </c>
      <c r="AB356" s="35">
        <v>21.6</v>
      </c>
      <c r="AC356" s="35">
        <v>20</v>
      </c>
      <c r="AD356" s="35">
        <v>21.5</v>
      </c>
      <c r="AE356" s="35">
        <v>20</v>
      </c>
    </row>
    <row r="357" spans="1:31" x14ac:dyDescent="0.35">
      <c r="A357" s="36">
        <v>46059.700694444444</v>
      </c>
      <c r="B357" s="35">
        <v>-20</v>
      </c>
      <c r="C357" s="35">
        <v>-23.3</v>
      </c>
      <c r="D357" s="35">
        <v>-23</v>
      </c>
      <c r="E357" s="35">
        <v>-19.899999999999999</v>
      </c>
      <c r="F357" s="35">
        <v>-11.7</v>
      </c>
      <c r="G357" s="35">
        <v>-23</v>
      </c>
      <c r="H357" s="35">
        <v>-22.1</v>
      </c>
      <c r="I357" s="35">
        <v>-17.899999999999999</v>
      </c>
      <c r="J357" s="35">
        <v>-23</v>
      </c>
      <c r="K357" s="35">
        <v>-22.4</v>
      </c>
      <c r="L357" s="35">
        <v>-22.3</v>
      </c>
      <c r="M357" s="35">
        <v>-23</v>
      </c>
      <c r="N357" s="35">
        <v>1.7</v>
      </c>
      <c r="O357" s="35">
        <v>6.3</v>
      </c>
      <c r="P357" s="35">
        <v>-5</v>
      </c>
      <c r="Q357" s="35">
        <v>-1</v>
      </c>
      <c r="R357" s="35">
        <v>-2.2000000000000002</v>
      </c>
      <c r="S357" s="35">
        <v>-5</v>
      </c>
      <c r="T357" s="35">
        <v>10.1</v>
      </c>
      <c r="U357" s="35">
        <v>9</v>
      </c>
      <c r="V357" s="35">
        <v>9.8000000000000007</v>
      </c>
      <c r="W357" s="35">
        <v>9</v>
      </c>
      <c r="X357" s="35">
        <v>10.199999999999999</v>
      </c>
      <c r="Y357" s="35">
        <v>9</v>
      </c>
      <c r="Z357" s="35">
        <v>10.7</v>
      </c>
      <c r="AA357" s="35">
        <v>9</v>
      </c>
      <c r="AB357" s="35">
        <v>21.6</v>
      </c>
      <c r="AC357" s="35">
        <v>20</v>
      </c>
      <c r="AD357" s="35">
        <v>21.5</v>
      </c>
      <c r="AE357" s="35">
        <v>20</v>
      </c>
    </row>
    <row r="358" spans="1:31" x14ac:dyDescent="0.35">
      <c r="A358" s="36">
        <v>46059.701388888891</v>
      </c>
      <c r="B358" s="35">
        <v>-20.3</v>
      </c>
      <c r="C358" s="35">
        <v>-24.8</v>
      </c>
      <c r="D358" s="35">
        <v>-23</v>
      </c>
      <c r="E358" s="35">
        <v>-20.3</v>
      </c>
      <c r="F358" s="35">
        <v>-12.1</v>
      </c>
      <c r="G358" s="35">
        <v>-23</v>
      </c>
      <c r="H358" s="35">
        <v>-21.9</v>
      </c>
      <c r="I358" s="35">
        <v>-17.899999999999999</v>
      </c>
      <c r="J358" s="35">
        <v>-23</v>
      </c>
      <c r="K358" s="35">
        <v>-22.2</v>
      </c>
      <c r="L358" s="35">
        <v>-22</v>
      </c>
      <c r="M358" s="35">
        <v>-23</v>
      </c>
      <c r="N358" s="35">
        <v>1.4</v>
      </c>
      <c r="O358" s="35">
        <v>4.9000000000000004</v>
      </c>
      <c r="P358" s="35">
        <v>-5</v>
      </c>
      <c r="Q358" s="35">
        <v>-1.1000000000000001</v>
      </c>
      <c r="R358" s="35">
        <v>-2.2000000000000002</v>
      </c>
      <c r="S358" s="35">
        <v>-5</v>
      </c>
      <c r="T358" s="35">
        <v>10.3</v>
      </c>
      <c r="U358" s="35">
        <v>9</v>
      </c>
      <c r="V358" s="35">
        <v>9.9</v>
      </c>
      <c r="W358" s="35">
        <v>9</v>
      </c>
      <c r="X358" s="35">
        <v>10.199999999999999</v>
      </c>
      <c r="Y358" s="35">
        <v>9</v>
      </c>
      <c r="Z358" s="35">
        <v>10.7</v>
      </c>
      <c r="AA358" s="35">
        <v>9</v>
      </c>
      <c r="AB358" s="35">
        <v>21.6</v>
      </c>
      <c r="AC358" s="35">
        <v>20</v>
      </c>
      <c r="AD358" s="35">
        <v>21.5</v>
      </c>
      <c r="AE358" s="35">
        <v>20</v>
      </c>
    </row>
    <row r="359" spans="1:31" x14ac:dyDescent="0.35">
      <c r="A359" s="36">
        <v>46059.70208333333</v>
      </c>
      <c r="B359" s="35">
        <v>-20.5</v>
      </c>
      <c r="C359" s="35">
        <v>-25.4</v>
      </c>
      <c r="D359" s="35">
        <v>-23</v>
      </c>
      <c r="E359" s="35">
        <v>-20.7</v>
      </c>
      <c r="F359" s="35">
        <v>-12.9</v>
      </c>
      <c r="G359" s="35">
        <v>-23</v>
      </c>
      <c r="H359" s="35">
        <v>-21.7</v>
      </c>
      <c r="I359" s="35">
        <v>-17.899999999999999</v>
      </c>
      <c r="J359" s="35">
        <v>-23</v>
      </c>
      <c r="K359" s="35">
        <v>-22</v>
      </c>
      <c r="L359" s="35">
        <v>-21.8</v>
      </c>
      <c r="M359" s="35">
        <v>-23</v>
      </c>
      <c r="N359" s="35">
        <v>1.2</v>
      </c>
      <c r="O359" s="35">
        <v>3.8</v>
      </c>
      <c r="P359" s="35">
        <v>-5</v>
      </c>
      <c r="Q359" s="35">
        <v>-1.2</v>
      </c>
      <c r="R359" s="35">
        <v>-2.2999999999999998</v>
      </c>
      <c r="S359" s="35">
        <v>-5</v>
      </c>
      <c r="T359" s="35">
        <v>10.4</v>
      </c>
      <c r="U359" s="35">
        <v>9</v>
      </c>
      <c r="V359" s="35">
        <v>9.9</v>
      </c>
      <c r="W359" s="35">
        <v>9</v>
      </c>
      <c r="X359" s="35">
        <v>10.3</v>
      </c>
      <c r="Y359" s="35">
        <v>9</v>
      </c>
      <c r="Z359" s="35">
        <v>10.7</v>
      </c>
      <c r="AA359" s="35">
        <v>9</v>
      </c>
      <c r="AB359" s="35">
        <v>21.6</v>
      </c>
      <c r="AC359" s="35">
        <v>20</v>
      </c>
      <c r="AD359" s="35">
        <v>21.5</v>
      </c>
      <c r="AE359" s="35">
        <v>20</v>
      </c>
    </row>
    <row r="360" spans="1:31" x14ac:dyDescent="0.35">
      <c r="A360" s="36">
        <v>46059.702777777777</v>
      </c>
      <c r="B360" s="35">
        <v>-20.7</v>
      </c>
      <c r="C360" s="35">
        <v>-24</v>
      </c>
      <c r="D360" s="35">
        <v>-23</v>
      </c>
      <c r="E360" s="35">
        <v>-20.9</v>
      </c>
      <c r="F360" s="35">
        <v>-13.6</v>
      </c>
      <c r="G360" s="35">
        <v>-23</v>
      </c>
      <c r="H360" s="35">
        <v>-21.5</v>
      </c>
      <c r="I360" s="35">
        <v>-17.899999999999999</v>
      </c>
      <c r="J360" s="35">
        <v>-23</v>
      </c>
      <c r="K360" s="35">
        <v>-21.8</v>
      </c>
      <c r="L360" s="35">
        <v>-21.7</v>
      </c>
      <c r="M360" s="35">
        <v>-23</v>
      </c>
      <c r="N360" s="35">
        <v>1</v>
      </c>
      <c r="O360" s="35">
        <v>2.8</v>
      </c>
      <c r="P360" s="35">
        <v>-5</v>
      </c>
      <c r="Q360" s="35">
        <v>-1.2</v>
      </c>
      <c r="R360" s="35">
        <v>-2.4</v>
      </c>
      <c r="S360" s="35">
        <v>-5</v>
      </c>
      <c r="T360" s="35">
        <v>10.5</v>
      </c>
      <c r="U360" s="35">
        <v>9</v>
      </c>
      <c r="V360" s="35">
        <v>10</v>
      </c>
      <c r="W360" s="35">
        <v>9</v>
      </c>
      <c r="X360" s="35">
        <v>10.199999999999999</v>
      </c>
      <c r="Y360" s="35">
        <v>9</v>
      </c>
      <c r="Z360" s="35">
        <v>10.7</v>
      </c>
      <c r="AA360" s="35">
        <v>9</v>
      </c>
      <c r="AB360" s="35">
        <v>21.6</v>
      </c>
      <c r="AC360" s="35">
        <v>20</v>
      </c>
      <c r="AD360" s="35">
        <v>21.5</v>
      </c>
      <c r="AE360" s="35">
        <v>20</v>
      </c>
    </row>
    <row r="361" spans="1:31" x14ac:dyDescent="0.35">
      <c r="A361" s="36">
        <v>46059.703472222223</v>
      </c>
      <c r="B361" s="35">
        <v>-20.9</v>
      </c>
      <c r="C361" s="35">
        <v>-23.3</v>
      </c>
      <c r="D361" s="35">
        <v>-23</v>
      </c>
      <c r="E361" s="35">
        <v>-21.2</v>
      </c>
      <c r="F361" s="35">
        <v>-14</v>
      </c>
      <c r="G361" s="35">
        <v>-23</v>
      </c>
      <c r="H361" s="35">
        <v>-21.3</v>
      </c>
      <c r="I361" s="35">
        <v>-17.899999999999999</v>
      </c>
      <c r="J361" s="35">
        <v>-23</v>
      </c>
      <c r="K361" s="35">
        <v>-21.7</v>
      </c>
      <c r="L361" s="35">
        <v>-21.5</v>
      </c>
      <c r="M361" s="35">
        <v>-23</v>
      </c>
      <c r="N361" s="35">
        <v>0.8</v>
      </c>
      <c r="O361" s="35">
        <v>2.1</v>
      </c>
      <c r="P361" s="35">
        <v>-5</v>
      </c>
      <c r="Q361" s="35">
        <v>-1.4</v>
      </c>
      <c r="R361" s="35">
        <v>-2.5</v>
      </c>
      <c r="S361" s="35">
        <v>-5</v>
      </c>
      <c r="T361" s="35">
        <v>10.6</v>
      </c>
      <c r="U361" s="35">
        <v>9</v>
      </c>
      <c r="V361" s="35">
        <v>10.1</v>
      </c>
      <c r="W361" s="35">
        <v>9</v>
      </c>
      <c r="X361" s="35">
        <v>10.199999999999999</v>
      </c>
      <c r="Y361" s="35">
        <v>9</v>
      </c>
      <c r="Z361" s="35">
        <v>10.7</v>
      </c>
      <c r="AA361" s="35">
        <v>9</v>
      </c>
      <c r="AB361" s="35">
        <v>21.6</v>
      </c>
      <c r="AC361" s="35">
        <v>20</v>
      </c>
      <c r="AD361" s="35">
        <v>21.5</v>
      </c>
      <c r="AE361" s="35">
        <v>20</v>
      </c>
    </row>
    <row r="362" spans="1:31" x14ac:dyDescent="0.35">
      <c r="A362" s="36">
        <v>46059.70416666667</v>
      </c>
      <c r="B362" s="35">
        <v>-21</v>
      </c>
      <c r="C362" s="35">
        <v>-24.2</v>
      </c>
      <c r="D362" s="35">
        <v>-23</v>
      </c>
      <c r="E362" s="35">
        <v>-21.6</v>
      </c>
      <c r="F362" s="35">
        <v>-14.7</v>
      </c>
      <c r="G362" s="35">
        <v>-23</v>
      </c>
      <c r="H362" s="35">
        <v>-21.2</v>
      </c>
      <c r="I362" s="35">
        <v>-17.899999999999999</v>
      </c>
      <c r="J362" s="35">
        <v>-23</v>
      </c>
      <c r="K362" s="35">
        <v>-21.5</v>
      </c>
      <c r="L362" s="35">
        <v>-21.4</v>
      </c>
      <c r="M362" s="35">
        <v>-23</v>
      </c>
      <c r="N362" s="35">
        <v>0.6</v>
      </c>
      <c r="O362" s="35">
        <v>1.4</v>
      </c>
      <c r="P362" s="35">
        <v>-5</v>
      </c>
      <c r="Q362" s="35">
        <v>-1.4</v>
      </c>
      <c r="R362" s="35">
        <v>-2.5</v>
      </c>
      <c r="S362" s="35">
        <v>-5</v>
      </c>
      <c r="T362" s="35">
        <v>10.7</v>
      </c>
      <c r="U362" s="35">
        <v>9</v>
      </c>
      <c r="V362" s="35">
        <v>10.199999999999999</v>
      </c>
      <c r="W362" s="35">
        <v>9</v>
      </c>
      <c r="X362" s="35">
        <v>10.199999999999999</v>
      </c>
      <c r="Y362" s="35">
        <v>9</v>
      </c>
      <c r="Z362" s="35">
        <v>10.7</v>
      </c>
      <c r="AA362" s="35">
        <v>9</v>
      </c>
      <c r="AB362" s="35">
        <v>21.6</v>
      </c>
      <c r="AC362" s="35">
        <v>20</v>
      </c>
      <c r="AD362" s="35">
        <v>21.5</v>
      </c>
      <c r="AE362" s="35">
        <v>20</v>
      </c>
    </row>
    <row r="363" spans="1:31" x14ac:dyDescent="0.35">
      <c r="A363" s="36">
        <v>46059.704861111109</v>
      </c>
      <c r="B363" s="35">
        <v>-21.2</v>
      </c>
      <c r="C363" s="35">
        <v>-26.3</v>
      </c>
      <c r="D363" s="35">
        <v>-23</v>
      </c>
      <c r="E363" s="35">
        <v>-21.9</v>
      </c>
      <c r="F363" s="35">
        <v>-15.6</v>
      </c>
      <c r="G363" s="35">
        <v>-23</v>
      </c>
      <c r="H363" s="35">
        <v>-21.1</v>
      </c>
      <c r="I363" s="35">
        <v>-17.899999999999999</v>
      </c>
      <c r="J363" s="35">
        <v>-23</v>
      </c>
      <c r="K363" s="35">
        <v>-21.4</v>
      </c>
      <c r="L363" s="35">
        <v>-21.3</v>
      </c>
      <c r="M363" s="35">
        <v>-23</v>
      </c>
      <c r="N363" s="35">
        <v>0.4</v>
      </c>
      <c r="O363" s="35">
        <v>1</v>
      </c>
      <c r="P363" s="35">
        <v>-5</v>
      </c>
      <c r="Q363" s="35">
        <v>-1.5</v>
      </c>
      <c r="R363" s="35">
        <v>-2.6</v>
      </c>
      <c r="S363" s="35">
        <v>-5</v>
      </c>
      <c r="T363" s="35">
        <v>10.8</v>
      </c>
      <c r="U363" s="35">
        <v>9</v>
      </c>
      <c r="V363" s="35">
        <v>10.199999999999999</v>
      </c>
      <c r="W363" s="35">
        <v>9</v>
      </c>
      <c r="X363" s="35">
        <v>10.1</v>
      </c>
      <c r="Y363" s="35">
        <v>9</v>
      </c>
      <c r="Z363" s="35">
        <v>10.7</v>
      </c>
      <c r="AA363" s="35">
        <v>9</v>
      </c>
      <c r="AB363" s="35">
        <v>21.6</v>
      </c>
      <c r="AC363" s="35">
        <v>20</v>
      </c>
      <c r="AD363" s="35">
        <v>21.5</v>
      </c>
      <c r="AE363" s="35">
        <v>20</v>
      </c>
    </row>
    <row r="364" spans="1:31" x14ac:dyDescent="0.35">
      <c r="A364" s="36">
        <v>46059.705555555556</v>
      </c>
      <c r="B364" s="35">
        <v>-21.4</v>
      </c>
      <c r="C364" s="35">
        <v>-25.9</v>
      </c>
      <c r="D364" s="35">
        <v>-23</v>
      </c>
      <c r="E364" s="35">
        <v>-22.1</v>
      </c>
      <c r="F364" s="35">
        <v>-16.100000000000001</v>
      </c>
      <c r="G364" s="35">
        <v>-23</v>
      </c>
      <c r="H364" s="35">
        <v>-21</v>
      </c>
      <c r="I364" s="35">
        <v>-17.899999999999999</v>
      </c>
      <c r="J364" s="35">
        <v>-23</v>
      </c>
      <c r="K364" s="35">
        <v>-21.3</v>
      </c>
      <c r="L364" s="35">
        <v>-21.2</v>
      </c>
      <c r="M364" s="35">
        <v>-23</v>
      </c>
      <c r="N364" s="35">
        <v>0.3</v>
      </c>
      <c r="O364" s="35">
        <v>0.6</v>
      </c>
      <c r="P364" s="35">
        <v>-5</v>
      </c>
      <c r="Q364" s="35">
        <v>-1.5</v>
      </c>
      <c r="R364" s="35">
        <v>-2.6</v>
      </c>
      <c r="S364" s="35">
        <v>-5</v>
      </c>
      <c r="T364" s="35">
        <v>10.9</v>
      </c>
      <c r="U364" s="35">
        <v>9</v>
      </c>
      <c r="V364" s="35">
        <v>10.3</v>
      </c>
      <c r="W364" s="35">
        <v>9</v>
      </c>
      <c r="X364" s="35">
        <v>10</v>
      </c>
      <c r="Y364" s="35">
        <v>9</v>
      </c>
      <c r="Z364" s="35">
        <v>10.7</v>
      </c>
      <c r="AA364" s="35">
        <v>9</v>
      </c>
      <c r="AB364" s="35">
        <v>21.6</v>
      </c>
      <c r="AC364" s="35">
        <v>20</v>
      </c>
      <c r="AD364" s="35">
        <v>21.5</v>
      </c>
      <c r="AE364" s="35">
        <v>20</v>
      </c>
    </row>
    <row r="365" spans="1:31" x14ac:dyDescent="0.35">
      <c r="A365" s="36">
        <v>46059.706250000003</v>
      </c>
      <c r="B365" s="35">
        <v>-21.6</v>
      </c>
      <c r="C365" s="35">
        <v>-24.5</v>
      </c>
      <c r="D365" s="35">
        <v>-23</v>
      </c>
      <c r="E365" s="35">
        <v>-22.2</v>
      </c>
      <c r="F365" s="35">
        <v>-16.5</v>
      </c>
      <c r="G365" s="35">
        <v>-23</v>
      </c>
      <c r="H365" s="35">
        <v>-20.8</v>
      </c>
      <c r="I365" s="35">
        <v>-17.899999999999999</v>
      </c>
      <c r="J365" s="35">
        <v>-23</v>
      </c>
      <c r="K365" s="35">
        <v>-21.2</v>
      </c>
      <c r="L365" s="35">
        <v>-21</v>
      </c>
      <c r="M365" s="35">
        <v>-23</v>
      </c>
      <c r="N365" s="35">
        <v>0.1</v>
      </c>
      <c r="O365" s="35">
        <v>0.2</v>
      </c>
      <c r="P365" s="35">
        <v>-5</v>
      </c>
      <c r="Q365" s="35">
        <v>-1.7</v>
      </c>
      <c r="R365" s="35">
        <v>-2.7</v>
      </c>
      <c r="S365" s="35">
        <v>-5</v>
      </c>
      <c r="T365" s="35">
        <v>10.9</v>
      </c>
      <c r="U365" s="35">
        <v>9</v>
      </c>
      <c r="V365" s="35">
        <v>10.4</v>
      </c>
      <c r="W365" s="35">
        <v>9</v>
      </c>
      <c r="X365" s="35">
        <v>9.9</v>
      </c>
      <c r="Y365" s="35">
        <v>9</v>
      </c>
      <c r="Z365" s="35">
        <v>10.7</v>
      </c>
      <c r="AA365" s="35">
        <v>9</v>
      </c>
      <c r="AB365" s="35">
        <v>21.6</v>
      </c>
      <c r="AC365" s="35">
        <v>20</v>
      </c>
      <c r="AD365" s="35">
        <v>21.5</v>
      </c>
      <c r="AE365" s="35">
        <v>20</v>
      </c>
    </row>
    <row r="366" spans="1:31" x14ac:dyDescent="0.35">
      <c r="A366" s="36">
        <v>46059.706944444442</v>
      </c>
      <c r="B366" s="35">
        <v>-21.7</v>
      </c>
      <c r="C366" s="35">
        <v>-24.1</v>
      </c>
      <c r="D366" s="35">
        <v>-23</v>
      </c>
      <c r="E366" s="35">
        <v>-22.4</v>
      </c>
      <c r="F366" s="35">
        <v>-17.100000000000001</v>
      </c>
      <c r="G366" s="35">
        <v>-23</v>
      </c>
      <c r="H366" s="35">
        <v>-20.7</v>
      </c>
      <c r="I366" s="35">
        <v>-17.899999999999999</v>
      </c>
      <c r="J366" s="35">
        <v>-23</v>
      </c>
      <c r="K366" s="35">
        <v>-21.1</v>
      </c>
      <c r="L366" s="35">
        <v>-20.9</v>
      </c>
      <c r="M366" s="35">
        <v>-23</v>
      </c>
      <c r="N366" s="35">
        <v>0</v>
      </c>
      <c r="O366" s="35">
        <v>-0.1</v>
      </c>
      <c r="P366" s="35">
        <v>-5</v>
      </c>
      <c r="Q366" s="35">
        <v>-1.7</v>
      </c>
      <c r="R366" s="35">
        <v>-2.8</v>
      </c>
      <c r="S366" s="35">
        <v>-5</v>
      </c>
      <c r="T366" s="35">
        <v>11</v>
      </c>
      <c r="U366" s="35">
        <v>9</v>
      </c>
      <c r="V366" s="35">
        <v>10.4</v>
      </c>
      <c r="W366" s="35">
        <v>9</v>
      </c>
      <c r="X366" s="35">
        <v>9.9</v>
      </c>
      <c r="Y366" s="35">
        <v>9</v>
      </c>
      <c r="Z366" s="35">
        <v>10.7</v>
      </c>
      <c r="AA366" s="35">
        <v>9</v>
      </c>
      <c r="AB366" s="35">
        <v>21.6</v>
      </c>
      <c r="AC366" s="35">
        <v>20</v>
      </c>
      <c r="AD366" s="35">
        <v>21.5</v>
      </c>
      <c r="AE366" s="35">
        <v>20</v>
      </c>
    </row>
    <row r="367" spans="1:31" x14ac:dyDescent="0.35">
      <c r="A367" s="36">
        <v>46059.707638888889</v>
      </c>
      <c r="B367" s="35">
        <v>-21.8</v>
      </c>
      <c r="C367" s="35">
        <v>-24.5</v>
      </c>
      <c r="D367" s="35">
        <v>-23</v>
      </c>
      <c r="E367" s="35">
        <v>-22.5</v>
      </c>
      <c r="F367" s="35">
        <v>-17.399999999999999</v>
      </c>
      <c r="G367" s="35">
        <v>-23</v>
      </c>
      <c r="H367" s="35">
        <v>-20.8</v>
      </c>
      <c r="I367" s="35">
        <v>-17.899999999999999</v>
      </c>
      <c r="J367" s="35">
        <v>-23</v>
      </c>
      <c r="K367" s="35">
        <v>-21</v>
      </c>
      <c r="L367" s="35">
        <v>-20.9</v>
      </c>
      <c r="M367" s="35">
        <v>-23</v>
      </c>
      <c r="N367" s="35">
        <v>-0.2</v>
      </c>
      <c r="O367" s="35">
        <v>-0.1</v>
      </c>
      <c r="P367" s="35">
        <v>-5</v>
      </c>
      <c r="Q367" s="35">
        <v>-1.7</v>
      </c>
      <c r="R367" s="35">
        <v>-2.8</v>
      </c>
      <c r="S367" s="35">
        <v>-5</v>
      </c>
      <c r="T367" s="35">
        <v>10.8</v>
      </c>
      <c r="U367" s="35">
        <v>9</v>
      </c>
      <c r="V367" s="35">
        <v>10.4</v>
      </c>
      <c r="W367" s="35">
        <v>9</v>
      </c>
      <c r="X367" s="35">
        <v>10.1</v>
      </c>
      <c r="Y367" s="35">
        <v>9</v>
      </c>
      <c r="Z367" s="35">
        <v>10.7</v>
      </c>
      <c r="AA367" s="35">
        <v>9</v>
      </c>
      <c r="AB367" s="35">
        <v>21.6</v>
      </c>
      <c r="AC367" s="35">
        <v>20</v>
      </c>
      <c r="AD367" s="35">
        <v>21.5</v>
      </c>
      <c r="AE367" s="35">
        <v>20</v>
      </c>
    </row>
    <row r="368" spans="1:31" x14ac:dyDescent="0.35">
      <c r="A368" s="36">
        <v>46059.708333333336</v>
      </c>
      <c r="B368" s="35">
        <v>-21.9</v>
      </c>
      <c r="C368" s="35">
        <v>-24.5</v>
      </c>
      <c r="D368" s="35">
        <v>-23</v>
      </c>
      <c r="E368" s="35">
        <v>-22.5</v>
      </c>
      <c r="F368" s="35">
        <v>-17.600000000000001</v>
      </c>
      <c r="G368" s="35">
        <v>-23</v>
      </c>
      <c r="H368" s="35">
        <v>-21.4</v>
      </c>
      <c r="I368" s="35">
        <v>-17.8</v>
      </c>
      <c r="J368" s="35">
        <v>-23</v>
      </c>
      <c r="K368" s="35">
        <v>-21.1</v>
      </c>
      <c r="L368" s="35">
        <v>-21.3</v>
      </c>
      <c r="M368" s="35">
        <v>-23</v>
      </c>
      <c r="N368" s="35">
        <v>-0.3</v>
      </c>
      <c r="O368" s="35">
        <v>-0.4</v>
      </c>
      <c r="P368" s="35">
        <v>-5</v>
      </c>
      <c r="Q368" s="35">
        <v>-1.7</v>
      </c>
      <c r="R368" s="35">
        <v>-2.8</v>
      </c>
      <c r="S368" s="35">
        <v>-5</v>
      </c>
      <c r="T368" s="35">
        <v>10.4</v>
      </c>
      <c r="U368" s="35">
        <v>9</v>
      </c>
      <c r="V368" s="35">
        <v>10.4</v>
      </c>
      <c r="W368" s="35">
        <v>9</v>
      </c>
      <c r="X368" s="35">
        <v>10.3</v>
      </c>
      <c r="Y368" s="35">
        <v>9</v>
      </c>
      <c r="Z368" s="35">
        <v>10.7</v>
      </c>
      <c r="AA368" s="35">
        <v>9</v>
      </c>
      <c r="AB368" s="35">
        <v>21.6</v>
      </c>
      <c r="AC368" s="35">
        <v>20</v>
      </c>
      <c r="AD368" s="35">
        <v>21.5</v>
      </c>
      <c r="AE368" s="35">
        <v>20</v>
      </c>
    </row>
    <row r="369" spans="1:31" x14ac:dyDescent="0.35">
      <c r="A369" s="36">
        <v>46059.709027777775</v>
      </c>
      <c r="B369" s="35">
        <v>-21.9</v>
      </c>
      <c r="C369" s="35">
        <v>-25.8</v>
      </c>
      <c r="D369" s="35">
        <v>-23</v>
      </c>
      <c r="E369" s="35">
        <v>-22.5</v>
      </c>
      <c r="F369" s="35">
        <v>-18.100000000000001</v>
      </c>
      <c r="G369" s="35">
        <v>-23</v>
      </c>
      <c r="H369" s="35">
        <v>-21.3</v>
      </c>
      <c r="I369" s="35">
        <v>-17.8</v>
      </c>
      <c r="J369" s="35">
        <v>-23</v>
      </c>
      <c r="K369" s="35">
        <v>-21.2</v>
      </c>
      <c r="L369" s="35">
        <v>-21.3</v>
      </c>
      <c r="M369" s="35">
        <v>-23</v>
      </c>
      <c r="N369" s="35">
        <v>-0.4</v>
      </c>
      <c r="O369" s="35">
        <v>-0.5</v>
      </c>
      <c r="P369" s="35">
        <v>-5</v>
      </c>
      <c r="Q369" s="35">
        <v>-1.7</v>
      </c>
      <c r="R369" s="35">
        <v>-2.9</v>
      </c>
      <c r="S369" s="35">
        <v>-5</v>
      </c>
      <c r="T369" s="35">
        <v>9.9</v>
      </c>
      <c r="U369" s="35">
        <v>9</v>
      </c>
      <c r="V369" s="35">
        <v>10.4</v>
      </c>
      <c r="W369" s="35">
        <v>9</v>
      </c>
      <c r="X369" s="35">
        <v>10.5</v>
      </c>
      <c r="Y369" s="35">
        <v>9</v>
      </c>
      <c r="Z369" s="35">
        <v>10.7</v>
      </c>
      <c r="AA369" s="35">
        <v>9</v>
      </c>
      <c r="AB369" s="35">
        <v>21.6</v>
      </c>
      <c r="AC369" s="35">
        <v>20</v>
      </c>
      <c r="AD369" s="35">
        <v>21.5</v>
      </c>
      <c r="AE369" s="35">
        <v>20</v>
      </c>
    </row>
    <row r="370" spans="1:31" x14ac:dyDescent="0.35">
      <c r="A370" s="36">
        <v>46059.709722222222</v>
      </c>
      <c r="B370" s="35">
        <v>-22</v>
      </c>
      <c r="C370" s="35">
        <v>-26.3</v>
      </c>
      <c r="D370" s="35">
        <v>-23</v>
      </c>
      <c r="E370" s="35">
        <v>-22.7</v>
      </c>
      <c r="F370" s="35">
        <v>-18.600000000000001</v>
      </c>
      <c r="G370" s="35">
        <v>-23</v>
      </c>
      <c r="H370" s="35">
        <v>-21.1</v>
      </c>
      <c r="I370" s="35">
        <v>-17.8</v>
      </c>
      <c r="J370" s="35">
        <v>-23</v>
      </c>
      <c r="K370" s="35">
        <v>-21.2</v>
      </c>
      <c r="L370" s="35">
        <v>-21.2</v>
      </c>
      <c r="M370" s="35">
        <v>-23</v>
      </c>
      <c r="N370" s="35">
        <v>-0.5</v>
      </c>
      <c r="O370" s="35">
        <v>-0.7</v>
      </c>
      <c r="P370" s="35">
        <v>-5</v>
      </c>
      <c r="Q370" s="35">
        <v>-1.9</v>
      </c>
      <c r="R370" s="35">
        <v>-2.9</v>
      </c>
      <c r="S370" s="35">
        <v>-5</v>
      </c>
      <c r="T370" s="35">
        <v>9.4</v>
      </c>
      <c r="U370" s="35">
        <v>9</v>
      </c>
      <c r="V370" s="35">
        <v>10.3</v>
      </c>
      <c r="W370" s="35">
        <v>9</v>
      </c>
      <c r="X370" s="35">
        <v>10.5</v>
      </c>
      <c r="Y370" s="35">
        <v>9</v>
      </c>
      <c r="Z370" s="35">
        <v>10.7</v>
      </c>
      <c r="AA370" s="35">
        <v>9</v>
      </c>
      <c r="AB370" s="35">
        <v>21.6</v>
      </c>
      <c r="AC370" s="35">
        <v>20</v>
      </c>
      <c r="AD370" s="35">
        <v>21.5</v>
      </c>
      <c r="AE370" s="35">
        <v>20</v>
      </c>
    </row>
    <row r="371" spans="1:31" x14ac:dyDescent="0.35">
      <c r="A371" s="36">
        <v>46059.711111111108</v>
      </c>
      <c r="B371" s="35">
        <v>-22.1</v>
      </c>
      <c r="C371" s="35">
        <v>-23.9</v>
      </c>
      <c r="D371" s="35">
        <v>-23</v>
      </c>
      <c r="E371" s="35">
        <v>-22.3</v>
      </c>
      <c r="F371" s="35">
        <v>-18.8</v>
      </c>
      <c r="G371" s="35">
        <v>-23</v>
      </c>
      <c r="H371" s="35">
        <v>-21</v>
      </c>
      <c r="I371" s="35">
        <v>-22.4</v>
      </c>
      <c r="J371" s="35">
        <v>-23</v>
      </c>
      <c r="K371" s="35">
        <v>-21.2</v>
      </c>
      <c r="L371" s="35">
        <v>-18.5</v>
      </c>
      <c r="M371" s="35">
        <v>-23</v>
      </c>
      <c r="N371" s="35">
        <v>-0.7</v>
      </c>
      <c r="O371" s="35">
        <v>-0.9</v>
      </c>
      <c r="P371" s="35">
        <v>-5</v>
      </c>
      <c r="Q371" s="35">
        <v>-2</v>
      </c>
      <c r="R371" s="35">
        <v>-3</v>
      </c>
      <c r="S371" s="35">
        <v>-5</v>
      </c>
      <c r="T371" s="35">
        <v>8.8000000000000007</v>
      </c>
      <c r="U371" s="35">
        <v>9</v>
      </c>
      <c r="V371" s="35">
        <v>10</v>
      </c>
      <c r="W371" s="35">
        <v>9</v>
      </c>
      <c r="X371" s="35">
        <v>10.5</v>
      </c>
      <c r="Y371" s="35">
        <v>9</v>
      </c>
      <c r="Z371" s="35">
        <v>10.8</v>
      </c>
      <c r="AA371" s="35">
        <v>9</v>
      </c>
      <c r="AB371" s="35">
        <v>21.6</v>
      </c>
      <c r="AC371" s="35">
        <v>20</v>
      </c>
      <c r="AD371" s="35">
        <v>21.5</v>
      </c>
      <c r="AE371" s="35">
        <v>20</v>
      </c>
    </row>
    <row r="372" spans="1:31" x14ac:dyDescent="0.35">
      <c r="A372" s="36">
        <v>46059.711805555555</v>
      </c>
      <c r="B372" s="35">
        <v>-22</v>
      </c>
      <c r="C372" s="35">
        <v>-23.1</v>
      </c>
      <c r="D372" s="35">
        <v>-23</v>
      </c>
      <c r="E372" s="35">
        <v>-22</v>
      </c>
      <c r="F372" s="35">
        <v>-19</v>
      </c>
      <c r="G372" s="35">
        <v>-23</v>
      </c>
      <c r="H372" s="35">
        <v>-21</v>
      </c>
      <c r="I372" s="35">
        <v>-23.4</v>
      </c>
      <c r="J372" s="35">
        <v>-23</v>
      </c>
      <c r="K372" s="35">
        <v>-21.2</v>
      </c>
      <c r="L372" s="35">
        <v>-14.7</v>
      </c>
      <c r="M372" s="35">
        <v>-23</v>
      </c>
      <c r="N372" s="35">
        <v>-0.8</v>
      </c>
      <c r="O372" s="35">
        <v>-1</v>
      </c>
      <c r="P372" s="35">
        <v>-5</v>
      </c>
      <c r="Q372" s="35">
        <v>-2</v>
      </c>
      <c r="R372" s="35">
        <v>-3</v>
      </c>
      <c r="S372" s="35">
        <v>-5</v>
      </c>
      <c r="T372" s="35">
        <v>8.8000000000000007</v>
      </c>
      <c r="U372" s="35">
        <v>9</v>
      </c>
      <c r="V372" s="35">
        <v>9.9</v>
      </c>
      <c r="W372" s="35">
        <v>9</v>
      </c>
      <c r="X372" s="35">
        <v>10.3</v>
      </c>
      <c r="Y372" s="35">
        <v>9</v>
      </c>
      <c r="Z372" s="35">
        <v>10.8</v>
      </c>
      <c r="AA372" s="35">
        <v>9</v>
      </c>
      <c r="AB372" s="35">
        <v>21.6</v>
      </c>
      <c r="AC372" s="35">
        <v>20</v>
      </c>
      <c r="AD372" s="35">
        <v>21.5</v>
      </c>
      <c r="AE372" s="35">
        <v>20</v>
      </c>
    </row>
    <row r="373" spans="1:31" x14ac:dyDescent="0.35">
      <c r="A373" s="36">
        <v>46059.712500000001</v>
      </c>
      <c r="B373" s="35">
        <v>-21.7</v>
      </c>
      <c r="C373" s="35">
        <v>-22.6</v>
      </c>
      <c r="D373" s="35">
        <v>-23</v>
      </c>
      <c r="E373" s="35">
        <v>-21.7</v>
      </c>
      <c r="F373" s="35">
        <v>-19</v>
      </c>
      <c r="G373" s="35">
        <v>-23</v>
      </c>
      <c r="H373" s="35">
        <v>-21.1</v>
      </c>
      <c r="I373" s="35">
        <v>-24.1</v>
      </c>
      <c r="J373" s="35">
        <v>-23</v>
      </c>
      <c r="K373" s="35">
        <v>-21.2</v>
      </c>
      <c r="L373" s="35">
        <v>-8.8000000000000007</v>
      </c>
      <c r="M373" s="35">
        <v>-23</v>
      </c>
      <c r="N373" s="35">
        <v>-0.9</v>
      </c>
      <c r="O373" s="35">
        <v>-1.1000000000000001</v>
      </c>
      <c r="P373" s="35">
        <v>-5</v>
      </c>
      <c r="Q373" s="35">
        <v>-2</v>
      </c>
      <c r="R373" s="35">
        <v>-3</v>
      </c>
      <c r="S373" s="35">
        <v>-5</v>
      </c>
      <c r="T373" s="35">
        <v>9</v>
      </c>
      <c r="U373" s="35">
        <v>9</v>
      </c>
      <c r="V373" s="35">
        <v>9.8000000000000007</v>
      </c>
      <c r="W373" s="35">
        <v>9</v>
      </c>
      <c r="X373" s="35">
        <v>10.3</v>
      </c>
      <c r="Y373" s="35">
        <v>9</v>
      </c>
      <c r="Z373" s="35">
        <v>10.8</v>
      </c>
      <c r="AA373" s="35">
        <v>9</v>
      </c>
      <c r="AB373" s="35">
        <v>21.6</v>
      </c>
      <c r="AC373" s="35">
        <v>20</v>
      </c>
      <c r="AD373" s="35">
        <v>21.5</v>
      </c>
      <c r="AE373" s="35">
        <v>20</v>
      </c>
    </row>
    <row r="374" spans="1:31" x14ac:dyDescent="0.35">
      <c r="A374" s="36">
        <v>46059.713194444441</v>
      </c>
      <c r="B374" s="35">
        <v>-21.5</v>
      </c>
      <c r="C374" s="35">
        <v>-22.3</v>
      </c>
      <c r="D374" s="35">
        <v>-23</v>
      </c>
      <c r="E374" s="35">
        <v>-21.5</v>
      </c>
      <c r="F374" s="35">
        <v>-19</v>
      </c>
      <c r="G374" s="35">
        <v>-23</v>
      </c>
      <c r="H374" s="35">
        <v>-21.2</v>
      </c>
      <c r="I374" s="35">
        <v>-23</v>
      </c>
      <c r="J374" s="35">
        <v>-23</v>
      </c>
      <c r="K374" s="35">
        <v>-21.2</v>
      </c>
      <c r="L374" s="35">
        <v>-3.9</v>
      </c>
      <c r="M374" s="35">
        <v>-23</v>
      </c>
      <c r="N374" s="35">
        <v>-1</v>
      </c>
      <c r="O374" s="35">
        <v>-1.2</v>
      </c>
      <c r="P374" s="35">
        <v>-5</v>
      </c>
      <c r="Q374" s="35">
        <v>-2</v>
      </c>
      <c r="R374" s="35">
        <v>-3.1</v>
      </c>
      <c r="S374" s="35">
        <v>-5</v>
      </c>
      <c r="T374" s="35">
        <v>9.1999999999999993</v>
      </c>
      <c r="U374" s="35">
        <v>9</v>
      </c>
      <c r="V374" s="35">
        <v>9.8000000000000007</v>
      </c>
      <c r="W374" s="35">
        <v>9</v>
      </c>
      <c r="X374" s="35">
        <v>10.3</v>
      </c>
      <c r="Y374" s="35">
        <v>9</v>
      </c>
      <c r="Z374" s="35">
        <v>10.8</v>
      </c>
      <c r="AA374" s="35">
        <v>9</v>
      </c>
      <c r="AB374" s="35">
        <v>21.6</v>
      </c>
      <c r="AC374" s="35">
        <v>20</v>
      </c>
      <c r="AD374" s="35">
        <v>21.5</v>
      </c>
      <c r="AE374" s="35">
        <v>20</v>
      </c>
    </row>
    <row r="375" spans="1:31" x14ac:dyDescent="0.35">
      <c r="A375" s="36">
        <v>46059.713888888888</v>
      </c>
      <c r="B375" s="35">
        <v>-21.3</v>
      </c>
      <c r="C375" s="35">
        <v>-21.9</v>
      </c>
      <c r="D375" s="35">
        <v>-23</v>
      </c>
      <c r="E375" s="35">
        <v>-21.3</v>
      </c>
      <c r="F375" s="35">
        <v>-19.100000000000001</v>
      </c>
      <c r="G375" s="35">
        <v>-23</v>
      </c>
      <c r="H375" s="35">
        <v>-21.3</v>
      </c>
      <c r="I375" s="35">
        <v>-22.5</v>
      </c>
      <c r="J375" s="35">
        <v>-23</v>
      </c>
      <c r="K375" s="35">
        <v>-21.2</v>
      </c>
      <c r="L375" s="35">
        <v>0.9</v>
      </c>
      <c r="M375" s="35">
        <v>-23</v>
      </c>
      <c r="N375" s="35">
        <v>-1.1000000000000001</v>
      </c>
      <c r="O375" s="35">
        <v>-1.2</v>
      </c>
      <c r="P375" s="35">
        <v>-5</v>
      </c>
      <c r="Q375" s="35">
        <v>-2</v>
      </c>
      <c r="R375" s="35">
        <v>-3.2</v>
      </c>
      <c r="S375" s="35">
        <v>-5</v>
      </c>
      <c r="T375" s="35">
        <v>9.5</v>
      </c>
      <c r="U375" s="35">
        <v>9</v>
      </c>
      <c r="V375" s="35">
        <v>9.8000000000000007</v>
      </c>
      <c r="W375" s="35">
        <v>9</v>
      </c>
      <c r="X375" s="35">
        <v>10.3</v>
      </c>
      <c r="Y375" s="35">
        <v>9</v>
      </c>
      <c r="Z375" s="35">
        <v>10.8</v>
      </c>
      <c r="AA375" s="35">
        <v>9</v>
      </c>
      <c r="AB375" s="35">
        <v>21.6</v>
      </c>
      <c r="AC375" s="35">
        <v>20</v>
      </c>
      <c r="AD375" s="35">
        <v>21.5</v>
      </c>
      <c r="AE375" s="35">
        <v>20</v>
      </c>
    </row>
    <row r="376" spans="1:31" x14ac:dyDescent="0.35">
      <c r="A376" s="36">
        <v>46059.714583333334</v>
      </c>
      <c r="B376" s="35">
        <v>-21.2</v>
      </c>
      <c r="C376" s="35">
        <v>-21.7</v>
      </c>
      <c r="D376" s="35">
        <v>-23</v>
      </c>
      <c r="E376" s="35">
        <v>-21.3</v>
      </c>
      <c r="F376" s="35">
        <v>-19.2</v>
      </c>
      <c r="G376" s="35">
        <v>-23</v>
      </c>
      <c r="H376" s="35">
        <v>-21.4</v>
      </c>
      <c r="I376" s="35">
        <v>-22.5</v>
      </c>
      <c r="J376" s="35">
        <v>-23</v>
      </c>
      <c r="K376" s="35">
        <v>-21.2</v>
      </c>
      <c r="L376" s="35">
        <v>6.4</v>
      </c>
      <c r="M376" s="35">
        <v>-23</v>
      </c>
      <c r="N376" s="35">
        <v>-1.2</v>
      </c>
      <c r="O376" s="35">
        <v>-1.2</v>
      </c>
      <c r="P376" s="35">
        <v>-5</v>
      </c>
      <c r="Q376" s="35">
        <v>-2.2000000000000002</v>
      </c>
      <c r="R376" s="35">
        <v>-3.2</v>
      </c>
      <c r="S376" s="35">
        <v>-5</v>
      </c>
      <c r="T376" s="35">
        <v>9.8000000000000007</v>
      </c>
      <c r="U376" s="35">
        <v>9</v>
      </c>
      <c r="V376" s="35">
        <v>9.8000000000000007</v>
      </c>
      <c r="W376" s="35">
        <v>9</v>
      </c>
      <c r="X376" s="35">
        <v>10.3</v>
      </c>
      <c r="Y376" s="35">
        <v>9</v>
      </c>
      <c r="Z376" s="35">
        <v>10.8</v>
      </c>
      <c r="AA376" s="35">
        <v>9</v>
      </c>
      <c r="AB376" s="35">
        <v>21.6</v>
      </c>
      <c r="AC376" s="35">
        <v>20</v>
      </c>
      <c r="AD376" s="35">
        <v>21.5</v>
      </c>
      <c r="AE376" s="35">
        <v>20</v>
      </c>
    </row>
    <row r="377" spans="1:31" x14ac:dyDescent="0.35">
      <c r="A377" s="36">
        <v>46059.715277777781</v>
      </c>
      <c r="B377" s="35">
        <v>-21.2</v>
      </c>
      <c r="C377" s="35">
        <v>-21.6</v>
      </c>
      <c r="D377" s="35">
        <v>-23</v>
      </c>
      <c r="E377" s="35">
        <v>-21.3</v>
      </c>
      <c r="F377" s="35">
        <v>-19.3</v>
      </c>
      <c r="G377" s="35">
        <v>-23</v>
      </c>
      <c r="H377" s="35">
        <v>-21.4</v>
      </c>
      <c r="I377" s="35">
        <v>-22.3</v>
      </c>
      <c r="J377" s="35">
        <v>-23</v>
      </c>
      <c r="K377" s="35">
        <v>-21.2</v>
      </c>
      <c r="L377" s="35">
        <v>10.7</v>
      </c>
      <c r="M377" s="35">
        <v>-23</v>
      </c>
      <c r="N377" s="35">
        <v>-1.3</v>
      </c>
      <c r="O377" s="35">
        <v>-1.3</v>
      </c>
      <c r="P377" s="35">
        <v>-5</v>
      </c>
      <c r="Q377" s="35">
        <v>-2.2000000000000002</v>
      </c>
      <c r="R377" s="35">
        <v>-3.2</v>
      </c>
      <c r="S377" s="35">
        <v>-5</v>
      </c>
      <c r="T377" s="35">
        <v>9.9</v>
      </c>
      <c r="U377" s="35">
        <v>9</v>
      </c>
      <c r="V377" s="35">
        <v>9.8000000000000007</v>
      </c>
      <c r="W377" s="35">
        <v>9</v>
      </c>
      <c r="X377" s="35">
        <v>10.3</v>
      </c>
      <c r="Y377" s="35">
        <v>9</v>
      </c>
      <c r="Z377" s="35">
        <v>10.8</v>
      </c>
      <c r="AA377" s="35">
        <v>9</v>
      </c>
      <c r="AB377" s="35">
        <v>21.6</v>
      </c>
      <c r="AC377" s="35">
        <v>20</v>
      </c>
      <c r="AD377" s="35">
        <v>21.5</v>
      </c>
      <c r="AE377" s="35">
        <v>20</v>
      </c>
    </row>
    <row r="378" spans="1:31" x14ac:dyDescent="0.35">
      <c r="A378" s="36">
        <v>46059.71597222222</v>
      </c>
      <c r="B378" s="35">
        <v>-21.2</v>
      </c>
      <c r="C378" s="35">
        <v>-21.5</v>
      </c>
      <c r="D378" s="35">
        <v>-23</v>
      </c>
      <c r="E378" s="35">
        <v>-21.3</v>
      </c>
      <c r="F378" s="35">
        <v>-19.399999999999999</v>
      </c>
      <c r="G378" s="35">
        <v>-23</v>
      </c>
      <c r="H378" s="35">
        <v>-21.4</v>
      </c>
      <c r="I378" s="35">
        <v>-22.2</v>
      </c>
      <c r="J378" s="35">
        <v>-23</v>
      </c>
      <c r="K378" s="35">
        <v>-21.2</v>
      </c>
      <c r="L378" s="35">
        <v>14</v>
      </c>
      <c r="M378" s="35">
        <v>-23</v>
      </c>
      <c r="N378" s="35">
        <v>-1.3</v>
      </c>
      <c r="O378" s="35">
        <v>-1.5</v>
      </c>
      <c r="P378" s="35">
        <v>-5</v>
      </c>
      <c r="Q378" s="35">
        <v>-2.2000000000000002</v>
      </c>
      <c r="R378" s="35">
        <v>-3.2</v>
      </c>
      <c r="S378" s="35">
        <v>-5</v>
      </c>
      <c r="T378" s="35">
        <v>10.1</v>
      </c>
      <c r="U378" s="35">
        <v>9</v>
      </c>
      <c r="V378" s="35">
        <v>9.8000000000000007</v>
      </c>
      <c r="W378" s="35">
        <v>9</v>
      </c>
      <c r="X378" s="35">
        <v>10.3</v>
      </c>
      <c r="Y378" s="35">
        <v>9</v>
      </c>
      <c r="Z378" s="35">
        <v>10.8</v>
      </c>
      <c r="AA378" s="35">
        <v>9</v>
      </c>
      <c r="AB378" s="35">
        <v>21.6</v>
      </c>
      <c r="AC378" s="35">
        <v>20</v>
      </c>
      <c r="AD378" s="35">
        <v>21.5</v>
      </c>
      <c r="AE378" s="35">
        <v>20</v>
      </c>
    </row>
    <row r="379" spans="1:31" x14ac:dyDescent="0.35">
      <c r="A379" s="36">
        <v>46059.716666666667</v>
      </c>
      <c r="B379" s="35">
        <v>-21.2</v>
      </c>
      <c r="C379" s="35">
        <v>-21.7</v>
      </c>
      <c r="D379" s="35">
        <v>-23</v>
      </c>
      <c r="E379" s="35">
        <v>-21.5</v>
      </c>
      <c r="F379" s="35">
        <v>-19.5</v>
      </c>
      <c r="G379" s="35">
        <v>-23</v>
      </c>
      <c r="H379" s="35">
        <v>-21.4</v>
      </c>
      <c r="I379" s="35">
        <v>-22</v>
      </c>
      <c r="J379" s="35">
        <v>-23</v>
      </c>
      <c r="K379" s="35">
        <v>-21.2</v>
      </c>
      <c r="L379" s="35">
        <v>14.2</v>
      </c>
      <c r="M379" s="35">
        <v>-23</v>
      </c>
      <c r="N379" s="35">
        <v>-1.4</v>
      </c>
      <c r="O379" s="35">
        <v>-1.6</v>
      </c>
      <c r="P379" s="35">
        <v>-5</v>
      </c>
      <c r="Q379" s="35">
        <v>-2.2000000000000002</v>
      </c>
      <c r="R379" s="35">
        <v>-3.3</v>
      </c>
      <c r="S379" s="35">
        <v>-5</v>
      </c>
      <c r="T379" s="35">
        <v>10.199999999999999</v>
      </c>
      <c r="U379" s="35">
        <v>9</v>
      </c>
      <c r="V379" s="35">
        <v>9.9</v>
      </c>
      <c r="W379" s="35">
        <v>9</v>
      </c>
      <c r="X379" s="35">
        <v>10.199999999999999</v>
      </c>
      <c r="Y379" s="35">
        <v>9</v>
      </c>
      <c r="Z379" s="35">
        <v>10.8</v>
      </c>
      <c r="AA379" s="35">
        <v>9</v>
      </c>
      <c r="AB379" s="35">
        <v>21.6</v>
      </c>
      <c r="AC379" s="35">
        <v>20</v>
      </c>
      <c r="AD379" s="35">
        <v>21.5</v>
      </c>
      <c r="AE379" s="35">
        <v>20</v>
      </c>
    </row>
    <row r="380" spans="1:31" x14ac:dyDescent="0.35">
      <c r="A380" s="36">
        <v>46059.717361111114</v>
      </c>
      <c r="B380" s="35">
        <v>-21.2</v>
      </c>
      <c r="C380" s="35">
        <v>-24</v>
      </c>
      <c r="D380" s="35">
        <v>-23</v>
      </c>
      <c r="E380" s="35">
        <v>-21.8</v>
      </c>
      <c r="F380" s="35">
        <v>-19.7</v>
      </c>
      <c r="G380" s="35">
        <v>-23</v>
      </c>
      <c r="H380" s="35">
        <v>-21.4</v>
      </c>
      <c r="I380" s="35">
        <v>-21.8</v>
      </c>
      <c r="J380" s="35">
        <v>-23</v>
      </c>
      <c r="K380" s="35">
        <v>-21.2</v>
      </c>
      <c r="L380" s="35">
        <v>16.7</v>
      </c>
      <c r="M380" s="35">
        <v>-23</v>
      </c>
      <c r="N380" s="35">
        <v>-1.4</v>
      </c>
      <c r="O380" s="35">
        <v>-1.7</v>
      </c>
      <c r="P380" s="35">
        <v>-5</v>
      </c>
      <c r="Q380" s="35">
        <v>-2.2999999999999998</v>
      </c>
      <c r="R380" s="35">
        <v>-3.3</v>
      </c>
      <c r="S380" s="35">
        <v>-5</v>
      </c>
      <c r="T380" s="35">
        <v>10.4</v>
      </c>
      <c r="U380" s="35">
        <v>9</v>
      </c>
      <c r="V380" s="35">
        <v>10</v>
      </c>
      <c r="W380" s="35">
        <v>9</v>
      </c>
      <c r="X380" s="35">
        <v>10.199999999999999</v>
      </c>
      <c r="Y380" s="35">
        <v>9</v>
      </c>
      <c r="Z380" s="35">
        <v>10.8</v>
      </c>
      <c r="AA380" s="35">
        <v>9</v>
      </c>
      <c r="AB380" s="35">
        <v>21.6</v>
      </c>
      <c r="AC380" s="35">
        <v>20</v>
      </c>
      <c r="AD380" s="35">
        <v>21.5</v>
      </c>
      <c r="AE380" s="35">
        <v>20</v>
      </c>
    </row>
    <row r="381" spans="1:31" x14ac:dyDescent="0.35">
      <c r="A381" s="36">
        <v>46059.718055555553</v>
      </c>
      <c r="B381" s="35">
        <v>-21.3</v>
      </c>
      <c r="C381" s="35">
        <v>-25</v>
      </c>
      <c r="D381" s="35">
        <v>-23</v>
      </c>
      <c r="E381" s="35">
        <v>-22</v>
      </c>
      <c r="F381" s="35">
        <v>-19.8</v>
      </c>
      <c r="G381" s="35">
        <v>-23</v>
      </c>
      <c r="H381" s="35">
        <v>-21.3</v>
      </c>
      <c r="I381" s="35">
        <v>-21.6</v>
      </c>
      <c r="J381" s="35">
        <v>-23</v>
      </c>
      <c r="K381" s="35">
        <v>-21.2</v>
      </c>
      <c r="L381" s="35">
        <v>19.7</v>
      </c>
      <c r="M381" s="35">
        <v>-23</v>
      </c>
      <c r="N381" s="35">
        <v>-1.5</v>
      </c>
      <c r="O381" s="35">
        <v>-1.8</v>
      </c>
      <c r="P381" s="35">
        <v>-5</v>
      </c>
      <c r="Q381" s="35">
        <v>-2.2999999999999998</v>
      </c>
      <c r="R381" s="35">
        <v>-3.4</v>
      </c>
      <c r="S381" s="35">
        <v>-5</v>
      </c>
      <c r="T381" s="35">
        <v>10.5</v>
      </c>
      <c r="U381" s="35">
        <v>9</v>
      </c>
      <c r="V381" s="35">
        <v>10.1</v>
      </c>
      <c r="W381" s="35">
        <v>9</v>
      </c>
      <c r="X381" s="35">
        <v>10.1</v>
      </c>
      <c r="Y381" s="35">
        <v>9</v>
      </c>
      <c r="Z381" s="35">
        <v>10.8</v>
      </c>
      <c r="AA381" s="35">
        <v>9</v>
      </c>
      <c r="AB381" s="35">
        <v>21.6</v>
      </c>
      <c r="AC381" s="35">
        <v>20</v>
      </c>
      <c r="AD381" s="35">
        <v>21.5</v>
      </c>
      <c r="AE381" s="35">
        <v>20</v>
      </c>
    </row>
    <row r="382" spans="1:31" x14ac:dyDescent="0.35">
      <c r="A382" s="36">
        <v>46059.71875</v>
      </c>
      <c r="B382" s="35">
        <v>-21.4</v>
      </c>
      <c r="C382" s="35">
        <v>-24</v>
      </c>
      <c r="D382" s="35">
        <v>-23</v>
      </c>
      <c r="E382" s="35">
        <v>-22</v>
      </c>
      <c r="F382" s="35">
        <v>-19.899999999999999</v>
      </c>
      <c r="G382" s="35">
        <v>-23</v>
      </c>
      <c r="H382" s="35">
        <v>-21.3</v>
      </c>
      <c r="I382" s="35">
        <v>-21.6</v>
      </c>
      <c r="J382" s="35">
        <v>-23</v>
      </c>
      <c r="K382" s="35">
        <v>-21.2</v>
      </c>
      <c r="L382" s="35">
        <v>21.1</v>
      </c>
      <c r="M382" s="35">
        <v>-23</v>
      </c>
      <c r="N382" s="35">
        <v>-1.5</v>
      </c>
      <c r="O382" s="35">
        <v>-1.9</v>
      </c>
      <c r="P382" s="35">
        <v>-5</v>
      </c>
      <c r="Q382" s="35">
        <v>-2.2999999999999998</v>
      </c>
      <c r="R382" s="35">
        <v>-3.4</v>
      </c>
      <c r="S382" s="35">
        <v>-5</v>
      </c>
      <c r="T382" s="35">
        <v>10.6</v>
      </c>
      <c r="U382" s="35">
        <v>9</v>
      </c>
      <c r="V382" s="35">
        <v>10.199999999999999</v>
      </c>
      <c r="W382" s="35">
        <v>9</v>
      </c>
      <c r="X382" s="35">
        <v>10</v>
      </c>
      <c r="Y382" s="35">
        <v>9</v>
      </c>
      <c r="Z382" s="35">
        <v>10.8</v>
      </c>
      <c r="AA382" s="35">
        <v>9</v>
      </c>
      <c r="AB382" s="35">
        <v>21.6</v>
      </c>
      <c r="AC382" s="35">
        <v>20</v>
      </c>
      <c r="AD382" s="35">
        <v>21.5</v>
      </c>
      <c r="AE382" s="35">
        <v>20</v>
      </c>
    </row>
    <row r="383" spans="1:31" x14ac:dyDescent="0.35">
      <c r="A383" s="36">
        <v>46059.719444444447</v>
      </c>
      <c r="B383" s="35">
        <v>-21.4</v>
      </c>
      <c r="C383" s="35">
        <v>-23</v>
      </c>
      <c r="D383" s="35">
        <v>-23</v>
      </c>
      <c r="E383" s="35">
        <v>-21.9</v>
      </c>
      <c r="F383" s="35">
        <v>-19.899999999999999</v>
      </c>
      <c r="G383" s="35">
        <v>-23</v>
      </c>
      <c r="H383" s="35">
        <v>-21.3</v>
      </c>
      <c r="I383" s="35">
        <v>-21.9</v>
      </c>
      <c r="J383" s="35">
        <v>-23</v>
      </c>
      <c r="K383" s="35">
        <v>-21.2</v>
      </c>
      <c r="L383" s="35">
        <v>21</v>
      </c>
      <c r="M383" s="35">
        <v>-23</v>
      </c>
      <c r="N383" s="35">
        <v>-1.6</v>
      </c>
      <c r="O383" s="35">
        <v>-2</v>
      </c>
      <c r="P383" s="35">
        <v>-5</v>
      </c>
      <c r="Q383" s="35">
        <v>-2.4</v>
      </c>
      <c r="R383" s="35">
        <v>-3.4</v>
      </c>
      <c r="S383" s="35">
        <v>-5</v>
      </c>
      <c r="T383" s="35">
        <v>10.7</v>
      </c>
      <c r="U383" s="35">
        <v>9</v>
      </c>
      <c r="V383" s="35">
        <v>10.199999999999999</v>
      </c>
      <c r="W383" s="35">
        <v>9</v>
      </c>
      <c r="X383" s="35">
        <v>10</v>
      </c>
      <c r="Y383" s="35">
        <v>9</v>
      </c>
      <c r="Z383" s="35">
        <v>10.8</v>
      </c>
      <c r="AA383" s="35">
        <v>9</v>
      </c>
      <c r="AB383" s="35">
        <v>21.6</v>
      </c>
      <c r="AC383" s="35">
        <v>20</v>
      </c>
      <c r="AD383" s="35">
        <v>21.5</v>
      </c>
      <c r="AE383" s="35">
        <v>20</v>
      </c>
    </row>
    <row r="384" spans="1:31" x14ac:dyDescent="0.35">
      <c r="A384" s="36">
        <v>46059.720138888886</v>
      </c>
      <c r="B384" s="35">
        <v>-21.4</v>
      </c>
      <c r="C384" s="35">
        <v>-22.4</v>
      </c>
      <c r="D384" s="35">
        <v>-23</v>
      </c>
      <c r="E384" s="35">
        <v>-21.7</v>
      </c>
      <c r="F384" s="35">
        <v>-20</v>
      </c>
      <c r="G384" s="35">
        <v>-23</v>
      </c>
      <c r="H384" s="35">
        <v>-21.3</v>
      </c>
      <c r="I384" s="35">
        <v>-21.9</v>
      </c>
      <c r="J384" s="35">
        <v>-23</v>
      </c>
      <c r="K384" s="35">
        <v>-21.2</v>
      </c>
      <c r="L384" s="35">
        <v>22.3</v>
      </c>
      <c r="M384" s="35">
        <v>-23</v>
      </c>
      <c r="N384" s="35">
        <v>-1.7</v>
      </c>
      <c r="O384" s="35">
        <v>-2</v>
      </c>
      <c r="P384" s="35">
        <v>-5</v>
      </c>
      <c r="Q384" s="35">
        <v>-2.4</v>
      </c>
      <c r="R384" s="35">
        <v>-3.4</v>
      </c>
      <c r="S384" s="35">
        <v>-5</v>
      </c>
      <c r="T384" s="35">
        <v>10.8</v>
      </c>
      <c r="U384" s="35">
        <v>9</v>
      </c>
      <c r="V384" s="35">
        <v>10.3</v>
      </c>
      <c r="W384" s="35">
        <v>9</v>
      </c>
      <c r="X384" s="35">
        <v>10</v>
      </c>
      <c r="Y384" s="35">
        <v>9</v>
      </c>
      <c r="Z384" s="35">
        <v>10.8</v>
      </c>
      <c r="AA384" s="35">
        <v>9</v>
      </c>
      <c r="AB384" s="35">
        <v>21.6</v>
      </c>
      <c r="AC384" s="35">
        <v>20</v>
      </c>
      <c r="AD384" s="35">
        <v>21.5</v>
      </c>
      <c r="AE384" s="35">
        <v>20</v>
      </c>
    </row>
    <row r="385" spans="1:31" x14ac:dyDescent="0.35">
      <c r="A385" s="36">
        <v>46059.720833333333</v>
      </c>
      <c r="B385" s="35">
        <v>-21.3</v>
      </c>
      <c r="C385" s="35">
        <v>-22</v>
      </c>
      <c r="D385" s="35">
        <v>-23</v>
      </c>
      <c r="E385" s="35">
        <v>-21.6</v>
      </c>
      <c r="F385" s="35">
        <v>-20</v>
      </c>
      <c r="G385" s="35">
        <v>-23</v>
      </c>
      <c r="H385" s="35">
        <v>-21.3</v>
      </c>
      <c r="I385" s="35">
        <v>-21.9</v>
      </c>
      <c r="J385" s="35">
        <v>-23</v>
      </c>
      <c r="K385" s="35">
        <v>-21.2</v>
      </c>
      <c r="L385" s="35">
        <v>23.4</v>
      </c>
      <c r="M385" s="35">
        <v>-23</v>
      </c>
      <c r="N385" s="35">
        <v>-1.7</v>
      </c>
      <c r="O385" s="35">
        <v>-2.1</v>
      </c>
      <c r="P385" s="35">
        <v>-5</v>
      </c>
      <c r="Q385" s="35">
        <v>-2.5</v>
      </c>
      <c r="R385" s="35">
        <v>-3.4</v>
      </c>
      <c r="S385" s="35">
        <v>-5</v>
      </c>
      <c r="T385" s="35">
        <v>10.8</v>
      </c>
      <c r="U385" s="35">
        <v>9</v>
      </c>
      <c r="V385" s="35">
        <v>10.3</v>
      </c>
      <c r="W385" s="35">
        <v>9</v>
      </c>
      <c r="X385" s="35">
        <v>10</v>
      </c>
      <c r="Y385" s="35">
        <v>9</v>
      </c>
      <c r="Z385" s="35">
        <v>10.8</v>
      </c>
      <c r="AA385" s="35">
        <v>9</v>
      </c>
      <c r="AB385" s="35">
        <v>21.6</v>
      </c>
      <c r="AC385" s="35">
        <v>20</v>
      </c>
      <c r="AD385" s="35">
        <v>21.5</v>
      </c>
      <c r="AE385" s="35">
        <v>20</v>
      </c>
    </row>
    <row r="386" spans="1:31" x14ac:dyDescent="0.35">
      <c r="A386" s="36">
        <v>46059.72152777778</v>
      </c>
      <c r="B386" s="35">
        <v>-21.3</v>
      </c>
      <c r="C386" s="35">
        <v>-21.8</v>
      </c>
      <c r="D386" s="35">
        <v>-23</v>
      </c>
      <c r="E386" s="35">
        <v>-21.6</v>
      </c>
      <c r="F386" s="35">
        <v>-20.100000000000001</v>
      </c>
      <c r="G386" s="35">
        <v>-23</v>
      </c>
      <c r="H386" s="35">
        <v>-21.2</v>
      </c>
      <c r="I386" s="35">
        <v>-21.8</v>
      </c>
      <c r="J386" s="35">
        <v>-23</v>
      </c>
      <c r="K386" s="35">
        <v>-21.2</v>
      </c>
      <c r="L386" s="35">
        <v>26.6</v>
      </c>
      <c r="M386" s="35">
        <v>-23</v>
      </c>
      <c r="N386" s="35">
        <v>-1.8</v>
      </c>
      <c r="O386" s="35">
        <v>-2.2000000000000002</v>
      </c>
      <c r="P386" s="35">
        <v>-5</v>
      </c>
      <c r="Q386" s="35">
        <v>-2.5</v>
      </c>
      <c r="R386" s="35">
        <v>-3.5</v>
      </c>
      <c r="S386" s="35">
        <v>-5</v>
      </c>
      <c r="T386" s="35">
        <v>10.9</v>
      </c>
      <c r="U386" s="35">
        <v>9</v>
      </c>
      <c r="V386" s="35">
        <v>10.4</v>
      </c>
      <c r="W386" s="35">
        <v>9</v>
      </c>
      <c r="X386" s="35">
        <v>10</v>
      </c>
      <c r="Y386" s="35">
        <v>9</v>
      </c>
      <c r="Z386" s="35">
        <v>10.8</v>
      </c>
      <c r="AA386" s="35">
        <v>9</v>
      </c>
      <c r="AB386" s="35">
        <v>21.6</v>
      </c>
      <c r="AC386" s="35">
        <v>20</v>
      </c>
      <c r="AD386" s="35">
        <v>21.5</v>
      </c>
      <c r="AE386" s="35">
        <v>20</v>
      </c>
    </row>
    <row r="387" spans="1:31" x14ac:dyDescent="0.35">
      <c r="A387" s="36">
        <v>46059.722222222219</v>
      </c>
      <c r="B387" s="35">
        <v>-21.3</v>
      </c>
      <c r="C387" s="35">
        <v>-21.8</v>
      </c>
      <c r="D387" s="35">
        <v>-23</v>
      </c>
      <c r="E387" s="35">
        <v>-21.7</v>
      </c>
      <c r="F387" s="35">
        <v>-20.2</v>
      </c>
      <c r="G387" s="35">
        <v>-23</v>
      </c>
      <c r="H387" s="35">
        <v>-21.1</v>
      </c>
      <c r="I387" s="35">
        <v>-21.7</v>
      </c>
      <c r="J387" s="35">
        <v>-23</v>
      </c>
      <c r="K387" s="35">
        <v>-21.2</v>
      </c>
      <c r="L387" s="35">
        <v>27.7</v>
      </c>
      <c r="M387" s="35">
        <v>-23</v>
      </c>
      <c r="N387" s="35">
        <v>-1.9</v>
      </c>
      <c r="O387" s="35">
        <v>-2.2000000000000002</v>
      </c>
      <c r="P387" s="35">
        <v>-5</v>
      </c>
      <c r="Q387" s="35">
        <v>-2.5</v>
      </c>
      <c r="R387" s="35">
        <v>-3.5</v>
      </c>
      <c r="S387" s="35">
        <v>-5</v>
      </c>
      <c r="T387" s="35">
        <v>11</v>
      </c>
      <c r="U387" s="35">
        <v>9</v>
      </c>
      <c r="V387" s="35">
        <v>10.5</v>
      </c>
      <c r="W387" s="35">
        <v>9</v>
      </c>
      <c r="X387" s="35">
        <v>10</v>
      </c>
      <c r="Y387" s="35">
        <v>9</v>
      </c>
      <c r="Z387" s="35">
        <v>10.8</v>
      </c>
      <c r="AA387" s="35">
        <v>9</v>
      </c>
      <c r="AB387" s="35">
        <v>21.6</v>
      </c>
      <c r="AC387" s="35">
        <v>20</v>
      </c>
      <c r="AD387" s="35">
        <v>21.5</v>
      </c>
      <c r="AE387" s="35">
        <v>20</v>
      </c>
    </row>
    <row r="388" spans="1:31" x14ac:dyDescent="0.35">
      <c r="A388" s="36">
        <v>46059.722916666666</v>
      </c>
      <c r="B388" s="35">
        <v>-21.3</v>
      </c>
      <c r="C388" s="35">
        <v>-23.7</v>
      </c>
      <c r="D388" s="35">
        <v>-23</v>
      </c>
      <c r="E388" s="35">
        <v>-22</v>
      </c>
      <c r="F388" s="35">
        <v>-20.3</v>
      </c>
      <c r="G388" s="35">
        <v>-23</v>
      </c>
      <c r="H388" s="35">
        <v>-21</v>
      </c>
      <c r="I388" s="35">
        <v>-21.4</v>
      </c>
      <c r="J388" s="35">
        <v>-23</v>
      </c>
      <c r="K388" s="35">
        <v>-21.2</v>
      </c>
      <c r="L388" s="35">
        <v>26.5</v>
      </c>
      <c r="M388" s="35">
        <v>-23</v>
      </c>
      <c r="N388" s="35">
        <v>-1.9</v>
      </c>
      <c r="O388" s="35">
        <v>-2.2999999999999998</v>
      </c>
      <c r="P388" s="35">
        <v>-5</v>
      </c>
      <c r="Q388" s="35">
        <v>-2.6</v>
      </c>
      <c r="R388" s="35">
        <v>-3.6</v>
      </c>
      <c r="S388" s="35">
        <v>-5</v>
      </c>
      <c r="T388" s="35">
        <v>10.9</v>
      </c>
      <c r="U388" s="35">
        <v>9</v>
      </c>
      <c r="V388" s="35">
        <v>10.5</v>
      </c>
      <c r="W388" s="35">
        <v>9</v>
      </c>
      <c r="X388" s="35">
        <v>10.199999999999999</v>
      </c>
      <c r="Y388" s="35">
        <v>9</v>
      </c>
      <c r="Z388" s="35">
        <v>10.8</v>
      </c>
      <c r="AA388" s="35">
        <v>9</v>
      </c>
      <c r="AB388" s="35">
        <v>21.6</v>
      </c>
      <c r="AC388" s="35">
        <v>20</v>
      </c>
      <c r="AD388" s="35">
        <v>21.5</v>
      </c>
      <c r="AE388" s="35">
        <v>20</v>
      </c>
    </row>
    <row r="389" spans="1:31" x14ac:dyDescent="0.35">
      <c r="A389" s="36">
        <v>46059.723611111112</v>
      </c>
      <c r="B389" s="35">
        <v>-21.4</v>
      </c>
      <c r="C389" s="35">
        <v>-25.8</v>
      </c>
      <c r="D389" s="35">
        <v>-23</v>
      </c>
      <c r="E389" s="35">
        <v>-22.3</v>
      </c>
      <c r="F389" s="35">
        <v>-20.5</v>
      </c>
      <c r="G389" s="35">
        <v>-23</v>
      </c>
      <c r="H389" s="35">
        <v>-20.7</v>
      </c>
      <c r="I389" s="35">
        <v>-21</v>
      </c>
      <c r="J389" s="35">
        <v>-23</v>
      </c>
      <c r="K389" s="35">
        <v>-21.2</v>
      </c>
      <c r="L389" s="35">
        <v>26.7</v>
      </c>
      <c r="M389" s="35">
        <v>-23</v>
      </c>
      <c r="N389" s="35">
        <v>-1.9</v>
      </c>
      <c r="O389" s="35">
        <v>-2.4</v>
      </c>
      <c r="P389" s="35">
        <v>-5</v>
      </c>
      <c r="Q389" s="35">
        <v>-2.7</v>
      </c>
      <c r="R389" s="35">
        <v>-3.7</v>
      </c>
      <c r="S389" s="35">
        <v>-5</v>
      </c>
      <c r="T389" s="35">
        <v>10.4</v>
      </c>
      <c r="U389" s="35">
        <v>9</v>
      </c>
      <c r="V389" s="35">
        <v>10.5</v>
      </c>
      <c r="W389" s="35">
        <v>9</v>
      </c>
      <c r="X389" s="35">
        <v>10.4</v>
      </c>
      <c r="Y389" s="35">
        <v>9</v>
      </c>
      <c r="Z389" s="35">
        <v>10.8</v>
      </c>
      <c r="AA389" s="35">
        <v>9</v>
      </c>
      <c r="AB389" s="35">
        <v>21.6</v>
      </c>
      <c r="AC389" s="35">
        <v>20</v>
      </c>
      <c r="AD389" s="35">
        <v>21.5</v>
      </c>
      <c r="AE389" s="35">
        <v>20</v>
      </c>
    </row>
    <row r="390" spans="1:31" x14ac:dyDescent="0.35">
      <c r="A390" s="36">
        <v>46059.724305555559</v>
      </c>
      <c r="B390" s="35">
        <v>-21.6</v>
      </c>
      <c r="C390" s="35">
        <v>-25.1</v>
      </c>
      <c r="D390" s="35">
        <v>-23</v>
      </c>
      <c r="E390" s="35">
        <v>-22.4</v>
      </c>
      <c r="F390" s="35">
        <v>-20.6</v>
      </c>
      <c r="G390" s="35">
        <v>-23</v>
      </c>
      <c r="H390" s="35">
        <v>-20.5</v>
      </c>
      <c r="I390" s="35">
        <v>-21</v>
      </c>
      <c r="J390" s="35">
        <v>-23</v>
      </c>
      <c r="K390" s="35">
        <v>-21.2</v>
      </c>
      <c r="L390" s="35">
        <v>28.1</v>
      </c>
      <c r="M390" s="35">
        <v>-23</v>
      </c>
      <c r="N390" s="35">
        <v>-2</v>
      </c>
      <c r="O390" s="35">
        <v>-2.4</v>
      </c>
      <c r="P390" s="35">
        <v>-5</v>
      </c>
      <c r="Q390" s="35">
        <v>-2.7</v>
      </c>
      <c r="R390" s="35">
        <v>-3.7</v>
      </c>
      <c r="S390" s="35">
        <v>-5</v>
      </c>
      <c r="T390" s="35">
        <v>10</v>
      </c>
      <c r="U390" s="35">
        <v>9</v>
      </c>
      <c r="V390" s="35">
        <v>10.5</v>
      </c>
      <c r="W390" s="35">
        <v>9</v>
      </c>
      <c r="X390" s="35">
        <v>10.5</v>
      </c>
      <c r="Y390" s="35">
        <v>9</v>
      </c>
      <c r="Z390" s="35">
        <v>10.8</v>
      </c>
      <c r="AA390" s="35">
        <v>9</v>
      </c>
      <c r="AB390" s="35">
        <v>21.6</v>
      </c>
      <c r="AC390" s="35">
        <v>20</v>
      </c>
      <c r="AD390" s="35">
        <v>21.5</v>
      </c>
      <c r="AE390" s="35">
        <v>20</v>
      </c>
    </row>
    <row r="391" spans="1:31" x14ac:dyDescent="0.35">
      <c r="A391" s="36">
        <v>46059.724999999999</v>
      </c>
      <c r="B391" s="35">
        <v>-21.7</v>
      </c>
      <c r="C391" s="35">
        <v>-23.9</v>
      </c>
      <c r="D391" s="35">
        <v>-23</v>
      </c>
      <c r="E391" s="35">
        <v>-22.4</v>
      </c>
      <c r="F391" s="35">
        <v>-20.6</v>
      </c>
      <c r="G391" s="35">
        <v>-23</v>
      </c>
      <c r="H391" s="35">
        <v>-20.5</v>
      </c>
      <c r="I391" s="35">
        <v>-21.2</v>
      </c>
      <c r="J391" s="35">
        <v>-23</v>
      </c>
      <c r="K391" s="35">
        <v>-21.2</v>
      </c>
      <c r="L391" s="35">
        <v>28.1</v>
      </c>
      <c r="M391" s="35">
        <v>-23</v>
      </c>
      <c r="N391" s="35">
        <v>-2</v>
      </c>
      <c r="O391" s="35">
        <v>-2.5</v>
      </c>
      <c r="P391" s="35">
        <v>-5</v>
      </c>
      <c r="Q391" s="35">
        <v>-2.7</v>
      </c>
      <c r="R391" s="35">
        <v>-3.7</v>
      </c>
      <c r="S391" s="35">
        <v>-5</v>
      </c>
      <c r="T391" s="35">
        <v>9.5</v>
      </c>
      <c r="U391" s="35">
        <v>9</v>
      </c>
      <c r="V391" s="35">
        <v>10.3</v>
      </c>
      <c r="W391" s="35">
        <v>9</v>
      </c>
      <c r="X391" s="35">
        <v>10.5</v>
      </c>
      <c r="Y391" s="35">
        <v>9</v>
      </c>
      <c r="Z391" s="35">
        <v>10.8</v>
      </c>
      <c r="AA391" s="35">
        <v>9</v>
      </c>
      <c r="AB391" s="35">
        <v>21.6</v>
      </c>
      <c r="AC391" s="35">
        <v>20</v>
      </c>
      <c r="AD391" s="35">
        <v>21.5</v>
      </c>
      <c r="AE391" s="35">
        <v>20</v>
      </c>
    </row>
    <row r="392" spans="1:31" x14ac:dyDescent="0.35">
      <c r="A392" s="36">
        <v>46059.725694444445</v>
      </c>
      <c r="B392" s="35">
        <v>-21.7</v>
      </c>
      <c r="C392" s="35">
        <v>-23.1</v>
      </c>
      <c r="D392" s="35">
        <v>-23</v>
      </c>
      <c r="E392" s="35">
        <v>-22.2</v>
      </c>
      <c r="F392" s="35">
        <v>-20.6</v>
      </c>
      <c r="G392" s="35">
        <v>-23</v>
      </c>
      <c r="H392" s="35">
        <v>-20.5</v>
      </c>
      <c r="I392" s="35">
        <v>-21.3</v>
      </c>
      <c r="J392" s="35">
        <v>-23</v>
      </c>
      <c r="K392" s="35">
        <v>-21.2</v>
      </c>
      <c r="L392" s="35">
        <v>27.8</v>
      </c>
      <c r="M392" s="35">
        <v>-23</v>
      </c>
      <c r="N392" s="35">
        <v>-2</v>
      </c>
      <c r="O392" s="35">
        <v>-2.6</v>
      </c>
      <c r="P392" s="35">
        <v>-5</v>
      </c>
      <c r="Q392" s="35">
        <v>-2.7</v>
      </c>
      <c r="R392" s="35">
        <v>-3.7</v>
      </c>
      <c r="S392" s="35">
        <v>-5</v>
      </c>
      <c r="T392" s="35">
        <v>9.1</v>
      </c>
      <c r="U392" s="35">
        <v>9</v>
      </c>
      <c r="V392" s="35">
        <v>10.199999999999999</v>
      </c>
      <c r="W392" s="35">
        <v>9</v>
      </c>
      <c r="X392" s="35">
        <v>10.5</v>
      </c>
      <c r="Y392" s="35">
        <v>9</v>
      </c>
      <c r="Z392" s="35">
        <v>10.8</v>
      </c>
      <c r="AA392" s="35">
        <v>9</v>
      </c>
      <c r="AB392" s="35">
        <v>21.6</v>
      </c>
      <c r="AC392" s="35">
        <v>20</v>
      </c>
      <c r="AD392" s="35">
        <v>21.5</v>
      </c>
      <c r="AE392" s="35">
        <v>20</v>
      </c>
    </row>
    <row r="393" spans="1:31" x14ac:dyDescent="0.35">
      <c r="A393" s="36">
        <v>46059.726388888892</v>
      </c>
      <c r="B393" s="35">
        <v>-21.7</v>
      </c>
      <c r="C393" s="35">
        <v>-22.6</v>
      </c>
      <c r="D393" s="35">
        <v>-23</v>
      </c>
      <c r="E393" s="35">
        <v>-22</v>
      </c>
      <c r="F393" s="35">
        <v>-20.7</v>
      </c>
      <c r="G393" s="35">
        <v>-23</v>
      </c>
      <c r="H393" s="35">
        <v>-20.5</v>
      </c>
      <c r="I393" s="35">
        <v>-21.3</v>
      </c>
      <c r="J393" s="35">
        <v>-23</v>
      </c>
      <c r="K393" s="35">
        <v>-21.2</v>
      </c>
      <c r="L393" s="35">
        <v>28.5</v>
      </c>
      <c r="M393" s="35">
        <v>-23</v>
      </c>
      <c r="N393" s="35">
        <v>-2.1</v>
      </c>
      <c r="O393" s="35">
        <v>-2.6</v>
      </c>
      <c r="P393" s="35">
        <v>-5</v>
      </c>
      <c r="Q393" s="35">
        <v>-2.7</v>
      </c>
      <c r="R393" s="35">
        <v>-3.7</v>
      </c>
      <c r="S393" s="35">
        <v>-5</v>
      </c>
      <c r="T393" s="35">
        <v>8.8000000000000007</v>
      </c>
      <c r="U393" s="35">
        <v>9</v>
      </c>
      <c r="V393" s="35">
        <v>10</v>
      </c>
      <c r="W393" s="35">
        <v>9</v>
      </c>
      <c r="X393" s="35">
        <v>10.5</v>
      </c>
      <c r="Y393" s="35">
        <v>9</v>
      </c>
      <c r="Z393" s="35">
        <v>10.9</v>
      </c>
      <c r="AA393" s="35">
        <v>9</v>
      </c>
      <c r="AB393" s="35">
        <v>21.6</v>
      </c>
      <c r="AC393" s="35">
        <v>20</v>
      </c>
      <c r="AD393" s="35">
        <v>21.5</v>
      </c>
      <c r="AE393" s="35">
        <v>20</v>
      </c>
    </row>
    <row r="394" spans="1:31" x14ac:dyDescent="0.35">
      <c r="A394" s="36">
        <v>46059.727083333331</v>
      </c>
      <c r="B394" s="35">
        <v>-21.6</v>
      </c>
      <c r="C394" s="35">
        <v>-22.4</v>
      </c>
      <c r="D394" s="35">
        <v>-23</v>
      </c>
      <c r="E394" s="35">
        <v>-22</v>
      </c>
      <c r="F394" s="35">
        <v>-20.7</v>
      </c>
      <c r="G394" s="35">
        <v>-23</v>
      </c>
      <c r="H394" s="35">
        <v>-20.5</v>
      </c>
      <c r="I394" s="35">
        <v>-21.2</v>
      </c>
      <c r="J394" s="35">
        <v>-23</v>
      </c>
      <c r="K394" s="35">
        <v>-21.2</v>
      </c>
      <c r="L394" s="35">
        <v>28.5</v>
      </c>
      <c r="M394" s="35">
        <v>-23</v>
      </c>
      <c r="N394" s="35">
        <v>-2.2000000000000002</v>
      </c>
      <c r="O394" s="35">
        <v>-2.7</v>
      </c>
      <c r="P394" s="35">
        <v>-5</v>
      </c>
      <c r="Q394" s="35">
        <v>-2.7</v>
      </c>
      <c r="R394" s="35">
        <v>-3.7</v>
      </c>
      <c r="S394" s="35">
        <v>-5</v>
      </c>
      <c r="T394" s="35">
        <v>8.6999999999999993</v>
      </c>
      <c r="U394" s="35">
        <v>9</v>
      </c>
      <c r="V394" s="35">
        <v>9.8000000000000007</v>
      </c>
      <c r="W394" s="35">
        <v>9</v>
      </c>
      <c r="X394" s="35">
        <v>10.199999999999999</v>
      </c>
      <c r="Y394" s="35">
        <v>9</v>
      </c>
      <c r="Z394" s="35">
        <v>10.9</v>
      </c>
      <c r="AA394" s="35">
        <v>9</v>
      </c>
      <c r="AB394" s="35">
        <v>21.6</v>
      </c>
      <c r="AC394" s="35">
        <v>20</v>
      </c>
      <c r="AD394" s="35">
        <v>21.5</v>
      </c>
      <c r="AE394" s="35">
        <v>20</v>
      </c>
    </row>
    <row r="395" spans="1:31" x14ac:dyDescent="0.35">
      <c r="A395" s="36">
        <v>46059.727777777778</v>
      </c>
      <c r="B395" s="35">
        <v>-21.6</v>
      </c>
      <c r="C395" s="35">
        <v>-22.5</v>
      </c>
      <c r="D395" s="35">
        <v>-23</v>
      </c>
      <c r="E395" s="35">
        <v>-22.2</v>
      </c>
      <c r="F395" s="35">
        <v>-20.8</v>
      </c>
      <c r="G395" s="35">
        <v>-23</v>
      </c>
      <c r="H395" s="35">
        <v>-20.5</v>
      </c>
      <c r="I395" s="35">
        <v>-21</v>
      </c>
      <c r="J395" s="35">
        <v>-23</v>
      </c>
      <c r="K395" s="35">
        <v>-21.2</v>
      </c>
      <c r="L395" s="35">
        <v>29</v>
      </c>
      <c r="M395" s="35">
        <v>-23</v>
      </c>
      <c r="N395" s="35">
        <v>-2.2000000000000002</v>
      </c>
      <c r="O395" s="35">
        <v>-2.8</v>
      </c>
      <c r="P395" s="35">
        <v>-5</v>
      </c>
      <c r="Q395" s="35">
        <v>-2.7</v>
      </c>
      <c r="R395" s="35">
        <v>-3.8</v>
      </c>
      <c r="S395" s="35">
        <v>-5</v>
      </c>
      <c r="T395" s="35">
        <v>8.9</v>
      </c>
      <c r="U395" s="35">
        <v>9</v>
      </c>
      <c r="V395" s="35">
        <v>9.8000000000000007</v>
      </c>
      <c r="W395" s="35">
        <v>9</v>
      </c>
      <c r="X395" s="35">
        <v>10.199999999999999</v>
      </c>
      <c r="Y395" s="35">
        <v>9</v>
      </c>
      <c r="Z395" s="35">
        <v>10.9</v>
      </c>
      <c r="AA395" s="35">
        <v>9</v>
      </c>
      <c r="AB395" s="35">
        <v>21.6</v>
      </c>
      <c r="AC395" s="35">
        <v>20</v>
      </c>
      <c r="AD395" s="35">
        <v>21.5</v>
      </c>
      <c r="AE395" s="35">
        <v>20</v>
      </c>
    </row>
    <row r="396" spans="1:31" x14ac:dyDescent="0.35">
      <c r="A396" s="36">
        <v>46059.728472222225</v>
      </c>
      <c r="B396" s="35">
        <v>-21.6</v>
      </c>
      <c r="C396" s="35">
        <v>-24.9</v>
      </c>
      <c r="D396" s="35">
        <v>-23</v>
      </c>
      <c r="E396" s="35">
        <v>-22.5</v>
      </c>
      <c r="F396" s="35">
        <v>-20.9</v>
      </c>
      <c r="G396" s="35">
        <v>-23</v>
      </c>
      <c r="H396" s="35">
        <v>-20.3</v>
      </c>
      <c r="I396" s="35">
        <v>-20.7</v>
      </c>
      <c r="J396" s="35">
        <v>-23</v>
      </c>
      <c r="K396" s="35">
        <v>-21.2</v>
      </c>
      <c r="L396" s="35">
        <v>28.1</v>
      </c>
      <c r="M396" s="35">
        <v>-23</v>
      </c>
      <c r="N396" s="35">
        <v>-2.2000000000000002</v>
      </c>
      <c r="O396" s="35">
        <v>-2.8</v>
      </c>
      <c r="P396" s="35">
        <v>-5</v>
      </c>
      <c r="Q396" s="35">
        <v>-2.9</v>
      </c>
      <c r="R396" s="35">
        <v>-3.9</v>
      </c>
      <c r="S396" s="35">
        <v>-5</v>
      </c>
      <c r="T396" s="35">
        <v>9.1999999999999993</v>
      </c>
      <c r="U396" s="35">
        <v>9</v>
      </c>
      <c r="V396" s="35">
        <v>9.8000000000000007</v>
      </c>
      <c r="W396" s="35">
        <v>9</v>
      </c>
      <c r="X396" s="35">
        <v>10.199999999999999</v>
      </c>
      <c r="Y396" s="35">
        <v>9</v>
      </c>
      <c r="Z396" s="35">
        <v>10.9</v>
      </c>
      <c r="AA396" s="35">
        <v>9</v>
      </c>
      <c r="AB396" s="35">
        <v>21.6</v>
      </c>
      <c r="AC396" s="35">
        <v>20</v>
      </c>
      <c r="AD396" s="35">
        <v>21.5</v>
      </c>
      <c r="AE396" s="35">
        <v>20</v>
      </c>
    </row>
    <row r="397" spans="1:31" x14ac:dyDescent="0.35">
      <c r="A397" s="36">
        <v>46059.729166666664</v>
      </c>
      <c r="B397" s="35">
        <v>-21.8</v>
      </c>
      <c r="C397" s="35">
        <v>-26.4</v>
      </c>
      <c r="D397" s="35">
        <v>-23</v>
      </c>
      <c r="E397" s="35">
        <v>-22.7</v>
      </c>
      <c r="F397" s="35">
        <v>-21.1</v>
      </c>
      <c r="G397" s="35">
        <v>-23</v>
      </c>
      <c r="H397" s="35">
        <v>-20.2</v>
      </c>
      <c r="I397" s="35">
        <v>-20.5</v>
      </c>
      <c r="J397" s="35">
        <v>-23</v>
      </c>
      <c r="K397" s="35">
        <v>-5.9</v>
      </c>
      <c r="L397" s="35">
        <v>26.5</v>
      </c>
      <c r="M397" s="35">
        <v>-23</v>
      </c>
      <c r="N397" s="35">
        <v>-2.2999999999999998</v>
      </c>
      <c r="O397" s="35">
        <v>-2.8</v>
      </c>
      <c r="P397" s="35">
        <v>-5</v>
      </c>
      <c r="Q397" s="35">
        <v>-2.9</v>
      </c>
      <c r="R397" s="35">
        <v>-3.9</v>
      </c>
      <c r="S397" s="35">
        <v>-5</v>
      </c>
      <c r="T397" s="35">
        <v>9.4</v>
      </c>
      <c r="U397" s="35">
        <v>9</v>
      </c>
      <c r="V397" s="35">
        <v>9.8000000000000007</v>
      </c>
      <c r="W397" s="35">
        <v>9</v>
      </c>
      <c r="X397" s="35">
        <v>10.199999999999999</v>
      </c>
      <c r="Y397" s="35">
        <v>9</v>
      </c>
      <c r="Z397" s="35">
        <v>10.9</v>
      </c>
      <c r="AA397" s="35">
        <v>9</v>
      </c>
      <c r="AB397" s="35">
        <v>21.6</v>
      </c>
      <c r="AC397" s="35">
        <v>20</v>
      </c>
      <c r="AD397" s="35">
        <v>21.5</v>
      </c>
      <c r="AE397" s="35">
        <v>20</v>
      </c>
    </row>
    <row r="398" spans="1:31" x14ac:dyDescent="0.35">
      <c r="A398" s="36">
        <v>46059.729861111111</v>
      </c>
      <c r="B398" s="35">
        <v>-21.9</v>
      </c>
      <c r="C398" s="35">
        <v>-25.2</v>
      </c>
      <c r="D398" s="35">
        <v>-23</v>
      </c>
      <c r="E398" s="35">
        <v>-22.8</v>
      </c>
      <c r="F398" s="35">
        <v>-21.1</v>
      </c>
      <c r="G398" s="35">
        <v>-23</v>
      </c>
      <c r="H398" s="35">
        <v>-20.100000000000001</v>
      </c>
      <c r="I398" s="35">
        <v>-20.5</v>
      </c>
      <c r="J398" s="35">
        <v>-23</v>
      </c>
      <c r="K398" s="35">
        <v>-10.8</v>
      </c>
      <c r="L398" s="35">
        <v>25.5</v>
      </c>
      <c r="M398" s="35">
        <v>-23</v>
      </c>
      <c r="N398" s="35">
        <v>-2.2999999999999998</v>
      </c>
      <c r="O398" s="35">
        <v>-2.9</v>
      </c>
      <c r="P398" s="35">
        <v>-5</v>
      </c>
      <c r="Q398" s="35">
        <v>-2.9</v>
      </c>
      <c r="R398" s="35">
        <v>-3.9</v>
      </c>
      <c r="S398" s="35">
        <v>-5</v>
      </c>
      <c r="T398" s="35">
        <v>9.6999999999999993</v>
      </c>
      <c r="U398" s="35">
        <v>9</v>
      </c>
      <c r="V398" s="35">
        <v>9.8000000000000007</v>
      </c>
      <c r="W398" s="35">
        <v>9</v>
      </c>
      <c r="X398" s="35">
        <v>10.199999999999999</v>
      </c>
      <c r="Y398" s="35">
        <v>9</v>
      </c>
      <c r="Z398" s="35">
        <v>10.9</v>
      </c>
      <c r="AA398" s="35">
        <v>9</v>
      </c>
      <c r="AB398" s="35">
        <v>21.6</v>
      </c>
      <c r="AC398" s="35">
        <v>20</v>
      </c>
      <c r="AD398" s="35">
        <v>21.5</v>
      </c>
      <c r="AE398" s="35">
        <v>20</v>
      </c>
    </row>
    <row r="399" spans="1:31" x14ac:dyDescent="0.35">
      <c r="A399" s="36">
        <v>46059.730555555558</v>
      </c>
      <c r="B399" s="35">
        <v>-21.9</v>
      </c>
      <c r="C399" s="35">
        <v>-24.1</v>
      </c>
      <c r="D399" s="35">
        <v>-23</v>
      </c>
      <c r="E399" s="35">
        <v>-22.5</v>
      </c>
      <c r="F399" s="35">
        <v>-21.1</v>
      </c>
      <c r="G399" s="35">
        <v>-23</v>
      </c>
      <c r="H399" s="35">
        <v>-20.100000000000001</v>
      </c>
      <c r="I399" s="35">
        <v>-20.9</v>
      </c>
      <c r="J399" s="35">
        <v>-23</v>
      </c>
      <c r="K399" s="35">
        <v>-13.4</v>
      </c>
      <c r="L399" s="35">
        <v>24.2</v>
      </c>
      <c r="M399" s="35">
        <v>-23</v>
      </c>
      <c r="N399" s="35">
        <v>-2.2999999999999998</v>
      </c>
      <c r="O399" s="35">
        <v>-2.9</v>
      </c>
      <c r="P399" s="35">
        <v>-5</v>
      </c>
      <c r="Q399" s="35">
        <v>-2.9</v>
      </c>
      <c r="R399" s="35">
        <v>-3.9</v>
      </c>
      <c r="S399" s="35">
        <v>-5</v>
      </c>
      <c r="T399" s="35">
        <v>9.9</v>
      </c>
      <c r="U399" s="35">
        <v>9</v>
      </c>
      <c r="V399" s="35">
        <v>9.8000000000000007</v>
      </c>
      <c r="W399" s="35">
        <v>9</v>
      </c>
      <c r="X399" s="35">
        <v>10.199999999999999</v>
      </c>
      <c r="Y399" s="35">
        <v>9</v>
      </c>
      <c r="Z399" s="35">
        <v>10.9</v>
      </c>
      <c r="AA399" s="35">
        <v>9</v>
      </c>
      <c r="AB399" s="35">
        <v>21.6</v>
      </c>
      <c r="AC399" s="35">
        <v>20</v>
      </c>
      <c r="AD399" s="35">
        <v>21.5</v>
      </c>
      <c r="AE399" s="35">
        <v>20</v>
      </c>
    </row>
    <row r="400" spans="1:31" x14ac:dyDescent="0.35">
      <c r="A400" s="36">
        <v>46059.731249999997</v>
      </c>
      <c r="B400" s="35">
        <v>-21.9</v>
      </c>
      <c r="C400" s="35">
        <v>-23.3</v>
      </c>
      <c r="D400" s="35">
        <v>-23</v>
      </c>
      <c r="E400" s="35">
        <v>-22.3</v>
      </c>
      <c r="F400" s="35">
        <v>-21.1</v>
      </c>
      <c r="G400" s="35">
        <v>-23</v>
      </c>
      <c r="H400" s="35">
        <v>-20.100000000000001</v>
      </c>
      <c r="I400" s="35">
        <v>-20.9</v>
      </c>
      <c r="J400" s="35">
        <v>-23</v>
      </c>
      <c r="K400" s="35">
        <v>-13.4</v>
      </c>
      <c r="L400" s="35">
        <v>21.2</v>
      </c>
      <c r="M400" s="35">
        <v>-23</v>
      </c>
      <c r="N400" s="35">
        <v>-2.4</v>
      </c>
      <c r="O400" s="35">
        <v>-3</v>
      </c>
      <c r="P400" s="35">
        <v>-5</v>
      </c>
      <c r="Q400" s="35">
        <v>-2.9</v>
      </c>
      <c r="R400" s="35">
        <v>-3.9</v>
      </c>
      <c r="S400" s="35">
        <v>-5</v>
      </c>
      <c r="T400" s="35">
        <v>10.1</v>
      </c>
      <c r="U400" s="35">
        <v>9</v>
      </c>
      <c r="V400" s="35">
        <v>9.9</v>
      </c>
      <c r="W400" s="35">
        <v>9</v>
      </c>
      <c r="X400" s="35">
        <v>10.199999999999999</v>
      </c>
      <c r="Y400" s="35">
        <v>9</v>
      </c>
      <c r="Z400" s="35">
        <v>10.9</v>
      </c>
      <c r="AA400" s="35">
        <v>9</v>
      </c>
      <c r="AB400" s="35">
        <v>21.6</v>
      </c>
      <c r="AC400" s="35">
        <v>20</v>
      </c>
      <c r="AD400" s="35">
        <v>21.5</v>
      </c>
      <c r="AE400" s="35">
        <v>20</v>
      </c>
    </row>
    <row r="401" spans="1:31" x14ac:dyDescent="0.35">
      <c r="A401" s="36">
        <v>46059.731944444444</v>
      </c>
      <c r="B401" s="35">
        <v>-21.9</v>
      </c>
      <c r="C401" s="35">
        <v>-22.8</v>
      </c>
      <c r="D401" s="35">
        <v>-23</v>
      </c>
      <c r="E401" s="35">
        <v>-22.2</v>
      </c>
      <c r="F401" s="35">
        <v>-21.1</v>
      </c>
      <c r="G401" s="35">
        <v>-23</v>
      </c>
      <c r="H401" s="35">
        <v>-20.3</v>
      </c>
      <c r="I401" s="35">
        <v>-21</v>
      </c>
      <c r="J401" s="35">
        <v>-23</v>
      </c>
      <c r="K401" s="35">
        <v>-15.8</v>
      </c>
      <c r="L401" s="35">
        <v>18.600000000000001</v>
      </c>
      <c r="M401" s="35">
        <v>-23</v>
      </c>
      <c r="N401" s="35">
        <v>-2.4</v>
      </c>
      <c r="O401" s="35">
        <v>-3</v>
      </c>
      <c r="P401" s="35">
        <v>-5</v>
      </c>
      <c r="Q401" s="35">
        <v>-2.9</v>
      </c>
      <c r="R401" s="35">
        <v>-3.9</v>
      </c>
      <c r="S401" s="35">
        <v>-5</v>
      </c>
      <c r="T401" s="35">
        <v>10.199999999999999</v>
      </c>
      <c r="U401" s="35">
        <v>9</v>
      </c>
      <c r="V401" s="35">
        <v>9.9</v>
      </c>
      <c r="W401" s="35">
        <v>9</v>
      </c>
      <c r="X401" s="35">
        <v>10.199999999999999</v>
      </c>
      <c r="Y401" s="35">
        <v>9</v>
      </c>
      <c r="Z401" s="35">
        <v>10.9</v>
      </c>
      <c r="AA401" s="35">
        <v>9</v>
      </c>
      <c r="AB401" s="35">
        <v>21.6</v>
      </c>
      <c r="AC401" s="35">
        <v>20</v>
      </c>
      <c r="AD401" s="35">
        <v>21.5</v>
      </c>
      <c r="AE401" s="35">
        <v>20</v>
      </c>
    </row>
    <row r="402" spans="1:31" x14ac:dyDescent="0.35">
      <c r="A402" s="36">
        <v>46059.732638888891</v>
      </c>
      <c r="B402" s="35">
        <v>-21.7</v>
      </c>
      <c r="C402" s="35">
        <v>-22.5</v>
      </c>
      <c r="D402" s="35">
        <v>-23</v>
      </c>
      <c r="E402" s="35">
        <v>-22.2</v>
      </c>
      <c r="F402" s="35">
        <v>-21.1</v>
      </c>
      <c r="G402" s="35">
        <v>-23</v>
      </c>
      <c r="H402" s="35">
        <v>-20.399999999999999</v>
      </c>
      <c r="I402" s="35">
        <v>-21</v>
      </c>
      <c r="J402" s="35">
        <v>-23</v>
      </c>
      <c r="K402" s="35">
        <v>-16.7</v>
      </c>
      <c r="L402" s="35">
        <v>16.899999999999999</v>
      </c>
      <c r="M402" s="35">
        <v>-23</v>
      </c>
      <c r="N402" s="35">
        <v>-2.5</v>
      </c>
      <c r="O402" s="35">
        <v>-3</v>
      </c>
      <c r="P402" s="35">
        <v>-5</v>
      </c>
      <c r="Q402" s="35">
        <v>-2.9</v>
      </c>
      <c r="R402" s="35">
        <v>-3.9</v>
      </c>
      <c r="S402" s="35">
        <v>-5</v>
      </c>
      <c r="T402" s="35">
        <v>10.3</v>
      </c>
      <c r="U402" s="35">
        <v>9</v>
      </c>
      <c r="V402" s="35">
        <v>10</v>
      </c>
      <c r="W402" s="35">
        <v>9</v>
      </c>
      <c r="X402" s="35">
        <v>10.199999999999999</v>
      </c>
      <c r="Y402" s="35">
        <v>9</v>
      </c>
      <c r="Z402" s="35">
        <v>10.9</v>
      </c>
      <c r="AA402" s="35">
        <v>9</v>
      </c>
      <c r="AB402" s="35">
        <v>21.6</v>
      </c>
      <c r="AC402" s="35">
        <v>20</v>
      </c>
      <c r="AD402" s="35">
        <v>21.5</v>
      </c>
      <c r="AE402" s="35">
        <v>20</v>
      </c>
    </row>
    <row r="403" spans="1:31" x14ac:dyDescent="0.35">
      <c r="A403" s="36">
        <v>46059.73333333333</v>
      </c>
      <c r="B403" s="35">
        <v>-21.7</v>
      </c>
      <c r="C403" s="35">
        <v>-22.5</v>
      </c>
      <c r="D403" s="35">
        <v>-23</v>
      </c>
      <c r="E403" s="35">
        <v>-22.3</v>
      </c>
      <c r="F403" s="35">
        <v>-21.1</v>
      </c>
      <c r="G403" s="35">
        <v>-23</v>
      </c>
      <c r="H403" s="35">
        <v>-20.5</v>
      </c>
      <c r="I403" s="35">
        <v>-21</v>
      </c>
      <c r="J403" s="35">
        <v>-23</v>
      </c>
      <c r="K403" s="35">
        <v>-17</v>
      </c>
      <c r="L403" s="35">
        <v>15.1</v>
      </c>
      <c r="M403" s="35">
        <v>-23</v>
      </c>
      <c r="N403" s="35">
        <v>-2.5</v>
      </c>
      <c r="O403" s="35">
        <v>-3.1</v>
      </c>
      <c r="P403" s="35">
        <v>-5</v>
      </c>
      <c r="Q403" s="35">
        <v>-2.9</v>
      </c>
      <c r="R403" s="35">
        <v>-3.9</v>
      </c>
      <c r="S403" s="35">
        <v>-5</v>
      </c>
      <c r="T403" s="35">
        <v>10.4</v>
      </c>
      <c r="U403" s="35">
        <v>9</v>
      </c>
      <c r="V403" s="35">
        <v>10.1</v>
      </c>
      <c r="W403" s="35">
        <v>9</v>
      </c>
      <c r="X403" s="35">
        <v>10.1</v>
      </c>
      <c r="Y403" s="35">
        <v>9</v>
      </c>
      <c r="Z403" s="35">
        <v>10.9</v>
      </c>
      <c r="AA403" s="35">
        <v>9</v>
      </c>
      <c r="AB403" s="35">
        <v>21.6</v>
      </c>
      <c r="AC403" s="35">
        <v>20</v>
      </c>
      <c r="AD403" s="35">
        <v>21.5</v>
      </c>
      <c r="AE403" s="35">
        <v>20</v>
      </c>
    </row>
    <row r="404" spans="1:31" x14ac:dyDescent="0.35">
      <c r="A404" s="36">
        <v>46059.734027777777</v>
      </c>
      <c r="B404" s="35">
        <v>-21.7</v>
      </c>
      <c r="C404" s="35">
        <v>-24.7</v>
      </c>
      <c r="D404" s="35">
        <v>-23</v>
      </c>
      <c r="E404" s="35">
        <v>-22.6</v>
      </c>
      <c r="F404" s="35">
        <v>-21.2</v>
      </c>
      <c r="G404" s="35">
        <v>-23</v>
      </c>
      <c r="H404" s="35">
        <v>-20.5</v>
      </c>
      <c r="I404" s="35">
        <v>-20.9</v>
      </c>
      <c r="J404" s="35">
        <v>-23</v>
      </c>
      <c r="K404" s="35">
        <v>-17</v>
      </c>
      <c r="L404" s="35">
        <v>13.2</v>
      </c>
      <c r="M404" s="35">
        <v>-23</v>
      </c>
      <c r="N404" s="35">
        <v>-2.5</v>
      </c>
      <c r="O404" s="35">
        <v>-3.1</v>
      </c>
      <c r="P404" s="35">
        <v>-5</v>
      </c>
      <c r="Q404" s="35">
        <v>-2.9</v>
      </c>
      <c r="R404" s="35">
        <v>-3.9</v>
      </c>
      <c r="S404" s="35">
        <v>-5</v>
      </c>
      <c r="T404" s="35">
        <v>10.5</v>
      </c>
      <c r="U404" s="35">
        <v>9</v>
      </c>
      <c r="V404" s="35">
        <v>10.1</v>
      </c>
      <c r="W404" s="35">
        <v>9</v>
      </c>
      <c r="X404" s="35">
        <v>10</v>
      </c>
      <c r="Y404" s="35">
        <v>9</v>
      </c>
      <c r="Z404" s="35">
        <v>10.9</v>
      </c>
      <c r="AA404" s="35">
        <v>9</v>
      </c>
      <c r="AB404" s="35">
        <v>21.6</v>
      </c>
      <c r="AC404" s="35">
        <v>20</v>
      </c>
      <c r="AD404" s="35">
        <v>21.5</v>
      </c>
      <c r="AE404" s="35">
        <v>20</v>
      </c>
    </row>
    <row r="405" spans="1:31" x14ac:dyDescent="0.35">
      <c r="A405" s="36">
        <v>46059.734722222223</v>
      </c>
      <c r="B405" s="35">
        <v>-21.9</v>
      </c>
      <c r="C405" s="35">
        <v>-26.7</v>
      </c>
      <c r="D405" s="35">
        <v>-23</v>
      </c>
      <c r="E405" s="35">
        <v>-22.9</v>
      </c>
      <c r="F405" s="35">
        <v>-21.3</v>
      </c>
      <c r="G405" s="35">
        <v>-23</v>
      </c>
      <c r="H405" s="35">
        <v>-20.5</v>
      </c>
      <c r="I405" s="35">
        <v>-20.8</v>
      </c>
      <c r="J405" s="35">
        <v>-23</v>
      </c>
      <c r="K405" s="35">
        <v>-17.399999999999999</v>
      </c>
      <c r="L405" s="35">
        <v>11.5</v>
      </c>
      <c r="M405" s="35">
        <v>-23</v>
      </c>
      <c r="N405" s="35">
        <v>-2.6</v>
      </c>
      <c r="O405" s="35">
        <v>-3.1</v>
      </c>
      <c r="P405" s="35">
        <v>-5</v>
      </c>
      <c r="Q405" s="35">
        <v>-2.9</v>
      </c>
      <c r="R405" s="35">
        <v>-4</v>
      </c>
      <c r="S405" s="35">
        <v>-5</v>
      </c>
      <c r="T405" s="35">
        <v>10.6</v>
      </c>
      <c r="U405" s="35">
        <v>9</v>
      </c>
      <c r="V405" s="35">
        <v>10.199999999999999</v>
      </c>
      <c r="W405" s="35">
        <v>9</v>
      </c>
      <c r="X405" s="35">
        <v>9.9</v>
      </c>
      <c r="Y405" s="35">
        <v>9</v>
      </c>
      <c r="Z405" s="35">
        <v>10.9</v>
      </c>
      <c r="AA405" s="35">
        <v>9</v>
      </c>
      <c r="AB405" s="35">
        <v>21.6</v>
      </c>
      <c r="AC405" s="35">
        <v>20</v>
      </c>
      <c r="AD405" s="35">
        <v>21.5</v>
      </c>
      <c r="AE405" s="35">
        <v>20</v>
      </c>
    </row>
    <row r="406" spans="1:31" x14ac:dyDescent="0.35">
      <c r="A406" s="36">
        <v>46059.73541666667</v>
      </c>
      <c r="B406" s="35">
        <v>-22.1</v>
      </c>
      <c r="C406" s="35">
        <v>-26.1</v>
      </c>
      <c r="D406" s="35">
        <v>-23</v>
      </c>
      <c r="E406" s="35">
        <v>-23</v>
      </c>
      <c r="F406" s="35">
        <v>-21.4</v>
      </c>
      <c r="G406" s="35">
        <v>-23</v>
      </c>
      <c r="H406" s="35">
        <v>-20.5</v>
      </c>
      <c r="I406" s="35">
        <v>-20.7</v>
      </c>
      <c r="J406" s="35">
        <v>-23</v>
      </c>
      <c r="K406" s="35">
        <v>-17.7</v>
      </c>
      <c r="L406" s="35">
        <v>10.199999999999999</v>
      </c>
      <c r="M406" s="35">
        <v>-23</v>
      </c>
      <c r="N406" s="35">
        <v>-2.6</v>
      </c>
      <c r="O406" s="35">
        <v>-3.2</v>
      </c>
      <c r="P406" s="35">
        <v>-5</v>
      </c>
      <c r="Q406" s="35">
        <v>-2.9</v>
      </c>
      <c r="R406" s="35">
        <v>-4</v>
      </c>
      <c r="S406" s="35">
        <v>-5</v>
      </c>
      <c r="T406" s="35">
        <v>10.7</v>
      </c>
      <c r="U406" s="35">
        <v>9</v>
      </c>
      <c r="V406" s="35">
        <v>10.3</v>
      </c>
      <c r="W406" s="35">
        <v>9</v>
      </c>
      <c r="X406" s="35">
        <v>9.9</v>
      </c>
      <c r="Y406" s="35">
        <v>9</v>
      </c>
      <c r="Z406" s="35">
        <v>10.9</v>
      </c>
      <c r="AA406" s="35">
        <v>9</v>
      </c>
      <c r="AB406" s="35">
        <v>21.6</v>
      </c>
      <c r="AC406" s="35">
        <v>20</v>
      </c>
      <c r="AD406" s="35">
        <v>21.5</v>
      </c>
      <c r="AE406" s="35">
        <v>20</v>
      </c>
    </row>
    <row r="407" spans="1:31" x14ac:dyDescent="0.35">
      <c r="A407" s="36">
        <v>46059.736111111109</v>
      </c>
      <c r="B407" s="35">
        <v>-22.1</v>
      </c>
      <c r="C407" s="35">
        <v>-24.7</v>
      </c>
      <c r="D407" s="35">
        <v>-23</v>
      </c>
      <c r="E407" s="35">
        <v>-22.9</v>
      </c>
      <c r="F407" s="35">
        <v>-21.5</v>
      </c>
      <c r="G407" s="35">
        <v>-23</v>
      </c>
      <c r="H407" s="35">
        <v>-20.5</v>
      </c>
      <c r="I407" s="35">
        <v>-21.1</v>
      </c>
      <c r="J407" s="35">
        <v>-23</v>
      </c>
      <c r="K407" s="35">
        <v>-18.3</v>
      </c>
      <c r="L407" s="35">
        <v>8.9</v>
      </c>
      <c r="M407" s="35">
        <v>-23</v>
      </c>
      <c r="N407" s="35">
        <v>-2.6</v>
      </c>
      <c r="O407" s="35">
        <v>-3.2</v>
      </c>
      <c r="P407" s="35">
        <v>-5</v>
      </c>
      <c r="Q407" s="35">
        <v>-2.9</v>
      </c>
      <c r="R407" s="35">
        <v>-4</v>
      </c>
      <c r="S407" s="35">
        <v>-5</v>
      </c>
      <c r="T407" s="35">
        <v>10.8</v>
      </c>
      <c r="U407" s="35">
        <v>9</v>
      </c>
      <c r="V407" s="35">
        <v>10.3</v>
      </c>
      <c r="W407" s="35">
        <v>9</v>
      </c>
      <c r="X407" s="35">
        <v>9.9</v>
      </c>
      <c r="Y407" s="35">
        <v>9</v>
      </c>
      <c r="Z407" s="35">
        <v>10.9</v>
      </c>
      <c r="AA407" s="35">
        <v>9</v>
      </c>
      <c r="AB407" s="35">
        <v>21.6</v>
      </c>
      <c r="AC407" s="35">
        <v>20</v>
      </c>
      <c r="AD407" s="35">
        <v>21.5</v>
      </c>
      <c r="AE407" s="35">
        <v>20</v>
      </c>
    </row>
    <row r="408" spans="1:31" x14ac:dyDescent="0.35">
      <c r="A408" s="36">
        <v>46059.736805555556</v>
      </c>
      <c r="B408" s="35">
        <v>-22.1</v>
      </c>
      <c r="C408" s="35">
        <v>-23.8</v>
      </c>
      <c r="D408" s="35">
        <v>-23</v>
      </c>
      <c r="E408" s="35">
        <v>-22.7</v>
      </c>
      <c r="F408" s="35">
        <v>-21.5</v>
      </c>
      <c r="G408" s="35">
        <v>-23</v>
      </c>
      <c r="H408" s="35">
        <v>-20.5</v>
      </c>
      <c r="I408" s="35">
        <v>-21.3</v>
      </c>
      <c r="J408" s="35">
        <v>-23</v>
      </c>
      <c r="K408" s="35">
        <v>-18.7</v>
      </c>
      <c r="L408" s="35">
        <v>7.5</v>
      </c>
      <c r="M408" s="35">
        <v>-23</v>
      </c>
      <c r="N408" s="35">
        <v>-2.7</v>
      </c>
      <c r="O408" s="35">
        <v>-3.3</v>
      </c>
      <c r="P408" s="35">
        <v>-5</v>
      </c>
      <c r="Q408" s="35">
        <v>-2.9</v>
      </c>
      <c r="R408" s="35">
        <v>-4</v>
      </c>
      <c r="S408" s="35">
        <v>-5</v>
      </c>
      <c r="T408" s="35">
        <v>10.9</v>
      </c>
      <c r="U408" s="35">
        <v>9</v>
      </c>
      <c r="V408" s="35">
        <v>10.4</v>
      </c>
      <c r="W408" s="35">
        <v>9</v>
      </c>
      <c r="X408" s="35">
        <v>9.9</v>
      </c>
      <c r="Y408" s="35">
        <v>9</v>
      </c>
      <c r="Z408" s="35">
        <v>10.9</v>
      </c>
      <c r="AA408" s="35">
        <v>9</v>
      </c>
      <c r="AB408" s="35">
        <v>21.6</v>
      </c>
      <c r="AC408" s="35">
        <v>20</v>
      </c>
      <c r="AD408" s="35">
        <v>21.5</v>
      </c>
      <c r="AE408" s="35">
        <v>20</v>
      </c>
    </row>
    <row r="409" spans="1:31" x14ac:dyDescent="0.35">
      <c r="A409" s="36">
        <v>46059.737500000003</v>
      </c>
      <c r="B409" s="35">
        <v>-22.1</v>
      </c>
      <c r="C409" s="35">
        <v>-23.2</v>
      </c>
      <c r="D409" s="35">
        <v>-23</v>
      </c>
      <c r="E409" s="35">
        <v>-22.5</v>
      </c>
      <c r="F409" s="35">
        <v>-21.5</v>
      </c>
      <c r="G409" s="35">
        <v>-23</v>
      </c>
      <c r="H409" s="35">
        <v>-20.7</v>
      </c>
      <c r="I409" s="35">
        <v>-21.4</v>
      </c>
      <c r="J409" s="35">
        <v>-23</v>
      </c>
      <c r="K409" s="35">
        <v>-19</v>
      </c>
      <c r="L409" s="35">
        <v>6.1</v>
      </c>
      <c r="M409" s="35">
        <v>-23</v>
      </c>
      <c r="N409" s="35">
        <v>-2.7</v>
      </c>
      <c r="O409" s="35">
        <v>-3.3</v>
      </c>
      <c r="P409" s="35">
        <v>-5</v>
      </c>
      <c r="Q409" s="35">
        <v>-2.9</v>
      </c>
      <c r="R409" s="35">
        <v>-4</v>
      </c>
      <c r="S409" s="35">
        <v>-5</v>
      </c>
      <c r="T409" s="35">
        <v>10.9</v>
      </c>
      <c r="U409" s="35">
        <v>9</v>
      </c>
      <c r="V409" s="35">
        <v>10.4</v>
      </c>
      <c r="W409" s="35">
        <v>9</v>
      </c>
      <c r="X409" s="35">
        <v>9.9</v>
      </c>
      <c r="Y409" s="35">
        <v>9</v>
      </c>
      <c r="Z409" s="35">
        <v>10.9</v>
      </c>
      <c r="AA409" s="35">
        <v>9</v>
      </c>
      <c r="AB409" s="35">
        <v>21.6</v>
      </c>
      <c r="AC409" s="35">
        <v>20</v>
      </c>
      <c r="AD409" s="35">
        <v>21.5</v>
      </c>
      <c r="AE409" s="35">
        <v>20</v>
      </c>
    </row>
    <row r="410" spans="1:31" x14ac:dyDescent="0.35">
      <c r="A410" s="36">
        <v>46059.738194444442</v>
      </c>
      <c r="B410" s="35">
        <v>-22</v>
      </c>
      <c r="C410" s="35">
        <v>-22.9</v>
      </c>
      <c r="D410" s="35">
        <v>-23</v>
      </c>
      <c r="E410" s="35">
        <v>-22.5</v>
      </c>
      <c r="F410" s="35">
        <v>-21.5</v>
      </c>
      <c r="G410" s="35">
        <v>-23</v>
      </c>
      <c r="H410" s="35">
        <v>-20.8</v>
      </c>
      <c r="I410" s="35">
        <v>-21.4</v>
      </c>
      <c r="J410" s="35">
        <v>-23</v>
      </c>
      <c r="K410" s="35">
        <v>-19.3</v>
      </c>
      <c r="L410" s="35">
        <v>4.5999999999999996</v>
      </c>
      <c r="M410" s="35">
        <v>-23</v>
      </c>
      <c r="N410" s="35">
        <v>-2.8</v>
      </c>
      <c r="O410" s="35">
        <v>-3.4</v>
      </c>
      <c r="P410" s="35">
        <v>-5</v>
      </c>
      <c r="Q410" s="35">
        <v>-2.9</v>
      </c>
      <c r="R410" s="35">
        <v>-4</v>
      </c>
      <c r="S410" s="35">
        <v>-5</v>
      </c>
      <c r="T410" s="35">
        <v>11</v>
      </c>
      <c r="U410" s="35">
        <v>9</v>
      </c>
      <c r="V410" s="35">
        <v>10.4</v>
      </c>
      <c r="W410" s="35">
        <v>9</v>
      </c>
      <c r="X410" s="35">
        <v>9.9</v>
      </c>
      <c r="Y410" s="35">
        <v>9</v>
      </c>
      <c r="Z410" s="35">
        <v>10.9</v>
      </c>
      <c r="AA410" s="35">
        <v>9</v>
      </c>
      <c r="AB410" s="35">
        <v>21.6</v>
      </c>
      <c r="AC410" s="35">
        <v>20</v>
      </c>
      <c r="AD410" s="35">
        <v>21.5</v>
      </c>
      <c r="AE410" s="35">
        <v>20</v>
      </c>
    </row>
    <row r="411" spans="1:31" x14ac:dyDescent="0.35">
      <c r="A411" s="36">
        <v>46059.739583333336</v>
      </c>
      <c r="B411" s="35">
        <v>-22</v>
      </c>
      <c r="C411" s="35">
        <v>-24</v>
      </c>
      <c r="D411" s="35">
        <v>-23</v>
      </c>
      <c r="E411" s="35">
        <v>-22.8</v>
      </c>
      <c r="F411" s="35">
        <v>-21.5</v>
      </c>
      <c r="G411" s="35">
        <v>-23</v>
      </c>
      <c r="H411" s="35">
        <v>-20.9</v>
      </c>
      <c r="I411" s="35">
        <v>-21.4</v>
      </c>
      <c r="J411" s="35">
        <v>-23</v>
      </c>
      <c r="K411" s="35">
        <v>-19.5</v>
      </c>
      <c r="L411" s="35">
        <v>1.7</v>
      </c>
      <c r="M411" s="35">
        <v>-23</v>
      </c>
      <c r="N411" s="35">
        <v>-2.9</v>
      </c>
      <c r="O411" s="35">
        <v>-3.4</v>
      </c>
      <c r="P411" s="35">
        <v>-5</v>
      </c>
      <c r="Q411" s="35">
        <v>-2.9</v>
      </c>
      <c r="R411" s="35">
        <v>-4</v>
      </c>
      <c r="S411" s="35">
        <v>-5</v>
      </c>
      <c r="T411" s="35">
        <v>10.4</v>
      </c>
      <c r="U411" s="35">
        <v>9</v>
      </c>
      <c r="V411" s="35">
        <v>10.5</v>
      </c>
      <c r="W411" s="35">
        <v>9</v>
      </c>
      <c r="X411" s="35">
        <v>10.4</v>
      </c>
      <c r="Y411" s="35">
        <v>9</v>
      </c>
      <c r="Z411" s="35">
        <v>10.9</v>
      </c>
      <c r="AA411" s="35">
        <v>9</v>
      </c>
      <c r="AB411" s="35">
        <v>21.6</v>
      </c>
      <c r="AC411" s="35">
        <v>20</v>
      </c>
      <c r="AD411" s="35">
        <v>21.5</v>
      </c>
      <c r="AE411" s="35">
        <v>20</v>
      </c>
    </row>
    <row r="412" spans="1:31" x14ac:dyDescent="0.35">
      <c r="A412" s="36">
        <v>46059.740277777775</v>
      </c>
      <c r="B412" s="35">
        <v>-22</v>
      </c>
      <c r="C412" s="35">
        <v>-26.6</v>
      </c>
      <c r="D412" s="35">
        <v>-23</v>
      </c>
      <c r="E412" s="35">
        <v>-23.1</v>
      </c>
      <c r="F412" s="35">
        <v>-21.7</v>
      </c>
      <c r="G412" s="35">
        <v>-23</v>
      </c>
      <c r="H412" s="35">
        <v>-20.9</v>
      </c>
      <c r="I412" s="35">
        <v>-21.2</v>
      </c>
      <c r="J412" s="35">
        <v>-23</v>
      </c>
      <c r="K412" s="35">
        <v>-19.5</v>
      </c>
      <c r="L412" s="35">
        <v>0.4</v>
      </c>
      <c r="M412" s="35">
        <v>-23</v>
      </c>
      <c r="N412" s="35">
        <v>-2.9</v>
      </c>
      <c r="O412" s="35">
        <v>-3.5</v>
      </c>
      <c r="P412" s="35">
        <v>-5</v>
      </c>
      <c r="Q412" s="35">
        <v>-2.9</v>
      </c>
      <c r="R412" s="35">
        <v>-4</v>
      </c>
      <c r="S412" s="35">
        <v>-5</v>
      </c>
      <c r="T412" s="35">
        <v>9.9</v>
      </c>
      <c r="U412" s="35">
        <v>9</v>
      </c>
      <c r="V412" s="35">
        <v>10.4</v>
      </c>
      <c r="W412" s="35">
        <v>9</v>
      </c>
      <c r="X412" s="35">
        <v>10.5</v>
      </c>
      <c r="Y412" s="35">
        <v>9</v>
      </c>
      <c r="Z412" s="35">
        <v>10.9</v>
      </c>
      <c r="AA412" s="35">
        <v>9</v>
      </c>
      <c r="AB412" s="35">
        <v>21.6</v>
      </c>
      <c r="AC412" s="35">
        <v>20</v>
      </c>
      <c r="AD412" s="35">
        <v>21.5</v>
      </c>
      <c r="AE412" s="35">
        <v>20</v>
      </c>
    </row>
    <row r="413" spans="1:31" x14ac:dyDescent="0.35">
      <c r="A413" s="36">
        <v>46059.740972222222</v>
      </c>
      <c r="B413" s="35">
        <v>-22.2</v>
      </c>
      <c r="C413" s="35">
        <v>-26.6</v>
      </c>
      <c r="D413" s="35">
        <v>-23</v>
      </c>
      <c r="E413" s="35">
        <v>-23.2</v>
      </c>
      <c r="F413" s="35">
        <v>-21.8</v>
      </c>
      <c r="G413" s="35">
        <v>-23</v>
      </c>
      <c r="H413" s="35">
        <v>-20.9</v>
      </c>
      <c r="I413" s="35">
        <v>-21.2</v>
      </c>
      <c r="J413" s="35">
        <v>-23</v>
      </c>
      <c r="K413" s="35">
        <v>-19.5</v>
      </c>
      <c r="L413" s="35">
        <v>-0.9</v>
      </c>
      <c r="M413" s="35">
        <v>-23</v>
      </c>
      <c r="N413" s="35">
        <v>-2.9</v>
      </c>
      <c r="O413" s="35">
        <v>-3.5</v>
      </c>
      <c r="P413" s="35">
        <v>-5</v>
      </c>
      <c r="Q413" s="35">
        <v>-2.9</v>
      </c>
      <c r="R413" s="35">
        <v>-4</v>
      </c>
      <c r="S413" s="35">
        <v>-5</v>
      </c>
      <c r="T413" s="35">
        <v>9.5</v>
      </c>
      <c r="U413" s="35">
        <v>9</v>
      </c>
      <c r="V413" s="35">
        <v>10.3</v>
      </c>
      <c r="W413" s="35">
        <v>9</v>
      </c>
      <c r="X413" s="35">
        <v>10.5</v>
      </c>
      <c r="Y413" s="35">
        <v>9</v>
      </c>
      <c r="Z413" s="35">
        <v>10.9</v>
      </c>
      <c r="AA413" s="35">
        <v>9</v>
      </c>
      <c r="AB413" s="35">
        <v>21.6</v>
      </c>
      <c r="AC413" s="35">
        <v>20</v>
      </c>
      <c r="AD413" s="35">
        <v>21.5</v>
      </c>
      <c r="AE413" s="35">
        <v>20</v>
      </c>
    </row>
    <row r="414" spans="1:31" x14ac:dyDescent="0.35">
      <c r="A414" s="36">
        <v>46059.741666666669</v>
      </c>
      <c r="B414" s="35">
        <v>-22.3</v>
      </c>
      <c r="C414" s="35">
        <v>-25.3</v>
      </c>
      <c r="D414" s="35">
        <v>-23</v>
      </c>
      <c r="E414" s="35">
        <v>-23.2</v>
      </c>
      <c r="F414" s="35">
        <v>-21.8</v>
      </c>
      <c r="G414" s="35">
        <v>-23</v>
      </c>
      <c r="H414" s="35">
        <v>-20.9</v>
      </c>
      <c r="I414" s="35">
        <v>-21.2</v>
      </c>
      <c r="J414" s="35">
        <v>-23</v>
      </c>
      <c r="K414" s="35">
        <v>-19.7</v>
      </c>
      <c r="L414" s="35">
        <v>-2.1</v>
      </c>
      <c r="M414" s="35">
        <v>-23</v>
      </c>
      <c r="N414" s="35">
        <v>-2.9</v>
      </c>
      <c r="O414" s="35">
        <v>-3.5</v>
      </c>
      <c r="P414" s="35">
        <v>-5</v>
      </c>
      <c r="Q414" s="35">
        <v>-2.9</v>
      </c>
      <c r="R414" s="35">
        <v>-4</v>
      </c>
      <c r="S414" s="35">
        <v>-5</v>
      </c>
      <c r="T414" s="35">
        <v>9</v>
      </c>
      <c r="U414" s="35">
        <v>9</v>
      </c>
      <c r="V414" s="35">
        <v>10.3</v>
      </c>
      <c r="W414" s="35">
        <v>9</v>
      </c>
      <c r="X414" s="35">
        <v>10.5</v>
      </c>
      <c r="Y414" s="35">
        <v>9</v>
      </c>
      <c r="Z414" s="35">
        <v>10.9</v>
      </c>
      <c r="AA414" s="35">
        <v>9</v>
      </c>
      <c r="AB414" s="35">
        <v>21.6</v>
      </c>
      <c r="AC414" s="35">
        <v>20</v>
      </c>
      <c r="AD414" s="35">
        <v>21.5</v>
      </c>
      <c r="AE414" s="35">
        <v>20</v>
      </c>
    </row>
    <row r="415" spans="1:31" x14ac:dyDescent="0.35">
      <c r="A415" s="36">
        <v>46059.742361111108</v>
      </c>
      <c r="B415" s="35">
        <v>-22.3</v>
      </c>
      <c r="C415" s="35">
        <v>-24.3</v>
      </c>
      <c r="D415" s="35">
        <v>-23</v>
      </c>
      <c r="E415" s="35">
        <v>-23.1</v>
      </c>
      <c r="F415" s="35">
        <v>-21.8</v>
      </c>
      <c r="G415" s="35">
        <v>-23</v>
      </c>
      <c r="H415" s="35">
        <v>-20.9</v>
      </c>
      <c r="I415" s="35">
        <v>-21.7</v>
      </c>
      <c r="J415" s="35">
        <v>-23</v>
      </c>
      <c r="K415" s="35">
        <v>-20.100000000000001</v>
      </c>
      <c r="L415" s="35">
        <v>-3.4</v>
      </c>
      <c r="M415" s="35">
        <v>-23</v>
      </c>
      <c r="N415" s="35">
        <v>-3</v>
      </c>
      <c r="O415" s="35">
        <v>-3.5</v>
      </c>
      <c r="P415" s="35">
        <v>-5</v>
      </c>
      <c r="Q415" s="35">
        <v>-2.9</v>
      </c>
      <c r="R415" s="35">
        <v>-4</v>
      </c>
      <c r="S415" s="35">
        <v>-5</v>
      </c>
      <c r="T415" s="35">
        <v>8.8000000000000007</v>
      </c>
      <c r="U415" s="35">
        <v>9</v>
      </c>
      <c r="V415" s="35">
        <v>10</v>
      </c>
      <c r="W415" s="35">
        <v>9</v>
      </c>
      <c r="X415" s="35">
        <v>10.5</v>
      </c>
      <c r="Y415" s="35">
        <v>9</v>
      </c>
      <c r="Z415" s="35">
        <v>11</v>
      </c>
      <c r="AA415" s="35">
        <v>9</v>
      </c>
      <c r="AB415" s="35">
        <v>21.6</v>
      </c>
      <c r="AC415" s="35">
        <v>20</v>
      </c>
      <c r="AD415" s="35">
        <v>21.5</v>
      </c>
      <c r="AE415" s="35">
        <v>20</v>
      </c>
    </row>
    <row r="416" spans="1:31" x14ac:dyDescent="0.35">
      <c r="A416" s="36">
        <v>46059.743055555555</v>
      </c>
      <c r="B416" s="35">
        <v>-22.3</v>
      </c>
      <c r="C416" s="35">
        <v>-23.7</v>
      </c>
      <c r="D416" s="35">
        <v>-23</v>
      </c>
      <c r="E416" s="35">
        <v>-22.9</v>
      </c>
      <c r="F416" s="35">
        <v>-21.8</v>
      </c>
      <c r="G416" s="35">
        <v>-23</v>
      </c>
      <c r="H416" s="35">
        <v>-21</v>
      </c>
      <c r="I416" s="35">
        <v>-21.8</v>
      </c>
      <c r="J416" s="35">
        <v>-23</v>
      </c>
      <c r="K416" s="35">
        <v>-20.5</v>
      </c>
      <c r="L416" s="35">
        <v>-4.7</v>
      </c>
      <c r="M416" s="35">
        <v>-23</v>
      </c>
      <c r="N416" s="35">
        <v>-3</v>
      </c>
      <c r="O416" s="35">
        <v>-3.6</v>
      </c>
      <c r="P416" s="35">
        <v>-5</v>
      </c>
      <c r="Q416" s="35">
        <v>-2.9</v>
      </c>
      <c r="R416" s="35">
        <v>-4</v>
      </c>
      <c r="S416" s="35">
        <v>-5</v>
      </c>
      <c r="T416" s="35">
        <v>8.6999999999999993</v>
      </c>
      <c r="U416" s="35">
        <v>9</v>
      </c>
      <c r="V416" s="35">
        <v>9.8000000000000007</v>
      </c>
      <c r="W416" s="35">
        <v>9</v>
      </c>
      <c r="X416" s="35">
        <v>10.3</v>
      </c>
      <c r="Y416" s="35">
        <v>9</v>
      </c>
      <c r="Z416" s="35">
        <v>11</v>
      </c>
      <c r="AA416" s="35">
        <v>9</v>
      </c>
      <c r="AB416" s="35">
        <v>21.6</v>
      </c>
      <c r="AC416" s="35">
        <v>20</v>
      </c>
      <c r="AD416" s="35">
        <v>21.6</v>
      </c>
      <c r="AE416" s="35">
        <v>20</v>
      </c>
    </row>
    <row r="417" spans="1:31" x14ac:dyDescent="0.35">
      <c r="A417" s="36">
        <v>46059.743750000001</v>
      </c>
      <c r="B417" s="35">
        <v>-22.3</v>
      </c>
      <c r="C417" s="35">
        <v>-23.3</v>
      </c>
      <c r="D417" s="35">
        <v>-23</v>
      </c>
      <c r="E417" s="35">
        <v>-22.8</v>
      </c>
      <c r="F417" s="35">
        <v>-21.8</v>
      </c>
      <c r="G417" s="35">
        <v>-23</v>
      </c>
      <c r="H417" s="35">
        <v>-21.2</v>
      </c>
      <c r="I417" s="35">
        <v>-21.8</v>
      </c>
      <c r="J417" s="35">
        <v>-23</v>
      </c>
      <c r="K417" s="35">
        <v>-20.7</v>
      </c>
      <c r="L417" s="35">
        <v>-5.9</v>
      </c>
      <c r="M417" s="35">
        <v>-23</v>
      </c>
      <c r="N417" s="35">
        <v>-3.1</v>
      </c>
      <c r="O417" s="35">
        <v>-3.6</v>
      </c>
      <c r="P417" s="35">
        <v>-5</v>
      </c>
      <c r="Q417" s="35">
        <v>-2.9</v>
      </c>
      <c r="R417" s="35">
        <v>-4</v>
      </c>
      <c r="S417" s="35">
        <v>-5</v>
      </c>
      <c r="T417" s="35">
        <v>8.9</v>
      </c>
      <c r="U417" s="35">
        <v>9</v>
      </c>
      <c r="V417" s="35">
        <v>9.8000000000000007</v>
      </c>
      <c r="W417" s="35">
        <v>9</v>
      </c>
      <c r="X417" s="35">
        <v>10.3</v>
      </c>
      <c r="Y417" s="35">
        <v>9</v>
      </c>
      <c r="Z417" s="35">
        <v>11</v>
      </c>
      <c r="AA417" s="35">
        <v>9</v>
      </c>
      <c r="AB417" s="35">
        <v>21.6</v>
      </c>
      <c r="AC417" s="35">
        <v>20</v>
      </c>
      <c r="AD417" s="35">
        <v>21.6</v>
      </c>
      <c r="AE417" s="35">
        <v>20</v>
      </c>
    </row>
    <row r="418" spans="1:31" x14ac:dyDescent="0.35">
      <c r="A418" s="36">
        <v>46059.744444444441</v>
      </c>
      <c r="B418" s="35">
        <v>-22.2</v>
      </c>
      <c r="C418" s="35">
        <v>-23.1</v>
      </c>
      <c r="D418" s="35">
        <v>-23</v>
      </c>
      <c r="E418" s="35">
        <v>-22.8</v>
      </c>
      <c r="F418" s="35">
        <v>-21.8</v>
      </c>
      <c r="G418" s="35">
        <v>-23</v>
      </c>
      <c r="H418" s="35">
        <v>-21.3</v>
      </c>
      <c r="I418" s="35">
        <v>-21.9</v>
      </c>
      <c r="J418" s="35">
        <v>-23</v>
      </c>
      <c r="K418" s="35">
        <v>-20.9</v>
      </c>
      <c r="L418" s="35">
        <v>-7</v>
      </c>
      <c r="M418" s="35">
        <v>-23</v>
      </c>
      <c r="N418" s="35">
        <v>-3.1</v>
      </c>
      <c r="O418" s="35">
        <v>-3.6</v>
      </c>
      <c r="P418" s="35">
        <v>-5</v>
      </c>
      <c r="Q418" s="35">
        <v>-2.9</v>
      </c>
      <c r="R418" s="35">
        <v>-4</v>
      </c>
      <c r="S418" s="35">
        <v>-5</v>
      </c>
      <c r="T418" s="35">
        <v>9.1</v>
      </c>
      <c r="U418" s="35">
        <v>9</v>
      </c>
      <c r="V418" s="35">
        <v>9.8000000000000007</v>
      </c>
      <c r="W418" s="35">
        <v>9</v>
      </c>
      <c r="X418" s="35">
        <v>10.3</v>
      </c>
      <c r="Y418" s="35">
        <v>9</v>
      </c>
      <c r="Z418" s="35">
        <v>11</v>
      </c>
      <c r="AA418" s="35">
        <v>9</v>
      </c>
      <c r="AB418" s="35">
        <v>21.6</v>
      </c>
      <c r="AC418" s="35">
        <v>20</v>
      </c>
      <c r="AD418" s="35">
        <v>21.6</v>
      </c>
      <c r="AE418" s="35">
        <v>20</v>
      </c>
    </row>
    <row r="419" spans="1:31" x14ac:dyDescent="0.35">
      <c r="A419" s="36">
        <v>46059.745138888888</v>
      </c>
      <c r="B419" s="35">
        <v>-22.2</v>
      </c>
      <c r="C419" s="35">
        <v>-23.6</v>
      </c>
      <c r="D419" s="35">
        <v>-23</v>
      </c>
      <c r="E419" s="35">
        <v>-22.9</v>
      </c>
      <c r="F419" s="35">
        <v>-21.8</v>
      </c>
      <c r="G419" s="35">
        <v>-23</v>
      </c>
      <c r="H419" s="35">
        <v>-21.4</v>
      </c>
      <c r="I419" s="35">
        <v>-21.9</v>
      </c>
      <c r="J419" s="35">
        <v>-23</v>
      </c>
      <c r="K419" s="35">
        <v>-20.9</v>
      </c>
      <c r="L419" s="35">
        <v>-7.9</v>
      </c>
      <c r="M419" s="35">
        <v>-23</v>
      </c>
      <c r="N419" s="35">
        <v>-3.1</v>
      </c>
      <c r="O419" s="35">
        <v>-3.7</v>
      </c>
      <c r="P419" s="35">
        <v>-5</v>
      </c>
      <c r="Q419" s="35">
        <v>-3</v>
      </c>
      <c r="R419" s="35">
        <v>-4</v>
      </c>
      <c r="S419" s="35">
        <v>-5</v>
      </c>
      <c r="T419" s="35">
        <v>9.4</v>
      </c>
      <c r="U419" s="35">
        <v>9</v>
      </c>
      <c r="V419" s="35">
        <v>9.8000000000000007</v>
      </c>
      <c r="W419" s="35">
        <v>9</v>
      </c>
      <c r="X419" s="35">
        <v>10.3</v>
      </c>
      <c r="Y419" s="35">
        <v>9</v>
      </c>
      <c r="Z419" s="35">
        <v>11</v>
      </c>
      <c r="AA419" s="35">
        <v>9</v>
      </c>
      <c r="AB419" s="35">
        <v>21.6</v>
      </c>
      <c r="AC419" s="35">
        <v>20</v>
      </c>
      <c r="AD419" s="35">
        <v>21.6</v>
      </c>
      <c r="AE419" s="35">
        <v>20</v>
      </c>
    </row>
    <row r="420" spans="1:31" x14ac:dyDescent="0.35">
      <c r="A420" s="36">
        <v>46059.745833333334</v>
      </c>
      <c r="B420" s="35">
        <v>-22.2</v>
      </c>
      <c r="C420" s="35">
        <v>-26.4</v>
      </c>
      <c r="D420" s="35">
        <v>-23</v>
      </c>
      <c r="E420" s="35">
        <v>-23.2</v>
      </c>
      <c r="F420" s="35">
        <v>-21.9</v>
      </c>
      <c r="G420" s="35">
        <v>-23</v>
      </c>
      <c r="H420" s="35">
        <v>-21.4</v>
      </c>
      <c r="I420" s="35">
        <v>-21.8</v>
      </c>
      <c r="J420" s="35">
        <v>-23</v>
      </c>
      <c r="K420" s="35">
        <v>-20.8</v>
      </c>
      <c r="L420" s="35">
        <v>-8.6</v>
      </c>
      <c r="M420" s="35">
        <v>-23</v>
      </c>
      <c r="N420" s="35">
        <v>-3.1</v>
      </c>
      <c r="O420" s="35">
        <v>-3.7</v>
      </c>
      <c r="P420" s="35">
        <v>-5</v>
      </c>
      <c r="Q420" s="35">
        <v>-3</v>
      </c>
      <c r="R420" s="35">
        <v>-4</v>
      </c>
      <c r="S420" s="35">
        <v>-5</v>
      </c>
      <c r="T420" s="35">
        <v>9.6</v>
      </c>
      <c r="U420" s="35">
        <v>9</v>
      </c>
      <c r="V420" s="35">
        <v>9.8000000000000007</v>
      </c>
      <c r="W420" s="35">
        <v>9</v>
      </c>
      <c r="X420" s="35">
        <v>10.3</v>
      </c>
      <c r="Y420" s="35">
        <v>9</v>
      </c>
      <c r="Z420" s="35">
        <v>11</v>
      </c>
      <c r="AA420" s="35">
        <v>9</v>
      </c>
      <c r="AB420" s="35">
        <v>21.6</v>
      </c>
      <c r="AC420" s="35">
        <v>20</v>
      </c>
      <c r="AD420" s="35">
        <v>21.6</v>
      </c>
      <c r="AE420" s="35">
        <v>20</v>
      </c>
    </row>
    <row r="421" spans="1:31" x14ac:dyDescent="0.35">
      <c r="A421" s="36">
        <v>46059.746527777781</v>
      </c>
      <c r="B421" s="35">
        <v>-22.4</v>
      </c>
      <c r="C421" s="35">
        <v>-27.3</v>
      </c>
      <c r="D421" s="35">
        <v>-23</v>
      </c>
      <c r="E421" s="35">
        <v>-23.4</v>
      </c>
      <c r="F421" s="35">
        <v>-22</v>
      </c>
      <c r="G421" s="35">
        <v>-23</v>
      </c>
      <c r="H421" s="35">
        <v>-21.4</v>
      </c>
      <c r="I421" s="35">
        <v>-21.7</v>
      </c>
      <c r="J421" s="35">
        <v>-23</v>
      </c>
      <c r="K421" s="35">
        <v>-20.7</v>
      </c>
      <c r="L421" s="35">
        <v>-9.4</v>
      </c>
      <c r="M421" s="35">
        <v>-23</v>
      </c>
      <c r="N421" s="35">
        <v>-3.1</v>
      </c>
      <c r="O421" s="35">
        <v>-3.7</v>
      </c>
      <c r="P421" s="35">
        <v>-5</v>
      </c>
      <c r="Q421" s="35">
        <v>-3</v>
      </c>
      <c r="R421" s="35">
        <v>-4</v>
      </c>
      <c r="S421" s="35">
        <v>-5</v>
      </c>
      <c r="T421" s="35">
        <v>9.9</v>
      </c>
      <c r="U421" s="35">
        <v>9</v>
      </c>
      <c r="V421" s="35">
        <v>9.8000000000000007</v>
      </c>
      <c r="W421" s="35">
        <v>9</v>
      </c>
      <c r="X421" s="35">
        <v>10.3</v>
      </c>
      <c r="Y421" s="35">
        <v>9</v>
      </c>
      <c r="Z421" s="35">
        <v>11</v>
      </c>
      <c r="AA421" s="35">
        <v>9</v>
      </c>
      <c r="AB421" s="35">
        <v>21.6</v>
      </c>
      <c r="AC421" s="35">
        <v>20</v>
      </c>
      <c r="AD421" s="35">
        <v>21.6</v>
      </c>
      <c r="AE421" s="35">
        <v>20</v>
      </c>
    </row>
    <row r="422" spans="1:31" x14ac:dyDescent="0.35">
      <c r="A422" s="36">
        <v>46059.747916666667</v>
      </c>
      <c r="B422" s="35">
        <v>-22.5</v>
      </c>
      <c r="C422" s="35">
        <v>-24.8</v>
      </c>
      <c r="D422" s="35">
        <v>-23</v>
      </c>
      <c r="E422" s="35">
        <v>-23.3</v>
      </c>
      <c r="F422" s="35">
        <v>-22</v>
      </c>
      <c r="G422" s="35">
        <v>-23</v>
      </c>
      <c r="H422" s="35">
        <v>-21.4</v>
      </c>
      <c r="I422" s="35">
        <v>-22.1</v>
      </c>
      <c r="J422" s="35">
        <v>-23</v>
      </c>
      <c r="K422" s="35">
        <v>-21.2</v>
      </c>
      <c r="L422" s="35">
        <v>-10.6</v>
      </c>
      <c r="M422" s="35">
        <v>-23</v>
      </c>
      <c r="N422" s="35">
        <v>-3.2</v>
      </c>
      <c r="O422" s="35">
        <v>-3.8</v>
      </c>
      <c r="P422" s="35">
        <v>-5</v>
      </c>
      <c r="Q422" s="35">
        <v>-3</v>
      </c>
      <c r="R422" s="35">
        <v>-4</v>
      </c>
      <c r="S422" s="35">
        <v>-5</v>
      </c>
      <c r="T422" s="35">
        <v>10.199999999999999</v>
      </c>
      <c r="U422" s="35">
        <v>9</v>
      </c>
      <c r="V422" s="35">
        <v>9.9</v>
      </c>
      <c r="W422" s="35">
        <v>9</v>
      </c>
      <c r="X422" s="35">
        <v>10.199999999999999</v>
      </c>
      <c r="Y422" s="35">
        <v>9</v>
      </c>
      <c r="Z422" s="35">
        <v>11</v>
      </c>
      <c r="AA422" s="35">
        <v>9</v>
      </c>
      <c r="AB422" s="35">
        <v>21.6</v>
      </c>
      <c r="AC422" s="35">
        <v>20</v>
      </c>
      <c r="AD422" s="35">
        <v>21.6</v>
      </c>
      <c r="AE422" s="35">
        <v>20</v>
      </c>
    </row>
    <row r="423" spans="1:31" x14ac:dyDescent="0.35">
      <c r="A423" s="36">
        <v>46059.748611111114</v>
      </c>
      <c r="B423" s="35">
        <v>-22.5</v>
      </c>
      <c r="C423" s="35">
        <v>-24.1</v>
      </c>
      <c r="D423" s="35">
        <v>-23</v>
      </c>
      <c r="E423" s="35">
        <v>-23.1</v>
      </c>
      <c r="F423" s="35">
        <v>-22</v>
      </c>
      <c r="G423" s="35">
        <v>-23</v>
      </c>
      <c r="H423" s="35">
        <v>-21.5</v>
      </c>
      <c r="I423" s="35">
        <v>-22.2</v>
      </c>
      <c r="J423" s="35">
        <v>-23</v>
      </c>
      <c r="K423" s="35">
        <v>-21.4</v>
      </c>
      <c r="L423" s="35">
        <v>-11</v>
      </c>
      <c r="M423" s="35">
        <v>-23</v>
      </c>
      <c r="N423" s="35">
        <v>-3.2</v>
      </c>
      <c r="O423" s="35">
        <v>-3.8</v>
      </c>
      <c r="P423" s="35">
        <v>-5</v>
      </c>
      <c r="Q423" s="35">
        <v>-3</v>
      </c>
      <c r="R423" s="35">
        <v>-4</v>
      </c>
      <c r="S423" s="35">
        <v>-5</v>
      </c>
      <c r="T423" s="35">
        <v>10.3</v>
      </c>
      <c r="U423" s="35">
        <v>9</v>
      </c>
      <c r="V423" s="35">
        <v>10</v>
      </c>
      <c r="W423" s="35">
        <v>9</v>
      </c>
      <c r="X423" s="35">
        <v>10.1</v>
      </c>
      <c r="Y423" s="35">
        <v>9</v>
      </c>
      <c r="Z423" s="35">
        <v>11</v>
      </c>
      <c r="AA423" s="35">
        <v>9</v>
      </c>
      <c r="AB423" s="35">
        <v>21.6</v>
      </c>
      <c r="AC423" s="35">
        <v>20</v>
      </c>
      <c r="AD423" s="35">
        <v>21.6</v>
      </c>
      <c r="AE423" s="35">
        <v>20</v>
      </c>
    </row>
    <row r="424" spans="1:31" x14ac:dyDescent="0.35">
      <c r="A424" s="36">
        <v>46059.749305555553</v>
      </c>
      <c r="B424" s="35">
        <v>-22.5</v>
      </c>
      <c r="C424" s="35">
        <v>-23.6</v>
      </c>
      <c r="D424" s="35">
        <v>-23</v>
      </c>
      <c r="E424" s="35">
        <v>-23</v>
      </c>
      <c r="F424" s="35">
        <v>-22</v>
      </c>
      <c r="G424" s="35">
        <v>-23</v>
      </c>
      <c r="H424" s="35">
        <v>-21.6</v>
      </c>
      <c r="I424" s="35">
        <v>-22.2</v>
      </c>
      <c r="J424" s="35">
        <v>-23</v>
      </c>
      <c r="K424" s="35">
        <v>-21.6</v>
      </c>
      <c r="L424" s="35">
        <v>-11.6</v>
      </c>
      <c r="M424" s="35">
        <v>-23</v>
      </c>
      <c r="N424" s="35">
        <v>-3.3</v>
      </c>
      <c r="O424" s="35">
        <v>-3.8</v>
      </c>
      <c r="P424" s="35">
        <v>-5</v>
      </c>
      <c r="Q424" s="35">
        <v>-3</v>
      </c>
      <c r="R424" s="35">
        <v>-4</v>
      </c>
      <c r="S424" s="35">
        <v>-5</v>
      </c>
      <c r="T424" s="35">
        <v>10.4</v>
      </c>
      <c r="U424" s="35">
        <v>9</v>
      </c>
      <c r="V424" s="35">
        <v>10.1</v>
      </c>
      <c r="W424" s="35">
        <v>9</v>
      </c>
      <c r="X424" s="35">
        <v>10</v>
      </c>
      <c r="Y424" s="35">
        <v>9</v>
      </c>
      <c r="Z424" s="35">
        <v>11</v>
      </c>
      <c r="AA424" s="35">
        <v>9</v>
      </c>
      <c r="AB424" s="35">
        <v>21.6</v>
      </c>
      <c r="AC424" s="35">
        <v>20</v>
      </c>
      <c r="AD424" s="35">
        <v>21.6</v>
      </c>
      <c r="AE424" s="35">
        <v>20</v>
      </c>
    </row>
    <row r="425" spans="1:31" x14ac:dyDescent="0.35">
      <c r="A425" s="36">
        <v>46059.75</v>
      </c>
      <c r="B425" s="35">
        <v>-22.4</v>
      </c>
      <c r="C425" s="35">
        <v>-23.3</v>
      </c>
      <c r="D425" s="35">
        <v>-23</v>
      </c>
      <c r="E425" s="35">
        <v>-23</v>
      </c>
      <c r="F425" s="35">
        <v>-22</v>
      </c>
      <c r="G425" s="35">
        <v>-23</v>
      </c>
      <c r="H425" s="35">
        <v>-21.7</v>
      </c>
      <c r="I425" s="35">
        <v>-22.2</v>
      </c>
      <c r="J425" s="35">
        <v>-23</v>
      </c>
      <c r="K425" s="35">
        <v>-21.6</v>
      </c>
      <c r="L425" s="35">
        <v>-12.3</v>
      </c>
      <c r="M425" s="35">
        <v>-23</v>
      </c>
      <c r="N425" s="35">
        <v>-3.3</v>
      </c>
      <c r="O425" s="35">
        <v>-3.9</v>
      </c>
      <c r="P425" s="35">
        <v>-5</v>
      </c>
      <c r="Q425" s="35">
        <v>-3</v>
      </c>
      <c r="R425" s="35">
        <v>-4</v>
      </c>
      <c r="S425" s="35">
        <v>-5</v>
      </c>
      <c r="T425" s="35">
        <v>10.5</v>
      </c>
      <c r="U425" s="35">
        <v>9</v>
      </c>
      <c r="V425" s="35">
        <v>10.199999999999999</v>
      </c>
      <c r="W425" s="35">
        <v>9</v>
      </c>
      <c r="X425" s="35">
        <v>10</v>
      </c>
      <c r="Y425" s="35">
        <v>9</v>
      </c>
      <c r="Z425" s="35">
        <v>11</v>
      </c>
      <c r="AA425" s="35">
        <v>9</v>
      </c>
      <c r="AB425" s="35">
        <v>21.6</v>
      </c>
      <c r="AC425" s="35">
        <v>20</v>
      </c>
      <c r="AD425" s="35">
        <v>21.6</v>
      </c>
      <c r="AE425" s="35">
        <v>20</v>
      </c>
    </row>
    <row r="426" spans="1:31" x14ac:dyDescent="0.35">
      <c r="A426" s="36">
        <v>46059.750694444447</v>
      </c>
      <c r="B426" s="35">
        <v>-22.4</v>
      </c>
      <c r="C426" s="35">
        <v>-23.7</v>
      </c>
      <c r="D426" s="35">
        <v>-23</v>
      </c>
      <c r="E426" s="35">
        <v>-23.1</v>
      </c>
      <c r="F426" s="35">
        <v>-22</v>
      </c>
      <c r="G426" s="35">
        <v>-23</v>
      </c>
      <c r="H426" s="35">
        <v>-21.8</v>
      </c>
      <c r="I426" s="35">
        <v>-22.2</v>
      </c>
      <c r="J426" s="35">
        <v>-23</v>
      </c>
      <c r="K426" s="35">
        <v>-21.6</v>
      </c>
      <c r="L426" s="35">
        <v>-12.9</v>
      </c>
      <c r="M426" s="35">
        <v>-23</v>
      </c>
      <c r="N426" s="35">
        <v>-3.4</v>
      </c>
      <c r="O426" s="35">
        <v>-3.9</v>
      </c>
      <c r="P426" s="35">
        <v>-5</v>
      </c>
      <c r="Q426" s="35">
        <v>-3.1</v>
      </c>
      <c r="R426" s="35">
        <v>-4</v>
      </c>
      <c r="S426" s="35">
        <v>-5</v>
      </c>
      <c r="T426" s="35">
        <v>10.6</v>
      </c>
      <c r="U426" s="35">
        <v>9</v>
      </c>
      <c r="V426" s="35">
        <v>10.199999999999999</v>
      </c>
      <c r="W426" s="35">
        <v>9</v>
      </c>
      <c r="X426" s="35">
        <v>10</v>
      </c>
      <c r="Y426" s="35">
        <v>9</v>
      </c>
      <c r="Z426" s="35">
        <v>11</v>
      </c>
      <c r="AA426" s="35">
        <v>9</v>
      </c>
      <c r="AB426" s="35">
        <v>21.6</v>
      </c>
      <c r="AC426" s="35">
        <v>20</v>
      </c>
      <c r="AD426" s="35">
        <v>21.6</v>
      </c>
      <c r="AE426" s="35">
        <v>20</v>
      </c>
    </row>
    <row r="427" spans="1:31" x14ac:dyDescent="0.35">
      <c r="A427" s="36">
        <v>46059.751388888886</v>
      </c>
      <c r="B427" s="35">
        <v>-22.4</v>
      </c>
      <c r="C427" s="35">
        <v>-26.1</v>
      </c>
      <c r="D427" s="35">
        <v>-23</v>
      </c>
      <c r="E427" s="35">
        <v>-23.4</v>
      </c>
      <c r="F427" s="35">
        <v>-22.1</v>
      </c>
      <c r="G427" s="35">
        <v>-23</v>
      </c>
      <c r="H427" s="35">
        <v>-21.8</v>
      </c>
      <c r="I427" s="35">
        <v>-22.1</v>
      </c>
      <c r="J427" s="35">
        <v>-23</v>
      </c>
      <c r="K427" s="35">
        <v>-21.6</v>
      </c>
      <c r="L427" s="35">
        <v>-13.4</v>
      </c>
      <c r="M427" s="35">
        <v>-23</v>
      </c>
      <c r="N427" s="35">
        <v>-3.4</v>
      </c>
      <c r="O427" s="35">
        <v>-3.9</v>
      </c>
      <c r="P427" s="35">
        <v>-5</v>
      </c>
      <c r="Q427" s="35">
        <v>-3.1</v>
      </c>
      <c r="R427" s="35">
        <v>-4.0999999999999996</v>
      </c>
      <c r="S427" s="35">
        <v>-5</v>
      </c>
      <c r="T427" s="35">
        <v>10.7</v>
      </c>
      <c r="U427" s="35">
        <v>9</v>
      </c>
      <c r="V427" s="35">
        <v>10.3</v>
      </c>
      <c r="W427" s="35">
        <v>9</v>
      </c>
      <c r="X427" s="35">
        <v>10</v>
      </c>
      <c r="Y427" s="35">
        <v>9</v>
      </c>
      <c r="Z427" s="35">
        <v>11</v>
      </c>
      <c r="AA427" s="35">
        <v>9</v>
      </c>
      <c r="AB427" s="35">
        <v>21.6</v>
      </c>
      <c r="AC427" s="35">
        <v>20</v>
      </c>
      <c r="AD427" s="35">
        <v>21.6</v>
      </c>
      <c r="AE427" s="35">
        <v>20</v>
      </c>
    </row>
    <row r="428" spans="1:31" x14ac:dyDescent="0.35">
      <c r="A428" s="36">
        <v>46059.752083333333</v>
      </c>
      <c r="B428" s="35">
        <v>-22.5</v>
      </c>
      <c r="C428" s="35">
        <v>-27.6</v>
      </c>
      <c r="D428" s="35">
        <v>-23</v>
      </c>
      <c r="E428" s="35">
        <v>-23.7</v>
      </c>
      <c r="F428" s="35">
        <v>-22.2</v>
      </c>
      <c r="G428" s="35">
        <v>-23</v>
      </c>
      <c r="H428" s="35">
        <v>-21.8</v>
      </c>
      <c r="I428" s="35">
        <v>-22</v>
      </c>
      <c r="J428" s="35">
        <v>-23</v>
      </c>
      <c r="K428" s="35">
        <v>-21.5</v>
      </c>
      <c r="L428" s="35">
        <v>-13.9</v>
      </c>
      <c r="M428" s="35">
        <v>-23</v>
      </c>
      <c r="N428" s="35">
        <v>-3.4</v>
      </c>
      <c r="O428" s="35">
        <v>-4</v>
      </c>
      <c r="P428" s="35">
        <v>-5</v>
      </c>
      <c r="Q428" s="35">
        <v>-3.2</v>
      </c>
      <c r="R428" s="35">
        <v>-4.0999999999999996</v>
      </c>
      <c r="S428" s="35">
        <v>-5</v>
      </c>
      <c r="T428" s="35">
        <v>10.8</v>
      </c>
      <c r="U428" s="35">
        <v>9</v>
      </c>
      <c r="V428" s="35">
        <v>10.4</v>
      </c>
      <c r="W428" s="35">
        <v>9</v>
      </c>
      <c r="X428" s="35">
        <v>9.9</v>
      </c>
      <c r="Y428" s="35">
        <v>9</v>
      </c>
      <c r="Z428" s="35">
        <v>11</v>
      </c>
      <c r="AA428" s="35">
        <v>9</v>
      </c>
      <c r="AB428" s="35">
        <v>21.6</v>
      </c>
      <c r="AC428" s="35">
        <v>20</v>
      </c>
      <c r="AD428" s="35">
        <v>21.6</v>
      </c>
      <c r="AE428" s="35">
        <v>20</v>
      </c>
    </row>
    <row r="429" spans="1:31" x14ac:dyDescent="0.35">
      <c r="A429" s="36">
        <v>46059.75277777778</v>
      </c>
      <c r="B429" s="35">
        <v>-22.7</v>
      </c>
      <c r="C429" s="35">
        <v>-26.3</v>
      </c>
      <c r="D429" s="35">
        <v>-23</v>
      </c>
      <c r="E429" s="35">
        <v>-23.7</v>
      </c>
      <c r="F429" s="35">
        <v>-22.3</v>
      </c>
      <c r="G429" s="35">
        <v>-23</v>
      </c>
      <c r="H429" s="35">
        <v>-21.8</v>
      </c>
      <c r="I429" s="35">
        <v>-22</v>
      </c>
      <c r="J429" s="35">
        <v>-23</v>
      </c>
      <c r="K429" s="35">
        <v>-21.5</v>
      </c>
      <c r="L429" s="35">
        <v>-14.2</v>
      </c>
      <c r="M429" s="35">
        <v>-23</v>
      </c>
      <c r="N429" s="35">
        <v>-3.4</v>
      </c>
      <c r="O429" s="35">
        <v>-4</v>
      </c>
      <c r="P429" s="35">
        <v>-5</v>
      </c>
      <c r="Q429" s="35">
        <v>-3.2</v>
      </c>
      <c r="R429" s="35">
        <v>-4.0999999999999996</v>
      </c>
      <c r="S429" s="35">
        <v>-5</v>
      </c>
      <c r="T429" s="35">
        <v>10.9</v>
      </c>
      <c r="U429" s="35">
        <v>9</v>
      </c>
      <c r="V429" s="35">
        <v>10.4</v>
      </c>
      <c r="W429" s="35">
        <v>9</v>
      </c>
      <c r="X429" s="35">
        <v>9.9</v>
      </c>
      <c r="Y429" s="35">
        <v>9</v>
      </c>
      <c r="Z429" s="35">
        <v>11</v>
      </c>
      <c r="AA429" s="35">
        <v>9</v>
      </c>
      <c r="AB429" s="35">
        <v>21.6</v>
      </c>
      <c r="AC429" s="35">
        <v>20</v>
      </c>
      <c r="AD429" s="35">
        <v>21.6</v>
      </c>
      <c r="AE429" s="35">
        <v>20</v>
      </c>
    </row>
    <row r="430" spans="1:31" x14ac:dyDescent="0.35">
      <c r="A430" s="36">
        <v>46059.754166666666</v>
      </c>
      <c r="B430" s="35">
        <v>-22.7</v>
      </c>
      <c r="C430" s="35">
        <v>-24.4</v>
      </c>
      <c r="D430" s="35">
        <v>-23</v>
      </c>
      <c r="E430" s="35">
        <v>-23.4</v>
      </c>
      <c r="F430" s="35">
        <v>-22.3</v>
      </c>
      <c r="G430" s="35">
        <v>-23</v>
      </c>
      <c r="H430" s="35">
        <v>-21.8</v>
      </c>
      <c r="I430" s="35">
        <v>-22.5</v>
      </c>
      <c r="J430" s="35">
        <v>-23</v>
      </c>
      <c r="K430" s="35">
        <v>-21.9</v>
      </c>
      <c r="L430" s="35">
        <v>-14.9</v>
      </c>
      <c r="M430" s="35">
        <v>-23</v>
      </c>
      <c r="N430" s="35">
        <v>-3.5</v>
      </c>
      <c r="O430" s="35">
        <v>-4</v>
      </c>
      <c r="P430" s="35">
        <v>-5</v>
      </c>
      <c r="Q430" s="35">
        <v>-3.2</v>
      </c>
      <c r="R430" s="35">
        <v>-4.0999999999999996</v>
      </c>
      <c r="S430" s="35">
        <v>-5</v>
      </c>
      <c r="T430" s="35">
        <v>11</v>
      </c>
      <c r="U430" s="35">
        <v>9</v>
      </c>
      <c r="V430" s="35">
        <v>10.4</v>
      </c>
      <c r="W430" s="35">
        <v>9</v>
      </c>
      <c r="X430" s="35">
        <v>9.9</v>
      </c>
      <c r="Y430" s="35">
        <v>9</v>
      </c>
      <c r="Z430" s="35">
        <v>11</v>
      </c>
      <c r="AA430" s="35">
        <v>9</v>
      </c>
      <c r="AB430" s="35">
        <v>21.6</v>
      </c>
      <c r="AC430" s="35">
        <v>20</v>
      </c>
      <c r="AD430" s="35">
        <v>21.6</v>
      </c>
      <c r="AE430" s="35">
        <v>20</v>
      </c>
    </row>
    <row r="431" spans="1:31" x14ac:dyDescent="0.35">
      <c r="A431" s="36">
        <v>46059.754861111112</v>
      </c>
      <c r="B431" s="35">
        <v>-22.7</v>
      </c>
      <c r="C431" s="35">
        <v>-23.9</v>
      </c>
      <c r="D431" s="35">
        <v>-23</v>
      </c>
      <c r="E431" s="35">
        <v>-23.3</v>
      </c>
      <c r="F431" s="35">
        <v>-22.3</v>
      </c>
      <c r="G431" s="35">
        <v>-23</v>
      </c>
      <c r="H431" s="35">
        <v>-21.9</v>
      </c>
      <c r="I431" s="35">
        <v>-22.5</v>
      </c>
      <c r="J431" s="35">
        <v>-23</v>
      </c>
      <c r="K431" s="35">
        <v>-22.1</v>
      </c>
      <c r="L431" s="35">
        <v>-15.2</v>
      </c>
      <c r="M431" s="35">
        <v>-23</v>
      </c>
      <c r="N431" s="35">
        <v>-3.5</v>
      </c>
      <c r="O431" s="35">
        <v>-4</v>
      </c>
      <c r="P431" s="35">
        <v>-5</v>
      </c>
      <c r="Q431" s="35">
        <v>-3.2</v>
      </c>
      <c r="R431" s="35">
        <v>-4.0999999999999996</v>
      </c>
      <c r="S431" s="35">
        <v>-5</v>
      </c>
      <c r="T431" s="35">
        <v>10.8</v>
      </c>
      <c r="U431" s="35">
        <v>9</v>
      </c>
      <c r="V431" s="35">
        <v>10.5</v>
      </c>
      <c r="W431" s="35">
        <v>9</v>
      </c>
      <c r="X431" s="35">
        <v>10.199999999999999</v>
      </c>
      <c r="Y431" s="35">
        <v>9</v>
      </c>
      <c r="Z431" s="35">
        <v>11</v>
      </c>
      <c r="AA431" s="35">
        <v>9</v>
      </c>
      <c r="AB431" s="35">
        <v>21.6</v>
      </c>
      <c r="AC431" s="35">
        <v>20</v>
      </c>
      <c r="AD431" s="35">
        <v>21.6</v>
      </c>
      <c r="AE431" s="35">
        <v>20</v>
      </c>
    </row>
    <row r="432" spans="1:31" x14ac:dyDescent="0.35">
      <c r="A432" s="36">
        <v>46059.755555555559</v>
      </c>
      <c r="B432" s="35">
        <v>-22.7</v>
      </c>
      <c r="C432" s="35">
        <v>-23.6</v>
      </c>
      <c r="D432" s="35">
        <v>-23</v>
      </c>
      <c r="E432" s="35">
        <v>-23.3</v>
      </c>
      <c r="F432" s="35">
        <v>-22.3</v>
      </c>
      <c r="G432" s="35">
        <v>-23</v>
      </c>
      <c r="H432" s="35">
        <v>-22</v>
      </c>
      <c r="I432" s="35">
        <v>-22.6</v>
      </c>
      <c r="J432" s="35">
        <v>-23</v>
      </c>
      <c r="K432" s="35">
        <v>-22.2</v>
      </c>
      <c r="L432" s="35">
        <v>-15.6</v>
      </c>
      <c r="M432" s="35">
        <v>-23</v>
      </c>
      <c r="N432" s="35">
        <v>-3.5</v>
      </c>
      <c r="O432" s="35">
        <v>-4.0999999999999996</v>
      </c>
      <c r="P432" s="35">
        <v>-5</v>
      </c>
      <c r="Q432" s="35">
        <v>-3.2</v>
      </c>
      <c r="R432" s="35">
        <v>-4.0999999999999996</v>
      </c>
      <c r="S432" s="35">
        <v>-5</v>
      </c>
      <c r="T432" s="35">
        <v>10.4</v>
      </c>
      <c r="U432" s="35">
        <v>9</v>
      </c>
      <c r="V432" s="35">
        <v>10.5</v>
      </c>
      <c r="W432" s="35">
        <v>9</v>
      </c>
      <c r="X432" s="35">
        <v>10.4</v>
      </c>
      <c r="Y432" s="35">
        <v>9</v>
      </c>
      <c r="Z432" s="35">
        <v>11</v>
      </c>
      <c r="AA432" s="35">
        <v>9</v>
      </c>
      <c r="AB432" s="35">
        <v>21.6</v>
      </c>
      <c r="AC432" s="35">
        <v>20</v>
      </c>
      <c r="AD432" s="35">
        <v>21.6</v>
      </c>
      <c r="AE432" s="35">
        <v>20</v>
      </c>
    </row>
    <row r="433" spans="1:31" x14ac:dyDescent="0.35">
      <c r="A433" s="36">
        <v>46059.756249999999</v>
      </c>
      <c r="B433" s="35">
        <v>-22.6</v>
      </c>
      <c r="C433" s="35">
        <v>-23.6</v>
      </c>
      <c r="D433" s="35">
        <v>-23</v>
      </c>
      <c r="E433" s="35">
        <v>-23.3</v>
      </c>
      <c r="F433" s="35">
        <v>-22.3</v>
      </c>
      <c r="G433" s="35">
        <v>-23</v>
      </c>
      <c r="H433" s="35">
        <v>-22.1</v>
      </c>
      <c r="I433" s="35">
        <v>-22.6</v>
      </c>
      <c r="J433" s="35">
        <v>-23</v>
      </c>
      <c r="K433" s="35">
        <v>-22.2</v>
      </c>
      <c r="L433" s="35">
        <v>-15.7</v>
      </c>
      <c r="M433" s="35">
        <v>-23</v>
      </c>
      <c r="N433" s="35">
        <v>-3.5</v>
      </c>
      <c r="O433" s="35">
        <v>-4.0999999999999996</v>
      </c>
      <c r="P433" s="35">
        <v>-5</v>
      </c>
      <c r="Q433" s="35">
        <v>-3.2</v>
      </c>
      <c r="R433" s="35">
        <v>-4.0999999999999996</v>
      </c>
      <c r="S433" s="35">
        <v>-5</v>
      </c>
      <c r="T433" s="35">
        <v>9.9</v>
      </c>
      <c r="U433" s="35">
        <v>9</v>
      </c>
      <c r="V433" s="35">
        <v>10.5</v>
      </c>
      <c r="W433" s="35">
        <v>9</v>
      </c>
      <c r="X433" s="35">
        <v>10.6</v>
      </c>
      <c r="Y433" s="35">
        <v>9</v>
      </c>
      <c r="Z433" s="35">
        <v>11</v>
      </c>
      <c r="AA433" s="35">
        <v>9</v>
      </c>
      <c r="AB433" s="35">
        <v>21.6</v>
      </c>
      <c r="AC433" s="35">
        <v>20</v>
      </c>
      <c r="AD433" s="35">
        <v>21.6</v>
      </c>
      <c r="AE433" s="35">
        <v>20</v>
      </c>
    </row>
    <row r="434" spans="1:31" x14ac:dyDescent="0.35">
      <c r="A434" s="36">
        <v>46059.756944444445</v>
      </c>
      <c r="B434" s="35">
        <v>-22.6</v>
      </c>
      <c r="C434" s="35">
        <v>-26</v>
      </c>
      <c r="D434" s="35">
        <v>-23</v>
      </c>
      <c r="E434" s="35">
        <v>-23.6</v>
      </c>
      <c r="F434" s="35">
        <v>-22.3</v>
      </c>
      <c r="G434" s="35">
        <v>-23</v>
      </c>
      <c r="H434" s="35">
        <v>-22.1</v>
      </c>
      <c r="I434" s="35">
        <v>-22.5</v>
      </c>
      <c r="J434" s="35">
        <v>-23</v>
      </c>
      <c r="K434" s="35">
        <v>-22.1</v>
      </c>
      <c r="L434" s="35">
        <v>-15.9</v>
      </c>
      <c r="M434" s="35">
        <v>-23</v>
      </c>
      <c r="N434" s="35">
        <v>-3.5</v>
      </c>
      <c r="O434" s="35">
        <v>-4.2</v>
      </c>
      <c r="P434" s="35">
        <v>-5</v>
      </c>
      <c r="Q434" s="35">
        <v>-3.2</v>
      </c>
      <c r="R434" s="35">
        <v>-4.2</v>
      </c>
      <c r="S434" s="35">
        <v>-5</v>
      </c>
      <c r="T434" s="35">
        <v>9.5</v>
      </c>
      <c r="U434" s="35">
        <v>9</v>
      </c>
      <c r="V434" s="35">
        <v>10.4</v>
      </c>
      <c r="W434" s="35">
        <v>9</v>
      </c>
      <c r="X434" s="35">
        <v>10.6</v>
      </c>
      <c r="Y434" s="35">
        <v>9</v>
      </c>
      <c r="Z434" s="35">
        <v>11</v>
      </c>
      <c r="AA434" s="35">
        <v>9</v>
      </c>
      <c r="AB434" s="35">
        <v>21.6</v>
      </c>
      <c r="AC434" s="35">
        <v>20</v>
      </c>
      <c r="AD434" s="35">
        <v>21.6</v>
      </c>
      <c r="AE434" s="35">
        <v>20</v>
      </c>
    </row>
    <row r="435" spans="1:31" x14ac:dyDescent="0.35">
      <c r="A435" s="36">
        <v>46059.758333333331</v>
      </c>
      <c r="B435" s="35">
        <v>-22.8</v>
      </c>
      <c r="C435" s="35">
        <v>-26.8</v>
      </c>
      <c r="D435" s="35">
        <v>-23</v>
      </c>
      <c r="E435" s="35">
        <v>-23.8</v>
      </c>
      <c r="F435" s="35">
        <v>-22.5</v>
      </c>
      <c r="G435" s="35">
        <v>-23</v>
      </c>
      <c r="H435" s="35">
        <v>-22.1</v>
      </c>
      <c r="I435" s="35">
        <v>-22.3</v>
      </c>
      <c r="J435" s="35">
        <v>-23</v>
      </c>
      <c r="K435" s="35">
        <v>-22</v>
      </c>
      <c r="L435" s="35">
        <v>-16.2</v>
      </c>
      <c r="M435" s="35">
        <v>-23</v>
      </c>
      <c r="N435" s="35">
        <v>-3.6</v>
      </c>
      <c r="O435" s="35">
        <v>-4.2</v>
      </c>
      <c r="P435" s="35">
        <v>-5</v>
      </c>
      <c r="Q435" s="35">
        <v>-3.3</v>
      </c>
      <c r="R435" s="35">
        <v>-4.2</v>
      </c>
      <c r="S435" s="35">
        <v>-5</v>
      </c>
      <c r="T435" s="35">
        <v>8.8000000000000007</v>
      </c>
      <c r="U435" s="35">
        <v>9</v>
      </c>
      <c r="V435" s="35">
        <v>10.1</v>
      </c>
      <c r="W435" s="35">
        <v>9</v>
      </c>
      <c r="X435" s="35">
        <v>10.6</v>
      </c>
      <c r="Y435" s="35">
        <v>9</v>
      </c>
      <c r="Z435" s="35">
        <v>11</v>
      </c>
      <c r="AA435" s="35">
        <v>9</v>
      </c>
      <c r="AB435" s="35">
        <v>21.6</v>
      </c>
      <c r="AC435" s="35">
        <v>20</v>
      </c>
      <c r="AD435" s="35">
        <v>21.6</v>
      </c>
      <c r="AE435" s="35">
        <v>20</v>
      </c>
    </row>
    <row r="436" spans="1:31" x14ac:dyDescent="0.35">
      <c r="A436" s="36">
        <v>46059.759027777778</v>
      </c>
      <c r="B436" s="35">
        <v>-22.9</v>
      </c>
      <c r="C436" s="35">
        <v>-25.5</v>
      </c>
      <c r="D436" s="35">
        <v>-23</v>
      </c>
      <c r="E436" s="35">
        <v>-23.8</v>
      </c>
      <c r="F436" s="35">
        <v>-22.5</v>
      </c>
      <c r="G436" s="35">
        <v>-23</v>
      </c>
      <c r="H436" s="35">
        <v>-22.1</v>
      </c>
      <c r="I436" s="35">
        <v>-22.4</v>
      </c>
      <c r="J436" s="35">
        <v>-23</v>
      </c>
      <c r="K436" s="35">
        <v>-22.1</v>
      </c>
      <c r="L436" s="35">
        <v>-16.399999999999999</v>
      </c>
      <c r="M436" s="35">
        <v>-23</v>
      </c>
      <c r="N436" s="35">
        <v>-3.6</v>
      </c>
      <c r="O436" s="35">
        <v>-4.2</v>
      </c>
      <c r="P436" s="35">
        <v>-5</v>
      </c>
      <c r="Q436" s="35">
        <v>-3.3</v>
      </c>
      <c r="R436" s="35">
        <v>-4.2</v>
      </c>
      <c r="S436" s="35">
        <v>-5</v>
      </c>
      <c r="T436" s="35">
        <v>8.8000000000000007</v>
      </c>
      <c r="U436" s="35">
        <v>9</v>
      </c>
      <c r="V436" s="35">
        <v>10</v>
      </c>
      <c r="W436" s="35">
        <v>9</v>
      </c>
      <c r="X436" s="35">
        <v>10.4</v>
      </c>
      <c r="Y436" s="35">
        <v>9</v>
      </c>
      <c r="Z436" s="35">
        <v>11.1</v>
      </c>
      <c r="AA436" s="35">
        <v>9</v>
      </c>
      <c r="AB436" s="35">
        <v>21.6</v>
      </c>
      <c r="AC436" s="35">
        <v>20</v>
      </c>
      <c r="AD436" s="35">
        <v>21.6</v>
      </c>
      <c r="AE436" s="35">
        <v>20</v>
      </c>
    </row>
    <row r="437" spans="1:31" x14ac:dyDescent="0.35">
      <c r="A437" s="36">
        <v>46059.759722222225</v>
      </c>
      <c r="B437" s="35">
        <v>-22.9</v>
      </c>
      <c r="C437" s="35">
        <v>-24.7</v>
      </c>
      <c r="D437" s="35">
        <v>-23</v>
      </c>
      <c r="E437" s="35">
        <v>-23.7</v>
      </c>
      <c r="F437" s="35">
        <v>-22.5</v>
      </c>
      <c r="G437" s="35">
        <v>-23</v>
      </c>
      <c r="H437" s="35">
        <v>-22.1</v>
      </c>
      <c r="I437" s="35">
        <v>-22.7</v>
      </c>
      <c r="J437" s="35">
        <v>-23</v>
      </c>
      <c r="K437" s="35">
        <v>-22.3</v>
      </c>
      <c r="L437" s="35">
        <v>-16.600000000000001</v>
      </c>
      <c r="M437" s="35">
        <v>-23</v>
      </c>
      <c r="N437" s="35">
        <v>-3.6</v>
      </c>
      <c r="O437" s="35">
        <v>-4.2</v>
      </c>
      <c r="P437" s="35">
        <v>-5</v>
      </c>
      <c r="Q437" s="35">
        <v>-3.3</v>
      </c>
      <c r="R437" s="35">
        <v>-4.2</v>
      </c>
      <c r="S437" s="35">
        <v>-5</v>
      </c>
      <c r="T437" s="35">
        <v>8.8000000000000007</v>
      </c>
      <c r="U437" s="35">
        <v>9</v>
      </c>
      <c r="V437" s="35">
        <v>9.9</v>
      </c>
      <c r="W437" s="35">
        <v>9</v>
      </c>
      <c r="X437" s="35">
        <v>10.4</v>
      </c>
      <c r="Y437" s="35">
        <v>9</v>
      </c>
      <c r="Z437" s="35">
        <v>11.2</v>
      </c>
      <c r="AA437" s="35">
        <v>9</v>
      </c>
      <c r="AB437" s="35">
        <v>21.6</v>
      </c>
      <c r="AC437" s="35">
        <v>20</v>
      </c>
      <c r="AD437" s="35">
        <v>21.6</v>
      </c>
      <c r="AE437" s="35">
        <v>20</v>
      </c>
    </row>
    <row r="438" spans="1:31" x14ac:dyDescent="0.35">
      <c r="A438" s="36">
        <v>46059.760416666664</v>
      </c>
      <c r="B438" s="35">
        <v>-22.9</v>
      </c>
      <c r="C438" s="35">
        <v>-24.2</v>
      </c>
      <c r="D438" s="35">
        <v>-23</v>
      </c>
      <c r="E438" s="35">
        <v>-23.6</v>
      </c>
      <c r="F438" s="35">
        <v>-22.5</v>
      </c>
      <c r="G438" s="35">
        <v>-23</v>
      </c>
      <c r="H438" s="35">
        <v>-22.1</v>
      </c>
      <c r="I438" s="35">
        <v>-22.8</v>
      </c>
      <c r="J438" s="35">
        <v>-23</v>
      </c>
      <c r="K438" s="35">
        <v>-22.5</v>
      </c>
      <c r="L438" s="35">
        <v>-16.8</v>
      </c>
      <c r="M438" s="35">
        <v>-23</v>
      </c>
      <c r="N438" s="35">
        <v>-3.6</v>
      </c>
      <c r="O438" s="35">
        <v>-4.3</v>
      </c>
      <c r="P438" s="35">
        <v>-5</v>
      </c>
      <c r="Q438" s="35">
        <v>-3.3</v>
      </c>
      <c r="R438" s="35">
        <v>-4.2</v>
      </c>
      <c r="S438" s="35">
        <v>-5</v>
      </c>
      <c r="T438" s="35">
        <v>9.1</v>
      </c>
      <c r="U438" s="35">
        <v>9</v>
      </c>
      <c r="V438" s="35">
        <v>9.9</v>
      </c>
      <c r="W438" s="35">
        <v>9</v>
      </c>
      <c r="X438" s="35">
        <v>10.4</v>
      </c>
      <c r="Y438" s="35">
        <v>9</v>
      </c>
      <c r="Z438" s="35">
        <v>11.2</v>
      </c>
      <c r="AA438" s="35">
        <v>9</v>
      </c>
      <c r="AB438" s="35">
        <v>21.6</v>
      </c>
      <c r="AC438" s="35">
        <v>20</v>
      </c>
      <c r="AD438" s="35">
        <v>21.6</v>
      </c>
      <c r="AE438" s="35">
        <v>20</v>
      </c>
    </row>
    <row r="439" spans="1:31" x14ac:dyDescent="0.35">
      <c r="A439" s="36">
        <v>46059.761111111111</v>
      </c>
      <c r="B439" s="35">
        <v>-22.9</v>
      </c>
      <c r="C439" s="35">
        <v>-23.9</v>
      </c>
      <c r="D439" s="35">
        <v>-23</v>
      </c>
      <c r="E439" s="35">
        <v>-23.5</v>
      </c>
      <c r="F439" s="35">
        <v>-22.5</v>
      </c>
      <c r="G439" s="35">
        <v>-23</v>
      </c>
      <c r="H439" s="35">
        <v>-22.2</v>
      </c>
      <c r="I439" s="35">
        <v>-22.8</v>
      </c>
      <c r="J439" s="35">
        <v>-23</v>
      </c>
      <c r="K439" s="35">
        <v>-22.5</v>
      </c>
      <c r="L439" s="35">
        <v>-17</v>
      </c>
      <c r="M439" s="35">
        <v>-23</v>
      </c>
      <c r="N439" s="35">
        <v>-3.7</v>
      </c>
      <c r="O439" s="35">
        <v>-4.3</v>
      </c>
      <c r="P439" s="35">
        <v>-5</v>
      </c>
      <c r="Q439" s="35">
        <v>-3.3</v>
      </c>
      <c r="R439" s="35">
        <v>-4.2</v>
      </c>
      <c r="S439" s="35">
        <v>-5</v>
      </c>
      <c r="T439" s="35">
        <v>9.4</v>
      </c>
      <c r="U439" s="35">
        <v>9</v>
      </c>
      <c r="V439" s="35">
        <v>9.9</v>
      </c>
      <c r="W439" s="35">
        <v>9</v>
      </c>
      <c r="X439" s="35">
        <v>10.4</v>
      </c>
      <c r="Y439" s="35">
        <v>9</v>
      </c>
      <c r="Z439" s="35">
        <v>11.2</v>
      </c>
      <c r="AA439" s="35">
        <v>9</v>
      </c>
      <c r="AB439" s="35">
        <v>21.6</v>
      </c>
      <c r="AC439" s="35">
        <v>20</v>
      </c>
      <c r="AD439" s="35">
        <v>21.6</v>
      </c>
      <c r="AE439" s="35">
        <v>20</v>
      </c>
    </row>
    <row r="440" spans="1:31" x14ac:dyDescent="0.35">
      <c r="A440" s="36">
        <v>46059.761805555558</v>
      </c>
      <c r="B440" s="35">
        <v>-22.8</v>
      </c>
      <c r="C440" s="35">
        <v>-23.8</v>
      </c>
      <c r="D440" s="35">
        <v>-23</v>
      </c>
      <c r="E440" s="35">
        <v>-23.5</v>
      </c>
      <c r="F440" s="35">
        <v>-22.5</v>
      </c>
      <c r="G440" s="35">
        <v>-23</v>
      </c>
      <c r="H440" s="35">
        <v>-22.3</v>
      </c>
      <c r="I440" s="35">
        <v>-22.8</v>
      </c>
      <c r="J440" s="35">
        <v>-23</v>
      </c>
      <c r="K440" s="35">
        <v>-22.5</v>
      </c>
      <c r="L440" s="35">
        <v>-17.100000000000001</v>
      </c>
      <c r="M440" s="35">
        <v>-23</v>
      </c>
      <c r="N440" s="35">
        <v>-3.7</v>
      </c>
      <c r="O440" s="35">
        <v>-4.3</v>
      </c>
      <c r="P440" s="35">
        <v>-5</v>
      </c>
      <c r="Q440" s="35">
        <v>-3.3</v>
      </c>
      <c r="R440" s="35">
        <v>-4.2</v>
      </c>
      <c r="S440" s="35">
        <v>-5</v>
      </c>
      <c r="T440" s="35">
        <v>9.6</v>
      </c>
      <c r="U440" s="35">
        <v>9</v>
      </c>
      <c r="V440" s="35">
        <v>9.9</v>
      </c>
      <c r="W440" s="35">
        <v>9</v>
      </c>
      <c r="X440" s="35">
        <v>10.4</v>
      </c>
      <c r="Y440" s="35">
        <v>9</v>
      </c>
      <c r="Z440" s="35">
        <v>11.2</v>
      </c>
      <c r="AA440" s="35">
        <v>9</v>
      </c>
      <c r="AB440" s="35">
        <v>21.6</v>
      </c>
      <c r="AC440" s="35">
        <v>20</v>
      </c>
      <c r="AD440" s="35">
        <v>21.6</v>
      </c>
      <c r="AE440" s="35">
        <v>20</v>
      </c>
    </row>
    <row r="441" spans="1:31" x14ac:dyDescent="0.35">
      <c r="A441" s="36">
        <v>46059.762499999997</v>
      </c>
      <c r="B441" s="35">
        <v>-22.8</v>
      </c>
      <c r="C441" s="35">
        <v>-26</v>
      </c>
      <c r="D441" s="35">
        <v>-23</v>
      </c>
      <c r="E441" s="35">
        <v>-23.8</v>
      </c>
      <c r="F441" s="35">
        <v>-22.6</v>
      </c>
      <c r="G441" s="35">
        <v>-23</v>
      </c>
      <c r="H441" s="35">
        <v>-22.3</v>
      </c>
      <c r="I441" s="35">
        <v>-22.8</v>
      </c>
      <c r="J441" s="35">
        <v>-23</v>
      </c>
      <c r="K441" s="35">
        <v>-22.5</v>
      </c>
      <c r="L441" s="35">
        <v>-17.2</v>
      </c>
      <c r="M441" s="35">
        <v>-23</v>
      </c>
      <c r="N441" s="35">
        <v>-3.7</v>
      </c>
      <c r="O441" s="35">
        <v>-4.3</v>
      </c>
      <c r="P441" s="35">
        <v>-5</v>
      </c>
      <c r="Q441" s="35">
        <v>-3.3</v>
      </c>
      <c r="R441" s="35">
        <v>-4.3</v>
      </c>
      <c r="S441" s="35">
        <v>-5</v>
      </c>
      <c r="T441" s="35">
        <v>9.9</v>
      </c>
      <c r="U441" s="35">
        <v>9</v>
      </c>
      <c r="V441" s="35">
        <v>9.9</v>
      </c>
      <c r="W441" s="35">
        <v>9</v>
      </c>
      <c r="X441" s="35">
        <v>10.4</v>
      </c>
      <c r="Y441" s="35">
        <v>9</v>
      </c>
      <c r="Z441" s="35">
        <v>11.2</v>
      </c>
      <c r="AA441" s="35">
        <v>9</v>
      </c>
      <c r="AB441" s="35">
        <v>21.6</v>
      </c>
      <c r="AC441" s="35">
        <v>20</v>
      </c>
      <c r="AD441" s="35">
        <v>21.6</v>
      </c>
      <c r="AE441" s="35">
        <v>20</v>
      </c>
    </row>
    <row r="442" spans="1:31" x14ac:dyDescent="0.35">
      <c r="A442" s="36">
        <v>46059.763194444444</v>
      </c>
      <c r="B442" s="35">
        <v>-22.9</v>
      </c>
      <c r="C442" s="35">
        <v>-28</v>
      </c>
      <c r="D442" s="35">
        <v>-23</v>
      </c>
      <c r="E442" s="35">
        <v>-24</v>
      </c>
      <c r="F442" s="35">
        <v>-22.7</v>
      </c>
      <c r="G442" s="35">
        <v>-23</v>
      </c>
      <c r="H442" s="35">
        <v>-22.3</v>
      </c>
      <c r="I442" s="35">
        <v>-22.7</v>
      </c>
      <c r="J442" s="35">
        <v>-23</v>
      </c>
      <c r="K442" s="35">
        <v>-22.4</v>
      </c>
      <c r="L442" s="35">
        <v>-17.2</v>
      </c>
      <c r="M442" s="35">
        <v>-23</v>
      </c>
      <c r="N442" s="35">
        <v>-3.7</v>
      </c>
      <c r="O442" s="35">
        <v>-4.3</v>
      </c>
      <c r="P442" s="35">
        <v>-5</v>
      </c>
      <c r="Q442" s="35">
        <v>-3.4</v>
      </c>
      <c r="R442" s="35">
        <v>-4.3</v>
      </c>
      <c r="S442" s="35">
        <v>-5</v>
      </c>
      <c r="T442" s="35">
        <v>10</v>
      </c>
      <c r="U442" s="35">
        <v>9</v>
      </c>
      <c r="V442" s="35">
        <v>9.9</v>
      </c>
      <c r="W442" s="35">
        <v>9</v>
      </c>
      <c r="X442" s="35">
        <v>10.4</v>
      </c>
      <c r="Y442" s="35">
        <v>9</v>
      </c>
      <c r="Z442" s="35">
        <v>11.2</v>
      </c>
      <c r="AA442" s="35">
        <v>9</v>
      </c>
      <c r="AB442" s="35">
        <v>21.6</v>
      </c>
      <c r="AC442" s="35">
        <v>20</v>
      </c>
      <c r="AD442" s="35">
        <v>21.6</v>
      </c>
      <c r="AE442" s="35">
        <v>20</v>
      </c>
    </row>
    <row r="443" spans="1:31" x14ac:dyDescent="0.35">
      <c r="A443" s="36">
        <v>46059.763888888891</v>
      </c>
      <c r="B443" s="35">
        <v>-23</v>
      </c>
      <c r="C443" s="35">
        <v>-27</v>
      </c>
      <c r="D443" s="35">
        <v>-23</v>
      </c>
      <c r="E443" s="35">
        <v>-24.1</v>
      </c>
      <c r="F443" s="35">
        <v>-22.7</v>
      </c>
      <c r="G443" s="35">
        <v>-23</v>
      </c>
      <c r="H443" s="35">
        <v>-22.2</v>
      </c>
      <c r="I443" s="35">
        <v>-22.6</v>
      </c>
      <c r="J443" s="35">
        <v>-23</v>
      </c>
      <c r="K443" s="35">
        <v>-22.3</v>
      </c>
      <c r="L443" s="35">
        <v>-17.3</v>
      </c>
      <c r="M443" s="35">
        <v>-23</v>
      </c>
      <c r="N443" s="35">
        <v>-3.7</v>
      </c>
      <c r="O443" s="35">
        <v>-4.4000000000000004</v>
      </c>
      <c r="P443" s="35">
        <v>-5</v>
      </c>
      <c r="Q443" s="35">
        <v>-3.4</v>
      </c>
      <c r="R443" s="35">
        <v>-4.4000000000000004</v>
      </c>
      <c r="S443" s="35">
        <v>-5</v>
      </c>
      <c r="T443" s="35">
        <v>10.199999999999999</v>
      </c>
      <c r="U443" s="35">
        <v>9</v>
      </c>
      <c r="V443" s="35">
        <v>10</v>
      </c>
      <c r="W443" s="35">
        <v>9</v>
      </c>
      <c r="X443" s="35">
        <v>10.4</v>
      </c>
      <c r="Y443" s="35">
        <v>9</v>
      </c>
      <c r="Z443" s="35">
        <v>11.2</v>
      </c>
      <c r="AA443" s="35">
        <v>9</v>
      </c>
      <c r="AB443" s="35">
        <v>21.6</v>
      </c>
      <c r="AC443" s="35">
        <v>20</v>
      </c>
      <c r="AD443" s="35">
        <v>21.6</v>
      </c>
      <c r="AE443" s="35">
        <v>20</v>
      </c>
    </row>
    <row r="444" spans="1:31" x14ac:dyDescent="0.35">
      <c r="A444" s="36">
        <v>46059.76458333333</v>
      </c>
      <c r="B444" s="35">
        <v>-23.1</v>
      </c>
      <c r="C444" s="35">
        <v>-25.7</v>
      </c>
      <c r="D444" s="35">
        <v>-23</v>
      </c>
      <c r="E444" s="35">
        <v>-23.8</v>
      </c>
      <c r="F444" s="35">
        <v>-22.7</v>
      </c>
      <c r="G444" s="35">
        <v>-23</v>
      </c>
      <c r="H444" s="35">
        <v>-22.2</v>
      </c>
      <c r="I444" s="35">
        <v>-23</v>
      </c>
      <c r="J444" s="35">
        <v>-23</v>
      </c>
      <c r="K444" s="35">
        <v>-22.5</v>
      </c>
      <c r="L444" s="35">
        <v>-17.399999999999999</v>
      </c>
      <c r="M444" s="35">
        <v>-23</v>
      </c>
      <c r="N444" s="35">
        <v>-3.8</v>
      </c>
      <c r="O444" s="35">
        <v>-4.4000000000000004</v>
      </c>
      <c r="P444" s="35">
        <v>-5</v>
      </c>
      <c r="Q444" s="35">
        <v>-3.4</v>
      </c>
      <c r="R444" s="35">
        <v>-4.4000000000000004</v>
      </c>
      <c r="S444" s="35">
        <v>-5</v>
      </c>
      <c r="T444" s="35">
        <v>10.3</v>
      </c>
      <c r="U444" s="35">
        <v>9</v>
      </c>
      <c r="V444" s="35">
        <v>10</v>
      </c>
      <c r="W444" s="35">
        <v>9</v>
      </c>
      <c r="X444" s="35">
        <v>10.1</v>
      </c>
      <c r="Y444" s="35">
        <v>9</v>
      </c>
      <c r="Z444" s="35">
        <v>11.2</v>
      </c>
      <c r="AA444" s="35">
        <v>9</v>
      </c>
      <c r="AB444" s="35">
        <v>21.6</v>
      </c>
      <c r="AC444" s="35">
        <v>20</v>
      </c>
      <c r="AD444" s="35">
        <v>21.6</v>
      </c>
      <c r="AE444" s="35">
        <v>20</v>
      </c>
    </row>
    <row r="445" spans="1:31" x14ac:dyDescent="0.35">
      <c r="A445" s="36">
        <v>46059.765277777777</v>
      </c>
      <c r="B445" s="35">
        <v>-23.1</v>
      </c>
      <c r="C445" s="35">
        <v>-24.9</v>
      </c>
      <c r="D445" s="35">
        <v>-23</v>
      </c>
      <c r="E445" s="35">
        <v>-23.5</v>
      </c>
      <c r="F445" s="35">
        <v>-22.7</v>
      </c>
      <c r="G445" s="35">
        <v>-23</v>
      </c>
      <c r="H445" s="35">
        <v>-22.2</v>
      </c>
      <c r="I445" s="35">
        <v>-23.3</v>
      </c>
      <c r="J445" s="35">
        <v>-23</v>
      </c>
      <c r="K445" s="35">
        <v>-22.8</v>
      </c>
      <c r="L445" s="35">
        <v>-17.5</v>
      </c>
      <c r="M445" s="35">
        <v>-23</v>
      </c>
      <c r="N445" s="35">
        <v>-3.8</v>
      </c>
      <c r="O445" s="35">
        <v>-4.4000000000000004</v>
      </c>
      <c r="P445" s="35">
        <v>-5</v>
      </c>
      <c r="Q445" s="35">
        <v>-3.4</v>
      </c>
      <c r="R445" s="35">
        <v>-4.4000000000000004</v>
      </c>
      <c r="S445" s="35">
        <v>-5</v>
      </c>
      <c r="T445" s="35">
        <v>10.4</v>
      </c>
      <c r="U445" s="35">
        <v>9</v>
      </c>
      <c r="V445" s="35">
        <v>10.1</v>
      </c>
      <c r="W445" s="35">
        <v>9</v>
      </c>
      <c r="X445" s="35">
        <v>10</v>
      </c>
      <c r="Y445" s="35">
        <v>9</v>
      </c>
      <c r="Z445" s="35">
        <v>11.2</v>
      </c>
      <c r="AA445" s="35">
        <v>9</v>
      </c>
      <c r="AB445" s="35">
        <v>21.6</v>
      </c>
      <c r="AC445" s="35">
        <v>20</v>
      </c>
      <c r="AD445" s="35">
        <v>21.6</v>
      </c>
      <c r="AE445" s="35">
        <v>20</v>
      </c>
    </row>
    <row r="446" spans="1:31" x14ac:dyDescent="0.35">
      <c r="A446" s="36">
        <v>46059.765972222223</v>
      </c>
      <c r="B446" s="35">
        <v>-22.9</v>
      </c>
      <c r="C446" s="35">
        <v>-24.4</v>
      </c>
      <c r="D446" s="35">
        <v>-23</v>
      </c>
      <c r="E446" s="35">
        <v>-23.2</v>
      </c>
      <c r="F446" s="35">
        <v>-22.7</v>
      </c>
      <c r="G446" s="35">
        <v>-23</v>
      </c>
      <c r="H446" s="35">
        <v>-22.4</v>
      </c>
      <c r="I446" s="35">
        <v>-23.3</v>
      </c>
      <c r="J446" s="35">
        <v>-23</v>
      </c>
      <c r="K446" s="35">
        <v>-23</v>
      </c>
      <c r="L446" s="35">
        <v>-17.600000000000001</v>
      </c>
      <c r="M446" s="35">
        <v>-23</v>
      </c>
      <c r="N446" s="35">
        <v>-3.8</v>
      </c>
      <c r="O446" s="35">
        <v>-4.4000000000000004</v>
      </c>
      <c r="P446" s="35">
        <v>-5</v>
      </c>
      <c r="Q446" s="35">
        <v>-3.4</v>
      </c>
      <c r="R446" s="35">
        <v>-4.4000000000000004</v>
      </c>
      <c r="S446" s="35">
        <v>-5</v>
      </c>
      <c r="T446" s="35">
        <v>10.5</v>
      </c>
      <c r="U446" s="35">
        <v>9</v>
      </c>
      <c r="V446" s="35">
        <v>10.1</v>
      </c>
      <c r="W446" s="35">
        <v>9</v>
      </c>
      <c r="X446" s="35">
        <v>9.9</v>
      </c>
      <c r="Y446" s="35">
        <v>9</v>
      </c>
      <c r="Z446" s="35">
        <v>11.2</v>
      </c>
      <c r="AA446" s="35">
        <v>9</v>
      </c>
      <c r="AB446" s="35">
        <v>21.6</v>
      </c>
      <c r="AC446" s="35">
        <v>20</v>
      </c>
      <c r="AD446" s="35">
        <v>21.6</v>
      </c>
      <c r="AE446" s="35">
        <v>20</v>
      </c>
    </row>
    <row r="447" spans="1:31" x14ac:dyDescent="0.35">
      <c r="A447" s="36">
        <v>46059.76666666667</v>
      </c>
      <c r="B447" s="35">
        <v>-22.7</v>
      </c>
      <c r="C447" s="35">
        <v>-23.9</v>
      </c>
      <c r="D447" s="35">
        <v>-23</v>
      </c>
      <c r="E447" s="35">
        <v>-22.9</v>
      </c>
      <c r="F447" s="35">
        <v>-22.6</v>
      </c>
      <c r="G447" s="35">
        <v>-23</v>
      </c>
      <c r="H447" s="35">
        <v>-22.6</v>
      </c>
      <c r="I447" s="35">
        <v>-23.4</v>
      </c>
      <c r="J447" s="35">
        <v>-23</v>
      </c>
      <c r="K447" s="35">
        <v>-23.1</v>
      </c>
      <c r="L447" s="35">
        <v>-17.7</v>
      </c>
      <c r="M447" s="35">
        <v>-23</v>
      </c>
      <c r="N447" s="35">
        <v>-3.9</v>
      </c>
      <c r="O447" s="35">
        <v>-4.5</v>
      </c>
      <c r="P447" s="35">
        <v>-5</v>
      </c>
      <c r="Q447" s="35">
        <v>-3.4</v>
      </c>
      <c r="R447" s="35">
        <v>-4.4000000000000004</v>
      </c>
      <c r="S447" s="35">
        <v>-5</v>
      </c>
      <c r="T447" s="35">
        <v>10.6</v>
      </c>
      <c r="U447" s="35">
        <v>9</v>
      </c>
      <c r="V447" s="35">
        <v>10.199999999999999</v>
      </c>
      <c r="W447" s="35">
        <v>9</v>
      </c>
      <c r="X447" s="35">
        <v>9.9</v>
      </c>
      <c r="Y447" s="35">
        <v>9</v>
      </c>
      <c r="Z447" s="35">
        <v>11.1</v>
      </c>
      <c r="AA447" s="35">
        <v>9</v>
      </c>
      <c r="AB447" s="35">
        <v>21.7</v>
      </c>
      <c r="AC447" s="35">
        <v>20</v>
      </c>
      <c r="AD447" s="35">
        <v>21.6</v>
      </c>
      <c r="AE447" s="35">
        <v>20</v>
      </c>
    </row>
    <row r="448" spans="1:31" x14ac:dyDescent="0.35">
      <c r="A448" s="36">
        <v>46059.768055555556</v>
      </c>
      <c r="B448" s="35">
        <v>-22.3</v>
      </c>
      <c r="C448" s="35">
        <v>-23.2</v>
      </c>
      <c r="D448" s="35">
        <v>-23</v>
      </c>
      <c r="E448" s="35">
        <v>-22.5</v>
      </c>
      <c r="F448" s="35">
        <v>-22.3</v>
      </c>
      <c r="G448" s="35">
        <v>-23</v>
      </c>
      <c r="H448" s="35">
        <v>-22.8</v>
      </c>
      <c r="I448" s="35">
        <v>-23.6</v>
      </c>
      <c r="J448" s="35">
        <v>-23</v>
      </c>
      <c r="K448" s="35">
        <v>-23.4</v>
      </c>
      <c r="L448" s="35">
        <v>-18</v>
      </c>
      <c r="M448" s="35">
        <v>-23</v>
      </c>
      <c r="N448" s="35">
        <v>-3.9</v>
      </c>
      <c r="O448" s="35">
        <v>-4.5</v>
      </c>
      <c r="P448" s="35">
        <v>-5</v>
      </c>
      <c r="Q448" s="35">
        <v>-3.4</v>
      </c>
      <c r="R448" s="35">
        <v>-4.4000000000000004</v>
      </c>
      <c r="S448" s="35">
        <v>-5</v>
      </c>
      <c r="T448" s="35">
        <v>10.8</v>
      </c>
      <c r="U448" s="35">
        <v>9</v>
      </c>
      <c r="V448" s="35">
        <v>10.3</v>
      </c>
      <c r="W448" s="35">
        <v>9</v>
      </c>
      <c r="X448" s="35">
        <v>9.9</v>
      </c>
      <c r="Y448" s="35">
        <v>9</v>
      </c>
      <c r="Z448" s="35">
        <v>11.1</v>
      </c>
      <c r="AA448" s="35">
        <v>9</v>
      </c>
      <c r="AB448" s="35">
        <v>21.7</v>
      </c>
      <c r="AC448" s="35">
        <v>20</v>
      </c>
      <c r="AD448" s="35">
        <v>21.6</v>
      </c>
      <c r="AE448" s="35">
        <v>20</v>
      </c>
    </row>
    <row r="449" spans="1:31" x14ac:dyDescent="0.35">
      <c r="A449" s="36">
        <v>46059.768750000003</v>
      </c>
      <c r="B449" s="35">
        <v>-22.2</v>
      </c>
      <c r="C449" s="35">
        <v>-23</v>
      </c>
      <c r="D449" s="35">
        <v>-23</v>
      </c>
      <c r="E449" s="35">
        <v>-22.3</v>
      </c>
      <c r="F449" s="35">
        <v>-22.2</v>
      </c>
      <c r="G449" s="35">
        <v>-23</v>
      </c>
      <c r="H449" s="35">
        <v>-22.9</v>
      </c>
      <c r="I449" s="35">
        <v>-23.7</v>
      </c>
      <c r="J449" s="35">
        <v>-23</v>
      </c>
      <c r="K449" s="35">
        <v>-23.5</v>
      </c>
      <c r="L449" s="35">
        <v>-18.100000000000001</v>
      </c>
      <c r="M449" s="35">
        <v>-23</v>
      </c>
      <c r="N449" s="35">
        <v>-4</v>
      </c>
      <c r="O449" s="35">
        <v>-4.5999999999999996</v>
      </c>
      <c r="P449" s="35">
        <v>-5</v>
      </c>
      <c r="Q449" s="35">
        <v>-3.4</v>
      </c>
      <c r="R449" s="35">
        <v>-4.4000000000000004</v>
      </c>
      <c r="S449" s="35">
        <v>-5</v>
      </c>
      <c r="T449" s="35">
        <v>10.9</v>
      </c>
      <c r="U449" s="35">
        <v>9</v>
      </c>
      <c r="V449" s="35">
        <v>10.4</v>
      </c>
      <c r="W449" s="35">
        <v>9</v>
      </c>
      <c r="X449" s="35">
        <v>9.8000000000000007</v>
      </c>
      <c r="Y449" s="35">
        <v>9</v>
      </c>
      <c r="Z449" s="35">
        <v>11.1</v>
      </c>
      <c r="AA449" s="35">
        <v>9</v>
      </c>
      <c r="AB449" s="35">
        <v>21.7</v>
      </c>
      <c r="AC449" s="35">
        <v>20</v>
      </c>
      <c r="AD449" s="35">
        <v>21.6</v>
      </c>
      <c r="AE449" s="35">
        <v>20</v>
      </c>
    </row>
    <row r="450" spans="1:31" x14ac:dyDescent="0.35">
      <c r="A450" s="36">
        <v>46059.769444444442</v>
      </c>
      <c r="B450" s="35">
        <v>-22</v>
      </c>
      <c r="C450" s="35">
        <v>-22.7</v>
      </c>
      <c r="D450" s="35">
        <v>-23</v>
      </c>
      <c r="E450" s="35">
        <v>-22.1</v>
      </c>
      <c r="F450" s="35">
        <v>-22</v>
      </c>
      <c r="G450" s="35">
        <v>-23</v>
      </c>
      <c r="H450" s="35">
        <v>-23</v>
      </c>
      <c r="I450" s="35">
        <v>-23.7</v>
      </c>
      <c r="J450" s="35">
        <v>-23</v>
      </c>
      <c r="K450" s="35">
        <v>-23.6</v>
      </c>
      <c r="L450" s="35">
        <v>-18.2</v>
      </c>
      <c r="M450" s="35">
        <v>-23</v>
      </c>
      <c r="N450" s="35">
        <v>-4</v>
      </c>
      <c r="O450" s="35">
        <v>-4.5999999999999996</v>
      </c>
      <c r="P450" s="35">
        <v>-5</v>
      </c>
      <c r="Q450" s="35">
        <v>-3.4</v>
      </c>
      <c r="R450" s="35">
        <v>-4.5</v>
      </c>
      <c r="S450" s="35">
        <v>-5</v>
      </c>
      <c r="T450" s="35">
        <v>10.9</v>
      </c>
      <c r="U450" s="35">
        <v>9</v>
      </c>
      <c r="V450" s="35">
        <v>10.4</v>
      </c>
      <c r="W450" s="35">
        <v>9</v>
      </c>
      <c r="X450" s="35">
        <v>9.8000000000000007</v>
      </c>
      <c r="Y450" s="35">
        <v>9</v>
      </c>
      <c r="Z450" s="35">
        <v>11.1</v>
      </c>
      <c r="AA450" s="35">
        <v>9</v>
      </c>
      <c r="AB450" s="35">
        <v>21.7</v>
      </c>
      <c r="AC450" s="35">
        <v>20</v>
      </c>
      <c r="AD450" s="35">
        <v>21.6</v>
      </c>
      <c r="AE450" s="35">
        <v>20</v>
      </c>
    </row>
    <row r="451" spans="1:31" x14ac:dyDescent="0.35">
      <c r="A451" s="36">
        <v>46059.770138888889</v>
      </c>
      <c r="B451" s="35">
        <v>-21.9</v>
      </c>
      <c r="C451" s="35">
        <v>-22.5</v>
      </c>
      <c r="D451" s="35">
        <v>-23</v>
      </c>
      <c r="E451" s="35">
        <v>-21.9</v>
      </c>
      <c r="F451" s="35">
        <v>-21.9</v>
      </c>
      <c r="G451" s="35">
        <v>-23</v>
      </c>
      <c r="H451" s="35">
        <v>-23</v>
      </c>
      <c r="I451" s="35">
        <v>-23.6</v>
      </c>
      <c r="J451" s="35">
        <v>-23</v>
      </c>
      <c r="K451" s="35">
        <v>-23.4</v>
      </c>
      <c r="L451" s="35">
        <v>-18.3</v>
      </c>
      <c r="M451" s="35">
        <v>-23</v>
      </c>
      <c r="N451" s="35">
        <v>-4</v>
      </c>
      <c r="O451" s="35">
        <v>-4.5999999999999996</v>
      </c>
      <c r="P451" s="35">
        <v>-5</v>
      </c>
      <c r="Q451" s="35">
        <v>-3.6</v>
      </c>
      <c r="R451" s="35">
        <v>-4.5999999999999996</v>
      </c>
      <c r="S451" s="35">
        <v>-5</v>
      </c>
      <c r="T451" s="35">
        <v>11</v>
      </c>
      <c r="U451" s="35">
        <v>9</v>
      </c>
      <c r="V451" s="35">
        <v>10.4</v>
      </c>
      <c r="W451" s="35">
        <v>9</v>
      </c>
      <c r="X451" s="35">
        <v>9.8000000000000007</v>
      </c>
      <c r="Y451" s="35">
        <v>9</v>
      </c>
      <c r="Z451" s="35">
        <v>11.1</v>
      </c>
      <c r="AA451" s="35">
        <v>9</v>
      </c>
      <c r="AB451" s="35">
        <v>21.7</v>
      </c>
      <c r="AC451" s="35">
        <v>20</v>
      </c>
      <c r="AD451" s="35">
        <v>21.6</v>
      </c>
      <c r="AE451" s="35">
        <v>20</v>
      </c>
    </row>
    <row r="452" spans="1:31" x14ac:dyDescent="0.35">
      <c r="A452" s="36">
        <v>46059.770833333336</v>
      </c>
      <c r="B452" s="35">
        <v>-21.7</v>
      </c>
      <c r="C452" s="35">
        <v>-22.2</v>
      </c>
      <c r="D452" s="35">
        <v>-23</v>
      </c>
      <c r="E452" s="35">
        <v>-21.8</v>
      </c>
      <c r="F452" s="35">
        <v>-21.8</v>
      </c>
      <c r="G452" s="35">
        <v>-23</v>
      </c>
      <c r="H452" s="35">
        <v>-23</v>
      </c>
      <c r="I452" s="35">
        <v>-23.4</v>
      </c>
      <c r="J452" s="35">
        <v>-23</v>
      </c>
      <c r="K452" s="35">
        <v>-23.1</v>
      </c>
      <c r="L452" s="35">
        <v>-18.399999999999999</v>
      </c>
      <c r="M452" s="35">
        <v>-23</v>
      </c>
      <c r="N452" s="35">
        <v>-4.0999999999999996</v>
      </c>
      <c r="O452" s="35">
        <v>-4.7</v>
      </c>
      <c r="P452" s="35">
        <v>-5</v>
      </c>
      <c r="Q452" s="35">
        <v>-3.6</v>
      </c>
      <c r="R452" s="35">
        <v>-4.5999999999999996</v>
      </c>
      <c r="S452" s="35">
        <v>-5</v>
      </c>
      <c r="T452" s="35">
        <v>11</v>
      </c>
      <c r="U452" s="35">
        <v>9</v>
      </c>
      <c r="V452" s="35">
        <v>10.5</v>
      </c>
      <c r="W452" s="35">
        <v>9</v>
      </c>
      <c r="X452" s="35">
        <v>10</v>
      </c>
      <c r="Y452" s="35">
        <v>9</v>
      </c>
      <c r="Z452" s="35">
        <v>11.1</v>
      </c>
      <c r="AA452" s="35">
        <v>9</v>
      </c>
      <c r="AB452" s="35">
        <v>21.7</v>
      </c>
      <c r="AC452" s="35">
        <v>20</v>
      </c>
      <c r="AD452" s="35">
        <v>21.6</v>
      </c>
      <c r="AE452" s="35">
        <v>20</v>
      </c>
    </row>
    <row r="453" spans="1:31" x14ac:dyDescent="0.35">
      <c r="A453" s="36">
        <v>46059.771527777775</v>
      </c>
      <c r="B453" s="35">
        <v>-21.6</v>
      </c>
      <c r="C453" s="35">
        <v>-22</v>
      </c>
      <c r="D453" s="35">
        <v>-23</v>
      </c>
      <c r="E453" s="35">
        <v>-21.6</v>
      </c>
      <c r="F453" s="35">
        <v>-21.6</v>
      </c>
      <c r="G453" s="35">
        <v>-23</v>
      </c>
      <c r="H453" s="35">
        <v>-22.8</v>
      </c>
      <c r="I453" s="35">
        <v>-23.1</v>
      </c>
      <c r="J453" s="35">
        <v>-23</v>
      </c>
      <c r="K453" s="35">
        <v>-22.8</v>
      </c>
      <c r="L453" s="35">
        <v>-18.399999999999999</v>
      </c>
      <c r="M453" s="35">
        <v>-23</v>
      </c>
      <c r="N453" s="35">
        <v>-4.0999999999999996</v>
      </c>
      <c r="O453" s="35">
        <v>-4.7</v>
      </c>
      <c r="P453" s="35">
        <v>-5</v>
      </c>
      <c r="Q453" s="35">
        <v>-3.6</v>
      </c>
      <c r="R453" s="35">
        <v>-4.0999999999999996</v>
      </c>
      <c r="S453" s="35">
        <v>-5</v>
      </c>
      <c r="T453" s="35">
        <v>10.4</v>
      </c>
      <c r="U453" s="35">
        <v>9</v>
      </c>
      <c r="V453" s="35">
        <v>10.5</v>
      </c>
      <c r="W453" s="35">
        <v>9</v>
      </c>
      <c r="X453" s="35">
        <v>10.4</v>
      </c>
      <c r="Y453" s="35">
        <v>9</v>
      </c>
      <c r="Z453" s="35">
        <v>11.1</v>
      </c>
      <c r="AA453" s="35">
        <v>9</v>
      </c>
      <c r="AB453" s="35">
        <v>21.7</v>
      </c>
      <c r="AC453" s="35">
        <v>20</v>
      </c>
      <c r="AD453" s="35">
        <v>21.6</v>
      </c>
      <c r="AE453" s="35">
        <v>20</v>
      </c>
    </row>
    <row r="454" spans="1:31" x14ac:dyDescent="0.35">
      <c r="A454" s="36">
        <v>46059.772222222222</v>
      </c>
      <c r="B454" s="35">
        <v>-21.4</v>
      </c>
      <c r="C454" s="35">
        <v>-21.8</v>
      </c>
      <c r="D454" s="35">
        <v>-23</v>
      </c>
      <c r="E454" s="35">
        <v>-21.4</v>
      </c>
      <c r="F454" s="35">
        <v>-21.5</v>
      </c>
      <c r="G454" s="35">
        <v>-23</v>
      </c>
      <c r="H454" s="35">
        <v>-22.6</v>
      </c>
      <c r="I454" s="35">
        <v>-23</v>
      </c>
      <c r="J454" s="35">
        <v>-23</v>
      </c>
      <c r="K454" s="35">
        <v>-22.6</v>
      </c>
      <c r="L454" s="35">
        <v>-18.5</v>
      </c>
      <c r="M454" s="35">
        <v>-23</v>
      </c>
      <c r="N454" s="35">
        <v>-4.2</v>
      </c>
      <c r="O454" s="35">
        <v>-4.8</v>
      </c>
      <c r="P454" s="35">
        <v>-5</v>
      </c>
      <c r="Q454" s="35">
        <v>-3.5</v>
      </c>
      <c r="R454" s="35">
        <v>-3.9</v>
      </c>
      <c r="S454" s="35">
        <v>-5</v>
      </c>
      <c r="T454" s="35">
        <v>9.9</v>
      </c>
      <c r="U454" s="35">
        <v>9</v>
      </c>
      <c r="V454" s="35">
        <v>10.5</v>
      </c>
      <c r="W454" s="35">
        <v>9</v>
      </c>
      <c r="X454" s="35">
        <v>10.6</v>
      </c>
      <c r="Y454" s="35">
        <v>9</v>
      </c>
      <c r="Z454" s="35">
        <v>11.1</v>
      </c>
      <c r="AA454" s="35">
        <v>9</v>
      </c>
      <c r="AB454" s="35">
        <v>21.7</v>
      </c>
      <c r="AC454" s="35">
        <v>20</v>
      </c>
      <c r="AD454" s="35">
        <v>21.6</v>
      </c>
      <c r="AE454" s="35">
        <v>20</v>
      </c>
    </row>
    <row r="455" spans="1:31" x14ac:dyDescent="0.35">
      <c r="A455" s="36">
        <v>46059.772916666669</v>
      </c>
      <c r="B455" s="35">
        <v>-21.3</v>
      </c>
      <c r="C455" s="35">
        <v>-21.7</v>
      </c>
      <c r="D455" s="35">
        <v>-23</v>
      </c>
      <c r="E455" s="35">
        <v>-21.3</v>
      </c>
      <c r="F455" s="35">
        <v>-21.3</v>
      </c>
      <c r="G455" s="35">
        <v>-23</v>
      </c>
      <c r="H455" s="35">
        <v>-22.4</v>
      </c>
      <c r="I455" s="35">
        <v>-22.8</v>
      </c>
      <c r="J455" s="35">
        <v>-23</v>
      </c>
      <c r="K455" s="35">
        <v>-22.4</v>
      </c>
      <c r="L455" s="35">
        <v>-18.600000000000001</v>
      </c>
      <c r="M455" s="35">
        <v>-23</v>
      </c>
      <c r="N455" s="35">
        <v>-4.2</v>
      </c>
      <c r="O455" s="35">
        <v>-4.8</v>
      </c>
      <c r="P455" s="35">
        <v>-5</v>
      </c>
      <c r="Q455" s="35">
        <v>-3.5</v>
      </c>
      <c r="R455" s="35">
        <v>-3.5</v>
      </c>
      <c r="S455" s="35">
        <v>-5</v>
      </c>
      <c r="T455" s="35">
        <v>9.4</v>
      </c>
      <c r="U455" s="35">
        <v>9</v>
      </c>
      <c r="V455" s="35">
        <v>10.3</v>
      </c>
      <c r="W455" s="35">
        <v>9</v>
      </c>
      <c r="X455" s="35">
        <v>10.6</v>
      </c>
      <c r="Y455" s="35">
        <v>9</v>
      </c>
      <c r="Z455" s="35">
        <v>11.1</v>
      </c>
      <c r="AA455" s="35">
        <v>9</v>
      </c>
      <c r="AB455" s="35">
        <v>21.7</v>
      </c>
      <c r="AC455" s="35">
        <v>20</v>
      </c>
      <c r="AD455" s="35">
        <v>21.6</v>
      </c>
      <c r="AE455" s="35">
        <v>20</v>
      </c>
    </row>
    <row r="456" spans="1:31" x14ac:dyDescent="0.35">
      <c r="A456" s="36">
        <v>46059.773611111108</v>
      </c>
      <c r="B456" s="35">
        <v>-21.2</v>
      </c>
      <c r="C456" s="35">
        <v>-21.5</v>
      </c>
      <c r="D456" s="35">
        <v>-23</v>
      </c>
      <c r="E456" s="35">
        <v>-21.2</v>
      </c>
      <c r="F456" s="35">
        <v>-21.2</v>
      </c>
      <c r="G456" s="35">
        <v>-23</v>
      </c>
      <c r="H456" s="35">
        <v>-22.3</v>
      </c>
      <c r="I456" s="35">
        <v>-22.6</v>
      </c>
      <c r="J456" s="35">
        <v>-23</v>
      </c>
      <c r="K456" s="35">
        <v>-22.3</v>
      </c>
      <c r="L456" s="35">
        <v>-18.600000000000001</v>
      </c>
      <c r="M456" s="35">
        <v>-23</v>
      </c>
      <c r="N456" s="35">
        <v>-4.2</v>
      </c>
      <c r="O456" s="35">
        <v>-4.9000000000000004</v>
      </c>
      <c r="P456" s="35">
        <v>-5</v>
      </c>
      <c r="Q456" s="35">
        <v>-3.5</v>
      </c>
      <c r="R456" s="35">
        <v>-2.6</v>
      </c>
      <c r="S456" s="35">
        <v>-5</v>
      </c>
      <c r="T456" s="35">
        <v>9</v>
      </c>
      <c r="U456" s="35">
        <v>9</v>
      </c>
      <c r="V456" s="35">
        <v>10.199999999999999</v>
      </c>
      <c r="W456" s="35">
        <v>9</v>
      </c>
      <c r="X456" s="35">
        <v>10.6</v>
      </c>
      <c r="Y456" s="35">
        <v>9</v>
      </c>
      <c r="Z456" s="35">
        <v>11.1</v>
      </c>
      <c r="AA456" s="35">
        <v>9</v>
      </c>
      <c r="AB456" s="35">
        <v>21.7</v>
      </c>
      <c r="AC456" s="35">
        <v>20</v>
      </c>
      <c r="AD456" s="35">
        <v>21.6</v>
      </c>
      <c r="AE456" s="35">
        <v>20</v>
      </c>
    </row>
    <row r="457" spans="1:31" x14ac:dyDescent="0.35">
      <c r="A457" s="36">
        <v>46059.774305555555</v>
      </c>
      <c r="B457" s="35">
        <v>-21</v>
      </c>
      <c r="C457" s="35">
        <v>-21.3</v>
      </c>
      <c r="D457" s="35">
        <v>-23</v>
      </c>
      <c r="E457" s="35">
        <v>-21</v>
      </c>
      <c r="F457" s="35">
        <v>-21</v>
      </c>
      <c r="G457" s="35">
        <v>-23</v>
      </c>
      <c r="H457" s="35">
        <v>-22.1</v>
      </c>
      <c r="I457" s="35">
        <v>-22.5</v>
      </c>
      <c r="J457" s="35">
        <v>-23</v>
      </c>
      <c r="K457" s="35">
        <v>-22.1</v>
      </c>
      <c r="L457" s="35">
        <v>-18.600000000000001</v>
      </c>
      <c r="M457" s="35">
        <v>-23</v>
      </c>
      <c r="N457" s="35">
        <v>-4.3</v>
      </c>
      <c r="O457" s="35">
        <v>-4.9000000000000004</v>
      </c>
      <c r="P457" s="35">
        <v>-5</v>
      </c>
      <c r="Q457" s="35">
        <v>-3.5</v>
      </c>
      <c r="R457" s="35">
        <v>-1.4</v>
      </c>
      <c r="S457" s="35">
        <v>-5</v>
      </c>
      <c r="T457" s="35">
        <v>8.6999999999999993</v>
      </c>
      <c r="U457" s="35">
        <v>9</v>
      </c>
      <c r="V457" s="35">
        <v>10.1</v>
      </c>
      <c r="W457" s="35">
        <v>9</v>
      </c>
      <c r="X457" s="35">
        <v>10.6</v>
      </c>
      <c r="Y457" s="35">
        <v>9</v>
      </c>
      <c r="Z457" s="35">
        <v>11.1</v>
      </c>
      <c r="AA457" s="35">
        <v>9</v>
      </c>
      <c r="AB457" s="35">
        <v>21.7</v>
      </c>
      <c r="AC457" s="35">
        <v>20</v>
      </c>
      <c r="AD457" s="35">
        <v>21.6</v>
      </c>
      <c r="AE457" s="35">
        <v>20</v>
      </c>
    </row>
    <row r="458" spans="1:31" x14ac:dyDescent="0.35">
      <c r="A458" s="36">
        <v>46059.775000000001</v>
      </c>
      <c r="B458" s="35">
        <v>-20.9</v>
      </c>
      <c r="C458" s="35">
        <v>-21.1</v>
      </c>
      <c r="D458" s="35">
        <v>-23</v>
      </c>
      <c r="E458" s="35">
        <v>-21</v>
      </c>
      <c r="F458" s="35">
        <v>-20.9</v>
      </c>
      <c r="G458" s="35">
        <v>-23</v>
      </c>
      <c r="H458" s="35">
        <v>-22</v>
      </c>
      <c r="I458" s="35">
        <v>-22.3</v>
      </c>
      <c r="J458" s="35">
        <v>-23</v>
      </c>
      <c r="K458" s="35">
        <v>-21.9</v>
      </c>
      <c r="L458" s="35">
        <v>-18.600000000000001</v>
      </c>
      <c r="M458" s="35">
        <v>-23</v>
      </c>
      <c r="N458" s="35">
        <v>-4.3</v>
      </c>
      <c r="O458" s="35">
        <v>-4.9000000000000004</v>
      </c>
      <c r="P458" s="35">
        <v>-5</v>
      </c>
      <c r="Q458" s="35">
        <v>-3.5</v>
      </c>
      <c r="R458" s="35">
        <v>-0.1</v>
      </c>
      <c r="S458" s="35">
        <v>-5</v>
      </c>
      <c r="T458" s="35">
        <v>8.6999999999999993</v>
      </c>
      <c r="U458" s="35">
        <v>9</v>
      </c>
      <c r="V458" s="35">
        <v>10</v>
      </c>
      <c r="W458" s="35">
        <v>9</v>
      </c>
      <c r="X458" s="35">
        <v>10.4</v>
      </c>
      <c r="Y458" s="35">
        <v>9</v>
      </c>
      <c r="Z458" s="35">
        <v>11.1</v>
      </c>
      <c r="AA458" s="35">
        <v>9</v>
      </c>
      <c r="AB458" s="35">
        <v>21.7</v>
      </c>
      <c r="AC458" s="35">
        <v>20</v>
      </c>
      <c r="AD458" s="35">
        <v>21.6</v>
      </c>
      <c r="AE458" s="35">
        <v>20</v>
      </c>
    </row>
    <row r="459" spans="1:31" x14ac:dyDescent="0.35">
      <c r="A459" s="36">
        <v>46059.775694444441</v>
      </c>
      <c r="B459" s="35">
        <v>-20.9</v>
      </c>
      <c r="C459" s="35">
        <v>-21.1</v>
      </c>
      <c r="D459" s="35">
        <v>-23</v>
      </c>
      <c r="E459" s="35">
        <v>-21.2</v>
      </c>
      <c r="F459" s="35">
        <v>-20.8</v>
      </c>
      <c r="G459" s="35">
        <v>-23</v>
      </c>
      <c r="H459" s="35">
        <v>-21.8</v>
      </c>
      <c r="I459" s="35">
        <v>-22.2</v>
      </c>
      <c r="J459" s="35">
        <v>-23</v>
      </c>
      <c r="K459" s="35">
        <v>-21.8</v>
      </c>
      <c r="L459" s="35">
        <v>-18.600000000000001</v>
      </c>
      <c r="M459" s="35">
        <v>-23</v>
      </c>
      <c r="N459" s="35">
        <v>-4.3</v>
      </c>
      <c r="O459" s="35">
        <v>-4.9000000000000004</v>
      </c>
      <c r="P459" s="35">
        <v>-5</v>
      </c>
      <c r="Q459" s="35">
        <v>-3.5</v>
      </c>
      <c r="R459" s="35">
        <v>2.8</v>
      </c>
      <c r="S459" s="35">
        <v>-5</v>
      </c>
      <c r="T459" s="35">
        <v>8.8000000000000007</v>
      </c>
      <c r="U459" s="35">
        <v>9</v>
      </c>
      <c r="V459" s="35">
        <v>9.9</v>
      </c>
      <c r="W459" s="35">
        <v>9</v>
      </c>
      <c r="X459" s="35">
        <v>10.4</v>
      </c>
      <c r="Y459" s="35">
        <v>9</v>
      </c>
      <c r="Z459" s="35">
        <v>11.1</v>
      </c>
      <c r="AA459" s="35">
        <v>9</v>
      </c>
      <c r="AB459" s="35">
        <v>21.7</v>
      </c>
      <c r="AC459" s="35">
        <v>20</v>
      </c>
      <c r="AD459" s="35">
        <v>21.6</v>
      </c>
      <c r="AE459" s="35">
        <v>20</v>
      </c>
    </row>
    <row r="460" spans="1:31" x14ac:dyDescent="0.35">
      <c r="A460" s="36">
        <v>46059.776388888888</v>
      </c>
      <c r="B460" s="35">
        <v>-20.9</v>
      </c>
      <c r="C460" s="35">
        <v>-22</v>
      </c>
      <c r="D460" s="35">
        <v>-23</v>
      </c>
      <c r="E460" s="35">
        <v>-21.6</v>
      </c>
      <c r="F460" s="35">
        <v>-20.8</v>
      </c>
      <c r="G460" s="35">
        <v>-23</v>
      </c>
      <c r="H460" s="35">
        <v>-21.7</v>
      </c>
      <c r="I460" s="35">
        <v>-22.1</v>
      </c>
      <c r="J460" s="35">
        <v>-23</v>
      </c>
      <c r="K460" s="35">
        <v>-21.7</v>
      </c>
      <c r="L460" s="35">
        <v>-18.600000000000001</v>
      </c>
      <c r="M460" s="35">
        <v>-23</v>
      </c>
      <c r="N460" s="35">
        <v>-4.3</v>
      </c>
      <c r="O460" s="35">
        <v>-4.9000000000000004</v>
      </c>
      <c r="P460" s="35">
        <v>-5</v>
      </c>
      <c r="Q460" s="35">
        <v>-3.5</v>
      </c>
      <c r="R460" s="35">
        <v>4.5</v>
      </c>
      <c r="S460" s="35">
        <v>-5</v>
      </c>
      <c r="T460" s="35">
        <v>9.1</v>
      </c>
      <c r="U460" s="35">
        <v>9</v>
      </c>
      <c r="V460" s="35">
        <v>9.9</v>
      </c>
      <c r="W460" s="35">
        <v>9</v>
      </c>
      <c r="X460" s="35">
        <v>10.4</v>
      </c>
      <c r="Y460" s="35">
        <v>9</v>
      </c>
      <c r="Z460" s="35">
        <v>11.1</v>
      </c>
      <c r="AA460" s="35">
        <v>9</v>
      </c>
      <c r="AB460" s="35">
        <v>21.7</v>
      </c>
      <c r="AC460" s="35">
        <v>20</v>
      </c>
      <c r="AD460" s="35">
        <v>21.6</v>
      </c>
      <c r="AE460" s="35">
        <v>20</v>
      </c>
    </row>
    <row r="461" spans="1:31" x14ac:dyDescent="0.35">
      <c r="A461" s="36">
        <v>46059.777083333334</v>
      </c>
      <c r="B461" s="35">
        <v>-21.1</v>
      </c>
      <c r="C461" s="35">
        <v>-24.2</v>
      </c>
      <c r="D461" s="35">
        <v>-23</v>
      </c>
      <c r="E461" s="35">
        <v>-21.9</v>
      </c>
      <c r="F461" s="35">
        <v>-20.8</v>
      </c>
      <c r="G461" s="35">
        <v>-23</v>
      </c>
      <c r="H461" s="35">
        <v>-21.6</v>
      </c>
      <c r="I461" s="35">
        <v>-21.9</v>
      </c>
      <c r="J461" s="35">
        <v>-23</v>
      </c>
      <c r="K461" s="35">
        <v>-21.5</v>
      </c>
      <c r="L461" s="35">
        <v>-18.5</v>
      </c>
      <c r="M461" s="35">
        <v>-23</v>
      </c>
      <c r="N461" s="35">
        <v>-4.3</v>
      </c>
      <c r="O461" s="35">
        <v>-4.9000000000000004</v>
      </c>
      <c r="P461" s="35">
        <v>-5</v>
      </c>
      <c r="Q461" s="35">
        <v>-3.5</v>
      </c>
      <c r="R461" s="35">
        <v>5.2</v>
      </c>
      <c r="S461" s="35">
        <v>-5</v>
      </c>
      <c r="T461" s="35">
        <v>9.4</v>
      </c>
      <c r="U461" s="35">
        <v>9</v>
      </c>
      <c r="V461" s="35">
        <v>9.9</v>
      </c>
      <c r="W461" s="35">
        <v>9</v>
      </c>
      <c r="X461" s="35">
        <v>10.3</v>
      </c>
      <c r="Y461" s="35">
        <v>9</v>
      </c>
      <c r="Z461" s="35">
        <v>11.1</v>
      </c>
      <c r="AA461" s="35">
        <v>9</v>
      </c>
      <c r="AB461" s="35">
        <v>21.7</v>
      </c>
      <c r="AC461" s="35">
        <v>20</v>
      </c>
      <c r="AD461" s="35">
        <v>21.6</v>
      </c>
      <c r="AE461" s="35">
        <v>20</v>
      </c>
    </row>
    <row r="462" spans="1:31" x14ac:dyDescent="0.35">
      <c r="A462" s="36">
        <v>46059.777777777781</v>
      </c>
      <c r="B462" s="35">
        <v>-21.2</v>
      </c>
      <c r="C462" s="35">
        <v>-24.9</v>
      </c>
      <c r="D462" s="35">
        <v>-23</v>
      </c>
      <c r="E462" s="35">
        <v>-22</v>
      </c>
      <c r="F462" s="35">
        <v>-20.8</v>
      </c>
      <c r="G462" s="35">
        <v>-23</v>
      </c>
      <c r="H462" s="35">
        <v>-21.5</v>
      </c>
      <c r="I462" s="35">
        <v>-21.8</v>
      </c>
      <c r="J462" s="35">
        <v>-23</v>
      </c>
      <c r="K462" s="35">
        <v>-21.4</v>
      </c>
      <c r="L462" s="35">
        <v>-18.399999999999999</v>
      </c>
      <c r="M462" s="35">
        <v>-23</v>
      </c>
      <c r="N462" s="35">
        <v>-4.3</v>
      </c>
      <c r="O462" s="35">
        <v>-4.9000000000000004</v>
      </c>
      <c r="P462" s="35">
        <v>-5</v>
      </c>
      <c r="Q462" s="35">
        <v>-3.5</v>
      </c>
      <c r="R462" s="35">
        <v>7.3</v>
      </c>
      <c r="S462" s="35">
        <v>-5</v>
      </c>
      <c r="T462" s="35">
        <v>9.6</v>
      </c>
      <c r="U462" s="35">
        <v>9</v>
      </c>
      <c r="V462" s="35">
        <v>9.9</v>
      </c>
      <c r="W462" s="35">
        <v>9</v>
      </c>
      <c r="X462" s="35">
        <v>10.3</v>
      </c>
      <c r="Y462" s="35">
        <v>9</v>
      </c>
      <c r="Z462" s="35">
        <v>11.1</v>
      </c>
      <c r="AA462" s="35">
        <v>9</v>
      </c>
      <c r="AB462" s="35">
        <v>21.7</v>
      </c>
      <c r="AC462" s="35">
        <v>20</v>
      </c>
      <c r="AD462" s="35">
        <v>21.6</v>
      </c>
      <c r="AE462" s="35">
        <v>20</v>
      </c>
    </row>
    <row r="463" spans="1:31" x14ac:dyDescent="0.35">
      <c r="A463" s="36">
        <v>46059.77847222222</v>
      </c>
      <c r="B463" s="35">
        <v>-21.4</v>
      </c>
      <c r="C463" s="35">
        <v>-24</v>
      </c>
      <c r="D463" s="35">
        <v>-23</v>
      </c>
      <c r="E463" s="35">
        <v>-22.1</v>
      </c>
      <c r="F463" s="35">
        <v>-20.8</v>
      </c>
      <c r="G463" s="35">
        <v>-23</v>
      </c>
      <c r="H463" s="35">
        <v>-21.4</v>
      </c>
      <c r="I463" s="35">
        <v>-21.7</v>
      </c>
      <c r="J463" s="35">
        <v>-23</v>
      </c>
      <c r="K463" s="35">
        <v>-21.2</v>
      </c>
      <c r="L463" s="35">
        <v>-18.399999999999999</v>
      </c>
      <c r="M463" s="35">
        <v>-23</v>
      </c>
      <c r="N463" s="35">
        <v>-4.3</v>
      </c>
      <c r="O463" s="35">
        <v>-4.9000000000000004</v>
      </c>
      <c r="P463" s="35">
        <v>-5</v>
      </c>
      <c r="Q463" s="35">
        <v>-3.5</v>
      </c>
      <c r="R463" s="35">
        <v>8.6999999999999993</v>
      </c>
      <c r="S463" s="35">
        <v>-5</v>
      </c>
      <c r="T463" s="35">
        <v>9.8000000000000007</v>
      </c>
      <c r="U463" s="35">
        <v>9</v>
      </c>
      <c r="V463" s="35">
        <v>9.9</v>
      </c>
      <c r="W463" s="35">
        <v>9</v>
      </c>
      <c r="X463" s="35">
        <v>10.3</v>
      </c>
      <c r="Y463" s="35">
        <v>9</v>
      </c>
      <c r="Z463" s="35">
        <v>11.1</v>
      </c>
      <c r="AA463" s="35">
        <v>9</v>
      </c>
      <c r="AB463" s="35">
        <v>21.7</v>
      </c>
      <c r="AC463" s="35">
        <v>20</v>
      </c>
      <c r="AD463" s="35">
        <v>21.6</v>
      </c>
      <c r="AE463" s="35">
        <v>20</v>
      </c>
    </row>
    <row r="464" spans="1:31" x14ac:dyDescent="0.35">
      <c r="A464" s="36">
        <v>46059.779166666667</v>
      </c>
      <c r="B464" s="35">
        <v>-21.4</v>
      </c>
      <c r="C464" s="35">
        <v>-23.3</v>
      </c>
      <c r="D464" s="35">
        <v>-23</v>
      </c>
      <c r="E464" s="35">
        <v>-22.3</v>
      </c>
      <c r="F464" s="35">
        <v>-20.9</v>
      </c>
      <c r="G464" s="35">
        <v>-23</v>
      </c>
      <c r="H464" s="35">
        <v>-21.3</v>
      </c>
      <c r="I464" s="35">
        <v>-21.6</v>
      </c>
      <c r="J464" s="35">
        <v>-23</v>
      </c>
      <c r="K464" s="35">
        <v>-21.1</v>
      </c>
      <c r="L464" s="35">
        <v>-18.3</v>
      </c>
      <c r="M464" s="35">
        <v>-23</v>
      </c>
      <c r="N464" s="35">
        <v>-4.3</v>
      </c>
      <c r="O464" s="35">
        <v>-4.9000000000000004</v>
      </c>
      <c r="P464" s="35">
        <v>-5</v>
      </c>
      <c r="Q464" s="35">
        <v>-3.5</v>
      </c>
      <c r="R464" s="35">
        <v>7.4</v>
      </c>
      <c r="S464" s="35">
        <v>-5</v>
      </c>
      <c r="T464" s="35">
        <v>10</v>
      </c>
      <c r="U464" s="35">
        <v>9</v>
      </c>
      <c r="V464" s="35">
        <v>9.9</v>
      </c>
      <c r="W464" s="35">
        <v>9</v>
      </c>
      <c r="X464" s="35">
        <v>10.199999999999999</v>
      </c>
      <c r="Y464" s="35">
        <v>9</v>
      </c>
      <c r="Z464" s="35">
        <v>11.1</v>
      </c>
      <c r="AA464" s="35">
        <v>9</v>
      </c>
      <c r="AB464" s="35">
        <v>21.7</v>
      </c>
      <c r="AC464" s="35">
        <v>20</v>
      </c>
      <c r="AD464" s="35">
        <v>21.6</v>
      </c>
      <c r="AE464" s="35">
        <v>20</v>
      </c>
    </row>
    <row r="465" spans="1:31" x14ac:dyDescent="0.35">
      <c r="A465" s="36">
        <v>46059.779861111114</v>
      </c>
      <c r="B465" s="35">
        <v>-21.5</v>
      </c>
      <c r="C465" s="35">
        <v>-23.1</v>
      </c>
      <c r="D465" s="35">
        <v>-23</v>
      </c>
      <c r="E465" s="35">
        <v>-22.4</v>
      </c>
      <c r="F465" s="35">
        <v>-21</v>
      </c>
      <c r="G465" s="35">
        <v>-23</v>
      </c>
      <c r="H465" s="35">
        <v>-21.2</v>
      </c>
      <c r="I465" s="35">
        <v>-21.5</v>
      </c>
      <c r="J465" s="35">
        <v>-23</v>
      </c>
      <c r="K465" s="35">
        <v>-21</v>
      </c>
      <c r="L465" s="35">
        <v>-18.2</v>
      </c>
      <c r="M465" s="35">
        <v>-23</v>
      </c>
      <c r="N465" s="35">
        <v>-4.3</v>
      </c>
      <c r="O465" s="35">
        <v>-4.9000000000000004</v>
      </c>
      <c r="P465" s="35">
        <v>-5</v>
      </c>
      <c r="Q465" s="35">
        <v>-3.5</v>
      </c>
      <c r="R465" s="35">
        <v>6.7</v>
      </c>
      <c r="S465" s="35">
        <v>-5</v>
      </c>
      <c r="T465" s="35">
        <v>10.1</v>
      </c>
      <c r="U465" s="35">
        <v>9</v>
      </c>
      <c r="V465" s="35">
        <v>9.9</v>
      </c>
      <c r="W465" s="35">
        <v>9</v>
      </c>
      <c r="X465" s="35">
        <v>10.1</v>
      </c>
      <c r="Y465" s="35">
        <v>9</v>
      </c>
      <c r="Z465" s="35">
        <v>11.1</v>
      </c>
      <c r="AA465" s="35">
        <v>9</v>
      </c>
      <c r="AB465" s="35">
        <v>21.7</v>
      </c>
      <c r="AC465" s="35">
        <v>20</v>
      </c>
      <c r="AD465" s="35">
        <v>21.6</v>
      </c>
      <c r="AE465" s="35">
        <v>20</v>
      </c>
    </row>
    <row r="466" spans="1:31" x14ac:dyDescent="0.35">
      <c r="A466" s="36">
        <v>46059.780555555553</v>
      </c>
      <c r="B466" s="35">
        <v>-21.6</v>
      </c>
      <c r="C466" s="35">
        <v>-23.4</v>
      </c>
      <c r="D466" s="35">
        <v>-23</v>
      </c>
      <c r="E466" s="35">
        <v>-22.6</v>
      </c>
      <c r="F466" s="35">
        <v>-21.1</v>
      </c>
      <c r="G466" s="35">
        <v>-23</v>
      </c>
      <c r="H466" s="35">
        <v>-21.1</v>
      </c>
      <c r="I466" s="35">
        <v>-21.3</v>
      </c>
      <c r="J466" s="35">
        <v>-23</v>
      </c>
      <c r="K466" s="35">
        <v>-20.9</v>
      </c>
      <c r="L466" s="35">
        <v>-18.100000000000001</v>
      </c>
      <c r="M466" s="35">
        <v>-23</v>
      </c>
      <c r="N466" s="35">
        <v>-4.3</v>
      </c>
      <c r="O466" s="35">
        <v>-5</v>
      </c>
      <c r="P466" s="35">
        <v>-5</v>
      </c>
      <c r="Q466" s="35">
        <v>-3.5</v>
      </c>
      <c r="R466" s="35">
        <v>7</v>
      </c>
      <c r="S466" s="35">
        <v>-5</v>
      </c>
      <c r="T466" s="35">
        <v>10.3</v>
      </c>
      <c r="U466" s="35">
        <v>9</v>
      </c>
      <c r="V466" s="35">
        <v>10</v>
      </c>
      <c r="W466" s="35">
        <v>9</v>
      </c>
      <c r="X466" s="35">
        <v>10</v>
      </c>
      <c r="Y466" s="35">
        <v>9</v>
      </c>
      <c r="Z466" s="35">
        <v>11.1</v>
      </c>
      <c r="AA466" s="35">
        <v>9</v>
      </c>
      <c r="AB466" s="35">
        <v>21.7</v>
      </c>
      <c r="AC466" s="35">
        <v>20</v>
      </c>
      <c r="AD466" s="35">
        <v>21.6</v>
      </c>
      <c r="AE466" s="35">
        <v>20</v>
      </c>
    </row>
    <row r="467" spans="1:31" x14ac:dyDescent="0.35">
      <c r="A467" s="36">
        <v>46059.78125</v>
      </c>
      <c r="B467" s="35">
        <v>-21.8</v>
      </c>
      <c r="C467" s="35">
        <v>-24.2</v>
      </c>
      <c r="D467" s="35">
        <v>-23</v>
      </c>
      <c r="E467" s="35">
        <v>-22.7</v>
      </c>
      <c r="F467" s="35">
        <v>-21.1</v>
      </c>
      <c r="G467" s="35">
        <v>-23</v>
      </c>
      <c r="H467" s="35">
        <v>-21</v>
      </c>
      <c r="I467" s="35">
        <v>-21.2</v>
      </c>
      <c r="J467" s="35">
        <v>-23</v>
      </c>
      <c r="K467" s="35">
        <v>-20.8</v>
      </c>
      <c r="L467" s="35">
        <v>-17.899999999999999</v>
      </c>
      <c r="M467" s="35">
        <v>-23</v>
      </c>
      <c r="N467" s="35">
        <v>-4.3</v>
      </c>
      <c r="O467" s="35">
        <v>-5</v>
      </c>
      <c r="P467" s="35">
        <v>-5</v>
      </c>
      <c r="Q467" s="35">
        <v>-3.5</v>
      </c>
      <c r="R467" s="35">
        <v>7.9</v>
      </c>
      <c r="S467" s="35">
        <v>-5</v>
      </c>
      <c r="T467" s="35">
        <v>10.4</v>
      </c>
      <c r="U467" s="35">
        <v>9</v>
      </c>
      <c r="V467" s="35">
        <v>10.1</v>
      </c>
      <c r="W467" s="35">
        <v>9</v>
      </c>
      <c r="X467" s="35">
        <v>9.9</v>
      </c>
      <c r="Y467" s="35">
        <v>9</v>
      </c>
      <c r="Z467" s="35">
        <v>11.1</v>
      </c>
      <c r="AA467" s="35">
        <v>9</v>
      </c>
      <c r="AB467" s="35">
        <v>21.7</v>
      </c>
      <c r="AC467" s="35">
        <v>20</v>
      </c>
      <c r="AD467" s="35">
        <v>21.6</v>
      </c>
      <c r="AE467" s="35">
        <v>20</v>
      </c>
    </row>
    <row r="468" spans="1:31" x14ac:dyDescent="0.35">
      <c r="A468" s="36">
        <v>46059.781944444447</v>
      </c>
      <c r="B468" s="35">
        <v>-21.8</v>
      </c>
      <c r="C468" s="35">
        <v>-24.8</v>
      </c>
      <c r="D468" s="35">
        <v>-23</v>
      </c>
      <c r="E468" s="35">
        <v>-22.7</v>
      </c>
      <c r="F468" s="35">
        <v>-21.2</v>
      </c>
      <c r="G468" s="35">
        <v>-23</v>
      </c>
      <c r="H468" s="35">
        <v>-20.9</v>
      </c>
      <c r="I468" s="35">
        <v>-21.2</v>
      </c>
      <c r="J468" s="35">
        <v>-23</v>
      </c>
      <c r="K468" s="35">
        <v>-20.8</v>
      </c>
      <c r="L468" s="35">
        <v>-17.8</v>
      </c>
      <c r="M468" s="35">
        <v>-23</v>
      </c>
      <c r="N468" s="35">
        <v>-4.3</v>
      </c>
      <c r="O468" s="35">
        <v>-5</v>
      </c>
      <c r="P468" s="35">
        <v>-5</v>
      </c>
      <c r="Q468" s="35">
        <v>-3.5</v>
      </c>
      <c r="R468" s="35">
        <v>9</v>
      </c>
      <c r="S468" s="35">
        <v>-5</v>
      </c>
      <c r="T468" s="35">
        <v>10.5</v>
      </c>
      <c r="U468" s="35">
        <v>9</v>
      </c>
      <c r="V468" s="35">
        <v>10.199999999999999</v>
      </c>
      <c r="W468" s="35">
        <v>9</v>
      </c>
      <c r="X468" s="35">
        <v>9.9</v>
      </c>
      <c r="Y468" s="35">
        <v>9</v>
      </c>
      <c r="Z468" s="35">
        <v>11.1</v>
      </c>
      <c r="AA468" s="35">
        <v>9</v>
      </c>
      <c r="AB468" s="35">
        <v>21.7</v>
      </c>
      <c r="AC468" s="35">
        <v>20</v>
      </c>
      <c r="AD468" s="35">
        <v>21.6</v>
      </c>
      <c r="AE468" s="35">
        <v>20</v>
      </c>
    </row>
    <row r="469" spans="1:31" x14ac:dyDescent="0.35">
      <c r="A469" s="36">
        <v>46059.782638888886</v>
      </c>
      <c r="B469" s="35">
        <v>-21.9</v>
      </c>
      <c r="C469" s="35">
        <v>-24.3</v>
      </c>
      <c r="D469" s="35">
        <v>-23</v>
      </c>
      <c r="E469" s="35">
        <v>-22.5</v>
      </c>
      <c r="F469" s="35">
        <v>-21.3</v>
      </c>
      <c r="G469" s="35">
        <v>-23</v>
      </c>
      <c r="H469" s="35">
        <v>-20.9</v>
      </c>
      <c r="I469" s="35">
        <v>-21.2</v>
      </c>
      <c r="J469" s="35">
        <v>-23</v>
      </c>
      <c r="K469" s="35">
        <v>-20.8</v>
      </c>
      <c r="L469" s="35">
        <v>-17.600000000000001</v>
      </c>
      <c r="M469" s="35">
        <v>-23</v>
      </c>
      <c r="N469" s="35">
        <v>-4.3</v>
      </c>
      <c r="O469" s="35">
        <v>-5</v>
      </c>
      <c r="P469" s="35">
        <v>-5</v>
      </c>
      <c r="Q469" s="35">
        <v>-3.5</v>
      </c>
      <c r="R469" s="35">
        <v>10.7</v>
      </c>
      <c r="S469" s="35">
        <v>-5</v>
      </c>
      <c r="T469" s="35">
        <v>10.6</v>
      </c>
      <c r="U469" s="35">
        <v>9</v>
      </c>
      <c r="V469" s="35">
        <v>10.3</v>
      </c>
      <c r="W469" s="35">
        <v>9</v>
      </c>
      <c r="X469" s="35">
        <v>9.9</v>
      </c>
      <c r="Y469" s="35">
        <v>9</v>
      </c>
      <c r="Z469" s="35">
        <v>11.1</v>
      </c>
      <c r="AA469" s="35">
        <v>9</v>
      </c>
      <c r="AB469" s="35">
        <v>21.7</v>
      </c>
      <c r="AC469" s="35">
        <v>20</v>
      </c>
      <c r="AD469" s="35">
        <v>21.6</v>
      </c>
      <c r="AE469" s="35">
        <v>20</v>
      </c>
    </row>
    <row r="470" spans="1:31" x14ac:dyDescent="0.35">
      <c r="A470" s="36">
        <v>46059.783333333333</v>
      </c>
      <c r="B470" s="35">
        <v>-21.9</v>
      </c>
      <c r="C470" s="35">
        <v>-23.5</v>
      </c>
      <c r="D470" s="35">
        <v>-23</v>
      </c>
      <c r="E470" s="35">
        <v>-22.2</v>
      </c>
      <c r="F470" s="35">
        <v>-21.3</v>
      </c>
      <c r="G470" s="35">
        <v>-23</v>
      </c>
      <c r="H470" s="35">
        <v>-20.9</v>
      </c>
      <c r="I470" s="35">
        <v>-21.6</v>
      </c>
      <c r="J470" s="35">
        <v>-23</v>
      </c>
      <c r="K470" s="35">
        <v>-21.1</v>
      </c>
      <c r="L470" s="35">
        <v>-17.5</v>
      </c>
      <c r="M470" s="35">
        <v>-23</v>
      </c>
      <c r="N470" s="35">
        <v>-4.3</v>
      </c>
      <c r="O470" s="35">
        <v>-5</v>
      </c>
      <c r="P470" s="35">
        <v>-5</v>
      </c>
      <c r="Q470" s="35">
        <v>-3.5</v>
      </c>
      <c r="R470" s="35">
        <v>12.6</v>
      </c>
      <c r="S470" s="35">
        <v>-5</v>
      </c>
      <c r="T470" s="35">
        <v>10.7</v>
      </c>
      <c r="U470" s="35">
        <v>9</v>
      </c>
      <c r="V470" s="35">
        <v>10.3</v>
      </c>
      <c r="W470" s="35">
        <v>9</v>
      </c>
      <c r="X470" s="35">
        <v>9.9</v>
      </c>
      <c r="Y470" s="35">
        <v>9</v>
      </c>
      <c r="Z470" s="35">
        <v>11.1</v>
      </c>
      <c r="AA470" s="35">
        <v>9</v>
      </c>
      <c r="AB470" s="35">
        <v>21.7</v>
      </c>
      <c r="AC470" s="35">
        <v>20</v>
      </c>
      <c r="AD470" s="35">
        <v>21.6</v>
      </c>
      <c r="AE470" s="35">
        <v>20</v>
      </c>
    </row>
    <row r="471" spans="1:31" x14ac:dyDescent="0.35">
      <c r="A471" s="36">
        <v>46059.78402777778</v>
      </c>
      <c r="B471" s="35">
        <v>-21.7</v>
      </c>
      <c r="C471" s="35">
        <v>-23</v>
      </c>
      <c r="D471" s="35">
        <v>-23</v>
      </c>
      <c r="E471" s="35">
        <v>-22</v>
      </c>
      <c r="F471" s="35">
        <v>-21.3</v>
      </c>
      <c r="G471" s="35">
        <v>-23</v>
      </c>
      <c r="H471" s="35">
        <v>-21</v>
      </c>
      <c r="I471" s="35">
        <v>-22.9</v>
      </c>
      <c r="J471" s="35">
        <v>-23</v>
      </c>
      <c r="K471" s="35">
        <v>-21.3</v>
      </c>
      <c r="L471" s="35">
        <v>-17.5</v>
      </c>
      <c r="M471" s="35">
        <v>-23</v>
      </c>
      <c r="N471" s="35">
        <v>-4.4000000000000004</v>
      </c>
      <c r="O471" s="35">
        <v>-5</v>
      </c>
      <c r="P471" s="35">
        <v>-5</v>
      </c>
      <c r="Q471" s="35">
        <v>-3.5</v>
      </c>
      <c r="R471" s="35">
        <v>17.899999999999999</v>
      </c>
      <c r="S471" s="35">
        <v>-5</v>
      </c>
      <c r="T471" s="35">
        <v>10.8</v>
      </c>
      <c r="U471" s="35">
        <v>9</v>
      </c>
      <c r="V471" s="35">
        <v>10.4</v>
      </c>
      <c r="W471" s="35">
        <v>9</v>
      </c>
      <c r="X471" s="35">
        <v>9.9</v>
      </c>
      <c r="Y471" s="35">
        <v>9</v>
      </c>
      <c r="Z471" s="35">
        <v>11.1</v>
      </c>
      <c r="AA471" s="35">
        <v>9</v>
      </c>
      <c r="AB471" s="35">
        <v>21.7</v>
      </c>
      <c r="AC471" s="35">
        <v>20</v>
      </c>
      <c r="AD471" s="35">
        <v>21.6</v>
      </c>
      <c r="AE471" s="35">
        <v>20</v>
      </c>
    </row>
    <row r="472" spans="1:31" x14ac:dyDescent="0.35">
      <c r="A472" s="36">
        <v>46059.784722222219</v>
      </c>
      <c r="B472" s="35">
        <v>-21.6</v>
      </c>
      <c r="C472" s="35">
        <v>-22.6</v>
      </c>
      <c r="D472" s="35">
        <v>-23</v>
      </c>
      <c r="E472" s="35">
        <v>-21.8</v>
      </c>
      <c r="F472" s="35">
        <v>-21.3</v>
      </c>
      <c r="G472" s="35">
        <v>-23</v>
      </c>
      <c r="H472" s="35">
        <v>-21.2</v>
      </c>
      <c r="I472" s="35">
        <v>-23.5</v>
      </c>
      <c r="J472" s="35">
        <v>-23</v>
      </c>
      <c r="K472" s="35">
        <v>-21.6</v>
      </c>
      <c r="L472" s="35">
        <v>-17.3</v>
      </c>
      <c r="M472" s="35">
        <v>-23</v>
      </c>
      <c r="N472" s="35">
        <v>-4.4000000000000004</v>
      </c>
      <c r="O472" s="35">
        <v>-5</v>
      </c>
      <c r="P472" s="35">
        <v>-5</v>
      </c>
      <c r="Q472" s="35">
        <v>-3.5</v>
      </c>
      <c r="R472" s="35">
        <v>18.5</v>
      </c>
      <c r="S472" s="35">
        <v>-5</v>
      </c>
      <c r="T472" s="35">
        <v>10.8</v>
      </c>
      <c r="U472" s="35">
        <v>9</v>
      </c>
      <c r="V472" s="35">
        <v>10.4</v>
      </c>
      <c r="W472" s="35">
        <v>9</v>
      </c>
      <c r="X472" s="35">
        <v>9.9</v>
      </c>
      <c r="Y472" s="35">
        <v>9</v>
      </c>
      <c r="Z472" s="35">
        <v>11.1</v>
      </c>
      <c r="AA472" s="35">
        <v>9</v>
      </c>
      <c r="AB472" s="35">
        <v>21.7</v>
      </c>
      <c r="AC472" s="35">
        <v>20</v>
      </c>
      <c r="AD472" s="35">
        <v>21.6</v>
      </c>
      <c r="AE472" s="35">
        <v>20</v>
      </c>
    </row>
    <row r="473" spans="1:31" x14ac:dyDescent="0.35">
      <c r="A473" s="36">
        <v>46059.785416666666</v>
      </c>
      <c r="B473" s="35">
        <v>-21.5</v>
      </c>
      <c r="C473" s="35">
        <v>-22.3</v>
      </c>
      <c r="D473" s="35">
        <v>-23</v>
      </c>
      <c r="E473" s="35">
        <v>-21.6</v>
      </c>
      <c r="F473" s="35">
        <v>-21.2</v>
      </c>
      <c r="G473" s="35">
        <v>-23</v>
      </c>
      <c r="H473" s="35">
        <v>-21.4</v>
      </c>
      <c r="I473" s="35">
        <v>-23.4</v>
      </c>
      <c r="J473" s="35">
        <v>-23</v>
      </c>
      <c r="K473" s="35">
        <v>-21.9</v>
      </c>
      <c r="L473" s="35">
        <v>-17.2</v>
      </c>
      <c r="M473" s="35">
        <v>-23</v>
      </c>
      <c r="N473" s="35">
        <v>-4.5</v>
      </c>
      <c r="O473" s="35">
        <v>-5.0999999999999996</v>
      </c>
      <c r="P473" s="35">
        <v>-5</v>
      </c>
      <c r="Q473" s="35">
        <v>-3.5</v>
      </c>
      <c r="R473" s="35">
        <v>19.2</v>
      </c>
      <c r="S473" s="35">
        <v>-5</v>
      </c>
      <c r="T473" s="35">
        <v>10.9</v>
      </c>
      <c r="U473" s="35">
        <v>9</v>
      </c>
      <c r="V473" s="35">
        <v>10.4</v>
      </c>
      <c r="W473" s="35">
        <v>9</v>
      </c>
      <c r="X473" s="35">
        <v>9.9</v>
      </c>
      <c r="Y473" s="35">
        <v>9</v>
      </c>
      <c r="Z473" s="35">
        <v>11.1</v>
      </c>
      <c r="AA473" s="35">
        <v>9</v>
      </c>
      <c r="AB473" s="35">
        <v>21.7</v>
      </c>
      <c r="AC473" s="35">
        <v>20</v>
      </c>
      <c r="AD473" s="35">
        <v>21.6</v>
      </c>
      <c r="AE473" s="35">
        <v>20</v>
      </c>
    </row>
    <row r="474" spans="1:31" x14ac:dyDescent="0.35">
      <c r="A474" s="36">
        <v>46059.786111111112</v>
      </c>
      <c r="B474" s="35">
        <v>-21.3</v>
      </c>
      <c r="C474" s="35">
        <v>-22</v>
      </c>
      <c r="D474" s="35">
        <v>-23</v>
      </c>
      <c r="E474" s="35">
        <v>-21.6</v>
      </c>
      <c r="F474" s="35">
        <v>-21.1</v>
      </c>
      <c r="G474" s="35">
        <v>-23</v>
      </c>
      <c r="H474" s="35">
        <v>-21.6</v>
      </c>
      <c r="I474" s="35">
        <v>-23.1</v>
      </c>
      <c r="J474" s="35">
        <v>-23</v>
      </c>
      <c r="K474" s="35">
        <v>-22.1</v>
      </c>
      <c r="L474" s="35">
        <v>-17.100000000000001</v>
      </c>
      <c r="M474" s="35">
        <v>-23</v>
      </c>
      <c r="N474" s="35">
        <v>-4.5</v>
      </c>
      <c r="O474" s="35">
        <v>-5.0999999999999996</v>
      </c>
      <c r="P474" s="35">
        <v>-5</v>
      </c>
      <c r="Q474" s="35">
        <v>-3.5</v>
      </c>
      <c r="R474" s="35">
        <v>19.3</v>
      </c>
      <c r="S474" s="35">
        <v>-5</v>
      </c>
      <c r="T474" s="35">
        <v>11</v>
      </c>
      <c r="U474" s="35">
        <v>9</v>
      </c>
      <c r="V474" s="35">
        <v>10.4</v>
      </c>
      <c r="W474" s="35">
        <v>9</v>
      </c>
      <c r="X474" s="35">
        <v>9.9</v>
      </c>
      <c r="Y474" s="35">
        <v>9</v>
      </c>
      <c r="Z474" s="35">
        <v>11.1</v>
      </c>
      <c r="AA474" s="35">
        <v>9</v>
      </c>
      <c r="AB474" s="35">
        <v>21.7</v>
      </c>
      <c r="AC474" s="35">
        <v>20</v>
      </c>
      <c r="AD474" s="35">
        <v>21.6</v>
      </c>
      <c r="AE474" s="35">
        <v>20</v>
      </c>
    </row>
    <row r="475" spans="1:31" x14ac:dyDescent="0.35">
      <c r="A475" s="36">
        <v>46059.786805555559</v>
      </c>
      <c r="B475" s="35">
        <v>-21.3</v>
      </c>
      <c r="C475" s="35">
        <v>-21.9</v>
      </c>
      <c r="D475" s="35">
        <v>-23</v>
      </c>
      <c r="E475" s="35">
        <v>-21.6</v>
      </c>
      <c r="F475" s="35">
        <v>-21.1</v>
      </c>
      <c r="G475" s="35">
        <v>-23</v>
      </c>
      <c r="H475" s="35">
        <v>-21.8</v>
      </c>
      <c r="I475" s="35">
        <v>-22.9</v>
      </c>
      <c r="J475" s="35">
        <v>-23</v>
      </c>
      <c r="K475" s="35">
        <v>-22.3</v>
      </c>
      <c r="L475" s="35">
        <v>-17.100000000000001</v>
      </c>
      <c r="M475" s="35">
        <v>-23</v>
      </c>
      <c r="N475" s="35">
        <v>-4.5</v>
      </c>
      <c r="O475" s="35">
        <v>-5.0999999999999996</v>
      </c>
      <c r="P475" s="35">
        <v>-5</v>
      </c>
      <c r="Q475" s="35">
        <v>-3.5</v>
      </c>
      <c r="R475" s="35">
        <v>18.5</v>
      </c>
      <c r="S475" s="35">
        <v>-5</v>
      </c>
      <c r="T475" s="35">
        <v>11</v>
      </c>
      <c r="U475" s="35">
        <v>9</v>
      </c>
      <c r="V475" s="35">
        <v>10.5</v>
      </c>
      <c r="W475" s="35">
        <v>9</v>
      </c>
      <c r="X475" s="35">
        <v>10</v>
      </c>
      <c r="Y475" s="35">
        <v>9</v>
      </c>
      <c r="Z475" s="35">
        <v>11.1</v>
      </c>
      <c r="AA475" s="35">
        <v>9</v>
      </c>
      <c r="AB475" s="35">
        <v>21.7</v>
      </c>
      <c r="AC475" s="35">
        <v>20</v>
      </c>
      <c r="AD475" s="35">
        <v>21.6</v>
      </c>
      <c r="AE475" s="35">
        <v>20</v>
      </c>
    </row>
    <row r="476" spans="1:31" x14ac:dyDescent="0.35">
      <c r="A476" s="36">
        <v>46059.787499999999</v>
      </c>
      <c r="B476" s="35">
        <v>-21.3</v>
      </c>
      <c r="C476" s="35">
        <v>-21.9</v>
      </c>
      <c r="D476" s="35">
        <v>-23</v>
      </c>
      <c r="E476" s="35">
        <v>-21.8</v>
      </c>
      <c r="F476" s="35">
        <v>-21.1</v>
      </c>
      <c r="G476" s="35">
        <v>-23</v>
      </c>
      <c r="H476" s="35">
        <v>-21.8</v>
      </c>
      <c r="I476" s="35">
        <v>-22.7</v>
      </c>
      <c r="J476" s="35">
        <v>-23</v>
      </c>
      <c r="K476" s="35">
        <v>-22.3</v>
      </c>
      <c r="L476" s="35">
        <v>-17.100000000000001</v>
      </c>
      <c r="M476" s="35">
        <v>-23</v>
      </c>
      <c r="N476" s="35">
        <v>-4.5</v>
      </c>
      <c r="O476" s="35">
        <v>-5.0999999999999996</v>
      </c>
      <c r="P476" s="35">
        <v>-5</v>
      </c>
      <c r="Q476" s="35">
        <v>-3.5</v>
      </c>
      <c r="R476" s="35">
        <v>17.600000000000001</v>
      </c>
      <c r="S476" s="35">
        <v>-5</v>
      </c>
      <c r="T476" s="35">
        <v>10.5</v>
      </c>
      <c r="U476" s="35">
        <v>9</v>
      </c>
      <c r="V476" s="35">
        <v>10.5</v>
      </c>
      <c r="W476" s="35">
        <v>9</v>
      </c>
      <c r="X476" s="35">
        <v>10.3</v>
      </c>
      <c r="Y476" s="35">
        <v>9</v>
      </c>
      <c r="Z476" s="35">
        <v>11.1</v>
      </c>
      <c r="AA476" s="35">
        <v>9</v>
      </c>
      <c r="AB476" s="35">
        <v>21.7</v>
      </c>
      <c r="AC476" s="35">
        <v>20</v>
      </c>
      <c r="AD476" s="35">
        <v>21.6</v>
      </c>
      <c r="AE476" s="35">
        <v>20</v>
      </c>
    </row>
    <row r="477" spans="1:31" x14ac:dyDescent="0.35">
      <c r="A477" s="36">
        <v>46059.788194444445</v>
      </c>
      <c r="B477" s="35">
        <v>-21.3</v>
      </c>
      <c r="C477" s="35">
        <v>-24.6</v>
      </c>
      <c r="D477" s="35">
        <v>-23</v>
      </c>
      <c r="E477" s="35">
        <v>-22.3</v>
      </c>
      <c r="F477" s="35">
        <v>-21.1</v>
      </c>
      <c r="G477" s="35">
        <v>-23</v>
      </c>
      <c r="H477" s="35">
        <v>-21.9</v>
      </c>
      <c r="I477" s="35">
        <v>-22.5</v>
      </c>
      <c r="J477" s="35">
        <v>-23</v>
      </c>
      <c r="K477" s="35">
        <v>-22.3</v>
      </c>
      <c r="L477" s="35">
        <v>-17.100000000000001</v>
      </c>
      <c r="M477" s="35">
        <v>-23</v>
      </c>
      <c r="N477" s="35">
        <v>-4.5</v>
      </c>
      <c r="O477" s="35">
        <v>-5.0999999999999996</v>
      </c>
      <c r="P477" s="35">
        <v>-5</v>
      </c>
      <c r="Q477" s="35">
        <v>23.3</v>
      </c>
      <c r="R477" s="35">
        <v>16</v>
      </c>
      <c r="S477" s="35">
        <v>-5</v>
      </c>
      <c r="T477" s="35">
        <v>9.9</v>
      </c>
      <c r="U477" s="35">
        <v>9</v>
      </c>
      <c r="V477" s="35">
        <v>10.5</v>
      </c>
      <c r="W477" s="35">
        <v>9</v>
      </c>
      <c r="X477" s="35">
        <v>10.5</v>
      </c>
      <c r="Y477" s="35">
        <v>9</v>
      </c>
      <c r="Z477" s="35">
        <v>11.1</v>
      </c>
      <c r="AA477" s="35">
        <v>9</v>
      </c>
      <c r="AB477" s="35">
        <v>21.7</v>
      </c>
      <c r="AC477" s="35">
        <v>20</v>
      </c>
      <c r="AD477" s="35">
        <v>21.6</v>
      </c>
      <c r="AE477" s="35">
        <v>20</v>
      </c>
    </row>
    <row r="478" spans="1:31" x14ac:dyDescent="0.35">
      <c r="A478" s="36">
        <v>46059.788888888892</v>
      </c>
      <c r="B478" s="35">
        <v>-21.6</v>
      </c>
      <c r="C478" s="35">
        <v>-26.7</v>
      </c>
      <c r="D478" s="35">
        <v>-23</v>
      </c>
      <c r="E478" s="35">
        <v>-22.6</v>
      </c>
      <c r="F478" s="35">
        <v>-21.1</v>
      </c>
      <c r="G478" s="35">
        <v>-23</v>
      </c>
      <c r="H478" s="35">
        <v>-21.9</v>
      </c>
      <c r="I478" s="35">
        <v>-22.3</v>
      </c>
      <c r="J478" s="35">
        <v>-23</v>
      </c>
      <c r="K478" s="35">
        <v>-22.1</v>
      </c>
      <c r="L478" s="35">
        <v>-17.2</v>
      </c>
      <c r="M478" s="35">
        <v>-23</v>
      </c>
      <c r="N478" s="35">
        <v>-4.5</v>
      </c>
      <c r="O478" s="35">
        <v>-5.0999999999999996</v>
      </c>
      <c r="P478" s="35">
        <v>-5</v>
      </c>
      <c r="Q478" s="35">
        <v>17.399999999999999</v>
      </c>
      <c r="R478" s="35">
        <v>12.4</v>
      </c>
      <c r="S478" s="35">
        <v>-5</v>
      </c>
      <c r="T478" s="35">
        <v>9.5</v>
      </c>
      <c r="U478" s="35">
        <v>9</v>
      </c>
      <c r="V478" s="35">
        <v>10.4</v>
      </c>
      <c r="W478" s="35">
        <v>9</v>
      </c>
      <c r="X478" s="35">
        <v>10.6</v>
      </c>
      <c r="Y478" s="35">
        <v>9</v>
      </c>
      <c r="Z478" s="35">
        <v>11.1</v>
      </c>
      <c r="AA478" s="35">
        <v>9</v>
      </c>
      <c r="AB478" s="35">
        <v>21.7</v>
      </c>
      <c r="AC478" s="35">
        <v>20</v>
      </c>
      <c r="AD478" s="35">
        <v>21.6</v>
      </c>
      <c r="AE478" s="35">
        <v>20</v>
      </c>
    </row>
    <row r="479" spans="1:31" x14ac:dyDescent="0.35">
      <c r="A479" s="36">
        <v>46059.789583333331</v>
      </c>
      <c r="B479" s="35">
        <v>-21.7</v>
      </c>
      <c r="C479" s="35">
        <v>-26.1</v>
      </c>
      <c r="D479" s="35">
        <v>-23</v>
      </c>
      <c r="E479" s="35">
        <v>-22.6</v>
      </c>
      <c r="F479" s="35">
        <v>-21.2</v>
      </c>
      <c r="G479" s="35">
        <v>-23</v>
      </c>
      <c r="H479" s="35">
        <v>-21.9</v>
      </c>
      <c r="I479" s="35">
        <v>-22.3</v>
      </c>
      <c r="J479" s="35">
        <v>-23</v>
      </c>
      <c r="K479" s="35">
        <v>-22.1</v>
      </c>
      <c r="L479" s="35">
        <v>-17.2</v>
      </c>
      <c r="M479" s="35">
        <v>-23</v>
      </c>
      <c r="N479" s="35">
        <v>-4.5</v>
      </c>
      <c r="O479" s="35">
        <v>-5.0999999999999996</v>
      </c>
      <c r="P479" s="35">
        <v>-5</v>
      </c>
      <c r="Q479" s="35">
        <v>10.8</v>
      </c>
      <c r="R479" s="35">
        <v>3.3</v>
      </c>
      <c r="S479" s="35">
        <v>-5</v>
      </c>
      <c r="T479" s="35">
        <v>9.1</v>
      </c>
      <c r="U479" s="35">
        <v>9</v>
      </c>
      <c r="V479" s="35">
        <v>10.199999999999999</v>
      </c>
      <c r="W479" s="35">
        <v>9</v>
      </c>
      <c r="X479" s="35">
        <v>10.6</v>
      </c>
      <c r="Y479" s="35">
        <v>9</v>
      </c>
      <c r="Z479" s="35">
        <v>11.1</v>
      </c>
      <c r="AA479" s="35">
        <v>9</v>
      </c>
      <c r="AB479" s="35">
        <v>21.7</v>
      </c>
      <c r="AC479" s="35">
        <v>20</v>
      </c>
      <c r="AD479" s="35">
        <v>21.6</v>
      </c>
      <c r="AE479" s="35">
        <v>20</v>
      </c>
    </row>
    <row r="480" spans="1:31" x14ac:dyDescent="0.35">
      <c r="A480" s="36">
        <v>46059.790277777778</v>
      </c>
      <c r="B480" s="35">
        <v>-21.8</v>
      </c>
      <c r="C480" s="35">
        <v>-24.7</v>
      </c>
      <c r="D480" s="35">
        <v>-23</v>
      </c>
      <c r="E480" s="35">
        <v>-22.6</v>
      </c>
      <c r="F480" s="35">
        <v>-21.2</v>
      </c>
      <c r="G480" s="35">
        <v>-23</v>
      </c>
      <c r="H480" s="35">
        <v>-21.9</v>
      </c>
      <c r="I480" s="35">
        <v>-22.8</v>
      </c>
      <c r="J480" s="35">
        <v>-23</v>
      </c>
      <c r="K480" s="35">
        <v>-22.3</v>
      </c>
      <c r="L480" s="35">
        <v>-17.3</v>
      </c>
      <c r="M480" s="35">
        <v>-23</v>
      </c>
      <c r="N480" s="35">
        <v>-4.5</v>
      </c>
      <c r="O480" s="35">
        <v>-5.0999999999999996</v>
      </c>
      <c r="P480" s="35">
        <v>-5</v>
      </c>
      <c r="Q480" s="35">
        <v>4.9000000000000004</v>
      </c>
      <c r="R480" s="35">
        <v>1.2</v>
      </c>
      <c r="S480" s="35">
        <v>-5</v>
      </c>
      <c r="T480" s="35">
        <v>8.8000000000000007</v>
      </c>
      <c r="U480" s="35">
        <v>9</v>
      </c>
      <c r="V480" s="35">
        <v>10.199999999999999</v>
      </c>
      <c r="W480" s="35">
        <v>9</v>
      </c>
      <c r="X480" s="35">
        <v>10.6</v>
      </c>
      <c r="Y480" s="35">
        <v>9</v>
      </c>
      <c r="Z480" s="35">
        <v>11.1</v>
      </c>
      <c r="AA480" s="35">
        <v>9</v>
      </c>
      <c r="AB480" s="35">
        <v>21.7</v>
      </c>
      <c r="AC480" s="35">
        <v>20</v>
      </c>
      <c r="AD480" s="35">
        <v>21.6</v>
      </c>
      <c r="AE480" s="35">
        <v>20</v>
      </c>
    </row>
    <row r="481" spans="1:31" x14ac:dyDescent="0.35">
      <c r="A481" s="36">
        <v>46059.790972222225</v>
      </c>
      <c r="B481" s="35">
        <v>-21.8</v>
      </c>
      <c r="C481" s="35">
        <v>-23.7</v>
      </c>
      <c r="D481" s="35">
        <v>-23</v>
      </c>
      <c r="E481" s="35">
        <v>-22.5</v>
      </c>
      <c r="F481" s="35">
        <v>-21.2</v>
      </c>
      <c r="G481" s="35">
        <v>-23</v>
      </c>
      <c r="H481" s="35">
        <v>-21.9</v>
      </c>
      <c r="I481" s="35">
        <v>-22.9</v>
      </c>
      <c r="J481" s="35">
        <v>-23</v>
      </c>
      <c r="K481" s="35">
        <v>-22.6</v>
      </c>
      <c r="L481" s="35">
        <v>-17.5</v>
      </c>
      <c r="M481" s="35">
        <v>-23</v>
      </c>
      <c r="N481" s="35">
        <v>-4.5</v>
      </c>
      <c r="O481" s="35">
        <v>-5.0999999999999996</v>
      </c>
      <c r="P481" s="35">
        <v>-5</v>
      </c>
      <c r="Q481" s="35">
        <v>2.9</v>
      </c>
      <c r="R481" s="35">
        <v>0.7</v>
      </c>
      <c r="S481" s="35">
        <v>-5</v>
      </c>
      <c r="T481" s="35">
        <v>8.6999999999999993</v>
      </c>
      <c r="U481" s="35">
        <v>9</v>
      </c>
      <c r="V481" s="35">
        <v>10</v>
      </c>
      <c r="W481" s="35">
        <v>9</v>
      </c>
      <c r="X481" s="35">
        <v>10.5</v>
      </c>
      <c r="Y481" s="35">
        <v>9</v>
      </c>
      <c r="Z481" s="35">
        <v>11.2</v>
      </c>
      <c r="AA481" s="35">
        <v>9</v>
      </c>
      <c r="AB481" s="35">
        <v>21.7</v>
      </c>
      <c r="AC481" s="35">
        <v>20</v>
      </c>
      <c r="AD481" s="35">
        <v>21.6</v>
      </c>
      <c r="AE481" s="35">
        <v>20</v>
      </c>
    </row>
    <row r="482" spans="1:31" x14ac:dyDescent="0.35">
      <c r="A482" s="36">
        <v>46059.791666666664</v>
      </c>
      <c r="B482" s="35">
        <v>-21.8</v>
      </c>
      <c r="C482" s="35">
        <v>-23.2</v>
      </c>
      <c r="D482" s="35">
        <v>-23</v>
      </c>
      <c r="E482" s="35">
        <v>-22.4</v>
      </c>
      <c r="F482" s="35">
        <v>-21.2</v>
      </c>
      <c r="G482" s="35">
        <v>-23</v>
      </c>
      <c r="H482" s="35">
        <v>-22.1</v>
      </c>
      <c r="I482" s="35">
        <v>-22.9</v>
      </c>
      <c r="J482" s="35">
        <v>-23</v>
      </c>
      <c r="K482" s="35">
        <v>-22.7</v>
      </c>
      <c r="L482" s="35">
        <v>-17.600000000000001</v>
      </c>
      <c r="M482" s="35">
        <v>-23</v>
      </c>
      <c r="N482" s="35">
        <v>-4.5</v>
      </c>
      <c r="O482" s="35">
        <v>-5.0999999999999996</v>
      </c>
      <c r="P482" s="35">
        <v>-5</v>
      </c>
      <c r="Q482" s="35">
        <v>2</v>
      </c>
      <c r="R482" s="35">
        <v>0.4</v>
      </c>
      <c r="S482" s="35">
        <v>-5</v>
      </c>
      <c r="T482" s="35">
        <v>8.6999999999999993</v>
      </c>
      <c r="U482" s="35">
        <v>9</v>
      </c>
      <c r="V482" s="35">
        <v>9.9</v>
      </c>
      <c r="W482" s="35">
        <v>9</v>
      </c>
      <c r="X482" s="35">
        <v>10.5</v>
      </c>
      <c r="Y482" s="35">
        <v>9</v>
      </c>
      <c r="Z482" s="35">
        <v>11.2</v>
      </c>
      <c r="AA482" s="35">
        <v>9</v>
      </c>
      <c r="AB482" s="35">
        <v>21.7</v>
      </c>
      <c r="AC482" s="35">
        <v>20</v>
      </c>
      <c r="AD482" s="35">
        <v>21.6</v>
      </c>
      <c r="AE482" s="35">
        <v>20</v>
      </c>
    </row>
    <row r="483" spans="1:31" x14ac:dyDescent="0.35">
      <c r="A483" s="36">
        <v>46059.792361111111</v>
      </c>
      <c r="B483" s="35">
        <v>-21.8</v>
      </c>
      <c r="C483" s="35">
        <v>-22.9</v>
      </c>
      <c r="D483" s="35">
        <v>-23</v>
      </c>
      <c r="E483" s="35">
        <v>-22.4</v>
      </c>
      <c r="F483" s="35">
        <v>-21.2</v>
      </c>
      <c r="G483" s="35">
        <v>-23</v>
      </c>
      <c r="H483" s="35">
        <v>-22.2</v>
      </c>
      <c r="I483" s="35">
        <v>-22.9</v>
      </c>
      <c r="J483" s="35">
        <v>-23</v>
      </c>
      <c r="K483" s="35">
        <v>-22.7</v>
      </c>
      <c r="L483" s="35">
        <v>-17.7</v>
      </c>
      <c r="M483" s="35">
        <v>-23</v>
      </c>
      <c r="N483" s="35">
        <v>-4.5</v>
      </c>
      <c r="O483" s="35">
        <v>-5.0999999999999996</v>
      </c>
      <c r="P483" s="35">
        <v>-5</v>
      </c>
      <c r="Q483" s="35">
        <v>1.5</v>
      </c>
      <c r="R483" s="35">
        <v>0.1</v>
      </c>
      <c r="S483" s="35">
        <v>-5</v>
      </c>
      <c r="T483" s="35">
        <v>9</v>
      </c>
      <c r="U483" s="35">
        <v>9</v>
      </c>
      <c r="V483" s="35">
        <v>9.9</v>
      </c>
      <c r="W483" s="35">
        <v>9</v>
      </c>
      <c r="X483" s="35">
        <v>10.4</v>
      </c>
      <c r="Y483" s="35">
        <v>9</v>
      </c>
      <c r="Z483" s="35">
        <v>11.2</v>
      </c>
      <c r="AA483" s="35">
        <v>9</v>
      </c>
      <c r="AB483" s="35">
        <v>21.7</v>
      </c>
      <c r="AC483" s="35">
        <v>20</v>
      </c>
      <c r="AD483" s="35">
        <v>21.6</v>
      </c>
      <c r="AE483" s="35">
        <v>20</v>
      </c>
    </row>
    <row r="484" spans="1:31" x14ac:dyDescent="0.35">
      <c r="A484" s="36">
        <v>46059.793055555558</v>
      </c>
      <c r="B484" s="35">
        <v>-21.8</v>
      </c>
      <c r="C484" s="35">
        <v>-23.5</v>
      </c>
      <c r="D484" s="35">
        <v>-23</v>
      </c>
      <c r="E484" s="35">
        <v>-22.6</v>
      </c>
      <c r="F484" s="35">
        <v>-21.4</v>
      </c>
      <c r="G484" s="35">
        <v>-23</v>
      </c>
      <c r="H484" s="35">
        <v>-22.2</v>
      </c>
      <c r="I484" s="35">
        <v>-22.9</v>
      </c>
      <c r="J484" s="35">
        <v>-23</v>
      </c>
      <c r="K484" s="35">
        <v>-22.7</v>
      </c>
      <c r="L484" s="35">
        <v>-17.8</v>
      </c>
      <c r="M484" s="35">
        <v>-23</v>
      </c>
      <c r="N484" s="35">
        <v>-4.5</v>
      </c>
      <c r="O484" s="35">
        <v>-5.0999999999999996</v>
      </c>
      <c r="P484" s="35">
        <v>-5</v>
      </c>
      <c r="Q484" s="35">
        <v>1.2</v>
      </c>
      <c r="R484" s="35">
        <v>-0.2</v>
      </c>
      <c r="S484" s="35">
        <v>-5</v>
      </c>
      <c r="T484" s="35">
        <v>9.1999999999999993</v>
      </c>
      <c r="U484" s="35">
        <v>9</v>
      </c>
      <c r="V484" s="35">
        <v>9.9</v>
      </c>
      <c r="W484" s="35">
        <v>9</v>
      </c>
      <c r="X484" s="35">
        <v>10.4</v>
      </c>
      <c r="Y484" s="35">
        <v>9</v>
      </c>
      <c r="Z484" s="35">
        <v>11.3</v>
      </c>
      <c r="AA484" s="35">
        <v>9</v>
      </c>
      <c r="AB484" s="35">
        <v>21.7</v>
      </c>
      <c r="AC484" s="35">
        <v>20</v>
      </c>
      <c r="AD484" s="35">
        <v>21.6</v>
      </c>
      <c r="AE484" s="35">
        <v>20</v>
      </c>
    </row>
    <row r="485" spans="1:31" x14ac:dyDescent="0.35">
      <c r="A485" s="36">
        <v>46059.793749999997</v>
      </c>
      <c r="B485" s="35">
        <v>-21.9</v>
      </c>
      <c r="C485" s="35">
        <v>-26.4</v>
      </c>
      <c r="D485" s="35">
        <v>-23</v>
      </c>
      <c r="E485" s="35">
        <v>-23</v>
      </c>
      <c r="F485" s="35">
        <v>-21.5</v>
      </c>
      <c r="G485" s="35">
        <v>-23</v>
      </c>
      <c r="H485" s="35">
        <v>-22.2</v>
      </c>
      <c r="I485" s="35">
        <v>-22.8</v>
      </c>
      <c r="J485" s="35">
        <v>-23</v>
      </c>
      <c r="K485" s="35">
        <v>-22.6</v>
      </c>
      <c r="L485" s="35">
        <v>-17.8</v>
      </c>
      <c r="M485" s="35">
        <v>-23</v>
      </c>
      <c r="N485" s="35">
        <v>-4.5999999999999996</v>
      </c>
      <c r="O485" s="35">
        <v>-5.2</v>
      </c>
      <c r="P485" s="35">
        <v>-5</v>
      </c>
      <c r="Q485" s="35">
        <v>0.9</v>
      </c>
      <c r="R485" s="35">
        <v>-0.5</v>
      </c>
      <c r="S485" s="35">
        <v>-5</v>
      </c>
      <c r="T485" s="35">
        <v>9.5</v>
      </c>
      <c r="U485" s="35">
        <v>9</v>
      </c>
      <c r="V485" s="35">
        <v>9.9</v>
      </c>
      <c r="W485" s="35">
        <v>9</v>
      </c>
      <c r="X485" s="35">
        <v>10.4</v>
      </c>
      <c r="Y485" s="35">
        <v>9</v>
      </c>
      <c r="Z485" s="35">
        <v>11.3</v>
      </c>
      <c r="AA485" s="35">
        <v>9</v>
      </c>
      <c r="AB485" s="35">
        <v>21.7</v>
      </c>
      <c r="AC485" s="35">
        <v>20</v>
      </c>
      <c r="AD485" s="35">
        <v>21.6</v>
      </c>
      <c r="AE485" s="35">
        <v>20</v>
      </c>
    </row>
    <row r="486" spans="1:31" x14ac:dyDescent="0.35">
      <c r="A486" s="36">
        <v>46059.794444444444</v>
      </c>
      <c r="B486" s="35">
        <v>-22</v>
      </c>
      <c r="C486" s="35">
        <v>-27.3</v>
      </c>
      <c r="D486" s="35">
        <v>-23</v>
      </c>
      <c r="E486" s="35">
        <v>-23.1</v>
      </c>
      <c r="F486" s="35">
        <v>-21.6</v>
      </c>
      <c r="G486" s="35">
        <v>-23</v>
      </c>
      <c r="H486" s="35">
        <v>-22.2</v>
      </c>
      <c r="I486" s="35">
        <v>-22.7</v>
      </c>
      <c r="J486" s="35">
        <v>-23</v>
      </c>
      <c r="K486" s="35">
        <v>-22.5</v>
      </c>
      <c r="L486" s="35">
        <v>-17.8</v>
      </c>
      <c r="M486" s="35">
        <v>-23</v>
      </c>
      <c r="N486" s="35">
        <v>-4.5999999999999996</v>
      </c>
      <c r="O486" s="35">
        <v>-5.2</v>
      </c>
      <c r="P486" s="35">
        <v>-5</v>
      </c>
      <c r="Q486" s="35">
        <v>0.6</v>
      </c>
      <c r="R486" s="35">
        <v>-0.7</v>
      </c>
      <c r="S486" s="35">
        <v>-5</v>
      </c>
      <c r="T486" s="35">
        <v>9.6999999999999993</v>
      </c>
      <c r="U486" s="35">
        <v>9</v>
      </c>
      <c r="V486" s="35">
        <v>9.9</v>
      </c>
      <c r="W486" s="35">
        <v>9</v>
      </c>
      <c r="X486" s="35">
        <v>10.4</v>
      </c>
      <c r="Y486" s="35">
        <v>9</v>
      </c>
      <c r="Z486" s="35">
        <v>11.3</v>
      </c>
      <c r="AA486" s="35">
        <v>9</v>
      </c>
      <c r="AB486" s="35">
        <v>21.7</v>
      </c>
      <c r="AC486" s="35">
        <v>20</v>
      </c>
      <c r="AD486" s="35">
        <v>21.6</v>
      </c>
      <c r="AE486" s="35">
        <v>20</v>
      </c>
    </row>
    <row r="487" spans="1:31" x14ac:dyDescent="0.35">
      <c r="A487" s="36">
        <v>46059.795138888891</v>
      </c>
      <c r="B487" s="35">
        <v>-22.2</v>
      </c>
      <c r="C487" s="35">
        <v>-25.8</v>
      </c>
      <c r="D487" s="35">
        <v>-23</v>
      </c>
      <c r="E487" s="35">
        <v>-23.1</v>
      </c>
      <c r="F487" s="35">
        <v>-21.7</v>
      </c>
      <c r="G487" s="35">
        <v>-23</v>
      </c>
      <c r="H487" s="35">
        <v>-22.2</v>
      </c>
      <c r="I487" s="35">
        <v>-22.7</v>
      </c>
      <c r="J487" s="35">
        <v>-23</v>
      </c>
      <c r="K487" s="35">
        <v>-22.5</v>
      </c>
      <c r="L487" s="35">
        <v>-17.8</v>
      </c>
      <c r="M487" s="35">
        <v>-23</v>
      </c>
      <c r="N487" s="35">
        <v>-4.5999999999999996</v>
      </c>
      <c r="O487" s="35">
        <v>-5.2</v>
      </c>
      <c r="P487" s="35">
        <v>-5</v>
      </c>
      <c r="Q487" s="35">
        <v>0.5</v>
      </c>
      <c r="R487" s="35">
        <v>-0.8</v>
      </c>
      <c r="S487" s="35">
        <v>-5</v>
      </c>
      <c r="T487" s="35">
        <v>9.9</v>
      </c>
      <c r="U487" s="35">
        <v>9</v>
      </c>
      <c r="V487" s="35">
        <v>9.9</v>
      </c>
      <c r="W487" s="35">
        <v>9</v>
      </c>
      <c r="X487" s="35">
        <v>10.4</v>
      </c>
      <c r="Y487" s="35">
        <v>9</v>
      </c>
      <c r="Z487" s="35">
        <v>11.4</v>
      </c>
      <c r="AA487" s="35">
        <v>9</v>
      </c>
      <c r="AB487" s="35">
        <v>21.7</v>
      </c>
      <c r="AC487" s="35">
        <v>20</v>
      </c>
      <c r="AD487" s="35">
        <v>21.6</v>
      </c>
      <c r="AE487" s="35">
        <v>20</v>
      </c>
    </row>
    <row r="488" spans="1:31" x14ac:dyDescent="0.35">
      <c r="A488" s="36">
        <v>46059.79583333333</v>
      </c>
      <c r="B488" s="35">
        <v>-22.2</v>
      </c>
      <c r="C488" s="35">
        <v>-24.7</v>
      </c>
      <c r="D488" s="35">
        <v>-23</v>
      </c>
      <c r="E488" s="35">
        <v>-23</v>
      </c>
      <c r="F488" s="35">
        <v>-21.7</v>
      </c>
      <c r="G488" s="35">
        <v>-23</v>
      </c>
      <c r="H488" s="35">
        <v>-22.2</v>
      </c>
      <c r="I488" s="35">
        <v>-23.1</v>
      </c>
      <c r="J488" s="35">
        <v>-23</v>
      </c>
      <c r="K488" s="35">
        <v>-22.7</v>
      </c>
      <c r="L488" s="35">
        <v>-18</v>
      </c>
      <c r="M488" s="35">
        <v>-23</v>
      </c>
      <c r="N488" s="35">
        <v>-4.5999999999999996</v>
      </c>
      <c r="O488" s="35">
        <v>-5.2</v>
      </c>
      <c r="P488" s="35">
        <v>-5</v>
      </c>
      <c r="Q488" s="35">
        <v>0.3</v>
      </c>
      <c r="R488" s="35">
        <v>-0.8</v>
      </c>
      <c r="S488" s="35">
        <v>-5</v>
      </c>
      <c r="T488" s="35">
        <v>10.1</v>
      </c>
      <c r="U488" s="35">
        <v>9</v>
      </c>
      <c r="V488" s="35">
        <v>9.9</v>
      </c>
      <c r="W488" s="35">
        <v>9</v>
      </c>
      <c r="X488" s="35">
        <v>10.4</v>
      </c>
      <c r="Y488" s="35">
        <v>9</v>
      </c>
      <c r="Z488" s="35">
        <v>11.4</v>
      </c>
      <c r="AA488" s="35">
        <v>9</v>
      </c>
      <c r="AB488" s="35">
        <v>21.7</v>
      </c>
      <c r="AC488" s="35">
        <v>20</v>
      </c>
      <c r="AD488" s="35">
        <v>21.6</v>
      </c>
      <c r="AE488" s="35">
        <v>20</v>
      </c>
    </row>
    <row r="489" spans="1:31" x14ac:dyDescent="0.35">
      <c r="A489" s="36">
        <v>46059.796527777777</v>
      </c>
      <c r="B489" s="35">
        <v>-22.2</v>
      </c>
      <c r="C489" s="35">
        <v>-24</v>
      </c>
      <c r="D489" s="35">
        <v>-23</v>
      </c>
      <c r="E489" s="35">
        <v>-22.9</v>
      </c>
      <c r="F489" s="35">
        <v>-21.7</v>
      </c>
      <c r="G489" s="35">
        <v>-23</v>
      </c>
      <c r="H489" s="35">
        <v>-22.3</v>
      </c>
      <c r="I489" s="35">
        <v>-23.1</v>
      </c>
      <c r="J489" s="35">
        <v>-23</v>
      </c>
      <c r="K489" s="35">
        <v>-22.9</v>
      </c>
      <c r="L489" s="35">
        <v>-18.2</v>
      </c>
      <c r="M489" s="35">
        <v>-23</v>
      </c>
      <c r="N489" s="35">
        <v>-4.5999999999999996</v>
      </c>
      <c r="O489" s="35">
        <v>-5.2</v>
      </c>
      <c r="P489" s="35">
        <v>-5</v>
      </c>
      <c r="Q489" s="35">
        <v>0.1</v>
      </c>
      <c r="R489" s="35">
        <v>-1.2</v>
      </c>
      <c r="S489" s="35">
        <v>-5</v>
      </c>
      <c r="T489" s="35">
        <v>10.199999999999999</v>
      </c>
      <c r="U489" s="35">
        <v>9</v>
      </c>
      <c r="V489" s="35">
        <v>9.9</v>
      </c>
      <c r="W489" s="35">
        <v>9</v>
      </c>
      <c r="X489" s="35">
        <v>10.1</v>
      </c>
      <c r="Y489" s="35">
        <v>9</v>
      </c>
      <c r="Z489" s="35">
        <v>11.4</v>
      </c>
      <c r="AA489" s="35">
        <v>9</v>
      </c>
      <c r="AB489" s="35">
        <v>21.7</v>
      </c>
      <c r="AC489" s="35">
        <v>20</v>
      </c>
      <c r="AD489" s="35">
        <v>21.6</v>
      </c>
      <c r="AE489" s="35">
        <v>20</v>
      </c>
    </row>
    <row r="490" spans="1:31" x14ac:dyDescent="0.35">
      <c r="A490" s="36">
        <v>46059.797222222223</v>
      </c>
      <c r="B490" s="35">
        <v>-22.2</v>
      </c>
      <c r="C490" s="35">
        <v>-23.6</v>
      </c>
      <c r="D490" s="35">
        <v>-23</v>
      </c>
      <c r="E490" s="35">
        <v>-22.8</v>
      </c>
      <c r="F490" s="35">
        <v>-21.7</v>
      </c>
      <c r="G490" s="35">
        <v>-23</v>
      </c>
      <c r="H490" s="35">
        <v>-22.4</v>
      </c>
      <c r="I490" s="35">
        <v>-23.1</v>
      </c>
      <c r="J490" s="35">
        <v>-23</v>
      </c>
      <c r="K490" s="35">
        <v>-23</v>
      </c>
      <c r="L490" s="35">
        <v>-18.3</v>
      </c>
      <c r="M490" s="35">
        <v>-23</v>
      </c>
      <c r="N490" s="35">
        <v>-4.5999999999999996</v>
      </c>
      <c r="O490" s="35">
        <v>-5.2</v>
      </c>
      <c r="P490" s="35">
        <v>-5</v>
      </c>
      <c r="Q490" s="35">
        <v>-0.1</v>
      </c>
      <c r="R490" s="35">
        <v>-1.4</v>
      </c>
      <c r="S490" s="35">
        <v>-5</v>
      </c>
      <c r="T490" s="35">
        <v>10.3</v>
      </c>
      <c r="U490" s="35">
        <v>9</v>
      </c>
      <c r="V490" s="35">
        <v>10.1</v>
      </c>
      <c r="W490" s="35">
        <v>9</v>
      </c>
      <c r="X490" s="35">
        <v>10.1</v>
      </c>
      <c r="Y490" s="35">
        <v>9</v>
      </c>
      <c r="Z490" s="35">
        <v>11.4</v>
      </c>
      <c r="AA490" s="35">
        <v>9</v>
      </c>
      <c r="AB490" s="35">
        <v>21.7</v>
      </c>
      <c r="AC490" s="35">
        <v>20</v>
      </c>
      <c r="AD490" s="35">
        <v>21.6</v>
      </c>
      <c r="AE490" s="35">
        <v>20</v>
      </c>
    </row>
    <row r="491" spans="1:31" x14ac:dyDescent="0.35">
      <c r="A491" s="36">
        <v>46059.79791666667</v>
      </c>
      <c r="B491" s="35">
        <v>-22.2</v>
      </c>
      <c r="C491" s="35">
        <v>-23.4</v>
      </c>
      <c r="D491" s="35">
        <v>-23</v>
      </c>
      <c r="E491" s="35">
        <v>-22.8</v>
      </c>
      <c r="F491" s="35">
        <v>-21.7</v>
      </c>
      <c r="G491" s="35">
        <v>-23</v>
      </c>
      <c r="H491" s="35">
        <v>-22.5</v>
      </c>
      <c r="I491" s="35">
        <v>-23.1</v>
      </c>
      <c r="J491" s="35">
        <v>-23</v>
      </c>
      <c r="K491" s="35">
        <v>-23</v>
      </c>
      <c r="L491" s="35">
        <v>-18.399999999999999</v>
      </c>
      <c r="M491" s="35">
        <v>-23</v>
      </c>
      <c r="N491" s="35">
        <v>-4.5999999999999996</v>
      </c>
      <c r="O491" s="35">
        <v>-5.2</v>
      </c>
      <c r="P491" s="35">
        <v>-5</v>
      </c>
      <c r="Q491" s="35">
        <v>-0.2</v>
      </c>
      <c r="R491" s="35">
        <v>-1.5</v>
      </c>
      <c r="S491" s="35">
        <v>-5</v>
      </c>
      <c r="T491" s="35">
        <v>10.4</v>
      </c>
      <c r="U491" s="35">
        <v>9</v>
      </c>
      <c r="V491" s="35">
        <v>10.1</v>
      </c>
      <c r="W491" s="35">
        <v>9</v>
      </c>
      <c r="X491" s="35">
        <v>10</v>
      </c>
      <c r="Y491" s="35">
        <v>9</v>
      </c>
      <c r="Z491" s="35">
        <v>11.4</v>
      </c>
      <c r="AA491" s="35">
        <v>9</v>
      </c>
      <c r="AB491" s="35">
        <v>21.7</v>
      </c>
      <c r="AC491" s="35">
        <v>20</v>
      </c>
      <c r="AD491" s="35">
        <v>21.6</v>
      </c>
      <c r="AE491" s="35">
        <v>20</v>
      </c>
    </row>
    <row r="492" spans="1:31" x14ac:dyDescent="0.35">
      <c r="A492" s="36">
        <v>46059.798611111109</v>
      </c>
      <c r="B492" s="35">
        <v>-22.2</v>
      </c>
      <c r="C492" s="35">
        <v>-25.1</v>
      </c>
      <c r="D492" s="35">
        <v>-23</v>
      </c>
      <c r="E492" s="35">
        <v>-23.2</v>
      </c>
      <c r="F492" s="35">
        <v>-21.9</v>
      </c>
      <c r="G492" s="35">
        <v>-23</v>
      </c>
      <c r="H492" s="35">
        <v>-22.5</v>
      </c>
      <c r="I492" s="35">
        <v>-23.1</v>
      </c>
      <c r="J492" s="35">
        <v>-23</v>
      </c>
      <c r="K492" s="35">
        <v>-23</v>
      </c>
      <c r="L492" s="35">
        <v>-18.399999999999999</v>
      </c>
      <c r="M492" s="35">
        <v>-23</v>
      </c>
      <c r="N492" s="35">
        <v>-4.5999999999999996</v>
      </c>
      <c r="O492" s="35">
        <v>-5.2</v>
      </c>
      <c r="P492" s="35">
        <v>-5</v>
      </c>
      <c r="Q492" s="35">
        <v>-0.3</v>
      </c>
      <c r="R492" s="35">
        <v>-1.7</v>
      </c>
      <c r="S492" s="35">
        <v>-5</v>
      </c>
      <c r="T492" s="35">
        <v>10.5</v>
      </c>
      <c r="U492" s="35">
        <v>9</v>
      </c>
      <c r="V492" s="35">
        <v>10.199999999999999</v>
      </c>
      <c r="W492" s="35">
        <v>9</v>
      </c>
      <c r="X492" s="35">
        <v>10</v>
      </c>
      <c r="Y492" s="35">
        <v>9</v>
      </c>
      <c r="Z492" s="35">
        <v>11.4</v>
      </c>
      <c r="AA492" s="35">
        <v>9</v>
      </c>
      <c r="AB492" s="35">
        <v>21.7</v>
      </c>
      <c r="AC492" s="35">
        <v>20</v>
      </c>
      <c r="AD492" s="35">
        <v>21.6</v>
      </c>
      <c r="AE492" s="35">
        <v>20</v>
      </c>
    </row>
    <row r="493" spans="1:31" x14ac:dyDescent="0.35">
      <c r="A493" s="36">
        <v>46059.799305555556</v>
      </c>
      <c r="B493" s="35">
        <v>-22.3</v>
      </c>
      <c r="C493" s="35">
        <v>-27.6</v>
      </c>
      <c r="D493" s="35">
        <v>-23</v>
      </c>
      <c r="E493" s="35">
        <v>-23.4</v>
      </c>
      <c r="F493" s="35">
        <v>-22</v>
      </c>
      <c r="G493" s="35">
        <v>-23</v>
      </c>
      <c r="H493" s="35">
        <v>-22.5</v>
      </c>
      <c r="I493" s="35">
        <v>-23</v>
      </c>
      <c r="J493" s="35">
        <v>-23</v>
      </c>
      <c r="K493" s="35">
        <v>-22.8</v>
      </c>
      <c r="L493" s="35">
        <v>-18.399999999999999</v>
      </c>
      <c r="M493" s="35">
        <v>-23</v>
      </c>
      <c r="N493" s="35">
        <v>-4.5999999999999996</v>
      </c>
      <c r="O493" s="35">
        <v>-5.2</v>
      </c>
      <c r="P493" s="35">
        <v>-5</v>
      </c>
      <c r="Q493" s="35">
        <v>-0.5</v>
      </c>
      <c r="R493" s="35">
        <v>-1.8</v>
      </c>
      <c r="S493" s="35">
        <v>-5</v>
      </c>
      <c r="T493" s="35">
        <v>10.6</v>
      </c>
      <c r="U493" s="35">
        <v>9</v>
      </c>
      <c r="V493" s="35">
        <v>10.3</v>
      </c>
      <c r="W493" s="35">
        <v>9</v>
      </c>
      <c r="X493" s="35">
        <v>10</v>
      </c>
      <c r="Y493" s="35">
        <v>9</v>
      </c>
      <c r="Z493" s="35">
        <v>11.4</v>
      </c>
      <c r="AA493" s="35">
        <v>9</v>
      </c>
      <c r="AB493" s="35">
        <v>21.7</v>
      </c>
      <c r="AC493" s="35">
        <v>20</v>
      </c>
      <c r="AD493" s="35">
        <v>21.6</v>
      </c>
      <c r="AE493" s="35">
        <v>20</v>
      </c>
    </row>
    <row r="494" spans="1:31" x14ac:dyDescent="0.35">
      <c r="A494" s="36">
        <v>46059.8</v>
      </c>
      <c r="B494" s="35">
        <v>-22.5</v>
      </c>
      <c r="C494" s="35">
        <v>-27</v>
      </c>
      <c r="D494" s="35">
        <v>-23</v>
      </c>
      <c r="E494" s="35">
        <v>-23.5</v>
      </c>
      <c r="F494" s="35">
        <v>-22.1</v>
      </c>
      <c r="G494" s="35">
        <v>-23</v>
      </c>
      <c r="H494" s="35">
        <v>-22.5</v>
      </c>
      <c r="I494" s="35">
        <v>-22.9</v>
      </c>
      <c r="J494" s="35">
        <v>-23</v>
      </c>
      <c r="K494" s="35">
        <v>-22.8</v>
      </c>
      <c r="L494" s="35">
        <v>-18.399999999999999</v>
      </c>
      <c r="M494" s="35">
        <v>-23</v>
      </c>
      <c r="N494" s="35">
        <v>-4.5999999999999996</v>
      </c>
      <c r="O494" s="35">
        <v>-5.2</v>
      </c>
      <c r="P494" s="35">
        <v>-5</v>
      </c>
      <c r="Q494" s="35">
        <v>-0.5</v>
      </c>
      <c r="R494" s="35">
        <v>-2</v>
      </c>
      <c r="S494" s="35">
        <v>-5</v>
      </c>
      <c r="T494" s="35">
        <v>10.7</v>
      </c>
      <c r="U494" s="35">
        <v>9</v>
      </c>
      <c r="V494" s="35">
        <v>10.3</v>
      </c>
      <c r="W494" s="35">
        <v>9</v>
      </c>
      <c r="X494" s="35">
        <v>9.9</v>
      </c>
      <c r="Y494" s="35">
        <v>9</v>
      </c>
      <c r="Z494" s="35">
        <v>11.4</v>
      </c>
      <c r="AA494" s="35">
        <v>9</v>
      </c>
      <c r="AB494" s="35">
        <v>21.7</v>
      </c>
      <c r="AC494" s="35">
        <v>20</v>
      </c>
      <c r="AD494" s="35">
        <v>21.7</v>
      </c>
      <c r="AE494" s="35">
        <v>20</v>
      </c>
    </row>
    <row r="495" spans="1:31" x14ac:dyDescent="0.35">
      <c r="A495" s="36">
        <v>46059.800694444442</v>
      </c>
      <c r="B495" s="35">
        <v>-22.5</v>
      </c>
      <c r="C495" s="35">
        <v>-25.7</v>
      </c>
      <c r="D495" s="35">
        <v>-23</v>
      </c>
      <c r="E495" s="35">
        <v>-23.5</v>
      </c>
      <c r="F495" s="35">
        <v>-22.1</v>
      </c>
      <c r="G495" s="35">
        <v>-23</v>
      </c>
      <c r="H495" s="35">
        <v>-22.5</v>
      </c>
      <c r="I495" s="35">
        <v>-22.9</v>
      </c>
      <c r="J495" s="35">
        <v>-23</v>
      </c>
      <c r="K495" s="35">
        <v>-22.8</v>
      </c>
      <c r="L495" s="35">
        <v>-18.399999999999999</v>
      </c>
      <c r="M495" s="35">
        <v>-23</v>
      </c>
      <c r="N495" s="35">
        <v>-4.5999999999999996</v>
      </c>
      <c r="O495" s="35">
        <v>-5.2</v>
      </c>
      <c r="P495" s="35">
        <v>-5</v>
      </c>
      <c r="Q495" s="35">
        <v>-0.6</v>
      </c>
      <c r="R495" s="35">
        <v>-2</v>
      </c>
      <c r="S495" s="35">
        <v>-5</v>
      </c>
      <c r="T495" s="35">
        <v>10.8</v>
      </c>
      <c r="U495" s="35">
        <v>9</v>
      </c>
      <c r="V495" s="35">
        <v>10.4</v>
      </c>
      <c r="W495" s="35">
        <v>9</v>
      </c>
      <c r="X495" s="35">
        <v>9.9</v>
      </c>
      <c r="Y495" s="35">
        <v>9</v>
      </c>
      <c r="Z495" s="35">
        <v>11.4</v>
      </c>
      <c r="AA495" s="35">
        <v>9</v>
      </c>
      <c r="AB495" s="35">
        <v>21.7</v>
      </c>
      <c r="AC495" s="35">
        <v>20</v>
      </c>
      <c r="AD495" s="35">
        <v>21.7</v>
      </c>
      <c r="AE495" s="35">
        <v>20</v>
      </c>
    </row>
    <row r="496" spans="1:31" x14ac:dyDescent="0.35">
      <c r="A496" s="36">
        <v>46059.801388888889</v>
      </c>
      <c r="B496" s="35">
        <v>-22.5</v>
      </c>
      <c r="C496" s="35">
        <v>-24.8</v>
      </c>
      <c r="D496" s="35">
        <v>-23</v>
      </c>
      <c r="E496" s="35">
        <v>-23.4</v>
      </c>
      <c r="F496" s="35">
        <v>-22.1</v>
      </c>
      <c r="G496" s="35">
        <v>-23</v>
      </c>
      <c r="H496" s="35">
        <v>-22.5</v>
      </c>
      <c r="I496" s="35">
        <v>-23.2</v>
      </c>
      <c r="J496" s="35">
        <v>-23</v>
      </c>
      <c r="K496" s="35">
        <v>-23</v>
      </c>
      <c r="L496" s="35">
        <v>-18.5</v>
      </c>
      <c r="M496" s="35">
        <v>-23</v>
      </c>
      <c r="N496" s="35">
        <v>-4.7</v>
      </c>
      <c r="O496" s="35">
        <v>-5.2</v>
      </c>
      <c r="P496" s="35">
        <v>-5</v>
      </c>
      <c r="Q496" s="35">
        <v>-0.7</v>
      </c>
      <c r="R496" s="35">
        <v>-2.1</v>
      </c>
      <c r="S496" s="35">
        <v>-5</v>
      </c>
      <c r="T496" s="35">
        <v>10.9</v>
      </c>
      <c r="U496" s="35">
        <v>9</v>
      </c>
      <c r="V496" s="35">
        <v>10.4</v>
      </c>
      <c r="W496" s="35">
        <v>9</v>
      </c>
      <c r="X496" s="35">
        <v>9.9</v>
      </c>
      <c r="Y496" s="35">
        <v>9</v>
      </c>
      <c r="Z496" s="35">
        <v>11.4</v>
      </c>
      <c r="AA496" s="35">
        <v>9</v>
      </c>
      <c r="AB496" s="35">
        <v>21.7</v>
      </c>
      <c r="AC496" s="35">
        <v>20</v>
      </c>
      <c r="AD496" s="35">
        <v>21.7</v>
      </c>
      <c r="AE496" s="35">
        <v>20</v>
      </c>
    </row>
    <row r="497" spans="1:31" x14ac:dyDescent="0.35">
      <c r="A497" s="36">
        <v>46059.802083333336</v>
      </c>
      <c r="B497" s="35">
        <v>-22.5</v>
      </c>
      <c r="C497" s="35">
        <v>-24.2</v>
      </c>
      <c r="D497" s="35">
        <v>-23</v>
      </c>
      <c r="E497" s="35">
        <v>-23.3</v>
      </c>
      <c r="F497" s="35">
        <v>-22.1</v>
      </c>
      <c r="G497" s="35">
        <v>-23</v>
      </c>
      <c r="H497" s="35">
        <v>-22.5</v>
      </c>
      <c r="I497" s="35">
        <v>-23.3</v>
      </c>
      <c r="J497" s="35">
        <v>-23</v>
      </c>
      <c r="K497" s="35">
        <v>-23.1</v>
      </c>
      <c r="L497" s="35">
        <v>-18.5</v>
      </c>
      <c r="M497" s="35">
        <v>-23</v>
      </c>
      <c r="N497" s="35">
        <v>-4.7</v>
      </c>
      <c r="O497" s="35">
        <v>-5.3</v>
      </c>
      <c r="P497" s="35">
        <v>-5</v>
      </c>
      <c r="Q497" s="35">
        <v>-0.8</v>
      </c>
      <c r="R497" s="35">
        <v>-2.2000000000000002</v>
      </c>
      <c r="S497" s="35">
        <v>-5</v>
      </c>
      <c r="T497" s="35">
        <v>10.9</v>
      </c>
      <c r="U497" s="35">
        <v>9</v>
      </c>
      <c r="V497" s="35">
        <v>10.4</v>
      </c>
      <c r="W497" s="35">
        <v>9</v>
      </c>
      <c r="X497" s="35">
        <v>9.9</v>
      </c>
      <c r="Y497" s="35">
        <v>9</v>
      </c>
      <c r="Z497" s="35">
        <v>11.4</v>
      </c>
      <c r="AA497" s="35">
        <v>9</v>
      </c>
      <c r="AB497" s="35">
        <v>21.7</v>
      </c>
      <c r="AC497" s="35">
        <v>20</v>
      </c>
      <c r="AD497" s="35">
        <v>21.7</v>
      </c>
      <c r="AE497" s="35">
        <v>20</v>
      </c>
    </row>
    <row r="498" spans="1:31" x14ac:dyDescent="0.35">
      <c r="A498" s="36">
        <v>46059.802777777775</v>
      </c>
      <c r="B498" s="35">
        <v>-22.5</v>
      </c>
      <c r="C498" s="35">
        <v>-23.9</v>
      </c>
      <c r="D498" s="35">
        <v>-23</v>
      </c>
      <c r="E498" s="35">
        <v>-23.2</v>
      </c>
      <c r="F498" s="35">
        <v>-22.1</v>
      </c>
      <c r="G498" s="35">
        <v>-23</v>
      </c>
      <c r="H498" s="35">
        <v>-22.6</v>
      </c>
      <c r="I498" s="35">
        <v>-23.3</v>
      </c>
      <c r="J498" s="35">
        <v>-23</v>
      </c>
      <c r="K498" s="35">
        <v>-23.2</v>
      </c>
      <c r="L498" s="35">
        <v>-18.5</v>
      </c>
      <c r="M498" s="35">
        <v>-23</v>
      </c>
      <c r="N498" s="35">
        <v>-4.7</v>
      </c>
      <c r="O498" s="35">
        <v>-5.3</v>
      </c>
      <c r="P498" s="35">
        <v>-5</v>
      </c>
      <c r="Q498" s="35">
        <v>-0.8</v>
      </c>
      <c r="R498" s="35">
        <v>-2.2999999999999998</v>
      </c>
      <c r="S498" s="35">
        <v>-5</v>
      </c>
      <c r="T498" s="35">
        <v>11</v>
      </c>
      <c r="U498" s="35">
        <v>9</v>
      </c>
      <c r="V498" s="35">
        <v>10.5</v>
      </c>
      <c r="W498" s="35">
        <v>9</v>
      </c>
      <c r="X498" s="35">
        <v>9.9</v>
      </c>
      <c r="Y498" s="35">
        <v>9</v>
      </c>
      <c r="Z498" s="35">
        <v>11.4</v>
      </c>
      <c r="AA498" s="35">
        <v>9</v>
      </c>
      <c r="AB498" s="35">
        <v>21.7</v>
      </c>
      <c r="AC498" s="35">
        <v>20</v>
      </c>
      <c r="AD498" s="35">
        <v>21.7</v>
      </c>
      <c r="AE498" s="35">
        <v>20</v>
      </c>
    </row>
    <row r="499" spans="1:31" x14ac:dyDescent="0.35">
      <c r="A499" s="36">
        <v>46059.803472222222</v>
      </c>
      <c r="B499" s="35">
        <v>-22.5</v>
      </c>
      <c r="C499" s="35">
        <v>-24</v>
      </c>
      <c r="D499" s="35">
        <v>-23</v>
      </c>
      <c r="E499" s="35">
        <v>-23.3</v>
      </c>
      <c r="F499" s="35">
        <v>-22.2</v>
      </c>
      <c r="G499" s="35">
        <v>-23</v>
      </c>
      <c r="H499" s="35">
        <v>-22.7</v>
      </c>
      <c r="I499" s="35">
        <v>-23.3</v>
      </c>
      <c r="J499" s="35">
        <v>-23</v>
      </c>
      <c r="K499" s="35">
        <v>-23.2</v>
      </c>
      <c r="L499" s="35">
        <v>-18.600000000000001</v>
      </c>
      <c r="M499" s="35">
        <v>-23</v>
      </c>
      <c r="N499" s="35">
        <v>-4.7</v>
      </c>
      <c r="O499" s="35">
        <v>-5.3</v>
      </c>
      <c r="P499" s="35">
        <v>-5</v>
      </c>
      <c r="Q499" s="35">
        <v>-1</v>
      </c>
      <c r="R499" s="35">
        <v>-2.4</v>
      </c>
      <c r="S499" s="35">
        <v>-5</v>
      </c>
      <c r="T499" s="35">
        <v>10.7</v>
      </c>
      <c r="U499" s="35">
        <v>9</v>
      </c>
      <c r="V499" s="35">
        <v>10.5</v>
      </c>
      <c r="W499" s="35">
        <v>9</v>
      </c>
      <c r="X499" s="35">
        <v>10.1</v>
      </c>
      <c r="Y499" s="35">
        <v>9</v>
      </c>
      <c r="Z499" s="35">
        <v>11.4</v>
      </c>
      <c r="AA499" s="35">
        <v>9</v>
      </c>
      <c r="AB499" s="35">
        <v>21.7</v>
      </c>
      <c r="AC499" s="35">
        <v>20</v>
      </c>
      <c r="AD499" s="35">
        <v>21.7</v>
      </c>
      <c r="AE499" s="35">
        <v>20</v>
      </c>
    </row>
    <row r="500" spans="1:31" x14ac:dyDescent="0.35">
      <c r="A500" s="36">
        <v>46059.804166666669</v>
      </c>
      <c r="B500" s="35">
        <v>-22.5</v>
      </c>
      <c r="C500" s="35">
        <v>-26.8</v>
      </c>
      <c r="D500" s="35">
        <v>-23</v>
      </c>
      <c r="E500" s="35">
        <v>-23.6</v>
      </c>
      <c r="F500" s="35">
        <v>-22.3</v>
      </c>
      <c r="G500" s="35">
        <v>-23</v>
      </c>
      <c r="H500" s="35">
        <v>-22.7</v>
      </c>
      <c r="I500" s="35">
        <v>-23.3</v>
      </c>
      <c r="J500" s="35">
        <v>-23</v>
      </c>
      <c r="K500" s="35">
        <v>-23.2</v>
      </c>
      <c r="L500" s="35">
        <v>-18.600000000000001</v>
      </c>
      <c r="M500" s="35">
        <v>-23</v>
      </c>
      <c r="N500" s="35">
        <v>-4.7</v>
      </c>
      <c r="O500" s="35">
        <v>-5.3</v>
      </c>
      <c r="P500" s="35">
        <v>-5</v>
      </c>
      <c r="Q500" s="35">
        <v>-1</v>
      </c>
      <c r="R500" s="35">
        <v>-2.5</v>
      </c>
      <c r="S500" s="35">
        <v>-5</v>
      </c>
      <c r="T500" s="35">
        <v>10.199999999999999</v>
      </c>
      <c r="U500" s="35">
        <v>9</v>
      </c>
      <c r="V500" s="35">
        <v>10.5</v>
      </c>
      <c r="W500" s="35">
        <v>9</v>
      </c>
      <c r="X500" s="35">
        <v>10.4</v>
      </c>
      <c r="Y500" s="35">
        <v>9</v>
      </c>
      <c r="Z500" s="35">
        <v>11.4</v>
      </c>
      <c r="AA500" s="35">
        <v>9</v>
      </c>
      <c r="AB500" s="35">
        <v>21.7</v>
      </c>
      <c r="AC500" s="35">
        <v>20</v>
      </c>
      <c r="AD500" s="35">
        <v>21.7</v>
      </c>
      <c r="AE500" s="35">
        <v>20</v>
      </c>
    </row>
    <row r="501" spans="1:31" x14ac:dyDescent="0.35">
      <c r="A501" s="36">
        <v>46059.804861111108</v>
      </c>
      <c r="B501" s="35">
        <v>-22.6</v>
      </c>
      <c r="C501" s="35">
        <v>-28.1</v>
      </c>
      <c r="D501" s="35">
        <v>-23</v>
      </c>
      <c r="E501" s="35">
        <v>-23.8</v>
      </c>
      <c r="F501" s="35">
        <v>-22.4</v>
      </c>
      <c r="G501" s="35">
        <v>-23</v>
      </c>
      <c r="H501" s="35">
        <v>-22.7</v>
      </c>
      <c r="I501" s="35">
        <v>-23.1</v>
      </c>
      <c r="J501" s="35">
        <v>-23</v>
      </c>
      <c r="K501" s="35">
        <v>-23</v>
      </c>
      <c r="L501" s="35">
        <v>-18.600000000000001</v>
      </c>
      <c r="M501" s="35">
        <v>-23</v>
      </c>
      <c r="N501" s="35">
        <v>-4.7</v>
      </c>
      <c r="O501" s="35">
        <v>-5.3</v>
      </c>
      <c r="P501" s="35">
        <v>-5</v>
      </c>
      <c r="Q501" s="35">
        <v>-1.2</v>
      </c>
      <c r="R501" s="35">
        <v>-2.7</v>
      </c>
      <c r="S501" s="35">
        <v>-5</v>
      </c>
      <c r="T501" s="35">
        <v>9.6999999999999993</v>
      </c>
      <c r="U501" s="35">
        <v>9</v>
      </c>
      <c r="V501" s="35">
        <v>10.5</v>
      </c>
      <c r="W501" s="35">
        <v>9</v>
      </c>
      <c r="X501" s="35">
        <v>10.5</v>
      </c>
      <c r="Y501" s="35">
        <v>9</v>
      </c>
      <c r="Z501" s="35">
        <v>11.4</v>
      </c>
      <c r="AA501" s="35">
        <v>9</v>
      </c>
      <c r="AB501" s="35">
        <v>21.7</v>
      </c>
      <c r="AC501" s="35">
        <v>20</v>
      </c>
      <c r="AD501" s="35">
        <v>21.7</v>
      </c>
      <c r="AE501" s="35">
        <v>20</v>
      </c>
    </row>
    <row r="502" spans="1:31" x14ac:dyDescent="0.35">
      <c r="A502" s="36">
        <v>46059.805555555555</v>
      </c>
      <c r="B502" s="35">
        <v>-22.8</v>
      </c>
      <c r="C502" s="35">
        <v>-26.9</v>
      </c>
      <c r="D502" s="35">
        <v>-23</v>
      </c>
      <c r="E502" s="35">
        <v>-23.8</v>
      </c>
      <c r="F502" s="35">
        <v>-22.5</v>
      </c>
      <c r="G502" s="35">
        <v>-23</v>
      </c>
      <c r="H502" s="35">
        <v>-22.7</v>
      </c>
      <c r="I502" s="35">
        <v>-23.1</v>
      </c>
      <c r="J502" s="35">
        <v>-23</v>
      </c>
      <c r="K502" s="35">
        <v>-23</v>
      </c>
      <c r="L502" s="35">
        <v>-18.7</v>
      </c>
      <c r="M502" s="35">
        <v>-23</v>
      </c>
      <c r="N502" s="35">
        <v>-4.7</v>
      </c>
      <c r="O502" s="35">
        <v>-5.3</v>
      </c>
      <c r="P502" s="35">
        <v>-5</v>
      </c>
      <c r="Q502" s="35">
        <v>-1.3</v>
      </c>
      <c r="R502" s="35">
        <v>-2.7</v>
      </c>
      <c r="S502" s="35">
        <v>-5</v>
      </c>
      <c r="T502" s="35">
        <v>9.3000000000000007</v>
      </c>
      <c r="U502" s="35">
        <v>9</v>
      </c>
      <c r="V502" s="35">
        <v>10.3</v>
      </c>
      <c r="W502" s="35">
        <v>9</v>
      </c>
      <c r="X502" s="35">
        <v>10.6</v>
      </c>
      <c r="Y502" s="35">
        <v>9</v>
      </c>
      <c r="Z502" s="35">
        <v>11.4</v>
      </c>
      <c r="AA502" s="35">
        <v>9</v>
      </c>
      <c r="AB502" s="35">
        <v>21.7</v>
      </c>
      <c r="AC502" s="35">
        <v>20</v>
      </c>
      <c r="AD502" s="35">
        <v>21.7</v>
      </c>
      <c r="AE502" s="35">
        <v>20</v>
      </c>
    </row>
    <row r="503" spans="1:31" x14ac:dyDescent="0.35">
      <c r="A503" s="36">
        <v>46059.806250000001</v>
      </c>
      <c r="B503" s="35">
        <v>-22.8</v>
      </c>
      <c r="C503" s="35">
        <v>-25.6</v>
      </c>
      <c r="D503" s="35">
        <v>-23</v>
      </c>
      <c r="E503" s="35">
        <v>-23.8</v>
      </c>
      <c r="F503" s="35">
        <v>-22.5</v>
      </c>
      <c r="G503" s="35">
        <v>-23</v>
      </c>
      <c r="H503" s="35">
        <v>-22.7</v>
      </c>
      <c r="I503" s="35">
        <v>-23.2</v>
      </c>
      <c r="J503" s="35">
        <v>-23</v>
      </c>
      <c r="K503" s="35">
        <v>-23.1</v>
      </c>
      <c r="L503" s="35">
        <v>-18.7</v>
      </c>
      <c r="M503" s="35">
        <v>-23</v>
      </c>
      <c r="N503" s="35">
        <v>-4.7</v>
      </c>
      <c r="O503" s="35">
        <v>-5.3</v>
      </c>
      <c r="P503" s="35">
        <v>-5</v>
      </c>
      <c r="Q503" s="35">
        <v>-1.3</v>
      </c>
      <c r="R503" s="35">
        <v>-2.8</v>
      </c>
      <c r="S503" s="35">
        <v>-5</v>
      </c>
      <c r="T503" s="35">
        <v>8.9</v>
      </c>
      <c r="U503" s="35">
        <v>9</v>
      </c>
      <c r="V503" s="35">
        <v>10.199999999999999</v>
      </c>
      <c r="W503" s="35">
        <v>9</v>
      </c>
      <c r="X503" s="35">
        <v>10.6</v>
      </c>
      <c r="Y503" s="35">
        <v>9</v>
      </c>
      <c r="Z503" s="35">
        <v>11.4</v>
      </c>
      <c r="AA503" s="35">
        <v>9</v>
      </c>
      <c r="AB503" s="35">
        <v>21.7</v>
      </c>
      <c r="AC503" s="35">
        <v>20</v>
      </c>
      <c r="AD503" s="35">
        <v>21.7</v>
      </c>
      <c r="AE503" s="35">
        <v>20</v>
      </c>
    </row>
    <row r="504" spans="1:31" x14ac:dyDescent="0.35">
      <c r="A504" s="36">
        <v>46059.806944444441</v>
      </c>
      <c r="B504" s="35">
        <v>-22.8</v>
      </c>
      <c r="C504" s="35">
        <v>-24.8</v>
      </c>
      <c r="D504" s="35">
        <v>-23</v>
      </c>
      <c r="E504" s="35">
        <v>-23.6</v>
      </c>
      <c r="F504" s="35">
        <v>-22.5</v>
      </c>
      <c r="G504" s="35">
        <v>-23</v>
      </c>
      <c r="H504" s="35">
        <v>-22.7</v>
      </c>
      <c r="I504" s="35">
        <v>-23.4</v>
      </c>
      <c r="J504" s="35">
        <v>-23</v>
      </c>
      <c r="K504" s="35">
        <v>-23.3</v>
      </c>
      <c r="L504" s="35">
        <v>-18.8</v>
      </c>
      <c r="M504" s="35">
        <v>-23</v>
      </c>
      <c r="N504" s="35">
        <v>-4.8</v>
      </c>
      <c r="O504" s="35">
        <v>-5.3</v>
      </c>
      <c r="P504" s="35">
        <v>-5</v>
      </c>
      <c r="Q504" s="35">
        <v>-1.4</v>
      </c>
      <c r="R504" s="35">
        <v>-2.9</v>
      </c>
      <c r="S504" s="35">
        <v>-5</v>
      </c>
      <c r="T504" s="35">
        <v>8.8000000000000007</v>
      </c>
      <c r="U504" s="35">
        <v>9</v>
      </c>
      <c r="V504" s="35">
        <v>10.1</v>
      </c>
      <c r="W504" s="35">
        <v>9</v>
      </c>
      <c r="X504" s="35">
        <v>10.5</v>
      </c>
      <c r="Y504" s="35">
        <v>9</v>
      </c>
      <c r="Z504" s="35">
        <v>11.4</v>
      </c>
      <c r="AA504" s="35">
        <v>9</v>
      </c>
      <c r="AB504" s="35">
        <v>21.7</v>
      </c>
      <c r="AC504" s="35">
        <v>20</v>
      </c>
      <c r="AD504" s="35">
        <v>21.7</v>
      </c>
      <c r="AE504" s="35">
        <v>20</v>
      </c>
    </row>
    <row r="505" spans="1:31" x14ac:dyDescent="0.35">
      <c r="A505" s="36">
        <v>46059.807638888888</v>
      </c>
      <c r="B505" s="35">
        <v>-22.8</v>
      </c>
      <c r="C505" s="35">
        <v>-24.4</v>
      </c>
      <c r="D505" s="35">
        <v>-23</v>
      </c>
      <c r="E505" s="35">
        <v>-23.5</v>
      </c>
      <c r="F505" s="35">
        <v>-22.5</v>
      </c>
      <c r="G505" s="35">
        <v>-23</v>
      </c>
      <c r="H505" s="35">
        <v>-22.7</v>
      </c>
      <c r="I505" s="35">
        <v>-23.5</v>
      </c>
      <c r="J505" s="35">
        <v>-23</v>
      </c>
      <c r="K505" s="35">
        <v>-23.3</v>
      </c>
      <c r="L505" s="35">
        <v>-18.8</v>
      </c>
      <c r="M505" s="35">
        <v>-23</v>
      </c>
      <c r="N505" s="35">
        <v>-4.8</v>
      </c>
      <c r="O505" s="35">
        <v>-5.4</v>
      </c>
      <c r="P505" s="35">
        <v>-5</v>
      </c>
      <c r="Q505" s="35">
        <v>-1.5</v>
      </c>
      <c r="R505" s="35">
        <v>-2.9</v>
      </c>
      <c r="S505" s="35">
        <v>-5</v>
      </c>
      <c r="T505" s="35">
        <v>8.8000000000000007</v>
      </c>
      <c r="U505" s="35">
        <v>9</v>
      </c>
      <c r="V505" s="35">
        <v>10</v>
      </c>
      <c r="W505" s="35">
        <v>9</v>
      </c>
      <c r="X505" s="35">
        <v>10.5</v>
      </c>
      <c r="Y505" s="35">
        <v>9</v>
      </c>
      <c r="Z505" s="35">
        <v>11.4</v>
      </c>
      <c r="AA505" s="35">
        <v>9</v>
      </c>
      <c r="AB505" s="35">
        <v>21.7</v>
      </c>
      <c r="AC505" s="35">
        <v>20</v>
      </c>
      <c r="AD505" s="35">
        <v>21.7</v>
      </c>
      <c r="AE505" s="35">
        <v>20</v>
      </c>
    </row>
    <row r="506" spans="1:31" x14ac:dyDescent="0.35">
      <c r="A506" s="36">
        <v>46059.808333333334</v>
      </c>
      <c r="B506" s="35">
        <v>-22.8</v>
      </c>
      <c r="C506" s="35">
        <v>-24.2</v>
      </c>
      <c r="D506" s="35">
        <v>-23</v>
      </c>
      <c r="E506" s="35">
        <v>-23.5</v>
      </c>
      <c r="F506" s="35">
        <v>-22.5</v>
      </c>
      <c r="G506" s="35">
        <v>-23</v>
      </c>
      <c r="H506" s="35">
        <v>-22.8</v>
      </c>
      <c r="I506" s="35">
        <v>-23.5</v>
      </c>
      <c r="J506" s="35">
        <v>-23</v>
      </c>
      <c r="K506" s="35">
        <v>-23.4</v>
      </c>
      <c r="L506" s="35">
        <v>-18.8</v>
      </c>
      <c r="M506" s="35">
        <v>-23</v>
      </c>
      <c r="N506" s="35">
        <v>-4.8</v>
      </c>
      <c r="O506" s="35">
        <v>-5.4</v>
      </c>
      <c r="P506" s="35">
        <v>-5</v>
      </c>
      <c r="Q506" s="35">
        <v>-1.5</v>
      </c>
      <c r="R506" s="35">
        <v>-3</v>
      </c>
      <c r="S506" s="35">
        <v>-5</v>
      </c>
      <c r="T506" s="35">
        <v>9</v>
      </c>
      <c r="U506" s="35">
        <v>9</v>
      </c>
      <c r="V506" s="35">
        <v>10</v>
      </c>
      <c r="W506" s="35">
        <v>9</v>
      </c>
      <c r="X506" s="35">
        <v>10.5</v>
      </c>
      <c r="Y506" s="35">
        <v>9</v>
      </c>
      <c r="Z506" s="35">
        <v>11.4</v>
      </c>
      <c r="AA506" s="35">
        <v>9</v>
      </c>
      <c r="AB506" s="35">
        <v>21.7</v>
      </c>
      <c r="AC506" s="35">
        <v>20</v>
      </c>
      <c r="AD506" s="35">
        <v>21.7</v>
      </c>
      <c r="AE506" s="35">
        <v>20</v>
      </c>
    </row>
    <row r="507" spans="1:31" x14ac:dyDescent="0.35">
      <c r="A507" s="36">
        <v>46059.809027777781</v>
      </c>
      <c r="B507" s="35">
        <v>-22.8</v>
      </c>
      <c r="C507" s="35">
        <v>-25.3</v>
      </c>
      <c r="D507" s="35">
        <v>-23</v>
      </c>
      <c r="E507" s="35">
        <v>-23.7</v>
      </c>
      <c r="F507" s="35">
        <v>-22.6</v>
      </c>
      <c r="G507" s="35">
        <v>-23</v>
      </c>
      <c r="H507" s="35">
        <v>-22.8</v>
      </c>
      <c r="I507" s="35">
        <v>-23.5</v>
      </c>
      <c r="J507" s="35">
        <v>-23</v>
      </c>
      <c r="K507" s="35">
        <v>-23.4</v>
      </c>
      <c r="L507" s="35">
        <v>-18.8</v>
      </c>
      <c r="M507" s="35">
        <v>-23</v>
      </c>
      <c r="N507" s="35">
        <v>-4.8</v>
      </c>
      <c r="O507" s="35">
        <v>-5.4</v>
      </c>
      <c r="P507" s="35">
        <v>-5</v>
      </c>
      <c r="Q507" s="35">
        <v>-1.6</v>
      </c>
      <c r="R507" s="35">
        <v>-3.1</v>
      </c>
      <c r="S507" s="35">
        <v>-5</v>
      </c>
      <c r="T507" s="35">
        <v>9.1999999999999993</v>
      </c>
      <c r="U507" s="35">
        <v>9</v>
      </c>
      <c r="V507" s="35">
        <v>10</v>
      </c>
      <c r="W507" s="35">
        <v>9</v>
      </c>
      <c r="X507" s="35">
        <v>10.5</v>
      </c>
      <c r="Y507" s="35">
        <v>9</v>
      </c>
      <c r="Z507" s="35">
        <v>11.4</v>
      </c>
      <c r="AA507" s="35">
        <v>9</v>
      </c>
      <c r="AB507" s="35">
        <v>21.7</v>
      </c>
      <c r="AC507" s="35">
        <v>20</v>
      </c>
      <c r="AD507" s="35">
        <v>21.7</v>
      </c>
      <c r="AE507" s="35">
        <v>20</v>
      </c>
    </row>
    <row r="508" spans="1:31" x14ac:dyDescent="0.35">
      <c r="A508" s="36">
        <v>46059.80972222222</v>
      </c>
      <c r="B508" s="35">
        <v>-22.9</v>
      </c>
      <c r="C508" s="35">
        <v>-28.1</v>
      </c>
      <c r="D508" s="35">
        <v>-23</v>
      </c>
      <c r="E508" s="35">
        <v>-24</v>
      </c>
      <c r="F508" s="35">
        <v>-22.7</v>
      </c>
      <c r="G508" s="35">
        <v>-23</v>
      </c>
      <c r="H508" s="35">
        <v>-22.8</v>
      </c>
      <c r="I508" s="35">
        <v>-23.3</v>
      </c>
      <c r="J508" s="35">
        <v>-23</v>
      </c>
      <c r="K508" s="35">
        <v>-23.2</v>
      </c>
      <c r="L508" s="35">
        <v>-18.8</v>
      </c>
      <c r="M508" s="35">
        <v>-23</v>
      </c>
      <c r="N508" s="35">
        <v>-4.8</v>
      </c>
      <c r="O508" s="35">
        <v>-5.4</v>
      </c>
      <c r="P508" s="35">
        <v>-5</v>
      </c>
      <c r="Q508" s="35">
        <v>-1.7</v>
      </c>
      <c r="R508" s="35">
        <v>-3.1</v>
      </c>
      <c r="S508" s="35">
        <v>-5</v>
      </c>
      <c r="T508" s="35">
        <v>9.5</v>
      </c>
      <c r="U508" s="35">
        <v>9</v>
      </c>
      <c r="V508" s="35">
        <v>10</v>
      </c>
      <c r="W508" s="35">
        <v>9</v>
      </c>
      <c r="X508" s="35">
        <v>10.5</v>
      </c>
      <c r="Y508" s="35">
        <v>9</v>
      </c>
      <c r="Z508" s="35">
        <v>11.4</v>
      </c>
      <c r="AA508" s="35">
        <v>9</v>
      </c>
      <c r="AB508" s="35">
        <v>21.7</v>
      </c>
      <c r="AC508" s="35">
        <v>20</v>
      </c>
      <c r="AD508" s="35">
        <v>21.7</v>
      </c>
      <c r="AE508" s="35">
        <v>20</v>
      </c>
    </row>
    <row r="509" spans="1:31" x14ac:dyDescent="0.35">
      <c r="A509" s="36">
        <v>46059.810416666667</v>
      </c>
      <c r="B509" s="35">
        <v>-23</v>
      </c>
      <c r="C509" s="35">
        <v>-28</v>
      </c>
      <c r="D509" s="35">
        <v>-23</v>
      </c>
      <c r="E509" s="35">
        <v>-24.1</v>
      </c>
      <c r="F509" s="35">
        <v>-22.8</v>
      </c>
      <c r="G509" s="35">
        <v>-23</v>
      </c>
      <c r="H509" s="35">
        <v>-22.8</v>
      </c>
      <c r="I509" s="35">
        <v>-23.2</v>
      </c>
      <c r="J509" s="35">
        <v>-23</v>
      </c>
      <c r="K509" s="35">
        <v>-23.1</v>
      </c>
      <c r="L509" s="35">
        <v>-18.8</v>
      </c>
      <c r="M509" s="35">
        <v>-23</v>
      </c>
      <c r="N509" s="35">
        <v>-4.8</v>
      </c>
      <c r="O509" s="35">
        <v>-5.4</v>
      </c>
      <c r="P509" s="35">
        <v>-5</v>
      </c>
      <c r="Q509" s="35">
        <v>-1.7</v>
      </c>
      <c r="R509" s="35">
        <v>-3.2</v>
      </c>
      <c r="S509" s="35">
        <v>-5</v>
      </c>
      <c r="T509" s="35">
        <v>9.6999999999999993</v>
      </c>
      <c r="U509" s="35">
        <v>9</v>
      </c>
      <c r="V509" s="35">
        <v>10</v>
      </c>
      <c r="W509" s="35">
        <v>9</v>
      </c>
      <c r="X509" s="35">
        <v>10.5</v>
      </c>
      <c r="Y509" s="35">
        <v>9</v>
      </c>
      <c r="Z509" s="35">
        <v>11.4</v>
      </c>
      <c r="AA509" s="35">
        <v>9</v>
      </c>
      <c r="AB509" s="35">
        <v>21.7</v>
      </c>
      <c r="AC509" s="35">
        <v>20</v>
      </c>
      <c r="AD509" s="35">
        <v>21.7</v>
      </c>
      <c r="AE509" s="35">
        <v>20</v>
      </c>
    </row>
    <row r="510" spans="1:31" x14ac:dyDescent="0.35">
      <c r="A510" s="36">
        <v>46059.811111111114</v>
      </c>
      <c r="B510" s="35">
        <v>-23.1</v>
      </c>
      <c r="C510" s="35">
        <v>-26.5</v>
      </c>
      <c r="D510" s="35">
        <v>-23</v>
      </c>
      <c r="E510" s="35">
        <v>-23.9</v>
      </c>
      <c r="F510" s="35">
        <v>-22.8</v>
      </c>
      <c r="G510" s="35">
        <v>-23</v>
      </c>
      <c r="H510" s="35">
        <v>-22.8</v>
      </c>
      <c r="I510" s="35">
        <v>-23.5</v>
      </c>
      <c r="J510" s="35">
        <v>-23</v>
      </c>
      <c r="K510" s="35">
        <v>-23.2</v>
      </c>
      <c r="L510" s="35">
        <v>-18.8</v>
      </c>
      <c r="M510" s="35">
        <v>-23</v>
      </c>
      <c r="N510" s="35">
        <v>-4.8</v>
      </c>
      <c r="O510" s="35">
        <v>-5.4</v>
      </c>
      <c r="P510" s="35">
        <v>-5</v>
      </c>
      <c r="Q510" s="35">
        <v>-1.8</v>
      </c>
      <c r="R510" s="35">
        <v>-3.3</v>
      </c>
      <c r="S510" s="35">
        <v>-5</v>
      </c>
      <c r="T510" s="35">
        <v>9.9</v>
      </c>
      <c r="U510" s="35">
        <v>9</v>
      </c>
      <c r="V510" s="35">
        <v>10</v>
      </c>
      <c r="W510" s="35">
        <v>9</v>
      </c>
      <c r="X510" s="35">
        <v>10.5</v>
      </c>
      <c r="Y510" s="35">
        <v>9</v>
      </c>
      <c r="Z510" s="35">
        <v>11.4</v>
      </c>
      <c r="AA510" s="35">
        <v>9</v>
      </c>
      <c r="AB510" s="35">
        <v>21.7</v>
      </c>
      <c r="AC510" s="35">
        <v>20</v>
      </c>
      <c r="AD510" s="35">
        <v>21.7</v>
      </c>
      <c r="AE510" s="35">
        <v>20</v>
      </c>
    </row>
    <row r="511" spans="1:31" x14ac:dyDescent="0.35">
      <c r="A511" s="36">
        <v>46059.811805555553</v>
      </c>
      <c r="B511" s="35">
        <v>-23.1</v>
      </c>
      <c r="C511" s="35">
        <v>-25.4</v>
      </c>
      <c r="D511" s="35">
        <v>-23</v>
      </c>
      <c r="E511" s="35">
        <v>-23.5</v>
      </c>
      <c r="F511" s="35">
        <v>-22.8</v>
      </c>
      <c r="G511" s="35">
        <v>-23</v>
      </c>
      <c r="H511" s="35">
        <v>-22.8</v>
      </c>
      <c r="I511" s="35">
        <v>-23.9</v>
      </c>
      <c r="J511" s="35">
        <v>-23</v>
      </c>
      <c r="K511" s="35">
        <v>-23.5</v>
      </c>
      <c r="L511" s="35">
        <v>-18.8</v>
      </c>
      <c r="M511" s="35">
        <v>-23</v>
      </c>
      <c r="N511" s="35">
        <v>-4.8</v>
      </c>
      <c r="O511" s="35">
        <v>-5.4</v>
      </c>
      <c r="P511" s="35">
        <v>-5</v>
      </c>
      <c r="Q511" s="35">
        <v>-1.8</v>
      </c>
      <c r="R511" s="35">
        <v>-3.3</v>
      </c>
      <c r="S511" s="35">
        <v>-5</v>
      </c>
      <c r="T511" s="35">
        <v>10</v>
      </c>
      <c r="U511" s="35">
        <v>9</v>
      </c>
      <c r="V511" s="35">
        <v>10</v>
      </c>
      <c r="W511" s="35">
        <v>9</v>
      </c>
      <c r="X511" s="35">
        <v>10.5</v>
      </c>
      <c r="Y511" s="35">
        <v>9</v>
      </c>
      <c r="Z511" s="35">
        <v>11.4</v>
      </c>
      <c r="AA511" s="35">
        <v>9</v>
      </c>
      <c r="AB511" s="35">
        <v>21.7</v>
      </c>
      <c r="AC511" s="35">
        <v>20</v>
      </c>
      <c r="AD511" s="35">
        <v>21.7</v>
      </c>
      <c r="AE511" s="35">
        <v>20</v>
      </c>
    </row>
    <row r="512" spans="1:31" x14ac:dyDescent="0.35">
      <c r="A512" s="36">
        <v>46059.8125</v>
      </c>
      <c r="B512" s="35">
        <v>-22.9</v>
      </c>
      <c r="C512" s="35">
        <v>-24.8</v>
      </c>
      <c r="D512" s="35">
        <v>-23</v>
      </c>
      <c r="E512" s="35">
        <v>-23.2</v>
      </c>
      <c r="F512" s="35">
        <v>-22.8</v>
      </c>
      <c r="G512" s="35">
        <v>-23</v>
      </c>
      <c r="H512" s="35">
        <v>-22.9</v>
      </c>
      <c r="I512" s="35">
        <v>-23.9</v>
      </c>
      <c r="J512" s="35">
        <v>-23</v>
      </c>
      <c r="K512" s="35">
        <v>-23.7</v>
      </c>
      <c r="L512" s="35">
        <v>-18.899999999999999</v>
      </c>
      <c r="M512" s="35">
        <v>-23</v>
      </c>
      <c r="N512" s="35">
        <v>-4.9000000000000004</v>
      </c>
      <c r="O512" s="35">
        <v>-5.4</v>
      </c>
      <c r="P512" s="35">
        <v>-5</v>
      </c>
      <c r="Q512" s="35">
        <v>-1.9</v>
      </c>
      <c r="R512" s="35">
        <v>-3.4</v>
      </c>
      <c r="S512" s="35">
        <v>-5</v>
      </c>
      <c r="T512" s="35">
        <v>10.199999999999999</v>
      </c>
      <c r="U512" s="35">
        <v>9</v>
      </c>
      <c r="V512" s="35">
        <v>10</v>
      </c>
      <c r="W512" s="35">
        <v>9</v>
      </c>
      <c r="X512" s="35">
        <v>10.5</v>
      </c>
      <c r="Y512" s="35">
        <v>9</v>
      </c>
      <c r="Z512" s="35">
        <v>11.4</v>
      </c>
      <c r="AA512" s="35">
        <v>9</v>
      </c>
      <c r="AB512" s="35">
        <v>21.7</v>
      </c>
      <c r="AC512" s="35">
        <v>20</v>
      </c>
      <c r="AD512" s="35">
        <v>21.7</v>
      </c>
      <c r="AE512" s="35">
        <v>20</v>
      </c>
    </row>
    <row r="513" spans="1:31" x14ac:dyDescent="0.35">
      <c r="A513" s="36">
        <v>46059.813194444447</v>
      </c>
      <c r="B513" s="35">
        <v>-22.7</v>
      </c>
      <c r="C513" s="35">
        <v>-24.3</v>
      </c>
      <c r="D513" s="35">
        <v>-23</v>
      </c>
      <c r="E513" s="35">
        <v>-22.9</v>
      </c>
      <c r="F513" s="35">
        <v>-22.7</v>
      </c>
      <c r="G513" s="35">
        <v>-23</v>
      </c>
      <c r="H513" s="35">
        <v>-23.1</v>
      </c>
      <c r="I513" s="35">
        <v>-23.9</v>
      </c>
      <c r="J513" s="35">
        <v>-23</v>
      </c>
      <c r="K513" s="35">
        <v>-23.8</v>
      </c>
      <c r="L513" s="35">
        <v>-19</v>
      </c>
      <c r="M513" s="35">
        <v>-23</v>
      </c>
      <c r="N513" s="35">
        <v>-4.9000000000000004</v>
      </c>
      <c r="O513" s="35">
        <v>-5.5</v>
      </c>
      <c r="P513" s="35">
        <v>-5</v>
      </c>
      <c r="Q513" s="35">
        <v>-2</v>
      </c>
      <c r="R513" s="35">
        <v>-3.4</v>
      </c>
      <c r="S513" s="35">
        <v>-5</v>
      </c>
      <c r="T513" s="35">
        <v>10.3</v>
      </c>
      <c r="U513" s="35">
        <v>9</v>
      </c>
      <c r="V513" s="35">
        <v>10.1</v>
      </c>
      <c r="W513" s="35">
        <v>9</v>
      </c>
      <c r="X513" s="35">
        <v>10.4</v>
      </c>
      <c r="Y513" s="35">
        <v>9</v>
      </c>
      <c r="Z513" s="35">
        <v>11.4</v>
      </c>
      <c r="AA513" s="35">
        <v>9</v>
      </c>
      <c r="AB513" s="35">
        <v>21.7</v>
      </c>
      <c r="AC513" s="35">
        <v>20</v>
      </c>
      <c r="AD513" s="35">
        <v>21.7</v>
      </c>
      <c r="AE513" s="35">
        <v>20</v>
      </c>
    </row>
    <row r="514" spans="1:31" x14ac:dyDescent="0.35">
      <c r="A514" s="36">
        <v>46059.813888888886</v>
      </c>
      <c r="B514" s="35">
        <v>-22.5</v>
      </c>
      <c r="C514" s="35">
        <v>-23.9</v>
      </c>
      <c r="D514" s="35">
        <v>-23</v>
      </c>
      <c r="E514" s="35">
        <v>-22.6</v>
      </c>
      <c r="F514" s="35">
        <v>-22.6</v>
      </c>
      <c r="G514" s="35">
        <v>-23</v>
      </c>
      <c r="H514" s="35">
        <v>-23.1</v>
      </c>
      <c r="I514" s="35">
        <v>-23.8</v>
      </c>
      <c r="J514" s="35">
        <v>-23</v>
      </c>
      <c r="K514" s="35">
        <v>-23.7</v>
      </c>
      <c r="L514" s="35">
        <v>-19</v>
      </c>
      <c r="M514" s="35">
        <v>-23</v>
      </c>
      <c r="N514" s="35">
        <v>-4.9000000000000004</v>
      </c>
      <c r="O514" s="35">
        <v>-5.5</v>
      </c>
      <c r="P514" s="35">
        <v>-5</v>
      </c>
      <c r="Q514" s="35">
        <v>-2.1</v>
      </c>
      <c r="R514" s="35">
        <v>-3.5</v>
      </c>
      <c r="S514" s="35">
        <v>-5</v>
      </c>
      <c r="T514" s="35">
        <v>10.4</v>
      </c>
      <c r="U514" s="35">
        <v>9</v>
      </c>
      <c r="V514" s="35">
        <v>10.1</v>
      </c>
      <c r="W514" s="35">
        <v>9</v>
      </c>
      <c r="X514" s="35">
        <v>10.1</v>
      </c>
      <c r="Y514" s="35">
        <v>9</v>
      </c>
      <c r="Z514" s="35">
        <v>11.4</v>
      </c>
      <c r="AA514" s="35">
        <v>9</v>
      </c>
      <c r="AB514" s="35">
        <v>21.7</v>
      </c>
      <c r="AC514" s="35">
        <v>20</v>
      </c>
      <c r="AD514" s="35">
        <v>21.7</v>
      </c>
      <c r="AE514" s="35">
        <v>20</v>
      </c>
    </row>
    <row r="515" spans="1:31" x14ac:dyDescent="0.35">
      <c r="A515" s="36">
        <v>46059.814583333333</v>
      </c>
      <c r="B515" s="35">
        <v>-22.3</v>
      </c>
      <c r="C515" s="35">
        <v>-23.5</v>
      </c>
      <c r="D515" s="35">
        <v>-23</v>
      </c>
      <c r="E515" s="35">
        <v>-22.4</v>
      </c>
      <c r="F515" s="35">
        <v>-22.4</v>
      </c>
      <c r="G515" s="35">
        <v>-23</v>
      </c>
      <c r="H515" s="35">
        <v>-23.1</v>
      </c>
      <c r="I515" s="35">
        <v>-23.6</v>
      </c>
      <c r="J515" s="35">
        <v>-23</v>
      </c>
      <c r="K515" s="35">
        <v>-23.4</v>
      </c>
      <c r="L515" s="35">
        <v>-19.100000000000001</v>
      </c>
      <c r="M515" s="35">
        <v>-23</v>
      </c>
      <c r="N515" s="35">
        <v>-5</v>
      </c>
      <c r="O515" s="35">
        <v>-5.5</v>
      </c>
      <c r="P515" s="35">
        <v>-5</v>
      </c>
      <c r="Q515" s="35">
        <v>-2.2999999999999998</v>
      </c>
      <c r="R515" s="35">
        <v>-3.6</v>
      </c>
      <c r="S515" s="35">
        <v>-5</v>
      </c>
      <c r="T515" s="35">
        <v>10.5</v>
      </c>
      <c r="U515" s="35">
        <v>9</v>
      </c>
      <c r="V515" s="35">
        <v>10.199999999999999</v>
      </c>
      <c r="W515" s="35">
        <v>9</v>
      </c>
      <c r="X515" s="35">
        <v>10</v>
      </c>
      <c r="Y515" s="35">
        <v>9</v>
      </c>
      <c r="Z515" s="35">
        <v>11.4</v>
      </c>
      <c r="AA515" s="35">
        <v>9</v>
      </c>
      <c r="AB515" s="35">
        <v>21.7</v>
      </c>
      <c r="AC515" s="35">
        <v>20</v>
      </c>
      <c r="AD515" s="35">
        <v>21.7</v>
      </c>
      <c r="AE515" s="35">
        <v>20</v>
      </c>
    </row>
    <row r="516" spans="1:31" x14ac:dyDescent="0.35">
      <c r="A516" s="36">
        <v>46059.81527777778</v>
      </c>
      <c r="B516" s="35">
        <v>-22.2</v>
      </c>
      <c r="C516" s="35">
        <v>-23.2</v>
      </c>
      <c r="D516" s="35">
        <v>-23</v>
      </c>
      <c r="E516" s="35">
        <v>-22.2</v>
      </c>
      <c r="F516" s="35">
        <v>-22.3</v>
      </c>
      <c r="G516" s="35">
        <v>-23</v>
      </c>
      <c r="H516" s="35">
        <v>-23</v>
      </c>
      <c r="I516" s="35">
        <v>-23.3</v>
      </c>
      <c r="J516" s="35">
        <v>-23</v>
      </c>
      <c r="K516" s="35">
        <v>-23.2</v>
      </c>
      <c r="L516" s="35">
        <v>-19.2</v>
      </c>
      <c r="M516" s="35">
        <v>-23</v>
      </c>
      <c r="N516" s="35">
        <v>-4.9000000000000004</v>
      </c>
      <c r="O516" s="35">
        <v>-5.5</v>
      </c>
      <c r="P516" s="35">
        <v>-5</v>
      </c>
      <c r="Q516" s="35">
        <v>-2.4</v>
      </c>
      <c r="R516" s="35">
        <v>-3.8</v>
      </c>
      <c r="S516" s="35">
        <v>-5</v>
      </c>
      <c r="T516" s="35">
        <v>10.6</v>
      </c>
      <c r="U516" s="35">
        <v>9</v>
      </c>
      <c r="V516" s="35">
        <v>10.3</v>
      </c>
      <c r="W516" s="35">
        <v>9</v>
      </c>
      <c r="X516" s="35">
        <v>9.9</v>
      </c>
      <c r="Y516" s="35">
        <v>9</v>
      </c>
      <c r="Z516" s="35">
        <v>11.4</v>
      </c>
      <c r="AA516" s="35">
        <v>9</v>
      </c>
      <c r="AB516" s="35">
        <v>21.7</v>
      </c>
      <c r="AC516" s="35">
        <v>20</v>
      </c>
      <c r="AD516" s="35">
        <v>21.7</v>
      </c>
      <c r="AE516" s="35">
        <v>20</v>
      </c>
    </row>
    <row r="517" spans="1:31" x14ac:dyDescent="0.35">
      <c r="A517" s="36">
        <v>46059.815972222219</v>
      </c>
      <c r="B517" s="35">
        <v>-22</v>
      </c>
      <c r="C517" s="35">
        <v>-22.9</v>
      </c>
      <c r="D517" s="35">
        <v>-23</v>
      </c>
      <c r="E517" s="35">
        <v>-22</v>
      </c>
      <c r="F517" s="35">
        <v>-22.2</v>
      </c>
      <c r="G517" s="35">
        <v>-23</v>
      </c>
      <c r="H517" s="35">
        <v>-22.8</v>
      </c>
      <c r="I517" s="35">
        <v>-23.1</v>
      </c>
      <c r="J517" s="35">
        <v>-23</v>
      </c>
      <c r="K517" s="35">
        <v>-22.9</v>
      </c>
      <c r="L517" s="35">
        <v>-19.2</v>
      </c>
      <c r="M517" s="35">
        <v>-23</v>
      </c>
      <c r="N517" s="35">
        <v>-4.5</v>
      </c>
      <c r="O517" s="35">
        <v>-5.0999999999999996</v>
      </c>
      <c r="P517" s="35">
        <v>-5</v>
      </c>
      <c r="Q517" s="35">
        <v>-2.5</v>
      </c>
      <c r="R517" s="35">
        <v>-3.8</v>
      </c>
      <c r="S517" s="35">
        <v>-5</v>
      </c>
      <c r="T517" s="35">
        <v>10.7</v>
      </c>
      <c r="U517" s="35">
        <v>9</v>
      </c>
      <c r="V517" s="35">
        <v>10.3</v>
      </c>
      <c r="W517" s="35">
        <v>9</v>
      </c>
      <c r="X517" s="35">
        <v>9.9</v>
      </c>
      <c r="Y517" s="35">
        <v>9</v>
      </c>
      <c r="Z517" s="35">
        <v>11.4</v>
      </c>
      <c r="AA517" s="35">
        <v>9</v>
      </c>
      <c r="AB517" s="35">
        <v>21.7</v>
      </c>
      <c r="AC517" s="35">
        <v>20</v>
      </c>
      <c r="AD517" s="35">
        <v>21.7</v>
      </c>
      <c r="AE517" s="35">
        <v>20</v>
      </c>
    </row>
    <row r="518" spans="1:31" x14ac:dyDescent="0.35">
      <c r="A518" s="36">
        <v>46059.817361111112</v>
      </c>
      <c r="B518" s="35">
        <v>-21.7</v>
      </c>
      <c r="C518" s="35">
        <v>-22.5</v>
      </c>
      <c r="D518" s="35">
        <v>-23</v>
      </c>
      <c r="E518" s="35">
        <v>-21.7</v>
      </c>
      <c r="F518" s="35">
        <v>-21.9</v>
      </c>
      <c r="G518" s="35">
        <v>-23</v>
      </c>
      <c r="H518" s="35">
        <v>-22.5</v>
      </c>
      <c r="I518" s="35">
        <v>-22.8</v>
      </c>
      <c r="J518" s="35">
        <v>-23</v>
      </c>
      <c r="K518" s="35">
        <v>-22.6</v>
      </c>
      <c r="L518" s="35">
        <v>-19.2</v>
      </c>
      <c r="M518" s="35">
        <v>-23</v>
      </c>
      <c r="N518" s="35">
        <v>-3.8</v>
      </c>
      <c r="O518" s="35">
        <v>-4.4000000000000004</v>
      </c>
      <c r="P518" s="35">
        <v>-5</v>
      </c>
      <c r="Q518" s="35">
        <v>-2.6</v>
      </c>
      <c r="R518" s="35">
        <v>-4</v>
      </c>
      <c r="S518" s="35">
        <v>-5</v>
      </c>
      <c r="T518" s="35">
        <v>10.8</v>
      </c>
      <c r="U518" s="35">
        <v>9</v>
      </c>
      <c r="V518" s="35">
        <v>10.4</v>
      </c>
      <c r="W518" s="35">
        <v>9</v>
      </c>
      <c r="X518" s="35">
        <v>9.9</v>
      </c>
      <c r="Y518" s="35">
        <v>9</v>
      </c>
      <c r="Z518" s="35">
        <v>11.4</v>
      </c>
      <c r="AA518" s="35">
        <v>9</v>
      </c>
      <c r="AB518" s="35">
        <v>21.7</v>
      </c>
      <c r="AC518" s="35">
        <v>20</v>
      </c>
      <c r="AD518" s="35">
        <v>21.7</v>
      </c>
      <c r="AE518" s="35">
        <v>20</v>
      </c>
    </row>
    <row r="519" spans="1:31" x14ac:dyDescent="0.35">
      <c r="A519" s="36">
        <v>46059.818055555559</v>
      </c>
      <c r="B519" s="35">
        <v>-21.6</v>
      </c>
      <c r="C519" s="35">
        <v>-22.2</v>
      </c>
      <c r="D519" s="35">
        <v>-23</v>
      </c>
      <c r="E519" s="35">
        <v>-21.6</v>
      </c>
      <c r="F519" s="35">
        <v>-21.7</v>
      </c>
      <c r="G519" s="35">
        <v>-23</v>
      </c>
      <c r="H519" s="35">
        <v>-22.3</v>
      </c>
      <c r="I519" s="35">
        <v>-22.7</v>
      </c>
      <c r="J519" s="35">
        <v>-23</v>
      </c>
      <c r="K519" s="35">
        <v>-22.4</v>
      </c>
      <c r="L519" s="35">
        <v>-19.2</v>
      </c>
      <c r="M519" s="35">
        <v>-23</v>
      </c>
      <c r="N519" s="35">
        <v>-3.6</v>
      </c>
      <c r="O519" s="35">
        <v>-4.0999999999999996</v>
      </c>
      <c r="P519" s="35">
        <v>-5</v>
      </c>
      <c r="Q519" s="35">
        <v>-2.7</v>
      </c>
      <c r="R519" s="35">
        <v>-4.0999999999999996</v>
      </c>
      <c r="S519" s="35">
        <v>-5</v>
      </c>
      <c r="T519" s="35">
        <v>10.9</v>
      </c>
      <c r="U519" s="35">
        <v>9</v>
      </c>
      <c r="V519" s="35">
        <v>10.4</v>
      </c>
      <c r="W519" s="35">
        <v>9</v>
      </c>
      <c r="X519" s="35">
        <v>9.9</v>
      </c>
      <c r="Y519" s="35">
        <v>9</v>
      </c>
      <c r="Z519" s="35">
        <v>11.4</v>
      </c>
      <c r="AA519" s="35">
        <v>9</v>
      </c>
      <c r="AB519" s="35">
        <v>21.7</v>
      </c>
      <c r="AC519" s="35">
        <v>20</v>
      </c>
      <c r="AD519" s="35">
        <v>21.7</v>
      </c>
      <c r="AE519" s="35">
        <v>20</v>
      </c>
    </row>
    <row r="520" spans="1:31" x14ac:dyDescent="0.35">
      <c r="A520" s="36">
        <v>46059.818749999999</v>
      </c>
      <c r="B520" s="35">
        <v>-21.5</v>
      </c>
      <c r="C520" s="35">
        <v>-22</v>
      </c>
      <c r="D520" s="35">
        <v>-23</v>
      </c>
      <c r="E520" s="35">
        <v>-21.4</v>
      </c>
      <c r="F520" s="35">
        <v>-21.5</v>
      </c>
      <c r="G520" s="35">
        <v>-23</v>
      </c>
      <c r="H520" s="35">
        <v>-22.2</v>
      </c>
      <c r="I520" s="35">
        <v>-22.5</v>
      </c>
      <c r="J520" s="35">
        <v>-23</v>
      </c>
      <c r="K520" s="35">
        <v>-22.2</v>
      </c>
      <c r="L520" s="35">
        <v>-19.2</v>
      </c>
      <c r="M520" s="35">
        <v>-23</v>
      </c>
      <c r="N520" s="35">
        <v>-3.3</v>
      </c>
      <c r="O520" s="35">
        <v>-3.8</v>
      </c>
      <c r="P520" s="35">
        <v>-5</v>
      </c>
      <c r="Q520" s="35">
        <v>-2.7</v>
      </c>
      <c r="R520" s="35">
        <v>-4.0999999999999996</v>
      </c>
      <c r="S520" s="35">
        <v>-5</v>
      </c>
      <c r="T520" s="35">
        <v>10.9</v>
      </c>
      <c r="U520" s="35">
        <v>9</v>
      </c>
      <c r="V520" s="35">
        <v>10.5</v>
      </c>
      <c r="W520" s="35">
        <v>9</v>
      </c>
      <c r="X520" s="35">
        <v>9.9</v>
      </c>
      <c r="Y520" s="35">
        <v>9</v>
      </c>
      <c r="Z520" s="35">
        <v>11.4</v>
      </c>
      <c r="AA520" s="35">
        <v>9</v>
      </c>
      <c r="AB520" s="35">
        <v>21.7</v>
      </c>
      <c r="AC520" s="35">
        <v>20</v>
      </c>
      <c r="AD520" s="35">
        <v>21.7</v>
      </c>
      <c r="AE520" s="35">
        <v>20</v>
      </c>
    </row>
    <row r="521" spans="1:31" x14ac:dyDescent="0.35">
      <c r="A521" s="36">
        <v>46059.819444444445</v>
      </c>
      <c r="B521" s="35">
        <v>-21.3</v>
      </c>
      <c r="C521" s="35">
        <v>-21.8</v>
      </c>
      <c r="D521" s="35">
        <v>-23</v>
      </c>
      <c r="E521" s="35">
        <v>-21.3</v>
      </c>
      <c r="F521" s="35">
        <v>-21.4</v>
      </c>
      <c r="G521" s="35">
        <v>-23</v>
      </c>
      <c r="H521" s="35">
        <v>-22.1</v>
      </c>
      <c r="I521" s="35">
        <v>-22.4</v>
      </c>
      <c r="J521" s="35">
        <v>-23</v>
      </c>
      <c r="K521" s="35">
        <v>-22.1</v>
      </c>
      <c r="L521" s="35">
        <v>-19.2</v>
      </c>
      <c r="M521" s="35">
        <v>-23</v>
      </c>
      <c r="N521" s="35">
        <v>-3.1</v>
      </c>
      <c r="O521" s="35">
        <v>-3.5</v>
      </c>
      <c r="P521" s="35">
        <v>-5</v>
      </c>
      <c r="Q521" s="35">
        <v>-2.8</v>
      </c>
      <c r="R521" s="35">
        <v>-4.2</v>
      </c>
      <c r="S521" s="35">
        <v>-5</v>
      </c>
      <c r="T521" s="35">
        <v>11</v>
      </c>
      <c r="U521" s="35">
        <v>9</v>
      </c>
      <c r="V521" s="35">
        <v>10.5</v>
      </c>
      <c r="W521" s="35">
        <v>9</v>
      </c>
      <c r="X521" s="35">
        <v>10</v>
      </c>
      <c r="Y521" s="35">
        <v>9</v>
      </c>
      <c r="Z521" s="35">
        <v>11.3</v>
      </c>
      <c r="AA521" s="35">
        <v>9</v>
      </c>
      <c r="AB521" s="35">
        <v>21.7</v>
      </c>
      <c r="AC521" s="35">
        <v>20</v>
      </c>
      <c r="AD521" s="35">
        <v>21.7</v>
      </c>
      <c r="AE521" s="35">
        <v>20</v>
      </c>
    </row>
    <row r="522" spans="1:31" x14ac:dyDescent="0.35">
      <c r="A522" s="36">
        <v>46059.820138888892</v>
      </c>
      <c r="B522" s="35">
        <v>-21.2</v>
      </c>
      <c r="C522" s="35">
        <v>-21.6</v>
      </c>
      <c r="D522" s="35">
        <v>-23</v>
      </c>
      <c r="E522" s="35">
        <v>-21.1</v>
      </c>
      <c r="F522" s="35">
        <v>-21.3</v>
      </c>
      <c r="G522" s="35">
        <v>-23</v>
      </c>
      <c r="H522" s="35">
        <v>-21.9</v>
      </c>
      <c r="I522" s="35">
        <v>-22.3</v>
      </c>
      <c r="J522" s="35">
        <v>-23</v>
      </c>
      <c r="K522" s="35">
        <v>-22</v>
      </c>
      <c r="L522" s="35">
        <v>-19.2</v>
      </c>
      <c r="M522" s="35">
        <v>-23</v>
      </c>
      <c r="N522" s="35">
        <v>-2.9</v>
      </c>
      <c r="O522" s="35">
        <v>-3.3</v>
      </c>
      <c r="P522" s="35">
        <v>-5</v>
      </c>
      <c r="Q522" s="35">
        <v>-2.9</v>
      </c>
      <c r="R522" s="35">
        <v>-4.3</v>
      </c>
      <c r="S522" s="35">
        <v>-5</v>
      </c>
      <c r="T522" s="35">
        <v>10.6</v>
      </c>
      <c r="U522" s="35">
        <v>9</v>
      </c>
      <c r="V522" s="35">
        <v>10.5</v>
      </c>
      <c r="W522" s="35">
        <v>9</v>
      </c>
      <c r="X522" s="35">
        <v>10.4</v>
      </c>
      <c r="Y522" s="35">
        <v>9</v>
      </c>
      <c r="Z522" s="35">
        <v>11.3</v>
      </c>
      <c r="AA522" s="35">
        <v>9</v>
      </c>
      <c r="AB522" s="35">
        <v>21.7</v>
      </c>
      <c r="AC522" s="35">
        <v>20</v>
      </c>
      <c r="AD522" s="35">
        <v>21.7</v>
      </c>
      <c r="AE522" s="35">
        <v>20</v>
      </c>
    </row>
    <row r="523" spans="1:31" x14ac:dyDescent="0.35">
      <c r="A523" s="36">
        <v>46059.820833333331</v>
      </c>
      <c r="B523" s="35">
        <v>-21.1</v>
      </c>
      <c r="C523" s="35">
        <v>-21.5</v>
      </c>
      <c r="D523" s="35">
        <v>-23</v>
      </c>
      <c r="E523" s="35">
        <v>-21</v>
      </c>
      <c r="F523" s="35">
        <v>-21.1</v>
      </c>
      <c r="G523" s="35">
        <v>-23</v>
      </c>
      <c r="H523" s="35">
        <v>-21.8</v>
      </c>
      <c r="I523" s="35">
        <v>-22.1</v>
      </c>
      <c r="J523" s="35">
        <v>-23</v>
      </c>
      <c r="K523" s="35">
        <v>-21.8</v>
      </c>
      <c r="L523" s="35">
        <v>-19.2</v>
      </c>
      <c r="M523" s="35">
        <v>-23</v>
      </c>
      <c r="N523" s="35">
        <v>-2.8</v>
      </c>
      <c r="O523" s="35">
        <v>-3.3</v>
      </c>
      <c r="P523" s="35">
        <v>-5</v>
      </c>
      <c r="Q523" s="35">
        <v>-3</v>
      </c>
      <c r="R523" s="35">
        <v>-4.4000000000000004</v>
      </c>
      <c r="S523" s="35">
        <v>-5</v>
      </c>
      <c r="T523" s="35">
        <v>10.199999999999999</v>
      </c>
      <c r="U523" s="35">
        <v>9</v>
      </c>
      <c r="V523" s="35">
        <v>10.5</v>
      </c>
      <c r="W523" s="35">
        <v>9</v>
      </c>
      <c r="X523" s="35">
        <v>10.6</v>
      </c>
      <c r="Y523" s="35">
        <v>9</v>
      </c>
      <c r="Z523" s="35">
        <v>11.3</v>
      </c>
      <c r="AA523" s="35">
        <v>9</v>
      </c>
      <c r="AB523" s="35">
        <v>21.7</v>
      </c>
      <c r="AC523" s="35">
        <v>20</v>
      </c>
      <c r="AD523" s="35">
        <v>21.7</v>
      </c>
      <c r="AE523" s="35">
        <v>20</v>
      </c>
    </row>
    <row r="524" spans="1:31" x14ac:dyDescent="0.35">
      <c r="A524" s="36">
        <v>46059.821527777778</v>
      </c>
      <c r="B524" s="35">
        <v>-20.9</v>
      </c>
      <c r="C524" s="35">
        <v>-21.3</v>
      </c>
      <c r="D524" s="35">
        <v>-23</v>
      </c>
      <c r="E524" s="35">
        <v>-20.9</v>
      </c>
      <c r="F524" s="35">
        <v>-21</v>
      </c>
      <c r="G524" s="35">
        <v>-23</v>
      </c>
      <c r="H524" s="35">
        <v>-21.7</v>
      </c>
      <c r="I524" s="35">
        <v>-22</v>
      </c>
      <c r="J524" s="35">
        <v>-23</v>
      </c>
      <c r="K524" s="35">
        <v>-21.7</v>
      </c>
      <c r="L524" s="35">
        <v>-19</v>
      </c>
      <c r="M524" s="35">
        <v>-23</v>
      </c>
      <c r="N524" s="35">
        <v>-2.9</v>
      </c>
      <c r="O524" s="35">
        <v>-3.3</v>
      </c>
      <c r="P524" s="35">
        <v>-5</v>
      </c>
      <c r="Q524" s="35">
        <v>-3</v>
      </c>
      <c r="R524" s="35">
        <v>-4.4000000000000004</v>
      </c>
      <c r="S524" s="35">
        <v>-5</v>
      </c>
      <c r="T524" s="35">
        <v>9.6</v>
      </c>
      <c r="U524" s="35">
        <v>9</v>
      </c>
      <c r="V524" s="35">
        <v>10.4</v>
      </c>
      <c r="W524" s="35">
        <v>9</v>
      </c>
      <c r="X524" s="35">
        <v>10.7</v>
      </c>
      <c r="Y524" s="35">
        <v>9</v>
      </c>
      <c r="Z524" s="35">
        <v>11.3</v>
      </c>
      <c r="AA524" s="35">
        <v>9</v>
      </c>
      <c r="AB524" s="35">
        <v>21.7</v>
      </c>
      <c r="AC524" s="35">
        <v>20</v>
      </c>
      <c r="AD524" s="35">
        <v>21.7</v>
      </c>
      <c r="AE524" s="35">
        <v>20</v>
      </c>
    </row>
    <row r="525" spans="1:31" x14ac:dyDescent="0.35">
      <c r="A525" s="36">
        <v>46059.822222222225</v>
      </c>
      <c r="B525" s="35">
        <v>-20.9</v>
      </c>
      <c r="C525" s="35">
        <v>-21.2</v>
      </c>
      <c r="D525" s="35">
        <v>-23</v>
      </c>
      <c r="E525" s="35">
        <v>-21.1</v>
      </c>
      <c r="F525" s="35">
        <v>-20.9</v>
      </c>
      <c r="G525" s="35">
        <v>-23</v>
      </c>
      <c r="H525" s="35">
        <v>-21.6</v>
      </c>
      <c r="I525" s="35">
        <v>-21.9</v>
      </c>
      <c r="J525" s="35">
        <v>-23</v>
      </c>
      <c r="K525" s="35">
        <v>-21.6</v>
      </c>
      <c r="L525" s="35">
        <v>-18.899999999999999</v>
      </c>
      <c r="M525" s="35">
        <v>-23</v>
      </c>
      <c r="N525" s="35">
        <v>-3</v>
      </c>
      <c r="O525" s="35">
        <v>-3.4</v>
      </c>
      <c r="P525" s="35">
        <v>-5</v>
      </c>
      <c r="Q525" s="35">
        <v>-3</v>
      </c>
      <c r="R525" s="35">
        <v>-4.4000000000000004</v>
      </c>
      <c r="S525" s="35">
        <v>-5</v>
      </c>
      <c r="T525" s="35">
        <v>9.1999999999999993</v>
      </c>
      <c r="U525" s="35">
        <v>9</v>
      </c>
      <c r="V525" s="35">
        <v>10.4</v>
      </c>
      <c r="W525" s="35">
        <v>9</v>
      </c>
      <c r="X525" s="35">
        <v>10.7</v>
      </c>
      <c r="Y525" s="35">
        <v>9</v>
      </c>
      <c r="Z525" s="35">
        <v>11.3</v>
      </c>
      <c r="AA525" s="35">
        <v>9</v>
      </c>
      <c r="AB525" s="35">
        <v>21.7</v>
      </c>
      <c r="AC525" s="35">
        <v>20</v>
      </c>
      <c r="AD525" s="35">
        <v>21.7</v>
      </c>
      <c r="AE525" s="35">
        <v>20</v>
      </c>
    </row>
    <row r="526" spans="1:31" x14ac:dyDescent="0.35">
      <c r="A526" s="36">
        <v>46059.822916666664</v>
      </c>
      <c r="B526" s="35">
        <v>-20.9</v>
      </c>
      <c r="C526" s="35">
        <v>-21.9</v>
      </c>
      <c r="D526" s="35">
        <v>-23</v>
      </c>
      <c r="E526" s="35">
        <v>-21.4</v>
      </c>
      <c r="F526" s="35">
        <v>-20.9</v>
      </c>
      <c r="G526" s="35">
        <v>-23</v>
      </c>
      <c r="H526" s="35">
        <v>-21.5</v>
      </c>
      <c r="I526" s="35">
        <v>-21.8</v>
      </c>
      <c r="J526" s="35">
        <v>-23</v>
      </c>
      <c r="K526" s="35">
        <v>-21.4</v>
      </c>
      <c r="L526" s="35">
        <v>-18.8</v>
      </c>
      <c r="M526" s="35">
        <v>-23</v>
      </c>
      <c r="N526" s="35">
        <v>-3.2</v>
      </c>
      <c r="O526" s="35">
        <v>-3.5</v>
      </c>
      <c r="P526" s="35">
        <v>-5</v>
      </c>
      <c r="Q526" s="35">
        <v>-3</v>
      </c>
      <c r="R526" s="35">
        <v>-4.4000000000000004</v>
      </c>
      <c r="S526" s="35">
        <v>-5</v>
      </c>
      <c r="T526" s="35">
        <v>8.9</v>
      </c>
      <c r="U526" s="35">
        <v>9</v>
      </c>
      <c r="V526" s="35">
        <v>10.199999999999999</v>
      </c>
      <c r="W526" s="35">
        <v>9</v>
      </c>
      <c r="X526" s="35">
        <v>10.7</v>
      </c>
      <c r="Y526" s="35">
        <v>9</v>
      </c>
      <c r="Z526" s="35">
        <v>11.3</v>
      </c>
      <c r="AA526" s="35">
        <v>9</v>
      </c>
      <c r="AB526" s="35">
        <v>21.7</v>
      </c>
      <c r="AC526" s="35">
        <v>20</v>
      </c>
      <c r="AD526" s="35">
        <v>21.7</v>
      </c>
      <c r="AE526" s="35">
        <v>20</v>
      </c>
    </row>
    <row r="527" spans="1:31" x14ac:dyDescent="0.35">
      <c r="A527" s="36">
        <v>46059.823611111111</v>
      </c>
      <c r="B527" s="35">
        <v>-21</v>
      </c>
      <c r="C527" s="35">
        <v>-23.8</v>
      </c>
      <c r="D527" s="35">
        <v>-23</v>
      </c>
      <c r="E527" s="35">
        <v>-21.7</v>
      </c>
      <c r="F527" s="35">
        <v>-20.9</v>
      </c>
      <c r="G527" s="35">
        <v>-23</v>
      </c>
      <c r="H527" s="35">
        <v>-21.4</v>
      </c>
      <c r="I527" s="35">
        <v>-21.7</v>
      </c>
      <c r="J527" s="35">
        <v>-23</v>
      </c>
      <c r="K527" s="35">
        <v>-21.3</v>
      </c>
      <c r="L527" s="35">
        <v>-18.600000000000001</v>
      </c>
      <c r="M527" s="35">
        <v>-23</v>
      </c>
      <c r="N527" s="35">
        <v>-3.3</v>
      </c>
      <c r="O527" s="35">
        <v>-3.6</v>
      </c>
      <c r="P527" s="35">
        <v>-5</v>
      </c>
      <c r="Q527" s="35">
        <v>-3</v>
      </c>
      <c r="R527" s="35">
        <v>-4.4000000000000004</v>
      </c>
      <c r="S527" s="35">
        <v>-5</v>
      </c>
      <c r="T527" s="35">
        <v>8.8000000000000007</v>
      </c>
      <c r="U527" s="35">
        <v>9</v>
      </c>
      <c r="V527" s="35">
        <v>10.1</v>
      </c>
      <c r="W527" s="35">
        <v>9</v>
      </c>
      <c r="X527" s="35">
        <v>10.6</v>
      </c>
      <c r="Y527" s="35">
        <v>9</v>
      </c>
      <c r="Z527" s="35">
        <v>11.4</v>
      </c>
      <c r="AA527" s="35">
        <v>9</v>
      </c>
      <c r="AB527" s="35">
        <v>21.7</v>
      </c>
      <c r="AC527" s="35">
        <v>20</v>
      </c>
      <c r="AD527" s="35">
        <v>21.7</v>
      </c>
      <c r="AE527" s="35">
        <v>20</v>
      </c>
    </row>
    <row r="528" spans="1:31" x14ac:dyDescent="0.35">
      <c r="A528" s="36">
        <v>46059.824305555558</v>
      </c>
      <c r="B528" s="35">
        <v>-21.2</v>
      </c>
      <c r="C528" s="35">
        <v>-25</v>
      </c>
      <c r="D528" s="35">
        <v>-23</v>
      </c>
      <c r="E528" s="35">
        <v>-21.9</v>
      </c>
      <c r="F528" s="35">
        <v>-20.9</v>
      </c>
      <c r="G528" s="35">
        <v>-23</v>
      </c>
      <c r="H528" s="35">
        <v>-21.3</v>
      </c>
      <c r="I528" s="35">
        <v>-21.6</v>
      </c>
      <c r="J528" s="35">
        <v>-23</v>
      </c>
      <c r="K528" s="35">
        <v>-21.2</v>
      </c>
      <c r="L528" s="35">
        <v>-18.5</v>
      </c>
      <c r="M528" s="35">
        <v>-23</v>
      </c>
      <c r="N528" s="35">
        <v>-3.3</v>
      </c>
      <c r="O528" s="35">
        <v>-3.7</v>
      </c>
      <c r="P528" s="35">
        <v>-5</v>
      </c>
      <c r="Q528" s="35">
        <v>-3</v>
      </c>
      <c r="R528" s="35">
        <v>-4.4000000000000004</v>
      </c>
      <c r="S528" s="35">
        <v>-5</v>
      </c>
      <c r="T528" s="35">
        <v>8.8000000000000007</v>
      </c>
      <c r="U528" s="35">
        <v>9</v>
      </c>
      <c r="V528" s="35">
        <v>10</v>
      </c>
      <c r="W528" s="35">
        <v>9</v>
      </c>
      <c r="X528" s="35">
        <v>10.6</v>
      </c>
      <c r="Y528" s="35">
        <v>9</v>
      </c>
      <c r="Z528" s="35">
        <v>11.5</v>
      </c>
      <c r="AA528" s="35">
        <v>9</v>
      </c>
      <c r="AB528" s="35">
        <v>21.7</v>
      </c>
      <c r="AC528" s="35">
        <v>20</v>
      </c>
      <c r="AD528" s="35">
        <v>21.7</v>
      </c>
      <c r="AE528" s="35">
        <v>20</v>
      </c>
    </row>
    <row r="529" spans="1:31" x14ac:dyDescent="0.35">
      <c r="A529" s="36">
        <v>46059.824999999997</v>
      </c>
      <c r="B529" s="35">
        <v>-21.3</v>
      </c>
      <c r="C529" s="35">
        <v>-24.2</v>
      </c>
      <c r="D529" s="35">
        <v>-23</v>
      </c>
      <c r="E529" s="35">
        <v>-22.1</v>
      </c>
      <c r="F529" s="35">
        <v>-20.9</v>
      </c>
      <c r="G529" s="35">
        <v>-23</v>
      </c>
      <c r="H529" s="35">
        <v>-21.2</v>
      </c>
      <c r="I529" s="35">
        <v>-21.5</v>
      </c>
      <c r="J529" s="35">
        <v>-23</v>
      </c>
      <c r="K529" s="35">
        <v>-21</v>
      </c>
      <c r="L529" s="35">
        <v>-18.399999999999999</v>
      </c>
      <c r="M529" s="35">
        <v>-23</v>
      </c>
      <c r="N529" s="35">
        <v>-3.4</v>
      </c>
      <c r="O529" s="35">
        <v>-3.8</v>
      </c>
      <c r="P529" s="35">
        <v>-5</v>
      </c>
      <c r="Q529" s="35">
        <v>-3</v>
      </c>
      <c r="R529" s="35">
        <v>-4.4000000000000004</v>
      </c>
      <c r="S529" s="35">
        <v>-5</v>
      </c>
      <c r="T529" s="35">
        <v>9</v>
      </c>
      <c r="U529" s="35">
        <v>9</v>
      </c>
      <c r="V529" s="35">
        <v>10</v>
      </c>
      <c r="W529" s="35">
        <v>9</v>
      </c>
      <c r="X529" s="35">
        <v>10.6</v>
      </c>
      <c r="Y529" s="35">
        <v>9</v>
      </c>
      <c r="Z529" s="35">
        <v>11.5</v>
      </c>
      <c r="AA529" s="35">
        <v>9</v>
      </c>
      <c r="AB529" s="35">
        <v>21.7</v>
      </c>
      <c r="AC529" s="35">
        <v>20</v>
      </c>
      <c r="AD529" s="35">
        <v>21.7</v>
      </c>
      <c r="AE529" s="35">
        <v>20</v>
      </c>
    </row>
    <row r="530" spans="1:31" x14ac:dyDescent="0.35">
      <c r="A530" s="36">
        <v>46059.825694444444</v>
      </c>
      <c r="B530" s="35">
        <v>-21.4</v>
      </c>
      <c r="C530" s="35">
        <v>-23.4</v>
      </c>
      <c r="D530" s="35">
        <v>-23</v>
      </c>
      <c r="E530" s="35">
        <v>-22.2</v>
      </c>
      <c r="F530" s="35">
        <v>-21</v>
      </c>
      <c r="G530" s="35">
        <v>-23</v>
      </c>
      <c r="H530" s="35">
        <v>-21.1</v>
      </c>
      <c r="I530" s="35">
        <v>-21.4</v>
      </c>
      <c r="J530" s="35">
        <v>-23</v>
      </c>
      <c r="K530" s="35">
        <v>-20.9</v>
      </c>
      <c r="L530" s="35">
        <v>-18.3</v>
      </c>
      <c r="M530" s="35">
        <v>-23</v>
      </c>
      <c r="N530" s="35">
        <v>-3.5</v>
      </c>
      <c r="O530" s="35">
        <v>-3.9</v>
      </c>
      <c r="P530" s="35">
        <v>-5</v>
      </c>
      <c r="Q530" s="35">
        <v>-3</v>
      </c>
      <c r="R530" s="35">
        <v>-4.5</v>
      </c>
      <c r="S530" s="35">
        <v>-5</v>
      </c>
      <c r="T530" s="35">
        <v>9.3000000000000007</v>
      </c>
      <c r="U530" s="35">
        <v>9</v>
      </c>
      <c r="V530" s="35">
        <v>10</v>
      </c>
      <c r="W530" s="35">
        <v>9</v>
      </c>
      <c r="X530" s="35">
        <v>10.6</v>
      </c>
      <c r="Y530" s="35">
        <v>9</v>
      </c>
      <c r="Z530" s="35">
        <v>11.5</v>
      </c>
      <c r="AA530" s="35">
        <v>9</v>
      </c>
      <c r="AB530" s="35">
        <v>21.7</v>
      </c>
      <c r="AC530" s="35">
        <v>20</v>
      </c>
      <c r="AD530" s="35">
        <v>21.7</v>
      </c>
      <c r="AE530" s="35">
        <v>20</v>
      </c>
    </row>
    <row r="531" spans="1:31" x14ac:dyDescent="0.35">
      <c r="A531" s="36">
        <v>46059.826388888891</v>
      </c>
      <c r="B531" s="35">
        <v>-21.5</v>
      </c>
      <c r="C531" s="35">
        <v>-23.2</v>
      </c>
      <c r="D531" s="35">
        <v>-23</v>
      </c>
      <c r="E531" s="35">
        <v>-22.3</v>
      </c>
      <c r="F531" s="35">
        <v>-21.1</v>
      </c>
      <c r="G531" s="35">
        <v>-23</v>
      </c>
      <c r="H531" s="35">
        <v>-21</v>
      </c>
      <c r="I531" s="35">
        <v>-21.3</v>
      </c>
      <c r="J531" s="35">
        <v>-23</v>
      </c>
      <c r="K531" s="35">
        <v>-20.9</v>
      </c>
      <c r="L531" s="35">
        <v>-18.2</v>
      </c>
      <c r="M531" s="35">
        <v>-23</v>
      </c>
      <c r="N531" s="35">
        <v>-3.5</v>
      </c>
      <c r="O531" s="35">
        <v>-4</v>
      </c>
      <c r="P531" s="35">
        <v>-5</v>
      </c>
      <c r="Q531" s="35">
        <v>-3</v>
      </c>
      <c r="R531" s="35">
        <v>-4.5</v>
      </c>
      <c r="S531" s="35">
        <v>-5</v>
      </c>
      <c r="T531" s="35">
        <v>9.5</v>
      </c>
      <c r="U531" s="35">
        <v>9</v>
      </c>
      <c r="V531" s="35">
        <v>10</v>
      </c>
      <c r="W531" s="35">
        <v>9</v>
      </c>
      <c r="X531" s="35">
        <v>10.6</v>
      </c>
      <c r="Y531" s="35">
        <v>9</v>
      </c>
      <c r="Z531" s="35">
        <v>11.5</v>
      </c>
      <c r="AA531" s="35">
        <v>9</v>
      </c>
      <c r="AB531" s="35">
        <v>21.7</v>
      </c>
      <c r="AC531" s="35">
        <v>20</v>
      </c>
      <c r="AD531" s="35">
        <v>21.7</v>
      </c>
      <c r="AE531" s="35">
        <v>20</v>
      </c>
    </row>
    <row r="532" spans="1:31" x14ac:dyDescent="0.35">
      <c r="A532" s="36">
        <v>46059.82708333333</v>
      </c>
      <c r="B532" s="35">
        <v>-21.6</v>
      </c>
      <c r="C532" s="35">
        <v>-23.5</v>
      </c>
      <c r="D532" s="35">
        <v>-23</v>
      </c>
      <c r="E532" s="35">
        <v>-22.4</v>
      </c>
      <c r="F532" s="35">
        <v>-21.1</v>
      </c>
      <c r="G532" s="35">
        <v>-23</v>
      </c>
      <c r="H532" s="35">
        <v>-20.9</v>
      </c>
      <c r="I532" s="35">
        <v>-21.2</v>
      </c>
      <c r="J532" s="35">
        <v>-23</v>
      </c>
      <c r="K532" s="35">
        <v>-20.8</v>
      </c>
      <c r="L532" s="35">
        <v>-18.100000000000001</v>
      </c>
      <c r="M532" s="35">
        <v>-23</v>
      </c>
      <c r="N532" s="35">
        <v>-3.6</v>
      </c>
      <c r="O532" s="35">
        <v>-4.0999999999999996</v>
      </c>
      <c r="P532" s="35">
        <v>-5</v>
      </c>
      <c r="Q532" s="35">
        <v>-3</v>
      </c>
      <c r="R532" s="35">
        <v>-4.5</v>
      </c>
      <c r="S532" s="35">
        <v>-5</v>
      </c>
      <c r="T532" s="35">
        <v>9.8000000000000007</v>
      </c>
      <c r="U532" s="35">
        <v>9</v>
      </c>
      <c r="V532" s="35">
        <v>10</v>
      </c>
      <c r="W532" s="35">
        <v>9</v>
      </c>
      <c r="X532" s="35">
        <v>10.6</v>
      </c>
      <c r="Y532" s="35">
        <v>9</v>
      </c>
      <c r="Z532" s="35">
        <v>11.5</v>
      </c>
      <c r="AA532" s="35">
        <v>9</v>
      </c>
      <c r="AB532" s="35">
        <v>21.7</v>
      </c>
      <c r="AC532" s="35">
        <v>20</v>
      </c>
      <c r="AD532" s="35">
        <v>21.7</v>
      </c>
      <c r="AE532" s="35">
        <v>20</v>
      </c>
    </row>
    <row r="533" spans="1:31" x14ac:dyDescent="0.35">
      <c r="A533" s="36">
        <v>46059.827777777777</v>
      </c>
      <c r="B533" s="35">
        <v>-21.7</v>
      </c>
      <c r="C533" s="35">
        <v>-24.2</v>
      </c>
      <c r="D533" s="35">
        <v>-23</v>
      </c>
      <c r="E533" s="35">
        <v>-22.5</v>
      </c>
      <c r="F533" s="35">
        <v>-21.2</v>
      </c>
      <c r="G533" s="35">
        <v>-23</v>
      </c>
      <c r="H533" s="35">
        <v>-20.9</v>
      </c>
      <c r="I533" s="35">
        <v>-21.2</v>
      </c>
      <c r="J533" s="35">
        <v>-23</v>
      </c>
      <c r="K533" s="35">
        <v>-20.8</v>
      </c>
      <c r="L533" s="35">
        <v>-17.899999999999999</v>
      </c>
      <c r="M533" s="35">
        <v>-23</v>
      </c>
      <c r="N533" s="35">
        <v>-3.7</v>
      </c>
      <c r="O533" s="35">
        <v>-4.0999999999999996</v>
      </c>
      <c r="P533" s="35">
        <v>-5</v>
      </c>
      <c r="Q533" s="35">
        <v>-3</v>
      </c>
      <c r="R533" s="35">
        <v>-4.5</v>
      </c>
      <c r="S533" s="35">
        <v>-5</v>
      </c>
      <c r="T533" s="35">
        <v>9.9</v>
      </c>
      <c r="U533" s="35">
        <v>9</v>
      </c>
      <c r="V533" s="35">
        <v>10</v>
      </c>
      <c r="W533" s="35">
        <v>9</v>
      </c>
      <c r="X533" s="35">
        <v>10.6</v>
      </c>
      <c r="Y533" s="35">
        <v>9</v>
      </c>
      <c r="Z533" s="35">
        <v>11.5</v>
      </c>
      <c r="AA533" s="35">
        <v>9</v>
      </c>
      <c r="AB533" s="35">
        <v>21.7</v>
      </c>
      <c r="AC533" s="35">
        <v>20</v>
      </c>
      <c r="AD533" s="35">
        <v>21.7</v>
      </c>
      <c r="AE533" s="35">
        <v>20</v>
      </c>
    </row>
    <row r="534" spans="1:31" x14ac:dyDescent="0.35">
      <c r="A534" s="36">
        <v>46059.828472222223</v>
      </c>
      <c r="B534" s="35">
        <v>-21.7</v>
      </c>
      <c r="C534" s="35">
        <v>-24.5</v>
      </c>
      <c r="D534" s="35">
        <v>-23</v>
      </c>
      <c r="E534" s="35">
        <v>-22.5</v>
      </c>
      <c r="F534" s="35">
        <v>-21.3</v>
      </c>
      <c r="G534" s="35">
        <v>-23</v>
      </c>
      <c r="H534" s="35">
        <v>-20.9</v>
      </c>
      <c r="I534" s="35">
        <v>-21.2</v>
      </c>
      <c r="J534" s="35">
        <v>-23</v>
      </c>
      <c r="K534" s="35">
        <v>-20.8</v>
      </c>
      <c r="L534" s="35">
        <v>-17.8</v>
      </c>
      <c r="M534" s="35">
        <v>-23</v>
      </c>
      <c r="N534" s="35">
        <v>-3.7</v>
      </c>
      <c r="O534" s="35">
        <v>-4.2</v>
      </c>
      <c r="P534" s="35">
        <v>-5</v>
      </c>
      <c r="Q534" s="35">
        <v>-3</v>
      </c>
      <c r="R534" s="35">
        <v>-4.5</v>
      </c>
      <c r="S534" s="35">
        <v>-5</v>
      </c>
      <c r="T534" s="35">
        <v>10.1</v>
      </c>
      <c r="U534" s="35">
        <v>9</v>
      </c>
      <c r="V534" s="35">
        <v>10</v>
      </c>
      <c r="W534" s="35">
        <v>9</v>
      </c>
      <c r="X534" s="35">
        <v>10.6</v>
      </c>
      <c r="Y534" s="35">
        <v>9</v>
      </c>
      <c r="Z534" s="35">
        <v>11.5</v>
      </c>
      <c r="AA534" s="35">
        <v>9</v>
      </c>
      <c r="AB534" s="35">
        <v>21.7</v>
      </c>
      <c r="AC534" s="35">
        <v>20</v>
      </c>
      <c r="AD534" s="35">
        <v>21.7</v>
      </c>
      <c r="AE534" s="35">
        <v>20</v>
      </c>
    </row>
    <row r="535" spans="1:31" x14ac:dyDescent="0.35">
      <c r="A535" s="36">
        <v>46059.82916666667</v>
      </c>
      <c r="B535" s="35">
        <v>-21.7</v>
      </c>
      <c r="C535" s="35">
        <v>-24.4</v>
      </c>
      <c r="D535" s="35">
        <v>-23</v>
      </c>
      <c r="E535" s="35">
        <v>-22.4</v>
      </c>
      <c r="F535" s="35">
        <v>-21.3</v>
      </c>
      <c r="G535" s="35">
        <v>-23</v>
      </c>
      <c r="H535" s="35">
        <v>-20.9</v>
      </c>
      <c r="I535" s="35">
        <v>-21.2</v>
      </c>
      <c r="J535" s="35">
        <v>-23</v>
      </c>
      <c r="K535" s="35">
        <v>-20.8</v>
      </c>
      <c r="L535" s="35">
        <v>-17.7</v>
      </c>
      <c r="M535" s="35">
        <v>-23</v>
      </c>
      <c r="N535" s="35">
        <v>-3.8</v>
      </c>
      <c r="O535" s="35">
        <v>-4.3</v>
      </c>
      <c r="P535" s="35">
        <v>-5</v>
      </c>
      <c r="Q535" s="35">
        <v>-3</v>
      </c>
      <c r="R535" s="35">
        <v>-4.5</v>
      </c>
      <c r="S535" s="35">
        <v>-5</v>
      </c>
      <c r="T535" s="35">
        <v>10.199999999999999</v>
      </c>
      <c r="U535" s="35">
        <v>9</v>
      </c>
      <c r="V535" s="35">
        <v>10</v>
      </c>
      <c r="W535" s="35">
        <v>9</v>
      </c>
      <c r="X535" s="35">
        <v>10.6</v>
      </c>
      <c r="Y535" s="35">
        <v>9</v>
      </c>
      <c r="Z535" s="35">
        <v>11.5</v>
      </c>
      <c r="AA535" s="35">
        <v>9</v>
      </c>
      <c r="AB535" s="35">
        <v>21.7</v>
      </c>
      <c r="AC535" s="35">
        <v>20</v>
      </c>
      <c r="AD535" s="35">
        <v>21.7</v>
      </c>
      <c r="AE535" s="35">
        <v>20</v>
      </c>
    </row>
    <row r="536" spans="1:31" x14ac:dyDescent="0.35">
      <c r="A536" s="36">
        <v>46059.829861111109</v>
      </c>
      <c r="B536" s="35">
        <v>-21.7</v>
      </c>
      <c r="C536" s="35">
        <v>-23.7</v>
      </c>
      <c r="D536" s="35">
        <v>-23</v>
      </c>
      <c r="E536" s="35">
        <v>-22.1</v>
      </c>
      <c r="F536" s="35">
        <v>-21.3</v>
      </c>
      <c r="G536" s="35">
        <v>-23</v>
      </c>
      <c r="H536" s="35">
        <v>-20.9</v>
      </c>
      <c r="I536" s="35">
        <v>-22.3</v>
      </c>
      <c r="J536" s="35">
        <v>-23</v>
      </c>
      <c r="K536" s="35">
        <v>-21</v>
      </c>
      <c r="L536" s="35">
        <v>-17.600000000000001</v>
      </c>
      <c r="M536" s="35">
        <v>-23</v>
      </c>
      <c r="N536" s="35">
        <v>-3.8</v>
      </c>
      <c r="O536" s="35">
        <v>-4.4000000000000004</v>
      </c>
      <c r="P536" s="35">
        <v>-5</v>
      </c>
      <c r="Q536" s="35">
        <v>-3</v>
      </c>
      <c r="R536" s="35">
        <v>-4.5</v>
      </c>
      <c r="S536" s="35">
        <v>-5</v>
      </c>
      <c r="T536" s="35">
        <v>10.4</v>
      </c>
      <c r="U536" s="35">
        <v>9</v>
      </c>
      <c r="V536" s="35">
        <v>10</v>
      </c>
      <c r="W536" s="35">
        <v>9</v>
      </c>
      <c r="X536" s="35">
        <v>10.4</v>
      </c>
      <c r="Y536" s="35">
        <v>9</v>
      </c>
      <c r="Z536" s="35">
        <v>11.5</v>
      </c>
      <c r="AA536" s="35">
        <v>9</v>
      </c>
      <c r="AB536" s="35">
        <v>21.7</v>
      </c>
      <c r="AC536" s="35">
        <v>20</v>
      </c>
      <c r="AD536" s="35">
        <v>21.7</v>
      </c>
      <c r="AE536" s="35">
        <v>20</v>
      </c>
    </row>
    <row r="537" spans="1:31" x14ac:dyDescent="0.35">
      <c r="A537" s="36">
        <v>46059.830555555556</v>
      </c>
      <c r="B537" s="35">
        <v>-21.7</v>
      </c>
      <c r="C537" s="35">
        <v>-23.2</v>
      </c>
      <c r="D537" s="35">
        <v>-23</v>
      </c>
      <c r="E537" s="35">
        <v>-21.9</v>
      </c>
      <c r="F537" s="35">
        <v>-21.3</v>
      </c>
      <c r="G537" s="35">
        <v>-23</v>
      </c>
      <c r="H537" s="35">
        <v>-21</v>
      </c>
      <c r="I537" s="35">
        <v>-24.2</v>
      </c>
      <c r="J537" s="35">
        <v>-23</v>
      </c>
      <c r="K537" s="35">
        <v>-21.4</v>
      </c>
      <c r="L537" s="35">
        <v>-17.5</v>
      </c>
      <c r="M537" s="35">
        <v>-23</v>
      </c>
      <c r="N537" s="35">
        <v>-3.9</v>
      </c>
      <c r="O537" s="35">
        <v>-4.4000000000000004</v>
      </c>
      <c r="P537" s="35">
        <v>-5</v>
      </c>
      <c r="Q537" s="35">
        <v>-3</v>
      </c>
      <c r="R537" s="35">
        <v>-4.5</v>
      </c>
      <c r="S537" s="35">
        <v>-5</v>
      </c>
      <c r="T537" s="35">
        <v>10.4</v>
      </c>
      <c r="U537" s="35">
        <v>9</v>
      </c>
      <c r="V537" s="35">
        <v>10.1</v>
      </c>
      <c r="W537" s="35">
        <v>9</v>
      </c>
      <c r="X537" s="35">
        <v>10.3</v>
      </c>
      <c r="Y537" s="35">
        <v>9</v>
      </c>
      <c r="Z537" s="35">
        <v>11.5</v>
      </c>
      <c r="AA537" s="35">
        <v>9</v>
      </c>
      <c r="AB537" s="35">
        <v>21.7</v>
      </c>
      <c r="AC537" s="35">
        <v>20</v>
      </c>
      <c r="AD537" s="35">
        <v>21.7</v>
      </c>
      <c r="AE537" s="35">
        <v>20</v>
      </c>
    </row>
    <row r="538" spans="1:31" x14ac:dyDescent="0.35">
      <c r="A538" s="36">
        <v>46059.831250000003</v>
      </c>
      <c r="B538" s="35">
        <v>-21.6</v>
      </c>
      <c r="C538" s="35">
        <v>-22.7</v>
      </c>
      <c r="D538" s="35">
        <v>-23</v>
      </c>
      <c r="E538" s="35">
        <v>-21.7</v>
      </c>
      <c r="F538" s="35">
        <v>-21.3</v>
      </c>
      <c r="G538" s="35">
        <v>-23</v>
      </c>
      <c r="H538" s="35">
        <v>-21.3</v>
      </c>
      <c r="I538" s="35">
        <v>-24.1</v>
      </c>
      <c r="J538" s="35">
        <v>-23</v>
      </c>
      <c r="K538" s="35">
        <v>-21.7</v>
      </c>
      <c r="L538" s="35">
        <v>-17.3</v>
      </c>
      <c r="M538" s="35">
        <v>-23</v>
      </c>
      <c r="N538" s="35">
        <v>-3.9</v>
      </c>
      <c r="O538" s="35">
        <v>-4.5</v>
      </c>
      <c r="P538" s="35">
        <v>-5</v>
      </c>
      <c r="Q538" s="35">
        <v>-3</v>
      </c>
      <c r="R538" s="35">
        <v>-4.5</v>
      </c>
      <c r="S538" s="35">
        <v>-5</v>
      </c>
      <c r="T538" s="35">
        <v>10.5</v>
      </c>
      <c r="U538" s="35">
        <v>9</v>
      </c>
      <c r="V538" s="35">
        <v>10.199999999999999</v>
      </c>
      <c r="W538" s="35">
        <v>9</v>
      </c>
      <c r="X538" s="35">
        <v>10.1</v>
      </c>
      <c r="Y538" s="35">
        <v>9</v>
      </c>
      <c r="Z538" s="35">
        <v>11.4</v>
      </c>
      <c r="AA538" s="35">
        <v>9</v>
      </c>
      <c r="AB538" s="35">
        <v>21.7</v>
      </c>
      <c r="AC538" s="35">
        <v>20</v>
      </c>
      <c r="AD538" s="35">
        <v>21.7</v>
      </c>
      <c r="AE538" s="35">
        <v>20</v>
      </c>
    </row>
    <row r="539" spans="1:31" x14ac:dyDescent="0.35">
      <c r="A539" s="36">
        <v>46059.831944444442</v>
      </c>
      <c r="B539" s="35">
        <v>-21.4</v>
      </c>
      <c r="C539" s="35">
        <v>-22.4</v>
      </c>
      <c r="D539" s="35">
        <v>-23</v>
      </c>
      <c r="E539" s="35">
        <v>-21.6</v>
      </c>
      <c r="F539" s="35">
        <v>-21.2</v>
      </c>
      <c r="G539" s="35">
        <v>-23</v>
      </c>
      <c r="H539" s="35">
        <v>-21.5</v>
      </c>
      <c r="I539" s="35">
        <v>-23.5</v>
      </c>
      <c r="J539" s="35">
        <v>-23</v>
      </c>
      <c r="K539" s="35">
        <v>-22</v>
      </c>
      <c r="L539" s="35">
        <v>-17.2</v>
      </c>
      <c r="M539" s="35">
        <v>-23</v>
      </c>
      <c r="N539" s="35">
        <v>-4</v>
      </c>
      <c r="O539" s="35">
        <v>-4.5</v>
      </c>
      <c r="P539" s="35">
        <v>-5</v>
      </c>
      <c r="Q539" s="35">
        <v>-3</v>
      </c>
      <c r="R539" s="35">
        <v>-4.5</v>
      </c>
      <c r="S539" s="35">
        <v>-5</v>
      </c>
      <c r="T539" s="35">
        <v>10.6</v>
      </c>
      <c r="U539" s="35">
        <v>9</v>
      </c>
      <c r="V539" s="35">
        <v>10.199999999999999</v>
      </c>
      <c r="W539" s="35">
        <v>9</v>
      </c>
      <c r="X539" s="35">
        <v>10</v>
      </c>
      <c r="Y539" s="35">
        <v>9</v>
      </c>
      <c r="Z539" s="35">
        <v>11.4</v>
      </c>
      <c r="AA539" s="35">
        <v>9</v>
      </c>
      <c r="AB539" s="35">
        <v>21.7</v>
      </c>
      <c r="AC539" s="35">
        <v>20</v>
      </c>
      <c r="AD539" s="35">
        <v>21.7</v>
      </c>
      <c r="AE539" s="35">
        <v>20</v>
      </c>
    </row>
    <row r="540" spans="1:31" x14ac:dyDescent="0.35">
      <c r="A540" s="36">
        <v>46059.833333333336</v>
      </c>
      <c r="B540" s="35">
        <v>-21.2</v>
      </c>
      <c r="C540" s="35">
        <v>-22</v>
      </c>
      <c r="D540" s="35">
        <v>-23</v>
      </c>
      <c r="E540" s="35">
        <v>-21.3</v>
      </c>
      <c r="F540" s="35">
        <v>-21.1</v>
      </c>
      <c r="G540" s="35">
        <v>-23</v>
      </c>
      <c r="H540" s="35">
        <v>-21.9</v>
      </c>
      <c r="I540" s="35">
        <v>-23.1</v>
      </c>
      <c r="J540" s="35">
        <v>-23</v>
      </c>
      <c r="K540" s="35">
        <v>-22.5</v>
      </c>
      <c r="L540" s="35">
        <v>-17.2</v>
      </c>
      <c r="M540" s="35">
        <v>-23</v>
      </c>
      <c r="N540" s="35">
        <v>-4.0999999999999996</v>
      </c>
      <c r="O540" s="35">
        <v>-4.5999999999999996</v>
      </c>
      <c r="P540" s="35">
        <v>-5</v>
      </c>
      <c r="Q540" s="35">
        <v>-3</v>
      </c>
      <c r="R540" s="35">
        <v>-4.5</v>
      </c>
      <c r="S540" s="35">
        <v>-5</v>
      </c>
      <c r="T540" s="35">
        <v>10.8</v>
      </c>
      <c r="U540" s="35">
        <v>9</v>
      </c>
      <c r="V540" s="35">
        <v>10.4</v>
      </c>
      <c r="W540" s="35">
        <v>9</v>
      </c>
      <c r="X540" s="35">
        <v>10</v>
      </c>
      <c r="Y540" s="35">
        <v>9</v>
      </c>
      <c r="Z540" s="35">
        <v>11.4</v>
      </c>
      <c r="AA540" s="35">
        <v>9</v>
      </c>
      <c r="AB540" s="35">
        <v>21.7</v>
      </c>
      <c r="AC540" s="35">
        <v>20</v>
      </c>
      <c r="AD540" s="35">
        <v>21.7</v>
      </c>
      <c r="AE540" s="35">
        <v>20</v>
      </c>
    </row>
    <row r="541" spans="1:31" x14ac:dyDescent="0.35">
      <c r="A541" s="36">
        <v>46059.834027777775</v>
      </c>
      <c r="B541" s="35">
        <v>-21.1</v>
      </c>
      <c r="C541" s="35">
        <v>-21.8</v>
      </c>
      <c r="D541" s="35">
        <v>-23</v>
      </c>
      <c r="E541" s="35">
        <v>-21.1</v>
      </c>
      <c r="F541" s="35">
        <v>-21</v>
      </c>
      <c r="G541" s="35">
        <v>-23</v>
      </c>
      <c r="H541" s="35">
        <v>-22</v>
      </c>
      <c r="I541" s="35">
        <v>-23.1</v>
      </c>
      <c r="J541" s="35">
        <v>-23</v>
      </c>
      <c r="K541" s="35">
        <v>-22.6</v>
      </c>
      <c r="L541" s="35">
        <v>-17.2</v>
      </c>
      <c r="M541" s="35">
        <v>-23</v>
      </c>
      <c r="N541" s="35">
        <v>-4.0999999999999996</v>
      </c>
      <c r="O541" s="35">
        <v>-4.7</v>
      </c>
      <c r="P541" s="35">
        <v>-5</v>
      </c>
      <c r="Q541" s="35">
        <v>-3</v>
      </c>
      <c r="R541" s="35">
        <v>-4.5</v>
      </c>
      <c r="S541" s="35">
        <v>-5</v>
      </c>
      <c r="T541" s="35">
        <v>10.9</v>
      </c>
      <c r="U541" s="35">
        <v>9</v>
      </c>
      <c r="V541" s="35">
        <v>10.5</v>
      </c>
      <c r="W541" s="35">
        <v>9</v>
      </c>
      <c r="X541" s="35">
        <v>10</v>
      </c>
      <c r="Y541" s="35">
        <v>9</v>
      </c>
      <c r="Z541" s="35">
        <v>11.4</v>
      </c>
      <c r="AA541" s="35">
        <v>9</v>
      </c>
      <c r="AB541" s="35">
        <v>21.7</v>
      </c>
      <c r="AC541" s="35">
        <v>20</v>
      </c>
      <c r="AD541" s="35">
        <v>21.7</v>
      </c>
      <c r="AE541" s="35">
        <v>20</v>
      </c>
    </row>
    <row r="542" spans="1:31" x14ac:dyDescent="0.35">
      <c r="A542" s="36">
        <v>46059.834722222222</v>
      </c>
      <c r="B542" s="35">
        <v>-21.1</v>
      </c>
      <c r="C542" s="35">
        <v>-21.2</v>
      </c>
      <c r="D542" s="35">
        <v>-23</v>
      </c>
      <c r="E542" s="35">
        <v>-21</v>
      </c>
      <c r="F542" s="35">
        <v>-21</v>
      </c>
      <c r="G542" s="35">
        <v>-23</v>
      </c>
      <c r="H542" s="35">
        <v>-22.2</v>
      </c>
      <c r="I542" s="35">
        <v>-23.1</v>
      </c>
      <c r="J542" s="35">
        <v>-23</v>
      </c>
      <c r="K542" s="35">
        <v>-22.7</v>
      </c>
      <c r="L542" s="35">
        <v>-17.2</v>
      </c>
      <c r="M542" s="35">
        <v>-23</v>
      </c>
      <c r="N542" s="35">
        <v>-4.2</v>
      </c>
      <c r="O542" s="35">
        <v>-4.7</v>
      </c>
      <c r="P542" s="35">
        <v>-5</v>
      </c>
      <c r="Q542" s="35">
        <v>-3</v>
      </c>
      <c r="R542" s="35">
        <v>-4.5</v>
      </c>
      <c r="S542" s="35">
        <v>-5</v>
      </c>
      <c r="T542" s="35">
        <v>11</v>
      </c>
      <c r="U542" s="35">
        <v>9</v>
      </c>
      <c r="V542" s="35">
        <v>10.5</v>
      </c>
      <c r="W542" s="35">
        <v>9</v>
      </c>
      <c r="X542" s="35">
        <v>10</v>
      </c>
      <c r="Y542" s="35">
        <v>9</v>
      </c>
      <c r="Z542" s="35">
        <v>11.4</v>
      </c>
      <c r="AA542" s="35">
        <v>9</v>
      </c>
      <c r="AB542" s="35">
        <v>21.7</v>
      </c>
      <c r="AC542" s="35">
        <v>20</v>
      </c>
      <c r="AD542" s="35">
        <v>21.7</v>
      </c>
      <c r="AE542" s="35">
        <v>20</v>
      </c>
    </row>
    <row r="543" spans="1:31" x14ac:dyDescent="0.35">
      <c r="A543" s="36">
        <v>46059.835416666669</v>
      </c>
      <c r="B543" s="35">
        <v>-21.1</v>
      </c>
      <c r="C543" s="35">
        <v>-19.399999999999999</v>
      </c>
      <c r="D543" s="35">
        <v>-23</v>
      </c>
      <c r="E543" s="35">
        <v>-21.1</v>
      </c>
      <c r="F543" s="35">
        <v>-22</v>
      </c>
      <c r="G543" s="35">
        <v>-23</v>
      </c>
      <c r="H543" s="35">
        <v>-22.2</v>
      </c>
      <c r="I543" s="35">
        <v>-22.9</v>
      </c>
      <c r="J543" s="35">
        <v>-23</v>
      </c>
      <c r="K543" s="35">
        <v>-22.5</v>
      </c>
      <c r="L543" s="35">
        <v>-17.2</v>
      </c>
      <c r="M543" s="35">
        <v>-23</v>
      </c>
      <c r="N543" s="35">
        <v>-4.2</v>
      </c>
      <c r="O543" s="35">
        <v>-4.8</v>
      </c>
      <c r="P543" s="35">
        <v>-5</v>
      </c>
      <c r="Q543" s="35">
        <v>-3.1</v>
      </c>
      <c r="R543" s="35">
        <v>-4.5</v>
      </c>
      <c r="S543" s="35">
        <v>-5</v>
      </c>
      <c r="T543" s="35">
        <v>11</v>
      </c>
      <c r="U543" s="35">
        <v>9</v>
      </c>
      <c r="V543" s="35">
        <v>10.5</v>
      </c>
      <c r="W543" s="35">
        <v>9</v>
      </c>
      <c r="X543" s="35">
        <v>10</v>
      </c>
      <c r="Y543" s="35">
        <v>9</v>
      </c>
      <c r="Z543" s="35">
        <v>11.4</v>
      </c>
      <c r="AA543" s="35">
        <v>9</v>
      </c>
      <c r="AB543" s="35">
        <v>21.7</v>
      </c>
      <c r="AC543" s="35">
        <v>20</v>
      </c>
      <c r="AD543" s="35">
        <v>21.7</v>
      </c>
      <c r="AE543" s="35">
        <v>20</v>
      </c>
    </row>
    <row r="544" spans="1:31" x14ac:dyDescent="0.35">
      <c r="A544" s="36">
        <v>46059.836111111108</v>
      </c>
      <c r="B544" s="35">
        <v>-21.1</v>
      </c>
      <c r="C544" s="35">
        <v>-16</v>
      </c>
      <c r="D544" s="35">
        <v>-23</v>
      </c>
      <c r="E544" s="35">
        <v>-21.3</v>
      </c>
      <c r="F544" s="35">
        <v>-22.4</v>
      </c>
      <c r="G544" s="35">
        <v>-23</v>
      </c>
      <c r="H544" s="35">
        <v>-22.2</v>
      </c>
      <c r="I544" s="35">
        <v>-22.6</v>
      </c>
      <c r="J544" s="35">
        <v>-23</v>
      </c>
      <c r="K544" s="35">
        <v>-22.3</v>
      </c>
      <c r="L544" s="35">
        <v>-17.3</v>
      </c>
      <c r="M544" s="35">
        <v>-23</v>
      </c>
      <c r="N544" s="35">
        <v>-4.2</v>
      </c>
      <c r="O544" s="35">
        <v>-4.8</v>
      </c>
      <c r="P544" s="35">
        <v>-5</v>
      </c>
      <c r="Q544" s="35">
        <v>-3.1</v>
      </c>
      <c r="R544" s="35">
        <v>-4.5999999999999996</v>
      </c>
      <c r="S544" s="35">
        <v>-5</v>
      </c>
      <c r="T544" s="35">
        <v>10.7</v>
      </c>
      <c r="U544" s="35">
        <v>9</v>
      </c>
      <c r="V544" s="35">
        <v>10.5</v>
      </c>
      <c r="W544" s="35">
        <v>9</v>
      </c>
      <c r="X544" s="35">
        <v>10.4</v>
      </c>
      <c r="Y544" s="35">
        <v>9</v>
      </c>
      <c r="Z544" s="35">
        <v>11.4</v>
      </c>
      <c r="AA544" s="35">
        <v>9</v>
      </c>
      <c r="AB544" s="35">
        <v>21.7</v>
      </c>
      <c r="AC544" s="35">
        <v>20</v>
      </c>
      <c r="AD544" s="35">
        <v>21.7</v>
      </c>
      <c r="AE544" s="35">
        <v>20</v>
      </c>
    </row>
    <row r="545" spans="1:31" x14ac:dyDescent="0.35">
      <c r="A545" s="36">
        <v>46059.836805555555</v>
      </c>
      <c r="B545" s="35">
        <v>-21.1</v>
      </c>
      <c r="C545" s="35">
        <v>-11.6</v>
      </c>
      <c r="D545" s="35">
        <v>-23</v>
      </c>
      <c r="E545" s="35">
        <v>-21.5</v>
      </c>
      <c r="F545" s="35">
        <v>-22.9</v>
      </c>
      <c r="G545" s="35">
        <v>-23</v>
      </c>
      <c r="H545" s="35">
        <v>-22.1</v>
      </c>
      <c r="I545" s="35">
        <v>-22.4</v>
      </c>
      <c r="J545" s="35">
        <v>-23</v>
      </c>
      <c r="K545" s="35">
        <v>-22.1</v>
      </c>
      <c r="L545" s="35">
        <v>-17.399999999999999</v>
      </c>
      <c r="M545" s="35">
        <v>-23</v>
      </c>
      <c r="N545" s="35">
        <v>-4.2</v>
      </c>
      <c r="O545" s="35">
        <v>-4.8</v>
      </c>
      <c r="P545" s="35">
        <v>-5</v>
      </c>
      <c r="Q545" s="35">
        <v>-3.2</v>
      </c>
      <c r="R545" s="35">
        <v>-4.5999999999999996</v>
      </c>
      <c r="S545" s="35">
        <v>-5</v>
      </c>
      <c r="T545" s="35">
        <v>10.1</v>
      </c>
      <c r="U545" s="35">
        <v>9</v>
      </c>
      <c r="V545" s="35">
        <v>10.5</v>
      </c>
      <c r="W545" s="35">
        <v>9</v>
      </c>
      <c r="X545" s="35">
        <v>10.6</v>
      </c>
      <c r="Y545" s="35">
        <v>9</v>
      </c>
      <c r="Z545" s="35">
        <v>11.4</v>
      </c>
      <c r="AA545" s="35">
        <v>9</v>
      </c>
      <c r="AB545" s="35">
        <v>21.7</v>
      </c>
      <c r="AC545" s="35">
        <v>20</v>
      </c>
      <c r="AD545" s="35">
        <v>21.7</v>
      </c>
      <c r="AE545" s="35">
        <v>20</v>
      </c>
    </row>
    <row r="546" spans="1:31" x14ac:dyDescent="0.35">
      <c r="A546" s="36">
        <v>46059.837500000001</v>
      </c>
      <c r="B546" s="35">
        <v>-21.1</v>
      </c>
      <c r="C546" s="35">
        <v>-7.7</v>
      </c>
      <c r="D546" s="35">
        <v>-23</v>
      </c>
      <c r="E546" s="35">
        <v>-21.8</v>
      </c>
      <c r="F546" s="35">
        <v>-22.7</v>
      </c>
      <c r="G546" s="35">
        <v>-23</v>
      </c>
      <c r="H546" s="35">
        <v>-21.9</v>
      </c>
      <c r="I546" s="35">
        <v>-22.2</v>
      </c>
      <c r="J546" s="35">
        <v>-23</v>
      </c>
      <c r="K546" s="35">
        <v>-21.9</v>
      </c>
      <c r="L546" s="35">
        <v>-17.5</v>
      </c>
      <c r="M546" s="35">
        <v>-23</v>
      </c>
      <c r="N546" s="35">
        <v>-4.2</v>
      </c>
      <c r="O546" s="35">
        <v>-4.8</v>
      </c>
      <c r="P546" s="35">
        <v>-5</v>
      </c>
      <c r="Q546" s="35">
        <v>-3.2</v>
      </c>
      <c r="R546" s="35">
        <v>-4.7</v>
      </c>
      <c r="S546" s="35">
        <v>-5</v>
      </c>
      <c r="T546" s="35">
        <v>9.6</v>
      </c>
      <c r="U546" s="35">
        <v>9</v>
      </c>
      <c r="V546" s="35">
        <v>10.4</v>
      </c>
      <c r="W546" s="35">
        <v>9</v>
      </c>
      <c r="X546" s="35">
        <v>10.7</v>
      </c>
      <c r="Y546" s="35">
        <v>9</v>
      </c>
      <c r="Z546" s="35">
        <v>11.4</v>
      </c>
      <c r="AA546" s="35">
        <v>9</v>
      </c>
      <c r="AB546" s="35">
        <v>21.7</v>
      </c>
      <c r="AC546" s="35">
        <v>20</v>
      </c>
      <c r="AD546" s="35">
        <v>21.7</v>
      </c>
      <c r="AE546" s="35">
        <v>20</v>
      </c>
    </row>
    <row r="547" spans="1:31" x14ac:dyDescent="0.35">
      <c r="A547" s="36">
        <v>46059.838194444441</v>
      </c>
      <c r="B547" s="35">
        <v>-21.1</v>
      </c>
      <c r="C547" s="35">
        <v>-4.2</v>
      </c>
      <c r="D547" s="35">
        <v>-23</v>
      </c>
      <c r="E547" s="35">
        <v>-22</v>
      </c>
      <c r="F547" s="35">
        <v>-22.6</v>
      </c>
      <c r="G547" s="35">
        <v>-23</v>
      </c>
      <c r="H547" s="35">
        <v>-21.8</v>
      </c>
      <c r="I547" s="35">
        <v>-22.1</v>
      </c>
      <c r="J547" s="35">
        <v>-23</v>
      </c>
      <c r="K547" s="35">
        <v>-21.9</v>
      </c>
      <c r="L547" s="35">
        <v>-17.5</v>
      </c>
      <c r="M547" s="35">
        <v>-23</v>
      </c>
      <c r="N547" s="35">
        <v>-4.2</v>
      </c>
      <c r="O547" s="35">
        <v>-4.8</v>
      </c>
      <c r="P547" s="35">
        <v>-5</v>
      </c>
      <c r="Q547" s="35">
        <v>-3.2</v>
      </c>
      <c r="R547" s="35">
        <v>-4.7</v>
      </c>
      <c r="S547" s="35">
        <v>-5</v>
      </c>
      <c r="T547" s="35">
        <v>9.1999999999999993</v>
      </c>
      <c r="U547" s="35">
        <v>9</v>
      </c>
      <c r="V547" s="35">
        <v>10.3</v>
      </c>
      <c r="W547" s="35">
        <v>9</v>
      </c>
      <c r="X547" s="35">
        <v>10.8</v>
      </c>
      <c r="Y547" s="35">
        <v>9</v>
      </c>
      <c r="Z547" s="35">
        <v>11.4</v>
      </c>
      <c r="AA547" s="35">
        <v>9</v>
      </c>
      <c r="AB547" s="35">
        <v>21.7</v>
      </c>
      <c r="AC547" s="35">
        <v>20</v>
      </c>
      <c r="AD547" s="35">
        <v>21.7</v>
      </c>
      <c r="AE547" s="35">
        <v>20</v>
      </c>
    </row>
    <row r="548" spans="1:31" x14ac:dyDescent="0.35">
      <c r="A548" s="36">
        <v>46059.838888888888</v>
      </c>
      <c r="B548" s="35">
        <v>-21.1</v>
      </c>
      <c r="C548" s="35">
        <v>-1.6</v>
      </c>
      <c r="D548" s="35">
        <v>-23</v>
      </c>
      <c r="E548" s="35">
        <v>-22.1</v>
      </c>
      <c r="F548" s="35">
        <v>-22.6</v>
      </c>
      <c r="G548" s="35">
        <v>-23</v>
      </c>
      <c r="H548" s="35">
        <v>-21.8</v>
      </c>
      <c r="I548" s="35">
        <v>-22.1</v>
      </c>
      <c r="J548" s="35">
        <v>-23</v>
      </c>
      <c r="K548" s="35">
        <v>-21.9</v>
      </c>
      <c r="L548" s="35">
        <v>-17.600000000000001</v>
      </c>
      <c r="M548" s="35">
        <v>-23</v>
      </c>
      <c r="N548" s="35">
        <v>-4.2</v>
      </c>
      <c r="O548" s="35">
        <v>-4.8</v>
      </c>
      <c r="P548" s="35">
        <v>-5</v>
      </c>
      <c r="Q548" s="35">
        <v>-3.2</v>
      </c>
      <c r="R548" s="35">
        <v>-4.7</v>
      </c>
      <c r="S548" s="35">
        <v>-5</v>
      </c>
      <c r="T548" s="35">
        <v>8.9</v>
      </c>
      <c r="U548" s="35">
        <v>9</v>
      </c>
      <c r="V548" s="35">
        <v>10.1</v>
      </c>
      <c r="W548" s="35">
        <v>9</v>
      </c>
      <c r="X548" s="35">
        <v>10.8</v>
      </c>
      <c r="Y548" s="35">
        <v>9</v>
      </c>
      <c r="Z548" s="35">
        <v>11.4</v>
      </c>
      <c r="AA548" s="35">
        <v>9</v>
      </c>
      <c r="AB548" s="35">
        <v>21.7</v>
      </c>
      <c r="AC548" s="35">
        <v>20</v>
      </c>
      <c r="AD548" s="35">
        <v>21.7</v>
      </c>
      <c r="AE548" s="35">
        <v>20</v>
      </c>
    </row>
    <row r="549" spans="1:31" x14ac:dyDescent="0.35">
      <c r="A549" s="36">
        <v>46059.839583333334</v>
      </c>
      <c r="B549" s="35">
        <v>-21.1</v>
      </c>
      <c r="C549" s="35">
        <v>0.2</v>
      </c>
      <c r="D549" s="35">
        <v>-23</v>
      </c>
      <c r="E549" s="35">
        <v>-22.3</v>
      </c>
      <c r="F549" s="35">
        <v>-22.6</v>
      </c>
      <c r="G549" s="35">
        <v>-23</v>
      </c>
      <c r="H549" s="35">
        <v>-21.7</v>
      </c>
      <c r="I549" s="35">
        <v>-22.1</v>
      </c>
      <c r="J549" s="35">
        <v>-23</v>
      </c>
      <c r="K549" s="35">
        <v>-21.9</v>
      </c>
      <c r="L549" s="35">
        <v>-17.600000000000001</v>
      </c>
      <c r="M549" s="35">
        <v>-23</v>
      </c>
      <c r="N549" s="35">
        <v>-4.2</v>
      </c>
      <c r="O549" s="35">
        <v>-4.8</v>
      </c>
      <c r="P549" s="35">
        <v>-5</v>
      </c>
      <c r="Q549" s="35">
        <v>-3.3</v>
      </c>
      <c r="R549" s="35">
        <v>-4.7</v>
      </c>
      <c r="S549" s="35">
        <v>-5</v>
      </c>
      <c r="T549" s="35">
        <v>8.8000000000000007</v>
      </c>
      <c r="U549" s="35">
        <v>9</v>
      </c>
      <c r="V549" s="35">
        <v>10</v>
      </c>
      <c r="W549" s="35">
        <v>9</v>
      </c>
      <c r="X549" s="35">
        <v>10.8</v>
      </c>
      <c r="Y549" s="35">
        <v>9</v>
      </c>
      <c r="Z549" s="35">
        <v>11.4</v>
      </c>
      <c r="AA549" s="35">
        <v>9</v>
      </c>
      <c r="AB549" s="35">
        <v>21.7</v>
      </c>
      <c r="AC549" s="35">
        <v>20</v>
      </c>
      <c r="AD549" s="35">
        <v>21.7</v>
      </c>
      <c r="AE549" s="35">
        <v>20</v>
      </c>
    </row>
    <row r="550" spans="1:31" x14ac:dyDescent="0.35">
      <c r="A550" s="36">
        <v>46059.840277777781</v>
      </c>
      <c r="B550" s="35">
        <v>-21.1</v>
      </c>
      <c r="C550" s="35">
        <v>2</v>
      </c>
      <c r="D550" s="35">
        <v>-23</v>
      </c>
      <c r="E550" s="35">
        <v>-22.3</v>
      </c>
      <c r="F550" s="35">
        <v>-22.6</v>
      </c>
      <c r="G550" s="35">
        <v>-23</v>
      </c>
      <c r="H550" s="35">
        <v>-21.7</v>
      </c>
      <c r="I550" s="35">
        <v>-22.1</v>
      </c>
      <c r="J550" s="35">
        <v>-23</v>
      </c>
      <c r="K550" s="35">
        <v>-21.9</v>
      </c>
      <c r="L550" s="35">
        <v>-17.7</v>
      </c>
      <c r="M550" s="35">
        <v>-23</v>
      </c>
      <c r="N550" s="35">
        <v>-4.3</v>
      </c>
      <c r="O550" s="35">
        <v>-4.8</v>
      </c>
      <c r="P550" s="35">
        <v>-5</v>
      </c>
      <c r="Q550" s="35">
        <v>-3.3</v>
      </c>
      <c r="R550" s="35">
        <v>-4.7</v>
      </c>
      <c r="S550" s="35">
        <v>-5</v>
      </c>
      <c r="T550" s="35">
        <v>8.8000000000000007</v>
      </c>
      <c r="U550" s="35">
        <v>9</v>
      </c>
      <c r="V550" s="35">
        <v>9.9</v>
      </c>
      <c r="W550" s="35">
        <v>9</v>
      </c>
      <c r="X550" s="35">
        <v>10.7</v>
      </c>
      <c r="Y550" s="35">
        <v>9</v>
      </c>
      <c r="Z550" s="35">
        <v>11.4</v>
      </c>
      <c r="AA550" s="35">
        <v>9</v>
      </c>
      <c r="AB550" s="35">
        <v>21.7</v>
      </c>
      <c r="AC550" s="35">
        <v>20</v>
      </c>
      <c r="AD550" s="35">
        <v>21.7</v>
      </c>
      <c r="AE550" s="35">
        <v>20</v>
      </c>
    </row>
    <row r="551" spans="1:31" x14ac:dyDescent="0.35">
      <c r="A551" s="36">
        <v>46059.84097222222</v>
      </c>
      <c r="B551" s="35">
        <v>-21.1</v>
      </c>
      <c r="C551" s="35">
        <v>3.7</v>
      </c>
      <c r="D551" s="35">
        <v>-23</v>
      </c>
      <c r="E551" s="35">
        <v>-22.4</v>
      </c>
      <c r="F551" s="35">
        <v>-22.6</v>
      </c>
      <c r="G551" s="35">
        <v>-23</v>
      </c>
      <c r="H551" s="35">
        <v>-21.7</v>
      </c>
      <c r="I551" s="35">
        <v>-22.1</v>
      </c>
      <c r="J551" s="35">
        <v>-23</v>
      </c>
      <c r="K551" s="35">
        <v>-21.9</v>
      </c>
      <c r="L551" s="35">
        <v>-17.7</v>
      </c>
      <c r="M551" s="35">
        <v>-23</v>
      </c>
      <c r="N551" s="35">
        <v>-4.3</v>
      </c>
      <c r="O551" s="35">
        <v>-4.8</v>
      </c>
      <c r="P551" s="35">
        <v>-5</v>
      </c>
      <c r="Q551" s="35">
        <v>-3.3</v>
      </c>
      <c r="R551" s="35">
        <v>-4.7</v>
      </c>
      <c r="S551" s="35">
        <v>-5</v>
      </c>
      <c r="T551" s="35">
        <v>9.1</v>
      </c>
      <c r="U551" s="35">
        <v>9</v>
      </c>
      <c r="V551" s="35">
        <v>9.9</v>
      </c>
      <c r="W551" s="35">
        <v>9</v>
      </c>
      <c r="X551" s="35">
        <v>10.7</v>
      </c>
      <c r="Y551" s="35">
        <v>9</v>
      </c>
      <c r="Z551" s="35">
        <v>11.4</v>
      </c>
      <c r="AA551" s="35">
        <v>9</v>
      </c>
      <c r="AB551" s="35">
        <v>21.7</v>
      </c>
      <c r="AC551" s="35">
        <v>20</v>
      </c>
      <c r="AD551" s="35">
        <v>21.7</v>
      </c>
      <c r="AE551" s="35">
        <v>20</v>
      </c>
    </row>
    <row r="552" spans="1:31" x14ac:dyDescent="0.35">
      <c r="A552" s="36">
        <v>46059.841666666667</v>
      </c>
      <c r="B552" s="35">
        <v>-21.1</v>
      </c>
      <c r="C552" s="35">
        <v>4.9000000000000004</v>
      </c>
      <c r="D552" s="35">
        <v>-23</v>
      </c>
      <c r="E552" s="35">
        <v>-22.4</v>
      </c>
      <c r="F552" s="35">
        <v>-22.6</v>
      </c>
      <c r="G552" s="35">
        <v>-23</v>
      </c>
      <c r="H552" s="35">
        <v>-21.7</v>
      </c>
      <c r="I552" s="35">
        <v>-22.1</v>
      </c>
      <c r="J552" s="35">
        <v>-23</v>
      </c>
      <c r="K552" s="35">
        <v>-21.9</v>
      </c>
      <c r="L552" s="35">
        <v>-17.7</v>
      </c>
      <c r="M552" s="35">
        <v>-23</v>
      </c>
      <c r="N552" s="35">
        <v>-4.3</v>
      </c>
      <c r="O552" s="35">
        <v>-4.8</v>
      </c>
      <c r="P552" s="35">
        <v>-5</v>
      </c>
      <c r="Q552" s="35">
        <v>-3.3</v>
      </c>
      <c r="R552" s="35">
        <v>-4.8</v>
      </c>
      <c r="S552" s="35">
        <v>-5</v>
      </c>
      <c r="T552" s="35">
        <v>9.3000000000000007</v>
      </c>
      <c r="U552" s="35">
        <v>9</v>
      </c>
      <c r="V552" s="35">
        <v>9.9</v>
      </c>
      <c r="W552" s="35">
        <v>9</v>
      </c>
      <c r="X552" s="35">
        <v>10.7</v>
      </c>
      <c r="Y552" s="35">
        <v>9</v>
      </c>
      <c r="Z552" s="35">
        <v>11.4</v>
      </c>
      <c r="AA552" s="35">
        <v>9</v>
      </c>
      <c r="AB552" s="35">
        <v>21.7</v>
      </c>
      <c r="AC552" s="35">
        <v>20</v>
      </c>
      <c r="AD552" s="35">
        <v>21.7</v>
      </c>
      <c r="AE552" s="35">
        <v>20</v>
      </c>
    </row>
    <row r="553" spans="1:31" x14ac:dyDescent="0.35">
      <c r="A553" s="36">
        <v>46059.842361111114</v>
      </c>
      <c r="B553" s="35">
        <v>-21.1</v>
      </c>
      <c r="C553" s="35">
        <v>6.2</v>
      </c>
      <c r="D553" s="35">
        <v>-23</v>
      </c>
      <c r="E553" s="35">
        <v>-22.5</v>
      </c>
      <c r="F553" s="35">
        <v>-22.7</v>
      </c>
      <c r="G553" s="35">
        <v>-23</v>
      </c>
      <c r="H553" s="35">
        <v>-21.7</v>
      </c>
      <c r="I553" s="35">
        <v>-22.1</v>
      </c>
      <c r="J553" s="35">
        <v>-23</v>
      </c>
      <c r="K553" s="35">
        <v>-21.9</v>
      </c>
      <c r="L553" s="35">
        <v>-17.8</v>
      </c>
      <c r="M553" s="35">
        <v>-23</v>
      </c>
      <c r="N553" s="35">
        <v>-4.3</v>
      </c>
      <c r="O553" s="35">
        <v>-4.9000000000000004</v>
      </c>
      <c r="P553" s="35">
        <v>-5</v>
      </c>
      <c r="Q553" s="35">
        <v>-3.3</v>
      </c>
      <c r="R553" s="35">
        <v>-4.8</v>
      </c>
      <c r="S553" s="35">
        <v>-5</v>
      </c>
      <c r="T553" s="35">
        <v>9.6</v>
      </c>
      <c r="U553" s="35">
        <v>9</v>
      </c>
      <c r="V553" s="35">
        <v>9.9</v>
      </c>
      <c r="W553" s="35">
        <v>9</v>
      </c>
      <c r="X553" s="35">
        <v>10.7</v>
      </c>
      <c r="Y553" s="35">
        <v>9</v>
      </c>
      <c r="Z553" s="35">
        <v>11.4</v>
      </c>
      <c r="AA553" s="35">
        <v>9</v>
      </c>
      <c r="AB553" s="35">
        <v>21.7</v>
      </c>
      <c r="AC553" s="35">
        <v>20</v>
      </c>
      <c r="AD553" s="35">
        <v>21.7</v>
      </c>
      <c r="AE553" s="35">
        <v>20</v>
      </c>
    </row>
    <row r="554" spans="1:31" x14ac:dyDescent="0.35">
      <c r="A554" s="36">
        <v>46059.843055555553</v>
      </c>
      <c r="B554" s="35">
        <v>-21.1</v>
      </c>
      <c r="C554" s="35">
        <v>7.1</v>
      </c>
      <c r="D554" s="35">
        <v>-23</v>
      </c>
      <c r="E554" s="35">
        <v>-22.5</v>
      </c>
      <c r="F554" s="35">
        <v>-22.7</v>
      </c>
      <c r="G554" s="35">
        <v>-23</v>
      </c>
      <c r="H554" s="35">
        <v>-21.7</v>
      </c>
      <c r="I554" s="35">
        <v>-22.1</v>
      </c>
      <c r="J554" s="35">
        <v>-23</v>
      </c>
      <c r="K554" s="35">
        <v>-21.9</v>
      </c>
      <c r="L554" s="35">
        <v>-17.8</v>
      </c>
      <c r="M554" s="35">
        <v>-23</v>
      </c>
      <c r="N554" s="35">
        <v>-4.3</v>
      </c>
      <c r="O554" s="35">
        <v>-4.9000000000000004</v>
      </c>
      <c r="P554" s="35">
        <v>-5</v>
      </c>
      <c r="Q554" s="35">
        <v>-3.3</v>
      </c>
      <c r="R554" s="35">
        <v>-4.8</v>
      </c>
      <c r="S554" s="35">
        <v>-5</v>
      </c>
      <c r="T554" s="35">
        <v>9.8000000000000007</v>
      </c>
      <c r="U554" s="35">
        <v>9</v>
      </c>
      <c r="V554" s="35">
        <v>9.9</v>
      </c>
      <c r="W554" s="35">
        <v>9</v>
      </c>
      <c r="X554" s="35">
        <v>10.7</v>
      </c>
      <c r="Y554" s="35">
        <v>9</v>
      </c>
      <c r="Z554" s="35">
        <v>11.4</v>
      </c>
      <c r="AA554" s="35">
        <v>9</v>
      </c>
      <c r="AB554" s="35">
        <v>21.7</v>
      </c>
      <c r="AC554" s="35">
        <v>20</v>
      </c>
      <c r="AD554" s="35">
        <v>21.7</v>
      </c>
      <c r="AE554" s="35">
        <v>20</v>
      </c>
    </row>
    <row r="555" spans="1:31" x14ac:dyDescent="0.35">
      <c r="A555" s="36">
        <v>46059.84375</v>
      </c>
      <c r="B555" s="35">
        <v>-21.1</v>
      </c>
      <c r="C555" s="35">
        <v>8.1999999999999993</v>
      </c>
      <c r="D555" s="35">
        <v>-23</v>
      </c>
      <c r="E555" s="35">
        <v>-22.5</v>
      </c>
      <c r="F555" s="35">
        <v>-22.7</v>
      </c>
      <c r="G555" s="35">
        <v>-23</v>
      </c>
      <c r="H555" s="35">
        <v>-21.7</v>
      </c>
      <c r="I555" s="35">
        <v>-22.1</v>
      </c>
      <c r="J555" s="35">
        <v>-23</v>
      </c>
      <c r="K555" s="35">
        <v>-21.9</v>
      </c>
      <c r="L555" s="35">
        <v>-17.8</v>
      </c>
      <c r="M555" s="35">
        <v>-23</v>
      </c>
      <c r="N555" s="35">
        <v>-4.3</v>
      </c>
      <c r="O555" s="35">
        <v>-4.9000000000000004</v>
      </c>
      <c r="P555" s="35">
        <v>-5</v>
      </c>
      <c r="Q555" s="35">
        <v>-3.3</v>
      </c>
      <c r="R555" s="35">
        <v>-4.9000000000000004</v>
      </c>
      <c r="S555" s="35">
        <v>-5</v>
      </c>
      <c r="T555" s="35">
        <v>10</v>
      </c>
      <c r="U555" s="35">
        <v>9</v>
      </c>
      <c r="V555" s="35">
        <v>9.9</v>
      </c>
      <c r="W555" s="35">
        <v>9</v>
      </c>
      <c r="X555" s="35">
        <v>10.7</v>
      </c>
      <c r="Y555" s="35">
        <v>9</v>
      </c>
      <c r="Z555" s="35">
        <v>11.4</v>
      </c>
      <c r="AA555" s="35">
        <v>9</v>
      </c>
      <c r="AB555" s="35">
        <v>21.7</v>
      </c>
      <c r="AC555" s="35">
        <v>20</v>
      </c>
      <c r="AD555" s="35">
        <v>21.7</v>
      </c>
      <c r="AE555" s="35">
        <v>20</v>
      </c>
    </row>
    <row r="556" spans="1:31" x14ac:dyDescent="0.35">
      <c r="A556" s="36">
        <v>46059.844444444447</v>
      </c>
      <c r="B556" s="35">
        <v>-21.1</v>
      </c>
      <c r="C556" s="35">
        <v>9.1999999999999993</v>
      </c>
      <c r="D556" s="35">
        <v>-23</v>
      </c>
      <c r="E556" s="35">
        <v>-22.6</v>
      </c>
      <c r="F556" s="35">
        <v>-22.8</v>
      </c>
      <c r="G556" s="35">
        <v>-23</v>
      </c>
      <c r="H556" s="35">
        <v>-21.7</v>
      </c>
      <c r="I556" s="35">
        <v>-22.1</v>
      </c>
      <c r="J556" s="35">
        <v>-23</v>
      </c>
      <c r="K556" s="35">
        <v>-21.9</v>
      </c>
      <c r="L556" s="35">
        <v>-17.8</v>
      </c>
      <c r="M556" s="35">
        <v>-23</v>
      </c>
      <c r="N556" s="35">
        <v>-4.4000000000000004</v>
      </c>
      <c r="O556" s="35">
        <v>-4.9000000000000004</v>
      </c>
      <c r="P556" s="35">
        <v>-5</v>
      </c>
      <c r="Q556" s="35">
        <v>-3.4</v>
      </c>
      <c r="R556" s="35">
        <v>-4.9000000000000004</v>
      </c>
      <c r="S556" s="35">
        <v>-5</v>
      </c>
      <c r="T556" s="35">
        <v>10.1</v>
      </c>
      <c r="U556" s="35">
        <v>9</v>
      </c>
      <c r="V556" s="35">
        <v>10</v>
      </c>
      <c r="W556" s="35">
        <v>9</v>
      </c>
      <c r="X556" s="35">
        <v>10.7</v>
      </c>
      <c r="Y556" s="35">
        <v>9</v>
      </c>
      <c r="Z556" s="35">
        <v>11.4</v>
      </c>
      <c r="AA556" s="35">
        <v>9</v>
      </c>
      <c r="AB556" s="35">
        <v>21.7</v>
      </c>
      <c r="AC556" s="35">
        <v>20</v>
      </c>
      <c r="AD556" s="35">
        <v>21.7</v>
      </c>
      <c r="AE556" s="35">
        <v>20</v>
      </c>
    </row>
    <row r="557" spans="1:31" x14ac:dyDescent="0.35">
      <c r="A557" s="36">
        <v>46059.845138888886</v>
      </c>
      <c r="B557" s="35">
        <v>-21.1</v>
      </c>
      <c r="C557" s="35">
        <v>10.1</v>
      </c>
      <c r="D557" s="35">
        <v>-23</v>
      </c>
      <c r="E557" s="35">
        <v>-22.6</v>
      </c>
      <c r="F557" s="35">
        <v>-22.9</v>
      </c>
      <c r="G557" s="35">
        <v>-23</v>
      </c>
      <c r="H557" s="35">
        <v>-21.7</v>
      </c>
      <c r="I557" s="35">
        <v>-22.1</v>
      </c>
      <c r="J557" s="35">
        <v>-23</v>
      </c>
      <c r="K557" s="35">
        <v>-21.9</v>
      </c>
      <c r="L557" s="35">
        <v>-17.8</v>
      </c>
      <c r="M557" s="35">
        <v>-23</v>
      </c>
      <c r="N557" s="35">
        <v>-4.4000000000000004</v>
      </c>
      <c r="O557" s="35">
        <v>-4.9000000000000004</v>
      </c>
      <c r="P557" s="35">
        <v>-5</v>
      </c>
      <c r="Q557" s="35">
        <v>-3.4</v>
      </c>
      <c r="R557" s="35">
        <v>-4.9000000000000004</v>
      </c>
      <c r="S557" s="35">
        <v>-5</v>
      </c>
      <c r="T557" s="35">
        <v>10.199999999999999</v>
      </c>
      <c r="U557" s="35">
        <v>9</v>
      </c>
      <c r="V557" s="35">
        <v>10</v>
      </c>
      <c r="W557" s="35">
        <v>9</v>
      </c>
      <c r="X557" s="35">
        <v>10.6</v>
      </c>
      <c r="Y557" s="35">
        <v>9</v>
      </c>
      <c r="Z557" s="35">
        <v>11.4</v>
      </c>
      <c r="AA557" s="35">
        <v>9</v>
      </c>
      <c r="AB557" s="35">
        <v>21.7</v>
      </c>
      <c r="AC557" s="35">
        <v>20</v>
      </c>
      <c r="AD557" s="35">
        <v>21.7</v>
      </c>
      <c r="AE557" s="35">
        <v>20</v>
      </c>
    </row>
    <row r="558" spans="1:31" x14ac:dyDescent="0.35">
      <c r="A558" s="36">
        <v>46059.845833333333</v>
      </c>
      <c r="B558" s="35">
        <v>-21.1</v>
      </c>
      <c r="C558" s="35">
        <v>11</v>
      </c>
      <c r="D558" s="35">
        <v>-23</v>
      </c>
      <c r="E558" s="35">
        <v>-22.7</v>
      </c>
      <c r="F558" s="35">
        <v>-23.1</v>
      </c>
      <c r="G558" s="35">
        <v>-23</v>
      </c>
      <c r="H558" s="35">
        <v>-21.7</v>
      </c>
      <c r="I558" s="35">
        <v>-22.1</v>
      </c>
      <c r="J558" s="35">
        <v>-23</v>
      </c>
      <c r="K558" s="35">
        <v>-21.9</v>
      </c>
      <c r="L558" s="35">
        <v>-17.8</v>
      </c>
      <c r="M558" s="35">
        <v>-23</v>
      </c>
      <c r="N558" s="35">
        <v>-4.4000000000000004</v>
      </c>
      <c r="O558" s="35">
        <v>-4.9000000000000004</v>
      </c>
      <c r="P558" s="35">
        <v>-5</v>
      </c>
      <c r="Q558" s="35">
        <v>-3.4</v>
      </c>
      <c r="R558" s="35">
        <v>-5</v>
      </c>
      <c r="S558" s="35">
        <v>-5</v>
      </c>
      <c r="T558" s="35">
        <v>10.3</v>
      </c>
      <c r="U558" s="35">
        <v>9</v>
      </c>
      <c r="V558" s="35">
        <v>10</v>
      </c>
      <c r="W558" s="35">
        <v>9</v>
      </c>
      <c r="X558" s="35">
        <v>10.6</v>
      </c>
      <c r="Y558" s="35">
        <v>9</v>
      </c>
      <c r="Z558" s="35">
        <v>11.4</v>
      </c>
      <c r="AA558" s="35">
        <v>9</v>
      </c>
      <c r="AB558" s="35">
        <v>21.7</v>
      </c>
      <c r="AC558" s="35">
        <v>20</v>
      </c>
      <c r="AD558" s="35">
        <v>21.7</v>
      </c>
      <c r="AE558" s="35">
        <v>20</v>
      </c>
    </row>
    <row r="559" spans="1:31" x14ac:dyDescent="0.35">
      <c r="A559" s="36">
        <v>46059.84652777778</v>
      </c>
      <c r="B559" s="35">
        <v>-21.1</v>
      </c>
      <c r="C559" s="35">
        <v>12.1</v>
      </c>
      <c r="D559" s="35">
        <v>-23</v>
      </c>
      <c r="E559" s="35">
        <v>-22.7</v>
      </c>
      <c r="F559" s="35">
        <v>-23.3</v>
      </c>
      <c r="G559" s="35">
        <v>-23</v>
      </c>
      <c r="H559" s="35">
        <v>-21.7</v>
      </c>
      <c r="I559" s="35">
        <v>-22.1</v>
      </c>
      <c r="J559" s="35">
        <v>-23</v>
      </c>
      <c r="K559" s="35">
        <v>-21.9</v>
      </c>
      <c r="L559" s="35">
        <v>-17.7</v>
      </c>
      <c r="M559" s="35">
        <v>-23</v>
      </c>
      <c r="N559" s="35">
        <v>-4.4000000000000004</v>
      </c>
      <c r="O559" s="35">
        <v>-5</v>
      </c>
      <c r="P559" s="35">
        <v>-5</v>
      </c>
      <c r="Q559" s="35">
        <v>-3.5</v>
      </c>
      <c r="R559" s="35">
        <v>-5</v>
      </c>
      <c r="S559" s="35">
        <v>-5</v>
      </c>
      <c r="T559" s="35">
        <v>10.4</v>
      </c>
      <c r="U559" s="35">
        <v>9</v>
      </c>
      <c r="V559" s="35">
        <v>10.1</v>
      </c>
      <c r="W559" s="35">
        <v>9</v>
      </c>
      <c r="X559" s="35">
        <v>10.4</v>
      </c>
      <c r="Y559" s="35">
        <v>9</v>
      </c>
      <c r="Z559" s="35">
        <v>11.4</v>
      </c>
      <c r="AA559" s="35">
        <v>9</v>
      </c>
      <c r="AB559" s="35">
        <v>21.7</v>
      </c>
      <c r="AC559" s="35">
        <v>20</v>
      </c>
      <c r="AD559" s="35">
        <v>21.7</v>
      </c>
      <c r="AE559" s="35">
        <v>20</v>
      </c>
    </row>
    <row r="560" spans="1:31" x14ac:dyDescent="0.35">
      <c r="A560" s="36">
        <v>46059.847222222219</v>
      </c>
      <c r="B560" s="35">
        <v>-21.1</v>
      </c>
      <c r="C560" s="35">
        <v>13.2</v>
      </c>
      <c r="D560" s="35">
        <v>-23</v>
      </c>
      <c r="E560" s="35">
        <v>-22.8</v>
      </c>
      <c r="F560" s="35">
        <v>-23.3</v>
      </c>
      <c r="G560" s="35">
        <v>-23</v>
      </c>
      <c r="H560" s="35">
        <v>-21.7</v>
      </c>
      <c r="I560" s="35">
        <v>-22.1</v>
      </c>
      <c r="J560" s="35">
        <v>-23</v>
      </c>
      <c r="K560" s="35">
        <v>-21.9</v>
      </c>
      <c r="L560" s="35">
        <v>-17.7</v>
      </c>
      <c r="M560" s="35">
        <v>-23</v>
      </c>
      <c r="N560" s="35">
        <v>-4.4000000000000004</v>
      </c>
      <c r="O560" s="35">
        <v>-5</v>
      </c>
      <c r="P560" s="35">
        <v>-5</v>
      </c>
      <c r="Q560" s="35">
        <v>-3.5</v>
      </c>
      <c r="R560" s="35">
        <v>-5</v>
      </c>
      <c r="S560" s="35">
        <v>-5</v>
      </c>
      <c r="T560" s="35">
        <v>10.5</v>
      </c>
      <c r="U560" s="35">
        <v>9</v>
      </c>
      <c r="V560" s="35">
        <v>10.199999999999999</v>
      </c>
      <c r="W560" s="35">
        <v>9</v>
      </c>
      <c r="X560" s="35">
        <v>10.199999999999999</v>
      </c>
      <c r="Y560" s="35">
        <v>9</v>
      </c>
      <c r="Z560" s="35">
        <v>11.4</v>
      </c>
      <c r="AA560" s="35">
        <v>9</v>
      </c>
      <c r="AB560" s="35">
        <v>21.7</v>
      </c>
      <c r="AC560" s="35">
        <v>20</v>
      </c>
      <c r="AD560" s="35">
        <v>21.7</v>
      </c>
      <c r="AE560" s="35">
        <v>20</v>
      </c>
    </row>
    <row r="561" spans="1:31" x14ac:dyDescent="0.35">
      <c r="A561" s="36">
        <v>46059.847916666666</v>
      </c>
      <c r="B561" s="35">
        <v>-21.1</v>
      </c>
      <c r="C561" s="35">
        <v>14.2</v>
      </c>
      <c r="D561" s="35">
        <v>-23</v>
      </c>
      <c r="E561" s="35">
        <v>-22.8</v>
      </c>
      <c r="F561" s="35">
        <v>-23.2</v>
      </c>
      <c r="G561" s="35">
        <v>-23</v>
      </c>
      <c r="H561" s="35">
        <v>-21.7</v>
      </c>
      <c r="I561" s="35">
        <v>-22.1</v>
      </c>
      <c r="J561" s="35">
        <v>-23</v>
      </c>
      <c r="K561" s="35">
        <v>-21.9</v>
      </c>
      <c r="L561" s="35">
        <v>-17.7</v>
      </c>
      <c r="M561" s="35">
        <v>-23</v>
      </c>
      <c r="N561" s="35">
        <v>-4.5</v>
      </c>
      <c r="O561" s="35">
        <v>-5</v>
      </c>
      <c r="P561" s="35">
        <v>-5</v>
      </c>
      <c r="Q561" s="35">
        <v>-3.5</v>
      </c>
      <c r="R561" s="35">
        <v>-5</v>
      </c>
      <c r="S561" s="35">
        <v>-5</v>
      </c>
      <c r="T561" s="35">
        <v>10.6</v>
      </c>
      <c r="U561" s="35">
        <v>9</v>
      </c>
      <c r="V561" s="35">
        <v>10.3</v>
      </c>
      <c r="W561" s="35">
        <v>9</v>
      </c>
      <c r="X561" s="35">
        <v>10</v>
      </c>
      <c r="Y561" s="35">
        <v>9</v>
      </c>
      <c r="Z561" s="35">
        <v>11.4</v>
      </c>
      <c r="AA561" s="35">
        <v>9</v>
      </c>
      <c r="AB561" s="35">
        <v>21.7</v>
      </c>
      <c r="AC561" s="35">
        <v>20</v>
      </c>
      <c r="AD561" s="35">
        <v>21.7</v>
      </c>
      <c r="AE561" s="35">
        <v>20</v>
      </c>
    </row>
    <row r="562" spans="1:31" x14ac:dyDescent="0.35">
      <c r="A562" s="36">
        <v>46059.848611111112</v>
      </c>
      <c r="B562" s="35">
        <v>-21.1</v>
      </c>
      <c r="C562" s="35">
        <v>14.9</v>
      </c>
      <c r="D562" s="35">
        <v>-23</v>
      </c>
      <c r="E562" s="35">
        <v>-22.8</v>
      </c>
      <c r="F562" s="35">
        <v>-23.2</v>
      </c>
      <c r="G562" s="35">
        <v>-23</v>
      </c>
      <c r="H562" s="35">
        <v>-21.7</v>
      </c>
      <c r="I562" s="35">
        <v>-22.1</v>
      </c>
      <c r="J562" s="35">
        <v>-23</v>
      </c>
      <c r="K562" s="35">
        <v>-21.9</v>
      </c>
      <c r="L562" s="35">
        <v>-17.7</v>
      </c>
      <c r="M562" s="35">
        <v>-23</v>
      </c>
      <c r="N562" s="35">
        <v>-4.5</v>
      </c>
      <c r="O562" s="35">
        <v>-5.0999999999999996</v>
      </c>
      <c r="P562" s="35">
        <v>-5</v>
      </c>
      <c r="Q562" s="35">
        <v>-3.5</v>
      </c>
      <c r="R562" s="35">
        <v>-5.0999999999999996</v>
      </c>
      <c r="S562" s="35">
        <v>-5</v>
      </c>
      <c r="T562" s="35">
        <v>10.7</v>
      </c>
      <c r="U562" s="35">
        <v>9</v>
      </c>
      <c r="V562" s="35">
        <v>10.3</v>
      </c>
      <c r="W562" s="35">
        <v>9</v>
      </c>
      <c r="X562" s="35">
        <v>10</v>
      </c>
      <c r="Y562" s="35">
        <v>9</v>
      </c>
      <c r="Z562" s="35">
        <v>11.4</v>
      </c>
      <c r="AA562" s="35">
        <v>9</v>
      </c>
      <c r="AB562" s="35">
        <v>21.7</v>
      </c>
      <c r="AC562" s="35">
        <v>20</v>
      </c>
      <c r="AD562" s="35">
        <v>21.7</v>
      </c>
      <c r="AE562" s="35">
        <v>20</v>
      </c>
    </row>
    <row r="563" spans="1:31" x14ac:dyDescent="0.35">
      <c r="A563" s="36">
        <v>46059.849305555559</v>
      </c>
      <c r="B563" s="35">
        <v>-21.1</v>
      </c>
      <c r="C563" s="35">
        <v>15.4</v>
      </c>
      <c r="D563" s="35">
        <v>-23</v>
      </c>
      <c r="E563" s="35">
        <v>-22.8</v>
      </c>
      <c r="F563" s="35">
        <v>-23.1</v>
      </c>
      <c r="G563" s="35">
        <v>-23</v>
      </c>
      <c r="H563" s="35">
        <v>-21.7</v>
      </c>
      <c r="I563" s="35">
        <v>-22.1</v>
      </c>
      <c r="J563" s="35">
        <v>-23</v>
      </c>
      <c r="K563" s="35">
        <v>-21.9</v>
      </c>
      <c r="L563" s="35">
        <v>-17.7</v>
      </c>
      <c r="M563" s="35">
        <v>-23</v>
      </c>
      <c r="N563" s="35">
        <v>-4.5</v>
      </c>
      <c r="O563" s="35">
        <v>-5.0999999999999996</v>
      </c>
      <c r="P563" s="35">
        <v>-5</v>
      </c>
      <c r="Q563" s="35">
        <v>-3.5</v>
      </c>
      <c r="R563" s="35">
        <v>-5.0999999999999996</v>
      </c>
      <c r="S563" s="35">
        <v>-5</v>
      </c>
      <c r="T563" s="35">
        <v>10.8</v>
      </c>
      <c r="U563" s="35">
        <v>9</v>
      </c>
      <c r="V563" s="35">
        <v>10.4</v>
      </c>
      <c r="W563" s="35">
        <v>9</v>
      </c>
      <c r="X563" s="35">
        <v>10</v>
      </c>
      <c r="Y563" s="35">
        <v>9</v>
      </c>
      <c r="Z563" s="35">
        <v>11.4</v>
      </c>
      <c r="AA563" s="35">
        <v>9</v>
      </c>
      <c r="AB563" s="35">
        <v>21.7</v>
      </c>
      <c r="AC563" s="35">
        <v>20</v>
      </c>
      <c r="AD563" s="35">
        <v>21.7</v>
      </c>
      <c r="AE563" s="35">
        <v>20</v>
      </c>
    </row>
    <row r="564" spans="1:31" x14ac:dyDescent="0.35">
      <c r="A564" s="36">
        <v>46059.85</v>
      </c>
      <c r="B564" s="35">
        <v>-21.1</v>
      </c>
      <c r="C564" s="35">
        <v>16.100000000000001</v>
      </c>
      <c r="D564" s="35">
        <v>-23</v>
      </c>
      <c r="E564" s="35">
        <v>-22.8</v>
      </c>
      <c r="F564" s="35">
        <v>-23.1</v>
      </c>
      <c r="G564" s="35">
        <v>-23</v>
      </c>
      <c r="H564" s="35">
        <v>-21.7</v>
      </c>
      <c r="I564" s="35">
        <v>-22.1</v>
      </c>
      <c r="J564" s="35">
        <v>-23</v>
      </c>
      <c r="K564" s="35">
        <v>-21.9</v>
      </c>
      <c r="L564" s="35">
        <v>-17.7</v>
      </c>
      <c r="M564" s="35">
        <v>-23</v>
      </c>
      <c r="N564" s="35">
        <v>-4.5999999999999996</v>
      </c>
      <c r="O564" s="35">
        <v>-5.0999999999999996</v>
      </c>
      <c r="P564" s="35">
        <v>-5</v>
      </c>
      <c r="Q564" s="35">
        <v>-3.5</v>
      </c>
      <c r="R564" s="35">
        <v>-5.0999999999999996</v>
      </c>
      <c r="S564" s="35">
        <v>-5</v>
      </c>
      <c r="T564" s="35">
        <v>10.9</v>
      </c>
      <c r="U564" s="35">
        <v>9</v>
      </c>
      <c r="V564" s="35">
        <v>10.4</v>
      </c>
      <c r="W564" s="35">
        <v>9</v>
      </c>
      <c r="X564" s="35">
        <v>10</v>
      </c>
      <c r="Y564" s="35">
        <v>9</v>
      </c>
      <c r="Z564" s="35">
        <v>11.4</v>
      </c>
      <c r="AA564" s="35">
        <v>9</v>
      </c>
      <c r="AB564" s="35">
        <v>21.7</v>
      </c>
      <c r="AC564" s="35">
        <v>20</v>
      </c>
      <c r="AD564" s="35">
        <v>21.7</v>
      </c>
      <c r="AE564" s="35">
        <v>20</v>
      </c>
    </row>
    <row r="565" spans="1:31" x14ac:dyDescent="0.35">
      <c r="A565" s="36">
        <v>46059.850694444445</v>
      </c>
      <c r="B565" s="35">
        <v>-21.1</v>
      </c>
      <c r="C565" s="35">
        <v>16.7</v>
      </c>
      <c r="D565" s="35">
        <v>-23</v>
      </c>
      <c r="E565" s="35">
        <v>-22.8</v>
      </c>
      <c r="F565" s="35">
        <v>-23.2</v>
      </c>
      <c r="G565" s="35">
        <v>-23</v>
      </c>
      <c r="H565" s="35">
        <v>-21.7</v>
      </c>
      <c r="I565" s="35">
        <v>-22.1</v>
      </c>
      <c r="J565" s="35">
        <v>-23</v>
      </c>
      <c r="K565" s="35">
        <v>-21.9</v>
      </c>
      <c r="L565" s="35">
        <v>-17.7</v>
      </c>
      <c r="M565" s="35">
        <v>-23</v>
      </c>
      <c r="N565" s="35">
        <v>-4.5999999999999996</v>
      </c>
      <c r="O565" s="35">
        <v>-5.0999999999999996</v>
      </c>
      <c r="P565" s="35">
        <v>-5</v>
      </c>
      <c r="Q565" s="35">
        <v>-3.5</v>
      </c>
      <c r="R565" s="35">
        <v>-5.0999999999999996</v>
      </c>
      <c r="S565" s="35">
        <v>-5</v>
      </c>
      <c r="T565" s="35">
        <v>10.9</v>
      </c>
      <c r="U565" s="35">
        <v>9</v>
      </c>
      <c r="V565" s="35">
        <v>10.4</v>
      </c>
      <c r="W565" s="35">
        <v>9</v>
      </c>
      <c r="X565" s="35">
        <v>10</v>
      </c>
      <c r="Y565" s="35">
        <v>9</v>
      </c>
      <c r="Z565" s="35">
        <v>11.3</v>
      </c>
      <c r="AA565" s="35">
        <v>9</v>
      </c>
      <c r="AB565" s="35">
        <v>21.7</v>
      </c>
      <c r="AC565" s="35">
        <v>20</v>
      </c>
      <c r="AD565" s="35">
        <v>21.7</v>
      </c>
      <c r="AE565" s="35">
        <v>20</v>
      </c>
    </row>
    <row r="566" spans="1:31" x14ac:dyDescent="0.35">
      <c r="A566" s="36">
        <v>46059.851388888892</v>
      </c>
      <c r="B566" s="35">
        <v>-21.1</v>
      </c>
      <c r="C566" s="35">
        <v>17.100000000000001</v>
      </c>
      <c r="D566" s="35">
        <v>-23</v>
      </c>
      <c r="E566" s="35">
        <v>-22.8</v>
      </c>
      <c r="F566" s="35">
        <v>-23.3</v>
      </c>
      <c r="G566" s="35">
        <v>-23</v>
      </c>
      <c r="H566" s="35">
        <v>-21.7</v>
      </c>
      <c r="I566" s="35">
        <v>-22.1</v>
      </c>
      <c r="J566" s="35">
        <v>-23</v>
      </c>
      <c r="K566" s="35">
        <v>-21.9</v>
      </c>
      <c r="L566" s="35">
        <v>-17.600000000000001</v>
      </c>
      <c r="M566" s="35">
        <v>-23</v>
      </c>
      <c r="N566" s="35">
        <v>-4.5999999999999996</v>
      </c>
      <c r="O566" s="35">
        <v>-5.2</v>
      </c>
      <c r="P566" s="35">
        <v>-5</v>
      </c>
      <c r="Q566" s="35">
        <v>-3.5</v>
      </c>
      <c r="R566" s="35">
        <v>-5.0999999999999996</v>
      </c>
      <c r="S566" s="35">
        <v>-5</v>
      </c>
      <c r="T566" s="35">
        <v>11</v>
      </c>
      <c r="U566" s="35">
        <v>9</v>
      </c>
      <c r="V566" s="35">
        <v>10.5</v>
      </c>
      <c r="W566" s="35">
        <v>9</v>
      </c>
      <c r="X566" s="35">
        <v>10.1</v>
      </c>
      <c r="Y566" s="35">
        <v>9</v>
      </c>
      <c r="Z566" s="35">
        <v>11.3</v>
      </c>
      <c r="AA566" s="35">
        <v>9</v>
      </c>
      <c r="AB566" s="35">
        <v>21.7</v>
      </c>
      <c r="AC566" s="35">
        <v>20</v>
      </c>
      <c r="AD566" s="35">
        <v>21.7</v>
      </c>
      <c r="AE566" s="35">
        <v>20</v>
      </c>
    </row>
    <row r="567" spans="1:31" x14ac:dyDescent="0.35">
      <c r="A567" s="36">
        <v>46059.852083333331</v>
      </c>
      <c r="B567" s="35">
        <v>-21.1</v>
      </c>
      <c r="C567" s="35">
        <v>17.5</v>
      </c>
      <c r="D567" s="35">
        <v>-23</v>
      </c>
      <c r="E567" s="35">
        <v>-22.8</v>
      </c>
      <c r="F567" s="35">
        <v>-23.4</v>
      </c>
      <c r="G567" s="35">
        <v>-23</v>
      </c>
      <c r="H567" s="35">
        <v>-21.7</v>
      </c>
      <c r="I567" s="35">
        <v>-22.1</v>
      </c>
      <c r="J567" s="35">
        <v>-23</v>
      </c>
      <c r="K567" s="35">
        <v>-21.9</v>
      </c>
      <c r="L567" s="35">
        <v>-17.600000000000001</v>
      </c>
      <c r="M567" s="35">
        <v>-23</v>
      </c>
      <c r="N567" s="35">
        <v>-4.5999999999999996</v>
      </c>
      <c r="O567" s="35">
        <v>-5.2</v>
      </c>
      <c r="P567" s="35">
        <v>-5</v>
      </c>
      <c r="Q567" s="35">
        <v>-3.6</v>
      </c>
      <c r="R567" s="35">
        <v>-5.0999999999999996</v>
      </c>
      <c r="S567" s="35">
        <v>-5</v>
      </c>
      <c r="T567" s="35">
        <v>10.6</v>
      </c>
      <c r="U567" s="35">
        <v>9</v>
      </c>
      <c r="V567" s="35">
        <v>10.5</v>
      </c>
      <c r="W567" s="35">
        <v>9</v>
      </c>
      <c r="X567" s="35">
        <v>10.4</v>
      </c>
      <c r="Y567" s="35">
        <v>9</v>
      </c>
      <c r="Z567" s="35">
        <v>11.3</v>
      </c>
      <c r="AA567" s="35">
        <v>9</v>
      </c>
      <c r="AB567" s="35">
        <v>21.7</v>
      </c>
      <c r="AC567" s="35">
        <v>20</v>
      </c>
      <c r="AD567" s="35">
        <v>21.7</v>
      </c>
      <c r="AE567" s="35">
        <v>20</v>
      </c>
    </row>
    <row r="568" spans="1:31" x14ac:dyDescent="0.35">
      <c r="A568" s="36">
        <v>46059.852777777778</v>
      </c>
      <c r="B568" s="35">
        <v>-21.1</v>
      </c>
      <c r="C568" s="35">
        <v>17.7</v>
      </c>
      <c r="D568" s="35">
        <v>-23</v>
      </c>
      <c r="E568" s="35">
        <v>-22.8</v>
      </c>
      <c r="F568" s="35">
        <v>-23.4</v>
      </c>
      <c r="G568" s="35">
        <v>-23</v>
      </c>
      <c r="H568" s="35">
        <v>-21.7</v>
      </c>
      <c r="I568" s="35">
        <v>-22.1</v>
      </c>
      <c r="J568" s="35">
        <v>-23</v>
      </c>
      <c r="K568" s="35">
        <v>-21.9</v>
      </c>
      <c r="L568" s="35">
        <v>-17.600000000000001</v>
      </c>
      <c r="M568" s="35">
        <v>-23</v>
      </c>
      <c r="N568" s="35">
        <v>-4.5999999999999996</v>
      </c>
      <c r="O568" s="35">
        <v>-5.2</v>
      </c>
      <c r="P568" s="35">
        <v>-5</v>
      </c>
      <c r="Q568" s="35">
        <v>-3.6</v>
      </c>
      <c r="R568" s="35">
        <v>-5.2</v>
      </c>
      <c r="S568" s="35">
        <v>-5</v>
      </c>
      <c r="T568" s="35">
        <v>10.1</v>
      </c>
      <c r="U568" s="35">
        <v>9</v>
      </c>
      <c r="V568" s="35">
        <v>10.5</v>
      </c>
      <c r="W568" s="35">
        <v>9</v>
      </c>
      <c r="X568" s="35">
        <v>10.6</v>
      </c>
      <c r="Y568" s="35">
        <v>9</v>
      </c>
      <c r="Z568" s="35">
        <v>11.3</v>
      </c>
      <c r="AA568" s="35">
        <v>9</v>
      </c>
      <c r="AB568" s="35">
        <v>21.7</v>
      </c>
      <c r="AC568" s="35">
        <v>20</v>
      </c>
      <c r="AD568" s="35">
        <v>21.7</v>
      </c>
      <c r="AE568" s="35">
        <v>20</v>
      </c>
    </row>
    <row r="569" spans="1:31" x14ac:dyDescent="0.35">
      <c r="A569" s="36">
        <v>46059.853472222225</v>
      </c>
      <c r="B569" s="35">
        <v>-21.1</v>
      </c>
      <c r="C569" s="35">
        <v>17.899999999999999</v>
      </c>
      <c r="D569" s="35">
        <v>-23</v>
      </c>
      <c r="E569" s="35">
        <v>-22.8</v>
      </c>
      <c r="F569" s="35">
        <v>-23.4</v>
      </c>
      <c r="G569" s="35">
        <v>-23</v>
      </c>
      <c r="H569" s="35">
        <v>-21.7</v>
      </c>
      <c r="I569" s="35">
        <v>-22.1</v>
      </c>
      <c r="J569" s="35">
        <v>-23</v>
      </c>
      <c r="K569" s="35">
        <v>-21.9</v>
      </c>
      <c r="L569" s="35">
        <v>-17.600000000000001</v>
      </c>
      <c r="M569" s="35">
        <v>-23</v>
      </c>
      <c r="N569" s="35">
        <v>-4.5999999999999996</v>
      </c>
      <c r="O569" s="35">
        <v>-5.2</v>
      </c>
      <c r="P569" s="35">
        <v>-5</v>
      </c>
      <c r="Q569" s="35">
        <v>-3.7</v>
      </c>
      <c r="R569" s="35">
        <v>-5.2</v>
      </c>
      <c r="S569" s="35">
        <v>-5</v>
      </c>
      <c r="T569" s="35">
        <v>9.6999999999999993</v>
      </c>
      <c r="U569" s="35">
        <v>9</v>
      </c>
      <c r="V569" s="35">
        <v>10.4</v>
      </c>
      <c r="W569" s="35">
        <v>9</v>
      </c>
      <c r="X569" s="35">
        <v>10.8</v>
      </c>
      <c r="Y569" s="35">
        <v>9</v>
      </c>
      <c r="Z569" s="35">
        <v>11.3</v>
      </c>
      <c r="AA569" s="35">
        <v>9</v>
      </c>
      <c r="AB569" s="35">
        <v>21.7</v>
      </c>
      <c r="AC569" s="35">
        <v>20</v>
      </c>
      <c r="AD569" s="35">
        <v>21.7</v>
      </c>
      <c r="AE569" s="35">
        <v>20</v>
      </c>
    </row>
    <row r="570" spans="1:31" x14ac:dyDescent="0.35">
      <c r="A570" s="36">
        <v>46059.854166666664</v>
      </c>
      <c r="B570" s="35">
        <v>-21.1</v>
      </c>
      <c r="C570" s="35">
        <v>18</v>
      </c>
      <c r="D570" s="35">
        <v>-23</v>
      </c>
      <c r="E570" s="35">
        <v>-22.8</v>
      </c>
      <c r="F570" s="35">
        <v>-24</v>
      </c>
      <c r="G570" s="35">
        <v>-23</v>
      </c>
      <c r="H570" s="35">
        <v>-21.7</v>
      </c>
      <c r="I570" s="35">
        <v>-22.1</v>
      </c>
      <c r="J570" s="35">
        <v>-23</v>
      </c>
      <c r="K570" s="35">
        <v>-21.9</v>
      </c>
      <c r="L570" s="35">
        <v>-17.600000000000001</v>
      </c>
      <c r="M570" s="35">
        <v>-23</v>
      </c>
      <c r="N570" s="35">
        <v>-4.4000000000000004</v>
      </c>
      <c r="O570" s="35">
        <v>-5</v>
      </c>
      <c r="P570" s="35">
        <v>-5</v>
      </c>
      <c r="Q570" s="35">
        <v>-3.7</v>
      </c>
      <c r="R570" s="35">
        <v>-5.2</v>
      </c>
      <c r="S570" s="35">
        <v>-5</v>
      </c>
      <c r="T570" s="35">
        <v>9.1999999999999993</v>
      </c>
      <c r="U570" s="35">
        <v>9</v>
      </c>
      <c r="V570" s="35">
        <v>10.4</v>
      </c>
      <c r="W570" s="35">
        <v>9</v>
      </c>
      <c r="X570" s="35">
        <v>10.8</v>
      </c>
      <c r="Y570" s="35">
        <v>9</v>
      </c>
      <c r="Z570" s="35">
        <v>11.3</v>
      </c>
      <c r="AA570" s="35">
        <v>9</v>
      </c>
      <c r="AB570" s="35">
        <v>21.7</v>
      </c>
      <c r="AC570" s="35">
        <v>20</v>
      </c>
      <c r="AD570" s="35">
        <v>21.7</v>
      </c>
      <c r="AE570" s="35">
        <v>20</v>
      </c>
    </row>
    <row r="571" spans="1:31" x14ac:dyDescent="0.35">
      <c r="A571" s="36">
        <v>46059.854861111111</v>
      </c>
      <c r="B571" s="35">
        <v>-21.1</v>
      </c>
      <c r="C571" s="35">
        <v>18.2</v>
      </c>
      <c r="D571" s="35">
        <v>-23</v>
      </c>
      <c r="E571" s="35">
        <v>-22.9</v>
      </c>
      <c r="F571" s="35">
        <v>-24</v>
      </c>
      <c r="G571" s="35">
        <v>-23</v>
      </c>
      <c r="H571" s="35">
        <v>-21.7</v>
      </c>
      <c r="I571" s="35">
        <v>-22.1</v>
      </c>
      <c r="J571" s="35">
        <v>-23</v>
      </c>
      <c r="K571" s="35">
        <v>-21.9</v>
      </c>
      <c r="L571" s="35">
        <v>-17.7</v>
      </c>
      <c r="M571" s="35">
        <v>-23</v>
      </c>
      <c r="N571" s="35">
        <v>-4.0999999999999996</v>
      </c>
      <c r="O571" s="35">
        <v>-4.5</v>
      </c>
      <c r="P571" s="35">
        <v>-5</v>
      </c>
      <c r="Q571" s="35">
        <v>-3.7</v>
      </c>
      <c r="R571" s="35">
        <v>-5.2</v>
      </c>
      <c r="S571" s="35">
        <v>-5</v>
      </c>
      <c r="T571" s="35">
        <v>8.9</v>
      </c>
      <c r="U571" s="35">
        <v>9</v>
      </c>
      <c r="V571" s="35">
        <v>10.1</v>
      </c>
      <c r="W571" s="35">
        <v>9</v>
      </c>
      <c r="X571" s="35">
        <v>10.8</v>
      </c>
      <c r="Y571" s="35">
        <v>9</v>
      </c>
      <c r="Z571" s="35">
        <v>11.3</v>
      </c>
      <c r="AA571" s="35">
        <v>9</v>
      </c>
      <c r="AB571" s="35">
        <v>21.7</v>
      </c>
      <c r="AC571" s="35">
        <v>20</v>
      </c>
      <c r="AD571" s="35">
        <v>21.7</v>
      </c>
      <c r="AE571" s="35">
        <v>20</v>
      </c>
    </row>
    <row r="572" spans="1:31" x14ac:dyDescent="0.35">
      <c r="A572" s="36">
        <v>46059.855555555558</v>
      </c>
      <c r="B572" s="35">
        <v>-21.1</v>
      </c>
      <c r="C572" s="35">
        <v>18.399999999999999</v>
      </c>
      <c r="D572" s="35">
        <v>-23</v>
      </c>
      <c r="E572" s="35">
        <v>-22.9</v>
      </c>
      <c r="F572" s="35">
        <v>-23.8</v>
      </c>
      <c r="G572" s="35">
        <v>-23</v>
      </c>
      <c r="H572" s="35">
        <v>-21.7</v>
      </c>
      <c r="I572" s="35">
        <v>-22.1</v>
      </c>
      <c r="J572" s="35">
        <v>-23</v>
      </c>
      <c r="K572" s="35">
        <v>-21.9</v>
      </c>
      <c r="L572" s="35">
        <v>-17.7</v>
      </c>
      <c r="M572" s="35">
        <v>-23</v>
      </c>
      <c r="N572" s="35">
        <v>-4.0999999999999996</v>
      </c>
      <c r="O572" s="35">
        <v>-2.6</v>
      </c>
      <c r="P572" s="35">
        <v>-5</v>
      </c>
      <c r="Q572" s="35">
        <v>-3.7</v>
      </c>
      <c r="R572" s="35">
        <v>-5.3</v>
      </c>
      <c r="S572" s="35">
        <v>-5</v>
      </c>
      <c r="T572" s="35">
        <v>8.6999999999999993</v>
      </c>
      <c r="U572" s="35">
        <v>9</v>
      </c>
      <c r="V572" s="35">
        <v>10</v>
      </c>
      <c r="W572" s="35">
        <v>9</v>
      </c>
      <c r="X572" s="35">
        <v>10.8</v>
      </c>
      <c r="Y572" s="35">
        <v>9</v>
      </c>
      <c r="Z572" s="35">
        <v>11.4</v>
      </c>
      <c r="AA572" s="35">
        <v>9</v>
      </c>
      <c r="AB572" s="35">
        <v>21.7</v>
      </c>
      <c r="AC572" s="35">
        <v>20</v>
      </c>
      <c r="AD572" s="35">
        <v>21.7</v>
      </c>
      <c r="AE572" s="35">
        <v>20</v>
      </c>
    </row>
    <row r="573" spans="1:31" x14ac:dyDescent="0.35">
      <c r="A573" s="36">
        <v>46059.856249999997</v>
      </c>
      <c r="B573" s="35">
        <v>-21.1</v>
      </c>
      <c r="C573" s="35">
        <v>18.600000000000001</v>
      </c>
      <c r="D573" s="35">
        <v>-23</v>
      </c>
      <c r="E573" s="35">
        <v>-22.9</v>
      </c>
      <c r="F573" s="35">
        <v>-23.6</v>
      </c>
      <c r="G573" s="35">
        <v>-23</v>
      </c>
      <c r="H573" s="35">
        <v>-21.7</v>
      </c>
      <c r="I573" s="35">
        <v>-22.1</v>
      </c>
      <c r="J573" s="35">
        <v>-23</v>
      </c>
      <c r="K573" s="35">
        <v>-21.9</v>
      </c>
      <c r="L573" s="35">
        <v>-17.7</v>
      </c>
      <c r="M573" s="35">
        <v>-23</v>
      </c>
      <c r="N573" s="35">
        <v>-4.0999999999999996</v>
      </c>
      <c r="O573" s="35">
        <v>-2</v>
      </c>
      <c r="P573" s="35">
        <v>-5</v>
      </c>
      <c r="Q573" s="35">
        <v>-3.7</v>
      </c>
      <c r="R573" s="35">
        <v>-5.3</v>
      </c>
      <c r="S573" s="35">
        <v>-5</v>
      </c>
      <c r="T573" s="35">
        <v>8.6999999999999993</v>
      </c>
      <c r="U573" s="35">
        <v>9</v>
      </c>
      <c r="V573" s="35">
        <v>9.9</v>
      </c>
      <c r="W573" s="35">
        <v>9</v>
      </c>
      <c r="X573" s="35">
        <v>10.7</v>
      </c>
      <c r="Y573" s="35">
        <v>9</v>
      </c>
      <c r="Z573" s="35">
        <v>11.4</v>
      </c>
      <c r="AA573" s="35">
        <v>9</v>
      </c>
      <c r="AB573" s="35">
        <v>21.7</v>
      </c>
      <c r="AC573" s="35">
        <v>20</v>
      </c>
      <c r="AD573" s="35">
        <v>21.7</v>
      </c>
      <c r="AE573" s="35">
        <v>20</v>
      </c>
    </row>
    <row r="574" spans="1:31" x14ac:dyDescent="0.35">
      <c r="A574" s="36">
        <v>46059.856944444444</v>
      </c>
      <c r="B574" s="35">
        <v>-21.1</v>
      </c>
      <c r="C574" s="35">
        <v>18.7</v>
      </c>
      <c r="D574" s="35">
        <v>-23</v>
      </c>
      <c r="E574" s="35">
        <v>-22.9</v>
      </c>
      <c r="F574" s="35">
        <v>-23.6</v>
      </c>
      <c r="G574" s="35">
        <v>-23</v>
      </c>
      <c r="H574" s="35">
        <v>-21.7</v>
      </c>
      <c r="I574" s="35">
        <v>-22.2</v>
      </c>
      <c r="J574" s="35">
        <v>-23</v>
      </c>
      <c r="K574" s="35">
        <v>-21.9</v>
      </c>
      <c r="L574" s="35">
        <v>-17.7</v>
      </c>
      <c r="M574" s="35">
        <v>-23</v>
      </c>
      <c r="N574" s="35">
        <v>-4.0999999999999996</v>
      </c>
      <c r="O574" s="35">
        <v>0</v>
      </c>
      <c r="P574" s="35">
        <v>-5</v>
      </c>
      <c r="Q574" s="35">
        <v>-3.7</v>
      </c>
      <c r="R574" s="35">
        <v>-5.3</v>
      </c>
      <c r="S574" s="35">
        <v>-5</v>
      </c>
      <c r="T574" s="35">
        <v>8.9</v>
      </c>
      <c r="U574" s="35">
        <v>9</v>
      </c>
      <c r="V574" s="35">
        <v>9.9</v>
      </c>
      <c r="W574" s="35">
        <v>9</v>
      </c>
      <c r="X574" s="35">
        <v>10.7</v>
      </c>
      <c r="Y574" s="35">
        <v>9</v>
      </c>
      <c r="Z574" s="35">
        <v>11.4</v>
      </c>
      <c r="AA574" s="35">
        <v>9</v>
      </c>
      <c r="AB574" s="35">
        <v>21.7</v>
      </c>
      <c r="AC574" s="35">
        <v>20</v>
      </c>
      <c r="AD574" s="35">
        <v>21.7</v>
      </c>
      <c r="AE574" s="35">
        <v>20</v>
      </c>
    </row>
    <row r="575" spans="1:31" x14ac:dyDescent="0.35">
      <c r="A575" s="36">
        <v>46059.857638888891</v>
      </c>
      <c r="B575" s="35">
        <v>-21.1</v>
      </c>
      <c r="C575" s="35">
        <v>18.7</v>
      </c>
      <c r="D575" s="35">
        <v>-23</v>
      </c>
      <c r="E575" s="35">
        <v>-22.9</v>
      </c>
      <c r="F575" s="35">
        <v>-24.1</v>
      </c>
      <c r="G575" s="35">
        <v>-23</v>
      </c>
      <c r="H575" s="35">
        <v>-21.7</v>
      </c>
      <c r="I575" s="35">
        <v>-22.2</v>
      </c>
      <c r="J575" s="35">
        <v>-23</v>
      </c>
      <c r="K575" s="35">
        <v>-21.9</v>
      </c>
      <c r="L575" s="35">
        <v>-17.7</v>
      </c>
      <c r="M575" s="35">
        <v>-23</v>
      </c>
      <c r="N575" s="35">
        <v>-4.0999999999999996</v>
      </c>
      <c r="O575" s="35">
        <v>1.5</v>
      </c>
      <c r="P575" s="35">
        <v>-5</v>
      </c>
      <c r="Q575" s="35">
        <v>-3.7</v>
      </c>
      <c r="R575" s="35">
        <v>-5.3</v>
      </c>
      <c r="S575" s="35">
        <v>-5</v>
      </c>
      <c r="T575" s="35">
        <v>9.1999999999999993</v>
      </c>
      <c r="U575" s="35">
        <v>9</v>
      </c>
      <c r="V575" s="35">
        <v>9.9</v>
      </c>
      <c r="W575" s="35">
        <v>9</v>
      </c>
      <c r="X575" s="35">
        <v>10.7</v>
      </c>
      <c r="Y575" s="35">
        <v>9</v>
      </c>
      <c r="Z575" s="35">
        <v>11.4</v>
      </c>
      <c r="AA575" s="35">
        <v>9</v>
      </c>
      <c r="AB575" s="35">
        <v>21.7</v>
      </c>
      <c r="AC575" s="35">
        <v>20</v>
      </c>
      <c r="AD575" s="35">
        <v>21.7</v>
      </c>
      <c r="AE575" s="35">
        <v>20</v>
      </c>
    </row>
    <row r="576" spans="1:31" x14ac:dyDescent="0.35">
      <c r="A576" s="36">
        <v>46059.85833333333</v>
      </c>
      <c r="B576" s="35">
        <v>-21.1</v>
      </c>
      <c r="C576" s="35">
        <v>18.8</v>
      </c>
      <c r="D576" s="35">
        <v>-23</v>
      </c>
      <c r="E576" s="35">
        <v>-22.9</v>
      </c>
      <c r="F576" s="35">
        <v>-24.4</v>
      </c>
      <c r="G576" s="35">
        <v>-23</v>
      </c>
      <c r="H576" s="35">
        <v>-21.7</v>
      </c>
      <c r="I576" s="35">
        <v>-22.2</v>
      </c>
      <c r="J576" s="35">
        <v>-23</v>
      </c>
      <c r="K576" s="35">
        <v>-21.9</v>
      </c>
      <c r="L576" s="35">
        <v>-17.7</v>
      </c>
      <c r="M576" s="35">
        <v>-23</v>
      </c>
      <c r="N576" s="35">
        <v>-4.0999999999999996</v>
      </c>
      <c r="O576" s="35">
        <v>5.2</v>
      </c>
      <c r="P576" s="35">
        <v>-5</v>
      </c>
      <c r="Q576" s="35">
        <v>-3.8</v>
      </c>
      <c r="R576" s="35">
        <v>-5.3</v>
      </c>
      <c r="S576" s="35">
        <v>-5</v>
      </c>
      <c r="T576" s="35">
        <v>9.5</v>
      </c>
      <c r="U576" s="35">
        <v>9</v>
      </c>
      <c r="V576" s="35">
        <v>9.9</v>
      </c>
      <c r="W576" s="35">
        <v>9</v>
      </c>
      <c r="X576" s="35">
        <v>10.7</v>
      </c>
      <c r="Y576" s="35">
        <v>9</v>
      </c>
      <c r="Z576" s="35">
        <v>11.4</v>
      </c>
      <c r="AA576" s="35">
        <v>9</v>
      </c>
      <c r="AB576" s="35">
        <v>21.7</v>
      </c>
      <c r="AC576" s="35">
        <v>20</v>
      </c>
      <c r="AD576" s="35">
        <v>21.7</v>
      </c>
      <c r="AE576" s="35">
        <v>20</v>
      </c>
    </row>
    <row r="577" spans="1:31" x14ac:dyDescent="0.35">
      <c r="A577" s="36">
        <v>46059.859027777777</v>
      </c>
      <c r="B577" s="35">
        <v>-21.1</v>
      </c>
      <c r="C577" s="35">
        <v>18.8</v>
      </c>
      <c r="D577" s="35">
        <v>-23</v>
      </c>
      <c r="E577" s="35">
        <v>-22.9</v>
      </c>
      <c r="F577" s="35">
        <v>-24.4</v>
      </c>
      <c r="G577" s="35">
        <v>-23</v>
      </c>
      <c r="H577" s="35">
        <v>-21.7</v>
      </c>
      <c r="I577" s="35">
        <v>-22.2</v>
      </c>
      <c r="J577" s="35">
        <v>-23</v>
      </c>
      <c r="K577" s="35">
        <v>-21.9</v>
      </c>
      <c r="L577" s="35">
        <v>-17.7</v>
      </c>
      <c r="M577" s="35">
        <v>-23</v>
      </c>
      <c r="N577" s="35">
        <v>-4.0999999999999996</v>
      </c>
      <c r="O577" s="35">
        <v>9</v>
      </c>
      <c r="P577" s="35">
        <v>-5</v>
      </c>
      <c r="Q577" s="35">
        <v>-3.8</v>
      </c>
      <c r="R577" s="35">
        <v>-5.3</v>
      </c>
      <c r="S577" s="35">
        <v>-5</v>
      </c>
      <c r="T577" s="35">
        <v>9.6999999999999993</v>
      </c>
      <c r="U577" s="35">
        <v>9</v>
      </c>
      <c r="V577" s="35">
        <v>9.9</v>
      </c>
      <c r="W577" s="35">
        <v>9</v>
      </c>
      <c r="X577" s="35">
        <v>10.7</v>
      </c>
      <c r="Y577" s="35">
        <v>9</v>
      </c>
      <c r="Z577" s="35">
        <v>11.4</v>
      </c>
      <c r="AA577" s="35">
        <v>9</v>
      </c>
      <c r="AB577" s="35">
        <v>21.7</v>
      </c>
      <c r="AC577" s="35">
        <v>20</v>
      </c>
      <c r="AD577" s="35">
        <v>21.7</v>
      </c>
      <c r="AE577" s="35">
        <v>20</v>
      </c>
    </row>
    <row r="578" spans="1:31" x14ac:dyDescent="0.35">
      <c r="A578" s="36">
        <v>46059.859722222223</v>
      </c>
      <c r="B578" s="35">
        <v>-21.1</v>
      </c>
      <c r="C578" s="35">
        <v>17</v>
      </c>
      <c r="D578" s="35">
        <v>-23</v>
      </c>
      <c r="E578" s="35">
        <v>-22.9</v>
      </c>
      <c r="F578" s="35">
        <v>-24.1</v>
      </c>
      <c r="G578" s="35">
        <v>-23</v>
      </c>
      <c r="H578" s="35">
        <v>-21.7</v>
      </c>
      <c r="I578" s="35">
        <v>-22.2</v>
      </c>
      <c r="J578" s="35">
        <v>-23</v>
      </c>
      <c r="K578" s="35">
        <v>-21.9</v>
      </c>
      <c r="L578" s="35">
        <v>-17.600000000000001</v>
      </c>
      <c r="M578" s="35">
        <v>-23</v>
      </c>
      <c r="N578" s="35">
        <v>-4.0999999999999996</v>
      </c>
      <c r="O578" s="35">
        <v>12.1</v>
      </c>
      <c r="P578" s="35">
        <v>-5</v>
      </c>
      <c r="Q578" s="35">
        <v>-3.8</v>
      </c>
      <c r="R578" s="35">
        <v>-5.3</v>
      </c>
      <c r="S578" s="35">
        <v>-5</v>
      </c>
      <c r="T578" s="35">
        <v>9.9</v>
      </c>
      <c r="U578" s="35">
        <v>9</v>
      </c>
      <c r="V578" s="35">
        <v>9.9</v>
      </c>
      <c r="W578" s="35">
        <v>9</v>
      </c>
      <c r="X578" s="35">
        <v>10.7</v>
      </c>
      <c r="Y578" s="35">
        <v>9</v>
      </c>
      <c r="Z578" s="35">
        <v>11.4</v>
      </c>
      <c r="AA578" s="35">
        <v>9</v>
      </c>
      <c r="AB578" s="35">
        <v>21.7</v>
      </c>
      <c r="AC578" s="35">
        <v>20</v>
      </c>
      <c r="AD578" s="35">
        <v>21.7</v>
      </c>
      <c r="AE578" s="35">
        <v>20</v>
      </c>
    </row>
    <row r="579" spans="1:31" x14ac:dyDescent="0.35">
      <c r="A579" s="36">
        <v>46059.86041666667</v>
      </c>
      <c r="B579" s="35">
        <v>-21.1</v>
      </c>
      <c r="C579" s="35">
        <v>14.2</v>
      </c>
      <c r="D579" s="35">
        <v>-23</v>
      </c>
      <c r="E579" s="35">
        <v>-23</v>
      </c>
      <c r="F579" s="35">
        <v>-23.8</v>
      </c>
      <c r="G579" s="35">
        <v>-23</v>
      </c>
      <c r="H579" s="35">
        <v>-21.7</v>
      </c>
      <c r="I579" s="35">
        <v>-22.3</v>
      </c>
      <c r="J579" s="35">
        <v>-23</v>
      </c>
      <c r="K579" s="35">
        <v>-21.9</v>
      </c>
      <c r="L579" s="35">
        <v>-17.600000000000001</v>
      </c>
      <c r="M579" s="35">
        <v>-23</v>
      </c>
      <c r="N579" s="35">
        <v>-4.0999999999999996</v>
      </c>
      <c r="O579" s="35">
        <v>16.399999999999999</v>
      </c>
      <c r="P579" s="35">
        <v>-5</v>
      </c>
      <c r="Q579" s="35">
        <v>-3.8</v>
      </c>
      <c r="R579" s="35">
        <v>-5.4</v>
      </c>
      <c r="S579" s="35">
        <v>-5</v>
      </c>
      <c r="T579" s="35">
        <v>10</v>
      </c>
      <c r="U579" s="35">
        <v>9</v>
      </c>
      <c r="V579" s="35">
        <v>10</v>
      </c>
      <c r="W579" s="35">
        <v>9</v>
      </c>
      <c r="X579" s="35">
        <v>10.7</v>
      </c>
      <c r="Y579" s="35">
        <v>9</v>
      </c>
      <c r="Z579" s="35">
        <v>11.4</v>
      </c>
      <c r="AA579" s="35">
        <v>9</v>
      </c>
      <c r="AB579" s="35">
        <v>21.7</v>
      </c>
      <c r="AC579" s="35">
        <v>20</v>
      </c>
      <c r="AD579" s="35">
        <v>21.7</v>
      </c>
      <c r="AE579" s="35">
        <v>20</v>
      </c>
    </row>
    <row r="580" spans="1:31" x14ac:dyDescent="0.35">
      <c r="A580" s="36">
        <v>46059.861111111109</v>
      </c>
      <c r="B580" s="35">
        <v>-22.1</v>
      </c>
      <c r="C580" s="35">
        <v>10.5</v>
      </c>
      <c r="D580" s="35">
        <v>-23</v>
      </c>
      <c r="E580" s="35">
        <v>-22.9</v>
      </c>
      <c r="F580" s="35">
        <v>-23.3</v>
      </c>
      <c r="G580" s="35">
        <v>-23</v>
      </c>
      <c r="H580" s="35">
        <v>-21.8</v>
      </c>
      <c r="I580" s="35">
        <v>-23.2</v>
      </c>
      <c r="J580" s="35">
        <v>-23</v>
      </c>
      <c r="K580" s="35">
        <v>-22.3</v>
      </c>
      <c r="L580" s="35">
        <v>-17.600000000000001</v>
      </c>
      <c r="M580" s="35">
        <v>-23</v>
      </c>
      <c r="N580" s="35">
        <v>-4.0999999999999996</v>
      </c>
      <c r="O580" s="35">
        <v>20.6</v>
      </c>
      <c r="P580" s="35">
        <v>-5</v>
      </c>
      <c r="Q580" s="35">
        <v>-3.9</v>
      </c>
      <c r="R580" s="35">
        <v>-5.4</v>
      </c>
      <c r="S580" s="35">
        <v>-5</v>
      </c>
      <c r="T580" s="35">
        <v>10.199999999999999</v>
      </c>
      <c r="U580" s="35">
        <v>9</v>
      </c>
      <c r="V580" s="35">
        <v>10</v>
      </c>
      <c r="W580" s="35">
        <v>9</v>
      </c>
      <c r="X580" s="35">
        <v>10.7</v>
      </c>
      <c r="Y580" s="35">
        <v>9</v>
      </c>
      <c r="Z580" s="35">
        <v>11.4</v>
      </c>
      <c r="AA580" s="35">
        <v>9</v>
      </c>
      <c r="AB580" s="35">
        <v>21.8</v>
      </c>
      <c r="AC580" s="35">
        <v>20</v>
      </c>
      <c r="AD580" s="35">
        <v>21.7</v>
      </c>
      <c r="AE580" s="35">
        <v>20</v>
      </c>
    </row>
    <row r="581" spans="1:31" x14ac:dyDescent="0.35">
      <c r="A581" s="36">
        <v>46059.861805555556</v>
      </c>
      <c r="B581" s="35">
        <v>-21.7</v>
      </c>
      <c r="C581" s="35">
        <v>7.1</v>
      </c>
      <c r="D581" s="35">
        <v>-23</v>
      </c>
      <c r="E581" s="35">
        <v>-22.5</v>
      </c>
      <c r="F581" s="35">
        <v>-22.8</v>
      </c>
      <c r="G581" s="35">
        <v>-23</v>
      </c>
      <c r="H581" s="35">
        <v>-22</v>
      </c>
      <c r="I581" s="35">
        <v>-23.2</v>
      </c>
      <c r="J581" s="35">
        <v>-23</v>
      </c>
      <c r="K581" s="35">
        <v>-22.5</v>
      </c>
      <c r="L581" s="35">
        <v>-17.600000000000001</v>
      </c>
      <c r="M581" s="35">
        <v>-23</v>
      </c>
      <c r="N581" s="35">
        <v>-4.0999999999999996</v>
      </c>
      <c r="O581" s="35">
        <v>24.7</v>
      </c>
      <c r="P581" s="35">
        <v>-5</v>
      </c>
      <c r="Q581" s="35">
        <v>-3.9</v>
      </c>
      <c r="R581" s="35">
        <v>-5.4</v>
      </c>
      <c r="S581" s="35">
        <v>-5</v>
      </c>
      <c r="T581" s="35">
        <v>10.3</v>
      </c>
      <c r="U581" s="35">
        <v>9</v>
      </c>
      <c r="V581" s="35">
        <v>10.1</v>
      </c>
      <c r="W581" s="35">
        <v>9</v>
      </c>
      <c r="X581" s="35">
        <v>10.6</v>
      </c>
      <c r="Y581" s="35">
        <v>9</v>
      </c>
      <c r="Z581" s="35">
        <v>11.4</v>
      </c>
      <c r="AA581" s="35">
        <v>9</v>
      </c>
      <c r="AB581" s="35">
        <v>21.8</v>
      </c>
      <c r="AC581" s="35">
        <v>20</v>
      </c>
      <c r="AD581" s="35">
        <v>21.7</v>
      </c>
      <c r="AE581" s="35">
        <v>20</v>
      </c>
    </row>
    <row r="582" spans="1:31" x14ac:dyDescent="0.35">
      <c r="A582" s="36">
        <v>46059.862500000003</v>
      </c>
      <c r="B582" s="35">
        <v>-21.3</v>
      </c>
      <c r="C582" s="35">
        <v>4.0999999999999996</v>
      </c>
      <c r="D582" s="35">
        <v>-23</v>
      </c>
      <c r="E582" s="35">
        <v>-22.2</v>
      </c>
      <c r="F582" s="35">
        <v>-22.4</v>
      </c>
      <c r="G582" s="35">
        <v>-23</v>
      </c>
      <c r="H582" s="35">
        <v>-22.1</v>
      </c>
      <c r="I582" s="35">
        <v>-23.2</v>
      </c>
      <c r="J582" s="35">
        <v>-23</v>
      </c>
      <c r="K582" s="35">
        <v>-22.8</v>
      </c>
      <c r="L582" s="35">
        <v>-17.600000000000001</v>
      </c>
      <c r="M582" s="35">
        <v>-23</v>
      </c>
      <c r="N582" s="35">
        <v>-4.0999999999999996</v>
      </c>
      <c r="O582" s="35">
        <v>25.6</v>
      </c>
      <c r="P582" s="35">
        <v>-5</v>
      </c>
      <c r="Q582" s="35">
        <v>-3.9</v>
      </c>
      <c r="R582" s="35">
        <v>-5.5</v>
      </c>
      <c r="S582" s="35">
        <v>-5</v>
      </c>
      <c r="T582" s="35">
        <v>10.4</v>
      </c>
      <c r="U582" s="35">
        <v>9</v>
      </c>
      <c r="V582" s="35">
        <v>10.1</v>
      </c>
      <c r="W582" s="35">
        <v>9</v>
      </c>
      <c r="X582" s="35">
        <v>10.3</v>
      </c>
      <c r="Y582" s="35">
        <v>9</v>
      </c>
      <c r="Z582" s="35">
        <v>11.4</v>
      </c>
      <c r="AA582" s="35">
        <v>9</v>
      </c>
      <c r="AB582" s="35">
        <v>21.8</v>
      </c>
      <c r="AC582" s="35">
        <v>20</v>
      </c>
      <c r="AD582" s="35">
        <v>21.7</v>
      </c>
      <c r="AE582" s="35">
        <v>20</v>
      </c>
    </row>
    <row r="583" spans="1:31" x14ac:dyDescent="0.35">
      <c r="A583" s="36">
        <v>46059.863194444442</v>
      </c>
      <c r="B583" s="35">
        <v>-21.1</v>
      </c>
      <c r="C583" s="35">
        <v>1.5</v>
      </c>
      <c r="D583" s="35">
        <v>-23</v>
      </c>
      <c r="E583" s="35">
        <v>-21.9</v>
      </c>
      <c r="F583" s="35">
        <v>-22.1</v>
      </c>
      <c r="G583" s="35">
        <v>-23</v>
      </c>
      <c r="H583" s="35">
        <v>-22.3</v>
      </c>
      <c r="I583" s="35">
        <v>-23.2</v>
      </c>
      <c r="J583" s="35">
        <v>-23</v>
      </c>
      <c r="K583" s="35">
        <v>-23</v>
      </c>
      <c r="L583" s="35">
        <v>-17.600000000000001</v>
      </c>
      <c r="M583" s="35">
        <v>-23</v>
      </c>
      <c r="N583" s="35">
        <v>-4.0999999999999996</v>
      </c>
      <c r="O583" s="35">
        <v>23.3</v>
      </c>
      <c r="P583" s="35">
        <v>-5</v>
      </c>
      <c r="Q583" s="35">
        <v>-3.9</v>
      </c>
      <c r="R583" s="35">
        <v>-5.5</v>
      </c>
      <c r="S583" s="35">
        <v>-5</v>
      </c>
      <c r="T583" s="35">
        <v>10.5</v>
      </c>
      <c r="U583" s="35">
        <v>9</v>
      </c>
      <c r="V583" s="35">
        <v>10.199999999999999</v>
      </c>
      <c r="W583" s="35">
        <v>9</v>
      </c>
      <c r="X583" s="35">
        <v>10.199999999999999</v>
      </c>
      <c r="Y583" s="35">
        <v>9</v>
      </c>
      <c r="Z583" s="35">
        <v>11.4</v>
      </c>
      <c r="AA583" s="35">
        <v>9</v>
      </c>
      <c r="AB583" s="35">
        <v>21.8</v>
      </c>
      <c r="AC583" s="35">
        <v>20</v>
      </c>
      <c r="AD583" s="35">
        <v>21.7</v>
      </c>
      <c r="AE583" s="35">
        <v>20</v>
      </c>
    </row>
    <row r="584" spans="1:31" x14ac:dyDescent="0.35">
      <c r="A584" s="36">
        <v>46059.863888888889</v>
      </c>
      <c r="B584" s="35">
        <v>-20.8</v>
      </c>
      <c r="C584" s="35">
        <v>-0.5</v>
      </c>
      <c r="D584" s="35">
        <v>-23</v>
      </c>
      <c r="E584" s="35">
        <v>-21.6</v>
      </c>
      <c r="F584" s="35">
        <v>-21.8</v>
      </c>
      <c r="G584" s="35">
        <v>-23</v>
      </c>
      <c r="H584" s="35">
        <v>-22.5</v>
      </c>
      <c r="I584" s="35">
        <v>-23.3</v>
      </c>
      <c r="J584" s="35">
        <v>-23</v>
      </c>
      <c r="K584" s="35">
        <v>-23.1</v>
      </c>
      <c r="L584" s="35">
        <v>-17.600000000000001</v>
      </c>
      <c r="M584" s="35">
        <v>-23</v>
      </c>
      <c r="N584" s="35">
        <v>-4.0999999999999996</v>
      </c>
      <c r="O584" s="35">
        <v>22.4</v>
      </c>
      <c r="P584" s="35">
        <v>-5</v>
      </c>
      <c r="Q584" s="35">
        <v>-4</v>
      </c>
      <c r="R584" s="35">
        <v>-5.5</v>
      </c>
      <c r="S584" s="35">
        <v>-5</v>
      </c>
      <c r="T584" s="35">
        <v>10.6</v>
      </c>
      <c r="U584" s="35">
        <v>9</v>
      </c>
      <c r="V584" s="35">
        <v>10.3</v>
      </c>
      <c r="W584" s="35">
        <v>9</v>
      </c>
      <c r="X584" s="35">
        <v>10.1</v>
      </c>
      <c r="Y584" s="35">
        <v>9</v>
      </c>
      <c r="Z584" s="35">
        <v>11.4</v>
      </c>
      <c r="AA584" s="35">
        <v>9</v>
      </c>
      <c r="AB584" s="35">
        <v>21.8</v>
      </c>
      <c r="AC584" s="35">
        <v>20</v>
      </c>
      <c r="AD584" s="35">
        <v>21.7</v>
      </c>
      <c r="AE584" s="35">
        <v>20</v>
      </c>
    </row>
    <row r="585" spans="1:31" x14ac:dyDescent="0.35">
      <c r="A585" s="36">
        <v>46059.864583333336</v>
      </c>
      <c r="B585" s="35">
        <v>-20.6</v>
      </c>
      <c r="C585" s="35">
        <v>-2.2999999999999998</v>
      </c>
      <c r="D585" s="35">
        <v>-23</v>
      </c>
      <c r="E585" s="35">
        <v>-21.4</v>
      </c>
      <c r="F585" s="35">
        <v>-21.5</v>
      </c>
      <c r="G585" s="35">
        <v>-23</v>
      </c>
      <c r="H585" s="35">
        <v>-22.6</v>
      </c>
      <c r="I585" s="35">
        <v>-23.4</v>
      </c>
      <c r="J585" s="35">
        <v>-23</v>
      </c>
      <c r="K585" s="35">
        <v>-23.3</v>
      </c>
      <c r="L585" s="35">
        <v>-17.7</v>
      </c>
      <c r="M585" s="35">
        <v>-23</v>
      </c>
      <c r="N585" s="35">
        <v>10.199999999999999</v>
      </c>
      <c r="O585" s="35">
        <v>21.3</v>
      </c>
      <c r="P585" s="35">
        <v>-5</v>
      </c>
      <c r="Q585" s="35">
        <v>-4</v>
      </c>
      <c r="R585" s="35">
        <v>-5.5</v>
      </c>
      <c r="S585" s="35">
        <v>-5</v>
      </c>
      <c r="T585" s="35">
        <v>10.7</v>
      </c>
      <c r="U585" s="35">
        <v>9</v>
      </c>
      <c r="V585" s="35">
        <v>10.4</v>
      </c>
      <c r="W585" s="35">
        <v>9</v>
      </c>
      <c r="X585" s="35">
        <v>10</v>
      </c>
      <c r="Y585" s="35">
        <v>9</v>
      </c>
      <c r="Z585" s="35">
        <v>11.3</v>
      </c>
      <c r="AA585" s="35">
        <v>9</v>
      </c>
      <c r="AB585" s="35">
        <v>21.8</v>
      </c>
      <c r="AC585" s="35">
        <v>20</v>
      </c>
      <c r="AD585" s="35">
        <v>21.7</v>
      </c>
      <c r="AE585" s="35">
        <v>20</v>
      </c>
    </row>
    <row r="586" spans="1:31" x14ac:dyDescent="0.35">
      <c r="A586" s="36">
        <v>46059.865277777775</v>
      </c>
      <c r="B586" s="35">
        <v>-20.399999999999999</v>
      </c>
      <c r="C586" s="35">
        <v>-3.9</v>
      </c>
      <c r="D586" s="35">
        <v>-23</v>
      </c>
      <c r="E586" s="35">
        <v>-21.2</v>
      </c>
      <c r="F586" s="35">
        <v>-21.3</v>
      </c>
      <c r="G586" s="35">
        <v>-23</v>
      </c>
      <c r="H586" s="35">
        <v>-22.7</v>
      </c>
      <c r="I586" s="35">
        <v>-23.6</v>
      </c>
      <c r="J586" s="35">
        <v>-23</v>
      </c>
      <c r="K586" s="35">
        <v>-23.4</v>
      </c>
      <c r="L586" s="35">
        <v>-17.8</v>
      </c>
      <c r="M586" s="35">
        <v>-23</v>
      </c>
      <c r="N586" s="35">
        <v>9.3000000000000007</v>
      </c>
      <c r="O586" s="35">
        <v>19.5</v>
      </c>
      <c r="P586" s="35">
        <v>-5</v>
      </c>
      <c r="Q586" s="35">
        <v>-4</v>
      </c>
      <c r="R586" s="35">
        <v>-5.5</v>
      </c>
      <c r="S586" s="35">
        <v>-5</v>
      </c>
      <c r="T586" s="35">
        <v>10.8</v>
      </c>
      <c r="U586" s="35">
        <v>9</v>
      </c>
      <c r="V586" s="35">
        <v>10.4</v>
      </c>
      <c r="W586" s="35">
        <v>9</v>
      </c>
      <c r="X586" s="35">
        <v>10</v>
      </c>
      <c r="Y586" s="35">
        <v>9</v>
      </c>
      <c r="Z586" s="35">
        <v>11.3</v>
      </c>
      <c r="AA586" s="35">
        <v>9</v>
      </c>
      <c r="AB586" s="35">
        <v>21.8</v>
      </c>
      <c r="AC586" s="35">
        <v>20</v>
      </c>
      <c r="AD586" s="35">
        <v>21.7</v>
      </c>
      <c r="AE586" s="35">
        <v>20</v>
      </c>
    </row>
    <row r="587" spans="1:31" x14ac:dyDescent="0.35">
      <c r="A587" s="36">
        <v>46059.865972222222</v>
      </c>
      <c r="B587" s="35">
        <v>-20.3</v>
      </c>
      <c r="C587" s="35">
        <v>-5.5</v>
      </c>
      <c r="D587" s="35">
        <v>-23</v>
      </c>
      <c r="E587" s="35">
        <v>-21</v>
      </c>
      <c r="F587" s="35">
        <v>-21</v>
      </c>
      <c r="G587" s="35">
        <v>-23</v>
      </c>
      <c r="H587" s="35">
        <v>-22.9</v>
      </c>
      <c r="I587" s="35">
        <v>-23.6</v>
      </c>
      <c r="J587" s="35">
        <v>-23</v>
      </c>
      <c r="K587" s="35">
        <v>-23.5</v>
      </c>
      <c r="L587" s="35">
        <v>-17.899999999999999</v>
      </c>
      <c r="M587" s="35">
        <v>-23</v>
      </c>
      <c r="N587" s="35">
        <v>4.8</v>
      </c>
      <c r="O587" s="35">
        <v>19.100000000000001</v>
      </c>
      <c r="P587" s="35">
        <v>-5</v>
      </c>
      <c r="Q587" s="35">
        <v>-4</v>
      </c>
      <c r="R587" s="35">
        <v>-5.5</v>
      </c>
      <c r="S587" s="35">
        <v>-5</v>
      </c>
      <c r="T587" s="35">
        <v>10.8</v>
      </c>
      <c r="U587" s="35">
        <v>9</v>
      </c>
      <c r="V587" s="35">
        <v>10.4</v>
      </c>
      <c r="W587" s="35">
        <v>9</v>
      </c>
      <c r="X587" s="35">
        <v>10</v>
      </c>
      <c r="Y587" s="35">
        <v>9</v>
      </c>
      <c r="Z587" s="35">
        <v>11.3</v>
      </c>
      <c r="AA587" s="35">
        <v>9</v>
      </c>
      <c r="AB587" s="35">
        <v>21.8</v>
      </c>
      <c r="AC587" s="35">
        <v>20</v>
      </c>
      <c r="AD587" s="35">
        <v>21.7</v>
      </c>
      <c r="AE587" s="35">
        <v>20</v>
      </c>
    </row>
    <row r="588" spans="1:31" x14ac:dyDescent="0.35">
      <c r="A588" s="36">
        <v>46059.866666666669</v>
      </c>
      <c r="B588" s="35">
        <v>-20.9</v>
      </c>
      <c r="C588" s="35">
        <v>-6.9</v>
      </c>
      <c r="D588" s="35">
        <v>-23</v>
      </c>
      <c r="E588" s="35">
        <v>-20.9</v>
      </c>
      <c r="F588" s="35">
        <v>-21.5</v>
      </c>
      <c r="G588" s="35">
        <v>-23</v>
      </c>
      <c r="H588" s="35">
        <v>-23</v>
      </c>
      <c r="I588" s="35">
        <v>-23.6</v>
      </c>
      <c r="J588" s="35">
        <v>-23</v>
      </c>
      <c r="K588" s="35">
        <v>-23.5</v>
      </c>
      <c r="L588" s="35">
        <v>-18</v>
      </c>
      <c r="M588" s="35">
        <v>-23</v>
      </c>
      <c r="N588" s="35">
        <v>1.8</v>
      </c>
      <c r="O588" s="35">
        <v>13.1</v>
      </c>
      <c r="P588" s="35">
        <v>-5</v>
      </c>
      <c r="Q588" s="35">
        <v>-4</v>
      </c>
      <c r="R588" s="35">
        <v>-5.6</v>
      </c>
      <c r="S588" s="35">
        <v>-5</v>
      </c>
      <c r="T588" s="35">
        <v>10.9</v>
      </c>
      <c r="U588" s="35">
        <v>9</v>
      </c>
      <c r="V588" s="35">
        <v>10.4</v>
      </c>
      <c r="W588" s="35">
        <v>9</v>
      </c>
      <c r="X588" s="35">
        <v>10</v>
      </c>
      <c r="Y588" s="35">
        <v>9</v>
      </c>
      <c r="Z588" s="35">
        <v>11.3</v>
      </c>
      <c r="AA588" s="35">
        <v>9</v>
      </c>
      <c r="AB588" s="35">
        <v>21.8</v>
      </c>
      <c r="AC588" s="35">
        <v>20</v>
      </c>
      <c r="AD588" s="35">
        <v>21.7</v>
      </c>
      <c r="AE588" s="35">
        <v>20</v>
      </c>
    </row>
    <row r="589" spans="1:31" x14ac:dyDescent="0.35">
      <c r="A589" s="36">
        <v>46059.867361111108</v>
      </c>
      <c r="B589" s="35">
        <v>-21.7</v>
      </c>
      <c r="C589" s="35">
        <v>-8.3000000000000007</v>
      </c>
      <c r="D589" s="35">
        <v>-23</v>
      </c>
      <c r="E589" s="35">
        <v>-21.2</v>
      </c>
      <c r="F589" s="35">
        <v>-22.8</v>
      </c>
      <c r="G589" s="35">
        <v>-23</v>
      </c>
      <c r="H589" s="35">
        <v>-23</v>
      </c>
      <c r="I589" s="35">
        <v>-23.5</v>
      </c>
      <c r="J589" s="35">
        <v>-23</v>
      </c>
      <c r="K589" s="35">
        <v>-23.3</v>
      </c>
      <c r="L589" s="35">
        <v>-18.2</v>
      </c>
      <c r="M589" s="35">
        <v>-23</v>
      </c>
      <c r="N589" s="35">
        <v>0.5</v>
      </c>
      <c r="O589" s="35">
        <v>8.8000000000000007</v>
      </c>
      <c r="P589" s="35">
        <v>-5</v>
      </c>
      <c r="Q589" s="35">
        <v>-4</v>
      </c>
      <c r="R589" s="35">
        <v>-5.6</v>
      </c>
      <c r="S589" s="35">
        <v>-5</v>
      </c>
      <c r="T589" s="35">
        <v>11</v>
      </c>
      <c r="U589" s="35">
        <v>9</v>
      </c>
      <c r="V589" s="35">
        <v>10.5</v>
      </c>
      <c r="W589" s="35">
        <v>9</v>
      </c>
      <c r="X589" s="35">
        <v>10</v>
      </c>
      <c r="Y589" s="35">
        <v>9</v>
      </c>
      <c r="Z589" s="35">
        <v>11.3</v>
      </c>
      <c r="AA589" s="35">
        <v>9</v>
      </c>
      <c r="AB589" s="35">
        <v>21.8</v>
      </c>
      <c r="AC589" s="35">
        <v>20</v>
      </c>
      <c r="AD589" s="35">
        <v>21.7</v>
      </c>
      <c r="AE589" s="35">
        <v>20</v>
      </c>
    </row>
    <row r="590" spans="1:31" x14ac:dyDescent="0.35">
      <c r="A590" s="36">
        <v>46059.868055555555</v>
      </c>
      <c r="B590" s="35">
        <v>-22.2</v>
      </c>
      <c r="C590" s="35">
        <v>-9.4</v>
      </c>
      <c r="D590" s="35">
        <v>-23</v>
      </c>
      <c r="E590" s="35">
        <v>-21.7</v>
      </c>
      <c r="F590" s="35">
        <v>-22.9</v>
      </c>
      <c r="G590" s="35">
        <v>-23</v>
      </c>
      <c r="H590" s="35">
        <v>-22.9</v>
      </c>
      <c r="I590" s="35">
        <v>-23.2</v>
      </c>
      <c r="J590" s="35">
        <v>-23</v>
      </c>
      <c r="K590" s="35">
        <v>-23</v>
      </c>
      <c r="L590" s="35">
        <v>-18.3</v>
      </c>
      <c r="M590" s="35">
        <v>-23</v>
      </c>
      <c r="N590" s="35">
        <v>0</v>
      </c>
      <c r="O590" s="35">
        <v>6.4</v>
      </c>
      <c r="P590" s="35">
        <v>-5</v>
      </c>
      <c r="Q590" s="35">
        <v>-4</v>
      </c>
      <c r="R590" s="35">
        <v>-5.6</v>
      </c>
      <c r="S590" s="35">
        <v>-5</v>
      </c>
      <c r="T590" s="35">
        <v>11</v>
      </c>
      <c r="U590" s="35">
        <v>9</v>
      </c>
      <c r="V590" s="35">
        <v>10.5</v>
      </c>
      <c r="W590" s="35">
        <v>9</v>
      </c>
      <c r="X590" s="35">
        <v>10.199999999999999</v>
      </c>
      <c r="Y590" s="35">
        <v>9</v>
      </c>
      <c r="Z590" s="35">
        <v>11.3</v>
      </c>
      <c r="AA590" s="35">
        <v>9</v>
      </c>
      <c r="AB590" s="35">
        <v>21.8</v>
      </c>
      <c r="AC590" s="35">
        <v>20</v>
      </c>
      <c r="AD590" s="35">
        <v>21.7</v>
      </c>
      <c r="AE590" s="35">
        <v>20</v>
      </c>
    </row>
    <row r="591" spans="1:31" x14ac:dyDescent="0.35">
      <c r="A591" s="36">
        <v>46059.868750000001</v>
      </c>
      <c r="B591" s="35">
        <v>-22.6</v>
      </c>
      <c r="C591" s="35">
        <v>-10.4</v>
      </c>
      <c r="D591" s="35">
        <v>-23</v>
      </c>
      <c r="E591" s="35">
        <v>-22</v>
      </c>
      <c r="F591" s="35">
        <v>-22.7</v>
      </c>
      <c r="G591" s="35">
        <v>-23</v>
      </c>
      <c r="H591" s="35">
        <v>-22.7</v>
      </c>
      <c r="I591" s="35">
        <v>-23</v>
      </c>
      <c r="J591" s="35">
        <v>-23</v>
      </c>
      <c r="K591" s="35">
        <v>-22.8</v>
      </c>
      <c r="L591" s="35">
        <v>-18.399999999999999</v>
      </c>
      <c r="M591" s="35">
        <v>-23</v>
      </c>
      <c r="N591" s="35">
        <v>-0.4</v>
      </c>
      <c r="O591" s="35">
        <v>4.3</v>
      </c>
      <c r="P591" s="35">
        <v>-5</v>
      </c>
      <c r="Q591" s="35">
        <v>-4</v>
      </c>
      <c r="R591" s="35">
        <v>-5.6</v>
      </c>
      <c r="S591" s="35">
        <v>-5</v>
      </c>
      <c r="T591" s="35">
        <v>10.5</v>
      </c>
      <c r="U591" s="35">
        <v>9</v>
      </c>
      <c r="V591" s="35">
        <v>10.5</v>
      </c>
      <c r="W591" s="35">
        <v>9</v>
      </c>
      <c r="X591" s="35">
        <v>10.6</v>
      </c>
      <c r="Y591" s="35">
        <v>9</v>
      </c>
      <c r="Z591" s="35">
        <v>11.3</v>
      </c>
      <c r="AA591" s="35">
        <v>9</v>
      </c>
      <c r="AB591" s="35">
        <v>21.8</v>
      </c>
      <c r="AC591" s="35">
        <v>20</v>
      </c>
      <c r="AD591" s="35">
        <v>21.7</v>
      </c>
      <c r="AE591" s="35">
        <v>20</v>
      </c>
    </row>
    <row r="592" spans="1:31" x14ac:dyDescent="0.35">
      <c r="A592" s="36">
        <v>46059.869444444441</v>
      </c>
      <c r="B592" s="35">
        <v>-23</v>
      </c>
      <c r="C592" s="35">
        <v>-11.4</v>
      </c>
      <c r="D592" s="35">
        <v>-23</v>
      </c>
      <c r="E592" s="35">
        <v>-22.3</v>
      </c>
      <c r="F592" s="35">
        <v>-23.2</v>
      </c>
      <c r="G592" s="35">
        <v>-23</v>
      </c>
      <c r="H592" s="35">
        <v>-22.5</v>
      </c>
      <c r="I592" s="35">
        <v>-22.8</v>
      </c>
      <c r="J592" s="35">
        <v>-23</v>
      </c>
      <c r="K592" s="35">
        <v>-22.6</v>
      </c>
      <c r="L592" s="35">
        <v>-18.5</v>
      </c>
      <c r="M592" s="35">
        <v>-23</v>
      </c>
      <c r="N592" s="35">
        <v>-0.7</v>
      </c>
      <c r="O592" s="35">
        <v>3.1</v>
      </c>
      <c r="P592" s="35">
        <v>-5</v>
      </c>
      <c r="Q592" s="35">
        <v>-4</v>
      </c>
      <c r="R592" s="35">
        <v>-5.6</v>
      </c>
      <c r="S592" s="35">
        <v>-5</v>
      </c>
      <c r="T592" s="35">
        <v>9.9</v>
      </c>
      <c r="U592" s="35">
        <v>9</v>
      </c>
      <c r="V592" s="35">
        <v>10.4</v>
      </c>
      <c r="W592" s="35">
        <v>9</v>
      </c>
      <c r="X592" s="35">
        <v>10.7</v>
      </c>
      <c r="Y592" s="35">
        <v>9</v>
      </c>
      <c r="Z592" s="35">
        <v>11.3</v>
      </c>
      <c r="AA592" s="35">
        <v>9</v>
      </c>
      <c r="AB592" s="35">
        <v>21.8</v>
      </c>
      <c r="AC592" s="35">
        <v>20</v>
      </c>
      <c r="AD592" s="35">
        <v>21.7</v>
      </c>
      <c r="AE592" s="35">
        <v>20</v>
      </c>
    </row>
    <row r="593" spans="1:31" x14ac:dyDescent="0.35">
      <c r="A593" s="36">
        <v>46059.870138888888</v>
      </c>
      <c r="B593" s="35">
        <v>-23.4</v>
      </c>
      <c r="C593" s="35">
        <v>-12.4</v>
      </c>
      <c r="D593" s="35">
        <v>-23</v>
      </c>
      <c r="E593" s="35">
        <v>-22.7</v>
      </c>
      <c r="F593" s="35">
        <v>-24.1</v>
      </c>
      <c r="G593" s="35">
        <v>-23</v>
      </c>
      <c r="H593" s="35">
        <v>-22.4</v>
      </c>
      <c r="I593" s="35">
        <v>-22.7</v>
      </c>
      <c r="J593" s="35">
        <v>-23</v>
      </c>
      <c r="K593" s="35">
        <v>-22.4</v>
      </c>
      <c r="L593" s="35">
        <v>-18.600000000000001</v>
      </c>
      <c r="M593" s="35">
        <v>-23</v>
      </c>
      <c r="N593" s="35">
        <v>-0.9</v>
      </c>
      <c r="O593" s="35">
        <v>2</v>
      </c>
      <c r="P593" s="35">
        <v>-5</v>
      </c>
      <c r="Q593" s="35">
        <v>-4.0999999999999996</v>
      </c>
      <c r="R593" s="35">
        <v>-5.7</v>
      </c>
      <c r="S593" s="35">
        <v>-5</v>
      </c>
      <c r="T593" s="35">
        <v>9.4</v>
      </c>
      <c r="U593" s="35">
        <v>9</v>
      </c>
      <c r="V593" s="35">
        <v>10.3</v>
      </c>
      <c r="W593" s="35">
        <v>9</v>
      </c>
      <c r="X593" s="35">
        <v>10.8</v>
      </c>
      <c r="Y593" s="35">
        <v>9</v>
      </c>
      <c r="Z593" s="35">
        <v>11.3</v>
      </c>
      <c r="AA593" s="35">
        <v>9</v>
      </c>
      <c r="AB593" s="35">
        <v>21.8</v>
      </c>
      <c r="AC593" s="35">
        <v>20</v>
      </c>
      <c r="AD593" s="35">
        <v>21.7</v>
      </c>
      <c r="AE593" s="35">
        <v>20</v>
      </c>
    </row>
    <row r="594" spans="1:31" x14ac:dyDescent="0.35">
      <c r="A594" s="36">
        <v>46059.870833333334</v>
      </c>
      <c r="B594" s="35">
        <v>-23.7</v>
      </c>
      <c r="C594" s="35">
        <v>-13.4</v>
      </c>
      <c r="D594" s="35">
        <v>-23</v>
      </c>
      <c r="E594" s="35">
        <v>-22.9</v>
      </c>
      <c r="F594" s="35">
        <v>-24.6</v>
      </c>
      <c r="G594" s="35">
        <v>-23</v>
      </c>
      <c r="H594" s="35">
        <v>-22.2</v>
      </c>
      <c r="I594" s="35">
        <v>-22.5</v>
      </c>
      <c r="J594" s="35">
        <v>-23</v>
      </c>
      <c r="K594" s="35">
        <v>-22.2</v>
      </c>
      <c r="L594" s="35">
        <v>-18.600000000000001</v>
      </c>
      <c r="M594" s="35">
        <v>-23</v>
      </c>
      <c r="N594" s="35">
        <v>-1</v>
      </c>
      <c r="O594" s="35">
        <v>1</v>
      </c>
      <c r="P594" s="35">
        <v>-5</v>
      </c>
      <c r="Q594" s="35">
        <v>-4.0999999999999996</v>
      </c>
      <c r="R594" s="35">
        <v>-5.7</v>
      </c>
      <c r="S594" s="35">
        <v>-5</v>
      </c>
      <c r="T594" s="35">
        <v>9</v>
      </c>
      <c r="U594" s="35">
        <v>9</v>
      </c>
      <c r="V594" s="35">
        <v>10.199999999999999</v>
      </c>
      <c r="W594" s="35">
        <v>9</v>
      </c>
      <c r="X594" s="35">
        <v>10.8</v>
      </c>
      <c r="Y594" s="35">
        <v>9</v>
      </c>
      <c r="Z594" s="35">
        <v>11.3</v>
      </c>
      <c r="AA594" s="35">
        <v>9</v>
      </c>
      <c r="AB594" s="35">
        <v>21.8</v>
      </c>
      <c r="AC594" s="35">
        <v>20</v>
      </c>
      <c r="AD594" s="35">
        <v>21.7</v>
      </c>
      <c r="AE594" s="35">
        <v>20</v>
      </c>
    </row>
    <row r="595" spans="1:31" x14ac:dyDescent="0.35">
      <c r="A595" s="36">
        <v>46059.871527777781</v>
      </c>
      <c r="B595" s="35">
        <v>-23.9</v>
      </c>
      <c r="C595" s="35">
        <v>-14.2</v>
      </c>
      <c r="D595" s="35">
        <v>-23</v>
      </c>
      <c r="E595" s="35">
        <v>-23.2</v>
      </c>
      <c r="F595" s="35">
        <v>-24.8</v>
      </c>
      <c r="G595" s="35">
        <v>-23</v>
      </c>
      <c r="H595" s="35">
        <v>-22.1</v>
      </c>
      <c r="I595" s="35">
        <v>-22.4</v>
      </c>
      <c r="J595" s="35">
        <v>-23</v>
      </c>
      <c r="K595" s="35">
        <v>-22.1</v>
      </c>
      <c r="L595" s="35">
        <v>-18.600000000000001</v>
      </c>
      <c r="M595" s="35">
        <v>-23</v>
      </c>
      <c r="N595" s="35">
        <v>-1.2</v>
      </c>
      <c r="O595" s="35">
        <v>0.4</v>
      </c>
      <c r="P595" s="35">
        <v>-5</v>
      </c>
      <c r="Q595" s="35">
        <v>-4.0999999999999996</v>
      </c>
      <c r="R595" s="35">
        <v>-5.7</v>
      </c>
      <c r="S595" s="35">
        <v>-5</v>
      </c>
      <c r="T595" s="35">
        <v>8.6999999999999993</v>
      </c>
      <c r="U595" s="35">
        <v>9</v>
      </c>
      <c r="V595" s="35">
        <v>10</v>
      </c>
      <c r="W595" s="35">
        <v>9</v>
      </c>
      <c r="X595" s="35">
        <v>10.8</v>
      </c>
      <c r="Y595" s="35">
        <v>9</v>
      </c>
      <c r="Z595" s="35">
        <v>11.3</v>
      </c>
      <c r="AA595" s="35">
        <v>9</v>
      </c>
      <c r="AB595" s="35">
        <v>21.8</v>
      </c>
      <c r="AC595" s="35">
        <v>20</v>
      </c>
      <c r="AD595" s="35">
        <v>21.7</v>
      </c>
      <c r="AE595" s="35">
        <v>20</v>
      </c>
    </row>
    <row r="596" spans="1:31" x14ac:dyDescent="0.35">
      <c r="A596" s="36">
        <v>46059.872916666667</v>
      </c>
      <c r="B596" s="35">
        <v>-22.9</v>
      </c>
      <c r="C596" s="35">
        <v>-15.6</v>
      </c>
      <c r="D596" s="35">
        <v>-23</v>
      </c>
      <c r="E596" s="35">
        <v>-23</v>
      </c>
      <c r="F596" s="35">
        <v>-23.2</v>
      </c>
      <c r="G596" s="35">
        <v>-23</v>
      </c>
      <c r="H596" s="35">
        <v>-21.8</v>
      </c>
      <c r="I596" s="35">
        <v>-22.1</v>
      </c>
      <c r="J596" s="35">
        <v>-23</v>
      </c>
      <c r="K596" s="35">
        <v>-21.8</v>
      </c>
      <c r="L596" s="35">
        <v>-18.600000000000001</v>
      </c>
      <c r="M596" s="35">
        <v>-23</v>
      </c>
      <c r="N596" s="35">
        <v>-1.5</v>
      </c>
      <c r="O596" s="35">
        <v>-0.6</v>
      </c>
      <c r="P596" s="35">
        <v>-5</v>
      </c>
      <c r="Q596" s="35">
        <v>-4.4000000000000004</v>
      </c>
      <c r="R596" s="35">
        <v>-5.8</v>
      </c>
      <c r="S596" s="35">
        <v>-5</v>
      </c>
      <c r="T596" s="35">
        <v>8.9</v>
      </c>
      <c r="U596" s="35">
        <v>9</v>
      </c>
      <c r="V596" s="35">
        <v>9.8000000000000007</v>
      </c>
      <c r="W596" s="35">
        <v>9</v>
      </c>
      <c r="X596" s="35">
        <v>10.8</v>
      </c>
      <c r="Y596" s="35">
        <v>9</v>
      </c>
      <c r="Z596" s="35">
        <v>11.4</v>
      </c>
      <c r="AA596" s="35">
        <v>9</v>
      </c>
      <c r="AB596" s="35">
        <v>21.8</v>
      </c>
      <c r="AC596" s="35">
        <v>20</v>
      </c>
      <c r="AD596" s="35">
        <v>21.7</v>
      </c>
      <c r="AE596" s="35">
        <v>20</v>
      </c>
    </row>
    <row r="597" spans="1:31" x14ac:dyDescent="0.35">
      <c r="A597" s="36">
        <v>46059.873611111114</v>
      </c>
      <c r="B597" s="35">
        <v>-22.5</v>
      </c>
      <c r="C597" s="35">
        <v>-16.2</v>
      </c>
      <c r="D597" s="35">
        <v>-23</v>
      </c>
      <c r="E597" s="35">
        <v>-22.7</v>
      </c>
      <c r="F597" s="35">
        <v>-22.8</v>
      </c>
      <c r="G597" s="35">
        <v>-23</v>
      </c>
      <c r="H597" s="35">
        <v>-21.7</v>
      </c>
      <c r="I597" s="35">
        <v>-22</v>
      </c>
      <c r="J597" s="35">
        <v>-23</v>
      </c>
      <c r="K597" s="35">
        <v>-21.6</v>
      </c>
      <c r="L597" s="35">
        <v>-18.600000000000001</v>
      </c>
      <c r="M597" s="35">
        <v>-23</v>
      </c>
      <c r="N597" s="35">
        <v>-1.7</v>
      </c>
      <c r="O597" s="35">
        <v>-0.9</v>
      </c>
      <c r="P597" s="35">
        <v>-5</v>
      </c>
      <c r="Q597" s="35">
        <v>-4.4000000000000004</v>
      </c>
      <c r="R597" s="35">
        <v>-5.9</v>
      </c>
      <c r="S597" s="35">
        <v>-5</v>
      </c>
      <c r="T597" s="35">
        <v>9.1</v>
      </c>
      <c r="U597" s="35">
        <v>9</v>
      </c>
      <c r="V597" s="35">
        <v>9.8000000000000007</v>
      </c>
      <c r="W597" s="35">
        <v>9</v>
      </c>
      <c r="X597" s="35">
        <v>10.7</v>
      </c>
      <c r="Y597" s="35">
        <v>9</v>
      </c>
      <c r="Z597" s="35">
        <v>11.4</v>
      </c>
      <c r="AA597" s="35">
        <v>9</v>
      </c>
      <c r="AB597" s="35">
        <v>21.8</v>
      </c>
      <c r="AC597" s="35">
        <v>20</v>
      </c>
      <c r="AD597" s="35">
        <v>21.7</v>
      </c>
      <c r="AE597" s="35">
        <v>20</v>
      </c>
    </row>
    <row r="598" spans="1:31" x14ac:dyDescent="0.35">
      <c r="A598" s="36">
        <v>46059.874305555553</v>
      </c>
      <c r="B598" s="35">
        <v>-22.2</v>
      </c>
      <c r="C598" s="35">
        <v>-16.600000000000001</v>
      </c>
      <c r="D598" s="35">
        <v>-23</v>
      </c>
      <c r="E598" s="35">
        <v>-22.3</v>
      </c>
      <c r="F598" s="35">
        <v>-22.5</v>
      </c>
      <c r="G598" s="35">
        <v>-23</v>
      </c>
      <c r="H598" s="35">
        <v>-21.6</v>
      </c>
      <c r="I598" s="35">
        <v>-21.9</v>
      </c>
      <c r="J598" s="35">
        <v>-23</v>
      </c>
      <c r="K598" s="35">
        <v>-21.5</v>
      </c>
      <c r="L598" s="35">
        <v>-18.600000000000001</v>
      </c>
      <c r="M598" s="35">
        <v>-23</v>
      </c>
      <c r="N598" s="35">
        <v>-1.8</v>
      </c>
      <c r="O598" s="35">
        <v>-1.2</v>
      </c>
      <c r="P598" s="35">
        <v>-5</v>
      </c>
      <c r="Q598" s="35">
        <v>-4.5</v>
      </c>
      <c r="R598" s="35">
        <v>-5.9</v>
      </c>
      <c r="S598" s="35">
        <v>-5</v>
      </c>
      <c r="T598" s="35">
        <v>9.4</v>
      </c>
      <c r="U598" s="35">
        <v>9</v>
      </c>
      <c r="V598" s="35">
        <v>9.8000000000000007</v>
      </c>
      <c r="W598" s="35">
        <v>9</v>
      </c>
      <c r="X598" s="35">
        <v>10.6</v>
      </c>
      <c r="Y598" s="35">
        <v>9</v>
      </c>
      <c r="Z598" s="35">
        <v>11.4</v>
      </c>
      <c r="AA598" s="35">
        <v>9</v>
      </c>
      <c r="AB598" s="35">
        <v>21.8</v>
      </c>
      <c r="AC598" s="35">
        <v>20</v>
      </c>
      <c r="AD598" s="35">
        <v>21.7</v>
      </c>
      <c r="AE598" s="35">
        <v>20</v>
      </c>
    </row>
    <row r="599" spans="1:31" x14ac:dyDescent="0.35">
      <c r="A599" s="36">
        <v>46059.875</v>
      </c>
      <c r="B599" s="35">
        <v>-21.9</v>
      </c>
      <c r="C599" s="35">
        <v>-16.899999999999999</v>
      </c>
      <c r="D599" s="35">
        <v>-23</v>
      </c>
      <c r="E599" s="35">
        <v>-22.1</v>
      </c>
      <c r="F599" s="35">
        <v>-22.2</v>
      </c>
      <c r="G599" s="35">
        <v>-23</v>
      </c>
      <c r="H599" s="35">
        <v>-21.5</v>
      </c>
      <c r="I599" s="35">
        <v>-21.8</v>
      </c>
      <c r="J599" s="35">
        <v>-23</v>
      </c>
      <c r="K599" s="35">
        <v>-21.4</v>
      </c>
      <c r="L599" s="35">
        <v>-18.5</v>
      </c>
      <c r="M599" s="35">
        <v>-23</v>
      </c>
      <c r="N599" s="35">
        <v>-2</v>
      </c>
      <c r="O599" s="35">
        <v>-1.4</v>
      </c>
      <c r="P599" s="35">
        <v>-5</v>
      </c>
      <c r="Q599" s="35">
        <v>-4.5999999999999996</v>
      </c>
      <c r="R599" s="35">
        <v>-6</v>
      </c>
      <c r="S599" s="35">
        <v>-5</v>
      </c>
      <c r="T599" s="35">
        <v>9.6</v>
      </c>
      <c r="U599" s="35">
        <v>9</v>
      </c>
      <c r="V599" s="35">
        <v>9.8000000000000007</v>
      </c>
      <c r="W599" s="35">
        <v>9</v>
      </c>
      <c r="X599" s="35">
        <v>10.6</v>
      </c>
      <c r="Y599" s="35">
        <v>9</v>
      </c>
      <c r="Z599" s="35">
        <v>11.4</v>
      </c>
      <c r="AA599" s="35">
        <v>9</v>
      </c>
      <c r="AB599" s="35">
        <v>21.8</v>
      </c>
      <c r="AC599" s="35">
        <v>20</v>
      </c>
      <c r="AD599" s="35">
        <v>21.7</v>
      </c>
      <c r="AE599" s="35">
        <v>20</v>
      </c>
    </row>
    <row r="600" spans="1:31" x14ac:dyDescent="0.35">
      <c r="A600" s="36">
        <v>46059.875694444447</v>
      </c>
      <c r="B600" s="35">
        <v>-21.7</v>
      </c>
      <c r="C600" s="35">
        <v>-17.2</v>
      </c>
      <c r="D600" s="35">
        <v>-23</v>
      </c>
      <c r="E600" s="35">
        <v>-21.9</v>
      </c>
      <c r="F600" s="35">
        <v>-22</v>
      </c>
      <c r="G600" s="35">
        <v>-23</v>
      </c>
      <c r="H600" s="35">
        <v>-21.4</v>
      </c>
      <c r="I600" s="35">
        <v>-21.7</v>
      </c>
      <c r="J600" s="35">
        <v>-23</v>
      </c>
      <c r="K600" s="35">
        <v>-21.3</v>
      </c>
      <c r="L600" s="35">
        <v>-18.399999999999999</v>
      </c>
      <c r="M600" s="35">
        <v>-23</v>
      </c>
      <c r="N600" s="35">
        <v>-2.1</v>
      </c>
      <c r="O600" s="35">
        <v>-1.7</v>
      </c>
      <c r="P600" s="35">
        <v>-5</v>
      </c>
      <c r="Q600" s="35">
        <v>-4.5999999999999996</v>
      </c>
      <c r="R600" s="35">
        <v>-6</v>
      </c>
      <c r="S600" s="35">
        <v>-5</v>
      </c>
      <c r="T600" s="35">
        <v>9.8000000000000007</v>
      </c>
      <c r="U600" s="35">
        <v>9</v>
      </c>
      <c r="V600" s="35">
        <v>9.8000000000000007</v>
      </c>
      <c r="W600" s="35">
        <v>9</v>
      </c>
      <c r="X600" s="35">
        <v>10.6</v>
      </c>
      <c r="Y600" s="35">
        <v>9</v>
      </c>
      <c r="Z600" s="35">
        <v>11.4</v>
      </c>
      <c r="AA600" s="35">
        <v>9</v>
      </c>
      <c r="AB600" s="35">
        <v>21.8</v>
      </c>
      <c r="AC600" s="35">
        <v>20</v>
      </c>
      <c r="AD600" s="35">
        <v>21.7</v>
      </c>
      <c r="AE600" s="35">
        <v>20</v>
      </c>
    </row>
    <row r="601" spans="1:31" x14ac:dyDescent="0.35">
      <c r="A601" s="36">
        <v>46059.876388888886</v>
      </c>
      <c r="B601" s="35">
        <v>-21.5</v>
      </c>
      <c r="C601" s="35">
        <v>-17.399999999999999</v>
      </c>
      <c r="D601" s="35">
        <v>-23</v>
      </c>
      <c r="E601" s="35">
        <v>-21.7</v>
      </c>
      <c r="F601" s="35">
        <v>-21.7</v>
      </c>
      <c r="G601" s="35">
        <v>-23</v>
      </c>
      <c r="H601" s="35">
        <v>-21.3</v>
      </c>
      <c r="I601" s="35">
        <v>-21.5</v>
      </c>
      <c r="J601" s="35">
        <v>-23</v>
      </c>
      <c r="K601" s="35">
        <v>-21.2</v>
      </c>
      <c r="L601" s="35">
        <v>-18.3</v>
      </c>
      <c r="M601" s="35">
        <v>-23</v>
      </c>
      <c r="N601" s="35">
        <v>-2.2000000000000002</v>
      </c>
      <c r="O601" s="35">
        <v>-1.8</v>
      </c>
      <c r="P601" s="35">
        <v>-5</v>
      </c>
      <c r="Q601" s="35">
        <v>-4.7</v>
      </c>
      <c r="R601" s="35">
        <v>-6.1</v>
      </c>
      <c r="S601" s="35">
        <v>-5</v>
      </c>
      <c r="T601" s="35">
        <v>10</v>
      </c>
      <c r="U601" s="35">
        <v>9</v>
      </c>
      <c r="V601" s="35">
        <v>9.9</v>
      </c>
      <c r="W601" s="35">
        <v>9</v>
      </c>
      <c r="X601" s="35">
        <v>10.6</v>
      </c>
      <c r="Y601" s="35">
        <v>9</v>
      </c>
      <c r="Z601" s="35">
        <v>11.4</v>
      </c>
      <c r="AA601" s="35">
        <v>9</v>
      </c>
      <c r="AB601" s="35">
        <v>21.8</v>
      </c>
      <c r="AC601" s="35">
        <v>20</v>
      </c>
      <c r="AD601" s="35">
        <v>21.7</v>
      </c>
      <c r="AE601" s="35">
        <v>20</v>
      </c>
    </row>
    <row r="602" spans="1:31" x14ac:dyDescent="0.35">
      <c r="A602" s="36">
        <v>46059.877083333333</v>
      </c>
      <c r="B602" s="35">
        <v>-21.3</v>
      </c>
      <c r="C602" s="35">
        <v>-17.600000000000001</v>
      </c>
      <c r="D602" s="35">
        <v>-23</v>
      </c>
      <c r="E602" s="35">
        <v>-21.5</v>
      </c>
      <c r="F602" s="35">
        <v>-21.5</v>
      </c>
      <c r="G602" s="35">
        <v>-23</v>
      </c>
      <c r="H602" s="35">
        <v>-21.2</v>
      </c>
      <c r="I602" s="35">
        <v>-21.4</v>
      </c>
      <c r="J602" s="35">
        <v>-23</v>
      </c>
      <c r="K602" s="35">
        <v>-21</v>
      </c>
      <c r="L602" s="35">
        <v>-18.2</v>
      </c>
      <c r="M602" s="35">
        <v>-23</v>
      </c>
      <c r="N602" s="35">
        <v>-2.2999999999999998</v>
      </c>
      <c r="O602" s="35">
        <v>-2</v>
      </c>
      <c r="P602" s="35">
        <v>-5</v>
      </c>
      <c r="Q602" s="35">
        <v>-4.7</v>
      </c>
      <c r="R602" s="35">
        <v>-6.1</v>
      </c>
      <c r="S602" s="35">
        <v>-5</v>
      </c>
      <c r="T602" s="35">
        <v>10.1</v>
      </c>
      <c r="U602" s="35">
        <v>9</v>
      </c>
      <c r="V602" s="35">
        <v>9.9</v>
      </c>
      <c r="W602" s="35">
        <v>9</v>
      </c>
      <c r="X602" s="35">
        <v>10.5</v>
      </c>
      <c r="Y602" s="35">
        <v>9</v>
      </c>
      <c r="Z602" s="35">
        <v>11.4</v>
      </c>
      <c r="AA602" s="35">
        <v>9</v>
      </c>
      <c r="AB602" s="35">
        <v>21.8</v>
      </c>
      <c r="AC602" s="35">
        <v>20</v>
      </c>
      <c r="AD602" s="35">
        <v>21.7</v>
      </c>
      <c r="AE602" s="35">
        <v>20</v>
      </c>
    </row>
    <row r="603" spans="1:31" x14ac:dyDescent="0.35">
      <c r="A603" s="36">
        <v>46059.87777777778</v>
      </c>
      <c r="B603" s="35">
        <v>-21.1</v>
      </c>
      <c r="C603" s="35">
        <v>-17.7</v>
      </c>
      <c r="D603" s="35">
        <v>-23</v>
      </c>
      <c r="E603" s="35">
        <v>-21.4</v>
      </c>
      <c r="F603" s="35">
        <v>-21.4</v>
      </c>
      <c r="G603" s="35">
        <v>-23</v>
      </c>
      <c r="H603" s="35">
        <v>-21.1</v>
      </c>
      <c r="I603" s="35">
        <v>-21.3</v>
      </c>
      <c r="J603" s="35">
        <v>-23</v>
      </c>
      <c r="K603" s="35">
        <v>-20.9</v>
      </c>
      <c r="L603" s="35">
        <v>-18.100000000000001</v>
      </c>
      <c r="M603" s="35">
        <v>-23</v>
      </c>
      <c r="N603" s="35">
        <v>-2.4</v>
      </c>
      <c r="O603" s="35">
        <v>-2.1</v>
      </c>
      <c r="P603" s="35">
        <v>-5</v>
      </c>
      <c r="Q603" s="35">
        <v>-4.8</v>
      </c>
      <c r="R603" s="35">
        <v>-6.1</v>
      </c>
      <c r="S603" s="35">
        <v>-5</v>
      </c>
      <c r="T603" s="35">
        <v>10.3</v>
      </c>
      <c r="U603" s="35">
        <v>9</v>
      </c>
      <c r="V603" s="35">
        <v>10</v>
      </c>
      <c r="W603" s="35">
        <v>9</v>
      </c>
      <c r="X603" s="35">
        <v>10.4</v>
      </c>
      <c r="Y603" s="35">
        <v>9</v>
      </c>
      <c r="Z603" s="35">
        <v>11.4</v>
      </c>
      <c r="AA603" s="35">
        <v>9</v>
      </c>
      <c r="AB603" s="35">
        <v>21.8</v>
      </c>
      <c r="AC603" s="35">
        <v>20</v>
      </c>
      <c r="AD603" s="35">
        <v>21.7</v>
      </c>
      <c r="AE603" s="35">
        <v>20</v>
      </c>
    </row>
    <row r="604" spans="1:31" x14ac:dyDescent="0.35">
      <c r="A604" s="36">
        <v>46059.879166666666</v>
      </c>
      <c r="B604" s="35">
        <v>-20.8</v>
      </c>
      <c r="C604" s="35">
        <v>-17.899999999999999</v>
      </c>
      <c r="D604" s="35">
        <v>-23</v>
      </c>
      <c r="E604" s="35">
        <v>-21.1</v>
      </c>
      <c r="F604" s="35">
        <v>-21.1</v>
      </c>
      <c r="G604" s="35">
        <v>-23</v>
      </c>
      <c r="H604" s="35">
        <v>-21</v>
      </c>
      <c r="I604" s="35">
        <v>-21.4</v>
      </c>
      <c r="J604" s="35">
        <v>-23</v>
      </c>
      <c r="K604" s="35">
        <v>-20.9</v>
      </c>
      <c r="L604" s="35">
        <v>-17.899999999999999</v>
      </c>
      <c r="M604" s="35">
        <v>-23</v>
      </c>
      <c r="N604" s="35">
        <v>-2.6</v>
      </c>
      <c r="O604" s="35">
        <v>-2.5</v>
      </c>
      <c r="P604" s="35">
        <v>-5</v>
      </c>
      <c r="Q604" s="35">
        <v>-4.8</v>
      </c>
      <c r="R604" s="35">
        <v>-6.2</v>
      </c>
      <c r="S604" s="35">
        <v>-5</v>
      </c>
      <c r="T604" s="35">
        <v>10.5</v>
      </c>
      <c r="U604" s="35">
        <v>9</v>
      </c>
      <c r="V604" s="35">
        <v>10.199999999999999</v>
      </c>
      <c r="W604" s="35">
        <v>9</v>
      </c>
      <c r="X604" s="35">
        <v>10.199999999999999</v>
      </c>
      <c r="Y604" s="35">
        <v>9</v>
      </c>
      <c r="Z604" s="35">
        <v>11.4</v>
      </c>
      <c r="AA604" s="35">
        <v>9</v>
      </c>
      <c r="AB604" s="35">
        <v>21.8</v>
      </c>
      <c r="AC604" s="35">
        <v>20</v>
      </c>
      <c r="AD604" s="35">
        <v>21.7</v>
      </c>
      <c r="AE604" s="35">
        <v>20</v>
      </c>
    </row>
    <row r="605" spans="1:31" x14ac:dyDescent="0.35">
      <c r="A605" s="36">
        <v>46059.879861111112</v>
      </c>
      <c r="B605" s="35">
        <v>-20.7</v>
      </c>
      <c r="C605" s="35">
        <v>-17.899999999999999</v>
      </c>
      <c r="D605" s="35">
        <v>-23</v>
      </c>
      <c r="E605" s="35">
        <v>-20.9</v>
      </c>
      <c r="F605" s="35">
        <v>-20.9</v>
      </c>
      <c r="G605" s="35">
        <v>-23</v>
      </c>
      <c r="H605" s="35">
        <v>-21</v>
      </c>
      <c r="I605" s="35">
        <v>-22.2</v>
      </c>
      <c r="J605" s="35">
        <v>-23</v>
      </c>
      <c r="K605" s="35">
        <v>-21.2</v>
      </c>
      <c r="L605" s="35">
        <v>-17.8</v>
      </c>
      <c r="M605" s="35">
        <v>-23</v>
      </c>
      <c r="N605" s="35">
        <v>-2.7</v>
      </c>
      <c r="O605" s="35">
        <v>-2.6</v>
      </c>
      <c r="P605" s="35">
        <v>-5</v>
      </c>
      <c r="Q605" s="35">
        <v>-4.7</v>
      </c>
      <c r="R605" s="35">
        <v>-6.2</v>
      </c>
      <c r="S605" s="35">
        <v>-5</v>
      </c>
      <c r="T605" s="35">
        <v>10.5</v>
      </c>
      <c r="U605" s="35">
        <v>9</v>
      </c>
      <c r="V605" s="35">
        <v>10.3</v>
      </c>
      <c r="W605" s="35">
        <v>9</v>
      </c>
      <c r="X605" s="35">
        <v>10</v>
      </c>
      <c r="Y605" s="35">
        <v>9</v>
      </c>
      <c r="Z605" s="35">
        <v>11.4</v>
      </c>
      <c r="AA605" s="35">
        <v>9</v>
      </c>
      <c r="AB605" s="35">
        <v>21.8</v>
      </c>
      <c r="AC605" s="35">
        <v>20</v>
      </c>
      <c r="AD605" s="35">
        <v>21.7</v>
      </c>
      <c r="AE605" s="35">
        <v>20</v>
      </c>
    </row>
    <row r="606" spans="1:31" x14ac:dyDescent="0.35">
      <c r="A606" s="36">
        <v>46059.880555555559</v>
      </c>
      <c r="B606" s="35">
        <v>-21</v>
      </c>
      <c r="C606" s="35">
        <v>-18</v>
      </c>
      <c r="D606" s="35">
        <v>-23</v>
      </c>
      <c r="E606" s="35">
        <v>-20.9</v>
      </c>
      <c r="F606" s="35">
        <v>-20.9</v>
      </c>
      <c r="G606" s="35">
        <v>-23</v>
      </c>
      <c r="H606" s="35">
        <v>-21.2</v>
      </c>
      <c r="I606" s="35">
        <v>-22.4</v>
      </c>
      <c r="J606" s="35">
        <v>-23</v>
      </c>
      <c r="K606" s="35">
        <v>-21.4</v>
      </c>
      <c r="L606" s="35">
        <v>-17.600000000000001</v>
      </c>
      <c r="M606" s="35">
        <v>-23</v>
      </c>
      <c r="N606" s="35">
        <v>-2.7</v>
      </c>
      <c r="O606" s="35">
        <v>-2.7</v>
      </c>
      <c r="P606" s="35">
        <v>-5</v>
      </c>
      <c r="Q606" s="35">
        <v>-4.4000000000000004</v>
      </c>
      <c r="R606" s="35">
        <v>-6.2</v>
      </c>
      <c r="S606" s="35">
        <v>-5</v>
      </c>
      <c r="T606" s="35">
        <v>10.6</v>
      </c>
      <c r="U606" s="35">
        <v>9</v>
      </c>
      <c r="V606" s="35">
        <v>10.3</v>
      </c>
      <c r="W606" s="35">
        <v>9</v>
      </c>
      <c r="X606" s="35">
        <v>9.9</v>
      </c>
      <c r="Y606" s="35">
        <v>9</v>
      </c>
      <c r="Z606" s="35">
        <v>11.4</v>
      </c>
      <c r="AA606" s="35">
        <v>9</v>
      </c>
      <c r="AB606" s="35">
        <v>21.8</v>
      </c>
      <c r="AC606" s="35">
        <v>20</v>
      </c>
      <c r="AD606" s="35">
        <v>21.7</v>
      </c>
      <c r="AE606" s="35">
        <v>20</v>
      </c>
    </row>
    <row r="607" spans="1:31" x14ac:dyDescent="0.35">
      <c r="A607" s="36">
        <v>46059.881249999999</v>
      </c>
      <c r="B607" s="35">
        <v>-21.3</v>
      </c>
      <c r="C607" s="35">
        <v>-18</v>
      </c>
      <c r="D607" s="35">
        <v>-23</v>
      </c>
      <c r="E607" s="35">
        <v>-21</v>
      </c>
      <c r="F607" s="35">
        <v>-20.9</v>
      </c>
      <c r="G607" s="35">
        <v>-23</v>
      </c>
      <c r="H607" s="35">
        <v>-21.3</v>
      </c>
      <c r="I607" s="35">
        <v>-22.4</v>
      </c>
      <c r="J607" s="35">
        <v>-23</v>
      </c>
      <c r="K607" s="35">
        <v>-21.6</v>
      </c>
      <c r="L607" s="35">
        <v>-17.5</v>
      </c>
      <c r="M607" s="35">
        <v>-23</v>
      </c>
      <c r="N607" s="35">
        <v>-2.8</v>
      </c>
      <c r="O607" s="35">
        <v>-2.8</v>
      </c>
      <c r="P607" s="35">
        <v>-5</v>
      </c>
      <c r="Q607" s="35">
        <v>-4.4000000000000004</v>
      </c>
      <c r="R607" s="35">
        <v>-6.1</v>
      </c>
      <c r="S607" s="35">
        <v>-5</v>
      </c>
      <c r="T607" s="35">
        <v>10.7</v>
      </c>
      <c r="U607" s="35">
        <v>9</v>
      </c>
      <c r="V607" s="35">
        <v>10.3</v>
      </c>
      <c r="W607" s="35">
        <v>9</v>
      </c>
      <c r="X607" s="35">
        <v>9.9</v>
      </c>
      <c r="Y607" s="35">
        <v>9</v>
      </c>
      <c r="Z607" s="35">
        <v>11.4</v>
      </c>
      <c r="AA607" s="35">
        <v>9</v>
      </c>
      <c r="AB607" s="35">
        <v>21.8</v>
      </c>
      <c r="AC607" s="35">
        <v>20</v>
      </c>
      <c r="AD607" s="35">
        <v>21.7</v>
      </c>
      <c r="AE607" s="35">
        <v>20</v>
      </c>
    </row>
    <row r="608" spans="1:31" x14ac:dyDescent="0.35">
      <c r="A608" s="36">
        <v>46059.881944444445</v>
      </c>
      <c r="B608" s="35">
        <v>-21.7</v>
      </c>
      <c r="C608" s="35">
        <v>-18.100000000000001</v>
      </c>
      <c r="D608" s="35">
        <v>-23</v>
      </c>
      <c r="E608" s="35">
        <v>-21.2</v>
      </c>
      <c r="F608" s="35">
        <v>-21.1</v>
      </c>
      <c r="G608" s="35">
        <v>-23</v>
      </c>
      <c r="H608" s="35">
        <v>-21.4</v>
      </c>
      <c r="I608" s="35">
        <v>-22.3</v>
      </c>
      <c r="J608" s="35">
        <v>-23</v>
      </c>
      <c r="K608" s="35">
        <v>-21.6</v>
      </c>
      <c r="L608" s="35">
        <v>-17.399999999999999</v>
      </c>
      <c r="M608" s="35">
        <v>-23</v>
      </c>
      <c r="N608" s="35">
        <v>-2.9</v>
      </c>
      <c r="O608" s="35">
        <v>-2.9</v>
      </c>
      <c r="P608" s="35">
        <v>-5</v>
      </c>
      <c r="Q608" s="35">
        <v>-4.4000000000000004</v>
      </c>
      <c r="R608" s="35">
        <v>-6.1</v>
      </c>
      <c r="S608" s="35">
        <v>-5</v>
      </c>
      <c r="T608" s="35">
        <v>10.8</v>
      </c>
      <c r="U608" s="35">
        <v>9</v>
      </c>
      <c r="V608" s="35">
        <v>10.4</v>
      </c>
      <c r="W608" s="35">
        <v>9</v>
      </c>
      <c r="X608" s="35">
        <v>9.9</v>
      </c>
      <c r="Y608" s="35">
        <v>9</v>
      </c>
      <c r="Z608" s="35">
        <v>11.4</v>
      </c>
      <c r="AA608" s="35">
        <v>9</v>
      </c>
      <c r="AB608" s="35">
        <v>21.8</v>
      </c>
      <c r="AC608" s="35">
        <v>20</v>
      </c>
      <c r="AD608" s="35">
        <v>21.7</v>
      </c>
      <c r="AE608" s="35">
        <v>20</v>
      </c>
    </row>
    <row r="609" spans="1:31" x14ac:dyDescent="0.35">
      <c r="A609" s="36">
        <v>46059.882638888892</v>
      </c>
      <c r="B609" s="35">
        <v>-22</v>
      </c>
      <c r="C609" s="35">
        <v>-18.2</v>
      </c>
      <c r="D609" s="35">
        <v>-23</v>
      </c>
      <c r="E609" s="35">
        <v>-21.4</v>
      </c>
      <c r="F609" s="35">
        <v>-21.5</v>
      </c>
      <c r="G609" s="35">
        <v>-23</v>
      </c>
      <c r="H609" s="35">
        <v>-21.4</v>
      </c>
      <c r="I609" s="35">
        <v>-22.2</v>
      </c>
      <c r="J609" s="35">
        <v>-23</v>
      </c>
      <c r="K609" s="35">
        <v>-21.6</v>
      </c>
      <c r="L609" s="35">
        <v>-17.3</v>
      </c>
      <c r="M609" s="35">
        <v>-23</v>
      </c>
      <c r="N609" s="35">
        <v>-2.9</v>
      </c>
      <c r="O609" s="35">
        <v>-3</v>
      </c>
      <c r="P609" s="35">
        <v>-5</v>
      </c>
      <c r="Q609" s="35">
        <v>-4.4000000000000004</v>
      </c>
      <c r="R609" s="35">
        <v>-6</v>
      </c>
      <c r="S609" s="35">
        <v>-5</v>
      </c>
      <c r="T609" s="35">
        <v>10.9</v>
      </c>
      <c r="U609" s="35">
        <v>9</v>
      </c>
      <c r="V609" s="35">
        <v>10.4</v>
      </c>
      <c r="W609" s="35">
        <v>9</v>
      </c>
      <c r="X609" s="35">
        <v>9.9</v>
      </c>
      <c r="Y609" s="35">
        <v>9</v>
      </c>
      <c r="Z609" s="35">
        <v>11.4</v>
      </c>
      <c r="AA609" s="35">
        <v>9</v>
      </c>
      <c r="AB609" s="35">
        <v>21.8</v>
      </c>
      <c r="AC609" s="35">
        <v>20</v>
      </c>
      <c r="AD609" s="35">
        <v>21.7</v>
      </c>
      <c r="AE609" s="35">
        <v>20</v>
      </c>
    </row>
    <row r="610" spans="1:31" x14ac:dyDescent="0.35">
      <c r="A610" s="36">
        <v>46059.884027777778</v>
      </c>
      <c r="B610" s="35">
        <v>-22.7</v>
      </c>
      <c r="C610" s="35">
        <v>-18.5</v>
      </c>
      <c r="D610" s="35">
        <v>-23</v>
      </c>
      <c r="E610" s="35">
        <v>-22</v>
      </c>
      <c r="F610" s="35">
        <v>-23.2</v>
      </c>
      <c r="G610" s="35">
        <v>-23</v>
      </c>
      <c r="H610" s="35">
        <v>-21.5</v>
      </c>
      <c r="I610" s="35">
        <v>-22.1</v>
      </c>
      <c r="J610" s="35">
        <v>-23</v>
      </c>
      <c r="K610" s="35">
        <v>-21.6</v>
      </c>
      <c r="L610" s="35">
        <v>-17.2</v>
      </c>
      <c r="M610" s="35">
        <v>-23</v>
      </c>
      <c r="N610" s="35">
        <v>-3</v>
      </c>
      <c r="O610" s="35">
        <v>-3.2</v>
      </c>
      <c r="P610" s="35">
        <v>-5</v>
      </c>
      <c r="Q610" s="35">
        <v>-4.2</v>
      </c>
      <c r="R610" s="35">
        <v>-5.4</v>
      </c>
      <c r="S610" s="35">
        <v>-5</v>
      </c>
      <c r="T610" s="35">
        <v>11</v>
      </c>
      <c r="U610" s="35">
        <v>9</v>
      </c>
      <c r="V610" s="35">
        <v>10.5</v>
      </c>
      <c r="W610" s="35">
        <v>9</v>
      </c>
      <c r="X610" s="35">
        <v>10.1</v>
      </c>
      <c r="Y610" s="35">
        <v>9</v>
      </c>
      <c r="Z610" s="35">
        <v>11.3</v>
      </c>
      <c r="AA610" s="35">
        <v>9</v>
      </c>
      <c r="AB610" s="35">
        <v>21.8</v>
      </c>
      <c r="AC610" s="35">
        <v>20</v>
      </c>
      <c r="AD610" s="35">
        <v>21.7</v>
      </c>
      <c r="AE610" s="35">
        <v>20</v>
      </c>
    </row>
    <row r="611" spans="1:31" x14ac:dyDescent="0.35">
      <c r="A611" s="36">
        <v>46059.884722222225</v>
      </c>
      <c r="B611" s="35">
        <v>-23</v>
      </c>
      <c r="C611" s="35">
        <v>-18.7</v>
      </c>
      <c r="D611" s="35">
        <v>-23</v>
      </c>
      <c r="E611" s="35">
        <v>-22.3</v>
      </c>
      <c r="F611" s="35">
        <v>-23.5</v>
      </c>
      <c r="G611" s="35">
        <v>-23</v>
      </c>
      <c r="H611" s="35">
        <v>-21.5</v>
      </c>
      <c r="I611" s="35">
        <v>-22</v>
      </c>
      <c r="J611" s="35">
        <v>-23</v>
      </c>
      <c r="K611" s="35">
        <v>-21.6</v>
      </c>
      <c r="L611" s="35">
        <v>-17.2</v>
      </c>
      <c r="M611" s="35">
        <v>-23</v>
      </c>
      <c r="N611" s="35">
        <v>-3</v>
      </c>
      <c r="O611" s="35">
        <v>-3.3</v>
      </c>
      <c r="P611" s="35">
        <v>-5</v>
      </c>
      <c r="Q611" s="35">
        <v>-4</v>
      </c>
      <c r="R611" s="35">
        <v>-4.9000000000000004</v>
      </c>
      <c r="S611" s="35">
        <v>-5</v>
      </c>
      <c r="T611" s="35">
        <v>10.9</v>
      </c>
      <c r="U611" s="35">
        <v>9</v>
      </c>
      <c r="V611" s="35">
        <v>10.5</v>
      </c>
      <c r="W611" s="35">
        <v>9</v>
      </c>
      <c r="X611" s="35">
        <v>10.3</v>
      </c>
      <c r="Y611" s="35">
        <v>9</v>
      </c>
      <c r="Z611" s="35">
        <v>11.3</v>
      </c>
      <c r="AA611" s="35">
        <v>9</v>
      </c>
      <c r="AB611" s="35">
        <v>21.8</v>
      </c>
      <c r="AC611" s="35">
        <v>20</v>
      </c>
      <c r="AD611" s="35">
        <v>21.7</v>
      </c>
      <c r="AE611" s="35">
        <v>20</v>
      </c>
    </row>
    <row r="612" spans="1:31" x14ac:dyDescent="0.35">
      <c r="A612" s="36">
        <v>46059.885416666664</v>
      </c>
      <c r="B612" s="35">
        <v>-23.2</v>
      </c>
      <c r="C612" s="35">
        <v>-19</v>
      </c>
      <c r="D612" s="35">
        <v>-23</v>
      </c>
      <c r="E612" s="35">
        <v>-22.5</v>
      </c>
      <c r="F612" s="35">
        <v>-23.4</v>
      </c>
      <c r="G612" s="35">
        <v>-23</v>
      </c>
      <c r="H612" s="35">
        <v>-21.5</v>
      </c>
      <c r="I612" s="35">
        <v>-22</v>
      </c>
      <c r="J612" s="35">
        <v>-23</v>
      </c>
      <c r="K612" s="35">
        <v>-21.6</v>
      </c>
      <c r="L612" s="35">
        <v>-17.100000000000001</v>
      </c>
      <c r="M612" s="35">
        <v>-23</v>
      </c>
      <c r="N612" s="35">
        <v>-3.1</v>
      </c>
      <c r="O612" s="35">
        <v>-3.4</v>
      </c>
      <c r="P612" s="35">
        <v>-5</v>
      </c>
      <c r="Q612" s="35">
        <v>-3.6</v>
      </c>
      <c r="R612" s="35">
        <v>-4.4000000000000004</v>
      </c>
      <c r="S612" s="35">
        <v>-5</v>
      </c>
      <c r="T612" s="35">
        <v>10.3</v>
      </c>
      <c r="U612" s="35">
        <v>9</v>
      </c>
      <c r="V612" s="35">
        <v>10.5</v>
      </c>
      <c r="W612" s="35">
        <v>9</v>
      </c>
      <c r="X612" s="35">
        <v>10.6</v>
      </c>
      <c r="Y612" s="35">
        <v>9</v>
      </c>
      <c r="Z612" s="35">
        <v>11.3</v>
      </c>
      <c r="AA612" s="35">
        <v>9</v>
      </c>
      <c r="AB612" s="35">
        <v>21.8</v>
      </c>
      <c r="AC612" s="35">
        <v>20</v>
      </c>
      <c r="AD612" s="35">
        <v>21.7</v>
      </c>
      <c r="AE612" s="35">
        <v>20</v>
      </c>
    </row>
    <row r="613" spans="1:31" x14ac:dyDescent="0.35">
      <c r="A613" s="36">
        <v>46059.886111111111</v>
      </c>
      <c r="B613" s="35">
        <v>-23.4</v>
      </c>
      <c r="C613" s="35">
        <v>-19.2</v>
      </c>
      <c r="D613" s="35">
        <v>-23</v>
      </c>
      <c r="E613" s="35">
        <v>-22.6</v>
      </c>
      <c r="F613" s="35">
        <v>-23.4</v>
      </c>
      <c r="G613" s="35">
        <v>-23</v>
      </c>
      <c r="H613" s="35">
        <v>-21.5</v>
      </c>
      <c r="I613" s="35">
        <v>-22</v>
      </c>
      <c r="J613" s="35">
        <v>-23</v>
      </c>
      <c r="K613" s="35">
        <v>-21.6</v>
      </c>
      <c r="L613" s="35">
        <v>-17.100000000000001</v>
      </c>
      <c r="M613" s="35">
        <v>-23</v>
      </c>
      <c r="N613" s="35">
        <v>-3.1</v>
      </c>
      <c r="O613" s="35">
        <v>-3.5</v>
      </c>
      <c r="P613" s="35">
        <v>-5</v>
      </c>
      <c r="Q613" s="35">
        <v>-3.3</v>
      </c>
      <c r="R613" s="35">
        <v>-4.0999999999999996</v>
      </c>
      <c r="S613" s="35">
        <v>-5</v>
      </c>
      <c r="T613" s="35">
        <v>9.6999999999999993</v>
      </c>
      <c r="U613" s="35">
        <v>9</v>
      </c>
      <c r="V613" s="35">
        <v>10.4</v>
      </c>
      <c r="W613" s="35">
        <v>9</v>
      </c>
      <c r="X613" s="35">
        <v>10.7</v>
      </c>
      <c r="Y613" s="35">
        <v>9</v>
      </c>
      <c r="Z613" s="35">
        <v>11.3</v>
      </c>
      <c r="AA613" s="35">
        <v>9</v>
      </c>
      <c r="AB613" s="35">
        <v>21.8</v>
      </c>
      <c r="AC613" s="35">
        <v>20</v>
      </c>
      <c r="AD613" s="35">
        <v>21.7</v>
      </c>
      <c r="AE613" s="35">
        <v>20</v>
      </c>
    </row>
    <row r="614" spans="1:31" x14ac:dyDescent="0.35">
      <c r="A614" s="36">
        <v>46059.886805555558</v>
      </c>
      <c r="B614" s="35">
        <v>-23.5</v>
      </c>
      <c r="C614" s="35">
        <v>-19.399999999999999</v>
      </c>
      <c r="D614" s="35">
        <v>-23</v>
      </c>
      <c r="E614" s="35">
        <v>-22.7</v>
      </c>
      <c r="F614" s="35">
        <v>-23.4</v>
      </c>
      <c r="G614" s="35">
        <v>-23</v>
      </c>
      <c r="H614" s="35">
        <v>-21.5</v>
      </c>
      <c r="I614" s="35">
        <v>-22</v>
      </c>
      <c r="J614" s="35">
        <v>-23</v>
      </c>
      <c r="K614" s="35">
        <v>-21.7</v>
      </c>
      <c r="L614" s="35">
        <v>-17.100000000000001</v>
      </c>
      <c r="M614" s="35">
        <v>-23</v>
      </c>
      <c r="N614" s="35">
        <v>-3.2</v>
      </c>
      <c r="O614" s="35">
        <v>-3.6</v>
      </c>
      <c r="P614" s="35">
        <v>-5</v>
      </c>
      <c r="Q614" s="35">
        <v>-3.2</v>
      </c>
      <c r="R614" s="35">
        <v>-3.9</v>
      </c>
      <c r="S614" s="35">
        <v>-5</v>
      </c>
      <c r="T614" s="35">
        <v>9.4</v>
      </c>
      <c r="U614" s="35">
        <v>9</v>
      </c>
      <c r="V614" s="35">
        <v>10.3</v>
      </c>
      <c r="W614" s="35">
        <v>9</v>
      </c>
      <c r="X614" s="35">
        <v>10.7</v>
      </c>
      <c r="Y614" s="35">
        <v>9</v>
      </c>
      <c r="Z614" s="35">
        <v>11.3</v>
      </c>
      <c r="AA614" s="35">
        <v>9</v>
      </c>
      <c r="AB614" s="35">
        <v>21.8</v>
      </c>
      <c r="AC614" s="35">
        <v>20</v>
      </c>
      <c r="AD614" s="35">
        <v>21.7</v>
      </c>
      <c r="AE614" s="35">
        <v>20</v>
      </c>
    </row>
    <row r="615" spans="1:31" x14ac:dyDescent="0.35">
      <c r="A615" s="36">
        <v>46059.887499999997</v>
      </c>
      <c r="B615" s="35">
        <v>-23.6</v>
      </c>
      <c r="C615" s="35">
        <v>-19.600000000000001</v>
      </c>
      <c r="D615" s="35">
        <v>-23</v>
      </c>
      <c r="E615" s="35">
        <v>-22.9</v>
      </c>
      <c r="F615" s="35">
        <v>-23.4</v>
      </c>
      <c r="G615" s="35">
        <v>-23</v>
      </c>
      <c r="H615" s="35">
        <v>-21.5</v>
      </c>
      <c r="I615" s="35">
        <v>-22.1</v>
      </c>
      <c r="J615" s="35">
        <v>-23</v>
      </c>
      <c r="K615" s="35">
        <v>-21.8</v>
      </c>
      <c r="L615" s="35">
        <v>-17.100000000000001</v>
      </c>
      <c r="M615" s="35">
        <v>-23</v>
      </c>
      <c r="N615" s="35">
        <v>-3.2</v>
      </c>
      <c r="O615" s="35">
        <v>-3.7</v>
      </c>
      <c r="P615" s="35">
        <v>-5</v>
      </c>
      <c r="Q615" s="35">
        <v>-3.1</v>
      </c>
      <c r="R615" s="35">
        <v>-4.0999999999999996</v>
      </c>
      <c r="S615" s="35">
        <v>-5</v>
      </c>
      <c r="T615" s="35">
        <v>9</v>
      </c>
      <c r="U615" s="35">
        <v>9</v>
      </c>
      <c r="V615" s="35">
        <v>10.199999999999999</v>
      </c>
      <c r="W615" s="35">
        <v>9</v>
      </c>
      <c r="X615" s="35">
        <v>10.7</v>
      </c>
      <c r="Y615" s="35">
        <v>9</v>
      </c>
      <c r="Z615" s="35">
        <v>11.3</v>
      </c>
      <c r="AA615" s="35">
        <v>9</v>
      </c>
      <c r="AB615" s="35">
        <v>21.8</v>
      </c>
      <c r="AC615" s="35">
        <v>20</v>
      </c>
      <c r="AD615" s="35">
        <v>21.7</v>
      </c>
      <c r="AE615" s="35">
        <v>20</v>
      </c>
    </row>
    <row r="616" spans="1:31" x14ac:dyDescent="0.35">
      <c r="A616" s="36">
        <v>46059.888194444444</v>
      </c>
      <c r="B616" s="35">
        <v>-23.7</v>
      </c>
      <c r="C616" s="35">
        <v>-19.8</v>
      </c>
      <c r="D616" s="35">
        <v>-23</v>
      </c>
      <c r="E616" s="35">
        <v>-23</v>
      </c>
      <c r="F616" s="35">
        <v>-23.4</v>
      </c>
      <c r="G616" s="35">
        <v>-23</v>
      </c>
      <c r="H616" s="35">
        <v>-21.6</v>
      </c>
      <c r="I616" s="35">
        <v>-22.1</v>
      </c>
      <c r="J616" s="35">
        <v>-23</v>
      </c>
      <c r="K616" s="35">
        <v>-21.8</v>
      </c>
      <c r="L616" s="35">
        <v>-17.100000000000001</v>
      </c>
      <c r="M616" s="35">
        <v>-23</v>
      </c>
      <c r="N616" s="35">
        <v>-3.3</v>
      </c>
      <c r="O616" s="35">
        <v>-3.8</v>
      </c>
      <c r="P616" s="35">
        <v>-5</v>
      </c>
      <c r="Q616" s="35">
        <v>-3.1</v>
      </c>
      <c r="R616" s="35">
        <v>-4.4000000000000004</v>
      </c>
      <c r="S616" s="35">
        <v>-5</v>
      </c>
      <c r="T616" s="35">
        <v>8.8000000000000007</v>
      </c>
      <c r="U616" s="35">
        <v>9</v>
      </c>
      <c r="V616" s="35">
        <v>10.1</v>
      </c>
      <c r="W616" s="35">
        <v>9</v>
      </c>
      <c r="X616" s="35">
        <v>10.7</v>
      </c>
      <c r="Y616" s="35">
        <v>9</v>
      </c>
      <c r="Z616" s="35">
        <v>11.3</v>
      </c>
      <c r="AA616" s="35">
        <v>9</v>
      </c>
      <c r="AB616" s="35">
        <v>21.8</v>
      </c>
      <c r="AC616" s="35">
        <v>20</v>
      </c>
      <c r="AD616" s="35">
        <v>21.7</v>
      </c>
      <c r="AE616" s="35">
        <v>20</v>
      </c>
    </row>
    <row r="617" spans="1:31" x14ac:dyDescent="0.35">
      <c r="A617" s="36">
        <v>46059.888888888891</v>
      </c>
      <c r="B617" s="35">
        <v>-23.7</v>
      </c>
      <c r="C617" s="35">
        <v>-20.100000000000001</v>
      </c>
      <c r="D617" s="35">
        <v>-23</v>
      </c>
      <c r="E617" s="35">
        <v>-23.1</v>
      </c>
      <c r="F617" s="35">
        <v>-23.4</v>
      </c>
      <c r="G617" s="35">
        <v>-23</v>
      </c>
      <c r="H617" s="35">
        <v>-21.6</v>
      </c>
      <c r="I617" s="35">
        <v>-22.4</v>
      </c>
      <c r="J617" s="35">
        <v>-23</v>
      </c>
      <c r="K617" s="35">
        <v>-22</v>
      </c>
      <c r="L617" s="35">
        <v>-17.100000000000001</v>
      </c>
      <c r="M617" s="35">
        <v>-23</v>
      </c>
      <c r="N617" s="35">
        <v>-3.3</v>
      </c>
      <c r="O617" s="35">
        <v>-3.8</v>
      </c>
      <c r="P617" s="35">
        <v>-5</v>
      </c>
      <c r="Q617" s="35">
        <v>-3.2</v>
      </c>
      <c r="R617" s="35">
        <v>-4.5999999999999996</v>
      </c>
      <c r="S617" s="35">
        <v>-5</v>
      </c>
      <c r="T617" s="35">
        <v>8.6999999999999993</v>
      </c>
      <c r="U617" s="35">
        <v>9</v>
      </c>
      <c r="V617" s="35">
        <v>10</v>
      </c>
      <c r="W617" s="35">
        <v>9</v>
      </c>
      <c r="X617" s="35">
        <v>10.6</v>
      </c>
      <c r="Y617" s="35">
        <v>9</v>
      </c>
      <c r="Z617" s="35">
        <v>11.3</v>
      </c>
      <c r="AA617" s="35">
        <v>9</v>
      </c>
      <c r="AB617" s="35">
        <v>21.8</v>
      </c>
      <c r="AC617" s="35">
        <v>20</v>
      </c>
      <c r="AD617" s="35">
        <v>21.7</v>
      </c>
      <c r="AE617" s="35">
        <v>20</v>
      </c>
    </row>
    <row r="618" spans="1:31" x14ac:dyDescent="0.35">
      <c r="A618" s="36">
        <v>46059.88958333333</v>
      </c>
      <c r="B618" s="35">
        <v>-23.2</v>
      </c>
      <c r="C618" s="35">
        <v>-20.3</v>
      </c>
      <c r="D618" s="35">
        <v>-23</v>
      </c>
      <c r="E618" s="35">
        <v>-23.1</v>
      </c>
      <c r="F618" s="35">
        <v>-23.2</v>
      </c>
      <c r="G618" s="35">
        <v>-23</v>
      </c>
      <c r="H618" s="35">
        <v>-21.8</v>
      </c>
      <c r="I618" s="35">
        <v>-23.2</v>
      </c>
      <c r="J618" s="35">
        <v>-23</v>
      </c>
      <c r="K618" s="35">
        <v>-22.3</v>
      </c>
      <c r="L618" s="35">
        <v>-17.100000000000001</v>
      </c>
      <c r="M618" s="35">
        <v>-23</v>
      </c>
      <c r="N618" s="35">
        <v>-3.4</v>
      </c>
      <c r="O618" s="35">
        <v>-3.9</v>
      </c>
      <c r="P618" s="35">
        <v>-5</v>
      </c>
      <c r="Q618" s="35">
        <v>-3.4</v>
      </c>
      <c r="R618" s="35">
        <v>-4.8</v>
      </c>
      <c r="S618" s="35">
        <v>-5</v>
      </c>
      <c r="T618" s="35">
        <v>8.9</v>
      </c>
      <c r="U618" s="35">
        <v>9</v>
      </c>
      <c r="V618" s="35">
        <v>9.9</v>
      </c>
      <c r="W618" s="35">
        <v>9</v>
      </c>
      <c r="X618" s="35">
        <v>10.6</v>
      </c>
      <c r="Y618" s="35">
        <v>9</v>
      </c>
      <c r="Z618" s="35">
        <v>11.3</v>
      </c>
      <c r="AA618" s="35">
        <v>9</v>
      </c>
      <c r="AB618" s="35">
        <v>21.8</v>
      </c>
      <c r="AC618" s="35">
        <v>20</v>
      </c>
      <c r="AD618" s="35">
        <v>21.7</v>
      </c>
      <c r="AE618" s="35">
        <v>20</v>
      </c>
    </row>
    <row r="619" spans="1:31" x14ac:dyDescent="0.35">
      <c r="A619" s="36">
        <v>46059.890277777777</v>
      </c>
      <c r="B619" s="35">
        <v>-22.8</v>
      </c>
      <c r="C619" s="35">
        <v>-20.3</v>
      </c>
      <c r="D619" s="35">
        <v>-23</v>
      </c>
      <c r="E619" s="35">
        <v>-22.8</v>
      </c>
      <c r="F619" s="35">
        <v>-22.9</v>
      </c>
      <c r="G619" s="35">
        <v>-23</v>
      </c>
      <c r="H619" s="35">
        <v>-22</v>
      </c>
      <c r="I619" s="35">
        <v>-23.2</v>
      </c>
      <c r="J619" s="35">
        <v>-23</v>
      </c>
      <c r="K619" s="35">
        <v>-22.6</v>
      </c>
      <c r="L619" s="35">
        <v>-17.100000000000001</v>
      </c>
      <c r="M619" s="35">
        <v>-23</v>
      </c>
      <c r="N619" s="35">
        <v>-3.5</v>
      </c>
      <c r="O619" s="35">
        <v>-4</v>
      </c>
      <c r="P619" s="35">
        <v>-5</v>
      </c>
      <c r="Q619" s="35">
        <v>-3.5</v>
      </c>
      <c r="R619" s="35">
        <v>-4.9000000000000004</v>
      </c>
      <c r="S619" s="35">
        <v>-5</v>
      </c>
      <c r="T619" s="35">
        <v>9.1999999999999993</v>
      </c>
      <c r="U619" s="35">
        <v>9</v>
      </c>
      <c r="V619" s="35">
        <v>9.9</v>
      </c>
      <c r="W619" s="35">
        <v>9</v>
      </c>
      <c r="X619" s="35">
        <v>10.6</v>
      </c>
      <c r="Y619" s="35">
        <v>9</v>
      </c>
      <c r="Z619" s="35">
        <v>11.3</v>
      </c>
      <c r="AA619" s="35">
        <v>9</v>
      </c>
      <c r="AB619" s="35">
        <v>21.8</v>
      </c>
      <c r="AC619" s="35">
        <v>20</v>
      </c>
      <c r="AD619" s="35">
        <v>21.7</v>
      </c>
      <c r="AE619" s="35">
        <v>20</v>
      </c>
    </row>
    <row r="620" spans="1:31" x14ac:dyDescent="0.35">
      <c r="A620" s="36">
        <v>46059.890972222223</v>
      </c>
      <c r="B620" s="35">
        <v>-22.5</v>
      </c>
      <c r="C620" s="35">
        <v>-20.399999999999999</v>
      </c>
      <c r="D620" s="35">
        <v>-23</v>
      </c>
      <c r="E620" s="35">
        <v>-22.5</v>
      </c>
      <c r="F620" s="35">
        <v>-22.6</v>
      </c>
      <c r="G620" s="35">
        <v>-23</v>
      </c>
      <c r="H620" s="35">
        <v>-22.1</v>
      </c>
      <c r="I620" s="35">
        <v>-23.3</v>
      </c>
      <c r="J620" s="35">
        <v>-23</v>
      </c>
      <c r="K620" s="35">
        <v>-22.8</v>
      </c>
      <c r="L620" s="35">
        <v>-17.2</v>
      </c>
      <c r="M620" s="35">
        <v>-23</v>
      </c>
      <c r="N620" s="35">
        <v>-3.5</v>
      </c>
      <c r="O620" s="35">
        <v>-4.0999999999999996</v>
      </c>
      <c r="P620" s="35">
        <v>-5</v>
      </c>
      <c r="Q620" s="35">
        <v>-3.6</v>
      </c>
      <c r="R620" s="35">
        <v>-5</v>
      </c>
      <c r="S620" s="35">
        <v>-5</v>
      </c>
      <c r="T620" s="35">
        <v>9.4</v>
      </c>
      <c r="U620" s="35">
        <v>9</v>
      </c>
      <c r="V620" s="35">
        <v>9.9</v>
      </c>
      <c r="W620" s="35">
        <v>9</v>
      </c>
      <c r="X620" s="35">
        <v>10.6</v>
      </c>
      <c r="Y620" s="35">
        <v>9</v>
      </c>
      <c r="Z620" s="35">
        <v>11.3</v>
      </c>
      <c r="AA620" s="35">
        <v>9</v>
      </c>
      <c r="AB620" s="35">
        <v>21.8</v>
      </c>
      <c r="AC620" s="35">
        <v>20</v>
      </c>
      <c r="AD620" s="35">
        <v>21.7</v>
      </c>
      <c r="AE620" s="35">
        <v>20</v>
      </c>
    </row>
    <row r="621" spans="1:31" x14ac:dyDescent="0.35">
      <c r="A621" s="36">
        <v>46059.89166666667</v>
      </c>
      <c r="B621" s="35">
        <v>-22.2</v>
      </c>
      <c r="C621" s="35">
        <v>-20.5</v>
      </c>
      <c r="D621" s="35">
        <v>-23</v>
      </c>
      <c r="E621" s="35">
        <v>-22.3</v>
      </c>
      <c r="F621" s="35">
        <v>-22.4</v>
      </c>
      <c r="G621" s="35">
        <v>-23</v>
      </c>
      <c r="H621" s="35">
        <v>-22.4</v>
      </c>
      <c r="I621" s="35">
        <v>-23.3</v>
      </c>
      <c r="J621" s="35">
        <v>-23</v>
      </c>
      <c r="K621" s="35">
        <v>-22.9</v>
      </c>
      <c r="L621" s="35">
        <v>-17.3</v>
      </c>
      <c r="M621" s="35">
        <v>-23</v>
      </c>
      <c r="N621" s="35">
        <v>-3.6</v>
      </c>
      <c r="O621" s="35">
        <v>-4.0999999999999996</v>
      </c>
      <c r="P621" s="35">
        <v>-5</v>
      </c>
      <c r="Q621" s="35">
        <v>-3.6</v>
      </c>
      <c r="R621" s="35">
        <v>-5.0999999999999996</v>
      </c>
      <c r="S621" s="35">
        <v>-5</v>
      </c>
      <c r="T621" s="35">
        <v>9.6</v>
      </c>
      <c r="U621" s="35">
        <v>9</v>
      </c>
      <c r="V621" s="35">
        <v>9.9</v>
      </c>
      <c r="W621" s="35">
        <v>9</v>
      </c>
      <c r="X621" s="35">
        <v>10.6</v>
      </c>
      <c r="Y621" s="35">
        <v>9</v>
      </c>
      <c r="Z621" s="35">
        <v>11.3</v>
      </c>
      <c r="AA621" s="35">
        <v>9</v>
      </c>
      <c r="AB621" s="35">
        <v>21.8</v>
      </c>
      <c r="AC621" s="35">
        <v>20</v>
      </c>
      <c r="AD621" s="35">
        <v>21.7</v>
      </c>
      <c r="AE621" s="35">
        <v>20</v>
      </c>
    </row>
    <row r="622" spans="1:31" x14ac:dyDescent="0.35">
      <c r="A622" s="36">
        <v>46059.892361111109</v>
      </c>
      <c r="B622" s="35">
        <v>-22</v>
      </c>
      <c r="C622" s="35">
        <v>-20.5</v>
      </c>
      <c r="D622" s="35">
        <v>-23</v>
      </c>
      <c r="E622" s="35">
        <v>-22.1</v>
      </c>
      <c r="F622" s="35">
        <v>-22.1</v>
      </c>
      <c r="G622" s="35">
        <v>-23</v>
      </c>
      <c r="H622" s="35">
        <v>-22.5</v>
      </c>
      <c r="I622" s="35">
        <v>-23.4</v>
      </c>
      <c r="J622" s="35">
        <v>-23</v>
      </c>
      <c r="K622" s="35">
        <v>-23.1</v>
      </c>
      <c r="L622" s="35">
        <v>-17.399999999999999</v>
      </c>
      <c r="M622" s="35">
        <v>-23</v>
      </c>
      <c r="N622" s="35">
        <v>-3.6</v>
      </c>
      <c r="O622" s="35">
        <v>-4.2</v>
      </c>
      <c r="P622" s="35">
        <v>-5</v>
      </c>
      <c r="Q622" s="35">
        <v>-3.6</v>
      </c>
      <c r="R622" s="35">
        <v>-5.0999999999999996</v>
      </c>
      <c r="S622" s="35">
        <v>-5</v>
      </c>
      <c r="T622" s="35">
        <v>9.8000000000000007</v>
      </c>
      <c r="U622" s="35">
        <v>9</v>
      </c>
      <c r="V622" s="35">
        <v>9.9</v>
      </c>
      <c r="W622" s="35">
        <v>9</v>
      </c>
      <c r="X622" s="35">
        <v>10.5</v>
      </c>
      <c r="Y622" s="35">
        <v>9</v>
      </c>
      <c r="Z622" s="35">
        <v>11.3</v>
      </c>
      <c r="AA622" s="35">
        <v>9</v>
      </c>
      <c r="AB622" s="35">
        <v>21.8</v>
      </c>
      <c r="AC622" s="35">
        <v>20</v>
      </c>
      <c r="AD622" s="35">
        <v>21.7</v>
      </c>
      <c r="AE622" s="35">
        <v>20</v>
      </c>
    </row>
    <row r="623" spans="1:31" x14ac:dyDescent="0.35">
      <c r="A623" s="36">
        <v>46059.893055555556</v>
      </c>
      <c r="B623" s="35">
        <v>-21.8</v>
      </c>
      <c r="C623" s="35">
        <v>-20.5</v>
      </c>
      <c r="D623" s="35">
        <v>-23</v>
      </c>
      <c r="E623" s="35">
        <v>-21.9</v>
      </c>
      <c r="F623" s="35">
        <v>-21.9</v>
      </c>
      <c r="G623" s="35">
        <v>-23</v>
      </c>
      <c r="H623" s="35">
        <v>-22.6</v>
      </c>
      <c r="I623" s="35">
        <v>-23.4</v>
      </c>
      <c r="J623" s="35">
        <v>-23</v>
      </c>
      <c r="K623" s="35">
        <v>-23.3</v>
      </c>
      <c r="L623" s="35">
        <v>-17.5</v>
      </c>
      <c r="M623" s="35">
        <v>-23</v>
      </c>
      <c r="N623" s="35">
        <v>-3.7</v>
      </c>
      <c r="O623" s="35">
        <v>-4.3</v>
      </c>
      <c r="P623" s="35">
        <v>-5</v>
      </c>
      <c r="Q623" s="35">
        <v>-3.7</v>
      </c>
      <c r="R623" s="35">
        <v>-5.2</v>
      </c>
      <c r="S623" s="35">
        <v>-5</v>
      </c>
      <c r="T623" s="35">
        <v>10</v>
      </c>
      <c r="U623" s="35">
        <v>9</v>
      </c>
      <c r="V623" s="35">
        <v>9.9</v>
      </c>
      <c r="W623" s="35">
        <v>9</v>
      </c>
      <c r="X623" s="35">
        <v>10.5</v>
      </c>
      <c r="Y623" s="35">
        <v>9</v>
      </c>
      <c r="Z623" s="35">
        <v>11.3</v>
      </c>
      <c r="AA623" s="35">
        <v>9</v>
      </c>
      <c r="AB623" s="35">
        <v>21.8</v>
      </c>
      <c r="AC623" s="35">
        <v>20</v>
      </c>
      <c r="AD623" s="35">
        <v>21.7</v>
      </c>
      <c r="AE623" s="35">
        <v>20</v>
      </c>
    </row>
    <row r="624" spans="1:31" x14ac:dyDescent="0.35">
      <c r="A624" s="36">
        <v>46059.893750000003</v>
      </c>
      <c r="B624" s="35">
        <v>-21.7</v>
      </c>
      <c r="C624" s="35">
        <v>-20.5</v>
      </c>
      <c r="D624" s="35">
        <v>-23</v>
      </c>
      <c r="E624" s="35">
        <v>-21.8</v>
      </c>
      <c r="F624" s="35">
        <v>-21.8</v>
      </c>
      <c r="G624" s="35">
        <v>-23</v>
      </c>
      <c r="H624" s="35">
        <v>-22.7</v>
      </c>
      <c r="I624" s="35">
        <v>-23.6</v>
      </c>
      <c r="J624" s="35">
        <v>-23</v>
      </c>
      <c r="K624" s="35">
        <v>-23.4</v>
      </c>
      <c r="L624" s="35">
        <v>-17.600000000000001</v>
      </c>
      <c r="M624" s="35">
        <v>-23</v>
      </c>
      <c r="N624" s="35">
        <v>-3.7</v>
      </c>
      <c r="O624" s="35">
        <v>-4.3</v>
      </c>
      <c r="P624" s="35">
        <v>-5</v>
      </c>
      <c r="Q624" s="35">
        <v>-3.7</v>
      </c>
      <c r="R624" s="35">
        <v>-5.2</v>
      </c>
      <c r="S624" s="35">
        <v>-5</v>
      </c>
      <c r="T624" s="35">
        <v>10.1</v>
      </c>
      <c r="U624" s="35">
        <v>9</v>
      </c>
      <c r="V624" s="35">
        <v>9.9</v>
      </c>
      <c r="W624" s="35">
        <v>9</v>
      </c>
      <c r="X624" s="35">
        <v>10.4</v>
      </c>
      <c r="Y624" s="35">
        <v>9</v>
      </c>
      <c r="Z624" s="35">
        <v>11.3</v>
      </c>
      <c r="AA624" s="35">
        <v>9</v>
      </c>
      <c r="AB624" s="35">
        <v>21.8</v>
      </c>
      <c r="AC624" s="35">
        <v>20</v>
      </c>
      <c r="AD624" s="35">
        <v>21.7</v>
      </c>
      <c r="AE624" s="35">
        <v>20</v>
      </c>
    </row>
    <row r="625" spans="1:31" x14ac:dyDescent="0.35">
      <c r="A625" s="36">
        <v>46059.894444444442</v>
      </c>
      <c r="B625" s="35">
        <v>-21.5</v>
      </c>
      <c r="C625" s="35">
        <v>-20.399999999999999</v>
      </c>
      <c r="D625" s="35">
        <v>-23</v>
      </c>
      <c r="E625" s="35">
        <v>-21.6</v>
      </c>
      <c r="F625" s="35">
        <v>-21.6</v>
      </c>
      <c r="G625" s="35">
        <v>-23</v>
      </c>
      <c r="H625" s="35">
        <v>-22.9</v>
      </c>
      <c r="I625" s="35">
        <v>-23.6</v>
      </c>
      <c r="J625" s="35">
        <v>-23</v>
      </c>
      <c r="K625" s="35">
        <v>-23.5</v>
      </c>
      <c r="L625" s="35">
        <v>-17.7</v>
      </c>
      <c r="M625" s="35">
        <v>-23</v>
      </c>
      <c r="N625" s="35">
        <v>-3.8</v>
      </c>
      <c r="O625" s="35">
        <v>-4.4000000000000004</v>
      </c>
      <c r="P625" s="35">
        <v>-5</v>
      </c>
      <c r="Q625" s="35">
        <v>-3.8</v>
      </c>
      <c r="R625" s="35">
        <v>-5.3</v>
      </c>
      <c r="S625" s="35">
        <v>-5</v>
      </c>
      <c r="T625" s="35">
        <v>10.3</v>
      </c>
      <c r="U625" s="35">
        <v>9</v>
      </c>
      <c r="V625" s="35">
        <v>10</v>
      </c>
      <c r="W625" s="35">
        <v>9</v>
      </c>
      <c r="X625" s="35">
        <v>10.3</v>
      </c>
      <c r="Y625" s="35">
        <v>9</v>
      </c>
      <c r="Z625" s="35">
        <v>11.3</v>
      </c>
      <c r="AA625" s="35">
        <v>9</v>
      </c>
      <c r="AB625" s="35">
        <v>21.8</v>
      </c>
      <c r="AC625" s="35">
        <v>20</v>
      </c>
      <c r="AD625" s="35">
        <v>21.7</v>
      </c>
      <c r="AE625" s="35">
        <v>20</v>
      </c>
    </row>
    <row r="626" spans="1:31" x14ac:dyDescent="0.35">
      <c r="A626" s="36">
        <v>46059.895138888889</v>
      </c>
      <c r="B626" s="35">
        <v>-21.3</v>
      </c>
      <c r="C626" s="35">
        <v>-20.2</v>
      </c>
      <c r="D626" s="35">
        <v>-23</v>
      </c>
      <c r="E626" s="35">
        <v>-21.5</v>
      </c>
      <c r="F626" s="35">
        <v>-21.4</v>
      </c>
      <c r="G626" s="35">
        <v>-23</v>
      </c>
      <c r="H626" s="35">
        <v>-23</v>
      </c>
      <c r="I626" s="35">
        <v>-23.7</v>
      </c>
      <c r="J626" s="35">
        <v>-23</v>
      </c>
      <c r="K626" s="35">
        <v>-23.6</v>
      </c>
      <c r="L626" s="35">
        <v>-17.899999999999999</v>
      </c>
      <c r="M626" s="35">
        <v>-23</v>
      </c>
      <c r="N626" s="35">
        <v>-3.8</v>
      </c>
      <c r="O626" s="35">
        <v>-4.5</v>
      </c>
      <c r="P626" s="35">
        <v>-5</v>
      </c>
      <c r="Q626" s="35">
        <v>-3.9</v>
      </c>
      <c r="R626" s="35">
        <v>-5.4</v>
      </c>
      <c r="S626" s="35">
        <v>-5</v>
      </c>
      <c r="T626" s="35">
        <v>10.4</v>
      </c>
      <c r="U626" s="35">
        <v>9</v>
      </c>
      <c r="V626" s="35">
        <v>10.1</v>
      </c>
      <c r="W626" s="35">
        <v>9</v>
      </c>
      <c r="X626" s="35">
        <v>10.199999999999999</v>
      </c>
      <c r="Y626" s="35">
        <v>9</v>
      </c>
      <c r="Z626" s="35">
        <v>11.3</v>
      </c>
      <c r="AA626" s="35">
        <v>9</v>
      </c>
      <c r="AB626" s="35">
        <v>21.8</v>
      </c>
      <c r="AC626" s="35">
        <v>20</v>
      </c>
      <c r="AD626" s="35">
        <v>21.7</v>
      </c>
      <c r="AE626" s="35">
        <v>20</v>
      </c>
    </row>
    <row r="627" spans="1:31" x14ac:dyDescent="0.35">
      <c r="A627" s="36">
        <v>46059.895833333336</v>
      </c>
      <c r="B627" s="35">
        <v>-21.2</v>
      </c>
      <c r="C627" s="35">
        <v>-20.100000000000001</v>
      </c>
      <c r="D627" s="35">
        <v>-23</v>
      </c>
      <c r="E627" s="35">
        <v>-21.3</v>
      </c>
      <c r="F627" s="35">
        <v>-21.3</v>
      </c>
      <c r="G627" s="35">
        <v>-23</v>
      </c>
      <c r="H627" s="35">
        <v>-23.1</v>
      </c>
      <c r="I627" s="35">
        <v>-23.7</v>
      </c>
      <c r="J627" s="35">
        <v>-23</v>
      </c>
      <c r="K627" s="35">
        <v>-23.6</v>
      </c>
      <c r="L627" s="35">
        <v>-18</v>
      </c>
      <c r="M627" s="35">
        <v>-23</v>
      </c>
      <c r="N627" s="35">
        <v>-3.9</v>
      </c>
      <c r="O627" s="35">
        <v>-4.5</v>
      </c>
      <c r="P627" s="35">
        <v>-5</v>
      </c>
      <c r="Q627" s="35">
        <v>-4</v>
      </c>
      <c r="R627" s="35">
        <v>-5.5</v>
      </c>
      <c r="S627" s="35">
        <v>-5</v>
      </c>
      <c r="T627" s="35">
        <v>10.5</v>
      </c>
      <c r="U627" s="35">
        <v>9</v>
      </c>
      <c r="V627" s="35">
        <v>10.199999999999999</v>
      </c>
      <c r="W627" s="35">
        <v>9</v>
      </c>
      <c r="X627" s="35">
        <v>10.1</v>
      </c>
      <c r="Y627" s="35">
        <v>9</v>
      </c>
      <c r="Z627" s="35">
        <v>11.3</v>
      </c>
      <c r="AA627" s="35">
        <v>9</v>
      </c>
      <c r="AB627" s="35">
        <v>21.8</v>
      </c>
      <c r="AC627" s="35">
        <v>20</v>
      </c>
      <c r="AD627" s="35">
        <v>21.7</v>
      </c>
      <c r="AE627" s="35">
        <v>20</v>
      </c>
    </row>
    <row r="628" spans="1:31" x14ac:dyDescent="0.35">
      <c r="A628" s="36">
        <v>46059.896527777775</v>
      </c>
      <c r="B628" s="35">
        <v>-21</v>
      </c>
      <c r="C628" s="35">
        <v>-19.899999999999999</v>
      </c>
      <c r="D628" s="35">
        <v>-23</v>
      </c>
      <c r="E628" s="35">
        <v>-21.2</v>
      </c>
      <c r="F628" s="35">
        <v>-21.2</v>
      </c>
      <c r="G628" s="35">
        <v>-23</v>
      </c>
      <c r="H628" s="35">
        <v>-23.1</v>
      </c>
      <c r="I628" s="35">
        <v>-23.5</v>
      </c>
      <c r="J628" s="35">
        <v>-23</v>
      </c>
      <c r="K628" s="35">
        <v>-23.3</v>
      </c>
      <c r="L628" s="35">
        <v>-18.2</v>
      </c>
      <c r="M628" s="35">
        <v>-23</v>
      </c>
      <c r="N628" s="35">
        <v>-3.9</v>
      </c>
      <c r="O628" s="35">
        <v>-4.5</v>
      </c>
      <c r="P628" s="35">
        <v>-5</v>
      </c>
      <c r="Q628" s="35">
        <v>-4.2</v>
      </c>
      <c r="R628" s="35">
        <v>-5.6</v>
      </c>
      <c r="S628" s="35">
        <v>-5</v>
      </c>
      <c r="T628" s="35">
        <v>10.6</v>
      </c>
      <c r="U628" s="35">
        <v>9</v>
      </c>
      <c r="V628" s="35">
        <v>10.3</v>
      </c>
      <c r="W628" s="35">
        <v>9</v>
      </c>
      <c r="X628" s="35">
        <v>10</v>
      </c>
      <c r="Y628" s="35">
        <v>9</v>
      </c>
      <c r="Z628" s="35">
        <v>11.3</v>
      </c>
      <c r="AA628" s="35">
        <v>9</v>
      </c>
      <c r="AB628" s="35">
        <v>21.8</v>
      </c>
      <c r="AC628" s="35">
        <v>20</v>
      </c>
      <c r="AD628" s="35">
        <v>21.7</v>
      </c>
      <c r="AE628" s="35">
        <v>20</v>
      </c>
    </row>
    <row r="629" spans="1:31" x14ac:dyDescent="0.35">
      <c r="A629" s="36">
        <v>46059.897222222222</v>
      </c>
      <c r="B629" s="35">
        <v>-20.9</v>
      </c>
      <c r="C629" s="35">
        <v>-19.8</v>
      </c>
      <c r="D629" s="35">
        <v>-23</v>
      </c>
      <c r="E629" s="35">
        <v>-21.1</v>
      </c>
      <c r="F629" s="35">
        <v>-21</v>
      </c>
      <c r="G629" s="35">
        <v>-23</v>
      </c>
      <c r="H629" s="35">
        <v>-22.9</v>
      </c>
      <c r="I629" s="35">
        <v>-23.3</v>
      </c>
      <c r="J629" s="35">
        <v>-23</v>
      </c>
      <c r="K629" s="35">
        <v>-23</v>
      </c>
      <c r="L629" s="35">
        <v>-18.3</v>
      </c>
      <c r="M629" s="35">
        <v>-23</v>
      </c>
      <c r="N629" s="35">
        <v>-4</v>
      </c>
      <c r="O629" s="35">
        <v>-4.5999999999999996</v>
      </c>
      <c r="P629" s="35">
        <v>-5</v>
      </c>
      <c r="Q629" s="35">
        <v>-4.3</v>
      </c>
      <c r="R629" s="35">
        <v>-5.7</v>
      </c>
      <c r="S629" s="35">
        <v>-5</v>
      </c>
      <c r="T629" s="35">
        <v>10.7</v>
      </c>
      <c r="U629" s="35">
        <v>9</v>
      </c>
      <c r="V629" s="35">
        <v>10.3</v>
      </c>
      <c r="W629" s="35">
        <v>9</v>
      </c>
      <c r="X629" s="35">
        <v>10</v>
      </c>
      <c r="Y629" s="35">
        <v>9</v>
      </c>
      <c r="Z629" s="35">
        <v>11.3</v>
      </c>
      <c r="AA629" s="35">
        <v>9</v>
      </c>
      <c r="AB629" s="35">
        <v>21.8</v>
      </c>
      <c r="AC629" s="35">
        <v>20</v>
      </c>
      <c r="AD629" s="35">
        <v>21.7</v>
      </c>
      <c r="AE629" s="35">
        <v>20</v>
      </c>
    </row>
    <row r="630" spans="1:31" x14ac:dyDescent="0.35">
      <c r="A630" s="36">
        <v>46059.897916666669</v>
      </c>
      <c r="B630" s="35">
        <v>-20.9</v>
      </c>
      <c r="C630" s="35">
        <v>-19.7</v>
      </c>
      <c r="D630" s="35">
        <v>-23</v>
      </c>
      <c r="E630" s="35">
        <v>-21</v>
      </c>
      <c r="F630" s="35">
        <v>-20.9</v>
      </c>
      <c r="G630" s="35">
        <v>-23</v>
      </c>
      <c r="H630" s="35">
        <v>-22.7</v>
      </c>
      <c r="I630" s="35">
        <v>-23</v>
      </c>
      <c r="J630" s="35">
        <v>-23</v>
      </c>
      <c r="K630" s="35">
        <v>-22.8</v>
      </c>
      <c r="L630" s="35">
        <v>-18.399999999999999</v>
      </c>
      <c r="M630" s="35">
        <v>-23</v>
      </c>
      <c r="N630" s="35">
        <v>-4</v>
      </c>
      <c r="O630" s="35">
        <v>-4.5999999999999996</v>
      </c>
      <c r="P630" s="35">
        <v>-5</v>
      </c>
      <c r="Q630" s="35">
        <v>-4.4000000000000004</v>
      </c>
      <c r="R630" s="35">
        <v>-5.7</v>
      </c>
      <c r="S630" s="35">
        <v>-5</v>
      </c>
      <c r="T630" s="35">
        <v>10.8</v>
      </c>
      <c r="U630" s="35">
        <v>9</v>
      </c>
      <c r="V630" s="35">
        <v>10.4</v>
      </c>
      <c r="W630" s="35">
        <v>9</v>
      </c>
      <c r="X630" s="35">
        <v>10</v>
      </c>
      <c r="Y630" s="35">
        <v>9</v>
      </c>
      <c r="Z630" s="35">
        <v>11.3</v>
      </c>
      <c r="AA630" s="35">
        <v>9</v>
      </c>
      <c r="AB630" s="35">
        <v>21.8</v>
      </c>
      <c r="AC630" s="35">
        <v>20</v>
      </c>
      <c r="AD630" s="35">
        <v>21.7</v>
      </c>
      <c r="AE630" s="35">
        <v>20</v>
      </c>
    </row>
    <row r="631" spans="1:31" x14ac:dyDescent="0.35">
      <c r="A631" s="36">
        <v>46059.898611111108</v>
      </c>
      <c r="B631" s="35">
        <v>-21.5</v>
      </c>
      <c r="C631" s="35">
        <v>-19.600000000000001</v>
      </c>
      <c r="D631" s="35">
        <v>-23</v>
      </c>
      <c r="E631" s="35">
        <v>-21</v>
      </c>
      <c r="F631" s="35">
        <v>-22</v>
      </c>
      <c r="G631" s="35">
        <v>-23</v>
      </c>
      <c r="H631" s="35">
        <v>-22.6</v>
      </c>
      <c r="I631" s="35">
        <v>-22.9</v>
      </c>
      <c r="J631" s="35">
        <v>-23</v>
      </c>
      <c r="K631" s="35">
        <v>-22.6</v>
      </c>
      <c r="L631" s="35">
        <v>-18.399999999999999</v>
      </c>
      <c r="M631" s="35">
        <v>-23</v>
      </c>
      <c r="N631" s="35">
        <v>-4</v>
      </c>
      <c r="O631" s="35">
        <v>-4.7</v>
      </c>
      <c r="P631" s="35">
        <v>-5</v>
      </c>
      <c r="Q631" s="35">
        <v>-4.4000000000000004</v>
      </c>
      <c r="R631" s="35">
        <v>-5.8</v>
      </c>
      <c r="S631" s="35">
        <v>-5</v>
      </c>
      <c r="T631" s="35">
        <v>10.8</v>
      </c>
      <c r="U631" s="35">
        <v>9</v>
      </c>
      <c r="V631" s="35">
        <v>10.4</v>
      </c>
      <c r="W631" s="35">
        <v>9</v>
      </c>
      <c r="X631" s="35">
        <v>10</v>
      </c>
      <c r="Y631" s="35">
        <v>9</v>
      </c>
      <c r="Z631" s="35">
        <v>11.3</v>
      </c>
      <c r="AA631" s="35">
        <v>9</v>
      </c>
      <c r="AB631" s="35">
        <v>21.8</v>
      </c>
      <c r="AC631" s="35">
        <v>20</v>
      </c>
      <c r="AD631" s="35">
        <v>21.7</v>
      </c>
      <c r="AE631" s="35">
        <v>20</v>
      </c>
    </row>
    <row r="632" spans="1:31" x14ac:dyDescent="0.35">
      <c r="A632" s="36">
        <v>46059.9</v>
      </c>
      <c r="B632" s="35">
        <v>-22.7</v>
      </c>
      <c r="C632" s="35">
        <v>-19.600000000000001</v>
      </c>
      <c r="D632" s="35">
        <v>-23</v>
      </c>
      <c r="E632" s="35">
        <v>-21.9</v>
      </c>
      <c r="F632" s="35">
        <v>-22.9</v>
      </c>
      <c r="G632" s="35">
        <v>-23</v>
      </c>
      <c r="H632" s="35">
        <v>-22.2</v>
      </c>
      <c r="I632" s="35">
        <v>-22.6</v>
      </c>
      <c r="J632" s="35">
        <v>-23</v>
      </c>
      <c r="K632" s="35">
        <v>-22.2</v>
      </c>
      <c r="L632" s="35">
        <v>-18.5</v>
      </c>
      <c r="M632" s="35">
        <v>-23</v>
      </c>
      <c r="N632" s="35">
        <v>-4</v>
      </c>
      <c r="O632" s="35">
        <v>-4.7</v>
      </c>
      <c r="P632" s="35">
        <v>-5</v>
      </c>
      <c r="Q632" s="35">
        <v>-4.4000000000000004</v>
      </c>
      <c r="R632" s="35">
        <v>-5.8</v>
      </c>
      <c r="S632" s="35">
        <v>-5</v>
      </c>
      <c r="T632" s="35">
        <v>11</v>
      </c>
      <c r="U632" s="35">
        <v>9</v>
      </c>
      <c r="V632" s="35">
        <v>10.5</v>
      </c>
      <c r="W632" s="35">
        <v>9</v>
      </c>
      <c r="X632" s="35">
        <v>10</v>
      </c>
      <c r="Y632" s="35">
        <v>9</v>
      </c>
      <c r="Z632" s="35">
        <v>11.3</v>
      </c>
      <c r="AA632" s="35">
        <v>9</v>
      </c>
      <c r="AB632" s="35">
        <v>21.8</v>
      </c>
      <c r="AC632" s="35">
        <v>20</v>
      </c>
      <c r="AD632" s="35">
        <v>21.7</v>
      </c>
      <c r="AE632" s="35">
        <v>20</v>
      </c>
    </row>
    <row r="633" spans="1:31" x14ac:dyDescent="0.35">
      <c r="A633" s="36">
        <v>46059.900694444441</v>
      </c>
      <c r="B633" s="35">
        <v>-23.1</v>
      </c>
      <c r="C633" s="35">
        <v>-19.600000000000001</v>
      </c>
      <c r="D633" s="35">
        <v>-23</v>
      </c>
      <c r="E633" s="35">
        <v>-22.2</v>
      </c>
      <c r="F633" s="35">
        <v>-22.7</v>
      </c>
      <c r="G633" s="35">
        <v>-23</v>
      </c>
      <c r="H633" s="35">
        <v>-22.1</v>
      </c>
      <c r="I633" s="35">
        <v>-22.4</v>
      </c>
      <c r="J633" s="35">
        <v>-23</v>
      </c>
      <c r="K633" s="35">
        <v>-22.1</v>
      </c>
      <c r="L633" s="35">
        <v>-18.5</v>
      </c>
      <c r="M633" s="35">
        <v>-23</v>
      </c>
      <c r="N633" s="35">
        <v>-4</v>
      </c>
      <c r="O633" s="35">
        <v>-4.7</v>
      </c>
      <c r="P633" s="35">
        <v>-5</v>
      </c>
      <c r="Q633" s="35">
        <v>-4.4000000000000004</v>
      </c>
      <c r="R633" s="35">
        <v>-5.6</v>
      </c>
      <c r="S633" s="35">
        <v>-5</v>
      </c>
      <c r="T633" s="35">
        <v>11</v>
      </c>
      <c r="U633" s="35">
        <v>9</v>
      </c>
      <c r="V633" s="35">
        <v>10.6</v>
      </c>
      <c r="W633" s="35">
        <v>9</v>
      </c>
      <c r="X633" s="35">
        <v>10.199999999999999</v>
      </c>
      <c r="Y633" s="35">
        <v>9</v>
      </c>
      <c r="Z633" s="35">
        <v>11.3</v>
      </c>
      <c r="AA633" s="35">
        <v>9</v>
      </c>
      <c r="AB633" s="35">
        <v>21.8</v>
      </c>
      <c r="AC633" s="35">
        <v>20</v>
      </c>
      <c r="AD633" s="35">
        <v>21.7</v>
      </c>
      <c r="AE633" s="35">
        <v>20</v>
      </c>
    </row>
    <row r="634" spans="1:31" x14ac:dyDescent="0.35">
      <c r="A634" s="36">
        <v>46059.901388888888</v>
      </c>
      <c r="B634" s="35">
        <v>-23.3</v>
      </c>
      <c r="C634" s="35">
        <v>-19.7</v>
      </c>
      <c r="D634" s="35">
        <v>-23</v>
      </c>
      <c r="E634" s="35">
        <v>-22.5</v>
      </c>
      <c r="F634" s="35">
        <v>-22.6</v>
      </c>
      <c r="G634" s="35">
        <v>-23</v>
      </c>
      <c r="H634" s="35">
        <v>-22</v>
      </c>
      <c r="I634" s="35">
        <v>-22.3</v>
      </c>
      <c r="J634" s="35">
        <v>-23</v>
      </c>
      <c r="K634" s="35">
        <v>-21.9</v>
      </c>
      <c r="L634" s="35">
        <v>-18.5</v>
      </c>
      <c r="M634" s="35">
        <v>-23</v>
      </c>
      <c r="N634" s="35">
        <v>-4.0999999999999996</v>
      </c>
      <c r="O634" s="35">
        <v>-4.7</v>
      </c>
      <c r="P634" s="35">
        <v>-5</v>
      </c>
      <c r="Q634" s="35">
        <v>-4.0999999999999996</v>
      </c>
      <c r="R634" s="35">
        <v>-5</v>
      </c>
      <c r="S634" s="35">
        <v>-5</v>
      </c>
      <c r="T634" s="35">
        <v>10.5</v>
      </c>
      <c r="U634" s="35">
        <v>9</v>
      </c>
      <c r="V634" s="35">
        <v>10.6</v>
      </c>
      <c r="W634" s="35">
        <v>9</v>
      </c>
      <c r="X634" s="35">
        <v>10.5</v>
      </c>
      <c r="Y634" s="35">
        <v>9</v>
      </c>
      <c r="Z634" s="35">
        <v>11.3</v>
      </c>
      <c r="AA634" s="35">
        <v>9</v>
      </c>
      <c r="AB634" s="35">
        <v>21.8</v>
      </c>
      <c r="AC634" s="35">
        <v>20</v>
      </c>
      <c r="AD634" s="35">
        <v>21.7</v>
      </c>
      <c r="AE634" s="35">
        <v>20</v>
      </c>
    </row>
    <row r="635" spans="1:31" x14ac:dyDescent="0.35">
      <c r="A635" s="36">
        <v>46059.902777777781</v>
      </c>
      <c r="B635" s="35">
        <v>-24</v>
      </c>
      <c r="C635" s="35">
        <v>-20.2</v>
      </c>
      <c r="D635" s="35">
        <v>-23</v>
      </c>
      <c r="E635" s="35">
        <v>-23</v>
      </c>
      <c r="F635" s="35">
        <v>-24.5</v>
      </c>
      <c r="G635" s="35">
        <v>-23</v>
      </c>
      <c r="H635" s="35">
        <v>-21.7</v>
      </c>
      <c r="I635" s="35">
        <v>-22</v>
      </c>
      <c r="J635" s="35">
        <v>-23</v>
      </c>
      <c r="K635" s="35">
        <v>-21.6</v>
      </c>
      <c r="L635" s="35">
        <v>-18.5</v>
      </c>
      <c r="M635" s="35">
        <v>-23</v>
      </c>
      <c r="N635" s="35">
        <v>-4.0999999999999996</v>
      </c>
      <c r="O635" s="35">
        <v>-4.7</v>
      </c>
      <c r="P635" s="35">
        <v>-5</v>
      </c>
      <c r="Q635" s="35">
        <v>-3.5</v>
      </c>
      <c r="R635" s="35">
        <v>-4.2</v>
      </c>
      <c r="S635" s="35">
        <v>-5</v>
      </c>
      <c r="T635" s="35">
        <v>9.5</v>
      </c>
      <c r="U635" s="35">
        <v>9</v>
      </c>
      <c r="V635" s="35">
        <v>10.4</v>
      </c>
      <c r="W635" s="35">
        <v>9</v>
      </c>
      <c r="X635" s="35">
        <v>10.7</v>
      </c>
      <c r="Y635" s="35">
        <v>9</v>
      </c>
      <c r="Z635" s="35">
        <v>11.3</v>
      </c>
      <c r="AA635" s="35">
        <v>9</v>
      </c>
      <c r="AB635" s="35">
        <v>21.8</v>
      </c>
      <c r="AC635" s="35">
        <v>20</v>
      </c>
      <c r="AD635" s="35">
        <v>21.7</v>
      </c>
      <c r="AE635" s="35">
        <v>20</v>
      </c>
    </row>
    <row r="636" spans="1:31" x14ac:dyDescent="0.35">
      <c r="A636" s="36">
        <v>46059.90347222222</v>
      </c>
      <c r="B636" s="35">
        <v>-24.1</v>
      </c>
      <c r="C636" s="35">
        <v>-20.5</v>
      </c>
      <c r="D636" s="35">
        <v>-23</v>
      </c>
      <c r="E636" s="35">
        <v>-23.2</v>
      </c>
      <c r="F636" s="35">
        <v>-24.2</v>
      </c>
      <c r="G636" s="35">
        <v>-23</v>
      </c>
      <c r="H636" s="35">
        <v>-21.6</v>
      </c>
      <c r="I636" s="35">
        <v>-21.9</v>
      </c>
      <c r="J636" s="35">
        <v>-23</v>
      </c>
      <c r="K636" s="35">
        <v>-21.5</v>
      </c>
      <c r="L636" s="35">
        <v>-18.5</v>
      </c>
      <c r="M636" s="35">
        <v>-23</v>
      </c>
      <c r="N636" s="35">
        <v>-4.0999999999999996</v>
      </c>
      <c r="O636" s="35">
        <v>-4.7</v>
      </c>
      <c r="P636" s="35">
        <v>-5</v>
      </c>
      <c r="Q636" s="35">
        <v>-3.3</v>
      </c>
      <c r="R636" s="35">
        <v>-4</v>
      </c>
      <c r="S636" s="35">
        <v>-5</v>
      </c>
      <c r="T636" s="35">
        <v>9.1</v>
      </c>
      <c r="U636" s="35">
        <v>9</v>
      </c>
      <c r="V636" s="35">
        <v>10.199999999999999</v>
      </c>
      <c r="W636" s="35">
        <v>9</v>
      </c>
      <c r="X636" s="35">
        <v>10.8</v>
      </c>
      <c r="Y636" s="35">
        <v>9</v>
      </c>
      <c r="Z636" s="35">
        <v>11.3</v>
      </c>
      <c r="AA636" s="35">
        <v>9</v>
      </c>
      <c r="AB636" s="35">
        <v>21.8</v>
      </c>
      <c r="AC636" s="35">
        <v>20</v>
      </c>
      <c r="AD636" s="35">
        <v>21.7</v>
      </c>
      <c r="AE636" s="35">
        <v>20</v>
      </c>
    </row>
    <row r="637" spans="1:31" x14ac:dyDescent="0.35">
      <c r="A637" s="36">
        <v>46059.904166666667</v>
      </c>
      <c r="B637" s="35">
        <v>-23.5</v>
      </c>
      <c r="C637" s="35">
        <v>-20.7</v>
      </c>
      <c r="D637" s="35">
        <v>-23</v>
      </c>
      <c r="E637" s="35">
        <v>-23.2</v>
      </c>
      <c r="F637" s="35">
        <v>-23.5</v>
      </c>
      <c r="G637" s="35">
        <v>-23</v>
      </c>
      <c r="H637" s="35">
        <v>-21.5</v>
      </c>
      <c r="I637" s="35">
        <v>-21.8</v>
      </c>
      <c r="J637" s="35">
        <v>-23</v>
      </c>
      <c r="K637" s="35">
        <v>-21.4</v>
      </c>
      <c r="L637" s="35">
        <v>-18.399999999999999</v>
      </c>
      <c r="M637" s="35">
        <v>-23</v>
      </c>
      <c r="N637" s="35">
        <v>-4.2</v>
      </c>
      <c r="O637" s="35">
        <v>-4.8</v>
      </c>
      <c r="P637" s="35">
        <v>-5</v>
      </c>
      <c r="Q637" s="35">
        <v>-3.3</v>
      </c>
      <c r="R637" s="35">
        <v>-3.8</v>
      </c>
      <c r="S637" s="35">
        <v>-5</v>
      </c>
      <c r="T637" s="35">
        <v>8.8000000000000007</v>
      </c>
      <c r="U637" s="35">
        <v>9</v>
      </c>
      <c r="V637" s="35">
        <v>10.199999999999999</v>
      </c>
      <c r="W637" s="35">
        <v>9</v>
      </c>
      <c r="X637" s="35">
        <v>10.8</v>
      </c>
      <c r="Y637" s="35">
        <v>9</v>
      </c>
      <c r="Z637" s="35">
        <v>11.3</v>
      </c>
      <c r="AA637" s="35">
        <v>9</v>
      </c>
      <c r="AB637" s="35">
        <v>21.8</v>
      </c>
      <c r="AC637" s="35">
        <v>20</v>
      </c>
      <c r="AD637" s="35">
        <v>21.7</v>
      </c>
      <c r="AE637" s="35">
        <v>20</v>
      </c>
    </row>
    <row r="638" spans="1:31" x14ac:dyDescent="0.35">
      <c r="A638" s="36">
        <v>46059.904861111114</v>
      </c>
      <c r="B638" s="35">
        <v>-23</v>
      </c>
      <c r="C638" s="35">
        <v>-20.9</v>
      </c>
      <c r="D638" s="35">
        <v>-23</v>
      </c>
      <c r="E638" s="35">
        <v>-22.9</v>
      </c>
      <c r="F638" s="35">
        <v>-23.1</v>
      </c>
      <c r="G638" s="35">
        <v>-23</v>
      </c>
      <c r="H638" s="35">
        <v>-21.4</v>
      </c>
      <c r="I638" s="35">
        <v>-21.7</v>
      </c>
      <c r="J638" s="35">
        <v>-23</v>
      </c>
      <c r="K638" s="35">
        <v>-21.3</v>
      </c>
      <c r="L638" s="35">
        <v>-18.399999999999999</v>
      </c>
      <c r="M638" s="35">
        <v>-23</v>
      </c>
      <c r="N638" s="35">
        <v>-4.2</v>
      </c>
      <c r="O638" s="35">
        <v>-4.8</v>
      </c>
      <c r="P638" s="35">
        <v>-5</v>
      </c>
      <c r="Q638" s="35">
        <v>-3.2</v>
      </c>
      <c r="R638" s="35">
        <v>-3.8</v>
      </c>
      <c r="S638" s="35">
        <v>-5</v>
      </c>
      <c r="T638" s="35">
        <v>8.8000000000000007</v>
      </c>
      <c r="U638" s="35">
        <v>9</v>
      </c>
      <c r="V638" s="35">
        <v>10.1</v>
      </c>
      <c r="W638" s="35">
        <v>9</v>
      </c>
      <c r="X638" s="35">
        <v>10.8</v>
      </c>
      <c r="Y638" s="35">
        <v>9</v>
      </c>
      <c r="Z638" s="35">
        <v>11.3</v>
      </c>
      <c r="AA638" s="35">
        <v>9</v>
      </c>
      <c r="AB638" s="35">
        <v>21.8</v>
      </c>
      <c r="AC638" s="35">
        <v>20</v>
      </c>
      <c r="AD638" s="35">
        <v>21.7</v>
      </c>
      <c r="AE638" s="35">
        <v>20</v>
      </c>
    </row>
    <row r="639" spans="1:31" x14ac:dyDescent="0.35">
      <c r="A639" s="36">
        <v>46059.905555555553</v>
      </c>
      <c r="B639" s="35">
        <v>-22.7</v>
      </c>
      <c r="C639" s="35">
        <v>-20.9</v>
      </c>
      <c r="D639" s="35">
        <v>-23</v>
      </c>
      <c r="E639" s="35">
        <v>-22.7</v>
      </c>
      <c r="F639" s="35">
        <v>-22.7</v>
      </c>
      <c r="G639" s="35">
        <v>-23</v>
      </c>
      <c r="H639" s="35">
        <v>-21.3</v>
      </c>
      <c r="I639" s="35">
        <v>-21.6</v>
      </c>
      <c r="J639" s="35">
        <v>-23</v>
      </c>
      <c r="K639" s="35">
        <v>-21.2</v>
      </c>
      <c r="L639" s="35">
        <v>-18.3</v>
      </c>
      <c r="M639" s="35">
        <v>-23</v>
      </c>
      <c r="N639" s="35">
        <v>-4.3</v>
      </c>
      <c r="O639" s="35">
        <v>-4.9000000000000004</v>
      </c>
      <c r="P639" s="35">
        <v>-5</v>
      </c>
      <c r="Q639" s="35">
        <v>-3.2</v>
      </c>
      <c r="R639" s="35">
        <v>-4.3</v>
      </c>
      <c r="S639" s="35">
        <v>-5</v>
      </c>
      <c r="T639" s="35">
        <v>8.9</v>
      </c>
      <c r="U639" s="35">
        <v>9</v>
      </c>
      <c r="V639" s="35">
        <v>10.1</v>
      </c>
      <c r="W639" s="35">
        <v>9</v>
      </c>
      <c r="X639" s="35">
        <v>10.8</v>
      </c>
      <c r="Y639" s="35">
        <v>9</v>
      </c>
      <c r="Z639" s="35">
        <v>11.3</v>
      </c>
      <c r="AA639" s="35">
        <v>9</v>
      </c>
      <c r="AB639" s="35">
        <v>21.8</v>
      </c>
      <c r="AC639" s="35">
        <v>20</v>
      </c>
      <c r="AD639" s="35">
        <v>21.7</v>
      </c>
      <c r="AE639" s="35">
        <v>20</v>
      </c>
    </row>
    <row r="640" spans="1:31" x14ac:dyDescent="0.35">
      <c r="A640" s="36">
        <v>46059.90625</v>
      </c>
      <c r="B640" s="35">
        <v>-22.4</v>
      </c>
      <c r="C640" s="35">
        <v>-20.9</v>
      </c>
      <c r="D640" s="35">
        <v>-23</v>
      </c>
      <c r="E640" s="35">
        <v>-22.4</v>
      </c>
      <c r="F640" s="35">
        <v>-22.4</v>
      </c>
      <c r="G640" s="35">
        <v>-23</v>
      </c>
      <c r="H640" s="35">
        <v>-21.2</v>
      </c>
      <c r="I640" s="35">
        <v>-21.5</v>
      </c>
      <c r="J640" s="35">
        <v>-23</v>
      </c>
      <c r="K640" s="35">
        <v>-21.1</v>
      </c>
      <c r="L640" s="35">
        <v>-18.2</v>
      </c>
      <c r="M640" s="35">
        <v>-23</v>
      </c>
      <c r="N640" s="35">
        <v>-4.4000000000000004</v>
      </c>
      <c r="O640" s="35">
        <v>-5</v>
      </c>
      <c r="P640" s="35">
        <v>-5</v>
      </c>
      <c r="Q640" s="35">
        <v>-3.3</v>
      </c>
      <c r="R640" s="35">
        <v>-4.5999999999999996</v>
      </c>
      <c r="S640" s="35">
        <v>-5</v>
      </c>
      <c r="T640" s="35">
        <v>9.1</v>
      </c>
      <c r="U640" s="35">
        <v>9</v>
      </c>
      <c r="V640" s="35">
        <v>10.1</v>
      </c>
      <c r="W640" s="35">
        <v>9</v>
      </c>
      <c r="X640" s="35">
        <v>10.8</v>
      </c>
      <c r="Y640" s="35">
        <v>9</v>
      </c>
      <c r="Z640" s="35">
        <v>11.3</v>
      </c>
      <c r="AA640" s="35">
        <v>9</v>
      </c>
      <c r="AB640" s="35">
        <v>21.8</v>
      </c>
      <c r="AC640" s="35">
        <v>20</v>
      </c>
      <c r="AD640" s="35">
        <v>21.7</v>
      </c>
      <c r="AE640" s="35">
        <v>20</v>
      </c>
    </row>
    <row r="641" spans="1:31" x14ac:dyDescent="0.35">
      <c r="A641" s="36">
        <v>46059.906944444447</v>
      </c>
      <c r="B641" s="35">
        <v>-22.1</v>
      </c>
      <c r="C641" s="35">
        <v>-20.9</v>
      </c>
      <c r="D641" s="35">
        <v>-23</v>
      </c>
      <c r="E641" s="35">
        <v>-22.2</v>
      </c>
      <c r="F641" s="35">
        <v>-22.2</v>
      </c>
      <c r="G641" s="35">
        <v>-23</v>
      </c>
      <c r="H641" s="35">
        <v>-21.1</v>
      </c>
      <c r="I641" s="35">
        <v>-21.3</v>
      </c>
      <c r="J641" s="35">
        <v>-23</v>
      </c>
      <c r="K641" s="35">
        <v>-20.9</v>
      </c>
      <c r="L641" s="35">
        <v>-18.2</v>
      </c>
      <c r="M641" s="35">
        <v>-23</v>
      </c>
      <c r="N641" s="35">
        <v>-4.4000000000000004</v>
      </c>
      <c r="O641" s="35">
        <v>-5</v>
      </c>
      <c r="P641" s="35">
        <v>-5</v>
      </c>
      <c r="Q641" s="35">
        <v>-3.5</v>
      </c>
      <c r="R641" s="35">
        <v>-4.9000000000000004</v>
      </c>
      <c r="S641" s="35">
        <v>-5</v>
      </c>
      <c r="T641" s="35">
        <v>9.4</v>
      </c>
      <c r="U641" s="35">
        <v>9</v>
      </c>
      <c r="V641" s="35">
        <v>10.1</v>
      </c>
      <c r="W641" s="35">
        <v>9</v>
      </c>
      <c r="X641" s="35">
        <v>10.9</v>
      </c>
      <c r="Y641" s="35">
        <v>9</v>
      </c>
      <c r="Z641" s="35">
        <v>11.4</v>
      </c>
      <c r="AA641" s="35">
        <v>9</v>
      </c>
      <c r="AB641" s="35">
        <v>21.8</v>
      </c>
      <c r="AC641" s="35">
        <v>20</v>
      </c>
      <c r="AD641" s="35">
        <v>21.7</v>
      </c>
      <c r="AE641" s="35">
        <v>20</v>
      </c>
    </row>
    <row r="642" spans="1:31" x14ac:dyDescent="0.35">
      <c r="A642" s="36">
        <v>46059.907638888886</v>
      </c>
      <c r="B642" s="35">
        <v>-21.9</v>
      </c>
      <c r="C642" s="35">
        <v>-20.9</v>
      </c>
      <c r="D642" s="35">
        <v>-23</v>
      </c>
      <c r="E642" s="35">
        <v>-22</v>
      </c>
      <c r="F642" s="35">
        <v>-22</v>
      </c>
      <c r="G642" s="35">
        <v>-23</v>
      </c>
      <c r="H642" s="35">
        <v>-21</v>
      </c>
      <c r="I642" s="35">
        <v>-21.3</v>
      </c>
      <c r="J642" s="35">
        <v>-23</v>
      </c>
      <c r="K642" s="35">
        <v>-20.8</v>
      </c>
      <c r="L642" s="35">
        <v>-18.2</v>
      </c>
      <c r="M642" s="35">
        <v>-23</v>
      </c>
      <c r="N642" s="35">
        <v>-4.5</v>
      </c>
      <c r="O642" s="35">
        <v>-5.0999999999999996</v>
      </c>
      <c r="P642" s="35">
        <v>-5</v>
      </c>
      <c r="Q642" s="35">
        <v>-3.6</v>
      </c>
      <c r="R642" s="35">
        <v>-5</v>
      </c>
      <c r="S642" s="35">
        <v>-5</v>
      </c>
      <c r="T642" s="35">
        <v>9.6999999999999993</v>
      </c>
      <c r="U642" s="35">
        <v>9</v>
      </c>
      <c r="V642" s="35">
        <v>10.199999999999999</v>
      </c>
      <c r="W642" s="35">
        <v>9</v>
      </c>
      <c r="X642" s="35">
        <v>11</v>
      </c>
      <c r="Y642" s="35">
        <v>9</v>
      </c>
      <c r="Z642" s="35">
        <v>11.4</v>
      </c>
      <c r="AA642" s="35">
        <v>9</v>
      </c>
      <c r="AB642" s="35">
        <v>21.8</v>
      </c>
      <c r="AC642" s="35">
        <v>20</v>
      </c>
      <c r="AD642" s="35">
        <v>21.7</v>
      </c>
      <c r="AE642" s="35">
        <v>20</v>
      </c>
    </row>
    <row r="643" spans="1:31" x14ac:dyDescent="0.35">
      <c r="A643" s="36">
        <v>46059.908333333333</v>
      </c>
      <c r="B643" s="35">
        <v>-21.7</v>
      </c>
      <c r="C643" s="35">
        <v>-20.7</v>
      </c>
      <c r="D643" s="35">
        <v>-23</v>
      </c>
      <c r="E643" s="35">
        <v>-21.8</v>
      </c>
      <c r="F643" s="35">
        <v>-21.8</v>
      </c>
      <c r="G643" s="35">
        <v>-23</v>
      </c>
      <c r="H643" s="35">
        <v>-21</v>
      </c>
      <c r="I643" s="35">
        <v>-22</v>
      </c>
      <c r="J643" s="35">
        <v>-23</v>
      </c>
      <c r="K643" s="35">
        <v>-20.9</v>
      </c>
      <c r="L643" s="35">
        <v>-17.899999999999999</v>
      </c>
      <c r="M643" s="35">
        <v>-23</v>
      </c>
      <c r="N643" s="35">
        <v>-4.5</v>
      </c>
      <c r="O643" s="35">
        <v>-5.0999999999999996</v>
      </c>
      <c r="P643" s="35">
        <v>-5</v>
      </c>
      <c r="Q643" s="35">
        <v>-3.7</v>
      </c>
      <c r="R643" s="35">
        <v>-5.0999999999999996</v>
      </c>
      <c r="S643" s="35">
        <v>-5</v>
      </c>
      <c r="T643" s="35">
        <v>9.9</v>
      </c>
      <c r="U643" s="35">
        <v>9</v>
      </c>
      <c r="V643" s="35">
        <v>10.3</v>
      </c>
      <c r="W643" s="35">
        <v>9</v>
      </c>
      <c r="X643" s="35">
        <v>11</v>
      </c>
      <c r="Y643" s="35">
        <v>9</v>
      </c>
      <c r="Z643" s="35">
        <v>11.4</v>
      </c>
      <c r="AA643" s="35">
        <v>9</v>
      </c>
      <c r="AB643" s="35">
        <v>21.8</v>
      </c>
      <c r="AC643" s="35">
        <v>20</v>
      </c>
      <c r="AD643" s="35">
        <v>21.7</v>
      </c>
      <c r="AE643" s="35">
        <v>20</v>
      </c>
    </row>
    <row r="644" spans="1:31" x14ac:dyDescent="0.35">
      <c r="A644" s="36">
        <v>46059.90902777778</v>
      </c>
      <c r="B644" s="35">
        <v>-21.6</v>
      </c>
      <c r="C644" s="35">
        <v>-20.6</v>
      </c>
      <c r="D644" s="35">
        <v>-23</v>
      </c>
      <c r="E644" s="35">
        <v>-21.7</v>
      </c>
      <c r="F644" s="35">
        <v>-21.7</v>
      </c>
      <c r="G644" s="35">
        <v>-23</v>
      </c>
      <c r="H644" s="35">
        <v>-21</v>
      </c>
      <c r="I644" s="35">
        <v>-24.1</v>
      </c>
      <c r="J644" s="35">
        <v>-23</v>
      </c>
      <c r="K644" s="35">
        <v>-21.3</v>
      </c>
      <c r="L644" s="35">
        <v>-17.8</v>
      </c>
      <c r="M644" s="35">
        <v>-23</v>
      </c>
      <c r="N644" s="35">
        <v>-4.5</v>
      </c>
      <c r="O644" s="35">
        <v>-5.2</v>
      </c>
      <c r="P644" s="35">
        <v>-5</v>
      </c>
      <c r="Q644" s="35">
        <v>-3.7</v>
      </c>
      <c r="R644" s="35">
        <v>-5.0999999999999996</v>
      </c>
      <c r="S644" s="35">
        <v>-5</v>
      </c>
      <c r="T644" s="35">
        <v>10.1</v>
      </c>
      <c r="U644" s="35">
        <v>9</v>
      </c>
      <c r="V644" s="35">
        <v>10.3</v>
      </c>
      <c r="W644" s="35">
        <v>9</v>
      </c>
      <c r="X644" s="35">
        <v>10.9</v>
      </c>
      <c r="Y644" s="35">
        <v>9</v>
      </c>
      <c r="Z644" s="35">
        <v>11.4</v>
      </c>
      <c r="AA644" s="35">
        <v>9</v>
      </c>
      <c r="AB644" s="35">
        <v>21.8</v>
      </c>
      <c r="AC644" s="35">
        <v>20</v>
      </c>
      <c r="AD644" s="35">
        <v>21.7</v>
      </c>
      <c r="AE644" s="35">
        <v>20</v>
      </c>
    </row>
    <row r="645" spans="1:31" x14ac:dyDescent="0.35">
      <c r="A645" s="36">
        <v>46059.909722222219</v>
      </c>
      <c r="B645" s="35">
        <v>-21.4</v>
      </c>
      <c r="C645" s="35">
        <v>-20.5</v>
      </c>
      <c r="D645" s="35">
        <v>-23</v>
      </c>
      <c r="E645" s="35">
        <v>-21.5</v>
      </c>
      <c r="F645" s="35">
        <v>-21.5</v>
      </c>
      <c r="G645" s="35">
        <v>-23</v>
      </c>
      <c r="H645" s="35">
        <v>-21.3</v>
      </c>
      <c r="I645" s="35">
        <v>-23.7</v>
      </c>
      <c r="J645" s="35">
        <v>-23</v>
      </c>
      <c r="K645" s="35">
        <v>-21.6</v>
      </c>
      <c r="L645" s="35">
        <v>-17.600000000000001</v>
      </c>
      <c r="M645" s="35">
        <v>-23</v>
      </c>
      <c r="N645" s="35">
        <v>-4.5999999999999996</v>
      </c>
      <c r="O645" s="35">
        <v>-5.2</v>
      </c>
      <c r="P645" s="35">
        <v>-5</v>
      </c>
      <c r="Q645" s="35">
        <v>-3.7</v>
      </c>
      <c r="R645" s="35">
        <v>-5.2</v>
      </c>
      <c r="S645" s="35">
        <v>-5</v>
      </c>
      <c r="T645" s="35">
        <v>10.3</v>
      </c>
      <c r="U645" s="35">
        <v>9</v>
      </c>
      <c r="V645" s="35">
        <v>10.3</v>
      </c>
      <c r="W645" s="35">
        <v>9</v>
      </c>
      <c r="X645" s="35">
        <v>10.5</v>
      </c>
      <c r="Y645" s="35">
        <v>9</v>
      </c>
      <c r="Z645" s="35">
        <v>11.2</v>
      </c>
      <c r="AA645" s="35">
        <v>9</v>
      </c>
      <c r="AB645" s="35">
        <v>21.8</v>
      </c>
      <c r="AC645" s="35">
        <v>20</v>
      </c>
      <c r="AD645" s="35">
        <v>21.7</v>
      </c>
      <c r="AE645" s="35">
        <v>20</v>
      </c>
    </row>
    <row r="646" spans="1:31" x14ac:dyDescent="0.35">
      <c r="A646" s="36">
        <v>46059.910416666666</v>
      </c>
      <c r="B646" s="35">
        <v>-21.3</v>
      </c>
      <c r="C646" s="35">
        <v>-20.3</v>
      </c>
      <c r="D646" s="35">
        <v>-23</v>
      </c>
      <c r="E646" s="35">
        <v>-21.4</v>
      </c>
      <c r="F646" s="35">
        <v>-21.3</v>
      </c>
      <c r="G646" s="35">
        <v>-23</v>
      </c>
      <c r="H646" s="35">
        <v>-21.5</v>
      </c>
      <c r="I646" s="35">
        <v>-23.5</v>
      </c>
      <c r="J646" s="35">
        <v>-23</v>
      </c>
      <c r="K646" s="35">
        <v>-21.9</v>
      </c>
      <c r="L646" s="35">
        <v>-17.5</v>
      </c>
      <c r="M646" s="35">
        <v>-23</v>
      </c>
      <c r="N646" s="35">
        <v>-4.5999999999999996</v>
      </c>
      <c r="O646" s="35">
        <v>-5.2</v>
      </c>
      <c r="P646" s="35">
        <v>-5</v>
      </c>
      <c r="Q646" s="35">
        <v>-3.7</v>
      </c>
      <c r="R646" s="35">
        <v>-5.2</v>
      </c>
      <c r="S646" s="35">
        <v>-5</v>
      </c>
      <c r="T646" s="35">
        <v>10.4</v>
      </c>
      <c r="U646" s="35">
        <v>9</v>
      </c>
      <c r="V646" s="35">
        <v>10.199999999999999</v>
      </c>
      <c r="W646" s="35">
        <v>9</v>
      </c>
      <c r="X646" s="35">
        <v>10.1</v>
      </c>
      <c r="Y646" s="35">
        <v>9</v>
      </c>
      <c r="Z646" s="35">
        <v>11.1</v>
      </c>
      <c r="AA646" s="35">
        <v>9</v>
      </c>
      <c r="AB646" s="35">
        <v>21.8</v>
      </c>
      <c r="AC646" s="35">
        <v>20</v>
      </c>
      <c r="AD646" s="35">
        <v>21.7</v>
      </c>
      <c r="AE646" s="35">
        <v>20</v>
      </c>
    </row>
    <row r="647" spans="1:31" x14ac:dyDescent="0.35">
      <c r="A647" s="36">
        <v>46059.911111111112</v>
      </c>
      <c r="B647" s="35">
        <v>-21.1</v>
      </c>
      <c r="C647" s="35">
        <v>-20.2</v>
      </c>
      <c r="D647" s="35">
        <v>-23</v>
      </c>
      <c r="E647" s="35">
        <v>-21.2</v>
      </c>
      <c r="F647" s="35">
        <v>-21.2</v>
      </c>
      <c r="G647" s="35">
        <v>-23</v>
      </c>
      <c r="H647" s="35">
        <v>-21.7</v>
      </c>
      <c r="I647" s="35">
        <v>-23.4</v>
      </c>
      <c r="J647" s="35">
        <v>-23</v>
      </c>
      <c r="K647" s="35">
        <v>-22.2</v>
      </c>
      <c r="L647" s="35">
        <v>-17.399999999999999</v>
      </c>
      <c r="M647" s="35">
        <v>-23</v>
      </c>
      <c r="N647" s="35">
        <v>-4.5999999999999996</v>
      </c>
      <c r="O647" s="35">
        <v>-5.3</v>
      </c>
      <c r="P647" s="35">
        <v>-5</v>
      </c>
      <c r="Q647" s="35">
        <v>-3.7</v>
      </c>
      <c r="R647" s="35">
        <v>-5.2</v>
      </c>
      <c r="S647" s="35">
        <v>-5</v>
      </c>
      <c r="T647" s="35">
        <v>10.5</v>
      </c>
      <c r="U647" s="35">
        <v>9</v>
      </c>
      <c r="V647" s="35">
        <v>10</v>
      </c>
      <c r="W647" s="35">
        <v>9</v>
      </c>
      <c r="X647" s="35">
        <v>9.9</v>
      </c>
      <c r="Y647" s="35">
        <v>9</v>
      </c>
      <c r="Z647" s="35">
        <v>11</v>
      </c>
      <c r="AA647" s="35">
        <v>9</v>
      </c>
      <c r="AB647" s="35">
        <v>21.8</v>
      </c>
      <c r="AC647" s="35">
        <v>20</v>
      </c>
      <c r="AD647" s="35">
        <v>21.7</v>
      </c>
      <c r="AE647" s="35">
        <v>20</v>
      </c>
    </row>
    <row r="648" spans="1:31" x14ac:dyDescent="0.35">
      <c r="A648" s="36">
        <v>46059.911805555559</v>
      </c>
      <c r="B648" s="35">
        <v>-21</v>
      </c>
      <c r="C648" s="35">
        <v>-20</v>
      </c>
      <c r="D648" s="35">
        <v>-23</v>
      </c>
      <c r="E648" s="35">
        <v>-21.1</v>
      </c>
      <c r="F648" s="35">
        <v>-21.1</v>
      </c>
      <c r="G648" s="35">
        <v>-23</v>
      </c>
      <c r="H648" s="35">
        <v>-22</v>
      </c>
      <c r="I648" s="35">
        <v>-23.4</v>
      </c>
      <c r="J648" s="35">
        <v>-23</v>
      </c>
      <c r="K648" s="35">
        <v>-22.5</v>
      </c>
      <c r="L648" s="35">
        <v>-17.399999999999999</v>
      </c>
      <c r="M648" s="35">
        <v>-23</v>
      </c>
      <c r="N648" s="35">
        <v>-4.7</v>
      </c>
      <c r="O648" s="35">
        <v>-5.3</v>
      </c>
      <c r="P648" s="35">
        <v>-5</v>
      </c>
      <c r="Q648" s="35">
        <v>-3.7</v>
      </c>
      <c r="R648" s="35">
        <v>-5.2</v>
      </c>
      <c r="S648" s="35">
        <v>-5</v>
      </c>
      <c r="T648" s="35">
        <v>10.5</v>
      </c>
      <c r="U648" s="35">
        <v>9</v>
      </c>
      <c r="V648" s="35">
        <v>9.9</v>
      </c>
      <c r="W648" s="35">
        <v>9</v>
      </c>
      <c r="X648" s="35">
        <v>9.8000000000000007</v>
      </c>
      <c r="Y648" s="35">
        <v>9</v>
      </c>
      <c r="Z648" s="35">
        <v>10.4</v>
      </c>
      <c r="AA648" s="35">
        <v>9</v>
      </c>
      <c r="AB648" s="35">
        <v>21.8</v>
      </c>
      <c r="AC648" s="35">
        <v>20</v>
      </c>
      <c r="AD648" s="35">
        <v>21.7</v>
      </c>
      <c r="AE648" s="35">
        <v>20</v>
      </c>
    </row>
    <row r="649" spans="1:31" x14ac:dyDescent="0.35">
      <c r="A649" s="36">
        <v>46059.912499999999</v>
      </c>
      <c r="B649" s="35">
        <v>-20.9</v>
      </c>
      <c r="C649" s="35">
        <v>-19.899999999999999</v>
      </c>
      <c r="D649" s="35">
        <v>-23</v>
      </c>
      <c r="E649" s="35">
        <v>-21</v>
      </c>
      <c r="F649" s="35">
        <v>-20.9</v>
      </c>
      <c r="G649" s="35">
        <v>-23</v>
      </c>
      <c r="H649" s="35">
        <v>-22.1</v>
      </c>
      <c r="I649" s="35">
        <v>-23.4</v>
      </c>
      <c r="J649" s="35">
        <v>-23</v>
      </c>
      <c r="K649" s="35">
        <v>-22.6</v>
      </c>
      <c r="L649" s="35">
        <v>-17.399999999999999</v>
      </c>
      <c r="M649" s="35">
        <v>-23</v>
      </c>
      <c r="N649" s="35">
        <v>-4.7</v>
      </c>
      <c r="O649" s="35">
        <v>-5.3</v>
      </c>
      <c r="P649" s="35">
        <v>-5</v>
      </c>
      <c r="Q649" s="35">
        <v>-3.7</v>
      </c>
      <c r="R649" s="35">
        <v>-5.3</v>
      </c>
      <c r="S649" s="35">
        <v>-5</v>
      </c>
      <c r="T649" s="35">
        <v>10.6</v>
      </c>
      <c r="U649" s="35">
        <v>9</v>
      </c>
      <c r="V649" s="35">
        <v>9.6999999999999993</v>
      </c>
      <c r="W649" s="35">
        <v>9</v>
      </c>
      <c r="X649" s="35">
        <v>9.6</v>
      </c>
      <c r="Y649" s="35">
        <v>9</v>
      </c>
      <c r="Z649" s="35">
        <v>9.9</v>
      </c>
      <c r="AA649" s="35">
        <v>9</v>
      </c>
      <c r="AB649" s="35">
        <v>21.8</v>
      </c>
      <c r="AC649" s="35">
        <v>20</v>
      </c>
      <c r="AD649" s="35">
        <v>21.7</v>
      </c>
      <c r="AE649" s="35">
        <v>20</v>
      </c>
    </row>
    <row r="650" spans="1:31" x14ac:dyDescent="0.35">
      <c r="A650" s="36">
        <v>46059.913194444445</v>
      </c>
      <c r="B650" s="35">
        <v>-21.3</v>
      </c>
      <c r="C650" s="35">
        <v>-19.8</v>
      </c>
      <c r="D650" s="35">
        <v>-23</v>
      </c>
      <c r="E650" s="35">
        <v>-20.9</v>
      </c>
      <c r="F650" s="35">
        <v>-20.9</v>
      </c>
      <c r="G650" s="35">
        <v>-23</v>
      </c>
      <c r="H650" s="35">
        <v>-22.2</v>
      </c>
      <c r="I650" s="35">
        <v>-23.1</v>
      </c>
      <c r="J650" s="35">
        <v>-23</v>
      </c>
      <c r="K650" s="35">
        <v>-22.6</v>
      </c>
      <c r="L650" s="35">
        <v>-17.399999999999999</v>
      </c>
      <c r="M650" s="35">
        <v>-23</v>
      </c>
      <c r="N650" s="35">
        <v>-4.7</v>
      </c>
      <c r="O650" s="35">
        <v>-5.3</v>
      </c>
      <c r="P650" s="35">
        <v>-5</v>
      </c>
      <c r="Q650" s="35">
        <v>-3.7</v>
      </c>
      <c r="R650" s="35">
        <v>-5.3</v>
      </c>
      <c r="S650" s="35">
        <v>-5</v>
      </c>
      <c r="T650" s="35">
        <v>10.6</v>
      </c>
      <c r="U650" s="35">
        <v>9</v>
      </c>
      <c r="V650" s="35">
        <v>9.6</v>
      </c>
      <c r="W650" s="35">
        <v>9</v>
      </c>
      <c r="X650" s="35">
        <v>9.4</v>
      </c>
      <c r="Y650" s="35">
        <v>9</v>
      </c>
      <c r="Z650" s="35">
        <v>9.5</v>
      </c>
      <c r="AA650" s="35">
        <v>9</v>
      </c>
      <c r="AB650" s="35">
        <v>21.8</v>
      </c>
      <c r="AC650" s="35">
        <v>20</v>
      </c>
      <c r="AD650" s="35">
        <v>21.7</v>
      </c>
      <c r="AE650" s="35">
        <v>20</v>
      </c>
    </row>
    <row r="651" spans="1:31" x14ac:dyDescent="0.35">
      <c r="A651" s="36">
        <v>46059.913888888892</v>
      </c>
      <c r="B651" s="35">
        <v>-21.9</v>
      </c>
      <c r="C651" s="35">
        <v>-19.7</v>
      </c>
      <c r="D651" s="35">
        <v>-23</v>
      </c>
      <c r="E651" s="35">
        <v>-21.3</v>
      </c>
      <c r="F651" s="35">
        <v>-21.3</v>
      </c>
      <c r="G651" s="35">
        <v>-23</v>
      </c>
      <c r="H651" s="35">
        <v>-22.2</v>
      </c>
      <c r="I651" s="35">
        <v>-22.8</v>
      </c>
      <c r="J651" s="35">
        <v>-23</v>
      </c>
      <c r="K651" s="35">
        <v>-22.5</v>
      </c>
      <c r="L651" s="35">
        <v>-17.399999999999999</v>
      </c>
      <c r="M651" s="35">
        <v>-23</v>
      </c>
      <c r="N651" s="35">
        <v>-4.7</v>
      </c>
      <c r="O651" s="35">
        <v>-5.3</v>
      </c>
      <c r="P651" s="35">
        <v>-5</v>
      </c>
      <c r="Q651" s="35">
        <v>-3.8</v>
      </c>
      <c r="R651" s="35">
        <v>-5.3</v>
      </c>
      <c r="S651" s="35">
        <v>-5</v>
      </c>
      <c r="T651" s="35">
        <v>10.6</v>
      </c>
      <c r="U651" s="35">
        <v>9</v>
      </c>
      <c r="V651" s="35">
        <v>9.4</v>
      </c>
      <c r="W651" s="35">
        <v>9</v>
      </c>
      <c r="X651" s="35">
        <v>9.4</v>
      </c>
      <c r="Y651" s="35">
        <v>9</v>
      </c>
      <c r="Z651" s="35">
        <v>9.4</v>
      </c>
      <c r="AA651" s="35">
        <v>9</v>
      </c>
      <c r="AB651" s="35">
        <v>21.8</v>
      </c>
      <c r="AC651" s="35">
        <v>20</v>
      </c>
      <c r="AD651" s="35">
        <v>21.7</v>
      </c>
      <c r="AE651" s="35">
        <v>20</v>
      </c>
    </row>
    <row r="652" spans="1:31" x14ac:dyDescent="0.35">
      <c r="A652" s="36">
        <v>46059.914583333331</v>
      </c>
      <c r="B652" s="35">
        <v>-22.5</v>
      </c>
      <c r="C652" s="35">
        <v>-19.7</v>
      </c>
      <c r="D652" s="35">
        <v>-23</v>
      </c>
      <c r="E652" s="35">
        <v>-21.7</v>
      </c>
      <c r="F652" s="35">
        <v>-22.9</v>
      </c>
      <c r="G652" s="35">
        <v>-23</v>
      </c>
      <c r="H652" s="35">
        <v>-22.2</v>
      </c>
      <c r="I652" s="35">
        <v>-22.6</v>
      </c>
      <c r="J652" s="35">
        <v>-23</v>
      </c>
      <c r="K652" s="35">
        <v>-22.3</v>
      </c>
      <c r="L652" s="35">
        <v>-17.399999999999999</v>
      </c>
      <c r="M652" s="35">
        <v>-23</v>
      </c>
      <c r="N652" s="35">
        <v>-4.7</v>
      </c>
      <c r="O652" s="35">
        <v>-5.3</v>
      </c>
      <c r="P652" s="35">
        <v>-5</v>
      </c>
      <c r="Q652" s="35">
        <v>-3.9</v>
      </c>
      <c r="R652" s="35">
        <v>-5.4</v>
      </c>
      <c r="S652" s="35">
        <v>-5</v>
      </c>
      <c r="T652" s="35">
        <v>10.6</v>
      </c>
      <c r="U652" s="35">
        <v>9</v>
      </c>
      <c r="V652" s="35">
        <v>9.3000000000000007</v>
      </c>
      <c r="W652" s="35">
        <v>9</v>
      </c>
      <c r="X652" s="35">
        <v>9.4</v>
      </c>
      <c r="Y652" s="35">
        <v>9</v>
      </c>
      <c r="Z652" s="35">
        <v>9.1</v>
      </c>
      <c r="AA652" s="35">
        <v>9</v>
      </c>
      <c r="AB652" s="35">
        <v>21.8</v>
      </c>
      <c r="AC652" s="35">
        <v>20</v>
      </c>
      <c r="AD652" s="35">
        <v>21.7</v>
      </c>
      <c r="AE652" s="35">
        <v>20</v>
      </c>
    </row>
    <row r="653" spans="1:31" x14ac:dyDescent="0.35">
      <c r="A653" s="36">
        <v>46059.915277777778</v>
      </c>
      <c r="B653" s="35">
        <v>-23</v>
      </c>
      <c r="C653" s="35">
        <v>-19.7</v>
      </c>
      <c r="D653" s="35">
        <v>-23</v>
      </c>
      <c r="E653" s="35">
        <v>-22.1</v>
      </c>
      <c r="F653" s="35">
        <v>-23.7</v>
      </c>
      <c r="G653" s="35">
        <v>-23</v>
      </c>
      <c r="H653" s="35">
        <v>-22.2</v>
      </c>
      <c r="I653" s="35">
        <v>-22.5</v>
      </c>
      <c r="J653" s="35">
        <v>-23</v>
      </c>
      <c r="K653" s="35">
        <v>-22.2</v>
      </c>
      <c r="L653" s="35">
        <v>-17.399999999999999</v>
      </c>
      <c r="M653" s="35">
        <v>-23</v>
      </c>
      <c r="N653" s="35">
        <v>-4.7</v>
      </c>
      <c r="O653" s="35">
        <v>-5.3</v>
      </c>
      <c r="P653" s="35">
        <v>-5</v>
      </c>
      <c r="Q653" s="35">
        <v>-3.9</v>
      </c>
      <c r="R653" s="35">
        <v>-5.4</v>
      </c>
      <c r="S653" s="35">
        <v>-5</v>
      </c>
      <c r="T653" s="35">
        <v>10.6</v>
      </c>
      <c r="U653" s="35">
        <v>9</v>
      </c>
      <c r="V653" s="35">
        <v>9.3000000000000007</v>
      </c>
      <c r="W653" s="35">
        <v>9</v>
      </c>
      <c r="X653" s="35">
        <v>9.4</v>
      </c>
      <c r="Y653" s="35">
        <v>9</v>
      </c>
      <c r="Z653" s="35">
        <v>9.1</v>
      </c>
      <c r="AA653" s="35">
        <v>9</v>
      </c>
      <c r="AB653" s="35">
        <v>21.8</v>
      </c>
      <c r="AC653" s="35">
        <v>20</v>
      </c>
      <c r="AD653" s="35">
        <v>21.7</v>
      </c>
      <c r="AE653" s="35">
        <v>20</v>
      </c>
    </row>
    <row r="654" spans="1:31" x14ac:dyDescent="0.35">
      <c r="A654" s="36">
        <v>46059.915972222225</v>
      </c>
      <c r="B654" s="35">
        <v>-23.3</v>
      </c>
      <c r="C654" s="35">
        <v>-19.7</v>
      </c>
      <c r="D654" s="35">
        <v>-23</v>
      </c>
      <c r="E654" s="35">
        <v>-22.4</v>
      </c>
      <c r="F654" s="35">
        <v>-24.1</v>
      </c>
      <c r="G654" s="35">
        <v>-23</v>
      </c>
      <c r="H654" s="35">
        <v>-22.1</v>
      </c>
      <c r="I654" s="35">
        <v>-22.4</v>
      </c>
      <c r="J654" s="35">
        <v>-23</v>
      </c>
      <c r="K654" s="35">
        <v>-22</v>
      </c>
      <c r="L654" s="35">
        <v>-17.399999999999999</v>
      </c>
      <c r="M654" s="35">
        <v>-23</v>
      </c>
      <c r="N654" s="35">
        <v>-4.7</v>
      </c>
      <c r="O654" s="35">
        <v>-5.3</v>
      </c>
      <c r="P654" s="35">
        <v>-5</v>
      </c>
      <c r="Q654" s="35">
        <v>-3.9</v>
      </c>
      <c r="R654" s="35">
        <v>-5.4</v>
      </c>
      <c r="S654" s="35">
        <v>-5</v>
      </c>
      <c r="T654" s="35">
        <v>10.6</v>
      </c>
      <c r="U654" s="35">
        <v>9</v>
      </c>
      <c r="V654" s="35">
        <v>9.3000000000000007</v>
      </c>
      <c r="W654" s="35">
        <v>9</v>
      </c>
      <c r="X654" s="35">
        <v>9.3000000000000007</v>
      </c>
      <c r="Y654" s="35">
        <v>9</v>
      </c>
      <c r="Z654" s="35">
        <v>8.6999999999999993</v>
      </c>
      <c r="AA654" s="35">
        <v>9</v>
      </c>
      <c r="AB654" s="35">
        <v>21.8</v>
      </c>
      <c r="AC654" s="35">
        <v>20</v>
      </c>
      <c r="AD654" s="35">
        <v>21.7</v>
      </c>
      <c r="AE654" s="35">
        <v>20</v>
      </c>
    </row>
    <row r="655" spans="1:31" x14ac:dyDescent="0.35">
      <c r="A655" s="36">
        <v>46059.916666666664</v>
      </c>
      <c r="B655" s="35">
        <v>-23.1</v>
      </c>
      <c r="C655" s="35">
        <v>-19.899999999999999</v>
      </c>
      <c r="D655" s="35">
        <v>-23</v>
      </c>
      <c r="E655" s="35">
        <v>-22.6</v>
      </c>
      <c r="F655" s="35">
        <v>-23.3</v>
      </c>
      <c r="G655" s="35">
        <v>-23</v>
      </c>
      <c r="H655" s="35">
        <v>-22</v>
      </c>
      <c r="I655" s="35">
        <v>-22.7</v>
      </c>
      <c r="J655" s="35">
        <v>-23</v>
      </c>
      <c r="K655" s="35">
        <v>-22.2</v>
      </c>
      <c r="L655" s="35">
        <v>-17.5</v>
      </c>
      <c r="M655" s="35">
        <v>-23</v>
      </c>
      <c r="N655" s="35">
        <v>-4.7</v>
      </c>
      <c r="O655" s="35">
        <v>-5.4</v>
      </c>
      <c r="P655" s="35">
        <v>-5</v>
      </c>
      <c r="Q655" s="35">
        <v>-4</v>
      </c>
      <c r="R655" s="35">
        <v>-5.5</v>
      </c>
      <c r="S655" s="35">
        <v>-5</v>
      </c>
      <c r="T655" s="35">
        <v>10.6</v>
      </c>
      <c r="U655" s="35">
        <v>9</v>
      </c>
      <c r="V655" s="35">
        <v>9.3000000000000007</v>
      </c>
      <c r="W655" s="35">
        <v>9</v>
      </c>
      <c r="X655" s="35">
        <v>9.1</v>
      </c>
      <c r="Y655" s="35">
        <v>9</v>
      </c>
      <c r="Z655" s="35">
        <v>8.6</v>
      </c>
      <c r="AA655" s="35">
        <v>9</v>
      </c>
      <c r="AB655" s="35">
        <v>21.8</v>
      </c>
      <c r="AC655" s="35">
        <v>20</v>
      </c>
      <c r="AD655" s="35">
        <v>21.7</v>
      </c>
      <c r="AE655" s="35">
        <v>20</v>
      </c>
    </row>
    <row r="656" spans="1:31" x14ac:dyDescent="0.35">
      <c r="A656" s="36">
        <v>46059.917361111111</v>
      </c>
      <c r="B656" s="35">
        <v>-22.6</v>
      </c>
      <c r="C656" s="35">
        <v>-20.100000000000001</v>
      </c>
      <c r="D656" s="35">
        <v>-23</v>
      </c>
      <c r="E656" s="35">
        <v>-22.5</v>
      </c>
      <c r="F656" s="35">
        <v>-22.7</v>
      </c>
      <c r="G656" s="35">
        <v>-23</v>
      </c>
      <c r="H656" s="35">
        <v>-22</v>
      </c>
      <c r="I656" s="35">
        <v>-23.3</v>
      </c>
      <c r="J656" s="35">
        <v>-23</v>
      </c>
      <c r="K656" s="35">
        <v>-22.5</v>
      </c>
      <c r="L656" s="35">
        <v>-17.600000000000001</v>
      </c>
      <c r="M656" s="35">
        <v>-23</v>
      </c>
      <c r="N656" s="35">
        <v>-4.8</v>
      </c>
      <c r="O656" s="35">
        <v>-5.4</v>
      </c>
      <c r="P656" s="35">
        <v>-5</v>
      </c>
      <c r="Q656" s="35">
        <v>-4.2</v>
      </c>
      <c r="R656" s="35">
        <v>-5.6</v>
      </c>
      <c r="S656" s="35">
        <v>-5</v>
      </c>
      <c r="T656" s="35">
        <v>10.6</v>
      </c>
      <c r="U656" s="35">
        <v>9</v>
      </c>
      <c r="V656" s="35">
        <v>9.1999999999999993</v>
      </c>
      <c r="W656" s="35">
        <v>9</v>
      </c>
      <c r="X656" s="35">
        <v>8.9</v>
      </c>
      <c r="Y656" s="35">
        <v>9</v>
      </c>
      <c r="Z656" s="35">
        <v>8.6</v>
      </c>
      <c r="AA656" s="35">
        <v>9</v>
      </c>
      <c r="AB656" s="35">
        <v>21.8</v>
      </c>
      <c r="AC656" s="35">
        <v>20</v>
      </c>
      <c r="AD656" s="35">
        <v>21.7</v>
      </c>
      <c r="AE656" s="35">
        <v>20</v>
      </c>
    </row>
    <row r="657" spans="1:31" x14ac:dyDescent="0.35">
      <c r="A657" s="36">
        <v>46059.918055555558</v>
      </c>
      <c r="B657" s="35">
        <v>-22.3</v>
      </c>
      <c r="C657" s="35">
        <v>-20.7</v>
      </c>
      <c r="D657" s="35">
        <v>-23</v>
      </c>
      <c r="E657" s="35">
        <v>-22.4</v>
      </c>
      <c r="F657" s="35">
        <v>-22.3</v>
      </c>
      <c r="G657" s="35">
        <v>-23</v>
      </c>
      <c r="H657" s="35">
        <v>-22.2</v>
      </c>
      <c r="I657" s="35">
        <v>-23.3</v>
      </c>
      <c r="J657" s="35">
        <v>-23</v>
      </c>
      <c r="K657" s="35">
        <v>-22.8</v>
      </c>
      <c r="L657" s="35">
        <v>-17.7</v>
      </c>
      <c r="M657" s="35">
        <v>-23</v>
      </c>
      <c r="N657" s="35">
        <v>-4.8</v>
      </c>
      <c r="O657" s="35">
        <v>-5.5</v>
      </c>
      <c r="P657" s="35">
        <v>-5</v>
      </c>
      <c r="Q657" s="35">
        <v>-4.2</v>
      </c>
      <c r="R657" s="35">
        <v>-5.7</v>
      </c>
      <c r="S657" s="35">
        <v>-5</v>
      </c>
      <c r="T657" s="35">
        <v>10.6</v>
      </c>
      <c r="U657" s="35">
        <v>9</v>
      </c>
      <c r="V657" s="35">
        <v>9.1</v>
      </c>
      <c r="W657" s="35">
        <v>9</v>
      </c>
      <c r="X657" s="35">
        <v>8.9</v>
      </c>
      <c r="Y657" s="35">
        <v>9</v>
      </c>
      <c r="Z657" s="35">
        <v>8.6</v>
      </c>
      <c r="AA657" s="35">
        <v>9</v>
      </c>
      <c r="AB657" s="35">
        <v>21.8</v>
      </c>
      <c r="AC657" s="35">
        <v>20</v>
      </c>
      <c r="AD657" s="35">
        <v>21.7</v>
      </c>
      <c r="AE657" s="35">
        <v>20</v>
      </c>
    </row>
    <row r="658" spans="1:31" x14ac:dyDescent="0.35">
      <c r="A658" s="36">
        <v>46059.918749999997</v>
      </c>
      <c r="B658" s="35">
        <v>-22</v>
      </c>
      <c r="C658" s="35">
        <v>-21.1</v>
      </c>
      <c r="D658" s="35">
        <v>-23</v>
      </c>
      <c r="E658" s="35">
        <v>-22.4</v>
      </c>
      <c r="F658" s="35">
        <v>-21</v>
      </c>
      <c r="G658" s="35">
        <v>-23</v>
      </c>
      <c r="H658" s="35">
        <v>-22.4</v>
      </c>
      <c r="I658" s="35">
        <v>-23.3</v>
      </c>
      <c r="J658" s="35">
        <v>-23</v>
      </c>
      <c r="K658" s="35">
        <v>-23</v>
      </c>
      <c r="L658" s="35">
        <v>-17.8</v>
      </c>
      <c r="M658" s="35">
        <v>-23</v>
      </c>
      <c r="N658" s="35">
        <v>-4.9000000000000004</v>
      </c>
      <c r="O658" s="35">
        <v>-4.9000000000000004</v>
      </c>
      <c r="P658" s="35">
        <v>-5</v>
      </c>
      <c r="Q658" s="35">
        <v>-4.2</v>
      </c>
      <c r="R658" s="35">
        <v>-5.7</v>
      </c>
      <c r="S658" s="35">
        <v>-5</v>
      </c>
      <c r="T658" s="35">
        <v>10.6</v>
      </c>
      <c r="U658" s="35">
        <v>9</v>
      </c>
      <c r="V658" s="35">
        <v>9.1999999999999993</v>
      </c>
      <c r="W658" s="35">
        <v>9</v>
      </c>
      <c r="X658" s="35">
        <v>9.1</v>
      </c>
      <c r="Y658" s="35">
        <v>9</v>
      </c>
      <c r="Z658" s="35">
        <v>8.6</v>
      </c>
      <c r="AA658" s="35">
        <v>9</v>
      </c>
      <c r="AB658" s="35">
        <v>21.8</v>
      </c>
      <c r="AC658" s="35">
        <v>20</v>
      </c>
      <c r="AD658" s="35">
        <v>21.7</v>
      </c>
      <c r="AE658" s="35">
        <v>20</v>
      </c>
    </row>
    <row r="659" spans="1:31" x14ac:dyDescent="0.35">
      <c r="A659" s="36">
        <v>46059.919444444444</v>
      </c>
      <c r="B659" s="35">
        <v>-21.7</v>
      </c>
      <c r="C659" s="35">
        <v>-21.1</v>
      </c>
      <c r="D659" s="35">
        <v>-23</v>
      </c>
      <c r="E659" s="35">
        <v>-22.4</v>
      </c>
      <c r="F659" s="35">
        <v>-18.899999999999999</v>
      </c>
      <c r="G659" s="35">
        <v>-23</v>
      </c>
      <c r="H659" s="35">
        <v>-22.5</v>
      </c>
      <c r="I659" s="35">
        <v>-23.4</v>
      </c>
      <c r="J659" s="35">
        <v>-23</v>
      </c>
      <c r="K659" s="35">
        <v>-23.1</v>
      </c>
      <c r="L659" s="35">
        <v>-17.899999999999999</v>
      </c>
      <c r="M659" s="35">
        <v>-23</v>
      </c>
      <c r="N659" s="35">
        <v>-4.9000000000000004</v>
      </c>
      <c r="O659" s="35">
        <v>-5.2</v>
      </c>
      <c r="P659" s="35">
        <v>-5</v>
      </c>
      <c r="Q659" s="35">
        <v>-4.2</v>
      </c>
      <c r="R659" s="35">
        <v>-5.7</v>
      </c>
      <c r="S659" s="35">
        <v>-5</v>
      </c>
      <c r="T659" s="35">
        <v>10.7</v>
      </c>
      <c r="U659" s="35">
        <v>9</v>
      </c>
      <c r="V659" s="35">
        <v>9.4</v>
      </c>
      <c r="W659" s="35">
        <v>9</v>
      </c>
      <c r="X659" s="35">
        <v>9.1999999999999993</v>
      </c>
      <c r="Y659" s="35">
        <v>9</v>
      </c>
      <c r="Z659" s="35">
        <v>8.6</v>
      </c>
      <c r="AA659" s="35">
        <v>9</v>
      </c>
      <c r="AB659" s="35">
        <v>21.8</v>
      </c>
      <c r="AC659" s="35">
        <v>20</v>
      </c>
      <c r="AD659" s="35">
        <v>21.7</v>
      </c>
      <c r="AE659" s="35">
        <v>20</v>
      </c>
    </row>
    <row r="660" spans="1:31" x14ac:dyDescent="0.35">
      <c r="A660" s="36">
        <v>46059.920138888891</v>
      </c>
      <c r="B660" s="35">
        <v>-21.5</v>
      </c>
      <c r="C660" s="35">
        <v>-21.1</v>
      </c>
      <c r="D660" s="35">
        <v>-23</v>
      </c>
      <c r="E660" s="35">
        <v>-22.4</v>
      </c>
      <c r="F660" s="35">
        <v>-16</v>
      </c>
      <c r="G660" s="35">
        <v>-23</v>
      </c>
      <c r="H660" s="35">
        <v>-22.7</v>
      </c>
      <c r="I660" s="35">
        <v>-23.5</v>
      </c>
      <c r="J660" s="35">
        <v>-23</v>
      </c>
      <c r="K660" s="35">
        <v>-23.3</v>
      </c>
      <c r="L660" s="35">
        <v>-18</v>
      </c>
      <c r="M660" s="35">
        <v>-23</v>
      </c>
      <c r="N660" s="35">
        <v>-5</v>
      </c>
      <c r="O660" s="35">
        <v>-5.5</v>
      </c>
      <c r="P660" s="35">
        <v>-5</v>
      </c>
      <c r="Q660" s="35">
        <v>-4.2</v>
      </c>
      <c r="R660" s="35">
        <v>-5.7</v>
      </c>
      <c r="S660" s="35">
        <v>-5</v>
      </c>
      <c r="T660" s="35">
        <v>10.7</v>
      </c>
      <c r="U660" s="35">
        <v>9</v>
      </c>
      <c r="V660" s="35">
        <v>9.4</v>
      </c>
      <c r="W660" s="35">
        <v>9</v>
      </c>
      <c r="X660" s="35">
        <v>9.4</v>
      </c>
      <c r="Y660" s="35">
        <v>9</v>
      </c>
      <c r="Z660" s="35">
        <v>8.6999999999999993</v>
      </c>
      <c r="AA660" s="35">
        <v>9</v>
      </c>
      <c r="AB660" s="35">
        <v>21.8</v>
      </c>
      <c r="AC660" s="35">
        <v>20</v>
      </c>
      <c r="AD660" s="35">
        <v>21.7</v>
      </c>
      <c r="AE660" s="35">
        <v>20</v>
      </c>
    </row>
    <row r="661" spans="1:31" x14ac:dyDescent="0.35">
      <c r="A661" s="36">
        <v>46059.92083333333</v>
      </c>
      <c r="B661" s="35">
        <v>-21.3</v>
      </c>
      <c r="C661" s="35">
        <v>-21</v>
      </c>
      <c r="D661" s="35">
        <v>-23</v>
      </c>
      <c r="E661" s="35">
        <v>-22.4</v>
      </c>
      <c r="F661" s="35">
        <v>-12.7</v>
      </c>
      <c r="G661" s="35">
        <v>-23</v>
      </c>
      <c r="H661" s="35">
        <v>-22.8</v>
      </c>
      <c r="I661" s="35">
        <v>-23.6</v>
      </c>
      <c r="J661" s="35">
        <v>-23</v>
      </c>
      <c r="K661" s="35">
        <v>-23.5</v>
      </c>
      <c r="L661" s="35">
        <v>-18</v>
      </c>
      <c r="M661" s="35">
        <v>-23</v>
      </c>
      <c r="N661" s="35">
        <v>-4.9000000000000004</v>
      </c>
      <c r="O661" s="35">
        <v>-5.5</v>
      </c>
      <c r="P661" s="35">
        <v>-5</v>
      </c>
      <c r="Q661" s="35">
        <v>-4.2</v>
      </c>
      <c r="R661" s="35">
        <v>-5.8</v>
      </c>
      <c r="S661" s="35">
        <v>-5</v>
      </c>
      <c r="T661" s="35">
        <v>10.7</v>
      </c>
      <c r="U661" s="35">
        <v>9</v>
      </c>
      <c r="V661" s="35">
        <v>9.5</v>
      </c>
      <c r="W661" s="35">
        <v>9</v>
      </c>
      <c r="X661" s="35">
        <v>9.5</v>
      </c>
      <c r="Y661" s="35">
        <v>9</v>
      </c>
      <c r="Z661" s="35">
        <v>8.9</v>
      </c>
      <c r="AA661" s="35">
        <v>9</v>
      </c>
      <c r="AB661" s="35">
        <v>21.8</v>
      </c>
      <c r="AC661" s="35">
        <v>20</v>
      </c>
      <c r="AD661" s="35">
        <v>21.7</v>
      </c>
      <c r="AE661" s="35">
        <v>20</v>
      </c>
    </row>
    <row r="662" spans="1:31" x14ac:dyDescent="0.35">
      <c r="A662" s="36">
        <v>46059.921527777777</v>
      </c>
      <c r="B662" s="35">
        <v>-21.1</v>
      </c>
      <c r="C662" s="35">
        <v>-20.8</v>
      </c>
      <c r="D662" s="35">
        <v>-23</v>
      </c>
      <c r="E662" s="35">
        <v>-22.4</v>
      </c>
      <c r="F662" s="35">
        <v>-10.1</v>
      </c>
      <c r="G662" s="35">
        <v>-23</v>
      </c>
      <c r="H662" s="35">
        <v>-23</v>
      </c>
      <c r="I662" s="35">
        <v>-23.7</v>
      </c>
      <c r="J662" s="35">
        <v>-23</v>
      </c>
      <c r="K662" s="35">
        <v>-23.6</v>
      </c>
      <c r="L662" s="35">
        <v>-18.100000000000001</v>
      </c>
      <c r="M662" s="35">
        <v>-23</v>
      </c>
      <c r="N662" s="35">
        <v>-4.5</v>
      </c>
      <c r="O662" s="35">
        <v>-5.2</v>
      </c>
      <c r="P662" s="35">
        <v>-5</v>
      </c>
      <c r="Q662" s="35">
        <v>-4.3</v>
      </c>
      <c r="R662" s="35">
        <v>-5.8</v>
      </c>
      <c r="S662" s="35">
        <v>-5</v>
      </c>
      <c r="T662" s="35">
        <v>10.8</v>
      </c>
      <c r="U662" s="35">
        <v>9</v>
      </c>
      <c r="V662" s="35">
        <v>9.6</v>
      </c>
      <c r="W662" s="35">
        <v>9</v>
      </c>
      <c r="X662" s="35">
        <v>9.6999999999999993</v>
      </c>
      <c r="Y662" s="35">
        <v>9</v>
      </c>
      <c r="Z662" s="35">
        <v>9.1</v>
      </c>
      <c r="AA662" s="35">
        <v>9</v>
      </c>
      <c r="AB662" s="35">
        <v>21.8</v>
      </c>
      <c r="AC662" s="35">
        <v>20</v>
      </c>
      <c r="AD662" s="35">
        <v>21.7</v>
      </c>
      <c r="AE662" s="35">
        <v>20</v>
      </c>
    </row>
    <row r="663" spans="1:31" x14ac:dyDescent="0.35">
      <c r="A663" s="36">
        <v>46059.922222222223</v>
      </c>
      <c r="B663" s="35">
        <v>-20.9</v>
      </c>
      <c r="C663" s="35">
        <v>-20.9</v>
      </c>
      <c r="D663" s="35">
        <v>-23</v>
      </c>
      <c r="E663" s="35">
        <v>-22.4</v>
      </c>
      <c r="F663" s="35">
        <v>-9.3000000000000007</v>
      </c>
      <c r="G663" s="35">
        <v>-23</v>
      </c>
      <c r="H663" s="35">
        <v>-23.1</v>
      </c>
      <c r="I663" s="35">
        <v>-23.7</v>
      </c>
      <c r="J663" s="35">
        <v>-23</v>
      </c>
      <c r="K663" s="35">
        <v>-23.6</v>
      </c>
      <c r="L663" s="35">
        <v>-18.2</v>
      </c>
      <c r="M663" s="35">
        <v>-23</v>
      </c>
      <c r="N663" s="35">
        <v>-4.0999999999999996</v>
      </c>
      <c r="O663" s="35">
        <v>-4.8</v>
      </c>
      <c r="P663" s="35">
        <v>-5</v>
      </c>
      <c r="Q663" s="35">
        <v>-4.3</v>
      </c>
      <c r="R663" s="35">
        <v>-5.8</v>
      </c>
      <c r="S663" s="35">
        <v>-5</v>
      </c>
      <c r="T663" s="35">
        <v>10.8</v>
      </c>
      <c r="U663" s="35">
        <v>9</v>
      </c>
      <c r="V663" s="35">
        <v>9.6</v>
      </c>
      <c r="W663" s="35">
        <v>9</v>
      </c>
      <c r="X663" s="35">
        <v>9.8000000000000007</v>
      </c>
      <c r="Y663" s="35">
        <v>9</v>
      </c>
      <c r="Z663" s="35">
        <v>9.1999999999999993</v>
      </c>
      <c r="AA663" s="35">
        <v>9</v>
      </c>
      <c r="AB663" s="35">
        <v>21.8</v>
      </c>
      <c r="AC663" s="35">
        <v>20</v>
      </c>
      <c r="AD663" s="35">
        <v>21.7</v>
      </c>
      <c r="AE663" s="35">
        <v>20</v>
      </c>
    </row>
    <row r="664" spans="1:31" x14ac:dyDescent="0.35">
      <c r="A664" s="36">
        <v>46059.92291666667</v>
      </c>
      <c r="B664" s="35">
        <v>-20.8</v>
      </c>
      <c r="C664" s="35">
        <v>-24</v>
      </c>
      <c r="D664" s="35">
        <v>-23</v>
      </c>
      <c r="E664" s="35">
        <v>-22.4</v>
      </c>
      <c r="F664" s="35">
        <v>-8.8000000000000007</v>
      </c>
      <c r="G664" s="35">
        <v>-23</v>
      </c>
      <c r="H664" s="35">
        <v>-23.1</v>
      </c>
      <c r="I664" s="35">
        <v>-23.7</v>
      </c>
      <c r="J664" s="35">
        <v>-23</v>
      </c>
      <c r="K664" s="35">
        <v>-23.4</v>
      </c>
      <c r="L664" s="35">
        <v>-18.3</v>
      </c>
      <c r="M664" s="35">
        <v>-23</v>
      </c>
      <c r="N664" s="35">
        <v>-3.8</v>
      </c>
      <c r="O664" s="35">
        <v>-4.4000000000000004</v>
      </c>
      <c r="P664" s="35">
        <v>-5</v>
      </c>
      <c r="Q664" s="35">
        <v>-4.4000000000000004</v>
      </c>
      <c r="R664" s="35">
        <v>-5.7</v>
      </c>
      <c r="S664" s="35">
        <v>-5</v>
      </c>
      <c r="T664" s="35">
        <v>10.9</v>
      </c>
      <c r="U664" s="35">
        <v>9</v>
      </c>
      <c r="V664" s="35">
        <v>9.6</v>
      </c>
      <c r="W664" s="35">
        <v>9</v>
      </c>
      <c r="X664" s="35">
        <v>9.8000000000000007</v>
      </c>
      <c r="Y664" s="35">
        <v>9</v>
      </c>
      <c r="Z664" s="35">
        <v>9.4</v>
      </c>
      <c r="AA664" s="35">
        <v>9</v>
      </c>
      <c r="AB664" s="35">
        <v>21.8</v>
      </c>
      <c r="AC664" s="35">
        <v>20</v>
      </c>
      <c r="AD664" s="35">
        <v>21.7</v>
      </c>
      <c r="AE664" s="35">
        <v>20</v>
      </c>
    </row>
    <row r="665" spans="1:31" x14ac:dyDescent="0.35">
      <c r="A665" s="36">
        <v>46059.923611111109</v>
      </c>
      <c r="B665" s="35">
        <v>-20.9</v>
      </c>
      <c r="C665" s="35">
        <v>-25.1</v>
      </c>
      <c r="D665" s="35">
        <v>-23</v>
      </c>
      <c r="E665" s="35">
        <v>-22.4</v>
      </c>
      <c r="F665" s="35">
        <v>-8.1</v>
      </c>
      <c r="G665" s="35">
        <v>-23</v>
      </c>
      <c r="H665" s="35">
        <v>-23</v>
      </c>
      <c r="I665" s="35">
        <v>-23.4</v>
      </c>
      <c r="J665" s="35">
        <v>-23</v>
      </c>
      <c r="K665" s="35">
        <v>-23.1</v>
      </c>
      <c r="L665" s="35">
        <v>-18.5</v>
      </c>
      <c r="M665" s="35">
        <v>-23</v>
      </c>
      <c r="N665" s="35">
        <v>-3.5</v>
      </c>
      <c r="O665" s="35">
        <v>-4</v>
      </c>
      <c r="P665" s="35">
        <v>-5</v>
      </c>
      <c r="Q665" s="35">
        <v>-4.3</v>
      </c>
      <c r="R665" s="35">
        <v>-5.2</v>
      </c>
      <c r="S665" s="35">
        <v>-5</v>
      </c>
      <c r="T665" s="35">
        <v>10.9</v>
      </c>
      <c r="U665" s="35">
        <v>9</v>
      </c>
      <c r="V665" s="35">
        <v>9.6</v>
      </c>
      <c r="W665" s="35">
        <v>9</v>
      </c>
      <c r="X665" s="35">
        <v>9.8000000000000007</v>
      </c>
      <c r="Y665" s="35">
        <v>9</v>
      </c>
      <c r="Z665" s="35">
        <v>9.5</v>
      </c>
      <c r="AA665" s="35">
        <v>9</v>
      </c>
      <c r="AB665" s="35">
        <v>21.8</v>
      </c>
      <c r="AC665" s="35">
        <v>20</v>
      </c>
      <c r="AD665" s="35">
        <v>21.7</v>
      </c>
      <c r="AE665" s="35">
        <v>20</v>
      </c>
    </row>
    <row r="666" spans="1:31" x14ac:dyDescent="0.35">
      <c r="A666" s="36">
        <v>46059.924305555556</v>
      </c>
      <c r="B666" s="35">
        <v>-21</v>
      </c>
      <c r="C666" s="35">
        <v>-25.9</v>
      </c>
      <c r="D666" s="35">
        <v>-23</v>
      </c>
      <c r="E666" s="35">
        <v>-22.4</v>
      </c>
      <c r="F666" s="35">
        <v>-8.1999999999999993</v>
      </c>
      <c r="G666" s="35">
        <v>-23</v>
      </c>
      <c r="H666" s="35">
        <v>-22.8</v>
      </c>
      <c r="I666" s="35">
        <v>-23.2</v>
      </c>
      <c r="J666" s="35">
        <v>-23</v>
      </c>
      <c r="K666" s="35">
        <v>-22.9</v>
      </c>
      <c r="L666" s="35">
        <v>-18.600000000000001</v>
      </c>
      <c r="M666" s="35">
        <v>-23</v>
      </c>
      <c r="N666" s="35">
        <v>-3.2</v>
      </c>
      <c r="O666" s="35">
        <v>-3.7</v>
      </c>
      <c r="P666" s="35">
        <v>-5</v>
      </c>
      <c r="Q666" s="35">
        <v>-4</v>
      </c>
      <c r="R666" s="35">
        <v>-4.8</v>
      </c>
      <c r="S666" s="35">
        <v>-5</v>
      </c>
      <c r="T666" s="35">
        <v>10.9</v>
      </c>
      <c r="U666" s="35">
        <v>9</v>
      </c>
      <c r="V666" s="35">
        <v>9.6999999999999993</v>
      </c>
      <c r="W666" s="35">
        <v>9</v>
      </c>
      <c r="X666" s="35">
        <v>9.9</v>
      </c>
      <c r="Y666" s="35">
        <v>9</v>
      </c>
      <c r="Z666" s="35">
        <v>9.6999999999999993</v>
      </c>
      <c r="AA666" s="35">
        <v>9</v>
      </c>
      <c r="AB666" s="35">
        <v>21.8</v>
      </c>
      <c r="AC666" s="35">
        <v>20</v>
      </c>
      <c r="AD666" s="35">
        <v>21.7</v>
      </c>
      <c r="AE666" s="35">
        <v>20</v>
      </c>
    </row>
    <row r="667" spans="1:31" x14ac:dyDescent="0.35">
      <c r="A667" s="36">
        <v>46059.925000000003</v>
      </c>
      <c r="B667" s="35">
        <v>-21.2</v>
      </c>
      <c r="C667" s="35">
        <v>-25.7</v>
      </c>
      <c r="D667" s="35">
        <v>-23</v>
      </c>
      <c r="E667" s="35">
        <v>-22.4</v>
      </c>
      <c r="F667" s="35">
        <v>-8</v>
      </c>
      <c r="G667" s="35">
        <v>-23</v>
      </c>
      <c r="H667" s="35">
        <v>-22.6</v>
      </c>
      <c r="I667" s="35">
        <v>-23</v>
      </c>
      <c r="J667" s="35">
        <v>-23</v>
      </c>
      <c r="K667" s="35">
        <v>-22.7</v>
      </c>
      <c r="L667" s="35">
        <v>-18.7</v>
      </c>
      <c r="M667" s="35">
        <v>-23</v>
      </c>
      <c r="N667" s="35">
        <v>-3</v>
      </c>
      <c r="O667" s="35">
        <v>-3.5</v>
      </c>
      <c r="P667" s="35">
        <v>-5</v>
      </c>
      <c r="Q667" s="35">
        <v>-3.7</v>
      </c>
      <c r="R667" s="35">
        <v>-4.4000000000000004</v>
      </c>
      <c r="S667" s="35">
        <v>-5</v>
      </c>
      <c r="T667" s="35">
        <v>10.9</v>
      </c>
      <c r="U667" s="35">
        <v>9</v>
      </c>
      <c r="V667" s="35">
        <v>9.8000000000000007</v>
      </c>
      <c r="W667" s="35">
        <v>9</v>
      </c>
      <c r="X667" s="35">
        <v>10</v>
      </c>
      <c r="Y667" s="35">
        <v>9</v>
      </c>
      <c r="Z667" s="35">
        <v>9.8000000000000007</v>
      </c>
      <c r="AA667" s="35">
        <v>9</v>
      </c>
      <c r="AB667" s="35">
        <v>21.8</v>
      </c>
      <c r="AC667" s="35">
        <v>20</v>
      </c>
      <c r="AD667" s="35">
        <v>21.7</v>
      </c>
      <c r="AE667" s="35">
        <v>20</v>
      </c>
    </row>
    <row r="668" spans="1:31" x14ac:dyDescent="0.35">
      <c r="A668" s="36">
        <v>46059.925694444442</v>
      </c>
      <c r="B668" s="35">
        <v>-21.3</v>
      </c>
      <c r="C668" s="35">
        <v>-24.4</v>
      </c>
      <c r="D668" s="35">
        <v>-23</v>
      </c>
      <c r="E668" s="35">
        <v>-22.4</v>
      </c>
      <c r="F668" s="35">
        <v>-7.7</v>
      </c>
      <c r="G668" s="35">
        <v>-23</v>
      </c>
      <c r="H668" s="35">
        <v>-22.5</v>
      </c>
      <c r="I668" s="35">
        <v>-22.8</v>
      </c>
      <c r="J668" s="35">
        <v>-23</v>
      </c>
      <c r="K668" s="35">
        <v>-22.5</v>
      </c>
      <c r="L668" s="35">
        <v>-18.8</v>
      </c>
      <c r="M668" s="35">
        <v>-23</v>
      </c>
      <c r="N668" s="35">
        <v>-2.8</v>
      </c>
      <c r="O668" s="35">
        <v>-3.3</v>
      </c>
      <c r="P668" s="35">
        <v>-5</v>
      </c>
      <c r="Q668" s="35">
        <v>-3.5</v>
      </c>
      <c r="R668" s="35">
        <v>-4.2</v>
      </c>
      <c r="S668" s="35">
        <v>-5</v>
      </c>
      <c r="T668" s="35">
        <v>11</v>
      </c>
      <c r="U668" s="35">
        <v>9</v>
      </c>
      <c r="V668" s="35">
        <v>9.9</v>
      </c>
      <c r="W668" s="35">
        <v>9</v>
      </c>
      <c r="X668" s="35">
        <v>10.199999999999999</v>
      </c>
      <c r="Y668" s="35">
        <v>9</v>
      </c>
      <c r="Z668" s="35">
        <v>9.9</v>
      </c>
      <c r="AA668" s="35">
        <v>9</v>
      </c>
      <c r="AB668" s="35">
        <v>21.8</v>
      </c>
      <c r="AC668" s="35">
        <v>20</v>
      </c>
      <c r="AD668" s="35">
        <v>21.7</v>
      </c>
      <c r="AE668" s="35">
        <v>20</v>
      </c>
    </row>
    <row r="669" spans="1:31" x14ac:dyDescent="0.35">
      <c r="A669" s="36">
        <v>46059.926388888889</v>
      </c>
      <c r="B669" s="35">
        <v>-21.5</v>
      </c>
      <c r="C669" s="35">
        <v>-23.4</v>
      </c>
      <c r="D669" s="35">
        <v>-23</v>
      </c>
      <c r="E669" s="35">
        <v>-22.4</v>
      </c>
      <c r="F669" s="35">
        <v>-6.5</v>
      </c>
      <c r="G669" s="35">
        <v>-23</v>
      </c>
      <c r="H669" s="35">
        <v>-22.3</v>
      </c>
      <c r="I669" s="35">
        <v>-22.7</v>
      </c>
      <c r="J669" s="35">
        <v>-23</v>
      </c>
      <c r="K669" s="35">
        <v>-22.4</v>
      </c>
      <c r="L669" s="35">
        <v>-18.8</v>
      </c>
      <c r="M669" s="35">
        <v>-23</v>
      </c>
      <c r="N669" s="35">
        <v>-2.8</v>
      </c>
      <c r="O669" s="35">
        <v>-3.2</v>
      </c>
      <c r="P669" s="35">
        <v>-5</v>
      </c>
      <c r="Q669" s="35">
        <v>-3.3</v>
      </c>
      <c r="R669" s="35">
        <v>-3.9</v>
      </c>
      <c r="S669" s="35">
        <v>-5</v>
      </c>
      <c r="T669" s="35">
        <v>11</v>
      </c>
      <c r="U669" s="35">
        <v>9</v>
      </c>
      <c r="V669" s="35">
        <v>10</v>
      </c>
      <c r="W669" s="35">
        <v>9</v>
      </c>
      <c r="X669" s="35">
        <v>10.3</v>
      </c>
      <c r="Y669" s="35">
        <v>9</v>
      </c>
      <c r="Z669" s="35">
        <v>10</v>
      </c>
      <c r="AA669" s="35">
        <v>9</v>
      </c>
      <c r="AB669" s="35">
        <v>21.8</v>
      </c>
      <c r="AC669" s="35">
        <v>20</v>
      </c>
      <c r="AD669" s="35">
        <v>21.7</v>
      </c>
      <c r="AE669" s="35">
        <v>20</v>
      </c>
    </row>
    <row r="670" spans="1:31" x14ac:dyDescent="0.35">
      <c r="A670" s="36">
        <v>46059.927083333336</v>
      </c>
      <c r="B670" s="35">
        <v>-21.6</v>
      </c>
      <c r="C670" s="35">
        <v>-23.1</v>
      </c>
      <c r="D670" s="35">
        <v>-23</v>
      </c>
      <c r="E670" s="35">
        <v>-22.4</v>
      </c>
      <c r="F670" s="35">
        <v>-7.6</v>
      </c>
      <c r="G670" s="35">
        <v>-23</v>
      </c>
      <c r="H670" s="35">
        <v>-22.2</v>
      </c>
      <c r="I670" s="35">
        <v>-22.5</v>
      </c>
      <c r="J670" s="35">
        <v>-23</v>
      </c>
      <c r="K670" s="35">
        <v>-22.2</v>
      </c>
      <c r="L670" s="35">
        <v>-18.8</v>
      </c>
      <c r="M670" s="35">
        <v>-23</v>
      </c>
      <c r="N670" s="35">
        <v>-2.9</v>
      </c>
      <c r="O670" s="35">
        <v>-3.3</v>
      </c>
      <c r="P670" s="35">
        <v>-5</v>
      </c>
      <c r="Q670" s="35">
        <v>-3.1</v>
      </c>
      <c r="R670" s="35">
        <v>-3.8</v>
      </c>
      <c r="S670" s="35">
        <v>-5</v>
      </c>
      <c r="T670" s="35">
        <v>10.5</v>
      </c>
      <c r="U670" s="35">
        <v>9</v>
      </c>
      <c r="V670" s="35">
        <v>10</v>
      </c>
      <c r="W670" s="35">
        <v>9</v>
      </c>
      <c r="X670" s="35">
        <v>10.4</v>
      </c>
      <c r="Y670" s="35">
        <v>9</v>
      </c>
      <c r="Z670" s="35">
        <v>10.1</v>
      </c>
      <c r="AA670" s="35">
        <v>9</v>
      </c>
      <c r="AB670" s="35">
        <v>21.8</v>
      </c>
      <c r="AC670" s="35">
        <v>20</v>
      </c>
      <c r="AD670" s="35">
        <v>21.7</v>
      </c>
      <c r="AE670" s="35">
        <v>20</v>
      </c>
    </row>
    <row r="671" spans="1:31" x14ac:dyDescent="0.35">
      <c r="A671" s="36">
        <v>46059.927777777775</v>
      </c>
      <c r="B671" s="35">
        <v>-21.7</v>
      </c>
      <c r="C671" s="35">
        <v>-23.7</v>
      </c>
      <c r="D671" s="35">
        <v>-23</v>
      </c>
      <c r="E671" s="35">
        <v>-22.4</v>
      </c>
      <c r="F671" s="35">
        <v>-6.8</v>
      </c>
      <c r="G671" s="35">
        <v>-23</v>
      </c>
      <c r="H671" s="35">
        <v>-22.1</v>
      </c>
      <c r="I671" s="35">
        <v>-22.4</v>
      </c>
      <c r="J671" s="35">
        <v>-23</v>
      </c>
      <c r="K671" s="35">
        <v>-22.1</v>
      </c>
      <c r="L671" s="35">
        <v>-18.8</v>
      </c>
      <c r="M671" s="35">
        <v>-23</v>
      </c>
      <c r="N671" s="35">
        <v>-3.1</v>
      </c>
      <c r="O671" s="35">
        <v>-3.5</v>
      </c>
      <c r="P671" s="35">
        <v>-5</v>
      </c>
      <c r="Q671" s="35">
        <v>-3</v>
      </c>
      <c r="R671" s="35">
        <v>-3.7</v>
      </c>
      <c r="S671" s="35">
        <v>-5</v>
      </c>
      <c r="T671" s="35">
        <v>10</v>
      </c>
      <c r="U671" s="35">
        <v>9</v>
      </c>
      <c r="V671" s="35">
        <v>10</v>
      </c>
      <c r="W671" s="35">
        <v>9</v>
      </c>
      <c r="X671" s="35">
        <v>10.5</v>
      </c>
      <c r="Y671" s="35">
        <v>9</v>
      </c>
      <c r="Z671" s="35">
        <v>10.199999999999999</v>
      </c>
      <c r="AA671" s="35">
        <v>9</v>
      </c>
      <c r="AB671" s="35">
        <v>21.8</v>
      </c>
      <c r="AC671" s="35">
        <v>20</v>
      </c>
      <c r="AD671" s="35">
        <v>21.7</v>
      </c>
      <c r="AE671" s="35">
        <v>20</v>
      </c>
    </row>
    <row r="672" spans="1:31" x14ac:dyDescent="0.35">
      <c r="A672" s="36">
        <v>46059.928472222222</v>
      </c>
      <c r="B672" s="35">
        <v>-21.7</v>
      </c>
      <c r="C672" s="35">
        <v>-25.6</v>
      </c>
      <c r="D672" s="35">
        <v>-23</v>
      </c>
      <c r="E672" s="35">
        <v>-22.4</v>
      </c>
      <c r="F672" s="35">
        <v>-6.1</v>
      </c>
      <c r="G672" s="35">
        <v>-23</v>
      </c>
      <c r="H672" s="35">
        <v>-22</v>
      </c>
      <c r="I672" s="35">
        <v>-22.3</v>
      </c>
      <c r="J672" s="35">
        <v>-23</v>
      </c>
      <c r="K672" s="35">
        <v>-21.9</v>
      </c>
      <c r="L672" s="35">
        <v>-18.8</v>
      </c>
      <c r="M672" s="35">
        <v>-23</v>
      </c>
      <c r="N672" s="35">
        <v>-3.3</v>
      </c>
      <c r="O672" s="35">
        <v>-3.6</v>
      </c>
      <c r="P672" s="35">
        <v>-5</v>
      </c>
      <c r="Q672" s="35">
        <v>-3</v>
      </c>
      <c r="R672" s="35">
        <v>-4.0999999999999996</v>
      </c>
      <c r="S672" s="35">
        <v>-5</v>
      </c>
      <c r="T672" s="35">
        <v>9.5</v>
      </c>
      <c r="U672" s="35">
        <v>9</v>
      </c>
      <c r="V672" s="35">
        <v>10</v>
      </c>
      <c r="W672" s="35">
        <v>9</v>
      </c>
      <c r="X672" s="35">
        <v>10.5</v>
      </c>
      <c r="Y672" s="35">
        <v>9</v>
      </c>
      <c r="Z672" s="35">
        <v>10.3</v>
      </c>
      <c r="AA672" s="35">
        <v>9</v>
      </c>
      <c r="AB672" s="35">
        <v>21.8</v>
      </c>
      <c r="AC672" s="35">
        <v>20</v>
      </c>
      <c r="AD672" s="35">
        <v>21.7</v>
      </c>
      <c r="AE672" s="35">
        <v>20</v>
      </c>
    </row>
    <row r="673" spans="1:31" x14ac:dyDescent="0.35">
      <c r="A673" s="36">
        <v>46059.929166666669</v>
      </c>
      <c r="B673" s="35">
        <v>-21.8</v>
      </c>
      <c r="C673" s="35">
        <v>-25.4</v>
      </c>
      <c r="D673" s="35">
        <v>-23</v>
      </c>
      <c r="E673" s="35">
        <v>-22.4</v>
      </c>
      <c r="F673" s="35">
        <v>-5.8</v>
      </c>
      <c r="G673" s="35">
        <v>-23</v>
      </c>
      <c r="H673" s="35">
        <v>-21.8</v>
      </c>
      <c r="I673" s="35">
        <v>-22.1</v>
      </c>
      <c r="J673" s="35">
        <v>-23</v>
      </c>
      <c r="K673" s="35">
        <v>-21.8</v>
      </c>
      <c r="L673" s="35">
        <v>-18.8</v>
      </c>
      <c r="M673" s="35">
        <v>-23</v>
      </c>
      <c r="N673" s="35">
        <v>-3.4</v>
      </c>
      <c r="O673" s="35">
        <v>-3.7</v>
      </c>
      <c r="P673" s="35">
        <v>-5</v>
      </c>
      <c r="Q673" s="35">
        <v>-3.1</v>
      </c>
      <c r="R673" s="35">
        <v>-4.5</v>
      </c>
      <c r="S673" s="35">
        <v>-5</v>
      </c>
      <c r="T673" s="35">
        <v>9.1</v>
      </c>
      <c r="U673" s="35">
        <v>9</v>
      </c>
      <c r="V673" s="35">
        <v>10</v>
      </c>
      <c r="W673" s="35">
        <v>9</v>
      </c>
      <c r="X673" s="35">
        <v>10.5</v>
      </c>
      <c r="Y673" s="35">
        <v>9</v>
      </c>
      <c r="Z673" s="35">
        <v>10.4</v>
      </c>
      <c r="AA673" s="35">
        <v>9</v>
      </c>
      <c r="AB673" s="35">
        <v>21.8</v>
      </c>
      <c r="AC673" s="35">
        <v>20</v>
      </c>
      <c r="AD673" s="35">
        <v>21.7</v>
      </c>
      <c r="AE673" s="35">
        <v>20</v>
      </c>
    </row>
    <row r="674" spans="1:31" x14ac:dyDescent="0.35">
      <c r="A674" s="36">
        <v>46059.929861111108</v>
      </c>
      <c r="B674" s="35">
        <v>-21.9</v>
      </c>
      <c r="C674" s="35">
        <v>-24.2</v>
      </c>
      <c r="D674" s="35">
        <v>-23</v>
      </c>
      <c r="E674" s="35">
        <v>-22.4</v>
      </c>
      <c r="F674" s="35">
        <v>-6.1</v>
      </c>
      <c r="G674" s="35">
        <v>-23</v>
      </c>
      <c r="H674" s="35">
        <v>-21.7</v>
      </c>
      <c r="I674" s="35">
        <v>-22</v>
      </c>
      <c r="J674" s="35">
        <v>-23</v>
      </c>
      <c r="K674" s="35">
        <v>-21.6</v>
      </c>
      <c r="L674" s="35">
        <v>-18.7</v>
      </c>
      <c r="M674" s="35">
        <v>-23</v>
      </c>
      <c r="N674" s="35">
        <v>-3.5</v>
      </c>
      <c r="O674" s="35">
        <v>-3.9</v>
      </c>
      <c r="P674" s="35">
        <v>-5</v>
      </c>
      <c r="Q674" s="35">
        <v>-3.2</v>
      </c>
      <c r="R674" s="35">
        <v>-4.5999999999999996</v>
      </c>
      <c r="S674" s="35">
        <v>-5</v>
      </c>
      <c r="T674" s="35">
        <v>8.8000000000000007</v>
      </c>
      <c r="U674" s="35">
        <v>9</v>
      </c>
      <c r="V674" s="35">
        <v>9.9</v>
      </c>
      <c r="W674" s="35">
        <v>9</v>
      </c>
      <c r="X674" s="35">
        <v>10.5</v>
      </c>
      <c r="Y674" s="35">
        <v>9</v>
      </c>
      <c r="Z674" s="35">
        <v>10.5</v>
      </c>
      <c r="AA674" s="35">
        <v>9</v>
      </c>
      <c r="AB674" s="35">
        <v>21.8</v>
      </c>
      <c r="AC674" s="35">
        <v>20</v>
      </c>
      <c r="AD674" s="35">
        <v>21.7</v>
      </c>
      <c r="AE674" s="35">
        <v>20</v>
      </c>
    </row>
    <row r="675" spans="1:31" x14ac:dyDescent="0.35">
      <c r="A675" s="36">
        <v>46059.930555555555</v>
      </c>
      <c r="B675" s="35">
        <v>-21.9</v>
      </c>
      <c r="C675" s="35">
        <v>-23.7</v>
      </c>
      <c r="D675" s="35">
        <v>-23</v>
      </c>
      <c r="E675" s="35">
        <v>-22.4</v>
      </c>
      <c r="F675" s="35">
        <v>-6.1</v>
      </c>
      <c r="G675" s="35">
        <v>-23</v>
      </c>
      <c r="H675" s="35">
        <v>-21.6</v>
      </c>
      <c r="I675" s="35">
        <v>-21.9</v>
      </c>
      <c r="J675" s="35">
        <v>-23</v>
      </c>
      <c r="K675" s="35">
        <v>-21.5</v>
      </c>
      <c r="L675" s="35">
        <v>-18.600000000000001</v>
      </c>
      <c r="M675" s="35">
        <v>-23</v>
      </c>
      <c r="N675" s="35">
        <v>-3.6</v>
      </c>
      <c r="O675" s="35">
        <v>-4</v>
      </c>
      <c r="P675" s="35">
        <v>-5</v>
      </c>
      <c r="Q675" s="35">
        <v>-3.3</v>
      </c>
      <c r="R675" s="35">
        <v>-4.7</v>
      </c>
      <c r="S675" s="35">
        <v>-5</v>
      </c>
      <c r="T675" s="35">
        <v>8.6999999999999993</v>
      </c>
      <c r="U675" s="35">
        <v>9</v>
      </c>
      <c r="V675" s="35">
        <v>9.6999999999999993</v>
      </c>
      <c r="W675" s="35">
        <v>9</v>
      </c>
      <c r="X675" s="35">
        <v>10.5</v>
      </c>
      <c r="Y675" s="35">
        <v>9</v>
      </c>
      <c r="Z675" s="35">
        <v>10.6</v>
      </c>
      <c r="AA675" s="35">
        <v>9</v>
      </c>
      <c r="AB675" s="35">
        <v>21.8</v>
      </c>
      <c r="AC675" s="35">
        <v>20</v>
      </c>
      <c r="AD675" s="35">
        <v>21.7</v>
      </c>
      <c r="AE675" s="35">
        <v>20</v>
      </c>
    </row>
    <row r="676" spans="1:31" x14ac:dyDescent="0.35">
      <c r="A676" s="36">
        <v>46059.931250000001</v>
      </c>
      <c r="B676" s="35">
        <v>-21.9</v>
      </c>
      <c r="C676" s="35">
        <v>-24.2</v>
      </c>
      <c r="D676" s="35">
        <v>-23</v>
      </c>
      <c r="E676" s="35">
        <v>-22.4</v>
      </c>
      <c r="F676" s="35">
        <v>-6</v>
      </c>
      <c r="G676" s="35">
        <v>-23</v>
      </c>
      <c r="H676" s="35">
        <v>-21.5</v>
      </c>
      <c r="I676" s="35">
        <v>-21.8</v>
      </c>
      <c r="J676" s="35">
        <v>-23</v>
      </c>
      <c r="K676" s="35">
        <v>-21.4</v>
      </c>
      <c r="L676" s="35">
        <v>-18.5</v>
      </c>
      <c r="M676" s="35">
        <v>-23</v>
      </c>
      <c r="N676" s="35">
        <v>-3.6</v>
      </c>
      <c r="O676" s="35">
        <v>-4.0999999999999996</v>
      </c>
      <c r="P676" s="35">
        <v>-5</v>
      </c>
      <c r="Q676" s="35">
        <v>-3.4</v>
      </c>
      <c r="R676" s="35">
        <v>-4.8</v>
      </c>
      <c r="S676" s="35">
        <v>-5</v>
      </c>
      <c r="T676" s="35">
        <v>8.8000000000000007</v>
      </c>
      <c r="U676" s="35">
        <v>9</v>
      </c>
      <c r="V676" s="35">
        <v>9.6999999999999993</v>
      </c>
      <c r="W676" s="35">
        <v>9</v>
      </c>
      <c r="X676" s="35">
        <v>10.5</v>
      </c>
      <c r="Y676" s="35">
        <v>9</v>
      </c>
      <c r="Z676" s="35">
        <v>10.7</v>
      </c>
      <c r="AA676" s="35">
        <v>9</v>
      </c>
      <c r="AB676" s="35">
        <v>21.8</v>
      </c>
      <c r="AC676" s="35">
        <v>20</v>
      </c>
      <c r="AD676" s="35">
        <v>21.7</v>
      </c>
      <c r="AE676" s="35">
        <v>20</v>
      </c>
    </row>
    <row r="677" spans="1:31" x14ac:dyDescent="0.35">
      <c r="A677" s="36">
        <v>46059.931944444441</v>
      </c>
      <c r="B677" s="35">
        <v>-21.9</v>
      </c>
      <c r="C677" s="35">
        <v>-25.9</v>
      </c>
      <c r="D677" s="35">
        <v>-23</v>
      </c>
      <c r="E677" s="35">
        <v>-22.4</v>
      </c>
      <c r="F677" s="35">
        <v>-6.6</v>
      </c>
      <c r="G677" s="35">
        <v>-23</v>
      </c>
      <c r="H677" s="35">
        <v>-21.4</v>
      </c>
      <c r="I677" s="35">
        <v>-21.7</v>
      </c>
      <c r="J677" s="35">
        <v>-23</v>
      </c>
      <c r="K677" s="35">
        <v>-21.2</v>
      </c>
      <c r="L677" s="35">
        <v>-18.399999999999999</v>
      </c>
      <c r="M677" s="35">
        <v>-23</v>
      </c>
      <c r="N677" s="35">
        <v>-3.7</v>
      </c>
      <c r="O677" s="35">
        <v>-4.2</v>
      </c>
      <c r="P677" s="35">
        <v>-5</v>
      </c>
      <c r="Q677" s="35">
        <v>-3.5</v>
      </c>
      <c r="R677" s="35">
        <v>-5</v>
      </c>
      <c r="S677" s="35">
        <v>-5</v>
      </c>
      <c r="T677" s="35">
        <v>9</v>
      </c>
      <c r="U677" s="35">
        <v>9</v>
      </c>
      <c r="V677" s="35">
        <v>9.6</v>
      </c>
      <c r="W677" s="35">
        <v>9</v>
      </c>
      <c r="X677" s="35">
        <v>10.5</v>
      </c>
      <c r="Y677" s="35">
        <v>9</v>
      </c>
      <c r="Z677" s="35">
        <v>10.7</v>
      </c>
      <c r="AA677" s="35">
        <v>9</v>
      </c>
      <c r="AB677" s="35">
        <v>21.8</v>
      </c>
      <c r="AC677" s="35">
        <v>20</v>
      </c>
      <c r="AD677" s="35">
        <v>21.7</v>
      </c>
      <c r="AE677" s="35">
        <v>20</v>
      </c>
    </row>
    <row r="678" spans="1:31" x14ac:dyDescent="0.35">
      <c r="A678" s="36">
        <v>46059.933333333334</v>
      </c>
      <c r="B678" s="35">
        <v>-22</v>
      </c>
      <c r="C678" s="35">
        <v>-24.7</v>
      </c>
      <c r="D678" s="35">
        <v>-23</v>
      </c>
      <c r="E678" s="35">
        <v>-22.4</v>
      </c>
      <c r="F678" s="35">
        <v>-6</v>
      </c>
      <c r="G678" s="35">
        <v>-23</v>
      </c>
      <c r="H678" s="35">
        <v>-21.2</v>
      </c>
      <c r="I678" s="35">
        <v>-21.5</v>
      </c>
      <c r="J678" s="35">
        <v>-23</v>
      </c>
      <c r="K678" s="35">
        <v>-21</v>
      </c>
      <c r="L678" s="35">
        <v>-18.3</v>
      </c>
      <c r="M678" s="35">
        <v>-23</v>
      </c>
      <c r="N678" s="35">
        <v>-3.9</v>
      </c>
      <c r="O678" s="35">
        <v>-4.4000000000000004</v>
      </c>
      <c r="P678" s="35">
        <v>-5</v>
      </c>
      <c r="Q678" s="35">
        <v>-3.6</v>
      </c>
      <c r="R678" s="35">
        <v>-5.0999999999999996</v>
      </c>
      <c r="S678" s="35">
        <v>-5</v>
      </c>
      <c r="T678" s="35">
        <v>9.5</v>
      </c>
      <c r="U678" s="35">
        <v>9</v>
      </c>
      <c r="V678" s="35">
        <v>9.5</v>
      </c>
      <c r="W678" s="35">
        <v>9</v>
      </c>
      <c r="X678" s="35">
        <v>10.5</v>
      </c>
      <c r="Y678" s="35">
        <v>9</v>
      </c>
      <c r="Z678" s="35">
        <v>10.9</v>
      </c>
      <c r="AA678" s="35">
        <v>9</v>
      </c>
      <c r="AB678" s="35">
        <v>21.8</v>
      </c>
      <c r="AC678" s="35">
        <v>20</v>
      </c>
      <c r="AD678" s="35">
        <v>21.7</v>
      </c>
      <c r="AE678" s="35">
        <v>20</v>
      </c>
    </row>
    <row r="679" spans="1:31" x14ac:dyDescent="0.35">
      <c r="A679" s="36">
        <v>46059.934027777781</v>
      </c>
      <c r="B679" s="35">
        <v>-22</v>
      </c>
      <c r="C679" s="35">
        <v>-24.2</v>
      </c>
      <c r="D679" s="35">
        <v>-23</v>
      </c>
      <c r="E679" s="35">
        <v>-22.4</v>
      </c>
      <c r="F679" s="35">
        <v>-5.8</v>
      </c>
      <c r="G679" s="35">
        <v>-23</v>
      </c>
      <c r="H679" s="35">
        <v>-21.1</v>
      </c>
      <c r="I679" s="35">
        <v>-21.4</v>
      </c>
      <c r="J679" s="35">
        <v>-23</v>
      </c>
      <c r="K679" s="35">
        <v>-20.9</v>
      </c>
      <c r="L679" s="35">
        <v>-18.2</v>
      </c>
      <c r="M679" s="35">
        <v>-23</v>
      </c>
      <c r="N679" s="35">
        <v>-4</v>
      </c>
      <c r="O679" s="35">
        <v>-4.5</v>
      </c>
      <c r="P679" s="35">
        <v>-5</v>
      </c>
      <c r="Q679" s="35">
        <v>-3.7</v>
      </c>
      <c r="R679" s="35">
        <v>-5.2</v>
      </c>
      <c r="S679" s="35">
        <v>-5</v>
      </c>
      <c r="T679" s="35">
        <v>9.6</v>
      </c>
      <c r="U679" s="35">
        <v>9</v>
      </c>
      <c r="V679" s="35">
        <v>9.5</v>
      </c>
      <c r="W679" s="35">
        <v>9</v>
      </c>
      <c r="X679" s="35">
        <v>10.5</v>
      </c>
      <c r="Y679" s="35">
        <v>9</v>
      </c>
      <c r="Z679" s="35">
        <v>10.9</v>
      </c>
      <c r="AA679" s="35">
        <v>9</v>
      </c>
      <c r="AB679" s="35">
        <v>21.8</v>
      </c>
      <c r="AC679" s="35">
        <v>20</v>
      </c>
      <c r="AD679" s="35">
        <v>21.7</v>
      </c>
      <c r="AE679" s="35">
        <v>20</v>
      </c>
    </row>
    <row r="680" spans="1:31" x14ac:dyDescent="0.35">
      <c r="A680" s="36">
        <v>46059.93472222222</v>
      </c>
      <c r="B680" s="35">
        <v>-22</v>
      </c>
      <c r="C680" s="35">
        <v>-24.9</v>
      </c>
      <c r="D680" s="35">
        <v>-23</v>
      </c>
      <c r="E680" s="35">
        <v>-22.4</v>
      </c>
      <c r="F680" s="35">
        <v>-5.7</v>
      </c>
      <c r="G680" s="35">
        <v>-23</v>
      </c>
      <c r="H680" s="35">
        <v>-21</v>
      </c>
      <c r="I680" s="35">
        <v>-21.3</v>
      </c>
      <c r="J680" s="35">
        <v>-23</v>
      </c>
      <c r="K680" s="35">
        <v>-20.8</v>
      </c>
      <c r="L680" s="35">
        <v>-18.100000000000001</v>
      </c>
      <c r="M680" s="35">
        <v>-23</v>
      </c>
      <c r="N680" s="35">
        <v>-4</v>
      </c>
      <c r="O680" s="35">
        <v>-4.5999999999999996</v>
      </c>
      <c r="P680" s="35">
        <v>-5</v>
      </c>
      <c r="Q680" s="35">
        <v>-3.8</v>
      </c>
      <c r="R680" s="35">
        <v>-5.3</v>
      </c>
      <c r="S680" s="35">
        <v>-5</v>
      </c>
      <c r="T680" s="35">
        <v>9.8000000000000007</v>
      </c>
      <c r="U680" s="35">
        <v>9</v>
      </c>
      <c r="V680" s="35">
        <v>9.5</v>
      </c>
      <c r="W680" s="35">
        <v>9</v>
      </c>
      <c r="X680" s="35">
        <v>10.5</v>
      </c>
      <c r="Y680" s="35">
        <v>9</v>
      </c>
      <c r="Z680" s="35">
        <v>11</v>
      </c>
      <c r="AA680" s="35">
        <v>9</v>
      </c>
      <c r="AB680" s="35">
        <v>21.8</v>
      </c>
      <c r="AC680" s="35">
        <v>20</v>
      </c>
      <c r="AD680" s="35">
        <v>21.7</v>
      </c>
      <c r="AE680" s="35">
        <v>20</v>
      </c>
    </row>
    <row r="681" spans="1:31" x14ac:dyDescent="0.35">
      <c r="A681" s="36">
        <v>46059.935416666667</v>
      </c>
      <c r="B681" s="35">
        <v>-22</v>
      </c>
      <c r="C681" s="35">
        <v>-25.2</v>
      </c>
      <c r="D681" s="35">
        <v>-23</v>
      </c>
      <c r="E681" s="35">
        <v>-22.4</v>
      </c>
      <c r="F681" s="35">
        <v>-4.9000000000000004</v>
      </c>
      <c r="G681" s="35">
        <v>-23</v>
      </c>
      <c r="H681" s="35">
        <v>-21</v>
      </c>
      <c r="I681" s="35">
        <v>-23</v>
      </c>
      <c r="J681" s="35">
        <v>-23</v>
      </c>
      <c r="K681" s="35">
        <v>-21</v>
      </c>
      <c r="L681" s="35">
        <v>-17.899999999999999</v>
      </c>
      <c r="M681" s="35">
        <v>-23</v>
      </c>
      <c r="N681" s="35">
        <v>-4.0999999999999996</v>
      </c>
      <c r="O681" s="35">
        <v>-4.7</v>
      </c>
      <c r="P681" s="35">
        <v>-5</v>
      </c>
      <c r="Q681" s="35">
        <v>-3.8</v>
      </c>
      <c r="R681" s="35">
        <v>-5.3</v>
      </c>
      <c r="S681" s="35">
        <v>-5</v>
      </c>
      <c r="T681" s="35">
        <v>9.9</v>
      </c>
      <c r="U681" s="35">
        <v>9</v>
      </c>
      <c r="V681" s="35">
        <v>9.6999999999999993</v>
      </c>
      <c r="W681" s="35">
        <v>9</v>
      </c>
      <c r="X681" s="35">
        <v>10.5</v>
      </c>
      <c r="Y681" s="35">
        <v>9</v>
      </c>
      <c r="Z681" s="35">
        <v>11</v>
      </c>
      <c r="AA681" s="35">
        <v>9</v>
      </c>
      <c r="AB681" s="35">
        <v>21.8</v>
      </c>
      <c r="AC681" s="35">
        <v>20</v>
      </c>
      <c r="AD681" s="35">
        <v>21.7</v>
      </c>
      <c r="AE681" s="35">
        <v>20</v>
      </c>
    </row>
    <row r="682" spans="1:31" x14ac:dyDescent="0.35">
      <c r="A682" s="36">
        <v>46059.936111111114</v>
      </c>
      <c r="B682" s="35">
        <v>-22</v>
      </c>
      <c r="C682" s="35">
        <v>-24.3</v>
      </c>
      <c r="D682" s="35">
        <v>-23</v>
      </c>
      <c r="E682" s="35">
        <v>-22.4</v>
      </c>
      <c r="F682" s="35">
        <v>-4.4000000000000004</v>
      </c>
      <c r="G682" s="35">
        <v>-23</v>
      </c>
      <c r="H682" s="35">
        <v>-21.1</v>
      </c>
      <c r="I682" s="35">
        <v>-24</v>
      </c>
      <c r="J682" s="35">
        <v>-23</v>
      </c>
      <c r="K682" s="35">
        <v>-21.4</v>
      </c>
      <c r="L682" s="35">
        <v>-17.8</v>
      </c>
      <c r="M682" s="35">
        <v>-23</v>
      </c>
      <c r="N682" s="35">
        <v>-4.2</v>
      </c>
      <c r="O682" s="35">
        <v>-4.7</v>
      </c>
      <c r="P682" s="35">
        <v>-5</v>
      </c>
      <c r="Q682" s="35">
        <v>-3.8</v>
      </c>
      <c r="R682" s="35">
        <v>-5.3</v>
      </c>
      <c r="S682" s="35">
        <v>-5</v>
      </c>
      <c r="T682" s="35">
        <v>10</v>
      </c>
      <c r="U682" s="35">
        <v>9</v>
      </c>
      <c r="V682" s="35">
        <v>9.8000000000000007</v>
      </c>
      <c r="W682" s="35">
        <v>9</v>
      </c>
      <c r="X682" s="35">
        <v>10.6</v>
      </c>
      <c r="Y682" s="35">
        <v>9</v>
      </c>
      <c r="Z682" s="35">
        <v>11</v>
      </c>
      <c r="AA682" s="35">
        <v>9</v>
      </c>
      <c r="AB682" s="35">
        <v>21.8</v>
      </c>
      <c r="AC682" s="35">
        <v>20</v>
      </c>
      <c r="AD682" s="35">
        <v>21.7</v>
      </c>
      <c r="AE682" s="35">
        <v>20</v>
      </c>
    </row>
    <row r="683" spans="1:31" x14ac:dyDescent="0.35">
      <c r="A683" s="36">
        <v>46059.936805555553</v>
      </c>
      <c r="B683" s="35">
        <v>-21.8</v>
      </c>
      <c r="C683" s="35">
        <v>-23.1</v>
      </c>
      <c r="D683" s="35">
        <v>-23</v>
      </c>
      <c r="E683" s="35">
        <v>-22.4</v>
      </c>
      <c r="F683" s="35">
        <v>-3.4</v>
      </c>
      <c r="G683" s="35">
        <v>-23</v>
      </c>
      <c r="H683" s="35">
        <v>-21.4</v>
      </c>
      <c r="I683" s="35">
        <v>-23.7</v>
      </c>
      <c r="J683" s="35">
        <v>-23</v>
      </c>
      <c r="K683" s="35">
        <v>-21.7</v>
      </c>
      <c r="L683" s="35">
        <v>-17.7</v>
      </c>
      <c r="M683" s="35">
        <v>-23</v>
      </c>
      <c r="N683" s="35">
        <v>-4.3</v>
      </c>
      <c r="O683" s="35">
        <v>-4.8</v>
      </c>
      <c r="P683" s="35">
        <v>-5</v>
      </c>
      <c r="Q683" s="35">
        <v>-3.9</v>
      </c>
      <c r="R683" s="35">
        <v>-5.3</v>
      </c>
      <c r="S683" s="35">
        <v>-5</v>
      </c>
      <c r="T683" s="35">
        <v>10.1</v>
      </c>
      <c r="U683" s="35">
        <v>9</v>
      </c>
      <c r="V683" s="35">
        <v>9.8000000000000007</v>
      </c>
      <c r="W683" s="35">
        <v>9</v>
      </c>
      <c r="X683" s="35">
        <v>10.6</v>
      </c>
      <c r="Y683" s="35">
        <v>9</v>
      </c>
      <c r="Z683" s="35">
        <v>11</v>
      </c>
      <c r="AA683" s="35">
        <v>9</v>
      </c>
      <c r="AB683" s="35">
        <v>21.8</v>
      </c>
      <c r="AC683" s="35">
        <v>20</v>
      </c>
      <c r="AD683" s="35">
        <v>21.7</v>
      </c>
      <c r="AE683" s="35">
        <v>20</v>
      </c>
    </row>
    <row r="684" spans="1:31" x14ac:dyDescent="0.35">
      <c r="A684" s="36">
        <v>46059.9375</v>
      </c>
      <c r="B684" s="35">
        <v>-21.5</v>
      </c>
      <c r="C684" s="35">
        <v>-22.3</v>
      </c>
      <c r="D684" s="35">
        <v>-23</v>
      </c>
      <c r="E684" s="35">
        <v>-22.4</v>
      </c>
      <c r="F684" s="35">
        <v>-3.1</v>
      </c>
      <c r="G684" s="35">
        <v>-23</v>
      </c>
      <c r="H684" s="35">
        <v>-21.6</v>
      </c>
      <c r="I684" s="35">
        <v>-23.5</v>
      </c>
      <c r="J684" s="35">
        <v>-23</v>
      </c>
      <c r="K684" s="35">
        <v>-22</v>
      </c>
      <c r="L684" s="35">
        <v>-17.600000000000001</v>
      </c>
      <c r="M684" s="35">
        <v>-23</v>
      </c>
      <c r="N684" s="35">
        <v>-4.3</v>
      </c>
      <c r="O684" s="35">
        <v>-4.9000000000000004</v>
      </c>
      <c r="P684" s="35">
        <v>-5</v>
      </c>
      <c r="Q684" s="35">
        <v>-3.9</v>
      </c>
      <c r="R684" s="35">
        <v>-4.9000000000000004</v>
      </c>
      <c r="S684" s="35">
        <v>-5</v>
      </c>
      <c r="T684" s="35">
        <v>10.199999999999999</v>
      </c>
      <c r="U684" s="35">
        <v>9</v>
      </c>
      <c r="V684" s="35">
        <v>9.9</v>
      </c>
      <c r="W684" s="35">
        <v>9</v>
      </c>
      <c r="X684" s="35">
        <v>10.7</v>
      </c>
      <c r="Y684" s="35">
        <v>9</v>
      </c>
      <c r="Z684" s="35">
        <v>11</v>
      </c>
      <c r="AA684" s="35">
        <v>9</v>
      </c>
      <c r="AB684" s="35">
        <v>21.8</v>
      </c>
      <c r="AC684" s="35">
        <v>20</v>
      </c>
      <c r="AD684" s="35">
        <v>21.7</v>
      </c>
      <c r="AE684" s="35">
        <v>20</v>
      </c>
    </row>
    <row r="685" spans="1:31" x14ac:dyDescent="0.35">
      <c r="A685" s="36">
        <v>46059.938194444447</v>
      </c>
      <c r="B685" s="35">
        <v>-21.2</v>
      </c>
      <c r="C685" s="35">
        <v>-21.8</v>
      </c>
      <c r="D685" s="35">
        <v>-23</v>
      </c>
      <c r="E685" s="35">
        <v>-22.4</v>
      </c>
      <c r="F685" s="35">
        <v>-1.9</v>
      </c>
      <c r="G685" s="35">
        <v>-23</v>
      </c>
      <c r="H685" s="35">
        <v>-21.8</v>
      </c>
      <c r="I685" s="35">
        <v>-23.2</v>
      </c>
      <c r="J685" s="35">
        <v>-23</v>
      </c>
      <c r="K685" s="35">
        <v>-22.2</v>
      </c>
      <c r="L685" s="35">
        <v>-17.600000000000001</v>
      </c>
      <c r="M685" s="35">
        <v>-23</v>
      </c>
      <c r="N685" s="35">
        <v>-4.4000000000000004</v>
      </c>
      <c r="O685" s="35">
        <v>-5</v>
      </c>
      <c r="P685" s="35">
        <v>-5</v>
      </c>
      <c r="Q685" s="35">
        <v>-3.6</v>
      </c>
      <c r="R685" s="35">
        <v>-4.4000000000000004</v>
      </c>
      <c r="S685" s="35">
        <v>-5</v>
      </c>
      <c r="T685" s="35">
        <v>10.3</v>
      </c>
      <c r="U685" s="35">
        <v>9</v>
      </c>
      <c r="V685" s="35">
        <v>10</v>
      </c>
      <c r="W685" s="35">
        <v>9</v>
      </c>
      <c r="X685" s="35">
        <v>10.7</v>
      </c>
      <c r="Y685" s="35">
        <v>9</v>
      </c>
      <c r="Z685" s="35">
        <v>11</v>
      </c>
      <c r="AA685" s="35">
        <v>9</v>
      </c>
      <c r="AB685" s="35">
        <v>21.8</v>
      </c>
      <c r="AC685" s="35">
        <v>20</v>
      </c>
      <c r="AD685" s="35">
        <v>21.7</v>
      </c>
      <c r="AE685" s="35">
        <v>20</v>
      </c>
    </row>
    <row r="686" spans="1:31" x14ac:dyDescent="0.35">
      <c r="A686" s="36">
        <v>46059.938888888886</v>
      </c>
      <c r="B686" s="35">
        <v>-20.9</v>
      </c>
      <c r="C686" s="35">
        <v>-21.5</v>
      </c>
      <c r="D686" s="35">
        <v>-23</v>
      </c>
      <c r="E686" s="35">
        <v>-22.4</v>
      </c>
      <c r="F686" s="35">
        <v>-1.4</v>
      </c>
      <c r="G686" s="35">
        <v>-23</v>
      </c>
      <c r="H686" s="35">
        <v>-22</v>
      </c>
      <c r="I686" s="35">
        <v>-23.1</v>
      </c>
      <c r="J686" s="35">
        <v>-23</v>
      </c>
      <c r="K686" s="35">
        <v>-22.4</v>
      </c>
      <c r="L686" s="35">
        <v>-17.600000000000001</v>
      </c>
      <c r="M686" s="35">
        <v>-23</v>
      </c>
      <c r="N686" s="35">
        <v>-4.5</v>
      </c>
      <c r="O686" s="35">
        <v>-5</v>
      </c>
      <c r="P686" s="35">
        <v>-5</v>
      </c>
      <c r="Q686" s="35">
        <v>-3.5</v>
      </c>
      <c r="R686" s="35">
        <v>-4</v>
      </c>
      <c r="S686" s="35">
        <v>-5</v>
      </c>
      <c r="T686" s="35">
        <v>10.4</v>
      </c>
      <c r="U686" s="35">
        <v>9</v>
      </c>
      <c r="V686" s="35">
        <v>10.1</v>
      </c>
      <c r="W686" s="35">
        <v>9</v>
      </c>
      <c r="X686" s="35">
        <v>10.7</v>
      </c>
      <c r="Y686" s="35">
        <v>9</v>
      </c>
      <c r="Z686" s="35">
        <v>11</v>
      </c>
      <c r="AA686" s="35">
        <v>9</v>
      </c>
      <c r="AB686" s="35">
        <v>21.8</v>
      </c>
      <c r="AC686" s="35">
        <v>20</v>
      </c>
      <c r="AD686" s="35">
        <v>21.7</v>
      </c>
      <c r="AE686" s="35">
        <v>20</v>
      </c>
    </row>
    <row r="687" spans="1:31" x14ac:dyDescent="0.35">
      <c r="A687" s="36">
        <v>46059.939583333333</v>
      </c>
      <c r="B687" s="35">
        <v>-20.8</v>
      </c>
      <c r="C687" s="35">
        <v>-21.3</v>
      </c>
      <c r="D687" s="35">
        <v>-23</v>
      </c>
      <c r="E687" s="35">
        <v>-22.4</v>
      </c>
      <c r="F687" s="35">
        <v>-1.3</v>
      </c>
      <c r="G687" s="35">
        <v>-23</v>
      </c>
      <c r="H687" s="35">
        <v>-22</v>
      </c>
      <c r="I687" s="35">
        <v>-22.9</v>
      </c>
      <c r="J687" s="35">
        <v>-23</v>
      </c>
      <c r="K687" s="35">
        <v>-22.4</v>
      </c>
      <c r="L687" s="35">
        <v>-17.600000000000001</v>
      </c>
      <c r="M687" s="35">
        <v>-23</v>
      </c>
      <c r="N687" s="35">
        <v>-4.5</v>
      </c>
      <c r="O687" s="35">
        <v>-5.0999999999999996</v>
      </c>
      <c r="P687" s="35">
        <v>-5</v>
      </c>
      <c r="Q687" s="35">
        <v>-3.5</v>
      </c>
      <c r="R687" s="35">
        <v>-2.8</v>
      </c>
      <c r="S687" s="35">
        <v>-5</v>
      </c>
      <c r="T687" s="35">
        <v>10.5</v>
      </c>
      <c r="U687" s="35">
        <v>9</v>
      </c>
      <c r="V687" s="35">
        <v>10.1</v>
      </c>
      <c r="W687" s="35">
        <v>9</v>
      </c>
      <c r="X687" s="35">
        <v>10.7</v>
      </c>
      <c r="Y687" s="35">
        <v>9</v>
      </c>
      <c r="Z687" s="35">
        <v>11</v>
      </c>
      <c r="AA687" s="35">
        <v>9</v>
      </c>
      <c r="AB687" s="35">
        <v>21.8</v>
      </c>
      <c r="AC687" s="35">
        <v>20</v>
      </c>
      <c r="AD687" s="35">
        <v>21.7</v>
      </c>
      <c r="AE687" s="35">
        <v>20</v>
      </c>
    </row>
    <row r="688" spans="1:31" x14ac:dyDescent="0.35">
      <c r="A688" s="36">
        <v>46059.94027777778</v>
      </c>
      <c r="B688" s="35">
        <v>-20.8</v>
      </c>
      <c r="C688" s="35">
        <v>-22.4</v>
      </c>
      <c r="D688" s="35">
        <v>-23</v>
      </c>
      <c r="E688" s="35">
        <v>-22.4</v>
      </c>
      <c r="F688" s="35">
        <v>-2.5</v>
      </c>
      <c r="G688" s="35">
        <v>-23</v>
      </c>
      <c r="H688" s="35">
        <v>-22.1</v>
      </c>
      <c r="I688" s="35">
        <v>-22.7</v>
      </c>
      <c r="J688" s="35">
        <v>-23</v>
      </c>
      <c r="K688" s="35">
        <v>-22.4</v>
      </c>
      <c r="L688" s="35">
        <v>-17.5</v>
      </c>
      <c r="M688" s="35">
        <v>-23</v>
      </c>
      <c r="N688" s="35">
        <v>-4.5</v>
      </c>
      <c r="O688" s="35">
        <v>-5.0999999999999996</v>
      </c>
      <c r="P688" s="35">
        <v>-5</v>
      </c>
      <c r="Q688" s="35">
        <v>-3.5</v>
      </c>
      <c r="R688" s="35">
        <v>-1</v>
      </c>
      <c r="S688" s="35">
        <v>-5</v>
      </c>
      <c r="T688" s="35">
        <v>10.6</v>
      </c>
      <c r="U688" s="35">
        <v>9</v>
      </c>
      <c r="V688" s="35">
        <v>10.1</v>
      </c>
      <c r="W688" s="35">
        <v>9</v>
      </c>
      <c r="X688" s="35">
        <v>10.7</v>
      </c>
      <c r="Y688" s="35">
        <v>9</v>
      </c>
      <c r="Z688" s="35">
        <v>10.9</v>
      </c>
      <c r="AA688" s="35">
        <v>9</v>
      </c>
      <c r="AB688" s="35">
        <v>21.8</v>
      </c>
      <c r="AC688" s="35">
        <v>20</v>
      </c>
      <c r="AD688" s="35">
        <v>21.7</v>
      </c>
      <c r="AE688" s="35">
        <v>20</v>
      </c>
    </row>
    <row r="689" spans="1:31" x14ac:dyDescent="0.35">
      <c r="A689" s="36">
        <v>46059.940972222219</v>
      </c>
      <c r="B689" s="35">
        <v>-20.8</v>
      </c>
      <c r="C689" s="35">
        <v>-25</v>
      </c>
      <c r="D689" s="35">
        <v>-23</v>
      </c>
      <c r="E689" s="35">
        <v>-22.4</v>
      </c>
      <c r="F689" s="35">
        <v>-2</v>
      </c>
      <c r="G689" s="35">
        <v>-23</v>
      </c>
      <c r="H689" s="35">
        <v>-22.1</v>
      </c>
      <c r="I689" s="35">
        <v>-22.6</v>
      </c>
      <c r="J689" s="35">
        <v>-23</v>
      </c>
      <c r="K689" s="35">
        <v>-22.3</v>
      </c>
      <c r="L689" s="35">
        <v>-17.5</v>
      </c>
      <c r="M689" s="35">
        <v>-23</v>
      </c>
      <c r="N689" s="35">
        <v>-4.5999999999999996</v>
      </c>
      <c r="O689" s="35">
        <v>-5.2</v>
      </c>
      <c r="P689" s="35">
        <v>-5</v>
      </c>
      <c r="Q689" s="35">
        <v>-3.5</v>
      </c>
      <c r="R689" s="35">
        <v>0.8</v>
      </c>
      <c r="S689" s="35">
        <v>-5</v>
      </c>
      <c r="T689" s="35">
        <v>10.7</v>
      </c>
      <c r="U689" s="35">
        <v>9</v>
      </c>
      <c r="V689" s="35">
        <v>10.1</v>
      </c>
      <c r="W689" s="35">
        <v>9</v>
      </c>
      <c r="X689" s="35">
        <v>10.7</v>
      </c>
      <c r="Y689" s="35">
        <v>9</v>
      </c>
      <c r="Z689" s="35">
        <v>10.9</v>
      </c>
      <c r="AA689" s="35">
        <v>9</v>
      </c>
      <c r="AB689" s="35">
        <v>21.8</v>
      </c>
      <c r="AC689" s="35">
        <v>20</v>
      </c>
      <c r="AD689" s="35">
        <v>21.7</v>
      </c>
      <c r="AE689" s="35">
        <v>20</v>
      </c>
    </row>
    <row r="690" spans="1:31" x14ac:dyDescent="0.35">
      <c r="A690" s="36">
        <v>46059.941666666666</v>
      </c>
      <c r="B690" s="35">
        <v>-20.8</v>
      </c>
      <c r="C690" s="35">
        <v>-24.9</v>
      </c>
      <c r="D690" s="35">
        <v>-23</v>
      </c>
      <c r="E690" s="35">
        <v>-22.4</v>
      </c>
      <c r="F690" s="35">
        <v>-2</v>
      </c>
      <c r="G690" s="35">
        <v>-23</v>
      </c>
      <c r="H690" s="35">
        <v>-22.1</v>
      </c>
      <c r="I690" s="35">
        <v>-22.5</v>
      </c>
      <c r="J690" s="35">
        <v>-23</v>
      </c>
      <c r="K690" s="35">
        <v>-22.2</v>
      </c>
      <c r="L690" s="35">
        <v>-17.5</v>
      </c>
      <c r="M690" s="35">
        <v>-23</v>
      </c>
      <c r="N690" s="35">
        <v>-4.5999999999999996</v>
      </c>
      <c r="O690" s="35">
        <v>-5.2</v>
      </c>
      <c r="P690" s="35">
        <v>-5</v>
      </c>
      <c r="Q690" s="35">
        <v>-3.5</v>
      </c>
      <c r="R690" s="35">
        <v>3</v>
      </c>
      <c r="S690" s="35">
        <v>-5</v>
      </c>
      <c r="T690" s="35">
        <v>10.7</v>
      </c>
      <c r="U690" s="35">
        <v>9</v>
      </c>
      <c r="V690" s="35">
        <v>10.199999999999999</v>
      </c>
      <c r="W690" s="35">
        <v>9</v>
      </c>
      <c r="X690" s="35">
        <v>10.8</v>
      </c>
      <c r="Y690" s="35">
        <v>9</v>
      </c>
      <c r="Z690" s="35">
        <v>10.9</v>
      </c>
      <c r="AA690" s="35">
        <v>9</v>
      </c>
      <c r="AB690" s="35">
        <v>21.8</v>
      </c>
      <c r="AC690" s="35">
        <v>20</v>
      </c>
      <c r="AD690" s="35">
        <v>21.7</v>
      </c>
      <c r="AE690" s="35">
        <v>20</v>
      </c>
    </row>
    <row r="691" spans="1:31" x14ac:dyDescent="0.35">
      <c r="A691" s="36">
        <v>46059.942361111112</v>
      </c>
      <c r="B691" s="35">
        <v>-20.8</v>
      </c>
      <c r="C691" s="35">
        <v>-23.5</v>
      </c>
      <c r="D691" s="35">
        <v>-23</v>
      </c>
      <c r="E691" s="35">
        <v>-22.4</v>
      </c>
      <c r="F691" s="35">
        <v>-2.1</v>
      </c>
      <c r="G691" s="35">
        <v>-23</v>
      </c>
      <c r="H691" s="35">
        <v>-22.1</v>
      </c>
      <c r="I691" s="35">
        <v>-22.5</v>
      </c>
      <c r="J691" s="35">
        <v>-23</v>
      </c>
      <c r="K691" s="35">
        <v>-22.2</v>
      </c>
      <c r="L691" s="35">
        <v>-17.5</v>
      </c>
      <c r="M691" s="35">
        <v>-23</v>
      </c>
      <c r="N691" s="35">
        <v>-4.7</v>
      </c>
      <c r="O691" s="35">
        <v>-5.3</v>
      </c>
      <c r="P691" s="35">
        <v>-5</v>
      </c>
      <c r="Q691" s="35">
        <v>-3.5</v>
      </c>
      <c r="R691" s="35">
        <v>5</v>
      </c>
      <c r="S691" s="35">
        <v>-5</v>
      </c>
      <c r="T691" s="35">
        <v>10.8</v>
      </c>
      <c r="U691" s="35">
        <v>9</v>
      </c>
      <c r="V691" s="35">
        <v>10.199999999999999</v>
      </c>
      <c r="W691" s="35">
        <v>9</v>
      </c>
      <c r="X691" s="35">
        <v>10.8</v>
      </c>
      <c r="Y691" s="35">
        <v>9</v>
      </c>
      <c r="Z691" s="35">
        <v>10.9</v>
      </c>
      <c r="AA691" s="35">
        <v>9</v>
      </c>
      <c r="AB691" s="35">
        <v>21.8</v>
      </c>
      <c r="AC691" s="35">
        <v>20</v>
      </c>
      <c r="AD691" s="35">
        <v>21.7</v>
      </c>
      <c r="AE691" s="35">
        <v>20</v>
      </c>
    </row>
    <row r="692" spans="1:31" x14ac:dyDescent="0.35">
      <c r="A692" s="36">
        <v>46059.943055555559</v>
      </c>
      <c r="B692" s="35">
        <v>-20.8</v>
      </c>
      <c r="C692" s="35">
        <v>-22.5</v>
      </c>
      <c r="D692" s="35">
        <v>-23</v>
      </c>
      <c r="E692" s="35">
        <v>-22.4</v>
      </c>
      <c r="F692" s="35">
        <v>-2.1</v>
      </c>
      <c r="G692" s="35">
        <v>-23</v>
      </c>
      <c r="H692" s="35">
        <v>-22.1</v>
      </c>
      <c r="I692" s="35">
        <v>-22.7</v>
      </c>
      <c r="J692" s="35">
        <v>-23</v>
      </c>
      <c r="K692" s="35">
        <v>-22.3</v>
      </c>
      <c r="L692" s="35">
        <v>-17.5</v>
      </c>
      <c r="M692" s="35">
        <v>-23</v>
      </c>
      <c r="N692" s="35">
        <v>-4.7</v>
      </c>
      <c r="O692" s="35">
        <v>-5.3</v>
      </c>
      <c r="P692" s="35">
        <v>-5</v>
      </c>
      <c r="Q692" s="35">
        <v>-3.5</v>
      </c>
      <c r="R692" s="35">
        <v>8.5</v>
      </c>
      <c r="S692" s="35">
        <v>-5</v>
      </c>
      <c r="T692" s="35">
        <v>10.9</v>
      </c>
      <c r="U692" s="35">
        <v>9</v>
      </c>
      <c r="V692" s="35">
        <v>10.3</v>
      </c>
      <c r="W692" s="35">
        <v>9</v>
      </c>
      <c r="X692" s="35">
        <v>10.8</v>
      </c>
      <c r="Y692" s="35">
        <v>9</v>
      </c>
      <c r="Z692" s="35">
        <v>10.9</v>
      </c>
      <c r="AA692" s="35">
        <v>9</v>
      </c>
      <c r="AB692" s="35">
        <v>21.8</v>
      </c>
      <c r="AC692" s="35">
        <v>20</v>
      </c>
      <c r="AD692" s="35">
        <v>21.7</v>
      </c>
      <c r="AE692" s="35">
        <v>20</v>
      </c>
    </row>
    <row r="693" spans="1:31" x14ac:dyDescent="0.35">
      <c r="A693" s="36">
        <v>46059.943749999999</v>
      </c>
      <c r="B693" s="35">
        <v>-20.8</v>
      </c>
      <c r="C693" s="35">
        <v>-21.9</v>
      </c>
      <c r="D693" s="35">
        <v>-23</v>
      </c>
      <c r="E693" s="35">
        <v>-22.4</v>
      </c>
      <c r="F693" s="35">
        <v>-3.8</v>
      </c>
      <c r="G693" s="35">
        <v>-23</v>
      </c>
      <c r="H693" s="35">
        <v>-22.1</v>
      </c>
      <c r="I693" s="35">
        <v>-22.8</v>
      </c>
      <c r="J693" s="35">
        <v>-23</v>
      </c>
      <c r="K693" s="35">
        <v>-22.5</v>
      </c>
      <c r="L693" s="35">
        <v>-17.600000000000001</v>
      </c>
      <c r="M693" s="35">
        <v>-23</v>
      </c>
      <c r="N693" s="35">
        <v>-4.8</v>
      </c>
      <c r="O693" s="35">
        <v>-5.3</v>
      </c>
      <c r="P693" s="35">
        <v>-5</v>
      </c>
      <c r="Q693" s="35">
        <v>-3.5</v>
      </c>
      <c r="R693" s="35">
        <v>10</v>
      </c>
      <c r="S693" s="35">
        <v>-5</v>
      </c>
      <c r="T693" s="35">
        <v>10.9</v>
      </c>
      <c r="U693" s="35">
        <v>9</v>
      </c>
      <c r="V693" s="35">
        <v>10.4</v>
      </c>
      <c r="W693" s="35">
        <v>9</v>
      </c>
      <c r="X693" s="35">
        <v>10.8</v>
      </c>
      <c r="Y693" s="35">
        <v>9</v>
      </c>
      <c r="Z693" s="35">
        <v>10.9</v>
      </c>
      <c r="AA693" s="35">
        <v>9</v>
      </c>
      <c r="AB693" s="35">
        <v>21.8</v>
      </c>
      <c r="AC693" s="35">
        <v>20</v>
      </c>
      <c r="AD693" s="35">
        <v>21.7</v>
      </c>
      <c r="AE693" s="35">
        <v>20</v>
      </c>
    </row>
    <row r="694" spans="1:31" x14ac:dyDescent="0.35">
      <c r="A694" s="36">
        <v>46059.944444444445</v>
      </c>
      <c r="B694" s="35">
        <v>-20.8</v>
      </c>
      <c r="C694" s="35">
        <v>-21.8</v>
      </c>
      <c r="D694" s="35">
        <v>-23</v>
      </c>
      <c r="E694" s="35">
        <v>-18</v>
      </c>
      <c r="F694" s="35">
        <v>-4.5</v>
      </c>
      <c r="G694" s="35">
        <v>-23</v>
      </c>
      <c r="H694" s="35">
        <v>-22.1</v>
      </c>
      <c r="I694" s="35">
        <v>-22.8</v>
      </c>
      <c r="J694" s="35">
        <v>-23</v>
      </c>
      <c r="K694" s="35">
        <v>-22.5</v>
      </c>
      <c r="L694" s="35">
        <v>-17.600000000000001</v>
      </c>
      <c r="M694" s="35">
        <v>-23</v>
      </c>
      <c r="N694" s="35">
        <v>-4.8</v>
      </c>
      <c r="O694" s="35">
        <v>-5.4</v>
      </c>
      <c r="P694" s="35">
        <v>-5</v>
      </c>
      <c r="Q694" s="35">
        <v>-3.5</v>
      </c>
      <c r="R694" s="35">
        <v>11.4</v>
      </c>
      <c r="S694" s="35">
        <v>-5</v>
      </c>
      <c r="T694" s="35">
        <v>11</v>
      </c>
      <c r="U694" s="35">
        <v>9</v>
      </c>
      <c r="V694" s="35">
        <v>10.4</v>
      </c>
      <c r="W694" s="35">
        <v>9</v>
      </c>
      <c r="X694" s="35">
        <v>10.8</v>
      </c>
      <c r="Y694" s="35">
        <v>9</v>
      </c>
      <c r="Z694" s="35">
        <v>10.9</v>
      </c>
      <c r="AA694" s="35">
        <v>9</v>
      </c>
      <c r="AB694" s="35">
        <v>21.8</v>
      </c>
      <c r="AC694" s="35">
        <v>20</v>
      </c>
      <c r="AD694" s="35">
        <v>21.7</v>
      </c>
      <c r="AE694" s="35">
        <v>20</v>
      </c>
    </row>
    <row r="695" spans="1:31" x14ac:dyDescent="0.35">
      <c r="A695" s="36">
        <v>46059.945138888892</v>
      </c>
      <c r="B695" s="35">
        <v>-20.8</v>
      </c>
      <c r="C695" s="35">
        <v>-23.3</v>
      </c>
      <c r="D695" s="35">
        <v>-23</v>
      </c>
      <c r="E695" s="35">
        <v>-18.3</v>
      </c>
      <c r="F695" s="35">
        <v>-6.1</v>
      </c>
      <c r="G695" s="35">
        <v>-23</v>
      </c>
      <c r="H695" s="35">
        <v>-22.2</v>
      </c>
      <c r="I695" s="35">
        <v>-22.8</v>
      </c>
      <c r="J695" s="35">
        <v>-23</v>
      </c>
      <c r="K695" s="35">
        <v>-22.5</v>
      </c>
      <c r="L695" s="35">
        <v>-17.600000000000001</v>
      </c>
      <c r="M695" s="35">
        <v>-23</v>
      </c>
      <c r="N695" s="35">
        <v>-4.8</v>
      </c>
      <c r="O695" s="35">
        <v>-5.4</v>
      </c>
      <c r="P695" s="35">
        <v>-5</v>
      </c>
      <c r="Q695" s="35">
        <v>-3.5</v>
      </c>
      <c r="R695" s="35">
        <v>13</v>
      </c>
      <c r="S695" s="35">
        <v>-5</v>
      </c>
      <c r="T695" s="35">
        <v>10.7</v>
      </c>
      <c r="U695" s="35">
        <v>9</v>
      </c>
      <c r="V695" s="35">
        <v>10.4</v>
      </c>
      <c r="W695" s="35">
        <v>9</v>
      </c>
      <c r="X695" s="35">
        <v>10.8</v>
      </c>
      <c r="Y695" s="35">
        <v>9</v>
      </c>
      <c r="Z695" s="35">
        <v>10.9</v>
      </c>
      <c r="AA695" s="35">
        <v>9</v>
      </c>
      <c r="AB695" s="35">
        <v>21.8</v>
      </c>
      <c r="AC695" s="35">
        <v>20</v>
      </c>
      <c r="AD695" s="35">
        <v>21.7</v>
      </c>
      <c r="AE695" s="35">
        <v>20</v>
      </c>
    </row>
    <row r="696" spans="1:31" x14ac:dyDescent="0.35">
      <c r="A696" s="36">
        <v>46059.945833333331</v>
      </c>
      <c r="B696" s="35">
        <v>-20.8</v>
      </c>
      <c r="C696" s="35">
        <v>-25.3</v>
      </c>
      <c r="D696" s="35">
        <v>-23</v>
      </c>
      <c r="E696" s="35">
        <v>-18.899999999999999</v>
      </c>
      <c r="F696" s="35">
        <v>-7.6</v>
      </c>
      <c r="G696" s="35">
        <v>-23</v>
      </c>
      <c r="H696" s="35">
        <v>-22.2</v>
      </c>
      <c r="I696" s="35">
        <v>-22.8</v>
      </c>
      <c r="J696" s="35">
        <v>-23</v>
      </c>
      <c r="K696" s="35">
        <v>-22.5</v>
      </c>
      <c r="L696" s="35">
        <v>-17.7</v>
      </c>
      <c r="M696" s="35">
        <v>-23</v>
      </c>
      <c r="N696" s="35">
        <v>-4.9000000000000004</v>
      </c>
      <c r="O696" s="35">
        <v>-5.4</v>
      </c>
      <c r="P696" s="35">
        <v>-5</v>
      </c>
      <c r="Q696" s="35">
        <v>-3.5</v>
      </c>
      <c r="R696" s="35">
        <v>15</v>
      </c>
      <c r="S696" s="35">
        <v>-5</v>
      </c>
      <c r="T696" s="35">
        <v>10.199999999999999</v>
      </c>
      <c r="U696" s="35">
        <v>9</v>
      </c>
      <c r="V696" s="35">
        <v>10.4</v>
      </c>
      <c r="W696" s="35">
        <v>9</v>
      </c>
      <c r="X696" s="35">
        <v>10.8</v>
      </c>
      <c r="Y696" s="35">
        <v>9</v>
      </c>
      <c r="Z696" s="35">
        <v>10.8</v>
      </c>
      <c r="AA696" s="35">
        <v>9</v>
      </c>
      <c r="AB696" s="35">
        <v>21.8</v>
      </c>
      <c r="AC696" s="35">
        <v>20</v>
      </c>
      <c r="AD696" s="35">
        <v>21.7</v>
      </c>
      <c r="AE696" s="35">
        <v>20</v>
      </c>
    </row>
    <row r="697" spans="1:31" x14ac:dyDescent="0.35">
      <c r="A697" s="36">
        <v>46059.946527777778</v>
      </c>
      <c r="B697" s="35">
        <v>-20.9</v>
      </c>
      <c r="C697" s="35">
        <v>-24.7</v>
      </c>
      <c r="D697" s="35">
        <v>-23</v>
      </c>
      <c r="E697" s="35">
        <v>-19.3</v>
      </c>
      <c r="F697" s="35">
        <v>-8.6</v>
      </c>
      <c r="G697" s="35">
        <v>-23</v>
      </c>
      <c r="H697" s="35">
        <v>-22.2</v>
      </c>
      <c r="I697" s="35">
        <v>-22.7</v>
      </c>
      <c r="J697" s="35">
        <v>-23</v>
      </c>
      <c r="K697" s="35">
        <v>-22.5</v>
      </c>
      <c r="L697" s="35">
        <v>-17.7</v>
      </c>
      <c r="M697" s="35">
        <v>-23</v>
      </c>
      <c r="N697" s="35">
        <v>-4.9000000000000004</v>
      </c>
      <c r="O697" s="35">
        <v>-5.4</v>
      </c>
      <c r="P697" s="35">
        <v>-5</v>
      </c>
      <c r="Q697" s="35">
        <v>-3.5</v>
      </c>
      <c r="R697" s="35">
        <v>16.399999999999999</v>
      </c>
      <c r="S697" s="35">
        <v>-5</v>
      </c>
      <c r="T697" s="35">
        <v>9.6999999999999993</v>
      </c>
      <c r="U697" s="35">
        <v>9</v>
      </c>
      <c r="V697" s="35">
        <v>10.4</v>
      </c>
      <c r="W697" s="35">
        <v>9</v>
      </c>
      <c r="X697" s="35">
        <v>10.8</v>
      </c>
      <c r="Y697" s="35">
        <v>9</v>
      </c>
      <c r="Z697" s="35">
        <v>10.7</v>
      </c>
      <c r="AA697" s="35">
        <v>9</v>
      </c>
      <c r="AB697" s="35">
        <v>21.8</v>
      </c>
      <c r="AC697" s="35">
        <v>20</v>
      </c>
      <c r="AD697" s="35">
        <v>21.7</v>
      </c>
      <c r="AE697" s="35">
        <v>20</v>
      </c>
    </row>
    <row r="698" spans="1:31" x14ac:dyDescent="0.35">
      <c r="A698" s="36">
        <v>46059.947222222225</v>
      </c>
      <c r="B698" s="35">
        <v>-21</v>
      </c>
      <c r="C698" s="35">
        <v>-23.4</v>
      </c>
      <c r="D698" s="35">
        <v>-23</v>
      </c>
      <c r="E698" s="35">
        <v>-19.600000000000001</v>
      </c>
      <c r="F698" s="35">
        <v>-9.6999999999999993</v>
      </c>
      <c r="G698" s="35">
        <v>-23</v>
      </c>
      <c r="H698" s="35">
        <v>-22.2</v>
      </c>
      <c r="I698" s="35">
        <v>-22.7</v>
      </c>
      <c r="J698" s="35">
        <v>-23</v>
      </c>
      <c r="K698" s="35">
        <v>-22.5</v>
      </c>
      <c r="L698" s="35">
        <v>-17.7</v>
      </c>
      <c r="M698" s="35">
        <v>-23</v>
      </c>
      <c r="N698" s="35">
        <v>-4.9000000000000004</v>
      </c>
      <c r="O698" s="35">
        <v>-5.5</v>
      </c>
      <c r="P698" s="35">
        <v>-5</v>
      </c>
      <c r="Q698" s="35">
        <v>-3.5</v>
      </c>
      <c r="R698" s="35">
        <v>17.3</v>
      </c>
      <c r="S698" s="35">
        <v>-5</v>
      </c>
      <c r="T698" s="35">
        <v>9.3000000000000007</v>
      </c>
      <c r="U698" s="35">
        <v>9</v>
      </c>
      <c r="V698" s="35">
        <v>10.3</v>
      </c>
      <c r="W698" s="35">
        <v>9</v>
      </c>
      <c r="X698" s="35">
        <v>10.8</v>
      </c>
      <c r="Y698" s="35">
        <v>9</v>
      </c>
      <c r="Z698" s="35">
        <v>10.7</v>
      </c>
      <c r="AA698" s="35">
        <v>9</v>
      </c>
      <c r="AB698" s="35">
        <v>21.8</v>
      </c>
      <c r="AC698" s="35">
        <v>20</v>
      </c>
      <c r="AD698" s="35">
        <v>21.7</v>
      </c>
      <c r="AE698" s="35">
        <v>20</v>
      </c>
    </row>
    <row r="699" spans="1:31" x14ac:dyDescent="0.35">
      <c r="A699" s="36">
        <v>46059.947916666664</v>
      </c>
      <c r="B699" s="35">
        <v>-21.1</v>
      </c>
      <c r="C699" s="35">
        <v>-22.7</v>
      </c>
      <c r="D699" s="35">
        <v>-23</v>
      </c>
      <c r="E699" s="35">
        <v>-19.8</v>
      </c>
      <c r="F699" s="35">
        <v>-10.199999999999999</v>
      </c>
      <c r="G699" s="35">
        <v>-23</v>
      </c>
      <c r="H699" s="35">
        <v>-22.2</v>
      </c>
      <c r="I699" s="35">
        <v>-22.8</v>
      </c>
      <c r="J699" s="35">
        <v>-23</v>
      </c>
      <c r="K699" s="35">
        <v>-22.5</v>
      </c>
      <c r="L699" s="35">
        <v>-17.7</v>
      </c>
      <c r="M699" s="35">
        <v>-23</v>
      </c>
      <c r="N699" s="35">
        <v>-4.9000000000000004</v>
      </c>
      <c r="O699" s="35">
        <v>-5.5</v>
      </c>
      <c r="P699" s="35">
        <v>-5</v>
      </c>
      <c r="Q699" s="35">
        <v>-3.5</v>
      </c>
      <c r="R699" s="35">
        <v>17.899999999999999</v>
      </c>
      <c r="S699" s="35">
        <v>-5</v>
      </c>
      <c r="T699" s="35">
        <v>8.9</v>
      </c>
      <c r="U699" s="35">
        <v>9</v>
      </c>
      <c r="V699" s="35">
        <v>10.199999999999999</v>
      </c>
      <c r="W699" s="35">
        <v>9</v>
      </c>
      <c r="X699" s="35">
        <v>10.8</v>
      </c>
      <c r="Y699" s="35">
        <v>9</v>
      </c>
      <c r="Z699" s="35">
        <v>10.8</v>
      </c>
      <c r="AA699" s="35">
        <v>9</v>
      </c>
      <c r="AB699" s="35">
        <v>21.8</v>
      </c>
      <c r="AC699" s="35">
        <v>20</v>
      </c>
      <c r="AD699" s="35">
        <v>21.7</v>
      </c>
      <c r="AE699" s="35">
        <v>20</v>
      </c>
    </row>
    <row r="700" spans="1:31" x14ac:dyDescent="0.35">
      <c r="A700" s="36">
        <v>46059.948611111111</v>
      </c>
      <c r="B700" s="35">
        <v>-21.1</v>
      </c>
      <c r="C700" s="35">
        <v>-22.4</v>
      </c>
      <c r="D700" s="35">
        <v>-23</v>
      </c>
      <c r="E700" s="35">
        <v>-20.100000000000001</v>
      </c>
      <c r="F700" s="35">
        <v>-10.5</v>
      </c>
      <c r="G700" s="35">
        <v>-23</v>
      </c>
      <c r="H700" s="35">
        <v>-22.2</v>
      </c>
      <c r="I700" s="35">
        <v>-22.9</v>
      </c>
      <c r="J700" s="35">
        <v>-23</v>
      </c>
      <c r="K700" s="35">
        <v>-22.6</v>
      </c>
      <c r="L700" s="35">
        <v>-17.7</v>
      </c>
      <c r="M700" s="35">
        <v>-23</v>
      </c>
      <c r="N700" s="35">
        <v>-4.9000000000000004</v>
      </c>
      <c r="O700" s="35">
        <v>-5.5</v>
      </c>
      <c r="P700" s="35">
        <v>-5</v>
      </c>
      <c r="Q700" s="35">
        <v>-3.5</v>
      </c>
      <c r="R700" s="35">
        <v>18.3</v>
      </c>
      <c r="S700" s="35">
        <v>-5</v>
      </c>
      <c r="T700" s="35">
        <v>8.8000000000000007</v>
      </c>
      <c r="U700" s="35">
        <v>9</v>
      </c>
      <c r="V700" s="35">
        <v>10.1</v>
      </c>
      <c r="W700" s="35">
        <v>9</v>
      </c>
      <c r="X700" s="35">
        <v>10.8</v>
      </c>
      <c r="Y700" s="35">
        <v>9</v>
      </c>
      <c r="Z700" s="35">
        <v>10.8</v>
      </c>
      <c r="AA700" s="35">
        <v>9</v>
      </c>
      <c r="AB700" s="35">
        <v>21.8</v>
      </c>
      <c r="AC700" s="35">
        <v>20</v>
      </c>
      <c r="AD700" s="35">
        <v>21.7</v>
      </c>
      <c r="AE700" s="35">
        <v>20</v>
      </c>
    </row>
    <row r="701" spans="1:31" x14ac:dyDescent="0.35">
      <c r="A701" s="36">
        <v>46059.949305555558</v>
      </c>
      <c r="B701" s="35">
        <v>-21.1</v>
      </c>
      <c r="C701" s="35">
        <v>-22.6</v>
      </c>
      <c r="D701" s="35">
        <v>-23</v>
      </c>
      <c r="E701" s="35">
        <v>-20.399999999999999</v>
      </c>
      <c r="F701" s="35">
        <v>-11.1</v>
      </c>
      <c r="G701" s="35">
        <v>-23</v>
      </c>
      <c r="H701" s="35">
        <v>-22.3</v>
      </c>
      <c r="I701" s="35">
        <v>-22.9</v>
      </c>
      <c r="J701" s="35">
        <v>-23</v>
      </c>
      <c r="K701" s="35">
        <v>-22.7</v>
      </c>
      <c r="L701" s="35">
        <v>-17.8</v>
      </c>
      <c r="M701" s="35">
        <v>-23</v>
      </c>
      <c r="N701" s="35">
        <v>-5</v>
      </c>
      <c r="O701" s="35">
        <v>-5.5</v>
      </c>
      <c r="P701" s="35">
        <v>-5</v>
      </c>
      <c r="Q701" s="35">
        <v>-3.5</v>
      </c>
      <c r="R701" s="35">
        <v>19.3</v>
      </c>
      <c r="S701" s="35">
        <v>-5</v>
      </c>
      <c r="T701" s="35">
        <v>8.8000000000000007</v>
      </c>
      <c r="U701" s="35">
        <v>9</v>
      </c>
      <c r="V701" s="35">
        <v>10</v>
      </c>
      <c r="W701" s="35">
        <v>9</v>
      </c>
      <c r="X701" s="35">
        <v>10.8</v>
      </c>
      <c r="Y701" s="35">
        <v>9</v>
      </c>
      <c r="Z701" s="35">
        <v>10.9</v>
      </c>
      <c r="AA701" s="35">
        <v>9</v>
      </c>
      <c r="AB701" s="35">
        <v>21.8</v>
      </c>
      <c r="AC701" s="35">
        <v>20</v>
      </c>
      <c r="AD701" s="35">
        <v>21.7</v>
      </c>
      <c r="AE701" s="35">
        <v>20</v>
      </c>
    </row>
    <row r="702" spans="1:31" x14ac:dyDescent="0.35">
      <c r="A702" s="36">
        <v>46059.95</v>
      </c>
      <c r="B702" s="35">
        <v>-21.2</v>
      </c>
      <c r="C702" s="35">
        <v>-24.2</v>
      </c>
      <c r="D702" s="35">
        <v>-23</v>
      </c>
      <c r="E702" s="35">
        <v>-20.7</v>
      </c>
      <c r="F702" s="35">
        <v>-11.7</v>
      </c>
      <c r="G702" s="35">
        <v>-23</v>
      </c>
      <c r="H702" s="35">
        <v>-22.4</v>
      </c>
      <c r="I702" s="35">
        <v>-22.9</v>
      </c>
      <c r="J702" s="35">
        <v>-23</v>
      </c>
      <c r="K702" s="35">
        <v>-22.7</v>
      </c>
      <c r="L702" s="35">
        <v>-17.899999999999999</v>
      </c>
      <c r="M702" s="35">
        <v>-23</v>
      </c>
      <c r="N702" s="35">
        <v>-5</v>
      </c>
      <c r="O702" s="35">
        <v>-5.5</v>
      </c>
      <c r="P702" s="35">
        <v>-5</v>
      </c>
      <c r="Q702" s="35">
        <v>-3.5</v>
      </c>
      <c r="R702" s="35">
        <v>20.3</v>
      </c>
      <c r="S702" s="35">
        <v>-5</v>
      </c>
      <c r="T702" s="35">
        <v>9</v>
      </c>
      <c r="U702" s="35">
        <v>9</v>
      </c>
      <c r="V702" s="35">
        <v>10</v>
      </c>
      <c r="W702" s="35">
        <v>9</v>
      </c>
      <c r="X702" s="35">
        <v>10.8</v>
      </c>
      <c r="Y702" s="35">
        <v>9</v>
      </c>
      <c r="Z702" s="35">
        <v>10.9</v>
      </c>
      <c r="AA702" s="35">
        <v>9</v>
      </c>
      <c r="AB702" s="35">
        <v>21.8</v>
      </c>
      <c r="AC702" s="35">
        <v>20</v>
      </c>
      <c r="AD702" s="35">
        <v>21.7</v>
      </c>
      <c r="AE702" s="35">
        <v>20</v>
      </c>
    </row>
    <row r="703" spans="1:31" x14ac:dyDescent="0.35">
      <c r="A703" s="36">
        <v>46059.950694444444</v>
      </c>
      <c r="B703" s="35">
        <v>-21.4</v>
      </c>
      <c r="C703" s="35">
        <v>-25.5</v>
      </c>
      <c r="D703" s="35">
        <v>-23</v>
      </c>
      <c r="E703" s="35">
        <v>-21.1</v>
      </c>
      <c r="F703" s="35">
        <v>-12.1</v>
      </c>
      <c r="G703" s="35">
        <v>-23</v>
      </c>
      <c r="H703" s="35">
        <v>-22.4</v>
      </c>
      <c r="I703" s="35">
        <v>-22.9</v>
      </c>
      <c r="J703" s="35">
        <v>-23</v>
      </c>
      <c r="K703" s="35">
        <v>-22.7</v>
      </c>
      <c r="L703" s="35">
        <v>-17.899999999999999</v>
      </c>
      <c r="M703" s="35">
        <v>-23</v>
      </c>
      <c r="N703" s="35">
        <v>-4.7</v>
      </c>
      <c r="O703" s="35">
        <v>-5.3</v>
      </c>
      <c r="P703" s="35">
        <v>-5</v>
      </c>
      <c r="Q703" s="35">
        <v>-3.5</v>
      </c>
      <c r="R703" s="35">
        <v>20.8</v>
      </c>
      <c r="S703" s="35">
        <v>-5</v>
      </c>
      <c r="T703" s="35">
        <v>9.1999999999999993</v>
      </c>
      <c r="U703" s="35">
        <v>9</v>
      </c>
      <c r="V703" s="35">
        <v>10</v>
      </c>
      <c r="W703" s="35">
        <v>9</v>
      </c>
      <c r="X703" s="35">
        <v>10.8</v>
      </c>
      <c r="Y703" s="35">
        <v>9</v>
      </c>
      <c r="Z703" s="35">
        <v>11</v>
      </c>
      <c r="AA703" s="35">
        <v>9</v>
      </c>
      <c r="AB703" s="35">
        <v>21.8</v>
      </c>
      <c r="AC703" s="35">
        <v>20</v>
      </c>
      <c r="AD703" s="35">
        <v>21.7</v>
      </c>
      <c r="AE703" s="35">
        <v>20</v>
      </c>
    </row>
    <row r="704" spans="1:31" x14ac:dyDescent="0.35">
      <c r="A704" s="36">
        <v>46059.951388888891</v>
      </c>
      <c r="B704" s="35">
        <v>-21.5</v>
      </c>
      <c r="C704" s="35">
        <v>-24.6</v>
      </c>
      <c r="D704" s="35">
        <v>-23</v>
      </c>
      <c r="E704" s="35">
        <v>-21.3</v>
      </c>
      <c r="F704" s="35">
        <v>-12.7</v>
      </c>
      <c r="G704" s="35">
        <v>-23</v>
      </c>
      <c r="H704" s="35">
        <v>-22.4</v>
      </c>
      <c r="I704" s="35">
        <v>-22.9</v>
      </c>
      <c r="J704" s="35">
        <v>-23</v>
      </c>
      <c r="K704" s="35">
        <v>-22.7</v>
      </c>
      <c r="L704" s="35">
        <v>-17.899999999999999</v>
      </c>
      <c r="M704" s="35">
        <v>-23</v>
      </c>
      <c r="N704" s="35">
        <v>-4.3</v>
      </c>
      <c r="O704" s="35">
        <v>-4.9000000000000004</v>
      </c>
      <c r="P704" s="35">
        <v>-5</v>
      </c>
      <c r="Q704" s="35">
        <v>-3.5</v>
      </c>
      <c r="R704" s="35">
        <v>21.4</v>
      </c>
      <c r="S704" s="35">
        <v>-5</v>
      </c>
      <c r="T704" s="35">
        <v>9.5</v>
      </c>
      <c r="U704" s="35">
        <v>9</v>
      </c>
      <c r="V704" s="35">
        <v>10</v>
      </c>
      <c r="W704" s="35">
        <v>9</v>
      </c>
      <c r="X704" s="35">
        <v>10.8</v>
      </c>
      <c r="Y704" s="35">
        <v>9</v>
      </c>
      <c r="Z704" s="35">
        <v>11</v>
      </c>
      <c r="AA704" s="35">
        <v>9</v>
      </c>
      <c r="AB704" s="35">
        <v>21.8</v>
      </c>
      <c r="AC704" s="35">
        <v>20</v>
      </c>
      <c r="AD704" s="35">
        <v>21.7</v>
      </c>
      <c r="AE704" s="35">
        <v>20</v>
      </c>
    </row>
    <row r="705" spans="1:31" x14ac:dyDescent="0.35">
      <c r="A705" s="36">
        <v>46059.95208333333</v>
      </c>
      <c r="B705" s="35">
        <v>-21.5</v>
      </c>
      <c r="C705" s="35">
        <v>-23.6</v>
      </c>
      <c r="D705" s="35">
        <v>-23</v>
      </c>
      <c r="E705" s="35">
        <v>-21.4</v>
      </c>
      <c r="F705" s="35">
        <v>-13.6</v>
      </c>
      <c r="G705" s="35">
        <v>-23</v>
      </c>
      <c r="H705" s="35">
        <v>-22.4</v>
      </c>
      <c r="I705" s="35">
        <v>-22.9</v>
      </c>
      <c r="J705" s="35">
        <v>-23</v>
      </c>
      <c r="K705" s="35">
        <v>-22.7</v>
      </c>
      <c r="L705" s="35">
        <v>-17.899999999999999</v>
      </c>
      <c r="M705" s="35">
        <v>-23</v>
      </c>
      <c r="N705" s="35">
        <v>-3.9</v>
      </c>
      <c r="O705" s="35">
        <v>-4.5</v>
      </c>
      <c r="P705" s="35">
        <v>-5</v>
      </c>
      <c r="Q705" s="35">
        <v>-3.5</v>
      </c>
      <c r="R705" s="35">
        <v>22</v>
      </c>
      <c r="S705" s="35">
        <v>-5</v>
      </c>
      <c r="T705" s="35">
        <v>9.6999999999999993</v>
      </c>
      <c r="U705" s="35">
        <v>9</v>
      </c>
      <c r="V705" s="35">
        <v>10</v>
      </c>
      <c r="W705" s="35">
        <v>9</v>
      </c>
      <c r="X705" s="35">
        <v>10.8</v>
      </c>
      <c r="Y705" s="35">
        <v>9</v>
      </c>
      <c r="Z705" s="35">
        <v>11</v>
      </c>
      <c r="AA705" s="35">
        <v>9</v>
      </c>
      <c r="AB705" s="35">
        <v>21.8</v>
      </c>
      <c r="AC705" s="35">
        <v>20</v>
      </c>
      <c r="AD705" s="35">
        <v>21.7</v>
      </c>
      <c r="AE705" s="35">
        <v>20</v>
      </c>
    </row>
    <row r="706" spans="1:31" x14ac:dyDescent="0.35">
      <c r="A706" s="36">
        <v>46059.952777777777</v>
      </c>
      <c r="B706" s="35">
        <v>-21.6</v>
      </c>
      <c r="C706" s="35">
        <v>-23.1</v>
      </c>
      <c r="D706" s="35">
        <v>-23</v>
      </c>
      <c r="E706" s="35">
        <v>-21.5</v>
      </c>
      <c r="F706" s="35">
        <v>-14.4</v>
      </c>
      <c r="G706" s="35">
        <v>-23</v>
      </c>
      <c r="H706" s="35">
        <v>-22.4</v>
      </c>
      <c r="I706" s="35">
        <v>-23</v>
      </c>
      <c r="J706" s="35">
        <v>-23</v>
      </c>
      <c r="K706" s="35">
        <v>-22.8</v>
      </c>
      <c r="L706" s="35">
        <v>-18</v>
      </c>
      <c r="M706" s="35">
        <v>-23</v>
      </c>
      <c r="N706" s="35">
        <v>-3.6</v>
      </c>
      <c r="O706" s="35">
        <v>-4.0999999999999996</v>
      </c>
      <c r="P706" s="35">
        <v>-5</v>
      </c>
      <c r="Q706" s="35">
        <v>-3.5</v>
      </c>
      <c r="R706" s="35">
        <v>22.4</v>
      </c>
      <c r="S706" s="35">
        <v>-5</v>
      </c>
      <c r="T706" s="35">
        <v>9.9</v>
      </c>
      <c r="U706" s="35">
        <v>9</v>
      </c>
      <c r="V706" s="35">
        <v>10</v>
      </c>
      <c r="W706" s="35">
        <v>9</v>
      </c>
      <c r="X706" s="35">
        <v>10.8</v>
      </c>
      <c r="Y706" s="35">
        <v>9</v>
      </c>
      <c r="Z706" s="35">
        <v>11</v>
      </c>
      <c r="AA706" s="35">
        <v>9</v>
      </c>
      <c r="AB706" s="35">
        <v>21.8</v>
      </c>
      <c r="AC706" s="35">
        <v>20</v>
      </c>
      <c r="AD706" s="35">
        <v>21.7</v>
      </c>
      <c r="AE706" s="35">
        <v>20</v>
      </c>
    </row>
    <row r="707" spans="1:31" x14ac:dyDescent="0.35">
      <c r="A707" s="36">
        <v>46059.953472222223</v>
      </c>
      <c r="B707" s="35">
        <v>-21.6</v>
      </c>
      <c r="C707" s="35">
        <v>-22.9</v>
      </c>
      <c r="D707" s="35">
        <v>-23</v>
      </c>
      <c r="E707" s="35">
        <v>-21.7</v>
      </c>
      <c r="F707" s="35">
        <v>-15.3</v>
      </c>
      <c r="G707" s="35">
        <v>-23</v>
      </c>
      <c r="H707" s="35">
        <v>-22.5</v>
      </c>
      <c r="I707" s="35">
        <v>-23.1</v>
      </c>
      <c r="J707" s="35">
        <v>-23</v>
      </c>
      <c r="K707" s="35">
        <v>-22.8</v>
      </c>
      <c r="L707" s="35">
        <v>-18.100000000000001</v>
      </c>
      <c r="M707" s="35">
        <v>-23</v>
      </c>
      <c r="N707" s="35">
        <v>-3.3</v>
      </c>
      <c r="O707" s="35">
        <v>-3.8</v>
      </c>
      <c r="P707" s="35">
        <v>-5</v>
      </c>
      <c r="Q707" s="35">
        <v>-3.5</v>
      </c>
      <c r="R707" s="35">
        <v>22</v>
      </c>
      <c r="S707" s="35">
        <v>-5</v>
      </c>
      <c r="T707" s="35">
        <v>10</v>
      </c>
      <c r="U707" s="35">
        <v>9</v>
      </c>
      <c r="V707" s="35">
        <v>10</v>
      </c>
      <c r="W707" s="35">
        <v>9</v>
      </c>
      <c r="X707" s="35">
        <v>10.8</v>
      </c>
      <c r="Y707" s="35">
        <v>9</v>
      </c>
      <c r="Z707" s="35">
        <v>11</v>
      </c>
      <c r="AA707" s="35">
        <v>9</v>
      </c>
      <c r="AB707" s="35">
        <v>21.8</v>
      </c>
      <c r="AC707" s="35">
        <v>20</v>
      </c>
      <c r="AD707" s="35">
        <v>21.7</v>
      </c>
      <c r="AE707" s="35">
        <v>20</v>
      </c>
    </row>
    <row r="708" spans="1:31" x14ac:dyDescent="0.35">
      <c r="A708" s="36">
        <v>46059.95416666667</v>
      </c>
      <c r="B708" s="35">
        <v>-21.7</v>
      </c>
      <c r="C708" s="35">
        <v>-23.4</v>
      </c>
      <c r="D708" s="35">
        <v>-23</v>
      </c>
      <c r="E708" s="35">
        <v>-21.9</v>
      </c>
      <c r="F708" s="35">
        <v>-15.6</v>
      </c>
      <c r="G708" s="35">
        <v>-23</v>
      </c>
      <c r="H708" s="35">
        <v>-22.5</v>
      </c>
      <c r="I708" s="35">
        <v>-23.1</v>
      </c>
      <c r="J708" s="35">
        <v>-23</v>
      </c>
      <c r="K708" s="35">
        <v>-22.9</v>
      </c>
      <c r="L708" s="35">
        <v>-18.2</v>
      </c>
      <c r="M708" s="35">
        <v>-23</v>
      </c>
      <c r="N708" s="35">
        <v>-3.1</v>
      </c>
      <c r="O708" s="35">
        <v>-3.6</v>
      </c>
      <c r="P708" s="35">
        <v>-5</v>
      </c>
      <c r="Q708" s="35">
        <v>-3.5</v>
      </c>
      <c r="R708" s="35">
        <v>21</v>
      </c>
      <c r="S708" s="35">
        <v>-5</v>
      </c>
      <c r="T708" s="35">
        <v>10.199999999999999</v>
      </c>
      <c r="U708" s="35">
        <v>9</v>
      </c>
      <c r="V708" s="35">
        <v>10</v>
      </c>
      <c r="W708" s="35">
        <v>9</v>
      </c>
      <c r="X708" s="35">
        <v>10.8</v>
      </c>
      <c r="Y708" s="35">
        <v>9</v>
      </c>
      <c r="Z708" s="35">
        <v>11</v>
      </c>
      <c r="AA708" s="35">
        <v>9</v>
      </c>
      <c r="AB708" s="35">
        <v>21.8</v>
      </c>
      <c r="AC708" s="35">
        <v>20</v>
      </c>
      <c r="AD708" s="35">
        <v>21.7</v>
      </c>
      <c r="AE708" s="35">
        <v>20</v>
      </c>
    </row>
    <row r="709" spans="1:31" x14ac:dyDescent="0.35">
      <c r="A709" s="36">
        <v>46059.954861111109</v>
      </c>
      <c r="B709" s="35">
        <v>-21.8</v>
      </c>
      <c r="C709" s="35">
        <v>-25.7</v>
      </c>
      <c r="D709" s="35">
        <v>-23</v>
      </c>
      <c r="E709" s="35">
        <v>-22.2</v>
      </c>
      <c r="F709" s="35">
        <v>-16</v>
      </c>
      <c r="G709" s="35">
        <v>-23</v>
      </c>
      <c r="H709" s="35">
        <v>-22.5</v>
      </c>
      <c r="I709" s="35">
        <v>-23.1</v>
      </c>
      <c r="J709" s="35">
        <v>-23</v>
      </c>
      <c r="K709" s="35">
        <v>-22.9</v>
      </c>
      <c r="L709" s="35">
        <v>-18.2</v>
      </c>
      <c r="M709" s="35">
        <v>-23</v>
      </c>
      <c r="N709" s="35">
        <v>-2.9</v>
      </c>
      <c r="O709" s="35">
        <v>-3.3</v>
      </c>
      <c r="P709" s="35">
        <v>-5</v>
      </c>
      <c r="Q709" s="35">
        <v>33</v>
      </c>
      <c r="R709" s="35">
        <v>19.5</v>
      </c>
      <c r="S709" s="35">
        <v>-5</v>
      </c>
      <c r="T709" s="35">
        <v>10.3</v>
      </c>
      <c r="U709" s="35">
        <v>9</v>
      </c>
      <c r="V709" s="35">
        <v>10</v>
      </c>
      <c r="W709" s="35">
        <v>9</v>
      </c>
      <c r="X709" s="35">
        <v>10.8</v>
      </c>
      <c r="Y709" s="35">
        <v>9</v>
      </c>
      <c r="Z709" s="35">
        <v>11</v>
      </c>
      <c r="AA709" s="35">
        <v>9</v>
      </c>
      <c r="AB709" s="35">
        <v>21.8</v>
      </c>
      <c r="AC709" s="35">
        <v>20</v>
      </c>
      <c r="AD709" s="35">
        <v>21.7</v>
      </c>
      <c r="AE709" s="35">
        <v>20</v>
      </c>
    </row>
    <row r="710" spans="1:31" x14ac:dyDescent="0.35">
      <c r="A710" s="36">
        <v>46059.955555555556</v>
      </c>
      <c r="B710" s="35">
        <v>-22</v>
      </c>
      <c r="C710" s="35">
        <v>-26.2</v>
      </c>
      <c r="D710" s="35">
        <v>-23</v>
      </c>
      <c r="E710" s="35">
        <v>-22.4</v>
      </c>
      <c r="F710" s="35">
        <v>-16.600000000000001</v>
      </c>
      <c r="G710" s="35">
        <v>-23</v>
      </c>
      <c r="H710" s="35">
        <v>-22.5</v>
      </c>
      <c r="I710" s="35">
        <v>-23.1</v>
      </c>
      <c r="J710" s="35">
        <v>-23</v>
      </c>
      <c r="K710" s="35">
        <v>-22.8</v>
      </c>
      <c r="L710" s="35">
        <v>-18.2</v>
      </c>
      <c r="M710" s="35">
        <v>-23</v>
      </c>
      <c r="N710" s="35">
        <v>-2.8</v>
      </c>
      <c r="O710" s="35">
        <v>-3.2</v>
      </c>
      <c r="P710" s="35">
        <v>-5</v>
      </c>
      <c r="Q710" s="35">
        <v>27</v>
      </c>
      <c r="R710" s="35">
        <v>15.9</v>
      </c>
      <c r="S710" s="35">
        <v>-5</v>
      </c>
      <c r="T710" s="35">
        <v>10.4</v>
      </c>
      <c r="U710" s="35">
        <v>9</v>
      </c>
      <c r="V710" s="35">
        <v>10.1</v>
      </c>
      <c r="W710" s="35">
        <v>9</v>
      </c>
      <c r="X710" s="35">
        <v>10.8</v>
      </c>
      <c r="Y710" s="35">
        <v>9</v>
      </c>
      <c r="Z710" s="35">
        <v>11</v>
      </c>
      <c r="AA710" s="35">
        <v>9</v>
      </c>
      <c r="AB710" s="35">
        <v>21.8</v>
      </c>
      <c r="AC710" s="35">
        <v>20</v>
      </c>
      <c r="AD710" s="35">
        <v>21.7</v>
      </c>
      <c r="AE710" s="35">
        <v>20</v>
      </c>
    </row>
    <row r="711" spans="1:31" x14ac:dyDescent="0.35">
      <c r="A711" s="36">
        <v>46059.956250000003</v>
      </c>
      <c r="B711" s="35">
        <v>-22</v>
      </c>
      <c r="C711" s="35">
        <v>-24.8</v>
      </c>
      <c r="D711" s="35">
        <v>-23</v>
      </c>
      <c r="E711" s="35">
        <v>-22.4</v>
      </c>
      <c r="F711" s="35">
        <v>-16.899999999999999</v>
      </c>
      <c r="G711" s="35">
        <v>-23</v>
      </c>
      <c r="H711" s="35">
        <v>-22.5</v>
      </c>
      <c r="I711" s="35">
        <v>-23.1</v>
      </c>
      <c r="J711" s="35">
        <v>-23</v>
      </c>
      <c r="K711" s="35">
        <v>-22.8</v>
      </c>
      <c r="L711" s="35">
        <v>-18.2</v>
      </c>
      <c r="M711" s="35">
        <v>-23</v>
      </c>
      <c r="N711" s="35">
        <v>-2.8</v>
      </c>
      <c r="O711" s="35">
        <v>-3.2</v>
      </c>
      <c r="P711" s="35">
        <v>-5</v>
      </c>
      <c r="Q711" s="35">
        <v>17.899999999999999</v>
      </c>
      <c r="R711" s="35">
        <v>5.9</v>
      </c>
      <c r="S711" s="35">
        <v>-5</v>
      </c>
      <c r="T711" s="35">
        <v>10.4</v>
      </c>
      <c r="U711" s="35">
        <v>9</v>
      </c>
      <c r="V711" s="35">
        <v>10.1</v>
      </c>
      <c r="W711" s="35">
        <v>9</v>
      </c>
      <c r="X711" s="35">
        <v>10.7</v>
      </c>
      <c r="Y711" s="35">
        <v>9</v>
      </c>
      <c r="Z711" s="35">
        <v>11</v>
      </c>
      <c r="AA711" s="35">
        <v>9</v>
      </c>
      <c r="AB711" s="35">
        <v>21.8</v>
      </c>
      <c r="AC711" s="35">
        <v>20</v>
      </c>
      <c r="AD711" s="35">
        <v>21.7</v>
      </c>
      <c r="AE711" s="35">
        <v>20</v>
      </c>
    </row>
    <row r="712" spans="1:31" x14ac:dyDescent="0.35">
      <c r="A712" s="36">
        <v>46059.956944444442</v>
      </c>
      <c r="B712" s="35">
        <v>-22</v>
      </c>
      <c r="C712" s="35">
        <v>-23.9</v>
      </c>
      <c r="D712" s="35">
        <v>-23</v>
      </c>
      <c r="E712" s="35">
        <v>-22.4</v>
      </c>
      <c r="F712" s="35">
        <v>-17.399999999999999</v>
      </c>
      <c r="G712" s="35">
        <v>-23</v>
      </c>
      <c r="H712" s="35">
        <v>-22.5</v>
      </c>
      <c r="I712" s="35">
        <v>-23.1</v>
      </c>
      <c r="J712" s="35">
        <v>-23</v>
      </c>
      <c r="K712" s="35">
        <v>-22.9</v>
      </c>
      <c r="L712" s="35">
        <v>-18.2</v>
      </c>
      <c r="M712" s="35">
        <v>-23</v>
      </c>
      <c r="N712" s="35">
        <v>-3</v>
      </c>
      <c r="O712" s="35">
        <v>-3.4</v>
      </c>
      <c r="P712" s="35">
        <v>-5</v>
      </c>
      <c r="Q712" s="35">
        <v>7.5</v>
      </c>
      <c r="R712" s="35">
        <v>1.8</v>
      </c>
      <c r="S712" s="35">
        <v>-5</v>
      </c>
      <c r="T712" s="35">
        <v>10.5</v>
      </c>
      <c r="U712" s="35">
        <v>9</v>
      </c>
      <c r="V712" s="35">
        <v>10.199999999999999</v>
      </c>
      <c r="W712" s="35">
        <v>9</v>
      </c>
      <c r="X712" s="35">
        <v>10.4</v>
      </c>
      <c r="Y712" s="35">
        <v>9</v>
      </c>
      <c r="Z712" s="35">
        <v>11</v>
      </c>
      <c r="AA712" s="35">
        <v>9</v>
      </c>
      <c r="AB712" s="35">
        <v>21.8</v>
      </c>
      <c r="AC712" s="35">
        <v>20</v>
      </c>
      <c r="AD712" s="35">
        <v>21.7</v>
      </c>
      <c r="AE712" s="35">
        <v>20</v>
      </c>
    </row>
    <row r="713" spans="1:31" x14ac:dyDescent="0.35">
      <c r="A713" s="36">
        <v>46059.957638888889</v>
      </c>
      <c r="B713" s="35">
        <v>-22</v>
      </c>
      <c r="C713" s="35">
        <v>-23.5</v>
      </c>
      <c r="D713" s="35">
        <v>-23</v>
      </c>
      <c r="E713" s="35">
        <v>-22.4</v>
      </c>
      <c r="F713" s="35">
        <v>-17.899999999999999</v>
      </c>
      <c r="G713" s="35">
        <v>-23</v>
      </c>
      <c r="H713" s="35">
        <v>-22.6</v>
      </c>
      <c r="I713" s="35">
        <v>-23.3</v>
      </c>
      <c r="J713" s="35">
        <v>-23</v>
      </c>
      <c r="K713" s="35">
        <v>-23</v>
      </c>
      <c r="L713" s="35">
        <v>-18.2</v>
      </c>
      <c r="M713" s="35">
        <v>-23</v>
      </c>
      <c r="N713" s="35">
        <v>-3.2</v>
      </c>
      <c r="O713" s="35">
        <v>-3.5</v>
      </c>
      <c r="P713" s="35">
        <v>-5</v>
      </c>
      <c r="Q713" s="35">
        <v>4.2</v>
      </c>
      <c r="R713" s="35">
        <v>1.2</v>
      </c>
      <c r="S713" s="35">
        <v>-5</v>
      </c>
      <c r="T713" s="35">
        <v>10.6</v>
      </c>
      <c r="U713" s="35">
        <v>9</v>
      </c>
      <c r="V713" s="35">
        <v>10.3</v>
      </c>
      <c r="W713" s="35">
        <v>9</v>
      </c>
      <c r="X713" s="35">
        <v>10.199999999999999</v>
      </c>
      <c r="Y713" s="35">
        <v>9</v>
      </c>
      <c r="Z713" s="35">
        <v>11</v>
      </c>
      <c r="AA713" s="35">
        <v>9</v>
      </c>
      <c r="AB713" s="35">
        <v>21.8</v>
      </c>
      <c r="AC713" s="35">
        <v>20</v>
      </c>
      <c r="AD713" s="35">
        <v>21.7</v>
      </c>
      <c r="AE713" s="35">
        <v>20</v>
      </c>
    </row>
    <row r="714" spans="1:31" x14ac:dyDescent="0.35">
      <c r="A714" s="36">
        <v>46059.958333333336</v>
      </c>
      <c r="B714" s="35">
        <v>-22.1</v>
      </c>
      <c r="C714" s="35">
        <v>-23.7</v>
      </c>
      <c r="D714" s="35">
        <v>-23</v>
      </c>
      <c r="E714" s="35">
        <v>-22.6</v>
      </c>
      <c r="F714" s="35">
        <v>-18.2</v>
      </c>
      <c r="G714" s="35">
        <v>-23</v>
      </c>
      <c r="H714" s="35">
        <v>-22.6</v>
      </c>
      <c r="I714" s="35">
        <v>-23.3</v>
      </c>
      <c r="J714" s="35">
        <v>-23</v>
      </c>
      <c r="K714" s="35">
        <v>-23</v>
      </c>
      <c r="L714" s="35">
        <v>-18.2</v>
      </c>
      <c r="M714" s="35">
        <v>-23</v>
      </c>
      <c r="N714" s="35">
        <v>-3.4</v>
      </c>
      <c r="O714" s="35">
        <v>-3.7</v>
      </c>
      <c r="P714" s="35">
        <v>-5</v>
      </c>
      <c r="Q714" s="35">
        <v>3</v>
      </c>
      <c r="R714" s="35">
        <v>0.7</v>
      </c>
      <c r="S714" s="35">
        <v>-5</v>
      </c>
      <c r="T714" s="35">
        <v>10.7</v>
      </c>
      <c r="U714" s="35">
        <v>9</v>
      </c>
      <c r="V714" s="35">
        <v>10.3</v>
      </c>
      <c r="W714" s="35">
        <v>9</v>
      </c>
      <c r="X714" s="35">
        <v>10</v>
      </c>
      <c r="Y714" s="35">
        <v>9</v>
      </c>
      <c r="Z714" s="35">
        <v>11</v>
      </c>
      <c r="AA714" s="35">
        <v>9</v>
      </c>
      <c r="AB714" s="35">
        <v>21.8</v>
      </c>
      <c r="AC714" s="35">
        <v>20</v>
      </c>
      <c r="AD714" s="35">
        <v>21.7</v>
      </c>
      <c r="AE714" s="35">
        <v>20</v>
      </c>
    </row>
    <row r="715" spans="1:31" x14ac:dyDescent="0.35">
      <c r="A715" s="36">
        <v>46059.959027777775</v>
      </c>
      <c r="B715" s="35">
        <v>-22.2</v>
      </c>
      <c r="C715" s="35">
        <v>-26.4</v>
      </c>
      <c r="D715" s="35">
        <v>-23</v>
      </c>
      <c r="E715" s="35">
        <v>-23</v>
      </c>
      <c r="F715" s="35">
        <v>-18.600000000000001</v>
      </c>
      <c r="G715" s="35">
        <v>-23</v>
      </c>
      <c r="H715" s="35">
        <v>-22.6</v>
      </c>
      <c r="I715" s="35">
        <v>-23.1</v>
      </c>
      <c r="J715" s="35">
        <v>-23</v>
      </c>
      <c r="K715" s="35">
        <v>-22.9</v>
      </c>
      <c r="L715" s="35">
        <v>-18.3</v>
      </c>
      <c r="M715" s="35">
        <v>-23</v>
      </c>
      <c r="N715" s="35">
        <v>-3.5</v>
      </c>
      <c r="O715" s="35">
        <v>-3.8</v>
      </c>
      <c r="P715" s="35">
        <v>-5</v>
      </c>
      <c r="Q715" s="35">
        <v>2.1</v>
      </c>
      <c r="R715" s="35">
        <v>0.3</v>
      </c>
      <c r="S715" s="35">
        <v>-5</v>
      </c>
      <c r="T715" s="35">
        <v>10.8</v>
      </c>
      <c r="U715" s="35">
        <v>9</v>
      </c>
      <c r="V715" s="35">
        <v>10.4</v>
      </c>
      <c r="W715" s="35">
        <v>9</v>
      </c>
      <c r="X715" s="35">
        <v>10</v>
      </c>
      <c r="Y715" s="35">
        <v>9</v>
      </c>
      <c r="Z715" s="35">
        <v>11</v>
      </c>
      <c r="AA715" s="35">
        <v>9</v>
      </c>
      <c r="AB715" s="35">
        <v>21.8</v>
      </c>
      <c r="AC715" s="35">
        <v>20</v>
      </c>
      <c r="AD715" s="35">
        <v>21.7</v>
      </c>
      <c r="AE715" s="35">
        <v>20</v>
      </c>
    </row>
    <row r="716" spans="1:31" x14ac:dyDescent="0.35">
      <c r="A716" s="36">
        <v>46059.959722222222</v>
      </c>
      <c r="B716" s="35">
        <v>-22.4</v>
      </c>
      <c r="C716" s="35">
        <v>-27.5</v>
      </c>
      <c r="D716" s="35">
        <v>-23</v>
      </c>
      <c r="E716" s="35">
        <v>-23.3</v>
      </c>
      <c r="F716" s="35">
        <v>-19</v>
      </c>
      <c r="G716" s="35">
        <v>-23</v>
      </c>
      <c r="H716" s="35">
        <v>-22.6</v>
      </c>
      <c r="I716" s="35">
        <v>-22.7</v>
      </c>
      <c r="J716" s="35">
        <v>-23</v>
      </c>
      <c r="K716" s="35">
        <v>-22.7</v>
      </c>
      <c r="L716" s="35">
        <v>-19.600000000000001</v>
      </c>
      <c r="M716" s="35">
        <v>-23</v>
      </c>
      <c r="N716" s="35">
        <v>-3.6</v>
      </c>
      <c r="O716" s="35">
        <v>-3.9</v>
      </c>
      <c r="P716" s="35">
        <v>-5</v>
      </c>
      <c r="Q716" s="35">
        <v>1.5</v>
      </c>
      <c r="R716" s="35">
        <v>-0.1</v>
      </c>
      <c r="S716" s="35">
        <v>-5</v>
      </c>
      <c r="T716" s="35">
        <v>10.9</v>
      </c>
      <c r="U716" s="35">
        <v>9</v>
      </c>
      <c r="V716" s="35">
        <v>10.5</v>
      </c>
      <c r="W716" s="35">
        <v>9</v>
      </c>
      <c r="X716" s="35">
        <v>10</v>
      </c>
      <c r="Y716" s="35">
        <v>9</v>
      </c>
      <c r="Z716" s="35">
        <v>10.9</v>
      </c>
      <c r="AA716" s="35">
        <v>9</v>
      </c>
      <c r="AB716" s="35">
        <v>21.8</v>
      </c>
      <c r="AC716" s="35">
        <v>20</v>
      </c>
      <c r="AD716" s="35">
        <v>21.7</v>
      </c>
      <c r="AE716" s="35">
        <v>20</v>
      </c>
    </row>
    <row r="717" spans="1:31" x14ac:dyDescent="0.35">
      <c r="A717" s="36">
        <v>46059.960416666669</v>
      </c>
      <c r="B717" s="35">
        <v>-22.6</v>
      </c>
      <c r="C717" s="35">
        <v>-26.4</v>
      </c>
      <c r="D717" s="35">
        <v>-23</v>
      </c>
      <c r="E717" s="35">
        <v>-23.5</v>
      </c>
      <c r="F717" s="35">
        <v>-19.3</v>
      </c>
      <c r="G717" s="35">
        <v>-23</v>
      </c>
      <c r="H717" s="35">
        <v>-22.6</v>
      </c>
      <c r="I717" s="35">
        <v>-19.5</v>
      </c>
      <c r="J717" s="35">
        <v>-23</v>
      </c>
      <c r="K717" s="35">
        <v>-22.4</v>
      </c>
      <c r="L717" s="35">
        <v>-21.4</v>
      </c>
      <c r="M717" s="35">
        <v>-23</v>
      </c>
      <c r="N717" s="35">
        <v>-3.6</v>
      </c>
      <c r="O717" s="35">
        <v>-4</v>
      </c>
      <c r="P717" s="35">
        <v>-5</v>
      </c>
      <c r="Q717" s="35">
        <v>1</v>
      </c>
      <c r="R717" s="35">
        <v>-0.4</v>
      </c>
      <c r="S717" s="35">
        <v>-5</v>
      </c>
      <c r="T717" s="35">
        <v>10.9</v>
      </c>
      <c r="U717" s="35">
        <v>9</v>
      </c>
      <c r="V717" s="35">
        <v>10.5</v>
      </c>
      <c r="W717" s="35">
        <v>9</v>
      </c>
      <c r="X717" s="35">
        <v>10</v>
      </c>
      <c r="Y717" s="35">
        <v>9</v>
      </c>
      <c r="Z717" s="35">
        <v>10.9</v>
      </c>
      <c r="AA717" s="35">
        <v>9</v>
      </c>
      <c r="AB717" s="35">
        <v>21.8</v>
      </c>
      <c r="AC717" s="35">
        <v>20</v>
      </c>
      <c r="AD717" s="35">
        <v>21.7</v>
      </c>
      <c r="AE717" s="35">
        <v>20</v>
      </c>
    </row>
    <row r="718" spans="1:31" x14ac:dyDescent="0.35">
      <c r="A718" s="36">
        <v>46059.961111111108</v>
      </c>
      <c r="B718" s="35">
        <v>-22.7</v>
      </c>
      <c r="C718" s="35">
        <v>-25.7</v>
      </c>
      <c r="D718" s="35">
        <v>-23</v>
      </c>
      <c r="E718" s="35">
        <v>-23.6</v>
      </c>
      <c r="F718" s="35">
        <v>-19.7</v>
      </c>
      <c r="G718" s="35">
        <v>-23</v>
      </c>
      <c r="H718" s="35">
        <v>-22.6</v>
      </c>
      <c r="I718" s="35">
        <v>-15</v>
      </c>
      <c r="J718" s="35">
        <v>-23</v>
      </c>
      <c r="K718" s="35">
        <v>-22.2</v>
      </c>
      <c r="L718" s="35">
        <v>-21.5</v>
      </c>
      <c r="M718" s="35">
        <v>-23</v>
      </c>
      <c r="N718" s="35">
        <v>-3.7</v>
      </c>
      <c r="O718" s="35">
        <v>-4.0999999999999996</v>
      </c>
      <c r="P718" s="35">
        <v>-5</v>
      </c>
      <c r="Q718" s="35">
        <v>0.6</v>
      </c>
      <c r="R718" s="35">
        <v>-0.7</v>
      </c>
      <c r="S718" s="35">
        <v>-5</v>
      </c>
      <c r="T718" s="35">
        <v>11</v>
      </c>
      <c r="U718" s="35">
        <v>9</v>
      </c>
      <c r="V718" s="35">
        <v>10.5</v>
      </c>
      <c r="W718" s="35">
        <v>9</v>
      </c>
      <c r="X718" s="35">
        <v>10</v>
      </c>
      <c r="Y718" s="35">
        <v>9</v>
      </c>
      <c r="Z718" s="35">
        <v>10.9</v>
      </c>
      <c r="AA718" s="35">
        <v>9</v>
      </c>
      <c r="AB718" s="35">
        <v>21.8</v>
      </c>
      <c r="AC718" s="35">
        <v>20</v>
      </c>
      <c r="AD718" s="35">
        <v>21.7</v>
      </c>
      <c r="AE718" s="35">
        <v>20</v>
      </c>
    </row>
    <row r="719" spans="1:31" x14ac:dyDescent="0.35">
      <c r="A719" s="36">
        <v>46059.961805555555</v>
      </c>
      <c r="B719" s="35">
        <v>-22.9</v>
      </c>
      <c r="C719" s="35">
        <v>-26</v>
      </c>
      <c r="D719" s="35">
        <v>-23</v>
      </c>
      <c r="E719" s="35">
        <v>-23.9</v>
      </c>
      <c r="F719" s="35">
        <v>-19.899999999999999</v>
      </c>
      <c r="G719" s="35">
        <v>-23</v>
      </c>
      <c r="H719" s="35">
        <v>-22.6</v>
      </c>
      <c r="I719" s="35">
        <v>-9.8000000000000007</v>
      </c>
      <c r="J719" s="35">
        <v>-23</v>
      </c>
      <c r="K719" s="35">
        <v>-22</v>
      </c>
      <c r="L719" s="35">
        <v>-21.5</v>
      </c>
      <c r="M719" s="35">
        <v>-23</v>
      </c>
      <c r="N719" s="35">
        <v>-3.8</v>
      </c>
      <c r="O719" s="35">
        <v>-4.3</v>
      </c>
      <c r="P719" s="35">
        <v>-5</v>
      </c>
      <c r="Q719" s="35">
        <v>0.4</v>
      </c>
      <c r="R719" s="35">
        <v>-1</v>
      </c>
      <c r="S719" s="35">
        <v>-5</v>
      </c>
      <c r="T719" s="35">
        <v>10.9</v>
      </c>
      <c r="U719" s="35">
        <v>9</v>
      </c>
      <c r="V719" s="35">
        <v>10.5</v>
      </c>
      <c r="W719" s="35">
        <v>9</v>
      </c>
      <c r="X719" s="35">
        <v>10.199999999999999</v>
      </c>
      <c r="Y719" s="35">
        <v>9</v>
      </c>
      <c r="Z719" s="35">
        <v>10.9</v>
      </c>
      <c r="AA719" s="35">
        <v>9</v>
      </c>
      <c r="AB719" s="35">
        <v>21.8</v>
      </c>
      <c r="AC719" s="35">
        <v>20</v>
      </c>
      <c r="AD719" s="35">
        <v>21.7</v>
      </c>
      <c r="AE719" s="35">
        <v>20</v>
      </c>
    </row>
    <row r="720" spans="1:31" x14ac:dyDescent="0.35">
      <c r="A720" s="36">
        <v>46059.962500000001</v>
      </c>
      <c r="B720" s="35">
        <v>-23</v>
      </c>
      <c r="C720" s="35">
        <v>-28.2</v>
      </c>
      <c r="D720" s="35">
        <v>-23</v>
      </c>
      <c r="E720" s="35">
        <v>-24.1</v>
      </c>
      <c r="F720" s="35">
        <v>-20.3</v>
      </c>
      <c r="G720" s="35">
        <v>-23</v>
      </c>
      <c r="H720" s="35">
        <v>-22.6</v>
      </c>
      <c r="I720" s="35">
        <v>-4.5999999999999996</v>
      </c>
      <c r="J720" s="35">
        <v>-23</v>
      </c>
      <c r="K720" s="35">
        <v>-21.8</v>
      </c>
      <c r="L720" s="35">
        <v>-21.4</v>
      </c>
      <c r="M720" s="35">
        <v>-23</v>
      </c>
      <c r="N720" s="35">
        <v>-3.9</v>
      </c>
      <c r="O720" s="35">
        <v>-4.3</v>
      </c>
      <c r="P720" s="35">
        <v>-5</v>
      </c>
      <c r="Q720" s="35">
        <v>0.1</v>
      </c>
      <c r="R720" s="35">
        <v>-1.2</v>
      </c>
      <c r="S720" s="35">
        <v>-5</v>
      </c>
      <c r="T720" s="35">
        <v>10.3</v>
      </c>
      <c r="U720" s="35">
        <v>9</v>
      </c>
      <c r="V720" s="35">
        <v>10.5</v>
      </c>
      <c r="W720" s="35">
        <v>9</v>
      </c>
      <c r="X720" s="35">
        <v>10.5</v>
      </c>
      <c r="Y720" s="35">
        <v>9</v>
      </c>
      <c r="Z720" s="35">
        <v>10.9</v>
      </c>
      <c r="AA720" s="35">
        <v>9</v>
      </c>
      <c r="AB720" s="35">
        <v>21.8</v>
      </c>
      <c r="AC720" s="35">
        <v>20</v>
      </c>
      <c r="AD720" s="35">
        <v>21.7</v>
      </c>
      <c r="AE720" s="35">
        <v>20</v>
      </c>
    </row>
    <row r="721" spans="1:31" x14ac:dyDescent="0.35">
      <c r="A721" s="36">
        <v>46059.963194444441</v>
      </c>
      <c r="B721" s="35">
        <v>-23.2</v>
      </c>
      <c r="C721" s="35">
        <v>-27.5</v>
      </c>
      <c r="D721" s="35">
        <v>-23</v>
      </c>
      <c r="E721" s="35">
        <v>-24</v>
      </c>
      <c r="F721" s="35">
        <v>-20.6</v>
      </c>
      <c r="G721" s="35">
        <v>-23</v>
      </c>
      <c r="H721" s="35">
        <v>-22.6</v>
      </c>
      <c r="I721" s="35">
        <v>-1.8</v>
      </c>
      <c r="J721" s="35">
        <v>-23</v>
      </c>
      <c r="K721" s="35">
        <v>-21.6</v>
      </c>
      <c r="L721" s="35">
        <v>-21.3</v>
      </c>
      <c r="M721" s="35">
        <v>-23</v>
      </c>
      <c r="N721" s="35">
        <v>-3.9</v>
      </c>
      <c r="O721" s="35">
        <v>-4.4000000000000004</v>
      </c>
      <c r="P721" s="35">
        <v>-5</v>
      </c>
      <c r="Q721" s="35">
        <v>-0.2</v>
      </c>
      <c r="R721" s="35">
        <v>-1.4</v>
      </c>
      <c r="S721" s="35">
        <v>-5</v>
      </c>
      <c r="T721" s="35">
        <v>9.6999999999999993</v>
      </c>
      <c r="U721" s="35">
        <v>9</v>
      </c>
      <c r="V721" s="35">
        <v>10.4</v>
      </c>
      <c r="W721" s="35">
        <v>9</v>
      </c>
      <c r="X721" s="35">
        <v>10.5</v>
      </c>
      <c r="Y721" s="35">
        <v>9</v>
      </c>
      <c r="Z721" s="35">
        <v>10.9</v>
      </c>
      <c r="AA721" s="35">
        <v>9</v>
      </c>
      <c r="AB721" s="35">
        <v>21.8</v>
      </c>
      <c r="AC721" s="35">
        <v>20</v>
      </c>
      <c r="AD721" s="35">
        <v>21.7</v>
      </c>
      <c r="AE721" s="35">
        <v>20</v>
      </c>
    </row>
    <row r="722" spans="1:31" x14ac:dyDescent="0.35">
      <c r="A722" s="36">
        <v>46059.963888888888</v>
      </c>
      <c r="B722" s="35">
        <v>-23.2</v>
      </c>
      <c r="C722" s="35">
        <v>-25.9</v>
      </c>
      <c r="D722" s="35">
        <v>-23</v>
      </c>
      <c r="E722" s="35">
        <v>-23.6</v>
      </c>
      <c r="F722" s="35">
        <v>-20.7</v>
      </c>
      <c r="G722" s="35">
        <v>-23</v>
      </c>
      <c r="H722" s="35">
        <v>-22.6</v>
      </c>
      <c r="I722" s="35">
        <v>-0.4</v>
      </c>
      <c r="J722" s="35">
        <v>-23</v>
      </c>
      <c r="K722" s="35">
        <v>-21.4</v>
      </c>
      <c r="L722" s="35">
        <v>-21.1</v>
      </c>
      <c r="M722" s="35">
        <v>-23</v>
      </c>
      <c r="N722" s="35">
        <v>-4</v>
      </c>
      <c r="O722" s="35">
        <v>-4.5</v>
      </c>
      <c r="P722" s="35">
        <v>-5</v>
      </c>
      <c r="Q722" s="35">
        <v>-0.3</v>
      </c>
      <c r="R722" s="35">
        <v>-1.6</v>
      </c>
      <c r="S722" s="35">
        <v>-5</v>
      </c>
      <c r="T722" s="35">
        <v>9.3000000000000007</v>
      </c>
      <c r="U722" s="35">
        <v>9</v>
      </c>
      <c r="V722" s="35">
        <v>10.3</v>
      </c>
      <c r="W722" s="35">
        <v>9</v>
      </c>
      <c r="X722" s="35">
        <v>10.6</v>
      </c>
      <c r="Y722" s="35">
        <v>9</v>
      </c>
      <c r="Z722" s="35">
        <v>10.9</v>
      </c>
      <c r="AA722" s="35">
        <v>9</v>
      </c>
      <c r="AB722" s="35">
        <v>21.8</v>
      </c>
      <c r="AC722" s="35">
        <v>20</v>
      </c>
      <c r="AD722" s="35">
        <v>21.7</v>
      </c>
      <c r="AE722" s="35">
        <v>20</v>
      </c>
    </row>
    <row r="723" spans="1:31" x14ac:dyDescent="0.35">
      <c r="A723" s="36">
        <v>46059.964583333334</v>
      </c>
      <c r="B723" s="35">
        <v>-22.9</v>
      </c>
      <c r="C723" s="35">
        <v>-24.8</v>
      </c>
      <c r="D723" s="35">
        <v>-23</v>
      </c>
      <c r="E723" s="35">
        <v>-23.2</v>
      </c>
      <c r="F723" s="35">
        <v>-20.8</v>
      </c>
      <c r="G723" s="35">
        <v>-23</v>
      </c>
      <c r="H723" s="35">
        <v>-22.6</v>
      </c>
      <c r="I723" s="35">
        <v>5.3</v>
      </c>
      <c r="J723" s="35">
        <v>-23</v>
      </c>
      <c r="K723" s="35">
        <v>-21.3</v>
      </c>
      <c r="L723" s="35">
        <v>-21</v>
      </c>
      <c r="M723" s="35">
        <v>-23</v>
      </c>
      <c r="N723" s="35">
        <v>-4.0999999999999996</v>
      </c>
      <c r="O723" s="35">
        <v>-4.5999999999999996</v>
      </c>
      <c r="P723" s="35">
        <v>-5</v>
      </c>
      <c r="Q723" s="35">
        <v>-0.6</v>
      </c>
      <c r="R723" s="35">
        <v>-1.9</v>
      </c>
      <c r="S723" s="35">
        <v>-5</v>
      </c>
      <c r="T723" s="35">
        <v>8.9</v>
      </c>
      <c r="U723" s="35">
        <v>9</v>
      </c>
      <c r="V723" s="35">
        <v>10.199999999999999</v>
      </c>
      <c r="W723" s="35">
        <v>9</v>
      </c>
      <c r="X723" s="35">
        <v>10.6</v>
      </c>
      <c r="Y723" s="35">
        <v>9</v>
      </c>
      <c r="Z723" s="35">
        <v>10.9</v>
      </c>
      <c r="AA723" s="35">
        <v>9</v>
      </c>
      <c r="AB723" s="35">
        <v>21.8</v>
      </c>
      <c r="AC723" s="35">
        <v>20</v>
      </c>
      <c r="AD723" s="35">
        <v>21.7</v>
      </c>
      <c r="AE723" s="35">
        <v>20</v>
      </c>
    </row>
    <row r="724" spans="1:31" x14ac:dyDescent="0.35">
      <c r="A724" s="36">
        <v>46059.965277777781</v>
      </c>
      <c r="B724" s="35">
        <v>-22.7</v>
      </c>
      <c r="C724" s="35">
        <v>-24.1</v>
      </c>
      <c r="D724" s="35">
        <v>-23</v>
      </c>
      <c r="E724" s="35">
        <v>-22.9</v>
      </c>
      <c r="F724" s="35">
        <v>-20.8</v>
      </c>
      <c r="G724" s="35">
        <v>-23</v>
      </c>
      <c r="H724" s="35">
        <v>-22.6</v>
      </c>
      <c r="I724" s="35">
        <v>11.4</v>
      </c>
      <c r="J724" s="35">
        <v>-23</v>
      </c>
      <c r="K724" s="35">
        <v>-21.1</v>
      </c>
      <c r="L724" s="35">
        <v>-20.8</v>
      </c>
      <c r="M724" s="35">
        <v>-23</v>
      </c>
      <c r="N724" s="35">
        <v>-4.2</v>
      </c>
      <c r="O724" s="35">
        <v>-4.7</v>
      </c>
      <c r="P724" s="35">
        <v>-5</v>
      </c>
      <c r="Q724" s="35">
        <v>-0.8</v>
      </c>
      <c r="R724" s="35">
        <v>-2</v>
      </c>
      <c r="S724" s="35">
        <v>-5</v>
      </c>
      <c r="T724" s="35">
        <v>8.8000000000000007</v>
      </c>
      <c r="U724" s="35">
        <v>9</v>
      </c>
      <c r="V724" s="35">
        <v>10.1</v>
      </c>
      <c r="W724" s="35">
        <v>9</v>
      </c>
      <c r="X724" s="35">
        <v>10.6</v>
      </c>
      <c r="Y724" s="35">
        <v>9</v>
      </c>
      <c r="Z724" s="35">
        <v>10.9</v>
      </c>
      <c r="AA724" s="35">
        <v>9</v>
      </c>
      <c r="AB724" s="35">
        <v>21.8</v>
      </c>
      <c r="AC724" s="35">
        <v>20</v>
      </c>
      <c r="AD724" s="35">
        <v>21.7</v>
      </c>
      <c r="AE724" s="35">
        <v>20</v>
      </c>
    </row>
    <row r="725" spans="1:31" x14ac:dyDescent="0.35">
      <c r="A725" s="36">
        <v>46059.96597222222</v>
      </c>
      <c r="B725" s="35">
        <v>-22.6</v>
      </c>
      <c r="C725" s="35">
        <v>-23.7</v>
      </c>
      <c r="D725" s="35">
        <v>-23</v>
      </c>
      <c r="E725" s="35">
        <v>-22.7</v>
      </c>
      <c r="F725" s="35">
        <v>-20.8</v>
      </c>
      <c r="G725" s="35">
        <v>-23</v>
      </c>
      <c r="H725" s="35">
        <v>-22.6</v>
      </c>
      <c r="I725" s="35">
        <v>14.9</v>
      </c>
      <c r="J725" s="35">
        <v>-23</v>
      </c>
      <c r="K725" s="35">
        <v>-20.9</v>
      </c>
      <c r="L725" s="35">
        <v>-20.6</v>
      </c>
      <c r="M725" s="35">
        <v>-23</v>
      </c>
      <c r="N725" s="35">
        <v>-4.3</v>
      </c>
      <c r="O725" s="35">
        <v>-4.8</v>
      </c>
      <c r="P725" s="35">
        <v>-5</v>
      </c>
      <c r="Q725" s="35">
        <v>-0.9</v>
      </c>
      <c r="R725" s="35">
        <v>-2.2000000000000002</v>
      </c>
      <c r="S725" s="35">
        <v>-5</v>
      </c>
      <c r="T725" s="35">
        <v>8.8000000000000007</v>
      </c>
      <c r="U725" s="35">
        <v>9</v>
      </c>
      <c r="V725" s="35">
        <v>9.9</v>
      </c>
      <c r="W725" s="35">
        <v>9</v>
      </c>
      <c r="X725" s="35">
        <v>10.6</v>
      </c>
      <c r="Y725" s="35">
        <v>9</v>
      </c>
      <c r="Z725" s="35">
        <v>10.9</v>
      </c>
      <c r="AA725" s="35">
        <v>9</v>
      </c>
      <c r="AB725" s="35">
        <v>21.8</v>
      </c>
      <c r="AC725" s="35">
        <v>20</v>
      </c>
      <c r="AD725" s="35">
        <v>21.7</v>
      </c>
      <c r="AE725" s="35">
        <v>20</v>
      </c>
    </row>
    <row r="726" spans="1:31" x14ac:dyDescent="0.35">
      <c r="A726" s="36">
        <v>46059.966666666667</v>
      </c>
      <c r="B726" s="35">
        <v>-22.3</v>
      </c>
      <c r="C726" s="35">
        <v>-23.2</v>
      </c>
      <c r="D726" s="35">
        <v>-23</v>
      </c>
      <c r="E726" s="35">
        <v>-22.4</v>
      </c>
      <c r="F726" s="35">
        <v>-20.8</v>
      </c>
      <c r="G726" s="35">
        <v>-23</v>
      </c>
      <c r="H726" s="35">
        <v>-22.6</v>
      </c>
      <c r="I726" s="35">
        <v>17.2</v>
      </c>
      <c r="J726" s="35">
        <v>-23</v>
      </c>
      <c r="K726" s="35">
        <v>-20.9</v>
      </c>
      <c r="L726" s="35">
        <v>-20.9</v>
      </c>
      <c r="M726" s="35">
        <v>-23</v>
      </c>
      <c r="N726" s="35">
        <v>-4.4000000000000004</v>
      </c>
      <c r="O726" s="35">
        <v>-4.9000000000000004</v>
      </c>
      <c r="P726" s="35">
        <v>-5</v>
      </c>
      <c r="Q726" s="35">
        <v>-1</v>
      </c>
      <c r="R726" s="35">
        <v>-2.2999999999999998</v>
      </c>
      <c r="S726" s="35">
        <v>-5</v>
      </c>
      <c r="T726" s="35">
        <v>9</v>
      </c>
      <c r="U726" s="35">
        <v>9</v>
      </c>
      <c r="V726" s="35">
        <v>9.9</v>
      </c>
      <c r="W726" s="35">
        <v>9</v>
      </c>
      <c r="X726" s="35">
        <v>10.6</v>
      </c>
      <c r="Y726" s="35">
        <v>9</v>
      </c>
      <c r="Z726" s="35">
        <v>10.9</v>
      </c>
      <c r="AA726" s="35">
        <v>9</v>
      </c>
      <c r="AB726" s="35">
        <v>21.8</v>
      </c>
      <c r="AC726" s="35">
        <v>20</v>
      </c>
      <c r="AD726" s="35">
        <v>21.7</v>
      </c>
      <c r="AE726" s="35">
        <v>20</v>
      </c>
    </row>
    <row r="727" spans="1:31" x14ac:dyDescent="0.35">
      <c r="A727" s="36">
        <v>46059.967361111114</v>
      </c>
      <c r="B727" s="35">
        <v>-22.2</v>
      </c>
      <c r="C727" s="35">
        <v>-22.9</v>
      </c>
      <c r="D727" s="35">
        <v>-23</v>
      </c>
      <c r="E727" s="35">
        <v>-22.2</v>
      </c>
      <c r="F727" s="35">
        <v>-20.8</v>
      </c>
      <c r="G727" s="35">
        <v>-23</v>
      </c>
      <c r="H727" s="35">
        <v>-22.6</v>
      </c>
      <c r="I727" s="35">
        <v>18.8</v>
      </c>
      <c r="J727" s="35">
        <v>-23</v>
      </c>
      <c r="K727" s="35">
        <v>-21</v>
      </c>
      <c r="L727" s="35">
        <v>-21.2</v>
      </c>
      <c r="M727" s="35">
        <v>-23</v>
      </c>
      <c r="N727" s="35">
        <v>-4.4000000000000004</v>
      </c>
      <c r="O727" s="35">
        <v>-5</v>
      </c>
      <c r="P727" s="35">
        <v>-5</v>
      </c>
      <c r="Q727" s="35">
        <v>-1.1000000000000001</v>
      </c>
      <c r="R727" s="35">
        <v>-2.2999999999999998</v>
      </c>
      <c r="S727" s="35">
        <v>-5</v>
      </c>
      <c r="T727" s="35">
        <v>9.1999999999999993</v>
      </c>
      <c r="U727" s="35">
        <v>9</v>
      </c>
      <c r="V727" s="35">
        <v>9.9</v>
      </c>
      <c r="W727" s="35">
        <v>9</v>
      </c>
      <c r="X727" s="35">
        <v>10.6</v>
      </c>
      <c r="Y727" s="35">
        <v>9</v>
      </c>
      <c r="Z727" s="35">
        <v>10.9</v>
      </c>
      <c r="AA727" s="35">
        <v>9</v>
      </c>
      <c r="AB727" s="35">
        <v>21.8</v>
      </c>
      <c r="AC727" s="35">
        <v>20</v>
      </c>
      <c r="AD727" s="35">
        <v>21.7</v>
      </c>
      <c r="AE727" s="35">
        <v>20</v>
      </c>
    </row>
    <row r="728" spans="1:31" x14ac:dyDescent="0.35">
      <c r="A728" s="36">
        <v>46059.968055555553</v>
      </c>
      <c r="B728" s="35">
        <v>-22</v>
      </c>
      <c r="C728" s="35">
        <v>-22.6</v>
      </c>
      <c r="D728" s="35">
        <v>-23</v>
      </c>
      <c r="E728" s="35">
        <v>-22</v>
      </c>
      <c r="F728" s="35">
        <v>-20.8</v>
      </c>
      <c r="G728" s="35">
        <v>-23</v>
      </c>
      <c r="H728" s="35">
        <v>-22.6</v>
      </c>
      <c r="I728" s="35">
        <v>20.9</v>
      </c>
      <c r="J728" s="35">
        <v>-23</v>
      </c>
      <c r="K728" s="35">
        <v>-21.2</v>
      </c>
      <c r="L728" s="35">
        <v>-21.4</v>
      </c>
      <c r="M728" s="35">
        <v>-23</v>
      </c>
      <c r="N728" s="35">
        <v>-4.5</v>
      </c>
      <c r="O728" s="35">
        <v>-5.0999999999999996</v>
      </c>
      <c r="P728" s="35">
        <v>-5</v>
      </c>
      <c r="Q728" s="35">
        <v>-1.2</v>
      </c>
      <c r="R728" s="35">
        <v>-2.4</v>
      </c>
      <c r="S728" s="35">
        <v>-5</v>
      </c>
      <c r="T728" s="35">
        <v>9.5</v>
      </c>
      <c r="U728" s="35">
        <v>9</v>
      </c>
      <c r="V728" s="35">
        <v>9.9</v>
      </c>
      <c r="W728" s="35">
        <v>9</v>
      </c>
      <c r="X728" s="35">
        <v>10.6</v>
      </c>
      <c r="Y728" s="35">
        <v>9</v>
      </c>
      <c r="Z728" s="35">
        <v>10.9</v>
      </c>
      <c r="AA728" s="35">
        <v>9</v>
      </c>
      <c r="AB728" s="35">
        <v>21.8</v>
      </c>
      <c r="AC728" s="35">
        <v>20</v>
      </c>
      <c r="AD728" s="35">
        <v>21.7</v>
      </c>
      <c r="AE728" s="35">
        <v>20</v>
      </c>
    </row>
    <row r="729" spans="1:31" x14ac:dyDescent="0.35">
      <c r="A729" s="36">
        <v>46059.96875</v>
      </c>
      <c r="B729" s="35">
        <v>-21.8</v>
      </c>
      <c r="C729" s="35">
        <v>-22.4</v>
      </c>
      <c r="D729" s="35">
        <v>-23</v>
      </c>
      <c r="E729" s="35">
        <v>-21.9</v>
      </c>
      <c r="F729" s="35">
        <v>-20.8</v>
      </c>
      <c r="G729" s="35">
        <v>-23</v>
      </c>
      <c r="H729" s="35">
        <v>-22.6</v>
      </c>
      <c r="I729" s="35">
        <v>22.8</v>
      </c>
      <c r="J729" s="35">
        <v>-23</v>
      </c>
      <c r="K729" s="35">
        <v>-21.3</v>
      </c>
      <c r="L729" s="35">
        <v>-21.5</v>
      </c>
      <c r="M729" s="35">
        <v>-23</v>
      </c>
      <c r="N729" s="35">
        <v>-4.5999999999999996</v>
      </c>
      <c r="O729" s="35">
        <v>-5.0999999999999996</v>
      </c>
      <c r="P729" s="35">
        <v>-5</v>
      </c>
      <c r="Q729" s="35">
        <v>-1.2</v>
      </c>
      <c r="R729" s="35">
        <v>-2.5</v>
      </c>
      <c r="S729" s="35">
        <v>-5</v>
      </c>
      <c r="T729" s="35">
        <v>9.6</v>
      </c>
      <c r="U729" s="35">
        <v>9</v>
      </c>
      <c r="V729" s="35">
        <v>9.9</v>
      </c>
      <c r="W729" s="35">
        <v>9</v>
      </c>
      <c r="X729" s="35">
        <v>10.6</v>
      </c>
      <c r="Y729" s="35">
        <v>9</v>
      </c>
      <c r="Z729" s="35">
        <v>10.9</v>
      </c>
      <c r="AA729" s="35">
        <v>9</v>
      </c>
      <c r="AB729" s="35">
        <v>21.8</v>
      </c>
      <c r="AC729" s="35">
        <v>20</v>
      </c>
      <c r="AD729" s="35">
        <v>21.7</v>
      </c>
      <c r="AE729" s="35">
        <v>20</v>
      </c>
    </row>
    <row r="730" spans="1:31" x14ac:dyDescent="0.35">
      <c r="A730" s="36">
        <v>46059.969444444447</v>
      </c>
      <c r="B730" s="35">
        <v>-21.7</v>
      </c>
      <c r="C730" s="35">
        <v>-22.2</v>
      </c>
      <c r="D730" s="35">
        <v>-23</v>
      </c>
      <c r="E730" s="35">
        <v>-21.7</v>
      </c>
      <c r="F730" s="35">
        <v>-20.7</v>
      </c>
      <c r="G730" s="35">
        <v>-23</v>
      </c>
      <c r="H730" s="35">
        <v>-22.6</v>
      </c>
      <c r="I730" s="35">
        <v>24.4</v>
      </c>
      <c r="J730" s="35">
        <v>-23</v>
      </c>
      <c r="K730" s="35">
        <v>-21.4</v>
      </c>
      <c r="L730" s="35">
        <v>-21.7</v>
      </c>
      <c r="M730" s="35">
        <v>-23</v>
      </c>
      <c r="N730" s="35">
        <v>-4.5999999999999996</v>
      </c>
      <c r="O730" s="35">
        <v>-5.2</v>
      </c>
      <c r="P730" s="35">
        <v>-5</v>
      </c>
      <c r="Q730" s="35">
        <v>-1.3</v>
      </c>
      <c r="R730" s="35">
        <v>-2.6</v>
      </c>
      <c r="S730" s="35">
        <v>-5</v>
      </c>
      <c r="T730" s="35">
        <v>9.8000000000000007</v>
      </c>
      <c r="U730" s="35">
        <v>9</v>
      </c>
      <c r="V730" s="35">
        <v>9.9</v>
      </c>
      <c r="W730" s="35">
        <v>9</v>
      </c>
      <c r="X730" s="35">
        <v>10.6</v>
      </c>
      <c r="Y730" s="35">
        <v>9</v>
      </c>
      <c r="Z730" s="35">
        <v>10.9</v>
      </c>
      <c r="AA730" s="35">
        <v>9</v>
      </c>
      <c r="AB730" s="35">
        <v>21.8</v>
      </c>
      <c r="AC730" s="35">
        <v>20</v>
      </c>
      <c r="AD730" s="35">
        <v>21.7</v>
      </c>
      <c r="AE730" s="35">
        <v>20</v>
      </c>
    </row>
    <row r="731" spans="1:31" x14ac:dyDescent="0.35">
      <c r="A731" s="36">
        <v>46059.970138888886</v>
      </c>
      <c r="B731" s="35">
        <v>-21.5</v>
      </c>
      <c r="C731" s="35">
        <v>-22</v>
      </c>
      <c r="D731" s="35">
        <v>-23</v>
      </c>
      <c r="E731" s="35">
        <v>-21.5</v>
      </c>
      <c r="F731" s="35">
        <v>-20.7</v>
      </c>
      <c r="G731" s="35">
        <v>-23</v>
      </c>
      <c r="H731" s="35">
        <v>-22.6</v>
      </c>
      <c r="I731" s="35">
        <v>25.6</v>
      </c>
      <c r="J731" s="35">
        <v>-23</v>
      </c>
      <c r="K731" s="35">
        <v>-21.6</v>
      </c>
      <c r="L731" s="35">
        <v>-21.9</v>
      </c>
      <c r="M731" s="35">
        <v>-23</v>
      </c>
      <c r="N731" s="35">
        <v>-4.7</v>
      </c>
      <c r="O731" s="35">
        <v>-5.3</v>
      </c>
      <c r="P731" s="35">
        <v>-5</v>
      </c>
      <c r="Q731" s="35">
        <v>-1.4</v>
      </c>
      <c r="R731" s="35">
        <v>-2.7</v>
      </c>
      <c r="S731" s="35">
        <v>-5</v>
      </c>
      <c r="T731" s="35">
        <v>10</v>
      </c>
      <c r="U731" s="35">
        <v>9</v>
      </c>
      <c r="V731" s="35">
        <v>10</v>
      </c>
      <c r="W731" s="35">
        <v>9</v>
      </c>
      <c r="X731" s="35">
        <v>10.6</v>
      </c>
      <c r="Y731" s="35">
        <v>9</v>
      </c>
      <c r="Z731" s="35">
        <v>10.9</v>
      </c>
      <c r="AA731" s="35">
        <v>9</v>
      </c>
      <c r="AB731" s="35">
        <v>21.8</v>
      </c>
      <c r="AC731" s="35">
        <v>20</v>
      </c>
      <c r="AD731" s="35">
        <v>21.7</v>
      </c>
      <c r="AE731" s="35">
        <v>20</v>
      </c>
    </row>
    <row r="732" spans="1:31" x14ac:dyDescent="0.35">
      <c r="A732" s="36">
        <v>46059.970833333333</v>
      </c>
      <c r="B732" s="35">
        <v>-21.4</v>
      </c>
      <c r="C732" s="35">
        <v>-21.8</v>
      </c>
      <c r="D732" s="35">
        <v>-23</v>
      </c>
      <c r="E732" s="35">
        <v>-21.4</v>
      </c>
      <c r="F732" s="35">
        <v>-20.6</v>
      </c>
      <c r="G732" s="35">
        <v>-23</v>
      </c>
      <c r="H732" s="35">
        <v>-22.6</v>
      </c>
      <c r="I732" s="35">
        <v>26.7</v>
      </c>
      <c r="J732" s="35">
        <v>-23</v>
      </c>
      <c r="K732" s="35">
        <v>-21.8</v>
      </c>
      <c r="L732" s="35">
        <v>-22</v>
      </c>
      <c r="M732" s="35">
        <v>-23</v>
      </c>
      <c r="N732" s="35">
        <v>-4.7</v>
      </c>
      <c r="O732" s="35">
        <v>-5.3</v>
      </c>
      <c r="P732" s="35">
        <v>-5</v>
      </c>
      <c r="Q732" s="35">
        <v>-1.5</v>
      </c>
      <c r="R732" s="35">
        <v>-2.8</v>
      </c>
      <c r="S732" s="35">
        <v>-5</v>
      </c>
      <c r="T732" s="35">
        <v>10.1</v>
      </c>
      <c r="U732" s="35">
        <v>9</v>
      </c>
      <c r="V732" s="35">
        <v>10</v>
      </c>
      <c r="W732" s="35">
        <v>9</v>
      </c>
      <c r="X732" s="35">
        <v>10.6</v>
      </c>
      <c r="Y732" s="35">
        <v>9</v>
      </c>
      <c r="Z732" s="35">
        <v>10.9</v>
      </c>
      <c r="AA732" s="35">
        <v>9</v>
      </c>
      <c r="AB732" s="35">
        <v>21.8</v>
      </c>
      <c r="AC732" s="35">
        <v>20</v>
      </c>
      <c r="AD732" s="35">
        <v>21.7</v>
      </c>
      <c r="AE732" s="35">
        <v>20</v>
      </c>
    </row>
    <row r="733" spans="1:31" x14ac:dyDescent="0.35">
      <c r="A733" s="36">
        <v>46059.97152777778</v>
      </c>
      <c r="B733" s="35">
        <v>-21.2</v>
      </c>
      <c r="C733" s="35">
        <v>-21.6</v>
      </c>
      <c r="D733" s="35">
        <v>-23</v>
      </c>
      <c r="E733" s="35">
        <v>-21.2</v>
      </c>
      <c r="F733" s="35">
        <v>-20.6</v>
      </c>
      <c r="G733" s="35">
        <v>-23</v>
      </c>
      <c r="H733" s="35">
        <v>-22.6</v>
      </c>
      <c r="I733" s="35">
        <v>27.4</v>
      </c>
      <c r="J733" s="35">
        <v>-23</v>
      </c>
      <c r="K733" s="35">
        <v>-21.9</v>
      </c>
      <c r="L733" s="35">
        <v>-22.1</v>
      </c>
      <c r="M733" s="35">
        <v>-23</v>
      </c>
      <c r="N733" s="35">
        <v>-4.8</v>
      </c>
      <c r="O733" s="35">
        <v>-5.4</v>
      </c>
      <c r="P733" s="35">
        <v>-5</v>
      </c>
      <c r="Q733" s="35">
        <v>-1.6</v>
      </c>
      <c r="R733" s="35">
        <v>-2.9</v>
      </c>
      <c r="S733" s="35">
        <v>-5</v>
      </c>
      <c r="T733" s="35">
        <v>10.199999999999999</v>
      </c>
      <c r="U733" s="35">
        <v>9</v>
      </c>
      <c r="V733" s="35">
        <v>10</v>
      </c>
      <c r="W733" s="35">
        <v>9</v>
      </c>
      <c r="X733" s="35">
        <v>10.6</v>
      </c>
      <c r="Y733" s="35">
        <v>9</v>
      </c>
      <c r="Z733" s="35">
        <v>10.9</v>
      </c>
      <c r="AA733" s="35">
        <v>9</v>
      </c>
      <c r="AB733" s="35">
        <v>21.8</v>
      </c>
      <c r="AC733" s="35">
        <v>20</v>
      </c>
      <c r="AD733" s="35">
        <v>21.7</v>
      </c>
      <c r="AE733" s="35">
        <v>20</v>
      </c>
    </row>
    <row r="734" spans="1:31" x14ac:dyDescent="0.35">
      <c r="A734" s="36">
        <v>46059.972222222219</v>
      </c>
      <c r="B734" s="35">
        <v>-21.1</v>
      </c>
      <c r="C734" s="35">
        <v>-21.4</v>
      </c>
      <c r="D734" s="35">
        <v>-23</v>
      </c>
      <c r="E734" s="35">
        <v>-21.1</v>
      </c>
      <c r="F734" s="35">
        <v>-20.5</v>
      </c>
      <c r="G734" s="35">
        <v>-23</v>
      </c>
      <c r="H734" s="35">
        <v>-22.6</v>
      </c>
      <c r="I734" s="35">
        <v>28.5</v>
      </c>
      <c r="J734" s="35">
        <v>-23</v>
      </c>
      <c r="K734" s="35">
        <v>-22</v>
      </c>
      <c r="L734" s="35">
        <v>-22.1</v>
      </c>
      <c r="M734" s="35">
        <v>-23</v>
      </c>
      <c r="N734" s="35">
        <v>-4.8</v>
      </c>
      <c r="O734" s="35">
        <v>-5.4</v>
      </c>
      <c r="P734" s="35">
        <v>-5</v>
      </c>
      <c r="Q734" s="35">
        <v>-1.7</v>
      </c>
      <c r="R734" s="35">
        <v>-3</v>
      </c>
      <c r="S734" s="35">
        <v>-5</v>
      </c>
      <c r="T734" s="35">
        <v>10.3</v>
      </c>
      <c r="U734" s="35">
        <v>9</v>
      </c>
      <c r="V734" s="35">
        <v>10</v>
      </c>
      <c r="W734" s="35">
        <v>9</v>
      </c>
      <c r="X734" s="35">
        <v>10.5</v>
      </c>
      <c r="Y734" s="35">
        <v>9</v>
      </c>
      <c r="Z734" s="35">
        <v>10.9</v>
      </c>
      <c r="AA734" s="35">
        <v>9</v>
      </c>
      <c r="AB734" s="35">
        <v>21.8</v>
      </c>
      <c r="AC734" s="35">
        <v>20</v>
      </c>
      <c r="AD734" s="35">
        <v>21.7</v>
      </c>
      <c r="AE734" s="35">
        <v>20</v>
      </c>
    </row>
    <row r="735" spans="1:31" x14ac:dyDescent="0.35">
      <c r="A735" s="36">
        <v>46059.972916666666</v>
      </c>
      <c r="B735" s="35">
        <v>-21</v>
      </c>
      <c r="C735" s="35">
        <v>-21.2</v>
      </c>
      <c r="D735" s="35">
        <v>-23</v>
      </c>
      <c r="E735" s="35">
        <v>-21</v>
      </c>
      <c r="F735" s="35">
        <v>-20.399999999999999</v>
      </c>
      <c r="G735" s="35">
        <v>-23</v>
      </c>
      <c r="H735" s="35">
        <v>-22.6</v>
      </c>
      <c r="I735" s="35">
        <v>29.4</v>
      </c>
      <c r="J735" s="35">
        <v>-23</v>
      </c>
      <c r="K735" s="35">
        <v>-22</v>
      </c>
      <c r="L735" s="35">
        <v>-22.2</v>
      </c>
      <c r="M735" s="35">
        <v>-23</v>
      </c>
      <c r="N735" s="35">
        <v>-4.9000000000000004</v>
      </c>
      <c r="O735" s="35">
        <v>-5.5</v>
      </c>
      <c r="P735" s="35">
        <v>-5</v>
      </c>
      <c r="Q735" s="35">
        <v>-1.8</v>
      </c>
      <c r="R735" s="35">
        <v>-3</v>
      </c>
      <c r="S735" s="35">
        <v>-5</v>
      </c>
      <c r="T735" s="35">
        <v>10.4</v>
      </c>
      <c r="U735" s="35">
        <v>9</v>
      </c>
      <c r="V735" s="35">
        <v>10.1</v>
      </c>
      <c r="W735" s="35">
        <v>9</v>
      </c>
      <c r="X735" s="35">
        <v>10.4</v>
      </c>
      <c r="Y735" s="35">
        <v>9</v>
      </c>
      <c r="Z735" s="35">
        <v>10.8</v>
      </c>
      <c r="AA735" s="35">
        <v>9</v>
      </c>
      <c r="AB735" s="35">
        <v>21.8</v>
      </c>
      <c r="AC735" s="35">
        <v>20</v>
      </c>
      <c r="AD735" s="35">
        <v>21.7</v>
      </c>
      <c r="AE735" s="35">
        <v>20</v>
      </c>
    </row>
    <row r="736" spans="1:31" x14ac:dyDescent="0.35">
      <c r="A736" s="36">
        <v>46059.973611111112</v>
      </c>
      <c r="B736" s="35">
        <v>-20.9</v>
      </c>
      <c r="C736" s="35">
        <v>-21.1</v>
      </c>
      <c r="D736" s="35">
        <v>-23</v>
      </c>
      <c r="E736" s="35">
        <v>-20.9</v>
      </c>
      <c r="F736" s="35">
        <v>-20.3</v>
      </c>
      <c r="G736" s="35">
        <v>-23</v>
      </c>
      <c r="H736" s="35">
        <v>-22.6</v>
      </c>
      <c r="I736" s="35">
        <v>30.4</v>
      </c>
      <c r="J736" s="35">
        <v>-23</v>
      </c>
      <c r="K736" s="35">
        <v>-22.1</v>
      </c>
      <c r="L736" s="35">
        <v>-22.4</v>
      </c>
      <c r="M736" s="35">
        <v>-23</v>
      </c>
      <c r="N736" s="35">
        <v>-4.9000000000000004</v>
      </c>
      <c r="O736" s="35">
        <v>-5.5</v>
      </c>
      <c r="P736" s="35">
        <v>-5</v>
      </c>
      <c r="Q736" s="35">
        <v>-1.9</v>
      </c>
      <c r="R736" s="35">
        <v>-3.1</v>
      </c>
      <c r="S736" s="35">
        <v>-5</v>
      </c>
      <c r="T736" s="35">
        <v>10.5</v>
      </c>
      <c r="U736" s="35">
        <v>9</v>
      </c>
      <c r="V736" s="35">
        <v>10.199999999999999</v>
      </c>
      <c r="W736" s="35">
        <v>9</v>
      </c>
      <c r="X736" s="35">
        <v>10</v>
      </c>
      <c r="Y736" s="35">
        <v>9</v>
      </c>
      <c r="Z736" s="35">
        <v>10.8</v>
      </c>
      <c r="AA736" s="35">
        <v>9</v>
      </c>
      <c r="AB736" s="35">
        <v>21.8</v>
      </c>
      <c r="AC736" s="35">
        <v>20</v>
      </c>
      <c r="AD736" s="35">
        <v>21.7</v>
      </c>
      <c r="AE736" s="35">
        <v>20</v>
      </c>
    </row>
    <row r="737" spans="1:31" x14ac:dyDescent="0.35">
      <c r="A737" s="36">
        <v>46059.974305555559</v>
      </c>
      <c r="B737" s="35">
        <v>-20.8</v>
      </c>
      <c r="C737" s="35">
        <v>-21</v>
      </c>
      <c r="D737" s="35">
        <v>-23</v>
      </c>
      <c r="E737" s="35">
        <v>-20.9</v>
      </c>
      <c r="F737" s="35">
        <v>-20.2</v>
      </c>
      <c r="G737" s="35">
        <v>-23</v>
      </c>
      <c r="H737" s="35">
        <v>-22.6</v>
      </c>
      <c r="I737" s="35">
        <v>30.4</v>
      </c>
      <c r="J737" s="35">
        <v>-23</v>
      </c>
      <c r="K737" s="35">
        <v>-22.2</v>
      </c>
      <c r="L737" s="35">
        <v>-22.5</v>
      </c>
      <c r="M737" s="35">
        <v>-23</v>
      </c>
      <c r="N737" s="35">
        <v>-4.9000000000000004</v>
      </c>
      <c r="O737" s="35">
        <v>-5.5</v>
      </c>
      <c r="P737" s="35">
        <v>-5</v>
      </c>
      <c r="Q737" s="35">
        <v>-1.9</v>
      </c>
      <c r="R737" s="35">
        <v>-3.2</v>
      </c>
      <c r="S737" s="35">
        <v>-5</v>
      </c>
      <c r="T737" s="35">
        <v>10.5</v>
      </c>
      <c r="U737" s="35">
        <v>9</v>
      </c>
      <c r="V737" s="35">
        <v>10.199999999999999</v>
      </c>
      <c r="W737" s="35">
        <v>9</v>
      </c>
      <c r="X737" s="35">
        <v>9.9</v>
      </c>
      <c r="Y737" s="35">
        <v>9</v>
      </c>
      <c r="Z737" s="35">
        <v>10.8</v>
      </c>
      <c r="AA737" s="35">
        <v>9</v>
      </c>
      <c r="AB737" s="35">
        <v>21.8</v>
      </c>
      <c r="AC737" s="35">
        <v>20</v>
      </c>
      <c r="AD737" s="35">
        <v>21.7</v>
      </c>
      <c r="AE737" s="35">
        <v>20</v>
      </c>
    </row>
    <row r="738" spans="1:31" x14ac:dyDescent="0.35">
      <c r="A738" s="36">
        <v>46059.974999999999</v>
      </c>
      <c r="B738" s="35">
        <v>-20.7</v>
      </c>
      <c r="C738" s="35">
        <v>-20.9</v>
      </c>
      <c r="D738" s="35">
        <v>-23</v>
      </c>
      <c r="E738" s="35">
        <v>-20.8</v>
      </c>
      <c r="F738" s="35">
        <v>-20.2</v>
      </c>
      <c r="G738" s="35">
        <v>-23</v>
      </c>
      <c r="H738" s="35">
        <v>-22.6</v>
      </c>
      <c r="I738" s="35">
        <v>28.5</v>
      </c>
      <c r="J738" s="35">
        <v>-23</v>
      </c>
      <c r="K738" s="35">
        <v>-22.2</v>
      </c>
      <c r="L738" s="35">
        <v>-22.6</v>
      </c>
      <c r="M738" s="35">
        <v>-23</v>
      </c>
      <c r="N738" s="35">
        <v>-5</v>
      </c>
      <c r="O738" s="35">
        <v>-5.5</v>
      </c>
      <c r="P738" s="35">
        <v>-5</v>
      </c>
      <c r="Q738" s="35">
        <v>-1.9</v>
      </c>
      <c r="R738" s="35">
        <v>-3.2</v>
      </c>
      <c r="S738" s="35">
        <v>-5</v>
      </c>
      <c r="T738" s="35">
        <v>10.6</v>
      </c>
      <c r="U738" s="35">
        <v>9</v>
      </c>
      <c r="V738" s="35">
        <v>10.3</v>
      </c>
      <c r="W738" s="35">
        <v>9</v>
      </c>
      <c r="X738" s="35">
        <v>9.8000000000000007</v>
      </c>
      <c r="Y738" s="35">
        <v>9</v>
      </c>
      <c r="Z738" s="35">
        <v>10.8</v>
      </c>
      <c r="AA738" s="35">
        <v>9</v>
      </c>
      <c r="AB738" s="35">
        <v>21.8</v>
      </c>
      <c r="AC738" s="35">
        <v>20</v>
      </c>
      <c r="AD738" s="35">
        <v>21.7</v>
      </c>
      <c r="AE738" s="35">
        <v>20</v>
      </c>
    </row>
    <row r="739" spans="1:31" x14ac:dyDescent="0.35">
      <c r="A739" s="36">
        <v>46059.975694444445</v>
      </c>
      <c r="B739" s="35">
        <v>-20.7</v>
      </c>
      <c r="C739" s="35">
        <v>-20.8</v>
      </c>
      <c r="D739" s="35">
        <v>-23</v>
      </c>
      <c r="E739" s="35">
        <v>-20.8</v>
      </c>
      <c r="F739" s="35">
        <v>-20.100000000000001</v>
      </c>
      <c r="G739" s="35">
        <v>-23</v>
      </c>
      <c r="H739" s="35">
        <v>-21.2</v>
      </c>
      <c r="I739" s="35">
        <v>25.2</v>
      </c>
      <c r="J739" s="35">
        <v>-23</v>
      </c>
      <c r="K739" s="35">
        <v>-22.3</v>
      </c>
      <c r="L739" s="35">
        <v>-22.7</v>
      </c>
      <c r="M739" s="35">
        <v>-23</v>
      </c>
      <c r="N739" s="35">
        <v>-5</v>
      </c>
      <c r="O739" s="35">
        <v>-5.5</v>
      </c>
      <c r="P739" s="35">
        <v>-5</v>
      </c>
      <c r="Q739" s="35">
        <v>-2</v>
      </c>
      <c r="R739" s="35">
        <v>-3.3</v>
      </c>
      <c r="S739" s="35">
        <v>-5</v>
      </c>
      <c r="T739" s="35">
        <v>10.7</v>
      </c>
      <c r="U739" s="35">
        <v>9</v>
      </c>
      <c r="V739" s="35">
        <v>10.3</v>
      </c>
      <c r="W739" s="35">
        <v>9</v>
      </c>
      <c r="X739" s="35">
        <v>9.6999999999999993</v>
      </c>
      <c r="Y739" s="35">
        <v>9</v>
      </c>
      <c r="Z739" s="35">
        <v>10.8</v>
      </c>
      <c r="AA739" s="35">
        <v>9</v>
      </c>
      <c r="AB739" s="35">
        <v>21.8</v>
      </c>
      <c r="AC739" s="35">
        <v>20</v>
      </c>
      <c r="AD739" s="35">
        <v>21.7</v>
      </c>
      <c r="AE739" s="35">
        <v>20</v>
      </c>
    </row>
    <row r="740" spans="1:31" x14ac:dyDescent="0.35">
      <c r="A740" s="36">
        <v>46059.976388888892</v>
      </c>
      <c r="B740" s="35">
        <v>-20.6</v>
      </c>
      <c r="C740" s="35">
        <v>-20.7</v>
      </c>
      <c r="D740" s="35">
        <v>-23</v>
      </c>
      <c r="E740" s="35">
        <v>-20.8</v>
      </c>
      <c r="F740" s="35">
        <v>-20.100000000000001</v>
      </c>
      <c r="G740" s="35">
        <v>-23</v>
      </c>
      <c r="H740" s="35">
        <v>-21.5</v>
      </c>
      <c r="I740" s="35">
        <v>21.4</v>
      </c>
      <c r="J740" s="35">
        <v>-23</v>
      </c>
      <c r="K740" s="35">
        <v>-22.4</v>
      </c>
      <c r="L740" s="35">
        <v>-22.8</v>
      </c>
      <c r="M740" s="35">
        <v>-23</v>
      </c>
      <c r="N740" s="35">
        <v>-4.5</v>
      </c>
      <c r="O740" s="35">
        <v>-5.0999999999999996</v>
      </c>
      <c r="P740" s="35">
        <v>-5</v>
      </c>
      <c r="Q740" s="35">
        <v>-2</v>
      </c>
      <c r="R740" s="35">
        <v>-3.3</v>
      </c>
      <c r="S740" s="35">
        <v>-5</v>
      </c>
      <c r="T740" s="35">
        <v>10.8</v>
      </c>
      <c r="U740" s="35">
        <v>9</v>
      </c>
      <c r="V740" s="35">
        <v>10.4</v>
      </c>
      <c r="W740" s="35">
        <v>9</v>
      </c>
      <c r="X740" s="35">
        <v>9.6999999999999993</v>
      </c>
      <c r="Y740" s="35">
        <v>9</v>
      </c>
      <c r="Z740" s="35">
        <v>10.8</v>
      </c>
      <c r="AA740" s="35">
        <v>9</v>
      </c>
      <c r="AB740" s="35">
        <v>21.8</v>
      </c>
      <c r="AC740" s="35">
        <v>20</v>
      </c>
      <c r="AD740" s="35">
        <v>21.7</v>
      </c>
      <c r="AE740" s="35">
        <v>20</v>
      </c>
    </row>
    <row r="741" spans="1:31" x14ac:dyDescent="0.35">
      <c r="A741" s="36">
        <v>46059.977083333331</v>
      </c>
      <c r="B741" s="35">
        <v>-20.6</v>
      </c>
      <c r="C741" s="35">
        <v>-20.7</v>
      </c>
      <c r="D741" s="35">
        <v>-23</v>
      </c>
      <c r="E741" s="35">
        <v>-20.8</v>
      </c>
      <c r="F741" s="35">
        <v>-20</v>
      </c>
      <c r="G741" s="35">
        <v>-23</v>
      </c>
      <c r="H741" s="35">
        <v>-21.7</v>
      </c>
      <c r="I741" s="35">
        <v>17.7</v>
      </c>
      <c r="J741" s="35">
        <v>-23</v>
      </c>
      <c r="K741" s="35">
        <v>-22.5</v>
      </c>
      <c r="L741" s="35">
        <v>-22.8</v>
      </c>
      <c r="M741" s="35">
        <v>-23</v>
      </c>
      <c r="N741" s="35">
        <v>-4.2</v>
      </c>
      <c r="O741" s="35">
        <v>-4.8</v>
      </c>
      <c r="P741" s="35">
        <v>-5</v>
      </c>
      <c r="Q741" s="35">
        <v>-2.1</v>
      </c>
      <c r="R741" s="35">
        <v>-3.3</v>
      </c>
      <c r="S741" s="35">
        <v>-5</v>
      </c>
      <c r="T741" s="35">
        <v>10.8</v>
      </c>
      <c r="U741" s="35">
        <v>9</v>
      </c>
      <c r="V741" s="35">
        <v>10.4</v>
      </c>
      <c r="W741" s="35">
        <v>9</v>
      </c>
      <c r="X741" s="35">
        <v>9.6999999999999993</v>
      </c>
      <c r="Y741" s="35">
        <v>9</v>
      </c>
      <c r="Z741" s="35">
        <v>10.8</v>
      </c>
      <c r="AA741" s="35">
        <v>9</v>
      </c>
      <c r="AB741" s="35">
        <v>21.8</v>
      </c>
      <c r="AC741" s="35">
        <v>20</v>
      </c>
      <c r="AD741" s="35">
        <v>21.7</v>
      </c>
      <c r="AE741" s="35">
        <v>20</v>
      </c>
    </row>
    <row r="742" spans="1:31" x14ac:dyDescent="0.35">
      <c r="A742" s="36">
        <v>46059.977777777778</v>
      </c>
      <c r="B742" s="35">
        <v>-20.6</v>
      </c>
      <c r="C742" s="35">
        <v>-20.7</v>
      </c>
      <c r="D742" s="35">
        <v>-23</v>
      </c>
      <c r="E742" s="35">
        <v>-20.9</v>
      </c>
      <c r="F742" s="35">
        <v>-20</v>
      </c>
      <c r="G742" s="35">
        <v>-23</v>
      </c>
      <c r="H742" s="35">
        <v>-21.9</v>
      </c>
      <c r="I742" s="35">
        <v>14.3</v>
      </c>
      <c r="J742" s="35">
        <v>-23</v>
      </c>
      <c r="K742" s="35">
        <v>-22.6</v>
      </c>
      <c r="L742" s="35">
        <v>-22.9</v>
      </c>
      <c r="M742" s="35">
        <v>-23</v>
      </c>
      <c r="N742" s="35">
        <v>-3.8</v>
      </c>
      <c r="O742" s="35">
        <v>-4.4000000000000004</v>
      </c>
      <c r="P742" s="35">
        <v>-5</v>
      </c>
      <c r="Q742" s="35">
        <v>-2.2000000000000002</v>
      </c>
      <c r="R742" s="35">
        <v>-3.4</v>
      </c>
      <c r="S742" s="35">
        <v>-5</v>
      </c>
      <c r="T742" s="35">
        <v>10.9</v>
      </c>
      <c r="U742" s="35">
        <v>9</v>
      </c>
      <c r="V742" s="35">
        <v>10.5</v>
      </c>
      <c r="W742" s="35">
        <v>9</v>
      </c>
      <c r="X742" s="35">
        <v>9.8000000000000007</v>
      </c>
      <c r="Y742" s="35">
        <v>9</v>
      </c>
      <c r="Z742" s="35">
        <v>10.8</v>
      </c>
      <c r="AA742" s="35">
        <v>9</v>
      </c>
      <c r="AB742" s="35">
        <v>21.8</v>
      </c>
      <c r="AC742" s="35">
        <v>20</v>
      </c>
      <c r="AD742" s="35">
        <v>21.7</v>
      </c>
      <c r="AE742" s="35">
        <v>20</v>
      </c>
    </row>
    <row r="743" spans="1:31" x14ac:dyDescent="0.35">
      <c r="A743" s="36">
        <v>46059.978472222225</v>
      </c>
      <c r="B743" s="35">
        <v>-20.6</v>
      </c>
      <c r="C743" s="35">
        <v>-20.8</v>
      </c>
      <c r="D743" s="35">
        <v>-23</v>
      </c>
      <c r="E743" s="35">
        <v>-21</v>
      </c>
      <c r="F743" s="35">
        <v>-20</v>
      </c>
      <c r="G743" s="35">
        <v>-23</v>
      </c>
      <c r="H743" s="35">
        <v>-22.1</v>
      </c>
      <c r="I743" s="35">
        <v>11.4</v>
      </c>
      <c r="J743" s="35">
        <v>-23</v>
      </c>
      <c r="K743" s="35">
        <v>-22.6</v>
      </c>
      <c r="L743" s="35">
        <v>-22.9</v>
      </c>
      <c r="M743" s="35">
        <v>-23</v>
      </c>
      <c r="N743" s="35">
        <v>-3.5</v>
      </c>
      <c r="O743" s="35">
        <v>-4.0999999999999996</v>
      </c>
      <c r="P743" s="35">
        <v>-5</v>
      </c>
      <c r="Q743" s="35">
        <v>-2.2000000000000002</v>
      </c>
      <c r="R743" s="35">
        <v>-3.4</v>
      </c>
      <c r="S743" s="35">
        <v>-5</v>
      </c>
      <c r="T743" s="35">
        <v>10.9</v>
      </c>
      <c r="U743" s="35">
        <v>9</v>
      </c>
      <c r="V743" s="35">
        <v>10.6</v>
      </c>
      <c r="W743" s="35">
        <v>9</v>
      </c>
      <c r="X743" s="35">
        <v>9.8000000000000007</v>
      </c>
      <c r="Y743" s="35">
        <v>9</v>
      </c>
      <c r="Z743" s="35">
        <v>10.8</v>
      </c>
      <c r="AA743" s="35">
        <v>9</v>
      </c>
      <c r="AB743" s="35">
        <v>21.8</v>
      </c>
      <c r="AC743" s="35">
        <v>20</v>
      </c>
      <c r="AD743" s="35">
        <v>21.7</v>
      </c>
      <c r="AE743" s="35">
        <v>20</v>
      </c>
    </row>
    <row r="744" spans="1:31" x14ac:dyDescent="0.35">
      <c r="A744" s="36">
        <v>46059.979166666664</v>
      </c>
      <c r="B744" s="35">
        <v>-20.6</v>
      </c>
      <c r="C744" s="35">
        <v>-21.2</v>
      </c>
      <c r="D744" s="35">
        <v>-23</v>
      </c>
      <c r="E744" s="35">
        <v>-21.2</v>
      </c>
      <c r="F744" s="35">
        <v>-20</v>
      </c>
      <c r="G744" s="35">
        <v>-23</v>
      </c>
      <c r="H744" s="35">
        <v>-22.2</v>
      </c>
      <c r="I744" s="35">
        <v>8.9</v>
      </c>
      <c r="J744" s="35">
        <v>-23</v>
      </c>
      <c r="K744" s="35">
        <v>-22.7</v>
      </c>
      <c r="L744" s="35">
        <v>-23</v>
      </c>
      <c r="M744" s="35">
        <v>-23</v>
      </c>
      <c r="N744" s="35">
        <v>-3.3</v>
      </c>
      <c r="O744" s="35">
        <v>-3.7</v>
      </c>
      <c r="P744" s="35">
        <v>-5</v>
      </c>
      <c r="Q744" s="35">
        <v>-2.2000000000000002</v>
      </c>
      <c r="R744" s="35">
        <v>-3.5</v>
      </c>
      <c r="S744" s="35">
        <v>-5</v>
      </c>
      <c r="T744" s="35">
        <v>11</v>
      </c>
      <c r="U744" s="35">
        <v>9</v>
      </c>
      <c r="V744" s="35">
        <v>10.6</v>
      </c>
      <c r="W744" s="35">
        <v>9</v>
      </c>
      <c r="X744" s="35">
        <v>9.8000000000000007</v>
      </c>
      <c r="Y744" s="35">
        <v>9</v>
      </c>
      <c r="Z744" s="35">
        <v>10.7</v>
      </c>
      <c r="AA744" s="35">
        <v>9</v>
      </c>
      <c r="AB744" s="35">
        <v>21.8</v>
      </c>
      <c r="AC744" s="35">
        <v>20</v>
      </c>
      <c r="AD744" s="35">
        <v>21.7</v>
      </c>
      <c r="AE744" s="35">
        <v>20</v>
      </c>
    </row>
    <row r="745" spans="1:31" x14ac:dyDescent="0.35">
      <c r="A745" s="36">
        <v>46059.979861111111</v>
      </c>
      <c r="B745" s="35">
        <v>-20.7</v>
      </c>
      <c r="C745" s="35">
        <v>-21.8</v>
      </c>
      <c r="D745" s="35">
        <v>-23</v>
      </c>
      <c r="E745" s="35">
        <v>-21.4</v>
      </c>
      <c r="F745" s="35">
        <v>-20</v>
      </c>
      <c r="G745" s="35">
        <v>-23</v>
      </c>
      <c r="H745" s="35">
        <v>-22.3</v>
      </c>
      <c r="I745" s="35">
        <v>6.3</v>
      </c>
      <c r="J745" s="35">
        <v>-23</v>
      </c>
      <c r="K745" s="35">
        <v>-22.7</v>
      </c>
      <c r="L745" s="35">
        <v>-23</v>
      </c>
      <c r="M745" s="35">
        <v>-23</v>
      </c>
      <c r="N745" s="35">
        <v>-3</v>
      </c>
      <c r="O745" s="35">
        <v>-3.5</v>
      </c>
      <c r="P745" s="35">
        <v>-5</v>
      </c>
      <c r="Q745" s="35">
        <v>-2.2000000000000002</v>
      </c>
      <c r="R745" s="35">
        <v>-3.5</v>
      </c>
      <c r="S745" s="35">
        <v>-5</v>
      </c>
      <c r="T745" s="35">
        <v>10.6</v>
      </c>
      <c r="U745" s="35">
        <v>9</v>
      </c>
      <c r="V745" s="35">
        <v>10.6</v>
      </c>
      <c r="W745" s="35">
        <v>9</v>
      </c>
      <c r="X745" s="35">
        <v>10.1</v>
      </c>
      <c r="Y745" s="35">
        <v>9</v>
      </c>
      <c r="Z745" s="35">
        <v>10.7</v>
      </c>
      <c r="AA745" s="35">
        <v>9</v>
      </c>
      <c r="AB745" s="35">
        <v>21.8</v>
      </c>
      <c r="AC745" s="35">
        <v>20</v>
      </c>
      <c r="AD745" s="35">
        <v>21.7</v>
      </c>
      <c r="AE745" s="35">
        <v>20</v>
      </c>
    </row>
    <row r="746" spans="1:31" x14ac:dyDescent="0.35">
      <c r="A746" s="36">
        <v>46059.980555555558</v>
      </c>
      <c r="B746" s="35">
        <v>-20.8</v>
      </c>
      <c r="C746" s="35">
        <v>-22.6</v>
      </c>
      <c r="D746" s="35">
        <v>-23</v>
      </c>
      <c r="E746" s="35">
        <v>-21.5</v>
      </c>
      <c r="F746" s="35">
        <v>-20.100000000000001</v>
      </c>
      <c r="G746" s="35">
        <v>-23</v>
      </c>
      <c r="H746" s="35">
        <v>-22.5</v>
      </c>
      <c r="I746" s="35">
        <v>4.0999999999999996</v>
      </c>
      <c r="J746" s="35">
        <v>-23</v>
      </c>
      <c r="K746" s="35">
        <v>-22.8</v>
      </c>
      <c r="L746" s="35">
        <v>-23.1</v>
      </c>
      <c r="M746" s="35">
        <v>-23</v>
      </c>
      <c r="N746" s="35">
        <v>-2.8</v>
      </c>
      <c r="O746" s="35">
        <v>-3.2</v>
      </c>
      <c r="P746" s="35">
        <v>-5</v>
      </c>
      <c r="Q746" s="35">
        <v>-2.2999999999999998</v>
      </c>
      <c r="R746" s="35">
        <v>-3.5</v>
      </c>
      <c r="S746" s="35">
        <v>-5</v>
      </c>
      <c r="T746" s="35">
        <v>10.1</v>
      </c>
      <c r="U746" s="35">
        <v>9</v>
      </c>
      <c r="V746" s="35">
        <v>10.6</v>
      </c>
      <c r="W746" s="35">
        <v>9</v>
      </c>
      <c r="X746" s="35">
        <v>10.4</v>
      </c>
      <c r="Y746" s="35">
        <v>9</v>
      </c>
      <c r="Z746" s="35">
        <v>10.7</v>
      </c>
      <c r="AA746" s="35">
        <v>9</v>
      </c>
      <c r="AB746" s="35">
        <v>21.8</v>
      </c>
      <c r="AC746" s="35">
        <v>20</v>
      </c>
      <c r="AD746" s="35">
        <v>21.7</v>
      </c>
      <c r="AE746" s="35">
        <v>20</v>
      </c>
    </row>
    <row r="747" spans="1:31" x14ac:dyDescent="0.35">
      <c r="A747" s="36">
        <v>46059.981944444444</v>
      </c>
      <c r="B747" s="35">
        <v>-20.9</v>
      </c>
      <c r="C747" s="35">
        <v>-22.2</v>
      </c>
      <c r="D747" s="35">
        <v>-23</v>
      </c>
      <c r="E747" s="35">
        <v>-21.6</v>
      </c>
      <c r="F747" s="35">
        <v>-20.2</v>
      </c>
      <c r="G747" s="35">
        <v>-23</v>
      </c>
      <c r="H747" s="35">
        <v>-22.9</v>
      </c>
      <c r="I747" s="35">
        <v>1.3</v>
      </c>
      <c r="J747" s="35">
        <v>-23</v>
      </c>
      <c r="K747" s="35">
        <v>-23</v>
      </c>
      <c r="L747" s="35">
        <v>-23.4</v>
      </c>
      <c r="M747" s="35">
        <v>-23</v>
      </c>
      <c r="N747" s="35">
        <v>-2.9</v>
      </c>
      <c r="O747" s="35">
        <v>-3.3</v>
      </c>
      <c r="P747" s="35">
        <v>-5</v>
      </c>
      <c r="Q747" s="35">
        <v>-2.4</v>
      </c>
      <c r="R747" s="35">
        <v>-3.6</v>
      </c>
      <c r="S747" s="35">
        <v>-5</v>
      </c>
      <c r="T747" s="35">
        <v>9.1</v>
      </c>
      <c r="U747" s="35">
        <v>9</v>
      </c>
      <c r="V747" s="35">
        <v>10.3</v>
      </c>
      <c r="W747" s="35">
        <v>9</v>
      </c>
      <c r="X747" s="35">
        <v>10.5</v>
      </c>
      <c r="Y747" s="35">
        <v>9</v>
      </c>
      <c r="Z747" s="35">
        <v>10.7</v>
      </c>
      <c r="AA747" s="35">
        <v>9</v>
      </c>
      <c r="AB747" s="35">
        <v>21.8</v>
      </c>
      <c r="AC747" s="35">
        <v>20</v>
      </c>
      <c r="AD747" s="35">
        <v>21.7</v>
      </c>
      <c r="AE747" s="35">
        <v>20</v>
      </c>
    </row>
    <row r="748" spans="1:31" x14ac:dyDescent="0.35">
      <c r="A748" s="36">
        <v>46059.982638888891</v>
      </c>
      <c r="B748" s="35">
        <v>-20.9</v>
      </c>
      <c r="C748" s="35">
        <v>-22</v>
      </c>
      <c r="D748" s="35">
        <v>-23</v>
      </c>
      <c r="E748" s="35">
        <v>-21.6</v>
      </c>
      <c r="F748" s="35">
        <v>-20.2</v>
      </c>
      <c r="G748" s="35">
        <v>-23</v>
      </c>
      <c r="H748" s="35">
        <v>-23</v>
      </c>
      <c r="I748" s="35">
        <v>0</v>
      </c>
      <c r="J748" s="35">
        <v>-23</v>
      </c>
      <c r="K748" s="35">
        <v>-23.1</v>
      </c>
      <c r="L748" s="35">
        <v>-23.4</v>
      </c>
      <c r="M748" s="35">
        <v>-23</v>
      </c>
      <c r="N748" s="35">
        <v>-3.1</v>
      </c>
      <c r="O748" s="35">
        <v>-3.4</v>
      </c>
      <c r="P748" s="35">
        <v>-5</v>
      </c>
      <c r="Q748" s="35">
        <v>-2.5</v>
      </c>
      <c r="R748" s="35">
        <v>-3.7</v>
      </c>
      <c r="S748" s="35">
        <v>-5</v>
      </c>
      <c r="T748" s="35">
        <v>8.8000000000000007</v>
      </c>
      <c r="U748" s="35">
        <v>9</v>
      </c>
      <c r="V748" s="35">
        <v>10.199999999999999</v>
      </c>
      <c r="W748" s="35">
        <v>9</v>
      </c>
      <c r="X748" s="35">
        <v>10.5</v>
      </c>
      <c r="Y748" s="35">
        <v>9</v>
      </c>
      <c r="Z748" s="35">
        <v>10.7</v>
      </c>
      <c r="AA748" s="35">
        <v>9</v>
      </c>
      <c r="AB748" s="35">
        <v>21.8</v>
      </c>
      <c r="AC748" s="35">
        <v>20</v>
      </c>
      <c r="AD748" s="35">
        <v>21.7</v>
      </c>
      <c r="AE748" s="35">
        <v>20</v>
      </c>
    </row>
    <row r="749" spans="1:31" x14ac:dyDescent="0.35">
      <c r="A749" s="36">
        <v>46059.98333333333</v>
      </c>
      <c r="B749" s="35">
        <v>-21</v>
      </c>
      <c r="C749" s="35">
        <v>-22.9</v>
      </c>
      <c r="D749" s="35">
        <v>-23</v>
      </c>
      <c r="E749" s="35">
        <v>-22</v>
      </c>
      <c r="F749" s="35">
        <v>-20.3</v>
      </c>
      <c r="G749" s="35">
        <v>-23</v>
      </c>
      <c r="H749" s="35">
        <v>-22.6</v>
      </c>
      <c r="I749" s="35">
        <v>-0.4</v>
      </c>
      <c r="J749" s="35">
        <v>-23</v>
      </c>
      <c r="K749" s="35">
        <v>-23.1</v>
      </c>
      <c r="L749" s="35">
        <v>-23.1</v>
      </c>
      <c r="M749" s="35">
        <v>-23</v>
      </c>
      <c r="N749" s="35">
        <v>-3.3</v>
      </c>
      <c r="O749" s="35">
        <v>-3.6</v>
      </c>
      <c r="P749" s="35">
        <v>-5</v>
      </c>
      <c r="Q749" s="35">
        <v>-2.7</v>
      </c>
      <c r="R749" s="35">
        <v>-3.8</v>
      </c>
      <c r="S749" s="35">
        <v>-5</v>
      </c>
      <c r="T749" s="35">
        <v>8.8000000000000007</v>
      </c>
      <c r="U749" s="35">
        <v>9</v>
      </c>
      <c r="V749" s="35">
        <v>10.1</v>
      </c>
      <c r="W749" s="35">
        <v>9</v>
      </c>
      <c r="X749" s="35">
        <v>10.5</v>
      </c>
      <c r="Y749" s="35">
        <v>9</v>
      </c>
      <c r="Z749" s="35">
        <v>10.8</v>
      </c>
      <c r="AA749" s="35">
        <v>9</v>
      </c>
      <c r="AB749" s="35">
        <v>21.8</v>
      </c>
      <c r="AC749" s="35">
        <v>20</v>
      </c>
      <c r="AD749" s="35">
        <v>21.7</v>
      </c>
      <c r="AE749" s="35">
        <v>20</v>
      </c>
    </row>
    <row r="750" spans="1:31" x14ac:dyDescent="0.35">
      <c r="A750" s="36">
        <v>46059.984027777777</v>
      </c>
      <c r="B750" s="35">
        <v>-21.2</v>
      </c>
      <c r="C750" s="35">
        <v>-25.6</v>
      </c>
      <c r="D750" s="35">
        <v>-23</v>
      </c>
      <c r="E750" s="35">
        <v>-22.4</v>
      </c>
      <c r="F750" s="35">
        <v>-20.5</v>
      </c>
      <c r="G750" s="35">
        <v>-23</v>
      </c>
      <c r="H750" s="35">
        <v>-22.2</v>
      </c>
      <c r="I750" s="35">
        <v>-1</v>
      </c>
      <c r="J750" s="35">
        <v>-23</v>
      </c>
      <c r="K750" s="35">
        <v>-22.8</v>
      </c>
      <c r="L750" s="35">
        <v>-22.7</v>
      </c>
      <c r="M750" s="35">
        <v>-23</v>
      </c>
      <c r="N750" s="35">
        <v>-3.4</v>
      </c>
      <c r="O750" s="35">
        <v>-3.7</v>
      </c>
      <c r="P750" s="35">
        <v>-5</v>
      </c>
      <c r="Q750" s="35">
        <v>-2.8</v>
      </c>
      <c r="R750" s="35">
        <v>-3.9</v>
      </c>
      <c r="S750" s="35">
        <v>-5</v>
      </c>
      <c r="T750" s="35">
        <v>8.9</v>
      </c>
      <c r="U750" s="35">
        <v>9</v>
      </c>
      <c r="V750" s="35">
        <v>10.1</v>
      </c>
      <c r="W750" s="35">
        <v>9</v>
      </c>
      <c r="X750" s="35">
        <v>10.5</v>
      </c>
      <c r="Y750" s="35">
        <v>9</v>
      </c>
      <c r="Z750" s="35">
        <v>10.8</v>
      </c>
      <c r="AA750" s="35">
        <v>9</v>
      </c>
      <c r="AB750" s="35">
        <v>21.8</v>
      </c>
      <c r="AC750" s="35">
        <v>20</v>
      </c>
      <c r="AD750" s="35">
        <v>21.7</v>
      </c>
      <c r="AE750" s="35">
        <v>20</v>
      </c>
    </row>
    <row r="751" spans="1:31" x14ac:dyDescent="0.35">
      <c r="A751" s="36">
        <v>46059.984722222223</v>
      </c>
      <c r="B751" s="35">
        <v>-21.4</v>
      </c>
      <c r="C751" s="35">
        <v>-27.3</v>
      </c>
      <c r="D751" s="35">
        <v>-23</v>
      </c>
      <c r="E751" s="35">
        <v>-22.7</v>
      </c>
      <c r="F751" s="35">
        <v>-20.7</v>
      </c>
      <c r="G751" s="35">
        <v>-23</v>
      </c>
      <c r="H751" s="35">
        <v>-21.9</v>
      </c>
      <c r="I751" s="35">
        <v>-1.5</v>
      </c>
      <c r="J751" s="35">
        <v>-23</v>
      </c>
      <c r="K751" s="35">
        <v>-22.6</v>
      </c>
      <c r="L751" s="35">
        <v>-22.4</v>
      </c>
      <c r="M751" s="35">
        <v>-23</v>
      </c>
      <c r="N751" s="35">
        <v>-3.5</v>
      </c>
      <c r="O751" s="35">
        <v>-3.8</v>
      </c>
      <c r="P751" s="35">
        <v>-5</v>
      </c>
      <c r="Q751" s="35">
        <v>-2.8</v>
      </c>
      <c r="R751" s="35">
        <v>-4</v>
      </c>
      <c r="S751" s="35">
        <v>-5</v>
      </c>
      <c r="T751" s="35">
        <v>9.1</v>
      </c>
      <c r="U751" s="35">
        <v>9</v>
      </c>
      <c r="V751" s="35">
        <v>10.1</v>
      </c>
      <c r="W751" s="35">
        <v>9</v>
      </c>
      <c r="X751" s="35">
        <v>10.5</v>
      </c>
      <c r="Y751" s="35">
        <v>9</v>
      </c>
      <c r="Z751" s="35">
        <v>10.8</v>
      </c>
      <c r="AA751" s="35">
        <v>9</v>
      </c>
      <c r="AB751" s="35">
        <v>21.8</v>
      </c>
      <c r="AC751" s="35">
        <v>20</v>
      </c>
      <c r="AD751" s="35">
        <v>21.7</v>
      </c>
      <c r="AE751" s="35">
        <v>20</v>
      </c>
    </row>
    <row r="752" spans="1:31" x14ac:dyDescent="0.35">
      <c r="A752" s="36">
        <v>46059.98541666667</v>
      </c>
      <c r="B752" s="35">
        <v>-21.7</v>
      </c>
      <c r="C752" s="35">
        <v>-26.6</v>
      </c>
      <c r="D752" s="35">
        <v>-23</v>
      </c>
      <c r="E752" s="35">
        <v>-23</v>
      </c>
      <c r="F752" s="35">
        <v>-20.9</v>
      </c>
      <c r="G752" s="35">
        <v>-23</v>
      </c>
      <c r="H752" s="35">
        <v>-21.7</v>
      </c>
      <c r="I752" s="35">
        <v>-2.2999999999999998</v>
      </c>
      <c r="J752" s="35">
        <v>-23</v>
      </c>
      <c r="K752" s="35">
        <v>-22.3</v>
      </c>
      <c r="L752" s="35">
        <v>-22.2</v>
      </c>
      <c r="M752" s="35">
        <v>-23</v>
      </c>
      <c r="N752" s="35">
        <v>-3.6</v>
      </c>
      <c r="O752" s="35">
        <v>-3.9</v>
      </c>
      <c r="P752" s="35">
        <v>-5</v>
      </c>
      <c r="Q752" s="35">
        <v>-2.8</v>
      </c>
      <c r="R752" s="35">
        <v>-4.0999999999999996</v>
      </c>
      <c r="S752" s="35">
        <v>-5</v>
      </c>
      <c r="T752" s="35">
        <v>9.3000000000000007</v>
      </c>
      <c r="U752" s="35">
        <v>9</v>
      </c>
      <c r="V752" s="35">
        <v>10.1</v>
      </c>
      <c r="W752" s="35">
        <v>9</v>
      </c>
      <c r="X752" s="35">
        <v>10.5</v>
      </c>
      <c r="Y752" s="35">
        <v>9</v>
      </c>
      <c r="Z752" s="35">
        <v>10.8</v>
      </c>
      <c r="AA752" s="35">
        <v>9</v>
      </c>
      <c r="AB752" s="35">
        <v>21.8</v>
      </c>
      <c r="AC752" s="35">
        <v>20</v>
      </c>
      <c r="AD752" s="35">
        <v>21.7</v>
      </c>
      <c r="AE752" s="35">
        <v>20</v>
      </c>
    </row>
    <row r="753" spans="1:31" x14ac:dyDescent="0.35">
      <c r="A753" s="36">
        <v>46059.986805555556</v>
      </c>
      <c r="B753" s="35">
        <v>-22.1</v>
      </c>
      <c r="C753" s="35">
        <v>-26.1</v>
      </c>
      <c r="D753" s="35">
        <v>-23</v>
      </c>
      <c r="E753" s="35">
        <v>-23.5</v>
      </c>
      <c r="F753" s="35">
        <v>-21.3</v>
      </c>
      <c r="G753" s="35">
        <v>-23</v>
      </c>
      <c r="H753" s="35">
        <v>-21.3</v>
      </c>
      <c r="I753" s="35">
        <v>-4.3</v>
      </c>
      <c r="J753" s="35">
        <v>-23</v>
      </c>
      <c r="K753" s="35">
        <v>-21.9</v>
      </c>
      <c r="L753" s="35">
        <v>-21.7</v>
      </c>
      <c r="M753" s="35">
        <v>-23</v>
      </c>
      <c r="N753" s="35">
        <v>-3.7</v>
      </c>
      <c r="O753" s="35">
        <v>-4.0999999999999996</v>
      </c>
      <c r="P753" s="35">
        <v>-5</v>
      </c>
      <c r="Q753" s="35">
        <v>-3</v>
      </c>
      <c r="R753" s="35">
        <v>-4.2</v>
      </c>
      <c r="S753" s="35">
        <v>-5</v>
      </c>
      <c r="T753" s="35">
        <v>9.6999999999999993</v>
      </c>
      <c r="U753" s="35">
        <v>9</v>
      </c>
      <c r="V753" s="35">
        <v>10.1</v>
      </c>
      <c r="W753" s="35">
        <v>9</v>
      </c>
      <c r="X753" s="35">
        <v>10.5</v>
      </c>
      <c r="Y753" s="35">
        <v>9</v>
      </c>
      <c r="Z753" s="35">
        <v>10.8</v>
      </c>
      <c r="AA753" s="35">
        <v>9</v>
      </c>
      <c r="AB753" s="35">
        <v>21.8</v>
      </c>
      <c r="AC753" s="35">
        <v>20</v>
      </c>
      <c r="AD753" s="35">
        <v>21.7</v>
      </c>
      <c r="AE753" s="35">
        <v>20</v>
      </c>
    </row>
    <row r="754" spans="1:31" x14ac:dyDescent="0.35">
      <c r="A754" s="36">
        <v>46059.987500000003</v>
      </c>
      <c r="B754" s="35">
        <v>-22.3</v>
      </c>
      <c r="C754" s="35">
        <v>-27.4</v>
      </c>
      <c r="D754" s="35">
        <v>-23</v>
      </c>
      <c r="E754" s="35">
        <v>-23.8</v>
      </c>
      <c r="F754" s="35">
        <v>-21.5</v>
      </c>
      <c r="G754" s="35">
        <v>-23</v>
      </c>
      <c r="H754" s="35">
        <v>-21</v>
      </c>
      <c r="I754" s="35">
        <v>-5.2</v>
      </c>
      <c r="J754" s="35">
        <v>-23</v>
      </c>
      <c r="K754" s="35">
        <v>-21.7</v>
      </c>
      <c r="L754" s="35">
        <v>-21.6</v>
      </c>
      <c r="M754" s="35">
        <v>-23</v>
      </c>
      <c r="N754" s="35">
        <v>-3.8</v>
      </c>
      <c r="O754" s="35">
        <v>-4.2</v>
      </c>
      <c r="P754" s="35">
        <v>-5</v>
      </c>
      <c r="Q754" s="35">
        <v>-3</v>
      </c>
      <c r="R754" s="35">
        <v>-4.3</v>
      </c>
      <c r="S754" s="35">
        <v>-5</v>
      </c>
      <c r="T754" s="35">
        <v>9.9</v>
      </c>
      <c r="U754" s="35">
        <v>9</v>
      </c>
      <c r="V754" s="35">
        <v>10.1</v>
      </c>
      <c r="W754" s="35">
        <v>9</v>
      </c>
      <c r="X754" s="35">
        <v>10.5</v>
      </c>
      <c r="Y754" s="35">
        <v>9</v>
      </c>
      <c r="Z754" s="35">
        <v>10.8</v>
      </c>
      <c r="AA754" s="35">
        <v>9</v>
      </c>
      <c r="AB754" s="35">
        <v>21.8</v>
      </c>
      <c r="AC754" s="35">
        <v>20</v>
      </c>
      <c r="AD754" s="35">
        <v>21.7</v>
      </c>
      <c r="AE754" s="35">
        <v>20</v>
      </c>
    </row>
    <row r="755" spans="1:31" x14ac:dyDescent="0.35">
      <c r="A755" s="36">
        <v>46059.988194444442</v>
      </c>
      <c r="B755" s="35">
        <v>-22.5</v>
      </c>
      <c r="C755" s="35">
        <v>-28.5</v>
      </c>
      <c r="D755" s="35">
        <v>-23</v>
      </c>
      <c r="E755" s="35">
        <v>-24</v>
      </c>
      <c r="F755" s="35">
        <v>-21.7</v>
      </c>
      <c r="G755" s="35">
        <v>-23</v>
      </c>
      <c r="H755" s="35">
        <v>-20.9</v>
      </c>
      <c r="I755" s="35">
        <v>-5.9</v>
      </c>
      <c r="J755" s="35">
        <v>-23</v>
      </c>
      <c r="K755" s="35">
        <v>-21.6</v>
      </c>
      <c r="L755" s="35">
        <v>-21.4</v>
      </c>
      <c r="M755" s="35">
        <v>-23</v>
      </c>
      <c r="N755" s="35">
        <v>-3.8</v>
      </c>
      <c r="O755" s="35">
        <v>-4.3</v>
      </c>
      <c r="P755" s="35">
        <v>-5</v>
      </c>
      <c r="Q755" s="35">
        <v>-3</v>
      </c>
      <c r="R755" s="35">
        <v>-4.3</v>
      </c>
      <c r="S755" s="35">
        <v>-5</v>
      </c>
      <c r="T755" s="35">
        <v>10</v>
      </c>
      <c r="U755" s="35">
        <v>9</v>
      </c>
      <c r="V755" s="35">
        <v>10.1</v>
      </c>
      <c r="W755" s="35">
        <v>9</v>
      </c>
      <c r="X755" s="35">
        <v>10.5</v>
      </c>
      <c r="Y755" s="35">
        <v>9</v>
      </c>
      <c r="Z755" s="35">
        <v>10.8</v>
      </c>
      <c r="AA755" s="35">
        <v>9</v>
      </c>
      <c r="AB755" s="35">
        <v>21.8</v>
      </c>
      <c r="AC755" s="35">
        <v>20</v>
      </c>
      <c r="AD755" s="35">
        <v>21.7</v>
      </c>
      <c r="AE755" s="35">
        <v>20</v>
      </c>
    </row>
    <row r="756" spans="1:31" x14ac:dyDescent="0.35">
      <c r="A756" s="36">
        <v>46059.988888888889</v>
      </c>
      <c r="B756" s="35">
        <v>-22.7</v>
      </c>
      <c r="C756" s="35">
        <v>-27</v>
      </c>
      <c r="D756" s="35">
        <v>-23</v>
      </c>
      <c r="E756" s="35">
        <v>-24.1</v>
      </c>
      <c r="F756" s="35">
        <v>-22</v>
      </c>
      <c r="G756" s="35">
        <v>-23</v>
      </c>
      <c r="H756" s="35">
        <v>-20.7</v>
      </c>
      <c r="I756" s="35">
        <v>-6.5</v>
      </c>
      <c r="J756" s="35">
        <v>-23</v>
      </c>
      <c r="K756" s="35">
        <v>-21.4</v>
      </c>
      <c r="L756" s="35">
        <v>-21.3</v>
      </c>
      <c r="M756" s="35">
        <v>-23</v>
      </c>
      <c r="N756" s="35">
        <v>-3.9</v>
      </c>
      <c r="O756" s="35">
        <v>-4.4000000000000004</v>
      </c>
      <c r="P756" s="35">
        <v>-5</v>
      </c>
      <c r="Q756" s="35">
        <v>-3</v>
      </c>
      <c r="R756" s="35">
        <v>-4.3</v>
      </c>
      <c r="S756" s="35">
        <v>-5</v>
      </c>
      <c r="T756" s="35">
        <v>10.1</v>
      </c>
      <c r="U756" s="35">
        <v>9</v>
      </c>
      <c r="V756" s="35">
        <v>10.199999999999999</v>
      </c>
      <c r="W756" s="35">
        <v>9</v>
      </c>
      <c r="X756" s="35">
        <v>10.4</v>
      </c>
      <c r="Y756" s="35">
        <v>9</v>
      </c>
      <c r="Z756" s="35">
        <v>10.8</v>
      </c>
      <c r="AA756" s="35">
        <v>9</v>
      </c>
      <c r="AB756" s="35">
        <v>21.8</v>
      </c>
      <c r="AC756" s="35">
        <v>20</v>
      </c>
      <c r="AD756" s="35">
        <v>21.7</v>
      </c>
      <c r="AE756" s="35">
        <v>20</v>
      </c>
    </row>
    <row r="757" spans="1:31" x14ac:dyDescent="0.35">
      <c r="A757" s="36">
        <v>46059.989583333336</v>
      </c>
      <c r="B757" s="35">
        <v>-22.8</v>
      </c>
      <c r="C757" s="35">
        <v>-25.9</v>
      </c>
      <c r="D757" s="35">
        <v>-23</v>
      </c>
      <c r="E757" s="35">
        <v>-24.2</v>
      </c>
      <c r="F757" s="35">
        <v>-22.2</v>
      </c>
      <c r="G757" s="35">
        <v>-23</v>
      </c>
      <c r="H757" s="35">
        <v>-20.6</v>
      </c>
      <c r="I757" s="35">
        <v>-6.9</v>
      </c>
      <c r="J757" s="35">
        <v>-23</v>
      </c>
      <c r="K757" s="35">
        <v>-21.3</v>
      </c>
      <c r="L757" s="35">
        <v>-21.1</v>
      </c>
      <c r="M757" s="35">
        <v>-23</v>
      </c>
      <c r="N757" s="35">
        <v>-4</v>
      </c>
      <c r="O757" s="35">
        <v>-4.5</v>
      </c>
      <c r="P757" s="35">
        <v>-5</v>
      </c>
      <c r="Q757" s="35">
        <v>-3.1</v>
      </c>
      <c r="R757" s="35">
        <v>-4.3</v>
      </c>
      <c r="S757" s="35">
        <v>-5</v>
      </c>
      <c r="T757" s="35">
        <v>10.199999999999999</v>
      </c>
      <c r="U757" s="35">
        <v>9</v>
      </c>
      <c r="V757" s="35">
        <v>10.199999999999999</v>
      </c>
      <c r="W757" s="35">
        <v>9</v>
      </c>
      <c r="X757" s="35">
        <v>10.199999999999999</v>
      </c>
      <c r="Y757" s="35">
        <v>9</v>
      </c>
      <c r="Z757" s="35">
        <v>10.8</v>
      </c>
      <c r="AA757" s="35">
        <v>9</v>
      </c>
      <c r="AB757" s="35">
        <v>21.8</v>
      </c>
      <c r="AC757" s="35">
        <v>20</v>
      </c>
      <c r="AD757" s="35">
        <v>21.7</v>
      </c>
      <c r="AE757" s="35">
        <v>20</v>
      </c>
    </row>
    <row r="758" spans="1:31" x14ac:dyDescent="0.35">
      <c r="A758" s="36">
        <v>46059.990277777775</v>
      </c>
      <c r="B758" s="35">
        <v>-22.9</v>
      </c>
      <c r="C758" s="35">
        <v>-26.1</v>
      </c>
      <c r="D758" s="35">
        <v>-23</v>
      </c>
      <c r="E758" s="35">
        <v>-24.4</v>
      </c>
      <c r="F758" s="35">
        <v>-22.4</v>
      </c>
      <c r="G758" s="35">
        <v>-23</v>
      </c>
      <c r="H758" s="35">
        <v>-20.5</v>
      </c>
      <c r="I758" s="35">
        <v>-7.3</v>
      </c>
      <c r="J758" s="35">
        <v>-23</v>
      </c>
      <c r="K758" s="35">
        <v>-21.2</v>
      </c>
      <c r="L758" s="35">
        <v>-21</v>
      </c>
      <c r="M758" s="35">
        <v>-23</v>
      </c>
      <c r="N758" s="35">
        <v>-4.0999999999999996</v>
      </c>
      <c r="O758" s="35">
        <v>-4.5</v>
      </c>
      <c r="P758" s="35">
        <v>-5</v>
      </c>
      <c r="Q758" s="35">
        <v>-3.1</v>
      </c>
      <c r="R758" s="35">
        <v>-4.4000000000000004</v>
      </c>
      <c r="S758" s="35">
        <v>-5</v>
      </c>
      <c r="T758" s="35">
        <v>10.3</v>
      </c>
      <c r="U758" s="35">
        <v>9</v>
      </c>
      <c r="V758" s="35">
        <v>10.199999999999999</v>
      </c>
      <c r="W758" s="35">
        <v>9</v>
      </c>
      <c r="X758" s="35">
        <v>10.199999999999999</v>
      </c>
      <c r="Y758" s="35">
        <v>9</v>
      </c>
      <c r="Z758" s="35">
        <v>10.8</v>
      </c>
      <c r="AA758" s="35">
        <v>9</v>
      </c>
      <c r="AB758" s="35">
        <v>21.8</v>
      </c>
      <c r="AC758" s="35">
        <v>20</v>
      </c>
      <c r="AD758" s="35">
        <v>21.7</v>
      </c>
      <c r="AE758" s="35">
        <v>20</v>
      </c>
    </row>
    <row r="759" spans="1:31" x14ac:dyDescent="0.35">
      <c r="A759" s="36">
        <v>46059.990972222222</v>
      </c>
      <c r="B759" s="35">
        <v>-23</v>
      </c>
      <c r="C759" s="35">
        <v>-27.9</v>
      </c>
      <c r="D759" s="35">
        <v>-23</v>
      </c>
      <c r="E759" s="35">
        <v>-24.6</v>
      </c>
      <c r="F759" s="35">
        <v>-22.6</v>
      </c>
      <c r="G759" s="35">
        <v>-23</v>
      </c>
      <c r="H759" s="35">
        <v>-20.3</v>
      </c>
      <c r="I759" s="35">
        <v>-7.7</v>
      </c>
      <c r="J759" s="35">
        <v>-23</v>
      </c>
      <c r="K759" s="35">
        <v>-21</v>
      </c>
      <c r="L759" s="35">
        <v>-20.9</v>
      </c>
      <c r="M759" s="35">
        <v>-23</v>
      </c>
      <c r="N759" s="35">
        <v>-4.0999999999999996</v>
      </c>
      <c r="O759" s="35">
        <v>-4.5999999999999996</v>
      </c>
      <c r="P759" s="35">
        <v>-5</v>
      </c>
      <c r="Q759" s="35">
        <v>-3.2</v>
      </c>
      <c r="R759" s="35">
        <v>-4.5</v>
      </c>
      <c r="S759" s="35">
        <v>-5</v>
      </c>
      <c r="T759" s="35">
        <v>10.4</v>
      </c>
      <c r="U759" s="35">
        <v>9</v>
      </c>
      <c r="V759" s="35">
        <v>10.199999999999999</v>
      </c>
      <c r="W759" s="35">
        <v>9</v>
      </c>
      <c r="X759" s="35">
        <v>10</v>
      </c>
      <c r="Y759" s="35">
        <v>9</v>
      </c>
      <c r="Z759" s="35">
        <v>10.8</v>
      </c>
      <c r="AA759" s="35">
        <v>9</v>
      </c>
      <c r="AB759" s="35">
        <v>21.8</v>
      </c>
      <c r="AC759" s="35">
        <v>20</v>
      </c>
      <c r="AD759" s="35">
        <v>21.7</v>
      </c>
      <c r="AE759" s="35">
        <v>20</v>
      </c>
    </row>
    <row r="760" spans="1:31" x14ac:dyDescent="0.35">
      <c r="A760" s="36">
        <v>46059.991666666669</v>
      </c>
      <c r="B760" s="35">
        <v>-23.1</v>
      </c>
      <c r="C760" s="35">
        <v>-27.2</v>
      </c>
      <c r="D760" s="35">
        <v>-23</v>
      </c>
      <c r="E760" s="35">
        <v>-24.3</v>
      </c>
      <c r="F760" s="35">
        <v>-22.6</v>
      </c>
      <c r="G760" s="35">
        <v>-23</v>
      </c>
      <c r="H760" s="35">
        <v>-20.5</v>
      </c>
      <c r="I760" s="35">
        <v>-8.1999999999999993</v>
      </c>
      <c r="J760" s="35">
        <v>-23</v>
      </c>
      <c r="K760" s="35">
        <v>-21</v>
      </c>
      <c r="L760" s="35">
        <v>-20.8</v>
      </c>
      <c r="M760" s="35">
        <v>-23</v>
      </c>
      <c r="N760" s="35">
        <v>-4.2</v>
      </c>
      <c r="O760" s="35">
        <v>-4.7</v>
      </c>
      <c r="P760" s="35">
        <v>-5</v>
      </c>
      <c r="Q760" s="35">
        <v>-3.2</v>
      </c>
      <c r="R760" s="35">
        <v>-4.5</v>
      </c>
      <c r="S760" s="35">
        <v>-5</v>
      </c>
      <c r="T760" s="35">
        <v>10.5</v>
      </c>
      <c r="U760" s="35">
        <v>9</v>
      </c>
      <c r="V760" s="35">
        <v>10.3</v>
      </c>
      <c r="W760" s="35">
        <v>9</v>
      </c>
      <c r="X760" s="35">
        <v>9.8000000000000007</v>
      </c>
      <c r="Y760" s="35">
        <v>9</v>
      </c>
      <c r="Z760" s="35">
        <v>10.8</v>
      </c>
      <c r="AA760" s="35">
        <v>9</v>
      </c>
      <c r="AB760" s="35">
        <v>21.8</v>
      </c>
      <c r="AC760" s="35">
        <v>20</v>
      </c>
      <c r="AD760" s="35">
        <v>21.7</v>
      </c>
      <c r="AE760" s="35">
        <v>20</v>
      </c>
    </row>
    <row r="761" spans="1:31" x14ac:dyDescent="0.35">
      <c r="A761" s="36">
        <v>46059.992361111108</v>
      </c>
      <c r="B761" s="35">
        <v>-23.1</v>
      </c>
      <c r="C761" s="35">
        <v>-25.8</v>
      </c>
      <c r="D761" s="35">
        <v>-23</v>
      </c>
      <c r="E761" s="35">
        <v>-23.8</v>
      </c>
      <c r="F761" s="35">
        <v>-22.6</v>
      </c>
      <c r="G761" s="35">
        <v>-23</v>
      </c>
      <c r="H761" s="35">
        <v>-21.2</v>
      </c>
      <c r="I761" s="35">
        <v>-8.8000000000000007</v>
      </c>
      <c r="J761" s="35">
        <v>-23</v>
      </c>
      <c r="K761" s="35">
        <v>-21.1</v>
      </c>
      <c r="L761" s="35">
        <v>-21.5</v>
      </c>
      <c r="M761" s="35">
        <v>-23</v>
      </c>
      <c r="N761" s="35">
        <v>-4.3</v>
      </c>
      <c r="O761" s="35">
        <v>-4.8</v>
      </c>
      <c r="P761" s="35">
        <v>-5</v>
      </c>
      <c r="Q761" s="35">
        <v>-3.2</v>
      </c>
      <c r="R761" s="35">
        <v>-4.5</v>
      </c>
      <c r="S761" s="35">
        <v>-5</v>
      </c>
      <c r="T761" s="35">
        <v>10.6</v>
      </c>
      <c r="U761" s="35">
        <v>9</v>
      </c>
      <c r="V761" s="35">
        <v>10.4</v>
      </c>
      <c r="W761" s="35">
        <v>9</v>
      </c>
      <c r="X761" s="35">
        <v>9.8000000000000007</v>
      </c>
      <c r="Y761" s="35">
        <v>9</v>
      </c>
      <c r="Z761" s="35">
        <v>10.7</v>
      </c>
      <c r="AA761" s="35">
        <v>9</v>
      </c>
      <c r="AB761" s="35">
        <v>21.8</v>
      </c>
      <c r="AC761" s="35">
        <v>20</v>
      </c>
      <c r="AD761" s="35">
        <v>21.7</v>
      </c>
      <c r="AE761" s="35">
        <v>20</v>
      </c>
    </row>
    <row r="762" spans="1:31" x14ac:dyDescent="0.35">
      <c r="A762" s="36">
        <v>46059.993055555555</v>
      </c>
      <c r="B762" s="35">
        <v>-23</v>
      </c>
      <c r="C762" s="35">
        <v>-24.9</v>
      </c>
      <c r="D762" s="35">
        <v>-23</v>
      </c>
      <c r="E762" s="35">
        <v>-23.5</v>
      </c>
      <c r="F762" s="35">
        <v>-22.6</v>
      </c>
      <c r="G762" s="35">
        <v>-23</v>
      </c>
      <c r="H762" s="35">
        <v>-21.8</v>
      </c>
      <c r="I762" s="35">
        <v>-9.4</v>
      </c>
      <c r="J762" s="35">
        <v>-23</v>
      </c>
      <c r="K762" s="35">
        <v>-21.5</v>
      </c>
      <c r="L762" s="35">
        <v>-21.9</v>
      </c>
      <c r="M762" s="35">
        <v>-23</v>
      </c>
      <c r="N762" s="35">
        <v>-4.4000000000000004</v>
      </c>
      <c r="O762" s="35">
        <v>-4.8</v>
      </c>
      <c r="P762" s="35">
        <v>-5</v>
      </c>
      <c r="Q762" s="35">
        <v>-3.2</v>
      </c>
      <c r="R762" s="35">
        <v>-4.5</v>
      </c>
      <c r="S762" s="35">
        <v>-5</v>
      </c>
      <c r="T762" s="35">
        <v>10.7</v>
      </c>
      <c r="U762" s="35">
        <v>9</v>
      </c>
      <c r="V762" s="35">
        <v>10.4</v>
      </c>
      <c r="W762" s="35">
        <v>9</v>
      </c>
      <c r="X762" s="35">
        <v>9.8000000000000007</v>
      </c>
      <c r="Y762" s="35">
        <v>9</v>
      </c>
      <c r="Z762" s="35">
        <v>10.7</v>
      </c>
      <c r="AA762" s="35">
        <v>9</v>
      </c>
      <c r="AB762" s="35">
        <v>21.8</v>
      </c>
      <c r="AC762" s="35">
        <v>20</v>
      </c>
      <c r="AD762" s="35">
        <v>21.7</v>
      </c>
      <c r="AE762" s="35">
        <v>20</v>
      </c>
    </row>
    <row r="763" spans="1:31" x14ac:dyDescent="0.35">
      <c r="A763" s="36">
        <v>46059.993750000001</v>
      </c>
      <c r="B763" s="35">
        <v>-22.8</v>
      </c>
      <c r="C763" s="35">
        <v>-24.3</v>
      </c>
      <c r="D763" s="35">
        <v>-23</v>
      </c>
      <c r="E763" s="35">
        <v>-23.2</v>
      </c>
      <c r="F763" s="35">
        <v>-22.5</v>
      </c>
      <c r="G763" s="35">
        <v>-23</v>
      </c>
      <c r="H763" s="35">
        <v>-22.2</v>
      </c>
      <c r="I763" s="35">
        <v>-9.8000000000000007</v>
      </c>
      <c r="J763" s="35">
        <v>-23</v>
      </c>
      <c r="K763" s="35">
        <v>-21.8</v>
      </c>
      <c r="L763" s="35">
        <v>-22.1</v>
      </c>
      <c r="M763" s="35">
        <v>-23</v>
      </c>
      <c r="N763" s="35">
        <v>-4.4000000000000004</v>
      </c>
      <c r="O763" s="35">
        <v>-4.9000000000000004</v>
      </c>
      <c r="P763" s="35">
        <v>-5</v>
      </c>
      <c r="Q763" s="35">
        <v>-3.2</v>
      </c>
      <c r="R763" s="35">
        <v>-4.5</v>
      </c>
      <c r="S763" s="35">
        <v>-5</v>
      </c>
      <c r="T763" s="35">
        <v>10.7</v>
      </c>
      <c r="U763" s="35">
        <v>9</v>
      </c>
      <c r="V763" s="35">
        <v>10.4</v>
      </c>
      <c r="W763" s="35">
        <v>9</v>
      </c>
      <c r="X763" s="35">
        <v>9.8000000000000007</v>
      </c>
      <c r="Y763" s="35">
        <v>9</v>
      </c>
      <c r="Z763" s="35">
        <v>10.7</v>
      </c>
      <c r="AA763" s="35">
        <v>9</v>
      </c>
      <c r="AB763" s="35">
        <v>21.8</v>
      </c>
      <c r="AC763" s="35">
        <v>20</v>
      </c>
      <c r="AD763" s="35">
        <v>21.7</v>
      </c>
      <c r="AE763" s="35">
        <v>20</v>
      </c>
    </row>
    <row r="764" spans="1:31" x14ac:dyDescent="0.35">
      <c r="A764" s="36">
        <v>46059.994444444441</v>
      </c>
      <c r="B764" s="35">
        <v>-22.6</v>
      </c>
      <c r="C764" s="35">
        <v>-23.8</v>
      </c>
      <c r="D764" s="35">
        <v>-23</v>
      </c>
      <c r="E764" s="35">
        <v>-22.9</v>
      </c>
      <c r="F764" s="35">
        <v>-22.4</v>
      </c>
      <c r="G764" s="35">
        <v>-23</v>
      </c>
      <c r="H764" s="35">
        <v>-22.6</v>
      </c>
      <c r="I764" s="35">
        <v>-10.3</v>
      </c>
      <c r="J764" s="35">
        <v>-23</v>
      </c>
      <c r="K764" s="35">
        <v>-22.1</v>
      </c>
      <c r="L764" s="35">
        <v>-22.6</v>
      </c>
      <c r="M764" s="35">
        <v>-23</v>
      </c>
      <c r="N764" s="35">
        <v>-4.5</v>
      </c>
      <c r="O764" s="35">
        <v>-5</v>
      </c>
      <c r="P764" s="35">
        <v>-5</v>
      </c>
      <c r="Q764" s="35">
        <v>-3.2</v>
      </c>
      <c r="R764" s="35">
        <v>-4.5</v>
      </c>
      <c r="S764" s="35">
        <v>-5</v>
      </c>
      <c r="T764" s="35">
        <v>10.8</v>
      </c>
      <c r="U764" s="35">
        <v>9</v>
      </c>
      <c r="V764" s="35">
        <v>10.5</v>
      </c>
      <c r="W764" s="35">
        <v>9</v>
      </c>
      <c r="X764" s="35">
        <v>9.8000000000000007</v>
      </c>
      <c r="Y764" s="35">
        <v>9</v>
      </c>
      <c r="Z764" s="35">
        <v>10.7</v>
      </c>
      <c r="AA764" s="35">
        <v>9</v>
      </c>
      <c r="AB764" s="35">
        <v>21.8</v>
      </c>
      <c r="AC764" s="35">
        <v>20</v>
      </c>
      <c r="AD764" s="35">
        <v>21.7</v>
      </c>
      <c r="AE764" s="35">
        <v>20</v>
      </c>
    </row>
    <row r="765" spans="1:31" x14ac:dyDescent="0.35">
      <c r="A765" s="36">
        <v>46059.995138888888</v>
      </c>
      <c r="B765" s="35">
        <v>-22.4</v>
      </c>
      <c r="C765" s="35">
        <v>-23.5</v>
      </c>
      <c r="D765" s="35">
        <v>-23</v>
      </c>
      <c r="E765" s="35">
        <v>-22.7</v>
      </c>
      <c r="F765" s="35">
        <v>-22.2</v>
      </c>
      <c r="G765" s="35">
        <v>-23</v>
      </c>
      <c r="H765" s="35">
        <v>-22.8</v>
      </c>
      <c r="I765" s="35">
        <v>-10.9</v>
      </c>
      <c r="J765" s="35">
        <v>-23</v>
      </c>
      <c r="K765" s="35">
        <v>-22.4</v>
      </c>
      <c r="L765" s="35">
        <v>-22.9</v>
      </c>
      <c r="M765" s="35">
        <v>-23</v>
      </c>
      <c r="N765" s="35">
        <v>-4.5</v>
      </c>
      <c r="O765" s="35">
        <v>-5.0999999999999996</v>
      </c>
      <c r="P765" s="35">
        <v>-5</v>
      </c>
      <c r="Q765" s="35">
        <v>-3.2</v>
      </c>
      <c r="R765" s="35">
        <v>-4.5999999999999996</v>
      </c>
      <c r="S765" s="35">
        <v>-5</v>
      </c>
      <c r="T765" s="35">
        <v>10.9</v>
      </c>
      <c r="U765" s="35">
        <v>9</v>
      </c>
      <c r="V765" s="35">
        <v>10.5</v>
      </c>
      <c r="W765" s="35">
        <v>9</v>
      </c>
      <c r="X765" s="35">
        <v>9.8000000000000007</v>
      </c>
      <c r="Y765" s="35">
        <v>9</v>
      </c>
      <c r="Z765" s="35">
        <v>10.7</v>
      </c>
      <c r="AA765" s="35">
        <v>9</v>
      </c>
      <c r="AB765" s="35">
        <v>21.8</v>
      </c>
      <c r="AC765" s="35">
        <v>20</v>
      </c>
      <c r="AD765" s="35">
        <v>21.7</v>
      </c>
      <c r="AE765" s="35">
        <v>20</v>
      </c>
    </row>
    <row r="766" spans="1:31" x14ac:dyDescent="0.35">
      <c r="A766" s="36">
        <v>46059.995833333334</v>
      </c>
      <c r="B766" s="35">
        <v>-22.2</v>
      </c>
      <c r="C766" s="35">
        <v>-23.2</v>
      </c>
      <c r="D766" s="35">
        <v>-23</v>
      </c>
      <c r="E766" s="35">
        <v>-22.5</v>
      </c>
      <c r="F766" s="35">
        <v>-22.1</v>
      </c>
      <c r="G766" s="35">
        <v>-23</v>
      </c>
      <c r="H766" s="35">
        <v>-23.2</v>
      </c>
      <c r="I766" s="35">
        <v>-11.5</v>
      </c>
      <c r="J766" s="35">
        <v>-23</v>
      </c>
      <c r="K766" s="35">
        <v>-22.7</v>
      </c>
      <c r="L766" s="35">
        <v>-23.2</v>
      </c>
      <c r="M766" s="35">
        <v>-23</v>
      </c>
      <c r="N766" s="35">
        <v>-4.5999999999999996</v>
      </c>
      <c r="O766" s="35">
        <v>-5.0999999999999996</v>
      </c>
      <c r="P766" s="35">
        <v>-5</v>
      </c>
      <c r="Q766" s="35">
        <v>-3.3</v>
      </c>
      <c r="R766" s="35">
        <v>-4.5999999999999996</v>
      </c>
      <c r="S766" s="35">
        <v>-5</v>
      </c>
      <c r="T766" s="35">
        <v>10.9</v>
      </c>
      <c r="U766" s="35">
        <v>9</v>
      </c>
      <c r="V766" s="35">
        <v>10.6</v>
      </c>
      <c r="W766" s="35">
        <v>9</v>
      </c>
      <c r="X766" s="35">
        <v>9.8000000000000007</v>
      </c>
      <c r="Y766" s="35">
        <v>9</v>
      </c>
      <c r="Z766" s="35">
        <v>10.7</v>
      </c>
      <c r="AA766" s="35">
        <v>9</v>
      </c>
      <c r="AB766" s="35">
        <v>21.8</v>
      </c>
      <c r="AC766" s="35">
        <v>20</v>
      </c>
      <c r="AD766" s="35">
        <v>21.7</v>
      </c>
      <c r="AE766" s="35">
        <v>20</v>
      </c>
    </row>
    <row r="767" spans="1:31" x14ac:dyDescent="0.35">
      <c r="A767" s="36">
        <v>46059.996527777781</v>
      </c>
      <c r="B767" s="35">
        <v>-22</v>
      </c>
      <c r="C767" s="35">
        <v>-22.9</v>
      </c>
      <c r="D767" s="35">
        <v>-23</v>
      </c>
      <c r="E767" s="35">
        <v>-22.3</v>
      </c>
      <c r="F767" s="35">
        <v>-22</v>
      </c>
      <c r="G767" s="35">
        <v>-23</v>
      </c>
      <c r="H767" s="35">
        <v>-23.4</v>
      </c>
      <c r="I767" s="35">
        <v>-11.9</v>
      </c>
      <c r="J767" s="35">
        <v>-23</v>
      </c>
      <c r="K767" s="35">
        <v>-22.9</v>
      </c>
      <c r="L767" s="35">
        <v>-23.5</v>
      </c>
      <c r="M767" s="35">
        <v>-23</v>
      </c>
      <c r="N767" s="35">
        <v>-4.5999999999999996</v>
      </c>
      <c r="O767" s="35">
        <v>-5.2</v>
      </c>
      <c r="P767" s="35">
        <v>-5</v>
      </c>
      <c r="Q767" s="35">
        <v>-3.3</v>
      </c>
      <c r="R767" s="35">
        <v>-4.5999999999999996</v>
      </c>
      <c r="S767" s="35">
        <v>-5</v>
      </c>
      <c r="T767" s="35">
        <v>11</v>
      </c>
      <c r="U767" s="35">
        <v>9</v>
      </c>
      <c r="V767" s="35">
        <v>10.6</v>
      </c>
      <c r="W767" s="35">
        <v>9</v>
      </c>
      <c r="X767" s="35">
        <v>9.8000000000000007</v>
      </c>
      <c r="Y767" s="35">
        <v>9</v>
      </c>
      <c r="Z767" s="35">
        <v>10.7</v>
      </c>
      <c r="AA767" s="35">
        <v>9</v>
      </c>
      <c r="AB767" s="35">
        <v>21.8</v>
      </c>
      <c r="AC767" s="35">
        <v>20</v>
      </c>
      <c r="AD767" s="35">
        <v>21.7</v>
      </c>
      <c r="AE767" s="35">
        <v>20</v>
      </c>
    </row>
    <row r="768" spans="1:31" x14ac:dyDescent="0.35">
      <c r="A768" s="36">
        <v>46059.99722222222</v>
      </c>
      <c r="B768" s="35">
        <v>-21.9</v>
      </c>
      <c r="C768" s="35">
        <v>-22.6</v>
      </c>
      <c r="D768" s="35">
        <v>-23</v>
      </c>
      <c r="E768" s="35">
        <v>-22.1</v>
      </c>
      <c r="F768" s="35">
        <v>-21.9</v>
      </c>
      <c r="G768" s="35">
        <v>-23</v>
      </c>
      <c r="H768" s="35">
        <v>-23.6</v>
      </c>
      <c r="I768" s="35">
        <v>-12.5</v>
      </c>
      <c r="J768" s="35">
        <v>-23</v>
      </c>
      <c r="K768" s="35">
        <v>-23.2</v>
      </c>
      <c r="L768" s="35">
        <v>-23.6</v>
      </c>
      <c r="M768" s="35">
        <v>-23</v>
      </c>
      <c r="N768" s="35">
        <v>-4.7</v>
      </c>
      <c r="O768" s="35">
        <v>-5.3</v>
      </c>
      <c r="P768" s="35">
        <v>-5</v>
      </c>
      <c r="Q768" s="35">
        <v>-3.3</v>
      </c>
      <c r="R768" s="35">
        <v>-4.5999999999999996</v>
      </c>
      <c r="S768" s="35">
        <v>-5</v>
      </c>
      <c r="T768" s="35">
        <v>10.9</v>
      </c>
      <c r="U768" s="35">
        <v>9</v>
      </c>
      <c r="V768" s="35">
        <v>10.6</v>
      </c>
      <c r="W768" s="35">
        <v>9</v>
      </c>
      <c r="X768" s="35">
        <v>10</v>
      </c>
      <c r="Y768" s="35">
        <v>9</v>
      </c>
      <c r="Z768" s="35">
        <v>10.6</v>
      </c>
      <c r="AA768" s="35">
        <v>9</v>
      </c>
      <c r="AB768" s="35">
        <v>21.8</v>
      </c>
      <c r="AC768" s="35">
        <v>20</v>
      </c>
      <c r="AD768" s="35">
        <v>21.7</v>
      </c>
      <c r="AE768" s="35">
        <v>20</v>
      </c>
    </row>
    <row r="769" spans="1:31" x14ac:dyDescent="0.35">
      <c r="A769" s="36">
        <v>46059.997916666667</v>
      </c>
      <c r="B769" s="35">
        <v>-21.7</v>
      </c>
      <c r="C769" s="35">
        <v>-22.4</v>
      </c>
      <c r="D769" s="35">
        <v>-23</v>
      </c>
      <c r="E769" s="35">
        <v>-22</v>
      </c>
      <c r="F769" s="35">
        <v>-21.8</v>
      </c>
      <c r="G769" s="35">
        <v>-23</v>
      </c>
      <c r="H769" s="35">
        <v>-23.2</v>
      </c>
      <c r="I769" s="35">
        <v>-12.9</v>
      </c>
      <c r="J769" s="35">
        <v>-23</v>
      </c>
      <c r="K769" s="35">
        <v>-23.2</v>
      </c>
      <c r="L769" s="35">
        <v>-23.4</v>
      </c>
      <c r="M769" s="35">
        <v>-23</v>
      </c>
      <c r="N769" s="35">
        <v>-4.8</v>
      </c>
      <c r="O769" s="35">
        <v>-5.3</v>
      </c>
      <c r="P769" s="35">
        <v>-5</v>
      </c>
      <c r="Q769" s="35">
        <v>-3.5</v>
      </c>
      <c r="R769" s="35">
        <v>-4.7</v>
      </c>
      <c r="S769" s="35">
        <v>-5</v>
      </c>
      <c r="T769" s="35">
        <v>10.4</v>
      </c>
      <c r="U769" s="35">
        <v>9</v>
      </c>
      <c r="V769" s="35">
        <v>10.6</v>
      </c>
      <c r="W769" s="35">
        <v>9</v>
      </c>
      <c r="X769" s="35">
        <v>10.3</v>
      </c>
      <c r="Y769" s="35">
        <v>9</v>
      </c>
      <c r="Z769" s="35">
        <v>10.6</v>
      </c>
      <c r="AA769" s="35">
        <v>9</v>
      </c>
      <c r="AB769" s="35">
        <v>21.8</v>
      </c>
      <c r="AC769" s="35">
        <v>20</v>
      </c>
      <c r="AD769" s="35">
        <v>21.7</v>
      </c>
      <c r="AE769" s="35">
        <v>20</v>
      </c>
    </row>
    <row r="770" spans="1:31" x14ac:dyDescent="0.35">
      <c r="A770" s="36">
        <v>46059.998611111114</v>
      </c>
      <c r="B770" s="35">
        <v>-21.6</v>
      </c>
      <c r="C770" s="35">
        <v>-22.2</v>
      </c>
      <c r="D770" s="35">
        <v>-23</v>
      </c>
      <c r="E770" s="35">
        <v>-21.8</v>
      </c>
      <c r="F770" s="35">
        <v>-21.6</v>
      </c>
      <c r="G770" s="35">
        <v>-23</v>
      </c>
      <c r="H770" s="35">
        <v>-22.7</v>
      </c>
      <c r="I770" s="35">
        <v>-13.3</v>
      </c>
      <c r="J770" s="35">
        <v>-23</v>
      </c>
      <c r="K770" s="35">
        <v>-23</v>
      </c>
      <c r="L770" s="35">
        <v>-22.9</v>
      </c>
      <c r="M770" s="35">
        <v>-23</v>
      </c>
      <c r="N770" s="35">
        <v>-4.9000000000000004</v>
      </c>
      <c r="O770" s="35">
        <v>-5.4</v>
      </c>
      <c r="P770" s="35">
        <v>-5</v>
      </c>
      <c r="Q770" s="35">
        <v>-3.7</v>
      </c>
      <c r="R770" s="35">
        <v>-4.9000000000000004</v>
      </c>
      <c r="S770" s="35">
        <v>-5</v>
      </c>
      <c r="T770" s="35">
        <v>9.8000000000000007</v>
      </c>
      <c r="U770" s="35">
        <v>9</v>
      </c>
      <c r="V770" s="35">
        <v>10.6</v>
      </c>
      <c r="W770" s="35">
        <v>9</v>
      </c>
      <c r="X770" s="35">
        <v>10.5</v>
      </c>
      <c r="Y770" s="35">
        <v>9</v>
      </c>
      <c r="Z770" s="35">
        <v>10.6</v>
      </c>
      <c r="AA770" s="35">
        <v>9</v>
      </c>
      <c r="AB770" s="35">
        <v>21.8</v>
      </c>
      <c r="AC770" s="35">
        <v>20</v>
      </c>
      <c r="AD770" s="35">
        <v>21.7</v>
      </c>
      <c r="AE770" s="35">
        <v>20</v>
      </c>
    </row>
    <row r="771" spans="1:31" x14ac:dyDescent="0.35">
      <c r="A771" s="36">
        <v>46059.999305555553</v>
      </c>
      <c r="B771" s="35">
        <v>-21.5</v>
      </c>
      <c r="C771" s="35">
        <v>-22</v>
      </c>
      <c r="D771" s="35">
        <v>-23</v>
      </c>
      <c r="E771" s="35">
        <v>-21.6</v>
      </c>
      <c r="F771" s="35">
        <v>-21.5</v>
      </c>
      <c r="G771" s="35">
        <v>-23</v>
      </c>
      <c r="H771" s="35">
        <v>-22.3</v>
      </c>
      <c r="I771" s="35">
        <v>-14</v>
      </c>
      <c r="J771" s="35">
        <v>-23</v>
      </c>
      <c r="K771" s="35">
        <v>-22.8</v>
      </c>
      <c r="L771" s="35">
        <v>-22.6</v>
      </c>
      <c r="M771" s="35">
        <v>-23</v>
      </c>
      <c r="N771" s="35">
        <v>-4.9000000000000004</v>
      </c>
      <c r="O771" s="35">
        <v>-5.5</v>
      </c>
      <c r="P771" s="35">
        <v>-5</v>
      </c>
      <c r="Q771" s="35">
        <v>-3.7</v>
      </c>
      <c r="R771" s="35">
        <v>-5</v>
      </c>
      <c r="S771" s="35">
        <v>-5</v>
      </c>
      <c r="T771" s="35">
        <v>9.3000000000000007</v>
      </c>
      <c r="U771" s="35">
        <v>9</v>
      </c>
      <c r="V771" s="35">
        <v>10.4</v>
      </c>
      <c r="W771" s="35">
        <v>9</v>
      </c>
      <c r="X771" s="35">
        <v>10.5</v>
      </c>
      <c r="Y771" s="35">
        <v>9</v>
      </c>
      <c r="Z771" s="35">
        <v>10.6</v>
      </c>
      <c r="AA771" s="35">
        <v>9</v>
      </c>
      <c r="AB771" s="35">
        <v>21.8</v>
      </c>
      <c r="AC771" s="35">
        <v>20</v>
      </c>
      <c r="AD771" s="35">
        <v>21.7</v>
      </c>
      <c r="AE771" s="35">
        <v>20</v>
      </c>
    </row>
    <row r="772" spans="1:31" x14ac:dyDescent="0.35">
      <c r="A772" s="2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 spans="1:31" x14ac:dyDescent="0.35">
      <c r="A773" s="2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 spans="1:31" x14ac:dyDescent="0.35">
      <c r="A774" s="2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 spans="1:31" x14ac:dyDescent="0.35">
      <c r="A775" s="2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 spans="1:31" x14ac:dyDescent="0.35">
      <c r="A776" s="2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 spans="1:31" x14ac:dyDescent="0.35">
      <c r="A777" s="2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 spans="1:31" x14ac:dyDescent="0.35">
      <c r="A778" s="2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 spans="1:31" x14ac:dyDescent="0.35">
      <c r="A779" s="2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 spans="1:31" x14ac:dyDescent="0.35">
      <c r="A780" s="2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 spans="1:31" x14ac:dyDescent="0.35">
      <c r="A781" s="2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 spans="1:31" x14ac:dyDescent="0.35">
      <c r="A782" s="2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 spans="1:31" x14ac:dyDescent="0.35">
      <c r="A783" s="2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 spans="1:31" x14ac:dyDescent="0.35">
      <c r="A784" s="2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 spans="1:31" x14ac:dyDescent="0.35">
      <c r="A785" s="2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 spans="1:31" x14ac:dyDescent="0.35">
      <c r="A786" s="2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 spans="1:31" x14ac:dyDescent="0.35">
      <c r="A787" s="2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 spans="1:31" x14ac:dyDescent="0.35">
      <c r="A788" s="2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 spans="1:31" x14ac:dyDescent="0.35">
      <c r="A789" s="2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 spans="1:31" x14ac:dyDescent="0.35">
      <c r="A790" s="2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 spans="1:31" x14ac:dyDescent="0.35">
      <c r="A791" s="2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 spans="1:31" x14ac:dyDescent="0.35">
      <c r="A792" s="2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 spans="1:31" x14ac:dyDescent="0.35">
      <c r="A793" s="2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 spans="1:31" x14ac:dyDescent="0.35">
      <c r="A794" s="2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 spans="1:31" x14ac:dyDescent="0.35">
      <c r="A795" s="2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 spans="1:31" x14ac:dyDescent="0.35">
      <c r="A796" s="2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 spans="1:31" x14ac:dyDescent="0.35">
      <c r="A797" s="2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 spans="1:31" x14ac:dyDescent="0.35">
      <c r="A798" s="2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 spans="1:31" x14ac:dyDescent="0.35">
      <c r="A799" s="2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 spans="1:31" x14ac:dyDescent="0.35">
      <c r="A800" s="2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 spans="1:31" x14ac:dyDescent="0.35">
      <c r="A801" s="2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 spans="1:31" x14ac:dyDescent="0.35">
      <c r="A802" s="2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 spans="1:31" x14ac:dyDescent="0.35">
      <c r="A803" s="2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 spans="1:31" x14ac:dyDescent="0.35">
      <c r="A804" s="2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 spans="1:31" x14ac:dyDescent="0.35">
      <c r="A805" s="2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 spans="1:31" x14ac:dyDescent="0.35">
      <c r="A806" s="2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 spans="1:31" x14ac:dyDescent="0.35">
      <c r="A807" s="2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 spans="1:31" x14ac:dyDescent="0.35">
      <c r="A808" s="2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 spans="1:31" x14ac:dyDescent="0.35">
      <c r="A809" s="2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 spans="1:31" x14ac:dyDescent="0.35">
      <c r="A810" s="2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 spans="1:31" x14ac:dyDescent="0.35">
      <c r="A811" s="2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 spans="1:31" x14ac:dyDescent="0.35">
      <c r="A812" s="2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 spans="1:31" x14ac:dyDescent="0.35">
      <c r="A813" s="2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 spans="1:31" x14ac:dyDescent="0.35">
      <c r="A814" s="2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 spans="1:31" x14ac:dyDescent="0.35">
      <c r="A815" s="2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 spans="1:31" x14ac:dyDescent="0.35">
      <c r="A816" s="2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 spans="1:31" x14ac:dyDescent="0.35">
      <c r="A817" s="2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 spans="1:31" x14ac:dyDescent="0.35">
      <c r="A818" s="2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 spans="1:31" x14ac:dyDescent="0.35">
      <c r="A819" s="2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 spans="1:31" x14ac:dyDescent="0.35">
      <c r="A820" s="2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 spans="1:31" x14ac:dyDescent="0.35">
      <c r="A821" s="2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 spans="1:31" x14ac:dyDescent="0.35">
      <c r="A822" s="2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 spans="1:31" x14ac:dyDescent="0.35">
      <c r="A823" s="2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 spans="1:31" x14ac:dyDescent="0.35">
      <c r="A824" s="2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 spans="1:31" x14ac:dyDescent="0.35">
      <c r="A825" s="2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 spans="1:31" x14ac:dyDescent="0.35">
      <c r="A826" s="2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 spans="1:31" x14ac:dyDescent="0.35">
      <c r="A827" s="2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 spans="1:31" x14ac:dyDescent="0.35">
      <c r="A828" s="2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 spans="1:31" x14ac:dyDescent="0.35">
      <c r="A829" s="2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 spans="1:31" x14ac:dyDescent="0.35">
      <c r="A830" s="2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 spans="1:31" x14ac:dyDescent="0.35">
      <c r="A831" s="2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 spans="1:31" x14ac:dyDescent="0.35">
      <c r="A832" s="2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 spans="1:31" x14ac:dyDescent="0.35">
      <c r="A833" s="2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 spans="1:31" x14ac:dyDescent="0.35">
      <c r="A834" s="2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 spans="1:31" x14ac:dyDescent="0.35">
      <c r="A835" s="2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 spans="1:31" x14ac:dyDescent="0.35">
      <c r="A836" s="2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 spans="1:31" x14ac:dyDescent="0.35">
      <c r="A837" s="2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 spans="1:31" x14ac:dyDescent="0.35">
      <c r="A838" s="2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 spans="1:31" x14ac:dyDescent="0.35">
      <c r="A839" s="2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 spans="1:31" x14ac:dyDescent="0.35">
      <c r="A840" s="2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 spans="1:31" x14ac:dyDescent="0.35">
      <c r="A841" s="2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 spans="1:31" x14ac:dyDescent="0.35">
      <c r="A842" s="2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 spans="1:31" x14ac:dyDescent="0.35">
      <c r="A843" s="2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 spans="1:31" x14ac:dyDescent="0.35">
      <c r="A844" s="2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 spans="1:31" x14ac:dyDescent="0.35">
      <c r="A845" s="2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 spans="1:31" x14ac:dyDescent="0.35">
      <c r="A846" s="2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 spans="1:31" x14ac:dyDescent="0.35">
      <c r="A847" s="2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 spans="1:31" x14ac:dyDescent="0.35">
      <c r="A848" s="2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 spans="1:31" x14ac:dyDescent="0.35">
      <c r="A849" s="2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 spans="1:31" x14ac:dyDescent="0.35">
      <c r="A850" s="2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 spans="1:31" x14ac:dyDescent="0.35">
      <c r="A851" s="2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 spans="1:31" x14ac:dyDescent="0.35">
      <c r="A852" s="2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 spans="1:31" x14ac:dyDescent="0.35">
      <c r="A853" s="2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 spans="1:31" x14ac:dyDescent="0.35">
      <c r="A854" s="2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 spans="1:31" x14ac:dyDescent="0.35">
      <c r="A855" s="2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 spans="1:31" x14ac:dyDescent="0.35">
      <c r="A856" s="2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 spans="1:31" x14ac:dyDescent="0.35">
      <c r="A857" s="2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 spans="1:31" x14ac:dyDescent="0.35">
      <c r="A858" s="2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 spans="1:31" x14ac:dyDescent="0.35">
      <c r="A859" s="2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 spans="1:31" x14ac:dyDescent="0.35">
      <c r="A860" s="2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 spans="1:31" x14ac:dyDescent="0.35">
      <c r="A861" s="2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 spans="1:31" x14ac:dyDescent="0.35">
      <c r="A862" s="2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 spans="1:31" x14ac:dyDescent="0.35">
      <c r="A863" s="2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 spans="1:31" x14ac:dyDescent="0.35">
      <c r="A864" s="2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 spans="1:31" x14ac:dyDescent="0.35">
      <c r="A865" s="2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 spans="1:31" x14ac:dyDescent="0.35">
      <c r="A866" s="2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 spans="1:31" x14ac:dyDescent="0.35">
      <c r="A867" s="2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 spans="1:31" x14ac:dyDescent="0.35">
      <c r="A868" s="2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 spans="1:31" x14ac:dyDescent="0.35">
      <c r="A869" s="2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 spans="1:31" x14ac:dyDescent="0.35">
      <c r="A870" s="2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 spans="1:31" x14ac:dyDescent="0.35">
      <c r="A871" s="2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 spans="1:31" x14ac:dyDescent="0.35">
      <c r="A872" s="2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 spans="1:31" x14ac:dyDescent="0.35">
      <c r="A873" s="2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 spans="1:31" x14ac:dyDescent="0.35">
      <c r="A874" s="2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  <row r="875" spans="1:31" x14ac:dyDescent="0.35">
      <c r="A875" s="2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</row>
    <row r="876" spans="1:31" x14ac:dyDescent="0.35">
      <c r="A876" s="2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</row>
    <row r="877" spans="1:31" x14ac:dyDescent="0.35">
      <c r="A877" s="2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</row>
    <row r="878" spans="1:31" x14ac:dyDescent="0.35">
      <c r="A878" s="2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</row>
    <row r="879" spans="1:31" x14ac:dyDescent="0.35">
      <c r="A879" s="2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</row>
    <row r="880" spans="1:31" x14ac:dyDescent="0.35">
      <c r="A880" s="2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</row>
    <row r="881" spans="1:31" x14ac:dyDescent="0.35">
      <c r="A881" s="2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</row>
    <row r="882" spans="1:31" x14ac:dyDescent="0.35">
      <c r="A882" s="2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</row>
    <row r="883" spans="1:31" x14ac:dyDescent="0.35">
      <c r="A883" s="2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</row>
    <row r="884" spans="1:31" x14ac:dyDescent="0.35">
      <c r="A884" s="2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</row>
    <row r="885" spans="1:31" x14ac:dyDescent="0.35">
      <c r="A885" s="2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</row>
    <row r="886" spans="1:31" x14ac:dyDescent="0.35">
      <c r="A886" s="2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</row>
    <row r="887" spans="1:31" x14ac:dyDescent="0.35">
      <c r="A887" s="2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</row>
    <row r="888" spans="1:31" x14ac:dyDescent="0.35">
      <c r="A888" s="2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</row>
    <row r="889" spans="1:31" x14ac:dyDescent="0.35">
      <c r="A889" s="2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</row>
    <row r="890" spans="1:31" x14ac:dyDescent="0.35">
      <c r="A890" s="2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</row>
    <row r="891" spans="1:31" x14ac:dyDescent="0.35">
      <c r="A891" s="2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</row>
    <row r="892" spans="1:31" x14ac:dyDescent="0.35">
      <c r="A892" s="2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</row>
    <row r="893" spans="1:31" x14ac:dyDescent="0.35">
      <c r="A893" s="2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</row>
    <row r="894" spans="1:31" x14ac:dyDescent="0.35">
      <c r="A894" s="2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</row>
    <row r="895" spans="1:31" x14ac:dyDescent="0.35">
      <c r="A895" s="2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</row>
    <row r="896" spans="1:31" x14ac:dyDescent="0.35">
      <c r="A896" s="2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</row>
    <row r="897" spans="1:31" x14ac:dyDescent="0.35">
      <c r="A897" s="2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</row>
    <row r="898" spans="1:31" x14ac:dyDescent="0.35">
      <c r="A898" s="2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</row>
    <row r="899" spans="1:31" x14ac:dyDescent="0.35">
      <c r="A899" s="2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</row>
    <row r="900" spans="1:31" x14ac:dyDescent="0.35">
      <c r="A900" s="2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</row>
    <row r="901" spans="1:31" x14ac:dyDescent="0.35">
      <c r="A901" s="2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</row>
    <row r="902" spans="1:31" x14ac:dyDescent="0.35">
      <c r="A902" s="2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</row>
    <row r="903" spans="1:31" x14ac:dyDescent="0.35">
      <c r="A903" s="2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</row>
    <row r="904" spans="1:31" x14ac:dyDescent="0.35">
      <c r="A904" s="2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</row>
    <row r="905" spans="1:31" x14ac:dyDescent="0.35">
      <c r="A905" s="2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</row>
    <row r="906" spans="1:31" x14ac:dyDescent="0.35">
      <c r="A906" s="2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</row>
    <row r="907" spans="1:31" x14ac:dyDescent="0.35">
      <c r="A907" s="2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</row>
    <row r="908" spans="1:31" x14ac:dyDescent="0.35">
      <c r="A908" s="2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</row>
    <row r="909" spans="1:31" x14ac:dyDescent="0.35">
      <c r="A909" s="2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</row>
    <row r="910" spans="1:31" x14ac:dyDescent="0.35">
      <c r="A910" s="2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</row>
    <row r="911" spans="1:31" x14ac:dyDescent="0.35">
      <c r="A911" s="2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</row>
    <row r="912" spans="1:31" x14ac:dyDescent="0.35">
      <c r="A912" s="2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</row>
    <row r="913" spans="1:31" x14ac:dyDescent="0.35">
      <c r="A913" s="2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</row>
    <row r="914" spans="1:31" x14ac:dyDescent="0.35">
      <c r="A914" s="2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</row>
    <row r="915" spans="1:31" x14ac:dyDescent="0.35">
      <c r="A915" s="2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</row>
    <row r="916" spans="1:31" x14ac:dyDescent="0.35">
      <c r="A916" s="2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</row>
    <row r="917" spans="1:31" x14ac:dyDescent="0.35">
      <c r="A917" s="2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</row>
    <row r="918" spans="1:31" x14ac:dyDescent="0.35">
      <c r="A918" s="2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</row>
    <row r="919" spans="1:31" x14ac:dyDescent="0.35">
      <c r="A919" s="2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</row>
    <row r="920" spans="1:31" x14ac:dyDescent="0.35">
      <c r="A920" s="2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</row>
    <row r="921" spans="1:31" x14ac:dyDescent="0.35">
      <c r="A921" s="2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</row>
    <row r="922" spans="1:31" x14ac:dyDescent="0.35">
      <c r="A922" s="2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</row>
    <row r="923" spans="1:31" x14ac:dyDescent="0.35">
      <c r="A923" s="2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</row>
    <row r="924" spans="1:31" x14ac:dyDescent="0.35">
      <c r="A924" s="2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</row>
    <row r="925" spans="1:31" x14ac:dyDescent="0.35">
      <c r="A925" s="2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</row>
    <row r="926" spans="1:31" x14ac:dyDescent="0.35">
      <c r="A926" s="2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</row>
    <row r="927" spans="1:31" x14ac:dyDescent="0.35">
      <c r="A927" s="2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</row>
    <row r="928" spans="1:31" x14ac:dyDescent="0.35">
      <c r="A928" s="2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</row>
    <row r="929" spans="1:31" x14ac:dyDescent="0.35">
      <c r="A929" s="2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</row>
    <row r="930" spans="1:31" x14ac:dyDescent="0.35">
      <c r="A930" s="2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</row>
    <row r="931" spans="1:31" x14ac:dyDescent="0.35">
      <c r="A931" s="2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</row>
    <row r="932" spans="1:31" x14ac:dyDescent="0.35">
      <c r="A932" s="2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</row>
    <row r="933" spans="1:31" x14ac:dyDescent="0.35">
      <c r="A933" s="2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</row>
    <row r="934" spans="1:31" x14ac:dyDescent="0.35">
      <c r="A934" s="2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</row>
    <row r="935" spans="1:31" x14ac:dyDescent="0.35">
      <c r="A935" s="2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</row>
    <row r="936" spans="1:31" x14ac:dyDescent="0.35">
      <c r="A936" s="2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</row>
    <row r="937" spans="1:31" x14ac:dyDescent="0.35">
      <c r="A937" s="2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</row>
    <row r="938" spans="1:31" x14ac:dyDescent="0.35">
      <c r="A938" s="2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</row>
    <row r="939" spans="1:31" x14ac:dyDescent="0.35">
      <c r="A939" s="2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</row>
    <row r="940" spans="1:31" x14ac:dyDescent="0.35">
      <c r="A940" s="2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</row>
    <row r="941" spans="1:31" x14ac:dyDescent="0.35">
      <c r="A941" s="2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</row>
    <row r="942" spans="1:31" x14ac:dyDescent="0.35">
      <c r="A942" s="2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</row>
    <row r="943" spans="1:31" x14ac:dyDescent="0.35">
      <c r="A943" s="2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</row>
    <row r="944" spans="1:31" x14ac:dyDescent="0.35">
      <c r="A944" s="2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</row>
    <row r="945" spans="1:31" x14ac:dyDescent="0.35">
      <c r="A945" s="2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</row>
    <row r="946" spans="1:31" x14ac:dyDescent="0.35">
      <c r="A946" s="2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</row>
    <row r="947" spans="1:31" x14ac:dyDescent="0.35">
      <c r="A947" s="2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</row>
    <row r="948" spans="1:31" x14ac:dyDescent="0.35">
      <c r="A948" s="2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</row>
    <row r="949" spans="1:31" x14ac:dyDescent="0.35">
      <c r="A949" s="2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</row>
    <row r="950" spans="1:31" x14ac:dyDescent="0.35">
      <c r="A950" s="2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</row>
    <row r="951" spans="1:31" x14ac:dyDescent="0.35">
      <c r="A951" s="2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</row>
    <row r="952" spans="1:31" x14ac:dyDescent="0.35">
      <c r="A952" s="2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</row>
    <row r="953" spans="1:31" x14ac:dyDescent="0.35">
      <c r="A953" s="2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</row>
    <row r="954" spans="1:31" x14ac:dyDescent="0.35">
      <c r="A954" s="2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</row>
    <row r="955" spans="1:31" x14ac:dyDescent="0.35">
      <c r="A955" s="2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</row>
    <row r="956" spans="1:31" x14ac:dyDescent="0.35">
      <c r="A956" s="2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</row>
    <row r="957" spans="1:31" x14ac:dyDescent="0.35">
      <c r="A957" s="2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</row>
    <row r="958" spans="1:31" x14ac:dyDescent="0.35">
      <c r="A958" s="2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</row>
    <row r="959" spans="1:31" x14ac:dyDescent="0.35">
      <c r="A959" s="2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</row>
    <row r="960" spans="1:31" x14ac:dyDescent="0.35">
      <c r="A960" s="2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</row>
    <row r="961" spans="1:31" x14ac:dyDescent="0.35">
      <c r="A961" s="2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</row>
    <row r="962" spans="1:31" x14ac:dyDescent="0.35">
      <c r="A962" s="2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</row>
    <row r="963" spans="1:31" x14ac:dyDescent="0.35">
      <c r="A963" s="2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</row>
    <row r="964" spans="1:31" x14ac:dyDescent="0.35">
      <c r="A964" s="2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</row>
    <row r="965" spans="1:31" x14ac:dyDescent="0.35">
      <c r="A965" s="2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</row>
    <row r="966" spans="1:31" x14ac:dyDescent="0.35">
      <c r="A966" s="2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</row>
    <row r="967" spans="1:31" x14ac:dyDescent="0.35">
      <c r="A967" s="2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</row>
    <row r="968" spans="1:31" x14ac:dyDescent="0.35">
      <c r="A968" s="2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</row>
    <row r="969" spans="1:31" x14ac:dyDescent="0.35">
      <c r="A969" s="2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</row>
    <row r="970" spans="1:31" x14ac:dyDescent="0.35">
      <c r="A970" s="2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</row>
    <row r="971" spans="1:31" x14ac:dyDescent="0.35">
      <c r="A971" s="2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</row>
    <row r="972" spans="1:31" x14ac:dyDescent="0.35">
      <c r="A972" s="2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</row>
    <row r="973" spans="1:31" x14ac:dyDescent="0.35">
      <c r="A973" s="2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</row>
    <row r="974" spans="1:31" x14ac:dyDescent="0.35">
      <c r="A974" s="2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</row>
    <row r="975" spans="1:31" x14ac:dyDescent="0.35">
      <c r="A975" s="2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</row>
    <row r="976" spans="1:31" x14ac:dyDescent="0.35">
      <c r="A976" s="2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</row>
    <row r="977" spans="1:31" x14ac:dyDescent="0.35">
      <c r="A977" s="2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</row>
    <row r="978" spans="1:31" x14ac:dyDescent="0.35">
      <c r="A978" s="2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</row>
    <row r="979" spans="1:31" x14ac:dyDescent="0.35">
      <c r="A979" s="2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</row>
    <row r="980" spans="1:31" x14ac:dyDescent="0.35">
      <c r="A980" s="2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</row>
    <row r="981" spans="1:31" x14ac:dyDescent="0.35">
      <c r="A981" s="2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</row>
    <row r="982" spans="1:31" x14ac:dyDescent="0.35">
      <c r="A982" s="2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</row>
    <row r="983" spans="1:31" x14ac:dyDescent="0.35">
      <c r="A983" s="2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</row>
    <row r="984" spans="1:31" x14ac:dyDescent="0.35">
      <c r="A984" s="2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</row>
    <row r="985" spans="1:31" x14ac:dyDescent="0.35">
      <c r="A985" s="2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</row>
    <row r="986" spans="1:31" x14ac:dyDescent="0.35">
      <c r="A986" s="2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</row>
    <row r="987" spans="1:31" x14ac:dyDescent="0.35">
      <c r="A987" s="2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</row>
    <row r="988" spans="1:31" x14ac:dyDescent="0.35">
      <c r="A988" s="2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</row>
    <row r="989" spans="1:31" x14ac:dyDescent="0.35">
      <c r="A989" s="2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</row>
    <row r="990" spans="1:31" x14ac:dyDescent="0.35">
      <c r="A990" s="2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</row>
    <row r="991" spans="1:31" x14ac:dyDescent="0.35">
      <c r="A991" s="2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</row>
    <row r="992" spans="1:31" x14ac:dyDescent="0.35">
      <c r="A992" s="2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</row>
    <row r="993" spans="1:31" x14ac:dyDescent="0.35">
      <c r="A993" s="2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</row>
    <row r="994" spans="1:31" x14ac:dyDescent="0.35">
      <c r="A994" s="2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</row>
    <row r="995" spans="1:31" x14ac:dyDescent="0.35">
      <c r="A995" s="2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</row>
    <row r="996" spans="1:31" x14ac:dyDescent="0.35">
      <c r="A996" s="2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</row>
    <row r="997" spans="1:31" x14ac:dyDescent="0.35">
      <c r="A997" s="2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</row>
    <row r="998" spans="1:31" x14ac:dyDescent="0.35">
      <c r="A998" s="2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</row>
    <row r="999" spans="1:31" x14ac:dyDescent="0.35">
      <c r="A999" s="2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</row>
    <row r="1000" spans="1:31" x14ac:dyDescent="0.35">
      <c r="A1000" s="2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</row>
    <row r="1001" spans="1:31" x14ac:dyDescent="0.35">
      <c r="A1001" s="2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</row>
    <row r="1002" spans="1:31" x14ac:dyDescent="0.35">
      <c r="A1002" s="2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</row>
    <row r="1003" spans="1:31" x14ac:dyDescent="0.35">
      <c r="A1003" s="2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</row>
    <row r="1004" spans="1:31" x14ac:dyDescent="0.35">
      <c r="A1004" s="2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</row>
    <row r="1005" spans="1:31" x14ac:dyDescent="0.35">
      <c r="A1005" s="2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</row>
    <row r="1006" spans="1:31" x14ac:dyDescent="0.35">
      <c r="A1006" s="2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</row>
    <row r="1007" spans="1:31" x14ac:dyDescent="0.35">
      <c r="A1007" s="2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</row>
    <row r="1008" spans="1:31" x14ac:dyDescent="0.35">
      <c r="A1008" s="2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</row>
    <row r="1009" spans="1:31" x14ac:dyDescent="0.35">
      <c r="A1009" s="2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</row>
    <row r="1010" spans="1:31" x14ac:dyDescent="0.35">
      <c r="A1010" s="2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</row>
    <row r="1011" spans="1:31" x14ac:dyDescent="0.35">
      <c r="A1011" s="2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</row>
    <row r="1012" spans="1:31" x14ac:dyDescent="0.35">
      <c r="A1012" s="2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</row>
    <row r="1013" spans="1:31" x14ac:dyDescent="0.35">
      <c r="A1013" s="2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</row>
    <row r="1014" spans="1:31" x14ac:dyDescent="0.35">
      <c r="A1014" s="2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</row>
    <row r="1015" spans="1:31" x14ac:dyDescent="0.35">
      <c r="A1015" s="2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</row>
    <row r="1016" spans="1:31" x14ac:dyDescent="0.35">
      <c r="A1016" s="2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</row>
    <row r="1017" spans="1:31" x14ac:dyDescent="0.35">
      <c r="A1017" s="2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</row>
    <row r="1018" spans="1:31" x14ac:dyDescent="0.35">
      <c r="A1018" s="2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</row>
    <row r="1019" spans="1:31" x14ac:dyDescent="0.35">
      <c r="A1019" s="2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</row>
    <row r="1020" spans="1:31" x14ac:dyDescent="0.35">
      <c r="A1020" s="2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</row>
    <row r="1021" spans="1:31" x14ac:dyDescent="0.35">
      <c r="A1021" s="2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</row>
    <row r="1022" spans="1:31" x14ac:dyDescent="0.35">
      <c r="A1022" s="2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</row>
    <row r="1023" spans="1:31" x14ac:dyDescent="0.35">
      <c r="A1023" s="2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</row>
    <row r="1024" spans="1:31" x14ac:dyDescent="0.35">
      <c r="A1024" s="2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</row>
    <row r="1025" spans="1:31" x14ac:dyDescent="0.35">
      <c r="A1025" s="2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</row>
    <row r="1026" spans="1:31" x14ac:dyDescent="0.35">
      <c r="A1026" s="2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</row>
    <row r="1027" spans="1:31" x14ac:dyDescent="0.35">
      <c r="A1027" s="2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</row>
    <row r="1028" spans="1:31" x14ac:dyDescent="0.35">
      <c r="A1028" s="2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</row>
    <row r="1029" spans="1:31" x14ac:dyDescent="0.35">
      <c r="A1029" s="2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</row>
    <row r="1030" spans="1:31" x14ac:dyDescent="0.35">
      <c r="A1030" s="2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</row>
    <row r="1031" spans="1:31" x14ac:dyDescent="0.35">
      <c r="A1031" s="2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</row>
    <row r="1032" spans="1:31" x14ac:dyDescent="0.35">
      <c r="A1032" s="2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</row>
    <row r="1033" spans="1:31" x14ac:dyDescent="0.35">
      <c r="A1033" s="2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</row>
    <row r="1034" spans="1:31" x14ac:dyDescent="0.35">
      <c r="A1034" s="2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</row>
    <row r="1035" spans="1:31" x14ac:dyDescent="0.35">
      <c r="A1035" s="2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</row>
    <row r="1036" spans="1:31" x14ac:dyDescent="0.35">
      <c r="A1036" s="2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</row>
    <row r="1037" spans="1:31" x14ac:dyDescent="0.35">
      <c r="A1037" s="2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</row>
    <row r="1038" spans="1:31" x14ac:dyDescent="0.35">
      <c r="A1038" s="2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</row>
    <row r="1039" spans="1:31" x14ac:dyDescent="0.35">
      <c r="A1039" s="2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</row>
    <row r="1040" spans="1:31" x14ac:dyDescent="0.35">
      <c r="A1040" s="2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</row>
    <row r="1041" spans="1:31" x14ac:dyDescent="0.35">
      <c r="A1041" s="2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</row>
    <row r="1042" spans="1:31" x14ac:dyDescent="0.35">
      <c r="A1042" s="2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</row>
    <row r="1043" spans="1:31" x14ac:dyDescent="0.35">
      <c r="A1043" s="2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</row>
    <row r="1044" spans="1:31" x14ac:dyDescent="0.35">
      <c r="A1044" s="2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</row>
    <row r="1045" spans="1:31" x14ac:dyDescent="0.35">
      <c r="A1045" s="2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</row>
    <row r="1046" spans="1:31" x14ac:dyDescent="0.35">
      <c r="A1046" s="2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</row>
    <row r="1047" spans="1:31" x14ac:dyDescent="0.35">
      <c r="A1047" s="2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</row>
    <row r="1048" spans="1:31" x14ac:dyDescent="0.35">
      <c r="A1048" s="2"/>
      <c r="B1048" s="15"/>
      <c r="C1048" s="15"/>
      <c r="D1048" s="15"/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</row>
    <row r="1049" spans="1:31" x14ac:dyDescent="0.35">
      <c r="A1049" s="2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</row>
    <row r="1050" spans="1:31" x14ac:dyDescent="0.35">
      <c r="A1050" s="2"/>
      <c r="B1050" s="15"/>
      <c r="C1050" s="15"/>
      <c r="D1050" s="15"/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</row>
    <row r="1051" spans="1:31" x14ac:dyDescent="0.35">
      <c r="A1051" s="2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</row>
    <row r="1052" spans="1:31" x14ac:dyDescent="0.35">
      <c r="A1052" s="2"/>
      <c r="B1052" s="15"/>
      <c r="C1052" s="15"/>
      <c r="D1052" s="15"/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</row>
    <row r="1053" spans="1:31" x14ac:dyDescent="0.35">
      <c r="A1053" s="2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</row>
    <row r="1054" spans="1:31" x14ac:dyDescent="0.35">
      <c r="A1054" s="2"/>
      <c r="B1054" s="15"/>
      <c r="C1054" s="15"/>
      <c r="D1054" s="15"/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</row>
    <row r="1055" spans="1:31" x14ac:dyDescent="0.35">
      <c r="A1055" s="2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</row>
    <row r="1056" spans="1:31" x14ac:dyDescent="0.35">
      <c r="A1056" s="2"/>
      <c r="B1056" s="15"/>
      <c r="C1056" s="15"/>
      <c r="D1056" s="15"/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</row>
    <row r="1057" spans="1:31" x14ac:dyDescent="0.35">
      <c r="A1057" s="2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</row>
    <row r="1058" spans="1:31" x14ac:dyDescent="0.35">
      <c r="A1058" s="2"/>
      <c r="B1058" s="15"/>
      <c r="C1058" s="15"/>
      <c r="D1058" s="15"/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</row>
    <row r="1059" spans="1:31" x14ac:dyDescent="0.35">
      <c r="A1059" s="2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</row>
    <row r="1060" spans="1:31" x14ac:dyDescent="0.35">
      <c r="A1060" s="2"/>
      <c r="B1060" s="15"/>
      <c r="C1060" s="15"/>
      <c r="D1060" s="15"/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</row>
    <row r="1061" spans="1:31" x14ac:dyDescent="0.35">
      <c r="A1061" s="2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</row>
    <row r="1062" spans="1:31" x14ac:dyDescent="0.35">
      <c r="A1062" s="2"/>
      <c r="B1062" s="15"/>
      <c r="C1062" s="15"/>
      <c r="D1062" s="15"/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</row>
    <row r="1063" spans="1:31" x14ac:dyDescent="0.35">
      <c r="A1063" s="2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</row>
    <row r="1064" spans="1:31" x14ac:dyDescent="0.35">
      <c r="A1064" s="2"/>
      <c r="B1064" s="15"/>
      <c r="C1064" s="15"/>
      <c r="D1064" s="15"/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</row>
    <row r="1065" spans="1:31" x14ac:dyDescent="0.35">
      <c r="A1065" s="2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</row>
    <row r="1066" spans="1:31" x14ac:dyDescent="0.35">
      <c r="A1066" s="2"/>
      <c r="B1066" s="15"/>
      <c r="C1066" s="15"/>
      <c r="D1066" s="15"/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</row>
    <row r="1067" spans="1:31" x14ac:dyDescent="0.35">
      <c r="A1067" s="2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</row>
    <row r="1068" spans="1:31" x14ac:dyDescent="0.35">
      <c r="A1068" s="2"/>
      <c r="B1068" s="15"/>
      <c r="C1068" s="15"/>
      <c r="D1068" s="15"/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</row>
    <row r="1069" spans="1:31" x14ac:dyDescent="0.35">
      <c r="A1069" s="2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</row>
    <row r="1070" spans="1:31" x14ac:dyDescent="0.35">
      <c r="A1070" s="2"/>
      <c r="B1070" s="15"/>
      <c r="C1070" s="15"/>
      <c r="D1070" s="15"/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</row>
    <row r="1071" spans="1:31" x14ac:dyDescent="0.35">
      <c r="A1071" s="2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</row>
    <row r="1072" spans="1:31" x14ac:dyDescent="0.35">
      <c r="A1072" s="2"/>
      <c r="B1072" s="15"/>
      <c r="C1072" s="15"/>
      <c r="D1072" s="15"/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</row>
    <row r="1073" spans="1:31" x14ac:dyDescent="0.35">
      <c r="A1073" s="2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</row>
    <row r="1074" spans="1:31" x14ac:dyDescent="0.35">
      <c r="A1074" s="2"/>
      <c r="B1074" s="15"/>
      <c r="C1074" s="15"/>
      <c r="D1074" s="15"/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</row>
    <row r="1075" spans="1:31" x14ac:dyDescent="0.35">
      <c r="A1075" s="2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</row>
    <row r="1076" spans="1:31" x14ac:dyDescent="0.35">
      <c r="A1076" s="2"/>
      <c r="B1076" s="15"/>
      <c r="C1076" s="15"/>
      <c r="D1076" s="15"/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</row>
    <row r="1077" spans="1:31" x14ac:dyDescent="0.35">
      <c r="A1077" s="2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</row>
    <row r="1078" spans="1:31" x14ac:dyDescent="0.35">
      <c r="A1078" s="2"/>
      <c r="B1078" s="15"/>
      <c r="C1078" s="15"/>
      <c r="D1078" s="15"/>
      <c r="E1078" s="15"/>
      <c r="F1078" s="15"/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</row>
    <row r="1079" spans="1:31" x14ac:dyDescent="0.35">
      <c r="A1079" s="2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</row>
    <row r="1080" spans="1:31" x14ac:dyDescent="0.35">
      <c r="A1080" s="2"/>
      <c r="B1080" s="15"/>
      <c r="C1080" s="15"/>
      <c r="D1080" s="15"/>
      <c r="E1080" s="15"/>
      <c r="F1080" s="15"/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</row>
    <row r="1081" spans="1:31" x14ac:dyDescent="0.35">
      <c r="A1081" s="2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</row>
    <row r="1082" spans="1:31" x14ac:dyDescent="0.35">
      <c r="A1082" s="2"/>
      <c r="B1082" s="15"/>
      <c r="C1082" s="15"/>
      <c r="D1082" s="15"/>
      <c r="E1082" s="15"/>
      <c r="F1082" s="15"/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</row>
    <row r="1083" spans="1:31" x14ac:dyDescent="0.35">
      <c r="A1083" s="2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</row>
    <row r="1084" spans="1:31" x14ac:dyDescent="0.35">
      <c r="A1084" s="2"/>
      <c r="B1084" s="15"/>
      <c r="C1084" s="15"/>
      <c r="D1084" s="15"/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</row>
    <row r="1085" spans="1:31" x14ac:dyDescent="0.35">
      <c r="A1085" s="2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</row>
    <row r="1086" spans="1:31" x14ac:dyDescent="0.35">
      <c r="A1086" s="2"/>
      <c r="B1086" s="15"/>
      <c r="C1086" s="15"/>
      <c r="D1086" s="15"/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</row>
    <row r="1087" spans="1:31" x14ac:dyDescent="0.35">
      <c r="A1087" s="2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</row>
  </sheetData>
  <conditionalFormatting sqref="B2:AE568">
    <cfRule type="expression" dxfId="1" priority="1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8D08E-671C-4BE5-B3EE-4C869435A712}">
  <dimension ref="A1:AE2"/>
  <sheetViews>
    <sheetView topLeftCell="N1" workbookViewId="0">
      <selection activeCell="P1" sqref="P1"/>
    </sheetView>
  </sheetViews>
  <sheetFormatPr defaultRowHeight="14.5" x14ac:dyDescent="0.35"/>
  <cols>
    <col min="1" max="31" width="9.6328125" customWidth="1"/>
  </cols>
  <sheetData>
    <row r="1" spans="1:31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s="22" t="s">
        <v>188</v>
      </c>
      <c r="V1" t="s">
        <v>189</v>
      </c>
      <c r="W1" s="22" t="s">
        <v>190</v>
      </c>
      <c r="X1" t="s">
        <v>191</v>
      </c>
      <c r="Y1" s="22" t="s">
        <v>192</v>
      </c>
      <c r="Z1" t="s">
        <v>193</v>
      </c>
      <c r="AA1" s="22" t="s">
        <v>194</v>
      </c>
      <c r="AB1" t="s">
        <v>195</v>
      </c>
      <c r="AC1" s="22" t="s">
        <v>196</v>
      </c>
      <c r="AD1" t="s">
        <v>197</v>
      </c>
      <c r="AE1" s="22" t="s">
        <v>198</v>
      </c>
    </row>
    <row r="2" spans="1:31" s="23" customFormat="1" x14ac:dyDescent="0.35">
      <c r="A2" s="23" t="s">
        <v>298</v>
      </c>
      <c r="B2" s="23">
        <v>-20</v>
      </c>
      <c r="C2" s="23">
        <v>-20</v>
      </c>
      <c r="D2" s="23">
        <v>-20</v>
      </c>
      <c r="E2" s="23">
        <v>-20</v>
      </c>
      <c r="F2" s="23">
        <v>-20</v>
      </c>
      <c r="G2" s="23">
        <v>-20</v>
      </c>
      <c r="H2" s="23">
        <v>-20</v>
      </c>
      <c r="I2" s="23">
        <v>-20</v>
      </c>
      <c r="J2" s="23">
        <v>-20</v>
      </c>
      <c r="K2" s="23">
        <v>-20</v>
      </c>
      <c r="L2" s="23">
        <v>-20</v>
      </c>
      <c r="M2" s="23">
        <v>-20</v>
      </c>
      <c r="N2" s="24">
        <v>4</v>
      </c>
      <c r="O2" s="24">
        <v>4</v>
      </c>
      <c r="P2" s="24">
        <v>4</v>
      </c>
      <c r="Q2" s="24">
        <v>4</v>
      </c>
      <c r="R2" s="24">
        <v>4</v>
      </c>
      <c r="S2" s="24">
        <v>4</v>
      </c>
      <c r="T2" s="23">
        <v>10</v>
      </c>
      <c r="U2" s="23">
        <v>10</v>
      </c>
      <c r="V2" s="23">
        <v>10</v>
      </c>
      <c r="W2" s="23">
        <v>10</v>
      </c>
      <c r="X2" s="23">
        <v>10</v>
      </c>
      <c r="Y2" s="23">
        <v>10</v>
      </c>
      <c r="Z2" s="23">
        <v>10</v>
      </c>
      <c r="AA2" s="23">
        <v>10</v>
      </c>
      <c r="AB2" s="23">
        <v>25</v>
      </c>
      <c r="AC2" s="23">
        <v>25</v>
      </c>
      <c r="AD2" s="23">
        <v>25</v>
      </c>
      <c r="AE2" s="23">
        <v>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copy</vt:lpstr>
      <vt:lpstr>Database</vt:lpstr>
      <vt:lpstr>Summary</vt:lpstr>
      <vt:lpstr>IW</vt:lpstr>
      <vt:lpstr>IW_Req</vt:lpstr>
      <vt:lpstr>LR</vt:lpstr>
      <vt:lpstr>HR</vt:lpstr>
      <vt:lpstr>OW</vt:lpstr>
      <vt:lpstr>OW_Req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Chua Zhi Jie /AMS</dc:creator>
  <cp:lastModifiedBy>Raphael Chua Zhi Jie /AMS</cp:lastModifiedBy>
  <dcterms:created xsi:type="dcterms:W3CDTF">2026-01-08T06:51:54Z</dcterms:created>
  <dcterms:modified xsi:type="dcterms:W3CDTF">2026-02-09T04:47:31Z</dcterms:modified>
</cp:coreProperties>
</file>